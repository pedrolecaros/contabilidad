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G:\My Drive\Desarrollos Ecox\Tregualemu SpA\Contable Tregualemu SpA\"/>
    </mc:Choice>
  </mc:AlternateContent>
  <xr:revisionPtr revIDLastSave="0" documentId="13_ncr:1_{787C66E6-2E25-4FA9-9CE5-1B0498DDE0D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" i="1" l="1"/>
  <c r="C14" i="1" s="1"/>
  <c r="C33" i="1" s="1"/>
  <c r="H13" i="1"/>
  <c r="C13" i="1" s="1"/>
  <c r="H12" i="1" l="1"/>
  <c r="H11" i="1"/>
  <c r="H32" i="1"/>
  <c r="C10" i="1"/>
  <c r="C31" i="1" s="1"/>
  <c r="G10" i="1"/>
  <c r="H10" i="1" s="1"/>
  <c r="C30" i="1"/>
  <c r="H9" i="1"/>
  <c r="C29" i="1"/>
  <c r="H8" i="1"/>
  <c r="H7" i="1"/>
  <c r="C7" i="1" s="1"/>
  <c r="C28" i="1" s="1"/>
  <c r="H6" i="1"/>
  <c r="C6" i="1" s="1"/>
  <c r="C27" i="1" s="1"/>
  <c r="H27" i="1"/>
</calcChain>
</file>

<file path=xl/sharedStrings.xml><?xml version="1.0" encoding="utf-8"?>
<sst xmlns="http://schemas.openxmlformats.org/spreadsheetml/2006/main" count="119" uniqueCount="57">
  <si>
    <t>CUENTAS POR COBRAR TREGUALEMU SPA</t>
  </si>
  <si>
    <t>JORGE HIRART BLOME</t>
  </si>
  <si>
    <t>ECOX SPA</t>
  </si>
  <si>
    <t>AYSEN SPA</t>
  </si>
  <si>
    <t>para compra de futrono</t>
  </si>
  <si>
    <t>Destino</t>
  </si>
  <si>
    <t>29.10.2021</t>
  </si>
  <si>
    <t>22.12.2021</t>
  </si>
  <si>
    <t>Fecha</t>
  </si>
  <si>
    <t>Prestamo</t>
  </si>
  <si>
    <t>17.05.2022</t>
  </si>
  <si>
    <t>Retiro socios</t>
  </si>
  <si>
    <t>Retiro</t>
  </si>
  <si>
    <t>Pago</t>
  </si>
  <si>
    <t>29.06.2022</t>
  </si>
  <si>
    <t>29.07.2022</t>
  </si>
  <si>
    <t>0.09.2022</t>
  </si>
  <si>
    <t>02.09.2022</t>
  </si>
  <si>
    <t>04.10.2022</t>
  </si>
  <si>
    <t>Nuevo prestamo</t>
  </si>
  <si>
    <t>24.10.2022</t>
  </si>
  <si>
    <t>Compra Colbun</t>
  </si>
  <si>
    <t>Prestamo (por prestamo pls y FHB colbun)</t>
  </si>
  <si>
    <t>para compras sitios usa</t>
  </si>
  <si>
    <t>pago ecox a tregualemu</t>
  </si>
  <si>
    <t>Treguya a PLS FHB</t>
  </si>
  <si>
    <t>28.12.2022</t>
  </si>
  <si>
    <t>UF</t>
  </si>
  <si>
    <t xml:space="preserve"> UF</t>
  </si>
  <si>
    <t xml:space="preserve">Prestamo </t>
  </si>
  <si>
    <t>11.01.2023</t>
  </si>
  <si>
    <t xml:space="preserve">Originalmente se hizo un prestamo a ECOX y a Jorge. Ecox lo ha ido pagando y se hacen retiros de esa caja a socios. La parte de retiro de Jorge se va imputando a la deuda que mantiene y a los demas socios (PLS/FHB) se paga. </t>
  </si>
  <si>
    <t>Movimientos Cuenta Jorge Hiriart 2022</t>
  </si>
  <si>
    <t>8.2.2022</t>
  </si>
  <si>
    <t>15.02.2022</t>
  </si>
  <si>
    <t>Retiro cxc</t>
  </si>
  <si>
    <t>16.2.2022</t>
  </si>
  <si>
    <t>04.04.2022</t>
  </si>
  <si>
    <t>Devuelve</t>
  </si>
  <si>
    <t>06.04.2022</t>
  </si>
  <si>
    <t>08.04.2022</t>
  </si>
  <si>
    <t>12.04.2022</t>
  </si>
  <si>
    <t>19.04.2022</t>
  </si>
  <si>
    <t>4.5.2022</t>
  </si>
  <si>
    <t>1.6.2022</t>
  </si>
  <si>
    <t>15.2.2022</t>
  </si>
  <si>
    <t>31.12.2022</t>
  </si>
  <si>
    <t>Ajusta CxC por exceso retiro</t>
  </si>
  <si>
    <t>Total deuda</t>
  </si>
  <si>
    <t>Diferencia cxc</t>
  </si>
  <si>
    <t>Total Cxc imputa a retiro</t>
  </si>
  <si>
    <t>Retiro en caja</t>
  </si>
  <si>
    <t>Total Retiro JH</t>
  </si>
  <si>
    <t>Ajuste para 20% participacion</t>
  </si>
  <si>
    <t>Retiros SII</t>
  </si>
  <si>
    <t>SALDO DEUDA AL 31.12.2022</t>
  </si>
  <si>
    <t>Total Retiros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</si>
</sst>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.0_);_(* \(#,##0.0\);_(* &quot;-&quot;??_);_(@_)"/>
    <numFmt numFmtId="166" formatCode="_(&quot;$&quot;* #,##0.0_);_(&quot;$&quot;* \(#,##0.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706F6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0" fontId="1" fillId="0" borderId="0" xfId="0" applyFont="1"/>
    <xf numFmtId="3" fontId="0" fillId="0" borderId="0" xfId="0" applyNumberFormat="1"/>
    <xf numFmtId="44" fontId="0" fillId="0" borderId="0" xfId="1" applyFont="1"/>
    <xf numFmtId="44" fontId="0" fillId="0" borderId="0" xfId="0" applyNumberFormat="1"/>
    <xf numFmtId="164" fontId="0" fillId="0" borderId="0" xfId="1" applyNumberFormat="1" applyFont="1"/>
    <xf numFmtId="165" fontId="0" fillId="0" borderId="0" xfId="2" applyNumberFormat="1" applyFont="1"/>
    <xf numFmtId="9" fontId="0" fillId="0" borderId="0" xfId="3" applyFont="1"/>
    <xf numFmtId="2" fontId="0" fillId="0" borderId="0" xfId="0" applyNumberFormat="1"/>
    <xf numFmtId="14" fontId="0" fillId="0" borderId="0" xfId="0" applyNumberFormat="1"/>
    <xf numFmtId="166" fontId="0" fillId="0" borderId="0" xfId="1" applyNumberFormat="1" applyFont="1"/>
    <xf numFmtId="0" fontId="3" fillId="0" borderId="0" xfId="0" applyFont="1"/>
    <xf numFmtId="0" fontId="0" fillId="0" borderId="0" xfId="0" applyAlignment="1">
      <alignment horizontal="center" vertical="center" wrapText="1"/>
    </xf>
    <xf numFmtId="8" fontId="0" fillId="0" borderId="0" xfId="0" applyNumberFormat="1"/>
    <xf numFmtId="6" fontId="0" fillId="0" borderId="0" xfId="0" applyNumberFormat="1"/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314325</xdr:colOff>
      <xdr:row>24</xdr:row>
      <xdr:rowOff>133350</xdr:rowOff>
    </xdr:from>
    <xdr:to>
      <xdr:col>9</xdr:col>
      <xdr:colOff>323850</xdr:colOff>
      <xdr:row>34</xdr:row>
      <xdr:rowOff>57150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561D4C42-7362-E05D-37E0-32B73E610EA8}"/>
            </a:ext>
          </a:extLst>
        </xdr:cNvPr>
        <xdr:cNvSpPr/>
      </xdr:nvSpPr>
      <xdr:spPr>
        <a:xfrm>
          <a:off x="8886825" y="5086350"/>
          <a:ext cx="619125" cy="18288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"/>
  <sheetViews>
    <sheetView workbookViewId="0">
      <selection activeCell="P27" sqref="P27"/>
    </sheetView>
  </sheetViews>
  <sheetFormatPr defaultRowHeight="15" x14ac:dyDescent="0.25"/>
  <cols>
    <col min="2" max="2" width="23" customWidth="1"/>
    <col min="3" max="3" width="15.42578125" bestFit="1" customWidth="1"/>
    <col min="4" max="4" width="15.5703125" customWidth="1"/>
    <col min="5" max="5" width="39.7109375" customWidth="1"/>
    <col min="6" max="6" width="12.5703125" bestFit="1" customWidth="1"/>
    <col min="7" max="7" width="15.28515625" bestFit="1" customWidth="1"/>
    <col min="8" max="8" width="14.7109375" bestFit="1" customWidth="1"/>
    <col min="11" max="11" width="23" customWidth="1"/>
    <col min="12" max="12" width="15.28515625" bestFit="1" customWidth="1"/>
    <col min="13" max="13" width="12" bestFit="1" customWidth="1"/>
  </cols>
  <sheetData>
    <row r="1" spans="1:13" x14ac:dyDescent="0.25">
      <c r="B1" s="2" t="s">
        <v>0</v>
      </c>
    </row>
    <row r="3" spans="1:13" x14ac:dyDescent="0.25">
      <c r="A3" s="1">
        <v>1</v>
      </c>
      <c r="B3" s="1" t="s">
        <v>2</v>
      </c>
      <c r="C3" s="1" t="s">
        <v>27</v>
      </c>
      <c r="D3" s="1" t="s">
        <v>8</v>
      </c>
      <c r="E3" s="1" t="s">
        <v>5</v>
      </c>
    </row>
    <row r="4" spans="1:13" x14ac:dyDescent="0.25">
      <c r="B4" t="s">
        <v>9</v>
      </c>
      <c r="C4">
        <v>4335.6000000000004</v>
      </c>
      <c r="D4" t="s">
        <v>6</v>
      </c>
      <c r="E4" t="s">
        <v>4</v>
      </c>
    </row>
    <row r="5" spans="1:13" x14ac:dyDescent="0.25">
      <c r="B5" t="s">
        <v>9</v>
      </c>
      <c r="C5">
        <v>1990.3209999999999</v>
      </c>
      <c r="D5" t="s">
        <v>7</v>
      </c>
      <c r="K5" t="s">
        <v>24</v>
      </c>
      <c r="L5" s="11">
        <v>4552747</v>
      </c>
      <c r="M5" s="10">
        <v>45231</v>
      </c>
    </row>
    <row r="6" spans="1:13" x14ac:dyDescent="0.25">
      <c r="B6" t="s">
        <v>13</v>
      </c>
      <c r="C6" s="5">
        <f>-H6</f>
        <v>-492.68668206312549</v>
      </c>
      <c r="D6" t="s">
        <v>10</v>
      </c>
      <c r="F6" s="7">
        <v>32475</v>
      </c>
      <c r="G6" s="6">
        <v>16000000</v>
      </c>
      <c r="H6" s="5">
        <f>G6/F6</f>
        <v>492.68668206312549</v>
      </c>
      <c r="K6" t="s">
        <v>25</v>
      </c>
      <c r="L6" s="11">
        <v>2276374</v>
      </c>
      <c r="M6" s="10">
        <v>45231</v>
      </c>
    </row>
    <row r="7" spans="1:13" x14ac:dyDescent="0.25">
      <c r="B7" t="s">
        <v>13</v>
      </c>
      <c r="C7" s="5">
        <f>-H7</f>
        <v>-151.17761313527856</v>
      </c>
      <c r="D7" t="s">
        <v>14</v>
      </c>
      <c r="F7" s="7">
        <v>33073.68</v>
      </c>
      <c r="G7" s="3">
        <v>5000000</v>
      </c>
      <c r="H7" s="9">
        <f>G7/F7</f>
        <v>151.17761313527856</v>
      </c>
      <c r="L7" s="11"/>
      <c r="M7" s="10"/>
    </row>
    <row r="8" spans="1:13" x14ac:dyDescent="0.25">
      <c r="B8" t="s">
        <v>13</v>
      </c>
      <c r="C8" s="5">
        <v>-59.88</v>
      </c>
      <c r="D8" t="s">
        <v>15</v>
      </c>
      <c r="F8" s="7">
        <v>33397.949999999997</v>
      </c>
      <c r="G8" s="3">
        <v>2000000</v>
      </c>
      <c r="H8" s="9">
        <f>G8/F8</f>
        <v>59.88391503071297</v>
      </c>
      <c r="L8" s="11"/>
      <c r="M8" s="10"/>
    </row>
    <row r="9" spans="1:13" x14ac:dyDescent="0.25">
      <c r="B9" t="s">
        <v>13</v>
      </c>
      <c r="C9" s="5">
        <v>-88.58</v>
      </c>
      <c r="D9" t="s">
        <v>16</v>
      </c>
      <c r="F9" s="7">
        <v>33866.870000000003</v>
      </c>
      <c r="G9" s="3">
        <v>3000000</v>
      </c>
      <c r="H9" s="9">
        <f>G9/F9</f>
        <v>88.582145323733783</v>
      </c>
      <c r="L9" s="11"/>
      <c r="M9" s="10"/>
    </row>
    <row r="10" spans="1:13" x14ac:dyDescent="0.25">
      <c r="B10" t="s">
        <v>13</v>
      </c>
      <c r="C10" s="5">
        <f>+-66.66</f>
        <v>-66.66</v>
      </c>
      <c r="D10" t="s">
        <v>18</v>
      </c>
      <c r="F10" s="7">
        <v>34312.76</v>
      </c>
      <c r="G10" s="3">
        <f>1075000*2</f>
        <v>2150000</v>
      </c>
      <c r="H10" s="9">
        <f>G10/F10</f>
        <v>62.658905899729426</v>
      </c>
      <c r="L10" s="11"/>
      <c r="M10" s="10"/>
    </row>
    <row r="11" spans="1:13" x14ac:dyDescent="0.25">
      <c r="B11" t="s">
        <v>9</v>
      </c>
      <c r="C11">
        <v>705</v>
      </c>
      <c r="D11" t="s">
        <v>20</v>
      </c>
      <c r="E11" t="s">
        <v>21</v>
      </c>
      <c r="F11">
        <v>34530.42</v>
      </c>
      <c r="G11" s="4">
        <v>24343946.100000001</v>
      </c>
      <c r="H11">
        <f>+G11/F11</f>
        <v>705.00000000000011</v>
      </c>
    </row>
    <row r="12" spans="1:13" x14ac:dyDescent="0.25">
      <c r="B12" t="s">
        <v>9</v>
      </c>
      <c r="C12">
        <v>705</v>
      </c>
      <c r="D12" t="s">
        <v>20</v>
      </c>
      <c r="E12" t="s">
        <v>21</v>
      </c>
      <c r="F12">
        <v>34530.42</v>
      </c>
      <c r="G12" s="4">
        <v>24343946.100000001</v>
      </c>
      <c r="H12">
        <f>+G12/F12</f>
        <v>705.00000000000011</v>
      </c>
    </row>
    <row r="13" spans="1:13" x14ac:dyDescent="0.25">
      <c r="B13" t="s">
        <v>29</v>
      </c>
      <c r="C13" s="9">
        <f>+H13</f>
        <v>598.67965478420592</v>
      </c>
      <c r="D13" t="s">
        <v>26</v>
      </c>
      <c r="E13" t="s">
        <v>23</v>
      </c>
      <c r="F13" s="3">
        <v>35077.19</v>
      </c>
      <c r="G13" s="3">
        <v>21000000</v>
      </c>
      <c r="H13" s="9">
        <f>+G13/F13</f>
        <v>598.67965478420592</v>
      </c>
      <c r="L13" s="11"/>
      <c r="M13" s="10"/>
    </row>
    <row r="14" spans="1:13" x14ac:dyDescent="0.25">
      <c r="B14" t="s">
        <v>13</v>
      </c>
      <c r="C14" s="9">
        <f>+-H14</f>
        <v>-129.26826913712537</v>
      </c>
      <c r="D14" t="s">
        <v>30</v>
      </c>
      <c r="F14" s="12">
        <v>35219.370000000003</v>
      </c>
      <c r="G14" s="6">
        <v>4552747</v>
      </c>
      <c r="H14" s="9">
        <f>+G14/F14</f>
        <v>129.26826913712537</v>
      </c>
    </row>
    <row r="16" spans="1:13" x14ac:dyDescent="0.25">
      <c r="L16" s="11"/>
      <c r="M16" s="10"/>
    </row>
    <row r="17" spans="1:16" x14ac:dyDescent="0.25">
      <c r="L17" s="11"/>
      <c r="M17" s="10"/>
    </row>
    <row r="18" spans="1:16" x14ac:dyDescent="0.25">
      <c r="K18" s="4"/>
    </row>
    <row r="19" spans="1:16" x14ac:dyDescent="0.25">
      <c r="A19" s="1">
        <v>2</v>
      </c>
      <c r="B19" s="1" t="s">
        <v>3</v>
      </c>
      <c r="C19" s="1" t="s">
        <v>27</v>
      </c>
      <c r="D19" s="1" t="s">
        <v>8</v>
      </c>
      <c r="E19" s="1" t="s">
        <v>5</v>
      </c>
    </row>
    <row r="20" spans="1:16" x14ac:dyDescent="0.25">
      <c r="B20" t="s">
        <v>9</v>
      </c>
      <c r="C20">
        <v>1084</v>
      </c>
      <c r="D20" t="s">
        <v>6</v>
      </c>
      <c r="E20" t="s">
        <v>4</v>
      </c>
    </row>
    <row r="23" spans="1:16" x14ac:dyDescent="0.25">
      <c r="C23" s="5"/>
      <c r="G23" s="3"/>
    </row>
    <row r="25" spans="1:16" x14ac:dyDescent="0.25">
      <c r="A25" s="1">
        <v>3</v>
      </c>
      <c r="B25" s="1" t="s">
        <v>1</v>
      </c>
      <c r="C25" s="1" t="s">
        <v>28</v>
      </c>
      <c r="D25" s="1" t="s">
        <v>8</v>
      </c>
      <c r="E25" s="1" t="s">
        <v>5</v>
      </c>
    </row>
    <row r="26" spans="1:16" x14ac:dyDescent="0.25">
      <c r="B26" t="s">
        <v>9</v>
      </c>
      <c r="C26" s="4">
        <v>497.58030000000002</v>
      </c>
      <c r="D26" t="s">
        <v>7</v>
      </c>
    </row>
    <row r="27" spans="1:16" x14ac:dyDescent="0.25">
      <c r="B27" t="s">
        <v>12</v>
      </c>
      <c r="C27" s="4">
        <f>C6/4</f>
        <v>-123.17167051578137</v>
      </c>
      <c r="D27" t="s">
        <v>10</v>
      </c>
      <c r="E27" t="s">
        <v>11</v>
      </c>
      <c r="F27">
        <v>32475</v>
      </c>
      <c r="G27" s="4">
        <v>4000000</v>
      </c>
      <c r="H27" s="5">
        <f>G27/F27</f>
        <v>123.17167051578137</v>
      </c>
    </row>
    <row r="28" spans="1:16" x14ac:dyDescent="0.25">
      <c r="B28" t="s">
        <v>12</v>
      </c>
      <c r="C28" s="4">
        <f>+C7/4</f>
        <v>-37.794403283819641</v>
      </c>
      <c r="D28" t="s">
        <v>14</v>
      </c>
      <c r="E28" t="s">
        <v>11</v>
      </c>
      <c r="K28" s="13" t="s">
        <v>31</v>
      </c>
      <c r="L28" s="13"/>
      <c r="M28" s="13"/>
      <c r="N28" s="13"/>
      <c r="O28" s="13"/>
      <c r="P28" s="13"/>
    </row>
    <row r="29" spans="1:16" x14ac:dyDescent="0.25">
      <c r="B29" t="s">
        <v>12</v>
      </c>
      <c r="C29" s="4">
        <f>C8/4</f>
        <v>-14.97</v>
      </c>
      <c r="D29" t="s">
        <v>15</v>
      </c>
      <c r="E29" t="s">
        <v>11</v>
      </c>
      <c r="K29" s="13"/>
      <c r="L29" s="13"/>
      <c r="M29" s="13"/>
      <c r="N29" s="13"/>
      <c r="O29" s="13"/>
      <c r="P29" s="13"/>
    </row>
    <row r="30" spans="1:16" x14ac:dyDescent="0.25">
      <c r="B30" t="s">
        <v>12</v>
      </c>
      <c r="C30" s="4">
        <f>C9/4</f>
        <v>-22.145</v>
      </c>
      <c r="D30" t="s">
        <v>17</v>
      </c>
      <c r="E30" t="s">
        <v>11</v>
      </c>
      <c r="K30" s="13"/>
      <c r="L30" s="13"/>
      <c r="M30" s="13"/>
      <c r="N30" s="13"/>
      <c r="O30" s="13"/>
      <c r="P30" s="13"/>
    </row>
    <row r="31" spans="1:16" x14ac:dyDescent="0.25">
      <c r="B31" t="s">
        <v>12</v>
      </c>
      <c r="C31" s="4">
        <f>+C10/4</f>
        <v>-16.664999999999999</v>
      </c>
      <c r="D31" t="s">
        <v>18</v>
      </c>
      <c r="E31" t="s">
        <v>11</v>
      </c>
      <c r="K31" s="13"/>
      <c r="L31" s="13"/>
      <c r="M31" s="13"/>
      <c r="N31" s="13"/>
      <c r="O31" s="13"/>
      <c r="P31" s="13"/>
    </row>
    <row r="32" spans="1:16" x14ac:dyDescent="0.25">
      <c r="B32" t="s">
        <v>19</v>
      </c>
      <c r="C32" s="4">
        <v>352.5</v>
      </c>
      <c r="D32" t="s">
        <v>20</v>
      </c>
      <c r="E32" t="s">
        <v>22</v>
      </c>
      <c r="F32">
        <v>34530.42</v>
      </c>
      <c r="G32" s="4">
        <v>12171973.049999999</v>
      </c>
      <c r="H32">
        <f>+G32/F32</f>
        <v>352.5</v>
      </c>
      <c r="I32" s="8"/>
    </row>
    <row r="33" spans="2:7" x14ac:dyDescent="0.25">
      <c r="B33" t="s">
        <v>12</v>
      </c>
      <c r="C33" s="4">
        <f>+C14/2</f>
        <v>-64.634134568562686</v>
      </c>
      <c r="D33" t="s">
        <v>30</v>
      </c>
      <c r="E33" t="s">
        <v>11</v>
      </c>
      <c r="G33" s="8"/>
    </row>
  </sheetData>
  <mergeCells count="1">
    <mergeCell ref="K28:P3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8AA3B-65C3-4FA3-A23B-8CD1163822B5}">
  <dimension ref="A1:G34"/>
  <sheetViews>
    <sheetView tabSelected="1" workbookViewId="0">
      <selection activeCell="L11" sqref="L11"/>
    </sheetView>
  </sheetViews>
  <sheetFormatPr defaultRowHeight="15" x14ac:dyDescent="0.25"/>
  <cols>
    <col min="1" max="1" width="22.85546875" customWidth="1"/>
    <col min="2" max="2" width="31.5703125" customWidth="1"/>
  </cols>
  <sheetData>
    <row r="1" spans="1:7" x14ac:dyDescent="0.25">
      <c r="A1" t="s">
        <v>32</v>
      </c>
      <c r="G1" t="s">
        <v>27</v>
      </c>
    </row>
    <row r="2" spans="1:7" x14ac:dyDescent="0.25">
      <c r="A2" t="s">
        <v>7</v>
      </c>
      <c r="B2" t="s">
        <v>9</v>
      </c>
      <c r="C2">
        <v>497.58</v>
      </c>
    </row>
    <row r="3" spans="1:7" x14ac:dyDescent="0.25">
      <c r="A3" t="s">
        <v>33</v>
      </c>
      <c r="B3" t="s">
        <v>29</v>
      </c>
      <c r="C3">
        <v>160.11000000000001</v>
      </c>
      <c r="G3">
        <v>31228.7</v>
      </c>
    </row>
    <row r="4" spans="1:7" x14ac:dyDescent="0.25">
      <c r="A4" t="s">
        <v>34</v>
      </c>
      <c r="B4" t="s">
        <v>35</v>
      </c>
      <c r="D4">
        <v>128</v>
      </c>
    </row>
    <row r="5" spans="1:7" x14ac:dyDescent="0.25">
      <c r="A5" t="s">
        <v>36</v>
      </c>
      <c r="B5" t="s">
        <v>9</v>
      </c>
      <c r="C5">
        <v>637.38</v>
      </c>
      <c r="G5">
        <v>31378.38</v>
      </c>
    </row>
    <row r="6" spans="1:7" x14ac:dyDescent="0.25">
      <c r="A6" t="s">
        <v>37</v>
      </c>
      <c r="B6" t="s">
        <v>38</v>
      </c>
      <c r="D6">
        <v>7.8760000000000003</v>
      </c>
      <c r="G6">
        <v>31740</v>
      </c>
    </row>
    <row r="7" spans="1:7" x14ac:dyDescent="0.25">
      <c r="A7" t="s">
        <v>39</v>
      </c>
      <c r="B7" t="s">
        <v>38</v>
      </c>
      <c r="D7">
        <v>157.499</v>
      </c>
      <c r="G7">
        <v>31746.14</v>
      </c>
    </row>
    <row r="8" spans="1:7" x14ac:dyDescent="0.25">
      <c r="A8" t="s">
        <v>39</v>
      </c>
      <c r="B8" t="s">
        <v>38</v>
      </c>
      <c r="D8">
        <v>157.499</v>
      </c>
      <c r="G8">
        <v>31746.14</v>
      </c>
    </row>
    <row r="9" spans="1:7" x14ac:dyDescent="0.25">
      <c r="A9" t="s">
        <v>40</v>
      </c>
      <c r="B9" t="s">
        <v>38</v>
      </c>
      <c r="D9">
        <v>157.46899999999999</v>
      </c>
      <c r="G9">
        <v>31752.27</v>
      </c>
    </row>
    <row r="10" spans="1:7" x14ac:dyDescent="0.25">
      <c r="A10" t="s">
        <v>41</v>
      </c>
      <c r="B10" t="s">
        <v>38</v>
      </c>
      <c r="D10">
        <v>157.15799999999999</v>
      </c>
      <c r="G10">
        <v>31815.17</v>
      </c>
    </row>
    <row r="11" spans="1:7" x14ac:dyDescent="0.25">
      <c r="A11" t="s">
        <v>42</v>
      </c>
      <c r="B11" t="s">
        <v>38</v>
      </c>
      <c r="D11">
        <v>4.3499999999999996</v>
      </c>
      <c r="G11">
        <v>31955.200000000001</v>
      </c>
    </row>
    <row r="12" spans="1:7" x14ac:dyDescent="0.25">
      <c r="A12" t="s">
        <v>10</v>
      </c>
      <c r="B12" t="s">
        <v>35</v>
      </c>
      <c r="D12">
        <v>123.172</v>
      </c>
    </row>
    <row r="13" spans="1:7" x14ac:dyDescent="0.25">
      <c r="A13" t="s">
        <v>14</v>
      </c>
      <c r="B13" t="s">
        <v>35</v>
      </c>
      <c r="D13">
        <v>37.793999999999997</v>
      </c>
    </row>
    <row r="14" spans="1:7" x14ac:dyDescent="0.25">
      <c r="A14" t="s">
        <v>15</v>
      </c>
      <c r="B14" t="s">
        <v>35</v>
      </c>
      <c r="D14">
        <v>14.97</v>
      </c>
    </row>
    <row r="15" spans="1:7" x14ac:dyDescent="0.25">
      <c r="A15" t="s">
        <v>17</v>
      </c>
      <c r="B15" t="s">
        <v>35</v>
      </c>
      <c r="D15">
        <v>22.145</v>
      </c>
    </row>
    <row r="16" spans="1:7" x14ac:dyDescent="0.25">
      <c r="A16" t="s">
        <v>18</v>
      </c>
      <c r="B16" t="s">
        <v>35</v>
      </c>
      <c r="D16">
        <v>15.664999999999999</v>
      </c>
    </row>
    <row r="17" spans="1:7" x14ac:dyDescent="0.25">
      <c r="A17" t="s">
        <v>43</v>
      </c>
      <c r="B17" t="s">
        <v>35</v>
      </c>
      <c r="D17">
        <v>37.177</v>
      </c>
    </row>
    <row r="18" spans="1:7" x14ac:dyDescent="0.25">
      <c r="A18" t="s">
        <v>44</v>
      </c>
      <c r="B18" t="s">
        <v>35</v>
      </c>
      <c r="D18">
        <v>35.173999999999999</v>
      </c>
    </row>
    <row r="19" spans="1:7" x14ac:dyDescent="0.25">
      <c r="A19" t="s">
        <v>45</v>
      </c>
      <c r="B19" t="s">
        <v>35</v>
      </c>
      <c r="D19">
        <v>127.53100000000001</v>
      </c>
    </row>
    <row r="20" spans="1:7" x14ac:dyDescent="0.25">
      <c r="A20" t="s">
        <v>20</v>
      </c>
      <c r="B20" t="s">
        <v>19</v>
      </c>
      <c r="C20">
        <v>353.93</v>
      </c>
    </row>
    <row r="21" spans="1:7" x14ac:dyDescent="0.25">
      <c r="A21" t="s">
        <v>46</v>
      </c>
      <c r="B21" t="s">
        <v>47</v>
      </c>
      <c r="C21">
        <v>174.67860540000001</v>
      </c>
      <c r="G21">
        <v>35110.980000000003</v>
      </c>
    </row>
    <row r="23" spans="1:7" x14ac:dyDescent="0.25">
      <c r="A23" t="s">
        <v>48</v>
      </c>
      <c r="C23">
        <v>1823.67957</v>
      </c>
      <c r="D23">
        <v>1183.01135</v>
      </c>
    </row>
    <row r="24" spans="1:7" x14ac:dyDescent="0.25">
      <c r="A24" t="s">
        <v>49</v>
      </c>
      <c r="D24">
        <v>640.66800000000001</v>
      </c>
      <c r="F24" s="14">
        <v>22494489.07</v>
      </c>
    </row>
    <row r="26" spans="1:7" x14ac:dyDescent="0.25">
      <c r="A26" t="s">
        <v>50</v>
      </c>
      <c r="D26">
        <v>541.15899999999999</v>
      </c>
      <c r="F26" s="14">
        <v>19000633.289999999</v>
      </c>
    </row>
    <row r="27" spans="1:7" x14ac:dyDescent="0.25">
      <c r="A27" t="s">
        <v>51</v>
      </c>
      <c r="D27">
        <v>256.89979970000002</v>
      </c>
    </row>
    <row r="28" spans="1:7" x14ac:dyDescent="0.25">
      <c r="A28" t="s">
        <v>52</v>
      </c>
      <c r="D28">
        <v>798.05899999999997</v>
      </c>
      <c r="F28" s="14">
        <v>28020637.02</v>
      </c>
    </row>
    <row r="29" spans="1:7" x14ac:dyDescent="0.25">
      <c r="A29" t="s">
        <v>53</v>
      </c>
      <c r="F29" s="14">
        <v>-6133137.0199999996</v>
      </c>
    </row>
    <row r="30" spans="1:7" x14ac:dyDescent="0.25">
      <c r="A30" t="s">
        <v>54</v>
      </c>
      <c r="F30" s="14">
        <v>21887500</v>
      </c>
    </row>
    <row r="33" spans="1:3" x14ac:dyDescent="0.25">
      <c r="A33" t="s">
        <v>55</v>
      </c>
      <c r="B33" s="15">
        <v>22494489</v>
      </c>
      <c r="C33">
        <v>640.66800000000001</v>
      </c>
    </row>
    <row r="34" spans="1:3" x14ac:dyDescent="0.25">
      <c r="A34" t="s">
        <v>56</v>
      </c>
      <c r="B34" s="15">
        <v>21887500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Dsk</dc:creator>
  <cp:lastModifiedBy>Pedro </cp:lastModifiedBy>
  <dcterms:created xsi:type="dcterms:W3CDTF">2015-06-05T18:17:20Z</dcterms:created>
  <dcterms:modified xsi:type="dcterms:W3CDTF">2023-04-24T22:43:53Z</dcterms:modified>
</cp:coreProperties>
</file>
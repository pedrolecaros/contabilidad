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3. Contable Futrono SpA\2025\"/>
    </mc:Choice>
  </mc:AlternateContent>
  <xr:revisionPtr revIDLastSave="0" documentId="13_ncr:1_{89F29C4C-E0CE-43CE-8CB9-9F30037806FA}" xr6:coauthVersionLast="47" xr6:coauthVersionMax="47" xr10:uidLastSave="{00000000-0000-0000-0000-000000000000}"/>
  <bookViews>
    <workbookView xWindow="0" yWindow="300" windowWidth="23256" windowHeight="12576" activeTab="1" xr2:uid="{00000000-000D-0000-FFFF-FFFF00000000}"/>
  </bookViews>
  <sheets>
    <sheet name="Resumen" sheetId="4" r:id="rId1"/>
    <sheet name="MOVIMIENTOS" sheetId="1" r:id="rId2"/>
    <sheet name="Sheet1" sheetId="3" r:id="rId3"/>
    <sheet name="CATEGORIAS" sheetId="2" r:id="rId4"/>
  </sheets>
  <definedNames>
    <definedName name="_xlnm._FilterDatabase" localSheetId="1" hidden="1">MOVIMIENTOS!$A$1:$AA$194</definedName>
  </definedNames>
  <calcPr calcId="191029"/>
  <pivotCaches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  <c r="S8" i="3"/>
  <c r="L3" i="3"/>
  <c r="Q9" i="3"/>
  <c r="Q10" i="3"/>
  <c r="Q11" i="3"/>
  <c r="Q12" i="3"/>
  <c r="Q13" i="3"/>
  <c r="Q14" i="3"/>
  <c r="Q15" i="3"/>
  <c r="Q16" i="3"/>
  <c r="Q17" i="3"/>
  <c r="H3" i="3"/>
  <c r="J3" i="3"/>
  <c r="H5" i="3"/>
  <c r="H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</calcChain>
</file>

<file path=xl/sharedStrings.xml><?xml version="1.0" encoding="utf-8"?>
<sst xmlns="http://schemas.openxmlformats.org/spreadsheetml/2006/main" count="661" uniqueCount="136">
  <si>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</si>
  <si>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</si>
  <si>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</si>
  <si>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</si>
  <si>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</si>
  <si>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</si>
  <si>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</si>
  <si>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</si>
  <si>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</si>
  <si>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</si>
  <si>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</si>
  <si>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</si>
  <si>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</si>
  <si>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</si>
  <si>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</si>
  <si>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</si>
  <si>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</si>
  <si>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</si>
  <si>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</si>
  <si>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</si>
  <si>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</si>
  <si>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A1 - ISAIAS ANDRES</t>
  </si>
  <si>
    <t>A3 &amp; A6 ANDREA SEPULVEDA</t>
  </si>
  <si>
    <t>A5 - JOSE DE JE</t>
  </si>
  <si>
    <t>B3 - DANIEL GUILLERMO BETH</t>
  </si>
  <si>
    <t>B4 - NICOL</t>
  </si>
  <si>
    <t>E6 - MATIAS ANTONIO DONOSO</t>
  </si>
  <si>
    <t>E11 - RALPH ANTHONY</t>
  </si>
  <si>
    <t>H8 - PAVLOV DE LA FUENTE</t>
  </si>
  <si>
    <t>LOS ROBLES</t>
  </si>
  <si>
    <t>JORGE HIRIART BLOME</t>
  </si>
  <si>
    <t>010071888K Transf a Hector Varela Cta con capacidad</t>
  </si>
  <si>
    <t>0204710643 Transf. Nicol</t>
  </si>
  <si>
    <t>0177044431 Transf. Matias Antonio Donoso Wright</t>
  </si>
  <si>
    <t>0261207958 Transf. Ralph Anthony Schupnik</t>
  </si>
  <si>
    <t>PAGO EN LINEA PREVIRED</t>
  </si>
  <si>
    <t>0157229478 Transf. Andrea Isabel Sepulved</t>
  </si>
  <si>
    <t>48344422 Inversión en FFMM</t>
  </si>
  <si>
    <t>015720016K Transf. Daniel Guillermo Beth Madariaga</t>
  </si>
  <si>
    <t>PAGO EN LINEA S.I.I.</t>
  </si>
  <si>
    <t>0777140248 Transf a ASESORÍAS ECOX LIMI</t>
  </si>
  <si>
    <t>Servicio contable</t>
  </si>
  <si>
    <t>F29</t>
  </si>
  <si>
    <t>Cuota 22/48</t>
  </si>
  <si>
    <t>Cuota 21/36</t>
  </si>
  <si>
    <t>CUOTAS PENDIENTES</t>
  </si>
  <si>
    <t>VALOR CUOTA</t>
  </si>
  <si>
    <t>CUOTAS PAGADAS</t>
  </si>
  <si>
    <t>Cuota 21/48</t>
  </si>
  <si>
    <t>Cuota 22/36</t>
  </si>
  <si>
    <t>Cuota 23/48</t>
  </si>
  <si>
    <t>Cuota 19/48</t>
  </si>
  <si>
    <t>Cuota 20/48</t>
  </si>
  <si>
    <t>0156061034 Transf de JOSE DE JESUS URRA</t>
  </si>
  <si>
    <t>Compra FACEBK *GGCZUMCHQ</t>
  </si>
  <si>
    <t>0767039379 Transf. los Robles Spa</t>
  </si>
  <si>
    <t>Reembolsa gasto en publicidad</t>
  </si>
  <si>
    <t>Cuota 23/36</t>
  </si>
  <si>
    <t>Cuota 24/48 parte 1</t>
  </si>
  <si>
    <t>Cuota 24/48 parte 2</t>
  </si>
  <si>
    <t>Cuota 24/48</t>
  </si>
  <si>
    <t>Aporte capital 1/2</t>
  </si>
  <si>
    <t>0767039379 Transf. LOS ROBLES SpA</t>
  </si>
  <si>
    <t>Inversión en Fondo Mutuo</t>
  </si>
  <si>
    <t>Rescate Fondos Mutuos</t>
  </si>
  <si>
    <t>0153769826 Transf a HIRIART BLOME JORGE</t>
  </si>
  <si>
    <t xml:space="preserve">Reembolsa gastos </t>
  </si>
  <si>
    <t xml:space="preserve">Dividendo 3 Aysen </t>
  </si>
  <si>
    <t>Honorario Ecox Dividendo 3</t>
  </si>
  <si>
    <t>Dividendo 3 Ecox</t>
  </si>
  <si>
    <t>PAGO EN LINEA S.I.I</t>
  </si>
  <si>
    <t>0772341849 Transf de REINA MAR SPA</t>
  </si>
  <si>
    <t>PAGO EN LINEA T.G.R.</t>
  </si>
  <si>
    <t>0767039379 Transf a Los Robles SpA</t>
  </si>
  <si>
    <t>48877984 Inversión en FFMM</t>
  </si>
  <si>
    <t>Cuota 24/36</t>
  </si>
  <si>
    <t>Cuota 25/36</t>
  </si>
  <si>
    <t>Cuota 25/48</t>
  </si>
  <si>
    <t>Cuota 26/48</t>
  </si>
  <si>
    <t>Prepaga deuda restante B4</t>
  </si>
  <si>
    <t>Aporte capital 2/2</t>
  </si>
  <si>
    <t>B1 - FRANCISCO ANTONIO SANDOVAL REINA MAR</t>
  </si>
  <si>
    <t xml:space="preserve">Cuotas 22 y 23 de 36 </t>
  </si>
  <si>
    <t>49019005 Inversión en FFMM</t>
  </si>
  <si>
    <t>0125665489 Transf. ISAIAS ANDRES YANEZ YANEZ</t>
  </si>
  <si>
    <t>COM.MANTENCION PLAN</t>
  </si>
  <si>
    <t>0608050000 DEV IMPUESTO TESORERIA G</t>
  </si>
  <si>
    <t>Transf.Internet a 10.071.888-K</t>
  </si>
  <si>
    <t>Compra FACEBK *WYCQ6TLHQ</t>
  </si>
  <si>
    <t>0777140248 Transf de ASESOR AS ECOX LIMI</t>
  </si>
  <si>
    <t>0777140248 Transf. ASESOR AS E</t>
  </si>
  <si>
    <t>Devolucion honorario dividendo 3</t>
  </si>
  <si>
    <t>Dividendo 4 Ecox</t>
  </si>
  <si>
    <t>Dividendo 4 Aysen</t>
  </si>
  <si>
    <t>0153783047 Transf. Francisco Antonio Sandoval Castro</t>
  </si>
  <si>
    <t>0125665489 Transf. ISAIAS ANDRES YANEZ CAMPOS</t>
  </si>
  <si>
    <t>Cuota 27 de 48</t>
  </si>
  <si>
    <t>Cuota 29 de 48</t>
  </si>
  <si>
    <t>Cuota 28 de 48</t>
  </si>
  <si>
    <t>Cuota 26/36</t>
  </si>
  <si>
    <t>Cuota 27/36</t>
  </si>
  <si>
    <t>Cuotas 24, 25 y 26 de 36</t>
  </si>
  <si>
    <t>Cuota 27/48</t>
  </si>
  <si>
    <t>Cuota 28/48</t>
  </si>
  <si>
    <t>Cuota 26/36 remanente</t>
  </si>
  <si>
    <t>Row Labels</t>
  </si>
  <si>
    <t>(blank)</t>
  </si>
  <si>
    <t>Grand Total</t>
  </si>
  <si>
    <t>Sum of DEPOSITO</t>
  </si>
  <si>
    <t>Sum of GIROS</t>
  </si>
  <si>
    <t>49435332 Inversión en FFMM</t>
  </si>
  <si>
    <t>contabilidad</t>
  </si>
  <si>
    <t>Cuota 28/36</t>
  </si>
  <si>
    <t>Cuota 29/48</t>
  </si>
  <si>
    <t>0265740251 Transf. ALBERTO ALEJANDRO DIAZ OLIVAR</t>
  </si>
  <si>
    <t>ASESORIAS</t>
  </si>
  <si>
    <t>Parcela A1 pertenece a Los Robles, Futrono recibe por mandato los pagos</t>
  </si>
  <si>
    <t>Parcela B1 pertenece a Los Robles, Futrono recibe por mandato los pagos</t>
  </si>
  <si>
    <t>Parcela A5 pertenece a Los Robles, Futrono recibe por mandato los pagos</t>
  </si>
  <si>
    <t>Parcela E6 pertenece a Los Robles, Futrono recibe por mandato los pagos</t>
  </si>
  <si>
    <t>Dividendo 5 Asesorias</t>
  </si>
  <si>
    <t>Dividendo 5, lo recibe Jorge Hiriart por cuenta de Inversiones Aysen SpA</t>
  </si>
  <si>
    <t>Cuota 29/36</t>
  </si>
  <si>
    <t>Cuota 30/36</t>
  </si>
  <si>
    <t>Cuota 30/48</t>
  </si>
  <si>
    <t>Cuota 31/48</t>
  </si>
  <si>
    <t>49707482 Inversión en FFMM</t>
  </si>
  <si>
    <t>49856400 Inversión en FFMM</t>
  </si>
  <si>
    <t>0771605729 Transf a ECOX SPA</t>
  </si>
  <si>
    <t>Dividendo 6 Aysen</t>
  </si>
  <si>
    <t>Pago 1 de 2 Dividendo 6 Ecox</t>
  </si>
  <si>
    <t>Pago 2 de 2 Dividendo 6 Ecox</t>
  </si>
  <si>
    <t>Cuota 31/36</t>
  </si>
  <si>
    <t>Cuota 32/36</t>
  </si>
  <si>
    <t>Cuota 32/48</t>
  </si>
  <si>
    <t>Cuota 33/48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</si>
</sst>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_(&quot;$&quot;* #,##0_);_(&quot;$&quot;* \(#,##0\);_(&quot;$&quot;* &quot;-&quot;??_);_(@_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1F1F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4CC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1" fillId="0" borderId="4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4" borderId="4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65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3">
    <dxf>
      <fill>
        <patternFill>
          <bgColor theme="7" tint="0.39994506668294322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enjamin Lecaros" refreshedDate="45904.500753703702" createdVersion="8" refreshedVersion="8" minRefreshableVersion="3" recordCount="134" xr:uid="{485F00C8-557A-4360-800F-80D4AC63B36B}">
  <cacheSource type="worksheet">
    <worksheetSource ref="A1:H135" sheet="MOVIMIENTOS"/>
  </cacheSource>
  <cacheFields count="8">
    <cacheField name="FECHA" numFmtId="164">
      <sharedItems containsSemiMixedTypes="0" containsNonDate="0" containsDate="1" containsString="0" minDate="2025-01-01T00:00:00" maxDate="2025-08-30T00:00:00"/>
    </cacheField>
    <cacheField name="DETALLE" numFmtId="0">
      <sharedItems/>
    </cacheField>
    <cacheField name="CATEGORIA" numFmtId="0">
      <sharedItems containsBlank="1" count="8">
        <m/>
        <s v="GASTOS GENERALES"/>
        <s v="SUELDO Y LEYES SOCIALES"/>
        <s v="VENTA"/>
        <s v="FONDOS MUTUOS"/>
        <s v="IMPUESTOS"/>
        <s v="PRESTAMO"/>
        <s v="RETIRO"/>
      </sharedItems>
    </cacheField>
    <cacheField name="SUB" numFmtId="0">
      <sharedItems containsBlank="1"/>
    </cacheField>
    <cacheField name="SALDO" numFmtId="165">
      <sharedItems containsSemiMixedTypes="0" containsString="0" containsNumber="1" containsInteger="1" minValue="0" maxValue="112714990"/>
    </cacheField>
    <cacheField name="DEPOSITO" numFmtId="165">
      <sharedItems containsString="0" containsBlank="1" containsNumber="1" containsInteger="1" minValue="1000" maxValue="105116771"/>
    </cacheField>
    <cacheField name="GIROS" numFmtId="165">
      <sharedItems containsString="0" containsBlank="1" containsNumber="1" containsInteger="1" minValue="-41370000" maxValue="-10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enjamin Lecaros" refreshedDate="45904.512939699074" createdVersion="8" refreshedVersion="8" minRefreshableVersion="3" recordCount="153" xr:uid="{4CFF96AB-06AF-4270-93EA-A22208764F04}">
  <cacheSource type="worksheet">
    <worksheetSource ref="A1:H1048576" sheet="MOVIMIENTOS"/>
  </cacheSource>
  <cacheFields count="8">
    <cacheField name="FECHA" numFmtId="164">
      <sharedItems containsNonDate="0" containsDate="1" containsString="0" containsBlank="1" minDate="2025-01-01T00:00:00" maxDate="2025-09-05T00:00:00"/>
    </cacheField>
    <cacheField name="DETALLE" numFmtId="0">
      <sharedItems containsBlank="1"/>
    </cacheField>
    <cacheField name="CATEGORIA" numFmtId="0">
      <sharedItems containsBlank="1"/>
    </cacheField>
    <cacheField name="SUB" numFmtId="0">
      <sharedItems containsBlank="1" count="12">
        <m/>
        <s v="B4 - NICOL"/>
        <s v="E6 - MATIAS ANTONIO DONOSO"/>
        <s v="E11 - RALPH ANTHONY"/>
        <s v="A3 &amp; A6 ANDREA SEPULVEDA"/>
        <s v="B3 - DANIEL GUILLERMO BETH"/>
        <s v="A5 - JOSE DE JE"/>
        <s v="LOS ROBLES"/>
        <s v="JORGE HIRIART BLOME"/>
        <s v="ASESORIAS"/>
        <s v="B1 - FRANCISCO ANTONIO SANDOVAL REINA MAR"/>
        <s v="A1 - ISAIAS ANDRES"/>
      </sharedItems>
    </cacheField>
    <cacheField name="SALDO" numFmtId="165">
      <sharedItems containsString="0" containsBlank="1" containsNumber="1" containsInteger="1" minValue="0" maxValue="112714990"/>
    </cacheField>
    <cacheField name="DEPOSITO" numFmtId="165">
      <sharedItems containsString="0" containsBlank="1" containsNumber="1" containsInteger="1" minValue="1" maxValue="105116771"/>
    </cacheField>
    <cacheField name="GIROS" numFmtId="165">
      <sharedItems containsString="0" containsBlank="1" containsNumber="1" containsInteger="1" minValue="-41370000" maxValue="-10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62CA5-D936-48D6-8369-056B98220DD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19" firstHeaderRow="0" firstDataRow="1" firstDataCol="1"/>
  <pivotFields count="8">
    <pivotField showAll="0"/>
    <pivotField showAll="0"/>
    <pivotField showAll="0"/>
    <pivotField axis="axisRow" showAll="0">
      <items count="13">
        <item h="1" x="11"/>
        <item h="1" x="4"/>
        <item h="1" x="6"/>
        <item h="1" x="10"/>
        <item h="1" x="5"/>
        <item h="1" x="1"/>
        <item h="1" x="3"/>
        <item h="1" x="2"/>
        <item x="7"/>
        <item h="1" x="0"/>
        <item x="8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4">
    <i>
      <x v="8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5" baseField="0" baseItem="0"/>
    <dataField name="Sum of GIROS" fld="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9BD21-C905-4B8E-83E2-7CD3A35A585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8">
    <pivotField showAll="0"/>
    <pivotField showAll="0"/>
    <pivotField axis="axisRow" showAll="0">
      <items count="9">
        <item x="4"/>
        <item x="1"/>
        <item x="5"/>
        <item x="6"/>
        <item x="7"/>
        <item x="2"/>
        <item x="3"/>
        <item x="0"/>
        <item t="default"/>
      </items>
    </pivotField>
    <pivotField showAll="0"/>
    <pivotField numFmtId="165"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IROS" fld="6" baseField="0" baseItem="0"/>
    <dataField name="Sum of DEPOSITO" fld="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D7C2-93E1-402D-A400-15681CF23E4C}">
  <dimension ref="A3:C19"/>
  <sheetViews>
    <sheetView workbookViewId="0">
      <selection activeCell="E15" sqref="E15"/>
    </sheetView>
  </sheetViews>
  <sheetFormatPr defaultRowHeight="14.4"/>
  <cols>
    <col min="1" max="1" width="20.109375" bestFit="1" customWidth="1"/>
    <col min="2" max="3" width="16.109375" bestFit="1" customWidth="1"/>
    <col min="4" max="4" width="11.109375" bestFit="1" customWidth="1"/>
    <col min="5" max="5" width="10.5546875" bestFit="1" customWidth="1"/>
    <col min="6" max="6" width="7.109375" bestFit="1" customWidth="1"/>
    <col min="7" max="7" width="23.44140625" bestFit="1" customWidth="1"/>
    <col min="8" max="8" width="6.6640625" bestFit="1" customWidth="1"/>
    <col min="9" max="9" width="7" bestFit="1" customWidth="1"/>
    <col min="10" max="10" width="10.6640625" bestFit="1" customWidth="1"/>
  </cols>
  <sheetData>
    <row r="3" spans="1:3">
      <c r="A3" s="21" t="s">
        <v>105</v>
      </c>
      <c r="B3" t="s">
        <v>109</v>
      </c>
      <c r="C3" t="s">
        <v>108</v>
      </c>
    </row>
    <row r="4" spans="1:3">
      <c r="A4" s="22" t="s">
        <v>16</v>
      </c>
      <c r="B4" s="23">
        <v>-81560900</v>
      </c>
      <c r="C4" s="23">
        <v>122796240</v>
      </c>
    </row>
    <row r="5" spans="1:3">
      <c r="A5" s="22" t="s">
        <v>9</v>
      </c>
      <c r="B5" s="23">
        <v>-58996307</v>
      </c>
      <c r="C5" s="23">
        <v>35052165</v>
      </c>
    </row>
    <row r="6" spans="1:3">
      <c r="A6" s="22" t="s">
        <v>14</v>
      </c>
      <c r="B6" s="23">
        <v>-57383</v>
      </c>
      <c r="C6" s="23">
        <v>57552</v>
      </c>
    </row>
    <row r="7" spans="1:3">
      <c r="A7" s="22" t="s">
        <v>20</v>
      </c>
      <c r="B7" s="23">
        <v>-59151000</v>
      </c>
      <c r="C7" s="23">
        <v>58859160</v>
      </c>
    </row>
    <row r="8" spans="1:3">
      <c r="A8" s="22" t="s">
        <v>17</v>
      </c>
      <c r="B8" s="23">
        <v>-100364600</v>
      </c>
      <c r="C8" s="23"/>
    </row>
    <row r="9" spans="1:3">
      <c r="A9" s="22" t="s">
        <v>13</v>
      </c>
      <c r="B9" s="23">
        <v>-7104196</v>
      </c>
      <c r="C9" s="23"/>
    </row>
    <row r="10" spans="1:3">
      <c r="A10" s="22" t="s">
        <v>12</v>
      </c>
      <c r="B10" s="23"/>
      <c r="C10" s="23">
        <v>61681338</v>
      </c>
    </row>
    <row r="11" spans="1:3">
      <c r="A11" s="22" t="s">
        <v>106</v>
      </c>
      <c r="B11" s="23"/>
      <c r="C11" s="23"/>
    </row>
    <row r="12" spans="1:3">
      <c r="A12" s="22" t="s">
        <v>107</v>
      </c>
      <c r="B12" s="23">
        <v>-307234386</v>
      </c>
      <c r="C12" s="23">
        <v>278446455</v>
      </c>
    </row>
    <row r="15" spans="1:3">
      <c r="A15" s="21" t="s">
        <v>105</v>
      </c>
      <c r="B15" t="s">
        <v>108</v>
      </c>
      <c r="C15" t="s">
        <v>109</v>
      </c>
    </row>
    <row r="16" spans="1:3">
      <c r="A16" s="22" t="s">
        <v>29</v>
      </c>
      <c r="B16" s="23">
        <v>58859160</v>
      </c>
      <c r="C16" s="23">
        <v>-56250000</v>
      </c>
    </row>
    <row r="17" spans="1:3">
      <c r="A17" s="22" t="s">
        <v>30</v>
      </c>
      <c r="B17" s="23"/>
      <c r="C17" s="23">
        <v>-65364600</v>
      </c>
    </row>
    <row r="18" spans="1:3">
      <c r="A18" s="22" t="s">
        <v>115</v>
      </c>
      <c r="B18" s="23">
        <v>35000000</v>
      </c>
      <c r="C18" s="23">
        <v>-90742400</v>
      </c>
    </row>
    <row r="19" spans="1:3">
      <c r="A19" s="22" t="s">
        <v>107</v>
      </c>
      <c r="B19" s="23">
        <v>93859160</v>
      </c>
      <c r="C19" s="23">
        <v>-212357000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4"/>
  <sheetViews>
    <sheetView tabSelected="1" topLeftCell="A94" workbookViewId="0">
      <selection activeCell="G135" activeCellId="7" sqref="B132:H132 B135 C135 D135 E135 F135 H135 G135"/>
    </sheetView>
  </sheetViews>
  <sheetFormatPr defaultRowHeight="14.4"/>
  <cols>
    <col min="1" max="1" width="12" style="4" customWidth="1"/>
    <col min="2" max="2" width="46" bestFit="1" customWidth="1"/>
    <col min="3" max="4" width="17.33203125" customWidth="1"/>
    <col min="5" max="7" width="17.33203125" style="6" customWidth="1"/>
    <col min="8" max="8" width="56.6640625" customWidth="1"/>
  </cols>
  <sheetData>
    <row r="1" spans="1:27" ht="15" thickBot="1">
      <c r="A1" s="3" t="s">
        <v>7</v>
      </c>
      <c r="B1" s="1" t="s">
        <v>0</v>
      </c>
      <c r="C1" s="1" t="s">
        <v>1</v>
      </c>
      <c r="D1" s="1" t="s">
        <v>2</v>
      </c>
      <c r="E1" s="5" t="s">
        <v>3</v>
      </c>
      <c r="F1" s="5" t="s">
        <v>4</v>
      </c>
      <c r="G1" s="5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>
        <v>45658</v>
      </c>
      <c r="B2" t="s">
        <v>8</v>
      </c>
      <c r="E2" s="6">
        <v>30743493</v>
      </c>
    </row>
    <row r="3" spans="1:27">
      <c r="A3" s="4">
        <v>45659</v>
      </c>
      <c r="B3" t="s">
        <v>31</v>
      </c>
      <c r="C3" t="s">
        <v>9</v>
      </c>
      <c r="E3" s="6">
        <f>+E2+F2+G2</f>
        <v>30743493</v>
      </c>
      <c r="G3" s="6">
        <v>-742445</v>
      </c>
    </row>
    <row r="4" spans="1:27">
      <c r="A4" s="4">
        <v>45659</v>
      </c>
      <c r="B4" t="s">
        <v>31</v>
      </c>
      <c r="C4" t="s">
        <v>13</v>
      </c>
      <c r="E4" s="6">
        <f>+E3+F3+G3</f>
        <v>30001048</v>
      </c>
      <c r="G4" s="6">
        <v>-1100000</v>
      </c>
    </row>
    <row r="5" spans="1:27">
      <c r="A5" s="4">
        <v>45659</v>
      </c>
      <c r="B5" t="s">
        <v>32</v>
      </c>
      <c r="C5" t="s">
        <v>12</v>
      </c>
      <c r="D5" t="s">
        <v>25</v>
      </c>
      <c r="E5" s="6">
        <f>+E4+F4+G4</f>
        <v>28901048</v>
      </c>
      <c r="F5" s="6">
        <v>533642</v>
      </c>
      <c r="H5" t="s">
        <v>43</v>
      </c>
    </row>
    <row r="6" spans="1:27">
      <c r="A6" s="4">
        <v>45660</v>
      </c>
      <c r="B6" t="s">
        <v>33</v>
      </c>
      <c r="C6" t="s">
        <v>12</v>
      </c>
      <c r="D6" t="s">
        <v>26</v>
      </c>
      <c r="E6" s="6">
        <f>+E5+F5+G5</f>
        <v>29434690</v>
      </c>
      <c r="F6" s="6">
        <v>544440</v>
      </c>
      <c r="H6" t="s">
        <v>48</v>
      </c>
    </row>
    <row r="7" spans="1:27">
      <c r="A7" s="4">
        <v>45660</v>
      </c>
      <c r="B7" t="s">
        <v>34</v>
      </c>
      <c r="C7" t="s">
        <v>12</v>
      </c>
      <c r="D7" t="s">
        <v>27</v>
      </c>
      <c r="E7" s="6">
        <f>+E6+F6+G6</f>
        <v>29979130</v>
      </c>
      <c r="F7" s="6">
        <v>721175</v>
      </c>
      <c r="H7" t="s">
        <v>51</v>
      </c>
    </row>
    <row r="8" spans="1:27">
      <c r="A8" s="4">
        <v>45660</v>
      </c>
      <c r="B8" t="s">
        <v>35</v>
      </c>
      <c r="C8" t="s">
        <v>13</v>
      </c>
      <c r="E8" s="6">
        <f>+E7+F7+G7</f>
        <v>30700305</v>
      </c>
      <c r="G8" s="6">
        <v>-352628</v>
      </c>
    </row>
    <row r="9" spans="1:27">
      <c r="A9" s="4">
        <v>45660</v>
      </c>
      <c r="B9" t="s">
        <v>36</v>
      </c>
      <c r="C9" t="s">
        <v>12</v>
      </c>
      <c r="D9" t="s">
        <v>22</v>
      </c>
      <c r="E9" s="6">
        <f>+E8+F8+G8</f>
        <v>30347677</v>
      </c>
      <c r="F9" s="6">
        <v>1868181</v>
      </c>
      <c r="H9" t="s">
        <v>44</v>
      </c>
    </row>
    <row r="10" spans="1:27">
      <c r="A10" s="4">
        <v>45660</v>
      </c>
      <c r="B10" t="s">
        <v>37</v>
      </c>
      <c r="C10" t="s">
        <v>16</v>
      </c>
      <c r="E10" s="6">
        <f>+E9+F9+G9</f>
        <v>32215858</v>
      </c>
      <c r="G10" s="6">
        <v>-32000000</v>
      </c>
    </row>
    <row r="11" spans="1:27">
      <c r="A11" s="4">
        <v>45663</v>
      </c>
      <c r="B11" t="s">
        <v>38</v>
      </c>
      <c r="C11" t="s">
        <v>12</v>
      </c>
      <c r="D11" t="s">
        <v>24</v>
      </c>
      <c r="E11" s="6">
        <f>+E10+F10+G10</f>
        <v>215858</v>
      </c>
      <c r="F11" s="6">
        <v>555300</v>
      </c>
      <c r="H11" t="s">
        <v>43</v>
      </c>
    </row>
    <row r="12" spans="1:27">
      <c r="A12" s="4">
        <v>45664</v>
      </c>
      <c r="B12" t="s">
        <v>39</v>
      </c>
      <c r="C12" t="s">
        <v>9</v>
      </c>
      <c r="E12" s="6">
        <f>+E11+F11+G11</f>
        <v>771158</v>
      </c>
      <c r="G12" s="6">
        <v>-22908</v>
      </c>
      <c r="H12" t="s">
        <v>42</v>
      </c>
    </row>
    <row r="13" spans="1:27">
      <c r="A13" s="4">
        <v>45665</v>
      </c>
      <c r="B13" t="s">
        <v>40</v>
      </c>
      <c r="C13" t="s">
        <v>9</v>
      </c>
      <c r="E13" s="6">
        <f>+E12+F12+G12</f>
        <v>748250</v>
      </c>
      <c r="G13" s="6">
        <v>-100000</v>
      </c>
      <c r="H13" t="s">
        <v>41</v>
      </c>
    </row>
    <row r="14" spans="1:27">
      <c r="A14" s="4">
        <v>45692</v>
      </c>
      <c r="B14" t="s">
        <v>32</v>
      </c>
      <c r="C14" t="s">
        <v>12</v>
      </c>
      <c r="D14" t="s">
        <v>25</v>
      </c>
      <c r="E14" s="6">
        <f>+E13+F13+G13</f>
        <v>648250</v>
      </c>
      <c r="F14" s="6">
        <v>533056</v>
      </c>
      <c r="H14" t="s">
        <v>50</v>
      </c>
    </row>
    <row r="15" spans="1:27">
      <c r="A15" s="4">
        <v>45692</v>
      </c>
      <c r="B15" t="s">
        <v>38</v>
      </c>
      <c r="C15" t="s">
        <v>12</v>
      </c>
      <c r="D15" t="s">
        <v>24</v>
      </c>
      <c r="E15" s="6">
        <f>+E14+F14+G14</f>
        <v>1181306</v>
      </c>
      <c r="F15" s="6">
        <v>554547</v>
      </c>
      <c r="H15" t="s">
        <v>50</v>
      </c>
    </row>
    <row r="16" spans="1:27">
      <c r="A16" s="4">
        <v>45692</v>
      </c>
      <c r="B16" t="s">
        <v>31</v>
      </c>
      <c r="C16" t="s">
        <v>9</v>
      </c>
      <c r="E16" s="6">
        <f>+E15+F15+G15</f>
        <v>1735853</v>
      </c>
      <c r="G16" s="6">
        <v>-403376</v>
      </c>
    </row>
    <row r="17" spans="1:8">
      <c r="A17" s="4">
        <v>45692</v>
      </c>
      <c r="B17" t="s">
        <v>31</v>
      </c>
      <c r="C17" t="s">
        <v>13</v>
      </c>
      <c r="E17" s="6">
        <f>+E16+F16+G16</f>
        <v>1332477</v>
      </c>
      <c r="G17" s="6">
        <v>-750000</v>
      </c>
    </row>
    <row r="18" spans="1:8">
      <c r="A18" s="4">
        <v>45692</v>
      </c>
      <c r="B18" t="s">
        <v>35</v>
      </c>
      <c r="C18" t="s">
        <v>13</v>
      </c>
      <c r="E18" s="6">
        <f>+E17+F17+G17</f>
        <v>582477</v>
      </c>
      <c r="G18" s="6">
        <v>-208087</v>
      </c>
    </row>
    <row r="19" spans="1:8">
      <c r="A19" s="4">
        <v>45693</v>
      </c>
      <c r="B19" t="s">
        <v>34</v>
      </c>
      <c r="C19" t="s">
        <v>12</v>
      </c>
      <c r="D19" t="s">
        <v>27</v>
      </c>
      <c r="E19" s="6">
        <f>+E18+F18+G18</f>
        <v>374390</v>
      </c>
      <c r="F19" s="6">
        <v>720290</v>
      </c>
      <c r="H19" t="s">
        <v>52</v>
      </c>
    </row>
    <row r="20" spans="1:8">
      <c r="A20" s="4">
        <v>45693</v>
      </c>
      <c r="B20" t="s">
        <v>36</v>
      </c>
      <c r="C20" t="s">
        <v>12</v>
      </c>
      <c r="D20" t="s">
        <v>22</v>
      </c>
      <c r="E20" s="6">
        <f>+E19+F19+G19</f>
        <v>1094680</v>
      </c>
      <c r="F20" s="6">
        <v>1865647</v>
      </c>
      <c r="H20" t="s">
        <v>49</v>
      </c>
    </row>
    <row r="21" spans="1:8">
      <c r="A21" s="4">
        <v>45694</v>
      </c>
      <c r="B21" t="s">
        <v>33</v>
      </c>
      <c r="C21" t="s">
        <v>12</v>
      </c>
      <c r="D21" t="s">
        <v>26</v>
      </c>
      <c r="E21" s="6">
        <f>+E20+F20+G20</f>
        <v>2960327</v>
      </c>
      <c r="F21" s="6">
        <v>543703</v>
      </c>
      <c r="H21" t="s">
        <v>43</v>
      </c>
    </row>
    <row r="22" spans="1:8">
      <c r="A22" s="4">
        <v>45700</v>
      </c>
      <c r="B22" t="s">
        <v>53</v>
      </c>
      <c r="C22" t="s">
        <v>12</v>
      </c>
      <c r="D22" t="s">
        <v>23</v>
      </c>
      <c r="E22" s="6">
        <f>+E21+F21+G21</f>
        <v>3504030</v>
      </c>
      <c r="F22" s="6">
        <v>554765</v>
      </c>
      <c r="H22" t="s">
        <v>44</v>
      </c>
    </row>
    <row r="23" spans="1:8">
      <c r="A23" s="4">
        <v>45705</v>
      </c>
      <c r="B23" t="s">
        <v>40</v>
      </c>
      <c r="C23" t="s">
        <v>9</v>
      </c>
      <c r="E23" s="6">
        <f>+E22+F22+G22</f>
        <v>4058795</v>
      </c>
      <c r="G23" s="6">
        <v>-100000</v>
      </c>
      <c r="H23" t="s">
        <v>41</v>
      </c>
    </row>
    <row r="24" spans="1:8">
      <c r="A24" s="4">
        <v>45706</v>
      </c>
      <c r="B24" t="s">
        <v>39</v>
      </c>
      <c r="C24" t="s">
        <v>9</v>
      </c>
      <c r="E24" s="6">
        <f>+E23+F23+G23</f>
        <v>3958795</v>
      </c>
      <c r="G24" s="6">
        <v>-10877</v>
      </c>
    </row>
    <row r="25" spans="1:8">
      <c r="A25" s="4">
        <v>45712</v>
      </c>
      <c r="B25" t="s">
        <v>54</v>
      </c>
      <c r="C25" t="s">
        <v>9</v>
      </c>
      <c r="E25" s="6">
        <f>+E24+F24+G24</f>
        <v>3947918</v>
      </c>
      <c r="G25" s="6">
        <v>-60886</v>
      </c>
    </row>
    <row r="26" spans="1:8">
      <c r="A26" s="4">
        <v>45712</v>
      </c>
      <c r="B26" t="s">
        <v>55</v>
      </c>
      <c r="C26" t="s">
        <v>9</v>
      </c>
      <c r="E26" s="6">
        <f>+E25+F25+G25</f>
        <v>3887032</v>
      </c>
      <c r="F26" s="6">
        <v>51165</v>
      </c>
      <c r="H26" t="s">
        <v>56</v>
      </c>
    </row>
    <row r="27" spans="1:8">
      <c r="A27" s="4">
        <v>45719</v>
      </c>
      <c r="B27" t="s">
        <v>34</v>
      </c>
      <c r="C27" t="s">
        <v>12</v>
      </c>
      <c r="D27" t="s">
        <v>27</v>
      </c>
      <c r="E27" s="6">
        <f>+E26+F26+G26</f>
        <v>3938197</v>
      </c>
      <c r="F27" s="6">
        <v>725989</v>
      </c>
      <c r="H27" t="s">
        <v>48</v>
      </c>
    </row>
    <row r="28" spans="1:8">
      <c r="A28" s="4">
        <v>45720</v>
      </c>
      <c r="B28" t="s">
        <v>31</v>
      </c>
      <c r="C28" t="s">
        <v>13</v>
      </c>
      <c r="E28" s="6">
        <f>+E27+F27+G27</f>
        <v>4664186</v>
      </c>
      <c r="G28" s="6">
        <v>-750000</v>
      </c>
    </row>
    <row r="29" spans="1:8">
      <c r="A29" s="4">
        <v>45720</v>
      </c>
      <c r="B29" t="s">
        <v>31</v>
      </c>
      <c r="C29" t="s">
        <v>9</v>
      </c>
      <c r="E29" s="6">
        <f>+E28+F28+G28</f>
        <v>3914186</v>
      </c>
      <c r="G29" s="6">
        <v>-394069</v>
      </c>
    </row>
    <row r="30" spans="1:8">
      <c r="A30" s="4">
        <v>45720</v>
      </c>
      <c r="B30" t="s">
        <v>32</v>
      </c>
      <c r="C30" t="s">
        <v>12</v>
      </c>
      <c r="D30" t="s">
        <v>25</v>
      </c>
      <c r="E30" s="6">
        <f>+E29+F29+G29</f>
        <v>3520117</v>
      </c>
      <c r="F30" s="6">
        <v>537450</v>
      </c>
      <c r="H30" t="s">
        <v>60</v>
      </c>
    </row>
    <row r="31" spans="1:8">
      <c r="A31" s="4">
        <v>45720</v>
      </c>
      <c r="B31" t="s">
        <v>35</v>
      </c>
      <c r="C31" t="s">
        <v>13</v>
      </c>
      <c r="E31" s="6">
        <f>+E30+F30+G30</f>
        <v>4057567</v>
      </c>
      <c r="G31" s="6">
        <v>-208087</v>
      </c>
    </row>
    <row r="32" spans="1:8">
      <c r="A32" s="4">
        <v>45720</v>
      </c>
      <c r="B32" t="s">
        <v>38</v>
      </c>
      <c r="C32" t="s">
        <v>12</v>
      </c>
      <c r="D32" t="s">
        <v>24</v>
      </c>
      <c r="E32" s="6">
        <f>+E31+F31+G31</f>
        <v>3849480</v>
      </c>
      <c r="F32" s="6">
        <v>350000</v>
      </c>
      <c r="H32" t="s">
        <v>58</v>
      </c>
    </row>
    <row r="33" spans="1:8">
      <c r="A33" s="4">
        <v>45720</v>
      </c>
      <c r="B33" t="s">
        <v>40</v>
      </c>
      <c r="C33" t="s">
        <v>9</v>
      </c>
      <c r="E33" s="6">
        <f>+E32+F32+G32</f>
        <v>4199480</v>
      </c>
      <c r="G33" s="6">
        <v>-100000</v>
      </c>
      <c r="H33" t="s">
        <v>41</v>
      </c>
    </row>
    <row r="34" spans="1:8">
      <c r="A34" s="4">
        <v>45721</v>
      </c>
      <c r="B34" t="s">
        <v>36</v>
      </c>
      <c r="C34" t="s">
        <v>12</v>
      </c>
      <c r="D34" t="s">
        <v>22</v>
      </c>
      <c r="E34" s="6">
        <f>+E33+F33+G33</f>
        <v>4099480</v>
      </c>
      <c r="F34" s="6">
        <v>1882002</v>
      </c>
      <c r="H34" t="s">
        <v>57</v>
      </c>
    </row>
    <row r="35" spans="1:8">
      <c r="A35" s="4">
        <v>45721</v>
      </c>
      <c r="B35" t="s">
        <v>33</v>
      </c>
      <c r="C35" t="s">
        <v>12</v>
      </c>
      <c r="D35" t="s">
        <v>26</v>
      </c>
      <c r="E35" s="6">
        <f>+E34+F34+G34</f>
        <v>5981482</v>
      </c>
      <c r="F35" s="6">
        <v>548705</v>
      </c>
      <c r="H35" t="s">
        <v>50</v>
      </c>
    </row>
    <row r="36" spans="1:8">
      <c r="A36" s="4">
        <v>45721</v>
      </c>
      <c r="B36" t="s">
        <v>38</v>
      </c>
      <c r="C36" t="s">
        <v>12</v>
      </c>
      <c r="D36" t="s">
        <v>24</v>
      </c>
      <c r="E36" s="6">
        <f>+E35+F35+G35</f>
        <v>6530187</v>
      </c>
      <c r="F36" s="6">
        <v>209336</v>
      </c>
      <c r="H36" t="s">
        <v>59</v>
      </c>
    </row>
    <row r="37" spans="1:8">
      <c r="A37" s="4">
        <v>45722</v>
      </c>
      <c r="B37" t="s">
        <v>34</v>
      </c>
      <c r="C37" t="s">
        <v>12</v>
      </c>
      <c r="D37" t="s">
        <v>27</v>
      </c>
      <c r="E37" s="6">
        <f>+E36+F36+G36</f>
        <v>6739523</v>
      </c>
      <c r="F37" s="6">
        <v>4724270</v>
      </c>
      <c r="H37" t="s">
        <v>61</v>
      </c>
    </row>
    <row r="38" spans="1:8">
      <c r="A38" s="4">
        <v>45722</v>
      </c>
      <c r="B38" t="s">
        <v>34</v>
      </c>
      <c r="C38" t="s">
        <v>12</v>
      </c>
      <c r="D38" t="s">
        <v>27</v>
      </c>
      <c r="E38" s="6">
        <f>+E37+F37+G37</f>
        <v>11463793</v>
      </c>
      <c r="F38" s="6">
        <v>4726116</v>
      </c>
      <c r="H38" t="s">
        <v>80</v>
      </c>
    </row>
    <row r="39" spans="1:8">
      <c r="A39" s="4">
        <v>45723</v>
      </c>
      <c r="B39" t="s">
        <v>62</v>
      </c>
      <c r="C39" t="s">
        <v>20</v>
      </c>
      <c r="D39" t="s">
        <v>29</v>
      </c>
      <c r="E39" s="6">
        <f>+E38+F38+G38</f>
        <v>16189909</v>
      </c>
      <c r="F39" s="6">
        <v>5000000</v>
      </c>
    </row>
    <row r="40" spans="1:8">
      <c r="A40" s="4">
        <v>45723</v>
      </c>
      <c r="B40" t="s">
        <v>62</v>
      </c>
      <c r="C40" t="s">
        <v>20</v>
      </c>
      <c r="D40" t="s">
        <v>29</v>
      </c>
      <c r="E40" s="6">
        <f>+E39+F39+G39</f>
        <v>21189909</v>
      </c>
      <c r="F40" s="6">
        <v>2000000</v>
      </c>
    </row>
    <row r="41" spans="1:8">
      <c r="A41" s="4">
        <v>45723</v>
      </c>
      <c r="B41" t="s">
        <v>63</v>
      </c>
      <c r="C41" t="s">
        <v>16</v>
      </c>
      <c r="E41" s="6">
        <f>+E40+F40+G40</f>
        <v>23189909</v>
      </c>
      <c r="G41" s="6">
        <v>-22000000</v>
      </c>
    </row>
    <row r="42" spans="1:8">
      <c r="A42" s="4">
        <v>45729</v>
      </c>
      <c r="B42" t="s">
        <v>39</v>
      </c>
      <c r="C42" t="s">
        <v>9</v>
      </c>
      <c r="E42" s="6">
        <f>+E41+F41+G41</f>
        <v>1189909</v>
      </c>
      <c r="G42" s="6">
        <v>-11930</v>
      </c>
    </row>
    <row r="43" spans="1:8">
      <c r="A43" s="4">
        <v>45730</v>
      </c>
      <c r="B43" t="s">
        <v>62</v>
      </c>
      <c r="C43" t="s">
        <v>20</v>
      </c>
      <c r="D43" t="s">
        <v>29</v>
      </c>
      <c r="E43" s="6">
        <f>+E42+F42+G42</f>
        <v>1177979</v>
      </c>
      <c r="F43" s="6">
        <v>859160</v>
      </c>
    </row>
    <row r="44" spans="1:8">
      <c r="A44" s="4">
        <v>45730</v>
      </c>
      <c r="B44" t="s">
        <v>62</v>
      </c>
      <c r="C44" t="s">
        <v>20</v>
      </c>
      <c r="D44" t="s">
        <v>29</v>
      </c>
      <c r="E44" s="6">
        <f>+E43+F43+G43</f>
        <v>2037139</v>
      </c>
      <c r="F44" s="6">
        <v>5000000</v>
      </c>
    </row>
    <row r="45" spans="1:8">
      <c r="A45" s="4">
        <v>45735</v>
      </c>
      <c r="B45" t="s">
        <v>53</v>
      </c>
      <c r="C45" t="s">
        <v>12</v>
      </c>
      <c r="D45" t="s">
        <v>23</v>
      </c>
      <c r="E45" s="6">
        <f>+E44+F44+G44</f>
        <v>7037139</v>
      </c>
      <c r="F45" s="6">
        <v>561080</v>
      </c>
      <c r="H45" t="s">
        <v>49</v>
      </c>
    </row>
    <row r="46" spans="1:8">
      <c r="A46" s="4">
        <v>45736</v>
      </c>
      <c r="B46" t="s">
        <v>64</v>
      </c>
      <c r="C46" t="s">
        <v>16</v>
      </c>
      <c r="E46" s="6">
        <f>+E45+F45+G45</f>
        <v>7598219</v>
      </c>
      <c r="F46" s="6">
        <v>105116771</v>
      </c>
    </row>
    <row r="47" spans="1:8">
      <c r="A47" s="4">
        <v>45736</v>
      </c>
      <c r="B47" t="s">
        <v>65</v>
      </c>
      <c r="C47" t="s">
        <v>17</v>
      </c>
      <c r="D47" t="s">
        <v>30</v>
      </c>
      <c r="E47" s="6">
        <f>+E46+F46+G46</f>
        <v>112714990</v>
      </c>
      <c r="G47" s="6">
        <v>-41370000</v>
      </c>
      <c r="H47" t="s">
        <v>67</v>
      </c>
    </row>
    <row r="48" spans="1:8">
      <c r="A48" s="4">
        <v>45736</v>
      </c>
      <c r="B48" t="s">
        <v>40</v>
      </c>
      <c r="C48" t="s">
        <v>9</v>
      </c>
      <c r="D48" t="s">
        <v>115</v>
      </c>
      <c r="E48" s="6">
        <f>+E47+F47+G47</f>
        <v>71344990</v>
      </c>
      <c r="G48" s="6">
        <v>-35280000</v>
      </c>
      <c r="H48" t="s">
        <v>68</v>
      </c>
    </row>
    <row r="49" spans="1:8">
      <c r="A49" s="4">
        <v>45736</v>
      </c>
      <c r="B49" t="s">
        <v>40</v>
      </c>
      <c r="C49" t="s">
        <v>17</v>
      </c>
      <c r="D49" t="s">
        <v>115</v>
      </c>
      <c r="E49" s="6">
        <f>+E48+F48+G48</f>
        <v>36064990</v>
      </c>
      <c r="G49" s="6">
        <v>-35000000</v>
      </c>
      <c r="H49" t="s">
        <v>69</v>
      </c>
    </row>
    <row r="50" spans="1:8">
      <c r="A50" s="4">
        <v>45748</v>
      </c>
      <c r="B50" t="s">
        <v>31</v>
      </c>
      <c r="C50" t="s">
        <v>9</v>
      </c>
      <c r="E50" s="6">
        <f>+E49+F49+G49</f>
        <v>1064990</v>
      </c>
      <c r="G50" s="6">
        <v>-1022494</v>
      </c>
      <c r="H50" t="s">
        <v>66</v>
      </c>
    </row>
    <row r="51" spans="1:8">
      <c r="A51" s="4">
        <v>45748</v>
      </c>
      <c r="B51" t="s">
        <v>62</v>
      </c>
      <c r="C51" t="s">
        <v>20</v>
      </c>
      <c r="D51" t="s">
        <v>29</v>
      </c>
      <c r="E51" s="6">
        <f>+E50+F50+G50</f>
        <v>42496</v>
      </c>
      <c r="F51" s="6">
        <v>2000000</v>
      </c>
    </row>
    <row r="52" spans="1:8">
      <c r="A52" s="4">
        <v>45748</v>
      </c>
      <c r="B52" t="s">
        <v>31</v>
      </c>
      <c r="C52" t="s">
        <v>13</v>
      </c>
      <c r="E52" s="6">
        <f>+E51+F51+G51</f>
        <v>2042496</v>
      </c>
      <c r="G52" s="6">
        <v>-900000</v>
      </c>
    </row>
    <row r="53" spans="1:8">
      <c r="A53" s="4">
        <v>45748</v>
      </c>
      <c r="B53" t="s">
        <v>32</v>
      </c>
      <c r="C53" t="s">
        <v>12</v>
      </c>
      <c r="D53" t="s">
        <v>25</v>
      </c>
      <c r="E53" s="6">
        <f>+E52+F52+G52</f>
        <v>1142496</v>
      </c>
      <c r="F53" s="6">
        <v>540239</v>
      </c>
      <c r="H53" t="s">
        <v>77</v>
      </c>
    </row>
    <row r="54" spans="1:8">
      <c r="A54" s="4">
        <v>45748</v>
      </c>
      <c r="B54" t="s">
        <v>40</v>
      </c>
      <c r="C54" t="s">
        <v>9</v>
      </c>
      <c r="E54" s="6">
        <f>+E53+F53+G53</f>
        <v>1682735</v>
      </c>
      <c r="G54" s="6">
        <v>-100000</v>
      </c>
      <c r="H54" t="s">
        <v>41</v>
      </c>
    </row>
    <row r="55" spans="1:8">
      <c r="A55" s="4">
        <v>45748</v>
      </c>
      <c r="B55" t="s">
        <v>35</v>
      </c>
      <c r="C55" t="s">
        <v>13</v>
      </c>
      <c r="E55" s="6">
        <f>+E54+F54+G54</f>
        <v>1582735</v>
      </c>
      <c r="G55" s="6">
        <v>-249705</v>
      </c>
    </row>
    <row r="56" spans="1:8">
      <c r="A56" s="4">
        <v>45748</v>
      </c>
      <c r="B56" t="s">
        <v>34</v>
      </c>
      <c r="C56" t="s">
        <v>12</v>
      </c>
      <c r="D56" t="s">
        <v>27</v>
      </c>
      <c r="E56" s="6">
        <f>+E55+F55+G55</f>
        <v>1333030</v>
      </c>
      <c r="F56" s="6">
        <v>364874</v>
      </c>
      <c r="H56" t="s">
        <v>43</v>
      </c>
    </row>
    <row r="57" spans="1:8">
      <c r="A57" s="4">
        <v>45750</v>
      </c>
      <c r="B57" t="s">
        <v>36</v>
      </c>
      <c r="C57" t="s">
        <v>12</v>
      </c>
      <c r="D57" t="s">
        <v>22</v>
      </c>
      <c r="E57" s="6">
        <f>+E56+F56+G56</f>
        <v>1697904</v>
      </c>
      <c r="F57" s="6">
        <v>1891519</v>
      </c>
      <c r="H57" t="s">
        <v>75</v>
      </c>
    </row>
    <row r="58" spans="1:8">
      <c r="A58" s="4">
        <v>45750</v>
      </c>
      <c r="B58" t="s">
        <v>33</v>
      </c>
      <c r="C58" t="s">
        <v>12</v>
      </c>
      <c r="D58" t="s">
        <v>26</v>
      </c>
      <c r="E58" s="6">
        <f>+E57+F57+G57</f>
        <v>3589423</v>
      </c>
      <c r="F58" s="6">
        <v>551341</v>
      </c>
      <c r="H58" t="s">
        <v>60</v>
      </c>
    </row>
    <row r="59" spans="1:8">
      <c r="A59" s="4">
        <v>45754</v>
      </c>
      <c r="B59" t="s">
        <v>38</v>
      </c>
      <c r="C59" t="s">
        <v>12</v>
      </c>
      <c r="D59" t="s">
        <v>24</v>
      </c>
      <c r="E59" s="6">
        <f>+E58+F58+G58</f>
        <v>4140764</v>
      </c>
      <c r="F59" s="6">
        <v>562382</v>
      </c>
      <c r="H59" t="s">
        <v>77</v>
      </c>
    </row>
    <row r="60" spans="1:8">
      <c r="A60" s="4">
        <v>45758</v>
      </c>
      <c r="B60" t="s">
        <v>70</v>
      </c>
      <c r="C60" t="s">
        <v>9</v>
      </c>
      <c r="E60" s="6">
        <f>+E59+F59+G59</f>
        <v>4703146</v>
      </c>
      <c r="G60" s="6">
        <v>-35662</v>
      </c>
    </row>
    <row r="61" spans="1:8">
      <c r="A61" s="4">
        <v>45761</v>
      </c>
      <c r="B61" t="s">
        <v>53</v>
      </c>
      <c r="C61" t="s">
        <v>12</v>
      </c>
      <c r="D61" t="s">
        <v>23</v>
      </c>
      <c r="E61" s="6">
        <f>+E60+F60+G60</f>
        <v>4667484</v>
      </c>
      <c r="F61" s="6">
        <v>562859</v>
      </c>
      <c r="H61" t="s">
        <v>57</v>
      </c>
    </row>
    <row r="62" spans="1:8">
      <c r="A62" s="4">
        <v>45768</v>
      </c>
      <c r="B62" t="s">
        <v>71</v>
      </c>
      <c r="C62" t="s">
        <v>12</v>
      </c>
      <c r="D62" t="s">
        <v>81</v>
      </c>
      <c r="E62" s="20">
        <f>+E61+F61+G61</f>
        <v>5230343</v>
      </c>
      <c r="F62" s="20">
        <v>1452175</v>
      </c>
      <c r="H62" t="s">
        <v>82</v>
      </c>
    </row>
    <row r="63" spans="1:8">
      <c r="A63" s="4">
        <v>45770</v>
      </c>
      <c r="B63" t="s">
        <v>72</v>
      </c>
      <c r="C63" t="s">
        <v>9</v>
      </c>
      <c r="E63" s="6">
        <f>+E62+F62+G62</f>
        <v>6682518</v>
      </c>
      <c r="G63" s="6">
        <v>-31913</v>
      </c>
    </row>
    <row r="64" spans="1:8">
      <c r="A64" s="4">
        <v>45771</v>
      </c>
      <c r="B64" t="s">
        <v>32</v>
      </c>
      <c r="C64" t="s">
        <v>12</v>
      </c>
      <c r="D64" t="s">
        <v>25</v>
      </c>
      <c r="E64" s="6">
        <f>+E63+F63+G63</f>
        <v>6650605</v>
      </c>
      <c r="F64" s="6">
        <v>5000000</v>
      </c>
      <c r="H64" t="s">
        <v>79</v>
      </c>
    </row>
    <row r="65" spans="1:8">
      <c r="A65" s="4">
        <v>45772</v>
      </c>
      <c r="B65" t="s">
        <v>32</v>
      </c>
      <c r="C65" t="s">
        <v>12</v>
      </c>
      <c r="D65" t="s">
        <v>25</v>
      </c>
      <c r="E65" s="6">
        <f>+E64+F64+G64</f>
        <v>11650605</v>
      </c>
      <c r="F65" s="6">
        <v>5000000</v>
      </c>
      <c r="H65" t="s">
        <v>79</v>
      </c>
    </row>
    <row r="66" spans="1:8">
      <c r="A66" s="4">
        <v>45775</v>
      </c>
      <c r="B66" t="s">
        <v>32</v>
      </c>
      <c r="C66" t="s">
        <v>12</v>
      </c>
      <c r="D66" t="s">
        <v>25</v>
      </c>
      <c r="E66" s="6">
        <f>+E65+F65+G65</f>
        <v>16650605</v>
      </c>
      <c r="F66" s="6">
        <v>1461460</v>
      </c>
      <c r="H66" t="s">
        <v>79</v>
      </c>
    </row>
    <row r="67" spans="1:8">
      <c r="A67" s="4">
        <v>45776</v>
      </c>
      <c r="B67" t="s">
        <v>73</v>
      </c>
      <c r="C67" t="s">
        <v>20</v>
      </c>
      <c r="D67" t="s">
        <v>29</v>
      </c>
      <c r="E67" s="6">
        <f>+E66+F66+G66</f>
        <v>18112065</v>
      </c>
      <c r="G67" s="6">
        <v>-1000</v>
      </c>
    </row>
    <row r="68" spans="1:8">
      <c r="A68" s="4">
        <v>45777</v>
      </c>
      <c r="B68" t="s">
        <v>74</v>
      </c>
      <c r="C68" t="s">
        <v>16</v>
      </c>
      <c r="E68" s="6">
        <f>+E67+F67+G67</f>
        <v>18111065</v>
      </c>
      <c r="G68" s="6">
        <v>-14500000</v>
      </c>
    </row>
    <row r="69" spans="1:8">
      <c r="A69" s="4">
        <v>45779</v>
      </c>
      <c r="B69" t="s">
        <v>33</v>
      </c>
      <c r="C69" t="s">
        <v>12</v>
      </c>
      <c r="D69" t="s">
        <v>26</v>
      </c>
      <c r="E69" s="6">
        <f>+E68+F68+G68</f>
        <v>3611065</v>
      </c>
      <c r="F69" s="6">
        <v>553792</v>
      </c>
      <c r="H69" t="s">
        <v>77</v>
      </c>
    </row>
    <row r="70" spans="1:8">
      <c r="A70" s="4">
        <v>45782</v>
      </c>
      <c r="B70" t="s">
        <v>34</v>
      </c>
      <c r="C70" t="s">
        <v>12</v>
      </c>
      <c r="D70" t="s">
        <v>27</v>
      </c>
      <c r="E70" s="6">
        <f>+E69+F69+G69</f>
        <v>4164857</v>
      </c>
      <c r="F70" s="6">
        <v>366650</v>
      </c>
      <c r="H70" t="s">
        <v>50</v>
      </c>
    </row>
    <row r="71" spans="1:8">
      <c r="A71" s="4">
        <v>45783</v>
      </c>
      <c r="B71" t="s">
        <v>36</v>
      </c>
      <c r="C71" t="s">
        <v>12</v>
      </c>
      <c r="D71" t="s">
        <v>22</v>
      </c>
      <c r="E71" s="6">
        <f>+E70+F70+G70</f>
        <v>4531507</v>
      </c>
      <c r="F71" s="6">
        <v>1901426</v>
      </c>
      <c r="H71" t="s">
        <v>76</v>
      </c>
    </row>
    <row r="72" spans="1:8">
      <c r="A72" s="4">
        <v>45783</v>
      </c>
      <c r="B72" t="s">
        <v>31</v>
      </c>
      <c r="C72" t="s">
        <v>13</v>
      </c>
      <c r="E72" s="6">
        <f>+E71+F71+G71</f>
        <v>6432933</v>
      </c>
      <c r="G72" s="6">
        <v>-750000</v>
      </c>
    </row>
    <row r="73" spans="1:8">
      <c r="A73" s="4">
        <v>45783</v>
      </c>
      <c r="B73" t="s">
        <v>31</v>
      </c>
      <c r="C73" t="s">
        <v>9</v>
      </c>
      <c r="E73" s="6">
        <f>+E72+F72+G72</f>
        <v>5682933</v>
      </c>
      <c r="G73" s="6">
        <v>-268060</v>
      </c>
    </row>
    <row r="74" spans="1:8">
      <c r="A74" s="4">
        <v>45783</v>
      </c>
      <c r="B74" t="s">
        <v>35</v>
      </c>
      <c r="C74" t="s">
        <v>13</v>
      </c>
      <c r="E74" s="6">
        <f>+E73+F73+G73</f>
        <v>5414873</v>
      </c>
      <c r="G74" s="6">
        <v>-211780</v>
      </c>
    </row>
    <row r="75" spans="1:8">
      <c r="A75" s="4">
        <v>45783</v>
      </c>
      <c r="B75" t="s">
        <v>38</v>
      </c>
      <c r="C75" t="s">
        <v>12</v>
      </c>
      <c r="D75" t="s">
        <v>24</v>
      </c>
      <c r="E75" s="6">
        <f>+E74+F74+G74</f>
        <v>5203093</v>
      </c>
      <c r="F75" s="6">
        <v>565109</v>
      </c>
      <c r="H75" t="s">
        <v>78</v>
      </c>
    </row>
    <row r="76" spans="1:8">
      <c r="A76" s="4">
        <v>45783</v>
      </c>
      <c r="B76" t="s">
        <v>73</v>
      </c>
      <c r="C76" t="s">
        <v>20</v>
      </c>
      <c r="D76" t="s">
        <v>29</v>
      </c>
      <c r="E76" s="6">
        <f>+E75+F75+G75</f>
        <v>5768202</v>
      </c>
      <c r="G76" s="6">
        <v>-2900000</v>
      </c>
    </row>
    <row r="77" spans="1:8">
      <c r="A77" s="4">
        <v>45786</v>
      </c>
      <c r="B77" t="s">
        <v>40</v>
      </c>
      <c r="C77" t="s">
        <v>9</v>
      </c>
      <c r="E77" s="6">
        <f>+E76+F76+G76</f>
        <v>2868202</v>
      </c>
      <c r="G77" s="6">
        <v>-100000</v>
      </c>
    </row>
    <row r="78" spans="1:8">
      <c r="A78" s="4">
        <v>45786</v>
      </c>
      <c r="B78" t="s">
        <v>53</v>
      </c>
      <c r="C78" t="s">
        <v>12</v>
      </c>
      <c r="D78" t="s">
        <v>23</v>
      </c>
      <c r="E78" s="6">
        <f>+E77+F77+G77</f>
        <v>2768202</v>
      </c>
      <c r="F78" s="6">
        <v>565391</v>
      </c>
      <c r="H78" t="s">
        <v>75</v>
      </c>
    </row>
    <row r="79" spans="1:8">
      <c r="A79" s="4">
        <v>45790</v>
      </c>
      <c r="B79" t="s">
        <v>39</v>
      </c>
      <c r="C79" t="s">
        <v>9</v>
      </c>
      <c r="E79" s="6">
        <f>+E78+F78+G78</f>
        <v>3333593</v>
      </c>
      <c r="G79" s="6">
        <v>-43467</v>
      </c>
    </row>
    <row r="80" spans="1:8">
      <c r="A80" s="4">
        <v>45792</v>
      </c>
      <c r="B80" t="s">
        <v>83</v>
      </c>
      <c r="C80" t="s">
        <v>16</v>
      </c>
      <c r="E80" s="6">
        <f>+E79+F79+G79</f>
        <v>3290126</v>
      </c>
      <c r="G80" s="6">
        <v>-3000000</v>
      </c>
    </row>
    <row r="81" spans="1:8">
      <c r="A81" s="4">
        <v>45792</v>
      </c>
      <c r="B81" t="s">
        <v>84</v>
      </c>
      <c r="C81" t="s">
        <v>12</v>
      </c>
      <c r="D81" t="s">
        <v>21</v>
      </c>
      <c r="E81" s="6">
        <f>+E80+F80+G80</f>
        <v>290126</v>
      </c>
      <c r="F81" s="6">
        <v>565704</v>
      </c>
      <c r="H81" t="s">
        <v>96</v>
      </c>
    </row>
    <row r="82" spans="1:8">
      <c r="A82" s="4">
        <v>45805</v>
      </c>
      <c r="B82" t="s">
        <v>85</v>
      </c>
      <c r="C82" t="s">
        <v>9</v>
      </c>
      <c r="E82" s="6">
        <f>+E81+F81+G81</f>
        <v>855830</v>
      </c>
      <c r="G82" s="6">
        <v>-7819</v>
      </c>
    </row>
    <row r="83" spans="1:8">
      <c r="A83" s="4">
        <v>45807</v>
      </c>
      <c r="B83" t="s">
        <v>86</v>
      </c>
      <c r="C83" t="s">
        <v>14</v>
      </c>
      <c r="E83" s="6">
        <f>+E82+F82+G82</f>
        <v>848011</v>
      </c>
      <c r="F83" s="6">
        <v>57552</v>
      </c>
    </row>
    <row r="84" spans="1:8">
      <c r="A84" s="4">
        <v>45807</v>
      </c>
      <c r="B84" t="s">
        <v>84</v>
      </c>
      <c r="C84" t="s">
        <v>12</v>
      </c>
      <c r="D84" t="s">
        <v>21</v>
      </c>
      <c r="E84" s="6">
        <f>+E83+F83+G83</f>
        <v>905563</v>
      </c>
      <c r="F84" s="6">
        <v>566251</v>
      </c>
      <c r="H84" t="s">
        <v>98</v>
      </c>
    </row>
    <row r="85" spans="1:8">
      <c r="A85" s="4">
        <v>45810</v>
      </c>
      <c r="B85" t="s">
        <v>33</v>
      </c>
      <c r="C85" t="s">
        <v>12</v>
      </c>
      <c r="D85" t="s">
        <v>26</v>
      </c>
      <c r="E85" s="6">
        <f>+E84+F84+G84</f>
        <v>1471814</v>
      </c>
      <c r="F85" s="6">
        <v>555308</v>
      </c>
      <c r="H85" t="s">
        <v>78</v>
      </c>
    </row>
    <row r="86" spans="1:8">
      <c r="A86" s="4">
        <v>45810</v>
      </c>
      <c r="B86" t="s">
        <v>40</v>
      </c>
      <c r="C86" t="s">
        <v>9</v>
      </c>
      <c r="E86" s="6">
        <f>+E85+F85+G85</f>
        <v>2027122</v>
      </c>
      <c r="G86" s="6">
        <v>-100000</v>
      </c>
    </row>
    <row r="87" spans="1:8">
      <c r="A87" s="4">
        <v>45811</v>
      </c>
      <c r="B87" t="s">
        <v>34</v>
      </c>
      <c r="C87" t="s">
        <v>12</v>
      </c>
      <c r="D87" t="s">
        <v>27</v>
      </c>
      <c r="E87" s="6">
        <f>+E86+F86+G86</f>
        <v>1927122</v>
      </c>
      <c r="F87" s="6">
        <v>367645</v>
      </c>
      <c r="H87" t="s">
        <v>60</v>
      </c>
    </row>
    <row r="88" spans="1:8">
      <c r="A88" s="4">
        <v>45812</v>
      </c>
      <c r="B88" t="s">
        <v>87</v>
      </c>
      <c r="C88" t="s">
        <v>13</v>
      </c>
      <c r="E88" s="6">
        <f>+E87+F87+G87</f>
        <v>2294767</v>
      </c>
      <c r="G88" s="6">
        <v>-750000</v>
      </c>
    </row>
    <row r="89" spans="1:8">
      <c r="A89" s="4">
        <v>45812</v>
      </c>
      <c r="B89" t="s">
        <v>35</v>
      </c>
      <c r="C89" t="s">
        <v>13</v>
      </c>
      <c r="E89" s="6">
        <f>+E88+F88+G88</f>
        <v>1544767</v>
      </c>
      <c r="G89" s="6">
        <v>-211780</v>
      </c>
    </row>
    <row r="90" spans="1:8">
      <c r="A90" s="4">
        <v>45813</v>
      </c>
      <c r="B90" t="s">
        <v>36</v>
      </c>
      <c r="C90" t="s">
        <v>12</v>
      </c>
      <c r="D90" t="s">
        <v>22</v>
      </c>
      <c r="E90" s="6">
        <f>+E89+F89+G89</f>
        <v>1332987</v>
      </c>
      <c r="F90" s="6">
        <v>1905882</v>
      </c>
      <c r="H90" t="s">
        <v>99</v>
      </c>
    </row>
    <row r="91" spans="1:8">
      <c r="A91" s="4">
        <v>45813</v>
      </c>
      <c r="B91" t="s">
        <v>38</v>
      </c>
      <c r="C91" t="s">
        <v>12</v>
      </c>
      <c r="D91" t="s">
        <v>24</v>
      </c>
      <c r="E91" s="6">
        <f>+E90+F90+G90</f>
        <v>3238869</v>
      </c>
      <c r="F91" s="6">
        <v>566470</v>
      </c>
      <c r="H91" t="s">
        <v>102</v>
      </c>
    </row>
    <row r="92" spans="1:8">
      <c r="A92" s="4">
        <v>45817</v>
      </c>
      <c r="B92" t="s">
        <v>53</v>
      </c>
      <c r="C92" t="s">
        <v>12</v>
      </c>
      <c r="D92" t="s">
        <v>23</v>
      </c>
      <c r="E92" s="6">
        <f>+E91+F91+G91</f>
        <v>3805339</v>
      </c>
      <c r="F92" s="6">
        <v>566616</v>
      </c>
      <c r="H92" t="s">
        <v>76</v>
      </c>
    </row>
    <row r="93" spans="1:8">
      <c r="A93" s="4">
        <v>45818</v>
      </c>
      <c r="B93" t="s">
        <v>39</v>
      </c>
      <c r="C93" t="s">
        <v>9</v>
      </c>
      <c r="E93" s="6">
        <f>+E92+F92+G92</f>
        <v>4371955</v>
      </c>
      <c r="G93" s="6">
        <v>-12711</v>
      </c>
    </row>
    <row r="94" spans="1:8">
      <c r="A94" s="4">
        <v>45820</v>
      </c>
      <c r="B94" t="s">
        <v>62</v>
      </c>
      <c r="C94" t="s">
        <v>20</v>
      </c>
      <c r="D94" t="s">
        <v>29</v>
      </c>
      <c r="E94" s="6">
        <f>+E93+F93+G93</f>
        <v>4359244</v>
      </c>
      <c r="F94" s="6">
        <v>5000000</v>
      </c>
    </row>
    <row r="95" spans="1:8">
      <c r="A95" s="4">
        <v>45820</v>
      </c>
      <c r="B95" t="s">
        <v>62</v>
      </c>
      <c r="C95" t="s">
        <v>20</v>
      </c>
      <c r="D95" t="s">
        <v>29</v>
      </c>
      <c r="E95" s="6">
        <f>+E94+F94+G94</f>
        <v>9359244</v>
      </c>
      <c r="F95" s="6">
        <v>5000000</v>
      </c>
    </row>
    <row r="96" spans="1:8">
      <c r="A96" s="4">
        <v>45820</v>
      </c>
      <c r="B96" t="s">
        <v>62</v>
      </c>
      <c r="C96" t="s">
        <v>20</v>
      </c>
      <c r="D96" t="s">
        <v>29</v>
      </c>
      <c r="E96" s="6">
        <f>+E95+F95+G95</f>
        <v>14359244</v>
      </c>
      <c r="F96" s="6">
        <v>5000000</v>
      </c>
    </row>
    <row r="97" spans="1:8">
      <c r="A97" s="4">
        <v>45820</v>
      </c>
      <c r="B97" t="s">
        <v>62</v>
      </c>
      <c r="C97" t="s">
        <v>20</v>
      </c>
      <c r="D97" t="s">
        <v>29</v>
      </c>
      <c r="E97" s="6">
        <f>+E96+F96+G96</f>
        <v>19359244</v>
      </c>
      <c r="F97" s="6">
        <v>5000000</v>
      </c>
    </row>
    <row r="98" spans="1:8">
      <c r="A98" s="4">
        <v>45820</v>
      </c>
      <c r="B98" t="s">
        <v>62</v>
      </c>
      <c r="C98" t="s">
        <v>20</v>
      </c>
      <c r="D98" t="s">
        <v>29</v>
      </c>
      <c r="E98" s="6">
        <f>+E97+F97+G97</f>
        <v>24359244</v>
      </c>
      <c r="F98" s="6">
        <v>5000000</v>
      </c>
    </row>
    <row r="99" spans="1:8">
      <c r="A99" s="4">
        <v>45820</v>
      </c>
      <c r="B99" t="s">
        <v>62</v>
      </c>
      <c r="C99" t="s">
        <v>20</v>
      </c>
      <c r="D99" t="s">
        <v>29</v>
      </c>
      <c r="E99" s="6">
        <f>+E98+F98+G98</f>
        <v>29359244</v>
      </c>
      <c r="F99" s="6">
        <v>5000000</v>
      </c>
    </row>
    <row r="100" spans="1:8">
      <c r="A100" s="4">
        <v>45820</v>
      </c>
      <c r="B100" t="s">
        <v>62</v>
      </c>
      <c r="C100" t="s">
        <v>20</v>
      </c>
      <c r="D100" t="s">
        <v>29</v>
      </c>
      <c r="E100" s="6">
        <f>+E99+F99+G99</f>
        <v>34359244</v>
      </c>
      <c r="F100" s="6">
        <v>5000000</v>
      </c>
    </row>
    <row r="101" spans="1:8">
      <c r="A101" s="4">
        <v>45820</v>
      </c>
      <c r="B101" t="s">
        <v>62</v>
      </c>
      <c r="C101" t="s">
        <v>20</v>
      </c>
      <c r="D101" t="s">
        <v>29</v>
      </c>
      <c r="E101" s="6">
        <f>+E100+F100+G100</f>
        <v>39359244</v>
      </c>
      <c r="F101" s="6">
        <v>5000000</v>
      </c>
    </row>
    <row r="102" spans="1:8">
      <c r="A102" s="4">
        <v>45820</v>
      </c>
      <c r="B102" t="s">
        <v>62</v>
      </c>
      <c r="C102" t="s">
        <v>20</v>
      </c>
      <c r="D102" t="s">
        <v>29</v>
      </c>
      <c r="E102" s="6">
        <f>+E101+F101+G101</f>
        <v>44359244</v>
      </c>
      <c r="F102" s="6">
        <v>4000000</v>
      </c>
    </row>
    <row r="103" spans="1:8">
      <c r="A103" s="4">
        <v>45820</v>
      </c>
      <c r="B103" t="s">
        <v>88</v>
      </c>
      <c r="C103" t="s">
        <v>9</v>
      </c>
      <c r="E103" s="6">
        <f>+E102+F102+G102</f>
        <v>48359244</v>
      </c>
      <c r="G103" s="6">
        <v>-59500</v>
      </c>
    </row>
    <row r="104" spans="1:8">
      <c r="A104" s="4">
        <v>45821</v>
      </c>
      <c r="B104" t="s">
        <v>73</v>
      </c>
      <c r="C104" t="s">
        <v>20</v>
      </c>
      <c r="D104" t="s">
        <v>29</v>
      </c>
      <c r="E104" s="6">
        <f>+E103+F103+G103</f>
        <v>48299744</v>
      </c>
      <c r="G104" s="6">
        <v>-21250000</v>
      </c>
    </row>
    <row r="105" spans="1:8">
      <c r="A105" s="4">
        <v>45821</v>
      </c>
      <c r="B105" t="s">
        <v>64</v>
      </c>
      <c r="C105" t="s">
        <v>16</v>
      </c>
      <c r="E105" s="6">
        <f>+E104+F104+G104</f>
        <v>27049744</v>
      </c>
      <c r="F105" s="6">
        <v>17579469</v>
      </c>
    </row>
    <row r="106" spans="1:8">
      <c r="A106" s="4">
        <v>45824</v>
      </c>
      <c r="B106" t="s">
        <v>89</v>
      </c>
      <c r="C106" t="s">
        <v>9</v>
      </c>
      <c r="E106" s="6">
        <f>+E105+F105+G105</f>
        <v>44629213</v>
      </c>
      <c r="F106" s="6">
        <v>1000</v>
      </c>
    </row>
    <row r="107" spans="1:8">
      <c r="A107" s="4">
        <v>45824</v>
      </c>
      <c r="B107" t="s">
        <v>40</v>
      </c>
      <c r="C107" t="s">
        <v>9</v>
      </c>
      <c r="D107" t="s">
        <v>115</v>
      </c>
      <c r="E107" s="6">
        <f>+E106+F106+G106</f>
        <v>44630213</v>
      </c>
      <c r="G107" s="6">
        <v>-20462400</v>
      </c>
      <c r="H107" t="s">
        <v>92</v>
      </c>
    </row>
    <row r="108" spans="1:8">
      <c r="A108" s="4">
        <v>45824</v>
      </c>
      <c r="B108" t="s">
        <v>65</v>
      </c>
      <c r="C108" t="s">
        <v>17</v>
      </c>
      <c r="D108" t="s">
        <v>30</v>
      </c>
      <c r="E108" s="6">
        <f>+E107+F107+G107</f>
        <v>24167813</v>
      </c>
      <c r="G108" s="6">
        <v>-23994600</v>
      </c>
      <c r="H108" t="s">
        <v>93</v>
      </c>
    </row>
    <row r="109" spans="1:8">
      <c r="A109" s="4">
        <v>45824</v>
      </c>
      <c r="B109" t="s">
        <v>90</v>
      </c>
      <c r="C109" t="s">
        <v>9</v>
      </c>
      <c r="D109" t="s">
        <v>115</v>
      </c>
      <c r="E109" s="6">
        <f>+E108+F108+G108</f>
        <v>173213</v>
      </c>
      <c r="F109" s="6">
        <v>35000000</v>
      </c>
      <c r="H109" t="s">
        <v>91</v>
      </c>
    </row>
    <row r="110" spans="1:8">
      <c r="A110" s="4">
        <v>45824</v>
      </c>
      <c r="B110" t="s">
        <v>73</v>
      </c>
      <c r="C110" t="s">
        <v>20</v>
      </c>
      <c r="D110" t="s">
        <v>29</v>
      </c>
      <c r="E110" s="6">
        <f>+E109+F109+G109</f>
        <v>35173213</v>
      </c>
      <c r="G110" s="6">
        <v>-35000000</v>
      </c>
    </row>
    <row r="111" spans="1:8">
      <c r="A111" s="4">
        <v>45834</v>
      </c>
      <c r="B111" t="s">
        <v>85</v>
      </c>
      <c r="C111" t="s">
        <v>9</v>
      </c>
      <c r="E111" s="6">
        <f>+E110+F110+G110</f>
        <v>173213</v>
      </c>
      <c r="G111" s="6">
        <v>-7841</v>
      </c>
    </row>
    <row r="112" spans="1:8">
      <c r="A112" s="4">
        <v>45838</v>
      </c>
      <c r="B112" t="s">
        <v>94</v>
      </c>
      <c r="C112" t="s">
        <v>12</v>
      </c>
      <c r="D112" t="s">
        <v>81</v>
      </c>
      <c r="E112" s="6">
        <f>+E111+F111+G111</f>
        <v>165372</v>
      </c>
      <c r="F112" s="6">
        <v>2191550</v>
      </c>
      <c r="H112" t="s">
        <v>101</v>
      </c>
    </row>
    <row r="113" spans="1:8">
      <c r="A113" s="4">
        <v>45838</v>
      </c>
      <c r="B113" t="s">
        <v>95</v>
      </c>
      <c r="C113" t="s">
        <v>12</v>
      </c>
      <c r="D113" t="s">
        <v>21</v>
      </c>
      <c r="E113" s="6">
        <f>+E112+F112+G112</f>
        <v>2356922</v>
      </c>
      <c r="F113" s="6">
        <v>567409</v>
      </c>
      <c r="H113" t="s">
        <v>97</v>
      </c>
    </row>
    <row r="114" spans="1:8">
      <c r="A114" s="4">
        <v>45839</v>
      </c>
      <c r="B114" t="s">
        <v>40</v>
      </c>
      <c r="C114" t="s">
        <v>9</v>
      </c>
      <c r="E114" s="6">
        <f>+E113+F113+G113</f>
        <v>2924331</v>
      </c>
      <c r="G114" s="6">
        <v>-100000</v>
      </c>
      <c r="H114" t="s">
        <v>41</v>
      </c>
    </row>
    <row r="115" spans="1:8">
      <c r="A115" s="4">
        <v>45840</v>
      </c>
      <c r="B115" t="s">
        <v>33</v>
      </c>
      <c r="C115" t="s">
        <v>12</v>
      </c>
      <c r="D115" t="s">
        <v>26</v>
      </c>
      <c r="E115" s="6">
        <f>+E114+F114+G114</f>
        <v>2824331</v>
      </c>
      <c r="F115" s="6">
        <v>556413</v>
      </c>
      <c r="H115" t="s">
        <v>102</v>
      </c>
    </row>
    <row r="116" spans="1:8">
      <c r="A116" s="4">
        <v>45840</v>
      </c>
      <c r="B116" t="s">
        <v>34</v>
      </c>
      <c r="C116" t="s">
        <v>12</v>
      </c>
      <c r="D116" t="s">
        <v>27</v>
      </c>
      <c r="E116" s="6">
        <f>+E115+F115+G115</f>
        <v>3380744</v>
      </c>
      <c r="F116" s="6">
        <v>368350</v>
      </c>
      <c r="H116" t="s">
        <v>77</v>
      </c>
    </row>
    <row r="117" spans="1:8">
      <c r="A117" s="4">
        <v>45841</v>
      </c>
      <c r="B117" t="s">
        <v>36</v>
      </c>
      <c r="C117" t="s">
        <v>12</v>
      </c>
      <c r="D117" t="s">
        <v>22</v>
      </c>
      <c r="E117" s="6">
        <f>+E116+F116+G116</f>
        <v>3749094</v>
      </c>
      <c r="F117" s="6">
        <v>1909547</v>
      </c>
      <c r="H117" t="s">
        <v>100</v>
      </c>
    </row>
    <row r="118" spans="1:8">
      <c r="A118" s="4">
        <v>45845</v>
      </c>
      <c r="B118" t="s">
        <v>38</v>
      </c>
      <c r="C118" t="s">
        <v>12</v>
      </c>
      <c r="D118" t="s">
        <v>24</v>
      </c>
      <c r="E118" s="6">
        <f>+E117+F117+G117</f>
        <v>5658641</v>
      </c>
      <c r="F118" s="6">
        <v>567674</v>
      </c>
      <c r="H118" t="s">
        <v>103</v>
      </c>
    </row>
    <row r="119" spans="1:8">
      <c r="A119" s="4">
        <v>45846</v>
      </c>
      <c r="B119" t="s">
        <v>63</v>
      </c>
      <c r="C119" t="s">
        <v>16</v>
      </c>
      <c r="E119" s="6">
        <f>+E118+F118+G118</f>
        <v>6226315</v>
      </c>
      <c r="G119" s="6">
        <v>-6000000</v>
      </c>
    </row>
    <row r="120" spans="1:8">
      <c r="A120" s="4">
        <v>45848</v>
      </c>
      <c r="B120" t="s">
        <v>53</v>
      </c>
      <c r="C120" t="s">
        <v>12</v>
      </c>
      <c r="D120" t="s">
        <v>23</v>
      </c>
      <c r="E120" s="6">
        <f>+E119+F119+G119</f>
        <v>226315</v>
      </c>
      <c r="F120" s="6">
        <v>565711</v>
      </c>
      <c r="H120" t="s">
        <v>99</v>
      </c>
    </row>
    <row r="121" spans="1:8">
      <c r="A121" s="4">
        <v>45848</v>
      </c>
      <c r="B121" t="s">
        <v>53</v>
      </c>
      <c r="C121" t="s">
        <v>12</v>
      </c>
      <c r="D121" t="s">
        <v>23</v>
      </c>
      <c r="E121" s="6">
        <f>+E120+F120+G120</f>
        <v>792026</v>
      </c>
      <c r="F121" s="6">
        <v>1964</v>
      </c>
      <c r="H121" t="s">
        <v>104</v>
      </c>
    </row>
    <row r="122" spans="1:8">
      <c r="A122" s="4">
        <v>45849</v>
      </c>
      <c r="B122" t="s">
        <v>39</v>
      </c>
      <c r="C122" t="s">
        <v>9</v>
      </c>
      <c r="E122" s="6">
        <f>+E121+F121+G121</f>
        <v>793990</v>
      </c>
      <c r="G122" s="6">
        <v>-16802</v>
      </c>
      <c r="H122" t="s">
        <v>42</v>
      </c>
    </row>
    <row r="123" spans="1:8">
      <c r="A123" s="4">
        <v>45867</v>
      </c>
      <c r="B123" t="s">
        <v>85</v>
      </c>
      <c r="C123" t="s">
        <v>9</v>
      </c>
      <c r="E123" s="6">
        <f>+E122+F122+G122</f>
        <v>777188</v>
      </c>
      <c r="G123" s="6">
        <v>-7857</v>
      </c>
    </row>
    <row r="124" spans="1:8">
      <c r="A124" s="4">
        <v>45873</v>
      </c>
      <c r="B124" t="s">
        <v>34</v>
      </c>
      <c r="C124" t="s">
        <v>12</v>
      </c>
      <c r="D124" t="s">
        <v>27</v>
      </c>
      <c r="E124" s="6">
        <f>+E123+F123+G123</f>
        <v>769331</v>
      </c>
      <c r="F124" s="6">
        <v>367405</v>
      </c>
      <c r="H124" t="s">
        <v>78</v>
      </c>
    </row>
    <row r="125" spans="1:8">
      <c r="A125" s="4">
        <v>45874</v>
      </c>
      <c r="B125" t="s">
        <v>36</v>
      </c>
      <c r="C125" t="s">
        <v>12</v>
      </c>
      <c r="D125" t="s">
        <v>22</v>
      </c>
      <c r="E125" s="6">
        <f>+E124+F124+G124</f>
        <v>1136736</v>
      </c>
      <c r="F125" s="6">
        <v>1903652</v>
      </c>
      <c r="H125" t="s">
        <v>112</v>
      </c>
    </row>
    <row r="126" spans="1:8">
      <c r="A126" s="4">
        <v>45874</v>
      </c>
      <c r="B126" t="s">
        <v>38</v>
      </c>
      <c r="C126" t="s">
        <v>12</v>
      </c>
      <c r="D126" t="s">
        <v>24</v>
      </c>
      <c r="E126" s="6">
        <f>+E125+F125+G125</f>
        <v>3040388</v>
      </c>
      <c r="F126" s="6">
        <v>565771</v>
      </c>
      <c r="H126" t="s">
        <v>113</v>
      </c>
    </row>
    <row r="127" spans="1:8">
      <c r="A127" s="4">
        <v>45874</v>
      </c>
      <c r="B127" t="s">
        <v>40</v>
      </c>
      <c r="C127" t="s">
        <v>9</v>
      </c>
      <c r="E127" s="6">
        <f>+E126+F126+G126</f>
        <v>3606159</v>
      </c>
      <c r="G127" s="6">
        <v>-100000</v>
      </c>
      <c r="H127" t="s">
        <v>111</v>
      </c>
    </row>
    <row r="128" spans="1:8">
      <c r="A128" s="4">
        <v>45875</v>
      </c>
      <c r="B128" t="s">
        <v>33</v>
      </c>
      <c r="C128" t="s">
        <v>12</v>
      </c>
      <c r="D128" t="s">
        <v>26</v>
      </c>
      <c r="E128" s="6">
        <f>+E127+F127+G127</f>
        <v>3506159</v>
      </c>
      <c r="F128" s="6">
        <v>554741</v>
      </c>
      <c r="H128" t="s">
        <v>103</v>
      </c>
    </row>
    <row r="129" spans="1:8">
      <c r="A129" s="4">
        <v>45880</v>
      </c>
      <c r="B129" t="s">
        <v>110</v>
      </c>
      <c r="C129" t="s">
        <v>16</v>
      </c>
      <c r="E129" s="6">
        <f>+E128+F128+G128</f>
        <v>4060900</v>
      </c>
      <c r="G129" s="6">
        <v>-4060900</v>
      </c>
    </row>
    <row r="130" spans="1:8">
      <c r="A130" s="4">
        <v>45881</v>
      </c>
      <c r="B130" t="s">
        <v>64</v>
      </c>
      <c r="C130" t="s">
        <v>16</v>
      </c>
      <c r="E130" s="6">
        <f>+E129+F129+G129</f>
        <v>0</v>
      </c>
      <c r="F130" s="6">
        <v>100000</v>
      </c>
    </row>
    <row r="131" spans="1:8">
      <c r="A131" s="4">
        <v>45881</v>
      </c>
      <c r="B131" t="s">
        <v>39</v>
      </c>
      <c r="C131" t="s">
        <v>9</v>
      </c>
      <c r="E131" s="6">
        <f>+E130+F130+G130</f>
        <v>100000</v>
      </c>
      <c r="G131" s="6">
        <v>-4962</v>
      </c>
      <c r="H131" t="s">
        <v>42</v>
      </c>
    </row>
    <row r="132" spans="1:8">
      <c r="A132" s="4">
        <v>45895</v>
      </c>
      <c r="B132" t="s">
        <v>94</v>
      </c>
      <c r="C132" t="s">
        <v>11</v>
      </c>
      <c r="D132" t="s">
        <v>81</v>
      </c>
      <c r="E132" s="6">
        <f>+E131+F131+G131</f>
        <v>95038</v>
      </c>
      <c r="F132" s="6">
        <v>731015</v>
      </c>
      <c r="H132" t="s">
        <v>117</v>
      </c>
    </row>
    <row r="133" spans="1:8">
      <c r="A133" s="4">
        <v>45896</v>
      </c>
      <c r="B133" t="s">
        <v>85</v>
      </c>
      <c r="C133" t="s">
        <v>9</v>
      </c>
      <c r="E133" s="6">
        <f>+E132+F132+G132</f>
        <v>826053</v>
      </c>
      <c r="G133" s="6">
        <v>-7840</v>
      </c>
    </row>
    <row r="134" spans="1:8">
      <c r="A134" s="4">
        <v>45898</v>
      </c>
      <c r="B134" t="s">
        <v>53</v>
      </c>
      <c r="C134" t="s">
        <v>11</v>
      </c>
      <c r="D134" t="s">
        <v>23</v>
      </c>
      <c r="E134" s="6">
        <f>+E133+F133+G133</f>
        <v>818213</v>
      </c>
      <c r="F134" s="6">
        <v>568592</v>
      </c>
      <c r="H134" t="s">
        <v>118</v>
      </c>
    </row>
    <row r="135" spans="1:8">
      <c r="A135" s="4">
        <v>45898</v>
      </c>
      <c r="B135" t="s">
        <v>84</v>
      </c>
      <c r="C135" t="s">
        <v>11</v>
      </c>
      <c r="D135" t="s">
        <v>21</v>
      </c>
      <c r="E135" s="6">
        <f>+E134+F134+G134</f>
        <v>1386805</v>
      </c>
      <c r="F135" s="6">
        <v>568757</v>
      </c>
      <c r="H135" t="s">
        <v>116</v>
      </c>
    </row>
    <row r="136" spans="1:8">
      <c r="A136" s="4">
        <v>45902</v>
      </c>
      <c r="B136" t="s">
        <v>73</v>
      </c>
      <c r="C136" t="s">
        <v>20</v>
      </c>
      <c r="D136" t="s">
        <v>29</v>
      </c>
      <c r="E136" s="6">
        <f>+E135+F135+G135</f>
        <v>1955562</v>
      </c>
      <c r="G136" s="6">
        <v>-568757</v>
      </c>
      <c r="H136" t="s">
        <v>116</v>
      </c>
    </row>
    <row r="137" spans="1:8">
      <c r="A137" s="4">
        <v>45903</v>
      </c>
      <c r="B137" t="s">
        <v>33</v>
      </c>
      <c r="C137" t="s">
        <v>11</v>
      </c>
      <c r="D137" t="s">
        <v>26</v>
      </c>
      <c r="E137" s="6">
        <f>+E136+F136+G136</f>
        <v>1386805</v>
      </c>
      <c r="F137" s="6">
        <v>558383</v>
      </c>
      <c r="H137" t="s">
        <v>119</v>
      </c>
    </row>
    <row r="138" spans="1:8">
      <c r="A138" s="4">
        <v>45903</v>
      </c>
      <c r="B138" t="s">
        <v>114</v>
      </c>
      <c r="C138" t="s">
        <v>12</v>
      </c>
      <c r="D138" t="s">
        <v>27</v>
      </c>
      <c r="E138" s="6">
        <f>+E137+F137+G137</f>
        <v>1945188</v>
      </c>
      <c r="F138" s="6">
        <v>1</v>
      </c>
    </row>
    <row r="139" spans="1:8">
      <c r="A139" s="4">
        <v>45903</v>
      </c>
      <c r="B139" t="s">
        <v>34</v>
      </c>
      <c r="C139" t="s">
        <v>12</v>
      </c>
      <c r="D139" t="s">
        <v>27</v>
      </c>
      <c r="E139" s="6">
        <f>+E138+F138+G138</f>
        <v>1945189</v>
      </c>
      <c r="F139" s="6">
        <v>369627</v>
      </c>
      <c r="H139" t="s">
        <v>102</v>
      </c>
    </row>
    <row r="140" spans="1:8">
      <c r="A140" s="4">
        <v>45903</v>
      </c>
      <c r="B140" t="s">
        <v>62</v>
      </c>
      <c r="C140" t="s">
        <v>20</v>
      </c>
      <c r="D140" t="s">
        <v>29</v>
      </c>
      <c r="E140" s="6">
        <f>+E139+F139+G139</f>
        <v>2314816</v>
      </c>
      <c r="F140" s="6">
        <v>1000000</v>
      </c>
    </row>
    <row r="141" spans="1:8">
      <c r="A141" s="4">
        <v>45904</v>
      </c>
      <c r="B141" t="s">
        <v>62</v>
      </c>
      <c r="C141" t="s">
        <v>20</v>
      </c>
      <c r="D141" t="s">
        <v>29</v>
      </c>
      <c r="E141" s="6">
        <f>+E140+F140+G140</f>
        <v>3314816</v>
      </c>
      <c r="F141" s="6">
        <v>5000000</v>
      </c>
    </row>
    <row r="142" spans="1:8">
      <c r="A142" s="4">
        <v>45904</v>
      </c>
      <c r="B142" t="s">
        <v>62</v>
      </c>
      <c r="C142" t="s">
        <v>20</v>
      </c>
      <c r="D142" t="s">
        <v>29</v>
      </c>
      <c r="E142" s="6">
        <f>+E141+F141+G141</f>
        <v>8314816</v>
      </c>
      <c r="F142" s="6">
        <v>5000000</v>
      </c>
    </row>
    <row r="143" spans="1:8">
      <c r="A143" s="4">
        <v>45904</v>
      </c>
      <c r="B143" t="s">
        <v>62</v>
      </c>
      <c r="C143" t="s">
        <v>20</v>
      </c>
      <c r="D143" t="s">
        <v>29</v>
      </c>
      <c r="E143" s="6">
        <f>+E142+F142+G142</f>
        <v>13314816</v>
      </c>
      <c r="F143" s="6">
        <v>5000000</v>
      </c>
    </row>
    <row r="144" spans="1:8">
      <c r="A144" s="4">
        <v>45904</v>
      </c>
      <c r="B144" t="s">
        <v>62</v>
      </c>
      <c r="C144" t="s">
        <v>20</v>
      </c>
      <c r="D144" t="s">
        <v>29</v>
      </c>
      <c r="E144" s="6">
        <f>+E143+F143+G143</f>
        <v>18314816</v>
      </c>
      <c r="F144" s="6">
        <v>5000000</v>
      </c>
    </row>
    <row r="145" spans="1:8">
      <c r="A145" s="4">
        <v>45904</v>
      </c>
      <c r="B145" t="s">
        <v>62</v>
      </c>
      <c r="C145" t="s">
        <v>20</v>
      </c>
      <c r="D145" t="s">
        <v>29</v>
      </c>
      <c r="E145" s="6">
        <f>+E144+F144+G144</f>
        <v>23314816</v>
      </c>
      <c r="F145" s="6">
        <v>5000000</v>
      </c>
    </row>
    <row r="146" spans="1:8">
      <c r="A146" s="4">
        <v>45904</v>
      </c>
      <c r="B146" t="s">
        <v>62</v>
      </c>
      <c r="C146" t="s">
        <v>20</v>
      </c>
      <c r="D146" t="s">
        <v>29</v>
      </c>
      <c r="E146" s="6">
        <f>+E145+F145+G145</f>
        <v>28314816</v>
      </c>
      <c r="F146" s="6">
        <v>5000000</v>
      </c>
    </row>
    <row r="147" spans="1:8">
      <c r="A147" s="4">
        <v>45904</v>
      </c>
      <c r="B147" t="s">
        <v>62</v>
      </c>
      <c r="C147" t="s">
        <v>20</v>
      </c>
      <c r="D147" t="s">
        <v>29</v>
      </c>
      <c r="E147" s="6">
        <f>+E146+F146+G146</f>
        <v>33314816</v>
      </c>
      <c r="F147" s="6">
        <v>5000000</v>
      </c>
    </row>
    <row r="148" spans="1:8">
      <c r="A148" s="4">
        <v>45904</v>
      </c>
      <c r="B148" t="s">
        <v>62</v>
      </c>
      <c r="C148" t="s">
        <v>20</v>
      </c>
      <c r="D148" t="s">
        <v>29</v>
      </c>
      <c r="E148" s="6">
        <f>+E147+F147+G147</f>
        <v>38314816</v>
      </c>
      <c r="F148" s="6">
        <v>5000000</v>
      </c>
    </row>
    <row r="149" spans="1:8">
      <c r="A149" s="4">
        <v>45904</v>
      </c>
      <c r="B149" t="s">
        <v>64</v>
      </c>
      <c r="C149" t="s">
        <v>16</v>
      </c>
      <c r="E149" s="6">
        <f>+E148+F148+G148</f>
        <v>43314816</v>
      </c>
      <c r="F149" s="6">
        <v>10023975</v>
      </c>
    </row>
    <row r="150" spans="1:8">
      <c r="A150" s="4">
        <v>45904</v>
      </c>
      <c r="B150" t="s">
        <v>36</v>
      </c>
      <c r="C150" t="s">
        <v>12</v>
      </c>
      <c r="D150" t="s">
        <v>22</v>
      </c>
      <c r="E150" s="6">
        <f>+E149+F149+G149</f>
        <v>53338791</v>
      </c>
      <c r="F150" s="6">
        <v>1917020</v>
      </c>
      <c r="H150" t="s">
        <v>122</v>
      </c>
    </row>
    <row r="151" spans="1:8">
      <c r="A151" s="4">
        <v>45905</v>
      </c>
      <c r="B151" t="s">
        <v>73</v>
      </c>
      <c r="C151" t="s">
        <v>11</v>
      </c>
      <c r="D151" t="s">
        <v>26</v>
      </c>
      <c r="E151" s="6">
        <f>+E150+F150+G150</f>
        <v>55255811</v>
      </c>
      <c r="G151" s="6">
        <v>-558383</v>
      </c>
      <c r="H151" t="s">
        <v>119</v>
      </c>
    </row>
    <row r="152" spans="1:8">
      <c r="A152" s="4">
        <v>45905</v>
      </c>
      <c r="B152" t="s">
        <v>73</v>
      </c>
      <c r="C152" t="s">
        <v>11</v>
      </c>
      <c r="D152" t="s">
        <v>23</v>
      </c>
      <c r="E152" s="6">
        <f>+E151+F151+G151</f>
        <v>54697428</v>
      </c>
      <c r="G152" s="6">
        <v>-568592</v>
      </c>
      <c r="H152" t="s">
        <v>118</v>
      </c>
    </row>
    <row r="153" spans="1:8">
      <c r="A153" s="4">
        <v>45905</v>
      </c>
      <c r="B153" t="s">
        <v>73</v>
      </c>
      <c r="C153" t="s">
        <v>11</v>
      </c>
      <c r="D153" t="s">
        <v>81</v>
      </c>
      <c r="E153" s="6">
        <f>+E152+F152+G152</f>
        <v>54128836</v>
      </c>
      <c r="G153" s="6">
        <v>-731015</v>
      </c>
      <c r="H153" t="s">
        <v>117</v>
      </c>
    </row>
    <row r="154" spans="1:8">
      <c r="A154" s="4">
        <v>45905</v>
      </c>
      <c r="B154" t="s">
        <v>38</v>
      </c>
      <c r="C154" t="s">
        <v>12</v>
      </c>
      <c r="D154" t="s">
        <v>24</v>
      </c>
      <c r="E154" s="6">
        <f>+E153+F153+G153</f>
        <v>53397821</v>
      </c>
      <c r="F154" s="6">
        <v>569744</v>
      </c>
      <c r="H154" t="s">
        <v>124</v>
      </c>
    </row>
    <row r="155" spans="1:8">
      <c r="A155" s="4">
        <v>45905</v>
      </c>
      <c r="B155" t="s">
        <v>65</v>
      </c>
      <c r="C155" t="s">
        <v>17</v>
      </c>
      <c r="E155" s="6">
        <f>+E154+F154+G154</f>
        <v>53967565</v>
      </c>
      <c r="G155" s="6">
        <v>-28072500</v>
      </c>
      <c r="H155" t="s">
        <v>121</v>
      </c>
    </row>
    <row r="156" spans="1:8">
      <c r="A156" s="4">
        <v>45905</v>
      </c>
      <c r="B156" t="s">
        <v>40</v>
      </c>
      <c r="C156" t="s">
        <v>17</v>
      </c>
      <c r="E156" s="6">
        <f>+E155+F155+G155</f>
        <v>25895065</v>
      </c>
      <c r="G156" s="6">
        <v>-23940000</v>
      </c>
      <c r="H156" t="s">
        <v>120</v>
      </c>
    </row>
    <row r="157" spans="1:8">
      <c r="A157" s="4">
        <v>45905</v>
      </c>
      <c r="B157" t="s">
        <v>40</v>
      </c>
      <c r="C157" t="s">
        <v>9</v>
      </c>
      <c r="E157" s="6">
        <f>+E156+F156+G156</f>
        <v>1955065</v>
      </c>
      <c r="G157" s="6">
        <v>-100000</v>
      </c>
      <c r="H157" t="s">
        <v>41</v>
      </c>
    </row>
    <row r="158" spans="1:8">
      <c r="A158" s="4">
        <v>45910</v>
      </c>
      <c r="B158" t="s">
        <v>39</v>
      </c>
      <c r="C158" t="s">
        <v>9</v>
      </c>
      <c r="E158" s="6">
        <f>+E157+F157+G157</f>
        <v>1855065</v>
      </c>
      <c r="G158" s="6">
        <v>-13150</v>
      </c>
      <c r="H158" t="s">
        <v>42</v>
      </c>
    </row>
    <row r="159" spans="1:8">
      <c r="A159" s="4">
        <v>45926</v>
      </c>
      <c r="B159" t="s">
        <v>85</v>
      </c>
      <c r="C159" t="s">
        <v>9</v>
      </c>
      <c r="E159" s="6">
        <f>+E158+F158+G158</f>
        <v>1841915</v>
      </c>
      <c r="G159" s="6">
        <v>-7876</v>
      </c>
    </row>
    <row r="160" spans="1:8">
      <c r="A160" s="4">
        <v>45932</v>
      </c>
      <c r="B160" t="s">
        <v>34</v>
      </c>
      <c r="C160" t="s">
        <v>12</v>
      </c>
      <c r="D160" t="s">
        <v>27</v>
      </c>
      <c r="E160" s="6">
        <f>+E159+F159+G159</f>
        <v>1834039</v>
      </c>
      <c r="F160" s="6">
        <v>370376</v>
      </c>
      <c r="H160" t="s">
        <v>103</v>
      </c>
    </row>
    <row r="161" spans="1:8">
      <c r="A161" s="4">
        <v>45932</v>
      </c>
      <c r="B161" t="s">
        <v>40</v>
      </c>
      <c r="C161" t="s">
        <v>9</v>
      </c>
      <c r="E161" s="6">
        <f>+E160+F160+G160</f>
        <v>2204415</v>
      </c>
      <c r="G161" s="6">
        <v>-100000</v>
      </c>
      <c r="H161" t="s">
        <v>111</v>
      </c>
    </row>
    <row r="162" spans="1:8">
      <c r="A162" s="4">
        <v>45933</v>
      </c>
      <c r="B162" t="s">
        <v>36</v>
      </c>
      <c r="C162" t="s">
        <v>12</v>
      </c>
      <c r="D162" t="s">
        <v>22</v>
      </c>
      <c r="E162" s="6">
        <f>+E161+F161+G161</f>
        <v>2104415</v>
      </c>
      <c r="F162" s="6">
        <v>1919792</v>
      </c>
      <c r="H162" t="s">
        <v>123</v>
      </c>
    </row>
    <row r="163" spans="1:8">
      <c r="A163" s="4">
        <v>45936</v>
      </c>
      <c r="B163" t="s">
        <v>38</v>
      </c>
      <c r="C163" t="s">
        <v>12</v>
      </c>
      <c r="D163" t="s">
        <v>24</v>
      </c>
      <c r="E163" s="6">
        <f>+E162+F162+G162</f>
        <v>4024207</v>
      </c>
      <c r="F163" s="6">
        <v>570568</v>
      </c>
      <c r="H163" t="s">
        <v>125</v>
      </c>
    </row>
    <row r="164" spans="1:8">
      <c r="A164" s="4">
        <v>45938</v>
      </c>
      <c r="B164" t="s">
        <v>126</v>
      </c>
      <c r="C164" t="s">
        <v>16</v>
      </c>
      <c r="E164" s="6">
        <f>+E163+F163+G163</f>
        <v>4594775</v>
      </c>
      <c r="G164" s="6">
        <v>-4400000</v>
      </c>
    </row>
    <row r="165" spans="1:8">
      <c r="A165" s="4">
        <v>45940</v>
      </c>
      <c r="B165" t="s">
        <v>39</v>
      </c>
      <c r="C165" t="s">
        <v>9</v>
      </c>
      <c r="E165" s="6">
        <f>+E164+F164+G164</f>
        <v>194775</v>
      </c>
      <c r="G165" s="6">
        <v>-7141</v>
      </c>
    </row>
    <row r="166" spans="1:8">
      <c r="A166" s="4">
        <v>45958</v>
      </c>
      <c r="B166" t="s">
        <v>85</v>
      </c>
      <c r="C166" t="s">
        <v>9</v>
      </c>
      <c r="E166" s="6">
        <f>+E165+F165+G165</f>
        <v>187634</v>
      </c>
      <c r="G166" s="6">
        <v>-7901</v>
      </c>
    </row>
    <row r="167" spans="1:8">
      <c r="A167" s="4">
        <v>45964</v>
      </c>
      <c r="B167" t="s">
        <v>34</v>
      </c>
      <c r="C167" t="s">
        <v>12</v>
      </c>
      <c r="D167" t="s">
        <v>27</v>
      </c>
      <c r="E167" s="6">
        <f>+E166+F166+G166</f>
        <v>179733</v>
      </c>
      <c r="F167" s="6">
        <v>371570</v>
      </c>
      <c r="H167" t="s">
        <v>113</v>
      </c>
    </row>
    <row r="168" spans="1:8">
      <c r="A168" s="4">
        <v>45965</v>
      </c>
      <c r="B168" t="s">
        <v>40</v>
      </c>
      <c r="C168" t="s">
        <v>9</v>
      </c>
      <c r="E168" s="6">
        <f>+E167+F167+G167</f>
        <v>551303</v>
      </c>
      <c r="G168" s="6">
        <v>-100000</v>
      </c>
      <c r="H168" t="s">
        <v>41</v>
      </c>
    </row>
    <row r="169" spans="1:8">
      <c r="A169" s="4">
        <v>45966</v>
      </c>
      <c r="B169" t="s">
        <v>36</v>
      </c>
      <c r="C169" t="s">
        <v>12</v>
      </c>
      <c r="D169" t="s">
        <v>22</v>
      </c>
      <c r="E169" s="6">
        <f>+E168+F168+G168</f>
        <v>451303</v>
      </c>
      <c r="F169" s="6">
        <v>1926231</v>
      </c>
      <c r="H169" t="s">
        <v>132</v>
      </c>
    </row>
    <row r="170" spans="1:8">
      <c r="A170" s="4">
        <v>45966</v>
      </c>
      <c r="B170" t="s">
        <v>38</v>
      </c>
      <c r="C170" t="s">
        <v>12</v>
      </c>
      <c r="D170" t="s">
        <v>24</v>
      </c>
      <c r="E170" s="6">
        <f>+E169+F169+G169</f>
        <v>2377534</v>
      </c>
      <c r="F170" s="6">
        <v>572555</v>
      </c>
      <c r="H170" t="s">
        <v>134</v>
      </c>
    </row>
    <row r="171" spans="1:8">
      <c r="A171" s="4">
        <v>45966</v>
      </c>
      <c r="B171" t="s">
        <v>127</v>
      </c>
      <c r="C171" t="s">
        <v>16</v>
      </c>
      <c r="E171" s="6">
        <f>+E170+F170+G170</f>
        <v>2950089</v>
      </c>
      <c r="G171" s="6">
        <v>-2000000</v>
      </c>
    </row>
    <row r="172" spans="1:8">
      <c r="A172" s="4">
        <v>45972</v>
      </c>
      <c r="B172" t="s">
        <v>39</v>
      </c>
      <c r="C172" t="s">
        <v>9</v>
      </c>
      <c r="E172" s="6">
        <f>+E171+F171+G171</f>
        <v>950089</v>
      </c>
      <c r="G172" s="6">
        <v>-7152</v>
      </c>
    </row>
    <row r="173" spans="1:8">
      <c r="A173" s="4">
        <v>45987</v>
      </c>
      <c r="B173" t="s">
        <v>85</v>
      </c>
      <c r="C173" t="s">
        <v>9</v>
      </c>
      <c r="E173" s="6">
        <f>+E172+F172+G172</f>
        <v>942937</v>
      </c>
      <c r="G173" s="6">
        <v>-7922</v>
      </c>
    </row>
    <row r="174" spans="1:8">
      <c r="A174" s="4">
        <v>45993</v>
      </c>
      <c r="B174" t="s">
        <v>34</v>
      </c>
      <c r="C174" t="s">
        <v>12</v>
      </c>
      <c r="D174" t="s">
        <v>27</v>
      </c>
      <c r="E174" s="6">
        <f>+E173+F173+G173</f>
        <v>935015</v>
      </c>
      <c r="F174" s="6">
        <v>371857</v>
      </c>
      <c r="H174" t="s">
        <v>124</v>
      </c>
    </row>
    <row r="175" spans="1:8">
      <c r="A175" s="4">
        <v>45995</v>
      </c>
      <c r="B175" t="s">
        <v>40</v>
      </c>
      <c r="C175" t="s">
        <v>9</v>
      </c>
      <c r="E175" s="6">
        <f>+E174+F174+G174</f>
        <v>1306872</v>
      </c>
      <c r="G175" s="6">
        <v>-100000</v>
      </c>
      <c r="H175" t="s">
        <v>41</v>
      </c>
    </row>
    <row r="176" spans="1:8">
      <c r="A176" s="4">
        <v>45996</v>
      </c>
      <c r="B176" t="s">
        <v>36</v>
      </c>
      <c r="C176" t="s">
        <v>12</v>
      </c>
      <c r="D176" t="s">
        <v>22</v>
      </c>
      <c r="E176" s="6">
        <f>+E175+F175+G175</f>
        <v>1206872</v>
      </c>
      <c r="F176" s="6">
        <v>1927471</v>
      </c>
      <c r="H176" t="s">
        <v>133</v>
      </c>
    </row>
    <row r="177" spans="1:8">
      <c r="A177" s="4">
        <v>45996</v>
      </c>
      <c r="B177" t="s">
        <v>64</v>
      </c>
      <c r="C177" t="s">
        <v>16</v>
      </c>
      <c r="E177" s="6">
        <f>+E176+F176+G176</f>
        <v>3134343</v>
      </c>
      <c r="F177" s="6">
        <v>6408677</v>
      </c>
    </row>
    <row r="178" spans="1:8">
      <c r="A178" s="4">
        <v>46000</v>
      </c>
      <c r="B178" t="s">
        <v>38</v>
      </c>
      <c r="C178" t="s">
        <v>12</v>
      </c>
      <c r="D178" t="s">
        <v>24</v>
      </c>
      <c r="E178" s="6">
        <f>+E177+F177+G177</f>
        <v>9543020</v>
      </c>
      <c r="F178" s="6">
        <v>572850</v>
      </c>
      <c r="H178" t="s">
        <v>135</v>
      </c>
    </row>
    <row r="179" spans="1:8">
      <c r="A179" s="4">
        <v>46000</v>
      </c>
      <c r="B179" t="s">
        <v>62</v>
      </c>
      <c r="C179" t="s">
        <v>20</v>
      </c>
      <c r="D179" t="s">
        <v>29</v>
      </c>
      <c r="E179" s="6">
        <f>+E178+F178+G178</f>
        <v>10115870</v>
      </c>
      <c r="F179" s="6">
        <v>5000000</v>
      </c>
    </row>
    <row r="180" spans="1:8">
      <c r="A180" s="4">
        <v>46000</v>
      </c>
      <c r="B180" t="s">
        <v>62</v>
      </c>
      <c r="C180" t="s">
        <v>20</v>
      </c>
      <c r="D180" t="s">
        <v>29</v>
      </c>
      <c r="E180" s="6">
        <f>+E179+F179+G179</f>
        <v>15115870</v>
      </c>
      <c r="F180" s="6">
        <v>5000000</v>
      </c>
    </row>
    <row r="181" spans="1:8">
      <c r="A181" s="4">
        <v>46000</v>
      </c>
      <c r="B181" t="s">
        <v>62</v>
      </c>
      <c r="C181" t="s">
        <v>20</v>
      </c>
      <c r="D181" t="s">
        <v>29</v>
      </c>
      <c r="E181" s="6">
        <f>+E180+F180+G180</f>
        <v>20115870</v>
      </c>
      <c r="F181" s="6">
        <v>5000000</v>
      </c>
    </row>
    <row r="182" spans="1:8">
      <c r="A182" s="4">
        <v>46000</v>
      </c>
      <c r="B182" t="s">
        <v>62</v>
      </c>
      <c r="C182" t="s">
        <v>20</v>
      </c>
      <c r="D182" t="s">
        <v>29</v>
      </c>
      <c r="E182" s="6">
        <f>+E181+F181+G181</f>
        <v>25115870</v>
      </c>
      <c r="F182" s="6">
        <v>5000000</v>
      </c>
    </row>
    <row r="183" spans="1:8">
      <c r="A183" s="4">
        <v>46000</v>
      </c>
      <c r="B183" t="s">
        <v>62</v>
      </c>
      <c r="C183" t="s">
        <v>20</v>
      </c>
      <c r="D183" t="s">
        <v>29</v>
      </c>
      <c r="E183" s="6">
        <f>+E182+F182+G182</f>
        <v>30115870</v>
      </c>
      <c r="F183" s="6">
        <v>5000000</v>
      </c>
    </row>
    <row r="184" spans="1:8">
      <c r="A184" s="4">
        <v>46000</v>
      </c>
      <c r="B184" t="s">
        <v>62</v>
      </c>
      <c r="C184" t="s">
        <v>20</v>
      </c>
      <c r="D184" t="s">
        <v>29</v>
      </c>
      <c r="E184" s="6">
        <f>+E183+F183+G183</f>
        <v>35115870</v>
      </c>
      <c r="F184" s="6">
        <v>5000000</v>
      </c>
    </row>
    <row r="185" spans="1:8">
      <c r="A185" s="4">
        <v>46000</v>
      </c>
      <c r="B185" t="s">
        <v>62</v>
      </c>
      <c r="C185" t="s">
        <v>20</v>
      </c>
      <c r="D185" t="s">
        <v>29</v>
      </c>
      <c r="E185" s="6">
        <f>+E184+F184+G184</f>
        <v>40115870</v>
      </c>
      <c r="F185" s="6">
        <v>5000000</v>
      </c>
    </row>
    <row r="186" spans="1:8">
      <c r="A186" s="4">
        <v>46000</v>
      </c>
      <c r="B186" t="s">
        <v>62</v>
      </c>
      <c r="C186" t="s">
        <v>20</v>
      </c>
      <c r="D186" t="s">
        <v>29</v>
      </c>
      <c r="E186" s="6">
        <f>+E185+F185+G185</f>
        <v>45115870</v>
      </c>
      <c r="F186" s="6">
        <v>5000000</v>
      </c>
    </row>
    <row r="187" spans="1:8">
      <c r="A187" s="4">
        <v>46000</v>
      </c>
      <c r="B187" t="s">
        <v>62</v>
      </c>
      <c r="C187" t="s">
        <v>20</v>
      </c>
      <c r="D187" t="s">
        <v>29</v>
      </c>
      <c r="E187" s="6">
        <f>+E186+F186+G186</f>
        <v>50115870</v>
      </c>
      <c r="F187" s="6">
        <v>5000000</v>
      </c>
    </row>
    <row r="188" spans="1:8">
      <c r="A188" s="4">
        <v>46000</v>
      </c>
      <c r="B188" t="s">
        <v>62</v>
      </c>
      <c r="C188" t="s">
        <v>20</v>
      </c>
      <c r="D188" t="s">
        <v>29</v>
      </c>
      <c r="E188" s="6">
        <f>+E187+F187+G187</f>
        <v>55115870</v>
      </c>
      <c r="F188" s="6">
        <v>3500000</v>
      </c>
    </row>
    <row r="189" spans="1:8">
      <c r="A189" s="4">
        <v>46000</v>
      </c>
      <c r="B189" t="s">
        <v>128</v>
      </c>
      <c r="C189" t="s">
        <v>17</v>
      </c>
      <c r="E189" s="6">
        <f>+E188+F188+G188</f>
        <v>58615870</v>
      </c>
      <c r="G189" s="6">
        <v>-200000</v>
      </c>
      <c r="H189" t="s">
        <v>130</v>
      </c>
    </row>
    <row r="190" spans="1:8">
      <c r="A190" s="4">
        <v>46000</v>
      </c>
      <c r="B190" t="s">
        <v>65</v>
      </c>
      <c r="C190" t="s">
        <v>17</v>
      </c>
      <c r="D190" t="s">
        <v>30</v>
      </c>
      <c r="E190" s="6">
        <f>+E189+F189+G189</f>
        <v>58415870</v>
      </c>
      <c r="G190" s="6">
        <v>-31027500</v>
      </c>
      <c r="H190" t="s">
        <v>129</v>
      </c>
    </row>
    <row r="191" spans="1:8">
      <c r="A191" s="4">
        <v>46000</v>
      </c>
      <c r="B191" t="s">
        <v>128</v>
      </c>
      <c r="C191" t="s">
        <v>17</v>
      </c>
      <c r="E191" s="6">
        <f>+E190+F190+G190</f>
        <v>27388370</v>
      </c>
      <c r="G191" s="6">
        <v>-26260000</v>
      </c>
      <c r="H191" t="s">
        <v>131</v>
      </c>
    </row>
    <row r="192" spans="1:8">
      <c r="A192" s="4">
        <v>46001</v>
      </c>
      <c r="B192" t="s">
        <v>39</v>
      </c>
      <c r="C192" t="s">
        <v>9</v>
      </c>
      <c r="E192" s="6">
        <f>+E191+F191+G191</f>
        <v>1128370</v>
      </c>
      <c r="G192" s="6">
        <v>-7176</v>
      </c>
    </row>
    <row r="193" spans="1:7">
      <c r="A193" s="4">
        <v>46017</v>
      </c>
      <c r="B193" t="s">
        <v>85</v>
      </c>
      <c r="C193" t="s">
        <v>9</v>
      </c>
      <c r="E193" s="6">
        <f>+E192+F192+G192</f>
        <v>1121194</v>
      </c>
      <c r="G193" s="6">
        <v>-7933</v>
      </c>
    </row>
    <row r="194" spans="1:7">
      <c r="E194" s="6">
        <f>+E193+F193+G193</f>
        <v>1113261</v>
      </c>
    </row>
  </sheetData>
  <autoFilter ref="A1:AA194" xr:uid="{00000000-0001-0000-0000-000000000000}"/>
  <phoneticPr fontId="4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D2:D1212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F1C-7166-4880-890E-240EB8982603}">
  <dimension ref="F1:S993"/>
  <sheetViews>
    <sheetView workbookViewId="0">
      <selection activeCell="O18" sqref="O18"/>
    </sheetView>
  </sheetViews>
  <sheetFormatPr defaultRowHeight="14.4"/>
  <cols>
    <col min="12" max="12" width="15.6640625" bestFit="1" customWidth="1"/>
    <col min="19" max="19" width="13.44140625" customWidth="1"/>
  </cols>
  <sheetData>
    <row r="1" spans="6:19" ht="16.2" thickBot="1">
      <c r="F1" s="12">
        <v>38409.199999999997</v>
      </c>
      <c r="G1" s="7"/>
    </row>
    <row r="2" spans="6:19" ht="40.200000000000003" thickBot="1">
      <c r="F2" s="8" t="s">
        <v>46</v>
      </c>
      <c r="G2" s="8" t="s">
        <v>45</v>
      </c>
    </row>
    <row r="3" spans="6:19" ht="15" thickBot="1">
      <c r="F3" s="13">
        <v>14.45</v>
      </c>
      <c r="G3" s="9">
        <v>22</v>
      </c>
      <c r="H3">
        <f>+F3*G3</f>
        <v>317.89999999999998</v>
      </c>
      <c r="J3">
        <f>SUM(H:H)</f>
        <v>8163.7150000000001</v>
      </c>
      <c r="L3" s="6">
        <f>+J3*38416</f>
        <v>313617275.44</v>
      </c>
    </row>
    <row r="4" spans="6:19" ht="15" thickBot="1">
      <c r="F4" s="14"/>
      <c r="G4" s="9">
        <v>0</v>
      </c>
      <c r="H4">
        <f t="shared" ref="H4:H67" si="0">+F4*G4</f>
        <v>0</v>
      </c>
    </row>
    <row r="5" spans="6:19" ht="15" thickBot="1">
      <c r="F5" s="15">
        <v>24.31</v>
      </c>
      <c r="G5" s="9">
        <v>15</v>
      </c>
      <c r="H5">
        <f>+F5*G5</f>
        <v>364.65</v>
      </c>
    </row>
    <row r="6" spans="6:19" ht="15" thickBot="1">
      <c r="F6" s="14"/>
      <c r="G6" s="9">
        <v>0</v>
      </c>
      <c r="H6">
        <f t="shared" si="0"/>
        <v>0</v>
      </c>
    </row>
    <row r="7" spans="6:19" ht="40.200000000000003" thickBot="1">
      <c r="F7" s="13">
        <v>14.45</v>
      </c>
      <c r="G7" s="9">
        <v>26</v>
      </c>
      <c r="H7">
        <f t="shared" si="0"/>
        <v>375.7</v>
      </c>
      <c r="N7" s="17" t="s">
        <v>46</v>
      </c>
      <c r="O7" s="18" t="s">
        <v>47</v>
      </c>
      <c r="P7" s="18" t="s">
        <v>45</v>
      </c>
    </row>
    <row r="8" spans="6:19" ht="15" thickBot="1">
      <c r="F8" s="15">
        <v>24.31</v>
      </c>
      <c r="G8" s="9">
        <v>15</v>
      </c>
      <c r="H8">
        <f t="shared" si="0"/>
        <v>364.65</v>
      </c>
      <c r="N8" s="13">
        <v>14.45</v>
      </c>
      <c r="O8" s="19">
        <v>26</v>
      </c>
      <c r="P8" s="19">
        <v>22</v>
      </c>
      <c r="Q8">
        <f>+P8*N8</f>
        <v>317.89999999999998</v>
      </c>
      <c r="S8" s="6">
        <f>SUM(Q8:Q17)*38416</f>
        <v>131521401.75999999</v>
      </c>
    </row>
    <row r="9" spans="6:19" ht="15" thickBot="1">
      <c r="F9" s="13">
        <v>18.61</v>
      </c>
      <c r="G9" s="9">
        <v>15</v>
      </c>
      <c r="H9">
        <f t="shared" si="0"/>
        <v>279.14999999999998</v>
      </c>
      <c r="N9" s="15">
        <v>24.31</v>
      </c>
      <c r="O9" s="19">
        <v>21</v>
      </c>
      <c r="P9" s="19">
        <v>15</v>
      </c>
      <c r="Q9">
        <f t="shared" ref="Q9:Q17" si="1">+P9*N9</f>
        <v>364.65</v>
      </c>
    </row>
    <row r="10" spans="6:19" ht="15" thickBot="1">
      <c r="F10" s="14"/>
      <c r="G10" s="9">
        <v>0</v>
      </c>
      <c r="H10">
        <f t="shared" si="0"/>
        <v>0</v>
      </c>
      <c r="N10" s="13">
        <v>14.45</v>
      </c>
      <c r="O10" s="19">
        <v>18</v>
      </c>
      <c r="P10" s="19">
        <v>30</v>
      </c>
      <c r="Q10">
        <f t="shared" si="1"/>
        <v>433.5</v>
      </c>
    </row>
    <row r="11" spans="6:19" ht="15" thickBot="1">
      <c r="F11" s="13">
        <v>14.45</v>
      </c>
      <c r="G11" s="9">
        <v>26</v>
      </c>
      <c r="H11">
        <f t="shared" si="0"/>
        <v>375.7</v>
      </c>
      <c r="N11" s="15">
        <v>24.31</v>
      </c>
      <c r="O11" s="19">
        <v>21</v>
      </c>
      <c r="P11" s="19">
        <v>15</v>
      </c>
      <c r="Q11">
        <f t="shared" si="1"/>
        <v>364.65</v>
      </c>
    </row>
    <row r="12" spans="6:19" ht="15" thickBot="1">
      <c r="F12" s="13">
        <v>13.89</v>
      </c>
      <c r="G12" s="9">
        <v>26</v>
      </c>
      <c r="H12">
        <f t="shared" si="0"/>
        <v>361.14</v>
      </c>
      <c r="N12" s="13">
        <v>18.61</v>
      </c>
      <c r="O12" s="19">
        <v>21</v>
      </c>
      <c r="P12" s="19">
        <v>15</v>
      </c>
      <c r="Q12">
        <f t="shared" si="1"/>
        <v>279.14999999999998</v>
      </c>
    </row>
    <row r="13" spans="6:19" ht="15" thickBot="1">
      <c r="F13" s="14"/>
      <c r="G13" s="9">
        <v>0</v>
      </c>
      <c r="H13">
        <f t="shared" si="0"/>
        <v>0</v>
      </c>
      <c r="N13" s="13">
        <v>14.45</v>
      </c>
      <c r="O13" s="19">
        <v>22</v>
      </c>
      <c r="P13" s="19">
        <v>26</v>
      </c>
      <c r="Q13">
        <f t="shared" si="1"/>
        <v>375.7</v>
      </c>
    </row>
    <row r="14" spans="6:19" ht="15" thickBot="1">
      <c r="F14" s="13">
        <v>13.61</v>
      </c>
      <c r="G14" s="9">
        <v>48</v>
      </c>
      <c r="H14">
        <f t="shared" si="0"/>
        <v>653.28</v>
      </c>
      <c r="N14" s="13">
        <v>13.89</v>
      </c>
      <c r="O14" s="19">
        <v>22</v>
      </c>
      <c r="P14" s="19">
        <v>26</v>
      </c>
      <c r="Q14">
        <f t="shared" si="1"/>
        <v>361.14</v>
      </c>
    </row>
    <row r="15" spans="6:19" ht="15" thickBot="1">
      <c r="F15" s="14"/>
      <c r="G15" s="9">
        <v>0</v>
      </c>
      <c r="H15">
        <f t="shared" si="0"/>
        <v>0</v>
      </c>
      <c r="N15" s="13">
        <v>18.77</v>
      </c>
      <c r="O15" s="19">
        <v>19</v>
      </c>
      <c r="P15" s="19">
        <v>29</v>
      </c>
      <c r="Q15">
        <f t="shared" si="1"/>
        <v>544.33000000000004</v>
      </c>
    </row>
    <row r="16" spans="6:19" ht="15" thickBot="1">
      <c r="F16" s="14"/>
      <c r="G16" s="9">
        <v>0</v>
      </c>
      <c r="H16">
        <f t="shared" si="0"/>
        <v>0</v>
      </c>
      <c r="N16" s="13">
        <v>14.17</v>
      </c>
      <c r="O16" s="19">
        <v>21</v>
      </c>
      <c r="P16" s="19">
        <v>27</v>
      </c>
      <c r="Q16">
        <f t="shared" si="1"/>
        <v>382.59</v>
      </c>
    </row>
    <row r="17" spans="6:17" ht="15" thickBot="1">
      <c r="F17" s="14"/>
      <c r="G17" s="9">
        <v>0</v>
      </c>
      <c r="H17">
        <f t="shared" si="0"/>
        <v>0</v>
      </c>
      <c r="N17" s="13">
        <v>19.63</v>
      </c>
      <c r="O17" s="19">
        <v>30</v>
      </c>
      <c r="P17" s="19">
        <v>0</v>
      </c>
      <c r="Q17">
        <f t="shared" si="1"/>
        <v>0</v>
      </c>
    </row>
    <row r="18" spans="6:17" ht="15" thickBot="1">
      <c r="F18" s="13">
        <v>10.625</v>
      </c>
      <c r="G18" s="9">
        <v>47</v>
      </c>
      <c r="H18">
        <f t="shared" si="0"/>
        <v>499.375</v>
      </c>
    </row>
    <row r="19" spans="6:17" ht="15" thickBot="1">
      <c r="F19" s="14"/>
      <c r="G19" s="9">
        <v>0</v>
      </c>
      <c r="H19">
        <f t="shared" si="0"/>
        <v>0</v>
      </c>
    </row>
    <row r="20" spans="6:17" ht="15" thickBot="1">
      <c r="F20" s="14"/>
      <c r="G20" s="9">
        <v>0</v>
      </c>
      <c r="H20">
        <f t="shared" si="0"/>
        <v>0</v>
      </c>
    </row>
    <row r="21" spans="6:17" ht="15" thickBot="1">
      <c r="F21" s="14"/>
      <c r="G21" s="9">
        <v>0</v>
      </c>
      <c r="H21">
        <f t="shared" si="0"/>
        <v>0</v>
      </c>
    </row>
    <row r="22" spans="6:17" ht="15" thickBot="1">
      <c r="F22" s="14"/>
      <c r="G22" s="9">
        <v>0</v>
      </c>
      <c r="H22">
        <f t="shared" si="0"/>
        <v>0</v>
      </c>
    </row>
    <row r="23" spans="6:17" ht="15" thickBot="1">
      <c r="F23" s="14"/>
      <c r="G23" s="9">
        <v>0</v>
      </c>
      <c r="H23">
        <f t="shared" si="0"/>
        <v>0</v>
      </c>
    </row>
    <row r="24" spans="6:17" ht="15" thickBot="1">
      <c r="F24" s="14"/>
      <c r="G24" s="9">
        <v>0</v>
      </c>
      <c r="H24">
        <f t="shared" si="0"/>
        <v>0</v>
      </c>
    </row>
    <row r="25" spans="6:17" ht="15" thickBot="1">
      <c r="F25" s="13">
        <v>18.77</v>
      </c>
      <c r="G25" s="9">
        <v>29</v>
      </c>
      <c r="H25">
        <f t="shared" si="0"/>
        <v>544.33000000000004</v>
      </c>
    </row>
    <row r="26" spans="6:17" ht="15" thickBot="1">
      <c r="F26" s="14"/>
      <c r="G26" s="9">
        <v>0</v>
      </c>
      <c r="H26">
        <f t="shared" si="0"/>
        <v>0</v>
      </c>
    </row>
    <row r="27" spans="6:17" ht="15" thickBot="1">
      <c r="F27" s="14"/>
      <c r="G27" s="9">
        <v>0</v>
      </c>
      <c r="H27">
        <f t="shared" si="0"/>
        <v>0</v>
      </c>
    </row>
    <row r="28" spans="6:17" ht="15" thickBot="1">
      <c r="F28" s="14"/>
      <c r="G28" s="9">
        <v>0</v>
      </c>
      <c r="H28">
        <f t="shared" si="0"/>
        <v>0</v>
      </c>
    </row>
    <row r="29" spans="6:17" ht="15" thickBot="1">
      <c r="F29" s="14"/>
      <c r="G29" s="9">
        <v>0</v>
      </c>
      <c r="H29">
        <f t="shared" si="0"/>
        <v>0</v>
      </c>
    </row>
    <row r="30" spans="6:17" ht="15" thickBot="1">
      <c r="F30" s="13">
        <v>14.17</v>
      </c>
      <c r="G30" s="9">
        <v>28</v>
      </c>
      <c r="H30">
        <f t="shared" si="0"/>
        <v>396.76</v>
      </c>
    </row>
    <row r="31" spans="6:17" ht="15" thickBot="1">
      <c r="F31" s="13">
        <v>6.93</v>
      </c>
      <c r="G31" s="9">
        <v>0</v>
      </c>
      <c r="H31">
        <f t="shared" si="0"/>
        <v>0</v>
      </c>
    </row>
    <row r="32" spans="6:17" ht="15" thickBot="1">
      <c r="F32" s="14"/>
      <c r="G32" s="9">
        <v>0</v>
      </c>
      <c r="H32">
        <f t="shared" si="0"/>
        <v>0</v>
      </c>
    </row>
    <row r="33" spans="6:8" ht="15" thickBot="1">
      <c r="F33" s="14"/>
      <c r="G33" s="9">
        <v>0</v>
      </c>
      <c r="H33">
        <f t="shared" si="0"/>
        <v>0</v>
      </c>
    </row>
    <row r="34" spans="6:8" ht="15" thickBot="1">
      <c r="F34" s="13">
        <v>11.82</v>
      </c>
      <c r="G34" s="9">
        <v>47</v>
      </c>
      <c r="H34">
        <f t="shared" si="0"/>
        <v>555.54</v>
      </c>
    </row>
    <row r="35" spans="6:8" ht="15" thickBot="1">
      <c r="F35" s="14"/>
      <c r="G35" s="9">
        <v>0</v>
      </c>
      <c r="H35">
        <f t="shared" si="0"/>
        <v>0</v>
      </c>
    </row>
    <row r="36" spans="6:8" ht="15" thickBot="1">
      <c r="F36" s="14"/>
      <c r="G36" s="9">
        <v>0</v>
      </c>
      <c r="H36">
        <f t="shared" si="0"/>
        <v>0</v>
      </c>
    </row>
    <row r="37" spans="6:8" ht="15" thickBot="1">
      <c r="F37" s="14"/>
      <c r="G37" s="9">
        <v>0</v>
      </c>
      <c r="H37">
        <f t="shared" si="0"/>
        <v>0</v>
      </c>
    </row>
    <row r="38" spans="6:8" ht="15" thickBot="1">
      <c r="F38" s="14"/>
      <c r="G38" s="9">
        <v>0</v>
      </c>
      <c r="H38">
        <f t="shared" si="0"/>
        <v>0</v>
      </c>
    </row>
    <row r="39" spans="6:8" ht="15" thickBot="1">
      <c r="F39" s="14"/>
      <c r="G39" s="9">
        <v>0</v>
      </c>
      <c r="H39">
        <f t="shared" si="0"/>
        <v>0</v>
      </c>
    </row>
    <row r="40" spans="6:8" ht="15" thickBot="1">
      <c r="F40" s="14"/>
      <c r="G40" s="9">
        <v>0</v>
      </c>
      <c r="H40">
        <f t="shared" si="0"/>
        <v>0</v>
      </c>
    </row>
    <row r="41" spans="6:8" ht="15" thickBot="1">
      <c r="F41" s="14"/>
      <c r="G41" s="9">
        <v>0</v>
      </c>
      <c r="H41">
        <f t="shared" si="0"/>
        <v>0</v>
      </c>
    </row>
    <row r="42" spans="6:8" ht="15" thickBot="1">
      <c r="F42" s="14"/>
      <c r="G42" s="9">
        <v>0</v>
      </c>
      <c r="H42">
        <f t="shared" si="0"/>
        <v>0</v>
      </c>
    </row>
    <row r="43" spans="6:8" ht="15" thickBot="1">
      <c r="F43" s="14"/>
      <c r="G43" s="9">
        <v>0</v>
      </c>
      <c r="H43">
        <f t="shared" si="0"/>
        <v>0</v>
      </c>
    </row>
    <row r="44" spans="6:8" ht="15" thickBot="1">
      <c r="F44" s="14"/>
      <c r="G44" s="9">
        <v>0</v>
      </c>
      <c r="H44">
        <f t="shared" si="0"/>
        <v>0</v>
      </c>
    </row>
    <row r="45" spans="6:8" ht="15" thickBot="1">
      <c r="F45" s="14"/>
      <c r="G45" s="9">
        <v>0</v>
      </c>
      <c r="H45">
        <f t="shared" si="0"/>
        <v>0</v>
      </c>
    </row>
    <row r="46" spans="6:8" ht="15" thickBot="1">
      <c r="F46" s="14"/>
      <c r="G46" s="9">
        <v>0</v>
      </c>
      <c r="H46">
        <f t="shared" si="0"/>
        <v>0</v>
      </c>
    </row>
    <row r="47" spans="6:8" ht="15" thickBot="1">
      <c r="F47" s="14"/>
      <c r="G47" s="9">
        <v>0</v>
      </c>
      <c r="H47">
        <f t="shared" si="0"/>
        <v>0</v>
      </c>
    </row>
    <row r="48" spans="6:8" ht="15" thickBot="1">
      <c r="F48" s="14"/>
      <c r="G48" s="10"/>
      <c r="H48">
        <f t="shared" si="0"/>
        <v>0</v>
      </c>
    </row>
    <row r="49" spans="6:8" ht="15" thickBot="1">
      <c r="F49" s="14"/>
      <c r="G49" s="9">
        <v>0</v>
      </c>
      <c r="H49">
        <f t="shared" si="0"/>
        <v>0</v>
      </c>
    </row>
    <row r="50" spans="6:8" ht="15" thickBot="1">
      <c r="F50" s="14"/>
      <c r="G50" s="9">
        <v>0</v>
      </c>
      <c r="H50">
        <f t="shared" si="0"/>
        <v>0</v>
      </c>
    </row>
    <row r="51" spans="6:8" ht="15" thickBot="1">
      <c r="F51" s="14"/>
      <c r="G51" s="9">
        <v>0</v>
      </c>
      <c r="H51">
        <f t="shared" si="0"/>
        <v>0</v>
      </c>
    </row>
    <row r="52" spans="6:8" ht="15" thickBot="1">
      <c r="F52" s="14"/>
      <c r="G52" s="9">
        <v>0</v>
      </c>
      <c r="H52">
        <f t="shared" si="0"/>
        <v>0</v>
      </c>
    </row>
    <row r="53" spans="6:8" ht="15" thickBot="1">
      <c r="F53" s="14"/>
      <c r="G53" s="9">
        <v>0</v>
      </c>
      <c r="H53">
        <f t="shared" si="0"/>
        <v>0</v>
      </c>
    </row>
    <row r="54" spans="6:8" ht="15" thickBot="1">
      <c r="F54" s="13">
        <v>19.63</v>
      </c>
      <c r="G54" s="9">
        <v>0</v>
      </c>
      <c r="H54">
        <f t="shared" si="0"/>
        <v>0</v>
      </c>
    </row>
    <row r="55" spans="6:8" ht="15" thickBot="1">
      <c r="F55" s="14"/>
      <c r="G55" s="9">
        <v>0</v>
      </c>
      <c r="H55">
        <f t="shared" si="0"/>
        <v>0</v>
      </c>
    </row>
    <row r="56" spans="6:8" ht="15" thickBot="1">
      <c r="F56" s="13">
        <v>16.579999999999998</v>
      </c>
      <c r="G56" s="9">
        <v>40</v>
      </c>
      <c r="H56">
        <f t="shared" si="0"/>
        <v>663.19999999999993</v>
      </c>
    </row>
    <row r="57" spans="6:8" ht="15" thickBot="1">
      <c r="F57" s="14"/>
      <c r="G57" s="9">
        <v>0</v>
      </c>
      <c r="H57">
        <f t="shared" si="0"/>
        <v>0</v>
      </c>
    </row>
    <row r="58" spans="6:8" ht="15" thickBot="1">
      <c r="F58" s="16"/>
      <c r="G58" s="9">
        <v>0</v>
      </c>
      <c r="H58">
        <f t="shared" si="0"/>
        <v>0</v>
      </c>
    </row>
    <row r="59" spans="6:8" ht="15" thickBot="1">
      <c r="F59" s="16"/>
      <c r="G59" s="9">
        <v>0</v>
      </c>
      <c r="H59">
        <f t="shared" si="0"/>
        <v>0</v>
      </c>
    </row>
    <row r="60" spans="6:8" ht="15" thickBot="1">
      <c r="F60" s="16"/>
      <c r="G60" s="9">
        <v>0</v>
      </c>
      <c r="H60">
        <f t="shared" si="0"/>
        <v>0</v>
      </c>
    </row>
    <row r="61" spans="6:8" ht="15" thickBot="1">
      <c r="F61" s="16"/>
      <c r="G61" s="9">
        <v>0</v>
      </c>
      <c r="H61">
        <f t="shared" si="0"/>
        <v>0</v>
      </c>
    </row>
    <row r="62" spans="6:8" ht="15" thickBot="1">
      <c r="F62" s="14"/>
      <c r="G62" s="9">
        <v>0</v>
      </c>
      <c r="H62">
        <f t="shared" si="0"/>
        <v>0</v>
      </c>
    </row>
    <row r="63" spans="6:8" ht="15" thickBot="1">
      <c r="F63" s="14"/>
      <c r="G63" s="9">
        <v>0</v>
      </c>
      <c r="H63">
        <f t="shared" si="0"/>
        <v>0</v>
      </c>
    </row>
    <row r="64" spans="6:8" ht="15" thickBot="1">
      <c r="F64" s="14"/>
      <c r="G64" s="9">
        <v>0</v>
      </c>
      <c r="H64">
        <f t="shared" si="0"/>
        <v>0</v>
      </c>
    </row>
    <row r="65" spans="6:8" ht="15" thickBot="1">
      <c r="F65" s="14"/>
      <c r="G65" s="9">
        <v>0</v>
      </c>
      <c r="H65">
        <f t="shared" si="0"/>
        <v>0</v>
      </c>
    </row>
    <row r="66" spans="6:8" ht="15" thickBot="1">
      <c r="F66" s="14"/>
      <c r="G66" s="9">
        <v>0</v>
      </c>
      <c r="H66">
        <f t="shared" si="0"/>
        <v>0</v>
      </c>
    </row>
    <row r="67" spans="6:8" ht="15" thickBot="1">
      <c r="F67" s="14"/>
      <c r="G67" s="9">
        <v>0</v>
      </c>
      <c r="H67">
        <f t="shared" si="0"/>
        <v>0</v>
      </c>
    </row>
    <row r="68" spans="6:8" ht="15" thickBot="1">
      <c r="F68" s="14"/>
      <c r="G68" s="9">
        <v>0</v>
      </c>
      <c r="H68">
        <f t="shared" ref="H68:H131" si="2">+F68*G68</f>
        <v>0</v>
      </c>
    </row>
    <row r="69" spans="6:8" ht="15" thickBot="1">
      <c r="F69" s="14"/>
      <c r="G69" s="9">
        <v>0</v>
      </c>
      <c r="H69">
        <f t="shared" si="2"/>
        <v>0</v>
      </c>
    </row>
    <row r="70" spans="6:8" ht="15" thickBot="1">
      <c r="F70" s="14"/>
      <c r="G70" s="9">
        <v>0</v>
      </c>
      <c r="H70">
        <f t="shared" si="2"/>
        <v>0</v>
      </c>
    </row>
    <row r="71" spans="6:8" ht="15" thickBot="1">
      <c r="F71" s="14"/>
      <c r="G71" s="9">
        <v>0</v>
      </c>
      <c r="H71">
        <f t="shared" si="2"/>
        <v>0</v>
      </c>
    </row>
    <row r="72" spans="6:8" ht="15" thickBot="1">
      <c r="F72" s="14"/>
      <c r="G72" s="9">
        <v>0</v>
      </c>
      <c r="H72">
        <f t="shared" si="2"/>
        <v>0</v>
      </c>
    </row>
    <row r="73" spans="6:8" ht="15" thickBot="1">
      <c r="F73" s="14"/>
      <c r="G73" s="9">
        <v>0</v>
      </c>
      <c r="H73">
        <f t="shared" si="2"/>
        <v>0</v>
      </c>
    </row>
    <row r="74" spans="6:8" ht="15" thickBot="1">
      <c r="F74" s="14"/>
      <c r="G74" s="9">
        <v>0</v>
      </c>
      <c r="H74">
        <f t="shared" si="2"/>
        <v>0</v>
      </c>
    </row>
    <row r="75" spans="6:8" ht="15" thickBot="1">
      <c r="F75" s="14"/>
      <c r="G75" s="9">
        <v>0</v>
      </c>
      <c r="H75">
        <f t="shared" si="2"/>
        <v>0</v>
      </c>
    </row>
    <row r="76" spans="6:8" ht="15" thickBot="1">
      <c r="F76" s="14"/>
      <c r="G76" s="9">
        <v>0</v>
      </c>
      <c r="H76">
        <f t="shared" si="2"/>
        <v>0</v>
      </c>
    </row>
    <row r="77" spans="6:8" ht="15" thickBot="1">
      <c r="F77" s="14"/>
      <c r="G77" s="9">
        <v>0</v>
      </c>
      <c r="H77">
        <f t="shared" si="2"/>
        <v>0</v>
      </c>
    </row>
    <row r="78" spans="6:8" ht="15" thickBot="1">
      <c r="F78" s="14"/>
      <c r="G78" s="9">
        <v>0</v>
      </c>
      <c r="H78">
        <f t="shared" si="2"/>
        <v>0</v>
      </c>
    </row>
    <row r="79" spans="6:8" ht="15" thickBot="1">
      <c r="F79" s="14"/>
      <c r="G79" s="9">
        <v>0</v>
      </c>
      <c r="H79">
        <f t="shared" si="2"/>
        <v>0</v>
      </c>
    </row>
    <row r="80" spans="6:8" ht="15" thickBot="1">
      <c r="F80" s="14"/>
      <c r="G80" s="9">
        <v>0</v>
      </c>
      <c r="H80">
        <f t="shared" si="2"/>
        <v>0</v>
      </c>
    </row>
    <row r="81" spans="6:8" ht="15" thickBot="1">
      <c r="F81" s="14"/>
      <c r="G81" s="9">
        <v>0</v>
      </c>
      <c r="H81">
        <f t="shared" si="2"/>
        <v>0</v>
      </c>
    </row>
    <row r="82" spans="6:8" ht="15" thickBot="1">
      <c r="F82" s="14"/>
      <c r="G82" s="9">
        <v>0</v>
      </c>
      <c r="H82">
        <f t="shared" si="2"/>
        <v>0</v>
      </c>
    </row>
    <row r="83" spans="6:8" ht="15" thickBot="1">
      <c r="F83" s="14"/>
      <c r="G83" s="9">
        <v>0</v>
      </c>
      <c r="H83">
        <f t="shared" si="2"/>
        <v>0</v>
      </c>
    </row>
    <row r="84" spans="6:8" ht="15" thickBot="1">
      <c r="F84" s="14"/>
      <c r="G84" s="9">
        <v>0</v>
      </c>
      <c r="H84">
        <f t="shared" si="2"/>
        <v>0</v>
      </c>
    </row>
    <row r="85" spans="6:8" ht="15" thickBot="1">
      <c r="F85" s="14"/>
      <c r="G85" s="9">
        <v>0</v>
      </c>
      <c r="H85">
        <f t="shared" si="2"/>
        <v>0</v>
      </c>
    </row>
    <row r="86" spans="6:8" ht="15" thickBot="1">
      <c r="F86" s="14"/>
      <c r="G86" s="9">
        <v>0</v>
      </c>
      <c r="H86">
        <f t="shared" si="2"/>
        <v>0</v>
      </c>
    </row>
    <row r="87" spans="6:8" ht="15" thickBot="1">
      <c r="F87" s="14"/>
      <c r="G87" s="9">
        <v>0</v>
      </c>
      <c r="H87">
        <f t="shared" si="2"/>
        <v>0</v>
      </c>
    </row>
    <row r="88" spans="6:8" ht="15" thickBot="1">
      <c r="F88" s="14"/>
      <c r="G88" s="9">
        <v>0</v>
      </c>
      <c r="H88">
        <f t="shared" si="2"/>
        <v>0</v>
      </c>
    </row>
    <row r="89" spans="6:8" ht="15" thickBot="1">
      <c r="F89" s="14"/>
      <c r="G89" s="9">
        <v>0</v>
      </c>
      <c r="H89">
        <f t="shared" si="2"/>
        <v>0</v>
      </c>
    </row>
    <row r="90" spans="6:8" ht="15" thickBot="1">
      <c r="F90" s="14"/>
      <c r="G90" s="9">
        <v>0</v>
      </c>
      <c r="H90">
        <f t="shared" si="2"/>
        <v>0</v>
      </c>
    </row>
    <row r="91" spans="6:8" ht="15" thickBot="1">
      <c r="F91" s="13">
        <v>17.8</v>
      </c>
      <c r="G91" s="9">
        <v>52</v>
      </c>
      <c r="H91">
        <f t="shared" si="2"/>
        <v>925.6</v>
      </c>
    </row>
    <row r="92" spans="6:8" ht="15" thickBot="1">
      <c r="F92" s="13">
        <v>19.47</v>
      </c>
      <c r="G92" s="9">
        <v>0</v>
      </c>
      <c r="H92">
        <f t="shared" si="2"/>
        <v>0</v>
      </c>
    </row>
    <row r="93" spans="6:8" ht="15" thickBot="1">
      <c r="F93" s="14"/>
      <c r="G93" s="9">
        <v>0</v>
      </c>
      <c r="H93">
        <f t="shared" si="2"/>
        <v>0</v>
      </c>
    </row>
    <row r="94" spans="6:8" ht="15" thickBot="1">
      <c r="F94" s="13">
        <v>21.18</v>
      </c>
      <c r="G94" s="9">
        <v>49</v>
      </c>
      <c r="H94">
        <f t="shared" si="2"/>
        <v>1037.82</v>
      </c>
    </row>
    <row r="95" spans="6:8" ht="15" thickBot="1">
      <c r="F95" s="14"/>
      <c r="G95" s="9">
        <v>0</v>
      </c>
      <c r="H95">
        <f t="shared" si="2"/>
        <v>0</v>
      </c>
    </row>
    <row r="96" spans="6:8" ht="15" thickBot="1">
      <c r="F96" s="14"/>
      <c r="G96" s="9">
        <v>0</v>
      </c>
      <c r="H96">
        <f t="shared" si="2"/>
        <v>0</v>
      </c>
    </row>
    <row r="97" spans="6:8" ht="15" thickBot="1">
      <c r="F97" s="14"/>
      <c r="G97" s="9">
        <v>0</v>
      </c>
      <c r="H97">
        <f t="shared" si="2"/>
        <v>0</v>
      </c>
    </row>
    <row r="98" spans="6:8" ht="15" thickBot="1">
      <c r="F98" s="14"/>
      <c r="G98" s="9">
        <v>0</v>
      </c>
      <c r="H98">
        <f t="shared" si="2"/>
        <v>0</v>
      </c>
    </row>
    <row r="99" spans="6:8" ht="15" thickBot="1">
      <c r="F99" s="14"/>
      <c r="G99" s="9">
        <v>0</v>
      </c>
      <c r="H99">
        <f t="shared" si="2"/>
        <v>0</v>
      </c>
    </row>
    <row r="100" spans="6:8" ht="15" thickBot="1">
      <c r="F100" s="14"/>
      <c r="G100" s="9">
        <v>0</v>
      </c>
      <c r="H100">
        <f t="shared" si="2"/>
        <v>0</v>
      </c>
    </row>
    <row r="101" spans="6:8" ht="15" thickBot="1">
      <c r="F101" s="14"/>
      <c r="G101" s="9">
        <v>0</v>
      </c>
      <c r="H101">
        <f t="shared" si="2"/>
        <v>0</v>
      </c>
    </row>
    <row r="102" spans="6:8" ht="15" thickBot="1">
      <c r="F102" s="14"/>
      <c r="G102" s="9">
        <v>0</v>
      </c>
      <c r="H102">
        <f t="shared" si="2"/>
        <v>0</v>
      </c>
    </row>
    <row r="103" spans="6:8" ht="15" thickBot="1">
      <c r="F103" s="14"/>
      <c r="G103" s="9">
        <v>0</v>
      </c>
      <c r="H103">
        <f t="shared" si="2"/>
        <v>0</v>
      </c>
    </row>
    <row r="104" spans="6:8" ht="15" thickBot="1">
      <c r="F104" s="14"/>
      <c r="G104" s="9">
        <v>0</v>
      </c>
      <c r="H104">
        <f t="shared" si="2"/>
        <v>0</v>
      </c>
    </row>
    <row r="105" spans="6:8" ht="15" thickBot="1">
      <c r="F105" s="14"/>
      <c r="G105" s="9">
        <v>0</v>
      </c>
      <c r="H105">
        <f t="shared" si="2"/>
        <v>0</v>
      </c>
    </row>
    <row r="106" spans="6:8" ht="15" thickBot="1">
      <c r="F106" s="14"/>
      <c r="G106" s="9">
        <v>0</v>
      </c>
      <c r="H106">
        <f t="shared" si="2"/>
        <v>0</v>
      </c>
    </row>
    <row r="107" spans="6:8" ht="15" thickBot="1">
      <c r="F107" s="14"/>
      <c r="G107" s="9">
        <v>0</v>
      </c>
      <c r="H107">
        <f t="shared" si="2"/>
        <v>0</v>
      </c>
    </row>
    <row r="108" spans="6:8" ht="15" thickBot="1">
      <c r="F108" s="13">
        <v>10.44</v>
      </c>
      <c r="G108" s="9">
        <v>43</v>
      </c>
      <c r="H108">
        <f t="shared" si="2"/>
        <v>448.91999999999996</v>
      </c>
    </row>
    <row r="109" spans="6:8" ht="15" thickBot="1">
      <c r="F109" s="14"/>
      <c r="G109" s="9">
        <v>0</v>
      </c>
      <c r="H109">
        <f t="shared" si="2"/>
        <v>0</v>
      </c>
    </row>
    <row r="110" spans="6:8" ht="15" thickBot="1">
      <c r="F110" s="14"/>
      <c r="G110" s="9">
        <v>0</v>
      </c>
      <c r="H110">
        <f t="shared" si="2"/>
        <v>0</v>
      </c>
    </row>
    <row r="111" spans="6:8" ht="15" thickBot="1">
      <c r="F111" s="14"/>
      <c r="G111" s="9">
        <v>0</v>
      </c>
      <c r="H111">
        <f t="shared" si="2"/>
        <v>0</v>
      </c>
    </row>
    <row r="112" spans="6:8" ht="15" thickBot="1">
      <c r="F112" s="14"/>
      <c r="G112" s="9">
        <v>0</v>
      </c>
      <c r="H112">
        <f t="shared" si="2"/>
        <v>0</v>
      </c>
    </row>
    <row r="113" spans="6:8" ht="15" thickBot="1">
      <c r="F113" s="14"/>
      <c r="G113" s="9">
        <v>0</v>
      </c>
      <c r="H113">
        <f t="shared" si="2"/>
        <v>0</v>
      </c>
    </row>
    <row r="114" spans="6:8" ht="15" thickBot="1">
      <c r="F114" s="14"/>
      <c r="G114" s="9">
        <v>0</v>
      </c>
      <c r="H114">
        <f t="shared" si="2"/>
        <v>0</v>
      </c>
    </row>
    <row r="115" spans="6:8" ht="15" thickBot="1">
      <c r="F115" s="14"/>
      <c r="G115" s="9">
        <v>0</v>
      </c>
      <c r="H115">
        <f t="shared" si="2"/>
        <v>0</v>
      </c>
    </row>
    <row r="116" spans="6:8" ht="15" thickBot="1">
      <c r="F116" s="14"/>
      <c r="G116" s="9">
        <v>0</v>
      </c>
      <c r="H116">
        <f t="shared" si="2"/>
        <v>0</v>
      </c>
    </row>
    <row r="117" spans="6:8" ht="15" thickBot="1">
      <c r="F117" s="14"/>
      <c r="G117" s="9">
        <v>0</v>
      </c>
      <c r="H117">
        <f t="shared" si="2"/>
        <v>0</v>
      </c>
    </row>
    <row r="118" spans="6:8" ht="15" thickBot="1">
      <c r="F118" s="14"/>
      <c r="G118" s="9">
        <v>0</v>
      </c>
      <c r="H118">
        <f t="shared" si="2"/>
        <v>0</v>
      </c>
    </row>
    <row r="119" spans="6:8" ht="15" thickBot="1">
      <c r="F119" s="14"/>
      <c r="G119" s="9">
        <v>0</v>
      </c>
      <c r="H119">
        <f t="shared" si="2"/>
        <v>0</v>
      </c>
    </row>
    <row r="120" spans="6:8" ht="15" thickBot="1">
      <c r="F120" s="14"/>
      <c r="G120" s="9">
        <v>0</v>
      </c>
      <c r="H120">
        <f t="shared" si="2"/>
        <v>0</v>
      </c>
    </row>
    <row r="121" spans="6:8" ht="15" thickBot="1">
      <c r="F121" s="14"/>
      <c r="G121" s="9">
        <v>0</v>
      </c>
      <c r="H121">
        <f t="shared" si="2"/>
        <v>0</v>
      </c>
    </row>
    <row r="122" spans="6:8" ht="15" thickBot="1">
      <c r="F122" s="14"/>
      <c r="G122" s="9">
        <v>0</v>
      </c>
      <c r="H122">
        <f t="shared" si="2"/>
        <v>0</v>
      </c>
    </row>
    <row r="123" spans="6:8" ht="15" thickBot="1">
      <c r="F123" s="11"/>
      <c r="G123" s="11"/>
      <c r="H123">
        <f t="shared" si="2"/>
        <v>0</v>
      </c>
    </row>
    <row r="124" spans="6:8" ht="15" thickBot="1">
      <c r="F124" s="11"/>
      <c r="G124" s="11"/>
      <c r="H124">
        <f t="shared" si="2"/>
        <v>0</v>
      </c>
    </row>
    <row r="125" spans="6:8" ht="15" thickBot="1">
      <c r="F125" s="11"/>
      <c r="G125" s="11"/>
      <c r="H125">
        <f t="shared" si="2"/>
        <v>0</v>
      </c>
    </row>
    <row r="126" spans="6:8" ht="15" thickBot="1">
      <c r="F126" s="11"/>
      <c r="G126" s="11"/>
      <c r="H126">
        <f t="shared" si="2"/>
        <v>0</v>
      </c>
    </row>
    <row r="127" spans="6:8" ht="15" thickBot="1">
      <c r="F127" s="11"/>
      <c r="G127" s="11"/>
      <c r="H127">
        <f t="shared" si="2"/>
        <v>0</v>
      </c>
    </row>
    <row r="128" spans="6:8" ht="15" thickBot="1">
      <c r="F128" s="11"/>
      <c r="G128" s="11"/>
      <c r="H128">
        <f t="shared" si="2"/>
        <v>0</v>
      </c>
    </row>
    <row r="129" spans="6:8" ht="15" thickBot="1">
      <c r="F129" s="11"/>
      <c r="G129" s="11"/>
      <c r="H129">
        <f t="shared" si="2"/>
        <v>0</v>
      </c>
    </row>
    <row r="130" spans="6:8" ht="15" thickBot="1">
      <c r="F130" s="11"/>
      <c r="G130" s="11"/>
      <c r="H130">
        <f t="shared" si="2"/>
        <v>0</v>
      </c>
    </row>
    <row r="131" spans="6:8" ht="15" thickBot="1">
      <c r="F131" s="11"/>
      <c r="G131" s="11"/>
      <c r="H131">
        <f t="shared" si="2"/>
        <v>0</v>
      </c>
    </row>
    <row r="132" spans="6:8" ht="15" thickBot="1">
      <c r="F132" s="11"/>
      <c r="G132" s="11"/>
      <c r="H132">
        <f t="shared" ref="H132:H195" si="3">+F132*G132</f>
        <v>0</v>
      </c>
    </row>
    <row r="133" spans="6:8" ht="15" thickBot="1">
      <c r="F133" s="11"/>
      <c r="G133" s="11"/>
      <c r="H133">
        <f t="shared" si="3"/>
        <v>0</v>
      </c>
    </row>
    <row r="134" spans="6:8" ht="15" thickBot="1">
      <c r="F134" s="11"/>
      <c r="G134" s="11"/>
      <c r="H134">
        <f t="shared" si="3"/>
        <v>0</v>
      </c>
    </row>
    <row r="135" spans="6:8" ht="15" thickBot="1">
      <c r="F135" s="11"/>
      <c r="G135" s="11"/>
      <c r="H135">
        <f t="shared" si="3"/>
        <v>0</v>
      </c>
    </row>
    <row r="136" spans="6:8" ht="15" thickBot="1">
      <c r="F136" s="11"/>
      <c r="G136" s="11"/>
      <c r="H136">
        <f t="shared" si="3"/>
        <v>0</v>
      </c>
    </row>
    <row r="137" spans="6:8" ht="15" thickBot="1">
      <c r="F137" s="11"/>
      <c r="G137" s="11"/>
      <c r="H137">
        <f t="shared" si="3"/>
        <v>0</v>
      </c>
    </row>
    <row r="138" spans="6:8" ht="15" thickBot="1">
      <c r="F138" s="11"/>
      <c r="G138" s="11"/>
      <c r="H138">
        <f t="shared" si="3"/>
        <v>0</v>
      </c>
    </row>
    <row r="139" spans="6:8" ht="15" thickBot="1">
      <c r="F139" s="11"/>
      <c r="G139" s="11"/>
      <c r="H139">
        <f t="shared" si="3"/>
        <v>0</v>
      </c>
    </row>
    <row r="140" spans="6:8" ht="15" thickBot="1">
      <c r="F140" s="11"/>
      <c r="G140" s="11"/>
      <c r="H140">
        <f t="shared" si="3"/>
        <v>0</v>
      </c>
    </row>
    <row r="141" spans="6:8" ht="15" thickBot="1">
      <c r="F141" s="11"/>
      <c r="G141" s="11"/>
      <c r="H141">
        <f t="shared" si="3"/>
        <v>0</v>
      </c>
    </row>
    <row r="142" spans="6:8" ht="15" thickBot="1">
      <c r="F142" s="11"/>
      <c r="G142" s="11"/>
      <c r="H142">
        <f t="shared" si="3"/>
        <v>0</v>
      </c>
    </row>
    <row r="143" spans="6:8" ht="15" thickBot="1">
      <c r="F143" s="11"/>
      <c r="G143" s="11"/>
      <c r="H143">
        <f t="shared" si="3"/>
        <v>0</v>
      </c>
    </row>
    <row r="144" spans="6:8" ht="15" thickBot="1">
      <c r="F144" s="11"/>
      <c r="G144" s="11"/>
      <c r="H144">
        <f t="shared" si="3"/>
        <v>0</v>
      </c>
    </row>
    <row r="145" spans="6:8" ht="15" thickBot="1">
      <c r="F145" s="11"/>
      <c r="G145" s="11"/>
      <c r="H145">
        <f t="shared" si="3"/>
        <v>0</v>
      </c>
    </row>
    <row r="146" spans="6:8" ht="15" thickBot="1">
      <c r="F146" s="11"/>
      <c r="G146" s="11"/>
      <c r="H146">
        <f t="shared" si="3"/>
        <v>0</v>
      </c>
    </row>
    <row r="147" spans="6:8" ht="15" thickBot="1">
      <c r="F147" s="11"/>
      <c r="G147" s="11"/>
      <c r="H147">
        <f t="shared" si="3"/>
        <v>0</v>
      </c>
    </row>
    <row r="148" spans="6:8" ht="15" thickBot="1">
      <c r="F148" s="11"/>
      <c r="G148" s="11"/>
      <c r="H148">
        <f t="shared" si="3"/>
        <v>0</v>
      </c>
    </row>
    <row r="149" spans="6:8" ht="15" thickBot="1">
      <c r="F149" s="11"/>
      <c r="G149" s="11"/>
      <c r="H149">
        <f t="shared" si="3"/>
        <v>0</v>
      </c>
    </row>
    <row r="150" spans="6:8" ht="15" thickBot="1">
      <c r="F150" s="11"/>
      <c r="G150" s="11"/>
      <c r="H150">
        <f t="shared" si="3"/>
        <v>0</v>
      </c>
    </row>
    <row r="151" spans="6:8" ht="15" thickBot="1">
      <c r="F151" s="11"/>
      <c r="G151" s="11"/>
      <c r="H151">
        <f t="shared" si="3"/>
        <v>0</v>
      </c>
    </row>
    <row r="152" spans="6:8" ht="15" thickBot="1">
      <c r="F152" s="11"/>
      <c r="G152" s="11"/>
      <c r="H152">
        <f t="shared" si="3"/>
        <v>0</v>
      </c>
    </row>
    <row r="153" spans="6:8" ht="15" thickBot="1">
      <c r="F153" s="11"/>
      <c r="G153" s="11"/>
      <c r="H153">
        <f t="shared" si="3"/>
        <v>0</v>
      </c>
    </row>
    <row r="154" spans="6:8" ht="15" thickBot="1">
      <c r="F154" s="11"/>
      <c r="G154" s="11"/>
      <c r="H154">
        <f t="shared" si="3"/>
        <v>0</v>
      </c>
    </row>
    <row r="155" spans="6:8" ht="15" thickBot="1">
      <c r="F155" s="11"/>
      <c r="G155" s="11"/>
      <c r="H155">
        <f t="shared" si="3"/>
        <v>0</v>
      </c>
    </row>
    <row r="156" spans="6:8" ht="15" thickBot="1">
      <c r="F156" s="11"/>
      <c r="G156" s="11"/>
      <c r="H156">
        <f t="shared" si="3"/>
        <v>0</v>
      </c>
    </row>
    <row r="157" spans="6:8" ht="15" thickBot="1">
      <c r="F157" s="11"/>
      <c r="G157" s="11"/>
      <c r="H157">
        <f t="shared" si="3"/>
        <v>0</v>
      </c>
    </row>
    <row r="158" spans="6:8" ht="15" thickBot="1">
      <c r="F158" s="11"/>
      <c r="G158" s="11"/>
      <c r="H158">
        <f t="shared" si="3"/>
        <v>0</v>
      </c>
    </row>
    <row r="159" spans="6:8" ht="15" thickBot="1">
      <c r="F159" s="11"/>
      <c r="G159" s="11"/>
      <c r="H159">
        <f t="shared" si="3"/>
        <v>0</v>
      </c>
    </row>
    <row r="160" spans="6:8" ht="15" thickBot="1">
      <c r="F160" s="11"/>
      <c r="G160" s="11"/>
      <c r="H160">
        <f t="shared" si="3"/>
        <v>0</v>
      </c>
    </row>
    <row r="161" spans="6:8" ht="15" thickBot="1">
      <c r="F161" s="11"/>
      <c r="G161" s="11"/>
      <c r="H161">
        <f t="shared" si="3"/>
        <v>0</v>
      </c>
    </row>
    <row r="162" spans="6:8" ht="15" thickBot="1">
      <c r="F162" s="11"/>
      <c r="G162" s="11"/>
      <c r="H162">
        <f t="shared" si="3"/>
        <v>0</v>
      </c>
    </row>
    <row r="163" spans="6:8" ht="15" thickBot="1">
      <c r="F163" s="11"/>
      <c r="G163" s="11"/>
      <c r="H163">
        <f t="shared" si="3"/>
        <v>0</v>
      </c>
    </row>
    <row r="164" spans="6:8" ht="15" thickBot="1">
      <c r="F164" s="11"/>
      <c r="G164" s="11"/>
      <c r="H164">
        <f t="shared" si="3"/>
        <v>0</v>
      </c>
    </row>
    <row r="165" spans="6:8" ht="15" thickBot="1">
      <c r="F165" s="11"/>
      <c r="G165" s="11"/>
      <c r="H165">
        <f t="shared" si="3"/>
        <v>0</v>
      </c>
    </row>
    <row r="166" spans="6:8" ht="15" thickBot="1">
      <c r="F166" s="11"/>
      <c r="G166" s="11"/>
      <c r="H166">
        <f t="shared" si="3"/>
        <v>0</v>
      </c>
    </row>
    <row r="167" spans="6:8" ht="15" thickBot="1">
      <c r="F167" s="11"/>
      <c r="G167" s="11"/>
      <c r="H167">
        <f t="shared" si="3"/>
        <v>0</v>
      </c>
    </row>
    <row r="168" spans="6:8" ht="15" thickBot="1">
      <c r="F168" s="11"/>
      <c r="G168" s="11"/>
      <c r="H168">
        <f t="shared" si="3"/>
        <v>0</v>
      </c>
    </row>
    <row r="169" spans="6:8" ht="15" thickBot="1">
      <c r="F169" s="11"/>
      <c r="G169" s="11"/>
      <c r="H169">
        <f t="shared" si="3"/>
        <v>0</v>
      </c>
    </row>
    <row r="170" spans="6:8" ht="15" thickBot="1">
      <c r="F170" s="11"/>
      <c r="G170" s="11"/>
      <c r="H170">
        <f t="shared" si="3"/>
        <v>0</v>
      </c>
    </row>
    <row r="171" spans="6:8" ht="15" thickBot="1">
      <c r="F171" s="11"/>
      <c r="G171" s="11"/>
      <c r="H171">
        <f t="shared" si="3"/>
        <v>0</v>
      </c>
    </row>
    <row r="172" spans="6:8" ht="15" thickBot="1">
      <c r="F172" s="11"/>
      <c r="G172" s="11"/>
      <c r="H172">
        <f t="shared" si="3"/>
        <v>0</v>
      </c>
    </row>
    <row r="173" spans="6:8" ht="15" thickBot="1">
      <c r="F173" s="11"/>
      <c r="G173" s="11"/>
      <c r="H173">
        <f t="shared" si="3"/>
        <v>0</v>
      </c>
    </row>
    <row r="174" spans="6:8" ht="15" thickBot="1">
      <c r="F174" s="11"/>
      <c r="G174" s="11"/>
      <c r="H174">
        <f t="shared" si="3"/>
        <v>0</v>
      </c>
    </row>
    <row r="175" spans="6:8" ht="15" thickBot="1">
      <c r="F175" s="11"/>
      <c r="G175" s="11"/>
      <c r="H175">
        <f t="shared" si="3"/>
        <v>0</v>
      </c>
    </row>
    <row r="176" spans="6:8" ht="15" thickBot="1">
      <c r="F176" s="11"/>
      <c r="G176" s="11"/>
      <c r="H176">
        <f t="shared" si="3"/>
        <v>0</v>
      </c>
    </row>
    <row r="177" spans="6:8" ht="15" thickBot="1">
      <c r="F177" s="11"/>
      <c r="G177" s="11"/>
      <c r="H177">
        <f t="shared" si="3"/>
        <v>0</v>
      </c>
    </row>
    <row r="178" spans="6:8" ht="15" thickBot="1">
      <c r="F178" s="11"/>
      <c r="G178" s="11"/>
      <c r="H178">
        <f t="shared" si="3"/>
        <v>0</v>
      </c>
    </row>
    <row r="179" spans="6:8" ht="15" thickBot="1">
      <c r="F179" s="11"/>
      <c r="G179" s="11"/>
      <c r="H179">
        <f t="shared" si="3"/>
        <v>0</v>
      </c>
    </row>
    <row r="180" spans="6:8" ht="15" thickBot="1">
      <c r="F180" s="11"/>
      <c r="G180" s="11"/>
      <c r="H180">
        <f t="shared" si="3"/>
        <v>0</v>
      </c>
    </row>
    <row r="181" spans="6:8" ht="15" thickBot="1">
      <c r="F181" s="11"/>
      <c r="G181" s="11"/>
      <c r="H181">
        <f t="shared" si="3"/>
        <v>0</v>
      </c>
    </row>
    <row r="182" spans="6:8" ht="15" thickBot="1">
      <c r="F182" s="11"/>
      <c r="G182" s="11"/>
      <c r="H182">
        <f t="shared" si="3"/>
        <v>0</v>
      </c>
    </row>
    <row r="183" spans="6:8" ht="15" thickBot="1">
      <c r="F183" s="11"/>
      <c r="G183" s="11"/>
      <c r="H183">
        <f t="shared" si="3"/>
        <v>0</v>
      </c>
    </row>
    <row r="184" spans="6:8" ht="15" thickBot="1">
      <c r="F184" s="11"/>
      <c r="G184" s="11"/>
      <c r="H184">
        <f t="shared" si="3"/>
        <v>0</v>
      </c>
    </row>
    <row r="185" spans="6:8" ht="15" thickBot="1">
      <c r="F185" s="11"/>
      <c r="G185" s="11"/>
      <c r="H185">
        <f t="shared" si="3"/>
        <v>0</v>
      </c>
    </row>
    <row r="186" spans="6:8" ht="15" thickBot="1">
      <c r="F186" s="11"/>
      <c r="G186" s="11"/>
      <c r="H186">
        <f t="shared" si="3"/>
        <v>0</v>
      </c>
    </row>
    <row r="187" spans="6:8" ht="15" thickBot="1">
      <c r="F187" s="11"/>
      <c r="G187" s="11"/>
      <c r="H187">
        <f t="shared" si="3"/>
        <v>0</v>
      </c>
    </row>
    <row r="188" spans="6:8" ht="15" thickBot="1">
      <c r="F188" s="11"/>
      <c r="G188" s="11"/>
      <c r="H188">
        <f t="shared" si="3"/>
        <v>0</v>
      </c>
    </row>
    <row r="189" spans="6:8" ht="15" thickBot="1">
      <c r="F189" s="11"/>
      <c r="G189" s="11"/>
      <c r="H189">
        <f t="shared" si="3"/>
        <v>0</v>
      </c>
    </row>
    <row r="190" spans="6:8" ht="15" thickBot="1">
      <c r="F190" s="11"/>
      <c r="G190" s="11"/>
      <c r="H190">
        <f t="shared" si="3"/>
        <v>0</v>
      </c>
    </row>
    <row r="191" spans="6:8" ht="15" thickBot="1">
      <c r="F191" s="11"/>
      <c r="G191" s="11"/>
      <c r="H191">
        <f t="shared" si="3"/>
        <v>0</v>
      </c>
    </row>
    <row r="192" spans="6:8" ht="15" thickBot="1">
      <c r="F192" s="11"/>
      <c r="G192" s="11"/>
      <c r="H192">
        <f t="shared" si="3"/>
        <v>0</v>
      </c>
    </row>
    <row r="193" spans="6:8" ht="15" thickBot="1">
      <c r="F193" s="11"/>
      <c r="G193" s="11"/>
      <c r="H193">
        <f t="shared" si="3"/>
        <v>0</v>
      </c>
    </row>
    <row r="194" spans="6:8" ht="15" thickBot="1">
      <c r="F194" s="11"/>
      <c r="G194" s="11"/>
      <c r="H194">
        <f t="shared" si="3"/>
        <v>0</v>
      </c>
    </row>
    <row r="195" spans="6:8" ht="15" thickBot="1">
      <c r="F195" s="11"/>
      <c r="G195" s="11"/>
      <c r="H195">
        <f t="shared" si="3"/>
        <v>0</v>
      </c>
    </row>
    <row r="196" spans="6:8" ht="15" thickBot="1">
      <c r="F196" s="11"/>
      <c r="G196" s="11"/>
      <c r="H196">
        <f t="shared" ref="H196:H202" si="4">+F196*G196</f>
        <v>0</v>
      </c>
    </row>
    <row r="197" spans="6:8" ht="15" thickBot="1">
      <c r="F197" s="11"/>
      <c r="G197" s="11"/>
      <c r="H197">
        <f t="shared" si="4"/>
        <v>0</v>
      </c>
    </row>
    <row r="198" spans="6:8" ht="15" thickBot="1">
      <c r="F198" s="11"/>
      <c r="G198" s="11"/>
      <c r="H198">
        <f t="shared" si="4"/>
        <v>0</v>
      </c>
    </row>
    <row r="199" spans="6:8" ht="15" thickBot="1">
      <c r="F199" s="11"/>
      <c r="G199" s="11"/>
      <c r="H199">
        <f t="shared" si="4"/>
        <v>0</v>
      </c>
    </row>
    <row r="200" spans="6:8" ht="15" thickBot="1">
      <c r="F200" s="11"/>
      <c r="G200" s="11"/>
      <c r="H200">
        <f t="shared" si="4"/>
        <v>0</v>
      </c>
    </row>
    <row r="201" spans="6:8" ht="15" thickBot="1">
      <c r="F201" s="11"/>
      <c r="G201" s="11"/>
      <c r="H201">
        <f t="shared" si="4"/>
        <v>0</v>
      </c>
    </row>
    <row r="202" spans="6:8" ht="15" thickBot="1">
      <c r="F202" s="11"/>
      <c r="G202" s="11"/>
      <c r="H202">
        <f t="shared" si="4"/>
        <v>0</v>
      </c>
    </row>
    <row r="203" spans="6:8" ht="15" thickBot="1">
      <c r="F203" s="11"/>
      <c r="G203" s="11"/>
    </row>
    <row r="204" spans="6:8" ht="15" thickBot="1">
      <c r="F204" s="11"/>
      <c r="G204" s="11"/>
    </row>
    <row r="205" spans="6:8" ht="15" thickBot="1">
      <c r="F205" s="11"/>
      <c r="G205" s="11"/>
    </row>
    <row r="206" spans="6:8" ht="15" thickBot="1">
      <c r="F206" s="11"/>
      <c r="G206" s="11"/>
    </row>
    <row r="207" spans="6:8" ht="15" thickBot="1">
      <c r="F207" s="11"/>
      <c r="G207" s="11"/>
    </row>
    <row r="208" spans="6:8" ht="15" thickBot="1">
      <c r="F208" s="11"/>
      <c r="G208" s="11"/>
    </row>
    <row r="209" spans="6:7" ht="15" thickBot="1">
      <c r="F209" s="11"/>
      <c r="G209" s="11"/>
    </row>
    <row r="210" spans="6:7" ht="15" thickBot="1">
      <c r="F210" s="11"/>
      <c r="G210" s="11"/>
    </row>
    <row r="211" spans="6:7" ht="15" thickBot="1">
      <c r="F211" s="11"/>
      <c r="G211" s="11"/>
    </row>
    <row r="212" spans="6:7" ht="15" thickBot="1">
      <c r="F212" s="11"/>
      <c r="G212" s="11"/>
    </row>
    <row r="213" spans="6:7" ht="15" thickBot="1">
      <c r="F213" s="11"/>
      <c r="G213" s="11"/>
    </row>
    <row r="214" spans="6:7" ht="15" thickBot="1">
      <c r="F214" s="11"/>
      <c r="G214" s="11"/>
    </row>
    <row r="215" spans="6:7" ht="15" thickBot="1">
      <c r="F215" s="11"/>
      <c r="G215" s="11"/>
    </row>
    <row r="216" spans="6:7" ht="15" thickBot="1">
      <c r="F216" s="11"/>
      <c r="G216" s="11"/>
    </row>
    <row r="217" spans="6:7" ht="15" thickBot="1">
      <c r="F217" s="11"/>
      <c r="G217" s="11"/>
    </row>
    <row r="218" spans="6:7" ht="15" thickBot="1">
      <c r="F218" s="11"/>
      <c r="G218" s="11"/>
    </row>
    <row r="219" spans="6:7" ht="15" thickBot="1">
      <c r="F219" s="11"/>
      <c r="G219" s="11"/>
    </row>
    <row r="220" spans="6:7" ht="15" thickBot="1">
      <c r="F220" s="11"/>
      <c r="G220" s="11"/>
    </row>
    <row r="221" spans="6:7" ht="15" thickBot="1">
      <c r="F221" s="11"/>
      <c r="G221" s="11"/>
    </row>
    <row r="222" spans="6:7" ht="15" thickBot="1">
      <c r="F222" s="11"/>
      <c r="G222" s="11"/>
    </row>
    <row r="223" spans="6:7" ht="15" thickBot="1">
      <c r="F223" s="11"/>
      <c r="G223" s="11"/>
    </row>
    <row r="224" spans="6:7" ht="15" thickBot="1">
      <c r="F224" s="11"/>
      <c r="G224" s="11"/>
    </row>
    <row r="225" spans="6:7" ht="15" thickBot="1">
      <c r="F225" s="11"/>
      <c r="G225" s="11"/>
    </row>
    <row r="226" spans="6:7" ht="15" thickBot="1">
      <c r="F226" s="11"/>
      <c r="G226" s="11"/>
    </row>
    <row r="227" spans="6:7" ht="15" thickBot="1">
      <c r="F227" s="11"/>
      <c r="G227" s="11"/>
    </row>
    <row r="228" spans="6:7" ht="15" thickBot="1">
      <c r="F228" s="11"/>
      <c r="G228" s="11"/>
    </row>
    <row r="229" spans="6:7" ht="15" thickBot="1">
      <c r="F229" s="11"/>
      <c r="G229" s="11"/>
    </row>
    <row r="230" spans="6:7" ht="15" thickBot="1">
      <c r="F230" s="11"/>
      <c r="G230" s="11"/>
    </row>
    <row r="231" spans="6:7" ht="15" thickBot="1">
      <c r="F231" s="11"/>
      <c r="G231" s="11"/>
    </row>
    <row r="232" spans="6:7" ht="15" thickBot="1">
      <c r="F232" s="11"/>
      <c r="G232" s="11"/>
    </row>
    <row r="233" spans="6:7" ht="15" thickBot="1">
      <c r="F233" s="11"/>
      <c r="G233" s="11"/>
    </row>
    <row r="234" spans="6:7" ht="15" thickBot="1">
      <c r="F234" s="11"/>
      <c r="G234" s="11"/>
    </row>
    <row r="235" spans="6:7" ht="15" thickBot="1">
      <c r="F235" s="11"/>
      <c r="G235" s="11"/>
    </row>
    <row r="236" spans="6:7" ht="15" thickBot="1">
      <c r="F236" s="11"/>
      <c r="G236" s="11"/>
    </row>
    <row r="237" spans="6:7" ht="15" thickBot="1">
      <c r="F237" s="11"/>
      <c r="G237" s="11"/>
    </row>
    <row r="238" spans="6:7" ht="15" thickBot="1">
      <c r="F238" s="11"/>
      <c r="G238" s="11"/>
    </row>
    <row r="239" spans="6:7" ht="15" thickBot="1">
      <c r="F239" s="11"/>
      <c r="G239" s="11"/>
    </row>
    <row r="240" spans="6:7" ht="15" thickBot="1">
      <c r="F240" s="11"/>
      <c r="G240" s="11"/>
    </row>
    <row r="241" spans="6:7" ht="15" thickBot="1">
      <c r="F241" s="11"/>
      <c r="G241" s="11"/>
    </row>
    <row r="242" spans="6:7" ht="15" thickBot="1">
      <c r="F242" s="11"/>
      <c r="G242" s="11"/>
    </row>
    <row r="243" spans="6:7" ht="15" thickBot="1">
      <c r="F243" s="11"/>
      <c r="G243" s="11"/>
    </row>
    <row r="244" spans="6:7" ht="15" thickBot="1">
      <c r="F244" s="11"/>
      <c r="G244" s="11"/>
    </row>
    <row r="245" spans="6:7" ht="15" thickBot="1">
      <c r="F245" s="11"/>
      <c r="G245" s="11"/>
    </row>
    <row r="246" spans="6:7" ht="15" thickBot="1">
      <c r="F246" s="11"/>
      <c r="G246" s="11"/>
    </row>
    <row r="247" spans="6:7" ht="15" thickBot="1">
      <c r="F247" s="11"/>
      <c r="G247" s="11"/>
    </row>
    <row r="248" spans="6:7" ht="15" thickBot="1">
      <c r="F248" s="11"/>
      <c r="G248" s="11"/>
    </row>
    <row r="249" spans="6:7" ht="15" thickBot="1">
      <c r="F249" s="11"/>
      <c r="G249" s="11"/>
    </row>
    <row r="250" spans="6:7" ht="15" thickBot="1">
      <c r="F250" s="11"/>
      <c r="G250" s="11"/>
    </row>
    <row r="251" spans="6:7" ht="15" thickBot="1">
      <c r="F251" s="11"/>
      <c r="G251" s="11"/>
    </row>
    <row r="252" spans="6:7" ht="15" thickBot="1">
      <c r="F252" s="11"/>
      <c r="G252" s="11"/>
    </row>
    <row r="253" spans="6:7" ht="15" thickBot="1">
      <c r="F253" s="11"/>
      <c r="G253" s="11"/>
    </row>
    <row r="254" spans="6:7" ht="15" thickBot="1">
      <c r="F254" s="11"/>
      <c r="G254" s="11"/>
    </row>
    <row r="255" spans="6:7" ht="15" thickBot="1">
      <c r="F255" s="11"/>
      <c r="G255" s="11"/>
    </row>
    <row r="256" spans="6:7" ht="15" thickBot="1">
      <c r="F256" s="11"/>
      <c r="G256" s="11"/>
    </row>
    <row r="257" spans="6:7" ht="15" thickBot="1">
      <c r="F257" s="11"/>
      <c r="G257" s="11"/>
    </row>
    <row r="258" spans="6:7" ht="15" thickBot="1">
      <c r="F258" s="11"/>
      <c r="G258" s="11"/>
    </row>
    <row r="259" spans="6:7" ht="15" thickBot="1">
      <c r="F259" s="11"/>
      <c r="G259" s="11"/>
    </row>
    <row r="260" spans="6:7" ht="15" thickBot="1">
      <c r="F260" s="11"/>
      <c r="G260" s="11"/>
    </row>
    <row r="261" spans="6:7" ht="15" thickBot="1">
      <c r="F261" s="11"/>
      <c r="G261" s="11"/>
    </row>
    <row r="262" spans="6:7" ht="15" thickBot="1">
      <c r="F262" s="11"/>
      <c r="G262" s="11"/>
    </row>
    <row r="263" spans="6:7" ht="15" thickBot="1">
      <c r="F263" s="11"/>
      <c r="G263" s="11"/>
    </row>
    <row r="264" spans="6:7" ht="15" thickBot="1">
      <c r="F264" s="11"/>
      <c r="G264" s="11"/>
    </row>
    <row r="265" spans="6:7" ht="15" thickBot="1">
      <c r="F265" s="11"/>
      <c r="G265" s="11"/>
    </row>
    <row r="266" spans="6:7" ht="15" thickBot="1">
      <c r="F266" s="11"/>
      <c r="G266" s="11"/>
    </row>
    <row r="267" spans="6:7" ht="15" thickBot="1">
      <c r="F267" s="11"/>
      <c r="G267" s="11"/>
    </row>
    <row r="268" spans="6:7" ht="15" thickBot="1">
      <c r="F268" s="11"/>
      <c r="G268" s="11"/>
    </row>
    <row r="269" spans="6:7" ht="15" thickBot="1">
      <c r="F269" s="11"/>
      <c r="G269" s="11"/>
    </row>
    <row r="270" spans="6:7" ht="15" thickBot="1">
      <c r="F270" s="11"/>
      <c r="G270" s="11"/>
    </row>
    <row r="271" spans="6:7" ht="15" thickBot="1">
      <c r="F271" s="11"/>
      <c r="G271" s="11"/>
    </row>
    <row r="272" spans="6:7" ht="15" thickBot="1">
      <c r="F272" s="11"/>
      <c r="G272" s="11"/>
    </row>
    <row r="273" spans="6:7" ht="15" thickBot="1">
      <c r="F273" s="11"/>
      <c r="G273" s="11"/>
    </row>
    <row r="274" spans="6:7" ht="15" thickBot="1">
      <c r="F274" s="11"/>
      <c r="G274" s="11"/>
    </row>
    <row r="275" spans="6:7" ht="15" thickBot="1">
      <c r="F275" s="11"/>
      <c r="G275" s="11"/>
    </row>
    <row r="276" spans="6:7" ht="15" thickBot="1">
      <c r="F276" s="11"/>
      <c r="G276" s="11"/>
    </row>
    <row r="277" spans="6:7" ht="15" thickBot="1">
      <c r="F277" s="11"/>
      <c r="G277" s="11"/>
    </row>
    <row r="278" spans="6:7" ht="15" thickBot="1">
      <c r="F278" s="11"/>
      <c r="G278" s="11"/>
    </row>
    <row r="279" spans="6:7" ht="15" thickBot="1">
      <c r="F279" s="11"/>
      <c r="G279" s="11"/>
    </row>
    <row r="280" spans="6:7" ht="15" thickBot="1">
      <c r="F280" s="11"/>
      <c r="G280" s="11"/>
    </row>
    <row r="281" spans="6:7" ht="15" thickBot="1">
      <c r="F281" s="11"/>
      <c r="G281" s="11"/>
    </row>
    <row r="282" spans="6:7" ht="15" thickBot="1">
      <c r="F282" s="11"/>
      <c r="G282" s="11"/>
    </row>
    <row r="283" spans="6:7" ht="15" thickBot="1">
      <c r="F283" s="11"/>
      <c r="G283" s="11"/>
    </row>
    <row r="284" spans="6:7" ht="15" thickBot="1">
      <c r="F284" s="11"/>
      <c r="G284" s="11"/>
    </row>
    <row r="285" spans="6:7" ht="15" thickBot="1">
      <c r="F285" s="11"/>
      <c r="G285" s="11"/>
    </row>
    <row r="286" spans="6:7" ht="15" thickBot="1">
      <c r="F286" s="11"/>
      <c r="G286" s="11"/>
    </row>
    <row r="287" spans="6:7" ht="15" thickBot="1">
      <c r="F287" s="11"/>
      <c r="G287" s="11"/>
    </row>
    <row r="288" spans="6:7" ht="15" thickBot="1">
      <c r="F288" s="11"/>
      <c r="G288" s="11"/>
    </row>
    <row r="289" spans="6:7" ht="15" thickBot="1">
      <c r="F289" s="11"/>
      <c r="G289" s="11"/>
    </row>
    <row r="290" spans="6:7" ht="15" thickBot="1">
      <c r="F290" s="11"/>
      <c r="G290" s="11"/>
    </row>
    <row r="291" spans="6:7" ht="15" thickBot="1">
      <c r="F291" s="11"/>
      <c r="G291" s="11"/>
    </row>
    <row r="292" spans="6:7" ht="15" thickBot="1">
      <c r="F292" s="11"/>
      <c r="G292" s="11"/>
    </row>
    <row r="293" spans="6:7" ht="15" thickBot="1">
      <c r="F293" s="11"/>
      <c r="G293" s="11"/>
    </row>
    <row r="294" spans="6:7" ht="15" thickBot="1">
      <c r="F294" s="11"/>
      <c r="G294" s="11"/>
    </row>
    <row r="295" spans="6:7" ht="15" thickBot="1">
      <c r="F295" s="11"/>
      <c r="G295" s="11"/>
    </row>
    <row r="296" spans="6:7" ht="15" thickBot="1">
      <c r="F296" s="11"/>
      <c r="G296" s="11"/>
    </row>
    <row r="297" spans="6:7" ht="15" thickBot="1">
      <c r="F297" s="11"/>
      <c r="G297" s="11"/>
    </row>
    <row r="298" spans="6:7" ht="15" thickBot="1">
      <c r="F298" s="11"/>
      <c r="G298" s="11"/>
    </row>
    <row r="299" spans="6:7" ht="15" thickBot="1">
      <c r="F299" s="11"/>
      <c r="G299" s="11"/>
    </row>
    <row r="300" spans="6:7" ht="15" thickBot="1">
      <c r="F300" s="11"/>
      <c r="G300" s="11"/>
    </row>
    <row r="301" spans="6:7" ht="15" thickBot="1">
      <c r="F301" s="11"/>
      <c r="G301" s="11"/>
    </row>
    <row r="302" spans="6:7" ht="15" thickBot="1">
      <c r="F302" s="11"/>
      <c r="G302" s="11"/>
    </row>
    <row r="303" spans="6:7" ht="15" thickBot="1">
      <c r="F303" s="11"/>
      <c r="G303" s="11"/>
    </row>
    <row r="304" spans="6:7" ht="15" thickBot="1">
      <c r="F304" s="11"/>
      <c r="G304" s="11"/>
    </row>
    <row r="305" spans="6:7" ht="15" thickBot="1">
      <c r="F305" s="11"/>
      <c r="G305" s="11"/>
    </row>
    <row r="306" spans="6:7" ht="15" thickBot="1">
      <c r="F306" s="11"/>
      <c r="G306" s="11"/>
    </row>
    <row r="307" spans="6:7" ht="15" thickBot="1">
      <c r="F307" s="11"/>
      <c r="G307" s="11"/>
    </row>
    <row r="308" spans="6:7" ht="15" thickBot="1">
      <c r="F308" s="11"/>
      <c r="G308" s="11"/>
    </row>
    <row r="309" spans="6:7" ht="15" thickBot="1">
      <c r="F309" s="11"/>
      <c r="G309" s="11"/>
    </row>
    <row r="310" spans="6:7" ht="15" thickBot="1">
      <c r="F310" s="11"/>
      <c r="G310" s="11"/>
    </row>
    <row r="311" spans="6:7" ht="15" thickBot="1">
      <c r="F311" s="11"/>
      <c r="G311" s="11"/>
    </row>
    <row r="312" spans="6:7" ht="15" thickBot="1">
      <c r="F312" s="11"/>
      <c r="G312" s="11"/>
    </row>
    <row r="313" spans="6:7" ht="15" thickBot="1">
      <c r="F313" s="11"/>
      <c r="G313" s="11"/>
    </row>
    <row r="314" spans="6:7" ht="15" thickBot="1">
      <c r="F314" s="11"/>
      <c r="G314" s="11"/>
    </row>
    <row r="315" spans="6:7" ht="15" thickBot="1">
      <c r="F315" s="11"/>
      <c r="G315" s="11"/>
    </row>
    <row r="316" spans="6:7" ht="15" thickBot="1">
      <c r="F316" s="11"/>
      <c r="G316" s="11"/>
    </row>
    <row r="317" spans="6:7" ht="15" thickBot="1">
      <c r="F317" s="11"/>
      <c r="G317" s="11"/>
    </row>
    <row r="318" spans="6:7" ht="15" thickBot="1">
      <c r="F318" s="11"/>
      <c r="G318" s="11"/>
    </row>
    <row r="319" spans="6:7" ht="15" thickBot="1">
      <c r="F319" s="11"/>
      <c r="G319" s="11"/>
    </row>
    <row r="320" spans="6:7" ht="15" thickBot="1">
      <c r="F320" s="11"/>
      <c r="G320" s="11"/>
    </row>
    <row r="321" spans="6:7" ht="15" thickBot="1">
      <c r="F321" s="11"/>
      <c r="G321" s="11"/>
    </row>
    <row r="322" spans="6:7" ht="15" thickBot="1">
      <c r="F322" s="11"/>
      <c r="G322" s="11"/>
    </row>
    <row r="323" spans="6:7" ht="15" thickBot="1">
      <c r="F323" s="11"/>
      <c r="G323" s="11"/>
    </row>
    <row r="324" spans="6:7" ht="15" thickBot="1">
      <c r="F324" s="11"/>
      <c r="G324" s="11"/>
    </row>
    <row r="325" spans="6:7" ht="15" thickBot="1">
      <c r="F325" s="11"/>
      <c r="G325" s="11"/>
    </row>
    <row r="326" spans="6:7" ht="15" thickBot="1">
      <c r="F326" s="11"/>
      <c r="G326" s="11"/>
    </row>
    <row r="327" spans="6:7" ht="15" thickBot="1">
      <c r="F327" s="11"/>
      <c r="G327" s="11"/>
    </row>
    <row r="328" spans="6:7" ht="15" thickBot="1">
      <c r="F328" s="11"/>
      <c r="G328" s="11"/>
    </row>
    <row r="329" spans="6:7" ht="15" thickBot="1">
      <c r="F329" s="11"/>
      <c r="G329" s="11"/>
    </row>
    <row r="330" spans="6:7" ht="15" thickBot="1">
      <c r="F330" s="11"/>
      <c r="G330" s="11"/>
    </row>
    <row r="331" spans="6:7" ht="15" thickBot="1">
      <c r="F331" s="11"/>
      <c r="G331" s="11"/>
    </row>
    <row r="332" spans="6:7" ht="15" thickBot="1">
      <c r="F332" s="11"/>
      <c r="G332" s="11"/>
    </row>
    <row r="333" spans="6:7" ht="15" thickBot="1">
      <c r="F333" s="11"/>
      <c r="G333" s="11"/>
    </row>
    <row r="334" spans="6:7" ht="15" thickBot="1">
      <c r="F334" s="11"/>
      <c r="G334" s="11"/>
    </row>
    <row r="335" spans="6:7" ht="15" thickBot="1">
      <c r="F335" s="11"/>
      <c r="G335" s="11"/>
    </row>
    <row r="336" spans="6:7" ht="15" thickBot="1">
      <c r="F336" s="11"/>
      <c r="G336" s="11"/>
    </row>
    <row r="337" spans="6:7" ht="15" thickBot="1">
      <c r="F337" s="11"/>
      <c r="G337" s="11"/>
    </row>
    <row r="338" spans="6:7" ht="15" thickBot="1">
      <c r="F338" s="11"/>
      <c r="G338" s="11"/>
    </row>
    <row r="339" spans="6:7" ht="15" thickBot="1">
      <c r="F339" s="11"/>
      <c r="G339" s="11"/>
    </row>
    <row r="340" spans="6:7" ht="15" thickBot="1">
      <c r="F340" s="11"/>
      <c r="G340" s="11"/>
    </row>
    <row r="341" spans="6:7" ht="15" thickBot="1">
      <c r="F341" s="11"/>
      <c r="G341" s="11"/>
    </row>
    <row r="342" spans="6:7" ht="15" thickBot="1">
      <c r="F342" s="11"/>
      <c r="G342" s="11"/>
    </row>
    <row r="343" spans="6:7" ht="15" thickBot="1">
      <c r="F343" s="11"/>
      <c r="G343" s="11"/>
    </row>
    <row r="344" spans="6:7" ht="15" thickBot="1">
      <c r="F344" s="11"/>
      <c r="G344" s="11"/>
    </row>
    <row r="345" spans="6:7" ht="15" thickBot="1">
      <c r="F345" s="11"/>
      <c r="G345" s="11"/>
    </row>
    <row r="346" spans="6:7" ht="15" thickBot="1">
      <c r="F346" s="11"/>
      <c r="G346" s="11"/>
    </row>
    <row r="347" spans="6:7" ht="15" thickBot="1">
      <c r="F347" s="11"/>
      <c r="G347" s="11"/>
    </row>
    <row r="348" spans="6:7" ht="15" thickBot="1">
      <c r="F348" s="11"/>
      <c r="G348" s="11"/>
    </row>
    <row r="349" spans="6:7" ht="15" thickBot="1">
      <c r="F349" s="11"/>
      <c r="G349" s="11"/>
    </row>
    <row r="350" spans="6:7" ht="15" thickBot="1">
      <c r="F350" s="11"/>
      <c r="G350" s="11"/>
    </row>
    <row r="351" spans="6:7" ht="15" thickBot="1">
      <c r="F351" s="11"/>
      <c r="G351" s="11"/>
    </row>
    <row r="352" spans="6:7" ht="15" thickBot="1">
      <c r="F352" s="11"/>
      <c r="G352" s="11"/>
    </row>
    <row r="353" spans="6:7" ht="15" thickBot="1">
      <c r="F353" s="11"/>
      <c r="G353" s="11"/>
    </row>
    <row r="354" spans="6:7" ht="15" thickBot="1">
      <c r="F354" s="11"/>
      <c r="G354" s="11"/>
    </row>
    <row r="355" spans="6:7" ht="15" thickBot="1">
      <c r="F355" s="11"/>
      <c r="G355" s="11"/>
    </row>
    <row r="356" spans="6:7" ht="15" thickBot="1">
      <c r="F356" s="11"/>
      <c r="G356" s="11"/>
    </row>
    <row r="357" spans="6:7" ht="15" thickBot="1">
      <c r="F357" s="11"/>
      <c r="G357" s="11"/>
    </row>
    <row r="358" spans="6:7" ht="15" thickBot="1">
      <c r="F358" s="11"/>
      <c r="G358" s="11"/>
    </row>
    <row r="359" spans="6:7" ht="15" thickBot="1">
      <c r="F359" s="11"/>
      <c r="G359" s="11"/>
    </row>
    <row r="360" spans="6:7" ht="15" thickBot="1">
      <c r="F360" s="11"/>
      <c r="G360" s="11"/>
    </row>
    <row r="361" spans="6:7" ht="15" thickBot="1">
      <c r="F361" s="11"/>
      <c r="G361" s="11"/>
    </row>
    <row r="362" spans="6:7" ht="15" thickBot="1">
      <c r="F362" s="11"/>
      <c r="G362" s="11"/>
    </row>
    <row r="363" spans="6:7" ht="15" thickBot="1">
      <c r="F363" s="11"/>
      <c r="G363" s="11"/>
    </row>
    <row r="364" spans="6:7" ht="15" thickBot="1">
      <c r="F364" s="11"/>
      <c r="G364" s="11"/>
    </row>
    <row r="365" spans="6:7" ht="15" thickBot="1">
      <c r="F365" s="11"/>
      <c r="G365" s="11"/>
    </row>
    <row r="366" spans="6:7" ht="15" thickBot="1">
      <c r="F366" s="11"/>
      <c r="G366" s="11"/>
    </row>
    <row r="367" spans="6:7" ht="15" thickBot="1">
      <c r="F367" s="11"/>
      <c r="G367" s="11"/>
    </row>
    <row r="368" spans="6:7" ht="15" thickBot="1">
      <c r="F368" s="11"/>
      <c r="G368" s="11"/>
    </row>
    <row r="369" spans="6:7" ht="15" thickBot="1">
      <c r="F369" s="11"/>
      <c r="G369" s="11"/>
    </row>
    <row r="370" spans="6:7" ht="15" thickBot="1">
      <c r="F370" s="11"/>
      <c r="G370" s="11"/>
    </row>
    <row r="371" spans="6:7" ht="15" thickBot="1">
      <c r="F371" s="11"/>
      <c r="G371" s="11"/>
    </row>
    <row r="372" spans="6:7" ht="15" thickBot="1">
      <c r="F372" s="11"/>
      <c r="G372" s="11"/>
    </row>
    <row r="373" spans="6:7" ht="15" thickBot="1">
      <c r="F373" s="11"/>
      <c r="G373" s="11"/>
    </row>
    <row r="374" spans="6:7" ht="15" thickBot="1">
      <c r="F374" s="11"/>
      <c r="G374" s="11"/>
    </row>
    <row r="375" spans="6:7" ht="15" thickBot="1">
      <c r="F375" s="11"/>
      <c r="G375" s="11"/>
    </row>
    <row r="376" spans="6:7" ht="15" thickBot="1">
      <c r="F376" s="11"/>
      <c r="G376" s="11"/>
    </row>
    <row r="377" spans="6:7" ht="15" thickBot="1">
      <c r="F377" s="11"/>
      <c r="G377" s="11"/>
    </row>
    <row r="378" spans="6:7" ht="15" thickBot="1">
      <c r="F378" s="11"/>
      <c r="G378" s="11"/>
    </row>
    <row r="379" spans="6:7" ht="15" thickBot="1">
      <c r="F379" s="11"/>
      <c r="G379" s="11"/>
    </row>
    <row r="380" spans="6:7" ht="15" thickBot="1">
      <c r="F380" s="11"/>
      <c r="G380" s="11"/>
    </row>
    <row r="381" spans="6:7" ht="15" thickBot="1">
      <c r="F381" s="11"/>
      <c r="G381" s="11"/>
    </row>
    <row r="382" spans="6:7" ht="15" thickBot="1">
      <c r="F382" s="11"/>
      <c r="G382" s="11"/>
    </row>
    <row r="383" spans="6:7" ht="15" thickBot="1">
      <c r="F383" s="11"/>
      <c r="G383" s="11"/>
    </row>
    <row r="384" spans="6:7" ht="15" thickBot="1">
      <c r="F384" s="11"/>
      <c r="G384" s="11"/>
    </row>
    <row r="385" spans="6:7" ht="15" thickBot="1">
      <c r="F385" s="11"/>
      <c r="G385" s="11"/>
    </row>
    <row r="386" spans="6:7" ht="15" thickBot="1">
      <c r="F386" s="11"/>
      <c r="G386" s="11"/>
    </row>
    <row r="387" spans="6:7" ht="15" thickBot="1">
      <c r="F387" s="11"/>
      <c r="G387" s="11"/>
    </row>
    <row r="388" spans="6:7" ht="15" thickBot="1">
      <c r="F388" s="11"/>
      <c r="G388" s="11"/>
    </row>
    <row r="389" spans="6:7" ht="15" thickBot="1">
      <c r="F389" s="11"/>
      <c r="G389" s="11"/>
    </row>
    <row r="390" spans="6:7" ht="15" thickBot="1">
      <c r="F390" s="11"/>
      <c r="G390" s="11"/>
    </row>
    <row r="391" spans="6:7" ht="15" thickBot="1">
      <c r="F391" s="11"/>
      <c r="G391" s="11"/>
    </row>
    <row r="392" spans="6:7" ht="15" thickBot="1">
      <c r="F392" s="11"/>
      <c r="G392" s="11"/>
    </row>
    <row r="393" spans="6:7" ht="15" thickBot="1">
      <c r="F393" s="11"/>
      <c r="G393" s="11"/>
    </row>
    <row r="394" spans="6:7" ht="15" thickBot="1">
      <c r="F394" s="11"/>
      <c r="G394" s="11"/>
    </row>
    <row r="395" spans="6:7" ht="15" thickBot="1">
      <c r="F395" s="11"/>
      <c r="G395" s="11"/>
    </row>
    <row r="396" spans="6:7" ht="15" thickBot="1">
      <c r="F396" s="11"/>
      <c r="G396" s="11"/>
    </row>
    <row r="397" spans="6:7" ht="15" thickBot="1">
      <c r="F397" s="11"/>
      <c r="G397" s="11"/>
    </row>
    <row r="398" spans="6:7" ht="15" thickBot="1">
      <c r="F398" s="11"/>
      <c r="G398" s="11"/>
    </row>
    <row r="399" spans="6:7" ht="15" thickBot="1">
      <c r="F399" s="11"/>
      <c r="G399" s="11"/>
    </row>
    <row r="400" spans="6:7" ht="15" thickBot="1">
      <c r="F400" s="11"/>
      <c r="G400" s="11"/>
    </row>
    <row r="401" spans="6:7" ht="15" thickBot="1">
      <c r="F401" s="11"/>
      <c r="G401" s="11"/>
    </row>
    <row r="402" spans="6:7" ht="15" thickBot="1">
      <c r="F402" s="11"/>
      <c r="G402" s="11"/>
    </row>
    <row r="403" spans="6:7" ht="15" thickBot="1">
      <c r="F403" s="11"/>
      <c r="G403" s="11"/>
    </row>
    <row r="404" spans="6:7" ht="15" thickBot="1">
      <c r="F404" s="11"/>
      <c r="G404" s="11"/>
    </row>
    <row r="405" spans="6:7" ht="15" thickBot="1">
      <c r="F405" s="11"/>
      <c r="G405" s="11"/>
    </row>
    <row r="406" spans="6:7" ht="15" thickBot="1">
      <c r="F406" s="11"/>
      <c r="G406" s="11"/>
    </row>
    <row r="407" spans="6:7" ht="15" thickBot="1">
      <c r="F407" s="11"/>
      <c r="G407" s="11"/>
    </row>
    <row r="408" spans="6:7" ht="15" thickBot="1">
      <c r="F408" s="11"/>
      <c r="G408" s="11"/>
    </row>
    <row r="409" spans="6:7" ht="15" thickBot="1">
      <c r="F409" s="11"/>
      <c r="G409" s="11"/>
    </row>
    <row r="410" spans="6:7" ht="15" thickBot="1">
      <c r="F410" s="11"/>
      <c r="G410" s="11"/>
    </row>
    <row r="411" spans="6:7" ht="15" thickBot="1">
      <c r="F411" s="11"/>
      <c r="G411" s="11"/>
    </row>
    <row r="412" spans="6:7" ht="15" thickBot="1">
      <c r="F412" s="11"/>
      <c r="G412" s="11"/>
    </row>
    <row r="413" spans="6:7" ht="15" thickBot="1">
      <c r="F413" s="11"/>
      <c r="G413" s="11"/>
    </row>
    <row r="414" spans="6:7" ht="15" thickBot="1">
      <c r="F414" s="11"/>
      <c r="G414" s="11"/>
    </row>
    <row r="415" spans="6:7" ht="15" thickBot="1">
      <c r="F415" s="11"/>
      <c r="G415" s="11"/>
    </row>
    <row r="416" spans="6:7" ht="15" thickBot="1">
      <c r="F416" s="11"/>
      <c r="G416" s="11"/>
    </row>
    <row r="417" spans="6:7" ht="15" thickBot="1">
      <c r="F417" s="11"/>
      <c r="G417" s="11"/>
    </row>
    <row r="418" spans="6:7" ht="15" thickBot="1">
      <c r="F418" s="11"/>
      <c r="G418" s="11"/>
    </row>
    <row r="419" spans="6:7" ht="15" thickBot="1">
      <c r="F419" s="11"/>
      <c r="G419" s="11"/>
    </row>
    <row r="420" spans="6:7" ht="15" thickBot="1">
      <c r="F420" s="11"/>
      <c r="G420" s="11"/>
    </row>
    <row r="421" spans="6:7" ht="15" thickBot="1">
      <c r="F421" s="11"/>
      <c r="G421" s="11"/>
    </row>
    <row r="422" spans="6:7" ht="15" thickBot="1">
      <c r="F422" s="11"/>
      <c r="G422" s="11"/>
    </row>
    <row r="423" spans="6:7" ht="15" thickBot="1">
      <c r="F423" s="11"/>
      <c r="G423" s="11"/>
    </row>
    <row r="424" spans="6:7" ht="15" thickBot="1">
      <c r="F424" s="11"/>
      <c r="G424" s="11"/>
    </row>
    <row r="425" spans="6:7" ht="15" thickBot="1">
      <c r="F425" s="11"/>
      <c r="G425" s="11"/>
    </row>
    <row r="426" spans="6:7" ht="15" thickBot="1">
      <c r="F426" s="11"/>
      <c r="G426" s="11"/>
    </row>
    <row r="427" spans="6:7" ht="15" thickBot="1">
      <c r="F427" s="11"/>
      <c r="G427" s="11"/>
    </row>
    <row r="428" spans="6:7" ht="15" thickBot="1">
      <c r="F428" s="11"/>
      <c r="G428" s="11"/>
    </row>
    <row r="429" spans="6:7" ht="15" thickBot="1">
      <c r="F429" s="11"/>
      <c r="G429" s="11"/>
    </row>
    <row r="430" spans="6:7" ht="15" thickBot="1">
      <c r="F430" s="11"/>
      <c r="G430" s="11"/>
    </row>
    <row r="431" spans="6:7" ht="15" thickBot="1">
      <c r="F431" s="11"/>
      <c r="G431" s="11"/>
    </row>
    <row r="432" spans="6:7" ht="15" thickBot="1">
      <c r="F432" s="11"/>
      <c r="G432" s="11"/>
    </row>
    <row r="433" spans="6:7" ht="15" thickBot="1">
      <c r="F433" s="11"/>
      <c r="G433" s="11"/>
    </row>
    <row r="434" spans="6:7" ht="15" thickBot="1">
      <c r="F434" s="11"/>
      <c r="G434" s="11"/>
    </row>
    <row r="435" spans="6:7" ht="15" thickBot="1">
      <c r="F435" s="11"/>
      <c r="G435" s="11"/>
    </row>
    <row r="436" spans="6:7" ht="15" thickBot="1">
      <c r="F436" s="11"/>
      <c r="G436" s="11"/>
    </row>
    <row r="437" spans="6:7" ht="15" thickBot="1">
      <c r="F437" s="11"/>
      <c r="G437" s="11"/>
    </row>
    <row r="438" spans="6:7" ht="15" thickBot="1">
      <c r="F438" s="11"/>
      <c r="G438" s="11"/>
    </row>
    <row r="439" spans="6:7" ht="15" thickBot="1">
      <c r="F439" s="11"/>
      <c r="G439" s="11"/>
    </row>
    <row r="440" spans="6:7" ht="15" thickBot="1">
      <c r="F440" s="11"/>
      <c r="G440" s="11"/>
    </row>
    <row r="441" spans="6:7" ht="15" thickBot="1">
      <c r="F441" s="11"/>
      <c r="G441" s="11"/>
    </row>
    <row r="442" spans="6:7" ht="15" thickBot="1">
      <c r="F442" s="11"/>
      <c r="G442" s="11"/>
    </row>
    <row r="443" spans="6:7" ht="15" thickBot="1">
      <c r="F443" s="11"/>
      <c r="G443" s="11"/>
    </row>
    <row r="444" spans="6:7" ht="15" thickBot="1">
      <c r="F444" s="11"/>
      <c r="G444" s="11"/>
    </row>
    <row r="445" spans="6:7" ht="15" thickBot="1">
      <c r="F445" s="11"/>
      <c r="G445" s="11"/>
    </row>
    <row r="446" spans="6:7" ht="15" thickBot="1">
      <c r="F446" s="11"/>
      <c r="G446" s="11"/>
    </row>
    <row r="447" spans="6:7" ht="15" thickBot="1">
      <c r="F447" s="11"/>
      <c r="G447" s="11"/>
    </row>
    <row r="448" spans="6:7" ht="15" thickBot="1">
      <c r="F448" s="11"/>
      <c r="G448" s="11"/>
    </row>
    <row r="449" spans="6:7" ht="15" thickBot="1">
      <c r="F449" s="11"/>
      <c r="G449" s="11"/>
    </row>
    <row r="450" spans="6:7" ht="15" thickBot="1">
      <c r="F450" s="11"/>
      <c r="G450" s="11"/>
    </row>
    <row r="451" spans="6:7" ht="15" thickBot="1">
      <c r="F451" s="11"/>
      <c r="G451" s="11"/>
    </row>
    <row r="452" spans="6:7" ht="15" thickBot="1">
      <c r="F452" s="11"/>
      <c r="G452" s="11"/>
    </row>
    <row r="453" spans="6:7" ht="15" thickBot="1">
      <c r="F453" s="11"/>
      <c r="G453" s="11"/>
    </row>
    <row r="454" spans="6:7" ht="15" thickBot="1">
      <c r="F454" s="11"/>
      <c r="G454" s="11"/>
    </row>
    <row r="455" spans="6:7" ht="15" thickBot="1">
      <c r="F455" s="11"/>
      <c r="G455" s="11"/>
    </row>
    <row r="456" spans="6:7" ht="15" thickBot="1">
      <c r="F456" s="11"/>
      <c r="G456" s="11"/>
    </row>
    <row r="457" spans="6:7" ht="15" thickBot="1">
      <c r="F457" s="11"/>
      <c r="G457" s="11"/>
    </row>
    <row r="458" spans="6:7" ht="15" thickBot="1">
      <c r="F458" s="11"/>
      <c r="G458" s="11"/>
    </row>
    <row r="459" spans="6:7" ht="15" thickBot="1">
      <c r="F459" s="11"/>
      <c r="G459" s="11"/>
    </row>
    <row r="460" spans="6:7" ht="15" thickBot="1">
      <c r="F460" s="11"/>
      <c r="G460" s="11"/>
    </row>
    <row r="461" spans="6:7" ht="15" thickBot="1">
      <c r="F461" s="11"/>
      <c r="G461" s="11"/>
    </row>
    <row r="462" spans="6:7" ht="15" thickBot="1">
      <c r="F462" s="11"/>
      <c r="G462" s="11"/>
    </row>
    <row r="463" spans="6:7" ht="15" thickBot="1">
      <c r="F463" s="11"/>
      <c r="G463" s="11"/>
    </row>
    <row r="464" spans="6:7" ht="15" thickBot="1">
      <c r="F464" s="11"/>
      <c r="G464" s="11"/>
    </row>
    <row r="465" spans="6:7" ht="15" thickBot="1">
      <c r="F465" s="11"/>
      <c r="G465" s="11"/>
    </row>
    <row r="466" spans="6:7" ht="15" thickBot="1">
      <c r="F466" s="11"/>
      <c r="G466" s="11"/>
    </row>
    <row r="467" spans="6:7" ht="15" thickBot="1">
      <c r="F467" s="11"/>
      <c r="G467" s="11"/>
    </row>
    <row r="468" spans="6:7" ht="15" thickBot="1">
      <c r="F468" s="11"/>
      <c r="G468" s="11"/>
    </row>
    <row r="469" spans="6:7" ht="15" thickBot="1">
      <c r="F469" s="11"/>
      <c r="G469" s="11"/>
    </row>
    <row r="470" spans="6:7" ht="15" thickBot="1">
      <c r="F470" s="11"/>
      <c r="G470" s="11"/>
    </row>
    <row r="471" spans="6:7" ht="15" thickBot="1">
      <c r="F471" s="11"/>
      <c r="G471" s="11"/>
    </row>
    <row r="472" spans="6:7" ht="15" thickBot="1">
      <c r="F472" s="11"/>
      <c r="G472" s="11"/>
    </row>
    <row r="473" spans="6:7" ht="15" thickBot="1">
      <c r="F473" s="11"/>
      <c r="G473" s="11"/>
    </row>
    <row r="474" spans="6:7" ht="15" thickBot="1">
      <c r="F474" s="11"/>
      <c r="G474" s="11"/>
    </row>
    <row r="475" spans="6:7" ht="15" thickBot="1">
      <c r="F475" s="11"/>
      <c r="G475" s="11"/>
    </row>
    <row r="476" spans="6:7" ht="15" thickBot="1">
      <c r="F476" s="11"/>
      <c r="G476" s="11"/>
    </row>
    <row r="477" spans="6:7" ht="15" thickBot="1">
      <c r="F477" s="11"/>
      <c r="G477" s="11"/>
    </row>
    <row r="478" spans="6:7" ht="15" thickBot="1">
      <c r="F478" s="11"/>
      <c r="G478" s="11"/>
    </row>
    <row r="479" spans="6:7" ht="15" thickBot="1">
      <c r="F479" s="11"/>
      <c r="G479" s="11"/>
    </row>
    <row r="480" spans="6:7" ht="15" thickBot="1">
      <c r="F480" s="11"/>
      <c r="G480" s="11"/>
    </row>
    <row r="481" spans="6:7" ht="15" thickBot="1">
      <c r="F481" s="11"/>
      <c r="G481" s="11"/>
    </row>
    <row r="482" spans="6:7" ht="15" thickBot="1">
      <c r="F482" s="11"/>
      <c r="G482" s="11"/>
    </row>
    <row r="483" spans="6:7" ht="15" thickBot="1">
      <c r="F483" s="11"/>
      <c r="G483" s="11"/>
    </row>
    <row r="484" spans="6:7" ht="15" thickBot="1">
      <c r="F484" s="11"/>
      <c r="G484" s="11"/>
    </row>
    <row r="485" spans="6:7" ht="15" thickBot="1">
      <c r="F485" s="11"/>
      <c r="G485" s="11"/>
    </row>
    <row r="486" spans="6:7" ht="15" thickBot="1">
      <c r="F486" s="11"/>
      <c r="G486" s="11"/>
    </row>
    <row r="487" spans="6:7" ht="15" thickBot="1">
      <c r="F487" s="11"/>
      <c r="G487" s="11"/>
    </row>
    <row r="488" spans="6:7" ht="15" thickBot="1">
      <c r="F488" s="11"/>
      <c r="G488" s="11"/>
    </row>
    <row r="489" spans="6:7" ht="15" thickBot="1">
      <c r="F489" s="11"/>
      <c r="G489" s="11"/>
    </row>
    <row r="490" spans="6:7" ht="15" thickBot="1">
      <c r="F490" s="11"/>
      <c r="G490" s="11"/>
    </row>
    <row r="491" spans="6:7" ht="15" thickBot="1">
      <c r="F491" s="11"/>
      <c r="G491" s="11"/>
    </row>
    <row r="492" spans="6:7" ht="15" thickBot="1">
      <c r="F492" s="11"/>
      <c r="G492" s="11"/>
    </row>
    <row r="493" spans="6:7" ht="15" thickBot="1">
      <c r="F493" s="11"/>
      <c r="G493" s="11"/>
    </row>
    <row r="494" spans="6:7" ht="15" thickBot="1">
      <c r="F494" s="11"/>
      <c r="G494" s="11"/>
    </row>
    <row r="495" spans="6:7" ht="15" thickBot="1">
      <c r="F495" s="11"/>
      <c r="G495" s="11"/>
    </row>
    <row r="496" spans="6:7" ht="15" thickBot="1">
      <c r="F496" s="11"/>
      <c r="G496" s="11"/>
    </row>
    <row r="497" spans="6:7" ht="15" thickBot="1">
      <c r="F497" s="11"/>
      <c r="G497" s="11"/>
    </row>
    <row r="498" spans="6:7" ht="15" thickBot="1">
      <c r="F498" s="11"/>
      <c r="G498" s="11"/>
    </row>
    <row r="499" spans="6:7" ht="15" thickBot="1">
      <c r="F499" s="11"/>
      <c r="G499" s="11"/>
    </row>
    <row r="500" spans="6:7" ht="15" thickBot="1">
      <c r="F500" s="11"/>
      <c r="G500" s="11"/>
    </row>
    <row r="501" spans="6:7" ht="15" thickBot="1">
      <c r="F501" s="11"/>
      <c r="G501" s="11"/>
    </row>
    <row r="502" spans="6:7" ht="15" thickBot="1">
      <c r="F502" s="11"/>
      <c r="G502" s="11"/>
    </row>
    <row r="503" spans="6:7" ht="15" thickBot="1">
      <c r="F503" s="11"/>
      <c r="G503" s="11"/>
    </row>
    <row r="504" spans="6:7" ht="15" thickBot="1">
      <c r="F504" s="11"/>
      <c r="G504" s="11"/>
    </row>
    <row r="505" spans="6:7" ht="15" thickBot="1">
      <c r="F505" s="11"/>
      <c r="G505" s="11"/>
    </row>
    <row r="506" spans="6:7" ht="15" thickBot="1">
      <c r="F506" s="11"/>
      <c r="G506" s="11"/>
    </row>
    <row r="507" spans="6:7" ht="15" thickBot="1">
      <c r="F507" s="11"/>
      <c r="G507" s="11"/>
    </row>
    <row r="508" spans="6:7" ht="15" thickBot="1">
      <c r="F508" s="11"/>
      <c r="G508" s="11"/>
    </row>
    <row r="509" spans="6:7" ht="15" thickBot="1">
      <c r="F509" s="11"/>
      <c r="G509" s="11"/>
    </row>
    <row r="510" spans="6:7" ht="15" thickBot="1">
      <c r="F510" s="11"/>
      <c r="G510" s="11"/>
    </row>
    <row r="511" spans="6:7" ht="15" thickBot="1">
      <c r="F511" s="11"/>
      <c r="G511" s="11"/>
    </row>
    <row r="512" spans="6:7" ht="15" thickBot="1">
      <c r="F512" s="11"/>
      <c r="G512" s="11"/>
    </row>
    <row r="513" spans="6:7" ht="15" thickBot="1">
      <c r="F513" s="11"/>
      <c r="G513" s="11"/>
    </row>
    <row r="514" spans="6:7" ht="15" thickBot="1">
      <c r="F514" s="11"/>
      <c r="G514" s="11"/>
    </row>
    <row r="515" spans="6:7" ht="15" thickBot="1">
      <c r="F515" s="11"/>
      <c r="G515" s="11"/>
    </row>
    <row r="516" spans="6:7" ht="15" thickBot="1">
      <c r="F516" s="11"/>
      <c r="G516" s="11"/>
    </row>
    <row r="517" spans="6:7" ht="15" thickBot="1">
      <c r="F517" s="11"/>
      <c r="G517" s="11"/>
    </row>
    <row r="518" spans="6:7" ht="15" thickBot="1">
      <c r="F518" s="11"/>
      <c r="G518" s="11"/>
    </row>
    <row r="519" spans="6:7" ht="15" thickBot="1">
      <c r="F519" s="11"/>
      <c r="G519" s="11"/>
    </row>
    <row r="520" spans="6:7" ht="15" thickBot="1">
      <c r="F520" s="11"/>
      <c r="G520" s="11"/>
    </row>
    <row r="521" spans="6:7" ht="15" thickBot="1">
      <c r="F521" s="11"/>
      <c r="G521" s="11"/>
    </row>
    <row r="522" spans="6:7" ht="15" thickBot="1">
      <c r="F522" s="11"/>
      <c r="G522" s="11"/>
    </row>
    <row r="523" spans="6:7" ht="15" thickBot="1">
      <c r="F523" s="11"/>
      <c r="G523" s="11"/>
    </row>
    <row r="524" spans="6:7" ht="15" thickBot="1">
      <c r="F524" s="11"/>
      <c r="G524" s="11"/>
    </row>
    <row r="525" spans="6:7" ht="15" thickBot="1">
      <c r="F525" s="11"/>
      <c r="G525" s="11"/>
    </row>
    <row r="526" spans="6:7" ht="15" thickBot="1">
      <c r="F526" s="11"/>
      <c r="G526" s="11"/>
    </row>
    <row r="527" spans="6:7" ht="15" thickBot="1">
      <c r="F527" s="11"/>
      <c r="G527" s="11"/>
    </row>
    <row r="528" spans="6:7" ht="15" thickBot="1">
      <c r="F528" s="11"/>
      <c r="G528" s="11"/>
    </row>
    <row r="529" spans="6:7" ht="15" thickBot="1">
      <c r="F529" s="11"/>
      <c r="G529" s="11"/>
    </row>
    <row r="530" spans="6:7" ht="15" thickBot="1">
      <c r="F530" s="11"/>
      <c r="G530" s="11"/>
    </row>
    <row r="531" spans="6:7" ht="15" thickBot="1">
      <c r="F531" s="11"/>
      <c r="G531" s="11"/>
    </row>
    <row r="532" spans="6:7" ht="15" thickBot="1">
      <c r="F532" s="11"/>
      <c r="G532" s="11"/>
    </row>
    <row r="533" spans="6:7" ht="15" thickBot="1">
      <c r="F533" s="11"/>
      <c r="G533" s="11"/>
    </row>
    <row r="534" spans="6:7" ht="15" thickBot="1">
      <c r="F534" s="11"/>
      <c r="G534" s="11"/>
    </row>
    <row r="535" spans="6:7" ht="15" thickBot="1">
      <c r="F535" s="11"/>
      <c r="G535" s="11"/>
    </row>
    <row r="536" spans="6:7" ht="15" thickBot="1">
      <c r="F536" s="11"/>
      <c r="G536" s="11"/>
    </row>
    <row r="537" spans="6:7" ht="15" thickBot="1">
      <c r="F537" s="11"/>
      <c r="G537" s="11"/>
    </row>
    <row r="538" spans="6:7" ht="15" thickBot="1">
      <c r="F538" s="11"/>
      <c r="G538" s="11"/>
    </row>
    <row r="539" spans="6:7" ht="15" thickBot="1">
      <c r="F539" s="11"/>
      <c r="G539" s="11"/>
    </row>
    <row r="540" spans="6:7" ht="15" thickBot="1">
      <c r="F540" s="11"/>
      <c r="G540" s="11"/>
    </row>
    <row r="541" spans="6:7" ht="15" thickBot="1">
      <c r="F541" s="11"/>
      <c r="G541" s="11"/>
    </row>
    <row r="542" spans="6:7" ht="15" thickBot="1">
      <c r="F542" s="11"/>
      <c r="G542" s="11"/>
    </row>
    <row r="543" spans="6:7" ht="15" thickBot="1">
      <c r="F543" s="11"/>
      <c r="G543" s="11"/>
    </row>
    <row r="544" spans="6:7" ht="15" thickBot="1">
      <c r="F544" s="11"/>
      <c r="G544" s="11"/>
    </row>
    <row r="545" spans="6:7" ht="15" thickBot="1">
      <c r="F545" s="11"/>
      <c r="G545" s="11"/>
    </row>
    <row r="546" spans="6:7" ht="15" thickBot="1">
      <c r="F546" s="11"/>
      <c r="G546" s="11"/>
    </row>
    <row r="547" spans="6:7" ht="15" thickBot="1">
      <c r="F547" s="11"/>
      <c r="G547" s="11"/>
    </row>
    <row r="548" spans="6:7" ht="15" thickBot="1">
      <c r="F548" s="11"/>
      <c r="G548" s="11"/>
    </row>
    <row r="549" spans="6:7" ht="15" thickBot="1">
      <c r="F549" s="11"/>
      <c r="G549" s="11"/>
    </row>
    <row r="550" spans="6:7" ht="15" thickBot="1">
      <c r="F550" s="11"/>
      <c r="G550" s="11"/>
    </row>
    <row r="551" spans="6:7" ht="15" thickBot="1">
      <c r="F551" s="11"/>
      <c r="G551" s="11"/>
    </row>
    <row r="552" spans="6:7" ht="15" thickBot="1">
      <c r="F552" s="11"/>
      <c r="G552" s="11"/>
    </row>
    <row r="553" spans="6:7" ht="15" thickBot="1">
      <c r="F553" s="11"/>
      <c r="G553" s="11"/>
    </row>
    <row r="554" spans="6:7" ht="15" thickBot="1">
      <c r="F554" s="11"/>
      <c r="G554" s="11"/>
    </row>
    <row r="555" spans="6:7" ht="15" thickBot="1">
      <c r="F555" s="11"/>
      <c r="G555" s="11"/>
    </row>
    <row r="556" spans="6:7" ht="15" thickBot="1">
      <c r="F556" s="11"/>
      <c r="G556" s="11"/>
    </row>
    <row r="557" spans="6:7" ht="15" thickBot="1">
      <c r="F557" s="11"/>
      <c r="G557" s="11"/>
    </row>
    <row r="558" spans="6:7" ht="15" thickBot="1">
      <c r="F558" s="11"/>
      <c r="G558" s="11"/>
    </row>
    <row r="559" spans="6:7" ht="15" thickBot="1">
      <c r="F559" s="11"/>
      <c r="G559" s="11"/>
    </row>
    <row r="560" spans="6:7" ht="15" thickBot="1">
      <c r="F560" s="11"/>
      <c r="G560" s="11"/>
    </row>
    <row r="561" spans="6:7" ht="15" thickBot="1">
      <c r="F561" s="11"/>
      <c r="G561" s="11"/>
    </row>
    <row r="562" spans="6:7" ht="15" thickBot="1">
      <c r="F562" s="11"/>
      <c r="G562" s="11"/>
    </row>
    <row r="563" spans="6:7" ht="15" thickBot="1">
      <c r="F563" s="11"/>
      <c r="G563" s="11"/>
    </row>
    <row r="564" spans="6:7" ht="15" thickBot="1">
      <c r="F564" s="11"/>
      <c r="G564" s="11"/>
    </row>
    <row r="565" spans="6:7" ht="15" thickBot="1">
      <c r="F565" s="11"/>
      <c r="G565" s="11"/>
    </row>
    <row r="566" spans="6:7" ht="15" thickBot="1">
      <c r="F566" s="11"/>
      <c r="G566" s="11"/>
    </row>
    <row r="567" spans="6:7" ht="15" thickBot="1">
      <c r="F567" s="11"/>
      <c r="G567" s="11"/>
    </row>
    <row r="568" spans="6:7" ht="15" thickBot="1">
      <c r="F568" s="11"/>
      <c r="G568" s="11"/>
    </row>
    <row r="569" spans="6:7" ht="15" thickBot="1">
      <c r="F569" s="11"/>
      <c r="G569" s="11"/>
    </row>
    <row r="570" spans="6:7" ht="15" thickBot="1">
      <c r="F570" s="11"/>
      <c r="G570" s="11"/>
    </row>
    <row r="571" spans="6:7" ht="15" thickBot="1">
      <c r="F571" s="11"/>
      <c r="G571" s="11"/>
    </row>
    <row r="572" spans="6:7" ht="15" thickBot="1">
      <c r="F572" s="11"/>
      <c r="G572" s="11"/>
    </row>
    <row r="573" spans="6:7" ht="15" thickBot="1">
      <c r="F573" s="11"/>
      <c r="G573" s="11"/>
    </row>
    <row r="574" spans="6:7" ht="15" thickBot="1">
      <c r="F574" s="11"/>
      <c r="G574" s="11"/>
    </row>
    <row r="575" spans="6:7" ht="15" thickBot="1">
      <c r="F575" s="11"/>
      <c r="G575" s="11"/>
    </row>
    <row r="576" spans="6:7" ht="15" thickBot="1">
      <c r="F576" s="11"/>
      <c r="G576" s="11"/>
    </row>
    <row r="577" spans="6:7" ht="15" thickBot="1">
      <c r="F577" s="11"/>
      <c r="G577" s="11"/>
    </row>
    <row r="578" spans="6:7" ht="15" thickBot="1">
      <c r="F578" s="11"/>
      <c r="G578" s="11"/>
    </row>
    <row r="579" spans="6:7" ht="15" thickBot="1">
      <c r="F579" s="11"/>
      <c r="G579" s="11"/>
    </row>
    <row r="580" spans="6:7" ht="15" thickBot="1">
      <c r="F580" s="11"/>
      <c r="G580" s="11"/>
    </row>
    <row r="581" spans="6:7" ht="15" thickBot="1">
      <c r="F581" s="11"/>
      <c r="G581" s="11"/>
    </row>
    <row r="582" spans="6:7" ht="15" thickBot="1">
      <c r="F582" s="11"/>
      <c r="G582" s="11"/>
    </row>
    <row r="583" spans="6:7" ht="15" thickBot="1">
      <c r="F583" s="11"/>
      <c r="G583" s="11"/>
    </row>
    <row r="584" spans="6:7" ht="15" thickBot="1">
      <c r="F584" s="11"/>
      <c r="G584" s="11"/>
    </row>
    <row r="585" spans="6:7" ht="15" thickBot="1">
      <c r="F585" s="11"/>
      <c r="G585" s="11"/>
    </row>
    <row r="586" spans="6:7" ht="15" thickBot="1">
      <c r="F586" s="11"/>
      <c r="G586" s="11"/>
    </row>
    <row r="587" spans="6:7" ht="15" thickBot="1">
      <c r="F587" s="11"/>
      <c r="G587" s="11"/>
    </row>
    <row r="588" spans="6:7" ht="15" thickBot="1">
      <c r="F588" s="11"/>
      <c r="G588" s="11"/>
    </row>
    <row r="589" spans="6:7" ht="15" thickBot="1">
      <c r="F589" s="11"/>
      <c r="G589" s="11"/>
    </row>
    <row r="590" spans="6:7" ht="15" thickBot="1">
      <c r="F590" s="11"/>
      <c r="G590" s="11"/>
    </row>
    <row r="591" spans="6:7" ht="15" thickBot="1">
      <c r="F591" s="11"/>
      <c r="G591" s="11"/>
    </row>
    <row r="592" spans="6:7" ht="15" thickBot="1">
      <c r="F592" s="11"/>
      <c r="G592" s="11"/>
    </row>
    <row r="593" spans="6:7" ht="15" thickBot="1">
      <c r="F593" s="11"/>
      <c r="G593" s="11"/>
    </row>
    <row r="594" spans="6:7" ht="15" thickBot="1">
      <c r="F594" s="11"/>
      <c r="G594" s="11"/>
    </row>
    <row r="595" spans="6:7" ht="15" thickBot="1">
      <c r="F595" s="11"/>
      <c r="G595" s="11"/>
    </row>
    <row r="596" spans="6:7" ht="15" thickBot="1">
      <c r="F596" s="11"/>
      <c r="G596" s="11"/>
    </row>
    <row r="597" spans="6:7" ht="15" thickBot="1">
      <c r="F597" s="11"/>
      <c r="G597" s="11"/>
    </row>
    <row r="598" spans="6:7" ht="15" thickBot="1">
      <c r="F598" s="11"/>
      <c r="G598" s="11"/>
    </row>
    <row r="599" spans="6:7" ht="15" thickBot="1">
      <c r="F599" s="11"/>
      <c r="G599" s="11"/>
    </row>
    <row r="600" spans="6:7" ht="15" thickBot="1">
      <c r="F600" s="11"/>
      <c r="G600" s="11"/>
    </row>
    <row r="601" spans="6:7" ht="15" thickBot="1">
      <c r="F601" s="11"/>
      <c r="G601" s="11"/>
    </row>
    <row r="602" spans="6:7" ht="15" thickBot="1">
      <c r="F602" s="11"/>
      <c r="G602" s="11"/>
    </row>
    <row r="603" spans="6:7" ht="15" thickBot="1">
      <c r="F603" s="11"/>
      <c r="G603" s="11"/>
    </row>
    <row r="604" spans="6:7" ht="15" thickBot="1">
      <c r="F604" s="11"/>
      <c r="G604" s="11"/>
    </row>
    <row r="605" spans="6:7" ht="15" thickBot="1">
      <c r="F605" s="11"/>
      <c r="G605" s="11"/>
    </row>
    <row r="606" spans="6:7" ht="15" thickBot="1">
      <c r="F606" s="11"/>
      <c r="G606" s="11"/>
    </row>
    <row r="607" spans="6:7" ht="15" thickBot="1">
      <c r="F607" s="11"/>
      <c r="G607" s="11"/>
    </row>
    <row r="608" spans="6:7" ht="15" thickBot="1">
      <c r="F608" s="11"/>
      <c r="G608" s="11"/>
    </row>
    <row r="609" spans="6:7" ht="15" thickBot="1">
      <c r="F609" s="11"/>
      <c r="G609" s="11"/>
    </row>
    <row r="610" spans="6:7" ht="15" thickBot="1">
      <c r="F610" s="11"/>
      <c r="G610" s="11"/>
    </row>
    <row r="611" spans="6:7" ht="15" thickBot="1">
      <c r="F611" s="11"/>
      <c r="G611" s="11"/>
    </row>
    <row r="612" spans="6:7" ht="15" thickBot="1">
      <c r="F612" s="11"/>
      <c r="G612" s="11"/>
    </row>
    <row r="613" spans="6:7" ht="15" thickBot="1">
      <c r="F613" s="11"/>
      <c r="G613" s="11"/>
    </row>
    <row r="614" spans="6:7" ht="15" thickBot="1">
      <c r="F614" s="11"/>
      <c r="G614" s="11"/>
    </row>
    <row r="615" spans="6:7" ht="15" thickBot="1">
      <c r="F615" s="11"/>
      <c r="G615" s="11"/>
    </row>
    <row r="616" spans="6:7" ht="15" thickBot="1">
      <c r="F616" s="11"/>
      <c r="G616" s="11"/>
    </row>
    <row r="617" spans="6:7" ht="15" thickBot="1">
      <c r="F617" s="11"/>
      <c r="G617" s="11"/>
    </row>
    <row r="618" spans="6:7" ht="15" thickBot="1">
      <c r="F618" s="11"/>
      <c r="G618" s="11"/>
    </row>
    <row r="619" spans="6:7" ht="15" thickBot="1">
      <c r="F619" s="11"/>
      <c r="G619" s="11"/>
    </row>
    <row r="620" spans="6:7" ht="15" thickBot="1">
      <c r="F620" s="11"/>
      <c r="G620" s="11"/>
    </row>
    <row r="621" spans="6:7" ht="15" thickBot="1">
      <c r="F621" s="11"/>
      <c r="G621" s="11"/>
    </row>
    <row r="622" spans="6:7" ht="15" thickBot="1">
      <c r="F622" s="11"/>
      <c r="G622" s="11"/>
    </row>
    <row r="623" spans="6:7" ht="15" thickBot="1">
      <c r="F623" s="11"/>
      <c r="G623" s="11"/>
    </row>
    <row r="624" spans="6:7" ht="15" thickBot="1">
      <c r="F624" s="11"/>
      <c r="G624" s="11"/>
    </row>
    <row r="625" spans="6:7" ht="15" thickBot="1">
      <c r="F625" s="11"/>
      <c r="G625" s="11"/>
    </row>
    <row r="626" spans="6:7" ht="15" thickBot="1">
      <c r="F626" s="11"/>
      <c r="G626" s="11"/>
    </row>
    <row r="627" spans="6:7" ht="15" thickBot="1">
      <c r="F627" s="11"/>
      <c r="G627" s="11"/>
    </row>
    <row r="628" spans="6:7" ht="15" thickBot="1">
      <c r="F628" s="11"/>
      <c r="G628" s="11"/>
    </row>
    <row r="629" spans="6:7" ht="15" thickBot="1">
      <c r="F629" s="11"/>
      <c r="G629" s="11"/>
    </row>
    <row r="630" spans="6:7" ht="15" thickBot="1">
      <c r="F630" s="11"/>
      <c r="G630" s="11"/>
    </row>
    <row r="631" spans="6:7" ht="15" thickBot="1">
      <c r="F631" s="11"/>
      <c r="G631" s="11"/>
    </row>
    <row r="632" spans="6:7" ht="15" thickBot="1">
      <c r="F632" s="11"/>
      <c r="G632" s="11"/>
    </row>
    <row r="633" spans="6:7" ht="15" thickBot="1">
      <c r="F633" s="11"/>
      <c r="G633" s="11"/>
    </row>
    <row r="634" spans="6:7" ht="15" thickBot="1">
      <c r="F634" s="11"/>
      <c r="G634" s="11"/>
    </row>
    <row r="635" spans="6:7" ht="15" thickBot="1">
      <c r="F635" s="11"/>
      <c r="G635" s="11"/>
    </row>
    <row r="636" spans="6:7" ht="15" thickBot="1">
      <c r="F636" s="11"/>
      <c r="G636" s="11"/>
    </row>
    <row r="637" spans="6:7" ht="15" thickBot="1">
      <c r="F637" s="11"/>
      <c r="G637" s="11"/>
    </row>
    <row r="638" spans="6:7" ht="15" thickBot="1">
      <c r="F638" s="11"/>
      <c r="G638" s="11"/>
    </row>
    <row r="639" spans="6:7" ht="15" thickBot="1">
      <c r="F639" s="11"/>
      <c r="G639" s="11"/>
    </row>
    <row r="640" spans="6:7" ht="15" thickBot="1">
      <c r="F640" s="11"/>
      <c r="G640" s="11"/>
    </row>
    <row r="641" spans="6:7" ht="15" thickBot="1">
      <c r="F641" s="11"/>
      <c r="G641" s="11"/>
    </row>
    <row r="642" spans="6:7" ht="15" thickBot="1">
      <c r="F642" s="11"/>
      <c r="G642" s="11"/>
    </row>
    <row r="643" spans="6:7" ht="15" thickBot="1">
      <c r="F643" s="11"/>
      <c r="G643" s="11"/>
    </row>
    <row r="644" spans="6:7" ht="15" thickBot="1">
      <c r="F644" s="11"/>
      <c r="G644" s="11"/>
    </row>
    <row r="645" spans="6:7" ht="15" thickBot="1">
      <c r="F645" s="11"/>
      <c r="G645" s="11"/>
    </row>
    <row r="646" spans="6:7" ht="15" thickBot="1">
      <c r="F646" s="11"/>
      <c r="G646" s="11"/>
    </row>
    <row r="647" spans="6:7" ht="15" thickBot="1">
      <c r="F647" s="11"/>
      <c r="G647" s="11"/>
    </row>
    <row r="648" spans="6:7" ht="15" thickBot="1">
      <c r="F648" s="11"/>
      <c r="G648" s="11"/>
    </row>
    <row r="649" spans="6:7" ht="15" thickBot="1">
      <c r="F649" s="11"/>
      <c r="G649" s="11"/>
    </row>
    <row r="650" spans="6:7" ht="15" thickBot="1">
      <c r="F650" s="11"/>
      <c r="G650" s="11"/>
    </row>
    <row r="651" spans="6:7" ht="15" thickBot="1">
      <c r="F651" s="11"/>
      <c r="G651" s="11"/>
    </row>
    <row r="652" spans="6:7" ht="15" thickBot="1">
      <c r="F652" s="11"/>
      <c r="G652" s="11"/>
    </row>
    <row r="653" spans="6:7" ht="15" thickBot="1">
      <c r="F653" s="11"/>
      <c r="G653" s="11"/>
    </row>
    <row r="654" spans="6:7" ht="15" thickBot="1">
      <c r="F654" s="11"/>
      <c r="G654" s="11"/>
    </row>
    <row r="655" spans="6:7" ht="15" thickBot="1">
      <c r="F655" s="11"/>
      <c r="G655" s="11"/>
    </row>
    <row r="656" spans="6:7" ht="15" thickBot="1">
      <c r="F656" s="11"/>
      <c r="G656" s="11"/>
    </row>
    <row r="657" spans="6:7" ht="15" thickBot="1">
      <c r="F657" s="11"/>
      <c r="G657" s="11"/>
    </row>
    <row r="658" spans="6:7" ht="15" thickBot="1">
      <c r="F658" s="11"/>
      <c r="G658" s="11"/>
    </row>
    <row r="659" spans="6:7" ht="15" thickBot="1">
      <c r="F659" s="11"/>
      <c r="G659" s="11"/>
    </row>
    <row r="660" spans="6:7" ht="15" thickBot="1">
      <c r="F660" s="11"/>
      <c r="G660" s="11"/>
    </row>
    <row r="661" spans="6:7" ht="15" thickBot="1">
      <c r="F661" s="11"/>
      <c r="G661" s="11"/>
    </row>
    <row r="662" spans="6:7" ht="15" thickBot="1">
      <c r="F662" s="11"/>
      <c r="G662" s="11"/>
    </row>
    <row r="663" spans="6:7" ht="15" thickBot="1">
      <c r="F663" s="11"/>
      <c r="G663" s="11"/>
    </row>
    <row r="664" spans="6:7" ht="15" thickBot="1">
      <c r="F664" s="11"/>
      <c r="G664" s="11"/>
    </row>
    <row r="665" spans="6:7" ht="15" thickBot="1">
      <c r="F665" s="11"/>
      <c r="G665" s="11"/>
    </row>
    <row r="666" spans="6:7" ht="15" thickBot="1">
      <c r="F666" s="11"/>
      <c r="G666" s="11"/>
    </row>
    <row r="667" spans="6:7" ht="15" thickBot="1">
      <c r="F667" s="11"/>
      <c r="G667" s="11"/>
    </row>
    <row r="668" spans="6:7" ht="15" thickBot="1">
      <c r="F668" s="11"/>
      <c r="G668" s="11"/>
    </row>
    <row r="669" spans="6:7" ht="15" thickBot="1">
      <c r="F669" s="11"/>
      <c r="G669" s="11"/>
    </row>
    <row r="670" spans="6:7" ht="15" thickBot="1">
      <c r="F670" s="11"/>
      <c r="G670" s="11"/>
    </row>
    <row r="671" spans="6:7" ht="15" thickBot="1">
      <c r="F671" s="11"/>
      <c r="G671" s="11"/>
    </row>
    <row r="672" spans="6:7" ht="15" thickBot="1">
      <c r="F672" s="11"/>
      <c r="G672" s="11"/>
    </row>
    <row r="673" spans="6:7" ht="15" thickBot="1">
      <c r="F673" s="11"/>
      <c r="G673" s="11"/>
    </row>
    <row r="674" spans="6:7" ht="15" thickBot="1">
      <c r="F674" s="11"/>
      <c r="G674" s="11"/>
    </row>
    <row r="675" spans="6:7" ht="15" thickBot="1">
      <c r="F675" s="11"/>
      <c r="G675" s="11"/>
    </row>
    <row r="676" spans="6:7" ht="15" thickBot="1">
      <c r="F676" s="11"/>
      <c r="G676" s="11"/>
    </row>
    <row r="677" spans="6:7" ht="15" thickBot="1">
      <c r="F677" s="11"/>
      <c r="G677" s="11"/>
    </row>
    <row r="678" spans="6:7" ht="15" thickBot="1">
      <c r="F678" s="11"/>
      <c r="G678" s="11"/>
    </row>
    <row r="679" spans="6:7" ht="15" thickBot="1">
      <c r="F679" s="11"/>
      <c r="G679" s="11"/>
    </row>
    <row r="680" spans="6:7" ht="15" thickBot="1">
      <c r="F680" s="11"/>
      <c r="G680" s="11"/>
    </row>
    <row r="681" spans="6:7" ht="15" thickBot="1">
      <c r="F681" s="11"/>
      <c r="G681" s="11"/>
    </row>
    <row r="682" spans="6:7" ht="15" thickBot="1">
      <c r="F682" s="11"/>
      <c r="G682" s="11"/>
    </row>
    <row r="683" spans="6:7" ht="15" thickBot="1">
      <c r="F683" s="11"/>
      <c r="G683" s="11"/>
    </row>
    <row r="684" spans="6:7" ht="15" thickBot="1">
      <c r="F684" s="11"/>
      <c r="G684" s="11"/>
    </row>
    <row r="685" spans="6:7" ht="15" thickBot="1">
      <c r="F685" s="11"/>
      <c r="G685" s="11"/>
    </row>
    <row r="686" spans="6:7" ht="15" thickBot="1">
      <c r="F686" s="11"/>
      <c r="G686" s="11"/>
    </row>
    <row r="687" spans="6:7" ht="15" thickBot="1">
      <c r="F687" s="11"/>
      <c r="G687" s="11"/>
    </row>
    <row r="688" spans="6:7" ht="15" thickBot="1">
      <c r="F688" s="11"/>
      <c r="G688" s="11"/>
    </row>
    <row r="689" spans="6:7" ht="15" thickBot="1">
      <c r="F689" s="11"/>
      <c r="G689" s="11"/>
    </row>
    <row r="690" spans="6:7" ht="15" thickBot="1">
      <c r="F690" s="11"/>
      <c r="G690" s="11"/>
    </row>
    <row r="691" spans="6:7" ht="15" thickBot="1">
      <c r="F691" s="11"/>
      <c r="G691" s="11"/>
    </row>
    <row r="692" spans="6:7" ht="15" thickBot="1">
      <c r="F692" s="11"/>
      <c r="G692" s="11"/>
    </row>
    <row r="693" spans="6:7" ht="15" thickBot="1">
      <c r="F693" s="11"/>
      <c r="G693" s="11"/>
    </row>
    <row r="694" spans="6:7" ht="15" thickBot="1">
      <c r="F694" s="11"/>
      <c r="G694" s="11"/>
    </row>
    <row r="695" spans="6:7" ht="15" thickBot="1">
      <c r="F695" s="11"/>
      <c r="G695" s="11"/>
    </row>
    <row r="696" spans="6:7" ht="15" thickBot="1">
      <c r="F696" s="11"/>
      <c r="G696" s="11"/>
    </row>
    <row r="697" spans="6:7" ht="15" thickBot="1">
      <c r="F697" s="11"/>
      <c r="G697" s="11"/>
    </row>
    <row r="698" spans="6:7" ht="15" thickBot="1">
      <c r="F698" s="11"/>
      <c r="G698" s="11"/>
    </row>
    <row r="699" spans="6:7" ht="15" thickBot="1">
      <c r="F699" s="11"/>
      <c r="G699" s="11"/>
    </row>
    <row r="700" spans="6:7" ht="15" thickBot="1">
      <c r="F700" s="11"/>
      <c r="G700" s="11"/>
    </row>
    <row r="701" spans="6:7" ht="15" thickBot="1">
      <c r="F701" s="11"/>
      <c r="G701" s="11"/>
    </row>
    <row r="702" spans="6:7" ht="15" thickBot="1">
      <c r="F702" s="11"/>
      <c r="G702" s="11"/>
    </row>
    <row r="703" spans="6:7" ht="15" thickBot="1">
      <c r="F703" s="11"/>
      <c r="G703" s="11"/>
    </row>
    <row r="704" spans="6:7" ht="15" thickBot="1">
      <c r="F704" s="11"/>
      <c r="G704" s="11"/>
    </row>
    <row r="705" spans="6:7" ht="15" thickBot="1">
      <c r="F705" s="11"/>
      <c r="G705" s="11"/>
    </row>
    <row r="706" spans="6:7" ht="15" thickBot="1">
      <c r="F706" s="11"/>
      <c r="G706" s="11"/>
    </row>
    <row r="707" spans="6:7" ht="15" thickBot="1">
      <c r="F707" s="11"/>
      <c r="G707" s="11"/>
    </row>
    <row r="708" spans="6:7" ht="15" thickBot="1">
      <c r="F708" s="11"/>
      <c r="G708" s="11"/>
    </row>
    <row r="709" spans="6:7" ht="15" thickBot="1">
      <c r="F709" s="11"/>
      <c r="G709" s="11"/>
    </row>
    <row r="710" spans="6:7" ht="15" thickBot="1">
      <c r="F710" s="11"/>
      <c r="G710" s="11"/>
    </row>
    <row r="711" spans="6:7" ht="15" thickBot="1">
      <c r="F711" s="11"/>
      <c r="G711" s="11"/>
    </row>
    <row r="712" spans="6:7" ht="15" thickBot="1">
      <c r="F712" s="11"/>
      <c r="G712" s="11"/>
    </row>
    <row r="713" spans="6:7" ht="15" thickBot="1">
      <c r="F713" s="11"/>
      <c r="G713" s="11"/>
    </row>
    <row r="714" spans="6:7" ht="15" thickBot="1">
      <c r="F714" s="11"/>
      <c r="G714" s="11"/>
    </row>
    <row r="715" spans="6:7" ht="15" thickBot="1">
      <c r="F715" s="11"/>
      <c r="G715" s="11"/>
    </row>
    <row r="716" spans="6:7" ht="15" thickBot="1">
      <c r="F716" s="11"/>
      <c r="G716" s="11"/>
    </row>
    <row r="717" spans="6:7" ht="15" thickBot="1">
      <c r="F717" s="11"/>
      <c r="G717" s="11"/>
    </row>
    <row r="718" spans="6:7" ht="15" thickBot="1">
      <c r="F718" s="11"/>
      <c r="G718" s="11"/>
    </row>
    <row r="719" spans="6:7" ht="15" thickBot="1">
      <c r="F719" s="11"/>
      <c r="G719" s="11"/>
    </row>
    <row r="720" spans="6:7" ht="15" thickBot="1">
      <c r="F720" s="11"/>
      <c r="G720" s="11"/>
    </row>
    <row r="721" spans="6:7" ht="15" thickBot="1">
      <c r="F721" s="11"/>
      <c r="G721" s="11"/>
    </row>
    <row r="722" spans="6:7" ht="15" thickBot="1">
      <c r="F722" s="11"/>
      <c r="G722" s="11"/>
    </row>
    <row r="723" spans="6:7" ht="15" thickBot="1">
      <c r="F723" s="11"/>
      <c r="G723" s="11"/>
    </row>
    <row r="724" spans="6:7" ht="15" thickBot="1">
      <c r="F724" s="11"/>
      <c r="G724" s="11"/>
    </row>
    <row r="725" spans="6:7" ht="15" thickBot="1">
      <c r="F725" s="11"/>
      <c r="G725" s="11"/>
    </row>
    <row r="726" spans="6:7" ht="15" thickBot="1">
      <c r="F726" s="11"/>
      <c r="G726" s="11"/>
    </row>
    <row r="727" spans="6:7" ht="15" thickBot="1">
      <c r="F727" s="11"/>
      <c r="G727" s="11"/>
    </row>
    <row r="728" spans="6:7" ht="15" thickBot="1">
      <c r="F728" s="11"/>
      <c r="G728" s="11"/>
    </row>
    <row r="729" spans="6:7" ht="15" thickBot="1">
      <c r="F729" s="11"/>
      <c r="G729" s="11"/>
    </row>
    <row r="730" spans="6:7" ht="15" thickBot="1">
      <c r="F730" s="11"/>
      <c r="G730" s="11"/>
    </row>
    <row r="731" spans="6:7" ht="15" thickBot="1">
      <c r="F731" s="11"/>
      <c r="G731" s="11"/>
    </row>
    <row r="732" spans="6:7" ht="15" thickBot="1">
      <c r="F732" s="11"/>
      <c r="G732" s="11"/>
    </row>
    <row r="733" spans="6:7" ht="15" thickBot="1">
      <c r="F733" s="11"/>
      <c r="G733" s="11"/>
    </row>
    <row r="734" spans="6:7" ht="15" thickBot="1">
      <c r="F734" s="11"/>
      <c r="G734" s="11"/>
    </row>
    <row r="735" spans="6:7" ht="15" thickBot="1">
      <c r="F735" s="11"/>
      <c r="G735" s="11"/>
    </row>
    <row r="736" spans="6:7" ht="15" thickBot="1">
      <c r="F736" s="11"/>
      <c r="G736" s="11"/>
    </row>
    <row r="737" spans="6:7" ht="15" thickBot="1">
      <c r="F737" s="11"/>
      <c r="G737" s="11"/>
    </row>
    <row r="738" spans="6:7" ht="15" thickBot="1">
      <c r="F738" s="11"/>
      <c r="G738" s="11"/>
    </row>
    <row r="739" spans="6:7" ht="15" thickBot="1">
      <c r="F739" s="11"/>
      <c r="G739" s="11"/>
    </row>
    <row r="740" spans="6:7" ht="15" thickBot="1">
      <c r="F740" s="11"/>
      <c r="G740" s="11"/>
    </row>
    <row r="741" spans="6:7" ht="15" thickBot="1">
      <c r="F741" s="11"/>
      <c r="G741" s="11"/>
    </row>
    <row r="742" spans="6:7" ht="15" thickBot="1">
      <c r="F742" s="11"/>
      <c r="G742" s="11"/>
    </row>
    <row r="743" spans="6:7" ht="15" thickBot="1">
      <c r="F743" s="11"/>
      <c r="G743" s="11"/>
    </row>
    <row r="744" spans="6:7" ht="15" thickBot="1">
      <c r="F744" s="11"/>
      <c r="G744" s="11"/>
    </row>
    <row r="745" spans="6:7" ht="15" thickBot="1">
      <c r="F745" s="11"/>
      <c r="G745" s="11"/>
    </row>
    <row r="746" spans="6:7" ht="15" thickBot="1">
      <c r="F746" s="11"/>
      <c r="G746" s="11"/>
    </row>
    <row r="747" spans="6:7" ht="15" thickBot="1">
      <c r="F747" s="11"/>
      <c r="G747" s="11"/>
    </row>
    <row r="748" spans="6:7" ht="15" thickBot="1">
      <c r="F748" s="11"/>
      <c r="G748" s="11"/>
    </row>
    <row r="749" spans="6:7" ht="15" thickBot="1">
      <c r="F749" s="11"/>
      <c r="G749" s="11"/>
    </row>
    <row r="750" spans="6:7" ht="15" thickBot="1">
      <c r="F750" s="11"/>
      <c r="G750" s="11"/>
    </row>
    <row r="751" spans="6:7" ht="15" thickBot="1">
      <c r="F751" s="11"/>
      <c r="G751" s="11"/>
    </row>
    <row r="752" spans="6:7" ht="15" thickBot="1">
      <c r="F752" s="11"/>
      <c r="G752" s="11"/>
    </row>
    <row r="753" spans="6:7" ht="15" thickBot="1">
      <c r="F753" s="11"/>
      <c r="G753" s="11"/>
    </row>
    <row r="754" spans="6:7" ht="15" thickBot="1">
      <c r="F754" s="11"/>
      <c r="G754" s="11"/>
    </row>
    <row r="755" spans="6:7" ht="15" thickBot="1">
      <c r="F755" s="11"/>
      <c r="G755" s="11"/>
    </row>
    <row r="756" spans="6:7" ht="15" thickBot="1">
      <c r="F756" s="11"/>
      <c r="G756" s="11"/>
    </row>
    <row r="757" spans="6:7" ht="15" thickBot="1">
      <c r="F757" s="11"/>
      <c r="G757" s="11"/>
    </row>
    <row r="758" spans="6:7" ht="15" thickBot="1">
      <c r="F758" s="11"/>
      <c r="G758" s="11"/>
    </row>
    <row r="759" spans="6:7" ht="15" thickBot="1">
      <c r="F759" s="11"/>
      <c r="G759" s="11"/>
    </row>
    <row r="760" spans="6:7" ht="15" thickBot="1">
      <c r="F760" s="11"/>
      <c r="G760" s="11"/>
    </row>
    <row r="761" spans="6:7" ht="15" thickBot="1">
      <c r="F761" s="11"/>
      <c r="G761" s="11"/>
    </row>
    <row r="762" spans="6:7" ht="15" thickBot="1">
      <c r="F762" s="11"/>
      <c r="G762" s="11"/>
    </row>
    <row r="763" spans="6:7" ht="15" thickBot="1">
      <c r="F763" s="11"/>
      <c r="G763" s="11"/>
    </row>
    <row r="764" spans="6:7" ht="15" thickBot="1">
      <c r="F764" s="11"/>
      <c r="G764" s="11"/>
    </row>
    <row r="765" spans="6:7" ht="15" thickBot="1">
      <c r="F765" s="11"/>
      <c r="G765" s="11"/>
    </row>
    <row r="766" spans="6:7" ht="15" thickBot="1">
      <c r="F766" s="11"/>
      <c r="G766" s="11"/>
    </row>
    <row r="767" spans="6:7" ht="15" thickBot="1">
      <c r="F767" s="11"/>
      <c r="G767" s="11"/>
    </row>
    <row r="768" spans="6:7" ht="15" thickBot="1">
      <c r="F768" s="11"/>
      <c r="G768" s="11"/>
    </row>
    <row r="769" spans="6:7" ht="15" thickBot="1">
      <c r="F769" s="11"/>
      <c r="G769" s="11"/>
    </row>
    <row r="770" spans="6:7" ht="15" thickBot="1">
      <c r="F770" s="11"/>
      <c r="G770" s="11"/>
    </row>
    <row r="771" spans="6:7" ht="15" thickBot="1">
      <c r="F771" s="11"/>
      <c r="G771" s="11"/>
    </row>
    <row r="772" spans="6:7" ht="15" thickBot="1">
      <c r="F772" s="11"/>
      <c r="G772" s="11"/>
    </row>
    <row r="773" spans="6:7" ht="15" thickBot="1">
      <c r="F773" s="11"/>
      <c r="G773" s="11"/>
    </row>
    <row r="774" spans="6:7" ht="15" thickBot="1">
      <c r="F774" s="11"/>
      <c r="G774" s="11"/>
    </row>
    <row r="775" spans="6:7" ht="15" thickBot="1">
      <c r="F775" s="11"/>
      <c r="G775" s="11"/>
    </row>
    <row r="776" spans="6:7" ht="15" thickBot="1">
      <c r="F776" s="11"/>
      <c r="G776" s="11"/>
    </row>
    <row r="777" spans="6:7" ht="15" thickBot="1">
      <c r="F777" s="11"/>
      <c r="G777" s="11"/>
    </row>
    <row r="778" spans="6:7" ht="15" thickBot="1">
      <c r="F778" s="11"/>
      <c r="G778" s="11"/>
    </row>
    <row r="779" spans="6:7" ht="15" thickBot="1">
      <c r="F779" s="11"/>
      <c r="G779" s="11"/>
    </row>
    <row r="780" spans="6:7" ht="15" thickBot="1">
      <c r="F780" s="11"/>
      <c r="G780" s="11"/>
    </row>
    <row r="781" spans="6:7" ht="15" thickBot="1">
      <c r="F781" s="11"/>
      <c r="G781" s="11"/>
    </row>
    <row r="782" spans="6:7" ht="15" thickBot="1">
      <c r="F782" s="11"/>
      <c r="G782" s="11"/>
    </row>
    <row r="783" spans="6:7" ht="15" thickBot="1">
      <c r="F783" s="11"/>
      <c r="G783" s="11"/>
    </row>
    <row r="784" spans="6:7" ht="15" thickBot="1">
      <c r="F784" s="11"/>
      <c r="G784" s="11"/>
    </row>
    <row r="785" spans="6:7" ht="15" thickBot="1">
      <c r="F785" s="11"/>
      <c r="G785" s="11"/>
    </row>
    <row r="786" spans="6:7" ht="15" thickBot="1">
      <c r="F786" s="11"/>
      <c r="G786" s="11"/>
    </row>
    <row r="787" spans="6:7" ht="15" thickBot="1">
      <c r="F787" s="11"/>
      <c r="G787" s="11"/>
    </row>
    <row r="788" spans="6:7" ht="15" thickBot="1">
      <c r="F788" s="11"/>
      <c r="G788" s="11"/>
    </row>
    <row r="789" spans="6:7" ht="15" thickBot="1">
      <c r="F789" s="11"/>
      <c r="G789" s="11"/>
    </row>
    <row r="790" spans="6:7" ht="15" thickBot="1">
      <c r="F790" s="11"/>
      <c r="G790" s="11"/>
    </row>
    <row r="791" spans="6:7" ht="15" thickBot="1">
      <c r="F791" s="11"/>
      <c r="G791" s="11"/>
    </row>
    <row r="792" spans="6:7" ht="15" thickBot="1">
      <c r="F792" s="11"/>
      <c r="G792" s="11"/>
    </row>
    <row r="793" spans="6:7" ht="15" thickBot="1">
      <c r="F793" s="11"/>
      <c r="G793" s="11"/>
    </row>
    <row r="794" spans="6:7" ht="15" thickBot="1">
      <c r="F794" s="11"/>
      <c r="G794" s="11"/>
    </row>
    <row r="795" spans="6:7" ht="15" thickBot="1">
      <c r="F795" s="11"/>
      <c r="G795" s="11"/>
    </row>
    <row r="796" spans="6:7" ht="15" thickBot="1">
      <c r="F796" s="11"/>
      <c r="G796" s="11"/>
    </row>
    <row r="797" spans="6:7" ht="15" thickBot="1">
      <c r="F797" s="11"/>
      <c r="G797" s="11"/>
    </row>
    <row r="798" spans="6:7" ht="15" thickBot="1">
      <c r="F798" s="11"/>
      <c r="G798" s="11"/>
    </row>
    <row r="799" spans="6:7" ht="15" thickBot="1">
      <c r="F799" s="11"/>
      <c r="G799" s="11"/>
    </row>
    <row r="800" spans="6:7" ht="15" thickBot="1">
      <c r="F800" s="11"/>
      <c r="G800" s="11"/>
    </row>
    <row r="801" spans="6:7" ht="15" thickBot="1">
      <c r="F801" s="11"/>
      <c r="G801" s="11"/>
    </row>
    <row r="802" spans="6:7" ht="15" thickBot="1">
      <c r="F802" s="11"/>
      <c r="G802" s="11"/>
    </row>
    <row r="803" spans="6:7" ht="15" thickBot="1">
      <c r="F803" s="11"/>
      <c r="G803" s="11"/>
    </row>
    <row r="804" spans="6:7" ht="15" thickBot="1">
      <c r="F804" s="11"/>
      <c r="G804" s="11"/>
    </row>
    <row r="805" spans="6:7" ht="15" thickBot="1">
      <c r="F805" s="11"/>
      <c r="G805" s="11"/>
    </row>
    <row r="806" spans="6:7" ht="15" thickBot="1">
      <c r="F806" s="11"/>
      <c r="G806" s="11"/>
    </row>
    <row r="807" spans="6:7" ht="15" thickBot="1">
      <c r="F807" s="11"/>
      <c r="G807" s="11"/>
    </row>
    <row r="808" spans="6:7" ht="15" thickBot="1">
      <c r="F808" s="11"/>
      <c r="G808" s="11"/>
    </row>
    <row r="809" spans="6:7" ht="15" thickBot="1">
      <c r="F809" s="11"/>
      <c r="G809" s="11"/>
    </row>
    <row r="810" spans="6:7" ht="15" thickBot="1">
      <c r="F810" s="11"/>
      <c r="G810" s="11"/>
    </row>
    <row r="811" spans="6:7" ht="15" thickBot="1">
      <c r="F811" s="11"/>
      <c r="G811" s="11"/>
    </row>
    <row r="812" spans="6:7" ht="15" thickBot="1">
      <c r="F812" s="11"/>
      <c r="G812" s="11"/>
    </row>
    <row r="813" spans="6:7" ht="15" thickBot="1">
      <c r="F813" s="11"/>
      <c r="G813" s="11"/>
    </row>
    <row r="814" spans="6:7" ht="15" thickBot="1">
      <c r="F814" s="11"/>
      <c r="G814" s="11"/>
    </row>
    <row r="815" spans="6:7" ht="15" thickBot="1">
      <c r="F815" s="11"/>
      <c r="G815" s="11"/>
    </row>
    <row r="816" spans="6:7" ht="15" thickBot="1">
      <c r="F816" s="11"/>
      <c r="G816" s="11"/>
    </row>
    <row r="817" spans="6:7" ht="15" thickBot="1">
      <c r="F817" s="11"/>
      <c r="G817" s="11"/>
    </row>
    <row r="818" spans="6:7" ht="15" thickBot="1">
      <c r="F818" s="11"/>
      <c r="G818" s="11"/>
    </row>
    <row r="819" spans="6:7" ht="15" thickBot="1">
      <c r="F819" s="11"/>
      <c r="G819" s="11"/>
    </row>
    <row r="820" spans="6:7" ht="15" thickBot="1">
      <c r="F820" s="11"/>
      <c r="G820" s="11"/>
    </row>
    <row r="821" spans="6:7" ht="15" thickBot="1">
      <c r="F821" s="11"/>
      <c r="G821" s="11"/>
    </row>
    <row r="822" spans="6:7" ht="15" thickBot="1">
      <c r="F822" s="11"/>
      <c r="G822" s="11"/>
    </row>
    <row r="823" spans="6:7" ht="15" thickBot="1">
      <c r="F823" s="11"/>
      <c r="G823" s="11"/>
    </row>
    <row r="824" spans="6:7" ht="15" thickBot="1">
      <c r="F824" s="11"/>
      <c r="G824" s="11"/>
    </row>
    <row r="825" spans="6:7" ht="15" thickBot="1">
      <c r="F825" s="11"/>
      <c r="G825" s="11"/>
    </row>
    <row r="826" spans="6:7" ht="15" thickBot="1">
      <c r="F826" s="11"/>
      <c r="G826" s="11"/>
    </row>
    <row r="827" spans="6:7" ht="15" thickBot="1">
      <c r="F827" s="11"/>
      <c r="G827" s="11"/>
    </row>
    <row r="828" spans="6:7" ht="15" thickBot="1">
      <c r="F828" s="11"/>
      <c r="G828" s="11"/>
    </row>
    <row r="829" spans="6:7" ht="15" thickBot="1">
      <c r="F829" s="11"/>
      <c r="G829" s="11"/>
    </row>
    <row r="830" spans="6:7" ht="15" thickBot="1">
      <c r="F830" s="11"/>
      <c r="G830" s="11"/>
    </row>
    <row r="831" spans="6:7" ht="15" thickBot="1">
      <c r="F831" s="11"/>
      <c r="G831" s="11"/>
    </row>
    <row r="832" spans="6:7" ht="15" thickBot="1">
      <c r="F832" s="11"/>
      <c r="G832" s="11"/>
    </row>
    <row r="833" spans="6:7" ht="15" thickBot="1">
      <c r="F833" s="11"/>
      <c r="G833" s="11"/>
    </row>
    <row r="834" spans="6:7" ht="15" thickBot="1">
      <c r="F834" s="11"/>
      <c r="G834" s="11"/>
    </row>
    <row r="835" spans="6:7" ht="15" thickBot="1">
      <c r="F835" s="11"/>
      <c r="G835" s="11"/>
    </row>
    <row r="836" spans="6:7" ht="15" thickBot="1">
      <c r="F836" s="11"/>
      <c r="G836" s="11"/>
    </row>
    <row r="837" spans="6:7" ht="15" thickBot="1">
      <c r="F837" s="11"/>
      <c r="G837" s="11"/>
    </row>
    <row r="838" spans="6:7" ht="15" thickBot="1">
      <c r="F838" s="11"/>
      <c r="G838" s="11"/>
    </row>
    <row r="839" spans="6:7" ht="15" thickBot="1">
      <c r="F839" s="11"/>
      <c r="G839" s="11"/>
    </row>
    <row r="840" spans="6:7" ht="15" thickBot="1">
      <c r="F840" s="11"/>
      <c r="G840" s="11"/>
    </row>
    <row r="841" spans="6:7" ht="15" thickBot="1">
      <c r="F841" s="11"/>
      <c r="G841" s="11"/>
    </row>
    <row r="842" spans="6:7" ht="15" thickBot="1">
      <c r="F842" s="11"/>
      <c r="G842" s="11"/>
    </row>
    <row r="843" spans="6:7" ht="15" thickBot="1">
      <c r="F843" s="11"/>
      <c r="G843" s="11"/>
    </row>
    <row r="844" spans="6:7" ht="15" thickBot="1">
      <c r="F844" s="11"/>
      <c r="G844" s="11"/>
    </row>
    <row r="845" spans="6:7" ht="15" thickBot="1">
      <c r="F845" s="11"/>
      <c r="G845" s="11"/>
    </row>
    <row r="846" spans="6:7" ht="15" thickBot="1">
      <c r="F846" s="11"/>
      <c r="G846" s="11"/>
    </row>
    <row r="847" spans="6:7" ht="15" thickBot="1">
      <c r="F847" s="11"/>
      <c r="G847" s="11"/>
    </row>
    <row r="848" spans="6:7" ht="15" thickBot="1">
      <c r="F848" s="11"/>
      <c r="G848" s="11"/>
    </row>
    <row r="849" spans="6:7" ht="15" thickBot="1">
      <c r="F849" s="11"/>
      <c r="G849" s="11"/>
    </row>
    <row r="850" spans="6:7" ht="15" thickBot="1">
      <c r="F850" s="11"/>
      <c r="G850" s="11"/>
    </row>
    <row r="851" spans="6:7" ht="15" thickBot="1">
      <c r="F851" s="11"/>
      <c r="G851" s="11"/>
    </row>
    <row r="852" spans="6:7" ht="15" thickBot="1">
      <c r="F852" s="11"/>
      <c r="G852" s="11"/>
    </row>
    <row r="853" spans="6:7" ht="15" thickBot="1">
      <c r="F853" s="11"/>
      <c r="G853" s="11"/>
    </row>
    <row r="854" spans="6:7" ht="15" thickBot="1">
      <c r="F854" s="11"/>
      <c r="G854" s="11"/>
    </row>
    <row r="855" spans="6:7" ht="15" thickBot="1">
      <c r="F855" s="11"/>
      <c r="G855" s="11"/>
    </row>
    <row r="856" spans="6:7" ht="15" thickBot="1">
      <c r="F856" s="11"/>
      <c r="G856" s="11"/>
    </row>
    <row r="857" spans="6:7" ht="15" thickBot="1">
      <c r="F857" s="11"/>
      <c r="G857" s="11"/>
    </row>
    <row r="858" spans="6:7" ht="15" thickBot="1">
      <c r="F858" s="11"/>
      <c r="G858" s="11"/>
    </row>
    <row r="859" spans="6:7" ht="15" thickBot="1">
      <c r="F859" s="11"/>
      <c r="G859" s="11"/>
    </row>
    <row r="860" spans="6:7" ht="15" thickBot="1">
      <c r="F860" s="11"/>
      <c r="G860" s="11"/>
    </row>
    <row r="861" spans="6:7" ht="15" thickBot="1">
      <c r="F861" s="11"/>
      <c r="G861" s="11"/>
    </row>
    <row r="862" spans="6:7" ht="15" thickBot="1">
      <c r="F862" s="11"/>
      <c r="G862" s="11"/>
    </row>
    <row r="863" spans="6:7" ht="15" thickBot="1">
      <c r="F863" s="11"/>
      <c r="G863" s="11"/>
    </row>
    <row r="864" spans="6:7" ht="15" thickBot="1">
      <c r="F864" s="11"/>
      <c r="G864" s="11"/>
    </row>
    <row r="865" spans="6:7" ht="15" thickBot="1">
      <c r="F865" s="11"/>
      <c r="G865" s="11"/>
    </row>
    <row r="866" spans="6:7" ht="15" thickBot="1">
      <c r="F866" s="11"/>
      <c r="G866" s="11"/>
    </row>
    <row r="867" spans="6:7" ht="15" thickBot="1">
      <c r="F867" s="11"/>
      <c r="G867" s="11"/>
    </row>
    <row r="868" spans="6:7" ht="15" thickBot="1">
      <c r="F868" s="11"/>
      <c r="G868" s="11"/>
    </row>
    <row r="869" spans="6:7" ht="15" thickBot="1">
      <c r="F869" s="11"/>
      <c r="G869" s="11"/>
    </row>
    <row r="870" spans="6:7" ht="15" thickBot="1">
      <c r="F870" s="11"/>
      <c r="G870" s="11"/>
    </row>
    <row r="871" spans="6:7" ht="15" thickBot="1">
      <c r="F871" s="11"/>
      <c r="G871" s="11"/>
    </row>
    <row r="872" spans="6:7" ht="15" thickBot="1">
      <c r="F872" s="11"/>
      <c r="G872" s="11"/>
    </row>
    <row r="873" spans="6:7" ht="15" thickBot="1">
      <c r="F873" s="11"/>
      <c r="G873" s="11"/>
    </row>
    <row r="874" spans="6:7" ht="15" thickBot="1">
      <c r="F874" s="11"/>
      <c r="G874" s="11"/>
    </row>
    <row r="875" spans="6:7" ht="15" thickBot="1">
      <c r="F875" s="11"/>
      <c r="G875" s="11"/>
    </row>
    <row r="876" spans="6:7" ht="15" thickBot="1">
      <c r="F876" s="11"/>
      <c r="G876" s="11"/>
    </row>
    <row r="877" spans="6:7" ht="15" thickBot="1">
      <c r="F877" s="11"/>
      <c r="G877" s="11"/>
    </row>
    <row r="878" spans="6:7" ht="15" thickBot="1">
      <c r="F878" s="11"/>
      <c r="G878" s="11"/>
    </row>
    <row r="879" spans="6:7" ht="15" thickBot="1">
      <c r="F879" s="11"/>
      <c r="G879" s="11"/>
    </row>
    <row r="880" spans="6:7" ht="15" thickBot="1">
      <c r="F880" s="11"/>
      <c r="G880" s="11"/>
    </row>
    <row r="881" spans="6:7" ht="15" thickBot="1">
      <c r="F881" s="11"/>
      <c r="G881" s="11"/>
    </row>
    <row r="882" spans="6:7" ht="15" thickBot="1">
      <c r="F882" s="11"/>
      <c r="G882" s="11"/>
    </row>
    <row r="883" spans="6:7" ht="15" thickBot="1">
      <c r="F883" s="11"/>
      <c r="G883" s="11"/>
    </row>
    <row r="884" spans="6:7" ht="15" thickBot="1">
      <c r="F884" s="11"/>
      <c r="G884" s="11"/>
    </row>
    <row r="885" spans="6:7" ht="15" thickBot="1">
      <c r="F885" s="11"/>
      <c r="G885" s="11"/>
    </row>
    <row r="886" spans="6:7" ht="15" thickBot="1">
      <c r="F886" s="11"/>
      <c r="G886" s="11"/>
    </row>
    <row r="887" spans="6:7" ht="15" thickBot="1">
      <c r="F887" s="11"/>
      <c r="G887" s="11"/>
    </row>
    <row r="888" spans="6:7" ht="15" thickBot="1">
      <c r="F888" s="11"/>
      <c r="G888" s="11"/>
    </row>
    <row r="889" spans="6:7" ht="15" thickBot="1">
      <c r="F889" s="11"/>
      <c r="G889" s="11"/>
    </row>
    <row r="890" spans="6:7" ht="15" thickBot="1">
      <c r="F890" s="11"/>
      <c r="G890" s="11"/>
    </row>
    <row r="891" spans="6:7" ht="15" thickBot="1">
      <c r="F891" s="11"/>
      <c r="G891" s="11"/>
    </row>
    <row r="892" spans="6:7" ht="15" thickBot="1">
      <c r="F892" s="11"/>
      <c r="G892" s="11"/>
    </row>
    <row r="893" spans="6:7" ht="15" thickBot="1">
      <c r="F893" s="11"/>
      <c r="G893" s="11"/>
    </row>
    <row r="894" spans="6:7" ht="15" thickBot="1">
      <c r="F894" s="11"/>
      <c r="G894" s="11"/>
    </row>
    <row r="895" spans="6:7" ht="15" thickBot="1">
      <c r="F895" s="11"/>
      <c r="G895" s="11"/>
    </row>
    <row r="896" spans="6:7" ht="15" thickBot="1">
      <c r="F896" s="11"/>
      <c r="G896" s="11"/>
    </row>
    <row r="897" spans="6:7" ht="15" thickBot="1">
      <c r="F897" s="11"/>
      <c r="G897" s="11"/>
    </row>
    <row r="898" spans="6:7" ht="15" thickBot="1">
      <c r="F898" s="11"/>
      <c r="G898" s="11"/>
    </row>
    <row r="899" spans="6:7" ht="15" thickBot="1">
      <c r="F899" s="11"/>
      <c r="G899" s="11"/>
    </row>
    <row r="900" spans="6:7" ht="15" thickBot="1">
      <c r="F900" s="11"/>
      <c r="G900" s="11"/>
    </row>
    <row r="901" spans="6:7" ht="15" thickBot="1">
      <c r="F901" s="11"/>
      <c r="G901" s="11"/>
    </row>
    <row r="902" spans="6:7" ht="15" thickBot="1">
      <c r="F902" s="11"/>
      <c r="G902" s="11"/>
    </row>
    <row r="903" spans="6:7" ht="15" thickBot="1">
      <c r="F903" s="11"/>
      <c r="G903" s="11"/>
    </row>
    <row r="904" spans="6:7" ht="15" thickBot="1">
      <c r="F904" s="11"/>
      <c r="G904" s="11"/>
    </row>
    <row r="905" spans="6:7" ht="15" thickBot="1">
      <c r="F905" s="11"/>
      <c r="G905" s="11"/>
    </row>
    <row r="906" spans="6:7" ht="15" thickBot="1">
      <c r="F906" s="11"/>
      <c r="G906" s="11"/>
    </row>
    <row r="907" spans="6:7" ht="15" thickBot="1">
      <c r="F907" s="11"/>
      <c r="G907" s="11"/>
    </row>
    <row r="908" spans="6:7" ht="15" thickBot="1">
      <c r="F908" s="11"/>
      <c r="G908" s="11"/>
    </row>
    <row r="909" spans="6:7" ht="15" thickBot="1">
      <c r="F909" s="11"/>
      <c r="G909" s="11"/>
    </row>
    <row r="910" spans="6:7" ht="15" thickBot="1">
      <c r="F910" s="11"/>
      <c r="G910" s="11"/>
    </row>
    <row r="911" spans="6:7" ht="15" thickBot="1">
      <c r="F911" s="11"/>
      <c r="G911" s="11"/>
    </row>
    <row r="912" spans="6:7" ht="15" thickBot="1">
      <c r="F912" s="11"/>
      <c r="G912" s="11"/>
    </row>
    <row r="913" spans="6:7" ht="15" thickBot="1">
      <c r="F913" s="11"/>
      <c r="G913" s="11"/>
    </row>
    <row r="914" spans="6:7" ht="15" thickBot="1">
      <c r="F914" s="11"/>
      <c r="G914" s="11"/>
    </row>
    <row r="915" spans="6:7" ht="15" thickBot="1">
      <c r="F915" s="11"/>
      <c r="G915" s="11"/>
    </row>
    <row r="916" spans="6:7" ht="15" thickBot="1">
      <c r="F916" s="11"/>
      <c r="G916" s="11"/>
    </row>
    <row r="917" spans="6:7" ht="15" thickBot="1">
      <c r="F917" s="11"/>
      <c r="G917" s="11"/>
    </row>
    <row r="918" spans="6:7" ht="15" thickBot="1">
      <c r="F918" s="11"/>
      <c r="G918" s="11"/>
    </row>
    <row r="919" spans="6:7" ht="15" thickBot="1">
      <c r="F919" s="11"/>
      <c r="G919" s="11"/>
    </row>
    <row r="920" spans="6:7" ht="15" thickBot="1">
      <c r="F920" s="11"/>
      <c r="G920" s="11"/>
    </row>
    <row r="921" spans="6:7" ht="15" thickBot="1">
      <c r="F921" s="11"/>
      <c r="G921" s="11"/>
    </row>
    <row r="922" spans="6:7" ht="15" thickBot="1">
      <c r="F922" s="11"/>
      <c r="G922" s="11"/>
    </row>
    <row r="923" spans="6:7" ht="15" thickBot="1">
      <c r="F923" s="11"/>
      <c r="G923" s="11"/>
    </row>
    <row r="924" spans="6:7" ht="15" thickBot="1">
      <c r="F924" s="11"/>
      <c r="G924" s="11"/>
    </row>
    <row r="925" spans="6:7" ht="15" thickBot="1">
      <c r="F925" s="11"/>
      <c r="G925" s="11"/>
    </row>
    <row r="926" spans="6:7" ht="15" thickBot="1">
      <c r="F926" s="11"/>
      <c r="G926" s="11"/>
    </row>
    <row r="927" spans="6:7" ht="15" thickBot="1">
      <c r="F927" s="11"/>
      <c r="G927" s="11"/>
    </row>
    <row r="928" spans="6:7" ht="15" thickBot="1">
      <c r="F928" s="11"/>
      <c r="G928" s="11"/>
    </row>
    <row r="929" spans="6:7" ht="15" thickBot="1">
      <c r="F929" s="11"/>
      <c r="G929" s="11"/>
    </row>
    <row r="930" spans="6:7" ht="15" thickBot="1">
      <c r="F930" s="11"/>
      <c r="G930" s="11"/>
    </row>
    <row r="931" spans="6:7" ht="15" thickBot="1">
      <c r="F931" s="11"/>
      <c r="G931" s="11"/>
    </row>
    <row r="932" spans="6:7" ht="15" thickBot="1">
      <c r="F932" s="11"/>
      <c r="G932" s="11"/>
    </row>
    <row r="933" spans="6:7" ht="15" thickBot="1">
      <c r="F933" s="11"/>
      <c r="G933" s="11"/>
    </row>
    <row r="934" spans="6:7" ht="15" thickBot="1">
      <c r="F934" s="11"/>
      <c r="G934" s="11"/>
    </row>
    <row r="935" spans="6:7" ht="15" thickBot="1">
      <c r="F935" s="11"/>
      <c r="G935" s="11"/>
    </row>
    <row r="936" spans="6:7" ht="15" thickBot="1">
      <c r="F936" s="11"/>
      <c r="G936" s="11"/>
    </row>
    <row r="937" spans="6:7" ht="15" thickBot="1">
      <c r="F937" s="11"/>
      <c r="G937" s="11"/>
    </row>
    <row r="938" spans="6:7" ht="15" thickBot="1">
      <c r="F938" s="11"/>
      <c r="G938" s="11"/>
    </row>
    <row r="939" spans="6:7" ht="15" thickBot="1">
      <c r="F939" s="11"/>
      <c r="G939" s="11"/>
    </row>
    <row r="940" spans="6:7" ht="15" thickBot="1">
      <c r="F940" s="11"/>
      <c r="G940" s="11"/>
    </row>
    <row r="941" spans="6:7" ht="15" thickBot="1">
      <c r="F941" s="11"/>
      <c r="G941" s="11"/>
    </row>
    <row r="942" spans="6:7" ht="15" thickBot="1">
      <c r="F942" s="11"/>
      <c r="G942" s="11"/>
    </row>
    <row r="943" spans="6:7" ht="15" thickBot="1">
      <c r="F943" s="11"/>
      <c r="G943" s="11"/>
    </row>
    <row r="944" spans="6:7" ht="15" thickBot="1">
      <c r="F944" s="11"/>
      <c r="G944" s="11"/>
    </row>
    <row r="945" spans="6:7" ht="15" thickBot="1">
      <c r="F945" s="11"/>
      <c r="G945" s="11"/>
    </row>
    <row r="946" spans="6:7" ht="15" thickBot="1">
      <c r="F946" s="11"/>
      <c r="G946" s="11"/>
    </row>
    <row r="947" spans="6:7" ht="15" thickBot="1">
      <c r="F947" s="11"/>
      <c r="G947" s="11"/>
    </row>
    <row r="948" spans="6:7" ht="15" thickBot="1">
      <c r="F948" s="11"/>
      <c r="G948" s="11"/>
    </row>
    <row r="949" spans="6:7" ht="15" thickBot="1">
      <c r="F949" s="11"/>
      <c r="G949" s="11"/>
    </row>
    <row r="950" spans="6:7" ht="15" thickBot="1">
      <c r="F950" s="11"/>
      <c r="G950" s="11"/>
    </row>
    <row r="951" spans="6:7" ht="15" thickBot="1">
      <c r="F951" s="11"/>
      <c r="G951" s="11"/>
    </row>
    <row r="952" spans="6:7" ht="15" thickBot="1">
      <c r="F952" s="11"/>
      <c r="G952" s="11"/>
    </row>
    <row r="953" spans="6:7" ht="15" thickBot="1">
      <c r="F953" s="11"/>
      <c r="G953" s="11"/>
    </row>
    <row r="954" spans="6:7" ht="15" thickBot="1">
      <c r="F954" s="11"/>
      <c r="G954" s="11"/>
    </row>
    <row r="955" spans="6:7" ht="15" thickBot="1">
      <c r="F955" s="11"/>
      <c r="G955" s="11"/>
    </row>
    <row r="956" spans="6:7" ht="15" thickBot="1">
      <c r="F956" s="11"/>
      <c r="G956" s="11"/>
    </row>
    <row r="957" spans="6:7" ht="15" thickBot="1">
      <c r="F957" s="11"/>
      <c r="G957" s="11"/>
    </row>
    <row r="958" spans="6:7" ht="15" thickBot="1">
      <c r="F958" s="11"/>
      <c r="G958" s="11"/>
    </row>
    <row r="959" spans="6:7" ht="15" thickBot="1">
      <c r="F959" s="11"/>
      <c r="G959" s="11"/>
    </row>
    <row r="960" spans="6:7" ht="15" thickBot="1">
      <c r="F960" s="11"/>
      <c r="G960" s="11"/>
    </row>
    <row r="961" spans="6:7" ht="15" thickBot="1">
      <c r="F961" s="11"/>
      <c r="G961" s="11"/>
    </row>
    <row r="962" spans="6:7" ht="15" thickBot="1">
      <c r="F962" s="11"/>
      <c r="G962" s="11"/>
    </row>
    <row r="963" spans="6:7" ht="15" thickBot="1">
      <c r="F963" s="11"/>
      <c r="G963" s="11"/>
    </row>
    <row r="964" spans="6:7" ht="15" thickBot="1">
      <c r="F964" s="11"/>
      <c r="G964" s="11"/>
    </row>
    <row r="965" spans="6:7" ht="15" thickBot="1">
      <c r="F965" s="11"/>
      <c r="G965" s="11"/>
    </row>
    <row r="966" spans="6:7" ht="15" thickBot="1">
      <c r="F966" s="11"/>
      <c r="G966" s="11"/>
    </row>
    <row r="967" spans="6:7" ht="15" thickBot="1">
      <c r="F967" s="11"/>
      <c r="G967" s="11"/>
    </row>
    <row r="968" spans="6:7" ht="15" thickBot="1">
      <c r="F968" s="11"/>
      <c r="G968" s="11"/>
    </row>
    <row r="969" spans="6:7" ht="15" thickBot="1">
      <c r="F969" s="11"/>
      <c r="G969" s="11"/>
    </row>
    <row r="970" spans="6:7" ht="15" thickBot="1">
      <c r="F970" s="11"/>
      <c r="G970" s="11"/>
    </row>
    <row r="971" spans="6:7" ht="15" thickBot="1">
      <c r="F971" s="11"/>
      <c r="G971" s="11"/>
    </row>
    <row r="972" spans="6:7" ht="15" thickBot="1">
      <c r="F972" s="11"/>
      <c r="G972" s="11"/>
    </row>
    <row r="973" spans="6:7" ht="15" thickBot="1">
      <c r="F973" s="11"/>
      <c r="G973" s="11"/>
    </row>
    <row r="974" spans="6:7" ht="15" thickBot="1">
      <c r="F974" s="11"/>
      <c r="G974" s="11"/>
    </row>
    <row r="975" spans="6:7" ht="15" thickBot="1">
      <c r="F975" s="11"/>
      <c r="G975" s="11"/>
    </row>
    <row r="976" spans="6:7" ht="15" thickBot="1">
      <c r="F976" s="11"/>
      <c r="G976" s="11"/>
    </row>
    <row r="977" spans="6:7" ht="15" thickBot="1">
      <c r="F977" s="11"/>
      <c r="G977" s="11"/>
    </row>
    <row r="978" spans="6:7" ht="15" thickBot="1">
      <c r="F978" s="11"/>
      <c r="G978" s="11"/>
    </row>
    <row r="979" spans="6:7" ht="15" thickBot="1">
      <c r="F979" s="11"/>
      <c r="G979" s="11"/>
    </row>
    <row r="980" spans="6:7" ht="15" thickBot="1">
      <c r="F980" s="11"/>
      <c r="G980" s="11"/>
    </row>
    <row r="981" spans="6:7" ht="15" thickBot="1">
      <c r="F981" s="11"/>
      <c r="G981" s="11"/>
    </row>
    <row r="982" spans="6:7" ht="15" thickBot="1">
      <c r="F982" s="11"/>
      <c r="G982" s="11"/>
    </row>
    <row r="983" spans="6:7" ht="15" thickBot="1">
      <c r="F983" s="11"/>
      <c r="G983" s="11"/>
    </row>
    <row r="984" spans="6:7" ht="15" thickBot="1">
      <c r="F984" s="11"/>
      <c r="G984" s="11"/>
    </row>
    <row r="985" spans="6:7" ht="15" thickBot="1">
      <c r="F985" s="11"/>
      <c r="G985" s="11"/>
    </row>
    <row r="986" spans="6:7" ht="15" thickBot="1">
      <c r="F986" s="11"/>
      <c r="G986" s="11"/>
    </row>
    <row r="987" spans="6:7" ht="15" thickBot="1">
      <c r="F987" s="11"/>
      <c r="G987" s="11"/>
    </row>
    <row r="988" spans="6:7" ht="15" thickBot="1">
      <c r="F988" s="11"/>
      <c r="G988" s="11"/>
    </row>
    <row r="989" spans="6:7" ht="15" thickBot="1">
      <c r="F989" s="11"/>
      <c r="G989" s="11"/>
    </row>
    <row r="990" spans="6:7" ht="15" thickBot="1">
      <c r="F990" s="11"/>
      <c r="G990" s="11"/>
    </row>
    <row r="991" spans="6:7" ht="15" thickBot="1">
      <c r="F991" s="11"/>
      <c r="G991" s="11"/>
    </row>
    <row r="992" spans="6:7" ht="15" thickBot="1">
      <c r="F992" s="11"/>
      <c r="G992" s="11"/>
    </row>
    <row r="993" spans="6:7" ht="15" thickBot="1">
      <c r="F993" s="11"/>
      <c r="G99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3"/>
  <sheetViews>
    <sheetView workbookViewId="0">
      <selection activeCell="B8" sqref="B8"/>
    </sheetView>
  </sheetViews>
  <sheetFormatPr defaultRowHeight="14.4"/>
  <cols>
    <col min="1" max="1" width="28.5546875" bestFit="1" customWidth="1"/>
    <col min="2" max="2" width="19" customWidth="1"/>
  </cols>
  <sheetData>
    <row r="1" spans="1:2">
      <c r="A1" t="s">
        <v>1</v>
      </c>
      <c r="B1" t="s">
        <v>2</v>
      </c>
    </row>
    <row r="2" spans="1:2">
      <c r="A2" t="s">
        <v>19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9</v>
      </c>
      <c r="B4" t="s">
        <v>23</v>
      </c>
    </row>
    <row r="5" spans="1:2">
      <c r="A5" t="s">
        <v>14</v>
      </c>
      <c r="B5" t="s">
        <v>81</v>
      </c>
    </row>
    <row r="6" spans="1:2">
      <c r="A6" t="s">
        <v>18</v>
      </c>
      <c r="B6" t="s">
        <v>24</v>
      </c>
    </row>
    <row r="7" spans="1:2">
      <c r="A7" t="s">
        <v>11</v>
      </c>
      <c r="B7" t="s">
        <v>25</v>
      </c>
    </row>
    <row r="8" spans="1:2">
      <c r="A8" t="s">
        <v>10</v>
      </c>
      <c r="B8" t="s">
        <v>26</v>
      </c>
    </row>
    <row r="9" spans="1:2">
      <c r="A9" t="s">
        <v>15</v>
      </c>
      <c r="B9" t="s">
        <v>27</v>
      </c>
    </row>
    <row r="10" spans="1:2">
      <c r="A10" t="s">
        <v>20</v>
      </c>
      <c r="B10" t="s">
        <v>28</v>
      </c>
    </row>
    <row r="11" spans="1:2">
      <c r="A11" t="s">
        <v>17</v>
      </c>
      <c r="B11" t="s">
        <v>29</v>
      </c>
    </row>
    <row r="12" spans="1:2">
      <c r="A12" t="s">
        <v>13</v>
      </c>
      <c r="B12" t="s">
        <v>30</v>
      </c>
    </row>
    <row r="13" spans="1:2">
      <c r="A13" t="s">
        <v>12</v>
      </c>
      <c r="B13" t="s">
        <v>115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MOVIMIENTOS</vt:lpstr>
      <vt:lpstr>Sheet1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2026-03-16T12:06:06Z</dcterms:modified>
</cp:coreProperties>
</file>
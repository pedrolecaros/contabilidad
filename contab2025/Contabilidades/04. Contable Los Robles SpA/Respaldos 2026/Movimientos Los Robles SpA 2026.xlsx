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4. Contable Los Robles SpA\Respaldos 2026\"/>
    </mc:Choice>
  </mc:AlternateContent>
  <xr:revisionPtr revIDLastSave="0" documentId="13_ncr:1_{F17DC36D-6154-438A-95CE-7C7CAF38C9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MIENTOS" sheetId="1" r:id="rId1"/>
    <sheet name="CATEGORIAS" sheetId="2" r:id="rId2"/>
    <sheet name="Resumen" sheetId="3" r:id="rId3"/>
  </sheets>
  <definedNames>
    <definedName name="_xlnm._FilterDatabase" localSheetId="0" hidden="1">MOVIMIENTOS!$A$1:$AB$299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8" i="1" l="1"/>
  <c r="F199" i="1"/>
  <c r="F200" i="1" s="1"/>
  <c r="F201" i="1" s="1"/>
  <c r="F20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</calcChain>
</file>

<file path=xl/sharedStrings.xml><?xml version="1.0" encoding="utf-8"?>
<sst xmlns="http://schemas.openxmlformats.org/spreadsheetml/2006/main" count="706" uniqueCount="201">
  <si>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</si>
  <si>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</si>
  <si>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</si>
  <si>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</si>
  <si>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</si>
  <si>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</si>
  <si>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</si>
  <si>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</si>
  <si>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</si>
  <si>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</si>
  <si>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</si>
  <si>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</si>
  <si>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</si>
  <si>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</si>
  <si>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</si>
  <si>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</si>
  <si>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</si>
  <si>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</si>
  <si>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</si>
  <si>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</si>
  <si>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</si>
  <si>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</si>
  <si>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</si>
  <si>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</si>
  <si>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</si>
  <si>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</si>
  <si>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</si>
  <si>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</si>
  <si>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</si>
  <si>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</si>
  <si>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</si>
  <si>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</si>
  <si>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</si>
  <si>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</si>
  <si>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</si>
  <si>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Traspaso De: Viviana Isabel Molina Sotelo</t>
  </si>
  <si>
    <t>Traspaso A: Asesorias Ecox Limitada</t>
  </si>
  <si>
    <t>Pago Servicio En Internet</t>
  </si>
  <si>
    <t>Traspaso A: Felipe Andres Hiriart Blome</t>
  </si>
  <si>
    <t>PARCELA</t>
  </si>
  <si>
    <t>B6 - EDUARDO ARAYA</t>
  </si>
  <si>
    <t>C4 - DENIS HERNAN VARELA</t>
  </si>
  <si>
    <t>F1 - KATHERINE SANDOVAL</t>
  </si>
  <si>
    <t>I1 - VIVANA MOLINA</t>
  </si>
  <si>
    <t>M2 - FRANCISCO REYES</t>
  </si>
  <si>
    <t>M3 - ANDRES ALARCON</t>
  </si>
  <si>
    <t>M5 - EDGARD BURBOA</t>
  </si>
  <si>
    <t>O5 - SOLANGE SORAYA</t>
  </si>
  <si>
    <t>N3 - OSVALDO SUAREZ</t>
  </si>
  <si>
    <t>Traspaso De: Eduardo Enrique Araya Silva</t>
  </si>
  <si>
    <t>Traspaso De: Nicole Vanessa Del Rosario Isamitt Maureira</t>
  </si>
  <si>
    <t>H2 - NICOLE VANESSA ISAMITT</t>
  </si>
  <si>
    <t>E9 - YASNA PAOLA VIDAL</t>
  </si>
  <si>
    <t>Cuota 10/72</t>
  </si>
  <si>
    <t>L10 Y L11 - JALCA</t>
  </si>
  <si>
    <t>E7 - NATALIA / JAIME CONTRERAS</t>
  </si>
  <si>
    <t>Traspaso A: Hector Varela Cta Con Capacidad</t>
  </si>
  <si>
    <t>J5 - CRISTIAN VIDAL SUAREZ</t>
  </si>
  <si>
    <t>Pago Instituciones Previsionales</t>
  </si>
  <si>
    <t>Traspaso A 96571220-8 Fmu</t>
  </si>
  <si>
    <t>Reembolsa gastos</t>
  </si>
  <si>
    <t>Previred</t>
  </si>
  <si>
    <t>Row Labels</t>
  </si>
  <si>
    <t>(blank)</t>
  </si>
  <si>
    <t>Grand Total</t>
  </si>
  <si>
    <t>Sum of DEPOSITO</t>
  </si>
  <si>
    <t>Sum of GIROS</t>
  </si>
  <si>
    <t>Patente municipal</t>
  </si>
  <si>
    <t>Traspaso De: Matias Antonio Donoso Wright</t>
  </si>
  <si>
    <t>Traspaso De: Varela Torres Hector Hernan</t>
  </si>
  <si>
    <t>A1 - ISAIAS ANDRES</t>
  </si>
  <si>
    <t>A5 - JOSE DE JESUS</t>
  </si>
  <si>
    <t>B1 - FRANCISCO SANDOVAL - REINA MAR</t>
  </si>
  <si>
    <t>E6 - MATIAS DONOSO</t>
  </si>
  <si>
    <t>I2 - HECTOR VARELA NANCHO</t>
  </si>
  <si>
    <t>Traspaso De: Isaias Andres Yanez Campos</t>
  </si>
  <si>
    <t>Traspaso De: Isaias Andres Yanez</t>
  </si>
  <si>
    <t>Contabilidad</t>
  </si>
  <si>
    <t>Publicidad Facebook</t>
  </si>
  <si>
    <t>Cuota 34 de 48 parte 2 de 2</t>
  </si>
  <si>
    <t>Cuota 34 de 48 parte 1 de 2</t>
  </si>
  <si>
    <t>Cuota 21/72</t>
  </si>
  <si>
    <t>Cuota 33/48</t>
  </si>
  <si>
    <t>Cuota 20/48</t>
  </si>
  <si>
    <t>Cuota 4 de 48</t>
  </si>
  <si>
    <t>Traspaso De: Jose De Jesus Urra Videla</t>
  </si>
  <si>
    <t>Pago En Sii.cl*</t>
  </si>
  <si>
    <t>Traspaso De: Joan Emilio Cerda Salvo</t>
  </si>
  <si>
    <t>Traspaso A: Carlos Andres Ocampo Bustos</t>
  </si>
  <si>
    <t>Traspaso De: Javier Orlando Gomez Vera</t>
  </si>
  <si>
    <t>Traspaso De: Cristian Pablo Vidal Suarez</t>
  </si>
  <si>
    <t>Traspaso De: Solange Soraya Molina</t>
  </si>
  <si>
    <t>Traspaso De: Contreras Barra Jaime Rene</t>
  </si>
  <si>
    <t>Traspaso De: Francisco Antonio Sandoval Castro</t>
  </si>
  <si>
    <t>M6 - JAVIER ORLANDO GOMEZ VERA</t>
  </si>
  <si>
    <t>Paga pie parcela M-6</t>
  </si>
  <si>
    <t>Reembolsa uber</t>
  </si>
  <si>
    <t>Reserva J-7</t>
  </si>
  <si>
    <t>Reserva M-6</t>
  </si>
  <si>
    <t>Deposita para CBR inscripcion H2</t>
  </si>
  <si>
    <t>Pago CBR inscripcion H2</t>
  </si>
  <si>
    <t>Cuota 35 y 36 de 48</t>
  </si>
  <si>
    <t>Cuota 37 de 48</t>
  </si>
  <si>
    <t>Cuota 30 de 48</t>
  </si>
  <si>
    <t>Cuota 32/36</t>
  </si>
  <si>
    <t>Cuota 6/12</t>
  </si>
  <si>
    <t>Cuota 24/60</t>
  </si>
  <si>
    <t>Cuota 13/72</t>
  </si>
  <si>
    <t>Traspaso A: Sindy Danaee Sandoval Vega</t>
  </si>
  <si>
    <t>Traspaso De: Denisse Elizabeth Martel Jorquera</t>
  </si>
  <si>
    <t>Pago: Inversiones 0965712208</t>
  </si>
  <si>
    <t>Aporte A Fondo Mutuo</t>
  </si>
  <si>
    <t>Transferencia De Otro Banco Via Spav</t>
  </si>
  <si>
    <t>Traspaso A: Mario Cofre</t>
  </si>
  <si>
    <t>Dep.cheq.otros Bancos N° 3067631</t>
  </si>
  <si>
    <t>Traspaso De: Reina Mar Spa</t>
  </si>
  <si>
    <t>Traspaso A: Benjamin Lecaros</t>
  </si>
  <si>
    <t>Traspaso De: Yolanda Andrea Walker</t>
  </si>
  <si>
    <t>Reserva H-7</t>
  </si>
  <si>
    <t>Comision venta M-6</t>
  </si>
  <si>
    <t>Reserva N-3</t>
  </si>
  <si>
    <t>F29</t>
  </si>
  <si>
    <t>Pago hipotecario parcela F-2</t>
  </si>
  <si>
    <t>Reembolsa reserva F2</t>
  </si>
  <si>
    <t>VV Parcela J7 + Pie parcela F2</t>
  </si>
  <si>
    <t>Asesoria venta F2+J7</t>
  </si>
  <si>
    <t>Pago: Proveedores 0795464301</t>
  </si>
  <si>
    <t>Traspaso A: Denisse Martel Jorquera</t>
  </si>
  <si>
    <t>Traspaso A: La Nube Fotografia Ltda.</t>
  </si>
  <si>
    <t>Traspaso A: Francisco Ant Sandoval Castro</t>
  </si>
  <si>
    <t>Traspaso A: Notaria Rieutord</t>
  </si>
  <si>
    <t>Traspaso De: Yasna Paola Vidal Meza</t>
  </si>
  <si>
    <t>Traspaso A: Jorge Ignacio Troncoso Vidal</t>
  </si>
  <si>
    <t>Deposito En Efectivo N° 430944</t>
  </si>
  <si>
    <t>Traspaso A: Juan Carlos Abarca</t>
  </si>
  <si>
    <t>Venta macal</t>
  </si>
  <si>
    <t>Devolucion reserva N3</t>
  </si>
  <si>
    <t>Renovacion lanube</t>
  </si>
  <si>
    <t>Pendiente porton de abajo</t>
  </si>
  <si>
    <t>mandato</t>
  </si>
  <si>
    <t>firma J7 Joan Valdivia</t>
  </si>
  <si>
    <t>J-7 Joan</t>
  </si>
  <si>
    <t>Estacado F7</t>
  </si>
  <si>
    <t>Cuota 38 de 48</t>
  </si>
  <si>
    <t>Cuota 39 de 48</t>
  </si>
  <si>
    <t>Cuota 31 de 48</t>
  </si>
  <si>
    <t>Cuota 32 de 48</t>
  </si>
  <si>
    <t>Cuota 33/36</t>
  </si>
  <si>
    <t>Cuota 22/72</t>
  </si>
  <si>
    <t>Cuota 23/72</t>
  </si>
  <si>
    <t>Cuota 34/48</t>
  </si>
  <si>
    <t>Cuota 35/48</t>
  </si>
  <si>
    <t>Cuota 14/72</t>
  </si>
  <si>
    <t>Cuota 15/72</t>
  </si>
  <si>
    <t>Cuota 7 y 8 de 72</t>
  </si>
  <si>
    <t>Cuota 11/72</t>
  </si>
  <si>
    <t>Cuota 12/72</t>
  </si>
  <si>
    <t>Cuota 21/48</t>
  </si>
  <si>
    <t>Cuota 22/48</t>
  </si>
  <si>
    <t>Cuota 5 de 48</t>
  </si>
  <si>
    <t>Cuota 6 de 48</t>
  </si>
  <si>
    <t>Cuota 7/12</t>
  </si>
  <si>
    <t>Cuota 1 de 60</t>
  </si>
  <si>
    <t>Cuota 25/60</t>
  </si>
  <si>
    <t>Cuota 34, 35 y 36 de 36</t>
  </si>
  <si>
    <t>Cuota 36/48</t>
  </si>
  <si>
    <t>Cuota 9 de 72</t>
  </si>
  <si>
    <t>Cuota 23/48</t>
  </si>
  <si>
    <t>Cuota 7 de 48</t>
  </si>
  <si>
    <t>Cuota 2 de 60</t>
  </si>
  <si>
    <t>Resto pendiente cuota 2 de 60</t>
  </si>
  <si>
    <t>Cuota 26/60</t>
  </si>
  <si>
    <t>Traspaso A: Felipe Chavez Torres</t>
  </si>
  <si>
    <t>Pago En Tesoreria.cl*</t>
  </si>
  <si>
    <t>Contribuciones</t>
  </si>
  <si>
    <t>Firmas en valdivia</t>
  </si>
  <si>
    <t>Honorario dividendo 7</t>
  </si>
  <si>
    <t>Traspaso A: Futrono Spa</t>
  </si>
  <si>
    <t>Abona a deuda con Futrono SpA</t>
  </si>
  <si>
    <t>Inscripcion F7</t>
  </si>
  <si>
    <t>Estacados J6 + H3</t>
  </si>
  <si>
    <t>Traspaso De: Nicolas Piquer Franco</t>
  </si>
  <si>
    <t>Reserva J6</t>
  </si>
  <si>
    <t>Cuota 40 de 48</t>
  </si>
  <si>
    <t>Cuota 24/72</t>
  </si>
  <si>
    <t>Cuota 37/48</t>
  </si>
  <si>
    <t>Cuota 16/72</t>
  </si>
  <si>
    <t>Cuota 10 de 72</t>
  </si>
  <si>
    <t>Cuota 8 de 48</t>
  </si>
  <si>
    <t>Cuota 8/12</t>
  </si>
  <si>
    <t>Cuota 9/12</t>
  </si>
  <si>
    <t>Cuota 3 de 60</t>
  </si>
  <si>
    <t>Cuota 27/60</t>
  </si>
  <si>
    <t>Traspaso De: Walker Silva Yolanda Andrea</t>
  </si>
  <si>
    <t>Traspaso De: Cristian Leng Rubilar</t>
  </si>
  <si>
    <t>Pago: Dev Impuesto 0608050000</t>
  </si>
  <si>
    <t>Paga CBR F7</t>
  </si>
  <si>
    <t>Venta J6</t>
  </si>
  <si>
    <t>Reserva M9</t>
  </si>
  <si>
    <t>Firma Valdivia</t>
  </si>
  <si>
    <t>Venta Macal 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</si>
</sst>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d\-mmm\-yy;@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Rubik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2" fillId="2" borderId="2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0" fillId="0" borderId="0" xfId="1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3">
    <dxf>
      <fill>
        <patternFill>
          <bgColor theme="7" tint="0.39994506668294322"/>
        </patternFill>
      </fill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" refreshedDate="45903.915045717593" createdVersion="8" refreshedVersion="8" minRefreshableVersion="3" recordCount="210" xr:uid="{8679E7B2-D5D6-4649-8D7E-59EDE15C27AA}">
  <cacheSource type="worksheet">
    <worksheetSource ref="A1:I1048576" sheet="MOVIMIENTOS"/>
  </cacheSource>
  <cacheFields count="9">
    <cacheField name="FECHA" numFmtId="164">
      <sharedItems containsNonDate="0" containsDate="1" containsString="0" containsBlank="1" minDate="2025-01-01T00:00:00" maxDate="2025-09-05T00:00:00"/>
    </cacheField>
    <cacheField name="DETALLE" numFmtId="0">
      <sharedItems containsBlank="1"/>
    </cacheField>
    <cacheField name="CATEGORIA" numFmtId="0">
      <sharedItems containsBlank="1" count="8">
        <m/>
        <s v="VENTA"/>
        <s v="GASTOS GENERALES"/>
        <s v="PRESTAMO"/>
        <s v="IMPUESTOS"/>
        <s v="NOTARIA Y CONSERVADOR"/>
        <s v="SUELDO Y LEYES SOCIALES"/>
        <s v="FONDOS MUTUOS"/>
      </sharedItems>
    </cacheField>
    <cacheField name="SUB" numFmtId="0">
      <sharedItems containsBlank="1" count="2">
        <m/>
        <s v="FUTRONO"/>
      </sharedItems>
    </cacheField>
    <cacheField name="PARCELA" numFmtId="0">
      <sharedItems containsBlank="1"/>
    </cacheField>
    <cacheField name="SALDO" numFmtId="165">
      <sharedItems containsString="0" containsBlank="1" containsNumber="1" containsInteger="1" minValue="0" maxValue="65122641"/>
    </cacheField>
    <cacheField name="DEPOSITO" numFmtId="165">
      <sharedItems containsString="0" containsBlank="1" containsNumber="1" containsInteger="1" minValue="1000" maxValue="64630462"/>
    </cacheField>
    <cacheField name="GIROS" numFmtId="165">
      <sharedItems containsString="0" containsBlank="1" containsNumber="1" containsInteger="1" minValue="-32000000" maxValue="-3402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d v="2025-01-01T00:00:00"/>
    <s v="SALDO ANTERIOR"/>
    <x v="0"/>
    <x v="0"/>
    <m/>
    <n v="400801"/>
    <m/>
    <m/>
    <m/>
  </r>
  <r>
    <d v="2025-01-03T00:00:00"/>
    <s v="Traspaso De: Solange Soraya Molina"/>
    <x v="1"/>
    <x v="0"/>
    <s v="O5 - SOLANGE SORAYA"/>
    <n v="400801"/>
    <n v="401094"/>
    <m/>
    <s v="Cuota 11/60"/>
  </r>
  <r>
    <d v="2025-01-06T00:00:00"/>
    <s v="Traspaso De: Katherine Angelica Gonzalez Reyes"/>
    <x v="1"/>
    <x v="0"/>
    <s v="F1 - KATHERINE SANDOVAL"/>
    <n v="801895"/>
    <n v="454173"/>
    <m/>
    <s v="Cuota 6/72"/>
  </r>
  <r>
    <d v="2025-01-07T00:00:00"/>
    <s v="Pago En Sii.cl*"/>
    <x v="2"/>
    <x v="0"/>
    <m/>
    <n v="1256068"/>
    <m/>
    <n v="-125416"/>
    <m/>
  </r>
  <r>
    <d v="2025-01-07T00:00:00"/>
    <s v="Traspaso De: Denis Hernan Varela Castro"/>
    <x v="1"/>
    <x v="0"/>
    <s v="C4 - DENIS HERNAN VARELA"/>
    <n v="1130652"/>
    <n v="408143"/>
    <m/>
    <s v="Cuota 6/72"/>
  </r>
  <r>
    <d v="2025-01-07T00:00:00"/>
    <s v="Traspaso De: Viviana Isabel Molina Sotelo"/>
    <x v="1"/>
    <x v="0"/>
    <s v="I1 - VIVANA MOLINA"/>
    <n v="1538795"/>
    <n v="637236"/>
    <m/>
    <s v="Cuota 8/48"/>
  </r>
  <r>
    <d v="2025-01-08T00:00:00"/>
    <s v="Traspaso A: Asesorias Ecox Limitada"/>
    <x v="2"/>
    <x v="0"/>
    <m/>
    <n v="2176031"/>
    <m/>
    <n v="-100000"/>
    <s v="servicio contable"/>
  </r>
  <r>
    <d v="2025-01-09T00:00:00"/>
    <s v="Pago Servicio En Internet"/>
    <x v="2"/>
    <x v="0"/>
    <m/>
    <n v="2076031"/>
    <m/>
    <n v="-33442"/>
    <m/>
  </r>
  <r>
    <d v="2025-01-15T00:00:00"/>
    <s v="Traspaso A: Carlos Andres Ocampo Bustos"/>
    <x v="2"/>
    <x v="0"/>
    <m/>
    <n v="2042589"/>
    <m/>
    <n v="-24500"/>
    <m/>
  </r>
  <r>
    <d v="2025-01-28T00:00:00"/>
    <s v="Traspaso De: Contreras Barra Jaime Rene"/>
    <x v="1"/>
    <x v="0"/>
    <s v="E7 - NATALIA / JAIME CONTRERAS"/>
    <n v="2018089"/>
    <n v="264520"/>
    <m/>
    <s v="Cuota 1/72"/>
  </r>
  <r>
    <d v="2025-01-28T00:00:00"/>
    <s v="Traspaso A: Felipe Andres Hiriart Blome"/>
    <x v="2"/>
    <x v="0"/>
    <m/>
    <n v="2282609"/>
    <m/>
    <n v="-600000"/>
    <s v="Publicidad"/>
  </r>
  <r>
    <d v="2025-02-05T00:00:00"/>
    <s v="Traspaso De: Katherine Angelica Gonzalez Reyes"/>
    <x v="1"/>
    <x v="0"/>
    <s v="F1 - KATHERINE SANDOVAL"/>
    <n v="1682609"/>
    <n v="453580"/>
    <m/>
    <s v="Cuota 7/72"/>
  </r>
  <r>
    <d v="2025-02-06T00:00:00"/>
    <s v="Traspaso De: Denis Hernan Varela Castro"/>
    <x v="1"/>
    <x v="0"/>
    <s v="C4 - DENIS HERNAN VARELA"/>
    <n v="2136189"/>
    <n v="406749"/>
    <m/>
    <s v="Cuota 7/72"/>
  </r>
  <r>
    <d v="2025-02-06T00:00:00"/>
    <s v="Traspaso De: Solange Soraya Molina"/>
    <x v="1"/>
    <x v="0"/>
    <s v="O5 - SOLANGE SORAYA"/>
    <n v="2542938"/>
    <n v="400572"/>
    <m/>
    <s v="Cuota 12/60"/>
  </r>
  <r>
    <d v="2025-02-07T00:00:00"/>
    <s v="Traspaso De: Viviana Isabel Molina Sotelo"/>
    <x v="1"/>
    <x v="0"/>
    <s v="I1 - VIVANA MOLINA"/>
    <n v="2943510"/>
    <n v="636175"/>
    <m/>
    <s v="Cuota 9/48"/>
  </r>
  <r>
    <d v="2025-02-11T00:00:00"/>
    <s v="Traspaso De: Frutas Y Verduras Osvald O Suarez Spa"/>
    <x v="1"/>
    <x v="0"/>
    <s v="N3 - OSVALDO SUAREZ"/>
    <n v="3579685"/>
    <n v="200000"/>
    <m/>
    <s v="Reserva N3"/>
  </r>
  <r>
    <d v="2025-02-13T00:00:00"/>
    <s v="Pago En Sii.cl*"/>
    <x v="2"/>
    <x v="0"/>
    <m/>
    <n v="3779685"/>
    <m/>
    <n v="-5413"/>
    <m/>
  </r>
  <r>
    <d v="2025-02-13T00:00:00"/>
    <s v="Traspaso De: Eduardo Enrique Araya Silva"/>
    <x v="1"/>
    <x v="0"/>
    <s v="B6 - EDUARDO ARAYA"/>
    <n v="3774272"/>
    <n v="522719"/>
    <m/>
    <s v="Cuota 10/72"/>
  </r>
  <r>
    <d v="2025-02-17T00:00:00"/>
    <s v="Traspaso De: Nicole Vanessa Del Rosario Isamitt Maureira"/>
    <x v="1"/>
    <x v="0"/>
    <s v="H2 - NICOLE VANESSA ISAMITT"/>
    <n v="4296991"/>
    <n v="200000"/>
    <m/>
    <s v="Reserva H2"/>
  </r>
  <r>
    <d v="2025-02-17T00:00:00"/>
    <s v="Traspaso A: Asesorias Ecox Limitada"/>
    <x v="2"/>
    <x v="0"/>
    <m/>
    <n v="4496991"/>
    <m/>
    <n v="-100000"/>
    <s v="servicio contable"/>
  </r>
  <r>
    <d v="2025-02-17T00:00:00"/>
    <s v="Traspaso De: Constructora Burboa Spa"/>
    <x v="1"/>
    <x v="0"/>
    <s v="M5 - EDGARD BURBOA"/>
    <n v="4396991"/>
    <n v="1628832"/>
    <m/>
    <s v="Cuota 4 y 5 de 72"/>
  </r>
  <r>
    <d v="2025-02-21T00:00:00"/>
    <s v="Traspaso De: Yasna Paola Vidal Meza"/>
    <x v="1"/>
    <x v="0"/>
    <s v="E9 - YASNA PAOLA VIDAL"/>
    <n v="6025823"/>
    <n v="200000"/>
    <m/>
    <s v="Reserva E9"/>
  </r>
  <r>
    <d v="2025-02-24T00:00:00"/>
    <s v="Traspaso A: Felipe Andres Hiriart Blome"/>
    <x v="2"/>
    <x v="0"/>
    <m/>
    <n v="6225823"/>
    <m/>
    <n v="-500000"/>
    <s v="Publicidad"/>
  </r>
  <r>
    <d v="2025-02-24T00:00:00"/>
    <s v="Traspaso A: Futrono Spa"/>
    <x v="2"/>
    <x v="0"/>
    <m/>
    <n v="5725823"/>
    <m/>
    <n v="-51165"/>
    <s v="Reembolsa publicidad"/>
  </r>
  <r>
    <d v="2025-02-27T00:00:00"/>
    <s v="Traspaso De: Contreras Barra Jaime Rene"/>
    <x v="1"/>
    <x v="0"/>
    <s v="E7 - NATALIA / JAIME CONTRERAS"/>
    <n v="5674658"/>
    <n v="266180"/>
    <m/>
    <s v="Cuota 2/72"/>
  </r>
  <r>
    <d v="2025-02-28T00:00:00"/>
    <s v="Traspaso De: Solange Soraya Molina"/>
    <x v="1"/>
    <x v="0"/>
    <s v="O5 - SOLANGE SORAYA"/>
    <n v="5940838"/>
    <n v="403474"/>
    <m/>
    <s v="Cuota 13/60"/>
  </r>
  <r>
    <d v="2025-03-04T00:00:00"/>
    <s v="Traspaso De: Katherine Angelica Gonzalez Reyes"/>
    <x v="1"/>
    <x v="0"/>
    <s v="F1 - KATHERINE SANDOVAL"/>
    <n v="6344312"/>
    <n v="457351"/>
    <m/>
    <s v="Cuota 8/72"/>
  </r>
  <r>
    <d v="2025-03-04T00:00:00"/>
    <s v="Traspaso A: Asesorias Ecox Limitada"/>
    <x v="2"/>
    <x v="0"/>
    <m/>
    <n v="6801663"/>
    <m/>
    <n v="-100000"/>
    <s v="servicio contable"/>
  </r>
  <r>
    <d v="2025-03-05T00:00:00"/>
    <s v="Traspaso A: Carlos Andres Ocampo Bustos"/>
    <x v="2"/>
    <x v="0"/>
    <m/>
    <n v="6701663"/>
    <m/>
    <n v="-24500"/>
    <s v="Set documentos H2"/>
  </r>
  <r>
    <d v="2025-03-06T00:00:00"/>
    <s v="Traspaso De: Denis Hernan Varela Castro"/>
    <x v="1"/>
    <x v="0"/>
    <s v="C4 - DENIS HERNAN VARELA"/>
    <n v="6677163"/>
    <n v="402881"/>
    <m/>
    <s v="Cuota 8/72"/>
  </r>
  <r>
    <d v="2025-03-07T00:00:00"/>
    <s v="Traspaso A: Futrono Spa"/>
    <x v="3"/>
    <x v="1"/>
    <m/>
    <n v="7080044"/>
    <m/>
    <n v="-5000000"/>
    <m/>
  </r>
  <r>
    <d v="2025-03-07T00:00:00"/>
    <s v="Traspaso A: Futrono Spa"/>
    <x v="3"/>
    <x v="1"/>
    <m/>
    <n v="2080044"/>
    <m/>
    <n v="-2000000"/>
    <m/>
  </r>
  <r>
    <d v="2025-03-10T00:00:00"/>
    <s v="Traspaso De: Viviana Isabel Molina Sotelo"/>
    <x v="1"/>
    <x v="0"/>
    <s v="I1 - VIVANA MOLINA"/>
    <n v="80044"/>
    <n v="642790"/>
    <m/>
    <s v="Cuota 10/48"/>
  </r>
  <r>
    <d v="2025-03-12T00:00:00"/>
    <s v="Traspaso A: La Nube Fotografia Ltda"/>
    <x v="2"/>
    <x v="0"/>
    <m/>
    <n v="722834"/>
    <m/>
    <n v="-178500"/>
    <m/>
  </r>
  <r>
    <d v="2025-03-12T00:00:00"/>
    <s v="Pago En Sii.cl*"/>
    <x v="4"/>
    <x v="0"/>
    <m/>
    <n v="544334"/>
    <m/>
    <n v="-13296"/>
    <m/>
  </r>
  <r>
    <d v="2025-03-14T00:00:00"/>
    <s v="Traspaso De: Eduardo Enrique Araya Silva"/>
    <x v="1"/>
    <x v="0"/>
    <s v="B6 - EDUARDO ARAYA"/>
    <n v="531038"/>
    <n v="528122"/>
    <m/>
    <s v="Cuota 11/72"/>
  </r>
  <r>
    <d v="2025-03-14T00:00:00"/>
    <s v="Traspaso De: Nicole Vanessa Del Rosario Isamitt Maureira"/>
    <x v="1"/>
    <x v="0"/>
    <s v="H2 - NICOLE VANESSA ISAMITT"/>
    <n v="1059160"/>
    <n v="4800000"/>
    <m/>
    <s v="Pie parcela H2"/>
  </r>
  <r>
    <d v="2025-03-14T00:00:00"/>
    <s v="Traspaso A: Futrono Spa"/>
    <x v="3"/>
    <x v="1"/>
    <m/>
    <n v="5859160"/>
    <m/>
    <n v="-859160"/>
    <m/>
  </r>
  <r>
    <d v="2025-03-14T00:00:00"/>
    <s v="Traspaso A: Futrono Spa"/>
    <x v="3"/>
    <x v="1"/>
    <m/>
    <n v="5000000"/>
    <m/>
    <n v="-5000000"/>
    <m/>
  </r>
  <r>
    <d v="2025-03-25T00:00:00"/>
    <s v="Traspaso De: Comercial E Inversiones Jalca Spa"/>
    <x v="1"/>
    <x v="0"/>
    <s v="L10 Y L11 - JALCA"/>
    <n v="0"/>
    <n v="400000"/>
    <m/>
    <s v="Reserva lotes L10 + L11"/>
  </r>
  <r>
    <d v="2025-03-27T00:00:00"/>
    <s v="Traspaso A: Benjamin Lecaros"/>
    <x v="2"/>
    <x v="0"/>
    <m/>
    <n v="400000"/>
    <m/>
    <n v="-23000"/>
    <m/>
  </r>
  <r>
    <d v="2025-03-27T00:00:00"/>
    <s v="Traspaso De: Contreras Barra Jaime Rene"/>
    <x v="1"/>
    <x v="0"/>
    <s v="E7 - NATALIA / JAIME CONTRERAS"/>
    <n v="377000"/>
    <n v="267842"/>
    <m/>
    <s v="Cuota 3/72"/>
  </r>
  <r>
    <d v="2025-03-27T00:00:00"/>
    <s v="Traspaso A: Carlos Andres Ocampo Bustos"/>
    <x v="5"/>
    <x v="0"/>
    <m/>
    <n v="644842"/>
    <m/>
    <n v="-31900"/>
    <m/>
  </r>
  <r>
    <d v="2025-03-27T00:00:00"/>
    <s v="Traspaso A: Benjamin Lecaros"/>
    <x v="2"/>
    <x v="0"/>
    <m/>
    <n v="612942"/>
    <m/>
    <n v="-3402"/>
    <m/>
  </r>
  <r>
    <d v="2025-03-28T00:00:00"/>
    <s v="Traspaso A: Notaria Rieutord"/>
    <x v="5"/>
    <x v="0"/>
    <m/>
    <n v="609540"/>
    <m/>
    <n v="-60000"/>
    <m/>
  </r>
  <r>
    <d v="2025-03-28T00:00:00"/>
    <s v="Traspaso A: Notaria Rieutord"/>
    <x v="5"/>
    <x v="0"/>
    <m/>
    <n v="549540"/>
    <m/>
    <n v="-70000"/>
    <m/>
  </r>
  <r>
    <d v="2025-04-01T00:00:00"/>
    <s v="Traspaso De: Yasna Paola Vidal Meza"/>
    <x v="1"/>
    <x v="0"/>
    <s v="E9 - YASNA PAOLA VIDAL"/>
    <n v="479540"/>
    <n v="3800000"/>
    <m/>
    <s v="Pie Parcela E9"/>
  </r>
  <r>
    <d v="2025-04-01T00:00:00"/>
    <s v="Traspaso A: Futrono Spa"/>
    <x v="3"/>
    <x v="1"/>
    <m/>
    <n v="4279540"/>
    <m/>
    <n v="-2000000"/>
    <m/>
  </r>
  <r>
    <d v="2025-04-01T00:00:00"/>
    <s v="Traspaso A: Asesorias Ecox Limitada"/>
    <x v="2"/>
    <x v="0"/>
    <m/>
    <n v="2279540"/>
    <m/>
    <n v="-100000"/>
    <s v="servicio contable"/>
  </r>
  <r>
    <d v="2025-04-02T00:00:00"/>
    <s v="Traspaso A: Carlos Andres Ocampo Bustos"/>
    <x v="5"/>
    <x v="0"/>
    <m/>
    <n v="2179540"/>
    <m/>
    <n v="-256000"/>
    <s v="Inscripcion servidumbre sitios P"/>
  </r>
  <r>
    <d v="2025-04-02T00:00:00"/>
    <s v="Traspaso A: German Aaron Estuardo Morales"/>
    <x v="2"/>
    <x v="0"/>
    <m/>
    <n v="1923540"/>
    <m/>
    <n v="-1413529"/>
    <s v="Comision venta parcela E-9 Yasna"/>
  </r>
  <r>
    <d v="2025-04-03T00:00:00"/>
    <s v="Traspaso De: Viviana Isabel Molina Sotelo"/>
    <x v="1"/>
    <x v="0"/>
    <s v="I1 - VIVANA MOLINA"/>
    <n v="510011"/>
    <n v="645111"/>
    <m/>
    <s v="Cuota 11/48"/>
  </r>
  <r>
    <d v="2025-04-04T00:00:00"/>
    <s v="Traspaso De: Nicole Vanessa Del Rosario Isamitt Maureira"/>
    <x v="1"/>
    <x v="0"/>
    <s v="H2 - NICOLE VANESSA ISAMITT"/>
    <n v="1155122"/>
    <n v="719819"/>
    <m/>
    <s v="Cuota 1/72"/>
  </r>
  <r>
    <d v="2025-04-04T00:00:00"/>
    <s v="Traspaso De: Solange Soraya Molina"/>
    <x v="1"/>
    <x v="0"/>
    <s v="O5 - SOLANGE SORAYA"/>
    <n v="1874941"/>
    <n v="406262"/>
    <m/>
    <s v="Cuota 14/60"/>
  </r>
  <r>
    <d v="2025-04-07T00:00:00"/>
    <s v="Traspaso De: Denis Hernan Varela Castro"/>
    <x v="1"/>
    <x v="0"/>
    <s v="C4 - DENIS HERNAN VARELA"/>
    <n v="2281203"/>
    <n v="413320"/>
    <m/>
    <s v="Cuota 9/72"/>
  </r>
  <r>
    <d v="2025-04-08T00:00:00"/>
    <s v="Traspaso A: Notaria Rieutord"/>
    <x v="5"/>
    <x v="0"/>
    <m/>
    <n v="2694523"/>
    <m/>
    <n v="-50000"/>
    <m/>
  </r>
  <r>
    <d v="2025-04-08T00:00:00"/>
    <s v="Traspaso A: Benjamin Lecaros"/>
    <x v="2"/>
    <x v="0"/>
    <m/>
    <n v="2644523"/>
    <m/>
    <n v="-6900"/>
    <m/>
  </r>
  <r>
    <d v="2025-04-08T00:00:00"/>
    <s v="Traspaso De: Comercial E Inversiones Jalca Spa"/>
    <x v="1"/>
    <x v="0"/>
    <s v="L10 Y L11 - JALCA"/>
    <n v="2637623"/>
    <n v="2800000"/>
    <m/>
    <s v="Pie parcela L10"/>
  </r>
  <r>
    <d v="2025-04-08T00:00:00"/>
    <s v="Traspaso De: Comercial E Inversiones Jalca Spa"/>
    <x v="1"/>
    <x v="0"/>
    <s v="L10 Y L11 - JALCA"/>
    <n v="5437623"/>
    <n v="2800000"/>
    <m/>
    <s v="Pie parcela L11"/>
  </r>
  <r>
    <d v="2025-04-09T00:00:00"/>
    <s v="Traspaso A: Lukas Alberto Freitag Del Rio"/>
    <x v="2"/>
    <x v="0"/>
    <m/>
    <n v="8237623"/>
    <m/>
    <n v="-50000"/>
    <s v="Firma de promesa en Valdivia"/>
  </r>
  <r>
    <d v="2025-04-09T00:00:00"/>
    <s v="Traspaso A: Lukas Alberto Freitag Del Rio"/>
    <x v="2"/>
    <x v="0"/>
    <m/>
    <n v="8187623"/>
    <m/>
    <n v="-34500"/>
    <m/>
  </r>
  <r>
    <d v="2025-04-09T00:00:00"/>
    <s v="Traspaso A: Sindy Danaee Sandoval Vega"/>
    <x v="2"/>
    <x v="0"/>
    <m/>
    <n v="8153123"/>
    <m/>
    <n v="-4243386"/>
    <s v="Comision venta parcela L10+L11"/>
  </r>
  <r>
    <d v="2025-04-09T00:00:00"/>
    <s v="Pago En Tesoreria.cl*"/>
    <x v="4"/>
    <x v="0"/>
    <m/>
    <n v="3909737"/>
    <m/>
    <n v="-936022"/>
    <s v="Contribuciones"/>
  </r>
  <r>
    <d v="2025-04-09T00:00:00"/>
    <s v="Pago En Tesoreria.cl*"/>
    <x v="4"/>
    <x v="0"/>
    <m/>
    <n v="2973715"/>
    <m/>
    <n v="-863350"/>
    <s v="Contribuciones"/>
  </r>
  <r>
    <d v="2025-04-10T00:00:00"/>
    <s v="Traspaso De: Eduardo Enrique Araya Silva"/>
    <x v="1"/>
    <x v="0"/>
    <s v="B6 - EDUARDO ARAYA"/>
    <n v="2110365"/>
    <n v="530041"/>
    <m/>
    <s v="Cuota 12/72"/>
  </r>
  <r>
    <d v="2025-04-11T00:00:00"/>
    <s v="Pago En Sii.cl*"/>
    <x v="2"/>
    <x v="0"/>
    <m/>
    <n v="2640406"/>
    <m/>
    <n v="-17747"/>
    <m/>
  </r>
  <r>
    <d v="2025-04-15T00:00:00"/>
    <s v="Traspaso A: Carlos Andres Ocampo Bustos"/>
    <x v="5"/>
    <x v="0"/>
    <m/>
    <n v="2622659"/>
    <m/>
    <n v="-39700"/>
    <m/>
  </r>
  <r>
    <d v="2025-04-29T00:00:00"/>
    <s v="Traspaso De: Futrono Spa"/>
    <x v="3"/>
    <x v="1"/>
    <m/>
    <n v="2582959"/>
    <n v="1000"/>
    <m/>
    <m/>
  </r>
  <r>
    <d v="2025-04-30T00:00:00"/>
    <s v="Traspaso De: Contreras Barra Jaime Rene"/>
    <x v="1"/>
    <x v="0"/>
    <s v="E7 - NATALIA / JAIME CONTRERAS"/>
    <n v="2583959"/>
    <n v="269185"/>
    <m/>
    <s v="Cuota 4/72"/>
  </r>
  <r>
    <d v="2025-05-02T00:00:00"/>
    <s v="Traspaso De: Yasna Paola Vidal Meza"/>
    <x v="1"/>
    <x v="0"/>
    <s v="E9 - YASNA PAOLA VIDAL"/>
    <n v="2853144"/>
    <n v="405212"/>
    <m/>
    <s v="Cuota 1/72"/>
  </r>
  <r>
    <d v="2025-05-05T00:00:00"/>
    <s v="Traspaso De: Nicole Vanessa Del Rosario Isamitt Maureira"/>
    <x v="1"/>
    <x v="0"/>
    <s v="H2 - NICOLE VANESSA ISAMITT"/>
    <n v="3258356"/>
    <n v="723135"/>
    <m/>
    <s v="Cuota 2/72"/>
  </r>
  <r>
    <d v="2025-05-05T00:00:00"/>
    <s v="Traspaso De: Denis Hernan Varela Castro"/>
    <x v="1"/>
    <x v="0"/>
    <s v="C4 - DENIS HERNAN VARELA"/>
    <n v="3981491"/>
    <n v="414396"/>
    <m/>
    <s v="Cuota 10/72"/>
  </r>
  <r>
    <d v="2025-05-05T00:00:00"/>
    <s v="Traspaso De: Solange Soraya Molina"/>
    <x v="1"/>
    <x v="0"/>
    <s v="O5 - SOLANGE SORAYA"/>
    <n v="4395887"/>
    <n v="408005"/>
    <m/>
    <s v="Cuota 15/60"/>
  </r>
  <r>
    <d v="2025-05-05T00:00:00"/>
    <s v="Traspaso A: Asesorias Ecox Limitada"/>
    <x v="2"/>
    <x v="0"/>
    <m/>
    <n v="4803892"/>
    <m/>
    <n v="-100000"/>
    <s v="servicio contable"/>
  </r>
  <r>
    <d v="2025-05-06T00:00:00"/>
    <s v="Traspaso De: Futrono Spa"/>
    <x v="3"/>
    <x v="1"/>
    <m/>
    <n v="4703892"/>
    <n v="2900000"/>
    <m/>
    <m/>
  </r>
  <r>
    <d v="2025-05-06T00:00:00"/>
    <s v="Traspaso De: Viviana Isabel Molina Sotelo"/>
    <x v="1"/>
    <x v="0"/>
    <s v="I1 - VIVANA MOLINA"/>
    <n v="7603892"/>
    <n v="648411"/>
    <m/>
    <s v="Cuota 12/48"/>
  </r>
  <r>
    <d v="2025-05-06T00:00:00"/>
    <s v="Traspaso A: Ingeacme Alvaro Acuna"/>
    <x v="2"/>
    <x v="0"/>
    <m/>
    <n v="8252303"/>
    <m/>
    <n v="-5000000"/>
    <s v="Factura 704"/>
  </r>
  <r>
    <d v="2025-05-06T00:00:00"/>
    <s v="Traspaso A: Benjamin Lecaros"/>
    <x v="2"/>
    <x v="0"/>
    <m/>
    <n v="3252303"/>
    <m/>
    <n v="-2565000"/>
    <m/>
  </r>
  <r>
    <d v="2025-05-12T00:00:00"/>
    <s v="Traspaso De: Eduardo Enrique Araya Silva"/>
    <x v="1"/>
    <x v="0"/>
    <s v="B6 - EDUARDO ARAYA"/>
    <n v="687303"/>
    <n v="532709"/>
    <m/>
    <s v="Cuota 13/72"/>
  </r>
  <r>
    <d v="2025-05-13T00:00:00"/>
    <s v="Pago En Sii.cl*"/>
    <x v="4"/>
    <x v="0"/>
    <m/>
    <n v="1220012"/>
    <m/>
    <n v="-990319"/>
    <m/>
  </r>
  <r>
    <d v="2025-05-29T00:00:00"/>
    <s v="Traspaso De: Contreras Barra Jaime Rene"/>
    <x v="1"/>
    <x v="0"/>
    <s v="E7 - NATALIA / JAIME CONTRERAS"/>
    <n v="229693"/>
    <n v="269981"/>
    <m/>
    <s v="Cuota 5/72"/>
  </r>
  <r>
    <d v="2025-06-02T00:00:00"/>
    <s v="Traspaso A: Felipe Andres Hiriart Blome"/>
    <x v="2"/>
    <x v="0"/>
    <m/>
    <n v="499674"/>
    <m/>
    <n v="-400000"/>
    <s v="Publicidad"/>
  </r>
  <r>
    <d v="2025-06-02T00:00:00"/>
    <s v="Traspaso De: Yasna Paola Vidal Meza"/>
    <x v="1"/>
    <x v="0"/>
    <s v="E9 - YASNA PAOLA VIDAL"/>
    <n v="99674"/>
    <n v="406395"/>
    <m/>
    <s v="Cuota 2/72"/>
  </r>
  <r>
    <d v="2025-06-02T00:00:00"/>
    <s v="Traspaso A: Asesorias Ecox Limitada"/>
    <x v="2"/>
    <x v="0"/>
    <m/>
    <n v="506069"/>
    <m/>
    <n v="-100000"/>
    <m/>
  </r>
  <r>
    <d v="2025-06-03T00:00:00"/>
    <s v="Traspaso De: Denis Hernan Varela Castro"/>
    <x v="1"/>
    <x v="0"/>
    <s v="C4 - DENIS HERNAN VARELA"/>
    <n v="406069"/>
    <n v="415456"/>
    <m/>
    <s v="Cuota 11/72"/>
  </r>
  <r>
    <d v="2025-06-03T00:00:00"/>
    <s v="Traspaso A: Hector Varela Cta Con Capacidad"/>
    <x v="2"/>
    <x v="0"/>
    <m/>
    <n v="821525"/>
    <m/>
    <n v="-128192"/>
    <m/>
  </r>
  <r>
    <d v="2025-06-03T00:00:00"/>
    <s v="Traspaso De: Nicole Vanessa Del Rosario Isamitt Maureira"/>
    <x v="1"/>
    <x v="0"/>
    <s v="H2 - NICOLE VANESSA ISAMITT"/>
    <n v="693333"/>
    <n v="725098"/>
    <m/>
    <s v="Cuota 3/72"/>
  </r>
  <r>
    <d v="2025-06-03T00:00:00"/>
    <s v="Traspaso De: Solange Soraya Molina"/>
    <x v="1"/>
    <x v="0"/>
    <s v="O5 - SOLANGE SORAYA"/>
    <n v="1418431"/>
    <n v="409216"/>
    <m/>
    <s v="Cuota 16/60"/>
  </r>
  <r>
    <d v="2025-06-04T00:00:00"/>
    <s v="Traspaso A: Hector Varela Cta Con Capacidad"/>
    <x v="2"/>
    <x v="0"/>
    <m/>
    <n v="1827647"/>
    <m/>
    <n v="-205263"/>
    <m/>
  </r>
  <r>
    <d v="2025-06-04T00:00:00"/>
    <s v="Traspaso De: Lopez Carreno Eduardo Antonio"/>
    <x v="1"/>
    <x v="0"/>
    <m/>
    <n v="1622384"/>
    <n v="200000"/>
    <m/>
    <s v="Reservar M8"/>
  </r>
  <r>
    <d v="2025-06-05T00:00:00"/>
    <s v="Traspaso A: Maria Paz Amenabar"/>
    <x v="2"/>
    <x v="0"/>
    <m/>
    <n v="1822384"/>
    <m/>
    <n v="-200000"/>
    <m/>
  </r>
  <r>
    <d v="2025-06-09T00:00:00"/>
    <s v="Traspaso De: Viviana Isabel Molina Sotelo"/>
    <x v="1"/>
    <x v="0"/>
    <s v="I1 - VIVANA MOLINA"/>
    <n v="1622384"/>
    <n v="650019"/>
    <m/>
    <s v="Cuota 13/48"/>
  </r>
  <r>
    <d v="2025-06-09T00:00:00"/>
    <s v="Dep.cheq.otros Bancos N° 5473928"/>
    <x v="1"/>
    <x v="0"/>
    <m/>
    <n v="2272403"/>
    <n v="49559270"/>
    <m/>
    <s v="Pago parcela M2 Francisco Reyes"/>
  </r>
  <r>
    <d v="2025-06-10T00:00:00"/>
    <s v="Pago En Sii.cl*"/>
    <x v="4"/>
    <x v="0"/>
    <m/>
    <n v="51831673"/>
    <m/>
    <n v="-443505"/>
    <m/>
  </r>
  <r>
    <d v="2025-06-10T00:00:00"/>
    <s v="Traspaso A: Notaria Rieutord"/>
    <x v="5"/>
    <x v="0"/>
    <m/>
    <n v="51388168"/>
    <m/>
    <n v="-10000"/>
    <m/>
  </r>
  <r>
    <d v="2025-06-11T00:00:00"/>
    <s v="Traspaso A: Benjamin Lecaros"/>
    <x v="2"/>
    <x v="0"/>
    <m/>
    <n v="51378168"/>
    <m/>
    <n v="-4600"/>
    <s v="Docs con vigencia CBRS"/>
  </r>
  <r>
    <d v="2025-06-11T00:00:00"/>
    <s v="Traspaso A: Benjamin Lecaros"/>
    <x v="2"/>
    <x v="0"/>
    <m/>
    <n v="51373568"/>
    <m/>
    <n v="-5900"/>
    <s v="Foto poder banco estado"/>
  </r>
  <r>
    <d v="2025-06-12T00:00:00"/>
    <s v="Traspaso A: Futrono Spa"/>
    <x v="3"/>
    <x v="1"/>
    <m/>
    <n v="51367668"/>
    <m/>
    <n v="-5000000"/>
    <m/>
  </r>
  <r>
    <d v="2025-06-12T00:00:00"/>
    <s v="Traspaso A: Futrono Spa"/>
    <x v="3"/>
    <x v="1"/>
    <m/>
    <n v="46367668"/>
    <m/>
    <n v="-5000000"/>
    <m/>
  </r>
  <r>
    <d v="2025-06-12T00:00:00"/>
    <s v="Traspaso A: Futrono Spa"/>
    <x v="3"/>
    <x v="1"/>
    <m/>
    <n v="41367668"/>
    <m/>
    <n v="-5000000"/>
    <m/>
  </r>
  <r>
    <d v="2025-06-12T00:00:00"/>
    <s v="Traspaso A: Futrono Spa"/>
    <x v="3"/>
    <x v="1"/>
    <m/>
    <n v="36367668"/>
    <m/>
    <n v="-5000000"/>
    <m/>
  </r>
  <r>
    <d v="2025-06-12T00:00:00"/>
    <s v="Traspaso A: Futrono Spa"/>
    <x v="3"/>
    <x v="1"/>
    <m/>
    <n v="31367668"/>
    <m/>
    <n v="-5000000"/>
    <m/>
  </r>
  <r>
    <d v="2025-06-12T00:00:00"/>
    <s v="Traspaso A: Futrono Spa"/>
    <x v="3"/>
    <x v="1"/>
    <m/>
    <n v="26367668"/>
    <m/>
    <n v="-5000000"/>
    <m/>
  </r>
  <r>
    <d v="2025-06-12T00:00:00"/>
    <s v="Traspaso A: Futrono Spa"/>
    <x v="3"/>
    <x v="1"/>
    <m/>
    <n v="21367668"/>
    <m/>
    <n v="-5000000"/>
    <m/>
  </r>
  <r>
    <d v="2025-06-12T00:00:00"/>
    <s v="Traspaso A: Futrono Spa"/>
    <x v="3"/>
    <x v="1"/>
    <m/>
    <n v="16367668"/>
    <m/>
    <n v="-5000000"/>
    <m/>
  </r>
  <r>
    <d v="2025-06-12T00:00:00"/>
    <s v="Traspaso A: Futrono Spa"/>
    <x v="3"/>
    <x v="1"/>
    <m/>
    <n v="11367668"/>
    <m/>
    <n v="-4000000"/>
    <m/>
  </r>
  <r>
    <d v="2025-06-12T00:00:00"/>
    <s v="Pago En Tesoreria.cl*"/>
    <x v="4"/>
    <x v="0"/>
    <m/>
    <n v="7367668"/>
    <m/>
    <n v="-952326"/>
    <s v="Contribuciones"/>
  </r>
  <r>
    <d v="2025-06-12T00:00:00"/>
    <s v="Pago En Tesoreria.cl*"/>
    <x v="4"/>
    <x v="0"/>
    <m/>
    <n v="6415342"/>
    <m/>
    <n v="-814987"/>
    <s v="Contribuciones"/>
  </r>
  <r>
    <d v="2025-06-13T00:00:00"/>
    <s v="Pago: Santander 0774601414"/>
    <x v="3"/>
    <x v="1"/>
    <m/>
    <n v="5600355"/>
    <n v="21250000"/>
    <m/>
    <m/>
  </r>
  <r>
    <d v="2025-06-16T00:00:00"/>
    <s v="Traspaso A: Asesorias Ecox Limitada"/>
    <x v="2"/>
    <x v="0"/>
    <m/>
    <n v="26850355"/>
    <m/>
    <n v="-300000"/>
    <s v="Honorario dividendo 4"/>
  </r>
  <r>
    <d v="2025-06-16T00:00:00"/>
    <s v="Traspaso A: Asesorias Ecox Limitada"/>
    <x v="2"/>
    <x v="0"/>
    <m/>
    <n v="26550355"/>
    <m/>
    <n v="-5000000"/>
    <s v="Honorario dividendo 4"/>
  </r>
  <r>
    <d v="2025-06-16T00:00:00"/>
    <s v="Traspaso A: Asesorias Ecox Limitada"/>
    <x v="2"/>
    <x v="0"/>
    <m/>
    <n v="21550355"/>
    <m/>
    <n v="-5000000"/>
    <s v="Honorario dividendo 4"/>
  </r>
  <r>
    <d v="2025-06-16T00:00:00"/>
    <s v="Traspaso A: Asesorias Ecox Limitada"/>
    <x v="2"/>
    <x v="0"/>
    <m/>
    <n v="16550355"/>
    <m/>
    <n v="-5000000"/>
    <s v="Honorario dividendo 4"/>
  </r>
  <r>
    <d v="2025-06-16T00:00:00"/>
    <s v="Traspaso A: Asesorias Ecox Limitada"/>
    <x v="2"/>
    <x v="0"/>
    <m/>
    <n v="11550355"/>
    <m/>
    <n v="-5000000"/>
    <s v="Honorario dividendo 4"/>
  </r>
  <r>
    <d v="2025-06-16T00:00:00"/>
    <s v="Traspaso A: Paulina Patricia Schmidt"/>
    <x v="1"/>
    <x v="0"/>
    <s v="M2 - FRANCISCO REYES"/>
    <n v="6550355"/>
    <m/>
    <n v="-5000000"/>
    <s v="Reembolsa descuento parcela M2"/>
  </r>
  <r>
    <d v="2025-06-16T00:00:00"/>
    <s v="Traspaso A: Paulina Patricia Schmidt"/>
    <x v="1"/>
    <x v="0"/>
    <s v="M2 - FRANCISCO REYES"/>
    <n v="1550355"/>
    <m/>
    <n v="-1542336"/>
    <s v="Reembolsa descuento parcela M2"/>
  </r>
  <r>
    <d v="2025-06-17T00:00:00"/>
    <s v="Traspaso De: Eduardo Enrique Araya Silva"/>
    <x v="1"/>
    <x v="0"/>
    <s v="B6 - EDUARDO ARAYA"/>
    <n v="8019"/>
    <n v="533920"/>
    <m/>
    <s v="Cuota 14/72"/>
  </r>
  <r>
    <d v="2025-06-17T00:00:00"/>
    <s v="Pago: Santander 0774601414"/>
    <x v="3"/>
    <x v="1"/>
    <m/>
    <n v="541939"/>
    <n v="35000000"/>
    <m/>
    <m/>
  </r>
  <r>
    <d v="2025-06-17T00:00:00"/>
    <s v="Traspaso A: Asesorias Ecox Limitada"/>
    <x v="2"/>
    <x v="0"/>
    <m/>
    <n v="35541939"/>
    <m/>
    <n v="-5000000"/>
    <s v="Honorario dividendo 3"/>
  </r>
  <r>
    <d v="2025-06-17T00:00:00"/>
    <s v="Traspaso A: Asesorias Ecox Limitada"/>
    <x v="2"/>
    <x v="0"/>
    <m/>
    <n v="30541939"/>
    <m/>
    <n v="-5000000"/>
    <s v="Honorario dividendo 3"/>
  </r>
  <r>
    <d v="2025-06-17T00:00:00"/>
    <s v="Traspaso A: Asesorias Ecox Limitada"/>
    <x v="2"/>
    <x v="0"/>
    <m/>
    <n v="25541939"/>
    <m/>
    <n v="-5000000"/>
    <s v="Honorario dividendo 3"/>
  </r>
  <r>
    <d v="2025-06-17T00:00:00"/>
    <s v="Traspaso A: Asesorias Ecox Limitada"/>
    <x v="2"/>
    <x v="0"/>
    <m/>
    <n v="20541939"/>
    <m/>
    <n v="-5000000"/>
    <s v="Honorario dividendo 3"/>
  </r>
  <r>
    <d v="2025-06-17T00:00:00"/>
    <s v="Traspaso A: Asesorias Ecox Limitada"/>
    <x v="2"/>
    <x v="0"/>
    <m/>
    <n v="15541939"/>
    <m/>
    <n v="-5000000"/>
    <s v="Honorario dividendo 3"/>
  </r>
  <r>
    <d v="2025-06-17T00:00:00"/>
    <s v="Traspaso A: Asesorias Ecox Limitada"/>
    <x v="2"/>
    <x v="0"/>
    <m/>
    <n v="10541939"/>
    <m/>
    <n v="-5000000"/>
    <s v="Honorario dividendo 3"/>
  </r>
  <r>
    <d v="2025-06-17T00:00:00"/>
    <s v="Traspaso A: Asesorias Ecox Limitada"/>
    <x v="2"/>
    <x v="0"/>
    <m/>
    <n v="5541939"/>
    <m/>
    <n v="-5000000"/>
    <s v="Honorario dividendo 3"/>
  </r>
  <r>
    <d v="2025-06-18T00:00:00"/>
    <s v="Traspaso De: Cristian Pablo Vidal Suarez"/>
    <x v="1"/>
    <x v="0"/>
    <s v="J5 - CRISTIAN VIDAL SUAREZ"/>
    <n v="541939"/>
    <n v="200000"/>
    <m/>
    <s v="Reserva J5"/>
  </r>
  <r>
    <d v="2025-06-18T00:00:00"/>
    <s v="Traspaso A: Carlos Andres Ocampo Bustos"/>
    <x v="5"/>
    <x v="0"/>
    <m/>
    <n v="741939"/>
    <m/>
    <n v="-24500"/>
    <m/>
  </r>
  <r>
    <d v="2025-06-19T00:00:00"/>
    <s v="Traspaso De: Cristian Pablo Vidal Suarez"/>
    <x v="1"/>
    <x v="0"/>
    <m/>
    <n v="717439"/>
    <n v="1000000"/>
    <m/>
    <m/>
  </r>
  <r>
    <d v="2025-06-19T00:00:00"/>
    <s v="Traspaso De: Cristian Pablo Vidal Suarez"/>
    <x v="1"/>
    <x v="0"/>
    <m/>
    <n v="1717439"/>
    <n v="2000000"/>
    <m/>
    <m/>
  </r>
  <r>
    <d v="2025-06-19T00:00:00"/>
    <s v="Traspaso De: Cristian Pablo Vidal Suarez"/>
    <x v="1"/>
    <x v="0"/>
    <m/>
    <n v="3717439"/>
    <n v="1800000"/>
    <m/>
    <m/>
  </r>
  <r>
    <d v="2025-06-25T00:00:00"/>
    <s v="Traspaso A: Inversionsur Spa"/>
    <x v="2"/>
    <x v="0"/>
    <m/>
    <n v="5517439"/>
    <m/>
    <n v="-1154250"/>
    <s v="Comision venta J5"/>
  </r>
  <r>
    <d v="2025-06-26T00:00:00"/>
    <s v="Traspaso De: Tobar Martinez Armando Luis"/>
    <x v="1"/>
    <x v="0"/>
    <m/>
    <n v="4363189"/>
    <n v="200000"/>
    <m/>
    <s v="Reserva H1"/>
  </r>
  <r>
    <d v="2025-06-27T00:00:00"/>
    <s v="Traspaso A: Carlos Andres Ocampo Bustos"/>
    <x v="5"/>
    <x v="0"/>
    <m/>
    <n v="4563189"/>
    <m/>
    <n v="-24500"/>
    <s v="Solicitud CBR"/>
  </r>
  <r>
    <d v="2025-06-30T00:00:00"/>
    <s v="Traspaso De: Contreras Barra Jaime Rene"/>
    <x v="1"/>
    <x v="0"/>
    <s v="E7 - NATALIA / JAIME CONTRERAS"/>
    <n v="4538689"/>
    <n v="270496"/>
    <m/>
    <s v="Cuota 6/72"/>
  </r>
  <r>
    <d v="2025-06-30T00:00:00"/>
    <s v="Traspaso A: Benjamin Lecaros"/>
    <x v="2"/>
    <x v="0"/>
    <m/>
    <n v="4809185"/>
    <m/>
    <n v="-19730"/>
    <s v="envio documentos"/>
  </r>
  <r>
    <d v="2025-07-01T00:00:00"/>
    <s v="Traspaso A: Asesorias Ecox Limitada"/>
    <x v="2"/>
    <x v="0"/>
    <m/>
    <n v="4789455"/>
    <m/>
    <n v="-100000"/>
    <s v="servicio contable"/>
  </r>
  <r>
    <d v="2025-07-02T00:00:00"/>
    <s v="Traspaso De: Solange Soraya Molina"/>
    <x v="1"/>
    <x v="0"/>
    <s v="O5 - SOLANGE SORAYA"/>
    <n v="4689455"/>
    <n v="409975"/>
    <m/>
    <s v="Cuota 17/60"/>
  </r>
  <r>
    <d v="2025-07-02T00:00:00"/>
    <s v="Traspaso A: Hector Varela Cta Con Capacidad"/>
    <x v="6"/>
    <x v="0"/>
    <m/>
    <n v="5099430"/>
    <m/>
    <n v="-750000"/>
    <m/>
  </r>
  <r>
    <d v="2025-07-02T00:00:00"/>
    <s v="Traspaso A: Hector Varela Cta Con Capacidad"/>
    <x v="2"/>
    <x v="0"/>
    <m/>
    <n v="4349430"/>
    <m/>
    <n v="-208664"/>
    <s v="Reembolsa gastos"/>
  </r>
  <r>
    <d v="2025-07-02T00:00:00"/>
    <s v="Traspaso De: Nicole Vanessa Del Rosario Isamitt Maureira"/>
    <x v="1"/>
    <x v="0"/>
    <s v="H2 - NICOLE VANESSA ISAMITT"/>
    <n v="4140766"/>
    <n v="726490"/>
    <m/>
    <s v="Cuota 4/72"/>
  </r>
  <r>
    <d v="2025-07-03T00:00:00"/>
    <s v="Traspaso De: Viviana Isabel Molina Sotelo"/>
    <x v="1"/>
    <x v="0"/>
    <s v="I1 - VIVANA MOLINA"/>
    <n v="4867256"/>
    <n v="651180"/>
    <m/>
    <s v="Cuota 14/48"/>
  </r>
  <r>
    <d v="2025-07-04T00:00:00"/>
    <s v="Traspaso A: Benjamin Lecaros"/>
    <x v="2"/>
    <x v="0"/>
    <m/>
    <n v="5518436"/>
    <m/>
    <n v="-61152"/>
    <s v="Reembolso publicidad"/>
  </r>
  <r>
    <d v="2025-07-04T00:00:00"/>
    <s v="Traspaso A: Felipe Andres Hiriart Blome"/>
    <x v="2"/>
    <x v="0"/>
    <m/>
    <n v="5457284"/>
    <m/>
    <n v="-600000"/>
    <s v="Gasto en publicidad"/>
  </r>
  <r>
    <d v="2025-07-07T00:00:00"/>
    <s v="Traspaso De: Denis Hernan Varela Castro"/>
    <x v="1"/>
    <x v="0"/>
    <s v="C4 - DENIS HERNAN VARELA"/>
    <n v="4857284"/>
    <n v="416336"/>
    <m/>
    <s v="Cuota 12/72"/>
  </r>
  <r>
    <d v="2025-07-07T00:00:00"/>
    <s v="Traspaso De: Yasna Paola Vidal Meza"/>
    <x v="1"/>
    <x v="0"/>
    <s v="E9 - YASNA PAOLA VIDAL"/>
    <n v="5273620"/>
    <n v="407335"/>
    <m/>
    <s v="Cuota 3/72"/>
  </r>
  <r>
    <d v="2025-07-10T00:00:00"/>
    <s v="Pago En Sii.cl*"/>
    <x v="4"/>
    <x v="0"/>
    <m/>
    <n v="5680955"/>
    <m/>
    <n v="-375593"/>
    <s v="F29"/>
  </r>
  <r>
    <d v="2025-07-11T00:00:00"/>
    <s v="Pago Instituciones Previsionales"/>
    <x v="6"/>
    <x v="0"/>
    <m/>
    <n v="5305362"/>
    <m/>
    <n v="-211780"/>
    <s v="Previred"/>
  </r>
  <r>
    <d v="2025-07-14T00:00:00"/>
    <s v="Traspaso De: Eduardo Enrique Araya Silva"/>
    <x v="1"/>
    <x v="0"/>
    <s v="B6 - EDUARDO ARAYA"/>
    <n v="5093582"/>
    <n v="534396"/>
    <m/>
    <s v="Cuota 15/72"/>
  </r>
  <r>
    <d v="2025-07-15T00:00:00"/>
    <s v="Traspaso A: Carlos Andres Ocampo Bustos"/>
    <x v="5"/>
    <x v="0"/>
    <m/>
    <n v="5627978"/>
    <m/>
    <n v="-66000"/>
    <s v="Servidumbre O1"/>
  </r>
  <r>
    <d v="2025-07-29T00:00:00"/>
    <s v="Traspaso A: Notaria Rieutord"/>
    <x v="5"/>
    <x v="0"/>
    <m/>
    <n v="5561978"/>
    <m/>
    <n v="-90000"/>
    <s v="Servidumbre O1"/>
  </r>
  <r>
    <d v="2025-07-30T00:00:00"/>
    <s v="Traspaso De: Contreras Barra Jaime Rene"/>
    <x v="1"/>
    <x v="0"/>
    <s v="E7 - NATALIA / JAIME CONTRERAS"/>
    <n v="5471978"/>
    <n v="270013"/>
    <m/>
    <s v="Cuota 7/72"/>
  </r>
  <r>
    <d v="2025-07-30T00:00:00"/>
    <s v="Traspaso De: Constructora Burboa Spa"/>
    <x v="1"/>
    <x v="0"/>
    <s v="M5 - EDGARD BURBOA"/>
    <n v="5741991"/>
    <n v="1659834"/>
    <m/>
    <s v="Comienza plan de pago para ponerse al dia con las cuotas Cuota 6 y 7  de 72"/>
  </r>
  <r>
    <d v="2025-07-31T00:00:00"/>
    <s v="Traspaso A: Apr Nontuela Alto"/>
    <x v="2"/>
    <x v="0"/>
    <m/>
    <n v="7401825"/>
    <m/>
    <n v="-150000"/>
    <s v="APR nontuela"/>
  </r>
  <r>
    <d v="2025-07-31T00:00:00"/>
    <s v="Traspaso A 96571220-8 Fmu"/>
    <x v="7"/>
    <x v="0"/>
    <m/>
    <n v="7251825"/>
    <m/>
    <n v="-6000000"/>
    <m/>
  </r>
  <r>
    <d v="2025-08-01T00:00:00"/>
    <s v="Traspaso De: Solange Soraya Molina"/>
    <x v="1"/>
    <x v="0"/>
    <s v="O5 - SOLANGE SORAYA"/>
    <n v="1251825"/>
    <n v="408976"/>
    <m/>
    <s v="Cuota 18/60"/>
  </r>
  <r>
    <d v="2025-08-01T00:00:00"/>
    <s v="Dep.cheq.otros Bancos N° 1271698"/>
    <x v="1"/>
    <x v="0"/>
    <m/>
    <n v="1660801"/>
    <n v="32800000"/>
    <m/>
    <s v="Venta parcela H1 Armando Tobar"/>
  </r>
  <r>
    <d v="2025-08-04T00:00:00"/>
    <s v="Traspaso De: Nicole Vanessa Del Rosario Isamitt Maureira"/>
    <x v="1"/>
    <x v="0"/>
    <s v="H2 - NICOLE VANESSA ISAMITT"/>
    <n v="34460801"/>
    <n v="724437"/>
    <m/>
    <s v="Cuota 5/72"/>
  </r>
  <r>
    <d v="2025-08-04T00:00:00"/>
    <s v="Traspaso A: Benjamin Lecaros"/>
    <x v="2"/>
    <x v="0"/>
    <m/>
    <n v="35185238"/>
    <m/>
    <n v="-855000"/>
    <s v="Asesoria venta H1"/>
  </r>
  <r>
    <d v="2025-08-04T00:00:00"/>
    <s v="Traspaso A 96571220-8 Fmu"/>
    <x v="7"/>
    <x v="0"/>
    <m/>
    <n v="34330238"/>
    <m/>
    <n v="-32000000"/>
    <m/>
  </r>
  <r>
    <d v="2025-08-05T00:00:00"/>
    <s v="Traspaso A: Hector Varela Cta Con Capacidad"/>
    <x v="6"/>
    <x v="0"/>
    <m/>
    <n v="2330238"/>
    <m/>
    <n v="-750000"/>
    <m/>
  </r>
  <r>
    <d v="2025-08-05T00:00:00"/>
    <s v="Traspaso A: Hector Varela Cta Con Capacidad"/>
    <x v="2"/>
    <x v="0"/>
    <m/>
    <n v="1580238"/>
    <m/>
    <n v="-390948"/>
    <s v="Reembolsa gastos (cuenta de luz cara por problema de medidores reventados)"/>
  </r>
  <r>
    <d v="2025-08-05T00:00:00"/>
    <s v="Pago Instituciones Previsionales"/>
    <x v="6"/>
    <x v="0"/>
    <m/>
    <n v="1189290"/>
    <m/>
    <n v="-212703"/>
    <s v="Previred"/>
  </r>
  <r>
    <d v="2025-08-05T00:00:00"/>
    <s v="Traspaso A: Asesorias Ecox Limitada"/>
    <x v="2"/>
    <x v="0"/>
    <m/>
    <n v="976587"/>
    <m/>
    <n v="-100000"/>
    <s v="contabilidad"/>
  </r>
  <r>
    <d v="2025-08-06T00:00:00"/>
    <s v="Traspaso De: Eduardo Enrique Araya Silva"/>
    <x v="1"/>
    <x v="0"/>
    <s v="B6 - EDUARDO ARAYA"/>
    <n v="876587"/>
    <n v="532872"/>
    <m/>
    <s v="Cuota 16/72"/>
  </r>
  <r>
    <d v="2025-08-06T00:00:00"/>
    <s v="Traspaso De: Viviana Isabel Molina Sotelo"/>
    <x v="1"/>
    <x v="0"/>
    <s v="I1 - VIVANA MOLINA"/>
    <n v="1409459"/>
    <n v="649173"/>
    <m/>
    <s v="Cuota 15/48"/>
  </r>
  <r>
    <d v="2025-08-07T00:00:00"/>
    <s v="Pago Servicio En Internet"/>
    <x v="0"/>
    <x v="0"/>
    <m/>
    <n v="2058632"/>
    <m/>
    <n v="-34369"/>
    <m/>
  </r>
  <r>
    <d v="2025-08-08T00:00:00"/>
    <s v="Pago En Sii.cl*"/>
    <x v="0"/>
    <x v="0"/>
    <m/>
    <n v="2024263"/>
    <m/>
    <n v="-13607"/>
    <m/>
  </r>
  <r>
    <d v="2025-08-11T00:00:00"/>
    <s v="Pago En Sii.cl*"/>
    <x v="0"/>
    <x v="0"/>
    <m/>
    <n v="2010656"/>
    <m/>
    <n v="-12689"/>
    <m/>
  </r>
  <r>
    <d v="2025-08-12T00:00:00"/>
    <s v="Traspaso A: Benjamin Lecaros"/>
    <x v="2"/>
    <x v="0"/>
    <m/>
    <n v="1997967"/>
    <m/>
    <n v="-6307"/>
    <m/>
  </r>
  <r>
    <d v="2025-08-12T00:00:00"/>
    <s v="Traspaso A: Benjamin Lecaros"/>
    <x v="2"/>
    <x v="0"/>
    <m/>
    <n v="1991660"/>
    <m/>
    <n v="-59500"/>
    <s v="Reembolso publicidad"/>
  </r>
  <r>
    <d v="2025-08-12T00:00:00"/>
    <s v="Pago En Tesoreria.cl*"/>
    <x v="2"/>
    <x v="0"/>
    <m/>
    <n v="1932160"/>
    <m/>
    <n v="-4600"/>
    <m/>
  </r>
  <r>
    <d v="2025-08-12T00:00:00"/>
    <s v="Aporte A Fondo Mutuo"/>
    <x v="7"/>
    <x v="0"/>
    <m/>
    <n v="1927560"/>
    <m/>
    <n v="-750000"/>
    <m/>
  </r>
  <r>
    <d v="2025-08-12T00:00:00"/>
    <s v="Aporte A Fondo Mutuo"/>
    <x v="7"/>
    <x v="0"/>
    <m/>
    <n v="1177560"/>
    <m/>
    <n v="-750000"/>
    <m/>
  </r>
  <r>
    <d v="2025-08-14T00:00:00"/>
    <s v="Traspaso De: Yasna Paola Vidal Meza"/>
    <x v="1"/>
    <x v="0"/>
    <s v="E9 - YASNA PAOLA VIDAL"/>
    <n v="427560"/>
    <n v="406283"/>
    <m/>
    <s v="Cuota 4/72"/>
  </r>
  <r>
    <d v="2025-08-18T00:00:00"/>
    <s v="Traspaso De: Denis Hernan Varela Castro"/>
    <x v="1"/>
    <x v="0"/>
    <s v="C4 - DENIS HERNAN VARELA"/>
    <n v="833843"/>
    <n v="415891"/>
    <m/>
    <s v="Cuota 13/72"/>
  </r>
  <r>
    <d v="2025-08-19T00:00:00"/>
    <s v="Traspaso De: Cristian Pablo Vidal Suarez"/>
    <x v="1"/>
    <x v="0"/>
    <s v="J5 - CRISTIAN VIDAL SUAREZ"/>
    <n v="1249734"/>
    <n v="999717"/>
    <m/>
    <s v="Cuota 1/12"/>
  </r>
  <r>
    <d v="2025-08-22T00:00:00"/>
    <s v="Traspaso A: Notaria Rieutord"/>
    <x v="5"/>
    <x v="0"/>
    <m/>
    <n v="2249451"/>
    <m/>
    <n v="-25000"/>
    <m/>
  </r>
  <r>
    <d v="2025-08-26T00:00:00"/>
    <s v="Traspaso A: Notaria Rieutord"/>
    <x v="5"/>
    <x v="0"/>
    <m/>
    <n v="2224451"/>
    <m/>
    <n v="-60000"/>
    <m/>
  </r>
  <r>
    <d v="2025-08-26T00:00:00"/>
    <s v="Traspaso A: Juan Carlos Abarca"/>
    <x v="2"/>
    <x v="0"/>
    <m/>
    <n v="2164451"/>
    <m/>
    <n v="-60000"/>
    <m/>
  </r>
  <r>
    <d v="2025-08-27T00:00:00"/>
    <s v="Pago: Proveedores 0795464301"/>
    <x v="1"/>
    <x v="0"/>
    <m/>
    <n v="2104451"/>
    <n v="23551709"/>
    <m/>
    <s v="Parcela F-4 Macal"/>
  </r>
  <r>
    <d v="2025-08-28T00:00:00"/>
    <s v="Traspaso A 96571220-8 Fmu"/>
    <x v="7"/>
    <x v="0"/>
    <m/>
    <n v="25656160"/>
    <m/>
    <n v="-25000000"/>
    <m/>
  </r>
  <r>
    <d v="2025-08-28T00:00:00"/>
    <s v="Traspaso De: Contreras Barra Jaime Rene"/>
    <x v="1"/>
    <x v="0"/>
    <s v="E7 - NATALIA / JAIME CONTRERAS"/>
    <n v="656160"/>
    <n v="271115"/>
    <m/>
    <m/>
  </r>
  <r>
    <d v="2025-09-02T00:00:00"/>
    <s v="Traspaso A: Hector Varela Cta Con Capacidad"/>
    <x v="6"/>
    <x v="0"/>
    <m/>
    <n v="927275"/>
    <m/>
    <n v="-750000"/>
    <m/>
  </r>
  <r>
    <d v="2025-09-02T00:00:00"/>
    <s v="Traspaso De: Futrono Spa"/>
    <x v="0"/>
    <x v="0"/>
    <m/>
    <n v="177275"/>
    <n v="568757"/>
    <m/>
    <m/>
  </r>
  <r>
    <d v="2025-09-02T00:00:00"/>
    <s v="Traspaso A: Hector Varela Cta Con Capacidad"/>
    <x v="2"/>
    <x v="0"/>
    <m/>
    <n v="746032"/>
    <m/>
    <n v="-445250"/>
    <s v="Reembolsa gastos"/>
  </r>
  <r>
    <d v="2025-09-02T00:00:00"/>
    <s v="Traspaso A: Notaria Rieutord"/>
    <x v="5"/>
    <x v="0"/>
    <m/>
    <n v="300782"/>
    <m/>
    <n v="-220000"/>
    <s v="Escritura CV Los Robles - Futrono"/>
  </r>
  <r>
    <d v="2025-09-02T00:00:00"/>
    <s v="Traspaso De: Solange Soraya Molina"/>
    <x v="1"/>
    <x v="0"/>
    <s v="O5 - SOLANGE SORAYA"/>
    <n v="80782"/>
    <n v="411397"/>
    <m/>
    <m/>
  </r>
  <r>
    <d v="2025-09-03T00:00:00"/>
    <s v="Pago: Inversiones 0965712208"/>
    <x v="7"/>
    <x v="0"/>
    <m/>
    <n v="492179"/>
    <n v="64630462"/>
    <m/>
    <m/>
  </r>
  <r>
    <d v="2025-09-03T00:00:00"/>
    <s v="Traspaso A: Futrono Spa"/>
    <x v="3"/>
    <x v="1"/>
    <m/>
    <n v="65122641"/>
    <m/>
    <n v="-1000000"/>
    <m/>
  </r>
  <r>
    <d v="2025-09-04T00:00:00"/>
    <s v="Traspaso De: Nicole Vanessa Del Rosario Isamitt Maureira"/>
    <x v="1"/>
    <x v="0"/>
    <s v="H2 - NICOLE VANESSA ISAMITT"/>
    <n v="64122641"/>
    <n v="729219"/>
    <m/>
    <m/>
  </r>
  <r>
    <d v="2025-09-04T00:00:00"/>
    <s v="Traspaso A: Futrono Spa"/>
    <x v="3"/>
    <x v="1"/>
    <m/>
    <n v="64851860"/>
    <m/>
    <n v="-5000000"/>
    <m/>
  </r>
  <r>
    <d v="2025-09-04T00:00:00"/>
    <s v="Traspaso A: Futrono Spa"/>
    <x v="3"/>
    <x v="1"/>
    <m/>
    <n v="59851860"/>
    <m/>
    <n v="-5000000"/>
    <m/>
  </r>
  <r>
    <d v="2025-09-04T00:00:00"/>
    <s v="Traspaso A: Futrono Spa"/>
    <x v="3"/>
    <x v="1"/>
    <m/>
    <n v="54851860"/>
    <m/>
    <n v="-5000000"/>
    <m/>
  </r>
  <r>
    <d v="2025-09-04T00:00:00"/>
    <s v="Traspaso A: Futrono Spa"/>
    <x v="3"/>
    <x v="1"/>
    <m/>
    <n v="49851860"/>
    <m/>
    <n v="-5000000"/>
    <m/>
  </r>
  <r>
    <d v="2025-09-04T00:00:00"/>
    <s v="Traspaso A: Futrono Spa"/>
    <x v="3"/>
    <x v="1"/>
    <m/>
    <n v="44851860"/>
    <m/>
    <n v="-5000000"/>
    <m/>
  </r>
  <r>
    <d v="2025-09-04T00:00:00"/>
    <s v="Traspaso A: Futrono Spa"/>
    <x v="3"/>
    <x v="1"/>
    <m/>
    <n v="39851860"/>
    <m/>
    <n v="-5000000"/>
    <m/>
  </r>
  <r>
    <d v="2025-09-04T00:00:00"/>
    <s v="Traspaso A: Futrono Spa"/>
    <x v="3"/>
    <x v="1"/>
    <m/>
    <n v="34851860"/>
    <m/>
    <n v="-5000000"/>
    <m/>
  </r>
  <r>
    <d v="2025-09-04T00:00:00"/>
    <s v="Traspaso A: Futrono Spa"/>
    <x v="3"/>
    <x v="1"/>
    <m/>
    <n v="29851860"/>
    <m/>
    <n v="-5000000"/>
    <m/>
  </r>
  <r>
    <d v="2025-09-04T00:00:00"/>
    <s v="Traspaso A: Asesorias Ecox Limitada"/>
    <x v="0"/>
    <x v="0"/>
    <m/>
    <n v="24851860"/>
    <m/>
    <n v="-3750000"/>
    <s v="Honorarios dividendo 5"/>
  </r>
  <r>
    <d v="2025-09-04T00:00:00"/>
    <s v="Traspaso A: Asesorias Ecox Limitada"/>
    <x v="0"/>
    <x v="0"/>
    <m/>
    <n v="21101860"/>
    <m/>
    <n v="-5000000"/>
    <s v="Honorarios dividendo 5"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n v="16101860"/>
    <m/>
    <m/>
    <m/>
  </r>
  <r>
    <m/>
    <m/>
    <x v="0"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FBA61-5D34-4DFC-8DFF-F878FB41F63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D19" firstHeaderRow="0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6" baseField="0" baseItem="0"/>
    <dataField name="Sum of GIROS" fld="7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0B74B-351A-4D5E-A67A-54C2EFA650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2" firstHeaderRow="0" firstDataRow="1" firstDataCol="1"/>
  <pivotFields count="9">
    <pivotField showAll="0"/>
    <pivotField showAll="0"/>
    <pivotField axis="axisRow" showAll="0">
      <items count="9">
        <item x="7"/>
        <item x="2"/>
        <item x="4"/>
        <item x="5"/>
        <item x="3"/>
        <item x="6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6" baseField="0" baseItem="0"/>
    <dataField name="Sum of GIROS" fld="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B17A59-AF6C-48F0-907F-CEAA0B2FCA8E}" name="Table24" displayName="Table24" ref="C1:C21" totalsRowShown="0">
  <autoFilter ref="C1:C21" xr:uid="{B2B17A59-AF6C-48F0-907F-CEAA0B2FCA8E}"/>
  <tableColumns count="1">
    <tableColumn id="1" xr3:uid="{D2CD608D-B889-4507-B03E-F78EFF712635}" name="PARCE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2"/>
  <sheetViews>
    <sheetView tabSelected="1" topLeftCell="A176" workbookViewId="0">
      <selection activeCell="E184" sqref="E184"/>
    </sheetView>
  </sheetViews>
  <sheetFormatPr defaultRowHeight="14.4" x14ac:dyDescent="0.3"/>
  <cols>
    <col min="1" max="1" width="12" style="4" customWidth="1"/>
    <col min="2" max="2" width="43.33203125" bestFit="1" customWidth="1"/>
    <col min="3" max="3" width="18.33203125" bestFit="1" customWidth="1"/>
    <col min="4" max="4" width="9.33203125" bestFit="1" customWidth="1"/>
    <col min="5" max="5" width="25.109375" bestFit="1" customWidth="1"/>
    <col min="6" max="8" width="17.33203125" style="6" customWidth="1"/>
    <col min="9" max="9" width="56.6640625" customWidth="1"/>
  </cols>
  <sheetData>
    <row r="1" spans="1:28" ht="18" thickBot="1" x14ac:dyDescent="0.35">
      <c r="A1" s="3" t="s">
        <v>7</v>
      </c>
      <c r="B1" s="1" t="s">
        <v>0</v>
      </c>
      <c r="C1" s="1" t="s">
        <v>1</v>
      </c>
      <c r="D1" s="1" t="s">
        <v>2</v>
      </c>
      <c r="E1" s="1" t="s">
        <v>39</v>
      </c>
      <c r="F1" s="5" t="s">
        <v>3</v>
      </c>
      <c r="G1" s="5" t="s">
        <v>4</v>
      </c>
      <c r="H1" s="5" t="s">
        <v>5</v>
      </c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">
      <c r="A2" s="4">
        <v>46023</v>
      </c>
      <c r="B2" t="s">
        <v>8</v>
      </c>
      <c r="F2" s="6">
        <v>2346606</v>
      </c>
    </row>
    <row r="3" spans="1:28" x14ac:dyDescent="0.3">
      <c r="A3" s="4">
        <v>46024</v>
      </c>
      <c r="B3" t="s">
        <v>75</v>
      </c>
      <c r="C3" t="s">
        <v>12</v>
      </c>
      <c r="E3" t="s">
        <v>70</v>
      </c>
      <c r="F3" s="6">
        <f>+F2+G2+H2</f>
        <v>2346606</v>
      </c>
      <c r="G3" s="6">
        <v>350000</v>
      </c>
      <c r="I3" t="s">
        <v>80</v>
      </c>
    </row>
    <row r="4" spans="1:28" x14ac:dyDescent="0.3">
      <c r="A4" s="4">
        <v>46024</v>
      </c>
      <c r="B4" t="s">
        <v>76</v>
      </c>
      <c r="C4" t="s">
        <v>12</v>
      </c>
      <c r="E4" t="s">
        <v>70</v>
      </c>
      <c r="F4" s="6">
        <f t="shared" ref="F4:F67" si="0">+F3+G3+H3</f>
        <v>2696606</v>
      </c>
      <c r="G4" s="6">
        <v>224014</v>
      </c>
      <c r="I4" t="s">
        <v>79</v>
      </c>
    </row>
    <row r="5" spans="1:28" x14ac:dyDescent="0.3">
      <c r="A5" s="4">
        <v>46027</v>
      </c>
      <c r="B5" t="s">
        <v>69</v>
      </c>
      <c r="C5" t="s">
        <v>12</v>
      </c>
      <c r="E5" t="s">
        <v>74</v>
      </c>
      <c r="F5" s="6">
        <f t="shared" si="0"/>
        <v>2920620</v>
      </c>
      <c r="G5" s="6">
        <v>338178</v>
      </c>
      <c r="I5" t="s">
        <v>84</v>
      </c>
    </row>
    <row r="6" spans="1:28" x14ac:dyDescent="0.3">
      <c r="A6" s="4">
        <v>46027</v>
      </c>
      <c r="B6" t="s">
        <v>36</v>
      </c>
      <c r="C6" t="s">
        <v>9</v>
      </c>
      <c r="F6" s="6">
        <f t="shared" si="0"/>
        <v>3258798</v>
      </c>
      <c r="H6" s="6">
        <v>-100000</v>
      </c>
      <c r="I6" t="s">
        <v>77</v>
      </c>
    </row>
    <row r="7" spans="1:28" x14ac:dyDescent="0.3">
      <c r="A7" s="4">
        <v>46027</v>
      </c>
      <c r="B7" t="s">
        <v>38</v>
      </c>
      <c r="C7" t="s">
        <v>9</v>
      </c>
      <c r="F7" s="6">
        <f t="shared" si="0"/>
        <v>3158798</v>
      </c>
      <c r="H7" s="6">
        <v>-700000</v>
      </c>
      <c r="I7" t="s">
        <v>78</v>
      </c>
    </row>
    <row r="8" spans="1:28" x14ac:dyDescent="0.3">
      <c r="A8" s="4">
        <v>46027</v>
      </c>
      <c r="B8" t="s">
        <v>49</v>
      </c>
      <c r="C8" t="s">
        <v>12</v>
      </c>
      <c r="E8" t="s">
        <v>40</v>
      </c>
      <c r="F8" s="6">
        <f t="shared" si="0"/>
        <v>2458798</v>
      </c>
      <c r="G8" s="6">
        <v>540956</v>
      </c>
      <c r="I8" t="s">
        <v>81</v>
      </c>
    </row>
    <row r="9" spans="1:28" x14ac:dyDescent="0.3">
      <c r="A9" s="4">
        <v>46027</v>
      </c>
      <c r="B9" t="s">
        <v>56</v>
      </c>
      <c r="C9" t="s">
        <v>13</v>
      </c>
      <c r="F9" s="6">
        <f t="shared" si="0"/>
        <v>2999754</v>
      </c>
      <c r="G9" s="7"/>
      <c r="H9" s="7">
        <v>-750000</v>
      </c>
    </row>
    <row r="10" spans="1:28" x14ac:dyDescent="0.3">
      <c r="A10" s="4">
        <v>46027</v>
      </c>
      <c r="B10" t="s">
        <v>56</v>
      </c>
      <c r="C10" t="s">
        <v>9</v>
      </c>
      <c r="F10" s="6">
        <f t="shared" si="0"/>
        <v>2249754</v>
      </c>
      <c r="H10" s="6">
        <v>-357952</v>
      </c>
      <c r="I10" t="s">
        <v>60</v>
      </c>
    </row>
    <row r="11" spans="1:28" x14ac:dyDescent="0.3">
      <c r="A11" s="4">
        <v>46027</v>
      </c>
      <c r="B11" t="s">
        <v>59</v>
      </c>
      <c r="C11" t="s">
        <v>16</v>
      </c>
      <c r="F11" s="6">
        <f t="shared" si="0"/>
        <v>1891802</v>
      </c>
      <c r="H11" s="6">
        <v>-1000000</v>
      </c>
    </row>
    <row r="12" spans="1:28" x14ac:dyDescent="0.3">
      <c r="A12" s="4">
        <v>46028</v>
      </c>
      <c r="B12" t="s">
        <v>58</v>
      </c>
      <c r="C12" t="s">
        <v>13</v>
      </c>
      <c r="F12" s="6">
        <f t="shared" si="0"/>
        <v>891802</v>
      </c>
      <c r="H12" s="6">
        <v>-218335</v>
      </c>
      <c r="I12" t="s">
        <v>61</v>
      </c>
    </row>
    <row r="13" spans="1:28" x14ac:dyDescent="0.3">
      <c r="A13" s="4">
        <v>46028</v>
      </c>
      <c r="B13" t="s">
        <v>37</v>
      </c>
      <c r="C13" t="s">
        <v>9</v>
      </c>
      <c r="F13" s="6">
        <f t="shared" si="0"/>
        <v>673467</v>
      </c>
      <c r="H13" s="6">
        <v>-34753</v>
      </c>
      <c r="I13" t="s">
        <v>67</v>
      </c>
    </row>
    <row r="14" spans="1:28" x14ac:dyDescent="0.3">
      <c r="A14" s="4">
        <v>46028</v>
      </c>
      <c r="B14" t="s">
        <v>50</v>
      </c>
      <c r="C14" t="s">
        <v>12</v>
      </c>
      <c r="E14" t="s">
        <v>51</v>
      </c>
      <c r="F14" s="6">
        <f t="shared" si="0"/>
        <v>638714</v>
      </c>
      <c r="G14" s="6">
        <v>735322</v>
      </c>
      <c r="I14" t="s">
        <v>53</v>
      </c>
    </row>
    <row r="15" spans="1:28" x14ac:dyDescent="0.3">
      <c r="A15" s="4">
        <v>46028</v>
      </c>
      <c r="B15" t="s">
        <v>35</v>
      </c>
      <c r="C15" t="s">
        <v>12</v>
      </c>
      <c r="E15" t="s">
        <v>43</v>
      </c>
      <c r="F15" s="6">
        <f t="shared" si="0"/>
        <v>1374036</v>
      </c>
      <c r="G15" s="6">
        <v>659005</v>
      </c>
      <c r="I15" t="s">
        <v>83</v>
      </c>
    </row>
    <row r="16" spans="1:28" x14ac:dyDescent="0.3">
      <c r="A16" s="4">
        <v>46028</v>
      </c>
      <c r="B16" t="s">
        <v>68</v>
      </c>
      <c r="C16" t="s">
        <v>12</v>
      </c>
      <c r="E16" t="s">
        <v>73</v>
      </c>
      <c r="F16" s="6">
        <f t="shared" si="0"/>
        <v>2033041</v>
      </c>
      <c r="G16" s="6">
        <v>563272</v>
      </c>
      <c r="I16" t="s">
        <v>82</v>
      </c>
    </row>
    <row r="17" spans="1:9" x14ac:dyDescent="0.3">
      <c r="A17" s="4">
        <v>46030</v>
      </c>
      <c r="B17" t="s">
        <v>38</v>
      </c>
      <c r="C17" t="s">
        <v>9</v>
      </c>
      <c r="F17" s="6">
        <f t="shared" si="0"/>
        <v>2596313</v>
      </c>
      <c r="H17" s="6">
        <v>-9191</v>
      </c>
      <c r="I17" t="s">
        <v>96</v>
      </c>
    </row>
    <row r="18" spans="1:9" x14ac:dyDescent="0.3">
      <c r="A18" s="4">
        <v>46031</v>
      </c>
      <c r="B18" t="s">
        <v>85</v>
      </c>
      <c r="C18" t="s">
        <v>12</v>
      </c>
      <c r="E18" t="s">
        <v>71</v>
      </c>
      <c r="F18" s="6">
        <f t="shared" si="0"/>
        <v>2587122</v>
      </c>
      <c r="G18" s="6">
        <v>574568</v>
      </c>
      <c r="I18" t="s">
        <v>103</v>
      </c>
    </row>
    <row r="19" spans="1:9" x14ac:dyDescent="0.3">
      <c r="A19" s="4">
        <v>46034</v>
      </c>
      <c r="B19" t="s">
        <v>86</v>
      </c>
      <c r="C19" t="s">
        <v>9</v>
      </c>
      <c r="F19" s="6">
        <f t="shared" si="0"/>
        <v>3161690</v>
      </c>
      <c r="H19" s="6">
        <v>-17385</v>
      </c>
    </row>
    <row r="20" spans="1:9" x14ac:dyDescent="0.3">
      <c r="A20" s="4">
        <v>46036</v>
      </c>
      <c r="B20" t="s">
        <v>75</v>
      </c>
      <c r="C20" t="s">
        <v>12</v>
      </c>
      <c r="E20" t="s">
        <v>70</v>
      </c>
      <c r="F20" s="6">
        <f t="shared" si="0"/>
        <v>3144305</v>
      </c>
      <c r="G20" s="6">
        <v>1148766</v>
      </c>
      <c r="I20" t="s">
        <v>101</v>
      </c>
    </row>
    <row r="21" spans="1:9" x14ac:dyDescent="0.3">
      <c r="A21" s="4">
        <v>46042</v>
      </c>
      <c r="B21" t="s">
        <v>87</v>
      </c>
      <c r="C21" t="s">
        <v>12</v>
      </c>
      <c r="F21" s="6">
        <f t="shared" si="0"/>
        <v>4293071</v>
      </c>
      <c r="G21" s="6">
        <v>200000</v>
      </c>
      <c r="I21" t="s">
        <v>97</v>
      </c>
    </row>
    <row r="22" spans="1:9" x14ac:dyDescent="0.3">
      <c r="A22" s="4">
        <v>46042</v>
      </c>
      <c r="B22" t="s">
        <v>50</v>
      </c>
      <c r="C22" t="s">
        <v>15</v>
      </c>
      <c r="F22" s="6">
        <f t="shared" si="0"/>
        <v>4493071</v>
      </c>
      <c r="G22" s="6">
        <v>425020</v>
      </c>
      <c r="I22" t="s">
        <v>99</v>
      </c>
    </row>
    <row r="23" spans="1:9" x14ac:dyDescent="0.3">
      <c r="A23" s="4">
        <v>46043</v>
      </c>
      <c r="B23" t="s">
        <v>88</v>
      </c>
      <c r="C23" t="s">
        <v>15</v>
      </c>
      <c r="F23" s="6">
        <f t="shared" si="0"/>
        <v>4918091</v>
      </c>
      <c r="H23" s="6">
        <v>-425020</v>
      </c>
      <c r="I23" t="s">
        <v>100</v>
      </c>
    </row>
    <row r="24" spans="1:9" x14ac:dyDescent="0.3">
      <c r="A24" s="4">
        <v>46048</v>
      </c>
      <c r="B24" t="s">
        <v>89</v>
      </c>
      <c r="C24" t="s">
        <v>12</v>
      </c>
      <c r="E24" t="s">
        <v>94</v>
      </c>
      <c r="F24" s="6">
        <f t="shared" si="0"/>
        <v>4493071</v>
      </c>
      <c r="G24" s="6">
        <v>200000</v>
      </c>
      <c r="I24" t="s">
        <v>98</v>
      </c>
    </row>
    <row r="25" spans="1:9" x14ac:dyDescent="0.3">
      <c r="A25" s="4">
        <v>46050</v>
      </c>
      <c r="B25" t="s">
        <v>90</v>
      </c>
      <c r="C25" t="s">
        <v>12</v>
      </c>
      <c r="E25" t="s">
        <v>57</v>
      </c>
      <c r="F25" s="6">
        <f t="shared" si="0"/>
        <v>4693071</v>
      </c>
      <c r="G25" s="6">
        <v>1011972</v>
      </c>
      <c r="I25" t="s">
        <v>105</v>
      </c>
    </row>
    <row r="26" spans="1:9" x14ac:dyDescent="0.3">
      <c r="A26" s="4">
        <v>46050</v>
      </c>
      <c r="B26" t="s">
        <v>38</v>
      </c>
      <c r="C26" t="s">
        <v>9</v>
      </c>
      <c r="F26" s="6">
        <f t="shared" si="0"/>
        <v>5705043</v>
      </c>
      <c r="H26" s="6">
        <v>-500000</v>
      </c>
      <c r="I26" t="s">
        <v>78</v>
      </c>
    </row>
    <row r="27" spans="1:9" x14ac:dyDescent="0.3">
      <c r="A27" s="4">
        <v>46051</v>
      </c>
      <c r="B27" t="s">
        <v>91</v>
      </c>
      <c r="C27" t="s">
        <v>12</v>
      </c>
      <c r="E27" t="s">
        <v>47</v>
      </c>
      <c r="F27" s="6">
        <f t="shared" si="0"/>
        <v>5205043</v>
      </c>
      <c r="G27" s="6">
        <v>414584</v>
      </c>
      <c r="I27" t="s">
        <v>106</v>
      </c>
    </row>
    <row r="28" spans="1:9" x14ac:dyDescent="0.3">
      <c r="A28" s="4">
        <v>46051</v>
      </c>
      <c r="B28" t="s">
        <v>92</v>
      </c>
      <c r="C28" t="s">
        <v>12</v>
      </c>
      <c r="E28" t="s">
        <v>55</v>
      </c>
      <c r="F28" s="6">
        <f t="shared" si="0"/>
        <v>5619627</v>
      </c>
      <c r="G28" s="6">
        <v>273610</v>
      </c>
      <c r="I28" t="s">
        <v>107</v>
      </c>
    </row>
    <row r="29" spans="1:9" x14ac:dyDescent="0.3">
      <c r="A29" s="4">
        <v>46051</v>
      </c>
      <c r="B29" t="s">
        <v>93</v>
      </c>
      <c r="C29" t="s">
        <v>12</v>
      </c>
      <c r="E29" t="s">
        <v>72</v>
      </c>
      <c r="F29" s="6">
        <f t="shared" si="0"/>
        <v>5893237</v>
      </c>
      <c r="G29" s="6">
        <v>739025</v>
      </c>
      <c r="I29" t="s">
        <v>104</v>
      </c>
    </row>
    <row r="30" spans="1:9" x14ac:dyDescent="0.3">
      <c r="A30" s="4">
        <v>46055</v>
      </c>
      <c r="B30" t="s">
        <v>75</v>
      </c>
      <c r="C30" t="s">
        <v>12</v>
      </c>
      <c r="E30" t="s">
        <v>70</v>
      </c>
      <c r="F30" s="6">
        <f t="shared" si="0"/>
        <v>6632262</v>
      </c>
      <c r="G30" s="6">
        <v>573790</v>
      </c>
      <c r="I30" t="s">
        <v>102</v>
      </c>
    </row>
    <row r="31" spans="1:9" x14ac:dyDescent="0.3">
      <c r="A31" s="4">
        <v>46055</v>
      </c>
      <c r="B31" t="s">
        <v>89</v>
      </c>
      <c r="C31" t="s">
        <v>12</v>
      </c>
      <c r="E31" t="s">
        <v>94</v>
      </c>
      <c r="F31" s="6">
        <f t="shared" si="0"/>
        <v>7206052</v>
      </c>
      <c r="G31" s="6">
        <v>4800000</v>
      </c>
      <c r="I31" t="s">
        <v>95</v>
      </c>
    </row>
    <row r="32" spans="1:9" x14ac:dyDescent="0.3">
      <c r="A32" s="4">
        <v>46056</v>
      </c>
      <c r="B32" t="s">
        <v>49</v>
      </c>
      <c r="C32" t="s">
        <v>12</v>
      </c>
      <c r="E32" t="s">
        <v>40</v>
      </c>
      <c r="F32" s="6">
        <f t="shared" si="0"/>
        <v>12006052</v>
      </c>
      <c r="G32" s="6">
        <v>540317</v>
      </c>
      <c r="I32" t="s">
        <v>148</v>
      </c>
    </row>
    <row r="33" spans="1:9" x14ac:dyDescent="0.3">
      <c r="A33" s="4">
        <v>46056</v>
      </c>
      <c r="B33" t="s">
        <v>56</v>
      </c>
      <c r="C33" t="s">
        <v>13</v>
      </c>
      <c r="F33" s="6">
        <f t="shared" si="0"/>
        <v>12546369</v>
      </c>
      <c r="H33" s="6">
        <v>-3138930</v>
      </c>
    </row>
    <row r="34" spans="1:9" x14ac:dyDescent="0.3">
      <c r="A34" s="4">
        <v>46056</v>
      </c>
      <c r="B34" t="s">
        <v>108</v>
      </c>
      <c r="C34" t="s">
        <v>9</v>
      </c>
      <c r="F34" s="6">
        <f t="shared" si="0"/>
        <v>9407439</v>
      </c>
      <c r="H34" s="6">
        <v>-2000000</v>
      </c>
      <c r="I34" t="s">
        <v>119</v>
      </c>
    </row>
    <row r="35" spans="1:9" x14ac:dyDescent="0.3">
      <c r="A35" s="4">
        <v>46057</v>
      </c>
      <c r="B35" t="s">
        <v>50</v>
      </c>
      <c r="C35" t="s">
        <v>12</v>
      </c>
      <c r="E35" t="s">
        <v>51</v>
      </c>
      <c r="F35" s="6">
        <f t="shared" si="0"/>
        <v>7407439</v>
      </c>
      <c r="G35" s="6">
        <v>734372</v>
      </c>
      <c r="I35" t="s">
        <v>155</v>
      </c>
    </row>
    <row r="36" spans="1:9" x14ac:dyDescent="0.3">
      <c r="A36" s="4">
        <v>46058</v>
      </c>
      <c r="B36" t="s">
        <v>109</v>
      </c>
      <c r="C36" t="s">
        <v>12</v>
      </c>
      <c r="F36" s="6">
        <f t="shared" si="0"/>
        <v>8141811</v>
      </c>
      <c r="G36" s="6">
        <v>200000</v>
      </c>
      <c r="I36" t="s">
        <v>120</v>
      </c>
    </row>
    <row r="37" spans="1:9" x14ac:dyDescent="0.3">
      <c r="A37" s="4">
        <v>46058</v>
      </c>
      <c r="B37" t="s">
        <v>59</v>
      </c>
      <c r="C37" t="s">
        <v>16</v>
      </c>
      <c r="F37" s="6">
        <f t="shared" si="0"/>
        <v>8341811</v>
      </c>
      <c r="H37" s="6">
        <v>-7500000</v>
      </c>
    </row>
    <row r="38" spans="1:9" x14ac:dyDescent="0.3">
      <c r="A38" s="4">
        <v>46058</v>
      </c>
      <c r="B38" t="s">
        <v>36</v>
      </c>
      <c r="C38" t="s">
        <v>9</v>
      </c>
      <c r="F38" s="6">
        <f t="shared" si="0"/>
        <v>841811</v>
      </c>
      <c r="H38" s="6">
        <v>-100000</v>
      </c>
      <c r="I38" t="s">
        <v>77</v>
      </c>
    </row>
    <row r="39" spans="1:9" x14ac:dyDescent="0.3">
      <c r="A39" s="4">
        <v>46059</v>
      </c>
      <c r="B39" t="s">
        <v>110</v>
      </c>
      <c r="C39" t="s">
        <v>16</v>
      </c>
      <c r="F39" s="6">
        <f t="shared" si="0"/>
        <v>741811</v>
      </c>
      <c r="G39" s="6">
        <v>600000</v>
      </c>
    </row>
    <row r="40" spans="1:9" x14ac:dyDescent="0.3">
      <c r="A40" s="4">
        <v>46059</v>
      </c>
      <c r="B40" t="s">
        <v>58</v>
      </c>
      <c r="C40" t="s">
        <v>13</v>
      </c>
      <c r="F40" s="6">
        <f t="shared" si="0"/>
        <v>1341811</v>
      </c>
      <c r="H40" s="6">
        <v>-857459</v>
      </c>
    </row>
    <row r="41" spans="1:9" x14ac:dyDescent="0.3">
      <c r="A41" s="4">
        <v>46059</v>
      </c>
      <c r="B41" t="s">
        <v>35</v>
      </c>
      <c r="C41" t="s">
        <v>12</v>
      </c>
      <c r="E41" t="s">
        <v>43</v>
      </c>
      <c r="F41" s="6">
        <f t="shared" si="0"/>
        <v>484352</v>
      </c>
      <c r="G41" s="6">
        <v>658077</v>
      </c>
      <c r="I41" t="s">
        <v>157</v>
      </c>
    </row>
    <row r="42" spans="1:9" x14ac:dyDescent="0.3">
      <c r="A42" s="4">
        <v>46062</v>
      </c>
      <c r="B42" t="s">
        <v>68</v>
      </c>
      <c r="C42" t="s">
        <v>12</v>
      </c>
      <c r="E42" t="s">
        <v>73</v>
      </c>
      <c r="F42" s="6">
        <f t="shared" si="0"/>
        <v>1142429</v>
      </c>
      <c r="G42" s="6">
        <v>562421</v>
      </c>
      <c r="I42" t="s">
        <v>150</v>
      </c>
    </row>
    <row r="43" spans="1:9" x14ac:dyDescent="0.3">
      <c r="A43" s="4">
        <v>46062</v>
      </c>
      <c r="B43" t="s">
        <v>69</v>
      </c>
      <c r="C43" t="s">
        <v>12</v>
      </c>
      <c r="E43" t="s">
        <v>74</v>
      </c>
      <c r="F43" s="6">
        <f t="shared" si="0"/>
        <v>1704850</v>
      </c>
      <c r="G43" s="6">
        <v>337745</v>
      </c>
      <c r="I43" t="s">
        <v>159</v>
      </c>
    </row>
    <row r="44" spans="1:9" x14ac:dyDescent="0.3">
      <c r="A44" s="4">
        <v>46062</v>
      </c>
      <c r="B44" t="s">
        <v>86</v>
      </c>
      <c r="C44" t="s">
        <v>9</v>
      </c>
      <c r="F44" s="6">
        <f t="shared" si="0"/>
        <v>2042595</v>
      </c>
      <c r="H44" s="6">
        <v>-150997</v>
      </c>
      <c r="I44" t="s">
        <v>121</v>
      </c>
    </row>
    <row r="45" spans="1:9" x14ac:dyDescent="0.3">
      <c r="A45" s="4">
        <v>46062</v>
      </c>
      <c r="B45" t="s">
        <v>56</v>
      </c>
      <c r="C45" t="s">
        <v>9</v>
      </c>
      <c r="F45" s="6">
        <f t="shared" si="0"/>
        <v>1891598</v>
      </c>
      <c r="H45" s="6">
        <v>-274840</v>
      </c>
      <c r="I45" t="s">
        <v>60</v>
      </c>
    </row>
    <row r="46" spans="1:9" x14ac:dyDescent="0.3">
      <c r="A46" s="4">
        <v>46062</v>
      </c>
      <c r="B46" t="s">
        <v>111</v>
      </c>
      <c r="C46" t="s">
        <v>16</v>
      </c>
      <c r="F46" s="6">
        <f t="shared" si="0"/>
        <v>1616758</v>
      </c>
      <c r="H46" s="6">
        <v>-900000</v>
      </c>
    </row>
    <row r="47" spans="1:9" x14ac:dyDescent="0.3">
      <c r="A47" s="4">
        <v>46066</v>
      </c>
      <c r="B47" t="s">
        <v>112</v>
      </c>
      <c r="C47" t="s">
        <v>12</v>
      </c>
      <c r="F47" s="6">
        <f t="shared" si="0"/>
        <v>716758</v>
      </c>
      <c r="G47" s="6">
        <v>21545545</v>
      </c>
      <c r="I47" t="s">
        <v>122</v>
      </c>
    </row>
    <row r="48" spans="1:9" x14ac:dyDescent="0.3">
      <c r="A48" s="4">
        <v>46069</v>
      </c>
      <c r="B48" t="s">
        <v>38</v>
      </c>
      <c r="C48" t="s">
        <v>9</v>
      </c>
      <c r="F48" s="6">
        <f t="shared" si="0"/>
        <v>22262303</v>
      </c>
      <c r="H48" s="6">
        <v>-700000</v>
      </c>
      <c r="I48" t="s">
        <v>78</v>
      </c>
    </row>
    <row r="49" spans="1:9" x14ac:dyDescent="0.3">
      <c r="A49" s="4">
        <v>46069</v>
      </c>
      <c r="B49" t="s">
        <v>59</v>
      </c>
      <c r="C49" t="s">
        <v>16</v>
      </c>
      <c r="F49" s="6">
        <f t="shared" si="0"/>
        <v>21562303</v>
      </c>
      <c r="H49" s="6">
        <v>-21000000</v>
      </c>
    </row>
    <row r="50" spans="1:9" x14ac:dyDescent="0.3">
      <c r="A50" s="4">
        <v>46078</v>
      </c>
      <c r="B50" t="s">
        <v>85</v>
      </c>
      <c r="C50" t="s">
        <v>12</v>
      </c>
      <c r="E50" t="s">
        <v>71</v>
      </c>
      <c r="F50" s="6">
        <f t="shared" si="0"/>
        <v>562303</v>
      </c>
      <c r="G50" s="6">
        <v>574728</v>
      </c>
      <c r="I50" t="s">
        <v>145</v>
      </c>
    </row>
    <row r="51" spans="1:9" x14ac:dyDescent="0.3">
      <c r="A51" s="4">
        <v>46079</v>
      </c>
      <c r="B51" t="s">
        <v>91</v>
      </c>
      <c r="C51" t="s">
        <v>12</v>
      </c>
      <c r="E51" t="s">
        <v>47</v>
      </c>
      <c r="F51" s="6">
        <f t="shared" si="0"/>
        <v>1137031</v>
      </c>
      <c r="G51" s="6">
        <v>415295</v>
      </c>
      <c r="I51" t="s">
        <v>163</v>
      </c>
    </row>
    <row r="52" spans="1:9" x14ac:dyDescent="0.3">
      <c r="A52" s="4">
        <v>46080</v>
      </c>
      <c r="B52" t="s">
        <v>92</v>
      </c>
      <c r="C52" t="s">
        <v>12</v>
      </c>
      <c r="E52" t="s">
        <v>55</v>
      </c>
      <c r="F52" s="6">
        <f t="shared" si="0"/>
        <v>1552326</v>
      </c>
      <c r="G52" s="6">
        <v>274120</v>
      </c>
      <c r="I52" t="s">
        <v>152</v>
      </c>
    </row>
    <row r="53" spans="1:9" x14ac:dyDescent="0.3">
      <c r="A53" s="4">
        <v>46080</v>
      </c>
      <c r="B53" t="s">
        <v>113</v>
      </c>
      <c r="C53" t="s">
        <v>12</v>
      </c>
      <c r="F53" s="6">
        <f t="shared" si="0"/>
        <v>1826446</v>
      </c>
      <c r="H53" s="6">
        <v>-200000</v>
      </c>
      <c r="I53" t="s">
        <v>123</v>
      </c>
    </row>
    <row r="54" spans="1:9" x14ac:dyDescent="0.3">
      <c r="A54" s="4">
        <v>46080</v>
      </c>
      <c r="B54" t="s">
        <v>75</v>
      </c>
      <c r="C54" t="s">
        <v>12</v>
      </c>
      <c r="E54" t="s">
        <v>70</v>
      </c>
      <c r="F54" s="6">
        <f t="shared" si="0"/>
        <v>1626446</v>
      </c>
      <c r="G54" s="6">
        <v>574893</v>
      </c>
      <c r="I54" t="s">
        <v>143</v>
      </c>
    </row>
    <row r="55" spans="1:9" x14ac:dyDescent="0.3">
      <c r="A55" s="4">
        <v>46080</v>
      </c>
      <c r="B55" t="s">
        <v>114</v>
      </c>
      <c r="C55" t="s">
        <v>12</v>
      </c>
      <c r="F55" s="6">
        <f t="shared" si="0"/>
        <v>2201339</v>
      </c>
      <c r="G55" s="6">
        <v>30182129</v>
      </c>
      <c r="I55" t="s">
        <v>124</v>
      </c>
    </row>
    <row r="56" spans="1:9" x14ac:dyDescent="0.3">
      <c r="A56" s="4">
        <v>46083</v>
      </c>
      <c r="B56" t="s">
        <v>89</v>
      </c>
      <c r="C56" t="s">
        <v>12</v>
      </c>
      <c r="E56" t="s">
        <v>94</v>
      </c>
      <c r="F56" s="6">
        <f t="shared" si="0"/>
        <v>32383468</v>
      </c>
      <c r="G56" s="6">
        <v>750000</v>
      </c>
      <c r="I56" t="s">
        <v>162</v>
      </c>
    </row>
    <row r="57" spans="1:9" x14ac:dyDescent="0.3">
      <c r="A57" s="4">
        <v>46083</v>
      </c>
      <c r="B57" t="s">
        <v>115</v>
      </c>
      <c r="C57" t="s">
        <v>12</v>
      </c>
      <c r="E57" t="s">
        <v>72</v>
      </c>
      <c r="F57" s="6">
        <f t="shared" si="0"/>
        <v>33133468</v>
      </c>
      <c r="G57" s="6">
        <v>740609</v>
      </c>
      <c r="I57" t="s">
        <v>147</v>
      </c>
    </row>
    <row r="58" spans="1:9" x14ac:dyDescent="0.3">
      <c r="A58" s="4">
        <v>46083</v>
      </c>
      <c r="B58" t="s">
        <v>69</v>
      </c>
      <c r="C58" t="s">
        <v>12</v>
      </c>
      <c r="E58" t="s">
        <v>74</v>
      </c>
      <c r="F58" s="6">
        <f t="shared" si="0"/>
        <v>33874077</v>
      </c>
      <c r="G58" s="6">
        <v>338714</v>
      </c>
      <c r="I58" t="s">
        <v>160</v>
      </c>
    </row>
    <row r="59" spans="1:9" x14ac:dyDescent="0.3">
      <c r="A59" s="4">
        <v>46083</v>
      </c>
      <c r="B59" t="s">
        <v>59</v>
      </c>
      <c r="C59" t="s">
        <v>16</v>
      </c>
      <c r="F59" s="6">
        <f t="shared" si="0"/>
        <v>34212791</v>
      </c>
      <c r="H59" s="6">
        <v>-32000000</v>
      </c>
    </row>
    <row r="60" spans="1:9" x14ac:dyDescent="0.3">
      <c r="A60" s="4">
        <v>46083</v>
      </c>
      <c r="B60" t="s">
        <v>116</v>
      </c>
      <c r="C60" t="s">
        <v>9</v>
      </c>
      <c r="F60" s="6">
        <f t="shared" si="0"/>
        <v>2212791</v>
      </c>
      <c r="H60" s="6">
        <v>-508500</v>
      </c>
      <c r="I60" t="s">
        <v>125</v>
      </c>
    </row>
    <row r="61" spans="1:9" x14ac:dyDescent="0.3">
      <c r="A61" s="4">
        <v>46084</v>
      </c>
      <c r="B61" t="s">
        <v>90</v>
      </c>
      <c r="C61" t="s">
        <v>12</v>
      </c>
      <c r="E61" t="s">
        <v>57</v>
      </c>
      <c r="F61" s="6">
        <f t="shared" si="0"/>
        <v>1704291</v>
      </c>
      <c r="G61" s="6">
        <v>2028707</v>
      </c>
      <c r="I61" t="s">
        <v>161</v>
      </c>
    </row>
    <row r="62" spans="1:9" x14ac:dyDescent="0.3">
      <c r="A62" s="4">
        <v>46084</v>
      </c>
      <c r="B62" t="s">
        <v>35</v>
      </c>
      <c r="C62" t="s">
        <v>12</v>
      </c>
      <c r="E62" t="s">
        <v>43</v>
      </c>
      <c r="F62" s="6">
        <f t="shared" si="0"/>
        <v>3732998</v>
      </c>
      <c r="G62" s="6">
        <v>659917</v>
      </c>
      <c r="I62" t="s">
        <v>158</v>
      </c>
    </row>
    <row r="63" spans="1:9" x14ac:dyDescent="0.3">
      <c r="A63" s="4">
        <v>46084</v>
      </c>
      <c r="B63" t="s">
        <v>58</v>
      </c>
      <c r="C63" t="s">
        <v>13</v>
      </c>
      <c r="F63" s="6">
        <f t="shared" si="0"/>
        <v>4392915</v>
      </c>
      <c r="H63" s="6">
        <v>-227382</v>
      </c>
    </row>
    <row r="64" spans="1:9" x14ac:dyDescent="0.3">
      <c r="A64" s="4">
        <v>46084</v>
      </c>
      <c r="B64" t="s">
        <v>56</v>
      </c>
      <c r="C64" t="s">
        <v>13</v>
      </c>
      <c r="F64" s="6">
        <f t="shared" si="0"/>
        <v>4165533</v>
      </c>
      <c r="H64" s="6">
        <v>-750000</v>
      </c>
    </row>
    <row r="65" spans="1:9" x14ac:dyDescent="0.3">
      <c r="A65" s="4">
        <v>46084</v>
      </c>
      <c r="B65" t="s">
        <v>117</v>
      </c>
      <c r="C65" t="s">
        <v>12</v>
      </c>
      <c r="F65" s="6">
        <f t="shared" si="0"/>
        <v>3415533</v>
      </c>
      <c r="G65" s="6">
        <v>200000</v>
      </c>
      <c r="I65" t="s">
        <v>118</v>
      </c>
    </row>
    <row r="66" spans="1:9" x14ac:dyDescent="0.3">
      <c r="A66" s="4">
        <v>46085</v>
      </c>
      <c r="B66" t="s">
        <v>49</v>
      </c>
      <c r="C66" t="s">
        <v>12</v>
      </c>
      <c r="E66" t="s">
        <v>40</v>
      </c>
      <c r="F66" s="6">
        <f t="shared" si="0"/>
        <v>3615533</v>
      </c>
      <c r="G66" s="6">
        <v>541773</v>
      </c>
      <c r="I66" t="s">
        <v>149</v>
      </c>
    </row>
    <row r="67" spans="1:9" x14ac:dyDescent="0.3">
      <c r="A67" s="4">
        <v>46085</v>
      </c>
      <c r="B67" t="s">
        <v>126</v>
      </c>
      <c r="C67" t="s">
        <v>12</v>
      </c>
      <c r="F67" s="6">
        <f t="shared" si="0"/>
        <v>4157306</v>
      </c>
      <c r="G67" s="6">
        <v>23491089</v>
      </c>
      <c r="I67" t="s">
        <v>135</v>
      </c>
    </row>
    <row r="68" spans="1:9" x14ac:dyDescent="0.3">
      <c r="A68" s="4">
        <v>46086</v>
      </c>
      <c r="B68" t="s">
        <v>56</v>
      </c>
      <c r="C68" t="s">
        <v>9</v>
      </c>
      <c r="F68" s="6">
        <f t="shared" ref="F68:F132" si="1">+F67+G67+H67</f>
        <v>27648395</v>
      </c>
      <c r="H68" s="6">
        <v>-439374</v>
      </c>
      <c r="I68" t="s">
        <v>60</v>
      </c>
    </row>
    <row r="69" spans="1:9" x14ac:dyDescent="0.3">
      <c r="A69" s="4">
        <v>46086</v>
      </c>
      <c r="B69" t="s">
        <v>50</v>
      </c>
      <c r="C69" t="s">
        <v>12</v>
      </c>
      <c r="E69" t="s">
        <v>51</v>
      </c>
      <c r="F69" s="6">
        <f t="shared" si="1"/>
        <v>27209021</v>
      </c>
      <c r="G69" s="6">
        <v>736546</v>
      </c>
      <c r="I69" t="s">
        <v>156</v>
      </c>
    </row>
    <row r="70" spans="1:9" x14ac:dyDescent="0.3">
      <c r="A70" s="4">
        <v>46086</v>
      </c>
      <c r="B70" t="s">
        <v>59</v>
      </c>
      <c r="C70" t="s">
        <v>16</v>
      </c>
      <c r="F70" s="6">
        <f t="shared" si="1"/>
        <v>27945567</v>
      </c>
      <c r="H70" s="6">
        <v>-26500000</v>
      </c>
    </row>
    <row r="71" spans="1:9" x14ac:dyDescent="0.3">
      <c r="A71" s="4">
        <v>46087</v>
      </c>
      <c r="B71" t="s">
        <v>36</v>
      </c>
      <c r="C71" t="s">
        <v>9</v>
      </c>
      <c r="F71" s="6">
        <f t="shared" si="1"/>
        <v>1445567</v>
      </c>
      <c r="H71" s="6">
        <v>-100000</v>
      </c>
      <c r="I71" t="s">
        <v>77</v>
      </c>
    </row>
    <row r="72" spans="1:9" x14ac:dyDescent="0.3">
      <c r="A72" s="4">
        <v>46090</v>
      </c>
      <c r="B72" t="s">
        <v>86</v>
      </c>
      <c r="C72" t="s">
        <v>9</v>
      </c>
      <c r="F72" s="6">
        <f t="shared" si="1"/>
        <v>1345567</v>
      </c>
      <c r="H72" s="6">
        <v>-437099</v>
      </c>
      <c r="I72" t="s">
        <v>121</v>
      </c>
    </row>
    <row r="73" spans="1:9" x14ac:dyDescent="0.3">
      <c r="A73" s="4">
        <v>46090</v>
      </c>
      <c r="B73" t="s">
        <v>127</v>
      </c>
      <c r="C73" t="s">
        <v>12</v>
      </c>
      <c r="F73" s="6">
        <f t="shared" si="1"/>
        <v>908468</v>
      </c>
      <c r="H73" s="6">
        <v>-200000</v>
      </c>
      <c r="I73" t="s">
        <v>136</v>
      </c>
    </row>
    <row r="74" spans="1:9" x14ac:dyDescent="0.3">
      <c r="A74" s="4">
        <v>46090</v>
      </c>
      <c r="B74" t="s">
        <v>68</v>
      </c>
      <c r="C74" t="s">
        <v>12</v>
      </c>
      <c r="E74" t="s">
        <v>73</v>
      </c>
      <c r="F74" s="6">
        <f t="shared" si="1"/>
        <v>708468</v>
      </c>
      <c r="G74" s="6">
        <v>564561</v>
      </c>
      <c r="I74" t="s">
        <v>151</v>
      </c>
    </row>
    <row r="75" spans="1:9" x14ac:dyDescent="0.3">
      <c r="A75" s="4">
        <v>46091</v>
      </c>
      <c r="B75" t="s">
        <v>128</v>
      </c>
      <c r="C75" t="s">
        <v>9</v>
      </c>
      <c r="F75" s="6">
        <f t="shared" si="1"/>
        <v>1273029</v>
      </c>
      <c r="H75" s="6">
        <v>-178500</v>
      </c>
      <c r="I75" t="s">
        <v>137</v>
      </c>
    </row>
    <row r="76" spans="1:9" x14ac:dyDescent="0.3">
      <c r="A76" s="4">
        <v>46093</v>
      </c>
      <c r="B76" t="s">
        <v>88</v>
      </c>
      <c r="C76" t="s">
        <v>10</v>
      </c>
      <c r="F76" s="6">
        <f t="shared" si="1"/>
        <v>1094529</v>
      </c>
      <c r="H76" s="6">
        <v>-24500</v>
      </c>
    </row>
    <row r="77" spans="1:9" x14ac:dyDescent="0.3">
      <c r="A77" s="4">
        <v>46097</v>
      </c>
      <c r="B77" t="s">
        <v>110</v>
      </c>
      <c r="C77" t="s">
        <v>16</v>
      </c>
      <c r="F77" s="6">
        <f t="shared" si="1"/>
        <v>1070029</v>
      </c>
      <c r="G77" s="6">
        <v>5000000</v>
      </c>
    </row>
    <row r="78" spans="1:9" x14ac:dyDescent="0.3">
      <c r="A78" s="4">
        <v>46097</v>
      </c>
      <c r="B78" t="s">
        <v>129</v>
      </c>
      <c r="C78" t="s">
        <v>9</v>
      </c>
      <c r="F78" s="6">
        <f t="shared" si="1"/>
        <v>6070029</v>
      </c>
      <c r="H78" s="6">
        <v>-414500</v>
      </c>
      <c r="I78" t="s">
        <v>138</v>
      </c>
    </row>
    <row r="79" spans="1:9" x14ac:dyDescent="0.3">
      <c r="A79" s="4">
        <v>46098</v>
      </c>
      <c r="B79" t="s">
        <v>129</v>
      </c>
      <c r="C79" t="s">
        <v>9</v>
      </c>
      <c r="F79" s="6">
        <f t="shared" si="1"/>
        <v>5655529</v>
      </c>
      <c r="H79" s="6">
        <v>-5000000</v>
      </c>
      <c r="I79" t="s">
        <v>138</v>
      </c>
    </row>
    <row r="80" spans="1:9" x14ac:dyDescent="0.3">
      <c r="A80" s="4">
        <v>46098</v>
      </c>
      <c r="B80" t="s">
        <v>130</v>
      </c>
      <c r="C80" t="s">
        <v>10</v>
      </c>
      <c r="F80" s="6">
        <f t="shared" si="1"/>
        <v>655529</v>
      </c>
      <c r="H80" s="6">
        <v>-60000</v>
      </c>
      <c r="I80" t="s">
        <v>139</v>
      </c>
    </row>
    <row r="81" spans="1:9" x14ac:dyDescent="0.3">
      <c r="A81" s="4">
        <v>46100</v>
      </c>
      <c r="B81" t="s">
        <v>131</v>
      </c>
      <c r="C81" t="s">
        <v>12</v>
      </c>
      <c r="E81" t="s">
        <v>52</v>
      </c>
      <c r="F81" s="6">
        <f t="shared" si="1"/>
        <v>595529</v>
      </c>
      <c r="G81" s="6">
        <v>826302</v>
      </c>
      <c r="I81" t="s">
        <v>154</v>
      </c>
    </row>
    <row r="82" spans="1:9" x14ac:dyDescent="0.3">
      <c r="A82" s="4">
        <v>46101</v>
      </c>
      <c r="B82" t="s">
        <v>132</v>
      </c>
      <c r="C82" t="s">
        <v>9</v>
      </c>
      <c r="F82" s="6">
        <f t="shared" si="1"/>
        <v>1421831</v>
      </c>
      <c r="H82" s="6">
        <v>-50000</v>
      </c>
      <c r="I82" t="s">
        <v>140</v>
      </c>
    </row>
    <row r="83" spans="1:9" x14ac:dyDescent="0.3">
      <c r="A83" s="4">
        <v>46105</v>
      </c>
      <c r="B83" t="s">
        <v>133</v>
      </c>
      <c r="C83" t="s">
        <v>12</v>
      </c>
      <c r="F83" s="6">
        <f t="shared" si="1"/>
        <v>1371831</v>
      </c>
      <c r="G83" s="6">
        <v>21800000</v>
      </c>
      <c r="I83" t="s">
        <v>141</v>
      </c>
    </row>
    <row r="84" spans="1:9" x14ac:dyDescent="0.3">
      <c r="A84" s="4">
        <v>46105</v>
      </c>
      <c r="B84" t="s">
        <v>59</v>
      </c>
      <c r="C84" t="s">
        <v>16</v>
      </c>
      <c r="F84" s="6">
        <f t="shared" si="1"/>
        <v>23171831</v>
      </c>
      <c r="H84" s="6">
        <v>-22000000</v>
      </c>
    </row>
    <row r="85" spans="1:9" x14ac:dyDescent="0.3">
      <c r="A85" s="4">
        <v>46105</v>
      </c>
      <c r="B85" t="s">
        <v>126</v>
      </c>
      <c r="C85" t="s">
        <v>12</v>
      </c>
      <c r="F85" s="6">
        <f t="shared" si="1"/>
        <v>1171831</v>
      </c>
      <c r="G85" s="6">
        <v>26337480</v>
      </c>
      <c r="I85" t="s">
        <v>135</v>
      </c>
    </row>
    <row r="86" spans="1:9" x14ac:dyDescent="0.3">
      <c r="A86" s="4">
        <v>46108</v>
      </c>
      <c r="B86" t="s">
        <v>59</v>
      </c>
      <c r="C86" t="s">
        <v>16</v>
      </c>
      <c r="F86" s="6">
        <f t="shared" si="1"/>
        <v>27509311</v>
      </c>
      <c r="H86" s="6">
        <v>-26500000</v>
      </c>
    </row>
    <row r="87" spans="1:9" x14ac:dyDescent="0.3">
      <c r="A87" s="4">
        <v>46108</v>
      </c>
      <c r="B87" t="s">
        <v>92</v>
      </c>
      <c r="C87" t="s">
        <v>12</v>
      </c>
      <c r="E87" t="s">
        <v>55</v>
      </c>
      <c r="F87" s="6">
        <f t="shared" si="1"/>
        <v>1009311</v>
      </c>
      <c r="G87" s="6">
        <v>274509</v>
      </c>
      <c r="I87" t="s">
        <v>153</v>
      </c>
    </row>
    <row r="88" spans="1:9" x14ac:dyDescent="0.3">
      <c r="A88" s="4">
        <v>46111</v>
      </c>
      <c r="B88" t="s">
        <v>85</v>
      </c>
      <c r="C88" t="s">
        <v>12</v>
      </c>
      <c r="E88" t="s">
        <v>71</v>
      </c>
      <c r="F88" s="6">
        <f t="shared" si="1"/>
        <v>1283820</v>
      </c>
      <c r="G88" s="6">
        <v>575712</v>
      </c>
      <c r="I88" t="s">
        <v>146</v>
      </c>
    </row>
    <row r="89" spans="1:9" x14ac:dyDescent="0.3">
      <c r="A89" s="4">
        <v>46112</v>
      </c>
      <c r="B89" t="s">
        <v>134</v>
      </c>
      <c r="C89" t="s">
        <v>9</v>
      </c>
      <c r="F89" s="6">
        <f t="shared" si="1"/>
        <v>1859532</v>
      </c>
      <c r="H89" s="6">
        <v>-35700</v>
      </c>
      <c r="I89" t="s">
        <v>142</v>
      </c>
    </row>
    <row r="90" spans="1:9" x14ac:dyDescent="0.3">
      <c r="A90" s="4">
        <v>46112</v>
      </c>
      <c r="B90" t="s">
        <v>75</v>
      </c>
      <c r="C90" t="s">
        <v>12</v>
      </c>
      <c r="E90" t="s">
        <v>70</v>
      </c>
      <c r="F90" s="6">
        <f t="shared" si="1"/>
        <v>1823832</v>
      </c>
      <c r="G90" s="6">
        <v>575713</v>
      </c>
      <c r="I90" t="s">
        <v>144</v>
      </c>
    </row>
    <row r="91" spans="1:9" x14ac:dyDescent="0.3">
      <c r="A91" s="4">
        <v>46114</v>
      </c>
      <c r="B91" t="s">
        <v>36</v>
      </c>
      <c r="C91" t="s">
        <v>9</v>
      </c>
      <c r="F91" s="6">
        <f t="shared" si="1"/>
        <v>2399545</v>
      </c>
      <c r="H91" s="6">
        <v>-100000</v>
      </c>
      <c r="I91" t="s">
        <v>77</v>
      </c>
    </row>
    <row r="92" spans="1:9" x14ac:dyDescent="0.3">
      <c r="A92" s="4">
        <v>46114</v>
      </c>
      <c r="B92" t="s">
        <v>68</v>
      </c>
      <c r="C92" t="s">
        <v>12</v>
      </c>
      <c r="E92" t="s">
        <v>73</v>
      </c>
      <c r="F92" s="6">
        <f t="shared" si="1"/>
        <v>2299545</v>
      </c>
      <c r="G92" s="6">
        <v>564561</v>
      </c>
      <c r="I92" t="s">
        <v>165</v>
      </c>
    </row>
    <row r="93" spans="1:9" x14ac:dyDescent="0.3">
      <c r="A93" s="4">
        <v>46114</v>
      </c>
      <c r="B93" t="s">
        <v>89</v>
      </c>
      <c r="C93" t="s">
        <v>12</v>
      </c>
      <c r="E93" t="s">
        <v>94</v>
      </c>
      <c r="F93" s="6">
        <f t="shared" si="1"/>
        <v>2864106</v>
      </c>
      <c r="G93" s="6">
        <v>750000</v>
      </c>
      <c r="I93" t="s">
        <v>169</v>
      </c>
    </row>
    <row r="94" spans="1:9" x14ac:dyDescent="0.3">
      <c r="A94" s="4">
        <v>46114</v>
      </c>
      <c r="B94" t="s">
        <v>69</v>
      </c>
      <c r="C94" t="s">
        <v>12</v>
      </c>
      <c r="E94" t="s">
        <v>74</v>
      </c>
      <c r="F94" s="6">
        <f t="shared" si="1"/>
        <v>3614106</v>
      </c>
      <c r="G94" s="6">
        <v>339053</v>
      </c>
      <c r="I94" t="s">
        <v>168</v>
      </c>
    </row>
    <row r="95" spans="1:9" x14ac:dyDescent="0.3">
      <c r="A95" s="4">
        <v>46114</v>
      </c>
      <c r="B95" t="s">
        <v>56</v>
      </c>
      <c r="C95" t="s">
        <v>13</v>
      </c>
      <c r="F95" s="6">
        <f t="shared" si="1"/>
        <v>3953159</v>
      </c>
      <c r="H95" s="6">
        <v>-750000</v>
      </c>
    </row>
    <row r="96" spans="1:9" x14ac:dyDescent="0.3">
      <c r="A96" s="4">
        <v>46114</v>
      </c>
      <c r="B96" t="s">
        <v>38</v>
      </c>
      <c r="C96" t="s">
        <v>9</v>
      </c>
      <c r="F96" s="6">
        <f t="shared" si="1"/>
        <v>3203159</v>
      </c>
      <c r="H96" s="6">
        <v>-600000</v>
      </c>
      <c r="I96" t="s">
        <v>78</v>
      </c>
    </row>
    <row r="97" spans="1:9" x14ac:dyDescent="0.3">
      <c r="A97" s="4">
        <v>46114</v>
      </c>
      <c r="B97" t="s">
        <v>91</v>
      </c>
      <c r="C97" t="s">
        <v>12</v>
      </c>
      <c r="E97" t="s">
        <v>47</v>
      </c>
      <c r="F97" s="6">
        <f t="shared" si="1"/>
        <v>2603159</v>
      </c>
      <c r="G97" s="6">
        <v>415947</v>
      </c>
      <c r="I97" t="s">
        <v>171</v>
      </c>
    </row>
    <row r="98" spans="1:9" x14ac:dyDescent="0.3">
      <c r="A98" s="4">
        <v>46118</v>
      </c>
      <c r="B98" t="s">
        <v>89</v>
      </c>
      <c r="C98" t="s">
        <v>12</v>
      </c>
      <c r="E98" t="s">
        <v>94</v>
      </c>
      <c r="F98" s="6">
        <f t="shared" si="1"/>
        <v>3019106</v>
      </c>
      <c r="G98" s="6">
        <v>2211</v>
      </c>
      <c r="I98" t="s">
        <v>170</v>
      </c>
    </row>
    <row r="99" spans="1:9" x14ac:dyDescent="0.3">
      <c r="A99" s="4">
        <v>46118</v>
      </c>
      <c r="B99" t="s">
        <v>131</v>
      </c>
      <c r="C99" t="s">
        <v>12</v>
      </c>
      <c r="E99" t="s">
        <v>52</v>
      </c>
      <c r="F99" s="6">
        <f t="shared" si="1"/>
        <v>3021317</v>
      </c>
      <c r="G99" s="6">
        <v>413160</v>
      </c>
      <c r="I99" t="s">
        <v>166</v>
      </c>
    </row>
    <row r="100" spans="1:9" x14ac:dyDescent="0.3">
      <c r="A100" s="4">
        <v>46118</v>
      </c>
      <c r="B100" t="s">
        <v>115</v>
      </c>
      <c r="C100" t="s">
        <v>12</v>
      </c>
      <c r="E100" t="s">
        <v>72</v>
      </c>
      <c r="F100" s="6">
        <f t="shared" si="1"/>
        <v>3434477</v>
      </c>
      <c r="G100" s="6">
        <v>2224363</v>
      </c>
      <c r="I100" t="s">
        <v>164</v>
      </c>
    </row>
    <row r="101" spans="1:9" x14ac:dyDescent="0.3">
      <c r="A101" s="4">
        <v>46118</v>
      </c>
      <c r="B101" t="s">
        <v>35</v>
      </c>
      <c r="C101" t="s">
        <v>12</v>
      </c>
      <c r="E101" t="s">
        <v>43</v>
      </c>
      <c r="F101" s="6">
        <f t="shared" si="1"/>
        <v>5658840</v>
      </c>
      <c r="G101" s="6">
        <v>660580</v>
      </c>
      <c r="I101" t="s">
        <v>167</v>
      </c>
    </row>
    <row r="102" spans="1:9" x14ac:dyDescent="0.3">
      <c r="A102" s="4">
        <v>46118</v>
      </c>
      <c r="B102" t="s">
        <v>56</v>
      </c>
      <c r="C102" t="s">
        <v>9</v>
      </c>
      <c r="F102" s="6">
        <f t="shared" si="1"/>
        <v>6319420</v>
      </c>
      <c r="H102" s="6">
        <v>-518128</v>
      </c>
      <c r="I102" t="s">
        <v>60</v>
      </c>
    </row>
    <row r="103" spans="1:9" x14ac:dyDescent="0.3">
      <c r="A103" s="4">
        <v>46118</v>
      </c>
      <c r="B103" t="s">
        <v>50</v>
      </c>
      <c r="C103" t="s">
        <v>12</v>
      </c>
      <c r="E103" t="s">
        <v>51</v>
      </c>
      <c r="F103" s="6">
        <f t="shared" si="1"/>
        <v>5801292</v>
      </c>
      <c r="G103" s="6">
        <v>737071</v>
      </c>
      <c r="I103" t="s">
        <v>107</v>
      </c>
    </row>
    <row r="104" spans="1:9" x14ac:dyDescent="0.3">
      <c r="A104" s="4">
        <v>46119</v>
      </c>
      <c r="B104" t="s">
        <v>58</v>
      </c>
      <c r="C104" t="s">
        <v>13</v>
      </c>
      <c r="F104" s="6">
        <f t="shared" si="1"/>
        <v>6538363</v>
      </c>
      <c r="H104" s="6">
        <v>-227382</v>
      </c>
    </row>
    <row r="105" spans="1:9" x14ac:dyDescent="0.3">
      <c r="A105" s="4">
        <v>46119</v>
      </c>
      <c r="B105" t="s">
        <v>59</v>
      </c>
      <c r="C105" t="s">
        <v>16</v>
      </c>
      <c r="F105" s="6">
        <f t="shared" si="1"/>
        <v>6310981</v>
      </c>
      <c r="H105" s="6">
        <v>-5500000</v>
      </c>
    </row>
    <row r="106" spans="1:9" x14ac:dyDescent="0.3">
      <c r="A106" s="4">
        <v>46119</v>
      </c>
      <c r="B106" t="s">
        <v>86</v>
      </c>
      <c r="C106" t="s">
        <v>14</v>
      </c>
      <c r="F106" s="6">
        <f t="shared" si="1"/>
        <v>810981</v>
      </c>
      <c r="H106" s="6">
        <v>-200799</v>
      </c>
      <c r="I106" t="s">
        <v>121</v>
      </c>
    </row>
    <row r="107" spans="1:9" x14ac:dyDescent="0.3">
      <c r="A107" s="4">
        <v>46119</v>
      </c>
      <c r="B107" t="s">
        <v>126</v>
      </c>
      <c r="C107" t="s">
        <v>12</v>
      </c>
      <c r="F107" s="6">
        <f t="shared" si="1"/>
        <v>610182</v>
      </c>
      <c r="G107" s="6">
        <v>28668250</v>
      </c>
      <c r="I107" t="s">
        <v>135</v>
      </c>
    </row>
    <row r="108" spans="1:9" x14ac:dyDescent="0.3">
      <c r="A108" s="4">
        <v>46120</v>
      </c>
      <c r="B108" t="s">
        <v>59</v>
      </c>
      <c r="C108" t="s">
        <v>16</v>
      </c>
      <c r="F108" s="6">
        <f t="shared" si="1"/>
        <v>29278432</v>
      </c>
      <c r="H108" s="6">
        <v>-28500000</v>
      </c>
    </row>
    <row r="109" spans="1:9" x14ac:dyDescent="0.3">
      <c r="A109" s="4">
        <v>46120</v>
      </c>
      <c r="B109" t="s">
        <v>49</v>
      </c>
      <c r="C109" t="s">
        <v>12</v>
      </c>
      <c r="E109" t="s">
        <v>40</v>
      </c>
      <c r="F109" s="6">
        <f t="shared" si="1"/>
        <v>778432</v>
      </c>
      <c r="G109" s="6">
        <v>542236</v>
      </c>
      <c r="I109" t="s">
        <v>184</v>
      </c>
    </row>
    <row r="110" spans="1:9" x14ac:dyDescent="0.3">
      <c r="A110" s="4">
        <v>46121</v>
      </c>
      <c r="B110" t="s">
        <v>38</v>
      </c>
      <c r="C110" t="s">
        <v>9</v>
      </c>
      <c r="F110" s="6">
        <f t="shared" si="1"/>
        <v>1320668</v>
      </c>
      <c r="H110" s="6">
        <v>-2857</v>
      </c>
    </row>
    <row r="111" spans="1:9" x14ac:dyDescent="0.3">
      <c r="A111" s="4">
        <v>46121</v>
      </c>
      <c r="B111" t="s">
        <v>132</v>
      </c>
      <c r="C111" t="s">
        <v>9</v>
      </c>
      <c r="F111" s="6">
        <f t="shared" si="1"/>
        <v>1317811</v>
      </c>
      <c r="H111" s="6">
        <v>-65000</v>
      </c>
      <c r="I111" t="s">
        <v>175</v>
      </c>
    </row>
    <row r="112" spans="1:9" x14ac:dyDescent="0.3">
      <c r="A112" s="4">
        <v>46127</v>
      </c>
      <c r="B112" t="s">
        <v>172</v>
      </c>
      <c r="C112" t="s">
        <v>9</v>
      </c>
      <c r="F112" s="6">
        <f t="shared" si="1"/>
        <v>1252811</v>
      </c>
      <c r="H112" s="6">
        <v>-490000</v>
      </c>
    </row>
    <row r="113" spans="1:9" x14ac:dyDescent="0.3">
      <c r="A113" s="4">
        <v>46127</v>
      </c>
      <c r="B113" t="s">
        <v>88</v>
      </c>
      <c r="C113" t="s">
        <v>10</v>
      </c>
      <c r="F113" s="6">
        <f t="shared" si="1"/>
        <v>762811</v>
      </c>
      <c r="H113" s="6">
        <v>-5200</v>
      </c>
    </row>
    <row r="114" spans="1:9" x14ac:dyDescent="0.3">
      <c r="A114" s="4">
        <v>46129</v>
      </c>
      <c r="B114" t="s">
        <v>90</v>
      </c>
      <c r="C114" t="s">
        <v>12</v>
      </c>
      <c r="E114" t="s">
        <v>57</v>
      </c>
      <c r="F114" s="6">
        <f t="shared" si="1"/>
        <v>757611</v>
      </c>
      <c r="G114" s="6">
        <v>2035453</v>
      </c>
      <c r="I114" t="s">
        <v>189</v>
      </c>
    </row>
    <row r="115" spans="1:9" x14ac:dyDescent="0.3">
      <c r="A115" s="4">
        <v>46132</v>
      </c>
      <c r="B115" t="s">
        <v>173</v>
      </c>
      <c r="C115" t="s">
        <v>14</v>
      </c>
      <c r="F115" s="6">
        <f t="shared" si="1"/>
        <v>2793064</v>
      </c>
      <c r="H115" s="6">
        <v>-942757</v>
      </c>
      <c r="I115" t="s">
        <v>174</v>
      </c>
    </row>
    <row r="116" spans="1:9" x14ac:dyDescent="0.3">
      <c r="A116" s="4">
        <v>46132</v>
      </c>
      <c r="B116" t="s">
        <v>173</v>
      </c>
      <c r="C116" t="s">
        <v>14</v>
      </c>
      <c r="F116" s="6">
        <f t="shared" si="1"/>
        <v>1850307</v>
      </c>
      <c r="H116" s="6">
        <v>-723274</v>
      </c>
      <c r="I116" t="s">
        <v>174</v>
      </c>
    </row>
    <row r="117" spans="1:9" x14ac:dyDescent="0.3">
      <c r="A117" s="4">
        <v>46135</v>
      </c>
      <c r="B117" t="s">
        <v>110</v>
      </c>
      <c r="C117" t="s">
        <v>16</v>
      </c>
      <c r="F117" s="6">
        <f t="shared" si="1"/>
        <v>1127033</v>
      </c>
      <c r="G117" s="6">
        <v>179419831</v>
      </c>
    </row>
    <row r="118" spans="1:9" x14ac:dyDescent="0.3">
      <c r="A118" s="4">
        <v>46136</v>
      </c>
      <c r="B118" t="s">
        <v>36</v>
      </c>
      <c r="C118" t="s">
        <v>9</v>
      </c>
      <c r="F118" s="6">
        <f t="shared" si="1"/>
        <v>180546864</v>
      </c>
      <c r="H118" s="6">
        <v>-2500000</v>
      </c>
      <c r="I118" t="s">
        <v>176</v>
      </c>
    </row>
    <row r="119" spans="1:9" x14ac:dyDescent="0.3">
      <c r="A119" s="4">
        <v>46136</v>
      </c>
      <c r="B119" t="s">
        <v>36</v>
      </c>
      <c r="C119" t="s">
        <v>9</v>
      </c>
      <c r="F119" s="6">
        <f t="shared" si="1"/>
        <v>178046864</v>
      </c>
      <c r="H119" s="6">
        <v>-5000000</v>
      </c>
      <c r="I119" t="s">
        <v>176</v>
      </c>
    </row>
    <row r="120" spans="1:9" x14ac:dyDescent="0.3">
      <c r="A120" s="4">
        <v>46136</v>
      </c>
      <c r="B120" t="s">
        <v>36</v>
      </c>
      <c r="C120" t="s">
        <v>9</v>
      </c>
      <c r="F120" s="6">
        <f t="shared" si="1"/>
        <v>173046864</v>
      </c>
      <c r="H120" s="6">
        <v>-5000000</v>
      </c>
      <c r="I120" t="s">
        <v>176</v>
      </c>
    </row>
    <row r="121" spans="1:9" x14ac:dyDescent="0.3">
      <c r="A121" s="4">
        <v>46136</v>
      </c>
      <c r="B121" t="s">
        <v>36</v>
      </c>
      <c r="C121" t="s">
        <v>9</v>
      </c>
      <c r="F121" s="6">
        <f t="shared" si="1"/>
        <v>168046864</v>
      </c>
      <c r="H121" s="6">
        <v>-5000000</v>
      </c>
      <c r="I121" t="s">
        <v>176</v>
      </c>
    </row>
    <row r="122" spans="1:9" x14ac:dyDescent="0.3">
      <c r="A122" s="4">
        <v>46136</v>
      </c>
      <c r="B122" t="s">
        <v>36</v>
      </c>
      <c r="C122" t="s">
        <v>9</v>
      </c>
      <c r="F122" s="6">
        <f t="shared" si="1"/>
        <v>163046864</v>
      </c>
      <c r="H122" s="6">
        <v>-5000000</v>
      </c>
      <c r="I122" t="s">
        <v>176</v>
      </c>
    </row>
    <row r="123" spans="1:9" x14ac:dyDescent="0.3">
      <c r="A123" s="4">
        <v>46136</v>
      </c>
      <c r="B123" t="s">
        <v>36</v>
      </c>
      <c r="C123" t="s">
        <v>9</v>
      </c>
      <c r="F123" s="6">
        <f t="shared" si="1"/>
        <v>158046864</v>
      </c>
      <c r="H123" s="6">
        <v>-5000000</v>
      </c>
      <c r="I123" t="s">
        <v>176</v>
      </c>
    </row>
    <row r="124" spans="1:9" x14ac:dyDescent="0.3">
      <c r="A124" s="4">
        <v>46136</v>
      </c>
      <c r="B124" t="s">
        <v>36</v>
      </c>
      <c r="C124" t="s">
        <v>9</v>
      </c>
      <c r="F124" s="6">
        <f t="shared" si="1"/>
        <v>153046864</v>
      </c>
      <c r="H124" s="6">
        <v>-5000000</v>
      </c>
      <c r="I124" t="s">
        <v>176</v>
      </c>
    </row>
    <row r="125" spans="1:9" x14ac:dyDescent="0.3">
      <c r="A125" s="4">
        <v>46136</v>
      </c>
      <c r="B125" t="s">
        <v>36</v>
      </c>
      <c r="C125" t="s">
        <v>9</v>
      </c>
      <c r="F125" s="6">
        <f t="shared" si="1"/>
        <v>148046864</v>
      </c>
      <c r="H125" s="6">
        <v>-5000000</v>
      </c>
      <c r="I125" t="s">
        <v>176</v>
      </c>
    </row>
    <row r="126" spans="1:9" x14ac:dyDescent="0.3">
      <c r="A126" s="4">
        <v>46136</v>
      </c>
      <c r="B126" t="s">
        <v>36</v>
      </c>
      <c r="C126" t="s">
        <v>9</v>
      </c>
      <c r="F126" s="6">
        <f t="shared" si="1"/>
        <v>143046864</v>
      </c>
      <c r="H126" s="6">
        <v>-5000000</v>
      </c>
      <c r="I126" t="s">
        <v>176</v>
      </c>
    </row>
    <row r="127" spans="1:9" x14ac:dyDescent="0.3">
      <c r="A127" s="4">
        <v>46136</v>
      </c>
      <c r="B127" t="s">
        <v>36</v>
      </c>
      <c r="C127" t="s">
        <v>9</v>
      </c>
      <c r="F127" s="6">
        <f t="shared" si="1"/>
        <v>138046864</v>
      </c>
      <c r="H127" s="6">
        <v>-5000000</v>
      </c>
      <c r="I127" t="s">
        <v>176</v>
      </c>
    </row>
    <row r="128" spans="1:9" x14ac:dyDescent="0.3">
      <c r="A128" s="4">
        <v>46136</v>
      </c>
      <c r="B128" t="s">
        <v>177</v>
      </c>
      <c r="C128" t="s">
        <v>20</v>
      </c>
      <c r="D128" t="s">
        <v>21</v>
      </c>
      <c r="F128" s="6">
        <f t="shared" si="1"/>
        <v>133046864</v>
      </c>
      <c r="H128" s="6">
        <v>-5000000</v>
      </c>
      <c r="I128" t="s">
        <v>178</v>
      </c>
    </row>
    <row r="129" spans="1:9" x14ac:dyDescent="0.3">
      <c r="A129" s="4">
        <v>46136</v>
      </c>
      <c r="B129" t="s">
        <v>177</v>
      </c>
      <c r="C129" t="s">
        <v>20</v>
      </c>
      <c r="D129" t="s">
        <v>21</v>
      </c>
      <c r="F129" s="6">
        <f t="shared" si="1"/>
        <v>128046864</v>
      </c>
      <c r="H129" s="6">
        <v>-5000000</v>
      </c>
      <c r="I129" t="s">
        <v>178</v>
      </c>
    </row>
    <row r="130" spans="1:9" x14ac:dyDescent="0.3">
      <c r="A130" s="4">
        <v>46136</v>
      </c>
      <c r="B130" t="s">
        <v>177</v>
      </c>
      <c r="C130" t="s">
        <v>20</v>
      </c>
      <c r="D130" t="s">
        <v>21</v>
      </c>
      <c r="F130" s="6">
        <f t="shared" si="1"/>
        <v>123046864</v>
      </c>
      <c r="H130" s="6">
        <v>-5000000</v>
      </c>
      <c r="I130" t="s">
        <v>178</v>
      </c>
    </row>
    <row r="131" spans="1:9" x14ac:dyDescent="0.3">
      <c r="A131" s="4">
        <v>46136</v>
      </c>
      <c r="B131" t="s">
        <v>177</v>
      </c>
      <c r="C131" t="s">
        <v>20</v>
      </c>
      <c r="D131" t="s">
        <v>21</v>
      </c>
      <c r="F131" s="6">
        <f t="shared" si="1"/>
        <v>118046864</v>
      </c>
      <c r="H131" s="6">
        <v>-5000000</v>
      </c>
      <c r="I131" t="s">
        <v>178</v>
      </c>
    </row>
    <row r="132" spans="1:9" x14ac:dyDescent="0.3">
      <c r="A132" s="4">
        <v>46136</v>
      </c>
      <c r="B132" t="s">
        <v>177</v>
      </c>
      <c r="C132" t="s">
        <v>20</v>
      </c>
      <c r="D132" t="s">
        <v>21</v>
      </c>
      <c r="F132" s="6">
        <f t="shared" si="1"/>
        <v>113046864</v>
      </c>
      <c r="H132" s="6">
        <v>-5000000</v>
      </c>
      <c r="I132" t="s">
        <v>178</v>
      </c>
    </row>
    <row r="133" spans="1:9" x14ac:dyDescent="0.3">
      <c r="A133" s="4">
        <v>46136</v>
      </c>
      <c r="B133" t="s">
        <v>177</v>
      </c>
      <c r="C133" t="s">
        <v>20</v>
      </c>
      <c r="D133" t="s">
        <v>21</v>
      </c>
      <c r="F133" s="6">
        <f t="shared" ref="F133:F196" si="2">+F132+G132+H132</f>
        <v>108046864</v>
      </c>
      <c r="H133" s="6">
        <v>-5000000</v>
      </c>
      <c r="I133" t="s">
        <v>178</v>
      </c>
    </row>
    <row r="134" spans="1:9" x14ac:dyDescent="0.3">
      <c r="A134" s="4">
        <v>46136</v>
      </c>
      <c r="B134" t="s">
        <v>177</v>
      </c>
      <c r="C134" t="s">
        <v>20</v>
      </c>
      <c r="D134" t="s">
        <v>21</v>
      </c>
      <c r="F134" s="6">
        <f t="shared" si="2"/>
        <v>103046864</v>
      </c>
      <c r="H134" s="6">
        <v>-5000000</v>
      </c>
      <c r="I134" t="s">
        <v>178</v>
      </c>
    </row>
    <row r="135" spans="1:9" x14ac:dyDescent="0.3">
      <c r="A135" s="4">
        <v>46136</v>
      </c>
      <c r="B135" t="s">
        <v>177</v>
      </c>
      <c r="C135" t="s">
        <v>20</v>
      </c>
      <c r="D135" t="s">
        <v>21</v>
      </c>
      <c r="F135" s="6">
        <f t="shared" si="2"/>
        <v>98046864</v>
      </c>
      <c r="H135" s="6">
        <v>-5000000</v>
      </c>
      <c r="I135" t="s">
        <v>178</v>
      </c>
    </row>
    <row r="136" spans="1:9" x14ac:dyDescent="0.3">
      <c r="A136" s="4">
        <v>46136</v>
      </c>
      <c r="B136" t="s">
        <v>177</v>
      </c>
      <c r="C136" t="s">
        <v>20</v>
      </c>
      <c r="D136" t="s">
        <v>21</v>
      </c>
      <c r="F136" s="6">
        <f t="shared" si="2"/>
        <v>93046864</v>
      </c>
      <c r="H136" s="6">
        <v>-5000000</v>
      </c>
      <c r="I136" t="s">
        <v>178</v>
      </c>
    </row>
    <row r="137" spans="1:9" x14ac:dyDescent="0.3">
      <c r="A137" s="4">
        <v>46136</v>
      </c>
      <c r="B137" t="s">
        <v>177</v>
      </c>
      <c r="C137" t="s">
        <v>20</v>
      </c>
      <c r="D137" t="s">
        <v>21</v>
      </c>
      <c r="F137" s="6">
        <f t="shared" si="2"/>
        <v>88046864</v>
      </c>
      <c r="H137" s="6">
        <v>-5000000</v>
      </c>
      <c r="I137" t="s">
        <v>178</v>
      </c>
    </row>
    <row r="138" spans="1:9" x14ac:dyDescent="0.3">
      <c r="A138" s="4">
        <v>46136</v>
      </c>
      <c r="B138" t="s">
        <v>88</v>
      </c>
      <c r="C138" t="s">
        <v>10</v>
      </c>
      <c r="F138" s="6">
        <f t="shared" si="2"/>
        <v>83046864</v>
      </c>
      <c r="H138" s="6">
        <v>-165500</v>
      </c>
      <c r="I138" t="s">
        <v>179</v>
      </c>
    </row>
    <row r="139" spans="1:9" x14ac:dyDescent="0.3">
      <c r="A139" s="4">
        <v>46139</v>
      </c>
      <c r="B139" t="s">
        <v>177</v>
      </c>
      <c r="C139" t="s">
        <v>20</v>
      </c>
      <c r="D139" t="s">
        <v>21</v>
      </c>
      <c r="F139" s="6">
        <f t="shared" si="2"/>
        <v>82881364</v>
      </c>
      <c r="H139" s="6">
        <v>-5000000</v>
      </c>
      <c r="I139" t="s">
        <v>178</v>
      </c>
    </row>
    <row r="140" spans="1:9" x14ac:dyDescent="0.3">
      <c r="A140" s="4">
        <v>46139</v>
      </c>
      <c r="B140" t="s">
        <v>177</v>
      </c>
      <c r="C140" t="s">
        <v>20</v>
      </c>
      <c r="D140" t="s">
        <v>21</v>
      </c>
      <c r="F140" s="6">
        <f t="shared" si="2"/>
        <v>77881364</v>
      </c>
      <c r="H140" s="6">
        <v>-5000000</v>
      </c>
      <c r="I140" t="s">
        <v>178</v>
      </c>
    </row>
    <row r="141" spans="1:9" x14ac:dyDescent="0.3">
      <c r="A141" s="4">
        <v>46139</v>
      </c>
      <c r="B141" t="s">
        <v>177</v>
      </c>
      <c r="C141" t="s">
        <v>20</v>
      </c>
      <c r="D141" t="s">
        <v>21</v>
      </c>
      <c r="F141" s="6">
        <f t="shared" si="2"/>
        <v>72881364</v>
      </c>
      <c r="H141" s="6">
        <v>-5000000</v>
      </c>
      <c r="I141" t="s">
        <v>178</v>
      </c>
    </row>
    <row r="142" spans="1:9" x14ac:dyDescent="0.3">
      <c r="A142" s="4">
        <v>46139</v>
      </c>
      <c r="B142" t="s">
        <v>177</v>
      </c>
      <c r="C142" t="s">
        <v>20</v>
      </c>
      <c r="D142" t="s">
        <v>21</v>
      </c>
      <c r="F142" s="6">
        <f t="shared" si="2"/>
        <v>67881364</v>
      </c>
      <c r="H142" s="6">
        <v>-5000000</v>
      </c>
      <c r="I142" t="s">
        <v>178</v>
      </c>
    </row>
    <row r="143" spans="1:9" x14ac:dyDescent="0.3">
      <c r="A143" s="4">
        <v>46139</v>
      </c>
      <c r="B143" t="s">
        <v>177</v>
      </c>
      <c r="C143" t="s">
        <v>20</v>
      </c>
      <c r="D143" t="s">
        <v>21</v>
      </c>
      <c r="F143" s="6">
        <f t="shared" si="2"/>
        <v>62881364</v>
      </c>
      <c r="H143" s="6">
        <v>-5000000</v>
      </c>
      <c r="I143" t="s">
        <v>178</v>
      </c>
    </row>
    <row r="144" spans="1:9" x14ac:dyDescent="0.3">
      <c r="A144" s="4">
        <v>46139</v>
      </c>
      <c r="B144" t="s">
        <v>177</v>
      </c>
      <c r="C144" t="s">
        <v>20</v>
      </c>
      <c r="D144" t="s">
        <v>21</v>
      </c>
      <c r="F144" s="6">
        <f t="shared" si="2"/>
        <v>57881364</v>
      </c>
      <c r="H144" s="6">
        <v>-5000000</v>
      </c>
      <c r="I144" t="s">
        <v>178</v>
      </c>
    </row>
    <row r="145" spans="1:9" x14ac:dyDescent="0.3">
      <c r="A145" s="4">
        <v>46139</v>
      </c>
      <c r="B145" t="s">
        <v>177</v>
      </c>
      <c r="C145" t="s">
        <v>20</v>
      </c>
      <c r="D145" t="s">
        <v>21</v>
      </c>
      <c r="F145" s="6">
        <f t="shared" si="2"/>
        <v>52881364</v>
      </c>
      <c r="H145" s="6">
        <v>-5000000</v>
      </c>
      <c r="I145" t="s">
        <v>178</v>
      </c>
    </row>
    <row r="146" spans="1:9" x14ac:dyDescent="0.3">
      <c r="A146" s="4">
        <v>46139</v>
      </c>
      <c r="B146" t="s">
        <v>177</v>
      </c>
      <c r="C146" t="s">
        <v>20</v>
      </c>
      <c r="D146" t="s">
        <v>21</v>
      </c>
      <c r="F146" s="6">
        <f t="shared" si="2"/>
        <v>47881364</v>
      </c>
      <c r="H146" s="6">
        <v>-5000000</v>
      </c>
      <c r="I146" t="s">
        <v>178</v>
      </c>
    </row>
    <row r="147" spans="1:9" x14ac:dyDescent="0.3">
      <c r="A147" s="4">
        <v>46139</v>
      </c>
      <c r="B147" t="s">
        <v>177</v>
      </c>
      <c r="C147" t="s">
        <v>20</v>
      </c>
      <c r="D147" t="s">
        <v>21</v>
      </c>
      <c r="F147" s="6">
        <f t="shared" si="2"/>
        <v>42881364</v>
      </c>
      <c r="H147" s="6">
        <v>-5000000</v>
      </c>
      <c r="I147" t="s">
        <v>178</v>
      </c>
    </row>
    <row r="148" spans="1:9" x14ac:dyDescent="0.3">
      <c r="A148" s="4">
        <v>46139</v>
      </c>
      <c r="B148" t="s">
        <v>177</v>
      </c>
      <c r="C148" t="s">
        <v>20</v>
      </c>
      <c r="D148" t="s">
        <v>21</v>
      </c>
      <c r="F148" s="6">
        <f t="shared" si="2"/>
        <v>37881364</v>
      </c>
      <c r="H148" s="6">
        <v>-5000000</v>
      </c>
      <c r="I148" t="s">
        <v>178</v>
      </c>
    </row>
    <row r="149" spans="1:9" x14ac:dyDescent="0.3">
      <c r="A149" s="4">
        <v>46139</v>
      </c>
      <c r="B149" t="s">
        <v>177</v>
      </c>
      <c r="C149" t="s">
        <v>20</v>
      </c>
      <c r="D149" t="s">
        <v>21</v>
      </c>
      <c r="F149" s="6">
        <f t="shared" si="2"/>
        <v>32881364</v>
      </c>
      <c r="H149" s="6">
        <v>-5000000</v>
      </c>
      <c r="I149" t="s">
        <v>178</v>
      </c>
    </row>
    <row r="150" spans="1:9" x14ac:dyDescent="0.3">
      <c r="A150" s="4">
        <v>46139</v>
      </c>
      <c r="B150" t="s">
        <v>177</v>
      </c>
      <c r="C150" t="s">
        <v>20</v>
      </c>
      <c r="D150" t="s">
        <v>21</v>
      </c>
      <c r="F150" s="6">
        <f t="shared" si="2"/>
        <v>27881364</v>
      </c>
      <c r="H150" s="6">
        <v>-5000000</v>
      </c>
      <c r="I150" t="s">
        <v>178</v>
      </c>
    </row>
    <row r="151" spans="1:9" x14ac:dyDescent="0.3">
      <c r="A151" s="4">
        <v>46139</v>
      </c>
      <c r="B151" t="s">
        <v>177</v>
      </c>
      <c r="C151" t="s">
        <v>20</v>
      </c>
      <c r="D151" t="s">
        <v>21</v>
      </c>
      <c r="F151" s="6">
        <f t="shared" si="2"/>
        <v>22881364</v>
      </c>
      <c r="H151" s="6">
        <v>-5000000</v>
      </c>
      <c r="I151" t="s">
        <v>178</v>
      </c>
    </row>
    <row r="152" spans="1:9" x14ac:dyDescent="0.3">
      <c r="A152" s="4">
        <v>46139</v>
      </c>
      <c r="B152" t="s">
        <v>177</v>
      </c>
      <c r="C152" t="s">
        <v>20</v>
      </c>
      <c r="D152" t="s">
        <v>21</v>
      </c>
      <c r="F152" s="6">
        <f t="shared" si="2"/>
        <v>17881364</v>
      </c>
      <c r="H152" s="6">
        <v>-5000000</v>
      </c>
      <c r="I152" t="s">
        <v>178</v>
      </c>
    </row>
    <row r="153" spans="1:9" x14ac:dyDescent="0.3">
      <c r="A153" s="4">
        <v>46139</v>
      </c>
      <c r="B153" t="s">
        <v>177</v>
      </c>
      <c r="C153" t="s">
        <v>20</v>
      </c>
      <c r="D153" t="s">
        <v>21</v>
      </c>
      <c r="F153" s="6">
        <f t="shared" si="2"/>
        <v>12881364</v>
      </c>
      <c r="H153" s="6">
        <v>-5000000</v>
      </c>
      <c r="I153" t="s">
        <v>178</v>
      </c>
    </row>
    <row r="154" spans="1:9" x14ac:dyDescent="0.3">
      <c r="A154" s="4">
        <v>46140</v>
      </c>
      <c r="B154" t="s">
        <v>134</v>
      </c>
      <c r="C154" t="s">
        <v>9</v>
      </c>
      <c r="F154" s="6">
        <f t="shared" si="2"/>
        <v>7881364</v>
      </c>
      <c r="H154" s="6">
        <v>-142800</v>
      </c>
      <c r="I154" t="s">
        <v>180</v>
      </c>
    </row>
    <row r="155" spans="1:9" x14ac:dyDescent="0.3">
      <c r="A155" s="4">
        <v>46141</v>
      </c>
      <c r="B155" t="s">
        <v>90</v>
      </c>
      <c r="C155" t="s">
        <v>12</v>
      </c>
      <c r="E155" t="s">
        <v>57</v>
      </c>
      <c r="F155" s="6">
        <f t="shared" si="2"/>
        <v>7738564</v>
      </c>
      <c r="G155" s="6">
        <v>2044248</v>
      </c>
      <c r="I155" t="s">
        <v>190</v>
      </c>
    </row>
    <row r="156" spans="1:9" x14ac:dyDescent="0.3">
      <c r="A156" s="4">
        <v>46142</v>
      </c>
      <c r="B156" t="s">
        <v>92</v>
      </c>
      <c r="C156" t="s">
        <v>12</v>
      </c>
      <c r="E156" t="s">
        <v>55</v>
      </c>
      <c r="F156" s="6">
        <f t="shared" si="2"/>
        <v>9782812</v>
      </c>
      <c r="G156" s="6">
        <v>276336</v>
      </c>
      <c r="I156" t="s">
        <v>186</v>
      </c>
    </row>
    <row r="157" spans="1:9" x14ac:dyDescent="0.3">
      <c r="A157" s="4">
        <v>46142</v>
      </c>
      <c r="B157" t="s">
        <v>59</v>
      </c>
      <c r="C157" t="s">
        <v>16</v>
      </c>
      <c r="F157" s="6">
        <f t="shared" si="2"/>
        <v>10059148</v>
      </c>
      <c r="H157" s="6">
        <v>-9000000</v>
      </c>
    </row>
    <row r="158" spans="1:9" x14ac:dyDescent="0.3">
      <c r="A158" s="4">
        <v>46142</v>
      </c>
      <c r="B158" t="s">
        <v>91</v>
      </c>
      <c r="C158" t="s">
        <v>12</v>
      </c>
      <c r="E158" t="s">
        <v>47</v>
      </c>
      <c r="F158" s="6">
        <f t="shared" si="2"/>
        <v>1059148</v>
      </c>
      <c r="G158" s="6">
        <v>418854</v>
      </c>
      <c r="I158" t="s">
        <v>192</v>
      </c>
    </row>
    <row r="159" spans="1:9" x14ac:dyDescent="0.3">
      <c r="A159" s="4">
        <v>46146</v>
      </c>
      <c r="B159" t="s">
        <v>75</v>
      </c>
      <c r="C159" t="s">
        <v>12</v>
      </c>
      <c r="E159" t="s">
        <v>70</v>
      </c>
      <c r="F159" s="6">
        <f t="shared" si="2"/>
        <v>1478002</v>
      </c>
      <c r="G159" s="6">
        <v>579737</v>
      </c>
      <c r="I159" t="s">
        <v>183</v>
      </c>
    </row>
    <row r="160" spans="1:9" x14ac:dyDescent="0.3">
      <c r="A160" s="4">
        <v>46146</v>
      </c>
      <c r="B160" t="s">
        <v>89</v>
      </c>
      <c r="C160" t="s">
        <v>12</v>
      </c>
      <c r="E160" t="s">
        <v>94</v>
      </c>
      <c r="F160" s="6">
        <f t="shared" si="2"/>
        <v>2057739</v>
      </c>
      <c r="G160" s="6">
        <v>757470</v>
      </c>
      <c r="I160" t="s">
        <v>191</v>
      </c>
    </row>
    <row r="161" spans="1:9" x14ac:dyDescent="0.3">
      <c r="A161" s="4">
        <v>46146</v>
      </c>
      <c r="B161" t="s">
        <v>68</v>
      </c>
      <c r="C161" t="s">
        <v>12</v>
      </c>
      <c r="E161" t="s">
        <v>73</v>
      </c>
      <c r="F161" s="6">
        <f t="shared" si="2"/>
        <v>2815209</v>
      </c>
      <c r="G161" s="6">
        <v>568500</v>
      </c>
      <c r="I161" t="s">
        <v>185</v>
      </c>
    </row>
    <row r="162" spans="1:9" x14ac:dyDescent="0.3">
      <c r="A162" s="4">
        <v>46146</v>
      </c>
      <c r="B162" t="s">
        <v>69</v>
      </c>
      <c r="C162" t="s">
        <v>12</v>
      </c>
      <c r="E162" t="s">
        <v>74</v>
      </c>
      <c r="F162" s="6">
        <f t="shared" si="2"/>
        <v>3383709</v>
      </c>
      <c r="G162" s="6">
        <v>341536</v>
      </c>
      <c r="I162" t="s">
        <v>188</v>
      </c>
    </row>
    <row r="163" spans="1:9" x14ac:dyDescent="0.3">
      <c r="A163" s="4">
        <v>46146</v>
      </c>
      <c r="B163" t="s">
        <v>181</v>
      </c>
      <c r="C163" t="s">
        <v>12</v>
      </c>
      <c r="F163" s="6">
        <f t="shared" si="2"/>
        <v>3725245</v>
      </c>
      <c r="G163" s="6">
        <v>250000</v>
      </c>
      <c r="I163" t="s">
        <v>182</v>
      </c>
    </row>
    <row r="164" spans="1:9" x14ac:dyDescent="0.3">
      <c r="A164" s="4">
        <v>46146</v>
      </c>
      <c r="B164" t="s">
        <v>131</v>
      </c>
      <c r="C164" t="s">
        <v>12</v>
      </c>
      <c r="E164" t="s">
        <v>52</v>
      </c>
      <c r="F164" s="6">
        <f t="shared" si="2"/>
        <v>3975245</v>
      </c>
      <c r="G164" s="6">
        <v>413160</v>
      </c>
      <c r="I164" t="s">
        <v>187</v>
      </c>
    </row>
    <row r="165" spans="1:9" x14ac:dyDescent="0.3">
      <c r="A165" s="4">
        <v>46146</v>
      </c>
      <c r="B165" t="s">
        <v>36</v>
      </c>
      <c r="C165" t="s">
        <v>9</v>
      </c>
      <c r="F165" s="6">
        <f t="shared" si="2"/>
        <v>4388405</v>
      </c>
      <c r="H165" s="6">
        <v>-100000</v>
      </c>
      <c r="I165" t="s">
        <v>77</v>
      </c>
    </row>
    <row r="166" spans="1:9" x14ac:dyDescent="0.3">
      <c r="A166" s="4">
        <v>46146</v>
      </c>
      <c r="B166" t="s">
        <v>56</v>
      </c>
      <c r="C166" t="s">
        <v>13</v>
      </c>
      <c r="F166" s="6">
        <f t="shared" si="2"/>
        <v>4288405</v>
      </c>
      <c r="H166" s="6">
        <v>-750000</v>
      </c>
    </row>
    <row r="167" spans="1:9" x14ac:dyDescent="0.3">
      <c r="A167" s="4">
        <v>46147</v>
      </c>
      <c r="B167" t="s">
        <v>58</v>
      </c>
      <c r="C167" t="s">
        <v>13</v>
      </c>
      <c r="F167" s="6">
        <f t="shared" si="2"/>
        <v>3538405</v>
      </c>
      <c r="H167" s="6">
        <v>-228121</v>
      </c>
    </row>
    <row r="168" spans="1:9" x14ac:dyDescent="0.3">
      <c r="A168" s="4">
        <v>46147</v>
      </c>
      <c r="B168" t="s">
        <v>35</v>
      </c>
      <c r="C168" t="s">
        <v>12</v>
      </c>
      <c r="E168" t="s">
        <v>43</v>
      </c>
      <c r="F168" s="6">
        <f t="shared" si="2"/>
        <v>3310284</v>
      </c>
      <c r="G168" s="6">
        <v>666068</v>
      </c>
    </row>
    <row r="169" spans="1:9" x14ac:dyDescent="0.3">
      <c r="A169" s="4">
        <v>46147</v>
      </c>
      <c r="B169" t="s">
        <v>49</v>
      </c>
      <c r="C169" t="s">
        <v>12</v>
      </c>
      <c r="E169" t="s">
        <v>40</v>
      </c>
      <c r="F169" s="6">
        <f t="shared" si="2"/>
        <v>3976352</v>
      </c>
      <c r="G169" s="6">
        <v>546754</v>
      </c>
    </row>
    <row r="170" spans="1:9" x14ac:dyDescent="0.3">
      <c r="A170" s="4">
        <v>46147</v>
      </c>
      <c r="B170" t="s">
        <v>85</v>
      </c>
      <c r="C170" t="s">
        <v>12</v>
      </c>
      <c r="E170" t="s">
        <v>71</v>
      </c>
      <c r="F170" s="6">
        <f t="shared" si="2"/>
        <v>4523106</v>
      </c>
      <c r="G170" s="6">
        <v>580699</v>
      </c>
    </row>
    <row r="171" spans="1:9" x14ac:dyDescent="0.3">
      <c r="A171" s="4">
        <v>46147</v>
      </c>
      <c r="B171" t="s">
        <v>36</v>
      </c>
      <c r="C171" t="s">
        <v>9</v>
      </c>
      <c r="F171" s="6">
        <f t="shared" si="2"/>
        <v>5103805</v>
      </c>
      <c r="H171" s="6">
        <v>-5000000</v>
      </c>
      <c r="I171" t="s">
        <v>176</v>
      </c>
    </row>
    <row r="172" spans="1:9" x14ac:dyDescent="0.3">
      <c r="A172" s="4">
        <v>46147</v>
      </c>
      <c r="B172" t="s">
        <v>193</v>
      </c>
      <c r="C172" t="s">
        <v>10</v>
      </c>
      <c r="F172" s="6">
        <f t="shared" si="2"/>
        <v>103805</v>
      </c>
      <c r="G172" s="6">
        <v>165500</v>
      </c>
      <c r="I172" t="s">
        <v>196</v>
      </c>
    </row>
    <row r="173" spans="1:9" x14ac:dyDescent="0.3">
      <c r="A173" s="4">
        <v>46149</v>
      </c>
      <c r="B173" t="s">
        <v>50</v>
      </c>
      <c r="C173" t="s">
        <v>12</v>
      </c>
      <c r="E173" t="s">
        <v>51</v>
      </c>
      <c r="F173" s="6">
        <f t="shared" si="2"/>
        <v>269305</v>
      </c>
      <c r="G173" s="6">
        <v>743948</v>
      </c>
    </row>
    <row r="174" spans="1:9" x14ac:dyDescent="0.3">
      <c r="A174" s="4">
        <v>46149</v>
      </c>
      <c r="B174" t="s">
        <v>110</v>
      </c>
      <c r="C174" t="s">
        <v>16</v>
      </c>
      <c r="F174" s="6">
        <f t="shared" si="2"/>
        <v>1013253</v>
      </c>
      <c r="G174" s="6">
        <v>950000</v>
      </c>
    </row>
    <row r="175" spans="1:9" x14ac:dyDescent="0.3">
      <c r="A175" s="4">
        <v>46149</v>
      </c>
      <c r="B175" t="s">
        <v>172</v>
      </c>
      <c r="C175" t="s">
        <v>9</v>
      </c>
      <c r="F175" s="6">
        <f t="shared" si="2"/>
        <v>1963253</v>
      </c>
      <c r="H175" s="6">
        <v>-453400</v>
      </c>
    </row>
    <row r="176" spans="1:9" x14ac:dyDescent="0.3">
      <c r="A176" s="4">
        <v>46149</v>
      </c>
      <c r="B176" t="s">
        <v>130</v>
      </c>
      <c r="C176" t="s">
        <v>10</v>
      </c>
      <c r="F176" s="6">
        <f t="shared" si="2"/>
        <v>1509853</v>
      </c>
      <c r="H176" s="6">
        <v>-90000</v>
      </c>
    </row>
    <row r="177" spans="1:9" x14ac:dyDescent="0.3">
      <c r="A177" s="4">
        <v>46150</v>
      </c>
      <c r="B177" t="s">
        <v>56</v>
      </c>
      <c r="C177" t="s">
        <v>9</v>
      </c>
      <c r="F177" s="6">
        <f t="shared" si="2"/>
        <v>1419853</v>
      </c>
      <c r="H177" s="6">
        <v>-401820</v>
      </c>
      <c r="I177" t="s">
        <v>60</v>
      </c>
    </row>
    <row r="178" spans="1:9" x14ac:dyDescent="0.3">
      <c r="A178" s="4">
        <v>46150</v>
      </c>
      <c r="B178" t="s">
        <v>130</v>
      </c>
      <c r="C178" t="s">
        <v>10</v>
      </c>
      <c r="F178" s="6">
        <f t="shared" si="2"/>
        <v>1018033</v>
      </c>
      <c r="H178" s="6">
        <v>-10000</v>
      </c>
    </row>
    <row r="179" spans="1:9" x14ac:dyDescent="0.3">
      <c r="A179" s="4">
        <v>46150</v>
      </c>
      <c r="B179" t="s">
        <v>86</v>
      </c>
      <c r="C179" t="s">
        <v>14</v>
      </c>
      <c r="F179" s="6">
        <f t="shared" si="2"/>
        <v>1008033</v>
      </c>
      <c r="H179" s="6">
        <v>-149982</v>
      </c>
      <c r="I179" t="s">
        <v>121</v>
      </c>
    </row>
    <row r="180" spans="1:9" x14ac:dyDescent="0.3">
      <c r="A180" s="4">
        <v>46150</v>
      </c>
      <c r="B180" t="s">
        <v>130</v>
      </c>
      <c r="C180" t="s">
        <v>10</v>
      </c>
      <c r="F180" s="6">
        <f t="shared" si="2"/>
        <v>858051</v>
      </c>
      <c r="H180" s="6">
        <v>-155000</v>
      </c>
    </row>
    <row r="181" spans="1:9" x14ac:dyDescent="0.3">
      <c r="A181" s="4">
        <v>46154</v>
      </c>
      <c r="B181" t="s">
        <v>173</v>
      </c>
      <c r="C181" t="s">
        <v>9</v>
      </c>
      <c r="F181" s="6">
        <f t="shared" si="2"/>
        <v>703051</v>
      </c>
      <c r="H181" s="6">
        <v>-112263</v>
      </c>
    </row>
    <row r="182" spans="1:9" x14ac:dyDescent="0.3">
      <c r="A182" s="4">
        <v>46155</v>
      </c>
      <c r="B182" t="s">
        <v>181</v>
      </c>
      <c r="C182" t="s">
        <v>12</v>
      </c>
      <c r="F182" s="6">
        <f t="shared" si="2"/>
        <v>590788</v>
      </c>
      <c r="G182" s="6">
        <v>5000000</v>
      </c>
      <c r="I182" t="s">
        <v>197</v>
      </c>
    </row>
    <row r="183" spans="1:9" x14ac:dyDescent="0.3">
      <c r="A183" s="4">
        <v>46155</v>
      </c>
      <c r="B183" t="s">
        <v>194</v>
      </c>
      <c r="C183" t="s">
        <v>12</v>
      </c>
      <c r="F183" s="6">
        <f t="shared" si="2"/>
        <v>5590788</v>
      </c>
      <c r="G183" s="6">
        <v>200000</v>
      </c>
      <c r="I183" t="s">
        <v>198</v>
      </c>
    </row>
    <row r="184" spans="1:9" x14ac:dyDescent="0.3">
      <c r="A184" s="4">
        <v>46156</v>
      </c>
      <c r="B184" t="s">
        <v>181</v>
      </c>
      <c r="C184" t="s">
        <v>12</v>
      </c>
      <c r="F184" s="6">
        <f t="shared" si="2"/>
        <v>5790788</v>
      </c>
      <c r="G184" s="6">
        <v>5000000</v>
      </c>
      <c r="I184" t="s">
        <v>197</v>
      </c>
    </row>
    <row r="185" spans="1:9" x14ac:dyDescent="0.3">
      <c r="A185" s="4">
        <v>46156</v>
      </c>
      <c r="B185" t="s">
        <v>89</v>
      </c>
      <c r="C185" t="s">
        <v>12</v>
      </c>
      <c r="E185" t="s">
        <v>94</v>
      </c>
      <c r="F185" s="6">
        <f t="shared" si="2"/>
        <v>10790788</v>
      </c>
      <c r="G185" s="6">
        <v>761001</v>
      </c>
    </row>
    <row r="186" spans="1:9" x14ac:dyDescent="0.3">
      <c r="A186" s="4">
        <v>46157</v>
      </c>
      <c r="B186" t="s">
        <v>181</v>
      </c>
      <c r="C186" t="s">
        <v>12</v>
      </c>
      <c r="F186" s="6">
        <f t="shared" si="2"/>
        <v>11551789</v>
      </c>
      <c r="G186" s="6">
        <v>5000000</v>
      </c>
      <c r="I186" t="s">
        <v>197</v>
      </c>
    </row>
    <row r="187" spans="1:9" x14ac:dyDescent="0.3">
      <c r="A187" s="4">
        <v>46157</v>
      </c>
      <c r="B187" t="s">
        <v>195</v>
      </c>
      <c r="C187" t="s">
        <v>14</v>
      </c>
      <c r="F187" s="6">
        <f t="shared" si="2"/>
        <v>16551789</v>
      </c>
      <c r="G187" s="6">
        <v>460166</v>
      </c>
    </row>
    <row r="188" spans="1:9" x14ac:dyDescent="0.3">
      <c r="A188" s="4">
        <v>46160</v>
      </c>
      <c r="B188" t="s">
        <v>181</v>
      </c>
      <c r="C188" t="s">
        <v>12</v>
      </c>
      <c r="F188" s="6">
        <f t="shared" si="2"/>
        <v>17011955</v>
      </c>
      <c r="G188" s="6">
        <v>5000000</v>
      </c>
      <c r="I188" t="s">
        <v>197</v>
      </c>
    </row>
    <row r="189" spans="1:9" x14ac:dyDescent="0.3">
      <c r="A189" s="4">
        <v>46160</v>
      </c>
      <c r="B189" t="s">
        <v>181</v>
      </c>
      <c r="C189" t="s">
        <v>12</v>
      </c>
      <c r="F189" s="6">
        <f t="shared" si="2"/>
        <v>22011955</v>
      </c>
      <c r="G189" s="6">
        <v>5000000</v>
      </c>
      <c r="I189" t="s">
        <v>197</v>
      </c>
    </row>
    <row r="190" spans="1:9" x14ac:dyDescent="0.3">
      <c r="A190" s="4">
        <v>46160</v>
      </c>
      <c r="B190" t="s">
        <v>59</v>
      </c>
      <c r="C190" t="s">
        <v>16</v>
      </c>
      <c r="F190" s="6">
        <f t="shared" si="2"/>
        <v>27011955</v>
      </c>
      <c r="H190" s="6">
        <v>-26000000</v>
      </c>
    </row>
    <row r="191" spans="1:9" x14ac:dyDescent="0.3">
      <c r="A191" s="4">
        <v>46161</v>
      </c>
      <c r="B191" t="s">
        <v>181</v>
      </c>
      <c r="C191" t="s">
        <v>12</v>
      </c>
      <c r="F191" s="6">
        <f t="shared" si="2"/>
        <v>1011955</v>
      </c>
      <c r="G191" s="6">
        <v>1250000</v>
      </c>
      <c r="I191" t="s">
        <v>197</v>
      </c>
    </row>
    <row r="192" spans="1:9" x14ac:dyDescent="0.3">
      <c r="A192" s="4">
        <v>46167</v>
      </c>
      <c r="B192" t="s">
        <v>92</v>
      </c>
      <c r="C192" t="s">
        <v>12</v>
      </c>
      <c r="E192" t="s">
        <v>55</v>
      </c>
      <c r="F192" s="6">
        <f t="shared" si="2"/>
        <v>2261955</v>
      </c>
      <c r="G192" s="6">
        <v>278760</v>
      </c>
    </row>
    <row r="193" spans="1:9" x14ac:dyDescent="0.3">
      <c r="A193" s="4">
        <v>46167</v>
      </c>
      <c r="B193" t="s">
        <v>132</v>
      </c>
      <c r="C193" t="s">
        <v>9</v>
      </c>
      <c r="F193" s="6">
        <f t="shared" si="2"/>
        <v>2540715</v>
      </c>
      <c r="H193" s="6">
        <v>-50000</v>
      </c>
      <c r="I193" t="s">
        <v>199</v>
      </c>
    </row>
    <row r="194" spans="1:9" x14ac:dyDescent="0.3">
      <c r="A194" s="4">
        <v>46169</v>
      </c>
      <c r="B194" t="s">
        <v>126</v>
      </c>
      <c r="C194" t="s">
        <v>12</v>
      </c>
      <c r="F194" s="6">
        <f t="shared" si="2"/>
        <v>2490715</v>
      </c>
      <c r="G194" s="6">
        <v>23529093</v>
      </c>
      <c r="I194" t="s">
        <v>200</v>
      </c>
    </row>
    <row r="195" spans="1:9" x14ac:dyDescent="0.3">
      <c r="A195" s="4">
        <v>46170</v>
      </c>
      <c r="B195" t="s">
        <v>59</v>
      </c>
      <c r="C195" t="s">
        <v>16</v>
      </c>
      <c r="F195" s="6">
        <f t="shared" si="2"/>
        <v>26019808</v>
      </c>
      <c r="H195" s="6">
        <v>-26000000</v>
      </c>
    </row>
    <row r="196" spans="1:9" x14ac:dyDescent="0.3">
      <c r="A196" s="4">
        <v>46174</v>
      </c>
      <c r="B196" t="s">
        <v>68</v>
      </c>
      <c r="C196" t="s">
        <v>12</v>
      </c>
      <c r="E196" t="s">
        <v>73</v>
      </c>
      <c r="F196" s="6">
        <f t="shared" si="2"/>
        <v>19808</v>
      </c>
      <c r="G196" s="6">
        <v>574976</v>
      </c>
    </row>
    <row r="197" spans="1:9" x14ac:dyDescent="0.3">
      <c r="A197" s="4">
        <v>46174</v>
      </c>
      <c r="B197" t="s">
        <v>69</v>
      </c>
      <c r="C197" t="s">
        <v>12</v>
      </c>
      <c r="E197" t="s">
        <v>74</v>
      </c>
      <c r="F197" s="6">
        <f t="shared" ref="F197:F202" si="3">+F196+G196+H196</f>
        <v>594784</v>
      </c>
      <c r="G197" s="6">
        <v>345741</v>
      </c>
    </row>
    <row r="198" spans="1:9" x14ac:dyDescent="0.3">
      <c r="F198" s="6">
        <f t="shared" si="3"/>
        <v>940525</v>
      </c>
    </row>
    <row r="199" spans="1:9" x14ac:dyDescent="0.3">
      <c r="F199" s="6">
        <f t="shared" si="3"/>
        <v>940525</v>
      </c>
    </row>
    <row r="200" spans="1:9" x14ac:dyDescent="0.3">
      <c r="F200" s="6">
        <f t="shared" si="3"/>
        <v>940525</v>
      </c>
    </row>
    <row r="201" spans="1:9" x14ac:dyDescent="0.3">
      <c r="F201" s="6">
        <f t="shared" si="3"/>
        <v>940525</v>
      </c>
    </row>
    <row r="202" spans="1:9" x14ac:dyDescent="0.3">
      <c r="F202" s="6">
        <f t="shared" si="3"/>
        <v>940525</v>
      </c>
    </row>
  </sheetData>
  <autoFilter ref="A1:AB299" xr:uid="{00000000-0001-0000-0000-000000000000}"/>
  <phoneticPr fontId="4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G2:G1048576" xr:uid="{B93CC2DC-B85D-4A9C-96C1-5B8E36862DE2}">
      <formula1>0</formula1>
    </dataValidation>
    <dataValidation type="decimal" operator="lessThan" allowBlank="1" showInputMessage="1" showErrorMessage="1" sqref="H2:H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F16C7B-3110-4343-BAD4-CFED7211F3D3}">
          <x14:formula1>
            <xm:f>CATEGORIAS!$A$2:$A$13</xm:f>
          </x14:formula1>
          <xm:sqref>C210:C1048576 C2:C201</xm:sqref>
        </x14:dataValidation>
        <x14:dataValidation type="list" allowBlank="1" showInputMessage="1" showErrorMessage="1" xr:uid="{9414D1A0-62F3-4199-830F-802B44E96E89}">
          <x14:formula1>
            <xm:f>CATEGORIAS!$B$2:$B$15</xm:f>
          </x14:formula1>
          <xm:sqref>D210 D2:D201</xm:sqref>
        </x14:dataValidation>
        <x14:dataValidation type="list" allowBlank="1" showInputMessage="1" showErrorMessage="1" xr:uid="{97183FCB-5E04-406F-A652-05545E5A74DD}">
          <x14:formula1>
            <xm:f>CATEGORIAS!$C:$C</xm:f>
          </x14:formula1>
          <xm:sqref>E2:E201 E210:E1222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C21"/>
  <sheetViews>
    <sheetView workbookViewId="0">
      <selection activeCell="C22" sqref="C22"/>
    </sheetView>
  </sheetViews>
  <sheetFormatPr defaultRowHeight="14.4" x14ac:dyDescent="0.3"/>
  <cols>
    <col min="1" max="1" width="28.5546875" bestFit="1" customWidth="1"/>
    <col min="2" max="2" width="19" customWidth="1"/>
    <col min="3" max="3" width="17.109375" bestFit="1" customWidth="1"/>
  </cols>
  <sheetData>
    <row r="1" spans="1:3" x14ac:dyDescent="0.3">
      <c r="A1" t="s">
        <v>1</v>
      </c>
      <c r="B1" t="s">
        <v>2</v>
      </c>
      <c r="C1" t="s">
        <v>39</v>
      </c>
    </row>
    <row r="2" spans="1:3" x14ac:dyDescent="0.3">
      <c r="A2" t="s">
        <v>19</v>
      </c>
      <c r="B2" t="s">
        <v>28</v>
      </c>
      <c r="C2" t="s">
        <v>40</v>
      </c>
    </row>
    <row r="3" spans="1:3" x14ac:dyDescent="0.3">
      <c r="A3" t="s">
        <v>16</v>
      </c>
      <c r="B3" t="s">
        <v>31</v>
      </c>
      <c r="C3" t="s">
        <v>41</v>
      </c>
    </row>
    <row r="4" spans="1:3" x14ac:dyDescent="0.3">
      <c r="A4" t="s">
        <v>9</v>
      </c>
      <c r="B4" t="s">
        <v>30</v>
      </c>
      <c r="C4" t="s">
        <v>55</v>
      </c>
    </row>
    <row r="5" spans="1:3" x14ac:dyDescent="0.3">
      <c r="A5" t="s">
        <v>14</v>
      </c>
      <c r="B5" t="s">
        <v>26</v>
      </c>
      <c r="C5" t="s">
        <v>42</v>
      </c>
    </row>
    <row r="6" spans="1:3" x14ac:dyDescent="0.3">
      <c r="A6" t="s">
        <v>18</v>
      </c>
      <c r="B6" t="s">
        <v>25</v>
      </c>
      <c r="C6" t="s">
        <v>43</v>
      </c>
    </row>
    <row r="7" spans="1:3" x14ac:dyDescent="0.3">
      <c r="A7" t="s">
        <v>11</v>
      </c>
      <c r="B7" t="s">
        <v>34</v>
      </c>
      <c r="C7" t="s">
        <v>44</v>
      </c>
    </row>
    <row r="8" spans="1:3" x14ac:dyDescent="0.3">
      <c r="A8" t="s">
        <v>10</v>
      </c>
      <c r="B8" t="s">
        <v>24</v>
      </c>
      <c r="C8" t="s">
        <v>45</v>
      </c>
    </row>
    <row r="9" spans="1:3" x14ac:dyDescent="0.3">
      <c r="A9" t="s">
        <v>15</v>
      </c>
      <c r="B9" t="s">
        <v>21</v>
      </c>
      <c r="C9" t="s">
        <v>46</v>
      </c>
    </row>
    <row r="10" spans="1:3" x14ac:dyDescent="0.3">
      <c r="A10" t="s">
        <v>20</v>
      </c>
      <c r="B10" t="s">
        <v>27</v>
      </c>
      <c r="C10" t="s">
        <v>47</v>
      </c>
    </row>
    <row r="11" spans="1:3" x14ac:dyDescent="0.3">
      <c r="A11" t="s">
        <v>17</v>
      </c>
      <c r="B11" t="s">
        <v>33</v>
      </c>
      <c r="C11" t="s">
        <v>48</v>
      </c>
    </row>
    <row r="12" spans="1:3" x14ac:dyDescent="0.3">
      <c r="A12" t="s">
        <v>13</v>
      </c>
      <c r="B12" t="s">
        <v>29</v>
      </c>
      <c r="C12" t="s">
        <v>51</v>
      </c>
    </row>
    <row r="13" spans="1:3" x14ac:dyDescent="0.3">
      <c r="A13" t="s">
        <v>12</v>
      </c>
      <c r="B13" t="s">
        <v>23</v>
      </c>
      <c r="C13" t="s">
        <v>52</v>
      </c>
    </row>
    <row r="14" spans="1:3" x14ac:dyDescent="0.3">
      <c r="B14" t="s">
        <v>32</v>
      </c>
      <c r="C14" t="s">
        <v>54</v>
      </c>
    </row>
    <row r="15" spans="1:3" x14ac:dyDescent="0.3">
      <c r="B15" t="s">
        <v>22</v>
      </c>
      <c r="C15" t="s">
        <v>57</v>
      </c>
    </row>
    <row r="16" spans="1:3" x14ac:dyDescent="0.3">
      <c r="C16" t="s">
        <v>70</v>
      </c>
    </row>
    <row r="17" spans="3:3" x14ac:dyDescent="0.3">
      <c r="C17" t="s">
        <v>71</v>
      </c>
    </row>
    <row r="18" spans="3:3" x14ac:dyDescent="0.3">
      <c r="C18" t="s">
        <v>72</v>
      </c>
    </row>
    <row r="19" spans="3:3" x14ac:dyDescent="0.3">
      <c r="C19" t="s">
        <v>73</v>
      </c>
    </row>
    <row r="20" spans="3:3" x14ac:dyDescent="0.3">
      <c r="C20" t="s">
        <v>74</v>
      </c>
    </row>
    <row r="21" spans="3:3" x14ac:dyDescent="0.3">
      <c r="C21" t="s">
        <v>94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6DC4-4610-476A-9ACA-07BA7375CAF6}">
  <dimension ref="B3:D19"/>
  <sheetViews>
    <sheetView workbookViewId="0">
      <selection activeCell="K12" sqref="K12"/>
    </sheetView>
  </sheetViews>
  <sheetFormatPr defaultRowHeight="14.4" x14ac:dyDescent="0.3"/>
  <cols>
    <col min="2" max="2" width="13.109375" bestFit="1" customWidth="1"/>
    <col min="3" max="3" width="16.6640625" bestFit="1" customWidth="1"/>
    <col min="4" max="4" width="17" bestFit="1" customWidth="1"/>
  </cols>
  <sheetData>
    <row r="3" spans="2:4" x14ac:dyDescent="0.3">
      <c r="B3" s="8" t="s">
        <v>62</v>
      </c>
      <c r="C3" t="s">
        <v>65</v>
      </c>
      <c r="D3" t="s">
        <v>66</v>
      </c>
    </row>
    <row r="4" spans="2:4" x14ac:dyDescent="0.3">
      <c r="B4" s="9" t="s">
        <v>16</v>
      </c>
      <c r="C4" s="10">
        <v>64630462</v>
      </c>
      <c r="D4" s="10">
        <v>-64500000</v>
      </c>
    </row>
    <row r="5" spans="2:4" x14ac:dyDescent="0.3">
      <c r="B5" s="9" t="s">
        <v>9</v>
      </c>
      <c r="C5" s="10"/>
      <c r="D5" s="10">
        <v>-75959756</v>
      </c>
    </row>
    <row r="6" spans="2:4" x14ac:dyDescent="0.3">
      <c r="B6" s="9" t="s">
        <v>14</v>
      </c>
      <c r="C6" s="10"/>
      <c r="D6" s="10">
        <v>-5389398</v>
      </c>
    </row>
    <row r="7" spans="2:4" x14ac:dyDescent="0.3">
      <c r="B7" s="9" t="s">
        <v>10</v>
      </c>
      <c r="C7" s="10"/>
      <c r="D7" s="10">
        <v>-1027600</v>
      </c>
    </row>
    <row r="8" spans="2:4" x14ac:dyDescent="0.3">
      <c r="B8" s="9" t="s">
        <v>20</v>
      </c>
      <c r="C8" s="10">
        <v>59151000</v>
      </c>
      <c r="D8" s="10">
        <v>-99859160</v>
      </c>
    </row>
    <row r="9" spans="2:4" x14ac:dyDescent="0.3">
      <c r="B9" s="9" t="s">
        <v>13</v>
      </c>
      <c r="C9" s="10"/>
      <c r="D9" s="10">
        <v>-2674483</v>
      </c>
    </row>
    <row r="10" spans="2:4" x14ac:dyDescent="0.3">
      <c r="B10" s="9" t="s">
        <v>12</v>
      </c>
      <c r="C10" s="10">
        <v>156114238</v>
      </c>
      <c r="D10" s="10">
        <v>-6542336</v>
      </c>
    </row>
    <row r="11" spans="2:4" x14ac:dyDescent="0.3">
      <c r="B11" s="9" t="s">
        <v>63</v>
      </c>
      <c r="C11" s="10">
        <v>568757</v>
      </c>
      <c r="D11" s="10">
        <v>-8810665</v>
      </c>
    </row>
    <row r="12" spans="2:4" x14ac:dyDescent="0.3">
      <c r="B12" s="9" t="s">
        <v>64</v>
      </c>
      <c r="C12" s="10">
        <v>280464457</v>
      </c>
      <c r="D12" s="10">
        <v>-264763398</v>
      </c>
    </row>
    <row r="16" spans="2:4" x14ac:dyDescent="0.3">
      <c r="B16" s="8" t="s">
        <v>62</v>
      </c>
      <c r="C16" t="s">
        <v>65</v>
      </c>
      <c r="D16" t="s">
        <v>66</v>
      </c>
    </row>
    <row r="17" spans="2:4" x14ac:dyDescent="0.3">
      <c r="B17" s="9" t="s">
        <v>21</v>
      </c>
      <c r="C17" s="10">
        <v>59151000</v>
      </c>
      <c r="D17" s="10">
        <v>-99859160</v>
      </c>
    </row>
    <row r="18" spans="2:4" x14ac:dyDescent="0.3">
      <c r="B18" s="9" t="s">
        <v>63</v>
      </c>
      <c r="C18" s="10">
        <v>221313457</v>
      </c>
      <c r="D18" s="10">
        <v>-164904238</v>
      </c>
    </row>
    <row r="19" spans="2:4" x14ac:dyDescent="0.3">
      <c r="B19" s="9" t="s">
        <v>64</v>
      </c>
      <c r="C19" s="10">
        <v>280464457</v>
      </c>
      <c r="D19" s="10">
        <v>-264763398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CATEGORIAS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2026-06-01T19:50:31Z</dcterms:modified>
</cp:coreProperties>
</file>
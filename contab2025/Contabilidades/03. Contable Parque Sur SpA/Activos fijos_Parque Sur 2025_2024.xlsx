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Desarrollos Ecox 2025\Contabilidades\03. Contable Parque Sur SpA\"/>
    </mc:Choice>
  </mc:AlternateContent>
  <xr:revisionPtr revIDLastSave="0" documentId="8_{BF50EF62-CD93-4945-84F4-5FAF24AC6E88}" xr6:coauthVersionLast="47" xr6:coauthVersionMax="47" xr10:uidLastSave="{00000000-0000-0000-0000-000000000000}"/>
  <bookViews>
    <workbookView xWindow="-28920" yWindow="-120" windowWidth="29040" windowHeight="15840" xr2:uid="{012E8048-B22C-49CB-9E73-0D5B0F3EAEF9}"/>
  </bookViews>
  <sheets>
    <sheet name="DEPRECIACION NORMAL este o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3" l="1"/>
  <c r="M40" i="3"/>
  <c r="M39" i="3"/>
  <c r="M29" i="3"/>
  <c r="M5" i="3"/>
  <c r="L39" i="3"/>
  <c r="L40" i="3"/>
  <c r="N40" i="3"/>
  <c r="N39" i="3"/>
  <c r="J40" i="3"/>
  <c r="J39" i="3"/>
  <c r="N29" i="3"/>
  <c r="N19" i="3"/>
  <c r="L20" i="3"/>
  <c r="L19" i="3"/>
  <c r="L18" i="3"/>
  <c r="L17" i="3"/>
  <c r="L16" i="3"/>
  <c r="L15" i="3"/>
  <c r="L14" i="3"/>
  <c r="L11" i="3"/>
  <c r="L12" i="3"/>
  <c r="L13" i="3"/>
  <c r="L10" i="3"/>
  <c r="L6" i="3"/>
  <c r="L7" i="3"/>
  <c r="L8" i="3"/>
  <c r="L9" i="3"/>
  <c r="L5" i="3"/>
  <c r="J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20" i="3"/>
  <c r="N5" i="3"/>
  <c r="G30" i="3" l="1"/>
  <c r="G21" i="3"/>
  <c r="I41" i="3" l="1"/>
  <c r="L41" i="3"/>
  <c r="I44" i="3" s="1"/>
  <c r="J45" i="3" s="1"/>
  <c r="M41" i="3"/>
  <c r="G41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20" i="3"/>
  <c r="I19" i="3"/>
  <c r="I29" i="3"/>
  <c r="I30" i="3" s="1"/>
  <c r="I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20" i="3"/>
  <c r="J19" i="3"/>
  <c r="J29" i="3"/>
  <c r="I21" i="3" l="1"/>
  <c r="M15" i="3"/>
  <c r="M9" i="3"/>
  <c r="L30" i="3"/>
  <c r="M19" i="3"/>
  <c r="M8" i="3"/>
  <c r="M14" i="3"/>
  <c r="M7" i="3"/>
  <c r="M13" i="3"/>
  <c r="M17" i="3"/>
  <c r="M12" i="3"/>
  <c r="M6" i="3"/>
  <c r="M16" i="3"/>
  <c r="M20" i="3"/>
  <c r="M18" i="3"/>
  <c r="M11" i="3"/>
  <c r="M10" i="3"/>
  <c r="M30" i="3"/>
  <c r="L21" i="3" l="1"/>
  <c r="I24" i="3" s="1"/>
  <c r="J25" i="3" s="1"/>
  <c r="M21" i="3"/>
  <c r="I33" i="3"/>
  <c r="J34" i="3" s="1"/>
</calcChain>
</file>

<file path=xl/sharedStrings.xml><?xml version="1.0" encoding="utf-8"?>
<sst xmlns="http://schemas.openxmlformats.org/spreadsheetml/2006/main" count="94" uniqueCount="45">
  <si>
    <t>COSTO INICIAL NETO</t>
  </si>
  <si>
    <t>FECHA COMPRA</t>
  </si>
  <si>
    <t>DESCRIPCION</t>
  </si>
  <si>
    <t>PLAT.TIJERA ELECTRICA 12 M</t>
  </si>
  <si>
    <t>PLATAFORMA TIJERA 14 MTS. ELEC. N/A W707</t>
  </si>
  <si>
    <t xml:space="preserve">VIDA UTIL </t>
  </si>
  <si>
    <t>RUT</t>
  </si>
  <si>
    <t>RAZON SOCIAL</t>
  </si>
  <si>
    <t>GENERAL ALQUILER DE MAQUINARIAS CHILE SA</t>
  </si>
  <si>
    <t>EMARESA INGENIEROS Y REPRESENTACIONES S.A</t>
  </si>
  <si>
    <t>76.106.956-K</t>
  </si>
  <si>
    <t>83.162.400-0</t>
  </si>
  <si>
    <t>Meses Uso</t>
  </si>
  <si>
    <t>Dep EJERCICIO</t>
  </si>
  <si>
    <t>DEP</t>
  </si>
  <si>
    <t>Grua Horquilla  FGZN25</t>
  </si>
  <si>
    <t>TIJERA ELECTRICA</t>
  </si>
  <si>
    <t>CARRO DE ARRASTRE</t>
  </si>
  <si>
    <t>Vehiculo Camioneta</t>
  </si>
  <si>
    <t>N° factura</t>
  </si>
  <si>
    <t>meses</t>
  </si>
  <si>
    <t>VALOR RESIDUAL O SALDO AÑO SIGTE.</t>
  </si>
  <si>
    <t>77.008.670-1</t>
  </si>
  <si>
    <t>76.524.465-K</t>
  </si>
  <si>
    <t>76.914.632-6</t>
  </si>
  <si>
    <t>76.914.632-7</t>
  </si>
  <si>
    <t>76.914.632-8</t>
  </si>
  <si>
    <t>76.914.632-9</t>
  </si>
  <si>
    <t>76.914.632-10</t>
  </si>
  <si>
    <t>76.914.632-11</t>
  </si>
  <si>
    <t>76.914.632-12</t>
  </si>
  <si>
    <t>76.914.632-13</t>
  </si>
  <si>
    <t>76.914.632-14</t>
  </si>
  <si>
    <t>79.771.890-4</t>
  </si>
  <si>
    <t>Metalmecanica Metalbert Limitada</t>
  </si>
  <si>
    <t>Equipos y Soluciones Logisticas SPA</t>
  </si>
  <si>
    <t>AHERN CHILE SPA</t>
  </si>
  <si>
    <t>Portillo S.A.</t>
  </si>
  <si>
    <t>VIENEN DEL AÑO 2024</t>
  </si>
  <si>
    <t>DEPRECIACION NORMAL ACTIVO FIJO AÑO 2025</t>
  </si>
  <si>
    <t>Monto neto</t>
  </si>
  <si>
    <t>DEPRECIACION</t>
  </si>
  <si>
    <t>depreciacion acumulada</t>
  </si>
  <si>
    <t>depreciacion acumulada VEHICULO</t>
  </si>
  <si>
    <t>saldo meses sin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</si>
</sst>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0" fontId="2" fillId="0" borderId="0" xfId="0" applyFont="1"/>
    <xf numFmtId="164" fontId="2" fillId="0" borderId="0" xfId="0" applyNumberFormat="1" applyFont="1"/>
    <xf numFmtId="164" fontId="3" fillId="0" borderId="0" xfId="1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1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1" applyNumberFormat="1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14" fontId="5" fillId="0" borderId="0" xfId="0" applyNumberFormat="1" applyFont="1"/>
    <xf numFmtId="0" fontId="5" fillId="0" borderId="0" xfId="1" applyNumberFormat="1" applyFont="1" applyAlignment="1">
      <alignment horizontal="center"/>
    </xf>
    <xf numFmtId="164" fontId="4" fillId="0" borderId="7" xfId="0" applyNumberFormat="1" applyFont="1" applyBorder="1"/>
    <xf numFmtId="0" fontId="5" fillId="0" borderId="1" xfId="0" applyFont="1" applyBorder="1"/>
    <xf numFmtId="0" fontId="5" fillId="0" borderId="2" xfId="0" applyFont="1" applyBorder="1"/>
    <xf numFmtId="164" fontId="5" fillId="0" borderId="2" xfId="1" applyNumberFormat="1" applyFont="1" applyBorder="1"/>
    <xf numFmtId="164" fontId="5" fillId="0" borderId="3" xfId="1" applyNumberFormat="1" applyFont="1" applyBorder="1"/>
    <xf numFmtId="0" fontId="5" fillId="0" borderId="4" xfId="0" applyFont="1" applyBorder="1"/>
    <xf numFmtId="0" fontId="5" fillId="0" borderId="5" xfId="0" applyFont="1" applyBorder="1"/>
    <xf numFmtId="164" fontId="5" fillId="0" borderId="5" xfId="1" applyNumberFormat="1" applyFont="1" applyBorder="1"/>
    <xf numFmtId="164" fontId="5" fillId="0" borderId="6" xfId="1" applyNumberFormat="1" applyFont="1" applyBorder="1"/>
    <xf numFmtId="164" fontId="5" fillId="0" borderId="7" xfId="1" applyNumberFormat="1" applyFont="1" applyBorder="1"/>
    <xf numFmtId="164" fontId="4" fillId="0" borderId="7" xfId="1" applyNumberFormat="1" applyFont="1" applyBorder="1"/>
    <xf numFmtId="164" fontId="4" fillId="0" borderId="0" xfId="1" applyNumberFormat="1" applyFont="1" applyBorder="1"/>
    <xf numFmtId="164" fontId="4" fillId="0" borderId="4" xfId="1" applyNumberFormat="1" applyFont="1" applyBorder="1"/>
    <xf numFmtId="164" fontId="5" fillId="0" borderId="1" xfId="1" applyNumberFormat="1" applyFont="1" applyBorder="1"/>
    <xf numFmtId="164" fontId="5" fillId="3" borderId="7" xfId="1" applyNumberFormat="1" applyFont="1" applyFill="1" applyBorder="1"/>
    <xf numFmtId="164" fontId="5" fillId="0" borderId="0" xfId="1" applyNumberFormat="1" applyFont="1" applyBorder="1"/>
    <xf numFmtId="164" fontId="5" fillId="4" borderId="0" xfId="1" applyNumberFormat="1" applyFont="1" applyFill="1" applyBorder="1"/>
    <xf numFmtId="14" fontId="4" fillId="5" borderId="0" xfId="1" applyNumberFormat="1" applyFont="1" applyFill="1"/>
    <xf numFmtId="14" fontId="4" fillId="6" borderId="0" xfId="0" applyNumberFormat="1" applyFont="1" applyFill="1"/>
    <xf numFmtId="14" fontId="4" fillId="6" borderId="0" xfId="0" applyNumberFormat="1" applyFont="1" applyFill="1" applyAlignment="1">
      <alignment horizontal="right" vertical="center" wrapText="1"/>
    </xf>
    <xf numFmtId="0" fontId="4" fillId="2" borderId="0" xfId="0" applyFont="1" applyFill="1"/>
    <xf numFmtId="0" fontId="4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B59B-5083-46C1-9241-26A5246B865A}">
  <sheetPr>
    <tabColor rgb="FFFF0000"/>
  </sheetPr>
  <dimension ref="B3:P48"/>
  <sheetViews>
    <sheetView tabSelected="1" workbookViewId="0">
      <selection activeCell="B1" sqref="B1"/>
    </sheetView>
  </sheetViews>
  <sheetFormatPr defaultColWidth="11.42578125" defaultRowHeight="15" x14ac:dyDescent="0.25"/>
  <cols>
    <col min="1" max="1" width="0.5703125" customWidth="1"/>
    <col min="2" max="2" width="10.140625" style="13" customWidth="1"/>
    <col min="3" max="3" width="19.28515625" style="13" customWidth="1"/>
    <col min="4" max="4" width="10.7109375" style="13" customWidth="1"/>
    <col min="5" max="5" width="27" style="13" customWidth="1"/>
    <col min="6" max="6" width="12.5703125" style="13" customWidth="1"/>
    <col min="7" max="7" width="13.7109375" style="13" bestFit="1" customWidth="1"/>
    <col min="8" max="8" width="10" style="13" customWidth="1"/>
    <col min="9" max="9" width="13.28515625" style="13" customWidth="1"/>
    <col min="10" max="10" width="11.5703125" style="13"/>
    <col min="11" max="11" width="8.7109375" style="13" customWidth="1"/>
    <col min="12" max="12" width="15.28515625" style="13" customWidth="1"/>
    <col min="13" max="15" width="11.5703125" style="13"/>
    <col min="16" max="16" width="11.5703125" style="1"/>
  </cols>
  <sheetData>
    <row r="3" spans="2:16" x14ac:dyDescent="0.25">
      <c r="C3" s="39" t="s">
        <v>39</v>
      </c>
      <c r="D3" s="39"/>
      <c r="E3" s="39"/>
    </row>
    <row r="4" spans="2:16" s="6" customFormat="1" ht="49.9" customHeight="1" x14ac:dyDescent="0.2">
      <c r="B4" s="7" t="s">
        <v>19</v>
      </c>
      <c r="C4" s="7" t="s">
        <v>2</v>
      </c>
      <c r="D4" s="7" t="s">
        <v>6</v>
      </c>
      <c r="E4" s="7" t="s">
        <v>7</v>
      </c>
      <c r="F4" s="7" t="s">
        <v>1</v>
      </c>
      <c r="G4" s="8" t="s">
        <v>0</v>
      </c>
      <c r="H4" s="7" t="s">
        <v>5</v>
      </c>
      <c r="I4" s="7" t="s">
        <v>40</v>
      </c>
      <c r="J4" s="7" t="s">
        <v>20</v>
      </c>
      <c r="K4" s="9" t="s">
        <v>12</v>
      </c>
      <c r="L4" s="9" t="s">
        <v>13</v>
      </c>
      <c r="M4" s="9" t="s">
        <v>21</v>
      </c>
      <c r="N4" s="9" t="s">
        <v>44</v>
      </c>
      <c r="O4" s="9"/>
      <c r="P4" s="5"/>
    </row>
    <row r="5" spans="2:16" s="3" customFormat="1" ht="15.6" customHeight="1" x14ac:dyDescent="0.2">
      <c r="B5" s="10">
        <v>45836</v>
      </c>
      <c r="C5" s="11" t="s">
        <v>15</v>
      </c>
      <c r="D5" s="11" t="s">
        <v>24</v>
      </c>
      <c r="E5" s="11" t="s">
        <v>35</v>
      </c>
      <c r="F5" s="37">
        <v>45741</v>
      </c>
      <c r="G5" s="12">
        <v>19500000</v>
      </c>
      <c r="H5" s="13">
        <v>15</v>
      </c>
      <c r="I5" s="14">
        <f>G5</f>
        <v>19500000</v>
      </c>
      <c r="J5" s="14">
        <f>H5*12</f>
        <v>180</v>
      </c>
      <c r="K5" s="14">
        <v>9</v>
      </c>
      <c r="L5" s="14">
        <f>I5/H5/12*K5</f>
        <v>975000</v>
      </c>
      <c r="M5" s="14">
        <f>I5-L5</f>
        <v>18525000</v>
      </c>
      <c r="N5" s="14">
        <f>J5-K5</f>
        <v>171</v>
      </c>
      <c r="O5" s="4"/>
    </row>
    <row r="6" spans="2:16" s="3" customFormat="1" ht="15.6" customHeight="1" x14ac:dyDescent="0.2">
      <c r="B6" s="10">
        <v>45837</v>
      </c>
      <c r="C6" s="11" t="s">
        <v>15</v>
      </c>
      <c r="D6" s="11" t="s">
        <v>25</v>
      </c>
      <c r="E6" s="11" t="s">
        <v>35</v>
      </c>
      <c r="F6" s="37">
        <v>45741</v>
      </c>
      <c r="G6" s="12">
        <v>19500000</v>
      </c>
      <c r="H6" s="13">
        <v>15</v>
      </c>
      <c r="I6" s="14">
        <f t="shared" ref="I6:I29" si="0">G6</f>
        <v>19500000</v>
      </c>
      <c r="J6" s="14">
        <f t="shared" ref="J6:J29" si="1">H6*12</f>
        <v>180</v>
      </c>
      <c r="K6" s="14">
        <v>9</v>
      </c>
      <c r="L6" s="14">
        <f t="shared" ref="L6:L9" si="2">I6/H6/12*K6</f>
        <v>975000</v>
      </c>
      <c r="M6" s="14">
        <f t="shared" ref="M6:M20" si="3">I6-L6</f>
        <v>18525000</v>
      </c>
      <c r="N6" s="14">
        <f t="shared" ref="N6:N20" si="4">J6-K6</f>
        <v>171</v>
      </c>
    </row>
    <row r="7" spans="2:16" s="3" customFormat="1" ht="15.6" customHeight="1" x14ac:dyDescent="0.2">
      <c r="B7" s="10">
        <v>45838</v>
      </c>
      <c r="C7" s="11" t="s">
        <v>15</v>
      </c>
      <c r="D7" s="11" t="s">
        <v>26</v>
      </c>
      <c r="E7" s="11" t="s">
        <v>35</v>
      </c>
      <c r="F7" s="37">
        <v>45741</v>
      </c>
      <c r="G7" s="12">
        <v>19500000</v>
      </c>
      <c r="H7" s="13">
        <v>15</v>
      </c>
      <c r="I7" s="14">
        <f t="shared" si="0"/>
        <v>19500000</v>
      </c>
      <c r="J7" s="14">
        <f t="shared" si="1"/>
        <v>180</v>
      </c>
      <c r="K7" s="14">
        <v>9</v>
      </c>
      <c r="L7" s="14">
        <f t="shared" si="2"/>
        <v>975000</v>
      </c>
      <c r="M7" s="14">
        <f t="shared" si="3"/>
        <v>18525000</v>
      </c>
      <c r="N7" s="14">
        <f t="shared" si="4"/>
        <v>171</v>
      </c>
    </row>
    <row r="8" spans="2:16" ht="24" x14ac:dyDescent="0.25">
      <c r="B8" s="15">
        <v>45834</v>
      </c>
      <c r="C8" s="13" t="s">
        <v>15</v>
      </c>
      <c r="D8" s="11" t="s">
        <v>27</v>
      </c>
      <c r="E8" s="11" t="s">
        <v>35</v>
      </c>
      <c r="F8" s="36">
        <v>45741</v>
      </c>
      <c r="G8" s="12">
        <v>19500000</v>
      </c>
      <c r="H8" s="13">
        <v>15</v>
      </c>
      <c r="I8" s="14">
        <f t="shared" si="0"/>
        <v>19500000</v>
      </c>
      <c r="J8" s="14">
        <f t="shared" si="1"/>
        <v>180</v>
      </c>
      <c r="K8" s="14">
        <v>9</v>
      </c>
      <c r="L8" s="14">
        <f t="shared" si="2"/>
        <v>975000</v>
      </c>
      <c r="M8" s="14">
        <f t="shared" si="3"/>
        <v>18525000</v>
      </c>
      <c r="N8" s="14">
        <f t="shared" si="4"/>
        <v>171</v>
      </c>
    </row>
    <row r="9" spans="2:16" ht="24" x14ac:dyDescent="0.25">
      <c r="B9" s="15">
        <v>45835</v>
      </c>
      <c r="C9" s="13" t="s">
        <v>15</v>
      </c>
      <c r="D9" s="11" t="s">
        <v>28</v>
      </c>
      <c r="E9" s="11" t="s">
        <v>35</v>
      </c>
      <c r="F9" s="36">
        <v>45741</v>
      </c>
      <c r="G9" s="12">
        <v>19500000</v>
      </c>
      <c r="H9" s="13">
        <v>15</v>
      </c>
      <c r="I9" s="14">
        <f t="shared" si="0"/>
        <v>19500000</v>
      </c>
      <c r="J9" s="14">
        <f t="shared" si="1"/>
        <v>180</v>
      </c>
      <c r="K9" s="14">
        <v>9</v>
      </c>
      <c r="L9" s="14">
        <f t="shared" si="2"/>
        <v>975000</v>
      </c>
      <c r="M9" s="14">
        <f t="shared" si="3"/>
        <v>18525000</v>
      </c>
      <c r="N9" s="14">
        <f t="shared" si="4"/>
        <v>171</v>
      </c>
    </row>
    <row r="10" spans="2:16" ht="24" x14ac:dyDescent="0.25">
      <c r="B10" s="15">
        <v>46807</v>
      </c>
      <c r="C10" s="13" t="s">
        <v>15</v>
      </c>
      <c r="D10" s="11" t="s">
        <v>29</v>
      </c>
      <c r="E10" s="11" t="s">
        <v>35</v>
      </c>
      <c r="F10" s="36">
        <v>45820</v>
      </c>
      <c r="G10" s="12">
        <v>19500000</v>
      </c>
      <c r="H10" s="13">
        <v>15</v>
      </c>
      <c r="I10" s="14">
        <f t="shared" si="0"/>
        <v>19500000</v>
      </c>
      <c r="J10" s="14">
        <f t="shared" si="1"/>
        <v>180</v>
      </c>
      <c r="K10" s="14">
        <v>6</v>
      </c>
      <c r="L10" s="14">
        <f>I10/H10/12*K10</f>
        <v>650000</v>
      </c>
      <c r="M10" s="14">
        <f t="shared" si="3"/>
        <v>18850000</v>
      </c>
      <c r="N10" s="14">
        <f t="shared" si="4"/>
        <v>174</v>
      </c>
    </row>
    <row r="11" spans="2:16" ht="24" x14ac:dyDescent="0.25">
      <c r="B11" s="15">
        <v>46808</v>
      </c>
      <c r="C11" s="13" t="s">
        <v>15</v>
      </c>
      <c r="D11" s="11" t="s">
        <v>30</v>
      </c>
      <c r="E11" s="11" t="s">
        <v>35</v>
      </c>
      <c r="F11" s="36">
        <v>45820</v>
      </c>
      <c r="G11" s="12">
        <v>19500000</v>
      </c>
      <c r="H11" s="13">
        <v>15</v>
      </c>
      <c r="I11" s="14">
        <f t="shared" si="0"/>
        <v>19500000</v>
      </c>
      <c r="J11" s="14">
        <f t="shared" si="1"/>
        <v>180</v>
      </c>
      <c r="K11" s="14">
        <v>6</v>
      </c>
      <c r="L11" s="14">
        <f t="shared" ref="L11:L13" si="5">I11/H11/12*K11</f>
        <v>650000</v>
      </c>
      <c r="M11" s="14">
        <f t="shared" si="3"/>
        <v>18850000</v>
      </c>
      <c r="N11" s="14">
        <f t="shared" si="4"/>
        <v>174</v>
      </c>
    </row>
    <row r="12" spans="2:16" ht="24" x14ac:dyDescent="0.25">
      <c r="B12" s="15">
        <v>46809</v>
      </c>
      <c r="C12" s="13" t="s">
        <v>15</v>
      </c>
      <c r="D12" s="11" t="s">
        <v>31</v>
      </c>
      <c r="E12" s="11" t="s">
        <v>35</v>
      </c>
      <c r="F12" s="36">
        <v>45820</v>
      </c>
      <c r="G12" s="12">
        <v>19500000</v>
      </c>
      <c r="H12" s="13">
        <v>15</v>
      </c>
      <c r="I12" s="14">
        <f t="shared" si="0"/>
        <v>19500000</v>
      </c>
      <c r="J12" s="14">
        <f t="shared" si="1"/>
        <v>180</v>
      </c>
      <c r="K12" s="14">
        <v>6</v>
      </c>
      <c r="L12" s="14">
        <f t="shared" si="5"/>
        <v>650000</v>
      </c>
      <c r="M12" s="14">
        <f t="shared" si="3"/>
        <v>18850000</v>
      </c>
      <c r="N12" s="14">
        <f t="shared" si="4"/>
        <v>174</v>
      </c>
    </row>
    <row r="13" spans="2:16" ht="24" x14ac:dyDescent="0.25">
      <c r="B13" s="15">
        <v>46810</v>
      </c>
      <c r="C13" s="13" t="s">
        <v>15</v>
      </c>
      <c r="D13" s="11" t="s">
        <v>32</v>
      </c>
      <c r="E13" s="11" t="s">
        <v>35</v>
      </c>
      <c r="F13" s="36">
        <v>45820</v>
      </c>
      <c r="G13" s="12">
        <v>19500000</v>
      </c>
      <c r="H13" s="13">
        <v>15</v>
      </c>
      <c r="I13" s="14">
        <f t="shared" si="0"/>
        <v>19500000</v>
      </c>
      <c r="J13" s="14">
        <f t="shared" si="1"/>
        <v>180</v>
      </c>
      <c r="K13" s="14">
        <v>6</v>
      </c>
      <c r="L13" s="14">
        <f t="shared" si="5"/>
        <v>650000</v>
      </c>
      <c r="M13" s="14">
        <f t="shared" si="3"/>
        <v>18850000</v>
      </c>
      <c r="N13" s="14">
        <f t="shared" si="4"/>
        <v>174</v>
      </c>
    </row>
    <row r="14" spans="2:16" x14ac:dyDescent="0.25">
      <c r="B14" s="15">
        <v>4324</v>
      </c>
      <c r="C14" s="13" t="s">
        <v>16</v>
      </c>
      <c r="D14" s="13" t="s">
        <v>23</v>
      </c>
      <c r="E14" s="13" t="s">
        <v>36</v>
      </c>
      <c r="F14" s="36">
        <v>45861</v>
      </c>
      <c r="G14" s="12">
        <v>12870900</v>
      </c>
      <c r="H14" s="13">
        <v>15</v>
      </c>
      <c r="I14" s="14">
        <f t="shared" si="0"/>
        <v>12870900</v>
      </c>
      <c r="J14" s="14">
        <f t="shared" si="1"/>
        <v>180</v>
      </c>
      <c r="K14" s="14">
        <v>5</v>
      </c>
      <c r="L14" s="14">
        <f t="shared" ref="L14:L20" si="6">I14/H14/12*K14</f>
        <v>357525</v>
      </c>
      <c r="M14" s="14">
        <f t="shared" si="3"/>
        <v>12513375</v>
      </c>
      <c r="N14" s="14">
        <f t="shared" si="4"/>
        <v>175</v>
      </c>
    </row>
    <row r="15" spans="2:16" x14ac:dyDescent="0.25">
      <c r="B15" s="15">
        <v>4343</v>
      </c>
      <c r="C15" s="13" t="s">
        <v>16</v>
      </c>
      <c r="D15" s="13" t="s">
        <v>23</v>
      </c>
      <c r="E15" s="13" t="s">
        <v>36</v>
      </c>
      <c r="F15" s="36">
        <v>45873</v>
      </c>
      <c r="G15" s="12">
        <v>12842145</v>
      </c>
      <c r="H15" s="13">
        <v>15</v>
      </c>
      <c r="I15" s="14">
        <f t="shared" si="0"/>
        <v>12842145</v>
      </c>
      <c r="J15" s="14">
        <f t="shared" si="1"/>
        <v>180</v>
      </c>
      <c r="K15" s="14">
        <v>4</v>
      </c>
      <c r="L15" s="14">
        <f t="shared" si="6"/>
        <v>285381</v>
      </c>
      <c r="M15" s="14">
        <f t="shared" si="3"/>
        <v>12556764</v>
      </c>
      <c r="N15" s="14">
        <f t="shared" si="4"/>
        <v>176</v>
      </c>
    </row>
    <row r="16" spans="2:16" x14ac:dyDescent="0.25">
      <c r="B16" s="15">
        <v>4343</v>
      </c>
      <c r="C16" s="13" t="s">
        <v>16</v>
      </c>
      <c r="D16" s="13" t="s">
        <v>23</v>
      </c>
      <c r="E16" s="13" t="s">
        <v>36</v>
      </c>
      <c r="F16" s="36">
        <v>45873</v>
      </c>
      <c r="G16" s="12">
        <v>12842145</v>
      </c>
      <c r="H16" s="13">
        <v>15</v>
      </c>
      <c r="I16" s="14">
        <f t="shared" si="0"/>
        <v>12842145</v>
      </c>
      <c r="J16" s="14">
        <f t="shared" si="1"/>
        <v>180</v>
      </c>
      <c r="K16" s="14">
        <v>4</v>
      </c>
      <c r="L16" s="14">
        <f t="shared" si="6"/>
        <v>285381</v>
      </c>
      <c r="M16" s="14">
        <f t="shared" si="3"/>
        <v>12556764</v>
      </c>
      <c r="N16" s="14">
        <f t="shared" si="4"/>
        <v>176</v>
      </c>
    </row>
    <row r="17" spans="2:14" x14ac:dyDescent="0.25">
      <c r="B17" s="15">
        <v>4432</v>
      </c>
      <c r="C17" s="13" t="s">
        <v>16</v>
      </c>
      <c r="D17" s="13" t="s">
        <v>23</v>
      </c>
      <c r="E17" s="13" t="s">
        <v>36</v>
      </c>
      <c r="F17" s="36">
        <v>45930</v>
      </c>
      <c r="G17" s="12">
        <v>14418600</v>
      </c>
      <c r="H17" s="13">
        <v>15</v>
      </c>
      <c r="I17" s="14">
        <f t="shared" si="0"/>
        <v>14418600</v>
      </c>
      <c r="J17" s="14">
        <f t="shared" si="1"/>
        <v>180</v>
      </c>
      <c r="K17" s="14">
        <v>3</v>
      </c>
      <c r="L17" s="14">
        <f t="shared" si="6"/>
        <v>240310</v>
      </c>
      <c r="M17" s="14">
        <f t="shared" si="3"/>
        <v>14178290</v>
      </c>
      <c r="N17" s="14">
        <f t="shared" si="4"/>
        <v>177</v>
      </c>
    </row>
    <row r="18" spans="2:14" x14ac:dyDescent="0.25">
      <c r="B18" s="15">
        <v>4432</v>
      </c>
      <c r="C18" s="13" t="s">
        <v>16</v>
      </c>
      <c r="D18" s="13" t="s">
        <v>23</v>
      </c>
      <c r="E18" s="13" t="s">
        <v>36</v>
      </c>
      <c r="F18" s="36">
        <v>45930</v>
      </c>
      <c r="G18" s="12">
        <v>14418600</v>
      </c>
      <c r="H18" s="13">
        <v>15</v>
      </c>
      <c r="I18" s="14">
        <f t="shared" si="0"/>
        <v>14418600</v>
      </c>
      <c r="J18" s="14">
        <f t="shared" si="1"/>
        <v>180</v>
      </c>
      <c r="K18" s="14">
        <v>3</v>
      </c>
      <c r="L18" s="14">
        <f t="shared" si="6"/>
        <v>240310</v>
      </c>
      <c r="M18" s="14">
        <f t="shared" si="3"/>
        <v>14178290</v>
      </c>
      <c r="N18" s="14">
        <f t="shared" si="4"/>
        <v>177</v>
      </c>
    </row>
    <row r="19" spans="2:14" x14ac:dyDescent="0.25">
      <c r="B19" s="15">
        <v>4159</v>
      </c>
      <c r="C19" s="13" t="s">
        <v>16</v>
      </c>
      <c r="D19" s="13" t="s">
        <v>23</v>
      </c>
      <c r="E19" s="13" t="s">
        <v>36</v>
      </c>
      <c r="F19" s="36">
        <v>45729</v>
      </c>
      <c r="G19" s="12">
        <v>15500000</v>
      </c>
      <c r="H19" s="13">
        <v>15</v>
      </c>
      <c r="I19" s="14">
        <f>G19</f>
        <v>15500000</v>
      </c>
      <c r="J19" s="14">
        <f>H19*12</f>
        <v>180</v>
      </c>
      <c r="K19" s="14">
        <v>9</v>
      </c>
      <c r="L19" s="14">
        <f t="shared" si="6"/>
        <v>775000</v>
      </c>
      <c r="M19" s="14">
        <f>I19-L19</f>
        <v>14725000</v>
      </c>
      <c r="N19" s="14">
        <f>J19-K19</f>
        <v>171</v>
      </c>
    </row>
    <row r="20" spans="2:14" x14ac:dyDescent="0.25">
      <c r="B20" s="15">
        <v>6565</v>
      </c>
      <c r="C20" s="13" t="s">
        <v>17</v>
      </c>
      <c r="D20" s="13" t="s">
        <v>33</v>
      </c>
      <c r="E20" s="13" t="s">
        <v>34</v>
      </c>
      <c r="F20" s="36">
        <v>45890</v>
      </c>
      <c r="G20" s="12">
        <v>5578000</v>
      </c>
      <c r="H20" s="13">
        <v>7</v>
      </c>
      <c r="I20" s="14">
        <f t="shared" si="0"/>
        <v>5578000</v>
      </c>
      <c r="J20" s="14">
        <f t="shared" si="1"/>
        <v>84</v>
      </c>
      <c r="K20" s="14">
        <v>4</v>
      </c>
      <c r="L20" s="14">
        <f t="shared" si="6"/>
        <v>265619.04761904763</v>
      </c>
      <c r="M20" s="14">
        <f t="shared" si="3"/>
        <v>5312380.9523809524</v>
      </c>
      <c r="N20" s="14">
        <f t="shared" si="4"/>
        <v>80</v>
      </c>
    </row>
    <row r="21" spans="2:14" ht="15.75" thickBot="1" x14ac:dyDescent="0.3">
      <c r="B21" s="15"/>
      <c r="F21" s="16"/>
      <c r="G21" s="27">
        <f>SUM(G5:G20)</f>
        <v>263970390</v>
      </c>
      <c r="H21" s="27"/>
      <c r="I21" s="27">
        <f t="shared" ref="I21:M21" si="7">SUM(I5:I20)</f>
        <v>263970390</v>
      </c>
      <c r="J21" s="27"/>
      <c r="K21" s="27"/>
      <c r="L21" s="32">
        <f t="shared" si="7"/>
        <v>9924526.0476190485</v>
      </c>
      <c r="M21" s="27">
        <f t="shared" si="7"/>
        <v>254045863.95238096</v>
      </c>
    </row>
    <row r="22" spans="2:14" ht="15.75" thickTop="1" x14ac:dyDescent="0.25">
      <c r="B22" s="15"/>
      <c r="F22" s="16"/>
      <c r="G22" s="33"/>
      <c r="H22" s="33"/>
      <c r="I22" s="33"/>
      <c r="J22" s="33"/>
      <c r="K22" s="33"/>
      <c r="L22" s="34"/>
      <c r="M22" s="33"/>
    </row>
    <row r="23" spans="2:14" ht="15.75" thickBot="1" x14ac:dyDescent="0.3">
      <c r="B23" s="15"/>
      <c r="F23" s="16"/>
      <c r="G23" s="33"/>
      <c r="H23" s="33"/>
      <c r="I23" s="33"/>
      <c r="J23" s="33"/>
      <c r="K23" s="33"/>
      <c r="L23" s="34"/>
      <c r="M23" s="33"/>
    </row>
    <row r="24" spans="2:14" x14ac:dyDescent="0.25">
      <c r="B24" s="15"/>
      <c r="F24" s="16"/>
      <c r="G24" s="31" t="s">
        <v>41</v>
      </c>
      <c r="H24" s="21"/>
      <c r="I24" s="21">
        <f>L21</f>
        <v>9924526.0476190485</v>
      </c>
      <c r="J24" s="22"/>
      <c r="K24" s="33"/>
      <c r="L24" s="34"/>
      <c r="M24" s="33"/>
    </row>
    <row r="25" spans="2:14" ht="15.75" thickBot="1" x14ac:dyDescent="0.3">
      <c r="B25" s="15"/>
      <c r="F25" s="16"/>
      <c r="G25" s="30"/>
      <c r="H25" s="25" t="s">
        <v>43</v>
      </c>
      <c r="I25" s="25"/>
      <c r="J25" s="26">
        <f>I24</f>
        <v>9924526.0476190485</v>
      </c>
      <c r="K25" s="33"/>
      <c r="L25" s="34"/>
      <c r="M25" s="33"/>
    </row>
    <row r="26" spans="2:14" x14ac:dyDescent="0.25">
      <c r="B26" s="15"/>
      <c r="F26" s="16"/>
      <c r="G26" s="33"/>
      <c r="H26" s="33"/>
      <c r="I26" s="33"/>
      <c r="J26" s="33"/>
      <c r="K26" s="33"/>
      <c r="L26" s="34"/>
      <c r="M26" s="33"/>
    </row>
    <row r="27" spans="2:14" x14ac:dyDescent="0.25">
      <c r="B27" s="15"/>
      <c r="F27" s="16"/>
      <c r="G27" s="12"/>
      <c r="I27" s="14"/>
      <c r="J27" s="14"/>
      <c r="K27" s="14"/>
      <c r="L27" s="14"/>
      <c r="M27" s="14"/>
    </row>
    <row r="28" spans="2:14" x14ac:dyDescent="0.25">
      <c r="B28" s="15"/>
      <c r="F28" s="16"/>
      <c r="G28" s="12" t="s">
        <v>0</v>
      </c>
      <c r="H28" s="13" t="s">
        <v>5</v>
      </c>
      <c r="I28" s="14" t="s">
        <v>40</v>
      </c>
      <c r="J28" s="14" t="s">
        <v>20</v>
      </c>
      <c r="K28" s="14" t="s">
        <v>12</v>
      </c>
      <c r="L28" s="14" t="s">
        <v>13</v>
      </c>
      <c r="M28" s="14" t="s">
        <v>21</v>
      </c>
      <c r="N28" s="13" t="s">
        <v>44</v>
      </c>
    </row>
    <row r="29" spans="2:14" x14ac:dyDescent="0.25">
      <c r="B29" s="15">
        <v>580059</v>
      </c>
      <c r="C29" s="13" t="s">
        <v>18</v>
      </c>
      <c r="D29" s="13" t="s">
        <v>22</v>
      </c>
      <c r="E29" s="13" t="s">
        <v>37</v>
      </c>
      <c r="F29" s="36">
        <v>45869</v>
      </c>
      <c r="G29" s="12">
        <v>20319109</v>
      </c>
      <c r="H29" s="13">
        <v>7</v>
      </c>
      <c r="I29" s="14">
        <f t="shared" si="0"/>
        <v>20319109</v>
      </c>
      <c r="J29" s="14">
        <f t="shared" si="1"/>
        <v>84</v>
      </c>
      <c r="K29" s="14">
        <v>5</v>
      </c>
      <c r="L29" s="14">
        <f>I29/H29/12*K29</f>
        <v>1209470.7738095238</v>
      </c>
      <c r="M29" s="14">
        <f>I29-L29</f>
        <v>19109638.226190478</v>
      </c>
      <c r="N29" s="14">
        <f>J29-K29</f>
        <v>79</v>
      </c>
    </row>
    <row r="30" spans="2:14" ht="15.75" thickBot="1" x14ac:dyDescent="0.3">
      <c r="B30" s="15"/>
      <c r="F30" s="16"/>
      <c r="G30" s="28">
        <f>SUM(G29)</f>
        <v>20319109</v>
      </c>
      <c r="H30" s="28"/>
      <c r="I30" s="28">
        <f t="shared" ref="I30:M30" si="8">SUM(I29)</f>
        <v>20319109</v>
      </c>
      <c r="J30" s="28"/>
      <c r="K30" s="28"/>
      <c r="L30" s="28">
        <f t="shared" si="8"/>
        <v>1209470.7738095238</v>
      </c>
      <c r="M30" s="28">
        <f t="shared" si="8"/>
        <v>19109638.226190478</v>
      </c>
    </row>
    <row r="31" spans="2:14" ht="15.75" thickTop="1" x14ac:dyDescent="0.25">
      <c r="B31" s="15"/>
      <c r="F31" s="16"/>
      <c r="G31" s="29"/>
      <c r="H31" s="29"/>
      <c r="I31" s="29"/>
      <c r="J31" s="29"/>
      <c r="K31" s="29"/>
      <c r="L31" s="29"/>
      <c r="M31" s="29"/>
    </row>
    <row r="32" spans="2:14" ht="15.75" thickBot="1" x14ac:dyDescent="0.3">
      <c r="B32" s="15"/>
      <c r="F32" s="16"/>
      <c r="G32" s="29"/>
      <c r="H32" s="29"/>
      <c r="I32" s="29"/>
      <c r="J32" s="29"/>
      <c r="K32" s="29"/>
      <c r="L32" s="29"/>
      <c r="M32" s="29"/>
    </row>
    <row r="33" spans="2:15" x14ac:dyDescent="0.25">
      <c r="B33" s="15"/>
      <c r="F33" s="16"/>
      <c r="G33" s="31" t="s">
        <v>41</v>
      </c>
      <c r="H33" s="21"/>
      <c r="I33" s="21">
        <f>L30</f>
        <v>1209470.7738095238</v>
      </c>
      <c r="J33" s="22"/>
      <c r="K33" s="29"/>
      <c r="L33" s="29"/>
      <c r="M33" s="29"/>
    </row>
    <row r="34" spans="2:15" ht="15.75" thickBot="1" x14ac:dyDescent="0.3">
      <c r="B34" s="15"/>
      <c r="F34" s="16"/>
      <c r="G34" s="30"/>
      <c r="H34" s="25" t="s">
        <v>43</v>
      </c>
      <c r="I34" s="25"/>
      <c r="J34" s="26">
        <f>I33</f>
        <v>1209470.7738095238</v>
      </c>
      <c r="K34" s="29"/>
      <c r="L34" s="29"/>
      <c r="M34" s="29"/>
    </row>
    <row r="35" spans="2:15" x14ac:dyDescent="0.25">
      <c r="B35" s="15"/>
      <c r="F35" s="16"/>
      <c r="G35" s="29"/>
      <c r="H35" s="29"/>
      <c r="I35" s="29"/>
      <c r="J35" s="29"/>
      <c r="K35" s="29"/>
      <c r="L35" s="29"/>
      <c r="M35" s="29"/>
    </row>
    <row r="36" spans="2:15" x14ac:dyDescent="0.25">
      <c r="B36" s="15"/>
      <c r="F36" s="16"/>
      <c r="G36" s="29"/>
      <c r="H36" s="29"/>
      <c r="I36" s="29"/>
      <c r="J36" s="29"/>
      <c r="K36" s="29"/>
      <c r="L36" s="29"/>
      <c r="M36" s="29"/>
    </row>
    <row r="37" spans="2:15" x14ac:dyDescent="0.25">
      <c r="B37" s="15"/>
      <c r="F37" s="16"/>
      <c r="G37" s="12"/>
      <c r="I37" s="14"/>
      <c r="J37" s="14"/>
      <c r="K37" s="14"/>
      <c r="L37" s="14"/>
      <c r="M37" s="14"/>
    </row>
    <row r="38" spans="2:15" x14ac:dyDescent="0.25">
      <c r="B38" s="15"/>
      <c r="C38" s="38" t="s">
        <v>38</v>
      </c>
      <c r="F38" s="16"/>
      <c r="G38" s="12" t="s">
        <v>0</v>
      </c>
      <c r="H38" s="13" t="s">
        <v>5</v>
      </c>
      <c r="I38" s="14" t="s">
        <v>40</v>
      </c>
      <c r="J38" s="14" t="s">
        <v>20</v>
      </c>
      <c r="K38" s="14" t="s">
        <v>12</v>
      </c>
      <c r="L38" s="14" t="s">
        <v>13</v>
      </c>
      <c r="M38" s="14" t="s">
        <v>21</v>
      </c>
      <c r="N38" s="13" t="s">
        <v>44</v>
      </c>
    </row>
    <row r="39" spans="2:15" s="1" customFormat="1" x14ac:dyDescent="0.25">
      <c r="B39" s="17">
        <v>1946</v>
      </c>
      <c r="C39" s="12" t="s">
        <v>3</v>
      </c>
      <c r="D39" s="12" t="s">
        <v>10</v>
      </c>
      <c r="E39" s="12" t="s">
        <v>8</v>
      </c>
      <c r="F39" s="35">
        <v>45504</v>
      </c>
      <c r="G39" s="12">
        <v>11000000</v>
      </c>
      <c r="H39" s="12">
        <v>9</v>
      </c>
      <c r="I39" s="12">
        <v>10816666</v>
      </c>
      <c r="J39" s="12">
        <f>12*H39</f>
        <v>108</v>
      </c>
      <c r="K39" s="12">
        <v>12</v>
      </c>
      <c r="L39" s="12">
        <f>I39/H39/12*12</f>
        <v>1201851.7777777778</v>
      </c>
      <c r="M39" s="12">
        <f>I39-L39</f>
        <v>9614814.222222222</v>
      </c>
      <c r="N39" s="12">
        <f>J39-K39</f>
        <v>96</v>
      </c>
      <c r="O39" s="12"/>
    </row>
    <row r="40" spans="2:15" s="1" customFormat="1" x14ac:dyDescent="0.25">
      <c r="B40" s="17">
        <v>2915396</v>
      </c>
      <c r="C40" s="12" t="s">
        <v>4</v>
      </c>
      <c r="D40" s="12" t="s">
        <v>11</v>
      </c>
      <c r="E40" s="12" t="s">
        <v>9</v>
      </c>
      <c r="F40" s="35">
        <v>45582</v>
      </c>
      <c r="G40" s="12">
        <v>11000000</v>
      </c>
      <c r="H40" s="12">
        <v>9</v>
      </c>
      <c r="I40" s="12">
        <v>10816666</v>
      </c>
      <c r="J40" s="12">
        <f>12*H40</f>
        <v>108</v>
      </c>
      <c r="K40" s="12">
        <v>12</v>
      </c>
      <c r="L40" s="12">
        <f>I40/H40/12*K40</f>
        <v>1201851.7777777778</v>
      </c>
      <c r="M40" s="12">
        <f>I40-L40</f>
        <v>9614814.222222222</v>
      </c>
      <c r="N40" s="12">
        <f>J40-K40</f>
        <v>96</v>
      </c>
      <c r="O40" s="12"/>
    </row>
    <row r="41" spans="2:15" ht="15.75" thickBot="1" x14ac:dyDescent="0.3">
      <c r="F41" s="16"/>
      <c r="G41" s="18">
        <f>SUM(G39:G40)</f>
        <v>22000000</v>
      </c>
      <c r="H41" s="18"/>
      <c r="I41" s="18">
        <f t="shared" ref="I41:M41" si="9">SUM(I39:I40)</f>
        <v>21633332</v>
      </c>
      <c r="J41" s="18"/>
      <c r="K41" s="18"/>
      <c r="L41" s="18">
        <f t="shared" si="9"/>
        <v>2403703.5555555555</v>
      </c>
      <c r="M41" s="18">
        <f t="shared" si="9"/>
        <v>19229628.444444444</v>
      </c>
    </row>
    <row r="42" spans="2:15" ht="15.75" thickTop="1" x14ac:dyDescent="0.25"/>
    <row r="43" spans="2:15" ht="15.75" thickBot="1" x14ac:dyDescent="0.3"/>
    <row r="44" spans="2:15" x14ac:dyDescent="0.25">
      <c r="G44" s="19" t="s">
        <v>14</v>
      </c>
      <c r="H44" s="20"/>
      <c r="I44" s="21">
        <f>L41</f>
        <v>2403703.5555555555</v>
      </c>
      <c r="J44" s="22"/>
    </row>
    <row r="45" spans="2:15" ht="15.75" thickBot="1" x14ac:dyDescent="0.3">
      <c r="G45" s="23"/>
      <c r="H45" s="24" t="s">
        <v>42</v>
      </c>
      <c r="I45" s="25"/>
      <c r="J45" s="26">
        <f>I44</f>
        <v>2403703.5555555555</v>
      </c>
      <c r="M45" s="14"/>
      <c r="N45" s="2"/>
    </row>
    <row r="46" spans="2:15" x14ac:dyDescent="0.25">
      <c r="M46" s="14"/>
      <c r="N46" s="2"/>
    </row>
    <row r="47" spans="2:15" x14ac:dyDescent="0.25">
      <c r="M47" s="14"/>
      <c r="N47" s="2"/>
    </row>
    <row r="48" spans="2:15" x14ac:dyDescent="0.25">
      <c r="N48" s="1"/>
    </row>
  </sheetData>
  <mergeCells count="1">
    <mergeCell ref="C3:E3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DEPRECIACION NORMAL este 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palacios</dc:creator>
  <cp:lastModifiedBy>Pedro Lecaros</cp:lastModifiedBy>
  <dcterms:created xsi:type="dcterms:W3CDTF">2025-04-18T03:57:13Z</dcterms:created>
  <dcterms:modified xsi:type="dcterms:W3CDTF">2026-04-02T20:44:11Z</dcterms:modified>
</cp:coreProperties>
</file>
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nta" sheetId="1" r:id="rId4"/>
    <sheet state="visible" name="Categorias" sheetId="2" r:id="rId5"/>
  </sheets>
  <definedNames/>
  <calcPr/>
  <extLst>
    <ext uri="GoogleSheetsCustomDataVersion2">
      <go:sheetsCustomData xmlns:go="http://customooxmlschemas.google.com/" r:id="rId6" roundtripDataChecksum="pgXHJ4/TlvSbXEpW1wsM1BEfD0ufhaKZOq+3neDt6K8="/>
    </ext>
  </extLst>
</workbook>
</file>

<file path=xl/sharedStrings.xml><?xml version="1.0" encoding="utf-8"?>
<sst xmlns="http://schemas.openxmlformats.org/spreadsheetml/2006/main" count="941" uniqueCount="296">
  <si>
    <t>BANCO SANTANDER - FUTRONO SPA</t>
  </si>
  <si>
    <t>FECHA</t>
  </si>
  <si>
    <t>DETALLE</t>
  </si>
  <si>
    <t xml:space="preserve"> </t>
  </si>
  <si>
    <t>CATEGORIA</t>
  </si>
  <si>
    <t>SALDO</t>
  </si>
  <si>
    <t>DEP</t>
  </si>
  <si>
    <t>GIROS</t>
  </si>
  <si>
    <t>COMENTARIO</t>
  </si>
  <si>
    <t>SALDO ANTERIOR 2022</t>
  </si>
  <si>
    <t>PAGO EN LINEA PREVIRED Hernan varela</t>
  </si>
  <si>
    <t>Sueldos y Leyes Sociales</t>
  </si>
  <si>
    <t>Rescate Fondos Mutuos</t>
  </si>
  <si>
    <t>Fondos Mutuos</t>
  </si>
  <si>
    <t>Transf.Internet a 13.319.718-4 CBR por inscripciones parcelas adquiridas por Aysen</t>
  </si>
  <si>
    <t>Notaria y Conservador</t>
  </si>
  <si>
    <t>Transf.Internet a 61.202.000-0 pago por inspeccion de DGA, derechos de agua</t>
  </si>
  <si>
    <t xml:space="preserve">Agua </t>
  </si>
  <si>
    <t>Transf.Internet a 10.755.410-6 Gastos notaria compraventas</t>
  </si>
  <si>
    <t>Transf.Internet a 13.319.718-4. CBR por parcelas adquiridas por pan de azucar</t>
  </si>
  <si>
    <t>Transf.Internet a 77.196.916-K Maderas para cerco</t>
  </si>
  <si>
    <t>Gastos Generales</t>
  </si>
  <si>
    <t>PAGO EN LINEA S.I.I. F29</t>
  </si>
  <si>
    <t>Impuestos</t>
  </si>
  <si>
    <t>014120498K Transf. Nicolas Pablo Cifuentes, pie sitio O-6</t>
  </si>
  <si>
    <t>Venta</t>
  </si>
  <si>
    <t>Transf.Internet a 16.370.375-0. Comision venta O-6</t>
  </si>
  <si>
    <t>0160980591 Transf. PAVLOV DE LA FU Cuota parcela H-8</t>
  </si>
  <si>
    <t>Transf.Internet a 10.071.888-K Reembolso gastos a Hernan Varela</t>
  </si>
  <si>
    <t>Inversión en Fondo Mutuo</t>
  </si>
  <si>
    <t>0177044431 Transf. Matias Antonio Donoso E-6 Reserva</t>
  </si>
  <si>
    <t>0175079408 Transf. JULIO IGNACIO Reserva E-2</t>
  </si>
  <si>
    <t>00107615792 Transf. CARLOS ANT Reserva E-4</t>
  </si>
  <si>
    <t>Transf.Internet a 10.071.888-K Sueldo Hernan Varela + gasto omarcito</t>
  </si>
  <si>
    <t>PAGO EN LINEA PREVIRED Cotizaciones Nancho</t>
  </si>
  <si>
    <t>0174030189 Transf. DANIEL EDUARDO  Cuota H-2</t>
  </si>
  <si>
    <t>0069110355 Transf. OSORIO DEL PINO Reserva A-2</t>
  </si>
  <si>
    <t>0150177634 Transf. Oliver Jhonatan Reserva A-4</t>
  </si>
  <si>
    <t>0082366113 Transf. Franklin Esteba Reserva B-2</t>
  </si>
  <si>
    <t>0177044431 Transf. Matias Antonio Pie Matias Donoso E-6</t>
  </si>
  <si>
    <t>Depósito con Vales Vista Julio Ramirez E-2</t>
  </si>
  <si>
    <t>Depósito con Vales Vista Carlos donoso E-4</t>
  </si>
  <si>
    <t>Transf.Internet a 16.370.375-0  Comision venta terreno E2</t>
  </si>
  <si>
    <t>Corredor</t>
  </si>
  <si>
    <t>Transf.Internet a 17.550.633-0 Comision venta E4</t>
  </si>
  <si>
    <t>00124954827 Transf. PRIXELA PA</t>
  </si>
  <si>
    <t>015720016K Transf. Daniel Guillerm Beth B-3 Reserva</t>
  </si>
  <si>
    <t>0145694566 Transf. MUNOZ NARVAEZ D Reserva E-1</t>
  </si>
  <si>
    <t>0145694566 Transf. MUNOZ NARVAEZ D E-1</t>
  </si>
  <si>
    <t>015720016K Transf. Daniel Guillerm B-3 Reserva</t>
  </si>
  <si>
    <t>Transf.Internet a 16.370.375-0  Comision venta terreno</t>
  </si>
  <si>
    <t>0125665489 Transf. ISAIAS Reserva A-1</t>
  </si>
  <si>
    <t>Depósito con Vales Vista Venta sitio E-1</t>
  </si>
  <si>
    <t>Transf.Internet a 10.755.410-6 Gasto notarial</t>
  </si>
  <si>
    <t>Transf.Internet a 76.521.489-0 Arreglos casa cuidador hector varela</t>
  </si>
  <si>
    <t>0161864722 Transf. Jorge Benjamin aparicio reserva no concretada</t>
  </si>
  <si>
    <t>Transf.Internet a 13.319.718-4 Conservador Los lagos</t>
  </si>
  <si>
    <t>Transf.Internet a 13.319.718-4  Conservador Los lagos</t>
  </si>
  <si>
    <t>0075137109 Transf. Willy Alberto Reserva D-3</t>
  </si>
  <si>
    <t>0145694566 Transf. MUNOZ NARVAEZ D Pago CBR E-1</t>
  </si>
  <si>
    <t>0150177634 Transf. Oliver Jhonatan Rembolso pago conservador A-4</t>
  </si>
  <si>
    <t>Transf.Internet a 16.370.375-0. Comision venta A2</t>
  </si>
  <si>
    <t>0153783047 Transf. Francisco Anton reserva B-1</t>
  </si>
  <si>
    <t>0125665489 Transf. ISAIAS ANDRES PIE A-1</t>
  </si>
  <si>
    <t>Transf.Internet a 77.424.209-0 Comision Remax E-1</t>
  </si>
  <si>
    <t>Transf.Internet a 16.370.375-0 Comision B-2</t>
  </si>
  <si>
    <t>00204710643 Transf. NICOLAS GA B-4</t>
  </si>
  <si>
    <t>00186684214 Transf. MANUEL EDU B-4</t>
  </si>
  <si>
    <t>Transf.Internet a 13.319.718-4 CBR Los Lagos</t>
  </si>
  <si>
    <t>0770025192 Transf. CORRETAJE DANIE B-6 Reserva</t>
  </si>
  <si>
    <t>00156061034 Transf. JOSE DE Jesus urra A-5</t>
  </si>
  <si>
    <t>0174030189 Transf. DANIEL EDUARDO Cuota H-2</t>
  </si>
  <si>
    <t>Transf.Internet a 13.906.357-0 Comision Corredor A1</t>
  </si>
  <si>
    <t>Transf.Internet a 10.071.888-K Sueldo Nancho y Omar</t>
  </si>
  <si>
    <t>PAGO EN LINEA PREVIRED Cotizaciones</t>
  </si>
  <si>
    <t>0770025192 Transf. CORRETAJE DANIE Reserva B6</t>
  </si>
  <si>
    <t>00156061034 Transf. JOSE DE JE Reserva A5</t>
  </si>
  <si>
    <t>Transf.Internet a 0163703750 Reembolso a sara por pago notaria</t>
  </si>
  <si>
    <t>Transf.Internet a 76.664.215-2. Gestion firmas valdivia Juan Carlos Abarca</t>
  </si>
  <si>
    <t>Honorarios</t>
  </si>
  <si>
    <t>Transf.Internet a 13.319.718-4. CBR Los lagos Inscripcion</t>
  </si>
  <si>
    <t>0177044431 Transf. Matias Antonio Donoso Cuota E-6</t>
  </si>
  <si>
    <t>0069110355 Transf. OSORIO DEL PINO reembolso para conservador A-2</t>
  </si>
  <si>
    <t>Transf.Internet a 10.071.888-K Pago comisiones a Nancho por sitios vendidos</t>
  </si>
  <si>
    <t>Transf.Internet a 16.370.375-0 Sara comision D3</t>
  </si>
  <si>
    <t>Transf.Internet a 20.346.170-4 Gestion firma compraventa Clemente Soloudre</t>
  </si>
  <si>
    <t>Depósito con Vales Vista Pie promesa B-1</t>
  </si>
  <si>
    <t>00204710643 Transf. NICOLAS GA Pie B-4</t>
  </si>
  <si>
    <t>Transf.Internet a 17.550.633-0 Pago comision B1 German Estuardo</t>
  </si>
  <si>
    <t>Transf.Internet a 16.370.375-0 Pago comision B1 a Sara Errazuriz</t>
  </si>
  <si>
    <t>Transf.Internet a 13.319.718-4 CBR</t>
  </si>
  <si>
    <t>Transf.Internet a 81.629.800-8 Pago Socoepa Instalacion electrica</t>
  </si>
  <si>
    <t>Luz</t>
  </si>
  <si>
    <t>Transf.Internet a 17.550.633-0 Pago comision B4 German Estuardo</t>
  </si>
  <si>
    <t>Transf.Internet a 16.370.375-0 Pago comision B4 a Sara Errazuriz</t>
  </si>
  <si>
    <t>Transf.Internet a 77.424.209-0 Comision Remax D-2</t>
  </si>
  <si>
    <t>015720016K Transf. Daniel Guillerm Pie Promesa B3</t>
  </si>
  <si>
    <t>Transf.Internet a 76.047.546-7  Renovacion La Nube</t>
  </si>
  <si>
    <t>Transf.Internet a 17.550.633-0 Pago comision B3 German Estuardo</t>
  </si>
  <si>
    <t>Transf.Internet a 16.370.375-0 Pago comision B3 a Sara Errazuriz</t>
  </si>
  <si>
    <t>Venta de Dólares por Caja Venta D-2</t>
  </si>
  <si>
    <t>00156061034 Transf. JOSE DE JE Pie A5</t>
  </si>
  <si>
    <t>Transf.Internet a 17.550.633-0 Pago comision A5 German Estuardo</t>
  </si>
  <si>
    <t>Transf.Internet a 16.370.375-0 Pago comision A5 Sara Errazuriz</t>
  </si>
  <si>
    <t>Transf.Internet a 76.521.489-0 Segundo 30% arreglos casa cuidador hector varela</t>
  </si>
  <si>
    <t>0157229478 Transf. Andrea Isabel S Reserva A3 y A6</t>
  </si>
  <si>
    <t>Depósito con Vales Vista Saldo precio A-2</t>
  </si>
  <si>
    <t>Transf.Internet a 10.755.410-6 Cobro notaria rieutord</t>
  </si>
  <si>
    <t>Abono Vale Vista Saldo Precio O-6</t>
  </si>
  <si>
    <t>Ingresos F29 Marzo</t>
  </si>
  <si>
    <t>0125665489 Transf. ISAIAS ANDRES Cuota A1</t>
  </si>
  <si>
    <t>00204710643 Transf. NICOLAS GA Cuota B4</t>
  </si>
  <si>
    <t>PAGO EN LINEA PREVIRED</t>
  </si>
  <si>
    <t>Transf.Internet a 10.071.888-K Sueldo nancho</t>
  </si>
  <si>
    <t>0177044431 Transf. Matias Antonio Cuota E6</t>
  </si>
  <si>
    <t>Transf.Internet a 19.861.425-4 Gestion firma Lucas</t>
  </si>
  <si>
    <t>015720016K Transf. Daniel Guillerm Reembolso notaria</t>
  </si>
  <si>
    <t>015720016K Transf. Daniel Guillerm Cuota B3</t>
  </si>
  <si>
    <t xml:space="preserve">Depósito con Vales Vista D3 Ingrid Molina y A2 Franklin Osorio </t>
  </si>
  <si>
    <t>0153783047 Transf. Francisco Anton Cuota B1</t>
  </si>
  <si>
    <t>B1</t>
  </si>
  <si>
    <t>Depósito con Vales Vista A-2 Luis osorio</t>
  </si>
  <si>
    <t>PAGO EN LINEA S.I.I.</t>
  </si>
  <si>
    <t>Transf.Internet a 3.113.139-1 Reembolso por cuentas electricas a Bezanilla mar2022 a enero 2023</t>
  </si>
  <si>
    <t>0174030189 Transf. DANIEL EDUARDO Cuota H2</t>
  </si>
  <si>
    <t>0144362721 Transf. Pablo Andres So Reserva L2</t>
  </si>
  <si>
    <t>Transf.Internet a 18.888.548-9 Anticipo arreglo electico casa nancho</t>
  </si>
  <si>
    <t>0160980591 Transf. PAVLOV DE LA FU Cuota H8</t>
  </si>
  <si>
    <t>Transf.Internet a 10.755.410-6 Notaria Rieutord</t>
  </si>
  <si>
    <t>Transf.Internet a 77.196.916-K Madera Lacoste</t>
  </si>
  <si>
    <t>Transf.Internet a 77.688.698-K Contabilidad AT 2022</t>
  </si>
  <si>
    <t>0154205098 Transf. Francisco Moya A3 y A6</t>
  </si>
  <si>
    <t>0157229478 Transf. Andrea Isabel S A3 y A6</t>
  </si>
  <si>
    <t>PAGO EN LINEA T.G.R.</t>
  </si>
  <si>
    <t>00154205098 Transf. FRANCISCO   A3 y A6</t>
  </si>
  <si>
    <t>00154205098 Transf. FRANCISCO A3 y A6 Andrea sepulveda pie</t>
  </si>
  <si>
    <t>0153783047 Transf. Francisco Antonio Sandoval Castro Cuota B1</t>
  </si>
  <si>
    <t>Transf.Internet a 10.071.888-K</t>
  </si>
  <si>
    <t>Transf.Internet a 18.936.696-5 Comision venta PARCELA A3 Y A6, FUTRONO</t>
  </si>
  <si>
    <t>00156061034 Transf. JOSE DE JE Cuota A5</t>
  </si>
  <si>
    <t>00204710643 Transf. NICOLAS GA Cuota B-4</t>
  </si>
  <si>
    <t>0177044431 Transf. Matias Antonio Donoso Wright E-6</t>
  </si>
  <si>
    <t>0157229478 Transf. Andrea Isabel Sepulved Pie A3 y A6</t>
  </si>
  <si>
    <t>015720016K Transf. Daniel Guillermo Beth Madariaga Cuota b3</t>
  </si>
  <si>
    <t>Transf.Internet a 10.755.410-6. Notaria</t>
  </si>
  <si>
    <t>0261207958 Transf. Ralph Anthony Schupnik Reserva E-11</t>
  </si>
  <si>
    <t>Transf.Internet a 18.888.548-9. arreglo electrico casa cuidador</t>
  </si>
  <si>
    <t>0157229478 Transf. Andrea Isabel Sepulved Reembolso pago conservador</t>
  </si>
  <si>
    <t>Otros Ingresos</t>
  </si>
  <si>
    <t>0160980591 Transf. PAVLOV DE LA FUENTE STEFANIA ALEKSANDRA Cuota H8</t>
  </si>
  <si>
    <t>0084073318 Transf. LUIS FERNANDO Reserva B5</t>
  </si>
  <si>
    <t>Transf.Internet a 76.080.949-7. Mitad memoria tecnica</t>
  </si>
  <si>
    <t xml:space="preserve"> 0084073318 Transf. LUIS FERNANDO Reserva B5</t>
  </si>
  <si>
    <t>0125665489 Transf. ISAIAS ANDRES. Pago cuota A1</t>
  </si>
  <si>
    <t>A1</t>
  </si>
  <si>
    <t>Transf.Internet a 76.521.489-0. Saldo arreglo casa cuidador.</t>
  </si>
  <si>
    <t>Transf.Internet a 10.071.888-K. Nancho.</t>
  </si>
  <si>
    <t>B4</t>
  </si>
  <si>
    <t>0261207958 Transf. Ralph Anthony Schupnik  E11</t>
  </si>
  <si>
    <t>E11</t>
  </si>
  <si>
    <t>0261207958 Transf. Ralph Anthony Schupnik</t>
  </si>
  <si>
    <t>0770683521 Transf. AUTOVIDRIOSROBIN SPA A3 y A6</t>
  </si>
  <si>
    <t>A3 - A6</t>
  </si>
  <si>
    <t>0153783047 Transf. Francisco Antonio Sandoval Castro</t>
  </si>
  <si>
    <t>00156061034 Transf. JOSE DE JE</t>
  </si>
  <si>
    <t>A5</t>
  </si>
  <si>
    <t>015720016K Transf. Daniel Guillermo Beth Madariaga</t>
  </si>
  <si>
    <t>B3</t>
  </si>
  <si>
    <t>Transf.Internet a 77.424.209-0. Comisiones lotes B5 - E11</t>
  </si>
  <si>
    <t>0177044431 Transf. Matias Antonio Donoso Wright</t>
  </si>
  <si>
    <t>E6</t>
  </si>
  <si>
    <t>Depósito con Vales Vista</t>
  </si>
  <si>
    <t>B5</t>
  </si>
  <si>
    <t>Transf.Internet a 77.196.916-K Maderas.</t>
  </si>
  <si>
    <t>0160980591 Transf. PAVLOV DE LA FUENTE STEFANIA ALEKSANDRA</t>
  </si>
  <si>
    <t>H8</t>
  </si>
  <si>
    <t>0125665489 Transf. ISAIAS ANDRES Cuota</t>
  </si>
  <si>
    <t>Transf.Internet a 10.071.888-K. Nancho + Omarcito</t>
  </si>
  <si>
    <t>Transf.Internet a 13.319.718-4</t>
  </si>
  <si>
    <t>0157229478 Transf. Andrea Isabel Sepulved  Cuota</t>
  </si>
  <si>
    <t>A3 y A6</t>
  </si>
  <si>
    <t>0261207958 Transf. Ralph Anthony Schupnik cuota</t>
  </si>
  <si>
    <t>00204710643 Transf. NICOLAS GA Cuota</t>
  </si>
  <si>
    <t>0084073318 Transf. LUIS FERNANDO cuota</t>
  </si>
  <si>
    <t>0153783047 Transf. Francisco Antonio Sandoval Castro cuota</t>
  </si>
  <si>
    <t>00156061034 Transf. JOSE DE JE cuota</t>
  </si>
  <si>
    <t>0177044431 Transf. Matias Antonio Donoso Wright cuota</t>
  </si>
  <si>
    <t>015720016K Transf. Daniel Guillermo Beth Madariaga cuota</t>
  </si>
  <si>
    <t>Transf.Internet a 17.403.018-9 Devolucion Daniel Benth H2</t>
  </si>
  <si>
    <t>Transf.Internet a 15.640.744-5. Pasajes osorno y arriendo auto</t>
  </si>
  <si>
    <t>Transf.Internet a 13.051.415-4. archivo judicial</t>
  </si>
  <si>
    <t xml:space="preserve">Transf.Internet a 10.755.410-6 </t>
  </si>
  <si>
    <t>Transf.Internet a 10.755.410-6</t>
  </si>
  <si>
    <t>Compra JUAN HINOJOSA. taxi aeropuerto</t>
  </si>
  <si>
    <t>Compra MAXIK</t>
  </si>
  <si>
    <t>Transf.Internet a 14.436.272-1.  Reembolso notaria Pablo Soto</t>
  </si>
  <si>
    <t>Compra MARIA JOSE GARCIA</t>
  </si>
  <si>
    <t xml:space="preserve">Compra BIERGARTEN TROPER almuerzo </t>
  </si>
  <si>
    <t>Transf.Internet a 77.196.916-K. Madera para cercos</t>
  </si>
  <si>
    <t>Traspaso con la Cuenta N° 002002746762</t>
  </si>
  <si>
    <t>Linea de credito</t>
  </si>
  <si>
    <t>Compra COPEC COM. Y SER.</t>
  </si>
  <si>
    <t>Compra MITTA RENT A CAR</t>
  </si>
  <si>
    <t>Compra SUPERMERCADO MONT</t>
  </si>
  <si>
    <t>0125665489 Transf. ISAIAS ANDRES</t>
  </si>
  <si>
    <t>Transf.Internet a 16.367.300-2. Reembolso Hotel Futrono</t>
  </si>
  <si>
    <t>Transf.Internet a 77.460.141-4. Pago linea credito</t>
  </si>
  <si>
    <t>00204710643 Transf. NICOLAS GA</t>
  </si>
  <si>
    <t>Intereses Línea de Crédito</t>
  </si>
  <si>
    <t>Impuesto Sobregiro</t>
  </si>
  <si>
    <t>0157229478 Transf. Andrea Isabel Sepulved</t>
  </si>
  <si>
    <t>Transf.Internet a 10.071.888-K. sueldo nancho</t>
  </si>
  <si>
    <t>Transf.Internet a 14.436.272-1 Saldo Notaría Pablo Soto Campos</t>
  </si>
  <si>
    <t>0176706899 Transf. Claudio Alfonso Perez Tagle Reserva</t>
  </si>
  <si>
    <t>E8</t>
  </si>
  <si>
    <t>Transf.Internet a 79.857.120-6. Comision por Lote L-2 Futrono</t>
  </si>
  <si>
    <t>Depósito con Vales Vista. Pago L-2</t>
  </si>
  <si>
    <t>L2</t>
  </si>
  <si>
    <t>0153783047 Transf. Francisco Antonio Sandoval Castr</t>
  </si>
  <si>
    <t>Transf.Internet a 10.071.888-K. Nancho Reembolso de gastos (boletas respaldadas)</t>
  </si>
  <si>
    <t>Transf.Internet a 10.071.888-K. Nancho Sueldo agosto</t>
  </si>
  <si>
    <t>46191476 Inversión en FFMM</t>
  </si>
  <si>
    <t>Transf.Internet a 13.051.415-4 Archivo Judicial</t>
  </si>
  <si>
    <t>Transf.Internet a 077196916K. Compra madera</t>
  </si>
  <si>
    <t>Transf.Internet a 12.485.175-0. Notaria</t>
  </si>
  <si>
    <t>Transf.Internet a 77.160.572-9. reembolso gasto  pasajes avion a osorno.</t>
  </si>
  <si>
    <t>Compra MARIA JOSE GARCIA viaje ranco</t>
  </si>
  <si>
    <t>Compra MP *JONATHAN viaje ranco</t>
  </si>
  <si>
    <t>Compra SUPERMERCADO MONT viaje ranco</t>
  </si>
  <si>
    <t>Giro en Cajero Automatico caja chica para peajes y propinas</t>
  </si>
  <si>
    <t>Compra CAFE URBANO viaje ramcp</t>
  </si>
  <si>
    <t>Transf.Internet a 77.054.423-8. 25% inicial caminos</t>
  </si>
  <si>
    <t>Camino</t>
  </si>
  <si>
    <t>Transf.Internet a 0089652782. alojamiento</t>
  </si>
  <si>
    <t>Compra WUFEHR. viaje rango</t>
  </si>
  <si>
    <t xml:space="preserve">Compra FERRETERIAS WEITZ. Atraviesos metalicos </t>
  </si>
  <si>
    <t>Transf.Internet a 77.160.572-9. Remmbolsa gasto</t>
  </si>
  <si>
    <t>Compra COMERCIALIZADORA</t>
  </si>
  <si>
    <t>Transf.Internet a 16.367.300-2. Cabify al aeropuerto</t>
  </si>
  <si>
    <t>Compra INVERSIONES HORUS</t>
  </si>
  <si>
    <t>Transf.Internet a 15.271.404-1. Iva del flete atraviesos</t>
  </si>
  <si>
    <t>Transf.Internet a 0152714041. Flete atraviesos</t>
  </si>
  <si>
    <t>Compra SKY AIRLINE WEBP</t>
  </si>
  <si>
    <t xml:space="preserve">	Compra SKY AIRLINE WEBP</t>
  </si>
  <si>
    <t xml:space="preserve">Transf.Internet a 11.114.353-6. Donacion Ayuda familia APR Nontuelá accidente </t>
  </si>
  <si>
    <t>Transf.Internet a 77.054.423-8 .Alcantarilla y Flete Proyecto</t>
  </si>
  <si>
    <t xml:space="preserve">0160980591 Transf. PAVLOV DE LA FUENTE STEFANIA ALEKSANDRA </t>
  </si>
  <si>
    <t>Transf.Internet a 10.071.888-K Remuneracion Hector Varela</t>
  </si>
  <si>
    <t>Transf.Internet a 10.071.888-K Reembolso gastos Hector Varela</t>
  </si>
  <si>
    <t xml:space="preserve">Transf.Internet a 77.054.423-8  </t>
  </si>
  <si>
    <t>Compra MERPAGO*SKYAIRLIN</t>
  </si>
  <si>
    <t>Transf.Internet a 15.640.744-5 Reembolso arriendo auto viaje Futrono 13 al 15 nov</t>
  </si>
  <si>
    <t xml:space="preserve">00204710643 Transf. NICOLAS GA </t>
  </si>
  <si>
    <t>Transf.Internet a 015269489K Primera transf 30 por ciento obras agua proyecto</t>
  </si>
  <si>
    <t>Transf.Internet a 15.269.489-K Saldo 30 por ciento inicial trabajos red agua</t>
  </si>
  <si>
    <t>Transf.Internet a 13.160.810-1 Materiales para dos empalmes trifasicos</t>
  </si>
  <si>
    <t>Compra SumUp * Priscilla</t>
  </si>
  <si>
    <t xml:space="preserve">	Compra SUPERMERCADO MONT</t>
  </si>
  <si>
    <t>Compra RESTAURANT MILU</t>
  </si>
  <si>
    <t xml:space="preserve">Compra MARIA JOSE GARCIA </t>
  </si>
  <si>
    <t>Transf.Internet a 77.054.423-8 Estado pago 3 de 4 construcción caminos</t>
  </si>
  <si>
    <t xml:space="preserve">	Compra RESTAURANT MILU</t>
  </si>
  <si>
    <t>Transf.Internet a 0089652782 Alojamiento</t>
  </si>
  <si>
    <t>Compra GASTRONOMICA INGR</t>
  </si>
  <si>
    <t xml:space="preserve">	Compra COMERCIALIZADORA</t>
  </si>
  <si>
    <t>Compra 8 13 CONFITERIA</t>
  </si>
  <si>
    <t>Transf.Internet a 16.367.300-2. Reembolso uber aeropuerto</t>
  </si>
  <si>
    <t>Transf.Internet a 15.640.744-5 Reembolso pasajes lan viaje 27 a 29 nov</t>
  </si>
  <si>
    <t>Transf.Internet a 15.640.744-5 Reembolso arriendo auto viaje 27 a 29 nov</t>
  </si>
  <si>
    <t>Transf.Internet a 77.054.423-8 Alcantarillas mas flete</t>
  </si>
  <si>
    <t>Transf.Internet a 15.640.744-5 Reembolso gastos efectivo viaje Futrono</t>
  </si>
  <si>
    <t>Compra HAULMER*SAFETY AM</t>
  </si>
  <si>
    <t>Transf.Internet a 15.269.489-K AGUA ALVARO ACUNA</t>
  </si>
  <si>
    <t>Compra VULCANIZACION LOS</t>
  </si>
  <si>
    <t>Compra PATRICIA VERGARA</t>
  </si>
  <si>
    <t>Transf.Internet a 16.367.300-2. Rembolso uber</t>
  </si>
  <si>
    <t>0204710643 Transf. Nicol</t>
  </si>
  <si>
    <t>Sueldo noviembre</t>
  </si>
  <si>
    <t>Reembolso gastos</t>
  </si>
  <si>
    <t>Nancho</t>
  </si>
  <si>
    <t>0204710643 Transf. NICOL</t>
  </si>
  <si>
    <t xml:space="preserve">	Rescate Fondos Mutuos</t>
  </si>
  <si>
    <t>Transf.Internet a 15.269.489-K</t>
  </si>
  <si>
    <t>Avance 20 por ciento mano de obra red agua</t>
  </si>
  <si>
    <t>Transf.Internet a 77.054.423-8</t>
  </si>
  <si>
    <t>Factura Final 4 Construcción Caminos Promaq</t>
  </si>
  <si>
    <t>Compra I. MUNICIPALIDAD</t>
  </si>
  <si>
    <t>solicitud número 97600</t>
  </si>
  <si>
    <t>Transf.Internet a 76.664.215-2</t>
  </si>
  <si>
    <t>Cotizacion A 00255 topografia 2 has Nontuela</t>
  </si>
  <si>
    <t>Transf.Internet a 077196916K</t>
  </si>
  <si>
    <t>Pago Factura 2234. madera cerco</t>
  </si>
  <si>
    <t>0125665489 Transf. ISAIAS ANDRES YAAEZ YAAEZ</t>
  </si>
  <si>
    <t>Otros</t>
  </si>
  <si>
    <t>Prestamo</t>
  </si>
  <si>
    <t>Terreno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</si>
</sst>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mm/dd/yyyy"/>
    <numFmt numFmtId="166" formatCode="mm&quot;/&quot;dd"/>
    <numFmt numFmtId="167" formatCode="&quot;$&quot;#,##0.00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sz val="11.0"/>
      <color rgb="FF444444"/>
      <name val="Arial"/>
    </font>
    <font>
      <sz val="11.0"/>
      <color rgb="FF444444"/>
      <name val="An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0" xfId="0" applyBorder="1" applyFont="1"/>
    <xf borderId="1" fillId="0" fontId="2" numFmtId="0" xfId="0" applyBorder="1" applyFont="1"/>
    <xf borderId="1" fillId="0" fontId="1" numFmtId="164" xfId="0" applyBorder="1" applyFont="1" applyNumberFormat="1"/>
    <xf borderId="1" fillId="0" fontId="3" numFmtId="0" xfId="0" applyAlignment="1" applyBorder="1" applyFont="1">
      <alignment horizontal="left"/>
    </xf>
    <xf borderId="1" fillId="0" fontId="3" numFmtId="0" xfId="0" applyBorder="1" applyFont="1"/>
    <xf borderId="1" fillId="0" fontId="3" numFmtId="164" xfId="0" applyBorder="1" applyFont="1" applyNumberFormat="1"/>
    <xf borderId="1" fillId="0" fontId="1" numFmtId="165" xfId="0" applyAlignment="1" applyBorder="1" applyFont="1" applyNumberFormat="1">
      <alignment horizontal="left"/>
    </xf>
    <xf borderId="1" fillId="0" fontId="1" numFmtId="166" xfId="0" applyBorder="1" applyFont="1" applyNumberFormat="1"/>
    <xf borderId="1" fillId="0" fontId="1" numFmtId="3" xfId="0" applyBorder="1" applyFont="1" applyNumberFormat="1"/>
    <xf borderId="1" fillId="0" fontId="1" numFmtId="166" xfId="0" applyAlignment="1" applyBorder="1" applyFont="1" applyNumberFormat="1">
      <alignment horizontal="right"/>
    </xf>
    <xf borderId="1" fillId="2" fontId="4" numFmtId="164" xfId="0" applyAlignment="1" applyBorder="1" applyFill="1" applyFont="1" applyNumberFormat="1">
      <alignment horizontal="right"/>
    </xf>
    <xf borderId="1" fillId="2" fontId="5" numFmtId="0" xfId="0" applyAlignment="1" applyBorder="1" applyFont="1">
      <alignment horizontal="left"/>
    </xf>
    <xf borderId="1" fillId="2" fontId="4" numFmtId="0" xfId="0" applyAlignment="1" applyBorder="1" applyFont="1">
      <alignment horizontal="left"/>
    </xf>
    <xf borderId="1" fillId="2" fontId="5" numFmtId="0" xfId="0" applyAlignment="1" applyBorder="1" applyFont="1">
      <alignment horizontal="right"/>
    </xf>
    <xf borderId="1" fillId="2" fontId="5" numFmtId="164" xfId="0" applyAlignment="1" applyBorder="1" applyFont="1" applyNumberFormat="1">
      <alignment horizontal="left"/>
    </xf>
    <xf borderId="1" fillId="2" fontId="4" numFmtId="167" xfId="0" applyAlignment="1" applyBorder="1" applyFont="1" applyNumberFormat="1">
      <alignment horizontal="righ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57.0"/>
    <col customWidth="1" min="3" max="3" width="9.75"/>
    <col customWidth="1" min="4" max="4" width="25.13"/>
    <col customWidth="1" min="5" max="7" width="12.63"/>
    <col customWidth="1" min="8" max="8" width="39.13"/>
    <col customWidth="1" min="9" max="26" width="12.63"/>
  </cols>
  <sheetData>
    <row r="1" ht="15.75" customHeight="1">
      <c r="A1" s="1"/>
      <c r="B1" s="2" t="s">
        <v>0</v>
      </c>
      <c r="C1" s="3"/>
      <c r="D1" s="3"/>
      <c r="E1" s="3"/>
      <c r="F1" s="4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3</v>
      </c>
      <c r="J2" s="6" t="s">
        <v>3</v>
      </c>
      <c r="K2" s="6" t="s">
        <v>3</v>
      </c>
      <c r="L2" s="6" t="s">
        <v>3</v>
      </c>
      <c r="M2" s="6" t="s">
        <v>3</v>
      </c>
      <c r="N2" s="6" t="s">
        <v>3</v>
      </c>
      <c r="O2" s="6" t="s">
        <v>3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 t="s">
        <v>3</v>
      </c>
      <c r="Z2" s="6" t="s">
        <v>3</v>
      </c>
    </row>
    <row r="3" ht="15.75" customHeight="1">
      <c r="A3" s="8">
        <v>44927.0</v>
      </c>
      <c r="B3" s="2" t="s">
        <v>9</v>
      </c>
      <c r="C3" s="2" t="s">
        <v>3</v>
      </c>
      <c r="D3" s="2" t="s">
        <v>3</v>
      </c>
      <c r="E3" s="4">
        <v>785947.0</v>
      </c>
      <c r="F3" s="4" t="s">
        <v>3</v>
      </c>
      <c r="G3" s="4" t="s">
        <v>3</v>
      </c>
      <c r="H3" s="2" t="s">
        <v>3</v>
      </c>
      <c r="I3" s="2" t="s">
        <v>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9">
        <v>44929.0</v>
      </c>
      <c r="B4" s="2" t="s">
        <v>10</v>
      </c>
      <c r="C4" s="3"/>
      <c r="D4" s="2" t="s">
        <v>11</v>
      </c>
      <c r="E4" s="4">
        <f t="shared" ref="E4:E411" si="1">E3+F4+G4</f>
        <v>562411</v>
      </c>
      <c r="F4" s="4"/>
      <c r="G4" s="4">
        <v>-223536.0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9">
        <v>44930.0</v>
      </c>
      <c r="B5" s="2" t="s">
        <v>12</v>
      </c>
      <c r="C5" s="3"/>
      <c r="D5" s="2" t="s">
        <v>13</v>
      </c>
      <c r="E5" s="4">
        <f t="shared" si="1"/>
        <v>1562411</v>
      </c>
      <c r="F5" s="4">
        <v>1000000.0</v>
      </c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9">
        <v>44930.0</v>
      </c>
      <c r="B6" s="2" t="s">
        <v>14</v>
      </c>
      <c r="C6" s="3"/>
      <c r="D6" s="2" t="s">
        <v>15</v>
      </c>
      <c r="E6" s="4">
        <f t="shared" si="1"/>
        <v>206921</v>
      </c>
      <c r="F6" s="4"/>
      <c r="G6" s="4">
        <v>-1355490.0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9">
        <v>44932.0</v>
      </c>
      <c r="B7" s="2" t="s">
        <v>16</v>
      </c>
      <c r="C7" s="3"/>
      <c r="D7" s="2" t="s">
        <v>17</v>
      </c>
      <c r="E7" s="4">
        <f t="shared" si="1"/>
        <v>101921</v>
      </c>
      <c r="F7" s="4"/>
      <c r="G7" s="4">
        <v>-105000.0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9">
        <v>44935.0</v>
      </c>
      <c r="B8" s="2" t="s">
        <v>12</v>
      </c>
      <c r="C8" s="3"/>
      <c r="D8" s="2" t="s">
        <v>13</v>
      </c>
      <c r="E8" s="4">
        <f t="shared" si="1"/>
        <v>1301921</v>
      </c>
      <c r="F8" s="4">
        <v>1200000.0</v>
      </c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9">
        <v>44935.0</v>
      </c>
      <c r="B9" s="2" t="s">
        <v>12</v>
      </c>
      <c r="C9" s="3"/>
      <c r="D9" s="2" t="s">
        <v>13</v>
      </c>
      <c r="E9" s="4">
        <f t="shared" si="1"/>
        <v>2301921</v>
      </c>
      <c r="F9" s="4">
        <v>1000000.0</v>
      </c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9">
        <v>44935.0</v>
      </c>
      <c r="B10" s="2" t="s">
        <v>18</v>
      </c>
      <c r="C10" s="3"/>
      <c r="D10" s="2" t="s">
        <v>15</v>
      </c>
      <c r="E10" s="4">
        <f t="shared" si="1"/>
        <v>1171921</v>
      </c>
      <c r="F10" s="4"/>
      <c r="G10" s="4">
        <v>-1130000.0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9">
        <v>44935.0</v>
      </c>
      <c r="B11" s="2" t="s">
        <v>19</v>
      </c>
      <c r="C11" s="3"/>
      <c r="D11" s="2" t="s">
        <v>15</v>
      </c>
      <c r="E11" s="4">
        <f t="shared" si="1"/>
        <v>93506</v>
      </c>
      <c r="F11" s="4"/>
      <c r="G11" s="4">
        <v>-1078415.0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9">
        <v>44943.0</v>
      </c>
      <c r="B12" s="2" t="s">
        <v>20</v>
      </c>
      <c r="C12" s="3"/>
      <c r="D12" s="2" t="s">
        <v>21</v>
      </c>
      <c r="E12" s="4">
        <f t="shared" si="1"/>
        <v>48006</v>
      </c>
      <c r="F12" s="4"/>
      <c r="G12" s="4">
        <v>-45500.0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9">
        <v>44946.0</v>
      </c>
      <c r="B13" s="2" t="s">
        <v>12</v>
      </c>
      <c r="C13" s="3"/>
      <c r="D13" s="2" t="s">
        <v>13</v>
      </c>
      <c r="E13" s="4">
        <f t="shared" si="1"/>
        <v>3048006</v>
      </c>
      <c r="F13" s="4">
        <v>3000000.0</v>
      </c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9">
        <v>44946.0</v>
      </c>
      <c r="B14" s="2" t="s">
        <v>22</v>
      </c>
      <c r="C14" s="3"/>
      <c r="D14" s="2" t="s">
        <v>23</v>
      </c>
      <c r="E14" s="4">
        <f t="shared" si="1"/>
        <v>1560658</v>
      </c>
      <c r="F14" s="4"/>
      <c r="G14" s="4">
        <v>-1487348.0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9">
        <v>44946.0</v>
      </c>
      <c r="B15" s="2" t="s">
        <v>24</v>
      </c>
      <c r="C15" s="3"/>
      <c r="D15" s="2" t="s">
        <v>25</v>
      </c>
      <c r="E15" s="4">
        <f t="shared" si="1"/>
        <v>6560658</v>
      </c>
      <c r="F15" s="4">
        <v>5000000.0</v>
      </c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9">
        <v>44946.0</v>
      </c>
      <c r="B16" s="2" t="s">
        <v>24</v>
      </c>
      <c r="C16" s="3"/>
      <c r="D16" s="2" t="s">
        <v>25</v>
      </c>
      <c r="E16" s="4">
        <f t="shared" si="1"/>
        <v>11560658</v>
      </c>
      <c r="F16" s="4">
        <v>5000000.0</v>
      </c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9">
        <v>44949.0</v>
      </c>
      <c r="B17" s="2" t="s">
        <v>24</v>
      </c>
      <c r="C17" s="3"/>
      <c r="D17" s="2" t="s">
        <v>25</v>
      </c>
      <c r="E17" s="4">
        <f t="shared" si="1"/>
        <v>14427950</v>
      </c>
      <c r="F17" s="7">
        <v>2867292.0</v>
      </c>
      <c r="G17" s="4"/>
      <c r="H17" s="2">
        <f>15+8.5</f>
        <v>23.5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9">
        <v>44950.0</v>
      </c>
      <c r="B18" s="2" t="s">
        <v>26</v>
      </c>
      <c r="C18" s="3"/>
      <c r="D18" s="2" t="s">
        <v>25</v>
      </c>
      <c r="E18" s="4">
        <f t="shared" si="1"/>
        <v>12575450</v>
      </c>
      <c r="F18" s="4"/>
      <c r="G18" s="4">
        <v>-1852500.0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9">
        <v>44951.0</v>
      </c>
      <c r="B19" s="2" t="s">
        <v>27</v>
      </c>
      <c r="C19" s="3"/>
      <c r="D19" s="2" t="s">
        <v>25</v>
      </c>
      <c r="E19" s="4">
        <f t="shared" si="1"/>
        <v>13267682</v>
      </c>
      <c r="F19" s="4">
        <v>692232.0</v>
      </c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9">
        <v>44953.0</v>
      </c>
      <c r="B20" s="2" t="s">
        <v>28</v>
      </c>
      <c r="C20" s="3"/>
      <c r="D20" s="2" t="s">
        <v>21</v>
      </c>
      <c r="E20" s="4">
        <f t="shared" si="1"/>
        <v>10992862</v>
      </c>
      <c r="F20" s="4"/>
      <c r="G20" s="4">
        <v>-2274820.0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9">
        <v>44956.0</v>
      </c>
      <c r="B21" s="2" t="s">
        <v>29</v>
      </c>
      <c r="C21" s="3"/>
      <c r="D21" s="2" t="s">
        <v>13</v>
      </c>
      <c r="E21" s="4">
        <f t="shared" si="1"/>
        <v>2992862</v>
      </c>
      <c r="F21" s="4"/>
      <c r="G21" s="4">
        <v>-8000000.0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9">
        <v>44956.0</v>
      </c>
      <c r="B22" s="2" t="s">
        <v>30</v>
      </c>
      <c r="C22" s="3"/>
      <c r="D22" s="2" t="s">
        <v>25</v>
      </c>
      <c r="E22" s="4">
        <f t="shared" si="1"/>
        <v>3492862</v>
      </c>
      <c r="F22" s="4">
        <v>500000.0</v>
      </c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9">
        <v>44956.0</v>
      </c>
      <c r="B23" s="2" t="s">
        <v>31</v>
      </c>
      <c r="C23" s="3"/>
      <c r="D23" s="2" t="s">
        <v>25</v>
      </c>
      <c r="E23" s="4">
        <f t="shared" si="1"/>
        <v>3992862</v>
      </c>
      <c r="F23" s="4">
        <v>500000.0</v>
      </c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9">
        <v>44956.0</v>
      </c>
      <c r="B24" s="2" t="s">
        <v>32</v>
      </c>
      <c r="C24" s="3"/>
      <c r="D24" s="2" t="s">
        <v>25</v>
      </c>
      <c r="E24" s="4">
        <f t="shared" si="1"/>
        <v>4242862</v>
      </c>
      <c r="F24" s="4">
        <v>250000.0</v>
      </c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9">
        <v>44956.0</v>
      </c>
      <c r="B25" s="2" t="s">
        <v>32</v>
      </c>
      <c r="C25" s="3"/>
      <c r="D25" s="2" t="s">
        <v>25</v>
      </c>
      <c r="E25" s="4">
        <f t="shared" si="1"/>
        <v>4492862</v>
      </c>
      <c r="F25" s="4">
        <v>250000.0</v>
      </c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9">
        <v>44958.0</v>
      </c>
      <c r="B26" s="2" t="s">
        <v>33</v>
      </c>
      <c r="C26" s="3"/>
      <c r="D26" s="2" t="s">
        <v>11</v>
      </c>
      <c r="E26" s="4">
        <f t="shared" si="1"/>
        <v>3792862</v>
      </c>
      <c r="F26" s="4"/>
      <c r="G26" s="4">
        <v>-700000.0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9">
        <v>44958.0</v>
      </c>
      <c r="B27" s="2" t="s">
        <v>34</v>
      </c>
      <c r="C27" s="3"/>
      <c r="D27" s="2" t="s">
        <v>11</v>
      </c>
      <c r="E27" s="4">
        <f t="shared" si="1"/>
        <v>3336671</v>
      </c>
      <c r="F27" s="4"/>
      <c r="G27" s="4">
        <v>-456191.0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9">
        <v>44958.0</v>
      </c>
      <c r="B28" s="2" t="s">
        <v>35</v>
      </c>
      <c r="C28" s="3"/>
      <c r="D28" s="2" t="s">
        <v>25</v>
      </c>
      <c r="E28" s="4">
        <f t="shared" si="1"/>
        <v>4142626</v>
      </c>
      <c r="F28" s="4">
        <v>805955.0</v>
      </c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9">
        <v>44960.0</v>
      </c>
      <c r="B29" s="2" t="s">
        <v>36</v>
      </c>
      <c r="C29" s="3"/>
      <c r="D29" s="2" t="s">
        <v>25</v>
      </c>
      <c r="E29" s="4">
        <f t="shared" si="1"/>
        <v>4242626</v>
      </c>
      <c r="F29" s="4">
        <v>100000.0</v>
      </c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9">
        <v>44963.0</v>
      </c>
      <c r="B30" s="2" t="s">
        <v>36</v>
      </c>
      <c r="C30" s="3"/>
      <c r="D30" s="2" t="s">
        <v>25</v>
      </c>
      <c r="E30" s="4">
        <f t="shared" si="1"/>
        <v>4492626</v>
      </c>
      <c r="F30" s="4">
        <v>250000.0</v>
      </c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9">
        <v>44963.0</v>
      </c>
      <c r="B31" s="2" t="s">
        <v>37</v>
      </c>
      <c r="C31" s="3"/>
      <c r="D31" s="2" t="s">
        <v>25</v>
      </c>
      <c r="E31" s="4">
        <f t="shared" si="1"/>
        <v>4742626</v>
      </c>
      <c r="F31" s="4">
        <v>250000.0</v>
      </c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9">
        <v>44963.0</v>
      </c>
      <c r="B32" s="2" t="s">
        <v>37</v>
      </c>
      <c r="C32" s="3"/>
      <c r="D32" s="2" t="s">
        <v>25</v>
      </c>
      <c r="E32" s="4">
        <f t="shared" si="1"/>
        <v>4992626</v>
      </c>
      <c r="F32" s="4">
        <v>250000.0</v>
      </c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9">
        <v>44963.0</v>
      </c>
      <c r="B33" s="2" t="s">
        <v>38</v>
      </c>
      <c r="C33" s="3"/>
      <c r="D33" s="2" t="s">
        <v>25</v>
      </c>
      <c r="E33" s="4">
        <f t="shared" si="1"/>
        <v>5142626</v>
      </c>
      <c r="F33" s="4">
        <v>150000.0</v>
      </c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9">
        <v>44963.0</v>
      </c>
      <c r="B34" s="2" t="s">
        <v>36</v>
      </c>
      <c r="C34" s="3"/>
      <c r="D34" s="2" t="s">
        <v>25</v>
      </c>
      <c r="E34" s="4">
        <f t="shared" si="1"/>
        <v>5292626</v>
      </c>
      <c r="F34" s="4">
        <v>150000.0</v>
      </c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9">
        <v>44964.0</v>
      </c>
      <c r="B35" s="2" t="s">
        <v>39</v>
      </c>
      <c r="C35" s="3"/>
      <c r="D35" s="2" t="s">
        <v>25</v>
      </c>
      <c r="E35" s="4">
        <f t="shared" si="1"/>
        <v>10441586</v>
      </c>
      <c r="F35" s="4">
        <v>5148960.0</v>
      </c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9">
        <v>44965.0</v>
      </c>
      <c r="B36" s="2" t="s">
        <v>40</v>
      </c>
      <c r="C36" s="3"/>
      <c r="D36" s="2" t="s">
        <v>25</v>
      </c>
      <c r="E36" s="4">
        <f t="shared" si="1"/>
        <v>38176921</v>
      </c>
      <c r="F36" s="4">
        <v>2.7735335E7</v>
      </c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9">
        <v>44965.0</v>
      </c>
      <c r="B37" s="2" t="s">
        <v>41</v>
      </c>
      <c r="C37" s="3"/>
      <c r="D37" s="2" t="s">
        <v>25</v>
      </c>
      <c r="E37" s="4">
        <f t="shared" si="1"/>
        <v>65912256</v>
      </c>
      <c r="F37" s="4">
        <v>2.7735335E7</v>
      </c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9">
        <v>44966.0</v>
      </c>
      <c r="B38" s="2" t="s">
        <v>42</v>
      </c>
      <c r="C38" s="3"/>
      <c r="D38" s="2" t="s">
        <v>43</v>
      </c>
      <c r="E38" s="4">
        <f t="shared" si="1"/>
        <v>64463463</v>
      </c>
      <c r="F38" s="4"/>
      <c r="G38" s="4">
        <v>-1448793.0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9">
        <v>44966.0</v>
      </c>
      <c r="B39" s="2" t="s">
        <v>38</v>
      </c>
      <c r="C39" s="3"/>
      <c r="D39" s="2" t="s">
        <v>25</v>
      </c>
      <c r="E39" s="4">
        <f t="shared" si="1"/>
        <v>64813463</v>
      </c>
      <c r="F39" s="4">
        <v>350000.0</v>
      </c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9">
        <v>44967.0</v>
      </c>
      <c r="B40" s="2" t="s">
        <v>29</v>
      </c>
      <c r="C40" s="3"/>
      <c r="D40" s="2" t="s">
        <v>13</v>
      </c>
      <c r="E40" s="4">
        <f t="shared" si="1"/>
        <v>8813463</v>
      </c>
      <c r="F40" s="4"/>
      <c r="G40" s="4">
        <v>-5.6E7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9">
        <v>44967.0</v>
      </c>
      <c r="B41" s="2" t="s">
        <v>44</v>
      </c>
      <c r="C41" s="3"/>
      <c r="D41" s="2" t="s">
        <v>43</v>
      </c>
      <c r="E41" s="4">
        <f t="shared" si="1"/>
        <v>6662023</v>
      </c>
      <c r="F41" s="4"/>
      <c r="G41" s="4">
        <v>-2151440.0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9">
        <v>44971.0</v>
      </c>
      <c r="B42" s="2" t="s">
        <v>45</v>
      </c>
      <c r="C42" s="3"/>
      <c r="D42" s="2" t="s">
        <v>21</v>
      </c>
      <c r="E42" s="4">
        <f t="shared" si="1"/>
        <v>6663023</v>
      </c>
      <c r="F42" s="4">
        <v>1000.0</v>
      </c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9">
        <v>44972.0</v>
      </c>
      <c r="B43" s="2" t="s">
        <v>46</v>
      </c>
      <c r="C43" s="3"/>
      <c r="D43" s="2" t="s">
        <v>25</v>
      </c>
      <c r="E43" s="4">
        <f t="shared" si="1"/>
        <v>7013023</v>
      </c>
      <c r="F43" s="4">
        <v>350000.0</v>
      </c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9">
        <v>44972.0</v>
      </c>
      <c r="B44" s="2" t="s">
        <v>47</v>
      </c>
      <c r="C44" s="3"/>
      <c r="D44" s="2" t="s">
        <v>25</v>
      </c>
      <c r="E44" s="4">
        <f t="shared" si="1"/>
        <v>7014023</v>
      </c>
      <c r="F44" s="4">
        <v>1000.0</v>
      </c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9">
        <v>44973.0</v>
      </c>
      <c r="B45" s="2" t="s">
        <v>22</v>
      </c>
      <c r="C45" s="3"/>
      <c r="D45" s="2" t="s">
        <v>23</v>
      </c>
      <c r="E45" s="4">
        <f t="shared" si="1"/>
        <v>6727663</v>
      </c>
      <c r="F45" s="4"/>
      <c r="G45" s="4">
        <v>-286360.0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9">
        <v>44973.0</v>
      </c>
      <c r="B46" s="2" t="s">
        <v>48</v>
      </c>
      <c r="C46" s="3"/>
      <c r="D46" s="2" t="s">
        <v>25</v>
      </c>
      <c r="E46" s="4">
        <f t="shared" si="1"/>
        <v>7227663</v>
      </c>
      <c r="F46" s="4">
        <v>500000.0</v>
      </c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9">
        <v>44973.0</v>
      </c>
      <c r="B47" s="2" t="s">
        <v>49</v>
      </c>
      <c r="C47" s="3"/>
      <c r="D47" s="2" t="s">
        <v>25</v>
      </c>
      <c r="E47" s="4">
        <f t="shared" si="1"/>
        <v>7377663</v>
      </c>
      <c r="F47" s="4">
        <v>150000.0</v>
      </c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9">
        <v>44977.0</v>
      </c>
      <c r="B48" s="2" t="s">
        <v>50</v>
      </c>
      <c r="C48" s="3"/>
      <c r="D48" s="2" t="s">
        <v>43</v>
      </c>
      <c r="E48" s="4">
        <f t="shared" si="1"/>
        <v>6298177</v>
      </c>
      <c r="F48" s="4"/>
      <c r="G48" s="4">
        <v>-1079486.0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9">
        <v>44977.0</v>
      </c>
      <c r="B49" s="2" t="s">
        <v>51</v>
      </c>
      <c r="C49" s="3"/>
      <c r="D49" s="2" t="s">
        <v>25</v>
      </c>
      <c r="E49" s="4">
        <f t="shared" si="1"/>
        <v>6548177</v>
      </c>
      <c r="F49" s="4">
        <v>250000.0</v>
      </c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9">
        <v>44977.0</v>
      </c>
      <c r="B50" s="2" t="s">
        <v>51</v>
      </c>
      <c r="C50" s="3"/>
      <c r="D50" s="2" t="s">
        <v>25</v>
      </c>
      <c r="E50" s="4">
        <f t="shared" si="1"/>
        <v>6798177</v>
      </c>
      <c r="F50" s="4">
        <v>250000.0</v>
      </c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9">
        <v>44978.0</v>
      </c>
      <c r="B51" s="2" t="s">
        <v>52</v>
      </c>
      <c r="C51" s="3"/>
      <c r="D51" s="2" t="s">
        <v>25</v>
      </c>
      <c r="E51" s="4">
        <f t="shared" si="1"/>
        <v>34600025</v>
      </c>
      <c r="F51" s="4">
        <v>2.7801848E7</v>
      </c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9">
        <v>44978.0</v>
      </c>
      <c r="B52" s="2" t="s">
        <v>53</v>
      </c>
      <c r="C52" s="3"/>
      <c r="D52" s="2" t="s">
        <v>15</v>
      </c>
      <c r="E52" s="4">
        <f t="shared" si="1"/>
        <v>34560025</v>
      </c>
      <c r="F52" s="4"/>
      <c r="G52" s="4">
        <v>-40000.0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9">
        <v>44979.0</v>
      </c>
      <c r="B53" s="2" t="s">
        <v>54</v>
      </c>
      <c r="C53" s="3"/>
      <c r="D53" s="2" t="s">
        <v>21</v>
      </c>
      <c r="E53" s="4">
        <f t="shared" si="1"/>
        <v>31405403</v>
      </c>
      <c r="F53" s="4"/>
      <c r="G53" s="4">
        <v>-3154622.0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9">
        <v>44979.0</v>
      </c>
      <c r="B54" s="2" t="s">
        <v>29</v>
      </c>
      <c r="C54" s="3"/>
      <c r="D54" s="2" t="s">
        <v>13</v>
      </c>
      <c r="E54" s="4">
        <f t="shared" si="1"/>
        <v>1405403</v>
      </c>
      <c r="F54" s="4"/>
      <c r="G54" s="4">
        <v>-3.0E7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9">
        <v>44979.0</v>
      </c>
      <c r="B55" s="2" t="s">
        <v>20</v>
      </c>
      <c r="C55" s="3"/>
      <c r="D55" s="2" t="s">
        <v>21</v>
      </c>
      <c r="E55" s="4">
        <f t="shared" si="1"/>
        <v>1353403</v>
      </c>
      <c r="F55" s="4"/>
      <c r="G55" s="4">
        <v>-52000.0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9">
        <v>44979.0</v>
      </c>
      <c r="B56" s="2" t="s">
        <v>55</v>
      </c>
      <c r="C56" s="3"/>
      <c r="D56" s="2" t="s">
        <v>25</v>
      </c>
      <c r="E56" s="4">
        <f t="shared" si="1"/>
        <v>1354403</v>
      </c>
      <c r="F56" s="4">
        <v>1000.0</v>
      </c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9">
        <v>44980.0</v>
      </c>
      <c r="B57" s="2" t="s">
        <v>56</v>
      </c>
      <c r="C57" s="3"/>
      <c r="D57" s="2" t="s">
        <v>15</v>
      </c>
      <c r="E57" s="4">
        <f t="shared" si="1"/>
        <v>1218150</v>
      </c>
      <c r="F57" s="4"/>
      <c r="G57" s="4">
        <v>-136253.0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9">
        <v>44980.0</v>
      </c>
      <c r="B58" s="2" t="s">
        <v>57</v>
      </c>
      <c r="C58" s="3"/>
      <c r="D58" s="2" t="s">
        <v>15</v>
      </c>
      <c r="E58" s="4">
        <f t="shared" si="1"/>
        <v>1085003</v>
      </c>
      <c r="F58" s="4"/>
      <c r="G58" s="4">
        <v>-133147.0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9">
        <v>44980.0</v>
      </c>
      <c r="B59" s="2" t="s">
        <v>58</v>
      </c>
      <c r="C59" s="3"/>
      <c r="D59" s="2" t="s">
        <v>25</v>
      </c>
      <c r="E59" s="4">
        <f t="shared" si="1"/>
        <v>1385003</v>
      </c>
      <c r="F59" s="4">
        <v>300000.0</v>
      </c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9">
        <v>44981.0</v>
      </c>
      <c r="B60" s="2" t="s">
        <v>59</v>
      </c>
      <c r="C60" s="3"/>
      <c r="D60" s="2" t="s">
        <v>15</v>
      </c>
      <c r="E60" s="4">
        <f t="shared" si="1"/>
        <v>1521238</v>
      </c>
      <c r="F60" s="4">
        <v>136235.0</v>
      </c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9">
        <v>44981.0</v>
      </c>
      <c r="B61" s="2" t="s">
        <v>60</v>
      </c>
      <c r="C61" s="3"/>
      <c r="D61" s="2" t="s">
        <v>15</v>
      </c>
      <c r="E61" s="4">
        <f t="shared" si="1"/>
        <v>1654385</v>
      </c>
      <c r="F61" s="4">
        <v>133147.0</v>
      </c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9">
        <v>44981.0</v>
      </c>
      <c r="B62" s="2" t="s">
        <v>61</v>
      </c>
      <c r="C62" s="3"/>
      <c r="D62" s="2" t="s">
        <v>43</v>
      </c>
      <c r="E62" s="4">
        <f t="shared" si="1"/>
        <v>507412</v>
      </c>
      <c r="F62" s="4"/>
      <c r="G62" s="4">
        <v>-1146973.0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9">
        <v>44981.0</v>
      </c>
      <c r="B63" s="2" t="s">
        <v>62</v>
      </c>
      <c r="C63" s="3"/>
      <c r="D63" s="2" t="s">
        <v>25</v>
      </c>
      <c r="E63" s="4">
        <f t="shared" si="1"/>
        <v>1007412</v>
      </c>
      <c r="F63" s="4">
        <v>500000.0</v>
      </c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9">
        <v>44981.0</v>
      </c>
      <c r="B64" s="2" t="s">
        <v>58</v>
      </c>
      <c r="C64" s="3"/>
      <c r="D64" s="2" t="s">
        <v>25</v>
      </c>
      <c r="E64" s="4">
        <f t="shared" si="1"/>
        <v>1207412</v>
      </c>
      <c r="F64" s="4">
        <v>200000.0</v>
      </c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9">
        <v>44984.0</v>
      </c>
      <c r="B65" s="2" t="s">
        <v>63</v>
      </c>
      <c r="C65" s="3"/>
      <c r="D65" s="2" t="s">
        <v>25</v>
      </c>
      <c r="E65" s="4">
        <f t="shared" si="1"/>
        <v>3207412</v>
      </c>
      <c r="F65" s="4">
        <v>2000000.0</v>
      </c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9">
        <v>44984.0</v>
      </c>
      <c r="B66" s="2" t="s">
        <v>12</v>
      </c>
      <c r="C66" s="3"/>
      <c r="D66" s="2" t="s">
        <v>13</v>
      </c>
      <c r="E66" s="4">
        <f t="shared" si="1"/>
        <v>4207412</v>
      </c>
      <c r="F66" s="4">
        <v>1000000.0</v>
      </c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9">
        <v>44984.0</v>
      </c>
      <c r="B67" s="2" t="s">
        <v>12</v>
      </c>
      <c r="C67" s="3"/>
      <c r="D67" s="2" t="s">
        <v>13</v>
      </c>
      <c r="E67" s="4">
        <f t="shared" si="1"/>
        <v>5207412</v>
      </c>
      <c r="F67" s="4">
        <v>1000000.0</v>
      </c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9">
        <v>44984.0</v>
      </c>
      <c r="B68" s="2" t="s">
        <v>63</v>
      </c>
      <c r="C68" s="3"/>
      <c r="D68" s="2" t="s">
        <v>25</v>
      </c>
      <c r="E68" s="4">
        <f t="shared" si="1"/>
        <v>6707412</v>
      </c>
      <c r="F68" s="4">
        <v>1500000.0</v>
      </c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9">
        <v>44984.0</v>
      </c>
      <c r="B69" s="2" t="s">
        <v>64</v>
      </c>
      <c r="C69" s="3"/>
      <c r="D69" s="2" t="s">
        <v>43</v>
      </c>
      <c r="E69" s="4">
        <f t="shared" si="1"/>
        <v>4726331</v>
      </c>
      <c r="F69" s="4"/>
      <c r="G69" s="4">
        <v>-1981081.0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9">
        <v>44984.0</v>
      </c>
      <c r="B70" s="2" t="s">
        <v>65</v>
      </c>
      <c r="C70" s="3"/>
      <c r="D70" s="2" t="s">
        <v>43</v>
      </c>
      <c r="E70" s="4">
        <f t="shared" si="1"/>
        <v>3577966</v>
      </c>
      <c r="F70" s="4"/>
      <c r="G70" s="4">
        <v>-1148365.0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9">
        <v>44984.0</v>
      </c>
      <c r="B71" s="2" t="s">
        <v>66</v>
      </c>
      <c r="C71" s="3"/>
      <c r="D71" s="2" t="s">
        <v>25</v>
      </c>
      <c r="E71" s="4">
        <f t="shared" si="1"/>
        <v>3827966</v>
      </c>
      <c r="F71" s="4">
        <v>250000.0</v>
      </c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9">
        <v>44984.0</v>
      </c>
      <c r="B72" s="2" t="s">
        <v>67</v>
      </c>
      <c r="C72" s="3"/>
      <c r="D72" s="2" t="s">
        <v>25</v>
      </c>
      <c r="E72" s="4">
        <f t="shared" si="1"/>
        <v>4077966</v>
      </c>
      <c r="F72" s="4">
        <v>250000.0</v>
      </c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9">
        <v>44985.0</v>
      </c>
      <c r="B73" s="2" t="s">
        <v>63</v>
      </c>
      <c r="C73" s="3"/>
      <c r="D73" s="2" t="s">
        <v>25</v>
      </c>
      <c r="E73" s="4">
        <f t="shared" si="1"/>
        <v>5754667</v>
      </c>
      <c r="F73" s="4">
        <v>1676701.0</v>
      </c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9">
        <v>44985.0</v>
      </c>
      <c r="B74" s="2" t="s">
        <v>68</v>
      </c>
      <c r="C74" s="3"/>
      <c r="D74" s="2" t="s">
        <v>15</v>
      </c>
      <c r="E74" s="4">
        <f t="shared" si="1"/>
        <v>5618712</v>
      </c>
      <c r="F74" s="4"/>
      <c r="G74" s="4">
        <v>-135955.0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9">
        <v>44985.0</v>
      </c>
      <c r="B75" s="2" t="s">
        <v>68</v>
      </c>
      <c r="C75" s="3"/>
      <c r="D75" s="2" t="s">
        <v>15</v>
      </c>
      <c r="E75" s="4">
        <f t="shared" si="1"/>
        <v>5482757</v>
      </c>
      <c r="F75" s="4"/>
      <c r="G75" s="4">
        <v>-135955.0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9">
        <v>44985.0</v>
      </c>
      <c r="B76" s="2" t="s">
        <v>27</v>
      </c>
      <c r="C76" s="3"/>
      <c r="D76" s="2" t="s">
        <v>25</v>
      </c>
      <c r="E76" s="4">
        <f t="shared" si="1"/>
        <v>6179818</v>
      </c>
      <c r="F76" s="4">
        <v>697061.0</v>
      </c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9">
        <v>44985.0</v>
      </c>
      <c r="B77" s="2" t="s">
        <v>69</v>
      </c>
      <c r="C77" s="3"/>
      <c r="D77" s="2" t="s">
        <v>25</v>
      </c>
      <c r="E77" s="4">
        <f t="shared" si="1"/>
        <v>6679818</v>
      </c>
      <c r="F77" s="4">
        <v>500000.0</v>
      </c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9">
        <v>44985.0</v>
      </c>
      <c r="B78" s="2" t="s">
        <v>70</v>
      </c>
      <c r="C78" s="3"/>
      <c r="D78" s="2" t="s">
        <v>25</v>
      </c>
      <c r="E78" s="4">
        <f t="shared" si="1"/>
        <v>6879818</v>
      </c>
      <c r="F78" s="4">
        <v>200000.0</v>
      </c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9">
        <v>44986.0</v>
      </c>
      <c r="B79" s="2" t="s">
        <v>71</v>
      </c>
      <c r="C79" s="3"/>
      <c r="D79" s="2" t="s">
        <v>25</v>
      </c>
      <c r="E79" s="4">
        <f t="shared" si="1"/>
        <v>7691072</v>
      </c>
      <c r="F79" s="4">
        <v>811254.0</v>
      </c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9">
        <v>44986.0</v>
      </c>
      <c r="B80" s="2" t="s">
        <v>72</v>
      </c>
      <c r="C80" s="3"/>
      <c r="D80" s="2" t="s">
        <v>43</v>
      </c>
      <c r="E80" s="4">
        <f t="shared" si="1"/>
        <v>6543751</v>
      </c>
      <c r="F80" s="4"/>
      <c r="G80" s="4">
        <v>-1147321.0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9">
        <v>44986.0</v>
      </c>
      <c r="B81" s="2" t="s">
        <v>73</v>
      </c>
      <c r="C81" s="3"/>
      <c r="D81" s="2" t="s">
        <v>11</v>
      </c>
      <c r="E81" s="4">
        <f t="shared" si="1"/>
        <v>5843751</v>
      </c>
      <c r="F81" s="4"/>
      <c r="G81" s="4">
        <v>-700000.0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9">
        <v>44986.0</v>
      </c>
      <c r="B82" s="2" t="s">
        <v>74</v>
      </c>
      <c r="C82" s="3"/>
      <c r="D82" s="2" t="s">
        <v>11</v>
      </c>
      <c r="E82" s="4">
        <f t="shared" si="1"/>
        <v>5299192</v>
      </c>
      <c r="F82" s="4"/>
      <c r="G82" s="4">
        <v>-544559.0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9">
        <v>44986.0</v>
      </c>
      <c r="B83" s="2" t="s">
        <v>28</v>
      </c>
      <c r="C83" s="3"/>
      <c r="D83" s="2" t="s">
        <v>21</v>
      </c>
      <c r="E83" s="4">
        <f t="shared" si="1"/>
        <v>4945073</v>
      </c>
      <c r="F83" s="4"/>
      <c r="G83" s="4">
        <v>-354119.0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9">
        <v>44986.0</v>
      </c>
      <c r="B84" s="2" t="s">
        <v>75</v>
      </c>
      <c r="C84" s="3"/>
      <c r="D84" s="2" t="s">
        <v>25</v>
      </c>
      <c r="E84" s="4">
        <f t="shared" si="1"/>
        <v>5445073</v>
      </c>
      <c r="F84" s="4">
        <v>500000.0</v>
      </c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9">
        <v>44986.0</v>
      </c>
      <c r="B85" s="2" t="s">
        <v>76</v>
      </c>
      <c r="C85" s="3"/>
      <c r="D85" s="2" t="s">
        <v>25</v>
      </c>
      <c r="E85" s="4">
        <f t="shared" si="1"/>
        <v>5745073</v>
      </c>
      <c r="F85" s="4">
        <v>300000.0</v>
      </c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9">
        <v>44987.0</v>
      </c>
      <c r="B86" s="2" t="s">
        <v>77</v>
      </c>
      <c r="C86" s="3"/>
      <c r="D86" s="2" t="s">
        <v>15</v>
      </c>
      <c r="E86" s="4">
        <f t="shared" si="1"/>
        <v>5710073</v>
      </c>
      <c r="F86" s="4"/>
      <c r="G86" s="4">
        <v>-35000.0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9">
        <v>44988.0</v>
      </c>
      <c r="B87" s="2" t="s">
        <v>78</v>
      </c>
      <c r="C87" s="3"/>
      <c r="D87" s="2" t="s">
        <v>79</v>
      </c>
      <c r="E87" s="4">
        <f t="shared" si="1"/>
        <v>5410073</v>
      </c>
      <c r="F87" s="4"/>
      <c r="G87" s="4">
        <v>-300000.0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9">
        <v>44988.0</v>
      </c>
      <c r="B88" s="2" t="s">
        <v>80</v>
      </c>
      <c r="C88" s="3"/>
      <c r="D88" s="2" t="s">
        <v>15</v>
      </c>
      <c r="E88" s="4">
        <f t="shared" si="1"/>
        <v>5276786</v>
      </c>
      <c r="F88" s="4"/>
      <c r="G88" s="4">
        <v>-133287.0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9">
        <v>44992.0</v>
      </c>
      <c r="B89" s="2" t="s">
        <v>81</v>
      </c>
      <c r="C89" s="3"/>
      <c r="D89" s="2" t="s">
        <v>25</v>
      </c>
      <c r="E89" s="4">
        <f t="shared" si="1"/>
        <v>5780818</v>
      </c>
      <c r="F89" s="4">
        <v>504032.0</v>
      </c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9">
        <v>44993.0</v>
      </c>
      <c r="B90" s="2" t="s">
        <v>82</v>
      </c>
      <c r="C90" s="3"/>
      <c r="D90" s="2" t="s">
        <v>15</v>
      </c>
      <c r="E90" s="4">
        <f t="shared" si="1"/>
        <v>5914105</v>
      </c>
      <c r="F90" s="4">
        <v>133287.0</v>
      </c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9">
        <v>44993.0</v>
      </c>
      <c r="B91" s="2" t="s">
        <v>83</v>
      </c>
      <c r="C91" s="3"/>
      <c r="D91" s="2" t="s">
        <v>43</v>
      </c>
      <c r="E91" s="4">
        <f t="shared" si="1"/>
        <v>4614105</v>
      </c>
      <c r="F91" s="4"/>
      <c r="G91" s="4">
        <v>-1300000.0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9">
        <v>44993.0</v>
      </c>
      <c r="B92" s="2" t="s">
        <v>84</v>
      </c>
      <c r="C92" s="3"/>
      <c r="D92" s="2" t="s">
        <v>43</v>
      </c>
      <c r="E92" s="4">
        <f t="shared" si="1"/>
        <v>3399063</v>
      </c>
      <c r="F92" s="4"/>
      <c r="G92" s="4">
        <v>-1215042.0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9">
        <v>44993.0</v>
      </c>
      <c r="B93" s="2" t="s">
        <v>85</v>
      </c>
      <c r="C93" s="3"/>
      <c r="D93" s="2" t="s">
        <v>79</v>
      </c>
      <c r="E93" s="4">
        <f t="shared" si="1"/>
        <v>3299063</v>
      </c>
      <c r="F93" s="4"/>
      <c r="G93" s="4">
        <v>-100000.0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9">
        <v>44993.0</v>
      </c>
      <c r="B94" s="2" t="s">
        <v>56</v>
      </c>
      <c r="C94" s="3"/>
      <c r="D94" s="2" t="s">
        <v>15</v>
      </c>
      <c r="E94" s="4">
        <f t="shared" si="1"/>
        <v>3291863</v>
      </c>
      <c r="F94" s="4"/>
      <c r="G94" s="4">
        <v>-7200.0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9">
        <v>44994.0</v>
      </c>
      <c r="B95" s="2" t="s">
        <v>86</v>
      </c>
      <c r="C95" s="3"/>
      <c r="D95" s="2" t="s">
        <v>25</v>
      </c>
      <c r="E95" s="4">
        <f t="shared" si="1"/>
        <v>8487863</v>
      </c>
      <c r="F95" s="4">
        <v>5196000.0</v>
      </c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9">
        <v>44994.0</v>
      </c>
      <c r="B96" s="2" t="s">
        <v>87</v>
      </c>
      <c r="C96" s="3"/>
      <c r="D96" s="2" t="s">
        <v>25</v>
      </c>
      <c r="E96" s="4">
        <f t="shared" si="1"/>
        <v>11487863</v>
      </c>
      <c r="F96" s="4">
        <v>3000000.0</v>
      </c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9">
        <v>44995.0</v>
      </c>
      <c r="B97" s="2" t="s">
        <v>87</v>
      </c>
      <c r="C97" s="3"/>
      <c r="D97" s="2" t="s">
        <v>25</v>
      </c>
      <c r="E97" s="4">
        <f t="shared" si="1"/>
        <v>14587863</v>
      </c>
      <c r="F97" s="4">
        <v>3100000.0</v>
      </c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9">
        <v>44995.0</v>
      </c>
      <c r="B98" s="2" t="s">
        <v>12</v>
      </c>
      <c r="C98" s="3"/>
      <c r="D98" s="2" t="s">
        <v>13</v>
      </c>
      <c r="E98" s="4">
        <f t="shared" si="1"/>
        <v>79587863</v>
      </c>
      <c r="F98" s="4">
        <v>6.5E7</v>
      </c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9">
        <v>44995.0</v>
      </c>
      <c r="B99" s="2" t="s">
        <v>88</v>
      </c>
      <c r="C99" s="3"/>
      <c r="D99" s="2" t="s">
        <v>43</v>
      </c>
      <c r="E99" s="4">
        <f t="shared" si="1"/>
        <v>78905435</v>
      </c>
      <c r="F99" s="4"/>
      <c r="G99" s="4">
        <v>-682428.0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9">
        <v>44995.0</v>
      </c>
      <c r="B100" s="2" t="s">
        <v>89</v>
      </c>
      <c r="C100" s="3"/>
      <c r="D100" s="2" t="s">
        <v>43</v>
      </c>
      <c r="E100" s="4">
        <f t="shared" si="1"/>
        <v>78436505</v>
      </c>
      <c r="F100" s="4"/>
      <c r="G100" s="4">
        <v>-468930.0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9">
        <v>44995.0</v>
      </c>
      <c r="B101" s="2" t="s">
        <v>90</v>
      </c>
      <c r="C101" s="3"/>
      <c r="D101" s="2" t="s">
        <v>15</v>
      </c>
      <c r="E101" s="4">
        <f t="shared" si="1"/>
        <v>78431305</v>
      </c>
      <c r="F101" s="4"/>
      <c r="G101" s="4">
        <v>-5200.0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9">
        <v>44998.0</v>
      </c>
      <c r="B102" s="2" t="s">
        <v>91</v>
      </c>
      <c r="C102" s="3"/>
      <c r="D102" s="2" t="s">
        <v>92</v>
      </c>
      <c r="E102" s="4">
        <f t="shared" si="1"/>
        <v>9565374</v>
      </c>
      <c r="F102" s="4"/>
      <c r="G102" s="4">
        <v>-6.8865931E7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9">
        <v>44998.0</v>
      </c>
      <c r="B103" s="2" t="s">
        <v>90</v>
      </c>
      <c r="C103" s="3"/>
      <c r="D103" s="2" t="s">
        <v>15</v>
      </c>
      <c r="E103" s="4">
        <f t="shared" si="1"/>
        <v>9428727</v>
      </c>
      <c r="F103" s="4"/>
      <c r="G103" s="4">
        <v>-136647.0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9">
        <v>44999.0</v>
      </c>
      <c r="B104" s="2" t="s">
        <v>93</v>
      </c>
      <c r="C104" s="3"/>
      <c r="D104" s="2" t="s">
        <v>43</v>
      </c>
      <c r="E104" s="4">
        <f t="shared" si="1"/>
        <v>8746383</v>
      </c>
      <c r="F104" s="4"/>
      <c r="G104" s="4">
        <v>-682344.0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9">
        <v>44999.0</v>
      </c>
      <c r="B105" s="2" t="s">
        <v>94</v>
      </c>
      <c r="C105" s="3"/>
      <c r="D105" s="2" t="s">
        <v>43</v>
      </c>
      <c r="E105" s="4">
        <f t="shared" si="1"/>
        <v>8276987</v>
      </c>
      <c r="F105" s="4"/>
      <c r="G105" s="4">
        <v>-469396.0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9">
        <v>45000.0</v>
      </c>
      <c r="B106" s="2" t="s">
        <v>95</v>
      </c>
      <c r="C106" s="3"/>
      <c r="D106" s="2" t="s">
        <v>43</v>
      </c>
      <c r="E106" s="4">
        <f t="shared" si="1"/>
        <v>6283666</v>
      </c>
      <c r="F106" s="4"/>
      <c r="G106" s="4">
        <v>-1993321.0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9">
        <v>45001.0</v>
      </c>
      <c r="B107" s="2" t="s">
        <v>96</v>
      </c>
      <c r="C107" s="3"/>
      <c r="D107" s="2" t="s">
        <v>25</v>
      </c>
      <c r="E107" s="4">
        <f t="shared" si="1"/>
        <v>9283666</v>
      </c>
      <c r="F107" s="4">
        <v>3000000.0</v>
      </c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9">
        <v>45001.0</v>
      </c>
      <c r="B108" s="2" t="s">
        <v>96</v>
      </c>
      <c r="C108" s="3"/>
      <c r="D108" s="2" t="s">
        <v>25</v>
      </c>
      <c r="E108" s="4">
        <f t="shared" si="1"/>
        <v>11479786</v>
      </c>
      <c r="F108" s="4">
        <v>2196120.0</v>
      </c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9">
        <v>45001.0</v>
      </c>
      <c r="B109" s="2" t="s">
        <v>97</v>
      </c>
      <c r="C109" s="3"/>
      <c r="D109" s="2" t="s">
        <v>79</v>
      </c>
      <c r="E109" s="4">
        <f t="shared" si="1"/>
        <v>11301286</v>
      </c>
      <c r="F109" s="4"/>
      <c r="G109" s="4">
        <v>-178500.0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9">
        <v>45002.0</v>
      </c>
      <c r="B110" s="2" t="s">
        <v>98</v>
      </c>
      <c r="C110" s="3"/>
      <c r="D110" s="2" t="s">
        <v>43</v>
      </c>
      <c r="E110" s="4">
        <f t="shared" si="1"/>
        <v>10619010</v>
      </c>
      <c r="F110" s="4"/>
      <c r="G110" s="4">
        <v>-682276.0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9">
        <v>45002.0</v>
      </c>
      <c r="B111" s="2" t="s">
        <v>99</v>
      </c>
      <c r="C111" s="3"/>
      <c r="D111" s="2" t="s">
        <v>43</v>
      </c>
      <c r="E111" s="4">
        <f t="shared" si="1"/>
        <v>10123560</v>
      </c>
      <c r="F111" s="4"/>
      <c r="G111" s="4">
        <v>-495450.0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9">
        <v>45005.0</v>
      </c>
      <c r="B112" s="2" t="s">
        <v>100</v>
      </c>
      <c r="C112" s="3"/>
      <c r="D112" s="2" t="s">
        <v>25</v>
      </c>
      <c r="E112" s="4">
        <f t="shared" si="1"/>
        <v>39250878</v>
      </c>
      <c r="F112" s="4">
        <v>2.9127318E7</v>
      </c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9">
        <v>45006.0</v>
      </c>
      <c r="B113" s="2" t="s">
        <v>29</v>
      </c>
      <c r="C113" s="3"/>
      <c r="D113" s="2" t="s">
        <v>13</v>
      </c>
      <c r="E113" s="4">
        <f t="shared" si="1"/>
        <v>4250878</v>
      </c>
      <c r="F113" s="4"/>
      <c r="G113" s="4">
        <v>-3.5E7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9">
        <v>45006.0</v>
      </c>
      <c r="B114" s="2" t="s">
        <v>90</v>
      </c>
      <c r="C114" s="3"/>
      <c r="D114" s="2" t="s">
        <v>15</v>
      </c>
      <c r="E114" s="4">
        <f t="shared" si="1"/>
        <v>4114407</v>
      </c>
      <c r="F114" s="4"/>
      <c r="G114" s="4">
        <v>-136471.0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9">
        <v>45006.0</v>
      </c>
      <c r="B115" s="2" t="s">
        <v>90</v>
      </c>
      <c r="C115" s="3"/>
      <c r="D115" s="2" t="s">
        <v>15</v>
      </c>
      <c r="E115" s="4">
        <f t="shared" si="1"/>
        <v>4043407</v>
      </c>
      <c r="F115" s="4"/>
      <c r="G115" s="4">
        <v>-71000.0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9">
        <v>45007.0</v>
      </c>
      <c r="B116" s="2" t="s">
        <v>22</v>
      </c>
      <c r="C116" s="3"/>
      <c r="D116" s="2" t="s">
        <v>23</v>
      </c>
      <c r="E116" s="4">
        <f t="shared" si="1"/>
        <v>2522565</v>
      </c>
      <c r="F116" s="4"/>
      <c r="G116" s="4">
        <v>-1520842.0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9">
        <v>45007.0</v>
      </c>
      <c r="B117" s="2" t="s">
        <v>90</v>
      </c>
      <c r="C117" s="3"/>
      <c r="D117" s="2" t="s">
        <v>15</v>
      </c>
      <c r="E117" s="4">
        <f t="shared" si="1"/>
        <v>2506265</v>
      </c>
      <c r="F117" s="4"/>
      <c r="G117" s="4">
        <v>-16300.0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9">
        <v>45008.0</v>
      </c>
      <c r="B118" s="2" t="s">
        <v>101</v>
      </c>
      <c r="C118" s="3"/>
      <c r="D118" s="2" t="s">
        <v>25</v>
      </c>
      <c r="E118" s="4">
        <f t="shared" si="1"/>
        <v>7506265</v>
      </c>
      <c r="F118" s="4">
        <v>5000000.0</v>
      </c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9">
        <v>45008.0</v>
      </c>
      <c r="B119" s="2" t="s">
        <v>102</v>
      </c>
      <c r="C119" s="3"/>
      <c r="D119" s="2" t="s">
        <v>43</v>
      </c>
      <c r="E119" s="4">
        <f t="shared" si="1"/>
        <v>6824108</v>
      </c>
      <c r="F119" s="4"/>
      <c r="G119" s="4">
        <v>-682157.0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9">
        <v>45008.0</v>
      </c>
      <c r="B120" s="2" t="s">
        <v>103</v>
      </c>
      <c r="C120" s="3"/>
      <c r="D120" s="2" t="s">
        <v>43</v>
      </c>
      <c r="E120" s="4">
        <f t="shared" si="1"/>
        <v>6354837</v>
      </c>
      <c r="F120" s="4"/>
      <c r="G120" s="4">
        <v>-469271.0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9">
        <v>45008.0</v>
      </c>
      <c r="B121" s="2" t="s">
        <v>101</v>
      </c>
      <c r="C121" s="3"/>
      <c r="D121" s="2" t="s">
        <v>25</v>
      </c>
      <c r="E121" s="4">
        <f t="shared" si="1"/>
        <v>6454837</v>
      </c>
      <c r="F121" s="4">
        <v>100000.0</v>
      </c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9">
        <v>45008.0</v>
      </c>
      <c r="B122" s="2" t="s">
        <v>101</v>
      </c>
      <c r="C122" s="3"/>
      <c r="D122" s="2" t="s">
        <v>25</v>
      </c>
      <c r="E122" s="4">
        <f t="shared" si="1"/>
        <v>6550037</v>
      </c>
      <c r="F122" s="4">
        <v>95200.0</v>
      </c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9">
        <v>45012.0</v>
      </c>
      <c r="B123" s="2" t="s">
        <v>104</v>
      </c>
      <c r="C123" s="3"/>
      <c r="D123" s="2" t="s">
        <v>21</v>
      </c>
      <c r="E123" s="4">
        <f t="shared" si="1"/>
        <v>3395415</v>
      </c>
      <c r="F123" s="4"/>
      <c r="G123" s="4">
        <v>-3154622.0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9">
        <v>45012.0</v>
      </c>
      <c r="B124" s="2" t="s">
        <v>27</v>
      </c>
      <c r="C124" s="3"/>
      <c r="D124" s="2" t="s">
        <v>25</v>
      </c>
      <c r="E124" s="4">
        <f t="shared" si="1"/>
        <v>4093890</v>
      </c>
      <c r="F124" s="4">
        <v>698475.0</v>
      </c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9">
        <v>45012.0</v>
      </c>
      <c r="B125" s="2" t="s">
        <v>105</v>
      </c>
      <c r="C125" s="3"/>
      <c r="D125" s="2" t="s">
        <v>25</v>
      </c>
      <c r="E125" s="4">
        <f t="shared" si="1"/>
        <v>4743890</v>
      </c>
      <c r="F125" s="4">
        <v>650000.0</v>
      </c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9">
        <v>45012.0</v>
      </c>
      <c r="B126" s="2" t="s">
        <v>105</v>
      </c>
      <c r="C126" s="3"/>
      <c r="D126" s="2" t="s">
        <v>25</v>
      </c>
      <c r="E126" s="4">
        <f t="shared" si="1"/>
        <v>5093890</v>
      </c>
      <c r="F126" s="4">
        <v>350000.0</v>
      </c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9">
        <v>45013.0</v>
      </c>
      <c r="B127" s="2" t="s">
        <v>106</v>
      </c>
      <c r="C127" s="3"/>
      <c r="D127" s="2" t="s">
        <v>25</v>
      </c>
      <c r="E127" s="4">
        <f t="shared" si="1"/>
        <v>31909650</v>
      </c>
      <c r="F127" s="4">
        <v>2.681576E7</v>
      </c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9">
        <v>45014.0</v>
      </c>
      <c r="B128" s="2" t="s">
        <v>107</v>
      </c>
      <c r="C128" s="3"/>
      <c r="D128" s="2" t="s">
        <v>15</v>
      </c>
      <c r="E128" s="4">
        <f t="shared" si="1"/>
        <v>31494650</v>
      </c>
      <c r="F128" s="4"/>
      <c r="G128" s="4">
        <v>-415000.0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9">
        <v>45015.0</v>
      </c>
      <c r="B129" s="2" t="s">
        <v>108</v>
      </c>
      <c r="C129" s="3"/>
      <c r="D129" s="2" t="s">
        <v>25</v>
      </c>
      <c r="E129" s="4">
        <f t="shared" si="1"/>
        <v>62965713</v>
      </c>
      <c r="F129" s="4">
        <v>3.1471063E7</v>
      </c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9">
        <v>45016.0</v>
      </c>
      <c r="B130" s="2" t="s">
        <v>29</v>
      </c>
      <c r="C130" s="3"/>
      <c r="D130" s="2" t="s">
        <v>13</v>
      </c>
      <c r="E130" s="4">
        <f t="shared" si="1"/>
        <v>4965713</v>
      </c>
      <c r="F130" s="4"/>
      <c r="G130" s="4">
        <v>-5.8E7</v>
      </c>
      <c r="H130" s="2" t="s">
        <v>109</v>
      </c>
      <c r="I130" s="10">
        <v>1.13048509E8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9">
        <v>45019.0</v>
      </c>
      <c r="B131" s="2" t="s">
        <v>90</v>
      </c>
      <c r="C131" s="3"/>
      <c r="D131" s="2" t="s">
        <v>15</v>
      </c>
      <c r="E131" s="4">
        <f t="shared" si="1"/>
        <v>4702919</v>
      </c>
      <c r="F131" s="4"/>
      <c r="G131" s="4">
        <v>-262794.0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9">
        <v>45019.0</v>
      </c>
      <c r="B132" s="2" t="s">
        <v>90</v>
      </c>
      <c r="C132" s="3"/>
      <c r="D132" s="2" t="s">
        <v>15</v>
      </c>
      <c r="E132" s="4">
        <f t="shared" si="1"/>
        <v>4566291</v>
      </c>
      <c r="F132" s="4"/>
      <c r="G132" s="4">
        <v>-136628.0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9">
        <v>45019.0</v>
      </c>
      <c r="B133" s="2" t="s">
        <v>110</v>
      </c>
      <c r="C133" s="3"/>
      <c r="D133" s="2" t="s">
        <v>25</v>
      </c>
      <c r="E133" s="4">
        <f t="shared" si="1"/>
        <v>5081106</v>
      </c>
      <c r="F133" s="4">
        <v>514815.0</v>
      </c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9">
        <v>45019.0</v>
      </c>
      <c r="B134" s="2" t="s">
        <v>111</v>
      </c>
      <c r="C134" s="3"/>
      <c r="D134" s="2" t="s">
        <v>25</v>
      </c>
      <c r="E134" s="4">
        <f t="shared" si="1"/>
        <v>5575186</v>
      </c>
      <c r="F134" s="4">
        <v>494080.0</v>
      </c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9">
        <v>45020.0</v>
      </c>
      <c r="B135" s="2" t="s">
        <v>112</v>
      </c>
      <c r="C135" s="3"/>
      <c r="D135" s="2" t="s">
        <v>11</v>
      </c>
      <c r="E135" s="4">
        <f t="shared" si="1"/>
        <v>5379507</v>
      </c>
      <c r="F135" s="4"/>
      <c r="G135" s="4">
        <v>-195679.0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9">
        <v>45020.0</v>
      </c>
      <c r="B136" s="2" t="s">
        <v>113</v>
      </c>
      <c r="C136" s="3"/>
      <c r="D136" s="2" t="s">
        <v>11</v>
      </c>
      <c r="E136" s="4">
        <f t="shared" si="1"/>
        <v>4679507</v>
      </c>
      <c r="F136" s="4"/>
      <c r="G136" s="4">
        <v>-700000.0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9">
        <v>45020.0</v>
      </c>
      <c r="B137" s="2" t="s">
        <v>114</v>
      </c>
      <c r="C137" s="3"/>
      <c r="D137" s="2" t="s">
        <v>25</v>
      </c>
      <c r="E137" s="4">
        <f t="shared" si="1"/>
        <v>5183548</v>
      </c>
      <c r="F137" s="4">
        <v>504041.0</v>
      </c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9">
        <v>45021.0</v>
      </c>
      <c r="B138" s="2" t="s">
        <v>115</v>
      </c>
      <c r="C138" s="3"/>
      <c r="D138" s="2" t="s">
        <v>79</v>
      </c>
      <c r="E138" s="4">
        <f t="shared" si="1"/>
        <v>5133548</v>
      </c>
      <c r="F138" s="4"/>
      <c r="G138" s="4">
        <v>-50000.0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9">
        <v>45022.0</v>
      </c>
      <c r="B139" s="2" t="s">
        <v>90</v>
      </c>
      <c r="C139" s="3"/>
      <c r="D139" s="2" t="s">
        <v>15</v>
      </c>
      <c r="E139" s="4">
        <f t="shared" si="1"/>
        <v>5062548</v>
      </c>
      <c r="F139" s="4"/>
      <c r="G139" s="4">
        <v>-71000.0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9">
        <v>45022.0</v>
      </c>
      <c r="B140" s="2" t="s">
        <v>116</v>
      </c>
      <c r="C140" s="3"/>
      <c r="D140" s="2" t="s">
        <v>15</v>
      </c>
      <c r="E140" s="4">
        <f t="shared" si="1"/>
        <v>5325342</v>
      </c>
      <c r="F140" s="4">
        <v>262794.0</v>
      </c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9">
        <v>45022.0</v>
      </c>
      <c r="B141" s="2" t="s">
        <v>117</v>
      </c>
      <c r="C141" s="3"/>
      <c r="D141" s="2" t="s">
        <v>25</v>
      </c>
      <c r="E141" s="4">
        <f t="shared" si="1"/>
        <v>5839325</v>
      </c>
      <c r="F141" s="4">
        <v>513983.0</v>
      </c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9">
        <v>45026.0</v>
      </c>
      <c r="B142" s="2" t="s">
        <v>118</v>
      </c>
      <c r="C142" s="3"/>
      <c r="D142" s="2" t="s">
        <v>25</v>
      </c>
      <c r="E142" s="4">
        <f t="shared" si="1"/>
        <v>60587093</v>
      </c>
      <c r="F142" s="4">
        <v>5.4747768E7</v>
      </c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9">
        <v>45026.0</v>
      </c>
      <c r="B143" s="2" t="s">
        <v>119</v>
      </c>
      <c r="C143" s="2" t="s">
        <v>120</v>
      </c>
      <c r="D143" s="2" t="s">
        <v>25</v>
      </c>
      <c r="E143" s="4">
        <f t="shared" si="1"/>
        <v>61230910</v>
      </c>
      <c r="F143" s="4">
        <v>643817.0</v>
      </c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9">
        <v>45028.0</v>
      </c>
      <c r="B144" s="2" t="s">
        <v>121</v>
      </c>
      <c r="C144" s="3"/>
      <c r="D144" s="2" t="s">
        <v>25</v>
      </c>
      <c r="E144" s="4">
        <f t="shared" si="1"/>
        <v>88046670</v>
      </c>
      <c r="F144" s="4">
        <v>2.681576E7</v>
      </c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9">
        <v>45029.0</v>
      </c>
      <c r="B145" s="2" t="s">
        <v>122</v>
      </c>
      <c r="C145" s="3"/>
      <c r="D145" s="2" t="s">
        <v>23</v>
      </c>
      <c r="E145" s="4">
        <f t="shared" si="1"/>
        <v>86875372</v>
      </c>
      <c r="F145" s="4"/>
      <c r="G145" s="4">
        <v>-1171298.0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9">
        <v>45030.0</v>
      </c>
      <c r="B146" s="2" t="s">
        <v>29</v>
      </c>
      <c r="C146" s="3"/>
      <c r="D146" s="2" t="s">
        <v>13</v>
      </c>
      <c r="E146" s="4">
        <f t="shared" si="1"/>
        <v>6875372</v>
      </c>
      <c r="F146" s="4"/>
      <c r="G146" s="4">
        <v>-8.0E7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9">
        <v>45030.0</v>
      </c>
      <c r="B147" s="2" t="s">
        <v>115</v>
      </c>
      <c r="C147" s="3"/>
      <c r="D147" s="2" t="s">
        <v>79</v>
      </c>
      <c r="E147" s="4">
        <f t="shared" si="1"/>
        <v>6825372</v>
      </c>
      <c r="F147" s="4"/>
      <c r="G147" s="4">
        <v>-50000.0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9">
        <v>45033.0</v>
      </c>
      <c r="B148" s="2" t="s">
        <v>123</v>
      </c>
      <c r="C148" s="3"/>
      <c r="D148" s="2" t="s">
        <v>21</v>
      </c>
      <c r="E148" s="4">
        <f t="shared" si="1"/>
        <v>6612814</v>
      </c>
      <c r="F148" s="4"/>
      <c r="G148" s="4">
        <v>-212558.0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9">
        <v>45034.0</v>
      </c>
      <c r="B149" s="2" t="s">
        <v>124</v>
      </c>
      <c r="C149" s="3"/>
      <c r="D149" s="2" t="s">
        <v>25</v>
      </c>
      <c r="E149" s="4">
        <f t="shared" si="1"/>
        <v>7427494</v>
      </c>
      <c r="F149" s="4">
        <v>814680.0</v>
      </c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9">
        <v>45034.0</v>
      </c>
      <c r="B150" s="2" t="s">
        <v>125</v>
      </c>
      <c r="C150" s="3"/>
      <c r="D150" s="2" t="s">
        <v>25</v>
      </c>
      <c r="E150" s="4">
        <f t="shared" si="1"/>
        <v>7927494</v>
      </c>
      <c r="F150" s="4">
        <v>500000.0</v>
      </c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9">
        <v>45036.0</v>
      </c>
      <c r="B151" s="2" t="s">
        <v>126</v>
      </c>
      <c r="C151" s="3"/>
      <c r="D151" s="2" t="s">
        <v>21</v>
      </c>
      <c r="E151" s="4">
        <f t="shared" si="1"/>
        <v>7315794</v>
      </c>
      <c r="F151" s="4"/>
      <c r="G151" s="4">
        <v>-611700.0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9">
        <v>45040.0</v>
      </c>
      <c r="B152" s="2" t="s">
        <v>127</v>
      </c>
      <c r="C152" s="3"/>
      <c r="D152" s="2" t="s">
        <v>25</v>
      </c>
      <c r="E152" s="4">
        <f t="shared" si="1"/>
        <v>8017763</v>
      </c>
      <c r="F152" s="4">
        <v>701969.0</v>
      </c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9">
        <v>45040.0</v>
      </c>
      <c r="B153" s="2" t="s">
        <v>90</v>
      </c>
      <c r="C153" s="3"/>
      <c r="D153" s="2" t="s">
        <v>15</v>
      </c>
      <c r="E153" s="4">
        <f t="shared" si="1"/>
        <v>7995563</v>
      </c>
      <c r="F153" s="4"/>
      <c r="G153" s="4">
        <v>-22200.0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9">
        <v>45040.0</v>
      </c>
      <c r="B154" s="2" t="s">
        <v>128</v>
      </c>
      <c r="C154" s="3"/>
      <c r="D154" s="2" t="s">
        <v>15</v>
      </c>
      <c r="E154" s="4">
        <f t="shared" si="1"/>
        <v>7945563</v>
      </c>
      <c r="F154" s="4"/>
      <c r="G154" s="4">
        <v>-50000.0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9">
        <v>45040.0</v>
      </c>
      <c r="B155" s="2" t="s">
        <v>129</v>
      </c>
      <c r="C155" s="3"/>
      <c r="D155" s="2" t="s">
        <v>21</v>
      </c>
      <c r="E155" s="4">
        <f t="shared" si="1"/>
        <v>5705563</v>
      </c>
      <c r="F155" s="4"/>
      <c r="G155" s="4">
        <v>-2240000.0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9">
        <v>45041.0</v>
      </c>
      <c r="B156" s="2" t="s">
        <v>54</v>
      </c>
      <c r="C156" s="3"/>
      <c r="D156" s="2" t="s">
        <v>21</v>
      </c>
      <c r="E156" s="4">
        <f t="shared" si="1"/>
        <v>2550941</v>
      </c>
      <c r="F156" s="4"/>
      <c r="G156" s="4">
        <v>-3154622.0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9">
        <v>45041.0</v>
      </c>
      <c r="B157" s="2" t="s">
        <v>130</v>
      </c>
      <c r="C157" s="3"/>
      <c r="D157" s="2" t="s">
        <v>79</v>
      </c>
      <c r="E157" s="4">
        <f t="shared" si="1"/>
        <v>2193730</v>
      </c>
      <c r="F157" s="4"/>
      <c r="G157" s="4">
        <v>-357211.0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1">
        <v>45043.0</v>
      </c>
      <c r="B158" s="2" t="s">
        <v>131</v>
      </c>
      <c r="C158" s="3"/>
      <c r="D158" s="2" t="s">
        <v>25</v>
      </c>
      <c r="E158" s="4">
        <f t="shared" si="1"/>
        <v>2443730</v>
      </c>
      <c r="F158" s="4">
        <v>250000.0</v>
      </c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1">
        <v>45044.0</v>
      </c>
      <c r="B159" s="2" t="s">
        <v>132</v>
      </c>
      <c r="C159" s="3"/>
      <c r="D159" s="2" t="s">
        <v>25</v>
      </c>
      <c r="E159" s="4">
        <f t="shared" si="1"/>
        <v>7443730</v>
      </c>
      <c r="F159" s="4">
        <v>5000000.0</v>
      </c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1">
        <v>45044.0</v>
      </c>
      <c r="B160" s="2" t="s">
        <v>131</v>
      </c>
      <c r="C160" s="3"/>
      <c r="D160" s="2" t="s">
        <v>25</v>
      </c>
      <c r="E160" s="4">
        <f t="shared" si="1"/>
        <v>12443730</v>
      </c>
      <c r="F160" s="4">
        <v>5000000.0</v>
      </c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1">
        <v>45044.0</v>
      </c>
      <c r="B161" s="2" t="s">
        <v>133</v>
      </c>
      <c r="C161" s="3"/>
      <c r="D161" s="2" t="s">
        <v>23</v>
      </c>
      <c r="E161" s="4">
        <f t="shared" si="1"/>
        <v>12321138</v>
      </c>
      <c r="F161" s="4"/>
      <c r="G161" s="4">
        <v>-122592.0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1">
        <v>45044.0</v>
      </c>
      <c r="B162" s="2" t="s">
        <v>110</v>
      </c>
      <c r="C162" s="3"/>
      <c r="D162" s="2" t="s">
        <v>25</v>
      </c>
      <c r="E162" s="4">
        <f t="shared" si="1"/>
        <v>12838627</v>
      </c>
      <c r="F162" s="4">
        <v>517489.0</v>
      </c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1">
        <v>45044.0</v>
      </c>
      <c r="B163" s="2" t="s">
        <v>134</v>
      </c>
      <c r="C163" s="3"/>
      <c r="D163" s="2" t="s">
        <v>25</v>
      </c>
      <c r="E163" s="4">
        <f t="shared" si="1"/>
        <v>13088627</v>
      </c>
      <c r="F163" s="4">
        <v>250000.0</v>
      </c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9">
        <v>45048.0</v>
      </c>
      <c r="B164" s="2" t="s">
        <v>135</v>
      </c>
      <c r="C164" s="3"/>
      <c r="D164" s="2" t="s">
        <v>25</v>
      </c>
      <c r="E164" s="4">
        <f t="shared" si="1"/>
        <v>16552764</v>
      </c>
      <c r="F164" s="4">
        <v>3464137.0</v>
      </c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9">
        <v>45048.0</v>
      </c>
      <c r="B165" s="2" t="s">
        <v>136</v>
      </c>
      <c r="C165" s="2" t="s">
        <v>120</v>
      </c>
      <c r="D165" s="2" t="s">
        <v>25</v>
      </c>
      <c r="E165" s="4">
        <f t="shared" si="1"/>
        <v>17220918</v>
      </c>
      <c r="F165" s="4">
        <v>668154.0</v>
      </c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9">
        <v>45048.0</v>
      </c>
      <c r="B166" s="2" t="s">
        <v>112</v>
      </c>
      <c r="C166" s="3"/>
      <c r="D166" s="2" t="s">
        <v>11</v>
      </c>
      <c r="E166" s="4">
        <f t="shared" si="1"/>
        <v>17024722</v>
      </c>
      <c r="F166" s="4"/>
      <c r="G166" s="4">
        <v>-196196.0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1">
        <v>45048.0</v>
      </c>
      <c r="B167" s="2" t="s">
        <v>137</v>
      </c>
      <c r="C167" s="3"/>
      <c r="D167" s="2" t="s">
        <v>11</v>
      </c>
      <c r="E167" s="4">
        <f t="shared" si="1"/>
        <v>16324722</v>
      </c>
      <c r="F167" s="4"/>
      <c r="G167" s="4">
        <v>-700000.0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9">
        <v>45048.0</v>
      </c>
      <c r="B168" s="2" t="s">
        <v>12</v>
      </c>
      <c r="C168" s="3"/>
      <c r="D168" s="2" t="s">
        <v>13</v>
      </c>
      <c r="E168" s="4">
        <f t="shared" si="1"/>
        <v>96324722</v>
      </c>
      <c r="F168" s="4">
        <v>8.0E7</v>
      </c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9">
        <v>45048.0</v>
      </c>
      <c r="B169" s="2" t="s">
        <v>138</v>
      </c>
      <c r="C169" s="3"/>
      <c r="D169" s="2" t="s">
        <v>43</v>
      </c>
      <c r="E169" s="4">
        <f t="shared" si="1"/>
        <v>94584722</v>
      </c>
      <c r="F169" s="4"/>
      <c r="G169" s="4">
        <v>-1740000.0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9">
        <v>45048.0</v>
      </c>
      <c r="B170" s="2" t="s">
        <v>139</v>
      </c>
      <c r="C170" s="3"/>
      <c r="D170" s="2" t="s">
        <v>25</v>
      </c>
      <c r="E170" s="4">
        <f t="shared" si="1"/>
        <v>95102768</v>
      </c>
      <c r="F170" s="4">
        <v>518046.0</v>
      </c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9">
        <v>45049.0</v>
      </c>
      <c r="B171" s="2" t="s">
        <v>122</v>
      </c>
      <c r="C171" s="3"/>
      <c r="D171" s="2" t="s">
        <v>23</v>
      </c>
      <c r="E171" s="4">
        <f t="shared" si="1"/>
        <v>5157683</v>
      </c>
      <c r="F171" s="4"/>
      <c r="G171" s="4">
        <v>-8.9945085E7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9">
        <v>45050.0</v>
      </c>
      <c r="B172" s="2" t="s">
        <v>140</v>
      </c>
      <c r="C172" s="3"/>
      <c r="D172" s="2" t="s">
        <v>25</v>
      </c>
      <c r="E172" s="4">
        <f t="shared" si="1"/>
        <v>5656025</v>
      </c>
      <c r="F172" s="4">
        <v>498342.0</v>
      </c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9">
        <v>45051.0</v>
      </c>
      <c r="B173" s="2" t="s">
        <v>141</v>
      </c>
      <c r="C173" s="3"/>
      <c r="D173" s="2" t="s">
        <v>25</v>
      </c>
      <c r="E173" s="4">
        <f t="shared" si="1"/>
        <v>6164785</v>
      </c>
      <c r="F173" s="4">
        <v>508760.0</v>
      </c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9">
        <v>45054.0</v>
      </c>
      <c r="B174" s="2" t="s">
        <v>142</v>
      </c>
      <c r="C174" s="3"/>
      <c r="D174" s="2" t="s">
        <v>25</v>
      </c>
      <c r="E174" s="4">
        <f t="shared" si="1"/>
        <v>7910436</v>
      </c>
      <c r="F174" s="4">
        <v>1745651.0</v>
      </c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9">
        <v>45054.0</v>
      </c>
      <c r="B175" s="2" t="s">
        <v>143</v>
      </c>
      <c r="C175" s="3"/>
      <c r="D175" s="2" t="s">
        <v>25</v>
      </c>
      <c r="E175" s="4">
        <f t="shared" si="1"/>
        <v>8429248</v>
      </c>
      <c r="F175" s="4">
        <v>518812.0</v>
      </c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9">
        <v>45056.0</v>
      </c>
      <c r="B176" s="2" t="s">
        <v>144</v>
      </c>
      <c r="C176" s="3"/>
      <c r="D176" s="2" t="s">
        <v>15</v>
      </c>
      <c r="E176" s="4">
        <f t="shared" si="1"/>
        <v>8379248</v>
      </c>
      <c r="F176" s="4"/>
      <c r="G176" s="4">
        <v>-50000.0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9">
        <v>45056.0</v>
      </c>
      <c r="B177" s="2" t="s">
        <v>122</v>
      </c>
      <c r="C177" s="3"/>
      <c r="D177" s="2" t="s">
        <v>23</v>
      </c>
      <c r="E177" s="4">
        <f t="shared" si="1"/>
        <v>8135420</v>
      </c>
      <c r="F177" s="4"/>
      <c r="G177" s="4">
        <v>-243828.0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9">
        <v>45063.0</v>
      </c>
      <c r="B178" s="2" t="s">
        <v>145</v>
      </c>
      <c r="C178" s="3"/>
      <c r="D178" s="2" t="s">
        <v>25</v>
      </c>
      <c r="E178" s="4">
        <f t="shared" si="1"/>
        <v>8135440</v>
      </c>
      <c r="F178" s="4">
        <v>20.0</v>
      </c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9">
        <v>45064.0</v>
      </c>
      <c r="B179" s="2" t="s">
        <v>145</v>
      </c>
      <c r="C179" s="3"/>
      <c r="D179" s="2" t="s">
        <v>25</v>
      </c>
      <c r="E179" s="4">
        <f t="shared" si="1"/>
        <v>8635440</v>
      </c>
      <c r="F179" s="4">
        <v>500000.0</v>
      </c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9">
        <v>45069.0</v>
      </c>
      <c r="B180" s="2" t="s">
        <v>90</v>
      </c>
      <c r="C180" s="3"/>
      <c r="D180" s="2" t="s">
        <v>15</v>
      </c>
      <c r="E180" s="4">
        <f t="shared" si="1"/>
        <v>8012860</v>
      </c>
      <c r="F180" s="4"/>
      <c r="G180" s="4">
        <v>-622580.0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9">
        <v>45069.0</v>
      </c>
      <c r="B181" s="2" t="s">
        <v>146</v>
      </c>
      <c r="C181" s="3"/>
      <c r="D181" s="2" t="s">
        <v>21</v>
      </c>
      <c r="E181" s="4">
        <f t="shared" si="1"/>
        <v>7421475</v>
      </c>
      <c r="F181" s="4"/>
      <c r="G181" s="4">
        <v>-591385.0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9">
        <v>45070.0</v>
      </c>
      <c r="B182" s="2" t="s">
        <v>147</v>
      </c>
      <c r="C182" s="3"/>
      <c r="D182" s="2" t="s">
        <v>148</v>
      </c>
      <c r="E182" s="4">
        <f t="shared" si="1"/>
        <v>8044055</v>
      </c>
      <c r="F182" s="4">
        <v>622580.0</v>
      </c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9">
        <v>45075.0</v>
      </c>
      <c r="B183" s="2" t="s">
        <v>149</v>
      </c>
      <c r="C183" s="3"/>
      <c r="D183" s="2" t="s">
        <v>25</v>
      </c>
      <c r="E183" s="4">
        <f t="shared" si="1"/>
        <v>8751245</v>
      </c>
      <c r="F183" s="4">
        <v>707190.0</v>
      </c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9">
        <v>45076.0</v>
      </c>
      <c r="B184" s="2" t="s">
        <v>150</v>
      </c>
      <c r="C184" s="3"/>
      <c r="D184" s="2" t="s">
        <v>25</v>
      </c>
      <c r="E184" s="4">
        <f t="shared" si="1"/>
        <v>9001245</v>
      </c>
      <c r="F184" s="4">
        <v>250000.0</v>
      </c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9">
        <v>45077.0</v>
      </c>
      <c r="B185" s="2" t="s">
        <v>151</v>
      </c>
      <c r="C185" s="3"/>
      <c r="D185" s="2" t="s">
        <v>21</v>
      </c>
      <c r="E185" s="4">
        <f t="shared" si="1"/>
        <v>6323745</v>
      </c>
      <c r="F185" s="4"/>
      <c r="G185" s="4">
        <v>-2677500.0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9">
        <v>45077.0</v>
      </c>
      <c r="B186" s="2" t="s">
        <v>152</v>
      </c>
      <c r="C186" s="3"/>
      <c r="D186" s="2" t="s">
        <v>25</v>
      </c>
      <c r="E186" s="4">
        <f t="shared" si="1"/>
        <v>6573745</v>
      </c>
      <c r="F186" s="4">
        <v>250000.0</v>
      </c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9">
        <v>45078.0</v>
      </c>
      <c r="B187" s="2" t="s">
        <v>153</v>
      </c>
      <c r="C187" s="2" t="s">
        <v>154</v>
      </c>
      <c r="D187" s="2" t="s">
        <v>25</v>
      </c>
      <c r="E187" s="4">
        <f t="shared" si="1"/>
        <v>7094407</v>
      </c>
      <c r="F187" s="4">
        <v>520662.0</v>
      </c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9">
        <v>45078.0</v>
      </c>
      <c r="B188" s="2" t="s">
        <v>155</v>
      </c>
      <c r="C188" s="3"/>
      <c r="D188" s="2" t="s">
        <v>21</v>
      </c>
      <c r="E188" s="4">
        <f t="shared" si="1"/>
        <v>6042867</v>
      </c>
      <c r="F188" s="4"/>
      <c r="G188" s="4">
        <v>-1051540.0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9">
        <v>45079.0</v>
      </c>
      <c r="B189" s="2" t="s">
        <v>156</v>
      </c>
      <c r="C189" s="3"/>
      <c r="D189" s="2" t="s">
        <v>11</v>
      </c>
      <c r="E189" s="4">
        <f t="shared" si="1"/>
        <v>5342867</v>
      </c>
      <c r="F189" s="4"/>
      <c r="G189" s="4">
        <v>-700000.0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9">
        <v>45082.0</v>
      </c>
      <c r="B190" s="2" t="s">
        <v>66</v>
      </c>
      <c r="C190" s="2" t="s">
        <v>157</v>
      </c>
      <c r="D190" s="2" t="s">
        <v>25</v>
      </c>
      <c r="E190" s="4">
        <f t="shared" si="1"/>
        <v>5843461</v>
      </c>
      <c r="F190" s="4">
        <v>500594.0</v>
      </c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9">
        <v>45083.0</v>
      </c>
      <c r="B191" s="2" t="s">
        <v>158</v>
      </c>
      <c r="C191" s="2" t="s">
        <v>159</v>
      </c>
      <c r="D191" s="2" t="s">
        <v>25</v>
      </c>
      <c r="E191" s="4">
        <f t="shared" si="1"/>
        <v>7843461</v>
      </c>
      <c r="F191" s="4">
        <v>2000000.0</v>
      </c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9">
        <v>45083.0</v>
      </c>
      <c r="B192" s="2" t="s">
        <v>160</v>
      </c>
      <c r="C192" s="2" t="s">
        <v>159</v>
      </c>
      <c r="D192" s="2" t="s">
        <v>25</v>
      </c>
      <c r="E192" s="4">
        <f t="shared" si="1"/>
        <v>9843461</v>
      </c>
      <c r="F192" s="4">
        <v>2000000.0</v>
      </c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9">
        <v>45083.0</v>
      </c>
      <c r="B193" s="2" t="s">
        <v>161</v>
      </c>
      <c r="C193" s="2" t="s">
        <v>162</v>
      </c>
      <c r="D193" s="2" t="s">
        <v>25</v>
      </c>
      <c r="E193" s="4">
        <f t="shared" si="1"/>
        <v>11596227</v>
      </c>
      <c r="F193" s="4">
        <v>1752766.0</v>
      </c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9">
        <v>45083.0</v>
      </c>
      <c r="B194" s="2" t="s">
        <v>163</v>
      </c>
      <c r="C194" s="2" t="s">
        <v>120</v>
      </c>
      <c r="D194" s="2" t="s">
        <v>25</v>
      </c>
      <c r="E194" s="4">
        <f t="shared" si="1"/>
        <v>12267117</v>
      </c>
      <c r="F194" s="4">
        <v>670890.0</v>
      </c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9">
        <v>45083.0</v>
      </c>
      <c r="B195" s="2" t="s">
        <v>112</v>
      </c>
      <c r="C195" s="3"/>
      <c r="D195" s="2" t="s">
        <v>11</v>
      </c>
      <c r="E195" s="4">
        <f t="shared" si="1"/>
        <v>12070921</v>
      </c>
      <c r="F195" s="4"/>
      <c r="G195" s="4">
        <v>-196196.0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9">
        <v>45084.0</v>
      </c>
      <c r="B196" s="2" t="s">
        <v>160</v>
      </c>
      <c r="C196" s="2" t="s">
        <v>159</v>
      </c>
      <c r="D196" s="2" t="s">
        <v>25</v>
      </c>
      <c r="E196" s="4">
        <f t="shared" si="1"/>
        <v>14070921</v>
      </c>
      <c r="F196" s="4">
        <v>2000000.0</v>
      </c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9">
        <v>45084.0</v>
      </c>
      <c r="B197" s="2" t="s">
        <v>164</v>
      </c>
      <c r="C197" s="2" t="s">
        <v>165</v>
      </c>
      <c r="D197" s="2" t="s">
        <v>25</v>
      </c>
      <c r="E197" s="4">
        <f t="shared" si="1"/>
        <v>14591944</v>
      </c>
      <c r="F197" s="4">
        <v>521023.0</v>
      </c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9">
        <v>45085.0</v>
      </c>
      <c r="B198" s="2" t="s">
        <v>160</v>
      </c>
      <c r="C198" s="2" t="s">
        <v>159</v>
      </c>
      <c r="D198" s="2" t="s">
        <v>25</v>
      </c>
      <c r="E198" s="4">
        <f t="shared" si="1"/>
        <v>15721326</v>
      </c>
      <c r="F198" s="4">
        <v>1129382.0</v>
      </c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9">
        <v>45085.0</v>
      </c>
      <c r="B199" s="2" t="s">
        <v>166</v>
      </c>
      <c r="C199" s="2" t="s">
        <v>167</v>
      </c>
      <c r="D199" s="2" t="s">
        <v>25</v>
      </c>
      <c r="E199" s="4">
        <f t="shared" si="1"/>
        <v>16242404</v>
      </c>
      <c r="F199" s="4">
        <v>521078.0</v>
      </c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9">
        <v>45089.0</v>
      </c>
      <c r="B200" s="2" t="s">
        <v>168</v>
      </c>
      <c r="C200" s="3"/>
      <c r="D200" s="2" t="s">
        <v>43</v>
      </c>
      <c r="E200" s="4">
        <f t="shared" si="1"/>
        <v>11552278</v>
      </c>
      <c r="F200" s="4"/>
      <c r="G200" s="4">
        <v>-4690126.0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9">
        <v>45089.0</v>
      </c>
      <c r="B201" s="2" t="s">
        <v>169</v>
      </c>
      <c r="C201" s="2" t="s">
        <v>170</v>
      </c>
      <c r="D201" s="2" t="s">
        <v>25</v>
      </c>
      <c r="E201" s="4">
        <f t="shared" si="1"/>
        <v>12063305</v>
      </c>
      <c r="F201" s="4">
        <v>511027.0</v>
      </c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9">
        <v>45089.0</v>
      </c>
      <c r="B202" s="2" t="s">
        <v>122</v>
      </c>
      <c r="C202" s="3"/>
      <c r="D202" s="2" t="s">
        <v>21</v>
      </c>
      <c r="E202" s="4">
        <f t="shared" si="1"/>
        <v>11779232</v>
      </c>
      <c r="F202" s="4"/>
      <c r="G202" s="4">
        <v>-284073.0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9">
        <v>45090.0</v>
      </c>
      <c r="B203" s="2" t="s">
        <v>171</v>
      </c>
      <c r="C203" s="2" t="s">
        <v>172</v>
      </c>
      <c r="D203" s="2" t="s">
        <v>25</v>
      </c>
      <c r="E203" s="4">
        <f t="shared" si="1"/>
        <v>40105544</v>
      </c>
      <c r="F203" s="4">
        <v>2.8326312E7</v>
      </c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9">
        <v>45090.0</v>
      </c>
      <c r="B204" s="2" t="s">
        <v>133</v>
      </c>
      <c r="C204" s="3"/>
      <c r="D204" s="2" t="s">
        <v>21</v>
      </c>
      <c r="E204" s="4">
        <f t="shared" si="1"/>
        <v>40100944</v>
      </c>
      <c r="F204" s="4"/>
      <c r="G204" s="4">
        <v>-4600.0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9">
        <v>45090.0</v>
      </c>
      <c r="B205" s="2" t="s">
        <v>133</v>
      </c>
      <c r="C205" s="3"/>
      <c r="D205" s="2" t="s">
        <v>21</v>
      </c>
      <c r="E205" s="4">
        <f t="shared" si="1"/>
        <v>40096944</v>
      </c>
      <c r="F205" s="4"/>
      <c r="G205" s="4">
        <v>-4000.0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9">
        <v>45090.0</v>
      </c>
      <c r="B206" s="2" t="s">
        <v>133</v>
      </c>
      <c r="C206" s="3"/>
      <c r="D206" s="2" t="s">
        <v>21</v>
      </c>
      <c r="E206" s="4">
        <f t="shared" si="1"/>
        <v>40092944</v>
      </c>
      <c r="F206" s="4"/>
      <c r="G206" s="4">
        <v>-4000.0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9">
        <v>45092.0</v>
      </c>
      <c r="B207" s="2" t="s">
        <v>173</v>
      </c>
      <c r="C207" s="3"/>
      <c r="D207" s="2" t="s">
        <v>21</v>
      </c>
      <c r="E207" s="4">
        <f t="shared" si="1"/>
        <v>37849199</v>
      </c>
      <c r="F207" s="4"/>
      <c r="G207" s="4">
        <v>-2243745.0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9">
        <v>45092.0</v>
      </c>
      <c r="B208" s="2" t="s">
        <v>29</v>
      </c>
      <c r="C208" s="3"/>
      <c r="D208" s="2" t="s">
        <v>13</v>
      </c>
      <c r="E208" s="4">
        <f t="shared" si="1"/>
        <v>1849199</v>
      </c>
      <c r="F208" s="4"/>
      <c r="G208" s="4">
        <v>-3.6E7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9">
        <v>45105.0</v>
      </c>
      <c r="B209" s="2" t="s">
        <v>174</v>
      </c>
      <c r="C209" s="2" t="s">
        <v>175</v>
      </c>
      <c r="D209" s="2" t="s">
        <v>25</v>
      </c>
      <c r="E209" s="4">
        <f t="shared" si="1"/>
        <v>2557567</v>
      </c>
      <c r="F209" s="12">
        <v>708368.0</v>
      </c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9">
        <v>45105.0</v>
      </c>
      <c r="B210" s="2" t="s">
        <v>156</v>
      </c>
      <c r="C210" s="3"/>
      <c r="D210" s="2" t="s">
        <v>11</v>
      </c>
      <c r="E210" s="4">
        <f t="shared" si="1"/>
        <v>2119112</v>
      </c>
      <c r="F210" s="4"/>
      <c r="G210" s="4">
        <v>-438455.0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9">
        <v>45105.0</v>
      </c>
      <c r="B211" s="2" t="s">
        <v>133</v>
      </c>
      <c r="C211" s="3"/>
      <c r="D211" s="2" t="s">
        <v>21</v>
      </c>
      <c r="E211" s="4">
        <f t="shared" si="1"/>
        <v>2116812</v>
      </c>
      <c r="F211" s="4"/>
      <c r="G211" s="4">
        <v>-2300.0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9">
        <v>45107.0</v>
      </c>
      <c r="B212" s="2" t="s">
        <v>176</v>
      </c>
      <c r="C212" s="2" t="s">
        <v>154</v>
      </c>
      <c r="D212" s="2" t="s">
        <v>25</v>
      </c>
      <c r="E212" s="4">
        <f t="shared" si="1"/>
        <v>2638298</v>
      </c>
      <c r="F212" s="4">
        <v>521486.0</v>
      </c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9">
        <v>45107.0</v>
      </c>
      <c r="B213" s="2" t="s">
        <v>177</v>
      </c>
      <c r="C213" s="3"/>
      <c r="D213" s="2" t="s">
        <v>21</v>
      </c>
      <c r="E213" s="4">
        <f t="shared" si="1"/>
        <v>1388298</v>
      </c>
      <c r="F213" s="4"/>
      <c r="G213" s="4">
        <v>-1250000.0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9">
        <v>45107.0</v>
      </c>
      <c r="B214" s="2" t="s">
        <v>178</v>
      </c>
      <c r="C214" s="3"/>
      <c r="D214" s="2" t="s">
        <v>15</v>
      </c>
      <c r="E214" s="4">
        <f t="shared" si="1"/>
        <v>1351898</v>
      </c>
      <c r="F214" s="4"/>
      <c r="G214" s="4">
        <v>-36400.0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9">
        <v>45110.0</v>
      </c>
      <c r="B215" s="2" t="s">
        <v>179</v>
      </c>
      <c r="C215" s="2" t="s">
        <v>180</v>
      </c>
      <c r="D215" s="2" t="s">
        <v>25</v>
      </c>
      <c r="E215" s="4">
        <f t="shared" si="1"/>
        <v>3106744</v>
      </c>
      <c r="F215" s="4">
        <v>1754846.0</v>
      </c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9">
        <v>45110.0</v>
      </c>
      <c r="B216" s="2" t="s">
        <v>181</v>
      </c>
      <c r="C216" s="2" t="s">
        <v>159</v>
      </c>
      <c r="D216" s="2" t="s">
        <v>25</v>
      </c>
      <c r="E216" s="4">
        <f t="shared" si="1"/>
        <v>3784212</v>
      </c>
      <c r="F216" s="4">
        <v>677468.0</v>
      </c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9">
        <v>45110.0</v>
      </c>
      <c r="B217" s="2" t="s">
        <v>182</v>
      </c>
      <c r="C217" s="2" t="s">
        <v>157</v>
      </c>
      <c r="D217" s="2" t="s">
        <v>25</v>
      </c>
      <c r="E217" s="4">
        <f t="shared" si="1"/>
        <v>4285512</v>
      </c>
      <c r="F217" s="4">
        <v>501300.0</v>
      </c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9">
        <v>45111.0</v>
      </c>
      <c r="B218" s="2" t="s">
        <v>178</v>
      </c>
      <c r="C218" s="3"/>
      <c r="D218" s="2" t="s">
        <v>15</v>
      </c>
      <c r="E218" s="4">
        <f t="shared" si="1"/>
        <v>4266112</v>
      </c>
      <c r="F218" s="4"/>
      <c r="G218" s="4">
        <v>-19400.0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9">
        <v>45112.0</v>
      </c>
      <c r="B219" s="2" t="s">
        <v>183</v>
      </c>
      <c r="C219" s="2" t="s">
        <v>172</v>
      </c>
      <c r="D219" s="2" t="s">
        <v>25</v>
      </c>
      <c r="E219" s="4">
        <f t="shared" si="1"/>
        <v>4407157</v>
      </c>
      <c r="F219" s="4">
        <v>141045.0</v>
      </c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9">
        <v>45113.0</v>
      </c>
      <c r="B220" s="2" t="s">
        <v>184</v>
      </c>
      <c r="C220" s="2" t="s">
        <v>120</v>
      </c>
      <c r="D220" s="2" t="s">
        <v>25</v>
      </c>
      <c r="E220" s="4">
        <f t="shared" si="1"/>
        <v>5078897</v>
      </c>
      <c r="F220" s="4">
        <v>671740.0</v>
      </c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9">
        <v>45113.0</v>
      </c>
      <c r="B221" s="2" t="s">
        <v>185</v>
      </c>
      <c r="C221" s="2" t="s">
        <v>165</v>
      </c>
      <c r="D221" s="2" t="s">
        <v>25</v>
      </c>
      <c r="E221" s="4">
        <f t="shared" si="1"/>
        <v>5600484</v>
      </c>
      <c r="F221" s="4">
        <v>521587.0</v>
      </c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9">
        <v>45114.0</v>
      </c>
      <c r="B222" s="2" t="s">
        <v>186</v>
      </c>
      <c r="C222" s="2" t="s">
        <v>170</v>
      </c>
      <c r="D222" s="2" t="s">
        <v>25</v>
      </c>
      <c r="E222" s="4">
        <f t="shared" si="1"/>
        <v>6111978</v>
      </c>
      <c r="F222" s="4">
        <v>511494.0</v>
      </c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9">
        <v>45119.0</v>
      </c>
      <c r="B223" s="2" t="s">
        <v>187</v>
      </c>
      <c r="C223" s="2" t="s">
        <v>167</v>
      </c>
      <c r="D223" s="2" t="s">
        <v>25</v>
      </c>
      <c r="E223" s="4">
        <f t="shared" si="1"/>
        <v>6633526</v>
      </c>
      <c r="F223" s="4">
        <v>521548.0</v>
      </c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9">
        <v>45119.0</v>
      </c>
      <c r="B224" s="2" t="s">
        <v>122</v>
      </c>
      <c r="C224" s="3"/>
      <c r="D224" s="2" t="s">
        <v>23</v>
      </c>
      <c r="E224" s="4">
        <f t="shared" si="1"/>
        <v>6564924</v>
      </c>
      <c r="F224" s="4"/>
      <c r="G224" s="4">
        <v>-68602.0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9">
        <v>45119.0</v>
      </c>
      <c r="B225" s="2" t="s">
        <v>112</v>
      </c>
      <c r="C225" s="3"/>
      <c r="D225" s="2" t="s">
        <v>11</v>
      </c>
      <c r="E225" s="4">
        <f t="shared" si="1"/>
        <v>6209949</v>
      </c>
      <c r="F225" s="4"/>
      <c r="G225" s="4">
        <v>-354975.0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9">
        <v>45119.0</v>
      </c>
      <c r="B226" s="2" t="s">
        <v>12</v>
      </c>
      <c r="C226" s="3"/>
      <c r="D226" s="2" t="s">
        <v>13</v>
      </c>
      <c r="E226" s="4">
        <f t="shared" si="1"/>
        <v>17209949</v>
      </c>
      <c r="F226" s="4">
        <v>1.1E7</v>
      </c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9">
        <v>45120.0</v>
      </c>
      <c r="B227" s="2" t="s">
        <v>188</v>
      </c>
      <c r="C227" s="3"/>
      <c r="D227" s="2" t="s">
        <v>25</v>
      </c>
      <c r="E227" s="4">
        <f t="shared" si="1"/>
        <v>2870534</v>
      </c>
      <c r="F227" s="4"/>
      <c r="G227" s="4">
        <v>-1.4339415E7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9">
        <v>45120.0</v>
      </c>
      <c r="B228" s="2" t="s">
        <v>133</v>
      </c>
      <c r="C228" s="3"/>
      <c r="D228" s="2" t="s">
        <v>21</v>
      </c>
      <c r="E228" s="4">
        <f t="shared" si="1"/>
        <v>2865934</v>
      </c>
      <c r="F228" s="4"/>
      <c r="G228" s="4">
        <v>-4600.0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9">
        <v>45121.0</v>
      </c>
      <c r="B229" s="2" t="s">
        <v>189</v>
      </c>
      <c r="C229" s="3"/>
      <c r="D229" s="2" t="s">
        <v>21</v>
      </c>
      <c r="E229" s="4">
        <f t="shared" si="1"/>
        <v>2531326</v>
      </c>
      <c r="F229" s="4"/>
      <c r="G229" s="4">
        <v>-334608.0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9">
        <v>45124.0</v>
      </c>
      <c r="B230" s="2" t="s">
        <v>90</v>
      </c>
      <c r="C230" s="3"/>
      <c r="D230" s="2" t="s">
        <v>15</v>
      </c>
      <c r="E230" s="4">
        <f t="shared" si="1"/>
        <v>2390281</v>
      </c>
      <c r="F230" s="4"/>
      <c r="G230" s="4">
        <v>-141045.0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9">
        <v>45124.0</v>
      </c>
      <c r="B231" s="2" t="s">
        <v>190</v>
      </c>
      <c r="C231" s="3"/>
      <c r="D231" s="2" t="s">
        <v>21</v>
      </c>
      <c r="E231" s="4">
        <f t="shared" si="1"/>
        <v>2319781</v>
      </c>
      <c r="F231" s="4"/>
      <c r="G231" s="4">
        <v>-70500.0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9">
        <v>45125.0</v>
      </c>
      <c r="B232" s="2" t="s">
        <v>181</v>
      </c>
      <c r="C232" s="2" t="s">
        <v>159</v>
      </c>
      <c r="D232" s="2" t="s">
        <v>25</v>
      </c>
      <c r="E232" s="4">
        <f t="shared" si="1"/>
        <v>2653692</v>
      </c>
      <c r="F232" s="4">
        <v>333911.0</v>
      </c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9">
        <v>45126.0</v>
      </c>
      <c r="B233" s="2" t="s">
        <v>191</v>
      </c>
      <c r="C233" s="3"/>
      <c r="D233" s="2" t="s">
        <v>15</v>
      </c>
      <c r="E233" s="4">
        <f t="shared" si="1"/>
        <v>2613692</v>
      </c>
      <c r="F233" s="4"/>
      <c r="G233" s="4">
        <v>-40000.0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9">
        <v>45127.0</v>
      </c>
      <c r="B234" s="2" t="s">
        <v>192</v>
      </c>
      <c r="C234" s="3"/>
      <c r="D234" s="2" t="s">
        <v>15</v>
      </c>
      <c r="E234" s="4">
        <f t="shared" si="1"/>
        <v>2573692</v>
      </c>
      <c r="F234" s="4"/>
      <c r="G234" s="4">
        <v>-40000.0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9">
        <v>45133.0</v>
      </c>
      <c r="B235" s="2" t="s">
        <v>193</v>
      </c>
      <c r="C235" s="3"/>
      <c r="D235" s="2" t="s">
        <v>21</v>
      </c>
      <c r="E235" s="4">
        <f t="shared" si="1"/>
        <v>2535692</v>
      </c>
      <c r="F235" s="4"/>
      <c r="G235" s="4">
        <v>-38000.0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9">
        <v>45133.0</v>
      </c>
      <c r="B236" s="2" t="s">
        <v>194</v>
      </c>
      <c r="C236" s="3"/>
      <c r="D236" s="2" t="s">
        <v>21</v>
      </c>
      <c r="E236" s="4">
        <f t="shared" si="1"/>
        <v>2532692</v>
      </c>
      <c r="F236" s="4"/>
      <c r="G236" s="4">
        <v>-3000.0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9">
        <v>45134.0</v>
      </c>
      <c r="B237" s="2" t="s">
        <v>195</v>
      </c>
      <c r="C237" s="3"/>
      <c r="D237" s="2" t="s">
        <v>15</v>
      </c>
      <c r="E237" s="4">
        <f t="shared" si="1"/>
        <v>2495642</v>
      </c>
      <c r="F237" s="4"/>
      <c r="G237" s="4">
        <v>-37050.0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9">
        <v>45134.0</v>
      </c>
      <c r="B238" s="2" t="s">
        <v>196</v>
      </c>
      <c r="C238" s="3"/>
      <c r="D238" s="2" t="s">
        <v>21</v>
      </c>
      <c r="E238" s="4">
        <f t="shared" si="1"/>
        <v>2414682</v>
      </c>
      <c r="F238" s="4"/>
      <c r="G238" s="4">
        <v>-80960.0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9">
        <v>45134.0</v>
      </c>
      <c r="B239" s="2" t="s">
        <v>197</v>
      </c>
      <c r="C239" s="3"/>
      <c r="D239" s="2" t="s">
        <v>21</v>
      </c>
      <c r="E239" s="4">
        <f t="shared" si="1"/>
        <v>2391582</v>
      </c>
      <c r="F239" s="4"/>
      <c r="G239" s="4">
        <v>-23100.0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9">
        <v>45135.0</v>
      </c>
      <c r="B240" s="2" t="s">
        <v>198</v>
      </c>
      <c r="C240" s="3"/>
      <c r="D240" s="2" t="s">
        <v>21</v>
      </c>
      <c r="E240" s="4">
        <f t="shared" si="1"/>
        <v>146457</v>
      </c>
      <c r="F240" s="4"/>
      <c r="G240" s="4">
        <v>-2245125.0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9">
        <v>45135.0</v>
      </c>
      <c r="B241" s="2" t="s">
        <v>196</v>
      </c>
      <c r="C241" s="3"/>
      <c r="D241" s="2" t="s">
        <v>21</v>
      </c>
      <c r="E241" s="4">
        <f t="shared" si="1"/>
        <v>64727</v>
      </c>
      <c r="F241" s="4"/>
      <c r="G241" s="4">
        <v>-81730.0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9">
        <v>45135.0</v>
      </c>
      <c r="B242" s="2" t="s">
        <v>199</v>
      </c>
      <c r="C242" s="3"/>
      <c r="D242" s="2" t="s">
        <v>200</v>
      </c>
      <c r="E242" s="4">
        <f t="shared" si="1"/>
        <v>76119</v>
      </c>
      <c r="F242" s="4">
        <v>11392.0</v>
      </c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9">
        <v>45135.0</v>
      </c>
      <c r="B243" s="2" t="s">
        <v>201</v>
      </c>
      <c r="C243" s="3"/>
      <c r="D243" s="2" t="s">
        <v>21</v>
      </c>
      <c r="E243" s="4">
        <f t="shared" si="1"/>
        <v>18536</v>
      </c>
      <c r="F243" s="4"/>
      <c r="G243" s="4">
        <v>-57583.0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9">
        <v>45135.0</v>
      </c>
      <c r="B244" s="2" t="s">
        <v>202</v>
      </c>
      <c r="C244" s="3"/>
      <c r="D244" s="2" t="s">
        <v>21</v>
      </c>
      <c r="E244" s="4">
        <f t="shared" si="1"/>
        <v>8540</v>
      </c>
      <c r="F244" s="4"/>
      <c r="G244" s="4">
        <v>-9996.0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9">
        <v>45135.0</v>
      </c>
      <c r="B245" s="2" t="s">
        <v>203</v>
      </c>
      <c r="C245" s="3"/>
      <c r="D245" s="2" t="s">
        <v>21</v>
      </c>
      <c r="E245" s="4">
        <f t="shared" si="1"/>
        <v>0</v>
      </c>
      <c r="F245" s="4"/>
      <c r="G245" s="4">
        <v>-8540.0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9">
        <v>45138.0</v>
      </c>
      <c r="B246" s="2" t="s">
        <v>204</v>
      </c>
      <c r="C246" s="2" t="s">
        <v>154</v>
      </c>
      <c r="D246" s="2" t="s">
        <v>25</v>
      </c>
      <c r="E246" s="4">
        <f t="shared" si="1"/>
        <v>520966</v>
      </c>
      <c r="F246" s="4">
        <v>520966.0</v>
      </c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9">
        <v>45138.0</v>
      </c>
      <c r="B247" s="2" t="s">
        <v>205</v>
      </c>
      <c r="C247" s="3"/>
      <c r="D247" s="2" t="s">
        <v>21</v>
      </c>
      <c r="E247" s="4">
        <f t="shared" si="1"/>
        <v>215019</v>
      </c>
      <c r="F247" s="4"/>
      <c r="G247" s="4">
        <v>-305947.0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9">
        <v>45138.0</v>
      </c>
      <c r="B248" s="2" t="s">
        <v>206</v>
      </c>
      <c r="C248" s="3"/>
      <c r="D248" s="2" t="s">
        <v>200</v>
      </c>
      <c r="E248" s="4">
        <f t="shared" si="1"/>
        <v>203627</v>
      </c>
      <c r="F248" s="4"/>
      <c r="G248" s="4">
        <v>-11392.0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9">
        <v>45139.0</v>
      </c>
      <c r="B249" s="2" t="s">
        <v>174</v>
      </c>
      <c r="C249" s="2" t="s">
        <v>175</v>
      </c>
      <c r="D249" s="2" t="s">
        <v>25</v>
      </c>
      <c r="E249" s="4">
        <f t="shared" si="1"/>
        <v>911230</v>
      </c>
      <c r="F249" s="4">
        <v>707603.0</v>
      </c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9">
        <v>45139.0</v>
      </c>
      <c r="B250" s="2" t="s">
        <v>160</v>
      </c>
      <c r="C250" s="2" t="s">
        <v>159</v>
      </c>
      <c r="D250" s="2" t="s">
        <v>25</v>
      </c>
      <c r="E250" s="4">
        <f t="shared" si="1"/>
        <v>1587827</v>
      </c>
      <c r="F250" s="4">
        <v>676597.0</v>
      </c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9">
        <v>45140.0</v>
      </c>
      <c r="B251" s="2" t="s">
        <v>207</v>
      </c>
      <c r="C251" s="2" t="s">
        <v>157</v>
      </c>
      <c r="D251" s="2" t="s">
        <v>25</v>
      </c>
      <c r="E251" s="4">
        <f t="shared" si="1"/>
        <v>2088516</v>
      </c>
      <c r="F251" s="4">
        <v>500689.0</v>
      </c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9">
        <v>45140.0</v>
      </c>
      <c r="B252" s="2" t="s">
        <v>208</v>
      </c>
      <c r="C252" s="3"/>
      <c r="D252" s="2" t="s">
        <v>21</v>
      </c>
      <c r="E252" s="4">
        <f t="shared" si="1"/>
        <v>2088475</v>
      </c>
      <c r="F252" s="4"/>
      <c r="G252" s="4">
        <v>-41.0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9">
        <v>45140.0</v>
      </c>
      <c r="B253" s="2" t="s">
        <v>209</v>
      </c>
      <c r="C253" s="3"/>
      <c r="D253" s="2" t="s">
        <v>21</v>
      </c>
      <c r="E253" s="4">
        <f t="shared" si="1"/>
        <v>2088467</v>
      </c>
      <c r="F253" s="4"/>
      <c r="G253" s="4">
        <v>-8.0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9">
        <v>45141.0</v>
      </c>
      <c r="B254" s="2" t="s">
        <v>210</v>
      </c>
      <c r="C254" s="2" t="s">
        <v>180</v>
      </c>
      <c r="D254" s="2" t="s">
        <v>25</v>
      </c>
      <c r="E254" s="4">
        <f t="shared" si="1"/>
        <v>3840832</v>
      </c>
      <c r="F254" s="4">
        <v>1752365.0</v>
      </c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9">
        <v>45142.0</v>
      </c>
      <c r="B255" s="2" t="s">
        <v>151</v>
      </c>
      <c r="C255" s="3"/>
      <c r="D255" s="2" t="s">
        <v>17</v>
      </c>
      <c r="E255" s="4">
        <f t="shared" si="1"/>
        <v>1163332</v>
      </c>
      <c r="F255" s="4"/>
      <c r="G255" s="4">
        <v>-2677500.0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9">
        <v>45145.0</v>
      </c>
      <c r="B256" s="2" t="s">
        <v>163</v>
      </c>
      <c r="C256" s="2" t="s">
        <v>120</v>
      </c>
      <c r="D256" s="2" t="s">
        <v>25</v>
      </c>
      <c r="E256" s="4">
        <f t="shared" si="1"/>
        <v>1816000</v>
      </c>
      <c r="F256" s="4">
        <v>652668.0</v>
      </c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9">
        <v>45145.0</v>
      </c>
      <c r="B257" s="2" t="s">
        <v>164</v>
      </c>
      <c r="C257" s="2" t="s">
        <v>165</v>
      </c>
      <c r="D257" s="2" t="s">
        <v>25</v>
      </c>
      <c r="E257" s="4">
        <f t="shared" si="1"/>
        <v>2336662</v>
      </c>
      <c r="F257" s="4">
        <v>520662.0</v>
      </c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9">
        <v>45145.0</v>
      </c>
      <c r="B258" s="2" t="s">
        <v>211</v>
      </c>
      <c r="C258" s="3"/>
      <c r="D258" s="2" t="s">
        <v>11</v>
      </c>
      <c r="E258" s="4">
        <f t="shared" si="1"/>
        <v>1436662</v>
      </c>
      <c r="F258" s="4"/>
      <c r="G258" s="4">
        <v>-900000.0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9">
        <v>45145.0</v>
      </c>
      <c r="B259" s="2" t="s">
        <v>112</v>
      </c>
      <c r="C259" s="3"/>
      <c r="D259" s="2" t="s">
        <v>11</v>
      </c>
      <c r="E259" s="4">
        <f t="shared" si="1"/>
        <v>1180865</v>
      </c>
      <c r="F259" s="4"/>
      <c r="G259" s="4">
        <v>-255797.0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9">
        <v>45145.0</v>
      </c>
      <c r="B260" s="2" t="s">
        <v>122</v>
      </c>
      <c r="C260" s="3"/>
      <c r="D260" s="2" t="s">
        <v>23</v>
      </c>
      <c r="E260" s="4">
        <f t="shared" si="1"/>
        <v>1171219</v>
      </c>
      <c r="F260" s="4"/>
      <c r="G260" s="4">
        <v>-9646.0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9">
        <v>45156.0</v>
      </c>
      <c r="B261" s="2" t="s">
        <v>212</v>
      </c>
      <c r="C261" s="3"/>
      <c r="D261" s="2" t="s">
        <v>15</v>
      </c>
      <c r="E261" s="4">
        <f t="shared" si="1"/>
        <v>1134169</v>
      </c>
      <c r="F261" s="4"/>
      <c r="G261" s="4">
        <v>-37050.0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9">
        <v>45156.0</v>
      </c>
      <c r="B262" s="2" t="s">
        <v>213</v>
      </c>
      <c r="C262" s="2" t="s">
        <v>214</v>
      </c>
      <c r="D262" s="2" t="s">
        <v>25</v>
      </c>
      <c r="E262" s="4">
        <f t="shared" si="1"/>
        <v>1384169</v>
      </c>
      <c r="F262" s="4">
        <v>250000.0</v>
      </c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9">
        <v>45159.0</v>
      </c>
      <c r="B263" s="2" t="s">
        <v>213</v>
      </c>
      <c r="C263" s="2" t="s">
        <v>214</v>
      </c>
      <c r="D263" s="2" t="s">
        <v>25</v>
      </c>
      <c r="E263" s="4">
        <f t="shared" si="1"/>
        <v>2134169</v>
      </c>
      <c r="F263" s="4">
        <v>750000.0</v>
      </c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9">
        <v>45159.0</v>
      </c>
      <c r="B264" s="2" t="s">
        <v>166</v>
      </c>
      <c r="C264" s="2" t="s">
        <v>167</v>
      </c>
      <c r="D264" s="2" t="s">
        <v>25</v>
      </c>
      <c r="E264" s="4">
        <f t="shared" si="1"/>
        <v>2655580</v>
      </c>
      <c r="F264" s="4">
        <v>521411.0</v>
      </c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9">
        <v>45159.0</v>
      </c>
      <c r="B265" s="2" t="s">
        <v>169</v>
      </c>
      <c r="C265" s="2" t="s">
        <v>170</v>
      </c>
      <c r="D265" s="2" t="s">
        <v>25</v>
      </c>
      <c r="E265" s="4">
        <f t="shared" si="1"/>
        <v>3166692</v>
      </c>
      <c r="F265" s="4">
        <v>511112.0</v>
      </c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9">
        <v>45159.0</v>
      </c>
      <c r="B266" s="2" t="s">
        <v>192</v>
      </c>
      <c r="C266" s="3"/>
      <c r="D266" s="2" t="s">
        <v>15</v>
      </c>
      <c r="E266" s="4">
        <f t="shared" si="1"/>
        <v>2996692</v>
      </c>
      <c r="F266" s="4"/>
      <c r="G266" s="4">
        <v>-170000.0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9">
        <v>45160.0</v>
      </c>
      <c r="B267" s="2" t="s">
        <v>133</v>
      </c>
      <c r="C267" s="3"/>
      <c r="D267" s="2" t="s">
        <v>21</v>
      </c>
      <c r="E267" s="4">
        <f t="shared" si="1"/>
        <v>2986292</v>
      </c>
      <c r="F267" s="4"/>
      <c r="G267" s="4">
        <v>-10400.0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9">
        <v>45166.0</v>
      </c>
      <c r="B268" s="2" t="s">
        <v>174</v>
      </c>
      <c r="C268" s="2" t="s">
        <v>175</v>
      </c>
      <c r="D268" s="2" t="s">
        <v>25</v>
      </c>
      <c r="E268" s="4">
        <f t="shared" si="1"/>
        <v>3695249</v>
      </c>
      <c r="F268" s="4">
        <v>708957.0</v>
      </c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9">
        <v>45167.0</v>
      </c>
      <c r="B269" s="2" t="s">
        <v>20</v>
      </c>
      <c r="C269" s="3"/>
      <c r="D269" s="2" t="s">
        <v>21</v>
      </c>
      <c r="E269" s="4">
        <f t="shared" si="1"/>
        <v>2392092</v>
      </c>
      <c r="F269" s="4"/>
      <c r="G269" s="4">
        <v>-1303157.0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9">
        <v>45169.0</v>
      </c>
      <c r="B270" s="2" t="s">
        <v>204</v>
      </c>
      <c r="C270" s="2" t="s">
        <v>154</v>
      </c>
      <c r="D270" s="2" t="s">
        <v>25</v>
      </c>
      <c r="E270" s="4">
        <f t="shared" si="1"/>
        <v>2914175</v>
      </c>
      <c r="F270" s="4">
        <v>522083.0</v>
      </c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9">
        <v>45170.0</v>
      </c>
      <c r="B271" s="2" t="s">
        <v>160</v>
      </c>
      <c r="C271" s="2" t="s">
        <v>159</v>
      </c>
      <c r="D271" s="2" t="s">
        <v>25</v>
      </c>
      <c r="E271" s="4">
        <f t="shared" si="1"/>
        <v>3592429</v>
      </c>
      <c r="F271" s="4">
        <v>678254.0</v>
      </c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9">
        <v>45173.0</v>
      </c>
      <c r="B272" s="2" t="s">
        <v>207</v>
      </c>
      <c r="C272" s="2" t="s">
        <v>157</v>
      </c>
      <c r="D272" s="2" t="s">
        <v>25</v>
      </c>
      <c r="E272" s="4">
        <f t="shared" si="1"/>
        <v>4094344</v>
      </c>
      <c r="F272" s="4">
        <v>501915.0</v>
      </c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9">
        <v>45174.0</v>
      </c>
      <c r="B273" s="2" t="s">
        <v>210</v>
      </c>
      <c r="C273" s="2" t="s">
        <v>180</v>
      </c>
      <c r="D273" s="2" t="s">
        <v>25</v>
      </c>
      <c r="E273" s="4">
        <f t="shared" si="1"/>
        <v>5851905</v>
      </c>
      <c r="F273" s="4">
        <v>1757561.0</v>
      </c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9">
        <v>45174.0</v>
      </c>
      <c r="B274" s="2" t="s">
        <v>215</v>
      </c>
      <c r="C274" s="3"/>
      <c r="D274" s="2" t="s">
        <v>21</v>
      </c>
      <c r="E274" s="4">
        <f t="shared" si="1"/>
        <v>4860185</v>
      </c>
      <c r="F274" s="4"/>
      <c r="G274" s="4">
        <v>-991720.0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9">
        <v>45175.0</v>
      </c>
      <c r="B275" s="2" t="s">
        <v>216</v>
      </c>
      <c r="C275" s="2" t="s">
        <v>217</v>
      </c>
      <c r="D275" s="2" t="s">
        <v>25</v>
      </c>
      <c r="E275" s="4">
        <f t="shared" si="1"/>
        <v>46071253</v>
      </c>
      <c r="F275" s="4">
        <v>4.1211068E7</v>
      </c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9">
        <v>45176.0</v>
      </c>
      <c r="B276" s="2" t="s">
        <v>218</v>
      </c>
      <c r="C276" s="2" t="s">
        <v>120</v>
      </c>
      <c r="D276" s="2" t="s">
        <v>25</v>
      </c>
      <c r="E276" s="4">
        <f t="shared" si="1"/>
        <v>46725621</v>
      </c>
      <c r="F276" s="4">
        <v>654368.0</v>
      </c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9">
        <v>45176.0</v>
      </c>
      <c r="B277" s="2" t="s">
        <v>219</v>
      </c>
      <c r="C277" s="3"/>
      <c r="D277" s="2" t="s">
        <v>21</v>
      </c>
      <c r="E277" s="4">
        <f t="shared" si="1"/>
        <v>46152063</v>
      </c>
      <c r="F277" s="4"/>
      <c r="G277" s="4">
        <v>-573558.0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9">
        <v>45176.0</v>
      </c>
      <c r="B278" s="2" t="s">
        <v>220</v>
      </c>
      <c r="C278" s="3"/>
      <c r="D278" s="2" t="s">
        <v>11</v>
      </c>
      <c r="E278" s="4">
        <f t="shared" si="1"/>
        <v>45002063</v>
      </c>
      <c r="F278" s="4"/>
      <c r="G278" s="4">
        <v>-1150000.0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9">
        <v>45176.0</v>
      </c>
      <c r="B279" s="2" t="s">
        <v>112</v>
      </c>
      <c r="C279" s="3"/>
      <c r="D279" s="2" t="s">
        <v>11</v>
      </c>
      <c r="E279" s="4">
        <f t="shared" si="1"/>
        <v>44672451</v>
      </c>
      <c r="F279" s="4"/>
      <c r="G279" s="4">
        <v>-329612.0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9">
        <v>45177.0</v>
      </c>
      <c r="B280" s="2" t="s">
        <v>164</v>
      </c>
      <c r="C280" s="2" t="s">
        <v>165</v>
      </c>
      <c r="D280" s="2" t="s">
        <v>25</v>
      </c>
      <c r="E280" s="4">
        <f t="shared" si="1"/>
        <v>45194991</v>
      </c>
      <c r="F280" s="4">
        <v>522540.0</v>
      </c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9">
        <v>45177.0</v>
      </c>
      <c r="B281" s="2" t="s">
        <v>221</v>
      </c>
      <c r="C281" s="3"/>
      <c r="D281" s="2" t="s">
        <v>13</v>
      </c>
      <c r="E281" s="4">
        <f t="shared" si="1"/>
        <v>3194991</v>
      </c>
      <c r="F281" s="4"/>
      <c r="G281" s="4">
        <v>-4.2E7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9">
        <v>45177.0</v>
      </c>
      <c r="B282" s="2" t="s">
        <v>122</v>
      </c>
      <c r="C282" s="3"/>
      <c r="D282" s="2" t="s">
        <v>21</v>
      </c>
      <c r="E282" s="4">
        <f t="shared" si="1"/>
        <v>3172673</v>
      </c>
      <c r="F282" s="4"/>
      <c r="G282" s="4">
        <v>-22318.0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9">
        <v>45177.0</v>
      </c>
      <c r="B283" s="2" t="s">
        <v>133</v>
      </c>
      <c r="C283" s="3"/>
      <c r="D283" s="2" t="s">
        <v>21</v>
      </c>
      <c r="E283" s="4">
        <f t="shared" si="1"/>
        <v>3168073</v>
      </c>
      <c r="F283" s="4"/>
      <c r="G283" s="4">
        <v>-4600.0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9">
        <v>45180.0</v>
      </c>
      <c r="B284" s="2" t="s">
        <v>222</v>
      </c>
      <c r="C284" s="3"/>
      <c r="D284" s="2" t="s">
        <v>21</v>
      </c>
      <c r="E284" s="4">
        <f t="shared" si="1"/>
        <v>3081973</v>
      </c>
      <c r="F284" s="4"/>
      <c r="G284" s="4">
        <v>-86100.0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9">
        <v>45180.0</v>
      </c>
      <c r="B285" s="2" t="s">
        <v>222</v>
      </c>
      <c r="C285" s="3"/>
      <c r="D285" s="2" t="s">
        <v>21</v>
      </c>
      <c r="E285" s="4">
        <f t="shared" si="1"/>
        <v>3042673</v>
      </c>
      <c r="F285" s="4"/>
      <c r="G285" s="4">
        <v>-39300.0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9">
        <v>45180.0</v>
      </c>
      <c r="B286" s="2" t="s">
        <v>56</v>
      </c>
      <c r="C286" s="3"/>
      <c r="D286" s="2" t="s">
        <v>21</v>
      </c>
      <c r="E286" s="4">
        <f t="shared" si="1"/>
        <v>3012973</v>
      </c>
      <c r="F286" s="4"/>
      <c r="G286" s="4">
        <v>-29700.0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9">
        <v>45181.0</v>
      </c>
      <c r="B287" s="2" t="s">
        <v>223</v>
      </c>
      <c r="C287" s="3"/>
      <c r="D287" s="2" t="s">
        <v>21</v>
      </c>
      <c r="E287" s="4">
        <f t="shared" si="1"/>
        <v>766848</v>
      </c>
      <c r="F287" s="4"/>
      <c r="G287" s="4">
        <v>-2246125.0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9">
        <v>45190.0</v>
      </c>
      <c r="B288" s="2" t="s">
        <v>166</v>
      </c>
      <c r="C288" s="2" t="s">
        <v>167</v>
      </c>
      <c r="D288" s="2" t="s">
        <v>25</v>
      </c>
      <c r="E288" s="4">
        <f t="shared" si="1"/>
        <v>1289745</v>
      </c>
      <c r="F288" s="4">
        <v>522897.0</v>
      </c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9">
        <v>45191.0</v>
      </c>
      <c r="B289" s="2" t="s">
        <v>174</v>
      </c>
      <c r="C289" s="2" t="s">
        <v>175</v>
      </c>
      <c r="D289" s="2" t="s">
        <v>25</v>
      </c>
      <c r="E289" s="4">
        <f t="shared" si="1"/>
        <v>2000115</v>
      </c>
      <c r="F289" s="4">
        <v>710370.0</v>
      </c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9">
        <v>45198.0</v>
      </c>
      <c r="B290" s="2" t="s">
        <v>204</v>
      </c>
      <c r="C290" s="2" t="s">
        <v>154</v>
      </c>
      <c r="D290" s="2" t="s">
        <v>25</v>
      </c>
      <c r="E290" s="4">
        <f t="shared" si="1"/>
        <v>2523142</v>
      </c>
      <c r="F290" s="4">
        <v>523027.0</v>
      </c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9">
        <v>45201.0</v>
      </c>
      <c r="B291" s="2" t="s">
        <v>160</v>
      </c>
      <c r="C291" s="2" t="s">
        <v>159</v>
      </c>
      <c r="D291" s="2" t="s">
        <v>25</v>
      </c>
      <c r="E291" s="4">
        <f t="shared" si="1"/>
        <v>3202593</v>
      </c>
      <c r="F291" s="4">
        <v>679451.0</v>
      </c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9">
        <v>45201.0</v>
      </c>
      <c r="B292" s="2" t="s">
        <v>207</v>
      </c>
      <c r="C292" s="2" t="s">
        <v>157</v>
      </c>
      <c r="D292" s="2" t="s">
        <v>25</v>
      </c>
      <c r="E292" s="4">
        <f t="shared" si="1"/>
        <v>3705377</v>
      </c>
      <c r="F292" s="4">
        <v>502784.0</v>
      </c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9">
        <v>45201.0</v>
      </c>
      <c r="B293" s="2" t="s">
        <v>224</v>
      </c>
      <c r="C293" s="3"/>
      <c r="D293" s="2" t="s">
        <v>21</v>
      </c>
      <c r="E293" s="4">
        <f t="shared" si="1"/>
        <v>3645377</v>
      </c>
      <c r="F293" s="4"/>
      <c r="G293" s="4">
        <v>-60000.0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9">
        <v>45201.0</v>
      </c>
      <c r="B294" s="2" t="s">
        <v>211</v>
      </c>
      <c r="C294" s="3"/>
      <c r="D294" s="2" t="s">
        <v>11</v>
      </c>
      <c r="E294" s="4">
        <f t="shared" si="1"/>
        <v>2520377</v>
      </c>
      <c r="F294" s="4"/>
      <c r="G294" s="4">
        <v>-1125000.0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9">
        <v>45201.0</v>
      </c>
      <c r="B295" s="2" t="s">
        <v>112</v>
      </c>
      <c r="C295" s="3"/>
      <c r="D295" s="2" t="s">
        <v>11</v>
      </c>
      <c r="E295" s="4">
        <f t="shared" si="1"/>
        <v>2198151</v>
      </c>
      <c r="F295" s="4"/>
      <c r="G295" s="4">
        <v>-322226.0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9">
        <v>45202.0</v>
      </c>
      <c r="B296" s="2" t="s">
        <v>169</v>
      </c>
      <c r="C296" s="2" t="s">
        <v>170</v>
      </c>
      <c r="D296" s="2" t="s">
        <v>25</v>
      </c>
      <c r="E296" s="4">
        <f t="shared" si="1"/>
        <v>2711105</v>
      </c>
      <c r="F296" s="4">
        <v>512954.0</v>
      </c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9">
        <v>45204.0</v>
      </c>
      <c r="B297" s="2" t="s">
        <v>164</v>
      </c>
      <c r="C297" s="2" t="s">
        <v>165</v>
      </c>
      <c r="D297" s="2" t="s">
        <v>25</v>
      </c>
      <c r="E297" s="4">
        <f t="shared" si="1"/>
        <v>3234308</v>
      </c>
      <c r="F297" s="4">
        <v>523203.0</v>
      </c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9">
        <v>45204.0</v>
      </c>
      <c r="B298" s="2" t="s">
        <v>225</v>
      </c>
      <c r="C298" s="3"/>
      <c r="D298" s="2" t="s">
        <v>21</v>
      </c>
      <c r="E298" s="4">
        <f t="shared" si="1"/>
        <v>2925354</v>
      </c>
      <c r="F298" s="4"/>
      <c r="G298" s="4">
        <v>-308954.0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9">
        <v>45204.0</v>
      </c>
      <c r="B299" s="2" t="s">
        <v>202</v>
      </c>
      <c r="C299" s="3"/>
      <c r="D299" s="2" t="s">
        <v>21</v>
      </c>
      <c r="E299" s="4">
        <f t="shared" si="1"/>
        <v>2745888</v>
      </c>
      <c r="F299" s="4"/>
      <c r="G299" s="4">
        <v>-179466.0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9">
        <v>45204.0</v>
      </c>
      <c r="B300" s="2" t="s">
        <v>56</v>
      </c>
      <c r="C300" s="3"/>
      <c r="D300" s="2" t="s">
        <v>21</v>
      </c>
      <c r="E300" s="4">
        <f t="shared" si="1"/>
        <v>2617388</v>
      </c>
      <c r="F300" s="4"/>
      <c r="G300" s="4">
        <v>-128500.0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9">
        <v>45204.0</v>
      </c>
      <c r="B301" s="2" t="s">
        <v>122</v>
      </c>
      <c r="C301" s="3"/>
      <c r="D301" s="2" t="s">
        <v>21</v>
      </c>
      <c r="E301" s="4">
        <f t="shared" si="1"/>
        <v>2491919</v>
      </c>
      <c r="F301" s="4"/>
      <c r="G301" s="4">
        <v>-125469.0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9">
        <v>45205.0</v>
      </c>
      <c r="B302" s="2" t="s">
        <v>210</v>
      </c>
      <c r="C302" s="2" t="s">
        <v>180</v>
      </c>
      <c r="D302" s="2" t="s">
        <v>25</v>
      </c>
      <c r="E302" s="4">
        <f t="shared" si="1"/>
        <v>4252136</v>
      </c>
      <c r="F302" s="4">
        <v>1760217.0</v>
      </c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9">
        <v>45205.0</v>
      </c>
      <c r="B303" s="2" t="s">
        <v>122</v>
      </c>
      <c r="C303" s="2"/>
      <c r="D303" s="2" t="s">
        <v>21</v>
      </c>
      <c r="E303" s="4">
        <f t="shared" si="1"/>
        <v>4182754</v>
      </c>
      <c r="F303" s="2"/>
      <c r="G303" s="4">
        <v>-69382.0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9">
        <v>45209.0</v>
      </c>
      <c r="B304" s="13" t="s">
        <v>163</v>
      </c>
      <c r="C304" s="2" t="s">
        <v>120</v>
      </c>
      <c r="D304" s="2" t="s">
        <v>25</v>
      </c>
      <c r="E304" s="4">
        <f t="shared" si="1"/>
        <v>4838028</v>
      </c>
      <c r="F304" s="4">
        <v>655274.0</v>
      </c>
      <c r="G304" s="1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9">
        <v>45215.0</v>
      </c>
      <c r="B305" s="14" t="s">
        <v>226</v>
      </c>
      <c r="C305" s="15"/>
      <c r="D305" s="2" t="s">
        <v>21</v>
      </c>
      <c r="E305" s="4">
        <f t="shared" si="1"/>
        <v>4728688</v>
      </c>
      <c r="F305" s="4"/>
      <c r="G305" s="12">
        <v>-109340.0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9">
        <v>45215.0</v>
      </c>
      <c r="B306" s="14" t="s">
        <v>227</v>
      </c>
      <c r="C306" s="15"/>
      <c r="D306" s="2" t="s">
        <v>21</v>
      </c>
      <c r="E306" s="4">
        <f t="shared" si="1"/>
        <v>4697688</v>
      </c>
      <c r="F306" s="4"/>
      <c r="G306" s="12">
        <v>-31000.0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9">
        <v>45215.0</v>
      </c>
      <c r="B307" s="14" t="s">
        <v>228</v>
      </c>
      <c r="C307" s="15"/>
      <c r="D307" s="2" t="s">
        <v>21</v>
      </c>
      <c r="E307" s="4">
        <f t="shared" si="1"/>
        <v>4687098</v>
      </c>
      <c r="F307" s="4"/>
      <c r="G307" s="12">
        <v>-10590.0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9">
        <v>45215.0</v>
      </c>
      <c r="B308" s="13" t="s">
        <v>12</v>
      </c>
      <c r="C308" s="2"/>
      <c r="D308" s="2" t="s">
        <v>13</v>
      </c>
      <c r="E308" s="4">
        <f t="shared" si="1"/>
        <v>46337098</v>
      </c>
      <c r="F308" s="4">
        <v>4.165E7</v>
      </c>
      <c r="G308" s="1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9">
        <v>45216.0</v>
      </c>
      <c r="B309" s="14" t="s">
        <v>229</v>
      </c>
      <c r="C309" s="15"/>
      <c r="D309" s="2" t="s">
        <v>21</v>
      </c>
      <c r="E309" s="4">
        <f t="shared" si="1"/>
        <v>46317098</v>
      </c>
      <c r="F309" s="4"/>
      <c r="G309" s="12">
        <v>-20000.0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9">
        <v>45216.0</v>
      </c>
      <c r="B310" s="14" t="s">
        <v>230</v>
      </c>
      <c r="C310" s="15"/>
      <c r="D310" s="2" t="s">
        <v>21</v>
      </c>
      <c r="E310" s="4">
        <f t="shared" si="1"/>
        <v>46305298</v>
      </c>
      <c r="F310" s="4"/>
      <c r="G310" s="12">
        <v>-11800.0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9">
        <v>45216.0</v>
      </c>
      <c r="B311" s="14" t="s">
        <v>231</v>
      </c>
      <c r="C311" s="15"/>
      <c r="D311" s="2" t="s">
        <v>232</v>
      </c>
      <c r="E311" s="4">
        <f t="shared" si="1"/>
        <v>4655298</v>
      </c>
      <c r="F311" s="4"/>
      <c r="G311" s="12">
        <v>-4.165E7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9">
        <v>45217.0</v>
      </c>
      <c r="B312" s="14" t="s">
        <v>233</v>
      </c>
      <c r="C312" s="15"/>
      <c r="D312" s="2" t="s">
        <v>21</v>
      </c>
      <c r="E312" s="4">
        <f t="shared" si="1"/>
        <v>4238298</v>
      </c>
      <c r="F312" s="16"/>
      <c r="G312" s="12">
        <v>-417000.0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9">
        <v>45217.0</v>
      </c>
      <c r="B313" s="13" t="s">
        <v>196</v>
      </c>
      <c r="C313" s="15"/>
      <c r="D313" s="2" t="s">
        <v>21</v>
      </c>
      <c r="E313" s="4">
        <f t="shared" si="1"/>
        <v>4156788</v>
      </c>
      <c r="F313" s="4"/>
      <c r="G313" s="12">
        <v>-81510.0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9">
        <v>45217.0</v>
      </c>
      <c r="B314" s="14" t="s">
        <v>234</v>
      </c>
      <c r="C314" s="15"/>
      <c r="D314" s="2" t="s">
        <v>21</v>
      </c>
      <c r="E314" s="4">
        <f t="shared" si="1"/>
        <v>4102558</v>
      </c>
      <c r="F314" s="16"/>
      <c r="G314" s="12">
        <v>-54230.0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9">
        <v>45217.0</v>
      </c>
      <c r="B315" s="13" t="s">
        <v>203</v>
      </c>
      <c r="C315" s="15"/>
      <c r="D315" s="2" t="s">
        <v>21</v>
      </c>
      <c r="E315" s="4">
        <f t="shared" si="1"/>
        <v>4091108</v>
      </c>
      <c r="F315" s="4"/>
      <c r="G315" s="12">
        <v>-11450.0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9">
        <v>45217.0</v>
      </c>
      <c r="B316" s="14" t="s">
        <v>235</v>
      </c>
      <c r="C316" s="15"/>
      <c r="D316" s="2" t="s">
        <v>17</v>
      </c>
      <c r="E316" s="4">
        <f t="shared" si="1"/>
        <v>2288368</v>
      </c>
      <c r="F316" s="16"/>
      <c r="G316" s="12">
        <v>-1802740.0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9">
        <v>45218.0</v>
      </c>
      <c r="B317" s="14" t="s">
        <v>236</v>
      </c>
      <c r="C317" s="15"/>
      <c r="D317" s="2" t="s">
        <v>21</v>
      </c>
      <c r="E317" s="4">
        <f t="shared" si="1"/>
        <v>2188488</v>
      </c>
      <c r="F317" s="16"/>
      <c r="G317" s="12">
        <v>-99880.0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9">
        <v>45218.0</v>
      </c>
      <c r="B318" s="13" t="s">
        <v>237</v>
      </c>
      <c r="C318" s="15"/>
      <c r="D318" s="2" t="s">
        <v>21</v>
      </c>
      <c r="E318" s="4">
        <f t="shared" si="1"/>
        <v>2130370</v>
      </c>
      <c r="F318" s="16"/>
      <c r="G318" s="12">
        <v>-58118.0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9">
        <v>45218.0</v>
      </c>
      <c r="B319" s="14" t="s">
        <v>144</v>
      </c>
      <c r="C319" s="15"/>
      <c r="D319" s="2" t="s">
        <v>21</v>
      </c>
      <c r="E319" s="4">
        <f t="shared" si="1"/>
        <v>2090370</v>
      </c>
      <c r="F319" s="16"/>
      <c r="G319" s="12">
        <v>-40000.0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9">
        <v>45218.0</v>
      </c>
      <c r="B320" s="14" t="s">
        <v>238</v>
      </c>
      <c r="C320" s="15"/>
      <c r="D320" s="2" t="s">
        <v>21</v>
      </c>
      <c r="E320" s="4">
        <f t="shared" si="1"/>
        <v>2063268</v>
      </c>
      <c r="F320" s="16"/>
      <c r="G320" s="12">
        <v>-27102.0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9">
        <v>45218.0</v>
      </c>
      <c r="B321" s="13" t="s">
        <v>239</v>
      </c>
      <c r="C321" s="15"/>
      <c r="D321" s="2" t="s">
        <v>21</v>
      </c>
      <c r="E321" s="4">
        <f t="shared" si="1"/>
        <v>2061418</v>
      </c>
      <c r="F321" s="16"/>
      <c r="G321" s="12">
        <v>-1850.0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9">
        <v>45218.0</v>
      </c>
      <c r="B322" s="14" t="s">
        <v>240</v>
      </c>
      <c r="C322" s="15"/>
      <c r="D322" s="2" t="s">
        <v>17</v>
      </c>
      <c r="E322" s="4">
        <f t="shared" si="1"/>
        <v>2032918</v>
      </c>
      <c r="F322" s="16"/>
      <c r="G322" s="12">
        <v>-28500.0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9">
        <v>45218.0</v>
      </c>
      <c r="B323" s="14" t="s">
        <v>241</v>
      </c>
      <c r="C323" s="15"/>
      <c r="D323" s="2" t="s">
        <v>17</v>
      </c>
      <c r="E323" s="4">
        <f t="shared" si="1"/>
        <v>1882918</v>
      </c>
      <c r="F323" s="16"/>
      <c r="G323" s="12">
        <v>-150000.0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9">
        <v>45222.0</v>
      </c>
      <c r="B324" s="2" t="s">
        <v>242</v>
      </c>
      <c r="C324" s="3"/>
      <c r="D324" s="2" t="s">
        <v>21</v>
      </c>
      <c r="E324" s="4">
        <f t="shared" si="1"/>
        <v>1573112</v>
      </c>
      <c r="F324" s="3"/>
      <c r="G324" s="2">
        <v>-309806.0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9">
        <v>45222.0</v>
      </c>
      <c r="B325" s="2" t="s">
        <v>202</v>
      </c>
      <c r="C325" s="3"/>
      <c r="D325" s="2" t="s">
        <v>21</v>
      </c>
      <c r="E325" s="4">
        <f t="shared" si="1"/>
        <v>1506199</v>
      </c>
      <c r="F325" s="3"/>
      <c r="G325" s="2">
        <v>-66913.0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9">
        <v>45223.0</v>
      </c>
      <c r="B326" s="2" t="s">
        <v>243</v>
      </c>
      <c r="C326" s="3"/>
      <c r="D326" s="2" t="s">
        <v>21</v>
      </c>
      <c r="E326" s="4">
        <f t="shared" si="1"/>
        <v>1389675</v>
      </c>
      <c r="F326" s="4"/>
      <c r="G326" s="12">
        <v>-116524.0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9">
        <v>45224.0</v>
      </c>
      <c r="B327" s="2" t="s">
        <v>244</v>
      </c>
      <c r="C327" s="3"/>
      <c r="D327" s="2" t="s">
        <v>21</v>
      </c>
      <c r="E327" s="4">
        <f t="shared" si="1"/>
        <v>1089675</v>
      </c>
      <c r="F327" s="4"/>
      <c r="G327" s="17">
        <v>-300000.0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9">
        <v>45224.0</v>
      </c>
      <c r="B328" s="2" t="s">
        <v>245</v>
      </c>
      <c r="C328" s="3"/>
      <c r="D328" s="2" t="s">
        <v>232</v>
      </c>
      <c r="E328" s="4">
        <f t="shared" si="1"/>
        <v>741175</v>
      </c>
      <c r="F328" s="4"/>
      <c r="G328" s="4">
        <v>-348500.0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9">
        <v>45229.0</v>
      </c>
      <c r="B329" s="2" t="s">
        <v>246</v>
      </c>
      <c r="C329" s="2" t="s">
        <v>175</v>
      </c>
      <c r="D329" s="2" t="s">
        <v>25</v>
      </c>
      <c r="E329" s="4">
        <f t="shared" si="1"/>
        <v>1455314</v>
      </c>
      <c r="F329" s="4">
        <v>714139.0</v>
      </c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9">
        <v>45230.0</v>
      </c>
      <c r="B330" s="2" t="s">
        <v>204</v>
      </c>
      <c r="C330" s="2" t="s">
        <v>154</v>
      </c>
      <c r="D330" s="2" t="s">
        <v>25</v>
      </c>
      <c r="E330" s="4">
        <f t="shared" si="1"/>
        <v>1981121</v>
      </c>
      <c r="F330" s="4">
        <v>525807.0</v>
      </c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9">
        <v>45232.0</v>
      </c>
      <c r="B331" s="2" t="s">
        <v>160</v>
      </c>
      <c r="C331" s="2" t="s">
        <v>159</v>
      </c>
      <c r="D331" s="2" t="s">
        <v>25</v>
      </c>
      <c r="E331" s="4">
        <f t="shared" si="1"/>
        <v>2664126</v>
      </c>
      <c r="F331" s="4">
        <v>683005.0</v>
      </c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9">
        <v>45232.0</v>
      </c>
      <c r="B332" s="2" t="s">
        <v>247</v>
      </c>
      <c r="C332" s="3"/>
      <c r="D332" s="2" t="s">
        <v>11</v>
      </c>
      <c r="E332" s="4">
        <f t="shared" si="1"/>
        <v>1389126</v>
      </c>
      <c r="F332" s="4"/>
      <c r="G332" s="4">
        <v>-1275000.0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9">
        <v>45232.0</v>
      </c>
      <c r="B333" s="2" t="s">
        <v>248</v>
      </c>
      <c r="C333" s="3"/>
      <c r="D333" s="2" t="s">
        <v>21</v>
      </c>
      <c r="E333" s="4">
        <f t="shared" si="1"/>
        <v>967225</v>
      </c>
      <c r="F333" s="4"/>
      <c r="G333" s="4">
        <v>-421901.0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9">
        <v>45232.0</v>
      </c>
      <c r="B334" s="2" t="s">
        <v>112</v>
      </c>
      <c r="C334" s="3"/>
      <c r="D334" s="2" t="s">
        <v>11</v>
      </c>
      <c r="E334" s="4">
        <f t="shared" si="1"/>
        <v>626378</v>
      </c>
      <c r="F334" s="4"/>
      <c r="G334" s="4">
        <v>-340847.0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9">
        <v>45232.0</v>
      </c>
      <c r="B335" s="2" t="s">
        <v>12</v>
      </c>
      <c r="C335" s="3"/>
      <c r="D335" s="2" t="s">
        <v>13</v>
      </c>
      <c r="E335" s="4">
        <f t="shared" si="1"/>
        <v>42276378</v>
      </c>
      <c r="F335" s="4">
        <v>4.165E7</v>
      </c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9">
        <v>45232.0</v>
      </c>
      <c r="B336" s="2" t="s">
        <v>249</v>
      </c>
      <c r="C336" s="3"/>
      <c r="D336" s="2" t="s">
        <v>232</v>
      </c>
      <c r="E336" s="4">
        <f t="shared" si="1"/>
        <v>626378</v>
      </c>
      <c r="F336" s="4"/>
      <c r="G336" s="4">
        <v>-4.165E7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9">
        <v>45232.0</v>
      </c>
      <c r="B337" s="2" t="s">
        <v>122</v>
      </c>
      <c r="C337" s="3"/>
      <c r="D337" s="2" t="s">
        <v>23</v>
      </c>
      <c r="E337" s="4">
        <f t="shared" si="1"/>
        <v>614138</v>
      </c>
      <c r="F337" s="4"/>
      <c r="G337" s="4">
        <v>-12240.0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9">
        <v>45236.0</v>
      </c>
      <c r="B338" s="2" t="s">
        <v>250</v>
      </c>
      <c r="C338" s="3"/>
      <c r="D338" s="2" t="s">
        <v>21</v>
      </c>
      <c r="E338" s="4">
        <f t="shared" si="1"/>
        <v>479998</v>
      </c>
      <c r="F338" s="4"/>
      <c r="G338" s="4">
        <v>-134140.0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9">
        <v>45236.0</v>
      </c>
      <c r="B339" s="2" t="s">
        <v>251</v>
      </c>
      <c r="C339" s="3"/>
      <c r="D339" s="2" t="s">
        <v>21</v>
      </c>
      <c r="E339" s="4">
        <f t="shared" si="1"/>
        <v>325955</v>
      </c>
      <c r="F339" s="4"/>
      <c r="G339" s="4">
        <v>-154043.0</v>
      </c>
      <c r="H339" s="2">
        <f>426/36200</f>
        <v>0.0117679558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9">
        <v>45236.0</v>
      </c>
      <c r="B340" s="2" t="s">
        <v>252</v>
      </c>
      <c r="C340" s="2" t="s">
        <v>157</v>
      </c>
      <c r="D340" s="2" t="s">
        <v>25</v>
      </c>
      <c r="E340" s="4">
        <f t="shared" si="1"/>
        <v>831727</v>
      </c>
      <c r="F340" s="4">
        <v>505772.0</v>
      </c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9">
        <v>45236.0</v>
      </c>
      <c r="B341" s="2" t="s">
        <v>169</v>
      </c>
      <c r="C341" s="2" t="s">
        <v>170</v>
      </c>
      <c r="D341" s="2" t="s">
        <v>25</v>
      </c>
      <c r="E341" s="4">
        <f t="shared" si="1"/>
        <v>1347743</v>
      </c>
      <c r="F341" s="4">
        <v>516016.0</v>
      </c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9">
        <v>45236.0</v>
      </c>
      <c r="B342" s="2" t="s">
        <v>169</v>
      </c>
      <c r="C342" s="2" t="s">
        <v>170</v>
      </c>
      <c r="D342" s="2" t="s">
        <v>25</v>
      </c>
      <c r="E342" s="4">
        <f t="shared" si="1"/>
        <v>1863829</v>
      </c>
      <c r="F342" s="4">
        <v>516086.0</v>
      </c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9">
        <v>45236.0</v>
      </c>
      <c r="B343" s="2" t="s">
        <v>210</v>
      </c>
      <c r="C343" s="2" t="s">
        <v>180</v>
      </c>
      <c r="D343" s="2" t="s">
        <v>25</v>
      </c>
      <c r="E343" s="4">
        <f t="shared" si="1"/>
        <v>3635008</v>
      </c>
      <c r="F343" s="4">
        <v>1771179.0</v>
      </c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9">
        <v>45237.0</v>
      </c>
      <c r="B344" s="2" t="s">
        <v>12</v>
      </c>
      <c r="C344" s="3"/>
      <c r="D344" s="2" t="s">
        <v>13</v>
      </c>
      <c r="E344" s="4">
        <f t="shared" si="1"/>
        <v>37785778</v>
      </c>
      <c r="F344" s="4">
        <v>3.415077E7</v>
      </c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9">
        <v>45237.0</v>
      </c>
      <c r="B345" s="2" t="s">
        <v>163</v>
      </c>
      <c r="C345" s="2" t="s">
        <v>120</v>
      </c>
      <c r="D345" s="2" t="s">
        <v>25</v>
      </c>
      <c r="E345" s="4">
        <f t="shared" si="1"/>
        <v>38445158</v>
      </c>
      <c r="F345" s="4">
        <v>659380.0</v>
      </c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9">
        <v>45238.0</v>
      </c>
      <c r="B346" s="2" t="s">
        <v>253</v>
      </c>
      <c r="C346" s="3"/>
      <c r="D346" s="2" t="s">
        <v>17</v>
      </c>
      <c r="E346" s="4">
        <f t="shared" si="1"/>
        <v>36445158</v>
      </c>
      <c r="F346" s="4"/>
      <c r="G346" s="4">
        <v>-2000000.0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9">
        <v>45238.0</v>
      </c>
      <c r="B347" s="2" t="s">
        <v>254</v>
      </c>
      <c r="C347" s="3"/>
      <c r="D347" s="2" t="s">
        <v>17</v>
      </c>
      <c r="E347" s="4">
        <f t="shared" si="1"/>
        <v>4294388</v>
      </c>
      <c r="F347" s="4"/>
      <c r="G347" s="4">
        <v>-3.215077E7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9">
        <v>45239.0</v>
      </c>
      <c r="B348" s="2" t="s">
        <v>255</v>
      </c>
      <c r="C348" s="3"/>
      <c r="D348" s="2" t="s">
        <v>92</v>
      </c>
      <c r="E348" s="4">
        <f t="shared" si="1"/>
        <v>1259268</v>
      </c>
      <c r="F348" s="4"/>
      <c r="G348" s="4">
        <v>-3035120.0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9">
        <v>45239.0</v>
      </c>
      <c r="B349" s="2" t="s">
        <v>12</v>
      </c>
      <c r="C349" s="3"/>
      <c r="D349" s="2" t="s">
        <v>13</v>
      </c>
      <c r="E349" s="4">
        <f t="shared" si="1"/>
        <v>4294388</v>
      </c>
      <c r="F349" s="4">
        <v>3035120.0</v>
      </c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9">
        <v>45240.0</v>
      </c>
      <c r="B350" s="2" t="s">
        <v>166</v>
      </c>
      <c r="C350" s="2" t="s">
        <v>167</v>
      </c>
      <c r="D350" s="2" t="s">
        <v>25</v>
      </c>
      <c r="E350" s="4">
        <f t="shared" si="1"/>
        <v>5348135</v>
      </c>
      <c r="F350" s="4">
        <v>1053747.0</v>
      </c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9">
        <v>45243.0</v>
      </c>
      <c r="B351" s="2" t="s">
        <v>12</v>
      </c>
      <c r="C351" s="3"/>
      <c r="D351" s="2" t="s">
        <v>13</v>
      </c>
      <c r="E351" s="4">
        <f t="shared" si="1"/>
        <v>46998135</v>
      </c>
      <c r="F351" s="4">
        <v>4.165E7</v>
      </c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9">
        <v>45243.0</v>
      </c>
      <c r="B352" s="2" t="s">
        <v>164</v>
      </c>
      <c r="C352" s="2" t="s">
        <v>165</v>
      </c>
      <c r="D352" s="2" t="s">
        <v>25</v>
      </c>
      <c r="E352" s="4">
        <f t="shared" si="1"/>
        <v>47517715</v>
      </c>
      <c r="F352" s="4">
        <v>519580.0</v>
      </c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9">
        <v>45243.0</v>
      </c>
      <c r="B353" s="2" t="s">
        <v>256</v>
      </c>
      <c r="C353" s="3"/>
      <c r="D353" s="2" t="s">
        <v>21</v>
      </c>
      <c r="E353" s="4">
        <f t="shared" si="1"/>
        <v>47486685</v>
      </c>
      <c r="F353" s="4"/>
      <c r="G353" s="4">
        <v>-31030.0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9">
        <v>45244.0</v>
      </c>
      <c r="B354" s="2" t="s">
        <v>257</v>
      </c>
      <c r="C354" s="3"/>
      <c r="D354" s="2" t="s">
        <v>21</v>
      </c>
      <c r="E354" s="4">
        <f t="shared" si="1"/>
        <v>47470795</v>
      </c>
      <c r="F354" s="4"/>
      <c r="G354" s="4">
        <v>-15890.0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9">
        <v>45244.0</v>
      </c>
      <c r="B355" s="2" t="s">
        <v>258</v>
      </c>
      <c r="C355" s="3"/>
      <c r="D355" s="2" t="s">
        <v>21</v>
      </c>
      <c r="E355" s="4">
        <f t="shared" si="1"/>
        <v>47465395</v>
      </c>
      <c r="F355" s="4"/>
      <c r="G355" s="4">
        <v>-5400.0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9">
        <v>45244.0</v>
      </c>
      <c r="B356" s="2" t="s">
        <v>258</v>
      </c>
      <c r="C356" s="3"/>
      <c r="D356" s="2" t="s">
        <v>21</v>
      </c>
      <c r="E356" s="4">
        <f t="shared" si="1"/>
        <v>47450795</v>
      </c>
      <c r="F356" s="4"/>
      <c r="G356" s="4">
        <v>-14600.0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9">
        <v>45244.0</v>
      </c>
      <c r="B357" s="2" t="s">
        <v>259</v>
      </c>
      <c r="C357" s="3"/>
      <c r="D357" s="2" t="s">
        <v>21</v>
      </c>
      <c r="E357" s="4">
        <f t="shared" si="1"/>
        <v>47387325</v>
      </c>
      <c r="F357" s="4"/>
      <c r="G357" s="4">
        <v>-63470.0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9">
        <v>45244.0</v>
      </c>
      <c r="B358" s="2" t="s">
        <v>260</v>
      </c>
      <c r="C358" s="3"/>
      <c r="D358" s="2" t="s">
        <v>232</v>
      </c>
      <c r="E358" s="4">
        <f t="shared" si="1"/>
        <v>5737325</v>
      </c>
      <c r="F358" s="4"/>
      <c r="G358" s="4">
        <v>-4.165E7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9">
        <v>45244.0</v>
      </c>
      <c r="B359" s="2" t="s">
        <v>203</v>
      </c>
      <c r="C359" s="3"/>
      <c r="D359" s="2" t="s">
        <v>21</v>
      </c>
      <c r="E359" s="4">
        <f t="shared" si="1"/>
        <v>5729775</v>
      </c>
      <c r="F359" s="4"/>
      <c r="G359" s="4">
        <v>-7550.0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9">
        <v>45245.0</v>
      </c>
      <c r="B360" s="2" t="s">
        <v>261</v>
      </c>
      <c r="C360" s="3"/>
      <c r="D360" s="2" t="s">
        <v>21</v>
      </c>
      <c r="E360" s="4">
        <f t="shared" si="1"/>
        <v>5716875</v>
      </c>
      <c r="F360" s="4"/>
      <c r="G360" s="4">
        <v>-12900.0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9">
        <v>45245.0</v>
      </c>
      <c r="B361" s="2" t="s">
        <v>196</v>
      </c>
      <c r="C361" s="3"/>
      <c r="D361" s="2" t="s">
        <v>21</v>
      </c>
      <c r="E361" s="4">
        <f t="shared" si="1"/>
        <v>5608635</v>
      </c>
      <c r="F361" s="4"/>
      <c r="G361" s="4">
        <v>-108240.0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9">
        <v>45245.0</v>
      </c>
      <c r="B362" s="2" t="s">
        <v>262</v>
      </c>
      <c r="C362" s="3"/>
      <c r="D362" s="2" t="s">
        <v>21</v>
      </c>
      <c r="E362" s="4">
        <f t="shared" si="1"/>
        <v>5329635</v>
      </c>
      <c r="F362" s="4"/>
      <c r="G362" s="4">
        <v>-279000.0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9">
        <v>45246.0</v>
      </c>
      <c r="B363" s="2" t="s">
        <v>263</v>
      </c>
      <c r="C363" s="3"/>
      <c r="D363" s="2" t="s">
        <v>21</v>
      </c>
      <c r="E363" s="4">
        <f t="shared" si="1"/>
        <v>5289595</v>
      </c>
      <c r="F363" s="4"/>
      <c r="G363" s="4">
        <v>-40040.0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9">
        <v>45246.0</v>
      </c>
      <c r="B364" s="2" t="s">
        <v>239</v>
      </c>
      <c r="C364" s="3"/>
      <c r="D364" s="2" t="s">
        <v>21</v>
      </c>
      <c r="E364" s="4">
        <f t="shared" si="1"/>
        <v>5287745</v>
      </c>
      <c r="F364" s="4"/>
      <c r="G364" s="4">
        <v>-1850.0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9">
        <v>45246.0</v>
      </c>
      <c r="B365" s="2" t="s">
        <v>264</v>
      </c>
      <c r="C365" s="3"/>
      <c r="D365" s="2" t="s">
        <v>21</v>
      </c>
      <c r="E365" s="4">
        <f t="shared" si="1"/>
        <v>5234738</v>
      </c>
      <c r="F365" s="4"/>
      <c r="G365" s="4">
        <v>-53007.0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9">
        <v>45246.0</v>
      </c>
      <c r="B366" s="2" t="s">
        <v>265</v>
      </c>
      <c r="C366" s="3"/>
      <c r="D366" s="2" t="s">
        <v>21</v>
      </c>
      <c r="E366" s="4">
        <f t="shared" si="1"/>
        <v>5225738</v>
      </c>
      <c r="F366" s="4"/>
      <c r="G366" s="4">
        <v>-9000.0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9">
        <v>45246.0</v>
      </c>
      <c r="B367" s="2" t="s">
        <v>266</v>
      </c>
      <c r="C367" s="3"/>
      <c r="D367" s="2" t="s">
        <v>21</v>
      </c>
      <c r="E367" s="4">
        <f t="shared" si="1"/>
        <v>5199570</v>
      </c>
      <c r="F367" s="4"/>
      <c r="G367" s="4">
        <v>-26168.0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9">
        <v>45250.0</v>
      </c>
      <c r="B368" s="2" t="s">
        <v>267</v>
      </c>
      <c r="C368" s="3"/>
      <c r="D368" s="2" t="s">
        <v>21</v>
      </c>
      <c r="E368" s="4">
        <f t="shared" si="1"/>
        <v>4988700</v>
      </c>
      <c r="F368" s="4"/>
      <c r="G368" s="4">
        <v>-210870.0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9">
        <v>45250.0</v>
      </c>
      <c r="B369" s="2" t="s">
        <v>268</v>
      </c>
      <c r="C369" s="3"/>
      <c r="D369" s="2" t="s">
        <v>21</v>
      </c>
      <c r="E369" s="4">
        <f t="shared" si="1"/>
        <v>4733529</v>
      </c>
      <c r="F369" s="4"/>
      <c r="G369" s="4">
        <v>-255171.0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9">
        <v>45251.0</v>
      </c>
      <c r="B370" s="2" t="s">
        <v>269</v>
      </c>
      <c r="C370" s="3"/>
      <c r="D370" s="2" t="s">
        <v>232</v>
      </c>
      <c r="E370" s="4">
        <f t="shared" si="1"/>
        <v>3715365</v>
      </c>
      <c r="F370" s="4"/>
      <c r="G370" s="4">
        <v>-1018164.0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9">
        <v>45253.0</v>
      </c>
      <c r="B371" s="2" t="s">
        <v>174</v>
      </c>
      <c r="C371" s="2" t="s">
        <v>175</v>
      </c>
      <c r="D371" s="2" t="s">
        <v>25</v>
      </c>
      <c r="E371" s="4">
        <f t="shared" si="1"/>
        <v>4432449</v>
      </c>
      <c r="F371" s="4">
        <v>717084.0</v>
      </c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9">
        <v>45254.0</v>
      </c>
      <c r="B372" s="2" t="s">
        <v>270</v>
      </c>
      <c r="C372" s="3"/>
      <c r="D372" s="2" t="s">
        <v>21</v>
      </c>
      <c r="E372" s="4">
        <f t="shared" si="1"/>
        <v>4422449</v>
      </c>
      <c r="F372" s="4"/>
      <c r="G372" s="4">
        <v>-10000.0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9">
        <v>45257.0</v>
      </c>
      <c r="B373" s="2" t="s">
        <v>271</v>
      </c>
      <c r="C373" s="3"/>
      <c r="D373" s="2" t="s">
        <v>21</v>
      </c>
      <c r="E373" s="4">
        <f t="shared" si="1"/>
        <v>4391449</v>
      </c>
      <c r="F373" s="4"/>
      <c r="G373" s="4">
        <v>-31000.0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9">
        <v>45257.0</v>
      </c>
      <c r="B374" s="2" t="s">
        <v>203</v>
      </c>
      <c r="C374" s="3"/>
      <c r="D374" s="2" t="s">
        <v>21</v>
      </c>
      <c r="E374" s="4">
        <f t="shared" si="1"/>
        <v>4385399</v>
      </c>
      <c r="F374" s="4"/>
      <c r="G374" s="4">
        <v>-6050.0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9">
        <v>45258.0</v>
      </c>
      <c r="B375" s="2" t="s">
        <v>196</v>
      </c>
      <c r="C375" s="3"/>
      <c r="D375" s="2" t="s">
        <v>21</v>
      </c>
      <c r="E375" s="4">
        <f t="shared" si="1"/>
        <v>4287389</v>
      </c>
      <c r="F375" s="4"/>
      <c r="G375" s="4">
        <v>-98010.0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9">
        <v>45258.0</v>
      </c>
      <c r="B376" s="2" t="s">
        <v>12</v>
      </c>
      <c r="C376" s="3"/>
      <c r="D376" s="2" t="s">
        <v>13</v>
      </c>
      <c r="E376" s="4">
        <f t="shared" si="1"/>
        <v>15403853</v>
      </c>
      <c r="F376" s="4">
        <v>1.1116464E7</v>
      </c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9">
        <v>45258.0</v>
      </c>
      <c r="B377" s="2" t="s">
        <v>272</v>
      </c>
      <c r="C377" s="3"/>
      <c r="D377" s="2" t="s">
        <v>17</v>
      </c>
      <c r="E377" s="4">
        <f t="shared" si="1"/>
        <v>4287389</v>
      </c>
      <c r="F377" s="4"/>
      <c r="G377" s="4">
        <v>-1.1116464E7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9">
        <v>45258.0</v>
      </c>
      <c r="B378" s="2" t="s">
        <v>203</v>
      </c>
      <c r="C378" s="3"/>
      <c r="D378" s="2" t="s">
        <v>21</v>
      </c>
      <c r="E378" s="4">
        <f t="shared" si="1"/>
        <v>4280689</v>
      </c>
      <c r="F378" s="4"/>
      <c r="G378" s="4">
        <v>-6700.0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9">
        <v>45259.0</v>
      </c>
      <c r="B379" s="2" t="s">
        <v>273</v>
      </c>
      <c r="C379" s="3"/>
      <c r="D379" s="2" t="s">
        <v>21</v>
      </c>
      <c r="E379" s="4">
        <f t="shared" si="1"/>
        <v>4273689</v>
      </c>
      <c r="F379" s="4"/>
      <c r="G379" s="4">
        <v>-7000.0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9">
        <v>45259.0</v>
      </c>
      <c r="B380" s="2" t="s">
        <v>196</v>
      </c>
      <c r="C380" s="3"/>
      <c r="D380" s="2" t="s">
        <v>21</v>
      </c>
      <c r="E380" s="4">
        <f t="shared" si="1"/>
        <v>4195149</v>
      </c>
      <c r="F380" s="4"/>
      <c r="G380" s="4">
        <v>-78540.0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9">
        <v>45259.0</v>
      </c>
      <c r="B381" s="2" t="s">
        <v>262</v>
      </c>
      <c r="C381" s="3"/>
      <c r="D381" s="2" t="s">
        <v>21</v>
      </c>
      <c r="E381" s="4">
        <f t="shared" si="1"/>
        <v>4007749</v>
      </c>
      <c r="F381" s="4"/>
      <c r="G381" s="4">
        <v>-187400.0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9">
        <v>45259.0</v>
      </c>
      <c r="B382" s="2" t="s">
        <v>203</v>
      </c>
      <c r="C382" s="3"/>
      <c r="D382" s="2" t="s">
        <v>17</v>
      </c>
      <c r="E382" s="4">
        <f t="shared" si="1"/>
        <v>4001849</v>
      </c>
      <c r="F382" s="4"/>
      <c r="G382" s="4">
        <v>-5900.0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9">
        <v>45260.0</v>
      </c>
      <c r="B383" s="2" t="s">
        <v>274</v>
      </c>
      <c r="C383" s="3"/>
      <c r="D383" s="2" t="s">
        <v>21</v>
      </c>
      <c r="E383" s="4">
        <f t="shared" si="1"/>
        <v>3996049</v>
      </c>
      <c r="F383" s="4"/>
      <c r="G383" s="4">
        <v>-5800.0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9">
        <v>45260.0</v>
      </c>
      <c r="B384" s="2" t="s">
        <v>204</v>
      </c>
      <c r="C384" s="2" t="s">
        <v>154</v>
      </c>
      <c r="D384" s="2" t="s">
        <v>17</v>
      </c>
      <c r="E384" s="4">
        <f t="shared" si="1"/>
        <v>4524384</v>
      </c>
      <c r="F384" s="4">
        <v>528335.0</v>
      </c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9">
        <v>45260.0</v>
      </c>
      <c r="B385" s="2" t="s">
        <v>275</v>
      </c>
      <c r="C385" s="3"/>
      <c r="D385" s="2" t="s">
        <v>21</v>
      </c>
      <c r="E385" s="4">
        <f t="shared" si="1"/>
        <v>4499092</v>
      </c>
      <c r="F385" s="4"/>
      <c r="G385" s="4">
        <v>-25292.0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9">
        <v>45261.0</v>
      </c>
      <c r="B386" s="2" t="s">
        <v>276</v>
      </c>
      <c r="C386" s="2" t="s">
        <v>157</v>
      </c>
      <c r="D386" s="2" t="s">
        <v>25</v>
      </c>
      <c r="E386" s="4">
        <f t="shared" si="1"/>
        <v>4799092</v>
      </c>
      <c r="F386" s="4">
        <v>300000.0</v>
      </c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9">
        <v>45264.0</v>
      </c>
      <c r="B387" s="2" t="s">
        <v>137</v>
      </c>
      <c r="C387" s="3"/>
      <c r="D387" s="2" t="s">
        <v>11</v>
      </c>
      <c r="E387" s="4">
        <f t="shared" si="1"/>
        <v>3599092</v>
      </c>
      <c r="F387" s="4"/>
      <c r="G387" s="4">
        <v>-1200000.0</v>
      </c>
      <c r="H387" s="2" t="s">
        <v>277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9">
        <v>45264.0</v>
      </c>
      <c r="B388" s="2" t="s">
        <v>137</v>
      </c>
      <c r="C388" s="3"/>
      <c r="D388" s="2" t="s">
        <v>21</v>
      </c>
      <c r="E388" s="4">
        <f t="shared" si="1"/>
        <v>3282998</v>
      </c>
      <c r="F388" s="4"/>
      <c r="G388" s="4">
        <v>-316094.0</v>
      </c>
      <c r="H388" s="2" t="s">
        <v>278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9">
        <v>45264.0</v>
      </c>
      <c r="B389" s="2" t="s">
        <v>112</v>
      </c>
      <c r="C389" s="3"/>
      <c r="D389" s="2" t="s">
        <v>11</v>
      </c>
      <c r="E389" s="4">
        <f t="shared" si="1"/>
        <v>2944863</v>
      </c>
      <c r="F389" s="4"/>
      <c r="G389" s="4">
        <v>-338135.0</v>
      </c>
      <c r="H389" s="2" t="s">
        <v>279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9">
        <v>45264.0</v>
      </c>
      <c r="B390" s="2" t="s">
        <v>160</v>
      </c>
      <c r="C390" s="2" t="s">
        <v>159</v>
      </c>
      <c r="D390" s="2" t="s">
        <v>25</v>
      </c>
      <c r="E390" s="4">
        <f t="shared" si="1"/>
        <v>3631259</v>
      </c>
      <c r="F390" s="4">
        <v>686396.0</v>
      </c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9">
        <v>45264.0</v>
      </c>
      <c r="B391" s="2" t="s">
        <v>280</v>
      </c>
      <c r="C391" s="2" t="s">
        <v>157</v>
      </c>
      <c r="D391" s="2" t="s">
        <v>25</v>
      </c>
      <c r="E391" s="4">
        <f t="shared" si="1"/>
        <v>3839199</v>
      </c>
      <c r="F391" s="4">
        <v>207940.0</v>
      </c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9">
        <v>45265.0</v>
      </c>
      <c r="B392" s="2" t="s">
        <v>166</v>
      </c>
      <c r="C392" s="2" t="s">
        <v>167</v>
      </c>
      <c r="D392" s="2" t="s">
        <v>25</v>
      </c>
      <c r="E392" s="4">
        <f t="shared" si="1"/>
        <v>4367828</v>
      </c>
      <c r="F392" s="4">
        <v>528629.0</v>
      </c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9">
        <v>45265.0</v>
      </c>
      <c r="B393" s="2" t="s">
        <v>122</v>
      </c>
      <c r="C393" s="3"/>
      <c r="D393" s="2" t="s">
        <v>23</v>
      </c>
      <c r="E393" s="4">
        <f t="shared" si="1"/>
        <v>4134958</v>
      </c>
      <c r="F393" s="4"/>
      <c r="G393" s="4">
        <v>-232870.0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9">
        <v>45266.0</v>
      </c>
      <c r="B394" s="2" t="s">
        <v>210</v>
      </c>
      <c r="C394" s="2" t="s">
        <v>180</v>
      </c>
      <c r="D394" s="2" t="s">
        <v>25</v>
      </c>
      <c r="E394" s="4">
        <f t="shared" si="1"/>
        <v>5913877</v>
      </c>
      <c r="F394" s="4">
        <v>1778919.0</v>
      </c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9">
        <v>45266.0</v>
      </c>
      <c r="B395" s="2" t="s">
        <v>281</v>
      </c>
      <c r="C395" s="3"/>
      <c r="D395" s="2" t="s">
        <v>13</v>
      </c>
      <c r="E395" s="4">
        <f t="shared" si="1"/>
        <v>25504924</v>
      </c>
      <c r="F395" s="4">
        <v>1.9591047E7</v>
      </c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9">
        <v>45267.0</v>
      </c>
      <c r="B396" s="2" t="s">
        <v>282</v>
      </c>
      <c r="C396" s="3"/>
      <c r="D396" s="2" t="s">
        <v>17</v>
      </c>
      <c r="E396" s="4">
        <f t="shared" si="1"/>
        <v>5913877</v>
      </c>
      <c r="F396" s="4"/>
      <c r="G396" s="4">
        <v>-1.9591047E7</v>
      </c>
      <c r="H396" s="13" t="s">
        <v>283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9">
        <v>45267.0</v>
      </c>
      <c r="B397" s="2" t="s">
        <v>163</v>
      </c>
      <c r="C397" s="3"/>
      <c r="D397" s="2" t="s">
        <v>25</v>
      </c>
      <c r="E397" s="4">
        <f t="shared" si="1"/>
        <v>6576119</v>
      </c>
      <c r="F397" s="4">
        <v>662242.0</v>
      </c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9">
        <v>45271.0</v>
      </c>
      <c r="B398" s="2" t="s">
        <v>12</v>
      </c>
      <c r="C398" s="3"/>
      <c r="D398" s="2" t="s">
        <v>13</v>
      </c>
      <c r="E398" s="4">
        <f t="shared" si="1"/>
        <v>48761619</v>
      </c>
      <c r="F398" s="4">
        <v>4.21855E7</v>
      </c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9">
        <v>45271.0</v>
      </c>
      <c r="B399" s="2" t="s">
        <v>122</v>
      </c>
      <c r="C399" s="3"/>
      <c r="D399" s="2" t="s">
        <v>23</v>
      </c>
      <c r="E399" s="4">
        <f t="shared" si="1"/>
        <v>48739063</v>
      </c>
      <c r="F399" s="4"/>
      <c r="G399" s="4">
        <v>-22556.0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9">
        <v>45272.0</v>
      </c>
      <c r="B400" s="2" t="s">
        <v>284</v>
      </c>
      <c r="C400" s="3"/>
      <c r="D400" s="2" t="s">
        <v>232</v>
      </c>
      <c r="E400" s="4">
        <f t="shared" si="1"/>
        <v>6553563</v>
      </c>
      <c r="F400" s="4"/>
      <c r="G400" s="4">
        <v>-4.21855E7</v>
      </c>
      <c r="H400" s="13" t="s">
        <v>285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9">
        <v>45273.0</v>
      </c>
      <c r="B401" s="2" t="s">
        <v>133</v>
      </c>
      <c r="C401" s="3"/>
      <c r="D401" s="2" t="s">
        <v>23</v>
      </c>
      <c r="E401" s="4">
        <f t="shared" si="1"/>
        <v>6548963</v>
      </c>
      <c r="F401" s="4"/>
      <c r="G401" s="4">
        <v>-4600.0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9">
        <v>45273.0</v>
      </c>
      <c r="B402" s="2" t="s">
        <v>164</v>
      </c>
      <c r="C402" s="3"/>
      <c r="D402" s="2" t="s">
        <v>25</v>
      </c>
      <c r="E402" s="4">
        <f t="shared" si="1"/>
        <v>7072143</v>
      </c>
      <c r="F402" s="4">
        <v>523180.0</v>
      </c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9">
        <v>45274.0</v>
      </c>
      <c r="B403" s="2" t="s">
        <v>286</v>
      </c>
      <c r="C403" s="3"/>
      <c r="D403" s="2" t="s">
        <v>21</v>
      </c>
      <c r="E403" s="4">
        <f t="shared" si="1"/>
        <v>7068932</v>
      </c>
      <c r="F403" s="4"/>
      <c r="G403" s="4">
        <v>-3211.0</v>
      </c>
      <c r="H403" s="13" t="s">
        <v>287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9">
        <v>45275.0</v>
      </c>
      <c r="B404" s="2" t="s">
        <v>178</v>
      </c>
      <c r="C404" s="3"/>
      <c r="D404" s="2" t="s">
        <v>15</v>
      </c>
      <c r="E404" s="4">
        <f t="shared" si="1"/>
        <v>7049532</v>
      </c>
      <c r="F404" s="4"/>
      <c r="G404" s="4">
        <v>-19400.0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9">
        <v>45278.0</v>
      </c>
      <c r="B405" s="2" t="s">
        <v>288</v>
      </c>
      <c r="C405" s="3"/>
      <c r="D405" s="2" t="s">
        <v>21</v>
      </c>
      <c r="E405" s="4">
        <f t="shared" si="1"/>
        <v>6752032</v>
      </c>
      <c r="F405" s="4"/>
      <c r="G405" s="4">
        <v>-297500.0</v>
      </c>
      <c r="H405" s="13" t="s">
        <v>289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9">
        <v>45286.0</v>
      </c>
      <c r="B406" s="2" t="s">
        <v>290</v>
      </c>
      <c r="C406" s="3"/>
      <c r="D406" s="2" t="s">
        <v>21</v>
      </c>
      <c r="E406" s="4">
        <f t="shared" si="1"/>
        <v>4499362</v>
      </c>
      <c r="F406" s="4"/>
      <c r="G406" s="4">
        <v>-2252670.0</v>
      </c>
      <c r="H406" s="14" t="s">
        <v>291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9">
        <v>45286.0</v>
      </c>
      <c r="B407" s="2" t="s">
        <v>174</v>
      </c>
      <c r="C407" s="3"/>
      <c r="D407" s="2" t="s">
        <v>25</v>
      </c>
      <c r="E407" s="4">
        <f t="shared" si="1"/>
        <v>5220725</v>
      </c>
      <c r="F407" s="4">
        <v>721363.0</v>
      </c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9">
        <v>45286.0</v>
      </c>
      <c r="B408" s="2" t="s">
        <v>137</v>
      </c>
      <c r="C408" s="3"/>
      <c r="D408" s="2" t="s">
        <v>11</v>
      </c>
      <c r="E408" s="4">
        <f t="shared" si="1"/>
        <v>5120725</v>
      </c>
      <c r="F408" s="4"/>
      <c r="G408" s="4">
        <v>-100000.0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9">
        <v>45288.0</v>
      </c>
      <c r="B409" s="2" t="s">
        <v>292</v>
      </c>
      <c r="C409" s="3"/>
      <c r="D409" s="2" t="s">
        <v>25</v>
      </c>
      <c r="E409" s="4">
        <f t="shared" si="1"/>
        <v>5651973</v>
      </c>
      <c r="F409" s="4">
        <v>531248.0</v>
      </c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3"/>
      <c r="C410" s="3"/>
      <c r="D410" s="2"/>
      <c r="E410" s="4">
        <f t="shared" si="1"/>
        <v>5651973</v>
      </c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3"/>
      <c r="C411" s="3"/>
      <c r="D411" s="2"/>
      <c r="E411" s="4">
        <f t="shared" si="1"/>
        <v>5651973</v>
      </c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3"/>
      <c r="C412" s="3"/>
      <c r="D412" s="3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3"/>
      <c r="C413" s="3"/>
      <c r="D413" s="3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3"/>
      <c r="C414" s="3"/>
      <c r="D414" s="3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3"/>
      <c r="C415" s="3"/>
      <c r="D415" s="3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3"/>
      <c r="C416" s="3"/>
      <c r="D416" s="3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3"/>
      <c r="C417" s="3"/>
      <c r="D417" s="3"/>
      <c r="E417" s="3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3"/>
      <c r="C418" s="3"/>
      <c r="D418" s="3"/>
      <c r="E418" s="3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3"/>
      <c r="C419" s="3"/>
      <c r="D419" s="3"/>
      <c r="E419" s="3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3"/>
      <c r="C420" s="3"/>
      <c r="D420" s="3"/>
      <c r="E420" s="3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3"/>
      <c r="C421" s="3"/>
      <c r="D421" s="3"/>
      <c r="E421" s="3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3"/>
      <c r="C422" s="3"/>
      <c r="D422" s="3"/>
      <c r="E422" s="3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3"/>
      <c r="C423" s="3"/>
      <c r="D423" s="3"/>
      <c r="E423" s="3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3"/>
      <c r="C424" s="3"/>
      <c r="D424" s="3"/>
      <c r="E424" s="3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3"/>
      <c r="C425" s="3"/>
      <c r="D425" s="3"/>
      <c r="E425" s="3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3"/>
      <c r="C426" s="3"/>
      <c r="D426" s="3"/>
      <c r="E426" s="3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3"/>
      <c r="C427" s="3"/>
      <c r="D427" s="3"/>
      <c r="E427" s="3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3"/>
      <c r="C428" s="3"/>
      <c r="D428" s="3"/>
      <c r="E428" s="3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3"/>
      <c r="C429" s="3"/>
      <c r="D429" s="3"/>
      <c r="E429" s="3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3"/>
      <c r="C430" s="3"/>
      <c r="D430" s="3"/>
      <c r="E430" s="3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3"/>
      <c r="C431" s="3"/>
      <c r="D431" s="3"/>
      <c r="E431" s="3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3"/>
      <c r="C432" s="3"/>
      <c r="D432" s="3"/>
      <c r="E432" s="3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3"/>
      <c r="C433" s="3"/>
      <c r="D433" s="3"/>
      <c r="E433" s="3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3"/>
      <c r="C434" s="3"/>
      <c r="D434" s="3"/>
      <c r="E434" s="3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3"/>
      <c r="C435" s="3"/>
      <c r="D435" s="3"/>
      <c r="E435" s="3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3"/>
      <c r="C436" s="3"/>
      <c r="D436" s="3"/>
      <c r="E436" s="3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3"/>
      <c r="C437" s="3"/>
      <c r="D437" s="3"/>
      <c r="E437" s="3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3"/>
      <c r="C438" s="3"/>
      <c r="D438" s="3"/>
      <c r="E438" s="3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3"/>
      <c r="C439" s="3"/>
      <c r="D439" s="3"/>
      <c r="E439" s="3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3"/>
      <c r="C440" s="3"/>
      <c r="D440" s="3"/>
      <c r="E440" s="3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3"/>
      <c r="C441" s="3"/>
      <c r="D441" s="3"/>
      <c r="E441" s="3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3"/>
      <c r="C442" s="3"/>
      <c r="D442" s="3"/>
      <c r="E442" s="3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3"/>
      <c r="C443" s="3"/>
      <c r="D443" s="3"/>
      <c r="E443" s="3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3"/>
      <c r="C444" s="3"/>
      <c r="D444" s="3"/>
      <c r="E444" s="3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3"/>
      <c r="C445" s="3"/>
      <c r="D445" s="3"/>
      <c r="E445" s="3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3"/>
      <c r="C446" s="3"/>
      <c r="D446" s="3"/>
      <c r="E446" s="3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3"/>
      <c r="C447" s="3"/>
      <c r="D447" s="3"/>
      <c r="E447" s="3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3"/>
      <c r="C448" s="3"/>
      <c r="D448" s="3"/>
      <c r="E448" s="3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3"/>
      <c r="C449" s="3"/>
      <c r="D449" s="3"/>
      <c r="E449" s="3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3"/>
      <c r="C450" s="3"/>
      <c r="D450" s="3"/>
      <c r="E450" s="3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3"/>
      <c r="C451" s="3"/>
      <c r="D451" s="3"/>
      <c r="E451" s="3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3"/>
      <c r="C452" s="3"/>
      <c r="D452" s="3"/>
      <c r="E452" s="3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3"/>
      <c r="C453" s="3"/>
      <c r="D453" s="3"/>
      <c r="E453" s="3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3"/>
      <c r="C454" s="3"/>
      <c r="D454" s="3"/>
      <c r="E454" s="3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3"/>
      <c r="C455" s="3"/>
      <c r="D455" s="3"/>
      <c r="E455" s="3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3"/>
      <c r="C456" s="3"/>
      <c r="D456" s="3"/>
      <c r="E456" s="3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3"/>
      <c r="C457" s="3"/>
      <c r="D457" s="3"/>
      <c r="E457" s="3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3"/>
      <c r="C458" s="3"/>
      <c r="D458" s="3"/>
      <c r="E458" s="3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3"/>
      <c r="C459" s="3"/>
      <c r="D459" s="3"/>
      <c r="E459" s="3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3"/>
      <c r="C460" s="3"/>
      <c r="D460" s="3"/>
      <c r="E460" s="3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3"/>
      <c r="C461" s="3"/>
      <c r="D461" s="3"/>
      <c r="E461" s="3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3"/>
      <c r="C462" s="3"/>
      <c r="D462" s="3"/>
      <c r="E462" s="3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3"/>
      <c r="C463" s="3"/>
      <c r="D463" s="3"/>
      <c r="E463" s="3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3"/>
      <c r="C464" s="3"/>
      <c r="D464" s="3"/>
      <c r="E464" s="3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3"/>
      <c r="C465" s="3"/>
      <c r="D465" s="3"/>
      <c r="E465" s="3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3"/>
      <c r="C466" s="3"/>
      <c r="D466" s="3"/>
      <c r="E466" s="3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3"/>
      <c r="C467" s="3"/>
      <c r="D467" s="3"/>
      <c r="E467" s="3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3"/>
      <c r="C468" s="3"/>
      <c r="D468" s="3"/>
      <c r="E468" s="3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3"/>
      <c r="C469" s="3"/>
      <c r="D469" s="3"/>
      <c r="E469" s="3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3"/>
      <c r="C470" s="3"/>
      <c r="D470" s="3"/>
      <c r="E470" s="3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3"/>
      <c r="C471" s="3"/>
      <c r="D471" s="3"/>
      <c r="E471" s="3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3"/>
      <c r="C472" s="3"/>
      <c r="D472" s="3"/>
      <c r="E472" s="3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3"/>
      <c r="C473" s="3"/>
      <c r="D473" s="3"/>
      <c r="E473" s="3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3"/>
      <c r="C474" s="3"/>
      <c r="D474" s="3"/>
      <c r="E474" s="3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3"/>
      <c r="C475" s="3"/>
      <c r="D475" s="3"/>
      <c r="E475" s="3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3"/>
      <c r="C476" s="3"/>
      <c r="D476" s="3"/>
      <c r="E476" s="3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3"/>
      <c r="C477" s="3"/>
      <c r="D477" s="3"/>
      <c r="E477" s="3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3"/>
      <c r="C478" s="3"/>
      <c r="D478" s="3"/>
      <c r="E478" s="3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3"/>
      <c r="C479" s="3"/>
      <c r="D479" s="3"/>
      <c r="E479" s="3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3"/>
      <c r="C480" s="3"/>
      <c r="D480" s="3"/>
      <c r="E480" s="3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3"/>
      <c r="C481" s="3"/>
      <c r="D481" s="3"/>
      <c r="E481" s="3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3"/>
      <c r="C482" s="3"/>
      <c r="D482" s="3"/>
      <c r="E482" s="3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3"/>
      <c r="C483" s="3"/>
      <c r="D483" s="3"/>
      <c r="E483" s="3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3"/>
      <c r="C484" s="3"/>
      <c r="D484" s="3"/>
      <c r="E484" s="3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3"/>
      <c r="C485" s="3"/>
      <c r="D485" s="3"/>
      <c r="E485" s="3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3"/>
      <c r="C486" s="3"/>
      <c r="D486" s="3"/>
      <c r="E486" s="3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3"/>
      <c r="C487" s="3"/>
      <c r="D487" s="3"/>
      <c r="E487" s="3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3"/>
      <c r="C488" s="3"/>
      <c r="D488" s="3"/>
      <c r="E488" s="3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3"/>
      <c r="C489" s="3"/>
      <c r="D489" s="3"/>
      <c r="E489" s="3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3"/>
      <c r="C490" s="3"/>
      <c r="D490" s="3"/>
      <c r="E490" s="3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3"/>
      <c r="C491" s="3"/>
      <c r="D491" s="3"/>
      <c r="E491" s="3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3"/>
      <c r="C492" s="3"/>
      <c r="D492" s="3"/>
      <c r="E492" s="3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3"/>
      <c r="C493" s="3"/>
      <c r="D493" s="3"/>
      <c r="E493" s="3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3"/>
      <c r="C494" s="3"/>
      <c r="D494" s="3"/>
      <c r="E494" s="3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3"/>
      <c r="C495" s="3"/>
      <c r="D495" s="3"/>
      <c r="E495" s="3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3"/>
      <c r="C496" s="3"/>
      <c r="D496" s="3"/>
      <c r="E496" s="3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3"/>
      <c r="C497" s="3"/>
      <c r="D497" s="3"/>
      <c r="E497" s="3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3"/>
      <c r="C498" s="3"/>
      <c r="D498" s="3"/>
      <c r="E498" s="3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3"/>
      <c r="C499" s="3"/>
      <c r="D499" s="3"/>
      <c r="E499" s="3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3"/>
      <c r="C500" s="3"/>
      <c r="D500" s="3"/>
      <c r="E500" s="3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3"/>
      <c r="C501" s="3"/>
      <c r="D501" s="3"/>
      <c r="E501" s="3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3"/>
      <c r="C502" s="3"/>
      <c r="D502" s="3"/>
      <c r="E502" s="3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3"/>
      <c r="C503" s="3"/>
      <c r="D503" s="3"/>
      <c r="E503" s="3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3"/>
      <c r="C504" s="3"/>
      <c r="D504" s="3"/>
      <c r="E504" s="3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3"/>
      <c r="C505" s="3"/>
      <c r="D505" s="3"/>
      <c r="E505" s="3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3"/>
      <c r="C506" s="3"/>
      <c r="D506" s="3"/>
      <c r="E506" s="3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3"/>
      <c r="C507" s="3"/>
      <c r="D507" s="3"/>
      <c r="E507" s="3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3"/>
      <c r="C508" s="3"/>
      <c r="D508" s="3"/>
      <c r="E508" s="3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3"/>
      <c r="C509" s="3"/>
      <c r="D509" s="3"/>
      <c r="E509" s="3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3"/>
      <c r="C510" s="3"/>
      <c r="D510" s="3"/>
      <c r="E510" s="3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3"/>
      <c r="C511" s="3"/>
      <c r="D511" s="3"/>
      <c r="E511" s="3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3"/>
      <c r="C512" s="3"/>
      <c r="D512" s="3"/>
      <c r="E512" s="3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3"/>
      <c r="C513" s="3"/>
      <c r="D513" s="3"/>
      <c r="E513" s="3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3"/>
      <c r="C514" s="3"/>
      <c r="D514" s="3"/>
      <c r="E514" s="3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3"/>
      <c r="C515" s="3"/>
      <c r="D515" s="3"/>
      <c r="E515" s="3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3"/>
      <c r="C516" s="3"/>
      <c r="D516" s="3"/>
      <c r="E516" s="3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3"/>
      <c r="C517" s="3"/>
      <c r="D517" s="3"/>
      <c r="E517" s="3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3"/>
      <c r="C518" s="3"/>
      <c r="D518" s="3"/>
      <c r="E518" s="3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3"/>
      <c r="C519" s="3"/>
      <c r="D519" s="3"/>
      <c r="E519" s="3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3"/>
      <c r="C520" s="3"/>
      <c r="D520" s="3"/>
      <c r="E520" s="3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3"/>
      <c r="C521" s="3"/>
      <c r="D521" s="3"/>
      <c r="E521" s="3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3"/>
      <c r="C522" s="3"/>
      <c r="D522" s="3"/>
      <c r="E522" s="3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3"/>
      <c r="C523" s="3"/>
      <c r="D523" s="3"/>
      <c r="E523" s="3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3"/>
      <c r="C524" s="3"/>
      <c r="D524" s="3"/>
      <c r="E524" s="3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3"/>
      <c r="C525" s="3"/>
      <c r="D525" s="3"/>
      <c r="E525" s="3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3"/>
      <c r="C526" s="3"/>
      <c r="D526" s="3"/>
      <c r="E526" s="3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3"/>
      <c r="C527" s="3"/>
      <c r="D527" s="3"/>
      <c r="E527" s="3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3"/>
      <c r="C528" s="3"/>
      <c r="D528" s="3"/>
      <c r="E528" s="3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3"/>
      <c r="C529" s="3"/>
      <c r="D529" s="3"/>
      <c r="E529" s="3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3"/>
      <c r="C530" s="3"/>
      <c r="D530" s="3"/>
      <c r="E530" s="3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3"/>
      <c r="C531" s="3"/>
      <c r="D531" s="3"/>
      <c r="E531" s="3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3"/>
      <c r="C532" s="3"/>
      <c r="D532" s="3"/>
      <c r="E532" s="3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3"/>
      <c r="C533" s="3"/>
      <c r="D533" s="3"/>
      <c r="E533" s="3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3"/>
      <c r="C534" s="3"/>
      <c r="D534" s="3"/>
      <c r="E534" s="3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3"/>
      <c r="C535" s="3"/>
      <c r="D535" s="3"/>
      <c r="E535" s="3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3"/>
      <c r="C536" s="3"/>
      <c r="D536" s="3"/>
      <c r="E536" s="3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3"/>
      <c r="C537" s="3"/>
      <c r="D537" s="3"/>
      <c r="E537" s="3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3"/>
      <c r="C538" s="3"/>
      <c r="D538" s="3"/>
      <c r="E538" s="3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3"/>
      <c r="C539" s="3"/>
      <c r="D539" s="3"/>
      <c r="E539" s="3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3"/>
      <c r="C540" s="3"/>
      <c r="D540" s="3"/>
      <c r="E540" s="3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3"/>
      <c r="C541" s="3"/>
      <c r="D541" s="3"/>
      <c r="E541" s="3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3"/>
      <c r="C542" s="3"/>
      <c r="D542" s="3"/>
      <c r="E542" s="3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3"/>
      <c r="C543" s="3"/>
      <c r="D543" s="3"/>
      <c r="E543" s="3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3"/>
      <c r="C544" s="3"/>
      <c r="D544" s="3"/>
      <c r="E544" s="3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3"/>
      <c r="C545" s="3"/>
      <c r="D545" s="3"/>
      <c r="E545" s="3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3"/>
      <c r="C546" s="3"/>
      <c r="D546" s="3"/>
      <c r="E546" s="3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3"/>
      <c r="C547" s="3"/>
      <c r="D547" s="3"/>
      <c r="E547" s="3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3"/>
      <c r="C548" s="3"/>
      <c r="D548" s="3"/>
      <c r="E548" s="3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3"/>
      <c r="C549" s="3"/>
      <c r="D549" s="3"/>
      <c r="E549" s="3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3"/>
      <c r="C550" s="3"/>
      <c r="D550" s="3"/>
      <c r="E550" s="3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3"/>
      <c r="C551" s="3"/>
      <c r="D551" s="3"/>
      <c r="E551" s="3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3"/>
      <c r="C552" s="3"/>
      <c r="D552" s="3"/>
      <c r="E552" s="3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3"/>
      <c r="C553" s="3"/>
      <c r="D553" s="3"/>
      <c r="E553" s="3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3"/>
      <c r="C554" s="3"/>
      <c r="D554" s="3"/>
      <c r="E554" s="3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3"/>
      <c r="C555" s="3"/>
      <c r="D555" s="3"/>
      <c r="E555" s="3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3"/>
      <c r="C556" s="3"/>
      <c r="D556" s="3"/>
      <c r="E556" s="3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3"/>
      <c r="C557" s="3"/>
      <c r="D557" s="3"/>
      <c r="E557" s="3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3"/>
      <c r="C558" s="3"/>
      <c r="D558" s="3"/>
      <c r="E558" s="3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3"/>
      <c r="C559" s="3"/>
      <c r="D559" s="3"/>
      <c r="E559" s="3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3"/>
      <c r="C560" s="3"/>
      <c r="D560" s="3"/>
      <c r="E560" s="3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3"/>
      <c r="C561" s="3"/>
      <c r="D561" s="3"/>
      <c r="E561" s="3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3"/>
      <c r="C562" s="3"/>
      <c r="D562" s="3"/>
      <c r="E562" s="3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3"/>
      <c r="C563" s="3"/>
      <c r="D563" s="3"/>
      <c r="E563" s="3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3"/>
      <c r="C564" s="3"/>
      <c r="D564" s="3"/>
      <c r="E564" s="3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3"/>
      <c r="C565" s="3"/>
      <c r="D565" s="3"/>
      <c r="E565" s="3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3"/>
      <c r="C566" s="3"/>
      <c r="D566" s="3"/>
      <c r="E566" s="3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3"/>
      <c r="C567" s="3"/>
      <c r="D567" s="3"/>
      <c r="E567" s="3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3"/>
      <c r="C568" s="3"/>
      <c r="D568" s="3"/>
      <c r="E568" s="3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3"/>
      <c r="C569" s="3"/>
      <c r="D569" s="3"/>
      <c r="E569" s="3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3"/>
      <c r="C570" s="3"/>
      <c r="D570" s="3"/>
      <c r="E570" s="3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3"/>
      <c r="C571" s="3"/>
      <c r="D571" s="3"/>
      <c r="E571" s="3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3"/>
      <c r="C572" s="3"/>
      <c r="D572" s="3"/>
      <c r="E572" s="3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3"/>
      <c r="C573" s="3"/>
      <c r="D573" s="3"/>
      <c r="E573" s="3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3"/>
      <c r="C574" s="3"/>
      <c r="D574" s="3"/>
      <c r="E574" s="3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3"/>
      <c r="C575" s="3"/>
      <c r="D575" s="3"/>
      <c r="E575" s="3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3"/>
      <c r="C576" s="3"/>
      <c r="D576" s="3"/>
      <c r="E576" s="3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3"/>
      <c r="C577" s="3"/>
      <c r="D577" s="3"/>
      <c r="E577" s="3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3"/>
      <c r="C578" s="3"/>
      <c r="D578" s="3"/>
      <c r="E578" s="3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3"/>
      <c r="C579" s="3"/>
      <c r="D579" s="3"/>
      <c r="E579" s="3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3"/>
      <c r="C580" s="3"/>
      <c r="D580" s="3"/>
      <c r="E580" s="3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3"/>
      <c r="C581" s="3"/>
      <c r="D581" s="3"/>
      <c r="E581" s="3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3"/>
      <c r="C582" s="3"/>
      <c r="D582" s="3"/>
      <c r="E582" s="3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3"/>
      <c r="C583" s="3"/>
      <c r="D583" s="3"/>
      <c r="E583" s="3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3"/>
      <c r="C584" s="3"/>
      <c r="D584" s="3"/>
      <c r="E584" s="3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3"/>
      <c r="C585" s="3"/>
      <c r="D585" s="3"/>
      <c r="E585" s="3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3"/>
      <c r="C586" s="3"/>
      <c r="D586" s="3"/>
      <c r="E586" s="3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3"/>
      <c r="C587" s="3"/>
      <c r="D587" s="3"/>
      <c r="E587" s="3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3"/>
      <c r="C588" s="3"/>
      <c r="D588" s="3"/>
      <c r="E588" s="3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3"/>
      <c r="C589" s="3"/>
      <c r="D589" s="3"/>
      <c r="E589" s="3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3"/>
      <c r="C590" s="3"/>
      <c r="D590" s="3"/>
      <c r="E590" s="3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3"/>
      <c r="C591" s="3"/>
      <c r="D591" s="3"/>
      <c r="E591" s="3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3"/>
      <c r="C592" s="3"/>
      <c r="D592" s="3"/>
      <c r="E592" s="3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3"/>
      <c r="C593" s="3"/>
      <c r="D593" s="3"/>
      <c r="E593" s="3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3"/>
      <c r="C594" s="3"/>
      <c r="D594" s="3"/>
      <c r="E594" s="3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3"/>
      <c r="C595" s="3"/>
      <c r="D595" s="3"/>
      <c r="E595" s="3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3"/>
      <c r="C596" s="3"/>
      <c r="D596" s="3"/>
      <c r="E596" s="3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3"/>
      <c r="C597" s="3"/>
      <c r="D597" s="3"/>
      <c r="E597" s="3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3"/>
      <c r="C598" s="3"/>
      <c r="D598" s="3"/>
      <c r="E598" s="3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3"/>
      <c r="C599" s="3"/>
      <c r="D599" s="3"/>
      <c r="E599" s="3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3"/>
      <c r="C600" s="3"/>
      <c r="D600" s="3"/>
      <c r="E600" s="3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3"/>
      <c r="C601" s="3"/>
      <c r="D601" s="3"/>
      <c r="E601" s="3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3"/>
      <c r="C602" s="3"/>
      <c r="D602" s="3"/>
      <c r="E602" s="3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3"/>
      <c r="C603" s="3"/>
      <c r="D603" s="3"/>
      <c r="E603" s="3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3"/>
      <c r="C604" s="3"/>
      <c r="D604" s="3"/>
      <c r="E604" s="3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3"/>
      <c r="C605" s="3"/>
      <c r="D605" s="3"/>
      <c r="E605" s="3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3"/>
      <c r="C606" s="3"/>
      <c r="D606" s="3"/>
      <c r="E606" s="3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3"/>
      <c r="C607" s="3"/>
      <c r="D607" s="3"/>
      <c r="E607" s="3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3"/>
      <c r="C608" s="3"/>
      <c r="D608" s="3"/>
      <c r="E608" s="3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3"/>
      <c r="C609" s="3"/>
      <c r="D609" s="3"/>
      <c r="E609" s="3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3"/>
      <c r="C610" s="3"/>
      <c r="D610" s="3"/>
      <c r="E610" s="3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3"/>
      <c r="C611" s="3"/>
      <c r="D611" s="3"/>
      <c r="E611" s="3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D3:D411">
      <formula1>Categorias!$A$1:$A$120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6" width="12.63"/>
  </cols>
  <sheetData>
    <row r="1" ht="15.75" customHeight="1">
      <c r="A1" s="18" t="s">
        <v>17</v>
      </c>
    </row>
    <row r="2" ht="15.75" customHeight="1">
      <c r="A2" s="18" t="s">
        <v>232</v>
      </c>
    </row>
    <row r="3" ht="15.75" customHeight="1">
      <c r="A3" s="18" t="s">
        <v>92</v>
      </c>
    </row>
    <row r="4" ht="15.75" customHeight="1">
      <c r="A4" s="18" t="s">
        <v>15</v>
      </c>
    </row>
    <row r="5" ht="15.75" customHeight="1">
      <c r="A5" s="18" t="s">
        <v>43</v>
      </c>
    </row>
    <row r="6" ht="15.75" customHeight="1">
      <c r="A6" s="18" t="s">
        <v>11</v>
      </c>
    </row>
    <row r="7" ht="15.75" customHeight="1">
      <c r="A7" s="18" t="s">
        <v>23</v>
      </c>
    </row>
    <row r="8" ht="15.75" customHeight="1">
      <c r="A8" s="18" t="s">
        <v>293</v>
      </c>
    </row>
    <row r="9" ht="15.75" customHeight="1">
      <c r="A9" s="18" t="s">
        <v>21</v>
      </c>
    </row>
    <row r="10" ht="15.75" customHeight="1">
      <c r="A10" s="18" t="s">
        <v>79</v>
      </c>
    </row>
    <row r="11" ht="15.75" customHeight="1">
      <c r="A11" s="18" t="s">
        <v>13</v>
      </c>
    </row>
    <row r="12" ht="15.75" customHeight="1">
      <c r="A12" s="18" t="s">
        <v>294</v>
      </c>
    </row>
    <row r="13" ht="15.75" customHeight="1">
      <c r="A13" s="18" t="s">
        <v>295</v>
      </c>
    </row>
    <row r="14" ht="15.75" customHeight="1">
      <c r="A14" s="18" t="s">
        <v>25</v>
      </c>
    </row>
    <row r="15" ht="15.75" customHeight="1">
      <c r="A15" s="18" t="s">
        <v>148</v>
      </c>
    </row>
    <row r="16" ht="15.75" customHeight="1">
      <c r="A16" s="18" t="s">
        <v>200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
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G:\My Drive\Ecox\Inmobiliario\Ranco\Contable\2023\"/>
    </mc:Choice>
  </mc:AlternateContent>
  <xr:revisionPtr revIDLastSave="0" documentId="13_ncr:1_{EEDC5394-17E8-48DB-A339-82D2CA461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lle cuentas por cobr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D40" i="1"/>
  <c r="D37" i="1"/>
  <c r="D38" i="1"/>
  <c r="D39" i="1"/>
  <c r="D36" i="1"/>
  <c r="B40" i="1"/>
</calcChain>
</file>

<file path=xl/sharedStrings.xml><?xml version="1.0" encoding="utf-8"?>
<sst xmlns="http://schemas.openxmlformats.org/spreadsheetml/2006/main" count="24" uniqueCount="18">
  <si>
    <t>UF</t>
  </si>
  <si>
    <t>UF al 22/10  $30275.5</t>
  </si>
  <si>
    <t>PAN DE AZÚCAR</t>
  </si>
  <si>
    <t>EL VOLCÁN</t>
  </si>
  <si>
    <t>AYSEN</t>
  </si>
  <si>
    <t>I. Origen cuentas por pagar: Adquisicion de terreno para lotear</t>
  </si>
  <si>
    <t xml:space="preserve">ECOX </t>
  </si>
  <si>
    <t>Total</t>
  </si>
  <si>
    <t>II. Valores actuales</t>
  </si>
  <si>
    <t>Estas cuentas por cobrar estan en UF, por lo que hay que ajustar</t>
  </si>
  <si>
    <t>Como referencia:</t>
  </si>
  <si>
    <t>TOTAL</t>
  </si>
  <si>
    <t>Diferencia</t>
  </si>
  <si>
    <t xml:space="preserve">III. Ventas de terrenos a acreedores: Se vendieron terrenos a los acreedores para eliminar sus cuentas por pagar. Las diferencias deben quedar contabilizadas. </t>
  </si>
  <si>
    <t>Cuenta por cobrar</t>
  </si>
  <si>
    <t>Cuenta por pagar</t>
  </si>
  <si>
    <t>Venta  terrenos (Precio de compra 24/11/2022)</t>
  </si>
  <si>
    <t>Acreedor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</si>
</sst>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 &quot;$&quot;* #,##0_ ;_ &quot;$&quot;* \-#,##0_ ;_ &quot;$&quot;* &quot;-&quot;_ ;_ @_ "/>
    <numFmt numFmtId="169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4" fillId="0" borderId="1" xfId="3" applyNumberFormat="1" applyFont="1" applyBorder="1"/>
    <xf numFmtId="165" fontId="0" fillId="0" borderId="1" xfId="2" applyNumberFormat="1" applyFont="1" applyBorder="1"/>
    <xf numFmtId="166" fontId="0" fillId="0" borderId="1" xfId="0" applyNumberFormat="1" applyBorder="1"/>
    <xf numFmtId="0" fontId="0" fillId="0" borderId="2" xfId="0" applyBorder="1" applyAlignment="1">
      <alignment horizontal="left"/>
    </xf>
    <xf numFmtId="164" fontId="4" fillId="0" borderId="2" xfId="3" applyNumberFormat="1" applyFont="1" applyBorder="1"/>
    <xf numFmtId="165" fontId="0" fillId="0" borderId="2" xfId="2" applyNumberFormat="1" applyFont="1" applyBorder="1"/>
    <xf numFmtId="166" fontId="0" fillId="0" borderId="2" xfId="0" applyNumberFormat="1" applyBorder="1"/>
    <xf numFmtId="0" fontId="0" fillId="0" borderId="3" xfId="0" applyBorder="1"/>
    <xf numFmtId="9" fontId="0" fillId="0" borderId="3" xfId="0" applyNumberFormat="1" applyBorder="1"/>
    <xf numFmtId="165" fontId="0" fillId="0" borderId="3" xfId="2" applyNumberFormat="1" applyFont="1" applyBorder="1"/>
    <xf numFmtId="166" fontId="0" fillId="0" borderId="3" xfId="0" applyNumberFormat="1" applyBorder="1"/>
    <xf numFmtId="0" fontId="3" fillId="0" borderId="0" xfId="0" applyFont="1"/>
    <xf numFmtId="169" fontId="0" fillId="0" borderId="1" xfId="1" applyNumberFormat="1" applyFont="1" applyBorder="1"/>
    <xf numFmtId="43" fontId="0" fillId="0" borderId="1" xfId="1" applyFont="1" applyBorder="1"/>
    <xf numFmtId="0" fontId="0" fillId="0" borderId="3" xfId="0" applyFill="1" applyBorder="1" applyAlignment="1">
      <alignment horizontal="left"/>
    </xf>
    <xf numFmtId="165" fontId="0" fillId="0" borderId="3" xfId="0" applyNumberFormat="1" applyBorder="1"/>
    <xf numFmtId="169" fontId="0" fillId="0" borderId="2" xfId="1" applyNumberFormat="1" applyFont="1" applyBorder="1"/>
    <xf numFmtId="43" fontId="0" fillId="0" borderId="2" xfId="1" applyFont="1" applyBorder="1"/>
    <xf numFmtId="0" fontId="2" fillId="2" borderId="0" xfId="4" applyAlignment="1">
      <alignment horizontal="center"/>
    </xf>
    <xf numFmtId="0" fontId="0" fillId="0" borderId="0" xfId="0" applyAlignment="1">
      <alignment horizontal="center" wrapText="1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150307</xdr:rowOff>
    </xdr:from>
    <xdr:to>
      <xdr:col>5</xdr:col>
      <xdr:colOff>533400</xdr:colOff>
      <xdr:row>29</xdr:row>
      <xdr:rowOff>67273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C1FF88-B962-D87C-7620-855F0B197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4457"/>
          <a:ext cx="6153150" cy="2774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B4" sqref="B4"/>
    </sheetView>
  </sheetViews>
  <sheetFormatPr defaultRowHeight="15" x14ac:dyDescent="0.25"/>
  <cols>
    <col min="1" max="1" width="23.28515625" customWidth="1"/>
    <col min="2" max="2" width="12.85546875" customWidth="1"/>
    <col min="3" max="3" width="15.140625" customWidth="1"/>
    <col min="4" max="4" width="23.85546875" customWidth="1"/>
  </cols>
  <sheetData>
    <row r="1" spans="1:4" x14ac:dyDescent="0.25">
      <c r="A1" s="14" t="s">
        <v>5</v>
      </c>
    </row>
    <row r="3" spans="1:4" x14ac:dyDescent="0.25">
      <c r="A3" s="1" t="s">
        <v>17</v>
      </c>
      <c r="B3" s="1"/>
      <c r="C3" s="1" t="s">
        <v>0</v>
      </c>
      <c r="D3" s="1" t="s">
        <v>1</v>
      </c>
    </row>
    <row r="4" spans="1:4" ht="15.75" x14ac:dyDescent="0.25">
      <c r="A4" s="2" t="s">
        <v>2</v>
      </c>
      <c r="B4" s="3">
        <v>0.13500000000000001</v>
      </c>
      <c r="C4" s="4">
        <v>3334.5</v>
      </c>
      <c r="D4" s="5">
        <v>100953654.75</v>
      </c>
    </row>
    <row r="5" spans="1:4" ht="15.75" x14ac:dyDescent="0.25">
      <c r="A5" s="2" t="s">
        <v>3</v>
      </c>
      <c r="B5" s="3">
        <v>0.13500000000000001</v>
      </c>
      <c r="C5" s="4">
        <v>3334.5</v>
      </c>
      <c r="D5" s="5">
        <v>100953654.75</v>
      </c>
    </row>
    <row r="6" spans="1:4" ht="15.75" x14ac:dyDescent="0.25">
      <c r="A6" s="2" t="s">
        <v>6</v>
      </c>
      <c r="B6" s="3">
        <v>0.33600000000000002</v>
      </c>
      <c r="C6" s="4">
        <v>8299.2000000000007</v>
      </c>
      <c r="D6" s="5">
        <v>251262429.60000002</v>
      </c>
    </row>
    <row r="7" spans="1:4" ht="16.5" thickBot="1" x14ac:dyDescent="0.3">
      <c r="A7" s="6" t="s">
        <v>4</v>
      </c>
      <c r="B7" s="7">
        <v>0.39400000000000002</v>
      </c>
      <c r="C7" s="8">
        <v>9731.8000000000011</v>
      </c>
      <c r="D7" s="9">
        <v>294635110.90000004</v>
      </c>
    </row>
    <row r="8" spans="1:4" ht="15.75" thickTop="1" x14ac:dyDescent="0.25">
      <c r="A8" s="10" t="s">
        <v>7</v>
      </c>
      <c r="B8" s="11">
        <v>1</v>
      </c>
      <c r="C8" s="12">
        <v>24700</v>
      </c>
      <c r="D8" s="13">
        <v>747804850</v>
      </c>
    </row>
    <row r="11" spans="1:4" x14ac:dyDescent="0.25">
      <c r="A11" s="14" t="s">
        <v>8</v>
      </c>
    </row>
    <row r="13" spans="1:4" x14ac:dyDescent="0.25">
      <c r="A13" t="s">
        <v>9</v>
      </c>
    </row>
    <row r="14" spans="1:4" x14ac:dyDescent="0.25">
      <c r="A14" t="s">
        <v>10</v>
      </c>
    </row>
    <row r="33" spans="1:5" x14ac:dyDescent="0.25">
      <c r="A33" s="14" t="s">
        <v>13</v>
      </c>
    </row>
    <row r="35" spans="1:5" ht="46.5" customHeight="1" x14ac:dyDescent="0.25">
      <c r="C35" s="22" t="s">
        <v>16</v>
      </c>
      <c r="D35" s="21" t="s">
        <v>12</v>
      </c>
    </row>
    <row r="36" spans="1:5" x14ac:dyDescent="0.25">
      <c r="A36" s="2" t="s">
        <v>2</v>
      </c>
      <c r="B36" s="4">
        <v>3334.5</v>
      </c>
      <c r="C36" s="15">
        <v>7392</v>
      </c>
      <c r="D36" s="16">
        <f>+B36-C36</f>
        <v>-4057.5</v>
      </c>
      <c r="E36" t="s">
        <v>14</v>
      </c>
    </row>
    <row r="37" spans="1:5" x14ac:dyDescent="0.25">
      <c r="A37" s="2" t="s">
        <v>3</v>
      </c>
      <c r="B37" s="4">
        <v>3334.5</v>
      </c>
      <c r="C37" s="15">
        <v>6534</v>
      </c>
      <c r="D37" s="16">
        <f t="shared" ref="D37:D39" si="0">+B37-C37</f>
        <v>-3199.5</v>
      </c>
      <c r="E37" t="s">
        <v>14</v>
      </c>
    </row>
    <row r="38" spans="1:5" x14ac:dyDescent="0.25">
      <c r="A38" s="2" t="s">
        <v>6</v>
      </c>
      <c r="B38" s="4">
        <v>8299.2000000000007</v>
      </c>
      <c r="C38" s="15">
        <v>8536</v>
      </c>
      <c r="D38" s="16">
        <f t="shared" si="0"/>
        <v>-236.79999999999927</v>
      </c>
      <c r="E38" t="s">
        <v>14</v>
      </c>
    </row>
    <row r="39" spans="1:5" ht="15.75" thickBot="1" x14ac:dyDescent="0.3">
      <c r="A39" s="6" t="s">
        <v>4</v>
      </c>
      <c r="B39" s="8">
        <v>9731.8000000000011</v>
      </c>
      <c r="C39" s="19">
        <v>9557</v>
      </c>
      <c r="D39" s="20">
        <f t="shared" si="0"/>
        <v>174.80000000000109</v>
      </c>
      <c r="E39" t="s">
        <v>15</v>
      </c>
    </row>
    <row r="40" spans="1:5" ht="15.75" thickTop="1" x14ac:dyDescent="0.25">
      <c r="A40" s="17" t="s">
        <v>11</v>
      </c>
      <c r="B40" s="18">
        <f>+SUM(B36:B39)</f>
        <v>24700</v>
      </c>
      <c r="C40" s="18">
        <f t="shared" ref="C40:D40" si="1">+SUM(C36:C39)</f>
        <v>32019</v>
      </c>
      <c r="D40" s="18">
        <f t="shared" si="1"/>
        <v>-7318.9999999999982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cuentas por cobrar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</dc:creator>
  <cp:lastModifiedBy>Pedro </cp:lastModifiedBy>
  <dcterms:created xsi:type="dcterms:W3CDTF">2015-06-05T18:17:20Z</dcterms:created>
  <dcterms:modified xsi:type="dcterms:W3CDTF">2023-04-12T19:07:20Z</dcterms:modified>
</cp:coreProperties>
</file>
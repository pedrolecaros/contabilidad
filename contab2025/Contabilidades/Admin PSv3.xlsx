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y Drive\Parque Sur 2025\Otros\"/>
    </mc:Choice>
  </mc:AlternateContent>
  <xr:revisionPtr revIDLastSave="0" documentId="13_ncr:1_{A8D1E682-D221-4F25-B378-0E3427EA679A}" xr6:coauthVersionLast="47" xr6:coauthVersionMax="47" xr10:uidLastSave="{00000000-0000-0000-0000-000000000000}"/>
  <bookViews>
    <workbookView xWindow="-120" yWindow="-120" windowWidth="29040" windowHeight="15840" tabRatio="871" xr2:uid="{00000000-000D-0000-FFFF-FFFF00000000}"/>
  </bookViews>
  <sheets>
    <sheet name="Equipos" sheetId="7" r:id="rId1"/>
    <sheet name="Arriendos" sheetId="3" r:id="rId2"/>
    <sheet name="Subarriendos" sheetId="5" r:id="rId3"/>
    <sheet name="Mantenimientos" sheetId="8" r:id="rId4"/>
    <sheet name="Transportes" sheetId="20" r:id="rId5"/>
    <sheet name="Horometro" sheetId="17" r:id="rId6"/>
    <sheet name="Empresas" sheetId="4" r:id="rId7"/>
    <sheet name="Contactos" sheetId="19" r:id="rId8"/>
    <sheet name="Seguros" sheetId="22" r:id="rId9"/>
    <sheet name="Ubicacion" sheetId="9" r:id="rId10"/>
    <sheet name="Facturacion" sheetId="12" r:id="rId11"/>
    <sheet name="Prestamos Directos" sheetId="11" r:id="rId12"/>
    <sheet name="Leasing" sheetId="24" r:id="rId13"/>
    <sheet name="UF" sheetId="21" r:id="rId14"/>
  </sheets>
  <definedNames>
    <definedName name="Polizas">Seguros!$B:$B</definedName>
    <definedName name="ReferenciaContactos" localSheetId="12">Contactos[ReferenciaContactos]</definedName>
    <definedName name="ReferenciaContactos" localSheetId="8">Contactos[ReferenciaContactos]</definedName>
    <definedName name="ReferenciaContactos" localSheetId="4">Contactos[ReferenciaContactos]</definedName>
    <definedName name="ReferenciaContactos">Contactos[ReferenciaContactos]</definedName>
    <definedName name="ReferenciaEmpresas" localSheetId="12">Empresas[[#All],[ReferenciaEmpresa]]</definedName>
    <definedName name="ReferenciaEmpresas" localSheetId="8">Empresas[[#All],[ReferenciaEmpresa]]</definedName>
    <definedName name="ReferenciaEmpresas" localSheetId="4">Empresas[[#All],[ReferenciaEmpresa]]</definedName>
    <definedName name="ReferenciaEmpresas">Empresas[[#All],[ReferenciaEmpresa]]</definedName>
    <definedName name="ReferenciaEquipos" localSheetId="12">Equipos[ReferenciaEquipos]</definedName>
    <definedName name="ReferenciaEquipos" localSheetId="8">Equipos[ReferenciaEquipos]</definedName>
    <definedName name="ReferenciaEquipos" localSheetId="4">Equipos[ReferenciaEquipos]</definedName>
    <definedName name="ReferenciaEquipos">Equipos[ReferenciaEquipos]</definedName>
    <definedName name="ReferenciaFacturas">Facturacion!$L:$L</definedName>
    <definedName name="Ubicaciones" localSheetId="12">Ubicacion[Ubicacion]</definedName>
    <definedName name="Ubicaciones" localSheetId="8">SEGUROS[Link]</definedName>
    <definedName name="Ubicaciones" localSheetId="4">Ubicacion[Ubicacion]</definedName>
    <definedName name="Ubicaciones">Ubicacion[Ubicacion]</definedName>
    <definedName name="UF_Julio_25">UF!$B$2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7m6G3ojwVOdYDmwB6oCd1/GC9lupM+NK1hLib/kXAg4="/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I2" i="11"/>
  <c r="J2" i="24"/>
  <c r="I2" i="24"/>
  <c r="H2" i="11"/>
  <c r="H3" i="11"/>
  <c r="I3" i="11" s="1"/>
  <c r="H4" i="11"/>
  <c r="I4" i="11" s="1"/>
  <c r="H5" i="11"/>
  <c r="I5" i="11" s="1"/>
  <c r="H6" i="11"/>
  <c r="I6" i="11" s="1"/>
  <c r="H7" i="11"/>
  <c r="I7" i="11" s="1"/>
  <c r="H8" i="11"/>
  <c r="I8" i="11" s="1"/>
  <c r="H9" i="11"/>
  <c r="I9" i="11" s="1"/>
  <c r="H10" i="11"/>
  <c r="I10" i="11" s="1"/>
  <c r="D2" i="11"/>
  <c r="G2" i="11" s="1"/>
  <c r="H10" i="24"/>
  <c r="H9" i="24"/>
  <c r="H8" i="24"/>
  <c r="H7" i="24"/>
  <c r="H6" i="24"/>
  <c r="H2" i="24"/>
  <c r="N3" i="7" l="1" a="1"/>
  <c r="N3" i="7" s="1"/>
  <c r="N4" i="7" a="1"/>
  <c r="N4" i="7" s="1"/>
  <c r="N5" i="7" a="1"/>
  <c r="N5" i="7" s="1"/>
  <c r="N6" i="7" a="1"/>
  <c r="N6" i="7" s="1"/>
  <c r="N7" i="7" a="1"/>
  <c r="N7" i="7" s="1"/>
  <c r="N8" i="7" a="1"/>
  <c r="N8" i="7"/>
  <c r="N9" i="7" a="1"/>
  <c r="N9" i="7" s="1"/>
  <c r="N10" i="7" a="1"/>
  <c r="N10" i="7" s="1"/>
  <c r="N11" i="7" a="1"/>
  <c r="N11" i="7" s="1"/>
  <c r="N12" i="7" a="1"/>
  <c r="N12" i="7"/>
  <c r="N13" i="7" a="1"/>
  <c r="N13" i="7" s="1"/>
  <c r="N14" i="7" a="1"/>
  <c r="N14" i="7" s="1"/>
  <c r="N15" i="7" a="1"/>
  <c r="N15" i="7" s="1"/>
  <c r="N16" i="7" a="1"/>
  <c r="N16" i="7"/>
  <c r="N17" i="7" a="1"/>
  <c r="N17" i="7" s="1"/>
  <c r="N18" i="7" a="1"/>
  <c r="N18" i="7" s="1"/>
  <c r="N19" i="7" a="1"/>
  <c r="N19" i="7" s="1"/>
  <c r="N20" i="7" a="1"/>
  <c r="N20" i="7"/>
  <c r="N21" i="7" a="1"/>
  <c r="N21" i="7" s="1"/>
  <c r="N22" i="7" a="1"/>
  <c r="N22" i="7" s="1"/>
  <c r="N23" i="7" a="1"/>
  <c r="N23" i="7" s="1"/>
  <c r="N24" i="7" a="1"/>
  <c r="N24" i="7"/>
  <c r="N25" i="7" a="1"/>
  <c r="N25" i="7" s="1"/>
  <c r="N26" i="7" a="1"/>
  <c r="N26" i="7" s="1"/>
  <c r="N27" i="7" a="1"/>
  <c r="N27" i="7" s="1"/>
  <c r="N28" i="7" a="1"/>
  <c r="N28" i="7"/>
  <c r="N29" i="7" a="1"/>
  <c r="N29" i="7" s="1"/>
  <c r="N30" i="7" a="1"/>
  <c r="N30" i="7" s="1"/>
  <c r="N31" i="7" a="1"/>
  <c r="N31" i="7" s="1"/>
  <c r="N32" i="7" a="1"/>
  <c r="N32" i="7"/>
  <c r="N33" i="7" a="1"/>
  <c r="N33" i="7" s="1"/>
  <c r="N34" i="7" a="1"/>
  <c r="N34" i="7" s="1"/>
  <c r="N35" i="7" a="1"/>
  <c r="N35" i="7" s="1"/>
  <c r="N36" i="7" a="1"/>
  <c r="N36" i="7"/>
  <c r="N37" i="7" a="1"/>
  <c r="N37" i="7" s="1"/>
  <c r="N38" i="7" a="1"/>
  <c r="N38" i="7" s="1"/>
  <c r="N39" i="7" a="1"/>
  <c r="N39" i="7" s="1"/>
  <c r="N40" i="7" a="1"/>
  <c r="N40" i="7"/>
  <c r="N41" i="7" a="1"/>
  <c r="N41" i="7" s="1"/>
  <c r="N42" i="7" a="1"/>
  <c r="N42" i="7" s="1"/>
  <c r="N43" i="7" a="1"/>
  <c r="N43" i="7" s="1"/>
  <c r="N44" i="7" a="1"/>
  <c r="N44" i="7"/>
  <c r="N45" i="7" a="1"/>
  <c r="N45" i="7" s="1"/>
  <c r="N46" i="7" a="1"/>
  <c r="N46" i="7" s="1"/>
  <c r="N47" i="7" a="1"/>
  <c r="N47" i="7" s="1"/>
  <c r="N48" i="7" a="1"/>
  <c r="N48" i="7"/>
  <c r="N49" i="7" a="1"/>
  <c r="N49" i="7" s="1"/>
  <c r="N50" i="7" a="1"/>
  <c r="N50" i="7" s="1"/>
  <c r="N51" i="7" a="1"/>
  <c r="N51" i="7" s="1"/>
  <c r="N52" i="7" a="1"/>
  <c r="N52" i="7"/>
  <c r="N53" i="7" a="1"/>
  <c r="N53" i="7" s="1"/>
  <c r="N54" i="7" a="1"/>
  <c r="N54" i="7" s="1"/>
  <c r="N55" i="7" a="1"/>
  <c r="N55" i="7" s="1"/>
  <c r="N56" i="7" a="1"/>
  <c r="N56" i="7"/>
  <c r="N57" i="7" a="1"/>
  <c r="N57" i="7" s="1"/>
  <c r="N58" i="7" a="1"/>
  <c r="N58" i="7" s="1"/>
  <c r="N59" i="7" a="1"/>
  <c r="N59" i="7" s="1"/>
  <c r="N60" i="7" a="1"/>
  <c r="N60" i="7"/>
  <c r="N61" i="7" a="1"/>
  <c r="N61" i="7" s="1"/>
  <c r="N62" i="7" a="1"/>
  <c r="N62" i="7" s="1"/>
  <c r="N63" i="7" a="1"/>
  <c r="N63" i="7" s="1"/>
  <c r="N64" i="7" a="1"/>
  <c r="N64" i="7"/>
  <c r="N65" i="7" a="1"/>
  <c r="N65" i="7" s="1"/>
  <c r="N66" i="7" a="1"/>
  <c r="N66" i="7" s="1"/>
  <c r="N67" i="7" a="1"/>
  <c r="N67" i="7" s="1"/>
  <c r="N68" i="7" a="1"/>
  <c r="N68" i="7"/>
  <c r="N69" i="7" a="1"/>
  <c r="N69" i="7" s="1"/>
  <c r="N70" i="7" a="1"/>
  <c r="N70" i="7" s="1"/>
  <c r="N71" i="7" a="1"/>
  <c r="N71" i="7" s="1"/>
  <c r="N72" i="7" a="1"/>
  <c r="N72" i="7"/>
  <c r="N73" i="7" a="1"/>
  <c r="N73" i="7" s="1"/>
  <c r="N74" i="7" a="1"/>
  <c r="N74" i="7" s="1"/>
  <c r="N75" i="7" a="1"/>
  <c r="N75" i="7" s="1"/>
  <c r="N76" i="7" a="1"/>
  <c r="N76" i="7"/>
  <c r="N77" i="7" a="1"/>
  <c r="N77" i="7" s="1"/>
  <c r="N78" i="7" a="1"/>
  <c r="N78" i="7" s="1"/>
  <c r="N79" i="7" a="1"/>
  <c r="N79" i="7" s="1"/>
  <c r="N80" i="7" a="1"/>
  <c r="N80" i="7"/>
  <c r="N81" i="7" a="1"/>
  <c r="N81" i="7" s="1"/>
  <c r="N82" i="7" a="1"/>
  <c r="N82" i="7" s="1"/>
  <c r="N83" i="7" a="1"/>
  <c r="N83" i="7" s="1"/>
  <c r="N84" i="7" a="1"/>
  <c r="N84" i="7"/>
  <c r="N85" i="7" a="1"/>
  <c r="N85" i="7" s="1"/>
  <c r="N86" i="7" a="1"/>
  <c r="N86" i="7" s="1"/>
  <c r="N87" i="7" a="1"/>
  <c r="N87" i="7" s="1"/>
  <c r="N88" i="7" a="1"/>
  <c r="N88" i="7"/>
  <c r="N89" i="7" a="1"/>
  <c r="N89" i="7" s="1"/>
  <c r="N90" i="7" a="1"/>
  <c r="N90" i="7" s="1"/>
  <c r="N91" i="7" a="1"/>
  <c r="N91" i="7" s="1"/>
  <c r="N92" i="7" a="1"/>
  <c r="N92" i="7"/>
  <c r="N93" i="7" a="1"/>
  <c r="N93" i="7" s="1"/>
  <c r="N94" i="7" a="1"/>
  <c r="N94" i="7" s="1"/>
  <c r="N95" i="7" a="1"/>
  <c r="N95" i="7" s="1"/>
  <c r="N96" i="7" a="1"/>
  <c r="N96" i="7"/>
  <c r="N97" i="7" a="1"/>
  <c r="N97" i="7" s="1"/>
  <c r="N98" i="7" a="1"/>
  <c r="N98" i="7" s="1"/>
  <c r="N99" i="7" a="1"/>
  <c r="N99" i="7" s="1"/>
  <c r="N100" i="7" a="1"/>
  <c r="N100" i="7"/>
  <c r="N101" i="7" a="1"/>
  <c r="N101" i="7" s="1"/>
  <c r="N102" i="7" a="1"/>
  <c r="N102" i="7" s="1"/>
  <c r="N103" i="7" a="1"/>
  <c r="N103" i="7" s="1"/>
  <c r="N104" i="7" a="1"/>
  <c r="N104" i="7"/>
  <c r="N105" i="7" a="1"/>
  <c r="N105" i="7" s="1"/>
  <c r="N106" i="7" a="1"/>
  <c r="N106" i="7" s="1"/>
  <c r="N107" i="7" a="1"/>
  <c r="N107" i="7" s="1"/>
  <c r="N108" i="7" a="1"/>
  <c r="N108" i="7"/>
  <c r="N109" i="7" a="1"/>
  <c r="N109" i="7" s="1"/>
  <c r="N110" i="7" a="1"/>
  <c r="N110" i="7" s="1"/>
  <c r="N111" i="7" a="1"/>
  <c r="N111" i="7" s="1"/>
  <c r="N112" i="7" a="1"/>
  <c r="N112" i="7"/>
  <c r="N113" i="7" a="1"/>
  <c r="N113" i="7" s="1"/>
  <c r="N114" i="7" a="1"/>
  <c r="N114" i="7" s="1"/>
  <c r="N115" i="7" a="1"/>
  <c r="N115" i="7" s="1"/>
  <c r="N116" i="7" a="1"/>
  <c r="N116" i="7"/>
  <c r="N117" i="7" a="1"/>
  <c r="N117" i="7" s="1"/>
  <c r="N118" i="7" a="1"/>
  <c r="N118" i="7" s="1"/>
  <c r="N119" i="7" a="1"/>
  <c r="N119" i="7" s="1"/>
  <c r="N120" i="7" a="1"/>
  <c r="N120" i="7"/>
  <c r="N121" i="7" a="1"/>
  <c r="N121" i="7" s="1"/>
  <c r="N122" i="7" a="1"/>
  <c r="N122" i="7" s="1"/>
  <c r="N123" i="7" a="1"/>
  <c r="N123" i="7" s="1"/>
  <c r="N124" i="7" a="1"/>
  <c r="N124" i="7"/>
  <c r="N125" i="7" a="1"/>
  <c r="N125" i="7" s="1"/>
  <c r="N126" i="7" a="1"/>
  <c r="N126" i="7" s="1"/>
  <c r="N127" i="7" a="1"/>
  <c r="N127" i="7" s="1"/>
  <c r="N128" i="7" a="1"/>
  <c r="N128" i="7"/>
  <c r="N129" i="7" a="1"/>
  <c r="N129" i="7" s="1"/>
  <c r="N130" i="7" a="1"/>
  <c r="N130" i="7" s="1"/>
  <c r="N131" i="7" a="1"/>
  <c r="N131" i="7" s="1"/>
  <c r="N132" i="7" a="1"/>
  <c r="N132" i="7"/>
  <c r="N133" i="7" a="1"/>
  <c r="N133" i="7" s="1"/>
  <c r="N134" i="7" a="1"/>
  <c r="N134" i="7" s="1"/>
  <c r="N135" i="7" a="1"/>
  <c r="N135" i="7" s="1"/>
  <c r="N136" i="7" a="1"/>
  <c r="N136" i="7"/>
  <c r="N137" i="7" a="1"/>
  <c r="N137" i="7" s="1"/>
  <c r="N138" i="7" a="1"/>
  <c r="N138" i="7" s="1"/>
  <c r="N139" i="7" a="1"/>
  <c r="N139" i="7" s="1"/>
  <c r="N140" i="7" a="1"/>
  <c r="N140" i="7"/>
  <c r="N141" i="7" a="1"/>
  <c r="N141" i="7" s="1"/>
  <c r="N142" i="7" a="1"/>
  <c r="N142" i="7" s="1"/>
  <c r="N143" i="7" a="1"/>
  <c r="N143" i="7" s="1"/>
  <c r="N144" i="7" a="1"/>
  <c r="N144" i="7"/>
  <c r="N145" i="7" a="1"/>
  <c r="N145" i="7" s="1"/>
  <c r="N146" i="7" a="1"/>
  <c r="N146" i="7" s="1"/>
  <c r="N147" i="7" a="1"/>
  <c r="N147" i="7" s="1"/>
  <c r="N148" i="7" a="1"/>
  <c r="N148" i="7"/>
  <c r="N149" i="7" a="1"/>
  <c r="N149" i="7" s="1"/>
  <c r="N150" i="7" a="1"/>
  <c r="N150" i="7" s="1"/>
  <c r="N151" i="7" a="1"/>
  <c r="N151" i="7" s="1"/>
  <c r="N152" i="7" a="1"/>
  <c r="N152" i="7"/>
  <c r="N153" i="7" a="1"/>
  <c r="N153" i="7" s="1"/>
  <c r="N154" i="7" a="1"/>
  <c r="N154" i="7" s="1"/>
  <c r="N155" i="7" a="1"/>
  <c r="N155" i="7" s="1"/>
  <c r="N156" i="7" a="1"/>
  <c r="N156" i="7"/>
  <c r="N157" i="7" a="1"/>
  <c r="N157" i="7" s="1"/>
  <c r="N158" i="7" a="1"/>
  <c r="N158" i="7" s="1"/>
  <c r="N159" i="7" a="1"/>
  <c r="N159" i="7" s="1"/>
  <c r="N160" i="7" a="1"/>
  <c r="N160" i="7"/>
  <c r="N161" i="7" a="1"/>
  <c r="N161" i="7" s="1"/>
  <c r="N162" i="7" a="1"/>
  <c r="N162" i="7" s="1"/>
  <c r="N163" i="7" a="1"/>
  <c r="N163" i="7" s="1"/>
  <c r="N164" i="7" a="1"/>
  <c r="N164" i="7"/>
  <c r="N165" i="7" a="1"/>
  <c r="N165" i="7" s="1"/>
  <c r="N166" i="7" a="1"/>
  <c r="N166" i="7" s="1"/>
  <c r="N167" i="7" a="1"/>
  <c r="N167" i="7" s="1"/>
  <c r="N168" i="7" a="1"/>
  <c r="N168" i="7"/>
  <c r="N169" i="7" a="1"/>
  <c r="N169" i="7" s="1"/>
  <c r="N170" i="7" a="1"/>
  <c r="N170" i="7" s="1"/>
  <c r="N171" i="7" a="1"/>
  <c r="N171" i="7" s="1"/>
  <c r="N172" i="7" a="1"/>
  <c r="N172" i="7"/>
  <c r="N173" i="7" a="1"/>
  <c r="N173" i="7" s="1"/>
  <c r="N174" i="7" a="1"/>
  <c r="N174" i="7" s="1"/>
  <c r="N175" i="7" a="1"/>
  <c r="N175" i="7" s="1"/>
  <c r="N176" i="7" a="1"/>
  <c r="N176" i="7"/>
  <c r="N177" i="7" a="1"/>
  <c r="N177" i="7"/>
  <c r="N178" i="7" a="1"/>
  <c r="N178" i="7"/>
  <c r="N179" i="7" a="1"/>
  <c r="N179" i="7"/>
  <c r="N180" i="7" a="1"/>
  <c r="N180" i="7" s="1"/>
  <c r="N181" i="7" a="1"/>
  <c r="N181" i="7" s="1"/>
  <c r="N182" i="7" a="1"/>
  <c r="N182" i="7" s="1"/>
  <c r="N183" i="7" a="1"/>
  <c r="N183" i="7" s="1"/>
  <c r="N184" i="7" a="1"/>
  <c r="N184" i="7" s="1"/>
  <c r="N185" i="7" a="1"/>
  <c r="N185" i="7" s="1"/>
  <c r="N186" i="7" a="1"/>
  <c r="N186" i="7" s="1"/>
  <c r="N187" i="7" a="1"/>
  <c r="N187" i="7" s="1"/>
  <c r="N188" i="7" a="1"/>
  <c r="N188" i="7" s="1"/>
  <c r="N189" i="7" a="1"/>
  <c r="N189" i="7" s="1"/>
  <c r="N190" i="7" a="1"/>
  <c r="N190" i="7" s="1"/>
  <c r="N191" i="7" a="1"/>
  <c r="N191" i="7" s="1"/>
  <c r="N192" i="7" a="1"/>
  <c r="N192" i="7" s="1"/>
  <c r="N193" i="7" a="1"/>
  <c r="N193" i="7" s="1"/>
  <c r="N194" i="7" a="1"/>
  <c r="N194" i="7" s="1"/>
  <c r="N195" i="7" a="1"/>
  <c r="N195" i="7" s="1"/>
  <c r="N196" i="7" a="1"/>
  <c r="N196" i="7" s="1"/>
  <c r="N197" i="7" a="1"/>
  <c r="N197" i="7" s="1"/>
  <c r="N198" i="7" a="1"/>
  <c r="N198" i="7" s="1"/>
  <c r="N199" i="7" a="1"/>
  <c r="N199" i="7" s="1"/>
  <c r="N200" i="7" a="1"/>
  <c r="N200" i="7" s="1"/>
  <c r="N201" i="7" a="1"/>
  <c r="N201" i="7" s="1"/>
  <c r="N202" i="7" a="1"/>
  <c r="N202" i="7" s="1"/>
  <c r="N203" i="7" a="1"/>
  <c r="N203" i="7" s="1"/>
  <c r="N204" i="7" a="1"/>
  <c r="N204" i="7" s="1"/>
  <c r="N205" i="7" a="1"/>
  <c r="N205" i="7" s="1"/>
  <c r="N206" i="7" a="1"/>
  <c r="N206" i="7" s="1"/>
  <c r="N207" i="7" a="1"/>
  <c r="N207" i="7" s="1"/>
  <c r="N208" i="7" a="1"/>
  <c r="N208" i="7" s="1"/>
  <c r="N209" i="7" a="1"/>
  <c r="N209" i="7" s="1"/>
  <c r="N210" i="7" a="1"/>
  <c r="N210" i="7" s="1"/>
  <c r="N211" i="7" a="1"/>
  <c r="N211" i="7" s="1"/>
  <c r="N212" i="7" a="1"/>
  <c r="N212" i="7" s="1"/>
  <c r="N213" i="7" a="1"/>
  <c r="N213" i="7" s="1"/>
  <c r="N214" i="7" a="1"/>
  <c r="N214" i="7" s="1"/>
  <c r="N215" i="7" a="1"/>
  <c r="N215" i="7" s="1"/>
  <c r="N216" i="7" a="1"/>
  <c r="N216" i="7" s="1"/>
  <c r="N217" i="7" a="1"/>
  <c r="N217" i="7" s="1"/>
  <c r="N218" i="7" a="1"/>
  <c r="N218" i="7" s="1"/>
  <c r="N219" i="7" a="1"/>
  <c r="N219" i="7" s="1"/>
  <c r="N220" i="7" a="1"/>
  <c r="N220" i="7" s="1"/>
  <c r="N221" i="7" a="1"/>
  <c r="N221" i="7" s="1"/>
  <c r="N222" i="7" a="1"/>
  <c r="N222" i="7" s="1"/>
  <c r="N223" i="7" a="1"/>
  <c r="N223" i="7" s="1"/>
  <c r="N224" i="7" a="1"/>
  <c r="N224" i="7" s="1"/>
  <c r="N225" i="7" a="1"/>
  <c r="N225" i="7" s="1"/>
  <c r="N226" i="7" a="1"/>
  <c r="N226" i="7" s="1"/>
  <c r="N227" i="7" a="1"/>
  <c r="N227" i="7" s="1"/>
  <c r="N228" i="7" a="1"/>
  <c r="N228" i="7" s="1"/>
  <c r="N229" i="7" a="1"/>
  <c r="N229" i="7" s="1"/>
  <c r="N230" i="7" a="1"/>
  <c r="N230" i="7" s="1"/>
  <c r="N231" i="7" a="1"/>
  <c r="N231" i="7" s="1"/>
  <c r="N232" i="7" a="1"/>
  <c r="N232" i="7" s="1"/>
  <c r="N233" i="7" a="1"/>
  <c r="N233" i="7" s="1"/>
  <c r="N234" i="7" a="1"/>
  <c r="N234" i="7" s="1"/>
  <c r="N235" i="7" a="1"/>
  <c r="N235" i="7" s="1"/>
  <c r="N236" i="7" a="1"/>
  <c r="N236" i="7" s="1"/>
  <c r="N237" i="7" a="1"/>
  <c r="N237" i="7" s="1"/>
  <c r="N238" i="7" a="1"/>
  <c r="N238" i="7" s="1"/>
  <c r="N2" i="7" a="1"/>
  <c r="N2" i="7" s="1"/>
  <c r="N239" i="7" a="1"/>
  <c r="N239" i="7"/>
  <c r="N240" i="7" a="1"/>
  <c r="N240" i="7"/>
  <c r="N241" i="7" a="1"/>
  <c r="N241" i="7"/>
  <c r="N242" i="7" a="1"/>
  <c r="N242" i="7"/>
  <c r="N243" i="7" a="1"/>
  <c r="N243" i="7"/>
  <c r="N244" i="7" a="1"/>
  <c r="N244" i="7"/>
  <c r="N245" i="7" a="1"/>
  <c r="N245" i="7"/>
  <c r="N246" i="7" a="1"/>
  <c r="N246" i="7"/>
  <c r="N247" i="7" a="1"/>
  <c r="N247" i="7"/>
  <c r="N248" i="7" a="1"/>
  <c r="N248" i="7"/>
  <c r="N249" i="7" a="1"/>
  <c r="N249" i="7"/>
  <c r="N250" i="7" a="1"/>
  <c r="N250" i="7"/>
  <c r="N251" i="7" a="1"/>
  <c r="N251" i="7"/>
  <c r="N252" i="7" a="1"/>
  <c r="N252" i="7"/>
  <c r="N253" i="7" a="1"/>
  <c r="N253" i="7"/>
  <c r="N254" i="7" a="1"/>
  <c r="N254" i="7"/>
  <c r="N255" i="7" a="1"/>
  <c r="N255" i="7"/>
  <c r="N256" i="7" a="1"/>
  <c r="N256" i="7"/>
  <c r="N257" i="7" a="1"/>
  <c r="N257" i="7"/>
  <c r="N258" i="7" a="1"/>
  <c r="N258" i="7"/>
  <c r="N259" i="7" a="1"/>
  <c r="N259" i="7"/>
  <c r="N260" i="7" a="1"/>
  <c r="N260" i="7"/>
  <c r="N261" i="7" a="1"/>
  <c r="N261" i="7"/>
  <c r="N262" i="7" a="1"/>
  <c r="N262" i="7"/>
  <c r="N263" i="7" a="1"/>
  <c r="N263" i="7"/>
  <c r="N264" i="7" a="1"/>
  <c r="N264" i="7"/>
  <c r="N265" i="7" a="1"/>
  <c r="N265" i="7"/>
  <c r="N266" i="7" a="1"/>
  <c r="N266" i="7"/>
  <c r="N267" i="7" a="1"/>
  <c r="N267" i="7"/>
  <c r="N268" i="7" a="1"/>
  <c r="N268" i="7"/>
  <c r="N269" i="7" a="1"/>
  <c r="N269" i="7"/>
  <c r="N270" i="7" a="1"/>
  <c r="N270" i="7"/>
  <c r="N271" i="7" a="1"/>
  <c r="N271" i="7"/>
  <c r="N272" i="7" a="1"/>
  <c r="N272" i="7"/>
  <c r="N273" i="7" a="1"/>
  <c r="N273" i="7"/>
  <c r="N274" i="7" a="1"/>
  <c r="N274" i="7"/>
  <c r="N275" i="7" a="1"/>
  <c r="N275" i="7"/>
  <c r="N276" i="7" a="1"/>
  <c r="N276" i="7"/>
  <c r="N277" i="7" a="1"/>
  <c r="N277" i="7"/>
  <c r="N278" i="7" a="1"/>
  <c r="N278" i="7"/>
  <c r="N279" i="7" a="1"/>
  <c r="N279" i="7"/>
  <c r="N280" i="7" a="1"/>
  <c r="N280" i="7"/>
  <c r="N281" i="7" a="1"/>
  <c r="N281" i="7"/>
  <c r="N282" i="7" a="1"/>
  <c r="N282" i="7"/>
  <c r="N283" i="7" a="1"/>
  <c r="N283" i="7"/>
  <c r="N284" i="7" a="1"/>
  <c r="N284" i="7"/>
  <c r="N285" i="7" a="1"/>
  <c r="N285" i="7"/>
  <c r="N286" i="7" a="1"/>
  <c r="N286" i="7"/>
  <c r="N287" i="7" a="1"/>
  <c r="N287" i="7"/>
  <c r="N288" i="7" a="1"/>
  <c r="N288" i="7"/>
  <c r="N289" i="7" a="1"/>
  <c r="N289" i="7"/>
  <c r="N290" i="7" a="1"/>
  <c r="N290" i="7"/>
  <c r="N291" i="7" a="1"/>
  <c r="N291" i="7"/>
  <c r="N292" i="7" a="1"/>
  <c r="N292" i="7"/>
  <c r="N293" i="7" a="1"/>
  <c r="N293" i="7"/>
  <c r="N294" i="7" a="1"/>
  <c r="N294" i="7"/>
  <c r="N295" i="7" a="1"/>
  <c r="N295" i="7" s="1"/>
  <c r="N296" i="7" a="1"/>
  <c r="N296" i="7"/>
  <c r="N297" i="7" a="1"/>
  <c r="N297" i="7" s="1"/>
  <c r="N298" i="7" a="1"/>
  <c r="N298" i="7" s="1"/>
  <c r="N299" i="7" a="1"/>
  <c r="N299" i="7" s="1"/>
  <c r="N300" i="7" a="1"/>
  <c r="N300" i="7" s="1"/>
  <c r="N301" i="7" a="1"/>
  <c r="N301" i="7" s="1"/>
  <c r="N302" i="7" a="1"/>
  <c r="N302" i="7" s="1"/>
  <c r="N303" i="7" a="1"/>
  <c r="N303" i="7" s="1"/>
  <c r="N304" i="7" a="1"/>
  <c r="N304" i="7" s="1"/>
  <c r="N305" i="7" a="1"/>
  <c r="N305" i="7" s="1"/>
  <c r="N306" i="7" a="1"/>
  <c r="N306" i="7" s="1"/>
  <c r="N307" i="7" a="1"/>
  <c r="N307" i="7" s="1"/>
  <c r="N308" i="7" a="1"/>
  <c r="N308" i="7" s="1"/>
  <c r="N309" i="7" a="1"/>
  <c r="N309" i="7" s="1"/>
  <c r="N310" i="7" a="1"/>
  <c r="N310" i="7" s="1"/>
  <c r="N311" i="7" a="1"/>
  <c r="N311" i="7" s="1"/>
  <c r="N312" i="7" a="1"/>
  <c r="N312" i="7" s="1"/>
  <c r="N313" i="7" a="1"/>
  <c r="N313" i="7" s="1"/>
  <c r="N314" i="7" a="1"/>
  <c r="N314" i="7" s="1"/>
  <c r="N315" i="7" a="1"/>
  <c r="N315" i="7" s="1"/>
  <c r="N316" i="7" a="1"/>
  <c r="N316" i="7" s="1"/>
  <c r="N317" i="7" a="1"/>
  <c r="N317" i="7" s="1"/>
  <c r="N318" i="7" a="1"/>
  <c r="N318" i="7" s="1"/>
  <c r="N319" i="7" a="1"/>
  <c r="N319" i="7" s="1"/>
  <c r="N320" i="7" a="1"/>
  <c r="N320" i="7" s="1"/>
  <c r="N321" i="7" a="1"/>
  <c r="N321" i="7" s="1"/>
  <c r="N322" i="7" a="1"/>
  <c r="N322" i="7" s="1"/>
  <c r="N323" i="7" a="1"/>
  <c r="N323" i="7" s="1"/>
  <c r="N324" i="7" a="1"/>
  <c r="N324" i="7" s="1"/>
  <c r="N325" i="7" a="1"/>
  <c r="N325" i="7" s="1"/>
  <c r="N326" i="7" a="1"/>
  <c r="N326" i="7" s="1"/>
  <c r="N327" i="7" a="1"/>
  <c r="N327" i="7" s="1"/>
  <c r="N328" i="7" a="1"/>
  <c r="N328" i="7" s="1"/>
  <c r="N329" i="7" a="1"/>
  <c r="N329" i="7" s="1"/>
  <c r="N330" i="7" a="1"/>
  <c r="N330" i="7" s="1"/>
  <c r="N331" i="7" a="1"/>
  <c r="N331" i="7" s="1"/>
  <c r="N332" i="7" a="1"/>
  <c r="N332" i="7" s="1"/>
  <c r="N333" i="7" a="1"/>
  <c r="N333" i="7" s="1"/>
  <c r="N334" i="7" a="1"/>
  <c r="N334" i="7" s="1"/>
  <c r="N335" i="7" a="1"/>
  <c r="N335" i="7" s="1"/>
  <c r="N336" i="7" a="1"/>
  <c r="N336" i="7" s="1"/>
  <c r="N337" i="7" a="1"/>
  <c r="N337" i="7" s="1"/>
  <c r="N338" i="7" a="1"/>
  <c r="N338" i="7" s="1"/>
  <c r="N339" i="7" a="1"/>
  <c r="N339" i="7" s="1"/>
  <c r="N340" i="7" a="1"/>
  <c r="N340" i="7" s="1"/>
  <c r="N341" i="7" a="1"/>
  <c r="N341" i="7" s="1"/>
  <c r="N342" i="7" a="1"/>
  <c r="N342" i="7" s="1"/>
  <c r="N343" i="7" a="1"/>
  <c r="N343" i="7" s="1"/>
  <c r="N344" i="7" a="1"/>
  <c r="N344" i="7" s="1"/>
  <c r="N345" i="7" a="1"/>
  <c r="N345" i="7" s="1"/>
  <c r="N346" i="7" a="1"/>
  <c r="N346" i="7" s="1"/>
  <c r="N347" i="7" a="1"/>
  <c r="N347" i="7" s="1"/>
  <c r="N348" i="7" a="1"/>
  <c r="N348" i="7" s="1"/>
  <c r="N349" i="7" a="1"/>
  <c r="N349" i="7" s="1"/>
  <c r="N350" i="7" a="1"/>
  <c r="N350" i="7" s="1"/>
  <c r="N351" i="7" a="1"/>
  <c r="N351" i="7" s="1"/>
  <c r="N352" i="7" a="1"/>
  <c r="N352" i="7" s="1"/>
  <c r="N353" i="7" a="1"/>
  <c r="N353" i="7" s="1"/>
  <c r="N354" i="7" a="1"/>
  <c r="N354" i="7" s="1"/>
  <c r="N355" i="7" a="1"/>
  <c r="N355" i="7" s="1"/>
  <c r="M2" i="7"/>
  <c r="M8" i="7"/>
  <c r="M3" i="7"/>
  <c r="M4" i="7"/>
  <c r="M5" i="7"/>
  <c r="M6" i="7"/>
  <c r="M7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L2" i="12"/>
  <c r="L3" i="12"/>
  <c r="L4" i="12"/>
  <c r="L5" i="12"/>
  <c r="H9" i="19"/>
  <c r="H10" i="19"/>
  <c r="H6" i="12"/>
  <c r="H7" i="12"/>
  <c r="H8" i="12"/>
  <c r="H9" i="12"/>
  <c r="H10" i="12"/>
  <c r="I4" i="8"/>
  <c r="I5" i="8"/>
  <c r="I6" i="8"/>
  <c r="I7" i="8"/>
  <c r="I8" i="8"/>
  <c r="I9" i="8"/>
  <c r="I10" i="8"/>
  <c r="I2" i="5"/>
  <c r="I3" i="5"/>
  <c r="J3" i="5" s="1"/>
  <c r="I4" i="5"/>
  <c r="I5" i="5"/>
  <c r="I6" i="5"/>
  <c r="I7" i="5"/>
  <c r="J7" i="5" s="1"/>
  <c r="I8" i="5"/>
  <c r="I9" i="5"/>
  <c r="I10" i="5"/>
  <c r="J2" i="5"/>
  <c r="J4" i="5"/>
  <c r="J5" i="5"/>
  <c r="J6" i="5"/>
  <c r="J8" i="5"/>
  <c r="J9" i="5"/>
  <c r="J10" i="5"/>
  <c r="G4" i="3"/>
  <c r="G3" i="3"/>
  <c r="G7" i="5"/>
  <c r="H7" i="5" s="1"/>
  <c r="G8" i="5"/>
  <c r="H8" i="5" s="1"/>
  <c r="G9" i="5"/>
  <c r="G10" i="5"/>
  <c r="H10" i="5" s="1"/>
  <c r="H9" i="5"/>
  <c r="H3" i="3"/>
  <c r="H4" i="3"/>
  <c r="I4" i="3" s="1"/>
  <c r="J4" i="3" s="1"/>
  <c r="K4" i="3" s="1"/>
  <c r="I5" i="3"/>
  <c r="J5" i="3" s="1"/>
  <c r="K5" i="3" s="1"/>
  <c r="H6" i="3"/>
  <c r="I6" i="3" s="1"/>
  <c r="J6" i="3" s="1"/>
  <c r="K6" i="3" s="1"/>
  <c r="H7" i="3"/>
  <c r="I7" i="3" s="1"/>
  <c r="J7" i="3" s="1"/>
  <c r="K7" i="3" s="1"/>
  <c r="H8" i="3"/>
  <c r="I8" i="3" s="1"/>
  <c r="J8" i="3" s="1"/>
  <c r="K8" i="3" s="1"/>
  <c r="H9" i="3"/>
  <c r="I9" i="3" s="1"/>
  <c r="J9" i="3" s="1"/>
  <c r="K9" i="3" s="1"/>
  <c r="H10" i="3"/>
  <c r="F8" i="4"/>
  <c r="F9" i="4"/>
  <c r="F10" i="4"/>
  <c r="F7" i="4"/>
  <c r="I2" i="8"/>
  <c r="I3" i="8"/>
  <c r="H2" i="12"/>
  <c r="H3" i="12"/>
  <c r="H4" i="12"/>
  <c r="H5" i="12"/>
  <c r="I10" i="3"/>
  <c r="J10" i="3" s="1"/>
  <c r="K10" i="3" s="1"/>
  <c r="G2" i="3"/>
  <c r="F2" i="4"/>
  <c r="F3" i="4"/>
  <c r="F4" i="4"/>
  <c r="F5" i="4"/>
  <c r="F6" i="4"/>
  <c r="H5" i="19"/>
  <c r="H6" i="19"/>
  <c r="H7" i="19"/>
  <c r="H8" i="19"/>
  <c r="H4" i="19"/>
  <c r="H2" i="19"/>
  <c r="H3" i="19"/>
  <c r="G4" i="5"/>
  <c r="H4" i="5" s="1"/>
  <c r="G5" i="5"/>
  <c r="H5" i="5" s="1"/>
  <c r="G6" i="5"/>
  <c r="H6" i="5" s="1"/>
  <c r="G3" i="5"/>
  <c r="H3" i="5" s="1"/>
  <c r="H2" i="3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G2" i="5"/>
  <c r="H2" i="5" s="1"/>
  <c r="I2" i="3" l="1"/>
  <c r="J2" i="3" s="1"/>
  <c r="K2" i="3" s="1"/>
  <c r="I3" i="3"/>
  <c r="J3" i="3" s="1"/>
  <c r="K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<sst xmlns="http://schemas.openxmlformats.org/spreadsheetml/2006/main" count="490" uniqueCount="324">
  <si>
    <t>ID_Arriendo</t>
  </si>
  <si>
    <t>Nombre</t>
  </si>
  <si>
    <t>ID_Equipo</t>
  </si>
  <si>
    <t>Equipo</t>
  </si>
  <si>
    <t>Fecha_Inicio</t>
  </si>
  <si>
    <t>Tarifa_Diaria</t>
  </si>
  <si>
    <t>Días_Totales</t>
  </si>
  <si>
    <t>Notas</t>
  </si>
  <si>
    <t>AR001</t>
  </si>
  <si>
    <t>RUT</t>
  </si>
  <si>
    <t>BODEGAS SAN FRANCISCO LIMITADA</t>
  </si>
  <si>
    <t>76988780-6</t>
  </si>
  <si>
    <t>ID_Subarriendo</t>
  </si>
  <si>
    <t>Fecha Inicio</t>
  </si>
  <si>
    <t>Fecha Término</t>
  </si>
  <si>
    <t>Tarifa Diaria</t>
  </si>
  <si>
    <t>Días Totales</t>
  </si>
  <si>
    <t>Ubicacion</t>
  </si>
  <si>
    <t>SAR001</t>
  </si>
  <si>
    <t>GAM</t>
  </si>
  <si>
    <t>Tipo_Equipo</t>
  </si>
  <si>
    <t>Marca</t>
  </si>
  <si>
    <t>Modelo</t>
  </si>
  <si>
    <t>Año</t>
  </si>
  <si>
    <t>Patente</t>
  </si>
  <si>
    <t>Tipo de Energía</t>
  </si>
  <si>
    <t>Fecha de Adquisición</t>
  </si>
  <si>
    <t>Costo de Adquisición</t>
  </si>
  <si>
    <t>Seguro</t>
  </si>
  <si>
    <t>E001</t>
  </si>
  <si>
    <t>Gas</t>
  </si>
  <si>
    <t>E002</t>
  </si>
  <si>
    <t>Electrico</t>
  </si>
  <si>
    <t>E003</t>
  </si>
  <si>
    <t>E004</t>
  </si>
  <si>
    <t>E005</t>
  </si>
  <si>
    <t>E006</t>
  </si>
  <si>
    <t>E007</t>
  </si>
  <si>
    <t>E008</t>
  </si>
  <si>
    <t>E009</t>
  </si>
  <si>
    <t>Preventivo/Reparacion</t>
  </si>
  <si>
    <t>Mano Obra</t>
  </si>
  <si>
    <t>Materiales</t>
  </si>
  <si>
    <t>Comentario</t>
  </si>
  <si>
    <t>Preventivo</t>
  </si>
  <si>
    <t>Cambio aceite</t>
  </si>
  <si>
    <t>Fecha</t>
  </si>
  <si>
    <t>ID_Contactos</t>
  </si>
  <si>
    <t>Mail</t>
  </si>
  <si>
    <t>Telefono</t>
  </si>
  <si>
    <t>Con001</t>
  </si>
  <si>
    <t>Pedro</t>
  </si>
  <si>
    <t>Con002</t>
  </si>
  <si>
    <t>Juan</t>
  </si>
  <si>
    <t>Ingreso</t>
  </si>
  <si>
    <t>Egreso</t>
  </si>
  <si>
    <t xml:space="preserve">Alzahombre 12 Mts </t>
  </si>
  <si>
    <t xml:space="preserve">Alzahombre 10 Mts </t>
  </si>
  <si>
    <t xml:space="preserve">Alzahombre 14 Mts </t>
  </si>
  <si>
    <t>Brazo Articulado 16 MTS</t>
  </si>
  <si>
    <t xml:space="preserve">HAULOTTE </t>
  </si>
  <si>
    <t>JLG</t>
  </si>
  <si>
    <t>SNORKEL</t>
  </si>
  <si>
    <t xml:space="preserve">SKYJACK </t>
  </si>
  <si>
    <t xml:space="preserve">SNORKEL </t>
  </si>
  <si>
    <t>TOYOTA</t>
  </si>
  <si>
    <t>Compact 12</t>
  </si>
  <si>
    <t>R3246</t>
  </si>
  <si>
    <t>S3226E</t>
  </si>
  <si>
    <t>SJIII 4740</t>
  </si>
  <si>
    <t>S4732E</t>
  </si>
  <si>
    <t>A46JRT</t>
  </si>
  <si>
    <t>450AJ</t>
  </si>
  <si>
    <t>FGZN25</t>
  </si>
  <si>
    <t>GAM-39133</t>
  </si>
  <si>
    <t>M200048234</t>
  </si>
  <si>
    <t>M200048412</t>
  </si>
  <si>
    <t>M200050340</t>
  </si>
  <si>
    <t>S170800196A</t>
  </si>
  <si>
    <t>M200050660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</si>
  <si>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</si>
  <si>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</si>
  <si>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</si>
  <si>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</si>
  <si>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</si>
  <si>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</si>
  <si>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</si>
  <si>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</si>
  <si>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</si>
  <si>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</si>
  <si>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</si>
  <si>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</si>
  <si>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</si>
  <si>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</si>
  <si>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</si>
  <si>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</si>
  <si>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</si>
  <si>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</si>
  <si>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Serie</t>
  </si>
  <si>
    <t>Fecha _Termino</t>
  </si>
  <si>
    <t>Diesel</t>
  </si>
  <si>
    <t>Horometro inicial</t>
  </si>
  <si>
    <t>Cliente</t>
  </si>
  <si>
    <t>ReferenciaEquipos</t>
  </si>
  <si>
    <t>AR002</t>
  </si>
  <si>
    <t>AR003</t>
  </si>
  <si>
    <t xml:space="preserve">E001 - Alzahombre 12 Mts  - HAULOTTE </t>
  </si>
  <si>
    <t>55.555.555-5</t>
  </si>
  <si>
    <t>SAR002</t>
  </si>
  <si>
    <t>SAR003</t>
  </si>
  <si>
    <t>SAR004</t>
  </si>
  <si>
    <t>SAR005</t>
  </si>
  <si>
    <t>AR004</t>
  </si>
  <si>
    <t>AR005</t>
  </si>
  <si>
    <t>Empresa</t>
  </si>
  <si>
    <t>ID_Empresa</t>
  </si>
  <si>
    <t>Nombre_Empresa</t>
  </si>
  <si>
    <t>ReferenciaEmpresa</t>
  </si>
  <si>
    <t>Tipo</t>
  </si>
  <si>
    <t>EM001</t>
  </si>
  <si>
    <t>EM002</t>
  </si>
  <si>
    <t>EM003</t>
  </si>
  <si>
    <t>EM004</t>
  </si>
  <si>
    <t>EM005</t>
  </si>
  <si>
    <t>Proveedor</t>
  </si>
  <si>
    <t>ReferenciaContactos</t>
  </si>
  <si>
    <t>Apellido1</t>
  </si>
  <si>
    <t>Apellido2</t>
  </si>
  <si>
    <t>Lecaros</t>
  </si>
  <si>
    <t>Sotomayor</t>
  </si>
  <si>
    <t>Perez</t>
  </si>
  <si>
    <t>Pereira</t>
  </si>
  <si>
    <t>ASESORIAS ECOX LIMITADA</t>
  </si>
  <si>
    <t xml:space="preserve">Pedro </t>
  </si>
  <si>
    <t>Espanol</t>
  </si>
  <si>
    <t>Con003</t>
  </si>
  <si>
    <t>Con004</t>
  </si>
  <si>
    <t>Con005</t>
  </si>
  <si>
    <t>Con006</t>
  </si>
  <si>
    <t>Con007</t>
  </si>
  <si>
    <t>S001</t>
  </si>
  <si>
    <t>S002</t>
  </si>
  <si>
    <t>Snorkel</t>
  </si>
  <si>
    <t xml:space="preserve">Grua Horquilla </t>
  </si>
  <si>
    <t>Tijera 10mts GAM</t>
  </si>
  <si>
    <t xml:space="preserve">Brazo Articulado 16 MTS GAM </t>
  </si>
  <si>
    <t>S001 - Brazo Articulado 16 MTS GAM  - Snorkel</t>
  </si>
  <si>
    <t>Horas</t>
  </si>
  <si>
    <t>Puerto Madero</t>
  </si>
  <si>
    <t>Bodega 10</t>
  </si>
  <si>
    <t>Factura</t>
  </si>
  <si>
    <t>Ingreso Egreso</t>
  </si>
  <si>
    <t>Concepto</t>
  </si>
  <si>
    <t>Monto_Neto _Total</t>
  </si>
  <si>
    <t>Facturas</t>
  </si>
  <si>
    <t>E020 - Grua Horquilla  - TOYOTA</t>
  </si>
  <si>
    <t>Cuota con IVA</t>
  </si>
  <si>
    <t>E027 - Grua Horquilla  - TOYOTA</t>
  </si>
  <si>
    <t>Acreedor</t>
  </si>
  <si>
    <t>N°Cuotas</t>
  </si>
  <si>
    <t>Pie neto</t>
  </si>
  <si>
    <t>Cuota neta</t>
  </si>
  <si>
    <t>Comentarios</t>
  </si>
  <si>
    <t>BANCO DE CHILE</t>
  </si>
  <si>
    <t>DOMINIQUE HIRIART</t>
  </si>
  <si>
    <t>Monto_con_IVA</t>
  </si>
  <si>
    <t>Detalle</t>
  </si>
  <si>
    <t xml:space="preserve">Transportes </t>
  </si>
  <si>
    <t>Sub-arriendos</t>
  </si>
  <si>
    <t>Servicio Tecnico</t>
  </si>
  <si>
    <t>Impuestos</t>
  </si>
  <si>
    <t xml:space="preserve">Gastos administrativos </t>
  </si>
  <si>
    <t>Arriendo Oficina</t>
  </si>
  <si>
    <t xml:space="preserve">Mantencion Cta Cte </t>
  </si>
  <si>
    <t xml:space="preserve">Remuneraciones </t>
  </si>
  <si>
    <t>Prestamos socios</t>
  </si>
  <si>
    <t>Otros Ingresos</t>
  </si>
  <si>
    <t>Otros Gastos</t>
  </si>
  <si>
    <t>Cotizaciones Previsionales</t>
  </si>
  <si>
    <t>Venta</t>
  </si>
  <si>
    <t>-----INGRESOS-----</t>
  </si>
  <si>
    <t xml:space="preserve">Seguros </t>
  </si>
  <si>
    <t>Pago cuota leasing</t>
  </si>
  <si>
    <t>-----EGRESOS-----</t>
  </si>
  <si>
    <t>Reembolsos</t>
  </si>
  <si>
    <t>Monto_Neto</t>
  </si>
  <si>
    <t>Monto_Con_IVA</t>
  </si>
  <si>
    <t>Fecha_Emision_Factura</t>
  </si>
  <si>
    <t>Fecha_De_Pago</t>
  </si>
  <si>
    <t>ID_Mantenimiento</t>
  </si>
  <si>
    <t>ID_Ubicacion</t>
  </si>
  <si>
    <t>U001</t>
  </si>
  <si>
    <t>U002</t>
  </si>
  <si>
    <t>ID_Movimiento</t>
  </si>
  <si>
    <t>MAN001</t>
  </si>
  <si>
    <t>MAN002</t>
  </si>
  <si>
    <t>MOV001</t>
  </si>
  <si>
    <t>MOV002</t>
  </si>
  <si>
    <t>MOV003</t>
  </si>
  <si>
    <t>ID_Transporte</t>
  </si>
  <si>
    <t>T001</t>
  </si>
  <si>
    <t>T002</t>
  </si>
  <si>
    <t>Nota</t>
  </si>
  <si>
    <t>Estado</t>
  </si>
  <si>
    <t>Facturado</t>
  </si>
  <si>
    <t>Pagado</t>
  </si>
  <si>
    <t>Reparacion</t>
  </si>
  <si>
    <t>HITES</t>
  </si>
  <si>
    <t>EM006</t>
  </si>
  <si>
    <t>EM007</t>
  </si>
  <si>
    <t>EM008</t>
  </si>
  <si>
    <t>EM009</t>
  </si>
  <si>
    <t>44.444.444-4</t>
  </si>
  <si>
    <t>15.555.555-5</t>
  </si>
  <si>
    <t>54.222.222</t>
  </si>
  <si>
    <t xml:space="preserve">Sheila </t>
  </si>
  <si>
    <t>Lafevre</t>
  </si>
  <si>
    <t>juan@bsf.cl</t>
  </si>
  <si>
    <t>lucas@gam.com</t>
  </si>
  <si>
    <t>sheila@banco.com</t>
  </si>
  <si>
    <t xml:space="preserve">pedro@ecox.cl </t>
  </si>
  <si>
    <t>Sutil</t>
  </si>
  <si>
    <t>E005 - Alzahombre 10 Mts  - SNORKEL</t>
  </si>
  <si>
    <t>AR006</t>
  </si>
  <si>
    <t>AR007</t>
  </si>
  <si>
    <t>AR008</t>
  </si>
  <si>
    <t>AR009</t>
  </si>
  <si>
    <t>SAR006</t>
  </si>
  <si>
    <t>SAR007</t>
  </si>
  <si>
    <t>SAR008</t>
  </si>
  <si>
    <t>SAR009</t>
  </si>
  <si>
    <t>FALABELLA</t>
  </si>
  <si>
    <t>33.333.333-3</t>
  </si>
  <si>
    <t>HORIZON</t>
  </si>
  <si>
    <t>22.222.222-2</t>
  </si>
  <si>
    <t>E011 - Grua Horquilla  - TOYOTA</t>
  </si>
  <si>
    <t>U003</t>
  </si>
  <si>
    <t>U004</t>
  </si>
  <si>
    <t>U005</t>
  </si>
  <si>
    <t>U006</t>
  </si>
  <si>
    <t>U007</t>
  </si>
  <si>
    <t>U008</t>
  </si>
  <si>
    <t>U009</t>
  </si>
  <si>
    <t>Bodega 15</t>
  </si>
  <si>
    <t>UF</t>
  </si>
  <si>
    <t>Pesos</t>
  </si>
  <si>
    <t>E004 - Alzahombre 12 Mts  - JLG</t>
  </si>
  <si>
    <t>Liquido baterias</t>
  </si>
  <si>
    <t>MAN003</t>
  </si>
  <si>
    <t>MAN004</t>
  </si>
  <si>
    <t>MAN005</t>
  </si>
  <si>
    <t>MAN006</t>
  </si>
  <si>
    <t>MAN007</t>
  </si>
  <si>
    <t>MAN008</t>
  </si>
  <si>
    <t>MAN009</t>
  </si>
  <si>
    <t>T003</t>
  </si>
  <si>
    <t>T004</t>
  </si>
  <si>
    <t>T005</t>
  </si>
  <si>
    <t>T006</t>
  </si>
  <si>
    <t>T007</t>
  </si>
  <si>
    <t>T008</t>
  </si>
  <si>
    <t>T009</t>
  </si>
  <si>
    <t>E010 - Brazo Articulado 16 MTS - JLG</t>
  </si>
  <si>
    <t>MOV004</t>
  </si>
  <si>
    <t>MOV005</t>
  </si>
  <si>
    <t>MOV006</t>
  </si>
  <si>
    <t>MOV007</t>
  </si>
  <si>
    <t>MOV008</t>
  </si>
  <si>
    <t>MOV009</t>
  </si>
  <si>
    <t>Por cobrar</t>
  </si>
  <si>
    <t>E024 - Grua Horquilla  - TOYOTA</t>
  </si>
  <si>
    <t>Julio 2025</t>
  </si>
  <si>
    <t>Ingreso - 12-Aug-2025 - MOV001 - BODEGAS SAN FRANCISCO LIMITADA - 201</t>
  </si>
  <si>
    <t>Ingreso - 00-Jan-1900 - MOV004 - FALABELLA - 3265</t>
  </si>
  <si>
    <t>ID_Seguro</t>
  </si>
  <si>
    <t>SEG001</t>
  </si>
  <si>
    <t>SEG002</t>
  </si>
  <si>
    <t>SEG003</t>
  </si>
  <si>
    <t>SEG004</t>
  </si>
  <si>
    <t>SEG005</t>
  </si>
  <si>
    <t>SEG006</t>
  </si>
  <si>
    <t>SEG007</t>
  </si>
  <si>
    <t>SEG008</t>
  </si>
  <si>
    <t>SEG009</t>
  </si>
  <si>
    <t>Link</t>
  </si>
  <si>
    <t>POLIZA 223 HDI</t>
  </si>
  <si>
    <t>Polizas</t>
  </si>
  <si>
    <t>Fecha Termino</t>
  </si>
  <si>
    <t>Ultima mantencion preventiva</t>
  </si>
  <si>
    <t>Horometro</t>
  </si>
  <si>
    <t>E002 - Alzahombre 12 Mts  - JLG</t>
  </si>
  <si>
    <t>E003 - Alzahombre 12 Mts  - JLG</t>
  </si>
  <si>
    <t>Egreso - 12-Aug-2025 - MOV002 - BODEGAS SAN FRANCISCO LIMITADA - 5213</t>
  </si>
  <si>
    <t>ReferenciaFacturas</t>
  </si>
  <si>
    <t>Factura transportista EGRESO</t>
  </si>
  <si>
    <t>Factura Cliente INGRESO</t>
  </si>
  <si>
    <t>Origen</t>
  </si>
  <si>
    <t>Destino</t>
  </si>
  <si>
    <t>Cuota UF</t>
  </si>
  <si>
    <t>Tasa</t>
  </si>
  <si>
    <t>Monto</t>
  </si>
  <si>
    <t>Cuotas pendientes</t>
  </si>
  <si>
    <t>Pendientes</t>
  </si>
  <si>
    <t>ID_Leasing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</si>
  <si>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</si>
  <si>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</si>
  <si>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</si>
  <si>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</si>
  <si>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</si>
  <si>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</si>
  <si>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</si>
  <si>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</si>
  <si>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</si>
  <si>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CD001</t>
  </si>
  <si>
    <t>CD002</t>
  </si>
  <si>
    <t>CD003</t>
  </si>
  <si>
    <t>CD004</t>
  </si>
  <si>
    <t>CD005</t>
  </si>
  <si>
    <t>CD006</t>
  </si>
  <si>
    <t>CD007</t>
  </si>
  <si>
    <t>CD008</t>
  </si>
  <si>
    <t>CD009</t>
  </si>
  <si>
    <t>ID_CreditoDirecto</t>
  </si>
  <si>
    <t>Fecha 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</si>
</sst>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66" formatCode="_ * #,##0_ ;_ * \-#,##0_ ;_ * &quot;-&quot;_ ;_ @_ "/>
    <numFmt numFmtId="167" formatCode="[$-409]d\-mmm\-yy;@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ED0000"/>
      <name val="Calibri"/>
      <family val="2"/>
    </font>
    <font>
      <sz val="12"/>
      <color rgb="FF0070C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706F6F"/>
      <name val="Helvetica Neue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9" fontId="22" fillId="0" borderId="0" applyFont="0" applyFill="0" applyBorder="0" applyAlignment="0" applyProtection="0"/>
  </cellStyleXfs>
  <cellXfs count="66">
    <xf numFmtId="0" fontId="0" fillId="0" borderId="0" xfId="0"/>
    <xf numFmtId="0" fontId="8" fillId="0" borderId="0" xfId="0" applyFont="1"/>
    <xf numFmtId="0" fontId="9" fillId="0" borderId="2" xfId="0" applyFont="1" applyBorder="1" applyAlignment="1">
      <alignment horizontal="center" vertical="top"/>
    </xf>
    <xf numFmtId="164" fontId="0" fillId="0" borderId="0" xfId="1" applyNumberFormat="1" applyFont="1"/>
    <xf numFmtId="43" fontId="0" fillId="0" borderId="0" xfId="0" applyNumberFormat="1"/>
    <xf numFmtId="164" fontId="8" fillId="0" borderId="0" xfId="1" applyNumberFormat="1" applyFont="1"/>
    <xf numFmtId="0" fontId="7" fillId="0" borderId="0" xfId="0" applyFont="1"/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164" fontId="9" fillId="0" borderId="4" xfId="1" applyNumberFormat="1" applyFont="1" applyBorder="1" applyAlignment="1">
      <alignment horizontal="center" vertical="top"/>
    </xf>
    <xf numFmtId="164" fontId="7" fillId="0" borderId="0" xfId="1" applyNumberFormat="1" applyFont="1"/>
    <xf numFmtId="0" fontId="12" fillId="0" borderId="0" xfId="0" applyFont="1" applyAlignment="1">
      <alignment horizontal="center" vertical="top"/>
    </xf>
    <xf numFmtId="14" fontId="12" fillId="0" borderId="0" xfId="0" applyNumberFormat="1" applyFont="1" applyAlignment="1">
      <alignment horizontal="center" vertical="top"/>
    </xf>
    <xf numFmtId="0" fontId="13" fillId="2" borderId="0" xfId="0" applyFont="1" applyFill="1"/>
    <xf numFmtId="14" fontId="0" fillId="0" borderId="0" xfId="0" applyNumberFormat="1"/>
    <xf numFmtId="43" fontId="8" fillId="0" borderId="0" xfId="1" applyFont="1"/>
    <xf numFmtId="43" fontId="8" fillId="0" borderId="0" xfId="0" applyNumberFormat="1" applyFont="1"/>
    <xf numFmtId="0" fontId="6" fillId="0" borderId="0" xfId="0" applyFont="1"/>
    <xf numFmtId="14" fontId="9" fillId="0" borderId="3" xfId="0" applyNumberFormat="1" applyFont="1" applyBorder="1" applyAlignment="1">
      <alignment horizontal="center" vertical="top"/>
    </xf>
    <xf numFmtId="14" fontId="9" fillId="0" borderId="4" xfId="0" applyNumberFormat="1" applyFont="1" applyBorder="1" applyAlignment="1">
      <alignment horizontal="center" vertical="top"/>
    </xf>
    <xf numFmtId="14" fontId="13" fillId="2" borderId="0" xfId="0" applyNumberFormat="1" applyFont="1" applyFill="1"/>
    <xf numFmtId="164" fontId="13" fillId="2" borderId="0" xfId="1" applyNumberFormat="1" applyFont="1" applyFill="1"/>
    <xf numFmtId="165" fontId="6" fillId="0" borderId="0" xfId="0" applyNumberFormat="1" applyFont="1"/>
    <xf numFmtId="164" fontId="6" fillId="0" borderId="0" xfId="1" applyNumberFormat="1" applyFont="1"/>
    <xf numFmtId="0" fontId="14" fillId="3" borderId="1" xfId="0" applyFont="1" applyFill="1" applyBorder="1" applyAlignment="1">
      <alignment horizontal="center" vertical="top"/>
    </xf>
    <xf numFmtId="0" fontId="16" fillId="5" borderId="0" xfId="0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8" fillId="5" borderId="0" xfId="0" applyFont="1" applyFill="1" applyAlignment="1">
      <alignment horizontal="left"/>
    </xf>
    <xf numFmtId="166" fontId="18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left"/>
    </xf>
    <xf numFmtId="166" fontId="15" fillId="4" borderId="0" xfId="0" applyNumberFormat="1" applyFont="1" applyFill="1" applyAlignment="1">
      <alignment horizontal="left"/>
    </xf>
    <xf numFmtId="166" fontId="15" fillId="0" borderId="0" xfId="0" applyNumberFormat="1" applyFont="1" applyAlignment="1">
      <alignment horizontal="left"/>
    </xf>
    <xf numFmtId="0" fontId="6" fillId="0" borderId="0" xfId="0" quotePrefix="1" applyFont="1"/>
    <xf numFmtId="164" fontId="5" fillId="0" borderId="0" xfId="1" applyNumberFormat="1" applyFont="1"/>
    <xf numFmtId="0" fontId="5" fillId="0" borderId="0" xfId="0" applyFont="1"/>
    <xf numFmtId="14" fontId="5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4" fillId="0" borderId="0" xfId="0" quotePrefix="1" applyFont="1"/>
    <xf numFmtId="0" fontId="20" fillId="0" borderId="0" xfId="2"/>
    <xf numFmtId="43" fontId="0" fillId="0" borderId="0" xfId="1" applyFont="1"/>
    <xf numFmtId="0" fontId="19" fillId="0" borderId="0" xfId="0" applyFont="1"/>
    <xf numFmtId="43" fontId="21" fillId="6" borderId="0" xfId="1" applyFont="1" applyFill="1" applyAlignment="1">
      <alignment horizontal="right"/>
    </xf>
    <xf numFmtId="164" fontId="14" fillId="3" borderId="1" xfId="1" applyNumberFormat="1" applyFont="1" applyFill="1" applyBorder="1" applyAlignment="1">
      <alignment horizontal="center" vertical="top"/>
    </xf>
    <xf numFmtId="0" fontId="0" fillId="2" borderId="0" xfId="0" applyFill="1"/>
    <xf numFmtId="164" fontId="4" fillId="0" borderId="0" xfId="1" applyNumberFormat="1" applyFont="1"/>
    <xf numFmtId="165" fontId="4" fillId="0" borderId="0" xfId="1" applyNumberFormat="1" applyFont="1"/>
    <xf numFmtId="165" fontId="0" fillId="0" borderId="0" xfId="0" applyNumberFormat="1"/>
    <xf numFmtId="0" fontId="3" fillId="0" borderId="0" xfId="0" applyFont="1"/>
    <xf numFmtId="0" fontId="9" fillId="0" borderId="5" xfId="0" applyFont="1" applyBorder="1" applyAlignment="1">
      <alignment horizontal="center" vertical="top"/>
    </xf>
    <xf numFmtId="43" fontId="2" fillId="0" borderId="0" xfId="0" applyNumberFormat="1" applyFont="1"/>
    <xf numFmtId="0" fontId="2" fillId="0" borderId="0" xfId="0" applyFont="1"/>
    <xf numFmtId="164" fontId="12" fillId="0" borderId="0" xfId="1" applyNumberFormat="1" applyFont="1" applyAlignment="1">
      <alignment horizontal="center" vertical="top"/>
    </xf>
    <xf numFmtId="14" fontId="2" fillId="0" borderId="0" xfId="0" applyNumberFormat="1" applyFont="1"/>
    <xf numFmtId="167" fontId="9" fillId="0" borderId="3" xfId="0" applyNumberFormat="1" applyFont="1" applyBorder="1" applyAlignment="1">
      <alignment horizontal="center" vertical="top"/>
    </xf>
    <xf numFmtId="167" fontId="12" fillId="0" borderId="0" xfId="0" applyNumberFormat="1" applyFont="1" applyAlignment="1">
      <alignment horizontal="center" vertical="top"/>
    </xf>
    <xf numFmtId="164" fontId="9" fillId="0" borderId="2" xfId="1" applyNumberFormat="1" applyFont="1" applyBorder="1" applyAlignment="1">
      <alignment horizontal="center" vertical="top"/>
    </xf>
    <xf numFmtId="9" fontId="8" fillId="0" borderId="0" xfId="3" applyFont="1"/>
    <xf numFmtId="43" fontId="6" fillId="0" borderId="0" xfId="1" applyFont="1"/>
    <xf numFmtId="0" fontId="1" fillId="0" borderId="0" xfId="0" applyFont="1"/>
    <xf numFmtId="164" fontId="1" fillId="0" borderId="0" xfId="1" applyNumberFormat="1" applyFont="1"/>
    <xf numFmtId="14" fontId="1" fillId="0" borderId="0" xfId="1" applyNumberFormat="1" applyFont="1"/>
    <xf numFmtId="14" fontId="4" fillId="0" borderId="0" xfId="0" applyNumberFormat="1" applyFont="1"/>
    <xf numFmtId="164" fontId="23" fillId="0" borderId="0" xfId="1" applyNumberFormat="1" applyFont="1"/>
    <xf numFmtId="8" fontId="8" fillId="0" borderId="0" xfId="1" applyNumberFormat="1" applyFo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101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* #,##0_);_(* \(#,##0\);_(* &quot;-&quot;??_);_(@_)"/>
    </dxf>
    <dxf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numFmt numFmtId="19" formatCode="m/d/yyyy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numFmt numFmtId="164" formatCode="_(* #,##0_);_(* \(#,##0\);_(* &quot;-&quot;??_);_(@_)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numFmt numFmtId="167" formatCode="[$-409]d\-mmm\-yy;@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numFmt numFmtId="19" formatCode="m/d/yyyy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64D77-157D-42B1-82BE-EBFE434F9F83}" name="Equipos" displayName="Equipos" ref="A1:O355" totalsRowShown="0" dataDxfId="100">
  <autoFilter ref="A1:O355" xr:uid="{E7364D77-157D-42B1-82BE-EBFE434F9F83}"/>
  <tableColumns count="15">
    <tableColumn id="1" xr3:uid="{B3D2C3FE-566F-4A6D-ACA7-C9AB72C93220}" name="ID_Equipo" dataDxfId="99"/>
    <tableColumn id="2" xr3:uid="{5FD4FE51-FF8A-4A23-B6C0-A07E6A385DD9}" name="Tipo_Equipo" dataDxfId="98"/>
    <tableColumn id="3" xr3:uid="{412CB2DE-6239-4FD1-BE08-BF6E6E8996EA}" name="Marca" dataDxfId="97"/>
    <tableColumn id="4" xr3:uid="{2978E850-AF23-4AB1-A126-FBA948B58F6A}" name="Modelo" dataDxfId="96"/>
    <tableColumn id="5" xr3:uid="{FCB8D154-E5E6-4315-9587-71EC12021E8A}" name="Año" dataDxfId="95"/>
    <tableColumn id="6" xr3:uid="{4378DEF6-0229-4D46-BC01-F7CB604B7109}" name="Serie" dataDxfId="94"/>
    <tableColumn id="7" xr3:uid="{420A660B-D451-419A-9252-99C7894757D5}" name="Patente" dataDxfId="93"/>
    <tableColumn id="8" xr3:uid="{086124D3-5141-4AED-8594-0D39F6D57500}" name="Tipo de Energía" dataDxfId="92"/>
    <tableColumn id="9" xr3:uid="{9F853EB5-2AC5-431C-AAD8-5AF6F07F0F01}" name="Horometro inicial" dataDxfId="91"/>
    <tableColumn id="10" xr3:uid="{8FFD9C19-4842-488E-BD67-777C1A35C976}" name="Fecha de Adquisición" dataDxfId="90"/>
    <tableColumn id="11" xr3:uid="{8BC6DBBB-EC5A-4F65-9DC2-329E65AEC250}" name="Costo de Adquisición" dataDxfId="89"/>
    <tableColumn id="12" xr3:uid="{6AD2D2A6-6B8D-4595-A682-F30ADBAA5A03}" name="Seguro" dataDxfId="88"/>
    <tableColumn id="13" xr3:uid="{DE45107F-1488-4583-A535-E89BAFDC8B9A}" name="Ultima mantencion preventiva" dataDxfId="87"/>
    <tableColumn id="17" xr3:uid="{C9CD2533-46FA-4361-B541-1C1B302EC4AB}" name="Horometro" dataDxfId="86" dataCellStyle="Comma">
      <calculatedColumnFormula array="1">LOOKUP(2, 1/(ISNUMBER(SEARCH(A2, Horometro!A:A))), Horometro!C:C)</calculatedColumnFormula>
    </tableColumn>
    <tableColumn id="14" xr3:uid="{FB6A0083-7CA2-4911-A18C-93C80124F0DB}" name="ReferenciaEquipos" dataDxfId="85">
      <calculatedColumnFormula>_xlfn.TEXTJOIN(" - ", TRUE, A2, B2, C2)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EF57F6-3217-4CC4-A3A1-3A1FCF6E165B}" name="Arriendos" displayName="Arriendos" ref="A1:M10" totalsRowShown="0" headerRowDxfId="84" headerRowBorderDxfId="83" tableBorderDxfId="82">
  <autoFilter ref="A1:M10" xr:uid="{BFEF57F6-3217-4CC4-A3A1-3A1FCF6E165B}"/>
  <tableColumns count="13">
    <tableColumn id="1" xr3:uid="{0FEB4608-63D6-41F7-B63B-2A2DF37E95C8}" name="ID_Arriendo"/>
    <tableColumn id="2" xr3:uid="{2B0B55DF-56C2-44CA-BF1B-0C3618FAFD6C}" name="Empresa"/>
    <tableColumn id="3" xr3:uid="{A0C357EF-AD8C-444C-A5F5-3F925114DE13}" name="Equipo"/>
    <tableColumn id="13" xr3:uid="{62988824-7F1D-4B7E-BBDC-7F189631624E}" name="Ubicacion"/>
    <tableColumn id="4" xr3:uid="{34F0ED83-C3AA-49B3-B5FC-2334DA4B2233}" name="Fecha_Inicio" dataDxfId="81"/>
    <tableColumn id="5" xr3:uid="{299A2768-A2B4-4B6C-BC14-09D08CD81AEC}" name="Fecha _Termino" dataDxfId="80"/>
    <tableColumn id="6" xr3:uid="{DE5F8D15-817E-460F-A6DE-3A12041106B0}" name="Tarifa_Diaria" dataDxfId="79" dataCellStyle="Comma">
      <calculatedColumnFormula>16.5/20</calculatedColumnFormula>
    </tableColumn>
    <tableColumn id="7" xr3:uid="{09227DEE-8090-49C8-8F12-75107D572B94}" name="Días_Totales" dataDxfId="78">
      <calculatedColumnFormula>+Arriendos[[#This Row],[Fecha _Termino]]-Arriendos[[#This Row],[Fecha_Inicio]]</calculatedColumnFormula>
    </tableColumn>
    <tableColumn id="8" xr3:uid="{FE90DAFD-88AB-45E8-A7E6-CC1789244E14}" name="Monto_Neto _Total" dataDxfId="77">
      <calculatedColumnFormula>+Arriendos[[#This Row],[Días_Totales]]*Arriendos[[#This Row],[Tarifa_Diaria]]</calculatedColumnFormula>
    </tableColumn>
    <tableColumn id="9" xr3:uid="{0FD3B18A-59EF-4722-A26E-44B52E07C6B3}" name="Monto_con_IVA" dataDxfId="76">
      <calculatedColumnFormula>+Arriendos[[#This Row],[Monto_Neto _Total]]*1.19</calculatedColumnFormula>
    </tableColumn>
    <tableColumn id="10" xr3:uid="{8140AECD-9759-4E84-B087-59D653D06989}" name="Pesos" dataDxfId="75">
      <calculatedColumnFormula>+Arriendos[[#This Row],[Monto_con_IVA]]*UF_Julio_25</calculatedColumnFormula>
    </tableColumn>
    <tableColumn id="20" xr3:uid="{DD33ACC3-91BE-4BBA-837C-304CC2D5BC92}" name="Factura" dataDxfId="74"/>
    <tableColumn id="12" xr3:uid="{06CDEF3E-909A-4687-9EB6-40CEC28D542B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9E9B5D-0E3D-46BE-871A-93592DA6B585}" name="Subarriendos" displayName="Subarriendos" ref="A1:L10" totalsRowShown="0">
  <autoFilter ref="A1:L10" xr:uid="{E49E9B5D-0E3D-46BE-871A-93592DA6B585}"/>
  <tableColumns count="12">
    <tableColumn id="1" xr3:uid="{0384E623-0E05-4989-A81B-6E61E89A0DBE}" name="ID_Subarriendo"/>
    <tableColumn id="2" xr3:uid="{17331214-EC63-450A-87B0-047822DE90AB}" name="Empresa"/>
    <tableColumn id="3" xr3:uid="{038CD5CD-4308-4271-BB4B-CA4385722199}" name="ID_Equipo"/>
    <tableColumn id="4" xr3:uid="{CA5B9A4E-E165-4FF4-A597-B94A9BFBB932}" name="Fecha Inicio" dataDxfId="73"/>
    <tableColumn id="5" xr3:uid="{58EEFD80-F753-4E6B-A2AD-A2D52CFCBDCA}" name="Fecha Término" dataDxfId="72"/>
    <tableColumn id="6" xr3:uid="{8AFF16C5-0ADC-4A41-811C-D9BCB074A67B}" name="Tarifa Diaria" dataDxfId="71" dataCellStyle="Comma"/>
    <tableColumn id="7" xr3:uid="{43685775-9CE3-4951-8AE2-134DCF6B05D3}" name="Días Totales" dataDxfId="70" dataCellStyle="Comma">
      <calculatedColumnFormula>+E2-D2</calculatedColumnFormula>
    </tableColumn>
    <tableColumn id="8" xr3:uid="{34447B06-811E-4123-9DE5-979A9621703C}" name="Monto_Neto _Total" dataDxfId="69" dataCellStyle="Comma">
      <calculatedColumnFormula>+G2*F2</calculatedColumnFormula>
    </tableColumn>
    <tableColumn id="10" xr3:uid="{8F155CE6-ED97-4EE5-BB75-3451BF1E8740}" name="Monto_con_IVA" dataDxfId="68">
      <calculatedColumnFormula>+Subarriendos[[#This Row],[Monto_Neto _Total]]*1.19</calculatedColumnFormula>
    </tableColumn>
    <tableColumn id="12" xr3:uid="{A85858A7-5B01-4AC3-923E-34AE92DEE086}" name="Pesos" dataDxfId="67" dataCellStyle="Comma">
      <calculatedColumnFormula>+Subarriendos[[#This Row],[Monto_con_IVA]]*UF_Julio_25</calculatedColumnFormula>
    </tableColumn>
    <tableColumn id="11" xr3:uid="{3C921093-AC09-4C7D-AC07-A62F27C004BB}" name="Factura"/>
    <tableColumn id="9" xr3:uid="{249F0AF7-066C-4392-896D-4C2A30D4D38E}" name="Notas" dataDxfId="66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9723B-2DA6-4877-AE2B-ADBDDF3138E1}" name="Mantenimientos" displayName="Mantenimientos" ref="A1:J10" totalsRowShown="0" headerRowCellStyle="Normal" dataCellStyle="Normal">
  <autoFilter ref="A1:J10" xr:uid="{5249723B-2DA6-4877-AE2B-ADBDDF3138E1}"/>
  <sortState xmlns:xlrd2="http://schemas.microsoft.com/office/spreadsheetml/2017/richdata2" ref="B2:J2">
    <sortCondition ref="E1:E2"/>
  </sortState>
  <tableColumns count="10">
    <tableColumn id="8" xr3:uid="{95A60D95-E92F-4B83-865C-6000B228D90E}" name="ID_Mantenimiento" dataDxfId="65"/>
    <tableColumn id="1" xr3:uid="{A3E2B062-A652-41DC-967A-1E327D687846}" name="Equipo" dataCellStyle="Normal"/>
    <tableColumn id="2" xr3:uid="{A8325359-CA9F-4996-872D-197138FA977E}" name="Fecha Inicio" dataDxfId="64" dataCellStyle="Normal"/>
    <tableColumn id="3" xr3:uid="{145B1F10-E8D0-4ADB-BEBF-29C01F76AC73}" name="Fecha Termino" dataDxfId="63" dataCellStyle="Normal"/>
    <tableColumn id="4" xr3:uid="{0DB07437-D4EF-4930-9B62-4AA3F8B506EC}" name="Preventivo/Reparacion" dataCellStyle="Normal"/>
    <tableColumn id="5" xr3:uid="{A3FB63A7-A164-4285-A5EC-F02FB82E99F8}" name="Monto_Neto" dataDxfId="62" dataCellStyle="Comma"/>
    <tableColumn id="6" xr3:uid="{98222A0D-189E-4340-BED7-75ECB5166D17}" name="Mano Obra" dataDxfId="61" dataCellStyle="Comma"/>
    <tableColumn id="7" xr3:uid="{9E889F4C-2962-4868-9117-0A265474410F}" name="Materiales" dataDxfId="60" dataCellStyle="Comma"/>
    <tableColumn id="10" xr3:uid="{CAAF3CA0-65DD-4D95-BACC-0F37C8516883}" name="Monto_Con_IVA" dataDxfId="59">
      <calculatedColumnFormula>+Mantenimientos[[#This Row],[Monto_Neto]]*1.19</calculatedColumnFormula>
    </tableColumn>
    <tableColumn id="9" xr3:uid="{AE412118-1A0E-49AF-89D2-1C1B2E7F5E38}" name="Comentario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15C8E7-7796-46F1-BCF3-87C25C6C007A}" name="Transportes" displayName="Transportes" ref="A1:H10" totalsRowShown="0" headerRowCellStyle="Normal" dataCellStyle="Normal">
  <autoFilter ref="A1:H10" xr:uid="{5249723B-2DA6-4877-AE2B-ADBDDF3138E1}"/>
  <tableColumns count="8">
    <tableColumn id="8" xr3:uid="{02A34C64-35DF-4B4B-AD7A-21082E71A3C8}" name="ID_Transporte" dataDxfId="58"/>
    <tableColumn id="2" xr3:uid="{C32B2D85-78BD-4380-994D-F6AE45B47B04}" name="Fecha" dataDxfId="57" dataCellStyle="Comma"/>
    <tableColumn id="1" xr3:uid="{9392CA2C-3537-43C8-B185-21431D136771}" name="Equipo" dataCellStyle="Normal"/>
    <tableColumn id="6" xr3:uid="{86D7046C-76B3-4B46-8483-4069A482B85A}" name="Origen"/>
    <tableColumn id="5" xr3:uid="{56917C1F-A305-4491-A68C-A1F0A5BDF879}" name="Destino"/>
    <tableColumn id="4" xr3:uid="{8BC30DC4-2178-4B8E-AD59-8EB99CD0F867}" name="Factura transportista EGRESO"/>
    <tableColumn id="3" xr3:uid="{BC94D111-E9FB-498F-A7D8-C703EA5ECADE}" name="Factura Cliente INGRESO"/>
    <tableColumn id="9" xr3:uid="{1E67C760-C4AF-4595-BED6-4DC986B81FB2}" name="Nota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0EDE9F-456B-4EDB-8562-245DC312DB76}" name="Horometro" displayName="Horometro" ref="A1:C10" totalsRowShown="0" headerRowDxfId="40">
  <autoFilter ref="A1:C10" xr:uid="{670EDE9F-456B-4EDB-8562-245DC312DB76}"/>
  <tableColumns count="3">
    <tableColumn id="1" xr3:uid="{08E8FA65-1397-4F60-A682-8140465E8620}" name="Equipo"/>
    <tableColumn id="2" xr3:uid="{A9F9388E-E976-40F8-94CB-8A896F9EF32C}" name="Fecha" dataDxfId="39"/>
    <tableColumn id="3" xr3:uid="{69F0A6E5-9B40-4025-8E7A-4BF7573D4135}" name="Horas" dataDxfId="38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11B3F1-D5E4-442D-BED9-B3C6553460B8}" name="Empresas" displayName="Empresas" ref="A1:F10" totalsRowShown="0" headerRowCellStyle="Normal" dataCellStyle="Normal">
  <autoFilter ref="A1:F10" xr:uid="{4F11B3F1-D5E4-442D-BED9-B3C6553460B8}"/>
  <tableColumns count="6">
    <tableColumn id="1" xr3:uid="{5B4806F4-C1AF-48A2-AB2D-F73DDB25356C}" name="ID_Empresa" dataCellStyle="Normal"/>
    <tableColumn id="13" xr3:uid="{56724F3F-7264-4E58-858E-55B541061B81}" name="Tipo" dataDxfId="37"/>
    <tableColumn id="2" xr3:uid="{6A855D0A-012B-4743-8011-63899876A8D3}" name="Nombre_Empresa" dataCellStyle="Normal"/>
    <tableColumn id="3" xr3:uid="{B8CFF36E-0857-4C18-839C-7F4F2D5178DD}" name="RUT" dataCellStyle="Normal"/>
    <tableColumn id="10" xr3:uid="{437E4392-147F-45E8-A9FA-4B11FD50F890}" name="Notas" dataCellStyle="Normal"/>
    <tableColumn id="12" xr3:uid="{A08A8A8B-3CDC-4943-B259-BAE9A7D0B678}" name="ReferenciaEmpresa" dataDxfId="36" dataCellStyle="Normal">
      <calculatedColumnFormula>_xlfn.TEXTJOIN(" - ", TRUE, , C2, 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32278C-5679-4704-B55A-0C7B820C6060}" name="Contactos" displayName="Contactos" ref="A1:H10" totalsRowShown="0" headerRowDxfId="35" dataDxfId="34">
  <autoFilter ref="A1:H10" xr:uid="{EA32278C-5679-4704-B55A-0C7B820C6060}"/>
  <tableColumns count="8">
    <tableColumn id="1" xr3:uid="{DD68C07F-57BD-4D56-81BB-735B2DBBEDE6}" name="ID_Contactos" dataDxfId="33"/>
    <tableColumn id="2" xr3:uid="{6AA278A7-E9A7-43C8-8FD3-C81C937E9229}" name="Empresa" dataDxfId="32"/>
    <tableColumn id="7" xr3:uid="{0C43E389-338F-44BE-80CD-50FA39AA8590}" name="Nombre" dataDxfId="31"/>
    <tableColumn id="3" xr3:uid="{9C7D2B30-D47A-4FB7-A369-F3FD59888060}" name="Apellido1" dataDxfId="30"/>
    <tableColumn id="8" xr3:uid="{4E711148-184F-4629-B11C-71EDC1904953}" name="Apellido2" dataDxfId="29"/>
    <tableColumn id="4" xr3:uid="{62366CBB-458D-4598-8014-A9DB204F950C}" name="Mail"/>
    <tableColumn id="5" xr3:uid="{E251B16A-92A4-4FDF-AF56-239D62196E55}" name="Telefono"/>
    <tableColumn id="6" xr3:uid="{4A8F5C5C-CB7E-461F-A925-CE84DEEB443C}" name="ReferenciaContactos" dataDxfId="28">
      <calculatedColumnFormula>_xlfn.TEXTJOIN(" ", TRUE,C2,D2)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0729F4-34E4-4932-A12C-AB8A7F88B7F4}" name="SEGUROS" displayName="SEGUROS" ref="A1:C10" totalsRowShown="0">
  <autoFilter ref="A1:C10" xr:uid="{B17930F5-B115-48CE-BA6B-5C08CC9D4CAB}"/>
  <tableColumns count="3">
    <tableColumn id="2" xr3:uid="{23BF37DA-C38A-4E6D-B600-B54DB27F9900}" name="ID_Seguro" dataDxfId="27"/>
    <tableColumn id="1" xr3:uid="{F12CDE75-AA9D-4FF6-9841-A8B5C4B603AC}" name="Polizas"/>
    <tableColumn id="3" xr3:uid="{F40A0F54-CE62-40A6-BA7A-4E820E3548E3}" name="Li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7930F5-B115-48CE-BA6B-5C08CC9D4CAB}" name="Ubicacion" displayName="Ubicacion" ref="A1:C10" totalsRowShown="0">
  <autoFilter ref="A1:C10" xr:uid="{B17930F5-B115-48CE-BA6B-5C08CC9D4CAB}"/>
  <tableColumns count="3">
    <tableColumn id="2" xr3:uid="{18B309DD-E263-4858-9B9B-0B3970CFF0D0}" name="ID_Ubicacion" dataDxfId="26"/>
    <tableColumn id="1" xr3:uid="{6E006D99-B52E-4085-BBB0-F461E0DF39DC}" name="Cliente"/>
    <tableColumn id="3" xr3:uid="{73E6AABB-EFF3-4EE4-B700-81C68D8C183A}" name="Ubica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017983-4375-4936-8A29-99B5FF81ACE8}" name="Facturacion" displayName="Facturacion" ref="A1:L10" totalsRowShown="0" headerRowDxfId="56" dataDxfId="54" headerRowBorderDxfId="55" tableBorderDxfId="53">
  <autoFilter ref="A1:L10" xr:uid="{DD017983-4375-4936-8A29-99B5FF81ACE8}"/>
  <tableColumns count="12">
    <tableColumn id="10" xr3:uid="{D5F279C6-B97E-4FCF-BA60-A959DE2437F9}" name="ID_Movimiento" dataDxfId="52" dataCellStyle="Comma"/>
    <tableColumn id="1" xr3:uid="{7D5F47CE-8D4F-4AAF-BBEE-5C8CB353F203}" name="Ingreso Egreso" dataDxfId="51"/>
    <tableColumn id="2" xr3:uid="{76666BA2-57C9-4475-9D41-54FBA6B46023}" name="Empresa" dataDxfId="50"/>
    <tableColumn id="7" xr3:uid="{72CD7333-1BB4-4EA9-BDB1-A7A54A864844}" name="Concepto" dataDxfId="49"/>
    <tableColumn id="8" xr3:uid="{0B1C2E97-FE8F-4BA6-9629-DBC4E0424F33}" name="Detalle" dataDxfId="48"/>
    <tableColumn id="3" xr3:uid="{50F69365-7BA7-48C2-A5C7-2478970C6A3D}" name="Facturas" dataDxfId="47"/>
    <tableColumn id="4" xr3:uid="{50BE7A7C-0175-494D-ADB7-A79F9392D757}" name="Monto_Neto" dataDxfId="46" dataCellStyle="Comma"/>
    <tableColumn id="9" xr3:uid="{705C02C7-8781-4531-906E-4F70CD358D8D}" name="Monto_Con_IVA" dataDxfId="45" dataCellStyle="Comma">
      <calculatedColumnFormula>+Facturacion[[#This Row],[Monto_Neto]]*1.19</calculatedColumnFormula>
    </tableColumn>
    <tableColumn id="11" xr3:uid="{C0D01DDE-15EA-4EC0-ACF4-2AF5B1BC686E}" name="Estado" dataDxfId="44" dataCellStyle="Comma"/>
    <tableColumn id="5" xr3:uid="{CC958FB0-208F-49CE-B2FC-34B54FA4443F}" name="Fecha_Emision_Factura" dataDxfId="43"/>
    <tableColumn id="6" xr3:uid="{BBE49FF5-5E16-4305-8B1F-C59264DD182F}" name="Fecha_De_Pago" dataDxfId="42"/>
    <tableColumn id="13" xr3:uid="{B4E4231E-85C9-4351-B06E-91C1163C6D24}" name="ReferenciaFacturas" dataDxfId="41">
      <calculatedColumnFormula>_xlfn.TEXTJOIN(" - ", TRUE,Facturacion[[#This Row],[Ingreso Egreso]],TEXT(J2, "dd-mmm-yyyy"), A2, C2,F2  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5D92D-2A92-49DA-A621-84B0B9176703}" name="Financiamiento" displayName="Financiamiento" ref="A1:I10" totalsRowShown="0" headerRowDxfId="12" dataDxfId="11" headerRowBorderDxfId="9" tableBorderDxfId="10">
  <autoFilter ref="A1:I10" xr:uid="{9855D92D-2A92-49DA-A621-84B0B9176703}"/>
  <tableColumns count="9">
    <tableColumn id="8" xr3:uid="{DAF73CFB-C96A-4DBA-8006-8EA0DA23C425}" name="ID_CreditoDirecto"/>
    <tableColumn id="3" xr3:uid="{239F6870-2A8A-4FEF-9261-ADB3DFE1AB49}" name="Fecha prestamo" dataDxfId="8"/>
    <tableColumn id="11" xr3:uid="{E1C51219-FE68-4B59-9C90-6EF22986319E}" name="Acreedor" dataDxfId="7"/>
    <tableColumn id="7" xr3:uid="{7DCDA850-173F-45D0-A263-C6592797341C}" name="Monto" dataDxfId="6">
      <calculatedColumnFormula>92000000/39202.08</calculatedColumnFormula>
    </tableColumn>
    <tableColumn id="2" xr3:uid="{181B69CA-2557-46ED-9054-E4CD5DEA4857}" name="N°Cuotas" dataDxfId="5" dataCellStyle="Comma"/>
    <tableColumn id="1" xr3:uid="{BC00106F-1FAB-49EE-A08B-B60B4AD40337}" name="Tasa" dataDxfId="4" dataCellStyle="Comma"/>
    <tableColumn id="4" xr3:uid="{8327DE0C-A229-4DA0-9F0C-CD51E167821B}" name="Cuota UF" dataDxfId="1" dataCellStyle="Comma">
      <calculatedColumnFormula>-PMT(Financiamiento[[#This Row],[Tasa]]/12,Financiamiento[[#This Row],[N°Cuotas]],Financiamiento[[#This Row],[Monto]])</calculatedColumnFormula>
    </tableColumn>
    <tableColumn id="12" xr3:uid="{9836D8A7-60B7-431A-A6D6-72B42534AC5B}" name="Fecha Termino" dataDxfId="3" dataCellStyle="Comma">
      <calculatedColumnFormula>EDATE(Financiamiento[[#This Row],[Fecha prestamo]], Financiamiento[[#This Row],[N°Cuotas]])</calculatedColumnFormula>
    </tableColumn>
    <tableColumn id="14" xr3:uid="{88796AEF-4E48-4EF8-936A-BFA00DFF2E92}" name="Pendientes" dataDxfId="2" dataCellStyle="Comma">
      <calculatedColumnFormula>DATEDIF(TODAY(),Financiamiento[[#This Row],[Fecha Termino]],"m")+1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5DFA71-923E-429A-8584-6211D3C5501A}" name="Financiamiento14" displayName="Financiamiento14" ref="A1:J10" totalsRowShown="0" headerRowDxfId="25" dataDxfId="24" headerRowBorderDxfId="22" tableBorderDxfId="23">
  <autoFilter ref="A1:J10" xr:uid="{9855D92D-2A92-49DA-A621-84B0B9176703}"/>
  <tableColumns count="10">
    <tableColumn id="8" xr3:uid="{7254B35D-B098-4C58-9FD5-5C4EB8F7833E}" name="ID_Leasing"/>
    <tableColumn id="7" xr3:uid="{4DA28A12-1614-4A94-ACA2-D9162E71447C}" name="Fecha" dataDxfId="15"/>
    <tableColumn id="1" xr3:uid="{48B6EF3E-3876-4EEA-9A8F-475F36D689AF}" name="Equipo" dataDxfId="21"/>
    <tableColumn id="11" xr3:uid="{52BACF19-0D01-4BC0-9B15-B4A3FBBB1B21}" name="Acreedor" dataDxfId="20"/>
    <tableColumn id="2" xr3:uid="{21A192D1-3C31-4931-8A15-B0D9D6A31313}" name="N°Cuotas" dataDxfId="19" dataCellStyle="Comma"/>
    <tableColumn id="3" xr3:uid="{057D26A4-9116-41DC-B242-CCE90D1453DE}" name="Pie neto" dataDxfId="18" dataCellStyle="Comma"/>
    <tableColumn id="4" xr3:uid="{59587B61-7B2F-4382-8766-FD3F572EE0E6}" name="Cuota neta" dataDxfId="17" dataCellStyle="Comma"/>
    <tableColumn id="9" xr3:uid="{0C29CB3B-256E-4461-BFD6-7E35901BE040}" name="Cuota con IVA" dataDxfId="16" dataCellStyle="Comma">
      <calculatedColumnFormula>+Financiamiento14[[#This Row],[Cuota neta]]*1.19</calculatedColumnFormula>
    </tableColumn>
    <tableColumn id="10" xr3:uid="{C8D38C01-FDAB-4052-AE5C-85401A04591B}" name="Fecha Termino" dataDxfId="14">
      <calculatedColumnFormula>EDATE(Financiamiento14[[#This Row],[Fecha]], Financiamiento14[[#This Row],[N°Cuotas]])</calculatedColumnFormula>
    </tableColumn>
    <tableColumn id="12" xr3:uid="{C55FC626-8EF4-4434-9CAF-C0A9CD192C44}" name="Cuotas pendientes" dataDxfId="13" dataCellStyle="Comma">
      <calculatedColumnFormula>DATEDIF(TODAY(),Financiamiento14[[#This Row],[Fecha Termino]],"m")+1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heila@banco.com" TargetMode="External"/><Relationship Id="rId2" Type="http://schemas.openxmlformats.org/officeDocument/2006/relationships/hyperlink" Target="mailto:lucas@gam.com" TargetMode="External"/><Relationship Id="rId1" Type="http://schemas.openxmlformats.org/officeDocument/2006/relationships/hyperlink" Target="mailto:juan@bsf.cl" TargetMode="External"/><Relationship Id="rId5" Type="http://schemas.openxmlformats.org/officeDocument/2006/relationships/table" Target="../tables/table8.xml"/><Relationship Id="rId4" Type="http://schemas.openxmlformats.org/officeDocument/2006/relationships/hyperlink" Target="mailto:pedro@ecox.c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tabSelected="1" topLeftCell="C1" workbookViewId="0">
      <selection activeCell="B7" sqref="B7"/>
    </sheetView>
  </sheetViews>
  <sheetFormatPr defaultColWidth="14.42578125" defaultRowHeight="15" customHeight="1"/>
  <cols>
    <col min="1" max="1" width="12.7109375" style="11" customWidth="1"/>
    <col min="2" max="2" width="27.7109375" style="11" bestFit="1" customWidth="1"/>
    <col min="3" max="3" width="10.5703125" style="11" bestFit="1" customWidth="1"/>
    <col min="4" max="4" width="11.140625" style="11" bestFit="1" customWidth="1"/>
    <col min="5" max="5" width="9.140625" style="11" bestFit="1" customWidth="1"/>
    <col min="6" max="6" width="14.7109375" style="11" customWidth="1"/>
    <col min="7" max="7" width="12.28515625" style="11" customWidth="1"/>
    <col min="8" max="8" width="17.85546875" style="11" customWidth="1"/>
    <col min="9" max="9" width="22.85546875" style="11" customWidth="1"/>
    <col min="10" max="10" width="23" style="12" customWidth="1"/>
    <col min="11" max="11" width="23" style="11" customWidth="1"/>
    <col min="12" max="12" width="30.42578125" style="11" customWidth="1"/>
    <col min="13" max="13" width="29.85546875" style="56" customWidth="1"/>
    <col min="14" max="14" width="20.140625" style="53" customWidth="1"/>
    <col min="15" max="15" width="38.140625" style="11" bestFit="1" customWidth="1"/>
    <col min="16" max="21" width="8.7109375" customWidth="1"/>
  </cols>
  <sheetData>
    <row r="1" spans="1:15">
      <c r="A1" s="7" t="s">
        <v>2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98</v>
      </c>
      <c r="G1" s="7" t="s">
        <v>24</v>
      </c>
      <c r="H1" s="7" t="s">
        <v>25</v>
      </c>
      <c r="I1" s="7" t="s">
        <v>101</v>
      </c>
      <c r="J1" s="18" t="s">
        <v>26</v>
      </c>
      <c r="K1" s="7" t="s">
        <v>27</v>
      </c>
      <c r="L1" s="7" t="s">
        <v>28</v>
      </c>
      <c r="M1" s="55" t="s">
        <v>288</v>
      </c>
      <c r="N1" s="57" t="s">
        <v>289</v>
      </c>
      <c r="O1" s="2" t="s">
        <v>103</v>
      </c>
    </row>
    <row r="2" spans="1:15">
      <c r="A2" s="35" t="s">
        <v>29</v>
      </c>
      <c r="B2" s="6" t="s">
        <v>56</v>
      </c>
      <c r="C2" s="6" t="s">
        <v>60</v>
      </c>
      <c r="D2" s="1" t="s">
        <v>66</v>
      </c>
      <c r="E2">
        <v>2021</v>
      </c>
      <c r="F2" s="5" t="s">
        <v>74</v>
      </c>
      <c r="G2" s="1"/>
      <c r="H2" s="1" t="s">
        <v>32</v>
      </c>
      <c r="I2" s="6">
        <v>1200</v>
      </c>
      <c r="J2" s="22">
        <v>45504</v>
      </c>
      <c r="K2" s="53">
        <v>10000000</v>
      </c>
      <c r="L2" s="11" t="s">
        <v>285</v>
      </c>
      <c r="M2" s="56">
        <f>_xlfn.MAXIFS(Mantenimientos!D:D, Mantenimientos!B:B, "*"&amp;A2&amp;"*",   Mantenimientos!E:E, "Preventivo")</f>
        <v>45916</v>
      </c>
      <c r="N2" s="53" cm="1">
        <f t="array" ref="N2">LOOKUP(2, 1/(ISNUMBER(SEARCH(A2, Horometro!A:A))), Horometro!C:C)</f>
        <v>2000</v>
      </c>
      <c r="O2" s="11" t="str">
        <f t="shared" ref="O2:O65" si="0">_xlfn.TEXTJOIN(" - ", TRUE, A2, B2, C2)</f>
        <v xml:space="preserve">E001 - Alzahombre 12 Mts  - HAULOTTE </v>
      </c>
    </row>
    <row r="3" spans="1:15">
      <c r="A3" s="1" t="s">
        <v>31</v>
      </c>
      <c r="B3" t="s">
        <v>56</v>
      </c>
      <c r="C3" s="1" t="s">
        <v>61</v>
      </c>
      <c r="D3" t="s">
        <v>67</v>
      </c>
      <c r="E3">
        <v>2021</v>
      </c>
      <c r="F3" s="3" t="s">
        <v>75</v>
      </c>
      <c r="G3"/>
      <c r="H3" s="1" t="s">
        <v>32</v>
      </c>
      <c r="I3">
        <v>0</v>
      </c>
      <c r="J3" s="22">
        <v>44484</v>
      </c>
      <c r="K3" s="53"/>
      <c r="M3" s="56">
        <f>_xlfn.MAXIFS(Mantenimientos!D:D, Mantenimientos!B:B, "*"&amp;A3&amp;"*",   Mantenimientos!E:E, "Preventivo")</f>
        <v>0</v>
      </c>
      <c r="N3" s="53" cm="1">
        <f t="array" ref="N3">LOOKUP(2, 1/(ISNUMBER(SEARCH(A3, Horometro!A:A))), Horometro!C:C)</f>
        <v>30</v>
      </c>
      <c r="O3" s="11" t="str">
        <f t="shared" si="0"/>
        <v>E002 - Alzahombre 12 Mts  - JLG</v>
      </c>
    </row>
    <row r="4" spans="1:15">
      <c r="A4" s="1" t="s">
        <v>33</v>
      </c>
      <c r="B4" t="s">
        <v>56</v>
      </c>
      <c r="C4" s="1" t="s">
        <v>61</v>
      </c>
      <c r="D4" t="s">
        <v>67</v>
      </c>
      <c r="E4">
        <v>2021</v>
      </c>
      <c r="F4" s="3" t="s">
        <v>76</v>
      </c>
      <c r="G4"/>
      <c r="H4" s="1" t="s">
        <v>32</v>
      </c>
      <c r="I4"/>
      <c r="J4" s="22">
        <v>44484</v>
      </c>
      <c r="K4" s="53"/>
      <c r="M4" s="56">
        <f>_xlfn.MAXIFS(Mantenimientos!D:D, Mantenimientos!B:B, "*"&amp;A4&amp;"*",   Mantenimientos!E:E, "Preventivo")</f>
        <v>0</v>
      </c>
      <c r="N4" s="53" cm="1">
        <f t="array" ref="N4">LOOKUP(2, 1/(ISNUMBER(SEARCH(A4, Horometro!A:A))), Horometro!C:C)</f>
        <v>5662</v>
      </c>
      <c r="O4" s="11" t="str">
        <f t="shared" si="0"/>
        <v>E003 - Alzahombre 12 Mts  - JLG</v>
      </c>
    </row>
    <row r="5" spans="1:15">
      <c r="A5" s="1" t="s">
        <v>34</v>
      </c>
      <c r="B5" t="s">
        <v>56</v>
      </c>
      <c r="C5" s="6" t="s">
        <v>61</v>
      </c>
      <c r="D5" t="s">
        <v>67</v>
      </c>
      <c r="E5">
        <v>2021</v>
      </c>
      <c r="F5" s="3" t="s">
        <v>77</v>
      </c>
      <c r="G5"/>
      <c r="H5" s="1" t="s">
        <v>32</v>
      </c>
      <c r="I5"/>
      <c r="J5" s="22">
        <v>44515</v>
      </c>
      <c r="K5" s="53"/>
      <c r="M5" s="56">
        <f>_xlfn.MAXIFS(Mantenimientos!D:D, Mantenimientos!B:B, "*"&amp;A5&amp;"*",   Mantenimientos!E:E, "Preventivo")</f>
        <v>0</v>
      </c>
      <c r="N5" s="53" t="e" cm="1">
        <f t="array" ref="N5">LOOKUP(2, 1/(ISNUMBER(SEARCH(A5, Horometro!A:A))), Horometro!C:C)</f>
        <v>#N/A</v>
      </c>
      <c r="O5" s="11" t="str">
        <f t="shared" si="0"/>
        <v>E004 - Alzahombre 12 Mts  - JLG</v>
      </c>
    </row>
    <row r="6" spans="1:15">
      <c r="A6" s="1" t="s">
        <v>35</v>
      </c>
      <c r="B6" t="s">
        <v>57</v>
      </c>
      <c r="C6" s="6" t="s">
        <v>62</v>
      </c>
      <c r="D6" t="s">
        <v>68</v>
      </c>
      <c r="E6">
        <v>2017</v>
      </c>
      <c r="F6" s="10" t="s">
        <v>78</v>
      </c>
      <c r="G6"/>
      <c r="H6" s="1" t="s">
        <v>32</v>
      </c>
      <c r="I6"/>
      <c r="J6" s="22">
        <v>44529</v>
      </c>
      <c r="K6" s="53"/>
      <c r="M6" s="56">
        <f>_xlfn.MAXIFS(Mantenimientos!D:D, Mantenimientos!B:B, "*"&amp;A6&amp;"*",   Mantenimientos!E:E, "Preventivo")</f>
        <v>0</v>
      </c>
      <c r="N6" s="53" t="e" cm="1">
        <f t="array" ref="N6">LOOKUP(2, 1/(ISNUMBER(SEARCH(A6, Horometro!A:A))), Horometro!C:C)</f>
        <v>#N/A</v>
      </c>
      <c r="O6" s="11" t="str">
        <f t="shared" si="0"/>
        <v>E005 - Alzahombre 10 Mts  - SNORKEL</v>
      </c>
    </row>
    <row r="7" spans="1:15">
      <c r="A7" t="s">
        <v>36</v>
      </c>
      <c r="B7" t="s">
        <v>58</v>
      </c>
      <c r="C7" s="6" t="s">
        <v>63</v>
      </c>
      <c r="D7" t="s">
        <v>69</v>
      </c>
      <c r="E7">
        <v>2020</v>
      </c>
      <c r="F7" s="10">
        <v>70205122</v>
      </c>
      <c r="G7"/>
      <c r="H7" t="s">
        <v>32</v>
      </c>
      <c r="I7"/>
      <c r="J7" s="22">
        <v>45582</v>
      </c>
      <c r="K7" s="53"/>
      <c r="M7" s="56">
        <f>_xlfn.MAXIFS(Mantenimientos!D:D, Mantenimientos!B:B, "*"&amp;A7&amp;"*",   Mantenimientos!E:E, "Preventivo")</f>
        <v>0</v>
      </c>
      <c r="N7" s="53" t="e" cm="1">
        <f t="array" ref="N7">LOOKUP(2, 1/(ISNUMBER(SEARCH(A7, Horometro!A:A))), Horometro!C:C)</f>
        <v>#N/A</v>
      </c>
      <c r="O7" s="11" t="str">
        <f t="shared" si="0"/>
        <v xml:space="preserve">E006 - Alzahombre 14 Mts  - SKYJACK </v>
      </c>
    </row>
    <row r="8" spans="1:15">
      <c r="A8" t="s">
        <v>37</v>
      </c>
      <c r="B8" t="s">
        <v>56</v>
      </c>
      <c r="C8" s="1" t="s">
        <v>61</v>
      </c>
      <c r="D8" t="s">
        <v>67</v>
      </c>
      <c r="E8">
        <v>2022</v>
      </c>
      <c r="F8" s="10" t="s">
        <v>79</v>
      </c>
      <c r="G8"/>
      <c r="H8" t="s">
        <v>32</v>
      </c>
      <c r="I8"/>
      <c r="J8" s="22">
        <v>44636</v>
      </c>
      <c r="K8" s="53"/>
      <c r="M8" s="56">
        <f>_xlfn.MAXIFS(Mantenimientos!D:D, Mantenimientos!B:B, "*"&amp;A8&amp;"*",   Mantenimientos!E:E, "Preventivo")</f>
        <v>0</v>
      </c>
      <c r="N8" s="53" t="e" cm="1">
        <f t="array" ref="N8">LOOKUP(2, 1/(ISNUMBER(SEARCH(A8, Horometro!A:A))), Horometro!C:C)</f>
        <v>#N/A</v>
      </c>
      <c r="O8" s="11" t="str">
        <f t="shared" si="0"/>
        <v>E007 - Alzahombre 12 Mts  - JLG</v>
      </c>
    </row>
    <row r="9" spans="1:15">
      <c r="A9" t="s">
        <v>38</v>
      </c>
      <c r="B9" t="s">
        <v>56</v>
      </c>
      <c r="C9" s="1" t="s">
        <v>64</v>
      </c>
      <c r="D9" t="s">
        <v>70</v>
      </c>
      <c r="E9">
        <v>2023</v>
      </c>
      <c r="F9" s="10">
        <v>230101014</v>
      </c>
      <c r="G9"/>
      <c r="H9" t="s">
        <v>32</v>
      </c>
      <c r="I9"/>
      <c r="J9" s="22">
        <v>45729</v>
      </c>
      <c r="K9" s="53"/>
      <c r="M9" s="56">
        <f>_xlfn.MAXIFS(Mantenimientos!D:D, Mantenimientos!B:B, "*"&amp;A9&amp;"*",   Mantenimientos!E:E, "Preventivo")</f>
        <v>0</v>
      </c>
      <c r="N9" s="53" t="e" cm="1">
        <f t="array" ref="N9">LOOKUP(2, 1/(ISNUMBER(SEARCH(A9, Horometro!A:A))), Horometro!C:C)</f>
        <v>#N/A</v>
      </c>
      <c r="O9" s="11" t="str">
        <f t="shared" si="0"/>
        <v xml:space="preserve">E008 - Alzahombre 12 Mts  - SNORKEL </v>
      </c>
    </row>
    <row r="10" spans="1:15">
      <c r="A10" t="s">
        <v>39</v>
      </c>
      <c r="B10" t="s">
        <v>59</v>
      </c>
      <c r="C10" s="1" t="s">
        <v>62</v>
      </c>
      <c r="D10" t="s">
        <v>71</v>
      </c>
      <c r="E10">
        <v>2019</v>
      </c>
      <c r="F10" s="10">
        <v>1906000199</v>
      </c>
      <c r="G10"/>
      <c r="H10" t="s">
        <v>100</v>
      </c>
      <c r="I10"/>
      <c r="J10" s="22">
        <v>44825</v>
      </c>
      <c r="K10" s="53"/>
      <c r="M10" s="56">
        <f>_xlfn.MAXIFS(Mantenimientos!D:D, Mantenimientos!B:B, "*"&amp;A10&amp;"*",   Mantenimientos!E:E, "Preventivo")</f>
        <v>0</v>
      </c>
      <c r="N10" s="53" t="e" cm="1">
        <f t="array" ref="N10">LOOKUP(2, 1/(ISNUMBER(SEARCH(A10, Horometro!A:A))), Horometro!C:C)</f>
        <v>#N/A</v>
      </c>
      <c r="O10" s="11" t="str">
        <f t="shared" si="0"/>
        <v>E009 - Brazo Articulado 16 MTS - SNORKEL</v>
      </c>
    </row>
    <row r="11" spans="1:15" ht="15" customHeight="1">
      <c r="A11" t="s">
        <v>80</v>
      </c>
      <c r="B11" t="s">
        <v>59</v>
      </c>
      <c r="C11" t="s">
        <v>61</v>
      </c>
      <c r="D11" t="s">
        <v>72</v>
      </c>
      <c r="E11">
        <v>2023</v>
      </c>
      <c r="F11" s="10">
        <v>300300738</v>
      </c>
      <c r="G11"/>
      <c r="H11" t="s">
        <v>100</v>
      </c>
      <c r="I11"/>
      <c r="J11" s="22">
        <v>45043</v>
      </c>
      <c r="K11" s="53"/>
      <c r="M11" s="56">
        <f>_xlfn.MAXIFS(Mantenimientos!D:D, Mantenimientos!B:B, "*"&amp;A11&amp;"*",   Mantenimientos!E:E, "Preventivo")</f>
        <v>0</v>
      </c>
      <c r="N11" s="53" t="e" cm="1">
        <f t="array" ref="N11">LOOKUP(2, 1/(ISNUMBER(SEARCH(A11, Horometro!A:A))), Horometro!C:C)</f>
        <v>#N/A</v>
      </c>
      <c r="O11" s="11" t="str">
        <f t="shared" si="0"/>
        <v>E010 - Brazo Articulado 16 MTS - JLG</v>
      </c>
    </row>
    <row r="12" spans="1:15" ht="15" customHeight="1">
      <c r="A12" t="s">
        <v>81</v>
      </c>
      <c r="B12" s="6" t="s">
        <v>143</v>
      </c>
      <c r="C12" t="s">
        <v>65</v>
      </c>
      <c r="D12" t="s">
        <v>73</v>
      </c>
      <c r="E12">
        <v>2023</v>
      </c>
      <c r="F12" s="10">
        <v>40227</v>
      </c>
      <c r="G12"/>
      <c r="H12" t="s">
        <v>30</v>
      </c>
      <c r="I12"/>
      <c r="J12" s="22">
        <v>45160</v>
      </c>
      <c r="K12" s="53"/>
      <c r="M12" s="56">
        <f>_xlfn.MAXIFS(Mantenimientos!D:D, Mantenimientos!B:B, "*"&amp;A12&amp;"*",   Mantenimientos!E:E, "Preventivo")</f>
        <v>45852</v>
      </c>
      <c r="N12" s="53" t="e" cm="1">
        <f t="array" ref="N12">LOOKUP(2, 1/(ISNUMBER(SEARCH(A12, Horometro!A:A))), Horometro!C:C)</f>
        <v>#N/A</v>
      </c>
      <c r="O12" s="11" t="str">
        <f t="shared" si="0"/>
        <v>E011 - Grua Horquilla  - TOYOTA</v>
      </c>
    </row>
    <row r="13" spans="1:15" ht="15" customHeight="1">
      <c r="A13" t="s">
        <v>82</v>
      </c>
      <c r="B13" s="6" t="s">
        <v>143</v>
      </c>
      <c r="C13" t="s">
        <v>65</v>
      </c>
      <c r="D13" t="s">
        <v>73</v>
      </c>
      <c r="E13">
        <v>2024</v>
      </c>
      <c r="F13" s="10">
        <v>40271</v>
      </c>
      <c r="G13"/>
      <c r="H13" t="s">
        <v>30</v>
      </c>
      <c r="I13"/>
      <c r="J13" s="22">
        <v>45287</v>
      </c>
      <c r="K13" s="53"/>
      <c r="M13" s="56">
        <f>_xlfn.MAXIFS(Mantenimientos!D:D, Mantenimientos!B:B, "*"&amp;A13&amp;"*",   Mantenimientos!E:E, "Preventivo")</f>
        <v>0</v>
      </c>
      <c r="N13" s="53" t="e" cm="1">
        <f t="array" ref="N13">LOOKUP(2, 1/(ISNUMBER(SEARCH(A13, Horometro!A:A))), Horometro!C:C)</f>
        <v>#N/A</v>
      </c>
      <c r="O13" s="11" t="str">
        <f t="shared" si="0"/>
        <v>E012 - Grua Horquilla  - TOYOTA</v>
      </c>
    </row>
    <row r="14" spans="1:15" ht="15" customHeight="1">
      <c r="A14" t="s">
        <v>83</v>
      </c>
      <c r="B14" s="6" t="s">
        <v>143</v>
      </c>
      <c r="C14" t="s">
        <v>65</v>
      </c>
      <c r="D14" t="s">
        <v>73</v>
      </c>
      <c r="E14">
        <v>2024</v>
      </c>
      <c r="F14" s="10">
        <v>24819</v>
      </c>
      <c r="G14"/>
      <c r="H14" t="s">
        <v>30</v>
      </c>
      <c r="I14"/>
      <c r="J14" s="22">
        <v>45406</v>
      </c>
      <c r="K14" s="53"/>
      <c r="M14" s="56">
        <f>_xlfn.MAXIFS(Mantenimientos!D:D, Mantenimientos!B:B, "*"&amp;A14&amp;"*",   Mantenimientos!E:E, "Preventivo")</f>
        <v>0</v>
      </c>
      <c r="N14" s="53" t="e" cm="1">
        <f t="array" ref="N14">LOOKUP(2, 1/(ISNUMBER(SEARCH(A14, Horometro!A:A))), Horometro!C:C)</f>
        <v>#N/A</v>
      </c>
      <c r="O14" s="11" t="str">
        <f t="shared" si="0"/>
        <v>E013 - Grua Horquilla  - TOYOTA</v>
      </c>
    </row>
    <row r="15" spans="1:15" ht="15" customHeight="1">
      <c r="A15" t="s">
        <v>84</v>
      </c>
      <c r="B15" s="6" t="s">
        <v>143</v>
      </c>
      <c r="C15" t="s">
        <v>65</v>
      </c>
      <c r="D15" t="s">
        <v>73</v>
      </c>
      <c r="E15">
        <v>2024</v>
      </c>
      <c r="F15" s="10">
        <v>40063</v>
      </c>
      <c r="G15"/>
      <c r="H15" t="s">
        <v>30</v>
      </c>
      <c r="I15"/>
      <c r="J15" s="22">
        <v>45406</v>
      </c>
      <c r="K15" s="53"/>
      <c r="M15" s="56">
        <f>_xlfn.MAXIFS(Mantenimientos!D:D, Mantenimientos!B:B, "*"&amp;A15&amp;"*",   Mantenimientos!E:E, "Preventivo")</f>
        <v>0</v>
      </c>
      <c r="N15" s="53" t="e" cm="1">
        <f t="array" ref="N15">LOOKUP(2, 1/(ISNUMBER(SEARCH(A15, Horometro!A:A))), Horometro!C:C)</f>
        <v>#N/A</v>
      </c>
      <c r="O15" s="11" t="str">
        <f t="shared" si="0"/>
        <v>E014 - Grua Horquilla  - TOYOTA</v>
      </c>
    </row>
    <row r="16" spans="1:15" ht="15" customHeight="1">
      <c r="A16" t="s">
        <v>85</v>
      </c>
      <c r="B16" s="6" t="s">
        <v>143</v>
      </c>
      <c r="C16" t="s">
        <v>65</v>
      </c>
      <c r="D16" t="s">
        <v>73</v>
      </c>
      <c r="E16">
        <v>2024</v>
      </c>
      <c r="F16" s="10">
        <v>40020</v>
      </c>
      <c r="G16"/>
      <c r="H16" t="s">
        <v>30</v>
      </c>
      <c r="I16"/>
      <c r="J16" s="22">
        <v>45406</v>
      </c>
      <c r="K16" s="53"/>
      <c r="M16" s="56">
        <f>_xlfn.MAXIFS(Mantenimientos!D:D, Mantenimientos!B:B, "*"&amp;A16&amp;"*",   Mantenimientos!E:E, "Preventivo")</f>
        <v>0</v>
      </c>
      <c r="N16" s="53" t="e" cm="1">
        <f t="array" ref="N16">LOOKUP(2, 1/(ISNUMBER(SEARCH(A16, Horometro!A:A))), Horometro!C:C)</f>
        <v>#N/A</v>
      </c>
      <c r="O16" s="11" t="str">
        <f t="shared" si="0"/>
        <v>E015 - Grua Horquilla  - TOYOTA</v>
      </c>
    </row>
    <row r="17" spans="1:15" ht="15" customHeight="1">
      <c r="A17" t="s">
        <v>86</v>
      </c>
      <c r="B17" s="6" t="s">
        <v>143</v>
      </c>
      <c r="C17" t="s">
        <v>65</v>
      </c>
      <c r="D17" t="s">
        <v>73</v>
      </c>
      <c r="E17">
        <v>2024</v>
      </c>
      <c r="F17" s="10">
        <v>40067</v>
      </c>
      <c r="G17"/>
      <c r="H17" t="s">
        <v>30</v>
      </c>
      <c r="I17"/>
      <c r="J17" s="22">
        <v>45406</v>
      </c>
      <c r="K17" s="53"/>
      <c r="M17" s="56">
        <f>_xlfn.MAXIFS(Mantenimientos!D:D, Mantenimientos!B:B, "*"&amp;A17&amp;"*",   Mantenimientos!E:E, "Preventivo")</f>
        <v>0</v>
      </c>
      <c r="N17" s="53" t="e" cm="1">
        <f t="array" ref="N17">LOOKUP(2, 1/(ISNUMBER(SEARCH(A17, Horometro!A:A))), Horometro!C:C)</f>
        <v>#N/A</v>
      </c>
      <c r="O17" s="11" t="str">
        <f t="shared" si="0"/>
        <v>E016 - Grua Horquilla  - TOYOTA</v>
      </c>
    </row>
    <row r="18" spans="1:15" ht="15" customHeight="1">
      <c r="A18" t="s">
        <v>87</v>
      </c>
      <c r="B18" s="6" t="s">
        <v>143</v>
      </c>
      <c r="C18" t="s">
        <v>65</v>
      </c>
      <c r="D18" t="s">
        <v>73</v>
      </c>
      <c r="E18">
        <v>2025</v>
      </c>
      <c r="F18" s="10">
        <v>40550</v>
      </c>
      <c r="G18"/>
      <c r="H18" t="s">
        <v>30</v>
      </c>
      <c r="I18"/>
      <c r="J18" s="22">
        <v>45741</v>
      </c>
      <c r="K18" s="53"/>
      <c r="M18" s="56">
        <f>_xlfn.MAXIFS(Mantenimientos!D:D, Mantenimientos!B:B, "*"&amp;A18&amp;"*",   Mantenimientos!E:E, "Preventivo")</f>
        <v>0</v>
      </c>
      <c r="N18" s="53" t="e" cm="1">
        <f t="array" ref="N18">LOOKUP(2, 1/(ISNUMBER(SEARCH(A18, Horometro!A:A))), Horometro!C:C)</f>
        <v>#N/A</v>
      </c>
      <c r="O18" s="11" t="str">
        <f t="shared" si="0"/>
        <v>E017 - Grua Horquilla  - TOYOTA</v>
      </c>
    </row>
    <row r="19" spans="1:15" ht="15" customHeight="1">
      <c r="A19" t="s">
        <v>88</v>
      </c>
      <c r="B19" s="6" t="s">
        <v>143</v>
      </c>
      <c r="C19" t="s">
        <v>65</v>
      </c>
      <c r="D19" t="s">
        <v>73</v>
      </c>
      <c r="E19">
        <v>2025</v>
      </c>
      <c r="F19" s="10">
        <v>40555</v>
      </c>
      <c r="G19"/>
      <c r="H19" t="s">
        <v>30</v>
      </c>
      <c r="I19"/>
      <c r="J19" s="22">
        <v>45741</v>
      </c>
      <c r="K19" s="53"/>
      <c r="M19" s="56">
        <f>_xlfn.MAXIFS(Mantenimientos!D:D, Mantenimientos!B:B, "*"&amp;A19&amp;"*",   Mantenimientos!E:E, "Preventivo")</f>
        <v>0</v>
      </c>
      <c r="N19" s="53" t="e" cm="1">
        <f t="array" ref="N19">LOOKUP(2, 1/(ISNUMBER(SEARCH(A19, Horometro!A:A))), Horometro!C:C)</f>
        <v>#N/A</v>
      </c>
      <c r="O19" s="11" t="str">
        <f t="shared" si="0"/>
        <v>E018 - Grua Horquilla  - TOYOTA</v>
      </c>
    </row>
    <row r="20" spans="1:15" ht="15" customHeight="1">
      <c r="A20" t="s">
        <v>89</v>
      </c>
      <c r="B20" s="6" t="s">
        <v>143</v>
      </c>
      <c r="C20" t="s">
        <v>65</v>
      </c>
      <c r="D20" t="s">
        <v>73</v>
      </c>
      <c r="E20">
        <v>2025</v>
      </c>
      <c r="F20" s="10">
        <v>40557</v>
      </c>
      <c r="G20"/>
      <c r="H20" t="s">
        <v>30</v>
      </c>
      <c r="I20"/>
      <c r="J20" s="22">
        <v>45741</v>
      </c>
      <c r="K20" s="53"/>
      <c r="M20" s="56">
        <f>_xlfn.MAXIFS(Mantenimientos!D:D, Mantenimientos!B:B, "*"&amp;A20&amp;"*",   Mantenimientos!E:E, "Preventivo")</f>
        <v>0</v>
      </c>
      <c r="N20" s="53" t="e" cm="1">
        <f t="array" ref="N20">LOOKUP(2, 1/(ISNUMBER(SEARCH(A20, Horometro!A:A))), Horometro!C:C)</f>
        <v>#N/A</v>
      </c>
      <c r="O20" s="11" t="str">
        <f t="shared" si="0"/>
        <v>E019 - Grua Horquilla  - TOYOTA</v>
      </c>
    </row>
    <row r="21" spans="1:15" ht="15.75" customHeight="1">
      <c r="A21" t="s">
        <v>90</v>
      </c>
      <c r="B21" s="6" t="s">
        <v>143</v>
      </c>
      <c r="C21" t="s">
        <v>65</v>
      </c>
      <c r="D21" t="s">
        <v>73</v>
      </c>
      <c r="E21">
        <v>2025</v>
      </c>
      <c r="F21" s="10">
        <v>40537</v>
      </c>
      <c r="G21"/>
      <c r="H21" t="s">
        <v>30</v>
      </c>
      <c r="I21"/>
      <c r="J21" s="22">
        <v>45741</v>
      </c>
      <c r="K21" s="53"/>
      <c r="M21" s="56">
        <f>_xlfn.MAXIFS(Mantenimientos!D:D, Mantenimientos!B:B, "*"&amp;A21&amp;"*",   Mantenimientos!E:E, "Preventivo")</f>
        <v>0</v>
      </c>
      <c r="N21" s="53" t="e" cm="1">
        <f t="array" ref="N21">LOOKUP(2, 1/(ISNUMBER(SEARCH(A21, Horometro!A:A))), Horometro!C:C)</f>
        <v>#N/A</v>
      </c>
      <c r="O21" s="11" t="str">
        <f t="shared" si="0"/>
        <v>E020 - Grua Horquilla  - TOYOTA</v>
      </c>
    </row>
    <row r="22" spans="1:15" ht="15.75" customHeight="1">
      <c r="A22" t="s">
        <v>91</v>
      </c>
      <c r="B22" s="6" t="s">
        <v>143</v>
      </c>
      <c r="C22" t="s">
        <v>65</v>
      </c>
      <c r="D22" t="s">
        <v>73</v>
      </c>
      <c r="E22">
        <v>2025</v>
      </c>
      <c r="F22" s="10">
        <v>40546</v>
      </c>
      <c r="G22"/>
      <c r="H22" t="s">
        <v>30</v>
      </c>
      <c r="I22"/>
      <c r="J22" s="22">
        <v>45741</v>
      </c>
      <c r="K22" s="53"/>
      <c r="M22" s="56">
        <f>_xlfn.MAXIFS(Mantenimientos!D:D, Mantenimientos!B:B, "*"&amp;A22&amp;"*",   Mantenimientos!E:E, "Preventivo")</f>
        <v>0</v>
      </c>
      <c r="N22" s="53" t="e" cm="1">
        <f t="array" ref="N22">LOOKUP(2, 1/(ISNUMBER(SEARCH(A22, Horometro!A:A))), Horometro!C:C)</f>
        <v>#N/A</v>
      </c>
      <c r="O22" s="11" t="str">
        <f t="shared" si="0"/>
        <v>E021 - Grua Horquilla  - TOYOTA</v>
      </c>
    </row>
    <row r="23" spans="1:15" ht="15.75" customHeight="1">
      <c r="A23" t="s">
        <v>92</v>
      </c>
      <c r="B23" s="6" t="s">
        <v>143</v>
      </c>
      <c r="C23" t="s">
        <v>65</v>
      </c>
      <c r="D23" t="s">
        <v>73</v>
      </c>
      <c r="E23">
        <v>2025</v>
      </c>
      <c r="F23" s="10">
        <v>40588</v>
      </c>
      <c r="G23"/>
      <c r="H23" t="s">
        <v>30</v>
      </c>
      <c r="I23"/>
      <c r="J23" s="22">
        <v>45820</v>
      </c>
      <c r="K23" s="53"/>
      <c r="M23" s="56">
        <f>_xlfn.MAXIFS(Mantenimientos!D:D, Mantenimientos!B:B, "*"&amp;A23&amp;"*",   Mantenimientos!E:E, "Preventivo")</f>
        <v>0</v>
      </c>
      <c r="N23" s="53" t="e" cm="1">
        <f t="array" ref="N23">LOOKUP(2, 1/(ISNUMBER(SEARCH(A23, Horometro!A:A))), Horometro!C:C)</f>
        <v>#N/A</v>
      </c>
      <c r="O23" s="11" t="str">
        <f t="shared" si="0"/>
        <v>E022 - Grua Horquilla  - TOYOTA</v>
      </c>
    </row>
    <row r="24" spans="1:15" ht="15.75" customHeight="1">
      <c r="A24" t="s">
        <v>93</v>
      </c>
      <c r="B24" s="6" t="s">
        <v>143</v>
      </c>
      <c r="C24" t="s">
        <v>65</v>
      </c>
      <c r="D24" t="s">
        <v>73</v>
      </c>
      <c r="E24">
        <v>2025</v>
      </c>
      <c r="F24" s="10">
        <v>40597</v>
      </c>
      <c r="G24"/>
      <c r="H24" t="s">
        <v>30</v>
      </c>
      <c r="I24"/>
      <c r="J24" s="22">
        <v>45820</v>
      </c>
      <c r="K24" s="53"/>
      <c r="M24" s="56">
        <f>_xlfn.MAXIFS(Mantenimientos!D:D, Mantenimientos!B:B, "*"&amp;A24&amp;"*",   Mantenimientos!E:E, "Preventivo")</f>
        <v>0</v>
      </c>
      <c r="N24" s="53" t="e" cm="1">
        <f t="array" ref="N24">LOOKUP(2, 1/(ISNUMBER(SEARCH(A24, Horometro!A:A))), Horometro!C:C)</f>
        <v>#N/A</v>
      </c>
      <c r="O24" s="11" t="str">
        <f t="shared" si="0"/>
        <v>E023 - Grua Horquilla  - TOYOTA</v>
      </c>
    </row>
    <row r="25" spans="1:15" ht="15.75" customHeight="1">
      <c r="A25" t="s">
        <v>94</v>
      </c>
      <c r="B25" s="6" t="s">
        <v>143</v>
      </c>
      <c r="C25" t="s">
        <v>65</v>
      </c>
      <c r="D25" t="s">
        <v>73</v>
      </c>
      <c r="E25">
        <v>2025</v>
      </c>
      <c r="F25" s="10">
        <v>40592</v>
      </c>
      <c r="G25"/>
      <c r="H25" t="s">
        <v>30</v>
      </c>
      <c r="I25"/>
      <c r="J25" s="22">
        <v>45820</v>
      </c>
      <c r="K25" s="53"/>
      <c r="M25" s="56">
        <f>_xlfn.MAXIFS(Mantenimientos!D:D, Mantenimientos!B:B, "*"&amp;A25&amp;"*",   Mantenimientos!E:E, "Preventivo")</f>
        <v>0</v>
      </c>
      <c r="N25" s="53" cm="1">
        <f t="array" ref="N25">LOOKUP(2, 1/(ISNUMBER(SEARCH(A25, Horometro!A:A))), Horometro!C:C)</f>
        <v>3500</v>
      </c>
      <c r="O25" s="11" t="str">
        <f t="shared" si="0"/>
        <v>E024 - Grua Horquilla  - TOYOTA</v>
      </c>
    </row>
    <row r="26" spans="1:15" ht="15.75" customHeight="1">
      <c r="A26" t="s">
        <v>95</v>
      </c>
      <c r="B26" s="6" t="s">
        <v>143</v>
      </c>
      <c r="C26" t="s">
        <v>65</v>
      </c>
      <c r="D26" t="s">
        <v>73</v>
      </c>
      <c r="E26">
        <v>2025</v>
      </c>
      <c r="F26" s="10">
        <v>40595</v>
      </c>
      <c r="G26"/>
      <c r="H26" t="s">
        <v>30</v>
      </c>
      <c r="I26"/>
      <c r="J26" s="22">
        <v>45820</v>
      </c>
      <c r="K26" s="53"/>
      <c r="M26" s="56">
        <f>_xlfn.MAXIFS(Mantenimientos!D:D, Mantenimientos!B:B, "*"&amp;A26&amp;"*",   Mantenimientos!E:E, "Preventivo")</f>
        <v>0</v>
      </c>
      <c r="N26" s="53" t="e" cm="1">
        <f t="array" ref="N26">LOOKUP(2, 1/(ISNUMBER(SEARCH(A26, Horometro!A:A))), Horometro!C:C)</f>
        <v>#N/A</v>
      </c>
      <c r="O26" s="11" t="str">
        <f t="shared" si="0"/>
        <v>E025 - Grua Horquilla  - TOYOTA</v>
      </c>
    </row>
    <row r="27" spans="1:15" ht="15.75" customHeight="1">
      <c r="A27" t="s">
        <v>96</v>
      </c>
      <c r="B27" s="6" t="s">
        <v>143</v>
      </c>
      <c r="C27" t="s">
        <v>65</v>
      </c>
      <c r="D27" t="s">
        <v>73</v>
      </c>
      <c r="E27">
        <v>2025</v>
      </c>
      <c r="F27" s="10">
        <v>40724</v>
      </c>
      <c r="G27"/>
      <c r="H27" t="s">
        <v>30</v>
      </c>
      <c r="I27"/>
      <c r="J27" s="22">
        <v>45862</v>
      </c>
      <c r="K27" s="53"/>
      <c r="M27" s="56">
        <f>_xlfn.MAXIFS(Mantenimientos!D:D, Mantenimientos!B:B, "*"&amp;A27&amp;"*",   Mantenimientos!E:E, "Preventivo")</f>
        <v>0</v>
      </c>
      <c r="N27" s="53" t="e" cm="1">
        <f t="array" ref="N27">LOOKUP(2, 1/(ISNUMBER(SEARCH(A27, Horometro!A:A))), Horometro!C:C)</f>
        <v>#N/A</v>
      </c>
      <c r="O27" s="11" t="str">
        <f t="shared" si="0"/>
        <v>E026 - Grua Horquilla  - TOYOTA</v>
      </c>
    </row>
    <row r="28" spans="1:15" ht="15.75" customHeight="1">
      <c r="A28" t="s">
        <v>97</v>
      </c>
      <c r="B28" s="6" t="s">
        <v>143</v>
      </c>
      <c r="C28" t="s">
        <v>65</v>
      </c>
      <c r="D28" t="s">
        <v>73</v>
      </c>
      <c r="E28">
        <v>2025</v>
      </c>
      <c r="F28" s="10">
        <v>40733</v>
      </c>
      <c r="G28"/>
      <c r="H28" t="s">
        <v>30</v>
      </c>
      <c r="I28"/>
      <c r="J28" s="22">
        <v>45862</v>
      </c>
      <c r="M28" s="56">
        <f>_xlfn.MAXIFS(Mantenimientos!D:D, Mantenimientos!B:B, "*"&amp;A28&amp;"*",   Mantenimientos!E:E, "Preventivo")</f>
        <v>0</v>
      </c>
      <c r="N28" s="53" t="e" cm="1">
        <f t="array" ref="N28">LOOKUP(2, 1/(ISNUMBER(SEARCH(A28, Horometro!A:A))), Horometro!C:C)</f>
        <v>#N/A</v>
      </c>
      <c r="O28" s="11" t="str">
        <f t="shared" si="0"/>
        <v>E027 - Grua Horquilla  - TOYOTA</v>
      </c>
    </row>
    <row r="29" spans="1:15" ht="15.75" customHeight="1">
      <c r="A29" s="6" t="s">
        <v>140</v>
      </c>
      <c r="B29" s="11" t="s">
        <v>145</v>
      </c>
      <c r="C29" s="11" t="s">
        <v>142</v>
      </c>
      <c r="H29" s="11" t="s">
        <v>100</v>
      </c>
      <c r="M29" s="56">
        <f>_xlfn.MAXIFS(Mantenimientos!D:D, Mantenimientos!B:B, "*"&amp;A29&amp;"*",   Mantenimientos!E:E, "Preventivo")</f>
        <v>0</v>
      </c>
      <c r="N29" s="53" cm="1">
        <f t="array" ref="N29">LOOKUP(2, 1/(ISNUMBER(SEARCH(A29, Horometro!A:A))), Horometro!C:C)</f>
        <v>6400</v>
      </c>
      <c r="O29" s="11" t="str">
        <f t="shared" si="0"/>
        <v>S001 - Brazo Articulado 16 MTS GAM  - Snorkel</v>
      </c>
    </row>
    <row r="30" spans="1:15" ht="15.75" customHeight="1">
      <c r="A30" s="6" t="s">
        <v>141</v>
      </c>
      <c r="B30" s="11" t="s">
        <v>144</v>
      </c>
      <c r="C30" s="11" t="s">
        <v>142</v>
      </c>
      <c r="H30" s="11" t="s">
        <v>32</v>
      </c>
      <c r="M30" s="56">
        <f>_xlfn.MAXIFS(Mantenimientos!D:D, Mantenimientos!B:B, "*"&amp;A30&amp;"*",   Mantenimientos!E:E, "Preventivo")</f>
        <v>0</v>
      </c>
      <c r="N30" s="53" t="e" cm="1">
        <f t="array" ref="N30">LOOKUP(2, 1/(ISNUMBER(SEARCH(A30, Horometro!A:A))), Horometro!C:C)</f>
        <v>#N/A</v>
      </c>
      <c r="O30" s="11" t="str">
        <f t="shared" si="0"/>
        <v>S002 - Tijera 10mts GAM - Snorkel</v>
      </c>
    </row>
    <row r="31" spans="1:15" ht="15.75" customHeight="1">
      <c r="A31"/>
      <c r="N31" s="53" cm="1">
        <f t="array" ref="N31">LOOKUP(2, 1/(ISNUMBER(SEARCH(A31, Horometro!A:A))), Horometro!C:C)</f>
        <v>5662</v>
      </c>
      <c r="O31" s="11" t="str">
        <f t="shared" si="0"/>
        <v/>
      </c>
    </row>
    <row r="32" spans="1:15" ht="15.75" customHeight="1">
      <c r="A32"/>
      <c r="N32" s="53" cm="1">
        <f t="array" ref="N32">LOOKUP(2, 1/(ISNUMBER(SEARCH(A32, Horometro!A:A))), Horometro!C:C)</f>
        <v>5662</v>
      </c>
      <c r="O32" s="11" t="str">
        <f t="shared" si="0"/>
        <v/>
      </c>
    </row>
    <row r="33" spans="14:15" ht="15.75" customHeight="1">
      <c r="N33" s="53" cm="1">
        <f t="array" ref="N33">LOOKUP(2, 1/(ISNUMBER(SEARCH(A33, Horometro!A:A))), Horometro!C:C)</f>
        <v>5662</v>
      </c>
      <c r="O33" s="11" t="str">
        <f t="shared" si="0"/>
        <v/>
      </c>
    </row>
    <row r="34" spans="14:15" ht="15.75" customHeight="1">
      <c r="N34" s="53" cm="1">
        <f t="array" ref="N34">LOOKUP(2, 1/(ISNUMBER(SEARCH(A34, Horometro!A:A))), Horometro!C:C)</f>
        <v>5662</v>
      </c>
      <c r="O34" s="11" t="str">
        <f t="shared" si="0"/>
        <v/>
      </c>
    </row>
    <row r="35" spans="14:15" ht="15.75" customHeight="1">
      <c r="N35" s="53" cm="1">
        <f t="array" ref="N35">LOOKUP(2, 1/(ISNUMBER(SEARCH(A35, Horometro!A:A))), Horometro!C:C)</f>
        <v>5662</v>
      </c>
      <c r="O35" s="11" t="str">
        <f t="shared" si="0"/>
        <v/>
      </c>
    </row>
    <row r="36" spans="14:15" ht="15.75" customHeight="1">
      <c r="N36" s="53" cm="1">
        <f t="array" ref="N36">LOOKUP(2, 1/(ISNUMBER(SEARCH(A36, Horometro!A:A))), Horometro!C:C)</f>
        <v>5662</v>
      </c>
      <c r="O36" s="11" t="str">
        <f t="shared" si="0"/>
        <v/>
      </c>
    </row>
    <row r="37" spans="14:15" ht="15.75" customHeight="1">
      <c r="N37" s="53" cm="1">
        <f t="array" ref="N37">LOOKUP(2, 1/(ISNUMBER(SEARCH(A37, Horometro!A:A))), Horometro!C:C)</f>
        <v>5662</v>
      </c>
      <c r="O37" s="11" t="str">
        <f t="shared" si="0"/>
        <v/>
      </c>
    </row>
    <row r="38" spans="14:15" ht="15.75" customHeight="1">
      <c r="N38" s="53" cm="1">
        <f t="array" ref="N38">LOOKUP(2, 1/(ISNUMBER(SEARCH(A38, Horometro!A:A))), Horometro!C:C)</f>
        <v>5662</v>
      </c>
      <c r="O38" s="11" t="str">
        <f t="shared" si="0"/>
        <v/>
      </c>
    </row>
    <row r="39" spans="14:15" ht="15.75" customHeight="1">
      <c r="N39" s="53" cm="1">
        <f t="array" ref="N39">LOOKUP(2, 1/(ISNUMBER(SEARCH(A39, Horometro!A:A))), Horometro!C:C)</f>
        <v>5662</v>
      </c>
      <c r="O39" s="11" t="str">
        <f t="shared" si="0"/>
        <v/>
      </c>
    </row>
    <row r="40" spans="14:15" ht="15.75" customHeight="1">
      <c r="N40" s="53" cm="1">
        <f t="array" ref="N40">LOOKUP(2, 1/(ISNUMBER(SEARCH(A40, Horometro!A:A))), Horometro!C:C)</f>
        <v>5662</v>
      </c>
      <c r="O40" s="11" t="str">
        <f t="shared" si="0"/>
        <v/>
      </c>
    </row>
    <row r="41" spans="14:15" ht="15.75" customHeight="1">
      <c r="N41" s="53" cm="1">
        <f t="array" ref="N41">LOOKUP(2, 1/(ISNUMBER(SEARCH(A41, Horometro!A:A))), Horometro!C:C)</f>
        <v>5662</v>
      </c>
      <c r="O41" s="11" t="str">
        <f t="shared" si="0"/>
        <v/>
      </c>
    </row>
    <row r="42" spans="14:15" ht="15.75" customHeight="1">
      <c r="N42" s="53" cm="1">
        <f t="array" ref="N42">LOOKUP(2, 1/(ISNUMBER(SEARCH(A42, Horometro!A:A))), Horometro!C:C)</f>
        <v>5662</v>
      </c>
      <c r="O42" s="11" t="str">
        <f t="shared" si="0"/>
        <v/>
      </c>
    </row>
    <row r="43" spans="14:15" ht="15.75" customHeight="1">
      <c r="N43" s="53" cm="1">
        <f t="array" ref="N43">LOOKUP(2, 1/(ISNUMBER(SEARCH(A43, Horometro!A:A))), Horometro!C:C)</f>
        <v>5662</v>
      </c>
      <c r="O43" s="11" t="str">
        <f t="shared" si="0"/>
        <v/>
      </c>
    </row>
    <row r="44" spans="14:15" ht="15.75" customHeight="1">
      <c r="N44" s="53" cm="1">
        <f t="array" ref="N44">LOOKUP(2, 1/(ISNUMBER(SEARCH(A44, Horometro!A:A))), Horometro!C:C)</f>
        <v>5662</v>
      </c>
      <c r="O44" s="11" t="str">
        <f t="shared" si="0"/>
        <v/>
      </c>
    </row>
    <row r="45" spans="14:15" ht="15.75" customHeight="1">
      <c r="N45" s="53" cm="1">
        <f t="array" ref="N45">LOOKUP(2, 1/(ISNUMBER(SEARCH(A45, Horometro!A:A))), Horometro!C:C)</f>
        <v>5662</v>
      </c>
      <c r="O45" s="11" t="str">
        <f t="shared" si="0"/>
        <v/>
      </c>
    </row>
    <row r="46" spans="14:15" ht="15.75" customHeight="1">
      <c r="N46" s="53" cm="1">
        <f t="array" ref="N46">LOOKUP(2, 1/(ISNUMBER(SEARCH(A46, Horometro!A:A))), Horometro!C:C)</f>
        <v>5662</v>
      </c>
      <c r="O46" s="11" t="str">
        <f t="shared" si="0"/>
        <v/>
      </c>
    </row>
    <row r="47" spans="14:15" ht="15.75" customHeight="1">
      <c r="N47" s="53" cm="1">
        <f t="array" ref="N47">LOOKUP(2, 1/(ISNUMBER(SEARCH(A47, Horometro!A:A))), Horometro!C:C)</f>
        <v>5662</v>
      </c>
      <c r="O47" s="11" t="str">
        <f t="shared" si="0"/>
        <v/>
      </c>
    </row>
    <row r="48" spans="14:15" ht="15.75" customHeight="1">
      <c r="N48" s="53" cm="1">
        <f t="array" ref="N48">LOOKUP(2, 1/(ISNUMBER(SEARCH(A48, Horometro!A:A))), Horometro!C:C)</f>
        <v>5662</v>
      </c>
      <c r="O48" s="11" t="str">
        <f t="shared" si="0"/>
        <v/>
      </c>
    </row>
    <row r="49" spans="14:15" ht="15.75" customHeight="1">
      <c r="N49" s="53" cm="1">
        <f t="array" ref="N49">LOOKUP(2, 1/(ISNUMBER(SEARCH(A49, Horometro!A:A))), Horometro!C:C)</f>
        <v>5662</v>
      </c>
      <c r="O49" s="11" t="str">
        <f t="shared" si="0"/>
        <v/>
      </c>
    </row>
    <row r="50" spans="14:15" ht="15.75" customHeight="1">
      <c r="N50" s="53" cm="1">
        <f t="array" ref="N50">LOOKUP(2, 1/(ISNUMBER(SEARCH(A50, Horometro!A:A))), Horometro!C:C)</f>
        <v>5662</v>
      </c>
      <c r="O50" s="11" t="str">
        <f t="shared" si="0"/>
        <v/>
      </c>
    </row>
    <row r="51" spans="14:15" ht="15.75" customHeight="1">
      <c r="N51" s="53" cm="1">
        <f t="array" ref="N51">LOOKUP(2, 1/(ISNUMBER(SEARCH(A51, Horometro!A:A))), Horometro!C:C)</f>
        <v>5662</v>
      </c>
      <c r="O51" s="11" t="str">
        <f t="shared" si="0"/>
        <v/>
      </c>
    </row>
    <row r="52" spans="14:15" ht="15.75" customHeight="1">
      <c r="N52" s="53" cm="1">
        <f t="array" ref="N52">LOOKUP(2, 1/(ISNUMBER(SEARCH(A52, Horometro!A:A))), Horometro!C:C)</f>
        <v>5662</v>
      </c>
      <c r="O52" s="11" t="str">
        <f t="shared" si="0"/>
        <v/>
      </c>
    </row>
    <row r="53" spans="14:15" ht="15.75" customHeight="1">
      <c r="N53" s="53" cm="1">
        <f t="array" ref="N53">LOOKUP(2, 1/(ISNUMBER(SEARCH(A53, Horometro!A:A))), Horometro!C:C)</f>
        <v>5662</v>
      </c>
      <c r="O53" s="11" t="str">
        <f t="shared" si="0"/>
        <v/>
      </c>
    </row>
    <row r="54" spans="14:15" ht="15.75" customHeight="1">
      <c r="N54" s="53" cm="1">
        <f t="array" ref="N54">LOOKUP(2, 1/(ISNUMBER(SEARCH(A54, Horometro!A:A))), Horometro!C:C)</f>
        <v>5662</v>
      </c>
      <c r="O54" s="11" t="str">
        <f t="shared" si="0"/>
        <v/>
      </c>
    </row>
    <row r="55" spans="14:15" ht="15.75" customHeight="1">
      <c r="N55" s="53" cm="1">
        <f t="array" ref="N55">LOOKUP(2, 1/(ISNUMBER(SEARCH(A55, Horometro!A:A))), Horometro!C:C)</f>
        <v>5662</v>
      </c>
      <c r="O55" s="11" t="str">
        <f t="shared" si="0"/>
        <v/>
      </c>
    </row>
    <row r="56" spans="14:15" ht="15.75" customHeight="1">
      <c r="N56" s="53" cm="1">
        <f t="array" ref="N56">LOOKUP(2, 1/(ISNUMBER(SEARCH(A56, Horometro!A:A))), Horometro!C:C)</f>
        <v>5662</v>
      </c>
      <c r="O56" s="11" t="str">
        <f t="shared" si="0"/>
        <v/>
      </c>
    </row>
    <row r="57" spans="14:15" ht="15.75" customHeight="1">
      <c r="N57" s="53" cm="1">
        <f t="array" ref="N57">LOOKUP(2, 1/(ISNUMBER(SEARCH(A57, Horometro!A:A))), Horometro!C:C)</f>
        <v>5662</v>
      </c>
      <c r="O57" s="11" t="str">
        <f t="shared" si="0"/>
        <v/>
      </c>
    </row>
    <row r="58" spans="14:15" ht="15.75" customHeight="1">
      <c r="N58" s="53" cm="1">
        <f t="array" ref="N58">LOOKUP(2, 1/(ISNUMBER(SEARCH(A58, Horometro!A:A))), Horometro!C:C)</f>
        <v>5662</v>
      </c>
      <c r="O58" s="11" t="str">
        <f t="shared" si="0"/>
        <v/>
      </c>
    </row>
    <row r="59" spans="14:15" ht="15.75" customHeight="1">
      <c r="N59" s="53" cm="1">
        <f t="array" ref="N59">LOOKUP(2, 1/(ISNUMBER(SEARCH(A59, Horometro!A:A))), Horometro!C:C)</f>
        <v>5662</v>
      </c>
      <c r="O59" s="11" t="str">
        <f t="shared" si="0"/>
        <v/>
      </c>
    </row>
    <row r="60" spans="14:15" ht="15.75" customHeight="1">
      <c r="N60" s="53" cm="1">
        <f t="array" ref="N60">LOOKUP(2, 1/(ISNUMBER(SEARCH(A60, Horometro!A:A))), Horometro!C:C)</f>
        <v>5662</v>
      </c>
      <c r="O60" s="11" t="str">
        <f t="shared" si="0"/>
        <v/>
      </c>
    </row>
    <row r="61" spans="14:15" ht="15.75" customHeight="1">
      <c r="N61" s="53" cm="1">
        <f t="array" ref="N61">LOOKUP(2, 1/(ISNUMBER(SEARCH(A61, Horometro!A:A))), Horometro!C:C)</f>
        <v>5662</v>
      </c>
      <c r="O61" s="11" t="str">
        <f t="shared" si="0"/>
        <v/>
      </c>
    </row>
    <row r="62" spans="14:15" ht="15.75" customHeight="1">
      <c r="N62" s="53" cm="1">
        <f t="array" ref="N62">LOOKUP(2, 1/(ISNUMBER(SEARCH(A62, Horometro!A:A))), Horometro!C:C)</f>
        <v>5662</v>
      </c>
      <c r="O62" s="11" t="str">
        <f t="shared" si="0"/>
        <v/>
      </c>
    </row>
    <row r="63" spans="14:15" ht="15.75" customHeight="1">
      <c r="N63" s="53" cm="1">
        <f t="array" ref="N63">LOOKUP(2, 1/(ISNUMBER(SEARCH(A63, Horometro!A:A))), Horometro!C:C)</f>
        <v>5662</v>
      </c>
      <c r="O63" s="11" t="str">
        <f t="shared" si="0"/>
        <v/>
      </c>
    </row>
    <row r="64" spans="14:15" ht="15.75" customHeight="1">
      <c r="N64" s="53" cm="1">
        <f t="array" ref="N64">LOOKUP(2, 1/(ISNUMBER(SEARCH(A64, Horometro!A:A))), Horometro!C:C)</f>
        <v>5662</v>
      </c>
      <c r="O64" s="11" t="str">
        <f t="shared" si="0"/>
        <v/>
      </c>
    </row>
    <row r="65" spans="14:15" ht="15.75" customHeight="1">
      <c r="N65" s="53" cm="1">
        <f t="array" ref="N65">LOOKUP(2, 1/(ISNUMBER(SEARCH(A65, Horometro!A:A))), Horometro!C:C)</f>
        <v>5662</v>
      </c>
      <c r="O65" s="11" t="str">
        <f t="shared" si="0"/>
        <v/>
      </c>
    </row>
    <row r="66" spans="14:15" ht="15.75" customHeight="1">
      <c r="N66" s="53" cm="1">
        <f t="array" ref="N66">LOOKUP(2, 1/(ISNUMBER(SEARCH(A66, Horometro!A:A))), Horometro!C:C)</f>
        <v>5662</v>
      </c>
      <c r="O66" s="11" t="str">
        <f t="shared" ref="O66:O129" si="1">_xlfn.TEXTJOIN(" - ", TRUE, A66, B66, C66)</f>
        <v/>
      </c>
    </row>
    <row r="67" spans="14:15" ht="15.75" customHeight="1">
      <c r="N67" s="53" cm="1">
        <f t="array" ref="N67">LOOKUP(2, 1/(ISNUMBER(SEARCH(A67, Horometro!A:A))), Horometro!C:C)</f>
        <v>5662</v>
      </c>
      <c r="O67" s="11" t="str">
        <f t="shared" si="1"/>
        <v/>
      </c>
    </row>
    <row r="68" spans="14:15" ht="15.75" customHeight="1">
      <c r="N68" s="53" cm="1">
        <f t="array" ref="N68">LOOKUP(2, 1/(ISNUMBER(SEARCH(A68, Horometro!A:A))), Horometro!C:C)</f>
        <v>5662</v>
      </c>
      <c r="O68" s="11" t="str">
        <f t="shared" si="1"/>
        <v/>
      </c>
    </row>
    <row r="69" spans="14:15" ht="15.75" customHeight="1">
      <c r="N69" s="53" cm="1">
        <f t="array" ref="N69">LOOKUP(2, 1/(ISNUMBER(SEARCH(A69, Horometro!A:A))), Horometro!C:C)</f>
        <v>5662</v>
      </c>
      <c r="O69" s="11" t="str">
        <f t="shared" si="1"/>
        <v/>
      </c>
    </row>
    <row r="70" spans="14:15" ht="15.75" customHeight="1">
      <c r="N70" s="53" cm="1">
        <f t="array" ref="N70">LOOKUP(2, 1/(ISNUMBER(SEARCH(A70, Horometro!A:A))), Horometro!C:C)</f>
        <v>5662</v>
      </c>
      <c r="O70" s="11" t="str">
        <f t="shared" si="1"/>
        <v/>
      </c>
    </row>
    <row r="71" spans="14:15" ht="15.75" customHeight="1">
      <c r="N71" s="53" cm="1">
        <f t="array" ref="N71">LOOKUP(2, 1/(ISNUMBER(SEARCH(A71, Horometro!A:A))), Horometro!C:C)</f>
        <v>5662</v>
      </c>
      <c r="O71" s="11" t="str">
        <f t="shared" si="1"/>
        <v/>
      </c>
    </row>
    <row r="72" spans="14:15" ht="15.75" customHeight="1">
      <c r="N72" s="53" cm="1">
        <f t="array" ref="N72">LOOKUP(2, 1/(ISNUMBER(SEARCH(A72, Horometro!A:A))), Horometro!C:C)</f>
        <v>5662</v>
      </c>
      <c r="O72" s="11" t="str">
        <f t="shared" si="1"/>
        <v/>
      </c>
    </row>
    <row r="73" spans="14:15" ht="15.75" customHeight="1">
      <c r="N73" s="53" cm="1">
        <f t="array" ref="N73">LOOKUP(2, 1/(ISNUMBER(SEARCH(A73, Horometro!A:A))), Horometro!C:C)</f>
        <v>5662</v>
      </c>
      <c r="O73" s="11" t="str">
        <f t="shared" si="1"/>
        <v/>
      </c>
    </row>
    <row r="74" spans="14:15" ht="15.75" customHeight="1">
      <c r="N74" s="53" cm="1">
        <f t="array" ref="N74">LOOKUP(2, 1/(ISNUMBER(SEARCH(A74, Horometro!A:A))), Horometro!C:C)</f>
        <v>5662</v>
      </c>
      <c r="O74" s="11" t="str">
        <f t="shared" si="1"/>
        <v/>
      </c>
    </row>
    <row r="75" spans="14:15" ht="15.75" customHeight="1">
      <c r="N75" s="53" cm="1">
        <f t="array" ref="N75">LOOKUP(2, 1/(ISNUMBER(SEARCH(A75, Horometro!A:A))), Horometro!C:C)</f>
        <v>5662</v>
      </c>
      <c r="O75" s="11" t="str">
        <f t="shared" si="1"/>
        <v/>
      </c>
    </row>
    <row r="76" spans="14:15" ht="15.75" customHeight="1">
      <c r="N76" s="53" cm="1">
        <f t="array" ref="N76">LOOKUP(2, 1/(ISNUMBER(SEARCH(A76, Horometro!A:A))), Horometro!C:C)</f>
        <v>5662</v>
      </c>
      <c r="O76" s="11" t="str">
        <f t="shared" si="1"/>
        <v/>
      </c>
    </row>
    <row r="77" spans="14:15" ht="15.75" customHeight="1">
      <c r="N77" s="53" cm="1">
        <f t="array" ref="N77">LOOKUP(2, 1/(ISNUMBER(SEARCH(A77, Horometro!A:A))), Horometro!C:C)</f>
        <v>5662</v>
      </c>
      <c r="O77" s="11" t="str">
        <f t="shared" si="1"/>
        <v/>
      </c>
    </row>
    <row r="78" spans="14:15" ht="15.75" customHeight="1">
      <c r="N78" s="53" cm="1">
        <f t="array" ref="N78">LOOKUP(2, 1/(ISNUMBER(SEARCH(A78, Horometro!A:A))), Horometro!C:C)</f>
        <v>5662</v>
      </c>
      <c r="O78" s="11" t="str">
        <f t="shared" si="1"/>
        <v/>
      </c>
    </row>
    <row r="79" spans="14:15" ht="15.75" customHeight="1">
      <c r="N79" s="53" cm="1">
        <f t="array" ref="N79">LOOKUP(2, 1/(ISNUMBER(SEARCH(A79, Horometro!A:A))), Horometro!C:C)</f>
        <v>5662</v>
      </c>
      <c r="O79" s="11" t="str">
        <f t="shared" si="1"/>
        <v/>
      </c>
    </row>
    <row r="80" spans="14:15" ht="15.75" customHeight="1">
      <c r="N80" s="53" cm="1">
        <f t="array" ref="N80">LOOKUP(2, 1/(ISNUMBER(SEARCH(A80, Horometro!A:A))), Horometro!C:C)</f>
        <v>5662</v>
      </c>
      <c r="O80" s="11" t="str">
        <f t="shared" si="1"/>
        <v/>
      </c>
    </row>
    <row r="81" spans="14:15" ht="15.75" customHeight="1">
      <c r="N81" s="53" cm="1">
        <f t="array" ref="N81">LOOKUP(2, 1/(ISNUMBER(SEARCH(A81, Horometro!A:A))), Horometro!C:C)</f>
        <v>5662</v>
      </c>
      <c r="O81" s="11" t="str">
        <f t="shared" si="1"/>
        <v/>
      </c>
    </row>
    <row r="82" spans="14:15" ht="15.75" customHeight="1">
      <c r="N82" s="53" cm="1">
        <f t="array" ref="N82">LOOKUP(2, 1/(ISNUMBER(SEARCH(A82, Horometro!A:A))), Horometro!C:C)</f>
        <v>5662</v>
      </c>
      <c r="O82" s="11" t="str">
        <f t="shared" si="1"/>
        <v/>
      </c>
    </row>
    <row r="83" spans="14:15" ht="15.75" customHeight="1">
      <c r="N83" s="53" cm="1">
        <f t="array" ref="N83">LOOKUP(2, 1/(ISNUMBER(SEARCH(A83, Horometro!A:A))), Horometro!C:C)</f>
        <v>5662</v>
      </c>
      <c r="O83" s="11" t="str">
        <f t="shared" si="1"/>
        <v/>
      </c>
    </row>
    <row r="84" spans="14:15" ht="15.75" customHeight="1">
      <c r="N84" s="53" cm="1">
        <f t="array" ref="N84">LOOKUP(2, 1/(ISNUMBER(SEARCH(A84, Horometro!A:A))), Horometro!C:C)</f>
        <v>5662</v>
      </c>
      <c r="O84" s="11" t="str">
        <f t="shared" si="1"/>
        <v/>
      </c>
    </row>
    <row r="85" spans="14:15" ht="15.75" customHeight="1">
      <c r="N85" s="53" cm="1">
        <f t="array" ref="N85">LOOKUP(2, 1/(ISNUMBER(SEARCH(A85, Horometro!A:A))), Horometro!C:C)</f>
        <v>5662</v>
      </c>
      <c r="O85" s="11" t="str">
        <f t="shared" si="1"/>
        <v/>
      </c>
    </row>
    <row r="86" spans="14:15" ht="15.75" customHeight="1">
      <c r="N86" s="53" cm="1">
        <f t="array" ref="N86">LOOKUP(2, 1/(ISNUMBER(SEARCH(A86, Horometro!A:A))), Horometro!C:C)</f>
        <v>5662</v>
      </c>
      <c r="O86" s="11" t="str">
        <f t="shared" si="1"/>
        <v/>
      </c>
    </row>
    <row r="87" spans="14:15" ht="15.75" customHeight="1">
      <c r="N87" s="53" cm="1">
        <f t="array" ref="N87">LOOKUP(2, 1/(ISNUMBER(SEARCH(A87, Horometro!A:A))), Horometro!C:C)</f>
        <v>5662</v>
      </c>
      <c r="O87" s="11" t="str">
        <f t="shared" si="1"/>
        <v/>
      </c>
    </row>
    <row r="88" spans="14:15" ht="15.75" customHeight="1">
      <c r="N88" s="53" cm="1">
        <f t="array" ref="N88">LOOKUP(2, 1/(ISNUMBER(SEARCH(A88, Horometro!A:A))), Horometro!C:C)</f>
        <v>5662</v>
      </c>
      <c r="O88" s="11" t="str">
        <f t="shared" si="1"/>
        <v/>
      </c>
    </row>
    <row r="89" spans="14:15" ht="15.75" customHeight="1">
      <c r="N89" s="53" cm="1">
        <f t="array" ref="N89">LOOKUP(2, 1/(ISNUMBER(SEARCH(A89, Horometro!A:A))), Horometro!C:C)</f>
        <v>5662</v>
      </c>
      <c r="O89" s="11" t="str">
        <f t="shared" si="1"/>
        <v/>
      </c>
    </row>
    <row r="90" spans="14:15" ht="15.75" customHeight="1">
      <c r="N90" s="53" cm="1">
        <f t="array" ref="N90">LOOKUP(2, 1/(ISNUMBER(SEARCH(A90, Horometro!A:A))), Horometro!C:C)</f>
        <v>5662</v>
      </c>
      <c r="O90" s="11" t="str">
        <f t="shared" si="1"/>
        <v/>
      </c>
    </row>
    <row r="91" spans="14:15" ht="15.75" customHeight="1">
      <c r="N91" s="53" cm="1">
        <f t="array" ref="N91">LOOKUP(2, 1/(ISNUMBER(SEARCH(A91, Horometro!A:A))), Horometro!C:C)</f>
        <v>5662</v>
      </c>
      <c r="O91" s="11" t="str">
        <f t="shared" si="1"/>
        <v/>
      </c>
    </row>
    <row r="92" spans="14:15" ht="15.75" customHeight="1">
      <c r="N92" s="53" cm="1">
        <f t="array" ref="N92">LOOKUP(2, 1/(ISNUMBER(SEARCH(A92, Horometro!A:A))), Horometro!C:C)</f>
        <v>5662</v>
      </c>
      <c r="O92" s="11" t="str">
        <f t="shared" si="1"/>
        <v/>
      </c>
    </row>
    <row r="93" spans="14:15" ht="15.75" customHeight="1">
      <c r="N93" s="53" cm="1">
        <f t="array" ref="N93">LOOKUP(2, 1/(ISNUMBER(SEARCH(A93, Horometro!A:A))), Horometro!C:C)</f>
        <v>5662</v>
      </c>
      <c r="O93" s="11" t="str">
        <f t="shared" si="1"/>
        <v/>
      </c>
    </row>
    <row r="94" spans="14:15" ht="15.75" customHeight="1">
      <c r="N94" s="53" cm="1">
        <f t="array" ref="N94">LOOKUP(2, 1/(ISNUMBER(SEARCH(A94, Horometro!A:A))), Horometro!C:C)</f>
        <v>5662</v>
      </c>
      <c r="O94" s="11" t="str">
        <f t="shared" si="1"/>
        <v/>
      </c>
    </row>
    <row r="95" spans="14:15" ht="15.75" customHeight="1">
      <c r="N95" s="53" cm="1">
        <f t="array" ref="N95">LOOKUP(2, 1/(ISNUMBER(SEARCH(A95, Horometro!A:A))), Horometro!C:C)</f>
        <v>5662</v>
      </c>
      <c r="O95" s="11" t="str">
        <f t="shared" si="1"/>
        <v/>
      </c>
    </row>
    <row r="96" spans="14:15" ht="15.75" customHeight="1">
      <c r="N96" s="53" cm="1">
        <f t="array" ref="N96">LOOKUP(2, 1/(ISNUMBER(SEARCH(A96, Horometro!A:A))), Horometro!C:C)</f>
        <v>5662</v>
      </c>
      <c r="O96" s="11" t="str">
        <f t="shared" si="1"/>
        <v/>
      </c>
    </row>
    <row r="97" spans="14:15" ht="15.75" customHeight="1">
      <c r="N97" s="53" cm="1">
        <f t="array" ref="N97">LOOKUP(2, 1/(ISNUMBER(SEARCH(A97, Horometro!A:A))), Horometro!C:C)</f>
        <v>5662</v>
      </c>
      <c r="O97" s="11" t="str">
        <f t="shared" si="1"/>
        <v/>
      </c>
    </row>
    <row r="98" spans="14:15" ht="15.75" customHeight="1">
      <c r="N98" s="53" cm="1">
        <f t="array" ref="N98">LOOKUP(2, 1/(ISNUMBER(SEARCH(A98, Horometro!A:A))), Horometro!C:C)</f>
        <v>5662</v>
      </c>
      <c r="O98" s="11" t="str">
        <f t="shared" si="1"/>
        <v/>
      </c>
    </row>
    <row r="99" spans="14:15" ht="15.75" customHeight="1">
      <c r="N99" s="53" cm="1">
        <f t="array" ref="N99">LOOKUP(2, 1/(ISNUMBER(SEARCH(A99, Horometro!A:A))), Horometro!C:C)</f>
        <v>5662</v>
      </c>
      <c r="O99" s="11" t="str">
        <f t="shared" si="1"/>
        <v/>
      </c>
    </row>
    <row r="100" spans="14:15" ht="15.75" customHeight="1">
      <c r="N100" s="53" cm="1">
        <f t="array" ref="N100">LOOKUP(2, 1/(ISNUMBER(SEARCH(A100, Horometro!A:A))), Horometro!C:C)</f>
        <v>5662</v>
      </c>
      <c r="O100" s="11" t="str">
        <f t="shared" si="1"/>
        <v/>
      </c>
    </row>
    <row r="101" spans="14:15" ht="15.75" customHeight="1">
      <c r="N101" s="53" cm="1">
        <f t="array" ref="N101">LOOKUP(2, 1/(ISNUMBER(SEARCH(A101, Horometro!A:A))), Horometro!C:C)</f>
        <v>5662</v>
      </c>
      <c r="O101" s="11" t="str">
        <f t="shared" si="1"/>
        <v/>
      </c>
    </row>
    <row r="102" spans="14:15" ht="15.75" customHeight="1">
      <c r="N102" s="53" cm="1">
        <f t="array" ref="N102">LOOKUP(2, 1/(ISNUMBER(SEARCH(A102, Horometro!A:A))), Horometro!C:C)</f>
        <v>5662</v>
      </c>
      <c r="O102" s="11" t="str">
        <f t="shared" si="1"/>
        <v/>
      </c>
    </row>
    <row r="103" spans="14:15" ht="15.75" customHeight="1">
      <c r="N103" s="53" cm="1">
        <f t="array" ref="N103">LOOKUP(2, 1/(ISNUMBER(SEARCH(A103, Horometro!A:A))), Horometro!C:C)</f>
        <v>5662</v>
      </c>
      <c r="O103" s="11" t="str">
        <f t="shared" si="1"/>
        <v/>
      </c>
    </row>
    <row r="104" spans="14:15" ht="15.75" customHeight="1">
      <c r="N104" s="53" cm="1">
        <f t="array" ref="N104">LOOKUP(2, 1/(ISNUMBER(SEARCH(A104, Horometro!A:A))), Horometro!C:C)</f>
        <v>5662</v>
      </c>
      <c r="O104" s="11" t="str">
        <f t="shared" si="1"/>
        <v/>
      </c>
    </row>
    <row r="105" spans="14:15" ht="15.75" customHeight="1">
      <c r="N105" s="53" cm="1">
        <f t="array" ref="N105">LOOKUP(2, 1/(ISNUMBER(SEARCH(A105, Horometro!A:A))), Horometro!C:C)</f>
        <v>5662</v>
      </c>
      <c r="O105" s="11" t="str">
        <f t="shared" si="1"/>
        <v/>
      </c>
    </row>
    <row r="106" spans="14:15" ht="15.75" customHeight="1">
      <c r="N106" s="53" cm="1">
        <f t="array" ref="N106">LOOKUP(2, 1/(ISNUMBER(SEARCH(A106, Horometro!A:A))), Horometro!C:C)</f>
        <v>5662</v>
      </c>
      <c r="O106" s="11" t="str">
        <f t="shared" si="1"/>
        <v/>
      </c>
    </row>
    <row r="107" spans="14:15" ht="15.75" customHeight="1">
      <c r="N107" s="53" cm="1">
        <f t="array" ref="N107">LOOKUP(2, 1/(ISNUMBER(SEARCH(A107, Horometro!A:A))), Horometro!C:C)</f>
        <v>5662</v>
      </c>
      <c r="O107" s="11" t="str">
        <f t="shared" si="1"/>
        <v/>
      </c>
    </row>
    <row r="108" spans="14:15" ht="15.75" customHeight="1">
      <c r="N108" s="53" cm="1">
        <f t="array" ref="N108">LOOKUP(2, 1/(ISNUMBER(SEARCH(A108, Horometro!A:A))), Horometro!C:C)</f>
        <v>5662</v>
      </c>
      <c r="O108" s="11" t="str">
        <f t="shared" si="1"/>
        <v/>
      </c>
    </row>
    <row r="109" spans="14:15" ht="15.75" customHeight="1">
      <c r="N109" s="53" cm="1">
        <f t="array" ref="N109">LOOKUP(2, 1/(ISNUMBER(SEARCH(A109, Horometro!A:A))), Horometro!C:C)</f>
        <v>5662</v>
      </c>
      <c r="O109" s="11" t="str">
        <f t="shared" si="1"/>
        <v/>
      </c>
    </row>
    <row r="110" spans="14:15" ht="15.75" customHeight="1">
      <c r="N110" s="53" cm="1">
        <f t="array" ref="N110">LOOKUP(2, 1/(ISNUMBER(SEARCH(A110, Horometro!A:A))), Horometro!C:C)</f>
        <v>5662</v>
      </c>
      <c r="O110" s="11" t="str">
        <f t="shared" si="1"/>
        <v/>
      </c>
    </row>
    <row r="111" spans="14:15" ht="15.75" customHeight="1">
      <c r="N111" s="53" cm="1">
        <f t="array" ref="N111">LOOKUP(2, 1/(ISNUMBER(SEARCH(A111, Horometro!A:A))), Horometro!C:C)</f>
        <v>5662</v>
      </c>
      <c r="O111" s="11" t="str">
        <f t="shared" si="1"/>
        <v/>
      </c>
    </row>
    <row r="112" spans="14:15" ht="15.75" customHeight="1">
      <c r="N112" s="53" cm="1">
        <f t="array" ref="N112">LOOKUP(2, 1/(ISNUMBER(SEARCH(A112, Horometro!A:A))), Horometro!C:C)</f>
        <v>5662</v>
      </c>
      <c r="O112" s="11" t="str">
        <f t="shared" si="1"/>
        <v/>
      </c>
    </row>
    <row r="113" spans="14:15" ht="15.75" customHeight="1">
      <c r="N113" s="53" cm="1">
        <f t="array" ref="N113">LOOKUP(2, 1/(ISNUMBER(SEARCH(A113, Horometro!A:A))), Horometro!C:C)</f>
        <v>5662</v>
      </c>
      <c r="O113" s="11" t="str">
        <f t="shared" si="1"/>
        <v/>
      </c>
    </row>
    <row r="114" spans="14:15" ht="15.75" customHeight="1">
      <c r="N114" s="53" cm="1">
        <f t="array" ref="N114">LOOKUP(2, 1/(ISNUMBER(SEARCH(A114, Horometro!A:A))), Horometro!C:C)</f>
        <v>5662</v>
      </c>
      <c r="O114" s="11" t="str">
        <f t="shared" si="1"/>
        <v/>
      </c>
    </row>
    <row r="115" spans="14:15" ht="15.75" customHeight="1">
      <c r="N115" s="53" cm="1">
        <f t="array" ref="N115">LOOKUP(2, 1/(ISNUMBER(SEARCH(A115, Horometro!A:A))), Horometro!C:C)</f>
        <v>5662</v>
      </c>
      <c r="O115" s="11" t="str">
        <f t="shared" si="1"/>
        <v/>
      </c>
    </row>
    <row r="116" spans="14:15" ht="15.75" customHeight="1">
      <c r="N116" s="53" cm="1">
        <f t="array" ref="N116">LOOKUP(2, 1/(ISNUMBER(SEARCH(A116, Horometro!A:A))), Horometro!C:C)</f>
        <v>5662</v>
      </c>
      <c r="O116" s="11" t="str">
        <f t="shared" si="1"/>
        <v/>
      </c>
    </row>
    <row r="117" spans="14:15" ht="15.75" customHeight="1">
      <c r="N117" s="53" cm="1">
        <f t="array" ref="N117">LOOKUP(2, 1/(ISNUMBER(SEARCH(A117, Horometro!A:A))), Horometro!C:C)</f>
        <v>5662</v>
      </c>
      <c r="O117" s="11" t="str">
        <f t="shared" si="1"/>
        <v/>
      </c>
    </row>
    <row r="118" spans="14:15" ht="15.75" customHeight="1">
      <c r="N118" s="53" cm="1">
        <f t="array" ref="N118">LOOKUP(2, 1/(ISNUMBER(SEARCH(A118, Horometro!A:A))), Horometro!C:C)</f>
        <v>5662</v>
      </c>
      <c r="O118" s="11" t="str">
        <f t="shared" si="1"/>
        <v/>
      </c>
    </row>
    <row r="119" spans="14:15" ht="15.75" customHeight="1">
      <c r="N119" s="53" cm="1">
        <f t="array" ref="N119">LOOKUP(2, 1/(ISNUMBER(SEARCH(A119, Horometro!A:A))), Horometro!C:C)</f>
        <v>5662</v>
      </c>
      <c r="O119" s="11" t="str">
        <f t="shared" si="1"/>
        <v/>
      </c>
    </row>
    <row r="120" spans="14:15" ht="15.75" customHeight="1">
      <c r="N120" s="53" cm="1">
        <f t="array" ref="N120">LOOKUP(2, 1/(ISNUMBER(SEARCH(A120, Horometro!A:A))), Horometro!C:C)</f>
        <v>5662</v>
      </c>
      <c r="O120" s="11" t="str">
        <f t="shared" si="1"/>
        <v/>
      </c>
    </row>
    <row r="121" spans="14:15" ht="15.75" customHeight="1">
      <c r="N121" s="53" cm="1">
        <f t="array" ref="N121">LOOKUP(2, 1/(ISNUMBER(SEARCH(A121, Horometro!A:A))), Horometro!C:C)</f>
        <v>5662</v>
      </c>
      <c r="O121" s="11" t="str">
        <f t="shared" si="1"/>
        <v/>
      </c>
    </row>
    <row r="122" spans="14:15" ht="15.75" customHeight="1">
      <c r="N122" s="53" cm="1">
        <f t="array" ref="N122">LOOKUP(2, 1/(ISNUMBER(SEARCH(A122, Horometro!A:A))), Horometro!C:C)</f>
        <v>5662</v>
      </c>
      <c r="O122" s="11" t="str">
        <f t="shared" si="1"/>
        <v/>
      </c>
    </row>
    <row r="123" spans="14:15" ht="15.75" customHeight="1">
      <c r="N123" s="53" cm="1">
        <f t="array" ref="N123">LOOKUP(2, 1/(ISNUMBER(SEARCH(A123, Horometro!A:A))), Horometro!C:C)</f>
        <v>5662</v>
      </c>
      <c r="O123" s="11" t="str">
        <f t="shared" si="1"/>
        <v/>
      </c>
    </row>
    <row r="124" spans="14:15" ht="15.75" customHeight="1">
      <c r="N124" s="53" cm="1">
        <f t="array" ref="N124">LOOKUP(2, 1/(ISNUMBER(SEARCH(A124, Horometro!A:A))), Horometro!C:C)</f>
        <v>5662</v>
      </c>
      <c r="O124" s="11" t="str">
        <f t="shared" si="1"/>
        <v/>
      </c>
    </row>
    <row r="125" spans="14:15" ht="15.75" customHeight="1">
      <c r="N125" s="53" cm="1">
        <f t="array" ref="N125">LOOKUP(2, 1/(ISNUMBER(SEARCH(A125, Horometro!A:A))), Horometro!C:C)</f>
        <v>5662</v>
      </c>
      <c r="O125" s="11" t="str">
        <f t="shared" si="1"/>
        <v/>
      </c>
    </row>
    <row r="126" spans="14:15" ht="15.75" customHeight="1">
      <c r="N126" s="53" cm="1">
        <f t="array" ref="N126">LOOKUP(2, 1/(ISNUMBER(SEARCH(A126, Horometro!A:A))), Horometro!C:C)</f>
        <v>5662</v>
      </c>
      <c r="O126" s="11" t="str">
        <f t="shared" si="1"/>
        <v/>
      </c>
    </row>
    <row r="127" spans="14:15" ht="15.75" customHeight="1">
      <c r="N127" s="53" cm="1">
        <f t="array" ref="N127">LOOKUP(2, 1/(ISNUMBER(SEARCH(A127, Horometro!A:A))), Horometro!C:C)</f>
        <v>5662</v>
      </c>
      <c r="O127" s="11" t="str">
        <f t="shared" si="1"/>
        <v/>
      </c>
    </row>
    <row r="128" spans="14:15" ht="15.75" customHeight="1">
      <c r="N128" s="53" cm="1">
        <f t="array" ref="N128">LOOKUP(2, 1/(ISNUMBER(SEARCH(A128, Horometro!A:A))), Horometro!C:C)</f>
        <v>5662</v>
      </c>
      <c r="O128" s="11" t="str">
        <f t="shared" si="1"/>
        <v/>
      </c>
    </row>
    <row r="129" spans="14:15" ht="15.75" customHeight="1">
      <c r="N129" s="53" cm="1">
        <f t="array" ref="N129">LOOKUP(2, 1/(ISNUMBER(SEARCH(A129, Horometro!A:A))), Horometro!C:C)</f>
        <v>5662</v>
      </c>
      <c r="O129" s="11" t="str">
        <f t="shared" si="1"/>
        <v/>
      </c>
    </row>
    <row r="130" spans="14:15" ht="15.75" customHeight="1">
      <c r="N130" s="53" cm="1">
        <f t="array" ref="N130">LOOKUP(2, 1/(ISNUMBER(SEARCH(A130, Horometro!A:A))), Horometro!C:C)</f>
        <v>5662</v>
      </c>
      <c r="O130" s="11" t="str">
        <f t="shared" ref="O130:O193" si="2">_xlfn.TEXTJOIN(" - ", TRUE, A130, B130, C130)</f>
        <v/>
      </c>
    </row>
    <row r="131" spans="14:15" ht="15.75" customHeight="1">
      <c r="N131" s="53" cm="1">
        <f t="array" ref="N131">LOOKUP(2, 1/(ISNUMBER(SEARCH(A131, Horometro!A:A))), Horometro!C:C)</f>
        <v>5662</v>
      </c>
      <c r="O131" s="11" t="str">
        <f t="shared" si="2"/>
        <v/>
      </c>
    </row>
    <row r="132" spans="14:15" ht="15.75" customHeight="1">
      <c r="N132" s="53" cm="1">
        <f t="array" ref="N132">LOOKUP(2, 1/(ISNUMBER(SEARCH(A132, Horometro!A:A))), Horometro!C:C)</f>
        <v>5662</v>
      </c>
      <c r="O132" s="11" t="str">
        <f t="shared" si="2"/>
        <v/>
      </c>
    </row>
    <row r="133" spans="14:15" ht="15.75" customHeight="1">
      <c r="N133" s="53" cm="1">
        <f t="array" ref="N133">LOOKUP(2, 1/(ISNUMBER(SEARCH(A133, Horometro!A:A))), Horometro!C:C)</f>
        <v>5662</v>
      </c>
      <c r="O133" s="11" t="str">
        <f t="shared" si="2"/>
        <v/>
      </c>
    </row>
    <row r="134" spans="14:15" ht="15.75" customHeight="1">
      <c r="N134" s="53" cm="1">
        <f t="array" ref="N134">LOOKUP(2, 1/(ISNUMBER(SEARCH(A134, Horometro!A:A))), Horometro!C:C)</f>
        <v>5662</v>
      </c>
      <c r="O134" s="11" t="str">
        <f t="shared" si="2"/>
        <v/>
      </c>
    </row>
    <row r="135" spans="14:15" ht="15.75" customHeight="1">
      <c r="N135" s="53" cm="1">
        <f t="array" ref="N135">LOOKUP(2, 1/(ISNUMBER(SEARCH(A135, Horometro!A:A))), Horometro!C:C)</f>
        <v>5662</v>
      </c>
      <c r="O135" s="11" t="str">
        <f t="shared" si="2"/>
        <v/>
      </c>
    </row>
    <row r="136" spans="14:15" ht="15.75" customHeight="1">
      <c r="N136" s="53" cm="1">
        <f t="array" ref="N136">LOOKUP(2, 1/(ISNUMBER(SEARCH(A136, Horometro!A:A))), Horometro!C:C)</f>
        <v>5662</v>
      </c>
      <c r="O136" s="11" t="str">
        <f t="shared" si="2"/>
        <v/>
      </c>
    </row>
    <row r="137" spans="14:15" ht="15.75" customHeight="1">
      <c r="N137" s="53" cm="1">
        <f t="array" ref="N137">LOOKUP(2, 1/(ISNUMBER(SEARCH(A137, Horometro!A:A))), Horometro!C:C)</f>
        <v>5662</v>
      </c>
      <c r="O137" s="11" t="str">
        <f t="shared" si="2"/>
        <v/>
      </c>
    </row>
    <row r="138" spans="14:15" ht="15.75" customHeight="1">
      <c r="N138" s="53" cm="1">
        <f t="array" ref="N138">LOOKUP(2, 1/(ISNUMBER(SEARCH(A138, Horometro!A:A))), Horometro!C:C)</f>
        <v>5662</v>
      </c>
      <c r="O138" s="11" t="str">
        <f t="shared" si="2"/>
        <v/>
      </c>
    </row>
    <row r="139" spans="14:15" ht="15.75" customHeight="1">
      <c r="N139" s="53" cm="1">
        <f t="array" ref="N139">LOOKUP(2, 1/(ISNUMBER(SEARCH(A139, Horometro!A:A))), Horometro!C:C)</f>
        <v>5662</v>
      </c>
      <c r="O139" s="11" t="str">
        <f t="shared" si="2"/>
        <v/>
      </c>
    </row>
    <row r="140" spans="14:15" ht="15.75" customHeight="1">
      <c r="N140" s="53" cm="1">
        <f t="array" ref="N140">LOOKUP(2, 1/(ISNUMBER(SEARCH(A140, Horometro!A:A))), Horometro!C:C)</f>
        <v>5662</v>
      </c>
      <c r="O140" s="11" t="str">
        <f t="shared" si="2"/>
        <v/>
      </c>
    </row>
    <row r="141" spans="14:15" ht="15.75" customHeight="1">
      <c r="N141" s="53" cm="1">
        <f t="array" ref="N141">LOOKUP(2, 1/(ISNUMBER(SEARCH(A141, Horometro!A:A))), Horometro!C:C)</f>
        <v>5662</v>
      </c>
      <c r="O141" s="11" t="str">
        <f t="shared" si="2"/>
        <v/>
      </c>
    </row>
    <row r="142" spans="14:15" ht="15.75" customHeight="1">
      <c r="N142" s="53" cm="1">
        <f t="array" ref="N142">LOOKUP(2, 1/(ISNUMBER(SEARCH(A142, Horometro!A:A))), Horometro!C:C)</f>
        <v>5662</v>
      </c>
      <c r="O142" s="11" t="str">
        <f t="shared" si="2"/>
        <v/>
      </c>
    </row>
    <row r="143" spans="14:15" ht="15.75" customHeight="1">
      <c r="N143" s="53" cm="1">
        <f t="array" ref="N143">LOOKUP(2, 1/(ISNUMBER(SEARCH(A143, Horometro!A:A))), Horometro!C:C)</f>
        <v>5662</v>
      </c>
      <c r="O143" s="11" t="str">
        <f t="shared" si="2"/>
        <v/>
      </c>
    </row>
    <row r="144" spans="14:15" ht="15.75" customHeight="1">
      <c r="N144" s="53" cm="1">
        <f t="array" ref="N144">LOOKUP(2, 1/(ISNUMBER(SEARCH(A144, Horometro!A:A))), Horometro!C:C)</f>
        <v>5662</v>
      </c>
      <c r="O144" s="11" t="str">
        <f t="shared" si="2"/>
        <v/>
      </c>
    </row>
    <row r="145" spans="14:15" ht="15.75" customHeight="1">
      <c r="N145" s="53" cm="1">
        <f t="array" ref="N145">LOOKUP(2, 1/(ISNUMBER(SEARCH(A145, Horometro!A:A))), Horometro!C:C)</f>
        <v>5662</v>
      </c>
      <c r="O145" s="11" t="str">
        <f t="shared" si="2"/>
        <v/>
      </c>
    </row>
    <row r="146" spans="14:15" ht="15.75" customHeight="1">
      <c r="N146" s="53" cm="1">
        <f t="array" ref="N146">LOOKUP(2, 1/(ISNUMBER(SEARCH(A146, Horometro!A:A))), Horometro!C:C)</f>
        <v>5662</v>
      </c>
      <c r="O146" s="11" t="str">
        <f t="shared" si="2"/>
        <v/>
      </c>
    </row>
    <row r="147" spans="14:15" ht="15.75" customHeight="1">
      <c r="N147" s="53" cm="1">
        <f t="array" ref="N147">LOOKUP(2, 1/(ISNUMBER(SEARCH(A147, Horometro!A:A))), Horometro!C:C)</f>
        <v>5662</v>
      </c>
      <c r="O147" s="11" t="str">
        <f t="shared" si="2"/>
        <v/>
      </c>
    </row>
    <row r="148" spans="14:15" ht="15.75" customHeight="1">
      <c r="N148" s="53" cm="1">
        <f t="array" ref="N148">LOOKUP(2, 1/(ISNUMBER(SEARCH(A148, Horometro!A:A))), Horometro!C:C)</f>
        <v>5662</v>
      </c>
      <c r="O148" s="11" t="str">
        <f t="shared" si="2"/>
        <v/>
      </c>
    </row>
    <row r="149" spans="14:15" ht="15.75" customHeight="1">
      <c r="N149" s="53" cm="1">
        <f t="array" ref="N149">LOOKUP(2, 1/(ISNUMBER(SEARCH(A149, Horometro!A:A))), Horometro!C:C)</f>
        <v>5662</v>
      </c>
      <c r="O149" s="11" t="str">
        <f t="shared" si="2"/>
        <v/>
      </c>
    </row>
    <row r="150" spans="14:15" ht="15.75" customHeight="1">
      <c r="N150" s="53" cm="1">
        <f t="array" ref="N150">LOOKUP(2, 1/(ISNUMBER(SEARCH(A150, Horometro!A:A))), Horometro!C:C)</f>
        <v>5662</v>
      </c>
      <c r="O150" s="11" t="str">
        <f t="shared" si="2"/>
        <v/>
      </c>
    </row>
    <row r="151" spans="14:15" ht="15.75" customHeight="1">
      <c r="N151" s="53" cm="1">
        <f t="array" ref="N151">LOOKUP(2, 1/(ISNUMBER(SEARCH(A151, Horometro!A:A))), Horometro!C:C)</f>
        <v>5662</v>
      </c>
      <c r="O151" s="11" t="str">
        <f t="shared" si="2"/>
        <v/>
      </c>
    </row>
    <row r="152" spans="14:15" ht="15.75" customHeight="1">
      <c r="N152" s="53" cm="1">
        <f t="array" ref="N152">LOOKUP(2, 1/(ISNUMBER(SEARCH(A152, Horometro!A:A))), Horometro!C:C)</f>
        <v>5662</v>
      </c>
      <c r="O152" s="11" t="str">
        <f t="shared" si="2"/>
        <v/>
      </c>
    </row>
    <row r="153" spans="14:15" ht="15.75" customHeight="1">
      <c r="N153" s="53" cm="1">
        <f t="array" ref="N153">LOOKUP(2, 1/(ISNUMBER(SEARCH(A153, Horometro!A:A))), Horometro!C:C)</f>
        <v>5662</v>
      </c>
      <c r="O153" s="11" t="str">
        <f t="shared" si="2"/>
        <v/>
      </c>
    </row>
    <row r="154" spans="14:15" ht="15.75" customHeight="1">
      <c r="N154" s="53" cm="1">
        <f t="array" ref="N154">LOOKUP(2, 1/(ISNUMBER(SEARCH(A154, Horometro!A:A))), Horometro!C:C)</f>
        <v>5662</v>
      </c>
      <c r="O154" s="11" t="str">
        <f t="shared" si="2"/>
        <v/>
      </c>
    </row>
    <row r="155" spans="14:15" ht="15.75" customHeight="1">
      <c r="N155" s="53" cm="1">
        <f t="array" ref="N155">LOOKUP(2, 1/(ISNUMBER(SEARCH(A155, Horometro!A:A))), Horometro!C:C)</f>
        <v>5662</v>
      </c>
      <c r="O155" s="11" t="str">
        <f t="shared" si="2"/>
        <v/>
      </c>
    </row>
    <row r="156" spans="14:15" ht="15.75" customHeight="1">
      <c r="N156" s="53" cm="1">
        <f t="array" ref="N156">LOOKUP(2, 1/(ISNUMBER(SEARCH(A156, Horometro!A:A))), Horometro!C:C)</f>
        <v>5662</v>
      </c>
      <c r="O156" s="11" t="str">
        <f t="shared" si="2"/>
        <v/>
      </c>
    </row>
    <row r="157" spans="14:15" ht="15.75" customHeight="1">
      <c r="N157" s="53" cm="1">
        <f t="array" ref="N157">LOOKUP(2, 1/(ISNUMBER(SEARCH(A157, Horometro!A:A))), Horometro!C:C)</f>
        <v>5662</v>
      </c>
      <c r="O157" s="11" t="str">
        <f t="shared" si="2"/>
        <v/>
      </c>
    </row>
    <row r="158" spans="14:15" ht="15.75" customHeight="1">
      <c r="N158" s="53" cm="1">
        <f t="array" ref="N158">LOOKUP(2, 1/(ISNUMBER(SEARCH(A158, Horometro!A:A))), Horometro!C:C)</f>
        <v>5662</v>
      </c>
      <c r="O158" s="11" t="str">
        <f t="shared" si="2"/>
        <v/>
      </c>
    </row>
    <row r="159" spans="14:15" ht="15.75" customHeight="1">
      <c r="N159" s="53" cm="1">
        <f t="array" ref="N159">LOOKUP(2, 1/(ISNUMBER(SEARCH(A159, Horometro!A:A))), Horometro!C:C)</f>
        <v>5662</v>
      </c>
      <c r="O159" s="11" t="str">
        <f t="shared" si="2"/>
        <v/>
      </c>
    </row>
    <row r="160" spans="14:15" ht="15.75" customHeight="1">
      <c r="N160" s="53" cm="1">
        <f t="array" ref="N160">LOOKUP(2, 1/(ISNUMBER(SEARCH(A160, Horometro!A:A))), Horometro!C:C)</f>
        <v>5662</v>
      </c>
      <c r="O160" s="11" t="str">
        <f t="shared" si="2"/>
        <v/>
      </c>
    </row>
    <row r="161" spans="14:15" ht="15.75" customHeight="1">
      <c r="N161" s="53" cm="1">
        <f t="array" ref="N161">LOOKUP(2, 1/(ISNUMBER(SEARCH(A161, Horometro!A:A))), Horometro!C:C)</f>
        <v>5662</v>
      </c>
      <c r="O161" s="11" t="str">
        <f t="shared" si="2"/>
        <v/>
      </c>
    </row>
    <row r="162" spans="14:15" ht="15.75" customHeight="1">
      <c r="N162" s="53" cm="1">
        <f t="array" ref="N162">LOOKUP(2, 1/(ISNUMBER(SEARCH(A162, Horometro!A:A))), Horometro!C:C)</f>
        <v>5662</v>
      </c>
      <c r="O162" s="11" t="str">
        <f t="shared" si="2"/>
        <v/>
      </c>
    </row>
    <row r="163" spans="14:15" ht="15.75" customHeight="1">
      <c r="N163" s="53" cm="1">
        <f t="array" ref="N163">LOOKUP(2, 1/(ISNUMBER(SEARCH(A163, Horometro!A:A))), Horometro!C:C)</f>
        <v>5662</v>
      </c>
      <c r="O163" s="11" t="str">
        <f t="shared" si="2"/>
        <v/>
      </c>
    </row>
    <row r="164" spans="14:15" ht="15.75" customHeight="1">
      <c r="N164" s="53" cm="1">
        <f t="array" ref="N164">LOOKUP(2, 1/(ISNUMBER(SEARCH(A164, Horometro!A:A))), Horometro!C:C)</f>
        <v>5662</v>
      </c>
      <c r="O164" s="11" t="str">
        <f t="shared" si="2"/>
        <v/>
      </c>
    </row>
    <row r="165" spans="14:15" ht="15.75" customHeight="1">
      <c r="N165" s="53" cm="1">
        <f t="array" ref="N165">LOOKUP(2, 1/(ISNUMBER(SEARCH(A165, Horometro!A:A))), Horometro!C:C)</f>
        <v>5662</v>
      </c>
      <c r="O165" s="11" t="str">
        <f t="shared" si="2"/>
        <v/>
      </c>
    </row>
    <row r="166" spans="14:15" ht="15.75" customHeight="1">
      <c r="N166" s="53" cm="1">
        <f t="array" ref="N166">LOOKUP(2, 1/(ISNUMBER(SEARCH(A166, Horometro!A:A))), Horometro!C:C)</f>
        <v>5662</v>
      </c>
      <c r="O166" s="11" t="str">
        <f t="shared" si="2"/>
        <v/>
      </c>
    </row>
    <row r="167" spans="14:15" ht="15.75" customHeight="1">
      <c r="N167" s="53" cm="1">
        <f t="array" ref="N167">LOOKUP(2, 1/(ISNUMBER(SEARCH(A167, Horometro!A:A))), Horometro!C:C)</f>
        <v>5662</v>
      </c>
      <c r="O167" s="11" t="str">
        <f t="shared" si="2"/>
        <v/>
      </c>
    </row>
    <row r="168" spans="14:15" ht="15.75" customHeight="1">
      <c r="N168" s="53" cm="1">
        <f t="array" ref="N168">LOOKUP(2, 1/(ISNUMBER(SEARCH(A168, Horometro!A:A))), Horometro!C:C)</f>
        <v>5662</v>
      </c>
      <c r="O168" s="11" t="str">
        <f t="shared" si="2"/>
        <v/>
      </c>
    </row>
    <row r="169" spans="14:15" ht="15.75" customHeight="1">
      <c r="N169" s="53" cm="1">
        <f t="array" ref="N169">LOOKUP(2, 1/(ISNUMBER(SEARCH(A169, Horometro!A:A))), Horometro!C:C)</f>
        <v>5662</v>
      </c>
      <c r="O169" s="11" t="str">
        <f t="shared" si="2"/>
        <v/>
      </c>
    </row>
    <row r="170" spans="14:15" ht="15.75" customHeight="1">
      <c r="N170" s="53" cm="1">
        <f t="array" ref="N170">LOOKUP(2, 1/(ISNUMBER(SEARCH(A170, Horometro!A:A))), Horometro!C:C)</f>
        <v>5662</v>
      </c>
      <c r="O170" s="11" t="str">
        <f t="shared" si="2"/>
        <v/>
      </c>
    </row>
    <row r="171" spans="14:15" ht="15.75" customHeight="1">
      <c r="N171" s="53" cm="1">
        <f t="array" ref="N171">LOOKUP(2, 1/(ISNUMBER(SEARCH(A171, Horometro!A:A))), Horometro!C:C)</f>
        <v>5662</v>
      </c>
      <c r="O171" s="11" t="str">
        <f t="shared" si="2"/>
        <v/>
      </c>
    </row>
    <row r="172" spans="14:15" ht="15.75" customHeight="1">
      <c r="N172" s="53" cm="1">
        <f t="array" ref="N172">LOOKUP(2, 1/(ISNUMBER(SEARCH(A172, Horometro!A:A))), Horometro!C:C)</f>
        <v>5662</v>
      </c>
      <c r="O172" s="11" t="str">
        <f t="shared" si="2"/>
        <v/>
      </c>
    </row>
    <row r="173" spans="14:15" ht="15.75" customHeight="1">
      <c r="N173" s="53" cm="1">
        <f t="array" ref="N173">LOOKUP(2, 1/(ISNUMBER(SEARCH(A173, Horometro!A:A))), Horometro!C:C)</f>
        <v>5662</v>
      </c>
      <c r="O173" s="11" t="str">
        <f t="shared" si="2"/>
        <v/>
      </c>
    </row>
    <row r="174" spans="14:15" ht="15.75" customHeight="1">
      <c r="N174" s="53" cm="1">
        <f t="array" ref="N174">LOOKUP(2, 1/(ISNUMBER(SEARCH(A174, Horometro!A:A))), Horometro!C:C)</f>
        <v>5662</v>
      </c>
      <c r="O174" s="11" t="str">
        <f t="shared" si="2"/>
        <v/>
      </c>
    </row>
    <row r="175" spans="14:15" ht="15.75" customHeight="1">
      <c r="N175" s="53" cm="1">
        <f t="array" ref="N175">LOOKUP(2, 1/(ISNUMBER(SEARCH(A175, Horometro!A:A))), Horometro!C:C)</f>
        <v>5662</v>
      </c>
      <c r="O175" s="11" t="str">
        <f t="shared" si="2"/>
        <v/>
      </c>
    </row>
    <row r="176" spans="14:15" ht="15.75" customHeight="1">
      <c r="N176" s="53" cm="1">
        <f t="array" ref="N176">LOOKUP(2, 1/(ISNUMBER(SEARCH(A176, Horometro!A:A))), Horometro!C:C)</f>
        <v>5662</v>
      </c>
      <c r="O176" s="11" t="str">
        <f t="shared" si="2"/>
        <v/>
      </c>
    </row>
    <row r="177" spans="14:15" ht="15.75" customHeight="1">
      <c r="N177" s="53" cm="1">
        <f t="array" ref="N177">LOOKUP(2, 1/(ISNUMBER(SEARCH(A177, Horometro!A:A))), Horometro!C:C)</f>
        <v>5662</v>
      </c>
      <c r="O177" s="11" t="str">
        <f t="shared" si="2"/>
        <v/>
      </c>
    </row>
    <row r="178" spans="14:15" ht="15.75" customHeight="1">
      <c r="N178" s="53" cm="1">
        <f t="array" ref="N178">LOOKUP(2, 1/(ISNUMBER(SEARCH(A178, Horometro!A:A))), Horometro!C:C)</f>
        <v>5662</v>
      </c>
      <c r="O178" s="11" t="str">
        <f t="shared" si="2"/>
        <v/>
      </c>
    </row>
    <row r="179" spans="14:15" ht="15.75" customHeight="1">
      <c r="N179" s="53" cm="1">
        <f t="array" ref="N179">LOOKUP(2, 1/(ISNUMBER(SEARCH(A179, Horometro!A:A))), Horometro!C:C)</f>
        <v>5662</v>
      </c>
      <c r="O179" s="11" t="str">
        <f t="shared" si="2"/>
        <v/>
      </c>
    </row>
    <row r="180" spans="14:15" ht="15.75" customHeight="1">
      <c r="N180" s="53" cm="1">
        <f t="array" ref="N180">LOOKUP(2, 1/(ISNUMBER(SEARCH(A180, Horometro!A:A))), Horometro!C:C)</f>
        <v>5662</v>
      </c>
      <c r="O180" s="11" t="str">
        <f t="shared" si="2"/>
        <v/>
      </c>
    </row>
    <row r="181" spans="14:15" ht="15.75" customHeight="1">
      <c r="N181" s="53" cm="1">
        <f t="array" ref="N181">LOOKUP(2, 1/(ISNUMBER(SEARCH(A181, Horometro!A:A))), Horometro!C:C)</f>
        <v>5662</v>
      </c>
      <c r="O181" s="11" t="str">
        <f t="shared" si="2"/>
        <v/>
      </c>
    </row>
    <row r="182" spans="14:15" ht="15.75" customHeight="1">
      <c r="N182" s="53" cm="1">
        <f t="array" ref="N182">LOOKUP(2, 1/(ISNUMBER(SEARCH(A182, Horometro!A:A))), Horometro!C:C)</f>
        <v>5662</v>
      </c>
      <c r="O182" s="11" t="str">
        <f t="shared" si="2"/>
        <v/>
      </c>
    </row>
    <row r="183" spans="14:15" ht="15.75" customHeight="1">
      <c r="N183" s="53" cm="1">
        <f t="array" ref="N183">LOOKUP(2, 1/(ISNUMBER(SEARCH(A183, Horometro!A:A))), Horometro!C:C)</f>
        <v>5662</v>
      </c>
      <c r="O183" s="11" t="str">
        <f t="shared" si="2"/>
        <v/>
      </c>
    </row>
    <row r="184" spans="14:15" ht="15.75" customHeight="1">
      <c r="N184" s="53" cm="1">
        <f t="array" ref="N184">LOOKUP(2, 1/(ISNUMBER(SEARCH(A184, Horometro!A:A))), Horometro!C:C)</f>
        <v>5662</v>
      </c>
      <c r="O184" s="11" t="str">
        <f t="shared" si="2"/>
        <v/>
      </c>
    </row>
    <row r="185" spans="14:15" ht="15.75" customHeight="1">
      <c r="N185" s="53" cm="1">
        <f t="array" ref="N185">LOOKUP(2, 1/(ISNUMBER(SEARCH(A185, Horometro!A:A))), Horometro!C:C)</f>
        <v>5662</v>
      </c>
      <c r="O185" s="11" t="str">
        <f t="shared" si="2"/>
        <v/>
      </c>
    </row>
    <row r="186" spans="14:15" ht="15.75" customHeight="1">
      <c r="N186" s="53" cm="1">
        <f t="array" ref="N186">LOOKUP(2, 1/(ISNUMBER(SEARCH(A186, Horometro!A:A))), Horometro!C:C)</f>
        <v>5662</v>
      </c>
      <c r="O186" s="11" t="str">
        <f t="shared" si="2"/>
        <v/>
      </c>
    </row>
    <row r="187" spans="14:15" ht="15.75" customHeight="1">
      <c r="N187" s="53" cm="1">
        <f t="array" ref="N187">LOOKUP(2, 1/(ISNUMBER(SEARCH(A187, Horometro!A:A))), Horometro!C:C)</f>
        <v>5662</v>
      </c>
      <c r="O187" s="11" t="str">
        <f t="shared" si="2"/>
        <v/>
      </c>
    </row>
    <row r="188" spans="14:15" ht="15.75" customHeight="1">
      <c r="N188" s="53" cm="1">
        <f t="array" ref="N188">LOOKUP(2, 1/(ISNUMBER(SEARCH(A188, Horometro!A:A))), Horometro!C:C)</f>
        <v>5662</v>
      </c>
      <c r="O188" s="11" t="str">
        <f t="shared" si="2"/>
        <v/>
      </c>
    </row>
    <row r="189" spans="14:15" ht="15.75" customHeight="1">
      <c r="N189" s="53" cm="1">
        <f t="array" ref="N189">LOOKUP(2, 1/(ISNUMBER(SEARCH(A189, Horometro!A:A))), Horometro!C:C)</f>
        <v>5662</v>
      </c>
      <c r="O189" s="11" t="str">
        <f t="shared" si="2"/>
        <v/>
      </c>
    </row>
    <row r="190" spans="14:15" ht="15.75" customHeight="1">
      <c r="N190" s="53" cm="1">
        <f t="array" ref="N190">LOOKUP(2, 1/(ISNUMBER(SEARCH(A190, Horometro!A:A))), Horometro!C:C)</f>
        <v>5662</v>
      </c>
      <c r="O190" s="11" t="str">
        <f t="shared" si="2"/>
        <v/>
      </c>
    </row>
    <row r="191" spans="14:15" ht="15.75" customHeight="1">
      <c r="N191" s="53" cm="1">
        <f t="array" ref="N191">LOOKUP(2, 1/(ISNUMBER(SEARCH(A191, Horometro!A:A))), Horometro!C:C)</f>
        <v>5662</v>
      </c>
      <c r="O191" s="11" t="str">
        <f t="shared" si="2"/>
        <v/>
      </c>
    </row>
    <row r="192" spans="14:15" ht="15.75" customHeight="1">
      <c r="N192" s="53" cm="1">
        <f t="array" ref="N192">LOOKUP(2, 1/(ISNUMBER(SEARCH(A192, Horometro!A:A))), Horometro!C:C)</f>
        <v>5662</v>
      </c>
      <c r="O192" s="11" t="str">
        <f t="shared" si="2"/>
        <v/>
      </c>
    </row>
    <row r="193" spans="14:15" ht="15.75" customHeight="1">
      <c r="N193" s="53" cm="1">
        <f t="array" ref="N193">LOOKUP(2, 1/(ISNUMBER(SEARCH(A193, Horometro!A:A))), Horometro!C:C)</f>
        <v>5662</v>
      </c>
      <c r="O193" s="11" t="str">
        <f t="shared" si="2"/>
        <v/>
      </c>
    </row>
    <row r="194" spans="14:15" ht="15.75" customHeight="1">
      <c r="N194" s="53" cm="1">
        <f t="array" ref="N194">LOOKUP(2, 1/(ISNUMBER(SEARCH(A194, Horometro!A:A))), Horometro!C:C)</f>
        <v>5662</v>
      </c>
      <c r="O194" s="11" t="str">
        <f t="shared" ref="O194:O257" si="3">_xlfn.TEXTJOIN(" - ", TRUE, A194, B194, C194)</f>
        <v/>
      </c>
    </row>
    <row r="195" spans="14:15" ht="15.75" customHeight="1">
      <c r="N195" s="53" cm="1">
        <f t="array" ref="N195">LOOKUP(2, 1/(ISNUMBER(SEARCH(A195, Horometro!A:A))), Horometro!C:C)</f>
        <v>5662</v>
      </c>
      <c r="O195" s="11" t="str">
        <f t="shared" si="3"/>
        <v/>
      </c>
    </row>
    <row r="196" spans="14:15" ht="15.75" customHeight="1">
      <c r="N196" s="53" cm="1">
        <f t="array" ref="N196">LOOKUP(2, 1/(ISNUMBER(SEARCH(A196, Horometro!A:A))), Horometro!C:C)</f>
        <v>5662</v>
      </c>
      <c r="O196" s="11" t="str">
        <f t="shared" si="3"/>
        <v/>
      </c>
    </row>
    <row r="197" spans="14:15" ht="15.75" customHeight="1">
      <c r="N197" s="53" cm="1">
        <f t="array" ref="N197">LOOKUP(2, 1/(ISNUMBER(SEARCH(A197, Horometro!A:A))), Horometro!C:C)</f>
        <v>5662</v>
      </c>
      <c r="O197" s="11" t="str">
        <f t="shared" si="3"/>
        <v/>
      </c>
    </row>
    <row r="198" spans="14:15" ht="15.75" customHeight="1">
      <c r="N198" s="53" cm="1">
        <f t="array" ref="N198">LOOKUP(2, 1/(ISNUMBER(SEARCH(A198, Horometro!A:A))), Horometro!C:C)</f>
        <v>5662</v>
      </c>
      <c r="O198" s="11" t="str">
        <f t="shared" si="3"/>
        <v/>
      </c>
    </row>
    <row r="199" spans="14:15" ht="15.75" customHeight="1">
      <c r="N199" s="53" cm="1">
        <f t="array" ref="N199">LOOKUP(2, 1/(ISNUMBER(SEARCH(A199, Horometro!A:A))), Horometro!C:C)</f>
        <v>5662</v>
      </c>
      <c r="O199" s="11" t="str">
        <f t="shared" si="3"/>
        <v/>
      </c>
    </row>
    <row r="200" spans="14:15" ht="15.75" customHeight="1">
      <c r="N200" s="53" cm="1">
        <f t="array" ref="N200">LOOKUP(2, 1/(ISNUMBER(SEARCH(A200, Horometro!A:A))), Horometro!C:C)</f>
        <v>5662</v>
      </c>
      <c r="O200" s="11" t="str">
        <f t="shared" si="3"/>
        <v/>
      </c>
    </row>
    <row r="201" spans="14:15" ht="15.75" customHeight="1">
      <c r="N201" s="53" cm="1">
        <f t="array" ref="N201">LOOKUP(2, 1/(ISNUMBER(SEARCH(A201, Horometro!A:A))), Horometro!C:C)</f>
        <v>5662</v>
      </c>
      <c r="O201" s="11" t="str">
        <f t="shared" si="3"/>
        <v/>
      </c>
    </row>
    <row r="202" spans="14:15" ht="15.75" customHeight="1">
      <c r="N202" s="53" cm="1">
        <f t="array" ref="N202">LOOKUP(2, 1/(ISNUMBER(SEARCH(A202, Horometro!A:A))), Horometro!C:C)</f>
        <v>5662</v>
      </c>
      <c r="O202" s="11" t="str">
        <f t="shared" si="3"/>
        <v/>
      </c>
    </row>
    <row r="203" spans="14:15" ht="15.75" customHeight="1">
      <c r="N203" s="53" cm="1">
        <f t="array" ref="N203">LOOKUP(2, 1/(ISNUMBER(SEARCH(A203, Horometro!A:A))), Horometro!C:C)</f>
        <v>5662</v>
      </c>
      <c r="O203" s="11" t="str">
        <f t="shared" si="3"/>
        <v/>
      </c>
    </row>
    <row r="204" spans="14:15" ht="15.75" customHeight="1">
      <c r="N204" s="53" cm="1">
        <f t="array" ref="N204">LOOKUP(2, 1/(ISNUMBER(SEARCH(A204, Horometro!A:A))), Horometro!C:C)</f>
        <v>5662</v>
      </c>
      <c r="O204" s="11" t="str">
        <f t="shared" si="3"/>
        <v/>
      </c>
    </row>
    <row r="205" spans="14:15" ht="15.75" customHeight="1">
      <c r="N205" s="53" cm="1">
        <f t="array" ref="N205">LOOKUP(2, 1/(ISNUMBER(SEARCH(A205, Horometro!A:A))), Horometro!C:C)</f>
        <v>5662</v>
      </c>
      <c r="O205" s="11" t="str">
        <f t="shared" si="3"/>
        <v/>
      </c>
    </row>
    <row r="206" spans="14:15" ht="15.75" customHeight="1">
      <c r="N206" s="53" cm="1">
        <f t="array" ref="N206">LOOKUP(2, 1/(ISNUMBER(SEARCH(A206, Horometro!A:A))), Horometro!C:C)</f>
        <v>5662</v>
      </c>
      <c r="O206" s="11" t="str">
        <f t="shared" si="3"/>
        <v/>
      </c>
    </row>
    <row r="207" spans="14:15" ht="15.75" customHeight="1">
      <c r="N207" s="53" cm="1">
        <f t="array" ref="N207">LOOKUP(2, 1/(ISNUMBER(SEARCH(A207, Horometro!A:A))), Horometro!C:C)</f>
        <v>5662</v>
      </c>
      <c r="O207" s="11" t="str">
        <f t="shared" si="3"/>
        <v/>
      </c>
    </row>
    <row r="208" spans="14:15" ht="15.75" customHeight="1">
      <c r="N208" s="53" cm="1">
        <f t="array" ref="N208">LOOKUP(2, 1/(ISNUMBER(SEARCH(A208, Horometro!A:A))), Horometro!C:C)</f>
        <v>5662</v>
      </c>
      <c r="O208" s="11" t="str">
        <f t="shared" si="3"/>
        <v/>
      </c>
    </row>
    <row r="209" spans="14:15" ht="15.75" customHeight="1">
      <c r="N209" s="53" cm="1">
        <f t="array" ref="N209">LOOKUP(2, 1/(ISNUMBER(SEARCH(A209, Horometro!A:A))), Horometro!C:C)</f>
        <v>5662</v>
      </c>
      <c r="O209" s="11" t="str">
        <f t="shared" si="3"/>
        <v/>
      </c>
    </row>
    <row r="210" spans="14:15" ht="15.75" customHeight="1">
      <c r="N210" s="53" cm="1">
        <f t="array" ref="N210">LOOKUP(2, 1/(ISNUMBER(SEARCH(A210, Horometro!A:A))), Horometro!C:C)</f>
        <v>5662</v>
      </c>
      <c r="O210" s="11" t="str">
        <f t="shared" si="3"/>
        <v/>
      </c>
    </row>
    <row r="211" spans="14:15" ht="15.75" customHeight="1">
      <c r="N211" s="53" cm="1">
        <f t="array" ref="N211">LOOKUP(2, 1/(ISNUMBER(SEARCH(A211, Horometro!A:A))), Horometro!C:C)</f>
        <v>5662</v>
      </c>
      <c r="O211" s="11" t="str">
        <f t="shared" si="3"/>
        <v/>
      </c>
    </row>
    <row r="212" spans="14:15" ht="15.75" customHeight="1">
      <c r="N212" s="53" cm="1">
        <f t="array" ref="N212">LOOKUP(2, 1/(ISNUMBER(SEARCH(A212, Horometro!A:A))), Horometro!C:C)</f>
        <v>5662</v>
      </c>
      <c r="O212" s="11" t="str">
        <f t="shared" si="3"/>
        <v/>
      </c>
    </row>
    <row r="213" spans="14:15" ht="15.75" customHeight="1">
      <c r="N213" s="53" cm="1">
        <f t="array" ref="N213">LOOKUP(2, 1/(ISNUMBER(SEARCH(A213, Horometro!A:A))), Horometro!C:C)</f>
        <v>5662</v>
      </c>
      <c r="O213" s="11" t="str">
        <f t="shared" si="3"/>
        <v/>
      </c>
    </row>
    <row r="214" spans="14:15" ht="15.75" customHeight="1">
      <c r="N214" s="53" cm="1">
        <f t="array" ref="N214">LOOKUP(2, 1/(ISNUMBER(SEARCH(A214, Horometro!A:A))), Horometro!C:C)</f>
        <v>5662</v>
      </c>
      <c r="O214" s="11" t="str">
        <f t="shared" si="3"/>
        <v/>
      </c>
    </row>
    <row r="215" spans="14:15" ht="15.75" customHeight="1">
      <c r="N215" s="53" cm="1">
        <f t="array" ref="N215">LOOKUP(2, 1/(ISNUMBER(SEARCH(A215, Horometro!A:A))), Horometro!C:C)</f>
        <v>5662</v>
      </c>
      <c r="O215" s="11" t="str">
        <f t="shared" si="3"/>
        <v/>
      </c>
    </row>
    <row r="216" spans="14:15" ht="15.75" customHeight="1">
      <c r="N216" s="53" cm="1">
        <f t="array" ref="N216">LOOKUP(2, 1/(ISNUMBER(SEARCH(A216, Horometro!A:A))), Horometro!C:C)</f>
        <v>5662</v>
      </c>
      <c r="O216" s="11" t="str">
        <f t="shared" si="3"/>
        <v/>
      </c>
    </row>
    <row r="217" spans="14:15" ht="15.75" customHeight="1">
      <c r="N217" s="53" cm="1">
        <f t="array" ref="N217">LOOKUP(2, 1/(ISNUMBER(SEARCH(A217, Horometro!A:A))), Horometro!C:C)</f>
        <v>5662</v>
      </c>
      <c r="O217" s="11" t="str">
        <f t="shared" si="3"/>
        <v/>
      </c>
    </row>
    <row r="218" spans="14:15" ht="15.75" customHeight="1">
      <c r="N218" s="53" cm="1">
        <f t="array" ref="N218">LOOKUP(2, 1/(ISNUMBER(SEARCH(A218, Horometro!A:A))), Horometro!C:C)</f>
        <v>5662</v>
      </c>
      <c r="O218" s="11" t="str">
        <f t="shared" si="3"/>
        <v/>
      </c>
    </row>
    <row r="219" spans="14:15" ht="15.75" customHeight="1">
      <c r="N219" s="53" cm="1">
        <f t="array" ref="N219">LOOKUP(2, 1/(ISNUMBER(SEARCH(A219, Horometro!A:A))), Horometro!C:C)</f>
        <v>5662</v>
      </c>
      <c r="O219" s="11" t="str">
        <f t="shared" si="3"/>
        <v/>
      </c>
    </row>
    <row r="220" spans="14:15" ht="15.75" customHeight="1">
      <c r="N220" s="53" cm="1">
        <f t="array" ref="N220">LOOKUP(2, 1/(ISNUMBER(SEARCH(A220, Horometro!A:A))), Horometro!C:C)</f>
        <v>5662</v>
      </c>
      <c r="O220" s="11" t="str">
        <f t="shared" si="3"/>
        <v/>
      </c>
    </row>
    <row r="221" spans="14:15" ht="15.75" customHeight="1">
      <c r="N221" s="53" cm="1">
        <f t="array" ref="N221">LOOKUP(2, 1/(ISNUMBER(SEARCH(A221, Horometro!A:A))), Horometro!C:C)</f>
        <v>5662</v>
      </c>
      <c r="O221" s="11" t="str">
        <f t="shared" si="3"/>
        <v/>
      </c>
    </row>
    <row r="222" spans="14:15" ht="15.75" customHeight="1">
      <c r="N222" s="53" cm="1">
        <f t="array" ref="N222">LOOKUP(2, 1/(ISNUMBER(SEARCH(A222, Horometro!A:A))), Horometro!C:C)</f>
        <v>5662</v>
      </c>
      <c r="O222" s="11" t="str">
        <f t="shared" si="3"/>
        <v/>
      </c>
    </row>
    <row r="223" spans="14:15" ht="15.75" customHeight="1">
      <c r="N223" s="53" cm="1">
        <f t="array" ref="N223">LOOKUP(2, 1/(ISNUMBER(SEARCH(A223, Horometro!A:A))), Horometro!C:C)</f>
        <v>5662</v>
      </c>
      <c r="O223" s="11" t="str">
        <f t="shared" si="3"/>
        <v/>
      </c>
    </row>
    <row r="224" spans="14:15" ht="15.75" customHeight="1">
      <c r="N224" s="53" cm="1">
        <f t="array" ref="N224">LOOKUP(2, 1/(ISNUMBER(SEARCH(A224, Horometro!A:A))), Horometro!C:C)</f>
        <v>5662</v>
      </c>
      <c r="O224" s="11" t="str">
        <f t="shared" si="3"/>
        <v/>
      </c>
    </row>
    <row r="225" spans="14:15" ht="15.75" customHeight="1">
      <c r="N225" s="53" cm="1">
        <f t="array" ref="N225">LOOKUP(2, 1/(ISNUMBER(SEARCH(A225, Horometro!A:A))), Horometro!C:C)</f>
        <v>5662</v>
      </c>
      <c r="O225" s="11" t="str">
        <f t="shared" si="3"/>
        <v/>
      </c>
    </row>
    <row r="226" spans="14:15" ht="15.75" customHeight="1">
      <c r="N226" s="53" cm="1">
        <f t="array" ref="N226">LOOKUP(2, 1/(ISNUMBER(SEARCH(A226, Horometro!A:A))), Horometro!C:C)</f>
        <v>5662</v>
      </c>
      <c r="O226" s="11" t="str">
        <f t="shared" si="3"/>
        <v/>
      </c>
    </row>
    <row r="227" spans="14:15" ht="15.75" customHeight="1">
      <c r="N227" s="53" cm="1">
        <f t="array" ref="N227">LOOKUP(2, 1/(ISNUMBER(SEARCH(A227, Horometro!A:A))), Horometro!C:C)</f>
        <v>5662</v>
      </c>
      <c r="O227" s="11" t="str">
        <f t="shared" si="3"/>
        <v/>
      </c>
    </row>
    <row r="228" spans="14:15" ht="15.75" customHeight="1">
      <c r="N228" s="53" cm="1">
        <f t="array" ref="N228">LOOKUP(2, 1/(ISNUMBER(SEARCH(A228, Horometro!A:A))), Horometro!C:C)</f>
        <v>5662</v>
      </c>
      <c r="O228" s="11" t="str">
        <f t="shared" si="3"/>
        <v/>
      </c>
    </row>
    <row r="229" spans="14:15" ht="15.75" customHeight="1">
      <c r="N229" s="53" cm="1">
        <f t="array" ref="N229">LOOKUP(2, 1/(ISNUMBER(SEARCH(A229, Horometro!A:A))), Horometro!C:C)</f>
        <v>5662</v>
      </c>
      <c r="O229" s="11" t="str">
        <f t="shared" si="3"/>
        <v/>
      </c>
    </row>
    <row r="230" spans="14:15" ht="15.75" customHeight="1">
      <c r="N230" s="53" cm="1">
        <f t="array" ref="N230">LOOKUP(2, 1/(ISNUMBER(SEARCH(A230, Horometro!A:A))), Horometro!C:C)</f>
        <v>5662</v>
      </c>
      <c r="O230" s="11" t="str">
        <f t="shared" si="3"/>
        <v/>
      </c>
    </row>
    <row r="231" spans="14:15" ht="15.75" customHeight="1">
      <c r="N231" s="53" cm="1">
        <f t="array" ref="N231">LOOKUP(2, 1/(ISNUMBER(SEARCH(A231, Horometro!A:A))), Horometro!C:C)</f>
        <v>5662</v>
      </c>
      <c r="O231" s="11" t="str">
        <f t="shared" si="3"/>
        <v/>
      </c>
    </row>
    <row r="232" spans="14:15" ht="15.75" customHeight="1">
      <c r="N232" s="53" cm="1">
        <f t="array" ref="N232">LOOKUP(2, 1/(ISNUMBER(SEARCH(A232, Horometro!A:A))), Horometro!C:C)</f>
        <v>5662</v>
      </c>
      <c r="O232" s="11" t="str">
        <f t="shared" si="3"/>
        <v/>
      </c>
    </row>
    <row r="233" spans="14:15" ht="15.75" customHeight="1">
      <c r="N233" s="53" cm="1">
        <f t="array" ref="N233">LOOKUP(2, 1/(ISNUMBER(SEARCH(A233, Horometro!A:A))), Horometro!C:C)</f>
        <v>5662</v>
      </c>
      <c r="O233" s="11" t="str">
        <f t="shared" si="3"/>
        <v/>
      </c>
    </row>
    <row r="234" spans="14:15" ht="15.75" customHeight="1">
      <c r="N234" s="53" cm="1">
        <f t="array" ref="N234">LOOKUP(2, 1/(ISNUMBER(SEARCH(A234, Horometro!A:A))), Horometro!C:C)</f>
        <v>5662</v>
      </c>
      <c r="O234" s="11" t="str">
        <f t="shared" si="3"/>
        <v/>
      </c>
    </row>
    <row r="235" spans="14:15" ht="15.75" customHeight="1">
      <c r="N235" s="53" cm="1">
        <f t="array" ref="N235">LOOKUP(2, 1/(ISNUMBER(SEARCH(A235, Horometro!A:A))), Horometro!C:C)</f>
        <v>5662</v>
      </c>
      <c r="O235" s="11" t="str">
        <f t="shared" si="3"/>
        <v/>
      </c>
    </row>
    <row r="236" spans="14:15" ht="15.75" customHeight="1">
      <c r="N236" s="53" cm="1">
        <f t="array" ref="N236">LOOKUP(2, 1/(ISNUMBER(SEARCH(A236, Horometro!A:A))), Horometro!C:C)</f>
        <v>5662</v>
      </c>
      <c r="O236" s="11" t="str">
        <f t="shared" si="3"/>
        <v/>
      </c>
    </row>
    <row r="237" spans="14:15" ht="15.75" customHeight="1">
      <c r="N237" s="53" cm="1">
        <f t="array" ref="N237">LOOKUP(2, 1/(ISNUMBER(SEARCH(A237, Horometro!A:A))), Horometro!C:C)</f>
        <v>5662</v>
      </c>
      <c r="O237" s="11" t="str">
        <f t="shared" si="3"/>
        <v/>
      </c>
    </row>
    <row r="238" spans="14:15" ht="15.75" customHeight="1">
      <c r="N238" s="53" cm="1">
        <f t="array" ref="N238">LOOKUP(2, 1/(ISNUMBER(SEARCH(A238, Horometro!A:A))), Horometro!C:C)</f>
        <v>5662</v>
      </c>
      <c r="O238" s="11" t="str">
        <f t="shared" si="3"/>
        <v/>
      </c>
    </row>
    <row r="239" spans="14:15" ht="15.75" customHeight="1">
      <c r="N239" s="53" cm="1">
        <f t="array" ref="N239">LOOKUP(2, 1/(ISNUMBER(SEARCH(A239, Horometro!A:A))), Horometro!C:C)</f>
        <v>5662</v>
      </c>
      <c r="O239" s="11" t="str">
        <f t="shared" si="3"/>
        <v/>
      </c>
    </row>
    <row r="240" spans="14:15" ht="15.75" customHeight="1">
      <c r="N240" s="53" cm="1">
        <f t="array" ref="N240">LOOKUP(2, 1/(ISNUMBER(SEARCH(A240, Horometro!A:A))), Horometro!C:C)</f>
        <v>5662</v>
      </c>
      <c r="O240" s="11" t="str">
        <f t="shared" si="3"/>
        <v/>
      </c>
    </row>
    <row r="241" spans="14:15" ht="15.75" customHeight="1">
      <c r="N241" s="53" cm="1">
        <f t="array" ref="N241">LOOKUP(2, 1/(ISNUMBER(SEARCH(A241, Horometro!A:A))), Horometro!C:C)</f>
        <v>5662</v>
      </c>
      <c r="O241" s="11" t="str">
        <f t="shared" si="3"/>
        <v/>
      </c>
    </row>
    <row r="242" spans="14:15" ht="15.75" customHeight="1">
      <c r="N242" s="53" cm="1">
        <f t="array" ref="N242">LOOKUP(2, 1/(ISNUMBER(SEARCH(A242, Horometro!A:A))), Horometro!C:C)</f>
        <v>5662</v>
      </c>
      <c r="O242" s="11" t="str">
        <f t="shared" si="3"/>
        <v/>
      </c>
    </row>
    <row r="243" spans="14:15" ht="15.75" customHeight="1">
      <c r="N243" s="53" cm="1">
        <f t="array" ref="N243">LOOKUP(2, 1/(ISNUMBER(SEARCH(A243, Horometro!A:A))), Horometro!C:C)</f>
        <v>5662</v>
      </c>
      <c r="O243" s="11" t="str">
        <f t="shared" si="3"/>
        <v/>
      </c>
    </row>
    <row r="244" spans="14:15" ht="15.75" customHeight="1">
      <c r="N244" s="53" cm="1">
        <f t="array" ref="N244">LOOKUP(2, 1/(ISNUMBER(SEARCH(A244, Horometro!A:A))), Horometro!C:C)</f>
        <v>5662</v>
      </c>
      <c r="O244" s="11" t="str">
        <f t="shared" si="3"/>
        <v/>
      </c>
    </row>
    <row r="245" spans="14:15" ht="15.75" customHeight="1">
      <c r="N245" s="53" cm="1">
        <f t="array" ref="N245">LOOKUP(2, 1/(ISNUMBER(SEARCH(A245, Horometro!A:A))), Horometro!C:C)</f>
        <v>5662</v>
      </c>
      <c r="O245" s="11" t="str">
        <f t="shared" si="3"/>
        <v/>
      </c>
    </row>
    <row r="246" spans="14:15" ht="15.75" customHeight="1">
      <c r="N246" s="53" cm="1">
        <f t="array" ref="N246">LOOKUP(2, 1/(ISNUMBER(SEARCH(A246, Horometro!A:A))), Horometro!C:C)</f>
        <v>5662</v>
      </c>
      <c r="O246" s="11" t="str">
        <f t="shared" si="3"/>
        <v/>
      </c>
    </row>
    <row r="247" spans="14:15" ht="15.75" customHeight="1">
      <c r="N247" s="53" cm="1">
        <f t="array" ref="N247">LOOKUP(2, 1/(ISNUMBER(SEARCH(A247, Horometro!A:A))), Horometro!C:C)</f>
        <v>5662</v>
      </c>
      <c r="O247" s="11" t="str">
        <f t="shared" si="3"/>
        <v/>
      </c>
    </row>
    <row r="248" spans="14:15" ht="15.75" customHeight="1">
      <c r="N248" s="53" cm="1">
        <f t="array" ref="N248">LOOKUP(2, 1/(ISNUMBER(SEARCH(A248, Horometro!A:A))), Horometro!C:C)</f>
        <v>5662</v>
      </c>
      <c r="O248" s="11" t="str">
        <f t="shared" si="3"/>
        <v/>
      </c>
    </row>
    <row r="249" spans="14:15" ht="15.75" customHeight="1">
      <c r="N249" s="53" cm="1">
        <f t="array" ref="N249">LOOKUP(2, 1/(ISNUMBER(SEARCH(A249, Horometro!A:A))), Horometro!C:C)</f>
        <v>5662</v>
      </c>
      <c r="O249" s="11" t="str">
        <f t="shared" si="3"/>
        <v/>
      </c>
    </row>
    <row r="250" spans="14:15" ht="15.75" customHeight="1">
      <c r="N250" s="53" cm="1">
        <f t="array" ref="N250">LOOKUP(2, 1/(ISNUMBER(SEARCH(A250, Horometro!A:A))), Horometro!C:C)</f>
        <v>5662</v>
      </c>
      <c r="O250" s="11" t="str">
        <f t="shared" si="3"/>
        <v/>
      </c>
    </row>
    <row r="251" spans="14:15" ht="15.75" customHeight="1">
      <c r="N251" s="53" cm="1">
        <f t="array" ref="N251">LOOKUP(2, 1/(ISNUMBER(SEARCH(A251, Horometro!A:A))), Horometro!C:C)</f>
        <v>5662</v>
      </c>
      <c r="O251" s="11" t="str">
        <f t="shared" si="3"/>
        <v/>
      </c>
    </row>
    <row r="252" spans="14:15" ht="15.75" customHeight="1">
      <c r="N252" s="53" cm="1">
        <f t="array" ref="N252">LOOKUP(2, 1/(ISNUMBER(SEARCH(A252, Horometro!A:A))), Horometro!C:C)</f>
        <v>5662</v>
      </c>
      <c r="O252" s="11" t="str">
        <f t="shared" si="3"/>
        <v/>
      </c>
    </row>
    <row r="253" spans="14:15" ht="15.75" customHeight="1">
      <c r="N253" s="53" cm="1">
        <f t="array" ref="N253">LOOKUP(2, 1/(ISNUMBER(SEARCH(A253, Horometro!A:A))), Horometro!C:C)</f>
        <v>5662</v>
      </c>
      <c r="O253" s="11" t="str">
        <f t="shared" si="3"/>
        <v/>
      </c>
    </row>
    <row r="254" spans="14:15" ht="15.75" customHeight="1">
      <c r="N254" s="53" cm="1">
        <f t="array" ref="N254">LOOKUP(2, 1/(ISNUMBER(SEARCH(A254, Horometro!A:A))), Horometro!C:C)</f>
        <v>5662</v>
      </c>
      <c r="O254" s="11" t="str">
        <f t="shared" si="3"/>
        <v/>
      </c>
    </row>
    <row r="255" spans="14:15" ht="15.75" customHeight="1">
      <c r="N255" s="53" cm="1">
        <f t="array" ref="N255">LOOKUP(2, 1/(ISNUMBER(SEARCH(A255, Horometro!A:A))), Horometro!C:C)</f>
        <v>5662</v>
      </c>
      <c r="O255" s="11" t="str">
        <f t="shared" si="3"/>
        <v/>
      </c>
    </row>
    <row r="256" spans="14:15" ht="15.75" customHeight="1">
      <c r="N256" s="53" cm="1">
        <f t="array" ref="N256">LOOKUP(2, 1/(ISNUMBER(SEARCH(A256, Horometro!A:A))), Horometro!C:C)</f>
        <v>5662</v>
      </c>
      <c r="O256" s="11" t="str">
        <f t="shared" si="3"/>
        <v/>
      </c>
    </row>
    <row r="257" spans="14:15" ht="15.75" customHeight="1">
      <c r="N257" s="53" cm="1">
        <f t="array" ref="N257">LOOKUP(2, 1/(ISNUMBER(SEARCH(A257, Horometro!A:A))), Horometro!C:C)</f>
        <v>5662</v>
      </c>
      <c r="O257" s="11" t="str">
        <f t="shared" si="3"/>
        <v/>
      </c>
    </row>
    <row r="258" spans="14:15" ht="15.75" customHeight="1">
      <c r="N258" s="53" cm="1">
        <f t="array" ref="N258">LOOKUP(2, 1/(ISNUMBER(SEARCH(A258, Horometro!A:A))), Horometro!C:C)</f>
        <v>5662</v>
      </c>
      <c r="O258" s="11" t="str">
        <f t="shared" ref="O258:O321" si="4">_xlfn.TEXTJOIN(" - ", TRUE, A258, B258, C258)</f>
        <v/>
      </c>
    </row>
    <row r="259" spans="14:15" ht="15.75" customHeight="1">
      <c r="N259" s="53" cm="1">
        <f t="array" ref="N259">LOOKUP(2, 1/(ISNUMBER(SEARCH(A259, Horometro!A:A))), Horometro!C:C)</f>
        <v>5662</v>
      </c>
      <c r="O259" s="11" t="str">
        <f t="shared" si="4"/>
        <v/>
      </c>
    </row>
    <row r="260" spans="14:15" ht="15.75" customHeight="1">
      <c r="N260" s="53" cm="1">
        <f t="array" ref="N260">LOOKUP(2, 1/(ISNUMBER(SEARCH(A260, Horometro!A:A))), Horometro!C:C)</f>
        <v>5662</v>
      </c>
      <c r="O260" s="11" t="str">
        <f t="shared" si="4"/>
        <v/>
      </c>
    </row>
    <row r="261" spans="14:15" ht="15.75" customHeight="1">
      <c r="N261" s="53" cm="1">
        <f t="array" ref="N261">LOOKUP(2, 1/(ISNUMBER(SEARCH(A261, Horometro!A:A))), Horometro!C:C)</f>
        <v>5662</v>
      </c>
      <c r="O261" s="11" t="str">
        <f t="shared" si="4"/>
        <v/>
      </c>
    </row>
    <row r="262" spans="14:15" ht="15.75" customHeight="1">
      <c r="N262" s="53" cm="1">
        <f t="array" ref="N262">LOOKUP(2, 1/(ISNUMBER(SEARCH(A262, Horometro!A:A))), Horometro!C:C)</f>
        <v>5662</v>
      </c>
      <c r="O262" s="11" t="str">
        <f t="shared" si="4"/>
        <v/>
      </c>
    </row>
    <row r="263" spans="14:15" ht="15.75" customHeight="1">
      <c r="N263" s="53" cm="1">
        <f t="array" ref="N263">LOOKUP(2, 1/(ISNUMBER(SEARCH(A263, Horometro!A:A))), Horometro!C:C)</f>
        <v>5662</v>
      </c>
      <c r="O263" s="11" t="str">
        <f t="shared" si="4"/>
        <v/>
      </c>
    </row>
    <row r="264" spans="14:15" ht="15.75" customHeight="1">
      <c r="N264" s="53" cm="1">
        <f t="array" ref="N264">LOOKUP(2, 1/(ISNUMBER(SEARCH(A264, Horometro!A:A))), Horometro!C:C)</f>
        <v>5662</v>
      </c>
      <c r="O264" s="11" t="str">
        <f t="shared" si="4"/>
        <v/>
      </c>
    </row>
    <row r="265" spans="14:15" ht="15.75" customHeight="1">
      <c r="N265" s="53" cm="1">
        <f t="array" ref="N265">LOOKUP(2, 1/(ISNUMBER(SEARCH(A265, Horometro!A:A))), Horometro!C:C)</f>
        <v>5662</v>
      </c>
      <c r="O265" s="11" t="str">
        <f t="shared" si="4"/>
        <v/>
      </c>
    </row>
    <row r="266" spans="14:15" ht="15.75" customHeight="1">
      <c r="N266" s="53" cm="1">
        <f t="array" ref="N266">LOOKUP(2, 1/(ISNUMBER(SEARCH(A266, Horometro!A:A))), Horometro!C:C)</f>
        <v>5662</v>
      </c>
      <c r="O266" s="11" t="str">
        <f t="shared" si="4"/>
        <v/>
      </c>
    </row>
    <row r="267" spans="14:15" ht="15.75" customHeight="1">
      <c r="N267" s="53" cm="1">
        <f t="array" ref="N267">LOOKUP(2, 1/(ISNUMBER(SEARCH(A267, Horometro!A:A))), Horometro!C:C)</f>
        <v>5662</v>
      </c>
      <c r="O267" s="11" t="str">
        <f t="shared" si="4"/>
        <v/>
      </c>
    </row>
    <row r="268" spans="14:15" ht="15.75" customHeight="1">
      <c r="N268" s="53" cm="1">
        <f t="array" ref="N268">LOOKUP(2, 1/(ISNUMBER(SEARCH(A268, Horometro!A:A))), Horometro!C:C)</f>
        <v>5662</v>
      </c>
      <c r="O268" s="11" t="str">
        <f t="shared" si="4"/>
        <v/>
      </c>
    </row>
    <row r="269" spans="14:15" ht="15.75" customHeight="1">
      <c r="N269" s="53" cm="1">
        <f t="array" ref="N269">LOOKUP(2, 1/(ISNUMBER(SEARCH(A269, Horometro!A:A))), Horometro!C:C)</f>
        <v>5662</v>
      </c>
      <c r="O269" s="11" t="str">
        <f t="shared" si="4"/>
        <v/>
      </c>
    </row>
    <row r="270" spans="14:15" ht="15.75" customHeight="1">
      <c r="N270" s="53" cm="1">
        <f t="array" ref="N270">LOOKUP(2, 1/(ISNUMBER(SEARCH(A270, Horometro!A:A))), Horometro!C:C)</f>
        <v>5662</v>
      </c>
      <c r="O270" s="11" t="str">
        <f t="shared" si="4"/>
        <v/>
      </c>
    </row>
    <row r="271" spans="14:15" ht="15.75" customHeight="1">
      <c r="N271" s="53" cm="1">
        <f t="array" ref="N271">LOOKUP(2, 1/(ISNUMBER(SEARCH(A271, Horometro!A:A))), Horometro!C:C)</f>
        <v>5662</v>
      </c>
      <c r="O271" s="11" t="str">
        <f t="shared" si="4"/>
        <v/>
      </c>
    </row>
    <row r="272" spans="14:15" ht="15.75" customHeight="1">
      <c r="N272" s="53" cm="1">
        <f t="array" ref="N272">LOOKUP(2, 1/(ISNUMBER(SEARCH(A272, Horometro!A:A))), Horometro!C:C)</f>
        <v>5662</v>
      </c>
      <c r="O272" s="11" t="str">
        <f t="shared" si="4"/>
        <v/>
      </c>
    </row>
    <row r="273" spans="14:15" ht="15.75" customHeight="1">
      <c r="N273" s="53" cm="1">
        <f t="array" ref="N273">LOOKUP(2, 1/(ISNUMBER(SEARCH(A273, Horometro!A:A))), Horometro!C:C)</f>
        <v>5662</v>
      </c>
      <c r="O273" s="11" t="str">
        <f t="shared" si="4"/>
        <v/>
      </c>
    </row>
    <row r="274" spans="14:15" ht="15.75" customHeight="1">
      <c r="N274" s="53" cm="1">
        <f t="array" ref="N274">LOOKUP(2, 1/(ISNUMBER(SEARCH(A274, Horometro!A:A))), Horometro!C:C)</f>
        <v>5662</v>
      </c>
      <c r="O274" s="11" t="str">
        <f t="shared" si="4"/>
        <v/>
      </c>
    </row>
    <row r="275" spans="14:15" ht="15.75" customHeight="1">
      <c r="N275" s="53" cm="1">
        <f t="array" ref="N275">LOOKUP(2, 1/(ISNUMBER(SEARCH(A275, Horometro!A:A))), Horometro!C:C)</f>
        <v>5662</v>
      </c>
      <c r="O275" s="11" t="str">
        <f t="shared" si="4"/>
        <v/>
      </c>
    </row>
    <row r="276" spans="14:15" ht="15.75" customHeight="1">
      <c r="N276" s="53" cm="1">
        <f t="array" ref="N276">LOOKUP(2, 1/(ISNUMBER(SEARCH(A276, Horometro!A:A))), Horometro!C:C)</f>
        <v>5662</v>
      </c>
      <c r="O276" s="11" t="str">
        <f t="shared" si="4"/>
        <v/>
      </c>
    </row>
    <row r="277" spans="14:15" ht="15.75" customHeight="1">
      <c r="N277" s="53" cm="1">
        <f t="array" ref="N277">LOOKUP(2, 1/(ISNUMBER(SEARCH(A277, Horometro!A:A))), Horometro!C:C)</f>
        <v>5662</v>
      </c>
      <c r="O277" s="11" t="str">
        <f t="shared" si="4"/>
        <v/>
      </c>
    </row>
    <row r="278" spans="14:15" ht="15.75" customHeight="1">
      <c r="N278" s="53" cm="1">
        <f t="array" ref="N278">LOOKUP(2, 1/(ISNUMBER(SEARCH(A278, Horometro!A:A))), Horometro!C:C)</f>
        <v>5662</v>
      </c>
      <c r="O278" s="11" t="str">
        <f t="shared" si="4"/>
        <v/>
      </c>
    </row>
    <row r="279" spans="14:15" ht="15.75" customHeight="1">
      <c r="N279" s="53" cm="1">
        <f t="array" ref="N279">LOOKUP(2, 1/(ISNUMBER(SEARCH(A279, Horometro!A:A))), Horometro!C:C)</f>
        <v>5662</v>
      </c>
      <c r="O279" s="11" t="str">
        <f t="shared" si="4"/>
        <v/>
      </c>
    </row>
    <row r="280" spans="14:15" ht="15.75" customHeight="1">
      <c r="N280" s="53" cm="1">
        <f t="array" ref="N280">LOOKUP(2, 1/(ISNUMBER(SEARCH(A280, Horometro!A:A))), Horometro!C:C)</f>
        <v>5662</v>
      </c>
      <c r="O280" s="11" t="str">
        <f t="shared" si="4"/>
        <v/>
      </c>
    </row>
    <row r="281" spans="14:15" ht="15.75" customHeight="1">
      <c r="N281" s="53" cm="1">
        <f t="array" ref="N281">LOOKUP(2, 1/(ISNUMBER(SEARCH(A281, Horometro!A:A))), Horometro!C:C)</f>
        <v>5662</v>
      </c>
      <c r="O281" s="11" t="str">
        <f t="shared" si="4"/>
        <v/>
      </c>
    </row>
    <row r="282" spans="14:15" ht="15.75" customHeight="1">
      <c r="N282" s="53" cm="1">
        <f t="array" ref="N282">LOOKUP(2, 1/(ISNUMBER(SEARCH(A282, Horometro!A:A))), Horometro!C:C)</f>
        <v>5662</v>
      </c>
      <c r="O282" s="11" t="str">
        <f t="shared" si="4"/>
        <v/>
      </c>
    </row>
    <row r="283" spans="14:15" ht="15.75" customHeight="1">
      <c r="N283" s="53" cm="1">
        <f t="array" ref="N283">LOOKUP(2, 1/(ISNUMBER(SEARCH(A283, Horometro!A:A))), Horometro!C:C)</f>
        <v>5662</v>
      </c>
      <c r="O283" s="11" t="str">
        <f t="shared" si="4"/>
        <v/>
      </c>
    </row>
    <row r="284" spans="14:15" ht="15.75" customHeight="1">
      <c r="N284" s="53" cm="1">
        <f t="array" ref="N284">LOOKUP(2, 1/(ISNUMBER(SEARCH(A284, Horometro!A:A))), Horometro!C:C)</f>
        <v>5662</v>
      </c>
      <c r="O284" s="11" t="str">
        <f t="shared" si="4"/>
        <v/>
      </c>
    </row>
    <row r="285" spans="14:15" ht="15.75" customHeight="1">
      <c r="N285" s="53" cm="1">
        <f t="array" ref="N285">LOOKUP(2, 1/(ISNUMBER(SEARCH(A285, Horometro!A:A))), Horometro!C:C)</f>
        <v>5662</v>
      </c>
      <c r="O285" s="11" t="str">
        <f t="shared" si="4"/>
        <v/>
      </c>
    </row>
    <row r="286" spans="14:15" ht="15.75" customHeight="1">
      <c r="N286" s="53" cm="1">
        <f t="array" ref="N286">LOOKUP(2, 1/(ISNUMBER(SEARCH(A286, Horometro!A:A))), Horometro!C:C)</f>
        <v>5662</v>
      </c>
      <c r="O286" s="11" t="str">
        <f t="shared" si="4"/>
        <v/>
      </c>
    </row>
    <row r="287" spans="14:15" ht="15.75" customHeight="1">
      <c r="N287" s="53" cm="1">
        <f t="array" ref="N287">LOOKUP(2, 1/(ISNUMBER(SEARCH(A287, Horometro!A:A))), Horometro!C:C)</f>
        <v>5662</v>
      </c>
      <c r="O287" s="11" t="str">
        <f t="shared" si="4"/>
        <v/>
      </c>
    </row>
    <row r="288" spans="14:15" ht="15.75" customHeight="1">
      <c r="N288" s="53" cm="1">
        <f t="array" ref="N288">LOOKUP(2, 1/(ISNUMBER(SEARCH(A288, Horometro!A:A))), Horometro!C:C)</f>
        <v>5662</v>
      </c>
      <c r="O288" s="11" t="str">
        <f t="shared" si="4"/>
        <v/>
      </c>
    </row>
    <row r="289" spans="14:15" ht="15.75" customHeight="1">
      <c r="N289" s="53" cm="1">
        <f t="array" ref="N289">LOOKUP(2, 1/(ISNUMBER(SEARCH(A289, Horometro!A:A))), Horometro!C:C)</f>
        <v>5662</v>
      </c>
      <c r="O289" s="11" t="str">
        <f t="shared" si="4"/>
        <v/>
      </c>
    </row>
    <row r="290" spans="14:15" ht="15.75" customHeight="1">
      <c r="N290" s="53" cm="1">
        <f t="array" ref="N290">LOOKUP(2, 1/(ISNUMBER(SEARCH(A290, Horometro!A:A))), Horometro!C:C)</f>
        <v>5662</v>
      </c>
      <c r="O290" s="11" t="str">
        <f t="shared" si="4"/>
        <v/>
      </c>
    </row>
    <row r="291" spans="14:15" ht="15.75" customHeight="1">
      <c r="N291" s="53" cm="1">
        <f t="array" ref="N291">LOOKUP(2, 1/(ISNUMBER(SEARCH(A291, Horometro!A:A))), Horometro!C:C)</f>
        <v>5662</v>
      </c>
      <c r="O291" s="11" t="str">
        <f t="shared" si="4"/>
        <v/>
      </c>
    </row>
    <row r="292" spans="14:15" ht="15.75" customHeight="1">
      <c r="N292" s="53" cm="1">
        <f t="array" ref="N292">LOOKUP(2, 1/(ISNUMBER(SEARCH(A292, Horometro!A:A))), Horometro!C:C)</f>
        <v>5662</v>
      </c>
      <c r="O292" s="11" t="str">
        <f t="shared" si="4"/>
        <v/>
      </c>
    </row>
    <row r="293" spans="14:15" ht="15.75" customHeight="1">
      <c r="N293" s="53" cm="1">
        <f t="array" ref="N293">LOOKUP(2, 1/(ISNUMBER(SEARCH(A293, Horometro!A:A))), Horometro!C:C)</f>
        <v>5662</v>
      </c>
      <c r="O293" s="11" t="str">
        <f t="shared" si="4"/>
        <v/>
      </c>
    </row>
    <row r="294" spans="14:15" ht="15.75" customHeight="1">
      <c r="N294" s="53" cm="1">
        <f t="array" ref="N294">LOOKUP(2, 1/(ISNUMBER(SEARCH(A294, Horometro!A:A))), Horometro!C:C)</f>
        <v>5662</v>
      </c>
      <c r="O294" s="11" t="str">
        <f t="shared" si="4"/>
        <v/>
      </c>
    </row>
    <row r="295" spans="14:15" ht="15.75" customHeight="1">
      <c r="N295" s="53" cm="1">
        <f t="array" ref="N295">LOOKUP(2, 1/(ISNUMBER(SEARCH(A295, Horometro!A:A))), Horometro!C:C)</f>
        <v>5662</v>
      </c>
      <c r="O295" s="11" t="str">
        <f t="shared" si="4"/>
        <v/>
      </c>
    </row>
    <row r="296" spans="14:15" ht="15.75" customHeight="1">
      <c r="N296" s="53" cm="1">
        <f t="array" ref="N296">LOOKUP(2, 1/(ISNUMBER(SEARCH(A296, Horometro!A:A))), Horometro!C:C)</f>
        <v>5662</v>
      </c>
      <c r="O296" s="11" t="str">
        <f t="shared" si="4"/>
        <v/>
      </c>
    </row>
    <row r="297" spans="14:15" ht="15.75" customHeight="1">
      <c r="N297" s="53" cm="1">
        <f t="array" ref="N297">LOOKUP(2, 1/(ISNUMBER(SEARCH(A297, Horometro!A:A))), Horometro!C:C)</f>
        <v>5662</v>
      </c>
      <c r="O297" s="11" t="str">
        <f t="shared" si="4"/>
        <v/>
      </c>
    </row>
    <row r="298" spans="14:15" ht="15.75" customHeight="1">
      <c r="N298" s="53" cm="1">
        <f t="array" ref="N298">LOOKUP(2, 1/(ISNUMBER(SEARCH(A298, Horometro!A:A))), Horometro!C:C)</f>
        <v>5662</v>
      </c>
      <c r="O298" s="11" t="str">
        <f t="shared" si="4"/>
        <v/>
      </c>
    </row>
    <row r="299" spans="14:15" ht="15.75" customHeight="1">
      <c r="N299" s="53" cm="1">
        <f t="array" ref="N299">LOOKUP(2, 1/(ISNUMBER(SEARCH(A299, Horometro!A:A))), Horometro!C:C)</f>
        <v>5662</v>
      </c>
      <c r="O299" s="11" t="str">
        <f t="shared" si="4"/>
        <v/>
      </c>
    </row>
    <row r="300" spans="14:15" ht="15.75" customHeight="1">
      <c r="N300" s="53" cm="1">
        <f t="array" ref="N300">LOOKUP(2, 1/(ISNUMBER(SEARCH(A300, Horometro!A:A))), Horometro!C:C)</f>
        <v>5662</v>
      </c>
      <c r="O300" s="11" t="str">
        <f t="shared" si="4"/>
        <v/>
      </c>
    </row>
    <row r="301" spans="14:15" ht="15.75" customHeight="1">
      <c r="N301" s="53" cm="1">
        <f t="array" ref="N301">LOOKUP(2, 1/(ISNUMBER(SEARCH(A301, Horometro!A:A))), Horometro!C:C)</f>
        <v>5662</v>
      </c>
      <c r="O301" s="11" t="str">
        <f t="shared" si="4"/>
        <v/>
      </c>
    </row>
    <row r="302" spans="14:15" ht="15.75" customHeight="1">
      <c r="N302" s="53" cm="1">
        <f t="array" ref="N302">LOOKUP(2, 1/(ISNUMBER(SEARCH(A302, Horometro!A:A))), Horometro!C:C)</f>
        <v>5662</v>
      </c>
      <c r="O302" s="11" t="str">
        <f t="shared" si="4"/>
        <v/>
      </c>
    </row>
    <row r="303" spans="14:15" ht="15.75" customHeight="1">
      <c r="N303" s="53" cm="1">
        <f t="array" ref="N303">LOOKUP(2, 1/(ISNUMBER(SEARCH(A303, Horometro!A:A))), Horometro!C:C)</f>
        <v>5662</v>
      </c>
      <c r="O303" s="11" t="str">
        <f t="shared" si="4"/>
        <v/>
      </c>
    </row>
    <row r="304" spans="14:15" ht="15.75" customHeight="1">
      <c r="N304" s="53" cm="1">
        <f t="array" ref="N304">LOOKUP(2, 1/(ISNUMBER(SEARCH(A304, Horometro!A:A))), Horometro!C:C)</f>
        <v>5662</v>
      </c>
      <c r="O304" s="11" t="str">
        <f t="shared" si="4"/>
        <v/>
      </c>
    </row>
    <row r="305" spans="14:15" ht="15.75" customHeight="1">
      <c r="N305" s="53" cm="1">
        <f t="array" ref="N305">LOOKUP(2, 1/(ISNUMBER(SEARCH(A305, Horometro!A:A))), Horometro!C:C)</f>
        <v>5662</v>
      </c>
      <c r="O305" s="11" t="str">
        <f t="shared" si="4"/>
        <v/>
      </c>
    </row>
    <row r="306" spans="14:15" ht="15.75" customHeight="1">
      <c r="N306" s="53" cm="1">
        <f t="array" ref="N306">LOOKUP(2, 1/(ISNUMBER(SEARCH(A306, Horometro!A:A))), Horometro!C:C)</f>
        <v>5662</v>
      </c>
      <c r="O306" s="11" t="str">
        <f t="shared" si="4"/>
        <v/>
      </c>
    </row>
    <row r="307" spans="14:15" ht="15.75" customHeight="1">
      <c r="N307" s="53" cm="1">
        <f t="array" ref="N307">LOOKUP(2, 1/(ISNUMBER(SEARCH(A307, Horometro!A:A))), Horometro!C:C)</f>
        <v>5662</v>
      </c>
      <c r="O307" s="11" t="str">
        <f t="shared" si="4"/>
        <v/>
      </c>
    </row>
    <row r="308" spans="14:15" ht="15.75" customHeight="1">
      <c r="N308" s="53" cm="1">
        <f t="array" ref="N308">LOOKUP(2, 1/(ISNUMBER(SEARCH(A308, Horometro!A:A))), Horometro!C:C)</f>
        <v>5662</v>
      </c>
      <c r="O308" s="11" t="str">
        <f t="shared" si="4"/>
        <v/>
      </c>
    </row>
    <row r="309" spans="14:15" ht="15.75" customHeight="1">
      <c r="N309" s="53" cm="1">
        <f t="array" ref="N309">LOOKUP(2, 1/(ISNUMBER(SEARCH(A309, Horometro!A:A))), Horometro!C:C)</f>
        <v>5662</v>
      </c>
      <c r="O309" s="11" t="str">
        <f t="shared" si="4"/>
        <v/>
      </c>
    </row>
    <row r="310" spans="14:15" ht="15.75" customHeight="1">
      <c r="N310" s="53" cm="1">
        <f t="array" ref="N310">LOOKUP(2, 1/(ISNUMBER(SEARCH(A310, Horometro!A:A))), Horometro!C:C)</f>
        <v>5662</v>
      </c>
      <c r="O310" s="11" t="str">
        <f t="shared" si="4"/>
        <v/>
      </c>
    </row>
    <row r="311" spans="14:15" ht="15.75" customHeight="1">
      <c r="N311" s="53" cm="1">
        <f t="array" ref="N311">LOOKUP(2, 1/(ISNUMBER(SEARCH(A311, Horometro!A:A))), Horometro!C:C)</f>
        <v>5662</v>
      </c>
      <c r="O311" s="11" t="str">
        <f t="shared" si="4"/>
        <v/>
      </c>
    </row>
    <row r="312" spans="14:15" ht="15.75" customHeight="1">
      <c r="N312" s="53" cm="1">
        <f t="array" ref="N312">LOOKUP(2, 1/(ISNUMBER(SEARCH(A312, Horometro!A:A))), Horometro!C:C)</f>
        <v>5662</v>
      </c>
      <c r="O312" s="11" t="str">
        <f t="shared" si="4"/>
        <v/>
      </c>
    </row>
    <row r="313" spans="14:15" ht="15.75" customHeight="1">
      <c r="N313" s="53" cm="1">
        <f t="array" ref="N313">LOOKUP(2, 1/(ISNUMBER(SEARCH(A313, Horometro!A:A))), Horometro!C:C)</f>
        <v>5662</v>
      </c>
      <c r="O313" s="11" t="str">
        <f t="shared" si="4"/>
        <v/>
      </c>
    </row>
    <row r="314" spans="14:15" ht="15.75" customHeight="1">
      <c r="N314" s="53" cm="1">
        <f t="array" ref="N314">LOOKUP(2, 1/(ISNUMBER(SEARCH(A314, Horometro!A:A))), Horometro!C:C)</f>
        <v>5662</v>
      </c>
      <c r="O314" s="11" t="str">
        <f t="shared" si="4"/>
        <v/>
      </c>
    </row>
    <row r="315" spans="14:15" ht="15.75" customHeight="1">
      <c r="N315" s="53" cm="1">
        <f t="array" ref="N315">LOOKUP(2, 1/(ISNUMBER(SEARCH(A315, Horometro!A:A))), Horometro!C:C)</f>
        <v>5662</v>
      </c>
      <c r="O315" s="11" t="str">
        <f t="shared" si="4"/>
        <v/>
      </c>
    </row>
    <row r="316" spans="14:15" ht="15.75" customHeight="1">
      <c r="N316" s="53" cm="1">
        <f t="array" ref="N316">LOOKUP(2, 1/(ISNUMBER(SEARCH(A316, Horometro!A:A))), Horometro!C:C)</f>
        <v>5662</v>
      </c>
      <c r="O316" s="11" t="str">
        <f t="shared" si="4"/>
        <v/>
      </c>
    </row>
    <row r="317" spans="14:15" ht="15.75" customHeight="1">
      <c r="N317" s="53" cm="1">
        <f t="array" ref="N317">LOOKUP(2, 1/(ISNUMBER(SEARCH(A317, Horometro!A:A))), Horometro!C:C)</f>
        <v>5662</v>
      </c>
      <c r="O317" s="11" t="str">
        <f t="shared" si="4"/>
        <v/>
      </c>
    </row>
    <row r="318" spans="14:15" ht="15.75" customHeight="1">
      <c r="N318" s="53" cm="1">
        <f t="array" ref="N318">LOOKUP(2, 1/(ISNUMBER(SEARCH(A318, Horometro!A:A))), Horometro!C:C)</f>
        <v>5662</v>
      </c>
      <c r="O318" s="11" t="str">
        <f t="shared" si="4"/>
        <v/>
      </c>
    </row>
    <row r="319" spans="14:15" ht="15.75" customHeight="1">
      <c r="N319" s="53" cm="1">
        <f t="array" ref="N319">LOOKUP(2, 1/(ISNUMBER(SEARCH(A319, Horometro!A:A))), Horometro!C:C)</f>
        <v>5662</v>
      </c>
      <c r="O319" s="11" t="str">
        <f t="shared" si="4"/>
        <v/>
      </c>
    </row>
    <row r="320" spans="14:15" ht="15.75" customHeight="1">
      <c r="N320" s="53" cm="1">
        <f t="array" ref="N320">LOOKUP(2, 1/(ISNUMBER(SEARCH(A320, Horometro!A:A))), Horometro!C:C)</f>
        <v>5662</v>
      </c>
      <c r="O320" s="11" t="str">
        <f t="shared" si="4"/>
        <v/>
      </c>
    </row>
    <row r="321" spans="14:15" ht="15.75" customHeight="1">
      <c r="N321" s="53" cm="1">
        <f t="array" ref="N321">LOOKUP(2, 1/(ISNUMBER(SEARCH(A321, Horometro!A:A))), Horometro!C:C)</f>
        <v>5662</v>
      </c>
      <c r="O321" s="11" t="str">
        <f t="shared" si="4"/>
        <v/>
      </c>
    </row>
    <row r="322" spans="14:15" ht="15.75" customHeight="1">
      <c r="N322" s="53" cm="1">
        <f t="array" ref="N322">LOOKUP(2, 1/(ISNUMBER(SEARCH(A322, Horometro!A:A))), Horometro!C:C)</f>
        <v>5662</v>
      </c>
      <c r="O322" s="11" t="str">
        <f t="shared" ref="O322:O355" si="5">_xlfn.TEXTJOIN(" - ", TRUE, A322, B322, C322)</f>
        <v/>
      </c>
    </row>
    <row r="323" spans="14:15" ht="15.75" customHeight="1">
      <c r="N323" s="53" cm="1">
        <f t="array" ref="N323">LOOKUP(2, 1/(ISNUMBER(SEARCH(A323, Horometro!A:A))), Horometro!C:C)</f>
        <v>5662</v>
      </c>
      <c r="O323" s="11" t="str">
        <f t="shared" si="5"/>
        <v/>
      </c>
    </row>
    <row r="324" spans="14:15" ht="15.75" customHeight="1">
      <c r="N324" s="53" cm="1">
        <f t="array" ref="N324">LOOKUP(2, 1/(ISNUMBER(SEARCH(A324, Horometro!A:A))), Horometro!C:C)</f>
        <v>5662</v>
      </c>
      <c r="O324" s="11" t="str">
        <f t="shared" si="5"/>
        <v/>
      </c>
    </row>
    <row r="325" spans="14:15" ht="15.75" customHeight="1">
      <c r="N325" s="53" cm="1">
        <f t="array" ref="N325">LOOKUP(2, 1/(ISNUMBER(SEARCH(A325, Horometro!A:A))), Horometro!C:C)</f>
        <v>5662</v>
      </c>
      <c r="O325" s="11" t="str">
        <f t="shared" si="5"/>
        <v/>
      </c>
    </row>
    <row r="326" spans="14:15" ht="15.75" customHeight="1">
      <c r="N326" s="53" cm="1">
        <f t="array" ref="N326">LOOKUP(2, 1/(ISNUMBER(SEARCH(A326, Horometro!A:A))), Horometro!C:C)</f>
        <v>5662</v>
      </c>
      <c r="O326" s="11" t="str">
        <f t="shared" si="5"/>
        <v/>
      </c>
    </row>
    <row r="327" spans="14:15" ht="15.75" customHeight="1">
      <c r="N327" s="53" cm="1">
        <f t="array" ref="N327">LOOKUP(2, 1/(ISNUMBER(SEARCH(A327, Horometro!A:A))), Horometro!C:C)</f>
        <v>5662</v>
      </c>
      <c r="O327" s="11" t="str">
        <f t="shared" si="5"/>
        <v/>
      </c>
    </row>
    <row r="328" spans="14:15" ht="15.75" customHeight="1">
      <c r="N328" s="53" cm="1">
        <f t="array" ref="N328">LOOKUP(2, 1/(ISNUMBER(SEARCH(A328, Horometro!A:A))), Horometro!C:C)</f>
        <v>5662</v>
      </c>
      <c r="O328" s="11" t="str">
        <f t="shared" si="5"/>
        <v/>
      </c>
    </row>
    <row r="329" spans="14:15" ht="15.75" customHeight="1">
      <c r="N329" s="53" cm="1">
        <f t="array" ref="N329">LOOKUP(2, 1/(ISNUMBER(SEARCH(A329, Horometro!A:A))), Horometro!C:C)</f>
        <v>5662</v>
      </c>
      <c r="O329" s="11" t="str">
        <f t="shared" si="5"/>
        <v/>
      </c>
    </row>
    <row r="330" spans="14:15" ht="15.75" customHeight="1">
      <c r="N330" s="53" cm="1">
        <f t="array" ref="N330">LOOKUP(2, 1/(ISNUMBER(SEARCH(A330, Horometro!A:A))), Horometro!C:C)</f>
        <v>5662</v>
      </c>
      <c r="O330" s="11" t="str">
        <f t="shared" si="5"/>
        <v/>
      </c>
    </row>
    <row r="331" spans="14:15" ht="15.75" customHeight="1">
      <c r="N331" s="53" cm="1">
        <f t="array" ref="N331">LOOKUP(2, 1/(ISNUMBER(SEARCH(A331, Horometro!A:A))), Horometro!C:C)</f>
        <v>5662</v>
      </c>
      <c r="O331" s="11" t="str">
        <f t="shared" si="5"/>
        <v/>
      </c>
    </row>
    <row r="332" spans="14:15" ht="15.75" customHeight="1">
      <c r="N332" s="53" cm="1">
        <f t="array" ref="N332">LOOKUP(2, 1/(ISNUMBER(SEARCH(A332, Horometro!A:A))), Horometro!C:C)</f>
        <v>5662</v>
      </c>
      <c r="O332" s="11" t="str">
        <f t="shared" si="5"/>
        <v/>
      </c>
    </row>
    <row r="333" spans="14:15" ht="15.75" customHeight="1">
      <c r="N333" s="53" cm="1">
        <f t="array" ref="N333">LOOKUP(2, 1/(ISNUMBER(SEARCH(A333, Horometro!A:A))), Horometro!C:C)</f>
        <v>5662</v>
      </c>
      <c r="O333" s="11" t="str">
        <f t="shared" si="5"/>
        <v/>
      </c>
    </row>
    <row r="334" spans="14:15" ht="15.75" customHeight="1">
      <c r="N334" s="53" cm="1">
        <f t="array" ref="N334">LOOKUP(2, 1/(ISNUMBER(SEARCH(A334, Horometro!A:A))), Horometro!C:C)</f>
        <v>5662</v>
      </c>
      <c r="O334" s="11" t="str">
        <f t="shared" si="5"/>
        <v/>
      </c>
    </row>
    <row r="335" spans="14:15" ht="15.75" customHeight="1">
      <c r="N335" s="53" cm="1">
        <f t="array" ref="N335">LOOKUP(2, 1/(ISNUMBER(SEARCH(A335, Horometro!A:A))), Horometro!C:C)</f>
        <v>5662</v>
      </c>
      <c r="O335" s="11" t="str">
        <f t="shared" si="5"/>
        <v/>
      </c>
    </row>
    <row r="336" spans="14:15" ht="15.75" customHeight="1">
      <c r="N336" s="53" cm="1">
        <f t="array" ref="N336">LOOKUP(2, 1/(ISNUMBER(SEARCH(A336, Horometro!A:A))), Horometro!C:C)</f>
        <v>5662</v>
      </c>
      <c r="O336" s="11" t="str">
        <f t="shared" si="5"/>
        <v/>
      </c>
    </row>
    <row r="337" spans="14:15" ht="15.75" customHeight="1">
      <c r="N337" s="53" cm="1">
        <f t="array" ref="N337">LOOKUP(2, 1/(ISNUMBER(SEARCH(A337, Horometro!A:A))), Horometro!C:C)</f>
        <v>5662</v>
      </c>
      <c r="O337" s="11" t="str">
        <f t="shared" si="5"/>
        <v/>
      </c>
    </row>
    <row r="338" spans="14:15" ht="15.75" customHeight="1">
      <c r="N338" s="53" cm="1">
        <f t="array" ref="N338">LOOKUP(2, 1/(ISNUMBER(SEARCH(A338, Horometro!A:A))), Horometro!C:C)</f>
        <v>5662</v>
      </c>
      <c r="O338" s="11" t="str">
        <f t="shared" si="5"/>
        <v/>
      </c>
    </row>
    <row r="339" spans="14:15" ht="15.75" customHeight="1">
      <c r="N339" s="53" cm="1">
        <f t="array" ref="N339">LOOKUP(2, 1/(ISNUMBER(SEARCH(A339, Horometro!A:A))), Horometro!C:C)</f>
        <v>5662</v>
      </c>
      <c r="O339" s="11" t="str">
        <f t="shared" si="5"/>
        <v/>
      </c>
    </row>
    <row r="340" spans="14:15" ht="15.75" customHeight="1">
      <c r="N340" s="53" cm="1">
        <f t="array" ref="N340">LOOKUP(2, 1/(ISNUMBER(SEARCH(A340, Horometro!A:A))), Horometro!C:C)</f>
        <v>5662</v>
      </c>
      <c r="O340" s="11" t="str">
        <f t="shared" si="5"/>
        <v/>
      </c>
    </row>
    <row r="341" spans="14:15" ht="15.75" customHeight="1">
      <c r="N341" s="53" cm="1">
        <f t="array" ref="N341">LOOKUP(2, 1/(ISNUMBER(SEARCH(A341, Horometro!A:A))), Horometro!C:C)</f>
        <v>5662</v>
      </c>
      <c r="O341" s="11" t="str">
        <f t="shared" si="5"/>
        <v/>
      </c>
    </row>
    <row r="342" spans="14:15" ht="15.75" customHeight="1">
      <c r="N342" s="53" cm="1">
        <f t="array" ref="N342">LOOKUP(2, 1/(ISNUMBER(SEARCH(A342, Horometro!A:A))), Horometro!C:C)</f>
        <v>5662</v>
      </c>
      <c r="O342" s="11" t="str">
        <f t="shared" si="5"/>
        <v/>
      </c>
    </row>
    <row r="343" spans="14:15" ht="15.75" customHeight="1">
      <c r="N343" s="53" cm="1">
        <f t="array" ref="N343">LOOKUP(2, 1/(ISNUMBER(SEARCH(A343, Horometro!A:A))), Horometro!C:C)</f>
        <v>5662</v>
      </c>
      <c r="O343" s="11" t="str">
        <f t="shared" si="5"/>
        <v/>
      </c>
    </row>
    <row r="344" spans="14:15" ht="15.75" customHeight="1">
      <c r="N344" s="53" cm="1">
        <f t="array" ref="N344">LOOKUP(2, 1/(ISNUMBER(SEARCH(A344, Horometro!A:A))), Horometro!C:C)</f>
        <v>5662</v>
      </c>
      <c r="O344" s="11" t="str">
        <f t="shared" si="5"/>
        <v/>
      </c>
    </row>
    <row r="345" spans="14:15" ht="15.75" customHeight="1">
      <c r="N345" s="53" cm="1">
        <f t="array" ref="N345">LOOKUP(2, 1/(ISNUMBER(SEARCH(A345, Horometro!A:A))), Horometro!C:C)</f>
        <v>5662</v>
      </c>
      <c r="O345" s="11" t="str">
        <f t="shared" si="5"/>
        <v/>
      </c>
    </row>
    <row r="346" spans="14:15" ht="15.75" customHeight="1">
      <c r="N346" s="53" cm="1">
        <f t="array" ref="N346">LOOKUP(2, 1/(ISNUMBER(SEARCH(A346, Horometro!A:A))), Horometro!C:C)</f>
        <v>5662</v>
      </c>
      <c r="O346" s="11" t="str">
        <f t="shared" si="5"/>
        <v/>
      </c>
    </row>
    <row r="347" spans="14:15" ht="15.75" customHeight="1">
      <c r="N347" s="53" cm="1">
        <f t="array" ref="N347">LOOKUP(2, 1/(ISNUMBER(SEARCH(A347, Horometro!A:A))), Horometro!C:C)</f>
        <v>5662</v>
      </c>
      <c r="O347" s="11" t="str">
        <f t="shared" si="5"/>
        <v/>
      </c>
    </row>
    <row r="348" spans="14:15" ht="15.75" customHeight="1">
      <c r="N348" s="53" cm="1">
        <f t="array" ref="N348">LOOKUP(2, 1/(ISNUMBER(SEARCH(A348, Horometro!A:A))), Horometro!C:C)</f>
        <v>5662</v>
      </c>
      <c r="O348" s="11" t="str">
        <f t="shared" si="5"/>
        <v/>
      </c>
    </row>
    <row r="349" spans="14:15" ht="15.75" customHeight="1">
      <c r="N349" s="53" cm="1">
        <f t="array" ref="N349">LOOKUP(2, 1/(ISNUMBER(SEARCH(A349, Horometro!A:A))), Horometro!C:C)</f>
        <v>5662</v>
      </c>
      <c r="O349" s="11" t="str">
        <f t="shared" si="5"/>
        <v/>
      </c>
    </row>
    <row r="350" spans="14:15" ht="15.75" customHeight="1">
      <c r="N350" s="53" cm="1">
        <f t="array" ref="N350">LOOKUP(2, 1/(ISNUMBER(SEARCH(A350, Horometro!A:A))), Horometro!C:C)</f>
        <v>5662</v>
      </c>
      <c r="O350" s="11" t="str">
        <f t="shared" si="5"/>
        <v/>
      </c>
    </row>
    <row r="351" spans="14:15" ht="15.75" customHeight="1">
      <c r="N351" s="53" cm="1">
        <f t="array" ref="N351">LOOKUP(2, 1/(ISNUMBER(SEARCH(A351, Horometro!A:A))), Horometro!C:C)</f>
        <v>5662</v>
      </c>
      <c r="O351" s="11" t="str">
        <f t="shared" si="5"/>
        <v/>
      </c>
    </row>
    <row r="352" spans="14:15" ht="15.75" customHeight="1">
      <c r="N352" s="53" cm="1">
        <f t="array" ref="N352">LOOKUP(2, 1/(ISNUMBER(SEARCH(A352, Horometro!A:A))), Horometro!C:C)</f>
        <v>5662</v>
      </c>
      <c r="O352" s="11" t="str">
        <f t="shared" si="5"/>
        <v/>
      </c>
    </row>
    <row r="353" spans="14:15" ht="15.75" customHeight="1">
      <c r="N353" s="53" cm="1">
        <f t="array" ref="N353">LOOKUP(2, 1/(ISNUMBER(SEARCH(A353, Horometro!A:A))), Horometro!C:C)</f>
        <v>5662</v>
      </c>
      <c r="O353" s="11" t="str">
        <f t="shared" si="5"/>
        <v/>
      </c>
    </row>
    <row r="354" spans="14:15" ht="15.75" customHeight="1">
      <c r="N354" s="53" cm="1">
        <f t="array" ref="N354">LOOKUP(2, 1/(ISNUMBER(SEARCH(A354, Horometro!A:A))), Horometro!C:C)</f>
        <v>5662</v>
      </c>
      <c r="O354" s="11" t="str">
        <f t="shared" si="5"/>
        <v/>
      </c>
    </row>
    <row r="355" spans="14:15" ht="15.75" customHeight="1">
      <c r="N355" s="53" cm="1">
        <f t="array" ref="N355">LOOKUP(2, 1/(ISNUMBER(SEARCH(A355, Horometro!A:A))), Horometro!C:C)</f>
        <v>5662</v>
      </c>
      <c r="O355" s="11" t="str">
        <f t="shared" si="5"/>
        <v/>
      </c>
    </row>
    <row r="356" spans="14:15" ht="15.75" customHeight="1"/>
    <row r="357" spans="14:15" ht="15.75" customHeight="1"/>
    <row r="358" spans="14:15" ht="15.75" customHeight="1"/>
    <row r="359" spans="14:15" ht="15.75" customHeight="1"/>
    <row r="360" spans="14:15" ht="15.75" customHeight="1"/>
    <row r="361" spans="14:15" ht="15.75" customHeight="1"/>
    <row r="362" spans="14:15" ht="15.75" customHeight="1"/>
    <row r="363" spans="14:15" ht="15.75" customHeight="1"/>
    <row r="364" spans="14:15" ht="15.75" customHeight="1"/>
    <row r="365" spans="14:15" ht="15.75" customHeight="1"/>
    <row r="366" spans="14:15" ht="15.75" customHeight="1"/>
    <row r="367" spans="14:15" ht="15.75" customHeight="1"/>
    <row r="368" spans="14:15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conditionalFormatting sqref="A1:A1048576">
    <cfRule type="containsText" dxfId="0" priority="1" operator="containsText" text="S">
      <formula>NOT(ISERROR(SEARCH("S",A1)))</formula>
    </cfRule>
  </conditionalFormatting>
  <dataValidations count="1">
    <dataValidation type="list" allowBlank="1" showInputMessage="1" showErrorMessage="1" sqref="L1:L1048576" xr:uid="{1B0A3826-C252-47F0-8B91-40B750090EB3}">
      <formula1>Polizas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D1" workbookViewId="0">
      <selection activeCell="L5" sqref="L5"/>
    </sheetView>
  </sheetViews>
  <sheetFormatPr defaultColWidth="14.42578125" defaultRowHeight="15" customHeight="1"/>
  <cols>
    <col min="1" max="1" width="13.85546875" customWidth="1"/>
    <col min="2" max="2" width="52.42578125" bestFit="1" customWidth="1"/>
    <col min="3" max="3" width="43.85546875" customWidth="1"/>
    <col min="4" max="4" width="18.42578125" customWidth="1"/>
    <col min="5" max="5" width="14.140625" style="14" customWidth="1"/>
    <col min="6" max="6" width="17.140625" style="14" customWidth="1"/>
    <col min="7" max="7" width="18.28515625" style="3" bestFit="1" customWidth="1"/>
    <col min="8" max="8" width="16.7109375" bestFit="1" customWidth="1"/>
    <col min="9" max="11" width="21.85546875" customWidth="1"/>
    <col min="12" max="12" width="70.7109375" bestFit="1" customWidth="1"/>
    <col min="13" max="13" width="13.5703125" customWidth="1"/>
    <col min="14" max="20" width="8.7109375" customWidth="1"/>
  </cols>
  <sheetData>
    <row r="1" spans="1:13">
      <c r="A1" s="8" t="s">
        <v>0</v>
      </c>
      <c r="B1" s="8" t="s">
        <v>114</v>
      </c>
      <c r="C1" s="8" t="s">
        <v>3</v>
      </c>
      <c r="D1" s="8" t="s">
        <v>17</v>
      </c>
      <c r="E1" s="19" t="s">
        <v>4</v>
      </c>
      <c r="F1" s="19" t="s">
        <v>99</v>
      </c>
      <c r="G1" s="9" t="s">
        <v>5</v>
      </c>
      <c r="H1" s="8" t="s">
        <v>6</v>
      </c>
      <c r="I1" s="8" t="s">
        <v>153</v>
      </c>
      <c r="J1" s="8" t="s">
        <v>165</v>
      </c>
      <c r="K1" s="8" t="s">
        <v>245</v>
      </c>
      <c r="L1" s="50" t="s">
        <v>150</v>
      </c>
      <c r="M1" s="50" t="s">
        <v>7</v>
      </c>
    </row>
    <row r="2" spans="1:13">
      <c r="A2" s="1" t="s">
        <v>8</v>
      </c>
      <c r="B2" s="6" t="s">
        <v>10</v>
      </c>
      <c r="C2" s="6" t="s">
        <v>155</v>
      </c>
      <c r="D2" s="6" t="s">
        <v>148</v>
      </c>
      <c r="E2" s="22">
        <v>45839</v>
      </c>
      <c r="F2" s="22">
        <v>45869</v>
      </c>
      <c r="G2" s="15">
        <f t="shared" ref="G2" si="0">16.5/20</f>
        <v>0.82499999999999996</v>
      </c>
      <c r="H2" s="1">
        <f>+Arriendos[[#This Row],[Fecha _Termino]]-Arriendos[[#This Row],[Fecha_Inicio]]</f>
        <v>30</v>
      </c>
      <c r="I2" s="16">
        <f>+Arriendos[[#This Row],[Días_Totales]]*Arriendos[[#This Row],[Tarifa_Diaria]]</f>
        <v>24.75</v>
      </c>
      <c r="J2" s="16">
        <f>+Arriendos[[#This Row],[Monto_Neto _Total]]*1.19</f>
        <v>29.452499999999997</v>
      </c>
      <c r="K2" s="16">
        <f>+Arriendos[[#This Row],[Monto_con_IVA]]*UF_Julio_25</f>
        <v>1154069.1162</v>
      </c>
      <c r="L2" s="51" t="s">
        <v>272</v>
      </c>
      <c r="M2" s="1"/>
    </row>
    <row r="3" spans="1:13" ht="15" customHeight="1">
      <c r="A3" s="1" t="s">
        <v>104</v>
      </c>
      <c r="B3" t="s">
        <v>207</v>
      </c>
      <c r="C3" s="1" t="s">
        <v>222</v>
      </c>
      <c r="D3" s="1" t="s">
        <v>149</v>
      </c>
      <c r="E3" s="22">
        <v>45841</v>
      </c>
      <c r="F3" s="22">
        <v>45869</v>
      </c>
      <c r="G3" s="15">
        <f>15/20</f>
        <v>0.75</v>
      </c>
      <c r="H3" s="1">
        <f>+Arriendos[[#This Row],[Fecha _Termino]]-Arriendos[[#This Row],[Fecha_Inicio]]</f>
        <v>28</v>
      </c>
      <c r="I3" s="4">
        <f>+Arriendos[[#This Row],[Días_Totales]]*Arriendos[[#This Row],[Tarifa_Diaria]]</f>
        <v>21</v>
      </c>
      <c r="J3" s="4">
        <f>+Arriendos[[#This Row],[Monto_Neto _Total]]*1.19</f>
        <v>24.99</v>
      </c>
      <c r="K3" s="4">
        <f>+Arriendos[[#This Row],[Monto_con_IVA]]*UF_Julio_25</f>
        <v>979210.15919999999</v>
      </c>
      <c r="L3" s="51" t="s">
        <v>272</v>
      </c>
    </row>
    <row r="4" spans="1:13" ht="15" customHeight="1">
      <c r="A4" s="1" t="s">
        <v>105</v>
      </c>
      <c r="B4" t="s">
        <v>231</v>
      </c>
      <c r="C4" s="1" t="s">
        <v>146</v>
      </c>
      <c r="D4" s="1" t="s">
        <v>243</v>
      </c>
      <c r="E4" s="22">
        <v>45845</v>
      </c>
      <c r="F4" s="22">
        <v>45869</v>
      </c>
      <c r="G4" s="15">
        <f>30/20</f>
        <v>1.5</v>
      </c>
      <c r="H4" s="1">
        <f>+Arriendos[[#This Row],[Fecha _Termino]]-Arriendos[[#This Row],[Fecha_Inicio]]</f>
        <v>24</v>
      </c>
      <c r="I4" s="4">
        <f>+Arriendos[[#This Row],[Días_Totales]]*Arriendos[[#This Row],[Tarifa_Diaria]]</f>
        <v>36</v>
      </c>
      <c r="J4" s="4">
        <f>+Arriendos[[#This Row],[Monto_Neto _Total]]*1.19</f>
        <v>42.839999999999996</v>
      </c>
      <c r="K4" s="4">
        <f>+Arriendos[[#This Row],[Monto_con_IVA]]*UF_Julio_25</f>
        <v>1678645.9871999999</v>
      </c>
      <c r="L4" s="51"/>
    </row>
    <row r="5" spans="1:13" ht="15" customHeight="1">
      <c r="A5" s="1" t="s">
        <v>112</v>
      </c>
      <c r="C5" s="6" t="s">
        <v>146</v>
      </c>
      <c r="D5" s="6" t="s">
        <v>243</v>
      </c>
      <c r="E5" s="22"/>
      <c r="F5" s="22"/>
      <c r="G5" s="15">
        <v>2</v>
      </c>
      <c r="H5" s="1">
        <v>30</v>
      </c>
      <c r="I5" s="4">
        <f>+Arriendos[[#This Row],[Días_Totales]]*Arriendos[[#This Row],[Tarifa_Diaria]]</f>
        <v>60</v>
      </c>
      <c r="J5" s="4">
        <f>+Arriendos[[#This Row],[Monto_Neto _Total]]*1.19</f>
        <v>71.399999999999991</v>
      </c>
      <c r="K5" s="4">
        <f>+Arriendos[[#This Row],[Monto_con_IVA]]*UF_Julio_25</f>
        <v>2797743.3119999999</v>
      </c>
      <c r="L5" s="51"/>
    </row>
    <row r="6" spans="1:13" ht="15" customHeight="1">
      <c r="A6" s="1" t="s">
        <v>113</v>
      </c>
      <c r="C6" s="6"/>
      <c r="D6" s="6"/>
      <c r="E6" s="22"/>
      <c r="F6" s="22"/>
      <c r="G6" s="15"/>
      <c r="H6" s="1">
        <f>+Arriendos[[#This Row],[Fecha _Termino]]-Arriendos[[#This Row],[Fecha_Inicio]]</f>
        <v>0</v>
      </c>
      <c r="I6" s="4">
        <f>+Arriendos[[#This Row],[Días_Totales]]*Arriendos[[#This Row],[Tarifa_Diaria]]</f>
        <v>0</v>
      </c>
      <c r="J6" s="4">
        <f>+Arriendos[[#This Row],[Monto_Neto _Total]]*1.19</f>
        <v>0</v>
      </c>
      <c r="K6" s="4">
        <f>+Arriendos[[#This Row],[Monto_con_IVA]]*UF_Julio_25</f>
        <v>0</v>
      </c>
      <c r="L6" s="51"/>
    </row>
    <row r="7" spans="1:13" ht="15" customHeight="1">
      <c r="A7" s="1" t="s">
        <v>223</v>
      </c>
      <c r="C7" s="6"/>
      <c r="D7" s="6"/>
      <c r="E7" s="22"/>
      <c r="F7" s="22"/>
      <c r="G7" s="15"/>
      <c r="H7" s="1">
        <f>+Arriendos[[#This Row],[Fecha _Termino]]-Arriendos[[#This Row],[Fecha_Inicio]]</f>
        <v>0</v>
      </c>
      <c r="I7" s="4">
        <f>+Arriendos[[#This Row],[Días_Totales]]*Arriendos[[#This Row],[Tarifa_Diaria]]</f>
        <v>0</v>
      </c>
      <c r="J7" s="4">
        <f>+Arriendos[[#This Row],[Monto_Neto _Total]]*1.19</f>
        <v>0</v>
      </c>
      <c r="K7" s="4">
        <f>+Arriendos[[#This Row],[Monto_con_IVA]]*UF_Julio_25</f>
        <v>0</v>
      </c>
      <c r="L7" s="51"/>
    </row>
    <row r="8" spans="1:13" ht="15" customHeight="1">
      <c r="A8" s="1" t="s">
        <v>224</v>
      </c>
      <c r="C8" s="1"/>
      <c r="D8" s="1"/>
      <c r="E8" s="22"/>
      <c r="F8" s="22"/>
      <c r="G8" s="15"/>
      <c r="H8" s="1">
        <f>+Arriendos[[#This Row],[Fecha _Termino]]-Arriendos[[#This Row],[Fecha_Inicio]]</f>
        <v>0</v>
      </c>
      <c r="I8" s="4">
        <f>+Arriendos[[#This Row],[Días_Totales]]*Arriendos[[#This Row],[Tarifa_Diaria]]</f>
        <v>0</v>
      </c>
      <c r="J8" s="4">
        <f>+Arriendos[[#This Row],[Monto_Neto _Total]]*1.19</f>
        <v>0</v>
      </c>
      <c r="K8" s="4">
        <f>+Arriendos[[#This Row],[Monto_con_IVA]]*UF_Julio_25</f>
        <v>0</v>
      </c>
      <c r="L8" s="51"/>
    </row>
    <row r="9" spans="1:13" ht="15" customHeight="1">
      <c r="A9" s="1" t="s">
        <v>225</v>
      </c>
      <c r="C9" s="1"/>
      <c r="D9" s="1"/>
      <c r="E9" s="22"/>
      <c r="F9" s="22"/>
      <c r="G9" s="15"/>
      <c r="H9" s="1">
        <f>+Arriendos[[#This Row],[Fecha _Termino]]-Arriendos[[#This Row],[Fecha_Inicio]]</f>
        <v>0</v>
      </c>
      <c r="I9" s="4">
        <f>+Arriendos[[#This Row],[Días_Totales]]*Arriendos[[#This Row],[Tarifa_Diaria]]</f>
        <v>0</v>
      </c>
      <c r="J9" s="4">
        <f>+Arriendos[[#This Row],[Monto_Neto _Total]]*1.19</f>
        <v>0</v>
      </c>
      <c r="K9" s="4">
        <f>+Arriendos[[#This Row],[Monto_con_IVA]]*UF_Julio_25</f>
        <v>0</v>
      </c>
      <c r="L9" s="51"/>
    </row>
    <row r="10" spans="1:13" ht="15" customHeight="1">
      <c r="A10" s="1" t="s">
        <v>226</v>
      </c>
      <c r="C10" s="1"/>
      <c r="D10" s="1"/>
      <c r="F10" s="22"/>
      <c r="G10" s="15"/>
      <c r="H10" s="1">
        <f>+Arriendos[[#This Row],[Fecha _Termino]]-Arriendos[[#This Row],[Fecha_Inicio]]</f>
        <v>0</v>
      </c>
      <c r="I10" s="4">
        <f>+Arriendos[[#This Row],[Días_Totales]]*Arriendos[[#This Row],[Tarifa_Diaria]]</f>
        <v>0</v>
      </c>
      <c r="J10" s="4">
        <f>+Arriendos[[#This Row],[Monto_Neto _Total]]*1.19</f>
        <v>0</v>
      </c>
      <c r="K10" s="4">
        <f>+Arriendos[[#This Row],[Monto_con_IVA]]*UF_Julio_25</f>
        <v>0</v>
      </c>
      <c r="L10" s="51"/>
    </row>
    <row r="11" spans="1:13" ht="15" customHeight="1">
      <c r="F11" s="22"/>
      <c r="G11" s="10"/>
      <c r="H11" s="1"/>
      <c r="I11" s="4"/>
      <c r="J11" s="4"/>
      <c r="K11" s="4"/>
      <c r="L11" s="4"/>
    </row>
    <row r="12" spans="1:13" ht="15" customHeight="1">
      <c r="F12" s="22"/>
      <c r="G12" s="10"/>
      <c r="H12" s="1"/>
      <c r="I12" s="4"/>
      <c r="J12" s="4"/>
      <c r="K12" s="4"/>
      <c r="L12" s="4"/>
    </row>
    <row r="13" spans="1:13" ht="15" customHeight="1">
      <c r="F13" s="22"/>
      <c r="G13" s="10"/>
      <c r="H13" s="1"/>
      <c r="I13" s="4"/>
      <c r="J13" s="4"/>
      <c r="K13" s="4"/>
      <c r="L13" s="4"/>
    </row>
    <row r="14" spans="1:13" ht="15" customHeight="1">
      <c r="F14" s="22"/>
      <c r="G14" s="10"/>
      <c r="H14" s="1"/>
      <c r="I14" s="4"/>
      <c r="J14" s="4"/>
      <c r="K14" s="4"/>
      <c r="L14" s="4"/>
    </row>
    <row r="15" spans="1:13" ht="15" customHeight="1">
      <c r="F15" s="22"/>
      <c r="G15" s="10"/>
      <c r="H15" s="1"/>
      <c r="I15" s="4"/>
      <c r="J15" s="4"/>
      <c r="K15" s="4"/>
      <c r="L15" s="4"/>
    </row>
    <row r="16" spans="1:13" ht="15" customHeight="1">
      <c r="F16" s="22"/>
      <c r="G16" s="10"/>
      <c r="H16" s="1"/>
      <c r="I16" s="4"/>
      <c r="J16" s="4"/>
      <c r="K16" s="4"/>
      <c r="L16" s="4"/>
    </row>
    <row r="17" spans="6:12" ht="15" customHeight="1">
      <c r="F17" s="22"/>
      <c r="G17" s="10"/>
      <c r="H17" s="1"/>
      <c r="I17" s="4"/>
      <c r="J17" s="4"/>
      <c r="K17" s="4"/>
      <c r="L17" s="4"/>
    </row>
    <row r="18" spans="6:12" ht="15" customHeight="1">
      <c r="F18" s="22"/>
      <c r="G18" s="10"/>
      <c r="H18" s="1"/>
      <c r="I18" s="4"/>
      <c r="J18" s="4"/>
      <c r="K18" s="4"/>
      <c r="L18" s="4"/>
    </row>
    <row r="19" spans="6:12" ht="15" customHeight="1">
      <c r="F19" s="22"/>
      <c r="G19" s="10"/>
      <c r="H19" s="1"/>
      <c r="I19" s="4"/>
      <c r="J19" s="4"/>
      <c r="K19" s="4"/>
      <c r="L19" s="4"/>
    </row>
    <row r="20" spans="6:12" ht="15" customHeight="1">
      <c r="F20" s="22"/>
      <c r="G20" s="10"/>
      <c r="H20" s="1"/>
      <c r="I20" s="4"/>
      <c r="J20" s="4"/>
      <c r="K20" s="4"/>
      <c r="L20" s="4"/>
    </row>
    <row r="21" spans="6:12" ht="15.75" customHeight="1">
      <c r="F21" s="22"/>
      <c r="G21" s="10"/>
      <c r="H21" s="1"/>
      <c r="I21" s="4"/>
      <c r="J21" s="4"/>
      <c r="K21" s="4"/>
      <c r="L21" s="4"/>
    </row>
    <row r="22" spans="6:12" ht="15.75" customHeight="1">
      <c r="F22" s="22"/>
      <c r="G22" s="10"/>
      <c r="H22" s="1"/>
      <c r="I22" s="4"/>
      <c r="J22" s="4"/>
      <c r="K22" s="4"/>
      <c r="L22" s="4"/>
    </row>
    <row r="23" spans="6:12" ht="15.75" customHeight="1">
      <c r="F23" s="22"/>
      <c r="G23" s="10"/>
      <c r="H23" s="1"/>
      <c r="I23" s="4"/>
      <c r="J23" s="4"/>
      <c r="K23" s="4"/>
      <c r="L23" s="4"/>
    </row>
    <row r="24" spans="6:12" ht="15.75" customHeight="1">
      <c r="F24" s="22"/>
      <c r="G24" s="10"/>
      <c r="H24" s="1"/>
      <c r="I24" s="4"/>
      <c r="J24" s="4"/>
      <c r="K24" s="4"/>
      <c r="L24" s="4"/>
    </row>
    <row r="25" spans="6:12" ht="15.75" customHeight="1">
      <c r="F25" s="22"/>
      <c r="G25" s="10"/>
      <c r="H25" s="1"/>
      <c r="I25" s="4"/>
      <c r="J25" s="4"/>
      <c r="K25" s="4"/>
      <c r="L25" s="4"/>
    </row>
    <row r="26" spans="6:12" ht="15.75" customHeight="1">
      <c r="F26" s="22"/>
      <c r="G26" s="10"/>
      <c r="H26" s="1"/>
      <c r="I26" s="4"/>
      <c r="J26" s="4"/>
      <c r="K26" s="4"/>
      <c r="L26" s="4"/>
    </row>
    <row r="27" spans="6:12" ht="15.75" customHeight="1">
      <c r="F27" s="22"/>
      <c r="G27" s="10"/>
      <c r="H27" s="1"/>
      <c r="I27" s="4"/>
      <c r="J27" s="4"/>
      <c r="K27" s="4"/>
      <c r="L27" s="4"/>
    </row>
    <row r="28" spans="6:12" ht="15.75" customHeight="1">
      <c r="F28" s="22"/>
      <c r="G28" s="10"/>
      <c r="H28" s="1"/>
      <c r="I28" s="4"/>
      <c r="J28" s="4"/>
      <c r="K28" s="4"/>
      <c r="L28" s="4"/>
    </row>
    <row r="29" spans="6:12" ht="15.75" customHeight="1">
      <c r="F29" s="22"/>
      <c r="G29" s="10"/>
      <c r="H29" s="1"/>
      <c r="I29" s="4"/>
      <c r="J29" s="4"/>
      <c r="K29" s="4"/>
      <c r="L29" s="4"/>
    </row>
    <row r="30" spans="6:12" ht="15.75" customHeight="1">
      <c r="F30" s="22"/>
      <c r="G30" s="10"/>
      <c r="H30" s="1"/>
      <c r="I30" s="4"/>
      <c r="J30" s="4"/>
      <c r="K30" s="4"/>
      <c r="L30" s="4"/>
    </row>
    <row r="31" spans="6:12" ht="15.75" customHeight="1">
      <c r="F31" s="22"/>
      <c r="G31" s="10"/>
      <c r="H31" s="1"/>
      <c r="I31" s="4"/>
      <c r="J31" s="4"/>
      <c r="K31" s="4"/>
      <c r="L31" s="4"/>
    </row>
    <row r="32" spans="6:12" ht="15.75" customHeight="1">
      <c r="F32" s="22"/>
      <c r="G32" s="10"/>
      <c r="H32" s="1"/>
      <c r="I32" s="4"/>
      <c r="J32" s="4"/>
      <c r="K32" s="4"/>
      <c r="L32" s="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6">
    <dataValidation type="list" allowBlank="1" showInputMessage="1" showErrorMessage="1" sqref="C33:D1048576 C1" xr:uid="{4B49EE3B-97B2-41EF-AC51-F2262DCA55BE}">
      <formula1>ReferenciaEquipos</formula1>
    </dataValidation>
    <dataValidation type="list" allowBlank="1" showInputMessage="1" showErrorMessage="1" errorTitle="Equipo Inexistente" sqref="C2:C10" xr:uid="{9FED1F4A-7709-4E98-BD1A-E02C0F26AB84}">
      <formula1>ReferenciaEquipos</formula1>
    </dataValidation>
    <dataValidation type="list" allowBlank="1" showInputMessage="1" showErrorMessage="1" sqref="B2:B10" xr:uid="{B720F039-9037-4F67-ABD2-F8D9FBCBEA08}">
      <formula1>ReferenciaEmpresas</formula1>
    </dataValidation>
    <dataValidation type="list" allowBlank="1" showInputMessage="1" showErrorMessage="1" sqref="D1:D10" xr:uid="{AE1EC925-8A1B-4E72-8BE6-4312D69FF796}">
      <formula1>Ubicaciones</formula1>
    </dataValidation>
    <dataValidation type="date" operator="greaterThanOrEqual" allowBlank="1" showInputMessage="1" showErrorMessage="1" error="Fecha Inicio debe ser anterior a Fecha Termino" sqref="F2:F10" xr:uid="{D7771D47-7C57-455A-B681-BAF1B33A932A}">
      <formula1>E2</formula1>
    </dataValidation>
    <dataValidation type="list" allowBlank="1" showInputMessage="1" showErrorMessage="1" sqref="L2:L10" xr:uid="{37BA043B-5A0D-4DAC-8FCA-CA4C9EDE56D5}">
      <formula1>ReferenciaFacturas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selection activeCell="B3" sqref="B3"/>
    </sheetView>
  </sheetViews>
  <sheetFormatPr defaultColWidth="14.42578125" defaultRowHeight="15" customHeight="1"/>
  <cols>
    <col min="1" max="1" width="16.85546875" customWidth="1"/>
    <col min="2" max="2" width="25.5703125" bestFit="1" customWidth="1"/>
    <col min="3" max="3" width="42.140625" bestFit="1" customWidth="1"/>
    <col min="4" max="4" width="13.5703125" style="14" customWidth="1"/>
    <col min="5" max="5" width="16.140625" style="14" customWidth="1"/>
    <col min="6" max="6" width="13.7109375" style="3" customWidth="1"/>
    <col min="7" max="7" width="15.42578125" style="3" bestFit="1" customWidth="1"/>
    <col min="8" max="8" width="23.140625" style="3" bestFit="1" customWidth="1"/>
    <col min="9" max="9" width="20" bestFit="1" customWidth="1"/>
    <col min="10" max="10" width="20" style="3" customWidth="1"/>
    <col min="11" max="11" width="13.5703125" customWidth="1"/>
    <col min="12" max="12" width="10.7109375" bestFit="1" customWidth="1"/>
    <col min="13" max="26" width="8.7109375" customWidth="1"/>
  </cols>
  <sheetData>
    <row r="1" spans="1:12">
      <c r="A1" t="s">
        <v>12</v>
      </c>
      <c r="B1" s="17" t="s">
        <v>114</v>
      </c>
      <c r="C1" t="s">
        <v>2</v>
      </c>
      <c r="D1" s="14" t="s">
        <v>13</v>
      </c>
      <c r="E1" s="14" t="s">
        <v>14</v>
      </c>
      <c r="F1" s="3" t="s">
        <v>15</v>
      </c>
      <c r="G1" s="3" t="s">
        <v>16</v>
      </c>
      <c r="H1" s="24" t="s">
        <v>153</v>
      </c>
      <c r="I1" s="24" t="s">
        <v>165</v>
      </c>
      <c r="J1" s="44" t="s">
        <v>245</v>
      </c>
      <c r="K1" s="24" t="s">
        <v>150</v>
      </c>
      <c r="L1" s="24" t="s">
        <v>7</v>
      </c>
    </row>
    <row r="2" spans="1:12">
      <c r="A2" t="s">
        <v>18</v>
      </c>
      <c r="B2" t="s">
        <v>19</v>
      </c>
      <c r="C2" s="6" t="s">
        <v>146</v>
      </c>
      <c r="D2" s="22">
        <v>45845</v>
      </c>
      <c r="E2" s="22">
        <v>45869</v>
      </c>
      <c r="F2" s="41">
        <v>1</v>
      </c>
      <c r="G2" s="3">
        <f>+E2-D2</f>
        <v>24</v>
      </c>
      <c r="H2" s="3">
        <f>+G2*F2</f>
        <v>24</v>
      </c>
      <c r="I2">
        <f>+Subarriendos[[#This Row],[Monto_Neto _Total]]*1.19</f>
        <v>28.56</v>
      </c>
      <c r="J2" s="3">
        <f>+Subarriendos[[#This Row],[Monto_con_IVA]]*UF_Julio_25</f>
        <v>1119097.3248000001</v>
      </c>
      <c r="L2" s="3"/>
    </row>
    <row r="3" spans="1:12" ht="15" customHeight="1">
      <c r="A3" t="s">
        <v>108</v>
      </c>
      <c r="B3" t="s">
        <v>163</v>
      </c>
      <c r="E3" s="22"/>
      <c r="G3" s="3">
        <f>+E3-D3</f>
        <v>0</v>
      </c>
      <c r="H3" s="3">
        <f>+G3*F3</f>
        <v>0</v>
      </c>
      <c r="I3">
        <f>+Subarriendos[[#This Row],[Monto_Neto _Total]]*1.19</f>
        <v>0</v>
      </c>
      <c r="J3" s="3">
        <f>+Subarriendos[[#This Row],[Monto_con_IVA]]*UF_Julio_25</f>
        <v>0</v>
      </c>
      <c r="L3" s="3"/>
    </row>
    <row r="4" spans="1:12" ht="15" customHeight="1">
      <c r="A4" t="s">
        <v>109</v>
      </c>
      <c r="E4" s="22"/>
      <c r="G4" s="3">
        <f t="shared" ref="G4:G6" si="0">+E4-D4</f>
        <v>0</v>
      </c>
      <c r="H4" s="3">
        <f t="shared" ref="H4:H6" si="1">+G4*F4</f>
        <v>0</v>
      </c>
      <c r="I4">
        <f>+Subarriendos[[#This Row],[Monto_Neto _Total]]*1.19</f>
        <v>0</v>
      </c>
      <c r="J4" s="3">
        <f>+Subarriendos[[#This Row],[Monto_con_IVA]]*UF_Julio_25</f>
        <v>0</v>
      </c>
      <c r="L4" s="3"/>
    </row>
    <row r="5" spans="1:12" ht="15" customHeight="1">
      <c r="A5" t="s">
        <v>110</v>
      </c>
      <c r="E5" s="22"/>
      <c r="G5" s="3">
        <f t="shared" si="0"/>
        <v>0</v>
      </c>
      <c r="H5" s="3">
        <f t="shared" si="1"/>
        <v>0</v>
      </c>
      <c r="I5">
        <f>+Subarriendos[[#This Row],[Monto_Neto _Total]]*1.19</f>
        <v>0</v>
      </c>
      <c r="J5" s="3">
        <f>+Subarriendos[[#This Row],[Monto_con_IVA]]*UF_Julio_25</f>
        <v>0</v>
      </c>
      <c r="L5" s="3"/>
    </row>
    <row r="6" spans="1:12" ht="15" customHeight="1">
      <c r="A6" t="s">
        <v>111</v>
      </c>
      <c r="E6" s="22"/>
      <c r="G6" s="3">
        <f t="shared" si="0"/>
        <v>0</v>
      </c>
      <c r="H6" s="3">
        <f t="shared" si="1"/>
        <v>0</v>
      </c>
      <c r="I6">
        <f>+Subarriendos[[#This Row],[Monto_Neto _Total]]*1.19</f>
        <v>0</v>
      </c>
      <c r="J6" s="3">
        <f>+Subarriendos[[#This Row],[Monto_con_IVA]]*UF_Julio_25</f>
        <v>0</v>
      </c>
      <c r="L6" s="3"/>
    </row>
    <row r="7" spans="1:12" ht="15" customHeight="1">
      <c r="A7" t="s">
        <v>227</v>
      </c>
      <c r="E7" s="22"/>
      <c r="G7" s="3">
        <f t="shared" ref="G7:G10" si="2">+E7-D7</f>
        <v>0</v>
      </c>
      <c r="H7" s="3">
        <f t="shared" ref="H7:H10" si="3">+G7*F7</f>
        <v>0</v>
      </c>
      <c r="I7">
        <f>+Subarriendos[[#This Row],[Monto_Neto _Total]]*1.19</f>
        <v>0</v>
      </c>
      <c r="J7" s="3">
        <f>+Subarriendos[[#This Row],[Monto_con_IVA]]*UF_Julio_25</f>
        <v>0</v>
      </c>
      <c r="L7" s="3"/>
    </row>
    <row r="8" spans="1:12" ht="15" customHeight="1">
      <c r="A8" t="s">
        <v>228</v>
      </c>
      <c r="E8" s="22"/>
      <c r="G8" s="3">
        <f t="shared" si="2"/>
        <v>0</v>
      </c>
      <c r="H8" s="3">
        <f t="shared" si="3"/>
        <v>0</v>
      </c>
      <c r="I8">
        <f>+Subarriendos[[#This Row],[Monto_Neto _Total]]*1.19</f>
        <v>0</v>
      </c>
      <c r="J8" s="3">
        <f>+Subarriendos[[#This Row],[Monto_con_IVA]]*UF_Julio_25</f>
        <v>0</v>
      </c>
      <c r="L8" s="3"/>
    </row>
    <row r="9" spans="1:12" ht="15" customHeight="1">
      <c r="A9" t="s">
        <v>229</v>
      </c>
      <c r="E9" s="22"/>
      <c r="G9" s="3">
        <f t="shared" si="2"/>
        <v>0</v>
      </c>
      <c r="H9" s="3">
        <f t="shared" si="3"/>
        <v>0</v>
      </c>
      <c r="I9">
        <f>+Subarriendos[[#This Row],[Monto_Neto _Total]]*1.19</f>
        <v>0</v>
      </c>
      <c r="J9" s="3">
        <f>+Subarriendos[[#This Row],[Monto_con_IVA]]*UF_Julio_25</f>
        <v>0</v>
      </c>
      <c r="L9" s="3"/>
    </row>
    <row r="10" spans="1:12" ht="15" customHeight="1">
      <c r="A10" t="s">
        <v>230</v>
      </c>
      <c r="E10" s="22"/>
      <c r="G10" s="3">
        <f t="shared" si="2"/>
        <v>0</v>
      </c>
      <c r="H10" s="3">
        <f t="shared" si="3"/>
        <v>0</v>
      </c>
      <c r="I10">
        <f>+Subarriendos[[#This Row],[Monto_Neto _Total]]*1.19</f>
        <v>0</v>
      </c>
      <c r="J10" s="3">
        <f>+Subarriendos[[#This Row],[Monto_con_IVA]]*UF_Julio_25</f>
        <v>0</v>
      </c>
      <c r="L10" s="3"/>
    </row>
    <row r="13" spans="1:12" ht="15" customHeight="1">
      <c r="E13"/>
      <c r="F13"/>
      <c r="G13"/>
      <c r="H13"/>
    </row>
    <row r="14" spans="1:12" ht="15" customHeight="1">
      <c r="E14"/>
      <c r="F14"/>
      <c r="G14"/>
      <c r="H14"/>
    </row>
    <row r="15" spans="1:12" ht="15" customHeight="1">
      <c r="E15"/>
      <c r="F15"/>
      <c r="G15"/>
      <c r="H15"/>
    </row>
    <row r="16" spans="1:12" ht="15" customHeight="1">
      <c r="E16"/>
      <c r="F16"/>
      <c r="G16"/>
      <c r="H16"/>
    </row>
    <row r="17" spans="5:8" ht="15" customHeight="1">
      <c r="E17"/>
      <c r="F17"/>
      <c r="G17"/>
      <c r="H17"/>
    </row>
    <row r="18" spans="5:8" ht="15" customHeight="1">
      <c r="E18"/>
      <c r="F18"/>
      <c r="G18"/>
      <c r="H18"/>
    </row>
    <row r="21" spans="5:8" ht="15.75" customHeight="1"/>
    <row r="22" spans="5:8" ht="15.75" customHeight="1"/>
    <row r="23" spans="5:8" ht="15.75" customHeight="1"/>
    <row r="24" spans="5:8" ht="15.75" customHeight="1"/>
    <row r="25" spans="5:8" ht="15.75" customHeight="1"/>
    <row r="26" spans="5:8" ht="15.75" customHeight="1"/>
    <row r="27" spans="5:8" ht="15.75" customHeight="1"/>
    <row r="28" spans="5:8" ht="15.75" customHeight="1"/>
    <row r="29" spans="5:8" ht="15.75" customHeight="1"/>
    <row r="30" spans="5:8" ht="15.75" customHeight="1"/>
    <row r="31" spans="5:8" ht="15.75" customHeight="1"/>
    <row r="32" spans="5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3">
    <dataValidation type="list" allowBlank="1" showInputMessage="1" showErrorMessage="1" sqref="B2:B10" xr:uid="{BA9CA862-90D7-45F8-A5FF-285BAF742DA8}">
      <formula1>ReferenciaEmpresas</formula1>
    </dataValidation>
    <dataValidation type="list" allowBlank="1" showInputMessage="1" showErrorMessage="1" sqref="C2:C10" xr:uid="{5CB77A54-3D23-412C-8218-7D266138A583}">
      <formula1>ReferenciaEquipos</formula1>
    </dataValidation>
    <dataValidation type="date" operator="greaterThanOrEqual" allowBlank="1" showInputMessage="1" showErrorMessage="1" sqref="E3:E10" xr:uid="{06F13019-E495-44DA-B882-955EDB84E4DB}">
      <formula1>D3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E7" sqref="E7"/>
    </sheetView>
  </sheetViews>
  <sheetFormatPr defaultColWidth="14.42578125" defaultRowHeight="15" customHeight="1"/>
  <cols>
    <col min="1" max="1" width="13.42578125" style="21" customWidth="1"/>
    <col min="2" max="2" width="35.85546875" style="13" bestFit="1" customWidth="1"/>
    <col min="3" max="4" width="17.28515625" style="20" customWidth="1"/>
    <col min="5" max="5" width="23.5703125" style="13" customWidth="1"/>
    <col min="6" max="6" width="17.140625" style="21" customWidth="1"/>
    <col min="7" max="7" width="14.7109375" style="21" customWidth="1"/>
    <col min="8" max="8" width="13.42578125" style="21" customWidth="1"/>
    <col min="9" max="9" width="18.28515625" style="21" customWidth="1"/>
    <col min="10" max="10" width="20.140625" customWidth="1"/>
    <col min="11" max="11" width="21.140625" style="13" customWidth="1"/>
    <col min="12" max="28" width="8.7109375" style="13" customWidth="1"/>
    <col min="29" max="16384" width="14.42578125" style="13"/>
  </cols>
  <sheetData>
    <row r="1" spans="1:10">
      <c r="A1" s="34" t="s">
        <v>189</v>
      </c>
      <c r="B1" s="6" t="s">
        <v>3</v>
      </c>
      <c r="C1" s="14" t="s">
        <v>13</v>
      </c>
      <c r="D1" s="54" t="s">
        <v>287</v>
      </c>
      <c r="E1" t="s">
        <v>40</v>
      </c>
      <c r="F1" s="34" t="s">
        <v>185</v>
      </c>
      <c r="G1" s="3" t="s">
        <v>41</v>
      </c>
      <c r="H1" s="3" t="s">
        <v>42</v>
      </c>
      <c r="I1" s="34" t="s">
        <v>186</v>
      </c>
      <c r="J1" t="s">
        <v>43</v>
      </c>
    </row>
    <row r="2" spans="1:10">
      <c r="A2" s="34" t="s">
        <v>194</v>
      </c>
      <c r="B2" t="s">
        <v>235</v>
      </c>
      <c r="C2" s="22">
        <v>45850</v>
      </c>
      <c r="D2" s="22">
        <v>45852</v>
      </c>
      <c r="E2" s="17" t="s">
        <v>44</v>
      </c>
      <c r="F2" s="3">
        <v>150000</v>
      </c>
      <c r="G2" s="3">
        <v>50000</v>
      </c>
      <c r="H2" s="3">
        <v>50000</v>
      </c>
      <c r="I2" s="3">
        <f>+Mantenimientos[[#This Row],[Monto_Neto]]*1.19</f>
        <v>178500</v>
      </c>
      <c r="J2" s="52" t="s">
        <v>45</v>
      </c>
    </row>
    <row r="3" spans="1:10" ht="15" customHeight="1">
      <c r="A3" s="34" t="s">
        <v>195</v>
      </c>
      <c r="B3" t="s">
        <v>246</v>
      </c>
      <c r="C3" s="37">
        <v>45853</v>
      </c>
      <c r="D3" s="22">
        <v>45853</v>
      </c>
      <c r="E3" s="17" t="s">
        <v>206</v>
      </c>
      <c r="F3" s="21">
        <v>300000</v>
      </c>
      <c r="G3" s="21">
        <v>200000</v>
      </c>
      <c r="H3" s="21">
        <v>100000</v>
      </c>
      <c r="I3" s="21">
        <f>+Mantenimientos[[#This Row],[Monto_Neto]]*1.19</f>
        <v>357000</v>
      </c>
      <c r="J3" s="38" t="s">
        <v>247</v>
      </c>
    </row>
    <row r="4" spans="1:10" ht="15" customHeight="1">
      <c r="A4" s="34" t="s">
        <v>248</v>
      </c>
      <c r="B4" t="s">
        <v>106</v>
      </c>
      <c r="C4" s="37">
        <v>45853</v>
      </c>
      <c r="D4" s="22">
        <v>45915</v>
      </c>
      <c r="E4" t="s">
        <v>44</v>
      </c>
      <c r="I4" s="21">
        <f>+Mantenimientos[[#This Row],[Monto_Neto]]*1.19</f>
        <v>0</v>
      </c>
    </row>
    <row r="5" spans="1:10" ht="15" customHeight="1">
      <c r="A5" s="34" t="s">
        <v>249</v>
      </c>
      <c r="B5" t="s">
        <v>106</v>
      </c>
      <c r="C5" s="37">
        <v>45853</v>
      </c>
      <c r="D5" s="22">
        <v>45916</v>
      </c>
      <c r="E5" t="s">
        <v>206</v>
      </c>
      <c r="I5" s="21">
        <f>+Mantenimientos[[#This Row],[Monto_Neto]]*1.19</f>
        <v>0</v>
      </c>
    </row>
    <row r="6" spans="1:10" ht="15" customHeight="1">
      <c r="A6" s="34" t="s">
        <v>250</v>
      </c>
      <c r="B6" t="s">
        <v>106</v>
      </c>
      <c r="C6" s="37">
        <v>45853</v>
      </c>
      <c r="D6" s="22">
        <v>45916</v>
      </c>
      <c r="E6" t="s">
        <v>44</v>
      </c>
      <c r="I6" s="21">
        <f>+Mantenimientos[[#This Row],[Monto_Neto]]*1.19</f>
        <v>0</v>
      </c>
    </row>
    <row r="7" spans="1:10" ht="15" customHeight="1">
      <c r="A7" s="34" t="s">
        <v>251</v>
      </c>
      <c r="B7"/>
      <c r="C7" s="14"/>
      <c r="D7" s="14"/>
      <c r="E7"/>
      <c r="I7" s="21">
        <f>+Mantenimientos[[#This Row],[Monto_Neto]]*1.19</f>
        <v>0</v>
      </c>
    </row>
    <row r="8" spans="1:10" ht="15" customHeight="1">
      <c r="A8" s="34" t="s">
        <v>252</v>
      </c>
      <c r="B8"/>
      <c r="C8" s="14"/>
      <c r="D8" s="14"/>
      <c r="E8"/>
      <c r="I8" s="21">
        <f>+Mantenimientos[[#This Row],[Monto_Neto]]*1.19</f>
        <v>0</v>
      </c>
    </row>
    <row r="9" spans="1:10" ht="15" customHeight="1">
      <c r="A9" s="34" t="s">
        <v>253</v>
      </c>
      <c r="B9"/>
      <c r="C9" s="14"/>
      <c r="D9" s="14"/>
      <c r="E9"/>
      <c r="I9" s="21">
        <f>+Mantenimientos[[#This Row],[Monto_Neto]]*1.19</f>
        <v>0</v>
      </c>
    </row>
    <row r="10" spans="1:10" ht="15" customHeight="1">
      <c r="A10" s="34" t="s">
        <v>254</v>
      </c>
      <c r="B10"/>
      <c r="C10" s="14"/>
      <c r="D10" s="14"/>
      <c r="E10"/>
      <c r="I10" s="21">
        <f>+Mantenimientos[[#This Row],[Monto_Neto]]*1.19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2">
    <dataValidation type="list" allowBlank="1" showInputMessage="1" showErrorMessage="1" sqref="B2:B10" xr:uid="{4493442A-C655-4D36-A6E2-A887F783AA5D}">
      <formula1>ReferenciaEquipos</formula1>
    </dataValidation>
    <dataValidation type="list" allowBlank="1" showInputMessage="1" showErrorMessage="1" sqref="E1:E10" xr:uid="{D7DE7C95-A81C-4146-AF95-1C8255B324CB}">
      <formula1>"Preventivo, Reparacion"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3E68-3025-455F-B09B-E7F1C615FA54}">
  <dimension ref="A1:I1000"/>
  <sheetViews>
    <sheetView topLeftCell="C1" workbookViewId="0">
      <selection activeCell="G14" sqref="G14"/>
    </sheetView>
  </sheetViews>
  <sheetFormatPr defaultColWidth="14.42578125" defaultRowHeight="15" customHeight="1"/>
  <cols>
    <col min="1" max="1" width="13.42578125" style="21" customWidth="1"/>
    <col min="2" max="2" width="17.28515625" style="20" customWidth="1"/>
    <col min="3" max="7" width="47.42578125" style="13" customWidth="1"/>
    <col min="8" max="8" width="13.42578125" style="21" customWidth="1"/>
    <col min="9" max="9" width="14.42578125" style="45"/>
    <col min="10" max="10" width="21.140625" style="13" customWidth="1"/>
    <col min="11" max="27" width="8.7109375" style="13" customWidth="1"/>
    <col min="28" max="16384" width="14.42578125" style="13"/>
  </cols>
  <sheetData>
    <row r="1" spans="1:9">
      <c r="A1" s="34" t="s">
        <v>199</v>
      </c>
      <c r="B1" s="36" t="s">
        <v>46</v>
      </c>
      <c r="C1" s="6" t="s">
        <v>3</v>
      </c>
      <c r="D1" s="52" t="s">
        <v>296</v>
      </c>
      <c r="E1" s="52" t="s">
        <v>297</v>
      </c>
      <c r="F1" s="52" t="s">
        <v>294</v>
      </c>
      <c r="G1" s="52" t="s">
        <v>295</v>
      </c>
      <c r="H1" s="35" t="s">
        <v>202</v>
      </c>
      <c r="I1" s="13"/>
    </row>
    <row r="2" spans="1:9">
      <c r="A2" s="34" t="s">
        <v>200</v>
      </c>
      <c r="B2" s="22">
        <v>45840</v>
      </c>
      <c r="C2" t="s">
        <v>106</v>
      </c>
      <c r="D2" t="s">
        <v>148</v>
      </c>
      <c r="E2" t="s">
        <v>149</v>
      </c>
      <c r="F2" t="s">
        <v>292</v>
      </c>
      <c r="G2" t="s">
        <v>273</v>
      </c>
      <c r="H2"/>
      <c r="I2" s="13"/>
    </row>
    <row r="3" spans="1:9" ht="15" customHeight="1">
      <c r="A3" s="34" t="s">
        <v>201</v>
      </c>
      <c r="B3" s="22">
        <v>45846</v>
      </c>
      <c r="C3" t="s">
        <v>262</v>
      </c>
      <c r="D3"/>
      <c r="E3"/>
      <c r="F3"/>
      <c r="G3"/>
      <c r="H3"/>
      <c r="I3" s="13"/>
    </row>
    <row r="4" spans="1:9" ht="15" customHeight="1">
      <c r="A4" s="34" t="s">
        <v>255</v>
      </c>
      <c r="B4" s="21"/>
      <c r="C4"/>
      <c r="D4"/>
      <c r="E4"/>
      <c r="F4"/>
      <c r="G4"/>
      <c r="H4"/>
    </row>
    <row r="5" spans="1:9" ht="15" customHeight="1">
      <c r="A5" s="34" t="s">
        <v>256</v>
      </c>
      <c r="B5" s="21"/>
      <c r="C5"/>
      <c r="D5"/>
      <c r="E5"/>
      <c r="F5"/>
      <c r="G5"/>
      <c r="H5"/>
    </row>
    <row r="6" spans="1:9" ht="15" customHeight="1">
      <c r="A6" s="34" t="s">
        <v>257</v>
      </c>
      <c r="B6" s="21"/>
      <c r="C6"/>
      <c r="D6"/>
      <c r="E6"/>
      <c r="F6"/>
      <c r="G6"/>
      <c r="H6"/>
    </row>
    <row r="7" spans="1:9" ht="15" customHeight="1">
      <c r="A7" s="34" t="s">
        <v>258</v>
      </c>
      <c r="B7" s="21"/>
      <c r="C7"/>
      <c r="D7"/>
      <c r="E7"/>
      <c r="F7"/>
      <c r="G7"/>
      <c r="H7"/>
    </row>
    <row r="8" spans="1:9" ht="15" customHeight="1">
      <c r="A8" s="34" t="s">
        <v>259</v>
      </c>
      <c r="B8" s="21"/>
      <c r="C8"/>
      <c r="D8"/>
      <c r="E8"/>
      <c r="F8"/>
      <c r="G8"/>
      <c r="H8"/>
    </row>
    <row r="9" spans="1:9" ht="15" customHeight="1">
      <c r="A9" s="34" t="s">
        <v>260</v>
      </c>
      <c r="B9" s="21"/>
      <c r="C9"/>
      <c r="D9"/>
      <c r="E9"/>
      <c r="F9"/>
      <c r="G9"/>
      <c r="H9"/>
    </row>
    <row r="10" spans="1:9" ht="15" customHeight="1">
      <c r="A10" s="34" t="s">
        <v>261</v>
      </c>
      <c r="B10" s="21"/>
      <c r="C10"/>
      <c r="D10"/>
      <c r="E10"/>
      <c r="F10"/>
      <c r="G10"/>
      <c r="H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1">
    <dataValidation type="list" allowBlank="1" showInputMessage="1" showErrorMessage="1" sqref="C2:C10" xr:uid="{5AC8A621-8EC0-49AA-BBD9-F06B3084296E}">
      <formula1>ReferenciaEquipos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CFBF72F-9EFF-486A-AB69-217F8296BAD2}">
          <x14:formula1>
            <xm:f>Facturacion!$L:$L</xm:f>
          </x14:formula1>
          <xm:sqref>F2:F10 G2:G10</xm:sqref>
        </x14:dataValidation>
        <x14:dataValidation type="list" allowBlank="1" showInputMessage="1" showErrorMessage="1" xr:uid="{7DA97FB8-957A-4CE7-AA7E-56E643B8AE71}">
          <x14:formula1>
            <xm:f>Ubicacion!C:C</xm:f>
          </x14:formula1>
          <xm:sqref>D2:D10</xm:sqref>
        </x14:dataValidation>
        <x14:dataValidation type="list" allowBlank="1" showInputMessage="1" showErrorMessage="1" xr:uid="{2DAB8D5B-C778-49EC-BEC0-2C348A342877}">
          <x14:formula1>
            <xm:f>Ubicacion!C:C</xm:f>
          </x14:formula1>
          <xm:sqref>E2:E10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10"/>
  <sheetViews>
    <sheetView workbookViewId="0">
      <selection activeCell="B5" sqref="B5"/>
    </sheetView>
  </sheetViews>
  <sheetFormatPr defaultColWidth="14.42578125" defaultRowHeight="15" customHeight="1"/>
  <cols>
    <col min="1" max="1" width="35.85546875" bestFit="1" customWidth="1"/>
  </cols>
  <sheetData>
    <row r="1" spans="1:3">
      <c r="A1" s="6" t="s">
        <v>3</v>
      </c>
      <c r="B1" s="6" t="s">
        <v>46</v>
      </c>
      <c r="C1" s="6" t="s">
        <v>147</v>
      </c>
    </row>
    <row r="2" spans="1:3" ht="15" customHeight="1">
      <c r="A2" t="s">
        <v>106</v>
      </c>
      <c r="B2" s="22">
        <v>45836</v>
      </c>
      <c r="C2" s="3">
        <v>2000</v>
      </c>
    </row>
    <row r="3" spans="1:3" ht="15" customHeight="1">
      <c r="A3" t="s">
        <v>270</v>
      </c>
      <c r="B3" s="22">
        <v>45836</v>
      </c>
      <c r="C3" s="3">
        <v>3500</v>
      </c>
    </row>
    <row r="4" spans="1:3" ht="15" customHeight="1">
      <c r="A4" t="s">
        <v>146</v>
      </c>
      <c r="B4" s="22">
        <v>45806</v>
      </c>
      <c r="C4" s="3">
        <v>6400</v>
      </c>
    </row>
    <row r="5" spans="1:3" ht="15" customHeight="1">
      <c r="A5" t="s">
        <v>290</v>
      </c>
      <c r="B5" s="22">
        <v>45837</v>
      </c>
      <c r="C5" s="3">
        <v>30</v>
      </c>
    </row>
    <row r="6" spans="1:3" ht="15" customHeight="1">
      <c r="A6" t="s">
        <v>291</v>
      </c>
      <c r="B6" s="22">
        <v>45838</v>
      </c>
      <c r="C6" s="3">
        <v>5662</v>
      </c>
    </row>
    <row r="7" spans="1:3" ht="15" customHeight="1">
      <c r="B7" s="48"/>
      <c r="C7" s="3"/>
    </row>
    <row r="8" spans="1:3" ht="15" customHeight="1">
      <c r="B8" s="48"/>
      <c r="C8" s="3"/>
    </row>
    <row r="9" spans="1:3" ht="15" customHeight="1">
      <c r="B9" s="48"/>
      <c r="C9" s="3"/>
    </row>
    <row r="10" spans="1:3" ht="15" customHeight="1">
      <c r="B10" s="48"/>
      <c r="C10" s="3"/>
    </row>
  </sheetData>
  <dataValidations count="1">
    <dataValidation type="list" allowBlank="1" showInputMessage="1" showErrorMessage="1" sqref="A2:A10" xr:uid="{A0302385-8417-47B3-B29C-CFB1A119944C}">
      <formula1>ReferenciaEquipos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F6" sqref="F6"/>
    </sheetView>
  </sheetViews>
  <sheetFormatPr defaultColWidth="14.42578125" defaultRowHeight="15" customHeight="1"/>
  <cols>
    <col min="1" max="2" width="12.42578125" customWidth="1"/>
    <col min="3" max="3" width="34" customWidth="1"/>
    <col min="4" max="4" width="13.5703125" customWidth="1"/>
    <col min="5" max="5" width="39.140625" customWidth="1"/>
    <col min="6" max="6" width="33.140625" customWidth="1"/>
    <col min="7" max="20" width="8.7109375" customWidth="1"/>
  </cols>
  <sheetData>
    <row r="1" spans="1:6">
      <c r="A1" s="6" t="s">
        <v>115</v>
      </c>
      <c r="B1" s="6" t="s">
        <v>118</v>
      </c>
      <c r="C1" s="6" t="s">
        <v>116</v>
      </c>
      <c r="D1" t="s">
        <v>9</v>
      </c>
      <c r="E1" t="s">
        <v>7</v>
      </c>
      <c r="F1" s="6" t="s">
        <v>117</v>
      </c>
    </row>
    <row r="2" spans="1:6">
      <c r="A2" s="6" t="s">
        <v>119</v>
      </c>
      <c r="B2" s="6" t="s">
        <v>102</v>
      </c>
      <c r="C2" t="s">
        <v>10</v>
      </c>
      <c r="D2" t="s">
        <v>11</v>
      </c>
      <c r="F2" t="str">
        <f t="shared" ref="F2:F6" si="0">_xlfn.TEXTJOIN(" - ", TRUE, , C2, )</f>
        <v>BODEGAS SAN FRANCISCO LIMITADA</v>
      </c>
    </row>
    <row r="3" spans="1:6" ht="15" customHeight="1">
      <c r="A3" s="6" t="s">
        <v>120</v>
      </c>
      <c r="B3" s="6" t="s">
        <v>124</v>
      </c>
      <c r="C3" s="6" t="s">
        <v>132</v>
      </c>
      <c r="D3" s="6" t="s">
        <v>107</v>
      </c>
      <c r="F3" t="str">
        <f t="shared" si="0"/>
        <v>ASESORIAS ECOX LIMITADA</v>
      </c>
    </row>
    <row r="4" spans="1:6" ht="15" customHeight="1">
      <c r="A4" s="6" t="s">
        <v>121</v>
      </c>
      <c r="B4" s="6" t="s">
        <v>124</v>
      </c>
      <c r="C4" s="6" t="s">
        <v>19</v>
      </c>
      <c r="D4" s="6" t="s">
        <v>107</v>
      </c>
      <c r="F4" t="str">
        <f t="shared" si="0"/>
        <v>GAM</v>
      </c>
    </row>
    <row r="5" spans="1:6" ht="15" customHeight="1">
      <c r="A5" s="6" t="s">
        <v>122</v>
      </c>
      <c r="B5" s="6" t="s">
        <v>124</v>
      </c>
      <c r="C5" s="17" t="s">
        <v>163</v>
      </c>
      <c r="D5" s="38" t="s">
        <v>214</v>
      </c>
      <c r="F5" t="str">
        <f t="shared" si="0"/>
        <v>BANCO DE CHILE</v>
      </c>
    </row>
    <row r="6" spans="1:6" ht="15" customHeight="1">
      <c r="A6" s="6" t="s">
        <v>123</v>
      </c>
      <c r="B6" s="6" t="s">
        <v>124</v>
      </c>
      <c r="C6" s="17" t="s">
        <v>164</v>
      </c>
      <c r="D6" s="38" t="s">
        <v>213</v>
      </c>
      <c r="F6" t="str">
        <f t="shared" si="0"/>
        <v>DOMINIQUE HIRIART</v>
      </c>
    </row>
    <row r="7" spans="1:6" ht="15" customHeight="1">
      <c r="A7" s="6" t="s">
        <v>208</v>
      </c>
      <c r="B7" s="38" t="s">
        <v>102</v>
      </c>
      <c r="C7" t="s">
        <v>207</v>
      </c>
      <c r="D7" s="38" t="s">
        <v>212</v>
      </c>
      <c r="F7" t="str">
        <f>_xlfn.TEXTJOIN(" - ", TRUE, , C7, )</f>
        <v>HITES</v>
      </c>
    </row>
    <row r="8" spans="1:6" ht="15" customHeight="1">
      <c r="A8" s="6" t="s">
        <v>209</v>
      </c>
      <c r="B8" s="38" t="s">
        <v>102</v>
      </c>
      <c r="C8" s="38" t="s">
        <v>231</v>
      </c>
      <c r="D8" s="38" t="s">
        <v>232</v>
      </c>
      <c r="F8" t="str">
        <f t="shared" ref="F8:F10" si="1">_xlfn.TEXTJOIN(" - ", TRUE, , C8, )</f>
        <v>FALABELLA</v>
      </c>
    </row>
    <row r="9" spans="1:6" ht="15" customHeight="1">
      <c r="A9" s="6" t="s">
        <v>210</v>
      </c>
      <c r="B9" s="38" t="s">
        <v>124</v>
      </c>
      <c r="C9" s="38" t="s">
        <v>233</v>
      </c>
      <c r="D9" s="38" t="s">
        <v>234</v>
      </c>
      <c r="F9" t="str">
        <f t="shared" si="1"/>
        <v>HORIZON</v>
      </c>
    </row>
    <row r="10" spans="1:6" ht="15" customHeight="1">
      <c r="A10" s="6" t="s">
        <v>211</v>
      </c>
      <c r="B10" s="38"/>
      <c r="F10" t="str">
        <f t="shared" si="1"/>
        <v/>
      </c>
    </row>
    <row r="14" spans="1:6"/>
    <row r="15" spans="1:6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1">
    <dataValidation type="list" allowBlank="1" showInputMessage="1" showErrorMessage="1" sqref="B2:B10" xr:uid="{35DF611B-6082-489A-AA5B-B5A28094BAA1}">
      <formula1>"Cliente,Proveedor"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0"/>
  <sheetViews>
    <sheetView workbookViewId="0">
      <selection activeCell="H2" sqref="H2"/>
    </sheetView>
  </sheetViews>
  <sheetFormatPr defaultColWidth="14.42578125" defaultRowHeight="15" customHeight="1"/>
  <cols>
    <col min="1" max="1" width="14.7109375" customWidth="1"/>
    <col min="2" max="2" width="53.140625" bestFit="1" customWidth="1"/>
    <col min="3" max="3" width="14.7109375" customWidth="1"/>
    <col min="8" max="8" width="22" customWidth="1"/>
  </cols>
  <sheetData>
    <row r="1" spans="1:8">
      <c r="A1" s="1" t="s">
        <v>47</v>
      </c>
      <c r="B1" s="6" t="s">
        <v>114</v>
      </c>
      <c r="C1" s="6" t="s">
        <v>1</v>
      </c>
      <c r="D1" s="6" t="s">
        <v>126</v>
      </c>
      <c r="E1" s="6" t="s">
        <v>127</v>
      </c>
      <c r="F1" s="1" t="s">
        <v>48</v>
      </c>
      <c r="G1" s="1" t="s">
        <v>49</v>
      </c>
      <c r="H1" s="6" t="s">
        <v>125</v>
      </c>
    </row>
    <row r="2" spans="1:8">
      <c r="A2" s="1" t="s">
        <v>50</v>
      </c>
      <c r="B2" s="6" t="s">
        <v>132</v>
      </c>
      <c r="C2" s="6" t="s">
        <v>51</v>
      </c>
      <c r="D2" s="6" t="s">
        <v>128</v>
      </c>
      <c r="E2" s="6" t="s">
        <v>129</v>
      </c>
      <c r="F2" s="40" t="s">
        <v>220</v>
      </c>
      <c r="G2" s="1">
        <v>56215654658</v>
      </c>
      <c r="H2" s="6" t="str">
        <f t="shared" ref="H2:H3" si="0">_xlfn.TEXTJOIN(" ", TRUE,C2,D2)</f>
        <v>Pedro Lecaros</v>
      </c>
    </row>
    <row r="3" spans="1:8">
      <c r="A3" s="1" t="s">
        <v>52</v>
      </c>
      <c r="B3" s="1" t="s">
        <v>10</v>
      </c>
      <c r="C3" s="6" t="s">
        <v>53</v>
      </c>
      <c r="D3" s="6" t="s">
        <v>130</v>
      </c>
      <c r="E3" s="6" t="s">
        <v>131</v>
      </c>
      <c r="F3" s="40" t="s">
        <v>217</v>
      </c>
      <c r="G3" s="1">
        <v>56215654658</v>
      </c>
      <c r="H3" s="6" t="str">
        <f t="shared" si="0"/>
        <v>Juan Perez</v>
      </c>
    </row>
    <row r="4" spans="1:8" ht="15" customHeight="1">
      <c r="A4" s="1" t="s">
        <v>135</v>
      </c>
      <c r="B4" s="6" t="s">
        <v>19</v>
      </c>
      <c r="C4" s="6" t="s">
        <v>133</v>
      </c>
      <c r="D4" s="6" t="s">
        <v>134</v>
      </c>
      <c r="E4" s="38" t="s">
        <v>221</v>
      </c>
      <c r="F4" s="40" t="s">
        <v>218</v>
      </c>
      <c r="G4" s="39">
        <v>5695656585</v>
      </c>
      <c r="H4" s="6" t="str">
        <f>_xlfn.TEXTJOIN(" ", TRUE,C4,D4)</f>
        <v>Pedro  Espanol</v>
      </c>
    </row>
    <row r="5" spans="1:8" ht="15" customHeight="1">
      <c r="A5" s="1" t="s">
        <v>136</v>
      </c>
      <c r="B5" s="6" t="s">
        <v>163</v>
      </c>
      <c r="C5" s="38" t="s">
        <v>215</v>
      </c>
      <c r="D5" s="38" t="s">
        <v>216</v>
      </c>
      <c r="E5" s="38" t="s">
        <v>130</v>
      </c>
      <c r="F5" s="40" t="s">
        <v>219</v>
      </c>
      <c r="H5" s="6" t="str">
        <f t="shared" ref="H5:H8" si="1">_xlfn.TEXTJOIN(" ", TRUE,C5,D5)</f>
        <v>Sheila  Lafevre</v>
      </c>
    </row>
    <row r="6" spans="1:8" ht="15" customHeight="1">
      <c r="A6" s="1" t="s">
        <v>137</v>
      </c>
      <c r="B6" s="6"/>
      <c r="C6" s="6"/>
      <c r="D6" s="6"/>
      <c r="E6" s="6"/>
      <c r="H6" s="6" t="str">
        <f t="shared" si="1"/>
        <v/>
      </c>
    </row>
    <row r="7" spans="1:8" ht="15" customHeight="1">
      <c r="A7" s="1" t="s">
        <v>138</v>
      </c>
      <c r="B7" s="6"/>
      <c r="C7" s="6"/>
      <c r="D7" s="6"/>
      <c r="E7" s="6"/>
      <c r="H7" s="6" t="str">
        <f t="shared" si="1"/>
        <v/>
      </c>
    </row>
    <row r="8" spans="1:8" ht="15" customHeight="1">
      <c r="A8" s="1" t="s">
        <v>139</v>
      </c>
      <c r="B8" s="6"/>
      <c r="C8" s="6"/>
      <c r="D8" s="6"/>
      <c r="E8" s="6"/>
      <c r="H8" s="6" t="str">
        <f t="shared" si="1"/>
        <v/>
      </c>
    </row>
    <row r="9" spans="1:8" ht="15" customHeight="1">
      <c r="A9" s="38"/>
      <c r="B9" s="38"/>
      <c r="C9" s="38"/>
      <c r="D9" s="38"/>
      <c r="E9" s="38"/>
      <c r="H9" s="38" t="str">
        <f t="shared" ref="H9:H10" si="2">_xlfn.TEXTJOIN(" ", TRUE,C9,D9)</f>
        <v/>
      </c>
    </row>
    <row r="10" spans="1:8" ht="15" customHeight="1">
      <c r="A10" s="38"/>
      <c r="B10" s="38"/>
      <c r="C10" s="38"/>
      <c r="D10" s="38"/>
      <c r="E10" s="38"/>
      <c r="H10" s="38" t="str">
        <f t="shared" si="2"/>
        <v/>
      </c>
    </row>
  </sheetData>
  <phoneticPr fontId="11" type="noConversion"/>
  <dataValidations count="1">
    <dataValidation type="list" allowBlank="1" showInputMessage="1" showErrorMessage="1" sqref="B2:B10" xr:uid="{A55FA9B3-BC32-45C8-91A0-103A3356B173}">
      <formula1>ReferenciaEmpresas</formula1>
    </dataValidation>
  </dataValidations>
  <hyperlinks>
    <hyperlink ref="F3" r:id="rId1" xr:uid="{00C69EFB-AC47-4A87-849C-DDCE243D05DC}"/>
    <hyperlink ref="F4" r:id="rId2" xr:uid="{60FE7461-D354-425B-918C-7F148865A881}"/>
    <hyperlink ref="F5" r:id="rId3" xr:uid="{01E1BDAD-7676-492A-B7E7-569F2FF10D80}"/>
    <hyperlink ref="F2" r:id="rId4" xr:uid="{7CEB823F-2043-4B2A-A23C-92D53D0BB252}"/>
  </hyperlinks>
  <pageMargins left="0.7" right="0.7" top="0.75" bottom="0.75" header="0.3" footer="0.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06F8-2CEB-47CA-A634-7864B9A62CF5}">
  <dimension ref="A1:C1000"/>
  <sheetViews>
    <sheetView workbookViewId="0">
      <selection activeCell="B3" sqref="B3"/>
    </sheetView>
  </sheetViews>
  <sheetFormatPr defaultColWidth="14.42578125" defaultRowHeight="15" customHeight="1"/>
  <cols>
    <col min="1" max="1" width="20.7109375" customWidth="1"/>
    <col min="2" max="2" width="35.85546875" bestFit="1" customWidth="1"/>
    <col min="3" max="3" width="20.7109375" customWidth="1"/>
    <col min="5" max="23" width="8.7109375" customWidth="1"/>
  </cols>
  <sheetData>
    <row r="1" spans="1:3">
      <c r="A1" s="52" t="s">
        <v>274</v>
      </c>
      <c r="B1" s="52" t="s">
        <v>286</v>
      </c>
      <c r="C1" s="52" t="s">
        <v>284</v>
      </c>
    </row>
    <row r="2" spans="1:3">
      <c r="A2" s="52" t="s">
        <v>275</v>
      </c>
      <c r="B2" s="52" t="s">
        <v>285</v>
      </c>
      <c r="C2" s="6"/>
    </row>
    <row r="3" spans="1:3" ht="15" customHeight="1">
      <c r="A3" s="52" t="s">
        <v>276</v>
      </c>
      <c r="B3" s="6"/>
      <c r="C3" s="6"/>
    </row>
    <row r="4" spans="1:3" ht="15" customHeight="1">
      <c r="A4" s="52" t="s">
        <v>277</v>
      </c>
      <c r="C4" s="38"/>
    </row>
    <row r="5" spans="1:3" ht="15" customHeight="1">
      <c r="A5" s="52" t="s">
        <v>278</v>
      </c>
    </row>
    <row r="6" spans="1:3" ht="15" customHeight="1">
      <c r="A6" s="52" t="s">
        <v>279</v>
      </c>
    </row>
    <row r="7" spans="1:3" ht="15" customHeight="1">
      <c r="A7" s="52" t="s">
        <v>280</v>
      </c>
    </row>
    <row r="8" spans="1:3" ht="15" customHeight="1">
      <c r="A8" s="52" t="s">
        <v>281</v>
      </c>
    </row>
    <row r="9" spans="1:3" ht="15" customHeight="1">
      <c r="A9" s="52" t="s">
        <v>282</v>
      </c>
    </row>
    <row r="10" spans="1:3" ht="15" customHeight="1">
      <c r="A10" s="5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1">
    <dataValidation type="list" allowBlank="1" showInputMessage="1" showErrorMessage="1" sqref="B2:B10" xr:uid="{C666E1BF-2D6F-4085-A9CA-DA1382739156}">
      <formula1>ReferenciaEmpresas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selection activeCell="D8" sqref="D8"/>
    </sheetView>
  </sheetViews>
  <sheetFormatPr defaultColWidth="14.42578125" defaultRowHeight="15" customHeight="1"/>
  <cols>
    <col min="1" max="1" width="20.7109375" customWidth="1"/>
    <col min="2" max="2" width="35.85546875" bestFit="1" customWidth="1"/>
    <col min="3" max="3" width="20.7109375" customWidth="1"/>
    <col min="5" max="23" width="8.7109375" customWidth="1"/>
  </cols>
  <sheetData>
    <row r="1" spans="1:3">
      <c r="A1" s="35" t="s">
        <v>190</v>
      </c>
      <c r="B1" s="6" t="s">
        <v>102</v>
      </c>
      <c r="C1" s="6" t="s">
        <v>17</v>
      </c>
    </row>
    <row r="2" spans="1:3">
      <c r="A2" s="35" t="s">
        <v>191</v>
      </c>
      <c r="B2" t="s">
        <v>10</v>
      </c>
      <c r="C2" s="6" t="s">
        <v>148</v>
      </c>
    </row>
    <row r="3" spans="1:3" ht="15" customHeight="1">
      <c r="A3" s="35" t="s">
        <v>192</v>
      </c>
      <c r="B3" s="6" t="s">
        <v>10</v>
      </c>
      <c r="C3" s="6" t="s">
        <v>149</v>
      </c>
    </row>
    <row r="4" spans="1:3" ht="15" customHeight="1">
      <c r="A4" s="35" t="s">
        <v>236</v>
      </c>
      <c r="B4" t="s">
        <v>231</v>
      </c>
      <c r="C4" s="38" t="s">
        <v>243</v>
      </c>
    </row>
    <row r="5" spans="1:3" ht="15" customHeight="1">
      <c r="A5" s="35" t="s">
        <v>237</v>
      </c>
      <c r="B5" t="s">
        <v>164</v>
      </c>
    </row>
    <row r="6" spans="1:3" ht="15" customHeight="1">
      <c r="A6" s="35" t="s">
        <v>238</v>
      </c>
    </row>
    <row r="7" spans="1:3" ht="15" customHeight="1">
      <c r="A7" s="35" t="s">
        <v>239</v>
      </c>
    </row>
    <row r="8" spans="1:3" ht="15" customHeight="1">
      <c r="A8" s="35" t="s">
        <v>240</v>
      </c>
    </row>
    <row r="9" spans="1:3" ht="15" customHeight="1">
      <c r="A9" s="35" t="s">
        <v>241</v>
      </c>
    </row>
    <row r="10" spans="1:3" ht="15" customHeight="1">
      <c r="A10" s="35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1">
    <dataValidation type="list" allowBlank="1" showInputMessage="1" showErrorMessage="1" sqref="B2:B10" xr:uid="{E5D6F01B-5016-41B7-9535-E1A1381CE120}">
      <formula1>ReferenciaEmpresas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0"/>
  <sheetViews>
    <sheetView topLeftCell="C1" zoomScale="85" zoomScaleNormal="85" workbookViewId="0">
      <selection activeCell="K9" sqref="K9"/>
    </sheetView>
  </sheetViews>
  <sheetFormatPr defaultColWidth="14.42578125" defaultRowHeight="15" customHeight="1"/>
  <cols>
    <col min="1" max="1" width="10" customWidth="1"/>
    <col min="2" max="2" width="14.5703125" customWidth="1"/>
    <col min="3" max="3" width="34" bestFit="1" customWidth="1"/>
    <col min="4" max="5" width="34" customWidth="1"/>
    <col min="6" max="6" width="16.140625" customWidth="1"/>
    <col min="7" max="8" width="13.7109375" customWidth="1"/>
    <col min="9" max="9" width="18.28515625" style="14" customWidth="1"/>
    <col min="10" max="10" width="25.28515625" style="14" bestFit="1" customWidth="1"/>
    <col min="11" max="11" width="18.28515625" style="14" bestFit="1" customWidth="1"/>
    <col min="12" max="12" width="68.140625" bestFit="1" customWidth="1"/>
    <col min="13" max="31" width="8.7109375" customWidth="1"/>
  </cols>
  <sheetData>
    <row r="1" spans="1:16">
      <c r="A1" s="8" t="s">
        <v>193</v>
      </c>
      <c r="B1" s="8" t="s">
        <v>151</v>
      </c>
      <c r="C1" s="8" t="s">
        <v>114</v>
      </c>
      <c r="D1" s="8" t="s">
        <v>152</v>
      </c>
      <c r="E1" s="8" t="s">
        <v>166</v>
      </c>
      <c r="F1" s="8" t="s">
        <v>154</v>
      </c>
      <c r="G1" s="8" t="s">
        <v>185</v>
      </c>
      <c r="H1" s="8" t="s">
        <v>186</v>
      </c>
      <c r="I1" s="19" t="s">
        <v>203</v>
      </c>
      <c r="J1" s="19" t="s">
        <v>187</v>
      </c>
      <c r="K1" s="19" t="s">
        <v>188</v>
      </c>
      <c r="L1" s="8" t="s">
        <v>293</v>
      </c>
      <c r="P1" s="33" t="s">
        <v>180</v>
      </c>
    </row>
    <row r="2" spans="1:16" ht="15.75">
      <c r="A2" s="35" t="s">
        <v>196</v>
      </c>
      <c r="B2" s="6" t="s">
        <v>54</v>
      </c>
      <c r="C2" s="49" t="s">
        <v>10</v>
      </c>
      <c r="D2" s="6" t="s">
        <v>179</v>
      </c>
      <c r="E2" s="6"/>
      <c r="F2" s="1">
        <v>201</v>
      </c>
      <c r="G2" s="5">
        <v>900000</v>
      </c>
      <c r="H2" s="5">
        <f>+Facturacion[[#This Row],[Monto_Neto]]*1.19</f>
        <v>1071000</v>
      </c>
      <c r="I2" s="37" t="s">
        <v>204</v>
      </c>
      <c r="J2" s="22">
        <v>45881</v>
      </c>
      <c r="K2" s="22"/>
      <c r="L2" s="49" t="str">
        <f>_xlfn.TEXTJOIN(" - ", TRUE,Facturacion[[#This Row],[Ingreso Egreso]],TEXT(J2, "dd-mmm-yyyy"), A2, C2,F2  )</f>
        <v>Ingreso - 12-Aug-2025 - MOV001 - BODEGAS SAN FRANCISCO LIMITADA - 201</v>
      </c>
      <c r="P2" s="28" t="s">
        <v>179</v>
      </c>
    </row>
    <row r="3" spans="1:16" ht="15" customHeight="1">
      <c r="A3" s="35" t="s">
        <v>197</v>
      </c>
      <c r="B3" s="6" t="s">
        <v>55</v>
      </c>
      <c r="C3" s="1" t="s">
        <v>10</v>
      </c>
      <c r="D3" s="6" t="s">
        <v>172</v>
      </c>
      <c r="E3" s="6"/>
      <c r="F3" s="6">
        <v>5213</v>
      </c>
      <c r="G3" s="10">
        <v>650000</v>
      </c>
      <c r="H3" s="10">
        <f>+Facturacion[[#This Row],[Monto_Neto]]*1.19</f>
        <v>773500</v>
      </c>
      <c r="I3" s="37" t="s">
        <v>205</v>
      </c>
      <c r="J3" s="22">
        <v>45881</v>
      </c>
      <c r="K3" s="22">
        <v>45945</v>
      </c>
      <c r="L3" s="49" t="str">
        <f>_xlfn.TEXTJOIN(" - ", TRUE,Facturacion[[#This Row],[Ingreso Egreso]],TEXT(J3, "dd-mmm-yyyy"), A3, C3,F3  )</f>
        <v>Egreso - 12-Aug-2025 - MOV002 - BODEGAS SAN FRANCISCO LIMITADA - 5213</v>
      </c>
      <c r="P3" s="28" t="s">
        <v>184</v>
      </c>
    </row>
    <row r="4" spans="1:16" ht="15" customHeight="1">
      <c r="A4" s="35" t="s">
        <v>198</v>
      </c>
      <c r="B4" s="17" t="s">
        <v>55</v>
      </c>
      <c r="C4" s="17" t="s">
        <v>233</v>
      </c>
      <c r="D4" s="6" t="s">
        <v>168</v>
      </c>
      <c r="E4" s="17"/>
      <c r="F4" s="17">
        <v>6523</v>
      </c>
      <c r="G4" s="23">
        <v>1000000</v>
      </c>
      <c r="H4" s="23">
        <f>+Facturacion[[#This Row],[Monto_Neto]]*1.19</f>
        <v>1190000</v>
      </c>
      <c r="I4" s="37" t="s">
        <v>269</v>
      </c>
      <c r="J4" s="22"/>
      <c r="K4" s="22"/>
      <c r="L4" s="49" t="str">
        <f>_xlfn.TEXTJOIN(" - ", TRUE,Facturacion[[#This Row],[Ingreso Egreso]],TEXT(J4, "dd-mmm-yyyy"), A4, C4,F4  )</f>
        <v>Egreso - 00-Jan-1900 - MOV003 - HORIZON - 6523</v>
      </c>
      <c r="P4" s="27" t="s">
        <v>176</v>
      </c>
    </row>
    <row r="5" spans="1:16" ht="15" customHeight="1">
      <c r="A5" s="35" t="s">
        <v>263</v>
      </c>
      <c r="B5" s="17" t="s">
        <v>54</v>
      </c>
      <c r="C5" s="17" t="s">
        <v>231</v>
      </c>
      <c r="D5" s="6" t="s">
        <v>172</v>
      </c>
      <c r="E5" s="17"/>
      <c r="F5" s="17">
        <v>3265</v>
      </c>
      <c r="G5" s="23">
        <v>2300000</v>
      </c>
      <c r="H5" s="23">
        <f>+Facturacion[[#This Row],[Monto_Neto]]*1.19</f>
        <v>2737000</v>
      </c>
      <c r="I5" s="37" t="s">
        <v>269</v>
      </c>
      <c r="J5" s="22"/>
      <c r="K5" s="22"/>
      <c r="L5" s="49" t="str">
        <f>_xlfn.TEXTJOIN(" - ", TRUE,Facturacion[[#This Row],[Ingreso Egreso]],TEXT(J5, "dd-mmm-yyyy"), A5, C5,F5  )</f>
        <v>Ingreso - 00-Jan-1900 - MOV004 - FALABELLA - 3265</v>
      </c>
      <c r="P5" s="28" t="s">
        <v>175</v>
      </c>
    </row>
    <row r="6" spans="1:16" ht="15" customHeight="1">
      <c r="A6" s="35" t="s">
        <v>264</v>
      </c>
      <c r="B6" s="38"/>
      <c r="C6" s="38"/>
      <c r="D6" s="6"/>
      <c r="E6" s="38"/>
      <c r="F6" s="38"/>
      <c r="G6" s="46"/>
      <c r="H6" s="46">
        <f>+Facturacion[[#This Row],[Monto_Neto]]*1.19</f>
        <v>0</v>
      </c>
      <c r="I6" s="47"/>
      <c r="J6" s="37"/>
      <c r="K6" s="37"/>
      <c r="L6" s="49"/>
      <c r="P6" s="28"/>
    </row>
    <row r="7" spans="1:16" ht="15" customHeight="1">
      <c r="A7" s="35" t="s">
        <v>265</v>
      </c>
      <c r="B7" s="38"/>
      <c r="C7" s="38"/>
      <c r="D7" s="6"/>
      <c r="E7" s="38"/>
      <c r="F7" s="38"/>
      <c r="G7" s="46"/>
      <c r="H7" s="46">
        <f>+Facturacion[[#This Row],[Monto_Neto]]*1.19</f>
        <v>0</v>
      </c>
      <c r="I7" s="47"/>
      <c r="J7" s="37"/>
      <c r="K7" s="37"/>
      <c r="L7" s="49"/>
      <c r="P7" s="33" t="s">
        <v>183</v>
      </c>
    </row>
    <row r="8" spans="1:16" ht="15" customHeight="1">
      <c r="A8" s="35" t="s">
        <v>266</v>
      </c>
      <c r="B8" s="38"/>
      <c r="C8" s="38"/>
      <c r="D8" s="6"/>
      <c r="E8" s="38"/>
      <c r="F8" s="38"/>
      <c r="G8" s="46"/>
      <c r="H8" s="46">
        <f>+Facturacion[[#This Row],[Monto_Neto]]*1.19</f>
        <v>0</v>
      </c>
      <c r="I8" s="47"/>
      <c r="J8" s="37"/>
      <c r="K8" s="37"/>
      <c r="L8" s="49"/>
      <c r="P8" s="25" t="s">
        <v>172</v>
      </c>
    </row>
    <row r="9" spans="1:16" ht="15" customHeight="1">
      <c r="A9" s="35" t="s">
        <v>267</v>
      </c>
      <c r="B9" s="38"/>
      <c r="C9" s="38"/>
      <c r="D9" s="6"/>
      <c r="E9" s="38"/>
      <c r="F9" s="38"/>
      <c r="G9" s="46"/>
      <c r="H9" s="46">
        <f>+Facturacion[[#This Row],[Monto_Neto]]*1.19</f>
        <v>0</v>
      </c>
      <c r="I9" s="47"/>
      <c r="J9" s="37"/>
      <c r="K9" s="37"/>
      <c r="L9" s="49"/>
      <c r="P9" s="25" t="s">
        <v>178</v>
      </c>
    </row>
    <row r="10" spans="1:16" ht="15" customHeight="1">
      <c r="A10" s="35" t="s">
        <v>268</v>
      </c>
      <c r="B10" s="38"/>
      <c r="C10" s="38"/>
      <c r="D10" s="6"/>
      <c r="E10" s="38"/>
      <c r="F10" s="38"/>
      <c r="G10" s="46"/>
      <c r="H10" s="46">
        <f>+Facturacion[[#This Row],[Monto_Neto]]*1.19</f>
        <v>0</v>
      </c>
      <c r="I10" s="47"/>
      <c r="J10" s="37"/>
      <c r="K10" s="37"/>
      <c r="L10" s="49"/>
      <c r="P10" s="25" t="s">
        <v>171</v>
      </c>
    </row>
    <row r="11" spans="1:16" ht="15" customHeight="1">
      <c r="P11" s="29" t="s">
        <v>170</v>
      </c>
    </row>
    <row r="12" spans="1:16" ht="15" customHeight="1">
      <c r="P12" s="25" t="s">
        <v>173</v>
      </c>
    </row>
    <row r="13" spans="1:16" ht="15" customHeight="1">
      <c r="P13" s="25" t="s">
        <v>177</v>
      </c>
    </row>
    <row r="14" spans="1:16" ht="15" customHeight="1">
      <c r="P14" s="30" t="s">
        <v>182</v>
      </c>
    </row>
    <row r="15" spans="1:16" ht="15" customHeight="1">
      <c r="L15" s="49"/>
      <c r="P15" s="26" t="s">
        <v>174</v>
      </c>
    </row>
    <row r="16" spans="1:16" ht="15" customHeight="1">
      <c r="P16" s="26" t="s">
        <v>181</v>
      </c>
    </row>
    <row r="17" spans="16:16" ht="15" customHeight="1">
      <c r="P17" s="26" t="s">
        <v>169</v>
      </c>
    </row>
    <row r="18" spans="16:16" ht="15" customHeight="1">
      <c r="P18" s="26" t="s">
        <v>168</v>
      </c>
    </row>
    <row r="19" spans="16:16" ht="15" customHeight="1">
      <c r="P19" s="26" t="s">
        <v>167</v>
      </c>
    </row>
    <row r="20" spans="16:16" ht="15" customHeight="1">
      <c r="P20" s="31"/>
    </row>
    <row r="21" spans="16:16" ht="15.75" customHeight="1">
      <c r="P21" s="32"/>
    </row>
    <row r="22" spans="16:16" ht="15.75" customHeight="1"/>
    <row r="23" spans="16:16" ht="15.75" customHeight="1"/>
    <row r="24" spans="16:16" ht="15.75" customHeight="1"/>
    <row r="25" spans="16:16" ht="15.75" customHeight="1"/>
    <row r="26" spans="16:16" ht="15.75" customHeight="1"/>
    <row r="27" spans="16:16" ht="15.75" customHeight="1"/>
    <row r="28" spans="16:16" ht="15.75" customHeight="1"/>
    <row r="29" spans="16:16" ht="15.75" customHeight="1"/>
    <row r="30" spans="16:16" ht="15.75" customHeight="1"/>
    <row r="31" spans="16:16" ht="15.75" customHeight="1"/>
    <row r="32" spans="16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P5:P21">
    <sortCondition ref="P5:P21"/>
  </sortState>
  <phoneticPr fontId="11" type="noConversion"/>
  <dataValidations count="4">
    <dataValidation type="list" allowBlank="1" showInputMessage="1" showErrorMessage="1" sqref="B2:B10" xr:uid="{C8D2F12A-BE0C-47DD-A88E-E3800EDC4D40}">
      <formula1>"Ingreso, Egreso"</formula1>
    </dataValidation>
    <dataValidation type="list" allowBlank="1" showInputMessage="1" showErrorMessage="1" sqref="C2:C10" xr:uid="{78E8A9B5-59EA-45DC-8F9A-EC2F66F8CD71}">
      <formula1>ReferenciaEmpresas</formula1>
    </dataValidation>
    <dataValidation type="list" allowBlank="1" showInputMessage="1" showErrorMessage="1" sqref="I2:I10" xr:uid="{87AF3766-CACE-4E8E-A8DA-2E26EA16C578}">
      <formula1>"Por cobrar, Facturado, Pagado"</formula1>
    </dataValidation>
    <dataValidation type="list" allowBlank="1" showInputMessage="1" showErrorMessage="1" sqref="D2:D10" xr:uid="{655EF848-6EE2-4499-A840-C84296C967BD}">
      <formula1>$P:$P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>
      <selection activeCell="N12" sqref="N12"/>
    </sheetView>
  </sheetViews>
  <sheetFormatPr defaultColWidth="14.42578125" defaultRowHeight="15" customHeight="1"/>
  <cols>
    <col min="1" max="2" width="17.7109375" customWidth="1"/>
    <col min="3" max="4" width="29" customWidth="1"/>
    <col min="5" max="6" width="15.42578125" customWidth="1"/>
    <col min="7" max="7" width="16.7109375" customWidth="1"/>
    <col min="8" max="8" width="18.7109375" bestFit="1" customWidth="1"/>
    <col min="9" max="9" width="15.28515625" customWidth="1"/>
    <col min="11" max="24" width="8.7109375" customWidth="1"/>
  </cols>
  <sheetData>
    <row r="1" spans="1:10">
      <c r="A1" s="8" t="s">
        <v>322</v>
      </c>
      <c r="B1" s="8" t="s">
        <v>323</v>
      </c>
      <c r="C1" s="8" t="s">
        <v>158</v>
      </c>
      <c r="D1" s="8" t="s">
        <v>300</v>
      </c>
      <c r="E1" s="8" t="s">
        <v>159</v>
      </c>
      <c r="F1" s="8" t="s">
        <v>299</v>
      </c>
      <c r="G1" s="8" t="s">
        <v>298</v>
      </c>
      <c r="H1" s="8" t="s">
        <v>287</v>
      </c>
      <c r="I1" s="8" t="s">
        <v>302</v>
      </c>
      <c r="J1" s="8" t="s">
        <v>162</v>
      </c>
    </row>
    <row r="2" spans="1:10">
      <c r="A2" s="60" t="s">
        <v>313</v>
      </c>
      <c r="B2" s="36">
        <v>45828</v>
      </c>
      <c r="C2" s="17" t="s">
        <v>164</v>
      </c>
      <c r="D2" s="59">
        <f t="shared" ref="D2" si="0">92000000/39202.08</f>
        <v>2346.814250672413</v>
      </c>
      <c r="E2" s="5">
        <v>48</v>
      </c>
      <c r="F2" s="58">
        <v>0.08</v>
      </c>
      <c r="G2" s="65">
        <f>-PMT(Financiamiento[[#This Row],[Tasa]]/12,Financiamiento[[#This Row],[N°Cuotas]],Financiamiento[[#This Row],[Monto]])</f>
        <v>57.292594051596964</v>
      </c>
      <c r="H2" s="62">
        <f>EDATE(Financiamiento[[#This Row],[Fecha prestamo]], Financiamiento[[#This Row],[N°Cuotas]])</f>
        <v>47289</v>
      </c>
      <c r="I2" s="61">
        <f ca="1">DATEDIF(TODAY(),Financiamiento[[#This Row],[Fecha Termino]],"m")+1</f>
        <v>45</v>
      </c>
      <c r="J2" s="38"/>
    </row>
    <row r="3" spans="1:10">
      <c r="A3" s="60" t="s">
        <v>314</v>
      </c>
      <c r="B3" s="35"/>
      <c r="C3" s="38"/>
      <c r="D3" s="38"/>
      <c r="E3" s="46"/>
      <c r="F3" s="46"/>
      <c r="G3" s="65" t="e">
        <f>-PMT(Financiamiento[[#This Row],[Tasa]]/12,Financiamiento[[#This Row],[N°Cuotas]],Financiamiento[[#This Row],[Monto]])</f>
        <v>#NUM!</v>
      </c>
      <c r="H3" s="61">
        <f>EDATE(Financiamiento[[#This Row],[Fecha prestamo]], Financiamiento[[#This Row],[N°Cuotas]])</f>
        <v>0</v>
      </c>
      <c r="I3" s="61" t="e">
        <f ca="1">DATEDIF(TODAY(),Financiamiento[[#This Row],[Fecha Termino]],"m")+1</f>
        <v>#NUM!</v>
      </c>
      <c r="J3" s="38"/>
    </row>
    <row r="4" spans="1:10">
      <c r="A4" s="60" t="s">
        <v>315</v>
      </c>
      <c r="B4" s="35"/>
      <c r="C4" s="38"/>
      <c r="D4" s="38"/>
      <c r="E4" s="46"/>
      <c r="F4" s="46"/>
      <c r="G4" s="65" t="e">
        <f>-PMT(Financiamiento[[#This Row],[Tasa]]/12,Financiamiento[[#This Row],[N°Cuotas]],Financiamiento[[#This Row],[Monto]])</f>
        <v>#NUM!</v>
      </c>
      <c r="H4" s="61">
        <f>EDATE(Financiamiento[[#This Row],[Fecha prestamo]], Financiamiento[[#This Row],[N°Cuotas]])</f>
        <v>0</v>
      </c>
      <c r="I4" s="61" t="e">
        <f ca="1">DATEDIF(TODAY(),Financiamiento[[#This Row],[Fecha Termino]],"m")+1</f>
        <v>#NUM!</v>
      </c>
      <c r="J4" s="38"/>
    </row>
    <row r="5" spans="1:10" ht="15" customHeight="1">
      <c r="A5" s="60" t="s">
        <v>316</v>
      </c>
      <c r="B5" s="35"/>
      <c r="C5" s="38"/>
      <c r="D5" s="38"/>
      <c r="E5" s="46"/>
      <c r="F5" s="46"/>
      <c r="G5" s="65" t="e">
        <f>-PMT(Financiamiento[[#This Row],[Tasa]]/12,Financiamiento[[#This Row],[N°Cuotas]],Financiamiento[[#This Row],[Monto]])</f>
        <v>#NUM!</v>
      </c>
      <c r="H5" s="61">
        <f>EDATE(Financiamiento[[#This Row],[Fecha prestamo]], Financiamiento[[#This Row],[N°Cuotas]])</f>
        <v>0</v>
      </c>
      <c r="I5" s="61" t="e">
        <f ca="1">DATEDIF(TODAY(),Financiamiento[[#This Row],[Fecha Termino]],"m")+1</f>
        <v>#NUM!</v>
      </c>
      <c r="J5" s="38"/>
    </row>
    <row r="6" spans="1:10" ht="15" customHeight="1">
      <c r="A6" s="60" t="s">
        <v>317</v>
      </c>
      <c r="B6" s="35"/>
      <c r="C6" s="38"/>
      <c r="D6" s="38"/>
      <c r="E6" s="46"/>
      <c r="F6" s="46"/>
      <c r="G6" s="65" t="e">
        <f>-PMT(Financiamiento[[#This Row],[Tasa]]/12,Financiamiento[[#This Row],[N°Cuotas]],Financiamiento[[#This Row],[Monto]])</f>
        <v>#NUM!</v>
      </c>
      <c r="H6" s="61">
        <f>EDATE(Financiamiento[[#This Row],[Fecha prestamo]], Financiamiento[[#This Row],[N°Cuotas]])</f>
        <v>0</v>
      </c>
      <c r="I6" s="61" t="e">
        <f ca="1">DATEDIF(TODAY(),Financiamiento[[#This Row],[Fecha Termino]],"m")+1</f>
        <v>#NUM!</v>
      </c>
      <c r="J6" s="38"/>
    </row>
    <row r="7" spans="1:10" ht="15" customHeight="1">
      <c r="A7" s="60" t="s">
        <v>318</v>
      </c>
      <c r="B7" s="35"/>
      <c r="C7" s="38"/>
      <c r="D7" s="38"/>
      <c r="E7" s="46"/>
      <c r="F7" s="46"/>
      <c r="G7" s="65" t="e">
        <f>-PMT(Financiamiento[[#This Row],[Tasa]]/12,Financiamiento[[#This Row],[N°Cuotas]],Financiamiento[[#This Row],[Monto]])</f>
        <v>#NUM!</v>
      </c>
      <c r="H7" s="61">
        <f>EDATE(Financiamiento[[#This Row],[Fecha prestamo]], Financiamiento[[#This Row],[N°Cuotas]])</f>
        <v>0</v>
      </c>
      <c r="I7" s="61" t="e">
        <f ca="1">DATEDIF(TODAY(),Financiamiento[[#This Row],[Fecha Termino]],"m")+1</f>
        <v>#NUM!</v>
      </c>
      <c r="J7" s="38"/>
    </row>
    <row r="8" spans="1:10" ht="15" customHeight="1">
      <c r="A8" s="60" t="s">
        <v>319</v>
      </c>
      <c r="B8" s="35"/>
      <c r="C8" s="38"/>
      <c r="D8" s="38"/>
      <c r="E8" s="46"/>
      <c r="F8" s="46"/>
      <c r="G8" s="65" t="e">
        <f>-PMT(Financiamiento[[#This Row],[Tasa]]/12,Financiamiento[[#This Row],[N°Cuotas]],Financiamiento[[#This Row],[Monto]])</f>
        <v>#NUM!</v>
      </c>
      <c r="H8" s="61">
        <f>EDATE(Financiamiento[[#This Row],[Fecha prestamo]], Financiamiento[[#This Row],[N°Cuotas]])</f>
        <v>0</v>
      </c>
      <c r="I8" s="61" t="e">
        <f ca="1">DATEDIF(TODAY(),Financiamiento[[#This Row],[Fecha Termino]],"m")+1</f>
        <v>#NUM!</v>
      </c>
      <c r="J8" s="38"/>
    </row>
    <row r="9" spans="1:10" ht="15" customHeight="1">
      <c r="A9" s="60" t="s">
        <v>320</v>
      </c>
      <c r="B9" s="35"/>
      <c r="C9" s="38"/>
      <c r="D9" s="38"/>
      <c r="E9" s="46"/>
      <c r="F9" s="46"/>
      <c r="G9" s="65" t="e">
        <f>-PMT(Financiamiento[[#This Row],[Tasa]]/12,Financiamiento[[#This Row],[N°Cuotas]],Financiamiento[[#This Row],[Monto]])</f>
        <v>#NUM!</v>
      </c>
      <c r="H9" s="61">
        <f>EDATE(Financiamiento[[#This Row],[Fecha prestamo]], Financiamiento[[#This Row],[N°Cuotas]])</f>
        <v>0</v>
      </c>
      <c r="I9" s="61" t="e">
        <f ca="1">DATEDIF(TODAY(),Financiamiento[[#This Row],[Fecha Termino]],"m")+1</f>
        <v>#NUM!</v>
      </c>
      <c r="J9" s="38"/>
    </row>
    <row r="10" spans="1:10" ht="15" customHeight="1">
      <c r="A10" s="60" t="s">
        <v>321</v>
      </c>
      <c r="B10" s="35"/>
      <c r="C10" s="38"/>
      <c r="D10" s="38"/>
      <c r="E10" s="46"/>
      <c r="F10" s="46"/>
      <c r="G10" s="65" t="e">
        <f>-PMT(Financiamiento[[#This Row],[Tasa]]/12,Financiamiento[[#This Row],[N°Cuotas]],Financiamiento[[#This Row],[Monto]])</f>
        <v>#NUM!</v>
      </c>
      <c r="H10" s="61">
        <f>EDATE(Financiamiento[[#This Row],[Fecha prestamo]], Financiamiento[[#This Row],[N°Cuotas]])</f>
        <v>0</v>
      </c>
      <c r="I10" s="61" t="e">
        <f ca="1">DATEDIF(TODAY(),Financiamiento[[#This Row],[Fecha Termino]],"m")+1</f>
        <v>#NUM!</v>
      </c>
      <c r="J10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1">
    <dataValidation type="list" allowBlank="1" showInputMessage="1" showErrorMessage="1" sqref="C2:C10" xr:uid="{FF328A60-634D-4908-B235-63ACA2AEB18D}">
      <formula1>ReferenciaEmpresas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A2C7-20D4-4C07-B767-D3E23A7AEB0C}">
  <dimension ref="A1:J1000"/>
  <sheetViews>
    <sheetView workbookViewId="0">
      <selection activeCell="K24" sqref="K24"/>
    </sheetView>
  </sheetViews>
  <sheetFormatPr defaultColWidth="14.42578125" defaultRowHeight="15" customHeight="1"/>
  <cols>
    <col min="1" max="2" width="17.7109375" customWidth="1"/>
    <col min="3" max="3" width="29" bestFit="1" customWidth="1"/>
    <col min="4" max="4" width="29" customWidth="1"/>
    <col min="5" max="5" width="15.42578125" customWidth="1"/>
    <col min="6" max="6" width="12.5703125" customWidth="1"/>
    <col min="7" max="8" width="16.7109375" customWidth="1"/>
    <col min="10" max="10" width="16" bestFit="1" customWidth="1"/>
    <col min="11" max="27" width="8.7109375" customWidth="1"/>
  </cols>
  <sheetData>
    <row r="1" spans="1:10">
      <c r="A1" s="8" t="s">
        <v>303</v>
      </c>
      <c r="B1" s="8" t="s">
        <v>46</v>
      </c>
      <c r="C1" s="8" t="s">
        <v>3</v>
      </c>
      <c r="D1" s="8" t="s">
        <v>158</v>
      </c>
      <c r="E1" s="8" t="s">
        <v>159</v>
      </c>
      <c r="F1" s="8" t="s">
        <v>160</v>
      </c>
      <c r="G1" s="8" t="s">
        <v>161</v>
      </c>
      <c r="H1" s="8" t="s">
        <v>156</v>
      </c>
      <c r="I1" s="8" t="s">
        <v>287</v>
      </c>
      <c r="J1" s="8" t="s">
        <v>301</v>
      </c>
    </row>
    <row r="2" spans="1:10">
      <c r="A2" s="60" t="s">
        <v>304</v>
      </c>
      <c r="B2" s="36">
        <v>45828</v>
      </c>
      <c r="C2" s="1" t="s">
        <v>157</v>
      </c>
      <c r="D2" s="17" t="s">
        <v>163</v>
      </c>
      <c r="E2" s="5">
        <v>49</v>
      </c>
      <c r="F2" s="5">
        <v>10000000</v>
      </c>
      <c r="G2" s="5">
        <v>465000</v>
      </c>
      <c r="H2" s="5">
        <f>+Financiamiento14[[#This Row],[Cuota neta]]*1.19</f>
        <v>553350</v>
      </c>
      <c r="I2" s="63">
        <f>EDATE(Financiamiento14[[#This Row],[Fecha]], Financiamiento14[[#This Row],[N°Cuotas]])</f>
        <v>47319</v>
      </c>
      <c r="J2" s="64">
        <f ca="1">DATEDIF(TODAY(),Financiamiento14[[#This Row],[Fecha Termino]],"m")+1</f>
        <v>46</v>
      </c>
    </row>
    <row r="3" spans="1:10">
      <c r="A3" s="60" t="s">
        <v>305</v>
      </c>
      <c r="B3" s="35"/>
      <c r="C3" s="38"/>
      <c r="D3" s="38"/>
      <c r="E3" s="46"/>
      <c r="F3" s="46"/>
      <c r="G3" s="46"/>
      <c r="H3" s="46"/>
      <c r="I3" s="63"/>
      <c r="J3" s="64"/>
    </row>
    <row r="4" spans="1:10">
      <c r="A4" s="60" t="s">
        <v>306</v>
      </c>
      <c r="B4" s="35"/>
      <c r="C4" s="38"/>
      <c r="D4" s="38"/>
      <c r="E4" s="46"/>
      <c r="F4" s="46"/>
      <c r="G4" s="46"/>
      <c r="H4" s="46"/>
      <c r="I4" s="63"/>
      <c r="J4" s="64"/>
    </row>
    <row r="5" spans="1:10" ht="15" customHeight="1">
      <c r="A5" s="60" t="s">
        <v>307</v>
      </c>
      <c r="B5" s="35"/>
      <c r="C5" s="38"/>
      <c r="D5" s="38"/>
      <c r="E5" s="46"/>
      <c r="F5" s="46"/>
      <c r="G5" s="46"/>
      <c r="H5" s="46"/>
      <c r="I5" s="63"/>
      <c r="J5" s="64"/>
    </row>
    <row r="6" spans="1:10" ht="15" customHeight="1">
      <c r="A6" s="60" t="s">
        <v>308</v>
      </c>
      <c r="B6" s="35"/>
      <c r="C6" s="38"/>
      <c r="D6" s="38"/>
      <c r="E6" s="46"/>
      <c r="F6" s="46"/>
      <c r="G6" s="46"/>
      <c r="H6" s="46">
        <f>+Financiamiento14[[#This Row],[Cuota neta]]*1.19</f>
        <v>0</v>
      </c>
      <c r="I6" s="63"/>
      <c r="J6" s="64"/>
    </row>
    <row r="7" spans="1:10" ht="15" customHeight="1">
      <c r="A7" s="60" t="s">
        <v>309</v>
      </c>
      <c r="B7" s="35"/>
      <c r="C7" s="38"/>
      <c r="D7" s="38"/>
      <c r="E7" s="46"/>
      <c r="F7" s="46"/>
      <c r="G7" s="46"/>
      <c r="H7" s="46">
        <f>+Financiamiento14[[#This Row],[Cuota neta]]*1.19</f>
        <v>0</v>
      </c>
      <c r="I7" s="63"/>
      <c r="J7" s="64"/>
    </row>
    <row r="8" spans="1:10" ht="15" customHeight="1">
      <c r="A8" s="60" t="s">
        <v>310</v>
      </c>
      <c r="B8" s="35"/>
      <c r="C8" s="38"/>
      <c r="D8" s="38"/>
      <c r="E8" s="46"/>
      <c r="F8" s="46"/>
      <c r="G8" s="46"/>
      <c r="H8" s="46">
        <f>+Financiamiento14[[#This Row],[Cuota neta]]*1.19</f>
        <v>0</v>
      </c>
      <c r="I8" s="63"/>
      <c r="J8" s="64"/>
    </row>
    <row r="9" spans="1:10" ht="15" customHeight="1">
      <c r="A9" s="60" t="s">
        <v>311</v>
      </c>
      <c r="B9" s="35"/>
      <c r="C9" s="38"/>
      <c r="D9" s="38"/>
      <c r="E9" s="46"/>
      <c r="F9" s="46"/>
      <c r="G9" s="46"/>
      <c r="H9" s="46">
        <f>+Financiamiento14[[#This Row],[Cuota neta]]*1.19</f>
        <v>0</v>
      </c>
      <c r="I9" s="63"/>
      <c r="J9" s="64"/>
    </row>
    <row r="10" spans="1:10" ht="15" customHeight="1">
      <c r="A10" s="60" t="s">
        <v>312</v>
      </c>
      <c r="B10" s="35"/>
      <c r="C10" s="38"/>
      <c r="D10" s="38"/>
      <c r="E10" s="46"/>
      <c r="F10" s="46"/>
      <c r="G10" s="46"/>
      <c r="H10" s="46">
        <f>+Financiamiento14[[#This Row],[Cuota neta]]*1.19</f>
        <v>0</v>
      </c>
      <c r="I10" s="63"/>
      <c r="J10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2">
    <dataValidation type="list" allowBlank="1" showInputMessage="1" showErrorMessage="1" sqref="D2:D10" xr:uid="{DC4A9D36-0744-4C28-AC43-71228C5EC4EF}">
      <formula1>ReferenciaEmpresas</formula1>
    </dataValidation>
    <dataValidation type="list" allowBlank="1" showInputMessage="1" showErrorMessage="1" sqref="C2:C10" xr:uid="{FB0336E6-A08A-4F49-BC00-EA4AC6CEACC6}">
      <formula1>ReferenciaEquipos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219C-0EC1-4347-95FF-408CC1A6E34C}">
  <dimension ref="A1:B2"/>
  <sheetViews>
    <sheetView workbookViewId="0">
      <selection activeCell="A3" sqref="A3"/>
    </sheetView>
  </sheetViews>
  <sheetFormatPr defaultRowHeight="15"/>
  <cols>
    <col min="2" max="2" width="10.7109375" bestFit="1" customWidth="1"/>
  </cols>
  <sheetData>
    <row r="1" spans="1:2">
      <c r="B1" s="42" t="s">
        <v>244</v>
      </c>
    </row>
    <row r="2" spans="1:2">
      <c r="A2" s="42" t="s">
        <v>271</v>
      </c>
      <c r="B2" s="43">
        <v>39184.080000000002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19</vt:i4>
      </vt:variant>
    </vt:vector>
  </HeadingPairs>
  <TitlesOfParts>
    <vt:vector size="33" baseType="lpstr">
      <vt:lpstr>Equipos</vt:lpstr>
      <vt:lpstr>Arriendos</vt:lpstr>
      <vt:lpstr>Subarriendos</vt:lpstr>
      <vt:lpstr>Mantenimientos</vt:lpstr>
      <vt:lpstr>Transportes</vt:lpstr>
      <vt:lpstr>Horometro</vt:lpstr>
      <vt:lpstr>Empresas</vt:lpstr>
      <vt:lpstr>Contactos</vt:lpstr>
      <vt:lpstr>Seguros</vt:lpstr>
      <vt:lpstr>Ubicacion</vt:lpstr>
      <vt:lpstr>Facturacion</vt:lpstr>
      <vt:lpstr>Prestamos Directos</vt:lpstr>
      <vt:lpstr>Leasing</vt:lpstr>
      <vt:lpstr>UF</vt:lpstr>
      <vt:lpstr>Polizas</vt:lpstr>
      <vt:lpstr>Leasing!ReferenciaContactos</vt:lpstr>
      <vt:lpstr>Seguros!ReferenciaContactos</vt:lpstr>
      <vt:lpstr>Transportes!ReferenciaContactos</vt:lpstr>
      <vt:lpstr>ReferenciaContactos</vt:lpstr>
      <vt:lpstr>Leasing!ReferenciaEmpresas</vt:lpstr>
      <vt:lpstr>Seguros!ReferenciaEmpresas</vt:lpstr>
      <vt:lpstr>Transportes!ReferenciaEmpresas</vt:lpstr>
      <vt:lpstr>ReferenciaEmpresas</vt:lpstr>
      <vt:lpstr>Leasing!ReferenciaEquipos</vt:lpstr>
      <vt:lpstr>Seguros!ReferenciaEquipos</vt:lpstr>
      <vt:lpstr>Transportes!ReferenciaEquipos</vt:lpstr>
      <vt:lpstr>ReferenciaEquipos</vt:lpstr>
      <vt:lpstr>ReferenciaFacturas</vt:lpstr>
      <vt:lpstr>Leasing!Ubicaciones</vt:lpstr>
      <vt:lpstr>Seguros!Ubicaciones</vt:lpstr>
      <vt:lpstr>Transportes!Ubicaciones</vt:lpstr>
      <vt:lpstr>Ubicaciones</vt:lpstr>
      <vt:lpstr>UF_Julio_25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</dc:creator>
  <cp:lastModifiedBy>Pedro Lecaros</cp:lastModifiedBy>
  <dcterms:created xsi:type="dcterms:W3CDTF">2025-04-23T15:36:45Z</dcterms:created>
  <dcterms:modified xsi:type="dcterms:W3CDTF">2025-10-10T14:55:12Z</dcterms:modified>
</cp:coreProperties>
</file>
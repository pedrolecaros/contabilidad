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:\My Drive\Desarrollos Ecox 2025\Contabilidades\07. Contable Agrícola Los Chilcos SpA\"/>
    </mc:Choice>
  </mc:AlternateContent>
  <xr:revisionPtr revIDLastSave="0" documentId="8_{F1998D38-34E0-489D-B70D-BC1D2DCAE39D}" xr6:coauthVersionLast="47" xr6:coauthVersionMax="47" xr10:uidLastSave="{00000000-0000-0000-0000-000000000000}"/>
  <bookViews>
    <workbookView xWindow="-120" yWindow="-120" windowWidth="29040" windowHeight="15840" activeTab="4" xr2:uid="{18DD267D-B235-4A1F-9D67-90BB4C936512}"/>
  </bookViews>
  <sheets>
    <sheet name="Hoja1" sheetId="1" r:id="rId1"/>
    <sheet name="Dev Chilcos JOPA" sheetId="2" r:id="rId2"/>
    <sheet name="Dev Chilcos JMP" sheetId="3" r:id="rId3"/>
    <sheet name="Dev JMP FHB" sheetId="4" r:id="rId4"/>
    <sheet name="Dev JOPA FHB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4" l="1"/>
  <c r="D7" i="4"/>
  <c r="C1" i="4"/>
  <c r="B1" i="4"/>
  <c r="E7" i="3"/>
  <c r="E8" i="3"/>
  <c r="E9" i="3"/>
  <c r="E6" i="3"/>
  <c r="E5" i="3"/>
  <c r="D6" i="3"/>
  <c r="D7" i="3"/>
  <c r="D8" i="3"/>
  <c r="D9" i="3"/>
  <c r="D5" i="3"/>
  <c r="C1" i="3"/>
  <c r="B1" i="3"/>
  <c r="C1" i="2"/>
  <c r="B1" i="2"/>
  <c r="E5" i="2" s="1"/>
  <c r="D7" i="5"/>
  <c r="D11" i="2" l="1"/>
  <c r="D6" i="5"/>
  <c r="D10" i="2"/>
  <c r="D11" i="4"/>
  <c r="D10" i="4"/>
  <c r="D9" i="4"/>
  <c r="D8" i="4"/>
  <c r="D5" i="4"/>
  <c r="E5" i="4" s="1"/>
  <c r="D5" i="5"/>
  <c r="D9" i="2"/>
  <c r="D8" i="2"/>
  <c r="D7" i="2"/>
  <c r="D6" i="2"/>
  <c r="D5" i="2"/>
  <c r="E6" i="4" l="1"/>
  <c r="E7" i="4" s="1"/>
  <c r="E8" i="4" s="1"/>
  <c r="E9" i="4" s="1"/>
  <c r="E10" i="4" s="1"/>
  <c r="E11" i="4" s="1"/>
  <c r="J3" i="1"/>
  <c r="K3" i="1"/>
  <c r="K9" i="1"/>
  <c r="K6" i="1"/>
  <c r="K12" i="1"/>
  <c r="C1" i="5" s="1"/>
  <c r="J12" i="1"/>
  <c r="B1" i="5" s="1"/>
  <c r="J9" i="1"/>
  <c r="J6" i="1"/>
  <c r="E6" i="2" s="1"/>
  <c r="E7" i="2" s="1"/>
  <c r="E8" i="2" s="1"/>
  <c r="E9" i="2" s="1"/>
  <c r="E10" i="2" s="1"/>
  <c r="E11" i="2" s="1"/>
  <c r="G20" i="1"/>
  <c r="G19" i="1"/>
  <c r="H22" i="1"/>
  <c r="G22" i="1"/>
  <c r="H20" i="1"/>
  <c r="H19" i="1"/>
  <c r="H17" i="1"/>
  <c r="G16" i="1"/>
  <c r="G15" i="1"/>
  <c r="G11" i="1"/>
  <c r="G13" i="1"/>
  <c r="G8" i="1"/>
  <c r="G7" i="1"/>
  <c r="G9" i="1"/>
  <c r="G5" i="1"/>
  <c r="G3" i="1"/>
  <c r="E5" i="5" l="1"/>
  <c r="E6" i="5" s="1"/>
  <c r="E7" i="5" s="1"/>
</calcChain>
</file>

<file path=xl/sharedStrings.xml><?xml version="1.0" encoding="utf-8"?>
<sst xmlns="http://schemas.openxmlformats.org/spreadsheetml/2006/main" count="78" uniqueCount="30">
  <si>
    <t>JOPA a Chilcos</t>
  </si>
  <si>
    <t>FHB a JOPA</t>
  </si>
  <si>
    <t>PLS a Chilcos</t>
  </si>
  <si>
    <t>FHB a PLS</t>
  </si>
  <si>
    <t>UF</t>
  </si>
  <si>
    <t>JMP a Chilcos</t>
  </si>
  <si>
    <t>FHB a JMP</t>
  </si>
  <si>
    <t>Préstamo</t>
  </si>
  <si>
    <t>JOPA</t>
  </si>
  <si>
    <t>Préstamos Reales</t>
  </si>
  <si>
    <t>Préstamos a Chilcos para Reconocimientos de Deuda</t>
  </si>
  <si>
    <t>PLS</t>
  </si>
  <si>
    <t>JMP</t>
  </si>
  <si>
    <t>Préstamos JOPA a Agrícola Los Chilcos</t>
  </si>
  <si>
    <t>Préstamo FHB a JMP</t>
  </si>
  <si>
    <t>Préstamo FHB a JOPA</t>
  </si>
  <si>
    <t>Préstamo JMP a Agrícola Los Chilcos</t>
  </si>
  <si>
    <t>Pesos</t>
  </si>
  <si>
    <t>Detalle devoluciones</t>
  </si>
  <si>
    <t>Fecha</t>
  </si>
  <si>
    <t>Monto UF</t>
  </si>
  <si>
    <t>Saldo</t>
  </si>
  <si>
    <t>UF día deposito</t>
  </si>
  <si>
    <t>Monto</t>
  </si>
  <si>
    <t xml:space="preserve">UF día </t>
  </si>
  <si>
    <t>Pago Julio 25 $</t>
  </si>
  <si>
    <t>Pago Sept 25 $</t>
  </si>
  <si>
    <t>Pago 04 Nov 25 $</t>
  </si>
  <si>
    <t>Pago 05 Dic 25 $</t>
  </si>
  <si>
    <t>Pago 15 Ene 26 $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</si>
</sst>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 &quot;$&quot;* #,##0_ ;_ &quot;$&quot;* \-#,##0_ ;_ &quot;$&quot;* &quot;-&quot;_ ;_ @_ "/>
    <numFmt numFmtId="165" formatCode="_ * #,##0_ ;_ * \-#,##0_ ;_ * &quot;-&quot;_ ;_ @_ "/>
    <numFmt numFmtId="166" formatCode="_ * #,##0.00_ ;_ * \-#,##0.00_ ;_ * &quot;-&quot;_ ;_ @_ "/>
    <numFmt numFmtId="167" formatCode="_(* #,##0_);_(* \(#,##0\);_(* &quot;-&quot;??_);_(@_)"/>
  </numFmts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706F6F"/>
      <name val="Helvetica Neue"/>
      <family val="2"/>
    </font>
    <font>
      <b/>
      <sz val="11"/>
      <color rgb="FF000000"/>
      <name val="Aptos Narrow"/>
      <family val="2"/>
      <scheme val="minor"/>
    </font>
    <font>
      <sz val="8"/>
      <color rgb="FF706F6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52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" fillId="0" borderId="0" xfId="0" applyFont="1" applyAlignment="1">
      <alignment horizontal="center"/>
    </xf>
    <xf numFmtId="164" fontId="1" fillId="0" borderId="0" xfId="0" applyNumberFormat="1" applyFont="1"/>
    <xf numFmtId="0" fontId="0" fillId="0" borderId="1" xfId="0" applyBorder="1"/>
    <xf numFmtId="164" fontId="0" fillId="0" borderId="1" xfId="0" applyNumberFormat="1" applyBorder="1"/>
    <xf numFmtId="0" fontId="0" fillId="2" borderId="1" xfId="0" applyFill="1" applyBorder="1"/>
    <xf numFmtId="164" fontId="0" fillId="2" borderId="1" xfId="0" applyNumberFormat="1" applyFill="1" applyBorder="1"/>
    <xf numFmtId="164" fontId="0" fillId="2" borderId="1" xfId="0" applyNumberFormat="1" applyFill="1" applyBorder="1" applyAlignment="1">
      <alignment vertical="center"/>
    </xf>
    <xf numFmtId="0" fontId="1" fillId="3" borderId="0" xfId="0" applyFont="1" applyFill="1" applyAlignment="1">
      <alignment horizontal="center"/>
    </xf>
    <xf numFmtId="0" fontId="0" fillId="3" borderId="0" xfId="0" applyFill="1"/>
    <xf numFmtId="0" fontId="0" fillId="2" borderId="1" xfId="0" applyFill="1" applyBorder="1" applyAlignment="1">
      <alignment horizontal="center" vertical="center"/>
    </xf>
    <xf numFmtId="0" fontId="0" fillId="4" borderId="1" xfId="0" applyFill="1" applyBorder="1"/>
    <xf numFmtId="164" fontId="0" fillId="4" borderId="1" xfId="0" applyNumberFormat="1" applyFill="1" applyBorder="1"/>
    <xf numFmtId="0" fontId="0" fillId="4" borderId="1" xfId="0" applyFill="1" applyBorder="1" applyAlignment="1">
      <alignment horizontal="center" vertical="center"/>
    </xf>
    <xf numFmtId="164" fontId="0" fillId="4" borderId="1" xfId="0" applyNumberFormat="1" applyFill="1" applyBorder="1" applyAlignment="1">
      <alignment vertical="center"/>
    </xf>
    <xf numFmtId="0" fontId="0" fillId="0" borderId="0" xfId="0" applyAlignment="1">
      <alignment horizontal="center"/>
    </xf>
    <xf numFmtId="165" fontId="0" fillId="0" borderId="0" xfId="1" applyFont="1"/>
    <xf numFmtId="166" fontId="0" fillId="0" borderId="0" xfId="1" applyNumberFormat="1" applyFont="1"/>
    <xf numFmtId="4" fontId="3" fillId="0" borderId="0" xfId="0" applyNumberFormat="1" applyFont="1" applyAlignment="1">
      <alignment horizontal="right"/>
    </xf>
    <xf numFmtId="164" fontId="0" fillId="0" borderId="0" xfId="2" applyFont="1"/>
    <xf numFmtId="2" fontId="0" fillId="0" borderId="0" xfId="0" applyNumberFormat="1"/>
    <xf numFmtId="14" fontId="0" fillId="5" borderId="0" xfId="0" applyNumberFormat="1" applyFill="1"/>
    <xf numFmtId="164" fontId="0" fillId="5" borderId="0" xfId="2" applyFont="1" applyFill="1"/>
    <xf numFmtId="4" fontId="4" fillId="5" borderId="0" xfId="0" applyNumberFormat="1" applyFont="1" applyFill="1"/>
    <xf numFmtId="2" fontId="0" fillId="5" borderId="0" xfId="0" applyNumberFormat="1" applyFill="1"/>
    <xf numFmtId="0" fontId="0" fillId="5" borderId="0" xfId="0" applyFill="1"/>
    <xf numFmtId="4" fontId="3" fillId="5" borderId="0" xfId="0" applyNumberFormat="1" applyFont="1" applyFill="1" applyAlignment="1">
      <alignment horizontal="right"/>
    </xf>
    <xf numFmtId="166" fontId="0" fillId="5" borderId="0" xfId="0" applyNumberFormat="1" applyFill="1"/>
    <xf numFmtId="2" fontId="0" fillId="5" borderId="0" xfId="0" applyNumberFormat="1" applyFill="1" applyAlignment="1">
      <alignment horizontal="left" indent="7"/>
    </xf>
    <xf numFmtId="167" fontId="0" fillId="0" borderId="1" xfId="0" applyNumberFormat="1" applyBorder="1"/>
    <xf numFmtId="167" fontId="0" fillId="0" borderId="1" xfId="3" applyNumberFormat="1" applyFont="1" applyBorder="1"/>
    <xf numFmtId="0" fontId="1" fillId="0" borderId="1" xfId="0" applyFont="1" applyBorder="1"/>
    <xf numFmtId="0" fontId="6" fillId="6" borderId="1" xfId="0" applyFont="1" applyFill="1" applyBorder="1" applyAlignment="1">
      <alignment vertical="top" wrapText="1"/>
    </xf>
    <xf numFmtId="166" fontId="0" fillId="0" borderId="1" xfId="0" applyNumberFormat="1" applyBorder="1"/>
    <xf numFmtId="0" fontId="5" fillId="0" borderId="1" xfId="0" applyFont="1" applyBorder="1"/>
    <xf numFmtId="167" fontId="3" fillId="0" borderId="1" xfId="0" applyNumberFormat="1" applyFont="1" applyBorder="1"/>
    <xf numFmtId="0" fontId="6" fillId="0" borderId="1" xfId="0" applyFont="1" applyBorder="1"/>
    <xf numFmtId="0" fontId="6" fillId="7" borderId="1" xfId="0" applyFont="1" applyFill="1" applyBorder="1" applyAlignment="1">
      <alignment vertical="top" wrapText="1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16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4">
    <cellStyle name="Comma" xfId="3" builtinId="3"/>
    <cellStyle name="Comma [0]" xfId="1" builtinId="6"/>
    <cellStyle name="Currency [0]" xfId="2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6892C-43A5-4F10-B136-664248996237}">
  <dimension ref="A2:L23"/>
  <sheetViews>
    <sheetView zoomScale="133" workbookViewId="0">
      <selection activeCell="I16" sqref="I16"/>
    </sheetView>
  </sheetViews>
  <sheetFormatPr defaultColWidth="11.42578125" defaultRowHeight="15"/>
  <cols>
    <col min="1" max="1" width="11.42578125" style="1"/>
    <col min="2" max="2" width="19.42578125" customWidth="1"/>
    <col min="3" max="3" width="22.140625" style="2" customWidth="1"/>
    <col min="4" max="4" width="7" bestFit="1" customWidth="1"/>
    <col min="5" max="5" width="1.42578125" style="11" customWidth="1"/>
    <col min="6" max="6" width="11.7109375" customWidth="1"/>
    <col min="7" max="7" width="50.42578125" style="2" customWidth="1"/>
    <col min="8" max="8" width="8" bestFit="1" customWidth="1"/>
    <col min="9" max="9" width="30.140625" bestFit="1" customWidth="1"/>
    <col min="11" max="11" width="12.5703125" bestFit="1" customWidth="1"/>
    <col min="12" max="12" width="11.85546875" bestFit="1" customWidth="1"/>
  </cols>
  <sheetData>
    <row r="2" spans="1:12">
      <c r="B2" s="49" t="s">
        <v>9</v>
      </c>
      <c r="C2" s="49"/>
      <c r="D2" s="3" t="s">
        <v>4</v>
      </c>
      <c r="E2" s="10"/>
      <c r="F2" s="3" t="s">
        <v>7</v>
      </c>
      <c r="G2" s="4" t="s">
        <v>10</v>
      </c>
      <c r="H2" s="3" t="s">
        <v>4</v>
      </c>
      <c r="J2" s="17" t="s">
        <v>4</v>
      </c>
      <c r="K2" s="17" t="s">
        <v>17</v>
      </c>
    </row>
    <row r="3" spans="1:12">
      <c r="A3" s="42">
        <v>45406</v>
      </c>
      <c r="B3" s="7" t="s">
        <v>0</v>
      </c>
      <c r="C3" s="8">
        <v>46000000</v>
      </c>
      <c r="D3" s="7">
        <v>1235.48</v>
      </c>
      <c r="F3" s="51" t="s">
        <v>8</v>
      </c>
      <c r="G3" s="50">
        <f>C3+C4</f>
        <v>69000000</v>
      </c>
      <c r="H3" s="51">
        <v>1853.22</v>
      </c>
      <c r="I3" s="1" t="s">
        <v>16</v>
      </c>
      <c r="J3" s="19">
        <f>+D11+D20</f>
        <v>184.22</v>
      </c>
      <c r="K3" s="2">
        <f>+C11+C20</f>
        <v>7000000</v>
      </c>
    </row>
    <row r="4" spans="1:12">
      <c r="A4" s="42"/>
      <c r="B4" s="5" t="s">
        <v>1</v>
      </c>
      <c r="C4" s="6">
        <v>23000000</v>
      </c>
      <c r="D4" s="5">
        <v>617.74</v>
      </c>
      <c r="F4" s="51"/>
      <c r="G4" s="50"/>
      <c r="H4" s="51"/>
    </row>
    <row r="5" spans="1:12">
      <c r="A5" s="42"/>
      <c r="B5" s="5" t="s">
        <v>2</v>
      </c>
      <c r="C5" s="6">
        <v>46000000</v>
      </c>
      <c r="D5" s="5">
        <v>1235.5</v>
      </c>
      <c r="F5" s="43" t="s">
        <v>11</v>
      </c>
      <c r="G5" s="40">
        <f>C5+C6</f>
        <v>69000000</v>
      </c>
      <c r="H5" s="41">
        <v>1854.22</v>
      </c>
      <c r="I5" s="1"/>
    </row>
    <row r="6" spans="1:12">
      <c r="A6" s="42"/>
      <c r="B6" s="5" t="s">
        <v>3</v>
      </c>
      <c r="C6" s="6">
        <v>23000000</v>
      </c>
      <c r="D6" s="5">
        <v>617.74</v>
      </c>
      <c r="F6" s="44"/>
      <c r="G6" s="40"/>
      <c r="H6" s="41"/>
      <c r="I6" s="1" t="s">
        <v>13</v>
      </c>
      <c r="J6" s="19">
        <f>+D3+D7+D15+D19</f>
        <v>2044.1200000000001</v>
      </c>
      <c r="K6" s="2">
        <f>+C3+C7+C15+C19</f>
        <v>76956300</v>
      </c>
    </row>
    <row r="7" spans="1:12">
      <c r="A7" s="42">
        <v>45406</v>
      </c>
      <c r="B7" s="7" t="s">
        <v>0</v>
      </c>
      <c r="C7" s="8">
        <v>2456300</v>
      </c>
      <c r="D7" s="7">
        <v>66</v>
      </c>
      <c r="F7" s="12" t="s">
        <v>8</v>
      </c>
      <c r="G7" s="9">
        <f>C7</f>
        <v>2456300</v>
      </c>
      <c r="H7" s="12">
        <v>66</v>
      </c>
    </row>
    <row r="8" spans="1:12">
      <c r="A8" s="42"/>
      <c r="B8" s="5" t="s">
        <v>6</v>
      </c>
      <c r="C8" s="6">
        <v>1228150</v>
      </c>
      <c r="D8" s="5">
        <v>33</v>
      </c>
      <c r="F8" s="15" t="s">
        <v>12</v>
      </c>
      <c r="G8" s="16">
        <f>C8</f>
        <v>1228150</v>
      </c>
      <c r="H8" s="15">
        <v>33</v>
      </c>
      <c r="I8" s="1"/>
    </row>
    <row r="9" spans="1:12">
      <c r="A9" s="42"/>
      <c r="B9" s="5" t="s">
        <v>2</v>
      </c>
      <c r="C9" s="6">
        <v>2456300</v>
      </c>
      <c r="D9" s="5">
        <v>66</v>
      </c>
      <c r="F9" s="43" t="s">
        <v>11</v>
      </c>
      <c r="G9" s="40">
        <f t="shared" ref="G9:G13" si="0">C9+C10</f>
        <v>3684450</v>
      </c>
      <c r="H9" s="41">
        <v>99</v>
      </c>
      <c r="I9" s="1" t="s">
        <v>14</v>
      </c>
      <c r="J9" s="19">
        <f>+D8+D12+D16+D21</f>
        <v>496.43</v>
      </c>
      <c r="K9" s="2">
        <f>+C8+C12+C16+C21</f>
        <v>18978150</v>
      </c>
    </row>
    <row r="10" spans="1:12">
      <c r="A10" s="42"/>
      <c r="B10" s="5" t="s">
        <v>3</v>
      </c>
      <c r="C10" s="6">
        <v>1228150</v>
      </c>
      <c r="D10" s="5">
        <v>33</v>
      </c>
      <c r="F10" s="44"/>
      <c r="G10" s="40"/>
      <c r="H10" s="41"/>
      <c r="L10" s="2"/>
    </row>
    <row r="11" spans="1:12">
      <c r="A11" s="42">
        <v>45457</v>
      </c>
      <c r="B11" s="13" t="s">
        <v>5</v>
      </c>
      <c r="C11" s="14">
        <v>3000000</v>
      </c>
      <c r="D11" s="13">
        <v>80</v>
      </c>
      <c r="F11" s="47" t="s">
        <v>12</v>
      </c>
      <c r="G11" s="46">
        <f t="shared" si="0"/>
        <v>4500000</v>
      </c>
      <c r="H11" s="45">
        <v>120</v>
      </c>
      <c r="I11" s="18"/>
    </row>
    <row r="12" spans="1:12">
      <c r="A12" s="42"/>
      <c r="B12" s="5" t="s">
        <v>6</v>
      </c>
      <c r="C12" s="6">
        <v>1500000</v>
      </c>
      <c r="D12" s="5">
        <v>40</v>
      </c>
      <c r="F12" s="48"/>
      <c r="G12" s="46"/>
      <c r="H12" s="45"/>
      <c r="I12" s="1" t="s">
        <v>15</v>
      </c>
      <c r="J12" s="19">
        <f>+D4</f>
        <v>617.74</v>
      </c>
      <c r="K12" s="2">
        <f>+C4</f>
        <v>23000000</v>
      </c>
    </row>
    <row r="13" spans="1:12">
      <c r="A13" s="42"/>
      <c r="B13" s="5" t="s">
        <v>2</v>
      </c>
      <c r="C13" s="6">
        <v>3000000</v>
      </c>
      <c r="D13" s="5">
        <v>80</v>
      </c>
      <c r="F13" s="43" t="s">
        <v>11</v>
      </c>
      <c r="G13" s="40">
        <f t="shared" si="0"/>
        <v>4500000</v>
      </c>
      <c r="H13" s="41">
        <v>120</v>
      </c>
    </row>
    <row r="14" spans="1:12">
      <c r="A14" s="42"/>
      <c r="B14" s="5" t="s">
        <v>3</v>
      </c>
      <c r="C14" s="6">
        <v>1500000</v>
      </c>
      <c r="D14" s="5">
        <v>40</v>
      </c>
      <c r="F14" s="44"/>
      <c r="G14" s="40"/>
      <c r="H14" s="41"/>
    </row>
    <row r="15" spans="1:12">
      <c r="A15" s="42">
        <v>45636</v>
      </c>
      <c r="B15" s="7" t="s">
        <v>0</v>
      </c>
      <c r="C15" s="8">
        <v>2500000</v>
      </c>
      <c r="D15" s="7">
        <v>65.16</v>
      </c>
      <c r="F15" s="12" t="s">
        <v>8</v>
      </c>
      <c r="G15" s="8">
        <f>C15</f>
        <v>2500000</v>
      </c>
      <c r="H15" s="12">
        <v>65.16</v>
      </c>
    </row>
    <row r="16" spans="1:12">
      <c r="A16" s="42"/>
      <c r="B16" s="5" t="s">
        <v>6</v>
      </c>
      <c r="C16" s="6">
        <v>1250000</v>
      </c>
      <c r="D16" s="5">
        <v>32.58</v>
      </c>
      <c r="F16" s="15" t="s">
        <v>12</v>
      </c>
      <c r="G16" s="14">
        <f>C16</f>
        <v>1250000</v>
      </c>
      <c r="H16" s="15">
        <v>32.58</v>
      </c>
    </row>
    <row r="17" spans="1:8">
      <c r="A17" s="42"/>
      <c r="B17" s="5" t="s">
        <v>2</v>
      </c>
      <c r="C17" s="6">
        <v>2500000</v>
      </c>
      <c r="D17" s="5">
        <v>65.16</v>
      </c>
      <c r="F17" s="43" t="s">
        <v>11</v>
      </c>
      <c r="G17" s="40">
        <v>3750000</v>
      </c>
      <c r="H17" s="41">
        <f>D17+D18</f>
        <v>97.74</v>
      </c>
    </row>
    <row r="18" spans="1:8">
      <c r="A18" s="42"/>
      <c r="B18" s="5" t="s">
        <v>3</v>
      </c>
      <c r="C18" s="6">
        <v>1250000</v>
      </c>
      <c r="D18" s="5">
        <v>32.58</v>
      </c>
      <c r="F18" s="44"/>
      <c r="G18" s="40"/>
      <c r="H18" s="41"/>
    </row>
    <row r="19" spans="1:8">
      <c r="A19" s="42">
        <v>45691</v>
      </c>
      <c r="B19" s="7" t="s">
        <v>0</v>
      </c>
      <c r="C19" s="8">
        <v>26000000</v>
      </c>
      <c r="D19" s="7">
        <v>677.48</v>
      </c>
      <c r="F19" s="12" t="s">
        <v>8</v>
      </c>
      <c r="G19" s="8">
        <f>C19</f>
        <v>26000000</v>
      </c>
      <c r="H19" s="7">
        <f>D19</f>
        <v>677.48</v>
      </c>
    </row>
    <row r="20" spans="1:8">
      <c r="A20" s="42"/>
      <c r="B20" s="13" t="s">
        <v>5</v>
      </c>
      <c r="C20" s="14">
        <v>4000000</v>
      </c>
      <c r="D20" s="13">
        <v>104.22</v>
      </c>
      <c r="F20" s="45" t="s">
        <v>12</v>
      </c>
      <c r="G20" s="46">
        <f>C20+C21</f>
        <v>19000000</v>
      </c>
      <c r="H20" s="45">
        <f>D20+D21</f>
        <v>495.07000000000005</v>
      </c>
    </row>
    <row r="21" spans="1:8">
      <c r="A21" s="42"/>
      <c r="B21" s="5" t="s">
        <v>6</v>
      </c>
      <c r="C21" s="6">
        <v>15000000</v>
      </c>
      <c r="D21" s="5">
        <v>390.85</v>
      </c>
      <c r="F21" s="45"/>
      <c r="G21" s="46"/>
      <c r="H21" s="45"/>
    </row>
    <row r="22" spans="1:8">
      <c r="A22" s="42"/>
      <c r="B22" s="5" t="s">
        <v>2</v>
      </c>
      <c r="C22" s="6">
        <v>30000000</v>
      </c>
      <c r="D22" s="5">
        <v>781.7</v>
      </c>
      <c r="F22" s="41" t="s">
        <v>11</v>
      </c>
      <c r="G22" s="40">
        <f>C22+C23</f>
        <v>45000000</v>
      </c>
      <c r="H22" s="41">
        <f>D22+D23</f>
        <v>1172.5500000000002</v>
      </c>
    </row>
    <row r="23" spans="1:8">
      <c r="A23" s="42"/>
      <c r="B23" s="5" t="s">
        <v>3</v>
      </c>
      <c r="C23" s="6">
        <v>15000000</v>
      </c>
      <c r="D23" s="5">
        <v>390.85</v>
      </c>
      <c r="F23" s="41"/>
      <c r="G23" s="40"/>
      <c r="H23" s="41"/>
    </row>
  </sheetData>
  <mergeCells count="30">
    <mergeCell ref="B2:C2"/>
    <mergeCell ref="G3:G4"/>
    <mergeCell ref="G5:G6"/>
    <mergeCell ref="H11:H12"/>
    <mergeCell ref="A3:A6"/>
    <mergeCell ref="H3:H4"/>
    <mergeCell ref="H5:H6"/>
    <mergeCell ref="F3:F4"/>
    <mergeCell ref="F5:F6"/>
    <mergeCell ref="H13:H14"/>
    <mergeCell ref="A7:A10"/>
    <mergeCell ref="G9:G10"/>
    <mergeCell ref="H9:H10"/>
    <mergeCell ref="A11:A14"/>
    <mergeCell ref="F11:F12"/>
    <mergeCell ref="F13:F14"/>
    <mergeCell ref="G11:G12"/>
    <mergeCell ref="G13:G14"/>
    <mergeCell ref="F9:F10"/>
    <mergeCell ref="G22:G23"/>
    <mergeCell ref="H22:H23"/>
    <mergeCell ref="A15:A18"/>
    <mergeCell ref="F17:F18"/>
    <mergeCell ref="G17:G18"/>
    <mergeCell ref="H17:H18"/>
    <mergeCell ref="A19:A23"/>
    <mergeCell ref="F22:F23"/>
    <mergeCell ref="F20:F21"/>
    <mergeCell ref="G20:G21"/>
    <mergeCell ref="H20:H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12301-CE30-C340-A631-D35C91C43DA7}">
  <dimension ref="A1:I24"/>
  <sheetViews>
    <sheetView zoomScale="110" zoomScaleNormal="110" workbookViewId="0">
      <selection activeCell="C5" sqref="C5"/>
    </sheetView>
  </sheetViews>
  <sheetFormatPr defaultColWidth="11.42578125" defaultRowHeight="15"/>
  <cols>
    <col min="1" max="1" width="30" bestFit="1" customWidth="1"/>
    <col min="2" max="2" width="12.42578125" bestFit="1" customWidth="1"/>
    <col min="3" max="3" width="13.7109375" bestFit="1" customWidth="1"/>
    <col min="4" max="4" width="15.85546875" bestFit="1" customWidth="1"/>
    <col min="7" max="7" width="28.140625" bestFit="1" customWidth="1"/>
  </cols>
  <sheetData>
    <row r="1" spans="1:9">
      <c r="A1" s="1" t="s">
        <v>13</v>
      </c>
      <c r="B1" s="19">
        <f>+Hoja1!H3+Hoja1!H7+Hoja1!H15+Hoja1!H19</f>
        <v>2661.86</v>
      </c>
      <c r="C1" s="19">
        <f>+Hoja1!G3+Hoja1!G7+Hoja1!G15+Hoja1!G19</f>
        <v>99956300</v>
      </c>
    </row>
    <row r="3" spans="1:9">
      <c r="A3" t="s">
        <v>18</v>
      </c>
    </row>
    <row r="4" spans="1:9">
      <c r="A4" s="1" t="s">
        <v>19</v>
      </c>
      <c r="B4" t="s">
        <v>22</v>
      </c>
      <c r="C4" s="21" t="s">
        <v>23</v>
      </c>
      <c r="D4" t="s">
        <v>20</v>
      </c>
      <c r="E4" t="s">
        <v>21</v>
      </c>
    </row>
    <row r="5" spans="1:9">
      <c r="A5" s="23">
        <v>45863</v>
      </c>
      <c r="B5" s="28">
        <v>39209.42</v>
      </c>
      <c r="C5" s="24">
        <v>25000000</v>
      </c>
      <c r="D5" s="26">
        <f>+C5/B5</f>
        <v>637.60188240478954</v>
      </c>
      <c r="E5" s="29">
        <f>+$B$1-D5</f>
        <v>2024.2581175952105</v>
      </c>
    </row>
    <row r="6" spans="1:9">
      <c r="A6" s="23">
        <v>45903</v>
      </c>
      <c r="B6" s="28">
        <v>39417.24</v>
      </c>
      <c r="C6" s="24">
        <v>10000000</v>
      </c>
      <c r="D6" s="26">
        <f t="shared" ref="D6:D11" si="0">+C6/B6</f>
        <v>253.69609845844104</v>
      </c>
      <c r="E6" s="29">
        <f t="shared" ref="E6:E11" si="1">+E5-D6</f>
        <v>1770.5620191367693</v>
      </c>
    </row>
    <row r="7" spans="1:9">
      <c r="A7" s="23">
        <v>45965</v>
      </c>
      <c r="B7" s="28">
        <v>39618.080000000002</v>
      </c>
      <c r="C7" s="24">
        <v>10000000</v>
      </c>
      <c r="D7" s="26">
        <f t="shared" si="0"/>
        <v>252.41001078295565</v>
      </c>
      <c r="E7" s="29">
        <f t="shared" si="1"/>
        <v>1518.1520083538137</v>
      </c>
    </row>
    <row r="8" spans="1:9">
      <c r="A8" s="23">
        <v>45996</v>
      </c>
      <c r="B8" s="28">
        <v>39643.589999999997</v>
      </c>
      <c r="C8" s="24">
        <v>6000000</v>
      </c>
      <c r="D8" s="30">
        <f t="shared" si="0"/>
        <v>151.3485534483633</v>
      </c>
      <c r="E8" s="29">
        <f t="shared" si="1"/>
        <v>1366.8034549054505</v>
      </c>
    </row>
    <row r="9" spans="1:9">
      <c r="A9" s="23">
        <v>46038</v>
      </c>
      <c r="B9" s="28">
        <v>39744.550000000003</v>
      </c>
      <c r="C9" s="24">
        <v>10689225</v>
      </c>
      <c r="D9" s="30">
        <f t="shared" si="0"/>
        <v>268.94819541295595</v>
      </c>
      <c r="E9" s="29">
        <f t="shared" si="1"/>
        <v>1097.8552594924945</v>
      </c>
      <c r="I9" s="21"/>
    </row>
    <row r="10" spans="1:9">
      <c r="A10" s="23">
        <v>46084</v>
      </c>
      <c r="B10" s="25">
        <v>39807.65</v>
      </c>
      <c r="C10" s="24">
        <v>7500000</v>
      </c>
      <c r="D10" s="30">
        <f t="shared" si="0"/>
        <v>188.40599733970731</v>
      </c>
      <c r="E10" s="29">
        <f t="shared" si="1"/>
        <v>909.44926215278724</v>
      </c>
      <c r="I10" s="21"/>
    </row>
    <row r="11" spans="1:9">
      <c r="A11" s="23">
        <v>46133</v>
      </c>
      <c r="B11" s="25">
        <v>40000.61</v>
      </c>
      <c r="C11" s="24">
        <v>36367355</v>
      </c>
      <c r="D11" s="30">
        <f t="shared" si="0"/>
        <v>909.17001015734513</v>
      </c>
      <c r="E11" s="29">
        <f t="shared" si="1"/>
        <v>0.27925199544210955</v>
      </c>
      <c r="I11" s="21"/>
    </row>
    <row r="13" spans="1:9">
      <c r="C13" s="21"/>
      <c r="I13" s="2"/>
    </row>
    <row r="14" spans="1:9">
      <c r="A14" s="1"/>
      <c r="C14" s="21"/>
    </row>
    <row r="15" spans="1:9">
      <c r="A15" s="1"/>
      <c r="B15" s="20"/>
      <c r="C15" s="21"/>
    </row>
    <row r="16" spans="1:9">
      <c r="A16" s="1"/>
      <c r="C16" s="21"/>
      <c r="E16" s="21"/>
    </row>
    <row r="17" spans="1:3">
      <c r="A17" s="1"/>
      <c r="C17" s="21"/>
    </row>
    <row r="18" spans="1:3">
      <c r="C18" s="21"/>
    </row>
    <row r="23" spans="1:3">
      <c r="C23" s="2"/>
    </row>
    <row r="24" spans="1:3">
      <c r="C24" s="2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C14E4-FB6D-6049-BCDF-A95B93A19B50}">
  <dimension ref="A1:E9"/>
  <sheetViews>
    <sheetView workbookViewId="0">
      <selection activeCell="D6" sqref="D6"/>
    </sheetView>
  </sheetViews>
  <sheetFormatPr defaultColWidth="11.42578125" defaultRowHeight="15"/>
  <cols>
    <col min="1" max="1" width="34.140625" customWidth="1"/>
    <col min="3" max="3" width="12.28515625" style="21" bestFit="1" customWidth="1"/>
  </cols>
  <sheetData>
    <row r="1" spans="1:5">
      <c r="A1" s="1" t="s">
        <v>16</v>
      </c>
      <c r="B1" s="19">
        <f>+Hoja1!H8+Hoja1!H11+Hoja1!H16+Hoja1!H20</f>
        <v>680.65000000000009</v>
      </c>
      <c r="C1" s="21">
        <f>+Hoja1!G8+Hoja1!G11+Hoja1!G16+Hoja1!G20</f>
        <v>25978150</v>
      </c>
    </row>
    <row r="3" spans="1:5">
      <c r="A3" t="s">
        <v>18</v>
      </c>
    </row>
    <row r="4" spans="1:5">
      <c r="A4" s="1" t="s">
        <v>19</v>
      </c>
      <c r="B4" t="s">
        <v>22</v>
      </c>
      <c r="C4" s="21" t="s">
        <v>23</v>
      </c>
      <c r="D4" t="s">
        <v>20</v>
      </c>
      <c r="E4" t="s">
        <v>21</v>
      </c>
    </row>
    <row r="5" spans="1:5">
      <c r="A5" s="33" t="s">
        <v>25</v>
      </c>
      <c r="B5" s="34">
        <v>39194.21</v>
      </c>
      <c r="C5" s="31">
        <v>-12500000</v>
      </c>
      <c r="D5" s="5">
        <f>+C5/B5</f>
        <v>-318.92465749405335</v>
      </c>
      <c r="E5" s="35">
        <f>+B1+D5</f>
        <v>361.72534250594674</v>
      </c>
    </row>
    <row r="6" spans="1:5">
      <c r="A6" s="33" t="s">
        <v>26</v>
      </c>
      <c r="B6" s="34">
        <v>39417.24</v>
      </c>
      <c r="C6" s="32">
        <v>-5000000</v>
      </c>
      <c r="D6" s="5">
        <f t="shared" ref="D6:D9" si="0">+C6/B6</f>
        <v>-126.84804922922052</v>
      </c>
      <c r="E6" s="35">
        <f>+E5+D6</f>
        <v>234.87729327672622</v>
      </c>
    </row>
    <row r="7" spans="1:5">
      <c r="A7" s="36" t="s">
        <v>27</v>
      </c>
      <c r="B7" s="34">
        <v>39612.97</v>
      </c>
      <c r="C7" s="37">
        <v>-5000000</v>
      </c>
      <c r="D7" s="5">
        <f t="shared" si="0"/>
        <v>-126.22128560418469</v>
      </c>
      <c r="E7" s="35">
        <f t="shared" ref="E7:E9" si="1">+E6+D7</f>
        <v>108.65600767254153</v>
      </c>
    </row>
    <row r="8" spans="1:5">
      <c r="A8" s="36" t="s">
        <v>28</v>
      </c>
      <c r="B8" s="38">
        <v>39643.589999999997</v>
      </c>
      <c r="C8" s="37">
        <v>-3000000</v>
      </c>
      <c r="D8" s="5">
        <f t="shared" si="0"/>
        <v>-75.674276724181652</v>
      </c>
      <c r="E8" s="35">
        <f t="shared" si="1"/>
        <v>32.981730948359882</v>
      </c>
    </row>
    <row r="9" spans="1:5">
      <c r="A9" s="36" t="s">
        <v>29</v>
      </c>
      <c r="B9" s="39">
        <v>39744.550000000003</v>
      </c>
      <c r="C9" s="37">
        <v>-1310775.2590000001</v>
      </c>
      <c r="D9" s="5">
        <f t="shared" si="0"/>
        <v>-32.979999999999997</v>
      </c>
      <c r="E9" s="35">
        <f t="shared" si="1"/>
        <v>1.7309483598850761E-3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AF7E1-B23D-2549-9760-411ABC490502}">
  <dimension ref="A1:E40"/>
  <sheetViews>
    <sheetView workbookViewId="0">
      <selection activeCell="G4" sqref="G4"/>
    </sheetView>
  </sheetViews>
  <sheetFormatPr defaultColWidth="11.42578125" defaultRowHeight="15"/>
  <cols>
    <col min="1" max="1" width="22.42578125" customWidth="1"/>
    <col min="2" max="2" width="11.85546875" bestFit="1" customWidth="1"/>
    <col min="3" max="3" width="13.28515625" bestFit="1" customWidth="1"/>
    <col min="7" max="7" width="13.140625" bestFit="1" customWidth="1"/>
  </cols>
  <sheetData>
    <row r="1" spans="1:5">
      <c r="A1" s="1" t="s">
        <v>14</v>
      </c>
      <c r="B1" s="19">
        <f>+Hoja1!D8+Hoja1!D12+Hoja1!D16+Hoja1!D21</f>
        <v>496.43</v>
      </c>
      <c r="C1" s="18">
        <f>+Hoja1!C8+Hoja1!C12+Hoja1!C16+Hoja1!C21</f>
        <v>18978150</v>
      </c>
    </row>
    <row r="3" spans="1:5">
      <c r="A3" t="s">
        <v>18</v>
      </c>
    </row>
    <row r="4" spans="1:5">
      <c r="A4" s="1" t="s">
        <v>19</v>
      </c>
      <c r="B4" t="s">
        <v>17</v>
      </c>
      <c r="C4" t="s">
        <v>24</v>
      </c>
      <c r="D4" t="s">
        <v>20</v>
      </c>
      <c r="E4" t="s">
        <v>21</v>
      </c>
    </row>
    <row r="5" spans="1:5">
      <c r="A5" s="23">
        <v>45863</v>
      </c>
      <c r="B5" s="24">
        <v>5000000</v>
      </c>
      <c r="C5" s="25">
        <v>39209.42</v>
      </c>
      <c r="D5" s="26">
        <f t="shared" ref="D5:D11" si="0">+B5/C5</f>
        <v>127.52037648095789</v>
      </c>
      <c r="E5" s="26">
        <f>+B1-D5</f>
        <v>368.9096235190421</v>
      </c>
    </row>
    <row r="6" spans="1:5">
      <c r="A6" s="23">
        <v>45865</v>
      </c>
      <c r="B6" s="24">
        <v>5000000</v>
      </c>
      <c r="C6" s="25">
        <v>39199.279999999999</v>
      </c>
      <c r="D6" s="26">
        <f t="shared" si="0"/>
        <v>127.55336322503884</v>
      </c>
      <c r="E6" s="26">
        <f>+E5-D6</f>
        <v>241.35626029400328</v>
      </c>
    </row>
    <row r="7" spans="1:5">
      <c r="A7" s="23">
        <v>45866</v>
      </c>
      <c r="B7" s="24">
        <v>2500000</v>
      </c>
      <c r="C7" s="25">
        <v>39194.21</v>
      </c>
      <c r="D7" s="26">
        <f t="shared" si="0"/>
        <v>63.784931498810664</v>
      </c>
      <c r="E7" s="26">
        <f t="shared" ref="E7:E11" si="1">+E6-D7</f>
        <v>177.57132879519261</v>
      </c>
    </row>
    <row r="8" spans="1:5">
      <c r="A8" s="23">
        <v>45903</v>
      </c>
      <c r="B8" s="24">
        <v>5000000</v>
      </c>
      <c r="C8" s="25">
        <v>39417.24</v>
      </c>
      <c r="D8" s="26">
        <f t="shared" si="0"/>
        <v>126.84804922922052</v>
      </c>
      <c r="E8" s="26">
        <f t="shared" si="1"/>
        <v>50.723279565972092</v>
      </c>
    </row>
    <row r="9" spans="1:5">
      <c r="A9" s="23">
        <v>45965</v>
      </c>
      <c r="B9" s="24">
        <v>5000000</v>
      </c>
      <c r="C9" s="25">
        <v>39618.080000000002</v>
      </c>
      <c r="D9" s="26">
        <f t="shared" si="0"/>
        <v>126.20500539147783</v>
      </c>
      <c r="E9" s="26">
        <f t="shared" si="1"/>
        <v>-75.481725825505734</v>
      </c>
    </row>
    <row r="10" spans="1:5">
      <c r="A10" s="23">
        <v>45996</v>
      </c>
      <c r="B10" s="24">
        <v>3000000</v>
      </c>
      <c r="C10" s="25">
        <v>39643.589999999997</v>
      </c>
      <c r="D10" s="26">
        <f t="shared" si="0"/>
        <v>75.674276724181652</v>
      </c>
      <c r="E10" s="26">
        <f t="shared" si="1"/>
        <v>-151.1560025496874</v>
      </c>
    </row>
    <row r="11" spans="1:5">
      <c r="A11" s="23">
        <v>46038</v>
      </c>
      <c r="B11" s="24">
        <v>1310775</v>
      </c>
      <c r="C11" s="25">
        <v>39744.550000000003</v>
      </c>
      <c r="D11" s="26">
        <f t="shared" si="0"/>
        <v>32.979993483383254</v>
      </c>
      <c r="E11" s="26">
        <f t="shared" si="1"/>
        <v>-184.13599603307065</v>
      </c>
    </row>
    <row r="13" spans="1:5">
      <c r="B13" s="21"/>
    </row>
    <row r="14" spans="1:5">
      <c r="B14" s="21"/>
    </row>
    <row r="15" spans="1:5">
      <c r="B15" s="21"/>
    </row>
    <row r="16" spans="1:5">
      <c r="B16" s="21"/>
    </row>
    <row r="17" spans="2:2">
      <c r="B17" s="21"/>
    </row>
    <row r="18" spans="2:2">
      <c r="B18" s="21"/>
    </row>
    <row r="19" spans="2:2">
      <c r="B19" s="21"/>
    </row>
    <row r="20" spans="2:2">
      <c r="B20" s="21"/>
    </row>
    <row r="21" spans="2:2">
      <c r="B21" s="21"/>
    </row>
    <row r="22" spans="2:2">
      <c r="B22" s="21"/>
    </row>
    <row r="23" spans="2:2">
      <c r="B23" s="21"/>
    </row>
    <row r="24" spans="2:2">
      <c r="B24" s="21"/>
    </row>
    <row r="25" spans="2:2">
      <c r="B25" s="21"/>
    </row>
    <row r="26" spans="2:2">
      <c r="B26" s="21"/>
    </row>
    <row r="27" spans="2:2">
      <c r="B27" s="21"/>
    </row>
    <row r="28" spans="2:2">
      <c r="B28" s="21"/>
    </row>
    <row r="29" spans="2:2">
      <c r="B29" s="21"/>
    </row>
    <row r="30" spans="2:2">
      <c r="B30" s="21"/>
    </row>
    <row r="31" spans="2:2">
      <c r="B31" s="21"/>
    </row>
    <row r="32" spans="2:2">
      <c r="B32" s="21"/>
    </row>
    <row r="33" spans="2:2">
      <c r="B33" s="21"/>
    </row>
    <row r="34" spans="2:2">
      <c r="B34" s="21"/>
    </row>
    <row r="35" spans="2:2">
      <c r="B35" s="21"/>
    </row>
    <row r="36" spans="2:2">
      <c r="B36" s="21"/>
    </row>
    <row r="37" spans="2:2">
      <c r="B37" s="21"/>
    </row>
    <row r="38" spans="2:2">
      <c r="B38" s="21"/>
    </row>
    <row r="39" spans="2:2">
      <c r="B39" s="21"/>
    </row>
    <row r="40" spans="2:2">
      <c r="B40" s="2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50D24-C028-4E45-B8DD-47FEC5676026}">
  <dimension ref="A1:E11"/>
  <sheetViews>
    <sheetView tabSelected="1" workbookViewId="0">
      <selection activeCell="E7" sqref="E7"/>
    </sheetView>
  </sheetViews>
  <sheetFormatPr defaultColWidth="11.42578125" defaultRowHeight="15"/>
  <cols>
    <col min="1" max="1" width="17.140625" bestFit="1" customWidth="1"/>
    <col min="2" max="2" width="11.85546875" bestFit="1" customWidth="1"/>
    <col min="3" max="3" width="13.28515625" bestFit="1" customWidth="1"/>
  </cols>
  <sheetData>
    <row r="1" spans="1:5">
      <c r="A1" s="1" t="s">
        <v>15</v>
      </c>
      <c r="B1" s="19">
        <f>+Hoja1!J12</f>
        <v>617.74</v>
      </c>
      <c r="C1" s="19">
        <f>+Hoja1!K12</f>
        <v>23000000</v>
      </c>
    </row>
    <row r="3" spans="1:5">
      <c r="A3" t="s">
        <v>18</v>
      </c>
    </row>
    <row r="4" spans="1:5">
      <c r="A4" s="1" t="s">
        <v>19</v>
      </c>
      <c r="B4" t="s">
        <v>17</v>
      </c>
      <c r="C4" t="s">
        <v>24</v>
      </c>
      <c r="D4" t="s">
        <v>20</v>
      </c>
      <c r="E4" t="s">
        <v>21</v>
      </c>
    </row>
    <row r="5" spans="1:5">
      <c r="A5" s="23">
        <v>46038</v>
      </c>
      <c r="B5" s="24">
        <v>2689225</v>
      </c>
      <c r="C5" s="27">
        <v>39744.550000000003</v>
      </c>
      <c r="D5" s="26">
        <f>+B5/C5</f>
        <v>67.66273614872982</v>
      </c>
      <c r="E5" s="26">
        <f>+B1-D5</f>
        <v>550.07726385127023</v>
      </c>
    </row>
    <row r="6" spans="1:5">
      <c r="A6" s="23">
        <v>46084</v>
      </c>
      <c r="B6" s="24">
        <v>2500000</v>
      </c>
      <c r="C6" s="25">
        <v>39807.65</v>
      </c>
      <c r="D6" s="26">
        <f>+B6/C6</f>
        <v>62.801999113235773</v>
      </c>
      <c r="E6" s="26">
        <f>+E5-D6</f>
        <v>487.27526473803448</v>
      </c>
    </row>
    <row r="7" spans="1:5">
      <c r="A7" s="23">
        <v>46133</v>
      </c>
      <c r="B7" s="24">
        <v>12122452</v>
      </c>
      <c r="C7" s="25">
        <v>40000.61</v>
      </c>
      <c r="D7" s="26">
        <f>+B7/C7</f>
        <v>303.05667838565461</v>
      </c>
      <c r="E7" s="26">
        <f>+E6-D7</f>
        <v>184.21858635237987</v>
      </c>
    </row>
    <row r="9" spans="1:5">
      <c r="D9" s="22"/>
    </row>
    <row r="10" spans="1:5">
      <c r="D10" s="22"/>
    </row>
    <row r="11" spans="1:5">
      <c r="B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Hoja1</vt:lpstr>
      <vt:lpstr>Dev Chilcos JOPA</vt:lpstr>
      <vt:lpstr>Dev Chilcos JMP</vt:lpstr>
      <vt:lpstr>Dev JMP FHB</vt:lpstr>
      <vt:lpstr>Dev JOPA FHB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Hiriart</dc:creator>
  <cp:lastModifiedBy>Pedro Lecaros</cp:lastModifiedBy>
  <dcterms:created xsi:type="dcterms:W3CDTF">2025-03-07T16:49:08Z</dcterms:created>
  <dcterms:modified xsi:type="dcterms:W3CDTF">2026-04-22T20:21:44Z</dcterms:modified>
</cp:coreProperties>
</file>
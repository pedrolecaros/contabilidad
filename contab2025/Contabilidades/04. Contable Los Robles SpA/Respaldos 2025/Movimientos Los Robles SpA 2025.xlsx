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.shortcut-targets-by-id\1-SMUozvP3ijEuUXCZ8xvcSdgizVEpDE_\Desarrollos Ecox 2025\Contabilidades\04. Contable Los Robles SpA\Respaldos 2025\"/>
    </mc:Choice>
  </mc:AlternateContent>
  <xr:revisionPtr revIDLastSave="0" documentId="13_ncr:1_{A0CF306D-2F69-4BBD-8F7D-8EC4EE89F91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MOVIMIENTOS" sheetId="1" r:id="rId1"/>
    <sheet name="CATEGORIAS" sheetId="2" r:id="rId2"/>
    <sheet name="Resumen" sheetId="3" r:id="rId3"/>
  </sheets>
  <definedNames>
    <definedName name="_xlnm._FilterDatabase" localSheetId="0" hidden="1">MOVIMIENTOS!$A$1:$AB$335</definedName>
  </definedNames>
  <calcPr calcId="191029"/>
  <pivotCaches>
    <pivotCache cacheId="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l="1"/>
  <c r="F333" i="1" s="1"/>
  <c r="F334" i="1" s="1"/>
  <c r="F335" i="1" s="1"/>
</calcChain>
</file>

<file path=xl/sharedStrings.xml><?xml version="1.0" encoding="utf-8"?>
<sst xmlns="http://schemas.openxmlformats.org/spreadsheetml/2006/main" count="1111" uniqueCount="256">
  <si>
    <t>DETALLE</t>
  </si>
  <si>
    <t>CATEGORIA</t>
  </si>
  <si>
    <t>SUB</t>
  </si>
  <si>
    <t>SALDO</t>
  </si>
  <si>
    <t>DEPOSITO</t>
  </si>
  <si>
    <t>GIROS</t>
  </si>
  <si>
    <t>COMENTARIO</t>
  </si>
  <si>
    <t>FECHA</t>
  </si>
  <si>
    <t>SALDO ANTERIOR</t>
  </si>
  <si>
    <t>GASTOS GENERALES</t>
  </si>
  <si>
    <t>NOTARIA Y CONSERVADOR</t>
  </si>
  <si>
    <t>MANDATO</t>
  </si>
  <si>
    <t>VENTA</t>
  </si>
  <si>
    <t>SUELDO Y LEYES SOCIALES</t>
  </si>
  <si>
    <t>IMPUESTOS</t>
  </si>
  <si>
    <t>OTRO</t>
  </si>
  <si>
    <t>FONDOS MUTUOS</t>
  </si>
  <si>
    <t>RETIRO</t>
  </si>
  <si>
    <t>LINEA DE CREDITO</t>
  </si>
  <si>
    <t>CUENTA CORRIENTE MERCANTIL</t>
  </si>
  <si>
    <t>PRESTAMO</t>
  </si>
  <si>
    <t>FUTRONO</t>
  </si>
  <si>
    <t>TREGUALEMU</t>
  </si>
  <si>
    <t>PLS</t>
  </si>
  <si>
    <t>FHB</t>
  </si>
  <si>
    <t>ECOX LLC</t>
  </si>
  <si>
    <t>COLBUN</t>
  </si>
  <si>
    <t>INTERES</t>
  </si>
  <si>
    <t>AGB</t>
  </si>
  <si>
    <t>PARQUE SUR</t>
  </si>
  <si>
    <t>CERRO COLORADO</t>
  </si>
  <si>
    <t>ASESORIAS ECOX</t>
  </si>
  <si>
    <t>TEMUCO</t>
  </si>
  <si>
    <t>LOS CHILCOS</t>
  </si>
  <si>
    <t>EREF</t>
  </si>
  <si>
    <t>Traspaso De: Solange Soraya Molina</t>
  </si>
  <si>
    <t>Traspaso De: Katherine Angelica Gonzalez Reyes</t>
  </si>
  <si>
    <t>Pago En Sii.cl*</t>
  </si>
  <si>
    <t>Traspaso De: Denis Hernan Varela Castro</t>
  </si>
  <si>
    <t>Traspaso De: Viviana Isabel Molina Sotelo</t>
  </si>
  <si>
    <t>Traspaso A: Asesorias Ecox Limitada</t>
  </si>
  <si>
    <t>Pago Servicio En Internet</t>
  </si>
  <si>
    <t>Traspaso A: Carlos Andres Ocampo Bustos</t>
  </si>
  <si>
    <t>Traspaso De: Contreras Barra Jaime Rene</t>
  </si>
  <si>
    <t>Traspaso A: Felipe Andres Hiriart Blome</t>
  </si>
  <si>
    <t>servicio contable</t>
  </si>
  <si>
    <t>PARCELA</t>
  </si>
  <si>
    <t>B6 - EDUARDO ARAYA</t>
  </si>
  <si>
    <t>C4 - DENIS HERNAN VARELA</t>
  </si>
  <si>
    <t>I1 - VIVANA MOLINA</t>
  </si>
  <si>
    <t>M2 - FRANCISCO REYES</t>
  </si>
  <si>
    <t>M3 - ANDRES ALARCON</t>
  </si>
  <si>
    <t>M5 - EDGARD BURBOA</t>
  </si>
  <si>
    <t>O5 - SOLANGE SORAYA</t>
  </si>
  <si>
    <t>Cuota 1/72</t>
  </si>
  <si>
    <t>Cuota 6/72</t>
  </si>
  <si>
    <t>Cuota 8/48</t>
  </si>
  <si>
    <t>Cuota 11/60</t>
  </si>
  <si>
    <t>Publicidad</t>
  </si>
  <si>
    <t>Cuota 7/72</t>
  </si>
  <si>
    <t>Traspaso De: Frutas Y Verduras Osvald O Suarez Spa</t>
  </si>
  <si>
    <t>N3 - OSVALDO SUAREZ</t>
  </si>
  <si>
    <t>Reserva N3</t>
  </si>
  <si>
    <t>Traspaso De: Eduardo Enrique Araya Silva</t>
  </si>
  <si>
    <t>Traspaso De: Nicole Vanessa Del Rosario Isamitt Maureira</t>
  </si>
  <si>
    <t>H2 - NICOLE VANESSA ISAMITT</t>
  </si>
  <si>
    <t>Reserva H2</t>
  </si>
  <si>
    <t>Traspaso De: Constructora Burboa Spa</t>
  </si>
  <si>
    <t>Traspaso De: Yasna Paola Vidal Meza</t>
  </si>
  <si>
    <t>E9 - YASNA PAOLA VIDAL</t>
  </si>
  <si>
    <t>Reserva E9</t>
  </si>
  <si>
    <t>Traspaso A: Futrono Spa</t>
  </si>
  <si>
    <t>Reembolsa publicidad</t>
  </si>
  <si>
    <t>Cuota 2/72</t>
  </si>
  <si>
    <t>Set documentos H2</t>
  </si>
  <si>
    <t>Cuota 12/60</t>
  </si>
  <si>
    <t>Cuota 9/48</t>
  </si>
  <si>
    <t>Cuota 10/72</t>
  </si>
  <si>
    <t>Cuota 4 y 5 de 72</t>
  </si>
  <si>
    <t>Cuota 13/60</t>
  </si>
  <si>
    <t>Cuota 8/72</t>
  </si>
  <si>
    <t>Traspaso A: La Nube Fotografia Ltda</t>
  </si>
  <si>
    <t>Traspaso De: Comercial E Inversiones Jalca Spa</t>
  </si>
  <si>
    <t>Traspaso A: Benjamin Lecaros</t>
  </si>
  <si>
    <t>Traspaso A: Notaria Rieutord</t>
  </si>
  <si>
    <t>Traspaso A: German Aaron Estuardo Morales</t>
  </si>
  <si>
    <t>Comision venta parcela E-9 Yasna</t>
  </si>
  <si>
    <t>Inscripcion servidumbre sitios P</t>
  </si>
  <si>
    <t>L10 Y L11 - JALCA</t>
  </si>
  <si>
    <t>Reserva lotes L10 + L11</t>
  </si>
  <si>
    <t>Pie parcela H2</t>
  </si>
  <si>
    <t>Cuota 11/72</t>
  </si>
  <si>
    <t>Cuota 10/48</t>
  </si>
  <si>
    <t>Cuota 11/48</t>
  </si>
  <si>
    <t>Traspaso A: Lukas Alberto Freitag Del Rio</t>
  </si>
  <si>
    <t>Traspaso A: Sindy Danaee Sandoval Vega</t>
  </si>
  <si>
    <t>Pago En Tesoreria.cl*</t>
  </si>
  <si>
    <t>Contribuciones</t>
  </si>
  <si>
    <t>Comision venta parcela L10+L11</t>
  </si>
  <si>
    <t>Firma de promesa en Valdivia</t>
  </si>
  <si>
    <t>Pie parcela L10</t>
  </si>
  <si>
    <t>Pie parcela L11</t>
  </si>
  <si>
    <t>Traspaso De: Futrono Spa</t>
  </si>
  <si>
    <t>Cuota 12/72</t>
  </si>
  <si>
    <t>Cuota 9/72</t>
  </si>
  <si>
    <t>E7 - NATALIA / JAIME CONTRERAS</t>
  </si>
  <si>
    <t>Cuota 3/72</t>
  </si>
  <si>
    <t>Cuota 4/72</t>
  </si>
  <si>
    <t>Pie Parcela E9</t>
  </si>
  <si>
    <t>Cuota 12/48</t>
  </si>
  <si>
    <t>Cuota 14/60</t>
  </si>
  <si>
    <t>Cuota 15/60</t>
  </si>
  <si>
    <t>Traspaso A: Ingeacme Alvaro Acuna</t>
  </si>
  <si>
    <t>Traspaso A: Hector Varela Cta Con Capacidad</t>
  </si>
  <si>
    <t>Factura 704</t>
  </si>
  <si>
    <t>Cuota 13/72</t>
  </si>
  <si>
    <t>Cuota 5/72</t>
  </si>
  <si>
    <t>Cuota 16/60</t>
  </si>
  <si>
    <t>Traspaso De: Lopez Carreno Eduardo Antonio</t>
  </si>
  <si>
    <t>Traspaso A: Maria Paz Amenabar</t>
  </si>
  <si>
    <t>Dep.cheq.otros Bancos N° 5473928</t>
  </si>
  <si>
    <t>Reservar M8</t>
  </si>
  <si>
    <t>Pago parcela M2 Francisco Reyes</t>
  </si>
  <si>
    <t>Foto poder banco estado</t>
  </si>
  <si>
    <t>Docs con vigencia CBRS</t>
  </si>
  <si>
    <t>Pago: Santander 0774601414</t>
  </si>
  <si>
    <t>Traspaso A: Paulina Patricia Schmidt</t>
  </si>
  <si>
    <t>Reembolsa descuento parcela M2</t>
  </si>
  <si>
    <t>Honorario dividendo 4</t>
  </si>
  <si>
    <t>Honorario dividendo 3</t>
  </si>
  <si>
    <t>Traspaso De: Cristian Pablo Vidal Suarez</t>
  </si>
  <si>
    <t>Reserva J5</t>
  </si>
  <si>
    <t>J5 - CRISTIAN VIDAL SUAREZ</t>
  </si>
  <si>
    <t>Traspaso A: Inversionsur Spa</t>
  </si>
  <si>
    <t>Traspaso De: Tobar Martinez Armando Luis</t>
  </si>
  <si>
    <t>Reserva H1</t>
  </si>
  <si>
    <t>Comision venta J5</t>
  </si>
  <si>
    <t>Solicitud CBR</t>
  </si>
  <si>
    <t>envio documentos</t>
  </si>
  <si>
    <t>Pago Instituciones Previsionales</t>
  </si>
  <si>
    <t>Traspaso A: Apr Nontuela Alto</t>
  </si>
  <si>
    <t>Traspaso A 96571220-8 Fmu</t>
  </si>
  <si>
    <t>Dep.cheq.otros Bancos N° 1271698</t>
  </si>
  <si>
    <t>contabilidad</t>
  </si>
  <si>
    <t>Reembolsa gastos</t>
  </si>
  <si>
    <t>Previred</t>
  </si>
  <si>
    <t>Servidumbre O1</t>
  </si>
  <si>
    <t>APR nontuela</t>
  </si>
  <si>
    <t>Venta parcela H1 Armando Tobar</t>
  </si>
  <si>
    <t>Asesoria venta H1</t>
  </si>
  <si>
    <t>Reembolsa gastos (cuenta de luz cara por problema de medidores reventados)</t>
  </si>
  <si>
    <t>Reembolso publicidad</t>
  </si>
  <si>
    <t>Gasto en publicidad</t>
  </si>
  <si>
    <t>F29</t>
  </si>
  <si>
    <t>Aporte A Fondo Mutuo</t>
  </si>
  <si>
    <t>Cuota 14/72</t>
  </si>
  <si>
    <t>Cuota 15/72</t>
  </si>
  <si>
    <t>Cuota 16/72</t>
  </si>
  <si>
    <t>Cuota 13/48</t>
  </si>
  <si>
    <t>Cuota 14/48</t>
  </si>
  <si>
    <t>Cuota 15/48</t>
  </si>
  <si>
    <t>Cuota 1/12</t>
  </si>
  <si>
    <t>Comienza plan de pago para ponerse al dia con las cuotas Cuota 6 y 7  de 72</t>
  </si>
  <si>
    <t>Cuota 17/60</t>
  </si>
  <si>
    <t>Cuota 18/60</t>
  </si>
  <si>
    <t>Traspaso A: Juan Carlos Abarca</t>
  </si>
  <si>
    <t>Pago: Proveedores 0795464301</t>
  </si>
  <si>
    <t>Pago: Inversiones 0965712208</t>
  </si>
  <si>
    <t>Parcela F-4 Macal</t>
  </si>
  <si>
    <t>Escritura CV Los Robles - Futrono</t>
  </si>
  <si>
    <t>Honorarios dividendo 5</t>
  </si>
  <si>
    <t>Row Labels</t>
  </si>
  <si>
    <t>(blank)</t>
  </si>
  <si>
    <t>Grand Total</t>
  </si>
  <si>
    <t>Sum of DEPOSITO</t>
  </si>
  <si>
    <t>Sum of GIROS</t>
  </si>
  <si>
    <t>Patente municipal</t>
  </si>
  <si>
    <t>Se va pagando deuda existente</t>
  </si>
  <si>
    <t>Traspaso De: Katherine Angelica Gonzalez Gonzalez</t>
  </si>
  <si>
    <t>Traspaso De: Catalina Belen Lorca Lopez</t>
  </si>
  <si>
    <t>Deposito En Efectivo N° 1192812</t>
  </si>
  <si>
    <t>Traspaso A: Jorge Ignacio Troncoso Vidal</t>
  </si>
  <si>
    <t>Traspaso De: Matias Antonio Donoso Wright</t>
  </si>
  <si>
    <t>CBR</t>
  </si>
  <si>
    <t>Pie parcela M10</t>
  </si>
  <si>
    <t>Asesoria venta M10</t>
  </si>
  <si>
    <t>Venta parcela i-2</t>
  </si>
  <si>
    <t>Firma valdivia</t>
  </si>
  <si>
    <t>Traspaso De: Varela Torres Hector Hernan</t>
  </si>
  <si>
    <t>Traspaso De: Isaias Andres Yanez Yanez</t>
  </si>
  <si>
    <t>Traspaso De: Reina Mar Spa</t>
  </si>
  <si>
    <t>Traspaso De: Jose De Jesus Urra Videla</t>
  </si>
  <si>
    <t>Cuota 1 de 48 (parte 1 de 2)</t>
  </si>
  <si>
    <t>Cuota 1 de 48 (parte 2 de 2)</t>
  </si>
  <si>
    <t>Reembolsa gastos generales</t>
  </si>
  <si>
    <t>A1 - ISAIAS ANDRES</t>
  </si>
  <si>
    <t>A5 - JOSE DE JESUS</t>
  </si>
  <si>
    <t>B1 - FRANCISCO SANDOVAL - REINA MAR</t>
  </si>
  <si>
    <t>E6 - MATIAS DONOSO</t>
  </si>
  <si>
    <t>I2 - HECTOR VARELA NANCHO</t>
  </si>
  <si>
    <t>Cuota 31 de 48</t>
  </si>
  <si>
    <t>Corresponde a cuota parcela A1 Cuota 30 de 48</t>
  </si>
  <si>
    <t>Corresponde a cuota parcela E6 cuota 29/48</t>
  </si>
  <si>
    <t>Cuota 30/48</t>
  </si>
  <si>
    <t>Corresponde a cuota parcela B1, cuota 27/36</t>
  </si>
  <si>
    <t>cuota 28/36</t>
  </si>
  <si>
    <t>Corresponde a cuota parcela A5, cuota 27/48</t>
  </si>
  <si>
    <t>Traspaso De: Cofre Leiva Mario Johovany</t>
  </si>
  <si>
    <t>Reserva F2</t>
  </si>
  <si>
    <t>Traspaso De: Miguel Angel Cortes Grego</t>
  </si>
  <si>
    <t>Traspaso De: Francisco Antonio Sandoval Castro</t>
  </si>
  <si>
    <t>Reserva F3</t>
  </si>
  <si>
    <t>Traspaso A: Juan Bautista Rodriguez Ruiz</t>
  </si>
  <si>
    <t>Dep.cheq.otros Bancos N° 5478861</t>
  </si>
  <si>
    <t>Pago Pie F3</t>
  </si>
  <si>
    <t>Asesoria venta F3</t>
  </si>
  <si>
    <t>Venta parcela M-10</t>
  </si>
  <si>
    <t>Reembolso gastos</t>
  </si>
  <si>
    <t>Cuota 32 de 48</t>
  </si>
  <si>
    <t>Cuota 29/36</t>
  </si>
  <si>
    <t>Cuota 30/36</t>
  </si>
  <si>
    <t>Cuota 17/72</t>
  </si>
  <si>
    <t>Cuota 18/72</t>
  </si>
  <si>
    <t>Cuota 19/72</t>
  </si>
  <si>
    <t>Cuota 31/48</t>
  </si>
  <si>
    <t>Cuota 16/48</t>
  </si>
  <si>
    <t>cuota 17/48</t>
  </si>
  <si>
    <t>Cuota 18/48</t>
  </si>
  <si>
    <t>Cuota 2 de 48</t>
  </si>
  <si>
    <t>Cuota 2/12</t>
  </si>
  <si>
    <t>Cuota 3/12</t>
  </si>
  <si>
    <t>Plan de pago, cuotas 8, 9, 10 y 11</t>
  </si>
  <si>
    <t>Cuota 19/60</t>
  </si>
  <si>
    <t>Cuota 20/60</t>
  </si>
  <si>
    <t>Cuota 21/60</t>
  </si>
  <si>
    <t>Cuota 22/60</t>
  </si>
  <si>
    <t>Macal G3</t>
  </si>
  <si>
    <t>Traspaso A: Francisco Ant Sandoval Castro</t>
  </si>
  <si>
    <t>Parte 1 porton</t>
  </si>
  <si>
    <t>Firma F2 Valdivia</t>
  </si>
  <si>
    <t>Mandato F2</t>
  </si>
  <si>
    <t>CBR docs F3</t>
  </si>
  <si>
    <t>Honorarios dividendo 6</t>
  </si>
  <si>
    <t>Cuota 33 de 48</t>
  </si>
  <si>
    <t>Cuota 31/36</t>
  </si>
  <si>
    <t>Cuota 20/72</t>
  </si>
  <si>
    <t>Cuota 32/48</t>
  </si>
  <si>
    <t>Cuota 19/48</t>
  </si>
  <si>
    <t>Cuota 3 de 48</t>
  </si>
  <si>
    <t>Cuota 4/12</t>
  </si>
  <si>
    <t>Cuota 5/12</t>
  </si>
  <si>
    <t>Cuota 23/60</t>
  </si>
  <si>
    <t>Cuota 29/48</t>
  </si>
  <si>
    <t>Cuota 28/48 parte 2</t>
  </si>
  <si>
    <t>Cuota 28/48 parte 1</t>
  </si>
  <si>
    <t>F1 - KATHERINE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</si>
</sst>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dd\-mmm\-yy;@"/>
    <numFmt numFmtId="165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Rubik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1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5" fontId="2" fillId="2" borderId="2" xfId="1" applyNumberFormat="1" applyFont="1" applyFill="1" applyBorder="1" applyAlignment="1">
      <alignment horizontal="center" vertical="center" wrapText="1"/>
    </xf>
    <xf numFmtId="165" fontId="0" fillId="0" borderId="0" xfId="1" applyNumberFormat="1" applyFont="1"/>
    <xf numFmtId="165" fontId="0" fillId="0" borderId="0" xfId="1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2">
    <cellStyle name="Currency" xfId="1" builtinId="4"/>
    <cellStyle name="Normal" xfId="0" builtinId="0"/>
  </cellStyles>
  <dxfs count="3">
    <dxf>
      <fill>
        <patternFill>
          <bgColor theme="7" tint="0.39994506668294322"/>
        </patternFill>
      </fill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" refreshedDate="45903.915045717593" createdVersion="8" refreshedVersion="8" minRefreshableVersion="3" recordCount="210" xr:uid="{8679E7B2-D5D6-4649-8D7E-59EDE15C27AA}">
  <cacheSource type="worksheet">
    <worksheetSource ref="A1:I1048576" sheet="MOVIMIENTOS"/>
  </cacheSource>
  <cacheFields count="9">
    <cacheField name="FECHA" numFmtId="164">
      <sharedItems containsNonDate="0" containsDate="1" containsString="0" containsBlank="1" minDate="2025-01-01T00:00:00" maxDate="2025-09-05T00:00:00"/>
    </cacheField>
    <cacheField name="DETALLE" numFmtId="0">
      <sharedItems containsBlank="1"/>
    </cacheField>
    <cacheField name="CATEGORIA" numFmtId="0">
      <sharedItems containsBlank="1" count="8">
        <m/>
        <s v="VENTA"/>
        <s v="GASTOS GENERALES"/>
        <s v="PRESTAMO"/>
        <s v="IMPUESTOS"/>
        <s v="NOTARIA Y CONSERVADOR"/>
        <s v="SUELDO Y LEYES SOCIALES"/>
        <s v="FONDOS MUTUOS"/>
      </sharedItems>
    </cacheField>
    <cacheField name="SUB" numFmtId="0">
      <sharedItems containsBlank="1" count="2">
        <m/>
        <s v="FUTRONO"/>
      </sharedItems>
    </cacheField>
    <cacheField name="PARCELA" numFmtId="0">
      <sharedItems containsBlank="1"/>
    </cacheField>
    <cacheField name="SALDO" numFmtId="165">
      <sharedItems containsString="0" containsBlank="1" containsNumber="1" containsInteger="1" minValue="0" maxValue="65122641"/>
    </cacheField>
    <cacheField name="DEPOSITO" numFmtId="165">
      <sharedItems containsString="0" containsBlank="1" containsNumber="1" containsInteger="1" minValue="1000" maxValue="64630462"/>
    </cacheField>
    <cacheField name="GIROS" numFmtId="165">
      <sharedItems containsString="0" containsBlank="1" containsNumber="1" containsInteger="1" minValue="-32000000" maxValue="-3402"/>
    </cacheField>
    <cacheField name="COMENTARI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d v="2025-01-01T00:00:00"/>
    <s v="SALDO ANTERIOR"/>
    <x v="0"/>
    <x v="0"/>
    <m/>
    <n v="400801"/>
    <m/>
    <m/>
    <m/>
  </r>
  <r>
    <d v="2025-01-03T00:00:00"/>
    <s v="Traspaso De: Solange Soraya Molina"/>
    <x v="1"/>
    <x v="0"/>
    <s v="O5 - SOLANGE SORAYA"/>
    <n v="400801"/>
    <n v="401094"/>
    <m/>
    <s v="Cuota 11/60"/>
  </r>
  <r>
    <d v="2025-01-06T00:00:00"/>
    <s v="Traspaso De: Katherine Angelica Gonzalez Reyes"/>
    <x v="1"/>
    <x v="0"/>
    <s v="F1 - KATHERINE SANDOVAL"/>
    <n v="801895"/>
    <n v="454173"/>
    <m/>
    <s v="Cuota 6/72"/>
  </r>
  <r>
    <d v="2025-01-07T00:00:00"/>
    <s v="Pago En Sii.cl*"/>
    <x v="2"/>
    <x v="0"/>
    <m/>
    <n v="1256068"/>
    <m/>
    <n v="-125416"/>
    <m/>
  </r>
  <r>
    <d v="2025-01-07T00:00:00"/>
    <s v="Traspaso De: Denis Hernan Varela Castro"/>
    <x v="1"/>
    <x v="0"/>
    <s v="C4 - DENIS HERNAN VARELA"/>
    <n v="1130652"/>
    <n v="408143"/>
    <m/>
    <s v="Cuota 6/72"/>
  </r>
  <r>
    <d v="2025-01-07T00:00:00"/>
    <s v="Traspaso De: Viviana Isabel Molina Sotelo"/>
    <x v="1"/>
    <x v="0"/>
    <s v="I1 - VIVANA MOLINA"/>
    <n v="1538795"/>
    <n v="637236"/>
    <m/>
    <s v="Cuota 8/48"/>
  </r>
  <r>
    <d v="2025-01-08T00:00:00"/>
    <s v="Traspaso A: Asesorias Ecox Limitada"/>
    <x v="2"/>
    <x v="0"/>
    <m/>
    <n v="2176031"/>
    <m/>
    <n v="-100000"/>
    <s v="servicio contable"/>
  </r>
  <r>
    <d v="2025-01-09T00:00:00"/>
    <s v="Pago Servicio En Internet"/>
    <x v="2"/>
    <x v="0"/>
    <m/>
    <n v="2076031"/>
    <m/>
    <n v="-33442"/>
    <m/>
  </r>
  <r>
    <d v="2025-01-15T00:00:00"/>
    <s v="Traspaso A: Carlos Andres Ocampo Bustos"/>
    <x v="2"/>
    <x v="0"/>
    <m/>
    <n v="2042589"/>
    <m/>
    <n v="-24500"/>
    <m/>
  </r>
  <r>
    <d v="2025-01-28T00:00:00"/>
    <s v="Traspaso De: Contreras Barra Jaime Rene"/>
    <x v="1"/>
    <x v="0"/>
    <s v="E7 - NATALIA / JAIME CONTRERAS"/>
    <n v="2018089"/>
    <n v="264520"/>
    <m/>
    <s v="Cuota 1/72"/>
  </r>
  <r>
    <d v="2025-01-28T00:00:00"/>
    <s v="Traspaso A: Felipe Andres Hiriart Blome"/>
    <x v="2"/>
    <x v="0"/>
    <m/>
    <n v="2282609"/>
    <m/>
    <n v="-600000"/>
    <s v="Publicidad"/>
  </r>
  <r>
    <d v="2025-02-05T00:00:00"/>
    <s v="Traspaso De: Katherine Angelica Gonzalez Reyes"/>
    <x v="1"/>
    <x v="0"/>
    <s v="F1 - KATHERINE SANDOVAL"/>
    <n v="1682609"/>
    <n v="453580"/>
    <m/>
    <s v="Cuota 7/72"/>
  </r>
  <r>
    <d v="2025-02-06T00:00:00"/>
    <s v="Traspaso De: Denis Hernan Varela Castro"/>
    <x v="1"/>
    <x v="0"/>
    <s v="C4 - DENIS HERNAN VARELA"/>
    <n v="2136189"/>
    <n v="406749"/>
    <m/>
    <s v="Cuota 7/72"/>
  </r>
  <r>
    <d v="2025-02-06T00:00:00"/>
    <s v="Traspaso De: Solange Soraya Molina"/>
    <x v="1"/>
    <x v="0"/>
    <s v="O5 - SOLANGE SORAYA"/>
    <n v="2542938"/>
    <n v="400572"/>
    <m/>
    <s v="Cuota 12/60"/>
  </r>
  <r>
    <d v="2025-02-07T00:00:00"/>
    <s v="Traspaso De: Viviana Isabel Molina Sotelo"/>
    <x v="1"/>
    <x v="0"/>
    <s v="I1 - VIVANA MOLINA"/>
    <n v="2943510"/>
    <n v="636175"/>
    <m/>
    <s v="Cuota 9/48"/>
  </r>
  <r>
    <d v="2025-02-11T00:00:00"/>
    <s v="Traspaso De: Frutas Y Verduras Osvald O Suarez Spa"/>
    <x v="1"/>
    <x v="0"/>
    <s v="N3 - OSVALDO SUAREZ"/>
    <n v="3579685"/>
    <n v="200000"/>
    <m/>
    <s v="Reserva N3"/>
  </r>
  <r>
    <d v="2025-02-13T00:00:00"/>
    <s v="Pago En Sii.cl*"/>
    <x v="2"/>
    <x v="0"/>
    <m/>
    <n v="3779685"/>
    <m/>
    <n v="-5413"/>
    <m/>
  </r>
  <r>
    <d v="2025-02-13T00:00:00"/>
    <s v="Traspaso De: Eduardo Enrique Araya Silva"/>
    <x v="1"/>
    <x v="0"/>
    <s v="B6 - EDUARDO ARAYA"/>
    <n v="3774272"/>
    <n v="522719"/>
    <m/>
    <s v="Cuota 10/72"/>
  </r>
  <r>
    <d v="2025-02-17T00:00:00"/>
    <s v="Traspaso De: Nicole Vanessa Del Rosario Isamitt Maureira"/>
    <x v="1"/>
    <x v="0"/>
    <s v="H2 - NICOLE VANESSA ISAMITT"/>
    <n v="4296991"/>
    <n v="200000"/>
    <m/>
    <s v="Reserva H2"/>
  </r>
  <r>
    <d v="2025-02-17T00:00:00"/>
    <s v="Traspaso A: Asesorias Ecox Limitada"/>
    <x v="2"/>
    <x v="0"/>
    <m/>
    <n v="4496991"/>
    <m/>
    <n v="-100000"/>
    <s v="servicio contable"/>
  </r>
  <r>
    <d v="2025-02-17T00:00:00"/>
    <s v="Traspaso De: Constructora Burboa Spa"/>
    <x v="1"/>
    <x v="0"/>
    <s v="M5 - EDGARD BURBOA"/>
    <n v="4396991"/>
    <n v="1628832"/>
    <m/>
    <s v="Cuota 4 y 5 de 72"/>
  </r>
  <r>
    <d v="2025-02-21T00:00:00"/>
    <s v="Traspaso De: Yasna Paola Vidal Meza"/>
    <x v="1"/>
    <x v="0"/>
    <s v="E9 - YASNA PAOLA VIDAL"/>
    <n v="6025823"/>
    <n v="200000"/>
    <m/>
    <s v="Reserva E9"/>
  </r>
  <r>
    <d v="2025-02-24T00:00:00"/>
    <s v="Traspaso A: Felipe Andres Hiriart Blome"/>
    <x v="2"/>
    <x v="0"/>
    <m/>
    <n v="6225823"/>
    <m/>
    <n v="-500000"/>
    <s v="Publicidad"/>
  </r>
  <r>
    <d v="2025-02-24T00:00:00"/>
    <s v="Traspaso A: Futrono Spa"/>
    <x v="2"/>
    <x v="0"/>
    <m/>
    <n v="5725823"/>
    <m/>
    <n v="-51165"/>
    <s v="Reembolsa publicidad"/>
  </r>
  <r>
    <d v="2025-02-27T00:00:00"/>
    <s v="Traspaso De: Contreras Barra Jaime Rene"/>
    <x v="1"/>
    <x v="0"/>
    <s v="E7 - NATALIA / JAIME CONTRERAS"/>
    <n v="5674658"/>
    <n v="266180"/>
    <m/>
    <s v="Cuota 2/72"/>
  </r>
  <r>
    <d v="2025-02-28T00:00:00"/>
    <s v="Traspaso De: Solange Soraya Molina"/>
    <x v="1"/>
    <x v="0"/>
    <s v="O5 - SOLANGE SORAYA"/>
    <n v="5940838"/>
    <n v="403474"/>
    <m/>
    <s v="Cuota 13/60"/>
  </r>
  <r>
    <d v="2025-03-04T00:00:00"/>
    <s v="Traspaso De: Katherine Angelica Gonzalez Reyes"/>
    <x v="1"/>
    <x v="0"/>
    <s v="F1 - KATHERINE SANDOVAL"/>
    <n v="6344312"/>
    <n v="457351"/>
    <m/>
    <s v="Cuota 8/72"/>
  </r>
  <r>
    <d v="2025-03-04T00:00:00"/>
    <s v="Traspaso A: Asesorias Ecox Limitada"/>
    <x v="2"/>
    <x v="0"/>
    <m/>
    <n v="6801663"/>
    <m/>
    <n v="-100000"/>
    <s v="servicio contable"/>
  </r>
  <r>
    <d v="2025-03-05T00:00:00"/>
    <s v="Traspaso A: Carlos Andres Ocampo Bustos"/>
    <x v="2"/>
    <x v="0"/>
    <m/>
    <n v="6701663"/>
    <m/>
    <n v="-24500"/>
    <s v="Set documentos H2"/>
  </r>
  <r>
    <d v="2025-03-06T00:00:00"/>
    <s v="Traspaso De: Denis Hernan Varela Castro"/>
    <x v="1"/>
    <x v="0"/>
    <s v="C4 - DENIS HERNAN VARELA"/>
    <n v="6677163"/>
    <n v="402881"/>
    <m/>
    <s v="Cuota 8/72"/>
  </r>
  <r>
    <d v="2025-03-07T00:00:00"/>
    <s v="Traspaso A: Futrono Spa"/>
    <x v="3"/>
    <x v="1"/>
    <m/>
    <n v="7080044"/>
    <m/>
    <n v="-5000000"/>
    <m/>
  </r>
  <r>
    <d v="2025-03-07T00:00:00"/>
    <s v="Traspaso A: Futrono Spa"/>
    <x v="3"/>
    <x v="1"/>
    <m/>
    <n v="2080044"/>
    <m/>
    <n v="-2000000"/>
    <m/>
  </r>
  <r>
    <d v="2025-03-10T00:00:00"/>
    <s v="Traspaso De: Viviana Isabel Molina Sotelo"/>
    <x v="1"/>
    <x v="0"/>
    <s v="I1 - VIVANA MOLINA"/>
    <n v="80044"/>
    <n v="642790"/>
    <m/>
    <s v="Cuota 10/48"/>
  </r>
  <r>
    <d v="2025-03-12T00:00:00"/>
    <s v="Traspaso A: La Nube Fotografia Ltda"/>
    <x v="2"/>
    <x v="0"/>
    <m/>
    <n v="722834"/>
    <m/>
    <n v="-178500"/>
    <m/>
  </r>
  <r>
    <d v="2025-03-12T00:00:00"/>
    <s v="Pago En Sii.cl*"/>
    <x v="4"/>
    <x v="0"/>
    <m/>
    <n v="544334"/>
    <m/>
    <n v="-13296"/>
    <m/>
  </r>
  <r>
    <d v="2025-03-14T00:00:00"/>
    <s v="Traspaso De: Eduardo Enrique Araya Silva"/>
    <x v="1"/>
    <x v="0"/>
    <s v="B6 - EDUARDO ARAYA"/>
    <n v="531038"/>
    <n v="528122"/>
    <m/>
    <s v="Cuota 11/72"/>
  </r>
  <r>
    <d v="2025-03-14T00:00:00"/>
    <s v="Traspaso De: Nicole Vanessa Del Rosario Isamitt Maureira"/>
    <x v="1"/>
    <x v="0"/>
    <s v="H2 - NICOLE VANESSA ISAMITT"/>
    <n v="1059160"/>
    <n v="4800000"/>
    <m/>
    <s v="Pie parcela H2"/>
  </r>
  <r>
    <d v="2025-03-14T00:00:00"/>
    <s v="Traspaso A: Futrono Spa"/>
    <x v="3"/>
    <x v="1"/>
    <m/>
    <n v="5859160"/>
    <m/>
    <n v="-859160"/>
    <m/>
  </r>
  <r>
    <d v="2025-03-14T00:00:00"/>
    <s v="Traspaso A: Futrono Spa"/>
    <x v="3"/>
    <x v="1"/>
    <m/>
    <n v="5000000"/>
    <m/>
    <n v="-5000000"/>
    <m/>
  </r>
  <r>
    <d v="2025-03-25T00:00:00"/>
    <s v="Traspaso De: Comercial E Inversiones Jalca Spa"/>
    <x v="1"/>
    <x v="0"/>
    <s v="L10 Y L11 - JALCA"/>
    <n v="0"/>
    <n v="400000"/>
    <m/>
    <s v="Reserva lotes L10 + L11"/>
  </r>
  <r>
    <d v="2025-03-27T00:00:00"/>
    <s v="Traspaso A: Benjamin Lecaros"/>
    <x v="2"/>
    <x v="0"/>
    <m/>
    <n v="400000"/>
    <m/>
    <n v="-23000"/>
    <m/>
  </r>
  <r>
    <d v="2025-03-27T00:00:00"/>
    <s v="Traspaso De: Contreras Barra Jaime Rene"/>
    <x v="1"/>
    <x v="0"/>
    <s v="E7 - NATALIA / JAIME CONTRERAS"/>
    <n v="377000"/>
    <n v="267842"/>
    <m/>
    <s v="Cuota 3/72"/>
  </r>
  <r>
    <d v="2025-03-27T00:00:00"/>
    <s v="Traspaso A: Carlos Andres Ocampo Bustos"/>
    <x v="5"/>
    <x v="0"/>
    <m/>
    <n v="644842"/>
    <m/>
    <n v="-31900"/>
    <m/>
  </r>
  <r>
    <d v="2025-03-27T00:00:00"/>
    <s v="Traspaso A: Benjamin Lecaros"/>
    <x v="2"/>
    <x v="0"/>
    <m/>
    <n v="612942"/>
    <m/>
    <n v="-3402"/>
    <m/>
  </r>
  <r>
    <d v="2025-03-28T00:00:00"/>
    <s v="Traspaso A: Notaria Rieutord"/>
    <x v="5"/>
    <x v="0"/>
    <m/>
    <n v="609540"/>
    <m/>
    <n v="-60000"/>
    <m/>
  </r>
  <r>
    <d v="2025-03-28T00:00:00"/>
    <s v="Traspaso A: Notaria Rieutord"/>
    <x v="5"/>
    <x v="0"/>
    <m/>
    <n v="549540"/>
    <m/>
    <n v="-70000"/>
    <m/>
  </r>
  <r>
    <d v="2025-04-01T00:00:00"/>
    <s v="Traspaso De: Yasna Paola Vidal Meza"/>
    <x v="1"/>
    <x v="0"/>
    <s v="E9 - YASNA PAOLA VIDAL"/>
    <n v="479540"/>
    <n v="3800000"/>
    <m/>
    <s v="Pie Parcela E9"/>
  </r>
  <r>
    <d v="2025-04-01T00:00:00"/>
    <s v="Traspaso A: Futrono Spa"/>
    <x v="3"/>
    <x v="1"/>
    <m/>
    <n v="4279540"/>
    <m/>
    <n v="-2000000"/>
    <m/>
  </r>
  <r>
    <d v="2025-04-01T00:00:00"/>
    <s v="Traspaso A: Asesorias Ecox Limitada"/>
    <x v="2"/>
    <x v="0"/>
    <m/>
    <n v="2279540"/>
    <m/>
    <n v="-100000"/>
    <s v="servicio contable"/>
  </r>
  <r>
    <d v="2025-04-02T00:00:00"/>
    <s v="Traspaso A: Carlos Andres Ocampo Bustos"/>
    <x v="5"/>
    <x v="0"/>
    <m/>
    <n v="2179540"/>
    <m/>
    <n v="-256000"/>
    <s v="Inscripcion servidumbre sitios P"/>
  </r>
  <r>
    <d v="2025-04-02T00:00:00"/>
    <s v="Traspaso A: German Aaron Estuardo Morales"/>
    <x v="2"/>
    <x v="0"/>
    <m/>
    <n v="1923540"/>
    <m/>
    <n v="-1413529"/>
    <s v="Comision venta parcela E-9 Yasna"/>
  </r>
  <r>
    <d v="2025-04-03T00:00:00"/>
    <s v="Traspaso De: Viviana Isabel Molina Sotelo"/>
    <x v="1"/>
    <x v="0"/>
    <s v="I1 - VIVANA MOLINA"/>
    <n v="510011"/>
    <n v="645111"/>
    <m/>
    <s v="Cuota 11/48"/>
  </r>
  <r>
    <d v="2025-04-04T00:00:00"/>
    <s v="Traspaso De: Nicole Vanessa Del Rosario Isamitt Maureira"/>
    <x v="1"/>
    <x v="0"/>
    <s v="H2 - NICOLE VANESSA ISAMITT"/>
    <n v="1155122"/>
    <n v="719819"/>
    <m/>
    <s v="Cuota 1/72"/>
  </r>
  <r>
    <d v="2025-04-04T00:00:00"/>
    <s v="Traspaso De: Solange Soraya Molina"/>
    <x v="1"/>
    <x v="0"/>
    <s v="O5 - SOLANGE SORAYA"/>
    <n v="1874941"/>
    <n v="406262"/>
    <m/>
    <s v="Cuota 14/60"/>
  </r>
  <r>
    <d v="2025-04-07T00:00:00"/>
    <s v="Traspaso De: Denis Hernan Varela Castro"/>
    <x v="1"/>
    <x v="0"/>
    <s v="C4 - DENIS HERNAN VARELA"/>
    <n v="2281203"/>
    <n v="413320"/>
    <m/>
    <s v="Cuota 9/72"/>
  </r>
  <r>
    <d v="2025-04-08T00:00:00"/>
    <s v="Traspaso A: Notaria Rieutord"/>
    <x v="5"/>
    <x v="0"/>
    <m/>
    <n v="2694523"/>
    <m/>
    <n v="-50000"/>
    <m/>
  </r>
  <r>
    <d v="2025-04-08T00:00:00"/>
    <s v="Traspaso A: Benjamin Lecaros"/>
    <x v="2"/>
    <x v="0"/>
    <m/>
    <n v="2644523"/>
    <m/>
    <n v="-6900"/>
    <m/>
  </r>
  <r>
    <d v="2025-04-08T00:00:00"/>
    <s v="Traspaso De: Comercial E Inversiones Jalca Spa"/>
    <x v="1"/>
    <x v="0"/>
    <s v="L10 Y L11 - JALCA"/>
    <n v="2637623"/>
    <n v="2800000"/>
    <m/>
    <s v="Pie parcela L10"/>
  </r>
  <r>
    <d v="2025-04-08T00:00:00"/>
    <s v="Traspaso De: Comercial E Inversiones Jalca Spa"/>
    <x v="1"/>
    <x v="0"/>
    <s v="L10 Y L11 - JALCA"/>
    <n v="5437623"/>
    <n v="2800000"/>
    <m/>
    <s v="Pie parcela L11"/>
  </r>
  <r>
    <d v="2025-04-09T00:00:00"/>
    <s v="Traspaso A: Lukas Alberto Freitag Del Rio"/>
    <x v="2"/>
    <x v="0"/>
    <m/>
    <n v="8237623"/>
    <m/>
    <n v="-50000"/>
    <s v="Firma de promesa en Valdivia"/>
  </r>
  <r>
    <d v="2025-04-09T00:00:00"/>
    <s v="Traspaso A: Lukas Alberto Freitag Del Rio"/>
    <x v="2"/>
    <x v="0"/>
    <m/>
    <n v="8187623"/>
    <m/>
    <n v="-34500"/>
    <m/>
  </r>
  <r>
    <d v="2025-04-09T00:00:00"/>
    <s v="Traspaso A: Sindy Danaee Sandoval Vega"/>
    <x v="2"/>
    <x v="0"/>
    <m/>
    <n v="8153123"/>
    <m/>
    <n v="-4243386"/>
    <s v="Comision venta parcela L10+L11"/>
  </r>
  <r>
    <d v="2025-04-09T00:00:00"/>
    <s v="Pago En Tesoreria.cl*"/>
    <x v="4"/>
    <x v="0"/>
    <m/>
    <n v="3909737"/>
    <m/>
    <n v="-936022"/>
    <s v="Contribuciones"/>
  </r>
  <r>
    <d v="2025-04-09T00:00:00"/>
    <s v="Pago En Tesoreria.cl*"/>
    <x v="4"/>
    <x v="0"/>
    <m/>
    <n v="2973715"/>
    <m/>
    <n v="-863350"/>
    <s v="Contribuciones"/>
  </r>
  <r>
    <d v="2025-04-10T00:00:00"/>
    <s v="Traspaso De: Eduardo Enrique Araya Silva"/>
    <x v="1"/>
    <x v="0"/>
    <s v="B6 - EDUARDO ARAYA"/>
    <n v="2110365"/>
    <n v="530041"/>
    <m/>
    <s v="Cuota 12/72"/>
  </r>
  <r>
    <d v="2025-04-11T00:00:00"/>
    <s v="Pago En Sii.cl*"/>
    <x v="2"/>
    <x v="0"/>
    <m/>
    <n v="2640406"/>
    <m/>
    <n v="-17747"/>
    <m/>
  </r>
  <r>
    <d v="2025-04-15T00:00:00"/>
    <s v="Traspaso A: Carlos Andres Ocampo Bustos"/>
    <x v="5"/>
    <x v="0"/>
    <m/>
    <n v="2622659"/>
    <m/>
    <n v="-39700"/>
    <m/>
  </r>
  <r>
    <d v="2025-04-29T00:00:00"/>
    <s v="Traspaso De: Futrono Spa"/>
    <x v="3"/>
    <x v="1"/>
    <m/>
    <n v="2582959"/>
    <n v="1000"/>
    <m/>
    <m/>
  </r>
  <r>
    <d v="2025-04-30T00:00:00"/>
    <s v="Traspaso De: Contreras Barra Jaime Rene"/>
    <x v="1"/>
    <x v="0"/>
    <s v="E7 - NATALIA / JAIME CONTRERAS"/>
    <n v="2583959"/>
    <n v="269185"/>
    <m/>
    <s v="Cuota 4/72"/>
  </r>
  <r>
    <d v="2025-05-02T00:00:00"/>
    <s v="Traspaso De: Yasna Paola Vidal Meza"/>
    <x v="1"/>
    <x v="0"/>
    <s v="E9 - YASNA PAOLA VIDAL"/>
    <n v="2853144"/>
    <n v="405212"/>
    <m/>
    <s v="Cuota 1/72"/>
  </r>
  <r>
    <d v="2025-05-05T00:00:00"/>
    <s v="Traspaso De: Nicole Vanessa Del Rosario Isamitt Maureira"/>
    <x v="1"/>
    <x v="0"/>
    <s v="H2 - NICOLE VANESSA ISAMITT"/>
    <n v="3258356"/>
    <n v="723135"/>
    <m/>
    <s v="Cuota 2/72"/>
  </r>
  <r>
    <d v="2025-05-05T00:00:00"/>
    <s v="Traspaso De: Denis Hernan Varela Castro"/>
    <x v="1"/>
    <x v="0"/>
    <s v="C4 - DENIS HERNAN VARELA"/>
    <n v="3981491"/>
    <n v="414396"/>
    <m/>
    <s v="Cuota 10/72"/>
  </r>
  <r>
    <d v="2025-05-05T00:00:00"/>
    <s v="Traspaso De: Solange Soraya Molina"/>
    <x v="1"/>
    <x v="0"/>
    <s v="O5 - SOLANGE SORAYA"/>
    <n v="4395887"/>
    <n v="408005"/>
    <m/>
    <s v="Cuota 15/60"/>
  </r>
  <r>
    <d v="2025-05-05T00:00:00"/>
    <s v="Traspaso A: Asesorias Ecox Limitada"/>
    <x v="2"/>
    <x v="0"/>
    <m/>
    <n v="4803892"/>
    <m/>
    <n v="-100000"/>
    <s v="servicio contable"/>
  </r>
  <r>
    <d v="2025-05-06T00:00:00"/>
    <s v="Traspaso De: Futrono Spa"/>
    <x v="3"/>
    <x v="1"/>
    <m/>
    <n v="4703892"/>
    <n v="2900000"/>
    <m/>
    <m/>
  </r>
  <r>
    <d v="2025-05-06T00:00:00"/>
    <s v="Traspaso De: Viviana Isabel Molina Sotelo"/>
    <x v="1"/>
    <x v="0"/>
    <s v="I1 - VIVANA MOLINA"/>
    <n v="7603892"/>
    <n v="648411"/>
    <m/>
    <s v="Cuota 12/48"/>
  </r>
  <r>
    <d v="2025-05-06T00:00:00"/>
    <s v="Traspaso A: Ingeacme Alvaro Acuna"/>
    <x v="2"/>
    <x v="0"/>
    <m/>
    <n v="8252303"/>
    <m/>
    <n v="-5000000"/>
    <s v="Factura 704"/>
  </r>
  <r>
    <d v="2025-05-06T00:00:00"/>
    <s v="Traspaso A: Benjamin Lecaros"/>
    <x v="2"/>
    <x v="0"/>
    <m/>
    <n v="3252303"/>
    <m/>
    <n v="-2565000"/>
    <m/>
  </r>
  <r>
    <d v="2025-05-12T00:00:00"/>
    <s v="Traspaso De: Eduardo Enrique Araya Silva"/>
    <x v="1"/>
    <x v="0"/>
    <s v="B6 - EDUARDO ARAYA"/>
    <n v="687303"/>
    <n v="532709"/>
    <m/>
    <s v="Cuota 13/72"/>
  </r>
  <r>
    <d v="2025-05-13T00:00:00"/>
    <s v="Pago En Sii.cl*"/>
    <x v="4"/>
    <x v="0"/>
    <m/>
    <n v="1220012"/>
    <m/>
    <n v="-990319"/>
    <m/>
  </r>
  <r>
    <d v="2025-05-29T00:00:00"/>
    <s v="Traspaso De: Contreras Barra Jaime Rene"/>
    <x v="1"/>
    <x v="0"/>
    <s v="E7 - NATALIA / JAIME CONTRERAS"/>
    <n v="229693"/>
    <n v="269981"/>
    <m/>
    <s v="Cuota 5/72"/>
  </r>
  <r>
    <d v="2025-06-02T00:00:00"/>
    <s v="Traspaso A: Felipe Andres Hiriart Blome"/>
    <x v="2"/>
    <x v="0"/>
    <m/>
    <n v="499674"/>
    <m/>
    <n v="-400000"/>
    <s v="Publicidad"/>
  </r>
  <r>
    <d v="2025-06-02T00:00:00"/>
    <s v="Traspaso De: Yasna Paola Vidal Meza"/>
    <x v="1"/>
    <x v="0"/>
    <s v="E9 - YASNA PAOLA VIDAL"/>
    <n v="99674"/>
    <n v="406395"/>
    <m/>
    <s v="Cuota 2/72"/>
  </r>
  <r>
    <d v="2025-06-02T00:00:00"/>
    <s v="Traspaso A: Asesorias Ecox Limitada"/>
    <x v="2"/>
    <x v="0"/>
    <m/>
    <n v="506069"/>
    <m/>
    <n v="-100000"/>
    <m/>
  </r>
  <r>
    <d v="2025-06-03T00:00:00"/>
    <s v="Traspaso De: Denis Hernan Varela Castro"/>
    <x v="1"/>
    <x v="0"/>
    <s v="C4 - DENIS HERNAN VARELA"/>
    <n v="406069"/>
    <n v="415456"/>
    <m/>
    <s v="Cuota 11/72"/>
  </r>
  <r>
    <d v="2025-06-03T00:00:00"/>
    <s v="Traspaso A: Hector Varela Cta Con Capacidad"/>
    <x v="2"/>
    <x v="0"/>
    <m/>
    <n v="821525"/>
    <m/>
    <n v="-128192"/>
    <m/>
  </r>
  <r>
    <d v="2025-06-03T00:00:00"/>
    <s v="Traspaso De: Nicole Vanessa Del Rosario Isamitt Maureira"/>
    <x v="1"/>
    <x v="0"/>
    <s v="H2 - NICOLE VANESSA ISAMITT"/>
    <n v="693333"/>
    <n v="725098"/>
    <m/>
    <s v="Cuota 3/72"/>
  </r>
  <r>
    <d v="2025-06-03T00:00:00"/>
    <s v="Traspaso De: Solange Soraya Molina"/>
    <x v="1"/>
    <x v="0"/>
    <s v="O5 - SOLANGE SORAYA"/>
    <n v="1418431"/>
    <n v="409216"/>
    <m/>
    <s v="Cuota 16/60"/>
  </r>
  <r>
    <d v="2025-06-04T00:00:00"/>
    <s v="Traspaso A: Hector Varela Cta Con Capacidad"/>
    <x v="2"/>
    <x v="0"/>
    <m/>
    <n v="1827647"/>
    <m/>
    <n v="-205263"/>
    <m/>
  </r>
  <r>
    <d v="2025-06-04T00:00:00"/>
    <s v="Traspaso De: Lopez Carreno Eduardo Antonio"/>
    <x v="1"/>
    <x v="0"/>
    <m/>
    <n v="1622384"/>
    <n v="200000"/>
    <m/>
    <s v="Reservar M8"/>
  </r>
  <r>
    <d v="2025-06-05T00:00:00"/>
    <s v="Traspaso A: Maria Paz Amenabar"/>
    <x v="2"/>
    <x v="0"/>
    <m/>
    <n v="1822384"/>
    <m/>
    <n v="-200000"/>
    <m/>
  </r>
  <r>
    <d v="2025-06-09T00:00:00"/>
    <s v="Traspaso De: Viviana Isabel Molina Sotelo"/>
    <x v="1"/>
    <x v="0"/>
    <s v="I1 - VIVANA MOLINA"/>
    <n v="1622384"/>
    <n v="650019"/>
    <m/>
    <s v="Cuota 13/48"/>
  </r>
  <r>
    <d v="2025-06-09T00:00:00"/>
    <s v="Dep.cheq.otros Bancos N° 5473928"/>
    <x v="1"/>
    <x v="0"/>
    <m/>
    <n v="2272403"/>
    <n v="49559270"/>
    <m/>
    <s v="Pago parcela M2 Francisco Reyes"/>
  </r>
  <r>
    <d v="2025-06-10T00:00:00"/>
    <s v="Pago En Sii.cl*"/>
    <x v="4"/>
    <x v="0"/>
    <m/>
    <n v="51831673"/>
    <m/>
    <n v="-443505"/>
    <m/>
  </r>
  <r>
    <d v="2025-06-10T00:00:00"/>
    <s v="Traspaso A: Notaria Rieutord"/>
    <x v="5"/>
    <x v="0"/>
    <m/>
    <n v="51388168"/>
    <m/>
    <n v="-10000"/>
    <m/>
  </r>
  <r>
    <d v="2025-06-11T00:00:00"/>
    <s v="Traspaso A: Benjamin Lecaros"/>
    <x v="2"/>
    <x v="0"/>
    <m/>
    <n v="51378168"/>
    <m/>
    <n v="-4600"/>
    <s v="Docs con vigencia CBRS"/>
  </r>
  <r>
    <d v="2025-06-11T00:00:00"/>
    <s v="Traspaso A: Benjamin Lecaros"/>
    <x v="2"/>
    <x v="0"/>
    <m/>
    <n v="51373568"/>
    <m/>
    <n v="-5900"/>
    <s v="Foto poder banco estado"/>
  </r>
  <r>
    <d v="2025-06-12T00:00:00"/>
    <s v="Traspaso A: Futrono Spa"/>
    <x v="3"/>
    <x v="1"/>
    <m/>
    <n v="51367668"/>
    <m/>
    <n v="-5000000"/>
    <m/>
  </r>
  <r>
    <d v="2025-06-12T00:00:00"/>
    <s v="Traspaso A: Futrono Spa"/>
    <x v="3"/>
    <x v="1"/>
    <m/>
    <n v="46367668"/>
    <m/>
    <n v="-5000000"/>
    <m/>
  </r>
  <r>
    <d v="2025-06-12T00:00:00"/>
    <s v="Traspaso A: Futrono Spa"/>
    <x v="3"/>
    <x v="1"/>
    <m/>
    <n v="41367668"/>
    <m/>
    <n v="-5000000"/>
    <m/>
  </r>
  <r>
    <d v="2025-06-12T00:00:00"/>
    <s v="Traspaso A: Futrono Spa"/>
    <x v="3"/>
    <x v="1"/>
    <m/>
    <n v="36367668"/>
    <m/>
    <n v="-5000000"/>
    <m/>
  </r>
  <r>
    <d v="2025-06-12T00:00:00"/>
    <s v="Traspaso A: Futrono Spa"/>
    <x v="3"/>
    <x v="1"/>
    <m/>
    <n v="31367668"/>
    <m/>
    <n v="-5000000"/>
    <m/>
  </r>
  <r>
    <d v="2025-06-12T00:00:00"/>
    <s v="Traspaso A: Futrono Spa"/>
    <x v="3"/>
    <x v="1"/>
    <m/>
    <n v="26367668"/>
    <m/>
    <n v="-5000000"/>
    <m/>
  </r>
  <r>
    <d v="2025-06-12T00:00:00"/>
    <s v="Traspaso A: Futrono Spa"/>
    <x v="3"/>
    <x v="1"/>
    <m/>
    <n v="21367668"/>
    <m/>
    <n v="-5000000"/>
    <m/>
  </r>
  <r>
    <d v="2025-06-12T00:00:00"/>
    <s v="Traspaso A: Futrono Spa"/>
    <x v="3"/>
    <x v="1"/>
    <m/>
    <n v="16367668"/>
    <m/>
    <n v="-5000000"/>
    <m/>
  </r>
  <r>
    <d v="2025-06-12T00:00:00"/>
    <s v="Traspaso A: Futrono Spa"/>
    <x v="3"/>
    <x v="1"/>
    <m/>
    <n v="11367668"/>
    <m/>
    <n v="-4000000"/>
    <m/>
  </r>
  <r>
    <d v="2025-06-12T00:00:00"/>
    <s v="Pago En Tesoreria.cl*"/>
    <x v="4"/>
    <x v="0"/>
    <m/>
    <n v="7367668"/>
    <m/>
    <n v="-952326"/>
    <s v="Contribuciones"/>
  </r>
  <r>
    <d v="2025-06-12T00:00:00"/>
    <s v="Pago En Tesoreria.cl*"/>
    <x v="4"/>
    <x v="0"/>
    <m/>
    <n v="6415342"/>
    <m/>
    <n v="-814987"/>
    <s v="Contribuciones"/>
  </r>
  <r>
    <d v="2025-06-13T00:00:00"/>
    <s v="Pago: Santander 0774601414"/>
    <x v="3"/>
    <x v="1"/>
    <m/>
    <n v="5600355"/>
    <n v="21250000"/>
    <m/>
    <m/>
  </r>
  <r>
    <d v="2025-06-16T00:00:00"/>
    <s v="Traspaso A: Asesorias Ecox Limitada"/>
    <x v="2"/>
    <x v="0"/>
    <m/>
    <n v="26850355"/>
    <m/>
    <n v="-300000"/>
    <s v="Honorario dividendo 4"/>
  </r>
  <r>
    <d v="2025-06-16T00:00:00"/>
    <s v="Traspaso A: Asesorias Ecox Limitada"/>
    <x v="2"/>
    <x v="0"/>
    <m/>
    <n v="26550355"/>
    <m/>
    <n v="-5000000"/>
    <s v="Honorario dividendo 4"/>
  </r>
  <r>
    <d v="2025-06-16T00:00:00"/>
    <s v="Traspaso A: Asesorias Ecox Limitada"/>
    <x v="2"/>
    <x v="0"/>
    <m/>
    <n v="21550355"/>
    <m/>
    <n v="-5000000"/>
    <s v="Honorario dividendo 4"/>
  </r>
  <r>
    <d v="2025-06-16T00:00:00"/>
    <s v="Traspaso A: Asesorias Ecox Limitada"/>
    <x v="2"/>
    <x v="0"/>
    <m/>
    <n v="16550355"/>
    <m/>
    <n v="-5000000"/>
    <s v="Honorario dividendo 4"/>
  </r>
  <r>
    <d v="2025-06-16T00:00:00"/>
    <s v="Traspaso A: Asesorias Ecox Limitada"/>
    <x v="2"/>
    <x v="0"/>
    <m/>
    <n v="11550355"/>
    <m/>
    <n v="-5000000"/>
    <s v="Honorario dividendo 4"/>
  </r>
  <r>
    <d v="2025-06-16T00:00:00"/>
    <s v="Traspaso A: Paulina Patricia Schmidt"/>
    <x v="1"/>
    <x v="0"/>
    <s v="M2 - FRANCISCO REYES"/>
    <n v="6550355"/>
    <m/>
    <n v="-5000000"/>
    <s v="Reembolsa descuento parcela M2"/>
  </r>
  <r>
    <d v="2025-06-16T00:00:00"/>
    <s v="Traspaso A: Paulina Patricia Schmidt"/>
    <x v="1"/>
    <x v="0"/>
    <s v="M2 - FRANCISCO REYES"/>
    <n v="1550355"/>
    <m/>
    <n v="-1542336"/>
    <s v="Reembolsa descuento parcela M2"/>
  </r>
  <r>
    <d v="2025-06-17T00:00:00"/>
    <s v="Traspaso De: Eduardo Enrique Araya Silva"/>
    <x v="1"/>
    <x v="0"/>
    <s v="B6 - EDUARDO ARAYA"/>
    <n v="8019"/>
    <n v="533920"/>
    <m/>
    <s v="Cuota 14/72"/>
  </r>
  <r>
    <d v="2025-06-17T00:00:00"/>
    <s v="Pago: Santander 0774601414"/>
    <x v="3"/>
    <x v="1"/>
    <m/>
    <n v="541939"/>
    <n v="35000000"/>
    <m/>
    <m/>
  </r>
  <r>
    <d v="2025-06-17T00:00:00"/>
    <s v="Traspaso A: Asesorias Ecox Limitada"/>
    <x v="2"/>
    <x v="0"/>
    <m/>
    <n v="35541939"/>
    <m/>
    <n v="-5000000"/>
    <s v="Honorario dividendo 3"/>
  </r>
  <r>
    <d v="2025-06-17T00:00:00"/>
    <s v="Traspaso A: Asesorias Ecox Limitada"/>
    <x v="2"/>
    <x v="0"/>
    <m/>
    <n v="30541939"/>
    <m/>
    <n v="-5000000"/>
    <s v="Honorario dividendo 3"/>
  </r>
  <r>
    <d v="2025-06-17T00:00:00"/>
    <s v="Traspaso A: Asesorias Ecox Limitada"/>
    <x v="2"/>
    <x v="0"/>
    <m/>
    <n v="25541939"/>
    <m/>
    <n v="-5000000"/>
    <s v="Honorario dividendo 3"/>
  </r>
  <r>
    <d v="2025-06-17T00:00:00"/>
    <s v="Traspaso A: Asesorias Ecox Limitada"/>
    <x v="2"/>
    <x v="0"/>
    <m/>
    <n v="20541939"/>
    <m/>
    <n v="-5000000"/>
    <s v="Honorario dividendo 3"/>
  </r>
  <r>
    <d v="2025-06-17T00:00:00"/>
    <s v="Traspaso A: Asesorias Ecox Limitada"/>
    <x v="2"/>
    <x v="0"/>
    <m/>
    <n v="15541939"/>
    <m/>
    <n v="-5000000"/>
    <s v="Honorario dividendo 3"/>
  </r>
  <r>
    <d v="2025-06-17T00:00:00"/>
    <s v="Traspaso A: Asesorias Ecox Limitada"/>
    <x v="2"/>
    <x v="0"/>
    <m/>
    <n v="10541939"/>
    <m/>
    <n v="-5000000"/>
    <s v="Honorario dividendo 3"/>
  </r>
  <r>
    <d v="2025-06-17T00:00:00"/>
    <s v="Traspaso A: Asesorias Ecox Limitada"/>
    <x v="2"/>
    <x v="0"/>
    <m/>
    <n v="5541939"/>
    <m/>
    <n v="-5000000"/>
    <s v="Honorario dividendo 3"/>
  </r>
  <r>
    <d v="2025-06-18T00:00:00"/>
    <s v="Traspaso De: Cristian Pablo Vidal Suarez"/>
    <x v="1"/>
    <x v="0"/>
    <s v="J5 - CRISTIAN VIDAL SUAREZ"/>
    <n v="541939"/>
    <n v="200000"/>
    <m/>
    <s v="Reserva J5"/>
  </r>
  <r>
    <d v="2025-06-18T00:00:00"/>
    <s v="Traspaso A: Carlos Andres Ocampo Bustos"/>
    <x v="5"/>
    <x v="0"/>
    <m/>
    <n v="741939"/>
    <m/>
    <n v="-24500"/>
    <m/>
  </r>
  <r>
    <d v="2025-06-19T00:00:00"/>
    <s v="Traspaso De: Cristian Pablo Vidal Suarez"/>
    <x v="1"/>
    <x v="0"/>
    <m/>
    <n v="717439"/>
    <n v="1000000"/>
    <m/>
    <m/>
  </r>
  <r>
    <d v="2025-06-19T00:00:00"/>
    <s v="Traspaso De: Cristian Pablo Vidal Suarez"/>
    <x v="1"/>
    <x v="0"/>
    <m/>
    <n v="1717439"/>
    <n v="2000000"/>
    <m/>
    <m/>
  </r>
  <r>
    <d v="2025-06-19T00:00:00"/>
    <s v="Traspaso De: Cristian Pablo Vidal Suarez"/>
    <x v="1"/>
    <x v="0"/>
    <m/>
    <n v="3717439"/>
    <n v="1800000"/>
    <m/>
    <m/>
  </r>
  <r>
    <d v="2025-06-25T00:00:00"/>
    <s v="Traspaso A: Inversionsur Spa"/>
    <x v="2"/>
    <x v="0"/>
    <m/>
    <n v="5517439"/>
    <m/>
    <n v="-1154250"/>
    <s v="Comision venta J5"/>
  </r>
  <r>
    <d v="2025-06-26T00:00:00"/>
    <s v="Traspaso De: Tobar Martinez Armando Luis"/>
    <x v="1"/>
    <x v="0"/>
    <m/>
    <n v="4363189"/>
    <n v="200000"/>
    <m/>
    <s v="Reserva H1"/>
  </r>
  <r>
    <d v="2025-06-27T00:00:00"/>
    <s v="Traspaso A: Carlos Andres Ocampo Bustos"/>
    <x v="5"/>
    <x v="0"/>
    <m/>
    <n v="4563189"/>
    <m/>
    <n v="-24500"/>
    <s v="Solicitud CBR"/>
  </r>
  <r>
    <d v="2025-06-30T00:00:00"/>
    <s v="Traspaso De: Contreras Barra Jaime Rene"/>
    <x v="1"/>
    <x v="0"/>
    <s v="E7 - NATALIA / JAIME CONTRERAS"/>
    <n v="4538689"/>
    <n v="270496"/>
    <m/>
    <s v="Cuota 6/72"/>
  </r>
  <r>
    <d v="2025-06-30T00:00:00"/>
    <s v="Traspaso A: Benjamin Lecaros"/>
    <x v="2"/>
    <x v="0"/>
    <m/>
    <n v="4809185"/>
    <m/>
    <n v="-19730"/>
    <s v="envio documentos"/>
  </r>
  <r>
    <d v="2025-07-01T00:00:00"/>
    <s v="Traspaso A: Asesorias Ecox Limitada"/>
    <x v="2"/>
    <x v="0"/>
    <m/>
    <n v="4789455"/>
    <m/>
    <n v="-100000"/>
    <s v="servicio contable"/>
  </r>
  <r>
    <d v="2025-07-02T00:00:00"/>
    <s v="Traspaso De: Solange Soraya Molina"/>
    <x v="1"/>
    <x v="0"/>
    <s v="O5 - SOLANGE SORAYA"/>
    <n v="4689455"/>
    <n v="409975"/>
    <m/>
    <s v="Cuota 17/60"/>
  </r>
  <r>
    <d v="2025-07-02T00:00:00"/>
    <s v="Traspaso A: Hector Varela Cta Con Capacidad"/>
    <x v="6"/>
    <x v="0"/>
    <m/>
    <n v="5099430"/>
    <m/>
    <n v="-750000"/>
    <m/>
  </r>
  <r>
    <d v="2025-07-02T00:00:00"/>
    <s v="Traspaso A: Hector Varela Cta Con Capacidad"/>
    <x v="2"/>
    <x v="0"/>
    <m/>
    <n v="4349430"/>
    <m/>
    <n v="-208664"/>
    <s v="Reembolsa gastos"/>
  </r>
  <r>
    <d v="2025-07-02T00:00:00"/>
    <s v="Traspaso De: Nicole Vanessa Del Rosario Isamitt Maureira"/>
    <x v="1"/>
    <x v="0"/>
    <s v="H2 - NICOLE VANESSA ISAMITT"/>
    <n v="4140766"/>
    <n v="726490"/>
    <m/>
    <s v="Cuota 4/72"/>
  </r>
  <r>
    <d v="2025-07-03T00:00:00"/>
    <s v="Traspaso De: Viviana Isabel Molina Sotelo"/>
    <x v="1"/>
    <x v="0"/>
    <s v="I1 - VIVANA MOLINA"/>
    <n v="4867256"/>
    <n v="651180"/>
    <m/>
    <s v="Cuota 14/48"/>
  </r>
  <r>
    <d v="2025-07-04T00:00:00"/>
    <s v="Traspaso A: Benjamin Lecaros"/>
    <x v="2"/>
    <x v="0"/>
    <m/>
    <n v="5518436"/>
    <m/>
    <n v="-61152"/>
    <s v="Reembolso publicidad"/>
  </r>
  <r>
    <d v="2025-07-04T00:00:00"/>
    <s v="Traspaso A: Felipe Andres Hiriart Blome"/>
    <x v="2"/>
    <x v="0"/>
    <m/>
    <n v="5457284"/>
    <m/>
    <n v="-600000"/>
    <s v="Gasto en publicidad"/>
  </r>
  <r>
    <d v="2025-07-07T00:00:00"/>
    <s v="Traspaso De: Denis Hernan Varela Castro"/>
    <x v="1"/>
    <x v="0"/>
    <s v="C4 - DENIS HERNAN VARELA"/>
    <n v="4857284"/>
    <n v="416336"/>
    <m/>
    <s v="Cuota 12/72"/>
  </r>
  <r>
    <d v="2025-07-07T00:00:00"/>
    <s v="Traspaso De: Yasna Paola Vidal Meza"/>
    <x v="1"/>
    <x v="0"/>
    <s v="E9 - YASNA PAOLA VIDAL"/>
    <n v="5273620"/>
    <n v="407335"/>
    <m/>
    <s v="Cuota 3/72"/>
  </r>
  <r>
    <d v="2025-07-10T00:00:00"/>
    <s v="Pago En Sii.cl*"/>
    <x v="4"/>
    <x v="0"/>
    <m/>
    <n v="5680955"/>
    <m/>
    <n v="-375593"/>
    <s v="F29"/>
  </r>
  <r>
    <d v="2025-07-11T00:00:00"/>
    <s v="Pago Instituciones Previsionales"/>
    <x v="6"/>
    <x v="0"/>
    <m/>
    <n v="5305362"/>
    <m/>
    <n v="-211780"/>
    <s v="Previred"/>
  </r>
  <r>
    <d v="2025-07-14T00:00:00"/>
    <s v="Traspaso De: Eduardo Enrique Araya Silva"/>
    <x v="1"/>
    <x v="0"/>
    <s v="B6 - EDUARDO ARAYA"/>
    <n v="5093582"/>
    <n v="534396"/>
    <m/>
    <s v="Cuota 15/72"/>
  </r>
  <r>
    <d v="2025-07-15T00:00:00"/>
    <s v="Traspaso A: Carlos Andres Ocampo Bustos"/>
    <x v="5"/>
    <x v="0"/>
    <m/>
    <n v="5627978"/>
    <m/>
    <n v="-66000"/>
    <s v="Servidumbre O1"/>
  </r>
  <r>
    <d v="2025-07-29T00:00:00"/>
    <s v="Traspaso A: Notaria Rieutord"/>
    <x v="5"/>
    <x v="0"/>
    <m/>
    <n v="5561978"/>
    <m/>
    <n v="-90000"/>
    <s v="Servidumbre O1"/>
  </r>
  <r>
    <d v="2025-07-30T00:00:00"/>
    <s v="Traspaso De: Contreras Barra Jaime Rene"/>
    <x v="1"/>
    <x v="0"/>
    <s v="E7 - NATALIA / JAIME CONTRERAS"/>
    <n v="5471978"/>
    <n v="270013"/>
    <m/>
    <s v="Cuota 7/72"/>
  </r>
  <r>
    <d v="2025-07-30T00:00:00"/>
    <s v="Traspaso De: Constructora Burboa Spa"/>
    <x v="1"/>
    <x v="0"/>
    <s v="M5 - EDGARD BURBOA"/>
    <n v="5741991"/>
    <n v="1659834"/>
    <m/>
    <s v="Comienza plan de pago para ponerse al dia con las cuotas Cuota 6 y 7  de 72"/>
  </r>
  <r>
    <d v="2025-07-31T00:00:00"/>
    <s v="Traspaso A: Apr Nontuela Alto"/>
    <x v="2"/>
    <x v="0"/>
    <m/>
    <n v="7401825"/>
    <m/>
    <n v="-150000"/>
    <s v="APR nontuela"/>
  </r>
  <r>
    <d v="2025-07-31T00:00:00"/>
    <s v="Traspaso A 96571220-8 Fmu"/>
    <x v="7"/>
    <x v="0"/>
    <m/>
    <n v="7251825"/>
    <m/>
    <n v="-6000000"/>
    <m/>
  </r>
  <r>
    <d v="2025-08-01T00:00:00"/>
    <s v="Traspaso De: Solange Soraya Molina"/>
    <x v="1"/>
    <x v="0"/>
    <s v="O5 - SOLANGE SORAYA"/>
    <n v="1251825"/>
    <n v="408976"/>
    <m/>
    <s v="Cuota 18/60"/>
  </r>
  <r>
    <d v="2025-08-01T00:00:00"/>
    <s v="Dep.cheq.otros Bancos N° 1271698"/>
    <x v="1"/>
    <x v="0"/>
    <m/>
    <n v="1660801"/>
    <n v="32800000"/>
    <m/>
    <s v="Venta parcela H1 Armando Tobar"/>
  </r>
  <r>
    <d v="2025-08-04T00:00:00"/>
    <s v="Traspaso De: Nicole Vanessa Del Rosario Isamitt Maureira"/>
    <x v="1"/>
    <x v="0"/>
    <s v="H2 - NICOLE VANESSA ISAMITT"/>
    <n v="34460801"/>
    <n v="724437"/>
    <m/>
    <s v="Cuota 5/72"/>
  </r>
  <r>
    <d v="2025-08-04T00:00:00"/>
    <s v="Traspaso A: Benjamin Lecaros"/>
    <x v="2"/>
    <x v="0"/>
    <m/>
    <n v="35185238"/>
    <m/>
    <n v="-855000"/>
    <s v="Asesoria venta H1"/>
  </r>
  <r>
    <d v="2025-08-04T00:00:00"/>
    <s v="Traspaso A 96571220-8 Fmu"/>
    <x v="7"/>
    <x v="0"/>
    <m/>
    <n v="34330238"/>
    <m/>
    <n v="-32000000"/>
    <m/>
  </r>
  <r>
    <d v="2025-08-05T00:00:00"/>
    <s v="Traspaso A: Hector Varela Cta Con Capacidad"/>
    <x v="6"/>
    <x v="0"/>
    <m/>
    <n v="2330238"/>
    <m/>
    <n v="-750000"/>
    <m/>
  </r>
  <r>
    <d v="2025-08-05T00:00:00"/>
    <s v="Traspaso A: Hector Varela Cta Con Capacidad"/>
    <x v="2"/>
    <x v="0"/>
    <m/>
    <n v="1580238"/>
    <m/>
    <n v="-390948"/>
    <s v="Reembolsa gastos (cuenta de luz cara por problema de medidores reventados)"/>
  </r>
  <r>
    <d v="2025-08-05T00:00:00"/>
    <s v="Pago Instituciones Previsionales"/>
    <x v="6"/>
    <x v="0"/>
    <m/>
    <n v="1189290"/>
    <m/>
    <n v="-212703"/>
    <s v="Previred"/>
  </r>
  <r>
    <d v="2025-08-05T00:00:00"/>
    <s v="Traspaso A: Asesorias Ecox Limitada"/>
    <x v="2"/>
    <x v="0"/>
    <m/>
    <n v="976587"/>
    <m/>
    <n v="-100000"/>
    <s v="contabilidad"/>
  </r>
  <r>
    <d v="2025-08-06T00:00:00"/>
    <s v="Traspaso De: Eduardo Enrique Araya Silva"/>
    <x v="1"/>
    <x v="0"/>
    <s v="B6 - EDUARDO ARAYA"/>
    <n v="876587"/>
    <n v="532872"/>
    <m/>
    <s v="Cuota 16/72"/>
  </r>
  <r>
    <d v="2025-08-06T00:00:00"/>
    <s v="Traspaso De: Viviana Isabel Molina Sotelo"/>
    <x v="1"/>
    <x v="0"/>
    <s v="I1 - VIVANA MOLINA"/>
    <n v="1409459"/>
    <n v="649173"/>
    <m/>
    <s v="Cuota 15/48"/>
  </r>
  <r>
    <d v="2025-08-07T00:00:00"/>
    <s v="Pago Servicio En Internet"/>
    <x v="0"/>
    <x v="0"/>
    <m/>
    <n v="2058632"/>
    <m/>
    <n v="-34369"/>
    <m/>
  </r>
  <r>
    <d v="2025-08-08T00:00:00"/>
    <s v="Pago En Sii.cl*"/>
    <x v="0"/>
    <x v="0"/>
    <m/>
    <n v="2024263"/>
    <m/>
    <n v="-13607"/>
    <m/>
  </r>
  <r>
    <d v="2025-08-11T00:00:00"/>
    <s v="Pago En Sii.cl*"/>
    <x v="0"/>
    <x v="0"/>
    <m/>
    <n v="2010656"/>
    <m/>
    <n v="-12689"/>
    <m/>
  </r>
  <r>
    <d v="2025-08-12T00:00:00"/>
    <s v="Traspaso A: Benjamin Lecaros"/>
    <x v="2"/>
    <x v="0"/>
    <m/>
    <n v="1997967"/>
    <m/>
    <n v="-6307"/>
    <m/>
  </r>
  <r>
    <d v="2025-08-12T00:00:00"/>
    <s v="Traspaso A: Benjamin Lecaros"/>
    <x v="2"/>
    <x v="0"/>
    <m/>
    <n v="1991660"/>
    <m/>
    <n v="-59500"/>
    <s v="Reembolso publicidad"/>
  </r>
  <r>
    <d v="2025-08-12T00:00:00"/>
    <s v="Pago En Tesoreria.cl*"/>
    <x v="2"/>
    <x v="0"/>
    <m/>
    <n v="1932160"/>
    <m/>
    <n v="-4600"/>
    <m/>
  </r>
  <r>
    <d v="2025-08-12T00:00:00"/>
    <s v="Aporte A Fondo Mutuo"/>
    <x v="7"/>
    <x v="0"/>
    <m/>
    <n v="1927560"/>
    <m/>
    <n v="-750000"/>
    <m/>
  </r>
  <r>
    <d v="2025-08-12T00:00:00"/>
    <s v="Aporte A Fondo Mutuo"/>
    <x v="7"/>
    <x v="0"/>
    <m/>
    <n v="1177560"/>
    <m/>
    <n v="-750000"/>
    <m/>
  </r>
  <r>
    <d v="2025-08-14T00:00:00"/>
    <s v="Traspaso De: Yasna Paola Vidal Meza"/>
    <x v="1"/>
    <x v="0"/>
    <s v="E9 - YASNA PAOLA VIDAL"/>
    <n v="427560"/>
    <n v="406283"/>
    <m/>
    <s v="Cuota 4/72"/>
  </r>
  <r>
    <d v="2025-08-18T00:00:00"/>
    <s v="Traspaso De: Denis Hernan Varela Castro"/>
    <x v="1"/>
    <x v="0"/>
    <s v="C4 - DENIS HERNAN VARELA"/>
    <n v="833843"/>
    <n v="415891"/>
    <m/>
    <s v="Cuota 13/72"/>
  </r>
  <r>
    <d v="2025-08-19T00:00:00"/>
    <s v="Traspaso De: Cristian Pablo Vidal Suarez"/>
    <x v="1"/>
    <x v="0"/>
    <s v="J5 - CRISTIAN VIDAL SUAREZ"/>
    <n v="1249734"/>
    <n v="999717"/>
    <m/>
    <s v="Cuota 1/12"/>
  </r>
  <r>
    <d v="2025-08-22T00:00:00"/>
    <s v="Traspaso A: Notaria Rieutord"/>
    <x v="5"/>
    <x v="0"/>
    <m/>
    <n v="2249451"/>
    <m/>
    <n v="-25000"/>
    <m/>
  </r>
  <r>
    <d v="2025-08-26T00:00:00"/>
    <s v="Traspaso A: Notaria Rieutord"/>
    <x v="5"/>
    <x v="0"/>
    <m/>
    <n v="2224451"/>
    <m/>
    <n v="-60000"/>
    <m/>
  </r>
  <r>
    <d v="2025-08-26T00:00:00"/>
    <s v="Traspaso A: Juan Carlos Abarca"/>
    <x v="2"/>
    <x v="0"/>
    <m/>
    <n v="2164451"/>
    <m/>
    <n v="-60000"/>
    <m/>
  </r>
  <r>
    <d v="2025-08-27T00:00:00"/>
    <s v="Pago: Proveedores 0795464301"/>
    <x v="1"/>
    <x v="0"/>
    <m/>
    <n v="2104451"/>
    <n v="23551709"/>
    <m/>
    <s v="Parcela F-4 Macal"/>
  </r>
  <r>
    <d v="2025-08-28T00:00:00"/>
    <s v="Traspaso A 96571220-8 Fmu"/>
    <x v="7"/>
    <x v="0"/>
    <m/>
    <n v="25656160"/>
    <m/>
    <n v="-25000000"/>
    <m/>
  </r>
  <r>
    <d v="2025-08-28T00:00:00"/>
    <s v="Traspaso De: Contreras Barra Jaime Rene"/>
    <x v="1"/>
    <x v="0"/>
    <s v="E7 - NATALIA / JAIME CONTRERAS"/>
    <n v="656160"/>
    <n v="271115"/>
    <m/>
    <m/>
  </r>
  <r>
    <d v="2025-09-02T00:00:00"/>
    <s v="Traspaso A: Hector Varela Cta Con Capacidad"/>
    <x v="6"/>
    <x v="0"/>
    <m/>
    <n v="927275"/>
    <m/>
    <n v="-750000"/>
    <m/>
  </r>
  <r>
    <d v="2025-09-02T00:00:00"/>
    <s v="Traspaso De: Futrono Spa"/>
    <x v="0"/>
    <x v="0"/>
    <m/>
    <n v="177275"/>
    <n v="568757"/>
    <m/>
    <m/>
  </r>
  <r>
    <d v="2025-09-02T00:00:00"/>
    <s v="Traspaso A: Hector Varela Cta Con Capacidad"/>
    <x v="2"/>
    <x v="0"/>
    <m/>
    <n v="746032"/>
    <m/>
    <n v="-445250"/>
    <s v="Reembolsa gastos"/>
  </r>
  <r>
    <d v="2025-09-02T00:00:00"/>
    <s v="Traspaso A: Notaria Rieutord"/>
    <x v="5"/>
    <x v="0"/>
    <m/>
    <n v="300782"/>
    <m/>
    <n v="-220000"/>
    <s v="Escritura CV Los Robles - Futrono"/>
  </r>
  <r>
    <d v="2025-09-02T00:00:00"/>
    <s v="Traspaso De: Solange Soraya Molina"/>
    <x v="1"/>
    <x v="0"/>
    <s v="O5 - SOLANGE SORAYA"/>
    <n v="80782"/>
    <n v="411397"/>
    <m/>
    <m/>
  </r>
  <r>
    <d v="2025-09-03T00:00:00"/>
    <s v="Pago: Inversiones 0965712208"/>
    <x v="7"/>
    <x v="0"/>
    <m/>
    <n v="492179"/>
    <n v="64630462"/>
    <m/>
    <m/>
  </r>
  <r>
    <d v="2025-09-03T00:00:00"/>
    <s v="Traspaso A: Futrono Spa"/>
    <x v="3"/>
    <x v="1"/>
    <m/>
    <n v="65122641"/>
    <m/>
    <n v="-1000000"/>
    <m/>
  </r>
  <r>
    <d v="2025-09-04T00:00:00"/>
    <s v="Traspaso De: Nicole Vanessa Del Rosario Isamitt Maureira"/>
    <x v="1"/>
    <x v="0"/>
    <s v="H2 - NICOLE VANESSA ISAMITT"/>
    <n v="64122641"/>
    <n v="729219"/>
    <m/>
    <m/>
  </r>
  <r>
    <d v="2025-09-04T00:00:00"/>
    <s v="Traspaso A: Futrono Spa"/>
    <x v="3"/>
    <x v="1"/>
    <m/>
    <n v="64851860"/>
    <m/>
    <n v="-5000000"/>
    <m/>
  </r>
  <r>
    <d v="2025-09-04T00:00:00"/>
    <s v="Traspaso A: Futrono Spa"/>
    <x v="3"/>
    <x v="1"/>
    <m/>
    <n v="59851860"/>
    <m/>
    <n v="-5000000"/>
    <m/>
  </r>
  <r>
    <d v="2025-09-04T00:00:00"/>
    <s v="Traspaso A: Futrono Spa"/>
    <x v="3"/>
    <x v="1"/>
    <m/>
    <n v="54851860"/>
    <m/>
    <n v="-5000000"/>
    <m/>
  </r>
  <r>
    <d v="2025-09-04T00:00:00"/>
    <s v="Traspaso A: Futrono Spa"/>
    <x v="3"/>
    <x v="1"/>
    <m/>
    <n v="49851860"/>
    <m/>
    <n v="-5000000"/>
    <m/>
  </r>
  <r>
    <d v="2025-09-04T00:00:00"/>
    <s v="Traspaso A: Futrono Spa"/>
    <x v="3"/>
    <x v="1"/>
    <m/>
    <n v="44851860"/>
    <m/>
    <n v="-5000000"/>
    <m/>
  </r>
  <r>
    <d v="2025-09-04T00:00:00"/>
    <s v="Traspaso A: Futrono Spa"/>
    <x v="3"/>
    <x v="1"/>
    <m/>
    <n v="39851860"/>
    <m/>
    <n v="-5000000"/>
    <m/>
  </r>
  <r>
    <d v="2025-09-04T00:00:00"/>
    <s v="Traspaso A: Futrono Spa"/>
    <x v="3"/>
    <x v="1"/>
    <m/>
    <n v="34851860"/>
    <m/>
    <n v="-5000000"/>
    <m/>
  </r>
  <r>
    <d v="2025-09-04T00:00:00"/>
    <s v="Traspaso A: Futrono Spa"/>
    <x v="3"/>
    <x v="1"/>
    <m/>
    <n v="29851860"/>
    <m/>
    <n v="-5000000"/>
    <m/>
  </r>
  <r>
    <d v="2025-09-04T00:00:00"/>
    <s v="Traspaso A: Asesorias Ecox Limitada"/>
    <x v="0"/>
    <x v="0"/>
    <m/>
    <n v="24851860"/>
    <m/>
    <n v="-3750000"/>
    <s v="Honorarios dividendo 5"/>
  </r>
  <r>
    <d v="2025-09-04T00:00:00"/>
    <s v="Traspaso A: Asesorias Ecox Limitada"/>
    <x v="0"/>
    <x v="0"/>
    <m/>
    <n v="21101860"/>
    <m/>
    <n v="-5000000"/>
    <s v="Honorarios dividendo 5"/>
  </r>
  <r>
    <m/>
    <m/>
    <x v="0"/>
    <x v="0"/>
    <m/>
    <n v="16101860"/>
    <m/>
    <m/>
    <m/>
  </r>
  <r>
    <m/>
    <m/>
    <x v="0"/>
    <x v="0"/>
    <m/>
    <n v="16101860"/>
    <m/>
    <m/>
    <m/>
  </r>
  <r>
    <m/>
    <m/>
    <x v="0"/>
    <x v="0"/>
    <m/>
    <n v="16101860"/>
    <m/>
    <m/>
    <m/>
  </r>
  <r>
    <m/>
    <m/>
    <x v="0"/>
    <x v="0"/>
    <m/>
    <n v="16101860"/>
    <m/>
    <m/>
    <m/>
  </r>
  <r>
    <m/>
    <m/>
    <x v="0"/>
    <x v="0"/>
    <m/>
    <n v="16101860"/>
    <m/>
    <m/>
    <m/>
  </r>
  <r>
    <m/>
    <m/>
    <x v="0"/>
    <x v="0"/>
    <m/>
    <n v="16101860"/>
    <m/>
    <m/>
    <m/>
  </r>
  <r>
    <m/>
    <m/>
    <x v="0"/>
    <x v="0"/>
    <m/>
    <n v="16101860"/>
    <m/>
    <m/>
    <m/>
  </r>
  <r>
    <m/>
    <m/>
    <x v="0"/>
    <x v="0"/>
    <m/>
    <n v="16101860"/>
    <m/>
    <m/>
    <m/>
  </r>
  <r>
    <m/>
    <m/>
    <x v="0"/>
    <x v="0"/>
    <m/>
    <n v="16101860"/>
    <m/>
    <m/>
    <m/>
  </r>
  <r>
    <m/>
    <m/>
    <x v="0"/>
    <x v="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0B74B-351A-4D5E-A67A-54C2EFA650B5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12" firstHeaderRow="0" firstDataRow="1" firstDataCol="1"/>
  <pivotFields count="9">
    <pivotField showAll="0"/>
    <pivotField showAll="0"/>
    <pivotField axis="axisRow" showAll="0">
      <items count="9">
        <item x="7"/>
        <item x="2"/>
        <item x="4"/>
        <item x="5"/>
        <item x="3"/>
        <item x="6"/>
        <item x="1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POSITO" fld="6" baseField="0" baseItem="0"/>
    <dataField name="Sum of GIROS" fld="7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FBA61-5D34-4DFC-8DFF-F878FB41F631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6:D19" firstHeaderRow="0" firstDataRow="1" firstDataCol="1"/>
  <pivotFields count="9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dataField="1"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POSITO" fld="6" baseField="0" baseItem="0"/>
    <dataField name="Sum of GIROS" fld="7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7AE28-2375-48C7-A656-DEEB93D52957}" name="Table1" displayName="Table1" ref="A1:A13" totalsRowShown="0">
  <autoFilter ref="A1:A13" xr:uid="{BAD7AE28-2375-48C7-A656-DEEB93D52957}"/>
  <tableColumns count="1">
    <tableColumn id="1" xr3:uid="{FEF01675-AE39-4947-90B4-FF4A152ABEB8}" name="CATEGOR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B82FD5-B412-4E0D-B077-4C640B1E542E}" name="Table2" displayName="Table2" ref="B1:B15" totalsRowShown="0">
  <autoFilter ref="B1:B15" xr:uid="{2BB82FD5-B412-4E0D-B077-4C640B1E542E}"/>
  <tableColumns count="1">
    <tableColumn id="1" xr3:uid="{C4DCE3EE-B2B2-48E4-94C9-F8A181717A95}" name="SU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B17A59-AF6C-48F0-907F-CEAA0B2FCA8E}" name="Table24" displayName="Table24" ref="C1:C20" totalsRowShown="0">
  <autoFilter ref="C1:C20" xr:uid="{B2B17A59-AF6C-48F0-907F-CEAA0B2FCA8E}"/>
  <tableColumns count="1">
    <tableColumn id="1" xr3:uid="{D2CD608D-B889-4507-B03E-F78EFF712635}" name="PARCE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5"/>
  <sheetViews>
    <sheetView tabSelected="1" workbookViewId="0">
      <selection activeCell="E339" sqref="E339"/>
    </sheetView>
  </sheetViews>
  <sheetFormatPr defaultRowHeight="14.4" x14ac:dyDescent="0.3"/>
  <cols>
    <col min="1" max="1" width="12" style="4" customWidth="1"/>
    <col min="2" max="2" width="43.33203125" bestFit="1" customWidth="1"/>
    <col min="3" max="3" width="18.33203125" bestFit="1" customWidth="1"/>
    <col min="4" max="4" width="9.33203125" bestFit="1" customWidth="1"/>
    <col min="5" max="5" width="25.109375" bestFit="1" customWidth="1"/>
    <col min="6" max="8" width="17.33203125" style="6" customWidth="1"/>
    <col min="9" max="9" width="56.6640625" customWidth="1"/>
  </cols>
  <sheetData>
    <row r="1" spans="1:28" ht="18" thickBot="1" x14ac:dyDescent="0.35">
      <c r="A1" s="3" t="s">
        <v>7</v>
      </c>
      <c r="B1" s="1" t="s">
        <v>0</v>
      </c>
      <c r="C1" s="1" t="s">
        <v>1</v>
      </c>
      <c r="D1" s="1" t="s">
        <v>2</v>
      </c>
      <c r="E1" s="1" t="s">
        <v>46</v>
      </c>
      <c r="F1" s="5" t="s">
        <v>3</v>
      </c>
      <c r="G1" s="5" t="s">
        <v>4</v>
      </c>
      <c r="H1" s="5" t="s">
        <v>5</v>
      </c>
      <c r="I1" s="1" t="s">
        <v>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3">
      <c r="A2" s="4">
        <v>45658</v>
      </c>
      <c r="B2" t="s">
        <v>8</v>
      </c>
      <c r="F2" s="6">
        <v>400801</v>
      </c>
    </row>
    <row r="3" spans="1:28" x14ac:dyDescent="0.3">
      <c r="A3" s="4">
        <v>45660</v>
      </c>
      <c r="B3" t="s">
        <v>35</v>
      </c>
      <c r="C3" t="s">
        <v>12</v>
      </c>
      <c r="E3" t="s">
        <v>53</v>
      </c>
      <c r="F3" s="6">
        <f>+F2+G2+H2</f>
        <v>400801</v>
      </c>
      <c r="G3" s="6">
        <v>401094</v>
      </c>
      <c r="I3" t="s">
        <v>57</v>
      </c>
    </row>
    <row r="4" spans="1:28" x14ac:dyDescent="0.3">
      <c r="A4" s="4">
        <v>45663</v>
      </c>
      <c r="B4" t="s">
        <v>36</v>
      </c>
      <c r="C4" t="s">
        <v>12</v>
      </c>
      <c r="E4" t="s">
        <v>255</v>
      </c>
      <c r="F4" s="6">
        <f t="shared" ref="F4:F67" si="0">+F3+G3+H3</f>
        <v>801895</v>
      </c>
      <c r="G4" s="6">
        <v>454173</v>
      </c>
      <c r="I4" t="s">
        <v>55</v>
      </c>
    </row>
    <row r="5" spans="1:28" x14ac:dyDescent="0.3">
      <c r="A5" s="4">
        <v>45664</v>
      </c>
      <c r="B5" t="s">
        <v>37</v>
      </c>
      <c r="C5" t="s">
        <v>9</v>
      </c>
      <c r="F5" s="6">
        <f t="shared" si="0"/>
        <v>1256068</v>
      </c>
      <c r="H5" s="6">
        <v>-125416</v>
      </c>
    </row>
    <row r="6" spans="1:28" x14ac:dyDescent="0.3">
      <c r="A6" s="4">
        <v>45664</v>
      </c>
      <c r="B6" t="s">
        <v>38</v>
      </c>
      <c r="C6" t="s">
        <v>12</v>
      </c>
      <c r="E6" t="s">
        <v>48</v>
      </c>
      <c r="F6" s="6">
        <f t="shared" si="0"/>
        <v>1130652</v>
      </c>
      <c r="G6" s="6">
        <v>408143</v>
      </c>
      <c r="I6" t="s">
        <v>55</v>
      </c>
    </row>
    <row r="7" spans="1:28" x14ac:dyDescent="0.3">
      <c r="A7" s="4">
        <v>45664</v>
      </c>
      <c r="B7" t="s">
        <v>39</v>
      </c>
      <c r="C7" t="s">
        <v>12</v>
      </c>
      <c r="E7" t="s">
        <v>49</v>
      </c>
      <c r="F7" s="6">
        <f t="shared" si="0"/>
        <v>1538795</v>
      </c>
      <c r="G7" s="6">
        <v>637236</v>
      </c>
      <c r="I7" t="s">
        <v>56</v>
      </c>
    </row>
    <row r="8" spans="1:28" x14ac:dyDescent="0.3">
      <c r="A8" s="4">
        <v>45665</v>
      </c>
      <c r="B8" t="s">
        <v>40</v>
      </c>
      <c r="C8" t="s">
        <v>9</v>
      </c>
      <c r="F8" s="6">
        <f t="shared" si="0"/>
        <v>2176031</v>
      </c>
      <c r="H8" s="6">
        <v>-100000</v>
      </c>
      <c r="I8" t="s">
        <v>45</v>
      </c>
    </row>
    <row r="9" spans="1:28" x14ac:dyDescent="0.3">
      <c r="A9" s="4">
        <v>45666</v>
      </c>
      <c r="B9" t="s">
        <v>41</v>
      </c>
      <c r="C9" t="s">
        <v>9</v>
      </c>
      <c r="F9" s="7">
        <f t="shared" si="0"/>
        <v>2076031</v>
      </c>
      <c r="G9" s="7"/>
      <c r="H9" s="7">
        <v>-33442</v>
      </c>
    </row>
    <row r="10" spans="1:28" x14ac:dyDescent="0.3">
      <c r="A10" s="4">
        <v>45672</v>
      </c>
      <c r="B10" t="s">
        <v>42</v>
      </c>
      <c r="C10" t="s">
        <v>9</v>
      </c>
      <c r="F10" s="6">
        <f t="shared" si="0"/>
        <v>2042589</v>
      </c>
      <c r="H10" s="6">
        <v>-24500</v>
      </c>
    </row>
    <row r="11" spans="1:28" x14ac:dyDescent="0.3">
      <c r="A11" s="4">
        <v>45685</v>
      </c>
      <c r="B11" t="s">
        <v>43</v>
      </c>
      <c r="C11" t="s">
        <v>12</v>
      </c>
      <c r="E11" t="s">
        <v>105</v>
      </c>
      <c r="F11" s="6">
        <f t="shared" si="0"/>
        <v>2018089</v>
      </c>
      <c r="G11" s="6">
        <v>264520</v>
      </c>
      <c r="I11" t="s">
        <v>54</v>
      </c>
    </row>
    <row r="12" spans="1:28" x14ac:dyDescent="0.3">
      <c r="A12" s="4">
        <v>45685</v>
      </c>
      <c r="B12" t="s">
        <v>44</v>
      </c>
      <c r="C12" t="s">
        <v>9</v>
      </c>
      <c r="F12" s="6">
        <f t="shared" si="0"/>
        <v>2282609</v>
      </c>
      <c r="H12" s="6">
        <v>-600000</v>
      </c>
      <c r="I12" t="s">
        <v>58</v>
      </c>
    </row>
    <row r="13" spans="1:28" x14ac:dyDescent="0.3">
      <c r="A13" s="4">
        <v>45693</v>
      </c>
      <c r="B13" t="s">
        <v>36</v>
      </c>
      <c r="C13" t="s">
        <v>12</v>
      </c>
      <c r="E13" t="s">
        <v>255</v>
      </c>
      <c r="F13" s="6">
        <f t="shared" si="0"/>
        <v>1682609</v>
      </c>
      <c r="G13" s="6">
        <v>453580</v>
      </c>
      <c r="I13" t="s">
        <v>59</v>
      </c>
    </row>
    <row r="14" spans="1:28" x14ac:dyDescent="0.3">
      <c r="A14" s="4">
        <v>45694</v>
      </c>
      <c r="B14" t="s">
        <v>38</v>
      </c>
      <c r="C14" t="s">
        <v>12</v>
      </c>
      <c r="E14" t="s">
        <v>48</v>
      </c>
      <c r="F14" s="6">
        <f t="shared" si="0"/>
        <v>2136189</v>
      </c>
      <c r="G14" s="6">
        <v>406749</v>
      </c>
      <c r="I14" t="s">
        <v>59</v>
      </c>
    </row>
    <row r="15" spans="1:28" x14ac:dyDescent="0.3">
      <c r="A15" s="4">
        <v>45694</v>
      </c>
      <c r="B15" t="s">
        <v>35</v>
      </c>
      <c r="C15" t="s">
        <v>12</v>
      </c>
      <c r="E15" t="s">
        <v>53</v>
      </c>
      <c r="F15" s="6">
        <f t="shared" si="0"/>
        <v>2542938</v>
      </c>
      <c r="G15" s="6">
        <v>400572</v>
      </c>
      <c r="I15" t="s">
        <v>75</v>
      </c>
    </row>
    <row r="16" spans="1:28" x14ac:dyDescent="0.3">
      <c r="A16" s="4">
        <v>45695</v>
      </c>
      <c r="B16" t="s">
        <v>39</v>
      </c>
      <c r="C16" t="s">
        <v>12</v>
      </c>
      <c r="E16" t="s">
        <v>49</v>
      </c>
      <c r="F16" s="6">
        <f t="shared" si="0"/>
        <v>2943510</v>
      </c>
      <c r="G16" s="6">
        <v>636175</v>
      </c>
      <c r="I16" t="s">
        <v>76</v>
      </c>
    </row>
    <row r="17" spans="1:9" x14ac:dyDescent="0.3">
      <c r="A17" s="4">
        <v>45699</v>
      </c>
      <c r="B17" t="s">
        <v>60</v>
      </c>
      <c r="C17" t="s">
        <v>12</v>
      </c>
      <c r="E17" t="s">
        <v>61</v>
      </c>
      <c r="F17" s="6">
        <f t="shared" si="0"/>
        <v>3579685</v>
      </c>
      <c r="G17" s="6">
        <v>200000</v>
      </c>
      <c r="I17" t="s">
        <v>62</v>
      </c>
    </row>
    <row r="18" spans="1:9" x14ac:dyDescent="0.3">
      <c r="A18" s="4">
        <v>45701</v>
      </c>
      <c r="B18" t="s">
        <v>37</v>
      </c>
      <c r="C18" t="s">
        <v>9</v>
      </c>
      <c r="F18" s="6">
        <f t="shared" si="0"/>
        <v>3779685</v>
      </c>
      <c r="H18" s="6">
        <v>-5413</v>
      </c>
    </row>
    <row r="19" spans="1:9" x14ac:dyDescent="0.3">
      <c r="A19" s="4">
        <v>45701</v>
      </c>
      <c r="B19" t="s">
        <v>63</v>
      </c>
      <c r="C19" t="s">
        <v>12</v>
      </c>
      <c r="E19" t="s">
        <v>47</v>
      </c>
      <c r="F19" s="6">
        <f t="shared" si="0"/>
        <v>3774272</v>
      </c>
      <c r="G19" s="6">
        <v>522719</v>
      </c>
      <c r="I19" t="s">
        <v>77</v>
      </c>
    </row>
    <row r="20" spans="1:9" x14ac:dyDescent="0.3">
      <c r="A20" s="4">
        <v>45705</v>
      </c>
      <c r="B20" t="s">
        <v>64</v>
      </c>
      <c r="C20" t="s">
        <v>12</v>
      </c>
      <c r="E20" t="s">
        <v>65</v>
      </c>
      <c r="F20" s="6">
        <f t="shared" si="0"/>
        <v>4296991</v>
      </c>
      <c r="G20" s="6">
        <v>200000</v>
      </c>
      <c r="I20" t="s">
        <v>66</v>
      </c>
    </row>
    <row r="21" spans="1:9" x14ac:dyDescent="0.3">
      <c r="A21" s="4">
        <v>45705</v>
      </c>
      <c r="B21" t="s">
        <v>40</v>
      </c>
      <c r="C21" t="s">
        <v>9</v>
      </c>
      <c r="F21" s="6">
        <f t="shared" si="0"/>
        <v>4496991</v>
      </c>
      <c r="H21" s="6">
        <v>-100000</v>
      </c>
      <c r="I21" t="s">
        <v>45</v>
      </c>
    </row>
    <row r="22" spans="1:9" x14ac:dyDescent="0.3">
      <c r="A22" s="4">
        <v>45705</v>
      </c>
      <c r="B22" t="s">
        <v>67</v>
      </c>
      <c r="C22" t="s">
        <v>12</v>
      </c>
      <c r="E22" t="s">
        <v>52</v>
      </c>
      <c r="F22" s="6">
        <f t="shared" si="0"/>
        <v>4396991</v>
      </c>
      <c r="G22" s="6">
        <v>1628832</v>
      </c>
      <c r="I22" t="s">
        <v>78</v>
      </c>
    </row>
    <row r="23" spans="1:9" x14ac:dyDescent="0.3">
      <c r="A23" s="4">
        <v>45709</v>
      </c>
      <c r="B23" t="s">
        <v>68</v>
      </c>
      <c r="C23" t="s">
        <v>12</v>
      </c>
      <c r="E23" t="s">
        <v>69</v>
      </c>
      <c r="F23" s="6">
        <f t="shared" si="0"/>
        <v>6025823</v>
      </c>
      <c r="G23" s="6">
        <v>200000</v>
      </c>
      <c r="I23" t="s">
        <v>70</v>
      </c>
    </row>
    <row r="24" spans="1:9" x14ac:dyDescent="0.3">
      <c r="A24" s="4">
        <v>45712</v>
      </c>
      <c r="B24" t="s">
        <v>44</v>
      </c>
      <c r="C24" t="s">
        <v>9</v>
      </c>
      <c r="F24" s="6">
        <f t="shared" si="0"/>
        <v>6225823</v>
      </c>
      <c r="H24" s="6">
        <v>-500000</v>
      </c>
      <c r="I24" t="s">
        <v>58</v>
      </c>
    </row>
    <row r="25" spans="1:9" x14ac:dyDescent="0.3">
      <c r="A25" s="4">
        <v>45712</v>
      </c>
      <c r="B25" t="s">
        <v>71</v>
      </c>
      <c r="C25" t="s">
        <v>9</v>
      </c>
      <c r="F25" s="6">
        <f t="shared" si="0"/>
        <v>5725823</v>
      </c>
      <c r="H25" s="6">
        <v>-51165</v>
      </c>
      <c r="I25" t="s">
        <v>72</v>
      </c>
    </row>
    <row r="26" spans="1:9" x14ac:dyDescent="0.3">
      <c r="A26" s="4">
        <v>45715</v>
      </c>
      <c r="B26" t="s">
        <v>43</v>
      </c>
      <c r="C26" t="s">
        <v>12</v>
      </c>
      <c r="E26" t="s">
        <v>105</v>
      </c>
      <c r="F26" s="6">
        <f t="shared" si="0"/>
        <v>5674658</v>
      </c>
      <c r="G26" s="6">
        <v>266180</v>
      </c>
      <c r="I26" t="s">
        <v>73</v>
      </c>
    </row>
    <row r="27" spans="1:9" x14ac:dyDescent="0.3">
      <c r="A27" s="4">
        <v>45716</v>
      </c>
      <c r="B27" t="s">
        <v>35</v>
      </c>
      <c r="C27" t="s">
        <v>12</v>
      </c>
      <c r="E27" t="s">
        <v>53</v>
      </c>
      <c r="F27" s="6">
        <f t="shared" si="0"/>
        <v>5940838</v>
      </c>
      <c r="G27" s="6">
        <v>403474</v>
      </c>
      <c r="I27" t="s">
        <v>79</v>
      </c>
    </row>
    <row r="28" spans="1:9" x14ac:dyDescent="0.3">
      <c r="A28" s="4">
        <v>45720</v>
      </c>
      <c r="B28" t="s">
        <v>36</v>
      </c>
      <c r="C28" t="s">
        <v>12</v>
      </c>
      <c r="E28" t="s">
        <v>255</v>
      </c>
      <c r="F28" s="6">
        <f t="shared" si="0"/>
        <v>6344312</v>
      </c>
      <c r="G28" s="6">
        <v>457351</v>
      </c>
      <c r="I28" t="s">
        <v>80</v>
      </c>
    </row>
    <row r="29" spans="1:9" x14ac:dyDescent="0.3">
      <c r="A29" s="4">
        <v>45720</v>
      </c>
      <c r="B29" t="s">
        <v>40</v>
      </c>
      <c r="C29" t="s">
        <v>9</v>
      </c>
      <c r="F29" s="6">
        <f t="shared" si="0"/>
        <v>6801663</v>
      </c>
      <c r="H29" s="6">
        <v>-100000</v>
      </c>
      <c r="I29" t="s">
        <v>45</v>
      </c>
    </row>
    <row r="30" spans="1:9" x14ac:dyDescent="0.3">
      <c r="A30" s="4">
        <v>45721</v>
      </c>
      <c r="B30" t="s">
        <v>42</v>
      </c>
      <c r="C30" t="s">
        <v>9</v>
      </c>
      <c r="F30" s="6">
        <f t="shared" si="0"/>
        <v>6701663</v>
      </c>
      <c r="H30" s="6">
        <v>-24500</v>
      </c>
      <c r="I30" t="s">
        <v>74</v>
      </c>
    </row>
    <row r="31" spans="1:9" x14ac:dyDescent="0.3">
      <c r="A31" s="4">
        <v>45722</v>
      </c>
      <c r="B31" t="s">
        <v>38</v>
      </c>
      <c r="C31" t="s">
        <v>12</v>
      </c>
      <c r="E31" t="s">
        <v>48</v>
      </c>
      <c r="F31" s="6">
        <f t="shared" si="0"/>
        <v>6677163</v>
      </c>
      <c r="G31" s="6">
        <v>402881</v>
      </c>
      <c r="I31" t="s">
        <v>80</v>
      </c>
    </row>
    <row r="32" spans="1:9" x14ac:dyDescent="0.3">
      <c r="A32" s="4">
        <v>45723</v>
      </c>
      <c r="B32" t="s">
        <v>71</v>
      </c>
      <c r="C32" t="s">
        <v>20</v>
      </c>
      <c r="D32" t="s">
        <v>21</v>
      </c>
      <c r="F32" s="6">
        <f t="shared" si="0"/>
        <v>7080044</v>
      </c>
      <c r="H32" s="6">
        <v>-5000000</v>
      </c>
    </row>
    <row r="33" spans="1:9" x14ac:dyDescent="0.3">
      <c r="A33" s="4">
        <v>45723</v>
      </c>
      <c r="B33" t="s">
        <v>71</v>
      </c>
      <c r="C33" t="s">
        <v>20</v>
      </c>
      <c r="D33" t="s">
        <v>21</v>
      </c>
      <c r="F33" s="6">
        <f t="shared" si="0"/>
        <v>2080044</v>
      </c>
      <c r="H33" s="6">
        <v>-2000000</v>
      </c>
    </row>
    <row r="34" spans="1:9" x14ac:dyDescent="0.3">
      <c r="A34" s="4">
        <v>45726</v>
      </c>
      <c r="B34" t="s">
        <v>39</v>
      </c>
      <c r="C34" t="s">
        <v>12</v>
      </c>
      <c r="E34" t="s">
        <v>49</v>
      </c>
      <c r="F34" s="6">
        <f t="shared" si="0"/>
        <v>80044</v>
      </c>
      <c r="G34" s="6">
        <v>642790</v>
      </c>
      <c r="I34" t="s">
        <v>92</v>
      </c>
    </row>
    <row r="35" spans="1:9" x14ac:dyDescent="0.3">
      <c r="A35" s="4">
        <v>45728</v>
      </c>
      <c r="B35" t="s">
        <v>81</v>
      </c>
      <c r="C35" t="s">
        <v>9</v>
      </c>
      <c r="F35" s="6">
        <f t="shared" si="0"/>
        <v>722834</v>
      </c>
      <c r="H35" s="6">
        <v>-178500</v>
      </c>
    </row>
    <row r="36" spans="1:9" x14ac:dyDescent="0.3">
      <c r="A36" s="4">
        <v>45728</v>
      </c>
      <c r="B36" t="s">
        <v>37</v>
      </c>
      <c r="C36" t="s">
        <v>14</v>
      </c>
      <c r="F36" s="6">
        <f t="shared" si="0"/>
        <v>544334</v>
      </c>
      <c r="H36" s="6">
        <v>-13296</v>
      </c>
    </row>
    <row r="37" spans="1:9" x14ac:dyDescent="0.3">
      <c r="A37" s="4">
        <v>45730</v>
      </c>
      <c r="B37" t="s">
        <v>63</v>
      </c>
      <c r="C37" t="s">
        <v>12</v>
      </c>
      <c r="E37" t="s">
        <v>47</v>
      </c>
      <c r="F37" s="6">
        <f t="shared" si="0"/>
        <v>531038</v>
      </c>
      <c r="G37" s="6">
        <v>528122</v>
      </c>
      <c r="I37" t="s">
        <v>91</v>
      </c>
    </row>
    <row r="38" spans="1:9" x14ac:dyDescent="0.3">
      <c r="A38" s="4">
        <v>45730</v>
      </c>
      <c r="B38" t="s">
        <v>64</v>
      </c>
      <c r="C38" t="s">
        <v>12</v>
      </c>
      <c r="E38" t="s">
        <v>65</v>
      </c>
      <c r="F38" s="6">
        <f t="shared" si="0"/>
        <v>1059160</v>
      </c>
      <c r="G38" s="6">
        <v>4800000</v>
      </c>
      <c r="I38" t="s">
        <v>90</v>
      </c>
    </row>
    <row r="39" spans="1:9" x14ac:dyDescent="0.3">
      <c r="A39" s="4">
        <v>45730</v>
      </c>
      <c r="B39" t="s">
        <v>71</v>
      </c>
      <c r="C39" t="s">
        <v>20</v>
      </c>
      <c r="D39" t="s">
        <v>21</v>
      </c>
      <c r="F39" s="6">
        <f t="shared" si="0"/>
        <v>5859160</v>
      </c>
      <c r="H39" s="6">
        <v>-859160</v>
      </c>
    </row>
    <row r="40" spans="1:9" x14ac:dyDescent="0.3">
      <c r="A40" s="4">
        <v>45730</v>
      </c>
      <c r="B40" t="s">
        <v>71</v>
      </c>
      <c r="C40" t="s">
        <v>20</v>
      </c>
      <c r="D40" t="s">
        <v>21</v>
      </c>
      <c r="F40" s="6">
        <f t="shared" si="0"/>
        <v>5000000</v>
      </c>
      <c r="H40" s="6">
        <v>-5000000</v>
      </c>
    </row>
    <row r="41" spans="1:9" x14ac:dyDescent="0.3">
      <c r="A41" s="4">
        <v>45741</v>
      </c>
      <c r="B41" t="s">
        <v>82</v>
      </c>
      <c r="C41" t="s">
        <v>12</v>
      </c>
      <c r="E41" t="s">
        <v>88</v>
      </c>
      <c r="F41" s="6">
        <f t="shared" si="0"/>
        <v>0</v>
      </c>
      <c r="G41" s="6">
        <v>400000</v>
      </c>
      <c r="I41" t="s">
        <v>89</v>
      </c>
    </row>
    <row r="42" spans="1:9" x14ac:dyDescent="0.3">
      <c r="A42" s="4">
        <v>45743</v>
      </c>
      <c r="B42" t="s">
        <v>83</v>
      </c>
      <c r="C42" t="s">
        <v>9</v>
      </c>
      <c r="F42" s="6">
        <f t="shared" si="0"/>
        <v>400000</v>
      </c>
      <c r="H42" s="6">
        <v>-23000</v>
      </c>
    </row>
    <row r="43" spans="1:9" x14ac:dyDescent="0.3">
      <c r="A43" s="4">
        <v>45743</v>
      </c>
      <c r="B43" t="s">
        <v>43</v>
      </c>
      <c r="C43" t="s">
        <v>12</v>
      </c>
      <c r="E43" t="s">
        <v>105</v>
      </c>
      <c r="F43" s="6">
        <f t="shared" si="0"/>
        <v>377000</v>
      </c>
      <c r="G43" s="6">
        <v>267842</v>
      </c>
      <c r="I43" t="s">
        <v>106</v>
      </c>
    </row>
    <row r="44" spans="1:9" x14ac:dyDescent="0.3">
      <c r="A44" s="4">
        <v>45743</v>
      </c>
      <c r="B44" t="s">
        <v>42</v>
      </c>
      <c r="C44" t="s">
        <v>10</v>
      </c>
      <c r="F44" s="6">
        <f t="shared" si="0"/>
        <v>644842</v>
      </c>
      <c r="H44" s="6">
        <v>-31900</v>
      </c>
    </row>
    <row r="45" spans="1:9" x14ac:dyDescent="0.3">
      <c r="A45" s="4">
        <v>45743</v>
      </c>
      <c r="B45" t="s">
        <v>83</v>
      </c>
      <c r="C45" t="s">
        <v>9</v>
      </c>
      <c r="F45" s="6">
        <f t="shared" si="0"/>
        <v>612942</v>
      </c>
      <c r="H45" s="6">
        <v>-3402</v>
      </c>
    </row>
    <row r="46" spans="1:9" x14ac:dyDescent="0.3">
      <c r="A46" s="4">
        <v>45744</v>
      </c>
      <c r="B46" t="s">
        <v>84</v>
      </c>
      <c r="C46" t="s">
        <v>10</v>
      </c>
      <c r="F46" s="6">
        <f t="shared" si="0"/>
        <v>609540</v>
      </c>
      <c r="H46" s="6">
        <v>-60000</v>
      </c>
    </row>
    <row r="47" spans="1:9" x14ac:dyDescent="0.3">
      <c r="A47" s="4">
        <v>45744</v>
      </c>
      <c r="B47" t="s">
        <v>84</v>
      </c>
      <c r="C47" t="s">
        <v>10</v>
      </c>
      <c r="F47" s="6">
        <f t="shared" si="0"/>
        <v>549540</v>
      </c>
      <c r="H47" s="6">
        <v>-70000</v>
      </c>
    </row>
    <row r="48" spans="1:9" x14ac:dyDescent="0.3">
      <c r="A48" s="4">
        <v>45748</v>
      </c>
      <c r="B48" t="s">
        <v>68</v>
      </c>
      <c r="C48" t="s">
        <v>12</v>
      </c>
      <c r="E48" t="s">
        <v>69</v>
      </c>
      <c r="F48" s="6">
        <f t="shared" si="0"/>
        <v>479540</v>
      </c>
      <c r="G48" s="6">
        <v>3800000</v>
      </c>
      <c r="I48" t="s">
        <v>108</v>
      </c>
    </row>
    <row r="49" spans="1:9" x14ac:dyDescent="0.3">
      <c r="A49" s="4">
        <v>45748</v>
      </c>
      <c r="B49" t="s">
        <v>71</v>
      </c>
      <c r="C49" t="s">
        <v>20</v>
      </c>
      <c r="D49" t="s">
        <v>21</v>
      </c>
      <c r="F49" s="6">
        <f t="shared" si="0"/>
        <v>4279540</v>
      </c>
      <c r="H49" s="6">
        <v>-2000000</v>
      </c>
    </row>
    <row r="50" spans="1:9" x14ac:dyDescent="0.3">
      <c r="A50" s="4">
        <v>45748</v>
      </c>
      <c r="B50" t="s">
        <v>40</v>
      </c>
      <c r="C50" t="s">
        <v>9</v>
      </c>
      <c r="F50" s="6">
        <f t="shared" si="0"/>
        <v>2279540</v>
      </c>
      <c r="H50" s="6">
        <v>-100000</v>
      </c>
      <c r="I50" t="s">
        <v>45</v>
      </c>
    </row>
    <row r="51" spans="1:9" x14ac:dyDescent="0.3">
      <c r="A51" s="4">
        <v>45749</v>
      </c>
      <c r="B51" t="s">
        <v>42</v>
      </c>
      <c r="C51" t="s">
        <v>10</v>
      </c>
      <c r="F51" s="6">
        <f t="shared" si="0"/>
        <v>2179540</v>
      </c>
      <c r="H51" s="6">
        <v>-256000</v>
      </c>
      <c r="I51" t="s">
        <v>87</v>
      </c>
    </row>
    <row r="52" spans="1:9" x14ac:dyDescent="0.3">
      <c r="A52" s="4">
        <v>45749</v>
      </c>
      <c r="B52" t="s">
        <v>85</v>
      </c>
      <c r="C52" t="s">
        <v>9</v>
      </c>
      <c r="F52" s="6">
        <f t="shared" si="0"/>
        <v>1923540</v>
      </c>
      <c r="H52" s="6">
        <v>-1413529</v>
      </c>
      <c r="I52" t="s">
        <v>86</v>
      </c>
    </row>
    <row r="53" spans="1:9" x14ac:dyDescent="0.3">
      <c r="A53" s="4">
        <v>45750</v>
      </c>
      <c r="B53" t="s">
        <v>39</v>
      </c>
      <c r="C53" t="s">
        <v>12</v>
      </c>
      <c r="E53" t="s">
        <v>49</v>
      </c>
      <c r="F53" s="6">
        <f t="shared" si="0"/>
        <v>510011</v>
      </c>
      <c r="G53" s="6">
        <v>645111</v>
      </c>
      <c r="I53" t="s">
        <v>93</v>
      </c>
    </row>
    <row r="54" spans="1:9" x14ac:dyDescent="0.3">
      <c r="A54" s="4">
        <v>45751</v>
      </c>
      <c r="B54" t="s">
        <v>64</v>
      </c>
      <c r="C54" t="s">
        <v>12</v>
      </c>
      <c r="E54" t="s">
        <v>65</v>
      </c>
      <c r="F54" s="6">
        <f t="shared" si="0"/>
        <v>1155122</v>
      </c>
      <c r="G54" s="6">
        <v>719819</v>
      </c>
      <c r="I54" t="s">
        <v>54</v>
      </c>
    </row>
    <row r="55" spans="1:9" x14ac:dyDescent="0.3">
      <c r="A55" s="4">
        <v>45751</v>
      </c>
      <c r="B55" t="s">
        <v>35</v>
      </c>
      <c r="C55" t="s">
        <v>12</v>
      </c>
      <c r="E55" t="s">
        <v>53</v>
      </c>
      <c r="F55" s="6">
        <f t="shared" si="0"/>
        <v>1874941</v>
      </c>
      <c r="G55" s="6">
        <v>406262</v>
      </c>
      <c r="I55" t="s">
        <v>110</v>
      </c>
    </row>
    <row r="56" spans="1:9" x14ac:dyDescent="0.3">
      <c r="A56" s="4">
        <v>45754</v>
      </c>
      <c r="B56" t="s">
        <v>38</v>
      </c>
      <c r="C56" t="s">
        <v>12</v>
      </c>
      <c r="E56" t="s">
        <v>48</v>
      </c>
      <c r="F56" s="6">
        <f t="shared" si="0"/>
        <v>2281203</v>
      </c>
      <c r="G56" s="6">
        <v>413320</v>
      </c>
      <c r="I56" t="s">
        <v>104</v>
      </c>
    </row>
    <row r="57" spans="1:9" x14ac:dyDescent="0.3">
      <c r="A57" s="4">
        <v>45755</v>
      </c>
      <c r="B57" t="s">
        <v>84</v>
      </c>
      <c r="C57" t="s">
        <v>10</v>
      </c>
      <c r="F57" s="6">
        <f t="shared" si="0"/>
        <v>2694523</v>
      </c>
      <c r="H57" s="6">
        <v>-50000</v>
      </c>
    </row>
    <row r="58" spans="1:9" x14ac:dyDescent="0.3">
      <c r="A58" s="4">
        <v>45755</v>
      </c>
      <c r="B58" t="s">
        <v>83</v>
      </c>
      <c r="C58" t="s">
        <v>9</v>
      </c>
      <c r="F58" s="6">
        <f t="shared" si="0"/>
        <v>2644523</v>
      </c>
      <c r="H58" s="6">
        <v>-6900</v>
      </c>
    </row>
    <row r="59" spans="1:9" x14ac:dyDescent="0.3">
      <c r="A59" s="4">
        <v>45755</v>
      </c>
      <c r="B59" t="s">
        <v>82</v>
      </c>
      <c r="C59" t="s">
        <v>12</v>
      </c>
      <c r="E59" t="s">
        <v>88</v>
      </c>
      <c r="F59" s="6">
        <f t="shared" si="0"/>
        <v>2637623</v>
      </c>
      <c r="G59" s="6">
        <v>2800000</v>
      </c>
      <c r="I59" t="s">
        <v>100</v>
      </c>
    </row>
    <row r="60" spans="1:9" x14ac:dyDescent="0.3">
      <c r="A60" s="4">
        <v>45755</v>
      </c>
      <c r="B60" t="s">
        <v>82</v>
      </c>
      <c r="C60" t="s">
        <v>12</v>
      </c>
      <c r="E60" t="s">
        <v>88</v>
      </c>
      <c r="F60" s="6">
        <f t="shared" si="0"/>
        <v>5437623</v>
      </c>
      <c r="G60" s="6">
        <v>2800000</v>
      </c>
      <c r="I60" t="s">
        <v>101</v>
      </c>
    </row>
    <row r="61" spans="1:9" x14ac:dyDescent="0.3">
      <c r="A61" s="4">
        <v>45756</v>
      </c>
      <c r="B61" t="s">
        <v>94</v>
      </c>
      <c r="C61" t="s">
        <v>9</v>
      </c>
      <c r="F61" s="6">
        <f t="shared" si="0"/>
        <v>8237623</v>
      </c>
      <c r="H61" s="6">
        <v>-50000</v>
      </c>
      <c r="I61" t="s">
        <v>99</v>
      </c>
    </row>
    <row r="62" spans="1:9" x14ac:dyDescent="0.3">
      <c r="A62" s="4">
        <v>45756</v>
      </c>
      <c r="B62" t="s">
        <v>94</v>
      </c>
      <c r="C62" t="s">
        <v>9</v>
      </c>
      <c r="F62" s="6">
        <f t="shared" si="0"/>
        <v>8187623</v>
      </c>
      <c r="H62" s="6">
        <v>-34500</v>
      </c>
    </row>
    <row r="63" spans="1:9" x14ac:dyDescent="0.3">
      <c r="A63" s="4">
        <v>45756</v>
      </c>
      <c r="B63" t="s">
        <v>95</v>
      </c>
      <c r="C63" t="s">
        <v>9</v>
      </c>
      <c r="F63" s="6">
        <f t="shared" si="0"/>
        <v>8153123</v>
      </c>
      <c r="H63" s="6">
        <v>-4243386</v>
      </c>
      <c r="I63" t="s">
        <v>98</v>
      </c>
    </row>
    <row r="64" spans="1:9" x14ac:dyDescent="0.3">
      <c r="A64" s="4">
        <v>45756</v>
      </c>
      <c r="B64" t="s">
        <v>96</v>
      </c>
      <c r="C64" t="s">
        <v>14</v>
      </c>
      <c r="F64" s="6">
        <f t="shared" si="0"/>
        <v>3909737</v>
      </c>
      <c r="H64" s="6">
        <v>-936022</v>
      </c>
      <c r="I64" t="s">
        <v>97</v>
      </c>
    </row>
    <row r="65" spans="1:9" x14ac:dyDescent="0.3">
      <c r="A65" s="4">
        <v>45756</v>
      </c>
      <c r="B65" t="s">
        <v>96</v>
      </c>
      <c r="C65" t="s">
        <v>14</v>
      </c>
      <c r="F65" s="6">
        <f t="shared" si="0"/>
        <v>2973715</v>
      </c>
      <c r="H65" s="6">
        <v>-863350</v>
      </c>
      <c r="I65" t="s">
        <v>97</v>
      </c>
    </row>
    <row r="66" spans="1:9" x14ac:dyDescent="0.3">
      <c r="A66" s="4">
        <v>45757</v>
      </c>
      <c r="B66" t="s">
        <v>63</v>
      </c>
      <c r="C66" t="s">
        <v>12</v>
      </c>
      <c r="E66" t="s">
        <v>47</v>
      </c>
      <c r="F66" s="6">
        <f t="shared" si="0"/>
        <v>2110365</v>
      </c>
      <c r="G66" s="6">
        <v>530041</v>
      </c>
      <c r="I66" t="s">
        <v>103</v>
      </c>
    </row>
    <row r="67" spans="1:9" x14ac:dyDescent="0.3">
      <c r="A67" s="4">
        <v>45758</v>
      </c>
      <c r="B67" t="s">
        <v>37</v>
      </c>
      <c r="C67" t="s">
        <v>9</v>
      </c>
      <c r="F67" s="6">
        <f t="shared" si="0"/>
        <v>2640406</v>
      </c>
      <c r="H67" s="6">
        <v>-17747</v>
      </c>
    </row>
    <row r="68" spans="1:9" x14ac:dyDescent="0.3">
      <c r="A68" s="4">
        <v>45762</v>
      </c>
      <c r="B68" t="s">
        <v>42</v>
      </c>
      <c r="C68" t="s">
        <v>10</v>
      </c>
      <c r="F68" s="6">
        <f t="shared" ref="F68:F131" si="1">+F67+G67+H67</f>
        <v>2622659</v>
      </c>
      <c r="H68" s="6">
        <v>-39700</v>
      </c>
    </row>
    <row r="69" spans="1:9" x14ac:dyDescent="0.3">
      <c r="A69" s="4">
        <v>45776</v>
      </c>
      <c r="B69" t="s">
        <v>102</v>
      </c>
      <c r="C69" t="s">
        <v>20</v>
      </c>
      <c r="D69" t="s">
        <v>21</v>
      </c>
      <c r="F69" s="6">
        <f t="shared" si="1"/>
        <v>2582959</v>
      </c>
      <c r="G69" s="6">
        <v>1000</v>
      </c>
    </row>
    <row r="70" spans="1:9" x14ac:dyDescent="0.3">
      <c r="A70" s="4">
        <v>45777</v>
      </c>
      <c r="B70" t="s">
        <v>43</v>
      </c>
      <c r="C70" t="s">
        <v>12</v>
      </c>
      <c r="E70" t="s">
        <v>105</v>
      </c>
      <c r="F70" s="6">
        <f t="shared" si="1"/>
        <v>2583959</v>
      </c>
      <c r="G70" s="6">
        <v>269185</v>
      </c>
      <c r="I70" t="s">
        <v>107</v>
      </c>
    </row>
    <row r="71" spans="1:9" x14ac:dyDescent="0.3">
      <c r="A71" s="4">
        <v>45779</v>
      </c>
      <c r="B71" t="s">
        <v>68</v>
      </c>
      <c r="C71" t="s">
        <v>12</v>
      </c>
      <c r="E71" t="s">
        <v>69</v>
      </c>
      <c r="F71" s="6">
        <f t="shared" si="1"/>
        <v>2853144</v>
      </c>
      <c r="G71" s="6">
        <v>405212</v>
      </c>
      <c r="I71" t="s">
        <v>54</v>
      </c>
    </row>
    <row r="72" spans="1:9" x14ac:dyDescent="0.3">
      <c r="A72" s="4">
        <v>45782</v>
      </c>
      <c r="B72" t="s">
        <v>64</v>
      </c>
      <c r="C72" t="s">
        <v>12</v>
      </c>
      <c r="E72" t="s">
        <v>65</v>
      </c>
      <c r="F72" s="6">
        <f t="shared" si="1"/>
        <v>3258356</v>
      </c>
      <c r="G72" s="6">
        <v>723135</v>
      </c>
      <c r="I72" t="s">
        <v>73</v>
      </c>
    </row>
    <row r="73" spans="1:9" x14ac:dyDescent="0.3">
      <c r="A73" s="4">
        <v>45782</v>
      </c>
      <c r="B73" t="s">
        <v>38</v>
      </c>
      <c r="C73" t="s">
        <v>12</v>
      </c>
      <c r="E73" t="s">
        <v>48</v>
      </c>
      <c r="F73" s="6">
        <f t="shared" si="1"/>
        <v>3981491</v>
      </c>
      <c r="G73" s="6">
        <v>414396</v>
      </c>
      <c r="I73" t="s">
        <v>77</v>
      </c>
    </row>
    <row r="74" spans="1:9" x14ac:dyDescent="0.3">
      <c r="A74" s="4">
        <v>45782</v>
      </c>
      <c r="B74" t="s">
        <v>35</v>
      </c>
      <c r="C74" t="s">
        <v>12</v>
      </c>
      <c r="E74" t="s">
        <v>53</v>
      </c>
      <c r="F74" s="6">
        <f t="shared" si="1"/>
        <v>4395887</v>
      </c>
      <c r="G74" s="6">
        <v>408005</v>
      </c>
      <c r="I74" t="s">
        <v>111</v>
      </c>
    </row>
    <row r="75" spans="1:9" x14ac:dyDescent="0.3">
      <c r="A75" s="4">
        <v>45782</v>
      </c>
      <c r="B75" t="s">
        <v>40</v>
      </c>
      <c r="C75" t="s">
        <v>9</v>
      </c>
      <c r="F75" s="6">
        <f t="shared" si="1"/>
        <v>4803892</v>
      </c>
      <c r="H75" s="6">
        <v>-100000</v>
      </c>
      <c r="I75" t="s">
        <v>45</v>
      </c>
    </row>
    <row r="76" spans="1:9" x14ac:dyDescent="0.3">
      <c r="A76" s="4">
        <v>45783</v>
      </c>
      <c r="B76" t="s">
        <v>102</v>
      </c>
      <c r="C76" t="s">
        <v>20</v>
      </c>
      <c r="D76" t="s">
        <v>21</v>
      </c>
      <c r="F76" s="6">
        <f t="shared" si="1"/>
        <v>4703892</v>
      </c>
      <c r="G76" s="6">
        <v>2900000</v>
      </c>
    </row>
    <row r="77" spans="1:9" x14ac:dyDescent="0.3">
      <c r="A77" s="4">
        <v>45783</v>
      </c>
      <c r="B77" t="s">
        <v>39</v>
      </c>
      <c r="C77" t="s">
        <v>12</v>
      </c>
      <c r="E77" t="s">
        <v>49</v>
      </c>
      <c r="F77" s="6">
        <f t="shared" si="1"/>
        <v>7603892</v>
      </c>
      <c r="G77" s="6">
        <v>648411</v>
      </c>
      <c r="I77" t="s">
        <v>109</v>
      </c>
    </row>
    <row r="78" spans="1:9" x14ac:dyDescent="0.3">
      <c r="A78" s="4">
        <v>45783</v>
      </c>
      <c r="B78" t="s">
        <v>112</v>
      </c>
      <c r="C78" t="s">
        <v>9</v>
      </c>
      <c r="F78" s="6">
        <f t="shared" si="1"/>
        <v>8252303</v>
      </c>
      <c r="H78" s="6">
        <v>-5000000</v>
      </c>
      <c r="I78" t="s">
        <v>114</v>
      </c>
    </row>
    <row r="79" spans="1:9" x14ac:dyDescent="0.3">
      <c r="A79" s="4">
        <v>45783</v>
      </c>
      <c r="B79" t="s">
        <v>83</v>
      </c>
      <c r="C79" t="s">
        <v>9</v>
      </c>
      <c r="F79" s="6">
        <f t="shared" si="1"/>
        <v>3252303</v>
      </c>
      <c r="H79" s="6">
        <v>-2565000</v>
      </c>
    </row>
    <row r="80" spans="1:9" x14ac:dyDescent="0.3">
      <c r="A80" s="4">
        <v>45789</v>
      </c>
      <c r="B80" t="s">
        <v>63</v>
      </c>
      <c r="C80" t="s">
        <v>12</v>
      </c>
      <c r="E80" t="s">
        <v>47</v>
      </c>
      <c r="F80" s="6">
        <f t="shared" si="1"/>
        <v>687303</v>
      </c>
      <c r="G80" s="6">
        <v>532709</v>
      </c>
      <c r="I80" t="s">
        <v>115</v>
      </c>
    </row>
    <row r="81" spans="1:9" x14ac:dyDescent="0.3">
      <c r="A81" s="4">
        <v>45790</v>
      </c>
      <c r="B81" t="s">
        <v>37</v>
      </c>
      <c r="C81" t="s">
        <v>14</v>
      </c>
      <c r="F81" s="6">
        <f t="shared" si="1"/>
        <v>1220012</v>
      </c>
      <c r="H81" s="6">
        <v>-990319</v>
      </c>
    </row>
    <row r="82" spans="1:9" x14ac:dyDescent="0.3">
      <c r="A82" s="4">
        <v>45806</v>
      </c>
      <c r="B82" t="s">
        <v>43</v>
      </c>
      <c r="C82" t="s">
        <v>12</v>
      </c>
      <c r="E82" t="s">
        <v>105</v>
      </c>
      <c r="F82" s="6">
        <f t="shared" si="1"/>
        <v>229693</v>
      </c>
      <c r="G82" s="6">
        <v>269981</v>
      </c>
      <c r="I82" t="s">
        <v>116</v>
      </c>
    </row>
    <row r="83" spans="1:9" x14ac:dyDescent="0.3">
      <c r="A83" s="4">
        <v>45810</v>
      </c>
      <c r="B83" t="s">
        <v>44</v>
      </c>
      <c r="C83" t="s">
        <v>9</v>
      </c>
      <c r="F83" s="6">
        <f t="shared" si="1"/>
        <v>499674</v>
      </c>
      <c r="H83" s="6">
        <v>-400000</v>
      </c>
      <c r="I83" t="s">
        <v>58</v>
      </c>
    </row>
    <row r="84" spans="1:9" x14ac:dyDescent="0.3">
      <c r="A84" s="4">
        <v>45810</v>
      </c>
      <c r="B84" t="s">
        <v>68</v>
      </c>
      <c r="C84" t="s">
        <v>12</v>
      </c>
      <c r="E84" t="s">
        <v>69</v>
      </c>
      <c r="F84" s="6">
        <f t="shared" si="1"/>
        <v>99674</v>
      </c>
      <c r="G84" s="6">
        <v>406395</v>
      </c>
      <c r="I84" t="s">
        <v>73</v>
      </c>
    </row>
    <row r="85" spans="1:9" x14ac:dyDescent="0.3">
      <c r="A85" s="4">
        <v>45810</v>
      </c>
      <c r="B85" t="s">
        <v>40</v>
      </c>
      <c r="C85" t="s">
        <v>9</v>
      </c>
      <c r="F85" s="6">
        <f t="shared" si="1"/>
        <v>506069</v>
      </c>
      <c r="H85" s="6">
        <v>-100000</v>
      </c>
    </row>
    <row r="86" spans="1:9" x14ac:dyDescent="0.3">
      <c r="A86" s="4">
        <v>45811</v>
      </c>
      <c r="B86" t="s">
        <v>38</v>
      </c>
      <c r="C86" t="s">
        <v>12</v>
      </c>
      <c r="E86" t="s">
        <v>48</v>
      </c>
      <c r="F86" s="6">
        <f t="shared" si="1"/>
        <v>406069</v>
      </c>
      <c r="G86" s="6">
        <v>415456</v>
      </c>
      <c r="I86" t="s">
        <v>91</v>
      </c>
    </row>
    <row r="87" spans="1:9" x14ac:dyDescent="0.3">
      <c r="A87" s="4">
        <v>45811</v>
      </c>
      <c r="B87" t="s">
        <v>113</v>
      </c>
      <c r="C87" t="s">
        <v>9</v>
      </c>
      <c r="F87" s="6">
        <f t="shared" si="1"/>
        <v>821525</v>
      </c>
      <c r="H87" s="6">
        <v>-128192</v>
      </c>
    </row>
    <row r="88" spans="1:9" x14ac:dyDescent="0.3">
      <c r="A88" s="4">
        <v>45811</v>
      </c>
      <c r="B88" t="s">
        <v>64</v>
      </c>
      <c r="C88" t="s">
        <v>12</v>
      </c>
      <c r="E88" t="s">
        <v>65</v>
      </c>
      <c r="F88" s="6">
        <f t="shared" si="1"/>
        <v>693333</v>
      </c>
      <c r="G88" s="6">
        <v>725098</v>
      </c>
      <c r="I88" t="s">
        <v>106</v>
      </c>
    </row>
    <row r="89" spans="1:9" x14ac:dyDescent="0.3">
      <c r="A89" s="4">
        <v>45811</v>
      </c>
      <c r="B89" t="s">
        <v>35</v>
      </c>
      <c r="C89" t="s">
        <v>12</v>
      </c>
      <c r="E89" t="s">
        <v>53</v>
      </c>
      <c r="F89" s="6">
        <f t="shared" si="1"/>
        <v>1418431</v>
      </c>
      <c r="G89" s="6">
        <v>409216</v>
      </c>
      <c r="I89" t="s">
        <v>117</v>
      </c>
    </row>
    <row r="90" spans="1:9" x14ac:dyDescent="0.3">
      <c r="A90" s="4">
        <v>45812</v>
      </c>
      <c r="B90" t="s">
        <v>113</v>
      </c>
      <c r="C90" t="s">
        <v>9</v>
      </c>
      <c r="F90" s="6">
        <f t="shared" si="1"/>
        <v>1827647</v>
      </c>
      <c r="H90" s="6">
        <v>-205263</v>
      </c>
    </row>
    <row r="91" spans="1:9" x14ac:dyDescent="0.3">
      <c r="A91" s="4">
        <v>45812</v>
      </c>
      <c r="B91" t="s">
        <v>118</v>
      </c>
      <c r="C91" t="s">
        <v>12</v>
      </c>
      <c r="F91" s="6">
        <f t="shared" si="1"/>
        <v>1622384</v>
      </c>
      <c r="G91" s="6">
        <v>200000</v>
      </c>
      <c r="I91" t="s">
        <v>121</v>
      </c>
    </row>
    <row r="92" spans="1:9" x14ac:dyDescent="0.3">
      <c r="A92" s="4">
        <v>45813</v>
      </c>
      <c r="B92" t="s">
        <v>119</v>
      </c>
      <c r="C92" t="s">
        <v>9</v>
      </c>
      <c r="F92" s="6">
        <f t="shared" si="1"/>
        <v>1822384</v>
      </c>
      <c r="H92" s="6">
        <v>-200000</v>
      </c>
    </row>
    <row r="93" spans="1:9" x14ac:dyDescent="0.3">
      <c r="A93" s="4">
        <v>45817</v>
      </c>
      <c r="B93" t="s">
        <v>39</v>
      </c>
      <c r="C93" t="s">
        <v>12</v>
      </c>
      <c r="E93" t="s">
        <v>49</v>
      </c>
      <c r="F93" s="6">
        <f t="shared" si="1"/>
        <v>1622384</v>
      </c>
      <c r="G93" s="6">
        <v>650019</v>
      </c>
      <c r="I93" t="s">
        <v>158</v>
      </c>
    </row>
    <row r="94" spans="1:9" x14ac:dyDescent="0.3">
      <c r="A94" s="4">
        <v>45817</v>
      </c>
      <c r="B94" t="s">
        <v>120</v>
      </c>
      <c r="C94" t="s">
        <v>12</v>
      </c>
      <c r="F94" s="6">
        <f t="shared" si="1"/>
        <v>2272403</v>
      </c>
      <c r="G94" s="6">
        <v>49559270</v>
      </c>
      <c r="I94" t="s">
        <v>122</v>
      </c>
    </row>
    <row r="95" spans="1:9" x14ac:dyDescent="0.3">
      <c r="A95" s="4">
        <v>45818</v>
      </c>
      <c r="B95" t="s">
        <v>37</v>
      </c>
      <c r="C95" t="s">
        <v>14</v>
      </c>
      <c r="F95" s="6">
        <f t="shared" si="1"/>
        <v>51831673</v>
      </c>
      <c r="H95" s="6">
        <v>-443505</v>
      </c>
    </row>
    <row r="96" spans="1:9" x14ac:dyDescent="0.3">
      <c r="A96" s="4">
        <v>45818</v>
      </c>
      <c r="B96" t="s">
        <v>84</v>
      </c>
      <c r="C96" t="s">
        <v>10</v>
      </c>
      <c r="F96" s="6">
        <f t="shared" si="1"/>
        <v>51388168</v>
      </c>
      <c r="H96" s="6">
        <v>-10000</v>
      </c>
    </row>
    <row r="97" spans="1:9" x14ac:dyDescent="0.3">
      <c r="A97" s="4">
        <v>45819</v>
      </c>
      <c r="B97" t="s">
        <v>83</v>
      </c>
      <c r="C97" t="s">
        <v>9</v>
      </c>
      <c r="F97" s="6">
        <f t="shared" si="1"/>
        <v>51378168</v>
      </c>
      <c r="H97" s="6">
        <v>-4600</v>
      </c>
      <c r="I97" t="s">
        <v>124</v>
      </c>
    </row>
    <row r="98" spans="1:9" x14ac:dyDescent="0.3">
      <c r="A98" s="4">
        <v>45819</v>
      </c>
      <c r="B98" t="s">
        <v>83</v>
      </c>
      <c r="C98" t="s">
        <v>9</v>
      </c>
      <c r="F98" s="6">
        <f t="shared" si="1"/>
        <v>51373568</v>
      </c>
      <c r="H98" s="6">
        <v>-5900</v>
      </c>
      <c r="I98" t="s">
        <v>123</v>
      </c>
    </row>
    <row r="99" spans="1:9" x14ac:dyDescent="0.3">
      <c r="A99" s="4">
        <v>45820</v>
      </c>
      <c r="B99" t="s">
        <v>71</v>
      </c>
      <c r="C99" t="s">
        <v>20</v>
      </c>
      <c r="D99" t="s">
        <v>21</v>
      </c>
      <c r="F99" s="6">
        <f t="shared" si="1"/>
        <v>51367668</v>
      </c>
      <c r="H99" s="6">
        <v>-5000000</v>
      </c>
    </row>
    <row r="100" spans="1:9" x14ac:dyDescent="0.3">
      <c r="A100" s="4">
        <v>45820</v>
      </c>
      <c r="B100" t="s">
        <v>71</v>
      </c>
      <c r="C100" t="s">
        <v>20</v>
      </c>
      <c r="D100" t="s">
        <v>21</v>
      </c>
      <c r="F100" s="6">
        <f t="shared" si="1"/>
        <v>46367668</v>
      </c>
      <c r="H100" s="6">
        <v>-5000000</v>
      </c>
    </row>
    <row r="101" spans="1:9" x14ac:dyDescent="0.3">
      <c r="A101" s="4">
        <v>45820</v>
      </c>
      <c r="B101" t="s">
        <v>71</v>
      </c>
      <c r="C101" t="s">
        <v>20</v>
      </c>
      <c r="D101" t="s">
        <v>21</v>
      </c>
      <c r="F101" s="6">
        <f t="shared" si="1"/>
        <v>41367668</v>
      </c>
      <c r="H101" s="6">
        <v>-5000000</v>
      </c>
    </row>
    <row r="102" spans="1:9" x14ac:dyDescent="0.3">
      <c r="A102" s="4">
        <v>45820</v>
      </c>
      <c r="B102" t="s">
        <v>71</v>
      </c>
      <c r="C102" t="s">
        <v>20</v>
      </c>
      <c r="D102" t="s">
        <v>21</v>
      </c>
      <c r="F102" s="6">
        <f t="shared" si="1"/>
        <v>36367668</v>
      </c>
      <c r="H102" s="6">
        <v>-5000000</v>
      </c>
    </row>
    <row r="103" spans="1:9" x14ac:dyDescent="0.3">
      <c r="A103" s="4">
        <v>45820</v>
      </c>
      <c r="B103" t="s">
        <v>71</v>
      </c>
      <c r="C103" t="s">
        <v>20</v>
      </c>
      <c r="D103" t="s">
        <v>21</v>
      </c>
      <c r="F103" s="6">
        <f t="shared" si="1"/>
        <v>31367668</v>
      </c>
      <c r="H103" s="6">
        <v>-5000000</v>
      </c>
    </row>
    <row r="104" spans="1:9" x14ac:dyDescent="0.3">
      <c r="A104" s="4">
        <v>45820</v>
      </c>
      <c r="B104" t="s">
        <v>71</v>
      </c>
      <c r="C104" t="s">
        <v>20</v>
      </c>
      <c r="D104" t="s">
        <v>21</v>
      </c>
      <c r="F104" s="6">
        <f t="shared" si="1"/>
        <v>26367668</v>
      </c>
      <c r="H104" s="6">
        <v>-5000000</v>
      </c>
    </row>
    <row r="105" spans="1:9" x14ac:dyDescent="0.3">
      <c r="A105" s="4">
        <v>45820</v>
      </c>
      <c r="B105" t="s">
        <v>71</v>
      </c>
      <c r="C105" t="s">
        <v>20</v>
      </c>
      <c r="D105" t="s">
        <v>21</v>
      </c>
      <c r="F105" s="6">
        <f t="shared" si="1"/>
        <v>21367668</v>
      </c>
      <c r="H105" s="6">
        <v>-5000000</v>
      </c>
    </row>
    <row r="106" spans="1:9" x14ac:dyDescent="0.3">
      <c r="A106" s="4">
        <v>45820</v>
      </c>
      <c r="B106" t="s">
        <v>71</v>
      </c>
      <c r="C106" t="s">
        <v>20</v>
      </c>
      <c r="D106" t="s">
        <v>21</v>
      </c>
      <c r="F106" s="6">
        <f t="shared" si="1"/>
        <v>16367668</v>
      </c>
      <c r="H106" s="6">
        <v>-5000000</v>
      </c>
    </row>
    <row r="107" spans="1:9" x14ac:dyDescent="0.3">
      <c r="A107" s="4">
        <v>45820</v>
      </c>
      <c r="B107" t="s">
        <v>71</v>
      </c>
      <c r="C107" t="s">
        <v>20</v>
      </c>
      <c r="D107" t="s">
        <v>21</v>
      </c>
      <c r="F107" s="6">
        <f t="shared" si="1"/>
        <v>11367668</v>
      </c>
      <c r="H107" s="6">
        <v>-4000000</v>
      </c>
    </row>
    <row r="108" spans="1:9" x14ac:dyDescent="0.3">
      <c r="A108" s="4">
        <v>45820</v>
      </c>
      <c r="B108" t="s">
        <v>96</v>
      </c>
      <c r="C108" t="s">
        <v>14</v>
      </c>
      <c r="F108" s="6">
        <f t="shared" si="1"/>
        <v>7367668</v>
      </c>
      <c r="H108" s="6">
        <v>-952326</v>
      </c>
      <c r="I108" t="s">
        <v>97</v>
      </c>
    </row>
    <row r="109" spans="1:9" x14ac:dyDescent="0.3">
      <c r="A109" s="4">
        <v>45820</v>
      </c>
      <c r="B109" t="s">
        <v>96</v>
      </c>
      <c r="C109" t="s">
        <v>14</v>
      </c>
      <c r="F109" s="6">
        <f t="shared" si="1"/>
        <v>6415342</v>
      </c>
      <c r="H109" s="6">
        <v>-814987</v>
      </c>
      <c r="I109" t="s">
        <v>97</v>
      </c>
    </row>
    <row r="110" spans="1:9" x14ac:dyDescent="0.3">
      <c r="A110" s="4">
        <v>45821</v>
      </c>
      <c r="B110" t="s">
        <v>125</v>
      </c>
      <c r="C110" t="s">
        <v>20</v>
      </c>
      <c r="D110" t="s">
        <v>21</v>
      </c>
      <c r="F110" s="6">
        <f t="shared" si="1"/>
        <v>5600355</v>
      </c>
      <c r="G110" s="6">
        <v>21250000</v>
      </c>
    </row>
    <row r="111" spans="1:9" x14ac:dyDescent="0.3">
      <c r="A111" s="4">
        <v>45824</v>
      </c>
      <c r="B111" t="s">
        <v>40</v>
      </c>
      <c r="C111" t="s">
        <v>9</v>
      </c>
      <c r="F111" s="6">
        <f t="shared" si="1"/>
        <v>26850355</v>
      </c>
      <c r="H111" s="6">
        <v>-300000</v>
      </c>
      <c r="I111" t="s">
        <v>128</v>
      </c>
    </row>
    <row r="112" spans="1:9" x14ac:dyDescent="0.3">
      <c r="A112" s="4">
        <v>45824</v>
      </c>
      <c r="B112" t="s">
        <v>40</v>
      </c>
      <c r="C112" t="s">
        <v>9</v>
      </c>
      <c r="F112" s="6">
        <f t="shared" si="1"/>
        <v>26550355</v>
      </c>
      <c r="H112" s="6">
        <v>-5000000</v>
      </c>
      <c r="I112" t="s">
        <v>128</v>
      </c>
    </row>
    <row r="113" spans="1:9" x14ac:dyDescent="0.3">
      <c r="A113" s="4">
        <v>45824</v>
      </c>
      <c r="B113" t="s">
        <v>40</v>
      </c>
      <c r="C113" t="s">
        <v>9</v>
      </c>
      <c r="F113" s="6">
        <f t="shared" si="1"/>
        <v>21550355</v>
      </c>
      <c r="H113" s="6">
        <v>-5000000</v>
      </c>
      <c r="I113" t="s">
        <v>128</v>
      </c>
    </row>
    <row r="114" spans="1:9" x14ac:dyDescent="0.3">
      <c r="A114" s="4">
        <v>45824</v>
      </c>
      <c r="B114" t="s">
        <v>40</v>
      </c>
      <c r="C114" t="s">
        <v>9</v>
      </c>
      <c r="F114" s="6">
        <f t="shared" si="1"/>
        <v>16550355</v>
      </c>
      <c r="H114" s="6">
        <v>-5000000</v>
      </c>
      <c r="I114" t="s">
        <v>128</v>
      </c>
    </row>
    <row r="115" spans="1:9" x14ac:dyDescent="0.3">
      <c r="A115" s="4">
        <v>45824</v>
      </c>
      <c r="B115" t="s">
        <v>40</v>
      </c>
      <c r="C115" t="s">
        <v>9</v>
      </c>
      <c r="F115" s="6">
        <f t="shared" si="1"/>
        <v>11550355</v>
      </c>
      <c r="H115" s="6">
        <v>-5000000</v>
      </c>
      <c r="I115" t="s">
        <v>128</v>
      </c>
    </row>
    <row r="116" spans="1:9" x14ac:dyDescent="0.3">
      <c r="A116" s="4">
        <v>45824</v>
      </c>
      <c r="B116" t="s">
        <v>126</v>
      </c>
      <c r="C116" t="s">
        <v>12</v>
      </c>
      <c r="E116" t="s">
        <v>50</v>
      </c>
      <c r="F116" s="6">
        <f t="shared" si="1"/>
        <v>6550355</v>
      </c>
      <c r="H116" s="6">
        <v>-5000000</v>
      </c>
      <c r="I116" t="s">
        <v>127</v>
      </c>
    </row>
    <row r="117" spans="1:9" x14ac:dyDescent="0.3">
      <c r="A117" s="4">
        <v>45824</v>
      </c>
      <c r="B117" t="s">
        <v>126</v>
      </c>
      <c r="C117" t="s">
        <v>12</v>
      </c>
      <c r="E117" t="s">
        <v>50</v>
      </c>
      <c r="F117" s="6">
        <f t="shared" si="1"/>
        <v>1550355</v>
      </c>
      <c r="H117" s="6">
        <v>-1542336</v>
      </c>
      <c r="I117" t="s">
        <v>127</v>
      </c>
    </row>
    <row r="118" spans="1:9" x14ac:dyDescent="0.3">
      <c r="A118" s="4">
        <v>45825</v>
      </c>
      <c r="B118" t="s">
        <v>63</v>
      </c>
      <c r="C118" t="s">
        <v>12</v>
      </c>
      <c r="E118" t="s">
        <v>47</v>
      </c>
      <c r="F118" s="6">
        <f t="shared" si="1"/>
        <v>8019</v>
      </c>
      <c r="G118" s="6">
        <v>533920</v>
      </c>
      <c r="I118" t="s">
        <v>155</v>
      </c>
    </row>
    <row r="119" spans="1:9" x14ac:dyDescent="0.3">
      <c r="A119" s="4">
        <v>45825</v>
      </c>
      <c r="B119" t="s">
        <v>125</v>
      </c>
      <c r="C119" t="s">
        <v>20</v>
      </c>
      <c r="D119" t="s">
        <v>21</v>
      </c>
      <c r="F119" s="6">
        <f t="shared" si="1"/>
        <v>541939</v>
      </c>
      <c r="G119" s="6">
        <v>35000000</v>
      </c>
    </row>
    <row r="120" spans="1:9" x14ac:dyDescent="0.3">
      <c r="A120" s="4">
        <v>45825</v>
      </c>
      <c r="B120" t="s">
        <v>40</v>
      </c>
      <c r="C120" t="s">
        <v>9</v>
      </c>
      <c r="F120" s="6">
        <f t="shared" si="1"/>
        <v>35541939</v>
      </c>
      <c r="H120" s="6">
        <v>-5000000</v>
      </c>
      <c r="I120" t="s">
        <v>129</v>
      </c>
    </row>
    <row r="121" spans="1:9" x14ac:dyDescent="0.3">
      <c r="A121" s="4">
        <v>45825</v>
      </c>
      <c r="B121" t="s">
        <v>40</v>
      </c>
      <c r="C121" t="s">
        <v>9</v>
      </c>
      <c r="F121" s="6">
        <f t="shared" si="1"/>
        <v>30541939</v>
      </c>
      <c r="H121" s="6">
        <v>-5000000</v>
      </c>
      <c r="I121" t="s">
        <v>129</v>
      </c>
    </row>
    <row r="122" spans="1:9" x14ac:dyDescent="0.3">
      <c r="A122" s="4">
        <v>45825</v>
      </c>
      <c r="B122" t="s">
        <v>40</v>
      </c>
      <c r="C122" t="s">
        <v>9</v>
      </c>
      <c r="F122" s="6">
        <f t="shared" si="1"/>
        <v>25541939</v>
      </c>
      <c r="H122" s="6">
        <v>-5000000</v>
      </c>
      <c r="I122" t="s">
        <v>129</v>
      </c>
    </row>
    <row r="123" spans="1:9" x14ac:dyDescent="0.3">
      <c r="A123" s="4">
        <v>45825</v>
      </c>
      <c r="B123" t="s">
        <v>40</v>
      </c>
      <c r="C123" t="s">
        <v>9</v>
      </c>
      <c r="F123" s="6">
        <f t="shared" si="1"/>
        <v>20541939</v>
      </c>
      <c r="H123" s="6">
        <v>-5000000</v>
      </c>
      <c r="I123" t="s">
        <v>129</v>
      </c>
    </row>
    <row r="124" spans="1:9" x14ac:dyDescent="0.3">
      <c r="A124" s="4">
        <v>45825</v>
      </c>
      <c r="B124" t="s">
        <v>40</v>
      </c>
      <c r="C124" t="s">
        <v>9</v>
      </c>
      <c r="F124" s="6">
        <f t="shared" si="1"/>
        <v>15541939</v>
      </c>
      <c r="H124" s="6">
        <v>-5000000</v>
      </c>
      <c r="I124" t="s">
        <v>129</v>
      </c>
    </row>
    <row r="125" spans="1:9" x14ac:dyDescent="0.3">
      <c r="A125" s="4">
        <v>45825</v>
      </c>
      <c r="B125" t="s">
        <v>40</v>
      </c>
      <c r="C125" t="s">
        <v>9</v>
      </c>
      <c r="F125" s="6">
        <f t="shared" si="1"/>
        <v>10541939</v>
      </c>
      <c r="H125" s="6">
        <v>-5000000</v>
      </c>
      <c r="I125" t="s">
        <v>129</v>
      </c>
    </row>
    <row r="126" spans="1:9" x14ac:dyDescent="0.3">
      <c r="A126" s="4">
        <v>45825</v>
      </c>
      <c r="B126" t="s">
        <v>40</v>
      </c>
      <c r="C126" t="s">
        <v>9</v>
      </c>
      <c r="F126" s="6">
        <f t="shared" si="1"/>
        <v>5541939</v>
      </c>
      <c r="H126" s="6">
        <v>-5000000</v>
      </c>
      <c r="I126" t="s">
        <v>129</v>
      </c>
    </row>
    <row r="127" spans="1:9" x14ac:dyDescent="0.3">
      <c r="A127" s="4">
        <v>45826</v>
      </c>
      <c r="B127" t="s">
        <v>130</v>
      </c>
      <c r="C127" t="s">
        <v>12</v>
      </c>
      <c r="E127" t="s">
        <v>132</v>
      </c>
      <c r="F127" s="6">
        <f t="shared" si="1"/>
        <v>541939</v>
      </c>
      <c r="G127" s="6">
        <v>200000</v>
      </c>
      <c r="I127" t="s">
        <v>131</v>
      </c>
    </row>
    <row r="128" spans="1:9" x14ac:dyDescent="0.3">
      <c r="A128" s="4">
        <v>45826</v>
      </c>
      <c r="B128" t="s">
        <v>42</v>
      </c>
      <c r="C128" t="s">
        <v>10</v>
      </c>
      <c r="F128" s="6">
        <f t="shared" si="1"/>
        <v>741939</v>
      </c>
      <c r="H128" s="6">
        <v>-24500</v>
      </c>
    </row>
    <row r="129" spans="1:9" x14ac:dyDescent="0.3">
      <c r="A129" s="4">
        <v>45827</v>
      </c>
      <c r="B129" t="s">
        <v>130</v>
      </c>
      <c r="C129" t="s">
        <v>12</v>
      </c>
      <c r="F129" s="6">
        <f t="shared" si="1"/>
        <v>717439</v>
      </c>
      <c r="G129" s="6">
        <v>1000000</v>
      </c>
    </row>
    <row r="130" spans="1:9" x14ac:dyDescent="0.3">
      <c r="A130" s="4">
        <v>45827</v>
      </c>
      <c r="B130" t="s">
        <v>130</v>
      </c>
      <c r="C130" t="s">
        <v>12</v>
      </c>
      <c r="F130" s="6">
        <f t="shared" si="1"/>
        <v>1717439</v>
      </c>
      <c r="G130" s="6">
        <v>2000000</v>
      </c>
    </row>
    <row r="131" spans="1:9" x14ac:dyDescent="0.3">
      <c r="A131" s="4">
        <v>45827</v>
      </c>
      <c r="B131" t="s">
        <v>130</v>
      </c>
      <c r="C131" t="s">
        <v>12</v>
      </c>
      <c r="F131" s="6">
        <f t="shared" si="1"/>
        <v>3717439</v>
      </c>
      <c r="G131" s="6">
        <v>1800000</v>
      </c>
    </row>
    <row r="132" spans="1:9" x14ac:dyDescent="0.3">
      <c r="A132" s="4">
        <v>45833</v>
      </c>
      <c r="B132" t="s">
        <v>133</v>
      </c>
      <c r="C132" t="s">
        <v>9</v>
      </c>
      <c r="F132" s="6">
        <f t="shared" ref="F132:F195" si="2">+F131+G131+H131</f>
        <v>5517439</v>
      </c>
      <c r="H132" s="6">
        <v>-1154250</v>
      </c>
      <c r="I132" t="s">
        <v>136</v>
      </c>
    </row>
    <row r="133" spans="1:9" x14ac:dyDescent="0.3">
      <c r="A133" s="4">
        <v>45834</v>
      </c>
      <c r="B133" t="s">
        <v>134</v>
      </c>
      <c r="C133" t="s">
        <v>12</v>
      </c>
      <c r="F133" s="6">
        <f t="shared" si="2"/>
        <v>4363189</v>
      </c>
      <c r="G133" s="6">
        <v>200000</v>
      </c>
      <c r="I133" t="s">
        <v>135</v>
      </c>
    </row>
    <row r="134" spans="1:9" x14ac:dyDescent="0.3">
      <c r="A134" s="4">
        <v>45835</v>
      </c>
      <c r="B134" t="s">
        <v>42</v>
      </c>
      <c r="C134" t="s">
        <v>10</v>
      </c>
      <c r="F134" s="6">
        <f t="shared" si="2"/>
        <v>4563189</v>
      </c>
      <c r="H134" s="6">
        <v>-24500</v>
      </c>
      <c r="I134" t="s">
        <v>137</v>
      </c>
    </row>
    <row r="135" spans="1:9" x14ac:dyDescent="0.3">
      <c r="A135" s="4">
        <v>45838</v>
      </c>
      <c r="B135" t="s">
        <v>43</v>
      </c>
      <c r="C135" t="s">
        <v>12</v>
      </c>
      <c r="E135" t="s">
        <v>105</v>
      </c>
      <c r="F135" s="6">
        <f t="shared" si="2"/>
        <v>4538689</v>
      </c>
      <c r="G135" s="6">
        <v>270496</v>
      </c>
      <c r="I135" t="s">
        <v>55</v>
      </c>
    </row>
    <row r="136" spans="1:9" x14ac:dyDescent="0.3">
      <c r="A136" s="4">
        <v>45838</v>
      </c>
      <c r="B136" t="s">
        <v>83</v>
      </c>
      <c r="C136" t="s">
        <v>9</v>
      </c>
      <c r="F136" s="6">
        <f t="shared" si="2"/>
        <v>4809185</v>
      </c>
      <c r="H136" s="6">
        <v>-19730</v>
      </c>
      <c r="I136" t="s">
        <v>138</v>
      </c>
    </row>
    <row r="137" spans="1:9" x14ac:dyDescent="0.3">
      <c r="A137" s="4">
        <v>45839</v>
      </c>
      <c r="B137" t="s">
        <v>40</v>
      </c>
      <c r="C137" t="s">
        <v>9</v>
      </c>
      <c r="F137" s="6">
        <f t="shared" si="2"/>
        <v>4789455</v>
      </c>
      <c r="H137" s="6">
        <v>-100000</v>
      </c>
      <c r="I137" t="s">
        <v>45</v>
      </c>
    </row>
    <row r="138" spans="1:9" x14ac:dyDescent="0.3">
      <c r="A138" s="4">
        <v>45840</v>
      </c>
      <c r="B138" t="s">
        <v>35</v>
      </c>
      <c r="C138" t="s">
        <v>12</v>
      </c>
      <c r="E138" t="s">
        <v>53</v>
      </c>
      <c r="F138" s="6">
        <f t="shared" si="2"/>
        <v>4689455</v>
      </c>
      <c r="G138" s="6">
        <v>409975</v>
      </c>
      <c r="I138" t="s">
        <v>163</v>
      </c>
    </row>
    <row r="139" spans="1:9" x14ac:dyDescent="0.3">
      <c r="A139" s="4">
        <v>45840</v>
      </c>
      <c r="B139" t="s">
        <v>113</v>
      </c>
      <c r="C139" t="s">
        <v>13</v>
      </c>
      <c r="F139" s="6">
        <f t="shared" si="2"/>
        <v>5099430</v>
      </c>
      <c r="H139" s="6">
        <v>-750000</v>
      </c>
    </row>
    <row r="140" spans="1:9" x14ac:dyDescent="0.3">
      <c r="A140" s="4">
        <v>45840</v>
      </c>
      <c r="B140" t="s">
        <v>113</v>
      </c>
      <c r="C140" t="s">
        <v>9</v>
      </c>
      <c r="F140" s="6">
        <f t="shared" si="2"/>
        <v>4349430</v>
      </c>
      <c r="H140" s="6">
        <v>-208664</v>
      </c>
      <c r="I140" t="s">
        <v>144</v>
      </c>
    </row>
    <row r="141" spans="1:9" x14ac:dyDescent="0.3">
      <c r="A141" s="4">
        <v>45840</v>
      </c>
      <c r="B141" t="s">
        <v>64</v>
      </c>
      <c r="C141" t="s">
        <v>12</v>
      </c>
      <c r="E141" t="s">
        <v>65</v>
      </c>
      <c r="F141" s="6">
        <f t="shared" si="2"/>
        <v>4140766</v>
      </c>
      <c r="G141" s="6">
        <v>726490</v>
      </c>
      <c r="I141" t="s">
        <v>107</v>
      </c>
    </row>
    <row r="142" spans="1:9" x14ac:dyDescent="0.3">
      <c r="A142" s="4">
        <v>45841</v>
      </c>
      <c r="B142" t="s">
        <v>39</v>
      </c>
      <c r="C142" t="s">
        <v>12</v>
      </c>
      <c r="E142" t="s">
        <v>49</v>
      </c>
      <c r="F142" s="6">
        <f t="shared" si="2"/>
        <v>4867256</v>
      </c>
      <c r="G142" s="6">
        <v>651180</v>
      </c>
      <c r="I142" t="s">
        <v>159</v>
      </c>
    </row>
    <row r="143" spans="1:9" x14ac:dyDescent="0.3">
      <c r="A143" s="4">
        <v>45842</v>
      </c>
      <c r="B143" t="s">
        <v>83</v>
      </c>
      <c r="C143" t="s">
        <v>9</v>
      </c>
      <c r="F143" s="6">
        <f t="shared" si="2"/>
        <v>5518436</v>
      </c>
      <c r="H143" s="6">
        <v>-61152</v>
      </c>
      <c r="I143" t="s">
        <v>151</v>
      </c>
    </row>
    <row r="144" spans="1:9" x14ac:dyDescent="0.3">
      <c r="A144" s="4">
        <v>45842</v>
      </c>
      <c r="B144" t="s">
        <v>44</v>
      </c>
      <c r="C144" t="s">
        <v>9</v>
      </c>
      <c r="F144" s="6">
        <f t="shared" si="2"/>
        <v>5457284</v>
      </c>
      <c r="H144" s="6">
        <v>-600000</v>
      </c>
      <c r="I144" t="s">
        <v>152</v>
      </c>
    </row>
    <row r="145" spans="1:9" x14ac:dyDescent="0.3">
      <c r="A145" s="4">
        <v>45845</v>
      </c>
      <c r="B145" t="s">
        <v>38</v>
      </c>
      <c r="C145" t="s">
        <v>12</v>
      </c>
      <c r="E145" t="s">
        <v>48</v>
      </c>
      <c r="F145" s="6">
        <f t="shared" si="2"/>
        <v>4857284</v>
      </c>
      <c r="G145" s="6">
        <v>416336</v>
      </c>
      <c r="I145" t="s">
        <v>103</v>
      </c>
    </row>
    <row r="146" spans="1:9" x14ac:dyDescent="0.3">
      <c r="A146" s="4">
        <v>45845</v>
      </c>
      <c r="B146" t="s">
        <v>68</v>
      </c>
      <c r="C146" t="s">
        <v>12</v>
      </c>
      <c r="E146" t="s">
        <v>69</v>
      </c>
      <c r="F146" s="6">
        <f t="shared" si="2"/>
        <v>5273620</v>
      </c>
      <c r="G146" s="6">
        <v>407335</v>
      </c>
      <c r="I146" t="s">
        <v>106</v>
      </c>
    </row>
    <row r="147" spans="1:9" x14ac:dyDescent="0.3">
      <c r="A147" s="4">
        <v>45848</v>
      </c>
      <c r="B147" t="s">
        <v>37</v>
      </c>
      <c r="C147" t="s">
        <v>14</v>
      </c>
      <c r="F147" s="6">
        <f t="shared" si="2"/>
        <v>5680955</v>
      </c>
      <c r="H147" s="6">
        <v>-375593</v>
      </c>
      <c r="I147" t="s">
        <v>153</v>
      </c>
    </row>
    <row r="148" spans="1:9" x14ac:dyDescent="0.3">
      <c r="A148" s="4">
        <v>45849</v>
      </c>
      <c r="B148" t="s">
        <v>139</v>
      </c>
      <c r="C148" t="s">
        <v>13</v>
      </c>
      <c r="F148" s="6">
        <f t="shared" si="2"/>
        <v>5305362</v>
      </c>
      <c r="H148" s="6">
        <v>-211780</v>
      </c>
      <c r="I148" t="s">
        <v>145</v>
      </c>
    </row>
    <row r="149" spans="1:9" x14ac:dyDescent="0.3">
      <c r="A149" s="4">
        <v>45852</v>
      </c>
      <c r="B149" t="s">
        <v>63</v>
      </c>
      <c r="C149" t="s">
        <v>12</v>
      </c>
      <c r="E149" t="s">
        <v>47</v>
      </c>
      <c r="F149" s="6">
        <f t="shared" si="2"/>
        <v>5093582</v>
      </c>
      <c r="G149" s="6">
        <v>534396</v>
      </c>
      <c r="I149" t="s">
        <v>156</v>
      </c>
    </row>
    <row r="150" spans="1:9" x14ac:dyDescent="0.3">
      <c r="A150" s="4">
        <v>45853</v>
      </c>
      <c r="B150" t="s">
        <v>42</v>
      </c>
      <c r="C150" t="s">
        <v>10</v>
      </c>
      <c r="F150" s="6">
        <f t="shared" si="2"/>
        <v>5627978</v>
      </c>
      <c r="H150" s="6">
        <v>-66000</v>
      </c>
      <c r="I150" t="s">
        <v>146</v>
      </c>
    </row>
    <row r="151" spans="1:9" x14ac:dyDescent="0.3">
      <c r="A151" s="4">
        <v>45867</v>
      </c>
      <c r="B151" t="s">
        <v>84</v>
      </c>
      <c r="C151" t="s">
        <v>10</v>
      </c>
      <c r="F151" s="6">
        <f t="shared" si="2"/>
        <v>5561978</v>
      </c>
      <c r="H151" s="6">
        <v>-90000</v>
      </c>
      <c r="I151" t="s">
        <v>146</v>
      </c>
    </row>
    <row r="152" spans="1:9" x14ac:dyDescent="0.3">
      <c r="A152" s="4">
        <v>45868</v>
      </c>
      <c r="B152" t="s">
        <v>43</v>
      </c>
      <c r="C152" t="s">
        <v>12</v>
      </c>
      <c r="E152" t="s">
        <v>105</v>
      </c>
      <c r="F152" s="6">
        <f t="shared" si="2"/>
        <v>5471978</v>
      </c>
      <c r="G152" s="6">
        <v>270013</v>
      </c>
      <c r="I152" t="s">
        <v>59</v>
      </c>
    </row>
    <row r="153" spans="1:9" x14ac:dyDescent="0.3">
      <c r="A153" s="4">
        <v>45868</v>
      </c>
      <c r="B153" t="s">
        <v>67</v>
      </c>
      <c r="C153" t="s">
        <v>12</v>
      </c>
      <c r="E153" t="s">
        <v>52</v>
      </c>
      <c r="F153" s="6">
        <f t="shared" si="2"/>
        <v>5741991</v>
      </c>
      <c r="G153" s="6">
        <v>1659834</v>
      </c>
      <c r="I153" t="s">
        <v>162</v>
      </c>
    </row>
    <row r="154" spans="1:9" x14ac:dyDescent="0.3">
      <c r="A154" s="4">
        <v>45869</v>
      </c>
      <c r="B154" t="s">
        <v>140</v>
      </c>
      <c r="C154" t="s">
        <v>9</v>
      </c>
      <c r="F154" s="6">
        <f t="shared" si="2"/>
        <v>7401825</v>
      </c>
      <c r="H154" s="6">
        <v>-150000</v>
      </c>
      <c r="I154" t="s">
        <v>147</v>
      </c>
    </row>
    <row r="155" spans="1:9" x14ac:dyDescent="0.3">
      <c r="A155" s="4">
        <v>45869</v>
      </c>
      <c r="B155" t="s">
        <v>141</v>
      </c>
      <c r="C155" t="s">
        <v>16</v>
      </c>
      <c r="F155" s="6">
        <f t="shared" si="2"/>
        <v>7251825</v>
      </c>
      <c r="H155" s="6">
        <v>-6000000</v>
      </c>
    </row>
    <row r="156" spans="1:9" x14ac:dyDescent="0.3">
      <c r="A156" s="4">
        <v>45870</v>
      </c>
      <c r="B156" t="s">
        <v>35</v>
      </c>
      <c r="C156" t="s">
        <v>12</v>
      </c>
      <c r="E156" t="s">
        <v>53</v>
      </c>
      <c r="F156" s="6">
        <f t="shared" si="2"/>
        <v>1251825</v>
      </c>
      <c r="G156" s="6">
        <v>408976</v>
      </c>
      <c r="I156" t="s">
        <v>164</v>
      </c>
    </row>
    <row r="157" spans="1:9" x14ac:dyDescent="0.3">
      <c r="A157" s="4">
        <v>45870</v>
      </c>
      <c r="B157" t="s">
        <v>142</v>
      </c>
      <c r="C157" t="s">
        <v>12</v>
      </c>
      <c r="F157" s="6">
        <f t="shared" si="2"/>
        <v>1660801</v>
      </c>
      <c r="G157" s="6">
        <v>32800000</v>
      </c>
      <c r="I157" t="s">
        <v>148</v>
      </c>
    </row>
    <row r="158" spans="1:9" x14ac:dyDescent="0.3">
      <c r="A158" s="4">
        <v>45873</v>
      </c>
      <c r="B158" t="s">
        <v>64</v>
      </c>
      <c r="C158" t="s">
        <v>12</v>
      </c>
      <c r="E158" t="s">
        <v>65</v>
      </c>
      <c r="F158" s="6">
        <f t="shared" si="2"/>
        <v>34460801</v>
      </c>
      <c r="G158" s="6">
        <v>724437</v>
      </c>
      <c r="I158" t="s">
        <v>116</v>
      </c>
    </row>
    <row r="159" spans="1:9" x14ac:dyDescent="0.3">
      <c r="A159" s="4">
        <v>45873</v>
      </c>
      <c r="B159" t="s">
        <v>83</v>
      </c>
      <c r="C159" t="s">
        <v>9</v>
      </c>
      <c r="F159" s="6">
        <f t="shared" si="2"/>
        <v>35185238</v>
      </c>
      <c r="H159" s="6">
        <v>-855000</v>
      </c>
      <c r="I159" t="s">
        <v>149</v>
      </c>
    </row>
    <row r="160" spans="1:9" x14ac:dyDescent="0.3">
      <c r="A160" s="4">
        <v>45873</v>
      </c>
      <c r="B160" t="s">
        <v>141</v>
      </c>
      <c r="C160" t="s">
        <v>16</v>
      </c>
      <c r="F160" s="6">
        <f t="shared" si="2"/>
        <v>34330238</v>
      </c>
      <c r="H160" s="6">
        <v>-32000000</v>
      </c>
    </row>
    <row r="161" spans="1:9" x14ac:dyDescent="0.3">
      <c r="A161" s="4">
        <v>45874</v>
      </c>
      <c r="B161" t="s">
        <v>113</v>
      </c>
      <c r="C161" t="s">
        <v>13</v>
      </c>
      <c r="F161" s="6">
        <f t="shared" si="2"/>
        <v>2330238</v>
      </c>
      <c r="H161" s="6">
        <v>-750000</v>
      </c>
    </row>
    <row r="162" spans="1:9" x14ac:dyDescent="0.3">
      <c r="A162" s="4">
        <v>45874</v>
      </c>
      <c r="B162" t="s">
        <v>113</v>
      </c>
      <c r="C162" t="s">
        <v>9</v>
      </c>
      <c r="F162" s="6">
        <f t="shared" si="2"/>
        <v>1580238</v>
      </c>
      <c r="H162" s="6">
        <v>-390948</v>
      </c>
      <c r="I162" t="s">
        <v>150</v>
      </c>
    </row>
    <row r="163" spans="1:9" x14ac:dyDescent="0.3">
      <c r="A163" s="4">
        <v>45874</v>
      </c>
      <c r="B163" t="s">
        <v>139</v>
      </c>
      <c r="C163" t="s">
        <v>13</v>
      </c>
      <c r="F163" s="6">
        <f t="shared" si="2"/>
        <v>1189290</v>
      </c>
      <c r="H163" s="6">
        <v>-212703</v>
      </c>
      <c r="I163" t="s">
        <v>145</v>
      </c>
    </row>
    <row r="164" spans="1:9" x14ac:dyDescent="0.3">
      <c r="A164" s="4">
        <v>45874</v>
      </c>
      <c r="B164" t="s">
        <v>40</v>
      </c>
      <c r="C164" t="s">
        <v>9</v>
      </c>
      <c r="F164" s="6">
        <f t="shared" si="2"/>
        <v>976587</v>
      </c>
      <c r="H164" s="6">
        <v>-100000</v>
      </c>
      <c r="I164" t="s">
        <v>143</v>
      </c>
    </row>
    <row r="165" spans="1:9" x14ac:dyDescent="0.3">
      <c r="A165" s="4">
        <v>45875</v>
      </c>
      <c r="B165" t="s">
        <v>63</v>
      </c>
      <c r="C165" t="s">
        <v>12</v>
      </c>
      <c r="E165" t="s">
        <v>47</v>
      </c>
      <c r="F165" s="6">
        <f t="shared" si="2"/>
        <v>876587</v>
      </c>
      <c r="G165" s="6">
        <v>532872</v>
      </c>
      <c r="I165" t="s">
        <v>157</v>
      </c>
    </row>
    <row r="166" spans="1:9" x14ac:dyDescent="0.3">
      <c r="A166" s="4">
        <v>45875</v>
      </c>
      <c r="B166" t="s">
        <v>39</v>
      </c>
      <c r="C166" t="s">
        <v>12</v>
      </c>
      <c r="E166" t="s">
        <v>49</v>
      </c>
      <c r="F166" s="6">
        <f t="shared" si="2"/>
        <v>1409459</v>
      </c>
      <c r="G166" s="6">
        <v>649173</v>
      </c>
      <c r="I166" t="s">
        <v>160</v>
      </c>
    </row>
    <row r="167" spans="1:9" x14ac:dyDescent="0.3">
      <c r="A167" s="4">
        <v>45876</v>
      </c>
      <c r="B167" t="s">
        <v>41</v>
      </c>
      <c r="C167" t="s">
        <v>9</v>
      </c>
      <c r="F167" s="6">
        <f t="shared" si="2"/>
        <v>2058632</v>
      </c>
      <c r="H167" s="6">
        <v>-34369</v>
      </c>
      <c r="I167" t="s">
        <v>176</v>
      </c>
    </row>
    <row r="168" spans="1:9" x14ac:dyDescent="0.3">
      <c r="A168" s="4">
        <v>45877</v>
      </c>
      <c r="B168" t="s">
        <v>37</v>
      </c>
      <c r="C168" t="s">
        <v>14</v>
      </c>
      <c r="F168" s="6">
        <f t="shared" si="2"/>
        <v>2024263</v>
      </c>
      <c r="H168" s="6">
        <v>-13607</v>
      </c>
    </row>
    <row r="169" spans="1:9" x14ac:dyDescent="0.3">
      <c r="A169" s="4">
        <v>45880</v>
      </c>
      <c r="B169" t="s">
        <v>37</v>
      </c>
      <c r="C169" t="s">
        <v>14</v>
      </c>
      <c r="F169" s="6">
        <f t="shared" si="2"/>
        <v>2010656</v>
      </c>
      <c r="H169" s="6">
        <v>-12689</v>
      </c>
    </row>
    <row r="170" spans="1:9" x14ac:dyDescent="0.3">
      <c r="A170" s="4">
        <v>45881</v>
      </c>
      <c r="B170" t="s">
        <v>83</v>
      </c>
      <c r="C170" t="s">
        <v>9</v>
      </c>
      <c r="F170" s="6">
        <f t="shared" si="2"/>
        <v>1997967</v>
      </c>
      <c r="H170" s="6">
        <v>-6307</v>
      </c>
    </row>
    <row r="171" spans="1:9" x14ac:dyDescent="0.3">
      <c r="A171" s="4">
        <v>45881</v>
      </c>
      <c r="B171" t="s">
        <v>83</v>
      </c>
      <c r="C171" t="s">
        <v>9</v>
      </c>
      <c r="F171" s="6">
        <f t="shared" si="2"/>
        <v>1991660</v>
      </c>
      <c r="H171" s="6">
        <v>-59500</v>
      </c>
      <c r="I171" t="s">
        <v>151</v>
      </c>
    </row>
    <row r="172" spans="1:9" x14ac:dyDescent="0.3">
      <c r="A172" s="4">
        <v>45881</v>
      </c>
      <c r="B172" t="s">
        <v>96</v>
      </c>
      <c r="C172" t="s">
        <v>9</v>
      </c>
      <c r="F172" s="6">
        <f t="shared" si="2"/>
        <v>1932160</v>
      </c>
      <c r="H172" s="6">
        <v>-4600</v>
      </c>
    </row>
    <row r="173" spans="1:9" x14ac:dyDescent="0.3">
      <c r="A173" s="4">
        <v>45881</v>
      </c>
      <c r="B173" t="s">
        <v>154</v>
      </c>
      <c r="C173" t="s">
        <v>16</v>
      </c>
      <c r="F173" s="6">
        <f t="shared" si="2"/>
        <v>1927560</v>
      </c>
      <c r="H173" s="6">
        <v>-750000</v>
      </c>
    </row>
    <row r="174" spans="1:9" x14ac:dyDescent="0.3">
      <c r="A174" s="4">
        <v>45881</v>
      </c>
      <c r="B174" t="s">
        <v>154</v>
      </c>
      <c r="C174" t="s">
        <v>16</v>
      </c>
      <c r="F174" s="6">
        <f t="shared" si="2"/>
        <v>1177560</v>
      </c>
      <c r="H174" s="6">
        <v>-750000</v>
      </c>
    </row>
    <row r="175" spans="1:9" x14ac:dyDescent="0.3">
      <c r="A175" s="4">
        <v>45883</v>
      </c>
      <c r="B175" t="s">
        <v>68</v>
      </c>
      <c r="C175" t="s">
        <v>12</v>
      </c>
      <c r="E175" t="s">
        <v>69</v>
      </c>
      <c r="F175" s="6">
        <f t="shared" si="2"/>
        <v>427560</v>
      </c>
      <c r="G175" s="6">
        <v>406283</v>
      </c>
      <c r="I175" t="s">
        <v>107</v>
      </c>
    </row>
    <row r="176" spans="1:9" x14ac:dyDescent="0.3">
      <c r="A176" s="4">
        <v>45887</v>
      </c>
      <c r="B176" t="s">
        <v>38</v>
      </c>
      <c r="C176" t="s">
        <v>12</v>
      </c>
      <c r="E176" t="s">
        <v>48</v>
      </c>
      <c r="F176" s="6">
        <f t="shared" si="2"/>
        <v>833843</v>
      </c>
      <c r="G176" s="6">
        <v>415891</v>
      </c>
      <c r="I176" t="s">
        <v>115</v>
      </c>
    </row>
    <row r="177" spans="1:9" x14ac:dyDescent="0.3">
      <c r="A177" s="4">
        <v>45888</v>
      </c>
      <c r="B177" t="s">
        <v>130</v>
      </c>
      <c r="C177" t="s">
        <v>12</v>
      </c>
      <c r="E177" t="s">
        <v>132</v>
      </c>
      <c r="F177" s="6">
        <f t="shared" si="2"/>
        <v>1249734</v>
      </c>
      <c r="G177" s="6">
        <v>999717</v>
      </c>
      <c r="I177" t="s">
        <v>161</v>
      </c>
    </row>
    <row r="178" spans="1:9" x14ac:dyDescent="0.3">
      <c r="A178" s="4">
        <v>45891</v>
      </c>
      <c r="B178" t="s">
        <v>84</v>
      </c>
      <c r="C178" t="s">
        <v>10</v>
      </c>
      <c r="F178" s="6">
        <f t="shared" si="2"/>
        <v>2249451</v>
      </c>
      <c r="H178" s="6">
        <v>-25000</v>
      </c>
    </row>
    <row r="179" spans="1:9" x14ac:dyDescent="0.3">
      <c r="A179" s="4">
        <v>45895</v>
      </c>
      <c r="B179" t="s">
        <v>84</v>
      </c>
      <c r="C179" t="s">
        <v>10</v>
      </c>
      <c r="F179" s="6">
        <f t="shared" si="2"/>
        <v>2224451</v>
      </c>
      <c r="H179" s="6">
        <v>-60000</v>
      </c>
    </row>
    <row r="180" spans="1:9" x14ac:dyDescent="0.3">
      <c r="A180" s="4">
        <v>45895</v>
      </c>
      <c r="B180" t="s">
        <v>165</v>
      </c>
      <c r="C180" t="s">
        <v>9</v>
      </c>
      <c r="F180" s="6">
        <f t="shared" si="2"/>
        <v>2164451</v>
      </c>
      <c r="H180" s="6">
        <v>-60000</v>
      </c>
    </row>
    <row r="181" spans="1:9" x14ac:dyDescent="0.3">
      <c r="A181" s="4">
        <v>45896</v>
      </c>
      <c r="B181" t="s">
        <v>166</v>
      </c>
      <c r="C181" t="s">
        <v>12</v>
      </c>
      <c r="F181" s="6">
        <f t="shared" si="2"/>
        <v>2104451</v>
      </c>
      <c r="G181" s="6">
        <v>23551709</v>
      </c>
      <c r="I181" t="s">
        <v>168</v>
      </c>
    </row>
    <row r="182" spans="1:9" x14ac:dyDescent="0.3">
      <c r="A182" s="4">
        <v>45897</v>
      </c>
      <c r="B182" t="s">
        <v>141</v>
      </c>
      <c r="C182" t="s">
        <v>16</v>
      </c>
      <c r="F182" s="6">
        <f t="shared" si="2"/>
        <v>25656160</v>
      </c>
      <c r="H182" s="6">
        <v>-25000000</v>
      </c>
    </row>
    <row r="183" spans="1:9" x14ac:dyDescent="0.3">
      <c r="A183" s="4">
        <v>45897</v>
      </c>
      <c r="B183" t="s">
        <v>43</v>
      </c>
      <c r="C183" t="s">
        <v>12</v>
      </c>
      <c r="E183" t="s">
        <v>105</v>
      </c>
      <c r="F183" s="6">
        <f t="shared" si="2"/>
        <v>656160</v>
      </c>
      <c r="G183" s="6">
        <v>271115</v>
      </c>
      <c r="I183" t="s">
        <v>80</v>
      </c>
    </row>
    <row r="184" spans="1:9" x14ac:dyDescent="0.3">
      <c r="A184" s="4">
        <v>45902</v>
      </c>
      <c r="B184" t="s">
        <v>113</v>
      </c>
      <c r="C184" t="s">
        <v>13</v>
      </c>
      <c r="F184" s="6">
        <f t="shared" si="2"/>
        <v>927275</v>
      </c>
      <c r="H184" s="6">
        <v>-750000</v>
      </c>
    </row>
    <row r="185" spans="1:9" x14ac:dyDescent="0.3">
      <c r="A185" s="4">
        <v>45902</v>
      </c>
      <c r="B185" t="s">
        <v>102</v>
      </c>
      <c r="C185" t="s">
        <v>12</v>
      </c>
      <c r="E185" t="s">
        <v>195</v>
      </c>
      <c r="F185" s="6">
        <f t="shared" si="2"/>
        <v>177275</v>
      </c>
      <c r="G185" s="6">
        <v>568757</v>
      </c>
      <c r="I185" t="s">
        <v>201</v>
      </c>
    </row>
    <row r="186" spans="1:9" x14ac:dyDescent="0.3">
      <c r="A186" s="4">
        <v>45902</v>
      </c>
      <c r="B186" t="s">
        <v>113</v>
      </c>
      <c r="C186" t="s">
        <v>9</v>
      </c>
      <c r="F186" s="6">
        <f t="shared" si="2"/>
        <v>746032</v>
      </c>
      <c r="H186" s="6">
        <v>-445250</v>
      </c>
      <c r="I186" t="s">
        <v>144</v>
      </c>
    </row>
    <row r="187" spans="1:9" x14ac:dyDescent="0.3">
      <c r="A187" s="4">
        <v>45902</v>
      </c>
      <c r="B187" t="s">
        <v>84</v>
      </c>
      <c r="C187" t="s">
        <v>10</v>
      </c>
      <c r="F187" s="6">
        <f t="shared" si="2"/>
        <v>300782</v>
      </c>
      <c r="H187" s="6">
        <v>-220000</v>
      </c>
      <c r="I187" t="s">
        <v>169</v>
      </c>
    </row>
    <row r="188" spans="1:9" x14ac:dyDescent="0.3">
      <c r="A188" s="4">
        <v>45902</v>
      </c>
      <c r="B188" t="s">
        <v>35</v>
      </c>
      <c r="C188" t="s">
        <v>12</v>
      </c>
      <c r="E188" t="s">
        <v>53</v>
      </c>
      <c r="F188" s="6">
        <f t="shared" si="2"/>
        <v>80782</v>
      </c>
      <c r="G188" s="6">
        <v>411397</v>
      </c>
      <c r="I188" t="s">
        <v>232</v>
      </c>
    </row>
    <row r="189" spans="1:9" x14ac:dyDescent="0.3">
      <c r="A189" s="4">
        <v>45903</v>
      </c>
      <c r="B189" t="s">
        <v>167</v>
      </c>
      <c r="C189" t="s">
        <v>16</v>
      </c>
      <c r="F189" s="6">
        <f t="shared" si="2"/>
        <v>492179</v>
      </c>
      <c r="G189" s="6">
        <v>64630462</v>
      </c>
    </row>
    <row r="190" spans="1:9" x14ac:dyDescent="0.3">
      <c r="A190" s="4">
        <v>45903</v>
      </c>
      <c r="B190" t="s">
        <v>71</v>
      </c>
      <c r="C190" t="s">
        <v>20</v>
      </c>
      <c r="D190" t="s">
        <v>21</v>
      </c>
      <c r="F190" s="6">
        <f t="shared" si="2"/>
        <v>65122641</v>
      </c>
      <c r="H190" s="6">
        <v>-1000000</v>
      </c>
      <c r="I190" t="s">
        <v>177</v>
      </c>
    </row>
    <row r="191" spans="1:9" x14ac:dyDescent="0.3">
      <c r="A191" s="4">
        <v>45904</v>
      </c>
      <c r="B191" t="s">
        <v>64</v>
      </c>
      <c r="C191" t="s">
        <v>12</v>
      </c>
      <c r="E191" t="s">
        <v>65</v>
      </c>
      <c r="F191" s="6">
        <f t="shared" si="2"/>
        <v>64122641</v>
      </c>
      <c r="G191" s="6">
        <v>729219</v>
      </c>
      <c r="I191" t="s">
        <v>55</v>
      </c>
    </row>
    <row r="192" spans="1:9" x14ac:dyDescent="0.3">
      <c r="A192" s="4">
        <v>45904</v>
      </c>
      <c r="B192" t="s">
        <v>71</v>
      </c>
      <c r="C192" t="s">
        <v>20</v>
      </c>
      <c r="D192" t="s">
        <v>21</v>
      </c>
      <c r="F192" s="6">
        <f t="shared" si="2"/>
        <v>64851860</v>
      </c>
      <c r="H192" s="6">
        <v>-5000000</v>
      </c>
      <c r="I192" t="s">
        <v>177</v>
      </c>
    </row>
    <row r="193" spans="1:9" x14ac:dyDescent="0.3">
      <c r="A193" s="4">
        <v>45904</v>
      </c>
      <c r="B193" t="s">
        <v>71</v>
      </c>
      <c r="C193" t="s">
        <v>20</v>
      </c>
      <c r="D193" t="s">
        <v>21</v>
      </c>
      <c r="F193" s="6">
        <f t="shared" si="2"/>
        <v>59851860</v>
      </c>
      <c r="H193" s="6">
        <v>-5000000</v>
      </c>
    </row>
    <row r="194" spans="1:9" x14ac:dyDescent="0.3">
      <c r="A194" s="4">
        <v>45904</v>
      </c>
      <c r="B194" t="s">
        <v>71</v>
      </c>
      <c r="C194" t="s">
        <v>20</v>
      </c>
      <c r="D194" t="s">
        <v>21</v>
      </c>
      <c r="F194" s="6">
        <f t="shared" si="2"/>
        <v>54851860</v>
      </c>
      <c r="H194" s="6">
        <v>-5000000</v>
      </c>
    </row>
    <row r="195" spans="1:9" x14ac:dyDescent="0.3">
      <c r="A195" s="4">
        <v>45904</v>
      </c>
      <c r="B195" t="s">
        <v>71</v>
      </c>
      <c r="C195" t="s">
        <v>20</v>
      </c>
      <c r="D195" t="s">
        <v>21</v>
      </c>
      <c r="F195" s="6">
        <f t="shared" si="2"/>
        <v>49851860</v>
      </c>
      <c r="H195" s="6">
        <v>-5000000</v>
      </c>
    </row>
    <row r="196" spans="1:9" x14ac:dyDescent="0.3">
      <c r="A196" s="4">
        <v>45904</v>
      </c>
      <c r="B196" t="s">
        <v>71</v>
      </c>
      <c r="C196" t="s">
        <v>20</v>
      </c>
      <c r="D196" t="s">
        <v>21</v>
      </c>
      <c r="F196" s="6">
        <f t="shared" ref="F196:F259" si="3">+F195+G195+H195</f>
        <v>44851860</v>
      </c>
      <c r="H196" s="6">
        <v>-5000000</v>
      </c>
    </row>
    <row r="197" spans="1:9" x14ac:dyDescent="0.3">
      <c r="A197" s="4">
        <v>45904</v>
      </c>
      <c r="B197" t="s">
        <v>71</v>
      </c>
      <c r="C197" t="s">
        <v>20</v>
      </c>
      <c r="D197" t="s">
        <v>21</v>
      </c>
      <c r="F197" s="6">
        <f t="shared" si="3"/>
        <v>39851860</v>
      </c>
      <c r="H197" s="6">
        <v>-5000000</v>
      </c>
    </row>
    <row r="198" spans="1:9" x14ac:dyDescent="0.3">
      <c r="A198" s="4">
        <v>45904</v>
      </c>
      <c r="B198" t="s">
        <v>71</v>
      </c>
      <c r="C198" t="s">
        <v>20</v>
      </c>
      <c r="D198" t="s">
        <v>21</v>
      </c>
      <c r="F198" s="6">
        <f t="shared" si="3"/>
        <v>34851860</v>
      </c>
      <c r="H198" s="6">
        <v>-5000000</v>
      </c>
    </row>
    <row r="199" spans="1:9" x14ac:dyDescent="0.3">
      <c r="A199" s="4">
        <v>45904</v>
      </c>
      <c r="B199" t="s">
        <v>71</v>
      </c>
      <c r="C199" t="s">
        <v>20</v>
      </c>
      <c r="D199" t="s">
        <v>21</v>
      </c>
      <c r="F199" s="6">
        <f t="shared" si="3"/>
        <v>29851860</v>
      </c>
      <c r="H199" s="6">
        <v>-5000000</v>
      </c>
    </row>
    <row r="200" spans="1:9" x14ac:dyDescent="0.3">
      <c r="A200" s="4">
        <v>45904</v>
      </c>
      <c r="B200" t="s">
        <v>40</v>
      </c>
      <c r="C200" t="s">
        <v>9</v>
      </c>
      <c r="F200" s="6">
        <f t="shared" si="3"/>
        <v>24851860</v>
      </c>
      <c r="H200" s="6">
        <v>-3750000</v>
      </c>
      <c r="I200" t="s">
        <v>170</v>
      </c>
    </row>
    <row r="201" spans="1:9" x14ac:dyDescent="0.3">
      <c r="A201" s="4">
        <v>45904</v>
      </c>
      <c r="B201" t="s">
        <v>40</v>
      </c>
      <c r="C201" t="s">
        <v>9</v>
      </c>
      <c r="F201" s="6">
        <f t="shared" si="3"/>
        <v>21101860</v>
      </c>
      <c r="H201" s="6">
        <v>-5000000</v>
      </c>
      <c r="I201" t="s">
        <v>170</v>
      </c>
    </row>
    <row r="202" spans="1:9" x14ac:dyDescent="0.3">
      <c r="A202" s="4">
        <v>45905</v>
      </c>
      <c r="B202" t="s">
        <v>102</v>
      </c>
      <c r="C202" t="s">
        <v>12</v>
      </c>
      <c r="E202" t="s">
        <v>198</v>
      </c>
      <c r="F202" s="6">
        <f t="shared" si="3"/>
        <v>16101860</v>
      </c>
      <c r="G202" s="6">
        <v>558383</v>
      </c>
      <c r="I202" t="s">
        <v>202</v>
      </c>
    </row>
    <row r="203" spans="1:9" x14ac:dyDescent="0.3">
      <c r="A203" s="4">
        <v>45905</v>
      </c>
      <c r="B203" t="s">
        <v>102</v>
      </c>
      <c r="C203" t="s">
        <v>12</v>
      </c>
      <c r="E203" t="s">
        <v>196</v>
      </c>
      <c r="F203" s="6">
        <f t="shared" si="3"/>
        <v>16660243</v>
      </c>
      <c r="G203" s="6">
        <v>568592</v>
      </c>
      <c r="I203" t="s">
        <v>206</v>
      </c>
    </row>
    <row r="204" spans="1:9" x14ac:dyDescent="0.3">
      <c r="A204" s="4">
        <v>45905</v>
      </c>
      <c r="B204" t="s">
        <v>102</v>
      </c>
      <c r="C204" t="s">
        <v>12</v>
      </c>
      <c r="E204" t="s">
        <v>197</v>
      </c>
      <c r="F204" s="6">
        <f t="shared" si="3"/>
        <v>17228835</v>
      </c>
      <c r="G204" s="6">
        <v>731015</v>
      </c>
      <c r="I204" t="s">
        <v>204</v>
      </c>
    </row>
    <row r="205" spans="1:9" x14ac:dyDescent="0.3">
      <c r="A205" s="4">
        <v>45905</v>
      </c>
      <c r="B205" t="s">
        <v>40</v>
      </c>
      <c r="C205" t="s">
        <v>9</v>
      </c>
      <c r="F205" s="6">
        <f t="shared" si="3"/>
        <v>17959850</v>
      </c>
      <c r="H205" s="6">
        <v>-5000000</v>
      </c>
      <c r="I205" t="s">
        <v>170</v>
      </c>
    </row>
    <row r="206" spans="1:9" x14ac:dyDescent="0.3">
      <c r="A206" s="4">
        <v>45905</v>
      </c>
      <c r="B206" t="s">
        <v>40</v>
      </c>
      <c r="C206" t="s">
        <v>9</v>
      </c>
      <c r="F206" s="6">
        <f t="shared" si="3"/>
        <v>12959850</v>
      </c>
      <c r="H206" s="6">
        <v>-5000000</v>
      </c>
      <c r="I206" t="s">
        <v>170</v>
      </c>
    </row>
    <row r="207" spans="1:9" x14ac:dyDescent="0.3">
      <c r="A207" s="4">
        <v>45905</v>
      </c>
      <c r="B207" t="s">
        <v>40</v>
      </c>
      <c r="C207" t="s">
        <v>9</v>
      </c>
      <c r="F207" s="6">
        <f t="shared" si="3"/>
        <v>7959850</v>
      </c>
      <c r="H207" s="6">
        <v>-5000000</v>
      </c>
      <c r="I207" t="s">
        <v>170</v>
      </c>
    </row>
    <row r="208" spans="1:9" x14ac:dyDescent="0.3">
      <c r="A208" s="4">
        <v>45905</v>
      </c>
      <c r="B208" t="s">
        <v>139</v>
      </c>
      <c r="C208" t="s">
        <v>13</v>
      </c>
      <c r="F208" s="6">
        <f t="shared" si="3"/>
        <v>2959850</v>
      </c>
      <c r="H208" s="6">
        <v>-221935</v>
      </c>
    </row>
    <row r="209" spans="1:9" x14ac:dyDescent="0.3">
      <c r="A209" s="4">
        <v>45905</v>
      </c>
      <c r="B209" t="s">
        <v>40</v>
      </c>
      <c r="C209" t="s">
        <v>9</v>
      </c>
      <c r="F209" s="6">
        <f t="shared" si="3"/>
        <v>2737915</v>
      </c>
      <c r="H209" s="6">
        <v>-100000</v>
      </c>
      <c r="I209" t="s">
        <v>45</v>
      </c>
    </row>
    <row r="210" spans="1:9" x14ac:dyDescent="0.3">
      <c r="A210" s="4">
        <v>45908</v>
      </c>
      <c r="B210" t="s">
        <v>178</v>
      </c>
      <c r="C210" t="s">
        <v>12</v>
      </c>
      <c r="E210" t="s">
        <v>255</v>
      </c>
      <c r="F210" s="6">
        <f t="shared" si="3"/>
        <v>2637915</v>
      </c>
      <c r="G210" s="6">
        <v>466180</v>
      </c>
      <c r="I210" t="s">
        <v>104</v>
      </c>
    </row>
    <row r="211" spans="1:9" x14ac:dyDescent="0.3">
      <c r="A211" s="4">
        <v>45908</v>
      </c>
      <c r="B211" t="s">
        <v>39</v>
      </c>
      <c r="C211" t="s">
        <v>12</v>
      </c>
      <c r="E211" t="s">
        <v>49</v>
      </c>
      <c r="F211" s="6">
        <f t="shared" si="3"/>
        <v>3104095</v>
      </c>
      <c r="G211" s="6">
        <v>653915</v>
      </c>
      <c r="I211" t="s">
        <v>225</v>
      </c>
    </row>
    <row r="212" spans="1:9" x14ac:dyDescent="0.3">
      <c r="A212" s="4">
        <v>45908</v>
      </c>
      <c r="B212" t="s">
        <v>63</v>
      </c>
      <c r="C212" t="s">
        <v>12</v>
      </c>
      <c r="E212" t="s">
        <v>47</v>
      </c>
      <c r="F212" s="6">
        <f t="shared" si="3"/>
        <v>3758010</v>
      </c>
      <c r="G212" s="6">
        <v>536928</v>
      </c>
      <c r="I212" t="s">
        <v>221</v>
      </c>
    </row>
    <row r="213" spans="1:9" x14ac:dyDescent="0.3">
      <c r="A213" s="4">
        <v>45908</v>
      </c>
      <c r="B213" t="s">
        <v>68</v>
      </c>
      <c r="C213" t="s">
        <v>12</v>
      </c>
      <c r="E213" t="s">
        <v>69</v>
      </c>
      <c r="F213" s="6">
        <f t="shared" si="3"/>
        <v>4294938</v>
      </c>
      <c r="G213" s="6">
        <v>409348</v>
      </c>
      <c r="I213" t="s">
        <v>116</v>
      </c>
    </row>
    <row r="214" spans="1:9" x14ac:dyDescent="0.3">
      <c r="A214" s="4">
        <v>45908</v>
      </c>
      <c r="B214" t="s">
        <v>42</v>
      </c>
      <c r="C214" t="s">
        <v>10</v>
      </c>
      <c r="F214" s="6">
        <f t="shared" si="3"/>
        <v>4704286</v>
      </c>
      <c r="H214" s="6">
        <v>-122500</v>
      </c>
    </row>
    <row r="215" spans="1:9" x14ac:dyDescent="0.3">
      <c r="A215" s="4">
        <v>45910</v>
      </c>
      <c r="B215" t="s">
        <v>37</v>
      </c>
      <c r="C215" t="s">
        <v>14</v>
      </c>
      <c r="F215" s="6">
        <f t="shared" si="3"/>
        <v>4581786</v>
      </c>
      <c r="H215" s="6">
        <v>-220950</v>
      </c>
    </row>
    <row r="216" spans="1:9" x14ac:dyDescent="0.3">
      <c r="A216" s="4">
        <v>45910</v>
      </c>
      <c r="B216" t="s">
        <v>44</v>
      </c>
      <c r="C216" t="s">
        <v>9</v>
      </c>
      <c r="F216" s="6">
        <f t="shared" si="3"/>
        <v>4360836</v>
      </c>
      <c r="H216" s="6">
        <v>-500000</v>
      </c>
      <c r="I216" t="s">
        <v>58</v>
      </c>
    </row>
    <row r="217" spans="1:9" x14ac:dyDescent="0.3">
      <c r="A217" s="4">
        <v>45910</v>
      </c>
      <c r="B217" t="s">
        <v>96</v>
      </c>
      <c r="C217" t="s">
        <v>9</v>
      </c>
      <c r="F217" s="6">
        <f t="shared" si="3"/>
        <v>3860836</v>
      </c>
      <c r="H217" s="6">
        <v>-970454</v>
      </c>
      <c r="I217" t="s">
        <v>97</v>
      </c>
    </row>
    <row r="218" spans="1:9" x14ac:dyDescent="0.3">
      <c r="A218" s="4">
        <v>45910</v>
      </c>
      <c r="B218" t="s">
        <v>96</v>
      </c>
      <c r="C218" t="s">
        <v>9</v>
      </c>
      <c r="F218" s="6">
        <f t="shared" si="3"/>
        <v>2890382</v>
      </c>
      <c r="H218" s="6">
        <v>-765145</v>
      </c>
      <c r="I218" t="s">
        <v>97</v>
      </c>
    </row>
    <row r="219" spans="1:9" x14ac:dyDescent="0.3">
      <c r="A219" s="4">
        <v>45910</v>
      </c>
      <c r="B219" t="s">
        <v>154</v>
      </c>
      <c r="C219" t="s">
        <v>16</v>
      </c>
      <c r="F219" s="6">
        <f t="shared" si="3"/>
        <v>2125237</v>
      </c>
      <c r="H219" s="6">
        <v>-990000</v>
      </c>
    </row>
    <row r="220" spans="1:9" x14ac:dyDescent="0.3">
      <c r="A220" s="4">
        <v>45910</v>
      </c>
      <c r="B220" t="s">
        <v>42</v>
      </c>
      <c r="C220" t="s">
        <v>10</v>
      </c>
      <c r="F220" s="6">
        <f t="shared" si="3"/>
        <v>1135237</v>
      </c>
      <c r="H220" s="6">
        <v>-805076</v>
      </c>
      <c r="I220" t="s">
        <v>183</v>
      </c>
    </row>
    <row r="221" spans="1:9" x14ac:dyDescent="0.3">
      <c r="A221" s="4">
        <v>45911</v>
      </c>
      <c r="B221" t="s">
        <v>179</v>
      </c>
      <c r="C221" t="s">
        <v>12</v>
      </c>
      <c r="F221" s="6">
        <f t="shared" si="3"/>
        <v>330161</v>
      </c>
      <c r="G221" s="6">
        <v>1</v>
      </c>
      <c r="I221" t="s">
        <v>184</v>
      </c>
    </row>
    <row r="222" spans="1:9" x14ac:dyDescent="0.3">
      <c r="A222" s="4">
        <v>45912</v>
      </c>
      <c r="B222" t="s">
        <v>179</v>
      </c>
      <c r="C222" t="s">
        <v>12</v>
      </c>
      <c r="F222" s="6">
        <f t="shared" si="3"/>
        <v>330162</v>
      </c>
      <c r="G222" s="6">
        <v>5000000</v>
      </c>
      <c r="I222" t="s">
        <v>184</v>
      </c>
    </row>
    <row r="223" spans="1:9" x14ac:dyDescent="0.3">
      <c r="A223" s="4">
        <v>45915</v>
      </c>
      <c r="B223" t="s">
        <v>179</v>
      </c>
      <c r="C223" t="s">
        <v>12</v>
      </c>
      <c r="F223" s="6">
        <f t="shared" si="3"/>
        <v>5330162</v>
      </c>
      <c r="G223" s="6">
        <v>2455468</v>
      </c>
      <c r="I223" t="s">
        <v>184</v>
      </c>
    </row>
    <row r="224" spans="1:9" x14ac:dyDescent="0.3">
      <c r="A224" s="4">
        <v>45915</v>
      </c>
      <c r="B224" t="s">
        <v>83</v>
      </c>
      <c r="C224" t="s">
        <v>9</v>
      </c>
      <c r="F224" s="6">
        <f t="shared" si="3"/>
        <v>7785630</v>
      </c>
      <c r="H224" s="6">
        <v>-855000</v>
      </c>
      <c r="I224" t="s">
        <v>185</v>
      </c>
    </row>
    <row r="225" spans="1:9" x14ac:dyDescent="0.3">
      <c r="A225" s="4">
        <v>45915</v>
      </c>
      <c r="B225" t="s">
        <v>141</v>
      </c>
      <c r="C225" t="s">
        <v>16</v>
      </c>
      <c r="F225" s="6">
        <f t="shared" si="3"/>
        <v>6930630</v>
      </c>
      <c r="H225" s="6">
        <v>-6500000</v>
      </c>
    </row>
    <row r="226" spans="1:9" x14ac:dyDescent="0.3">
      <c r="A226" s="4">
        <v>45916</v>
      </c>
      <c r="B226" t="s">
        <v>180</v>
      </c>
      <c r="C226" t="s">
        <v>12</v>
      </c>
      <c r="F226" s="6">
        <f t="shared" si="3"/>
        <v>430630</v>
      </c>
      <c r="G226" s="6">
        <v>7000000</v>
      </c>
      <c r="I226" t="s">
        <v>186</v>
      </c>
    </row>
    <row r="227" spans="1:9" x14ac:dyDescent="0.3">
      <c r="A227" s="4">
        <v>45916</v>
      </c>
      <c r="B227" t="s">
        <v>113</v>
      </c>
      <c r="C227" t="s">
        <v>9</v>
      </c>
      <c r="F227" s="6">
        <f t="shared" si="3"/>
        <v>7430630</v>
      </c>
      <c r="H227" s="6">
        <v>-60000</v>
      </c>
    </row>
    <row r="228" spans="1:9" x14ac:dyDescent="0.3">
      <c r="A228" s="4">
        <v>45917</v>
      </c>
      <c r="B228" t="s">
        <v>141</v>
      </c>
      <c r="C228" t="s">
        <v>16</v>
      </c>
      <c r="F228" s="6">
        <f t="shared" si="3"/>
        <v>7370630</v>
      </c>
      <c r="H228" s="6">
        <v>-7000000</v>
      </c>
    </row>
    <row r="229" spans="1:9" x14ac:dyDescent="0.3">
      <c r="A229" s="4">
        <v>45917</v>
      </c>
      <c r="B229" t="s">
        <v>67</v>
      </c>
      <c r="C229" t="s">
        <v>12</v>
      </c>
      <c r="E229" t="s">
        <v>52</v>
      </c>
      <c r="F229" s="6">
        <f t="shared" si="3"/>
        <v>370630</v>
      </c>
      <c r="G229" s="6">
        <v>3345224</v>
      </c>
      <c r="I229" t="s">
        <v>231</v>
      </c>
    </row>
    <row r="230" spans="1:9" x14ac:dyDescent="0.3">
      <c r="A230" s="4">
        <v>45924</v>
      </c>
      <c r="B230" t="s">
        <v>38</v>
      </c>
      <c r="C230" t="s">
        <v>12</v>
      </c>
      <c r="E230" t="s">
        <v>48</v>
      </c>
      <c r="F230" s="6">
        <f t="shared" si="3"/>
        <v>3715854</v>
      </c>
      <c r="G230" s="6">
        <v>418541</v>
      </c>
      <c r="I230" t="s">
        <v>155</v>
      </c>
    </row>
    <row r="231" spans="1:9" x14ac:dyDescent="0.3">
      <c r="A231" s="4">
        <v>45925</v>
      </c>
      <c r="B231" t="s">
        <v>181</v>
      </c>
      <c r="C231" t="s">
        <v>9</v>
      </c>
      <c r="F231" s="6">
        <f t="shared" si="3"/>
        <v>4134395</v>
      </c>
      <c r="H231" s="6">
        <v>-50000</v>
      </c>
      <c r="I231" t="s">
        <v>187</v>
      </c>
    </row>
    <row r="232" spans="1:9" x14ac:dyDescent="0.3">
      <c r="A232" s="4">
        <v>45925</v>
      </c>
      <c r="B232" t="s">
        <v>141</v>
      </c>
      <c r="C232" t="s">
        <v>16</v>
      </c>
      <c r="F232" s="6">
        <f t="shared" si="3"/>
        <v>4084395</v>
      </c>
      <c r="H232" s="6">
        <v>-3000000</v>
      </c>
    </row>
    <row r="233" spans="1:9" x14ac:dyDescent="0.3">
      <c r="A233" s="4">
        <v>45929</v>
      </c>
      <c r="B233" t="s">
        <v>130</v>
      </c>
      <c r="C233" t="s">
        <v>12</v>
      </c>
      <c r="E233" t="s">
        <v>132</v>
      </c>
      <c r="F233" s="6">
        <f t="shared" si="3"/>
        <v>1084395</v>
      </c>
      <c r="G233" s="6">
        <v>1006094</v>
      </c>
      <c r="I233" t="s">
        <v>229</v>
      </c>
    </row>
    <row r="234" spans="1:9" x14ac:dyDescent="0.3">
      <c r="A234" s="4">
        <v>45929</v>
      </c>
      <c r="B234" t="s">
        <v>43</v>
      </c>
      <c r="C234" t="s">
        <v>12</v>
      </c>
      <c r="E234" t="s">
        <v>105</v>
      </c>
      <c r="F234" s="6">
        <f t="shared" si="3"/>
        <v>2090489</v>
      </c>
      <c r="G234" s="6">
        <v>272056</v>
      </c>
      <c r="I234" t="s">
        <v>104</v>
      </c>
    </row>
    <row r="235" spans="1:9" x14ac:dyDescent="0.3">
      <c r="A235" s="4">
        <v>45930</v>
      </c>
      <c r="B235" t="s">
        <v>35</v>
      </c>
      <c r="C235" t="s">
        <v>12</v>
      </c>
      <c r="E235" t="s">
        <v>53</v>
      </c>
      <c r="F235" s="6">
        <f t="shared" si="3"/>
        <v>2362545</v>
      </c>
      <c r="G235" s="6">
        <v>412230</v>
      </c>
      <c r="I235" t="s">
        <v>233</v>
      </c>
    </row>
    <row r="236" spans="1:9" x14ac:dyDescent="0.3">
      <c r="A236" s="4">
        <v>45932</v>
      </c>
      <c r="B236" t="s">
        <v>84</v>
      </c>
      <c r="C236" t="s">
        <v>10</v>
      </c>
      <c r="F236" s="6">
        <f t="shared" si="3"/>
        <v>2774775</v>
      </c>
      <c r="H236" s="6">
        <v>-60000</v>
      </c>
    </row>
    <row r="237" spans="1:9" x14ac:dyDescent="0.3">
      <c r="A237" s="4">
        <v>45932</v>
      </c>
      <c r="B237" t="s">
        <v>182</v>
      </c>
      <c r="C237" t="s">
        <v>12</v>
      </c>
      <c r="E237" t="s">
        <v>198</v>
      </c>
      <c r="F237" s="6">
        <f t="shared" si="3"/>
        <v>2714775</v>
      </c>
      <c r="G237" s="6">
        <v>559517</v>
      </c>
      <c r="I237" t="s">
        <v>203</v>
      </c>
    </row>
    <row r="238" spans="1:9" x14ac:dyDescent="0.3">
      <c r="A238" s="4">
        <v>45932</v>
      </c>
      <c r="B238" t="s">
        <v>113</v>
      </c>
      <c r="C238" t="s">
        <v>13</v>
      </c>
      <c r="F238" s="6">
        <f t="shared" si="3"/>
        <v>3274292</v>
      </c>
      <c r="H238" s="6">
        <v>-750000</v>
      </c>
    </row>
    <row r="239" spans="1:9" x14ac:dyDescent="0.3">
      <c r="A239" s="4">
        <v>45932</v>
      </c>
      <c r="B239" t="s">
        <v>40</v>
      </c>
      <c r="C239" t="s">
        <v>9</v>
      </c>
      <c r="F239" s="6">
        <f t="shared" si="3"/>
        <v>2524292</v>
      </c>
      <c r="H239" s="6">
        <v>-100000</v>
      </c>
      <c r="I239" t="s">
        <v>143</v>
      </c>
    </row>
    <row r="240" spans="1:9" x14ac:dyDescent="0.3">
      <c r="A240" s="4">
        <v>45933</v>
      </c>
      <c r="B240" t="s">
        <v>139</v>
      </c>
      <c r="C240" t="s">
        <v>13</v>
      </c>
      <c r="F240" s="6">
        <f t="shared" si="3"/>
        <v>2424292</v>
      </c>
      <c r="H240" s="6">
        <v>-221935</v>
      </c>
    </row>
    <row r="241" spans="1:9" x14ac:dyDescent="0.3">
      <c r="A241" s="4">
        <v>45933</v>
      </c>
      <c r="B241" t="s">
        <v>63</v>
      </c>
      <c r="C241" t="s">
        <v>12</v>
      </c>
      <c r="E241" t="s">
        <v>47</v>
      </c>
      <c r="F241" s="6">
        <f t="shared" si="3"/>
        <v>2202357</v>
      </c>
      <c r="G241" s="6">
        <v>537390</v>
      </c>
      <c r="I241" t="s">
        <v>222</v>
      </c>
    </row>
    <row r="242" spans="1:9" x14ac:dyDescent="0.3">
      <c r="A242" s="4">
        <v>45933</v>
      </c>
      <c r="B242" t="s">
        <v>64</v>
      </c>
      <c r="C242" t="s">
        <v>12</v>
      </c>
      <c r="E242" t="s">
        <v>65</v>
      </c>
      <c r="F242" s="6">
        <f t="shared" si="3"/>
        <v>2739747</v>
      </c>
      <c r="G242" s="6">
        <v>730485</v>
      </c>
      <c r="I242" t="s">
        <v>59</v>
      </c>
    </row>
    <row r="243" spans="1:9" x14ac:dyDescent="0.3">
      <c r="A243" s="4">
        <v>45933</v>
      </c>
      <c r="B243" t="s">
        <v>188</v>
      </c>
      <c r="C243" t="s">
        <v>12</v>
      </c>
      <c r="E243" t="s">
        <v>199</v>
      </c>
      <c r="F243" s="6">
        <f t="shared" si="3"/>
        <v>3470232</v>
      </c>
      <c r="G243" s="6">
        <v>200000</v>
      </c>
      <c r="I243" t="s">
        <v>192</v>
      </c>
    </row>
    <row r="244" spans="1:9" x14ac:dyDescent="0.3">
      <c r="A244" s="4">
        <v>45936</v>
      </c>
      <c r="B244" t="s">
        <v>189</v>
      </c>
      <c r="C244" t="s">
        <v>12</v>
      </c>
      <c r="E244" t="s">
        <v>195</v>
      </c>
      <c r="F244" s="6">
        <f t="shared" si="3"/>
        <v>3670232</v>
      </c>
      <c r="G244" s="6">
        <v>570565</v>
      </c>
      <c r="I244" t="s">
        <v>200</v>
      </c>
    </row>
    <row r="245" spans="1:9" x14ac:dyDescent="0.3">
      <c r="A245" s="4">
        <v>45936</v>
      </c>
      <c r="B245" t="s">
        <v>38</v>
      </c>
      <c r="C245" t="s">
        <v>12</v>
      </c>
      <c r="E245" t="s">
        <v>48</v>
      </c>
      <c r="F245" s="6">
        <f t="shared" si="3"/>
        <v>4240797</v>
      </c>
      <c r="G245" s="6">
        <v>418541</v>
      </c>
      <c r="I245" t="s">
        <v>156</v>
      </c>
    </row>
    <row r="246" spans="1:9" x14ac:dyDescent="0.3">
      <c r="A246" s="4">
        <v>45936</v>
      </c>
      <c r="B246" t="s">
        <v>188</v>
      </c>
      <c r="C246" t="s">
        <v>12</v>
      </c>
      <c r="E246" t="s">
        <v>199</v>
      </c>
      <c r="F246" s="6">
        <f t="shared" si="3"/>
        <v>4659338</v>
      </c>
      <c r="G246" s="6">
        <v>136022</v>
      </c>
      <c r="I246" t="s">
        <v>193</v>
      </c>
    </row>
    <row r="247" spans="1:9" x14ac:dyDescent="0.3">
      <c r="A247" s="4">
        <v>45936</v>
      </c>
      <c r="B247" t="s">
        <v>113</v>
      </c>
      <c r="C247" t="s">
        <v>9</v>
      </c>
      <c r="F247" s="6">
        <f t="shared" si="3"/>
        <v>4795360</v>
      </c>
      <c r="H247" s="6">
        <v>-260671</v>
      </c>
      <c r="I247" t="s">
        <v>194</v>
      </c>
    </row>
    <row r="248" spans="1:9" x14ac:dyDescent="0.3">
      <c r="A248" s="4">
        <v>45936</v>
      </c>
      <c r="B248" t="s">
        <v>39</v>
      </c>
      <c r="C248" t="s">
        <v>12</v>
      </c>
      <c r="E248" t="s">
        <v>49</v>
      </c>
      <c r="F248" s="6">
        <f t="shared" si="3"/>
        <v>4534689</v>
      </c>
      <c r="G248" s="6">
        <v>654678</v>
      </c>
      <c r="I248" t="s">
        <v>226</v>
      </c>
    </row>
    <row r="249" spans="1:9" x14ac:dyDescent="0.3">
      <c r="A249" s="4">
        <v>45937</v>
      </c>
      <c r="B249" t="s">
        <v>190</v>
      </c>
      <c r="C249" t="s">
        <v>12</v>
      </c>
      <c r="E249" t="s">
        <v>197</v>
      </c>
      <c r="F249" s="6">
        <f t="shared" si="3"/>
        <v>5189367</v>
      </c>
      <c r="G249" s="6">
        <v>734827</v>
      </c>
      <c r="I249" t="s">
        <v>205</v>
      </c>
    </row>
    <row r="250" spans="1:9" x14ac:dyDescent="0.3">
      <c r="A250" s="4">
        <v>45937</v>
      </c>
      <c r="B250" t="s">
        <v>44</v>
      </c>
      <c r="C250" t="s">
        <v>9</v>
      </c>
      <c r="F250" s="6">
        <f t="shared" si="3"/>
        <v>5924194</v>
      </c>
      <c r="H250" s="6">
        <v>-800000</v>
      </c>
      <c r="I250" t="s">
        <v>58</v>
      </c>
    </row>
    <row r="251" spans="1:9" x14ac:dyDescent="0.3">
      <c r="A251" s="4">
        <v>45937</v>
      </c>
      <c r="B251" t="s">
        <v>191</v>
      </c>
      <c r="C251" t="s">
        <v>12</v>
      </c>
      <c r="E251" t="s">
        <v>196</v>
      </c>
      <c r="F251" s="6">
        <f t="shared" si="3"/>
        <v>5124194</v>
      </c>
      <c r="G251" s="6">
        <v>250000</v>
      </c>
      <c r="I251" t="s">
        <v>254</v>
      </c>
    </row>
    <row r="252" spans="1:9" x14ac:dyDescent="0.3">
      <c r="A252" s="4">
        <v>45937</v>
      </c>
      <c r="B252" t="s">
        <v>141</v>
      </c>
      <c r="C252" t="s">
        <v>16</v>
      </c>
      <c r="F252" s="6">
        <f t="shared" si="3"/>
        <v>5374194</v>
      </c>
      <c r="H252" s="6">
        <v>-4500000</v>
      </c>
    </row>
    <row r="253" spans="1:9" x14ac:dyDescent="0.3">
      <c r="A253" s="4">
        <v>45940</v>
      </c>
      <c r="B253" t="s">
        <v>37</v>
      </c>
      <c r="C253" t="s">
        <v>9</v>
      </c>
      <c r="F253" s="6">
        <f t="shared" si="3"/>
        <v>874194</v>
      </c>
      <c r="H253" s="6">
        <v>-185409</v>
      </c>
    </row>
    <row r="254" spans="1:9" x14ac:dyDescent="0.3">
      <c r="A254" s="4">
        <v>45944</v>
      </c>
      <c r="B254" t="s">
        <v>207</v>
      </c>
      <c r="C254" t="s">
        <v>12</v>
      </c>
      <c r="F254" s="6">
        <f t="shared" si="3"/>
        <v>688785</v>
      </c>
      <c r="G254" s="6">
        <v>200000</v>
      </c>
      <c r="I254" t="s">
        <v>208</v>
      </c>
    </row>
    <row r="255" spans="1:9" x14ac:dyDescent="0.3">
      <c r="A255" s="4">
        <v>45946</v>
      </c>
      <c r="B255" t="s">
        <v>42</v>
      </c>
      <c r="C255" t="s">
        <v>10</v>
      </c>
      <c r="F255" s="6">
        <f t="shared" si="3"/>
        <v>888785</v>
      </c>
      <c r="H255" s="6">
        <v>-24500</v>
      </c>
    </row>
    <row r="256" spans="1:9" x14ac:dyDescent="0.3">
      <c r="A256" s="4">
        <v>45947</v>
      </c>
      <c r="B256" t="s">
        <v>191</v>
      </c>
      <c r="C256" t="s">
        <v>12</v>
      </c>
      <c r="E256" t="s">
        <v>196</v>
      </c>
      <c r="F256" s="6">
        <f t="shared" si="3"/>
        <v>864285</v>
      </c>
      <c r="G256" s="6">
        <v>321082</v>
      </c>
      <c r="I256" t="s">
        <v>253</v>
      </c>
    </row>
    <row r="257" spans="1:9" x14ac:dyDescent="0.3">
      <c r="A257" s="4">
        <v>45957</v>
      </c>
      <c r="B257" t="s">
        <v>209</v>
      </c>
      <c r="C257" t="s">
        <v>12</v>
      </c>
      <c r="F257" s="6">
        <f t="shared" si="3"/>
        <v>1185367</v>
      </c>
      <c r="G257" s="6">
        <v>200000</v>
      </c>
      <c r="I257" t="s">
        <v>211</v>
      </c>
    </row>
    <row r="258" spans="1:9" x14ac:dyDescent="0.3">
      <c r="A258" s="4">
        <v>45958</v>
      </c>
      <c r="B258" t="s">
        <v>210</v>
      </c>
      <c r="C258" t="s">
        <v>12</v>
      </c>
      <c r="E258" t="s">
        <v>197</v>
      </c>
      <c r="F258" s="6">
        <f t="shared" si="3"/>
        <v>1385367</v>
      </c>
      <c r="G258" s="6">
        <v>600000</v>
      </c>
      <c r="I258" t="s">
        <v>219</v>
      </c>
    </row>
    <row r="259" spans="1:9" x14ac:dyDescent="0.3">
      <c r="A259" s="4">
        <v>45958</v>
      </c>
      <c r="B259" t="s">
        <v>130</v>
      </c>
      <c r="C259" t="s">
        <v>12</v>
      </c>
      <c r="E259" t="s">
        <v>132</v>
      </c>
      <c r="F259" s="6">
        <f t="shared" si="3"/>
        <v>1985367</v>
      </c>
      <c r="G259" s="6">
        <v>1008559</v>
      </c>
      <c r="I259" t="s">
        <v>230</v>
      </c>
    </row>
    <row r="260" spans="1:9" x14ac:dyDescent="0.3">
      <c r="A260" s="4">
        <v>45960</v>
      </c>
      <c r="B260" t="s">
        <v>210</v>
      </c>
      <c r="C260" t="s">
        <v>12</v>
      </c>
      <c r="E260" t="s">
        <v>197</v>
      </c>
      <c r="F260" s="6">
        <f t="shared" ref="F260:F323" si="4">+F259+G259+H259</f>
        <v>2993926</v>
      </c>
      <c r="G260" s="6">
        <v>136533</v>
      </c>
      <c r="I260" t="s">
        <v>219</v>
      </c>
    </row>
    <row r="261" spans="1:9" x14ac:dyDescent="0.3">
      <c r="A261" s="4">
        <v>45960</v>
      </c>
      <c r="B261" t="s">
        <v>189</v>
      </c>
      <c r="C261" t="s">
        <v>12</v>
      </c>
      <c r="E261" t="s">
        <v>195</v>
      </c>
      <c r="F261" s="6">
        <f t="shared" si="4"/>
        <v>3130459</v>
      </c>
      <c r="G261" s="6">
        <v>572186</v>
      </c>
      <c r="I261" t="s">
        <v>218</v>
      </c>
    </row>
    <row r="262" spans="1:9" x14ac:dyDescent="0.3">
      <c r="A262" s="4">
        <v>45960</v>
      </c>
      <c r="B262" t="s">
        <v>182</v>
      </c>
      <c r="C262" t="s">
        <v>12</v>
      </c>
      <c r="E262" t="s">
        <v>198</v>
      </c>
      <c r="F262" s="6">
        <f t="shared" si="4"/>
        <v>3702645</v>
      </c>
      <c r="G262" s="6">
        <v>561033</v>
      </c>
      <c r="I262" t="s">
        <v>224</v>
      </c>
    </row>
    <row r="263" spans="1:9" x14ac:dyDescent="0.3">
      <c r="A263" s="4">
        <v>45960</v>
      </c>
      <c r="B263" t="s">
        <v>35</v>
      </c>
      <c r="C263" t="s">
        <v>12</v>
      </c>
      <c r="E263" t="s">
        <v>53</v>
      </c>
      <c r="F263" s="6">
        <f t="shared" si="4"/>
        <v>4263678</v>
      </c>
      <c r="G263" s="6">
        <v>413346</v>
      </c>
      <c r="I263" t="s">
        <v>234</v>
      </c>
    </row>
    <row r="264" spans="1:9" x14ac:dyDescent="0.3">
      <c r="A264" s="4">
        <v>45964</v>
      </c>
      <c r="B264" t="s">
        <v>113</v>
      </c>
      <c r="C264" t="s">
        <v>13</v>
      </c>
      <c r="F264" s="6">
        <f t="shared" si="4"/>
        <v>4677024</v>
      </c>
      <c r="H264" s="6">
        <v>-750000</v>
      </c>
    </row>
    <row r="265" spans="1:9" x14ac:dyDescent="0.3">
      <c r="A265" s="4">
        <v>45964</v>
      </c>
      <c r="B265" t="s">
        <v>43</v>
      </c>
      <c r="C265" t="s">
        <v>12</v>
      </c>
      <c r="E265" t="s">
        <v>105</v>
      </c>
      <c r="F265" s="6">
        <f t="shared" si="4"/>
        <v>3927024</v>
      </c>
      <c r="G265" s="6">
        <v>272793</v>
      </c>
      <c r="I265" t="s">
        <v>77</v>
      </c>
    </row>
    <row r="266" spans="1:9" x14ac:dyDescent="0.3">
      <c r="A266" s="4">
        <v>45964</v>
      </c>
      <c r="B266" t="s">
        <v>188</v>
      </c>
      <c r="C266" t="s">
        <v>12</v>
      </c>
      <c r="E266" t="s">
        <v>199</v>
      </c>
      <c r="F266" s="6">
        <f t="shared" si="4"/>
        <v>4199817</v>
      </c>
      <c r="G266" s="6">
        <v>337062</v>
      </c>
      <c r="I266" t="s">
        <v>228</v>
      </c>
    </row>
    <row r="267" spans="1:9" x14ac:dyDescent="0.3">
      <c r="A267" s="4">
        <v>45965</v>
      </c>
      <c r="B267" t="s">
        <v>40</v>
      </c>
      <c r="C267" t="s">
        <v>9</v>
      </c>
      <c r="F267" s="6">
        <f t="shared" si="4"/>
        <v>4536879</v>
      </c>
      <c r="H267" s="6">
        <v>-100000</v>
      </c>
      <c r="I267" t="s">
        <v>45</v>
      </c>
    </row>
    <row r="268" spans="1:9" x14ac:dyDescent="0.3">
      <c r="A268" s="4">
        <v>45965</v>
      </c>
      <c r="B268" t="s">
        <v>64</v>
      </c>
      <c r="C268" t="s">
        <v>12</v>
      </c>
      <c r="E268" t="s">
        <v>65</v>
      </c>
      <c r="F268" s="6">
        <f t="shared" si="4"/>
        <v>4436879</v>
      </c>
      <c r="G268" s="6">
        <v>732840</v>
      </c>
      <c r="I268" t="s">
        <v>80</v>
      </c>
    </row>
    <row r="269" spans="1:9" x14ac:dyDescent="0.3">
      <c r="A269" s="4">
        <v>45965</v>
      </c>
      <c r="B269" t="s">
        <v>139</v>
      </c>
      <c r="C269" t="s">
        <v>13</v>
      </c>
      <c r="F269" s="6">
        <f t="shared" si="4"/>
        <v>5169719</v>
      </c>
      <c r="H269" s="6">
        <v>-218335</v>
      </c>
    </row>
    <row r="270" spans="1:9" x14ac:dyDescent="0.3">
      <c r="A270" s="4">
        <v>45965</v>
      </c>
      <c r="B270" t="s">
        <v>63</v>
      </c>
      <c r="C270" t="s">
        <v>12</v>
      </c>
      <c r="E270" t="s">
        <v>47</v>
      </c>
      <c r="F270" s="6">
        <f t="shared" si="4"/>
        <v>4951384</v>
      </c>
      <c r="G270" s="6">
        <v>539119</v>
      </c>
      <c r="I270" t="s">
        <v>223</v>
      </c>
    </row>
    <row r="271" spans="1:9" x14ac:dyDescent="0.3">
      <c r="A271" s="4">
        <v>45965</v>
      </c>
      <c r="B271" t="s">
        <v>141</v>
      </c>
      <c r="C271" t="s">
        <v>16</v>
      </c>
      <c r="F271" s="6">
        <f t="shared" si="4"/>
        <v>5490503</v>
      </c>
      <c r="H271" s="6">
        <v>-4500000</v>
      </c>
    </row>
    <row r="272" spans="1:9" x14ac:dyDescent="0.3">
      <c r="A272" s="4">
        <v>45966</v>
      </c>
      <c r="B272" t="s">
        <v>84</v>
      </c>
      <c r="C272" t="s">
        <v>10</v>
      </c>
      <c r="F272" s="6">
        <f t="shared" si="4"/>
        <v>990503</v>
      </c>
      <c r="H272" s="6">
        <v>-60000</v>
      </c>
    </row>
    <row r="273" spans="1:9" x14ac:dyDescent="0.3">
      <c r="A273" s="4">
        <v>45967</v>
      </c>
      <c r="B273" t="s">
        <v>39</v>
      </c>
      <c r="C273" t="s">
        <v>12</v>
      </c>
      <c r="E273" t="s">
        <v>49</v>
      </c>
      <c r="F273" s="6">
        <f t="shared" si="4"/>
        <v>930503</v>
      </c>
      <c r="G273" s="6">
        <v>656949</v>
      </c>
      <c r="I273" t="s">
        <v>227</v>
      </c>
    </row>
    <row r="274" spans="1:9" x14ac:dyDescent="0.3">
      <c r="A274" s="4">
        <v>45968</v>
      </c>
      <c r="B274" t="s">
        <v>68</v>
      </c>
      <c r="C274" t="s">
        <v>12</v>
      </c>
      <c r="E274" t="s">
        <v>69</v>
      </c>
      <c r="F274" s="6">
        <f t="shared" si="4"/>
        <v>1587452</v>
      </c>
      <c r="G274" s="6">
        <v>410945</v>
      </c>
      <c r="I274" t="s">
        <v>55</v>
      </c>
    </row>
    <row r="275" spans="1:9" x14ac:dyDescent="0.3">
      <c r="A275" s="4">
        <v>45972</v>
      </c>
      <c r="B275" t="s">
        <v>209</v>
      </c>
      <c r="C275" t="s">
        <v>12</v>
      </c>
      <c r="F275" s="6">
        <f t="shared" si="4"/>
        <v>1998397</v>
      </c>
      <c r="G275" s="6">
        <v>3000000</v>
      </c>
      <c r="I275" t="s">
        <v>214</v>
      </c>
    </row>
    <row r="276" spans="1:9" x14ac:dyDescent="0.3">
      <c r="A276" s="4">
        <v>45972</v>
      </c>
      <c r="B276" t="s">
        <v>37</v>
      </c>
      <c r="C276" t="s">
        <v>9</v>
      </c>
      <c r="F276" s="6">
        <f t="shared" si="4"/>
        <v>4998397</v>
      </c>
      <c r="H276" s="6">
        <v>-11006</v>
      </c>
    </row>
    <row r="277" spans="1:9" x14ac:dyDescent="0.3">
      <c r="A277" s="4">
        <v>45972</v>
      </c>
      <c r="B277" t="s">
        <v>212</v>
      </c>
      <c r="C277" t="s">
        <v>10</v>
      </c>
      <c r="F277" s="6">
        <f t="shared" si="4"/>
        <v>4987391</v>
      </c>
      <c r="H277" s="6">
        <v>-15000</v>
      </c>
    </row>
    <row r="278" spans="1:9" x14ac:dyDescent="0.3">
      <c r="A278" s="4">
        <v>45972</v>
      </c>
      <c r="B278" t="s">
        <v>96</v>
      </c>
      <c r="C278" t="s">
        <v>9</v>
      </c>
      <c r="F278" s="6">
        <f t="shared" si="4"/>
        <v>4972391</v>
      </c>
      <c r="H278" s="6">
        <v>-889013</v>
      </c>
      <c r="I278" t="s">
        <v>97</v>
      </c>
    </row>
    <row r="279" spans="1:9" x14ac:dyDescent="0.3">
      <c r="A279" s="4">
        <v>45972</v>
      </c>
      <c r="B279" t="s">
        <v>96</v>
      </c>
      <c r="C279" t="s">
        <v>9</v>
      </c>
      <c r="F279" s="6">
        <f t="shared" si="4"/>
        <v>4083378</v>
      </c>
      <c r="H279" s="6">
        <v>-814047</v>
      </c>
      <c r="I279" t="s">
        <v>97</v>
      </c>
    </row>
    <row r="280" spans="1:9" x14ac:dyDescent="0.3">
      <c r="A280" s="4">
        <v>45972</v>
      </c>
      <c r="B280" t="s">
        <v>141</v>
      </c>
      <c r="C280" t="s">
        <v>16</v>
      </c>
      <c r="F280" s="6">
        <f t="shared" si="4"/>
        <v>3269331</v>
      </c>
      <c r="H280" s="6">
        <v>-3000000</v>
      </c>
    </row>
    <row r="281" spans="1:9" x14ac:dyDescent="0.3">
      <c r="A281" s="4">
        <v>45972</v>
      </c>
      <c r="B281" t="s">
        <v>209</v>
      </c>
      <c r="C281" t="s">
        <v>12</v>
      </c>
      <c r="F281" s="6">
        <f t="shared" si="4"/>
        <v>269331</v>
      </c>
      <c r="G281" s="6">
        <v>2000000</v>
      </c>
      <c r="I281" t="s">
        <v>214</v>
      </c>
    </row>
    <row r="282" spans="1:9" x14ac:dyDescent="0.3">
      <c r="A282" s="4">
        <v>45972</v>
      </c>
      <c r="B282" t="s">
        <v>83</v>
      </c>
      <c r="C282" t="s">
        <v>9</v>
      </c>
      <c r="F282" s="6">
        <f t="shared" si="4"/>
        <v>2269331</v>
      </c>
      <c r="H282" s="6">
        <v>-256500</v>
      </c>
      <c r="I282" t="s">
        <v>215</v>
      </c>
    </row>
    <row r="283" spans="1:9" x14ac:dyDescent="0.3">
      <c r="A283" s="4">
        <v>45973</v>
      </c>
      <c r="B283" t="s">
        <v>42</v>
      </c>
      <c r="C283" t="s">
        <v>10</v>
      </c>
      <c r="F283" s="6">
        <f t="shared" si="4"/>
        <v>2012831</v>
      </c>
      <c r="H283" s="6">
        <v>-130500</v>
      </c>
    </row>
    <row r="284" spans="1:9" x14ac:dyDescent="0.3">
      <c r="A284" s="4">
        <v>45974</v>
      </c>
      <c r="B284" t="s">
        <v>96</v>
      </c>
      <c r="C284" t="s">
        <v>9</v>
      </c>
      <c r="F284" s="6">
        <f t="shared" si="4"/>
        <v>1882331</v>
      </c>
      <c r="H284" s="6">
        <v>-4600</v>
      </c>
    </row>
    <row r="285" spans="1:9" x14ac:dyDescent="0.3">
      <c r="A285" s="4">
        <v>45974</v>
      </c>
      <c r="B285" t="s">
        <v>213</v>
      </c>
      <c r="C285" t="s">
        <v>12</v>
      </c>
      <c r="F285" s="6">
        <f t="shared" si="4"/>
        <v>1877731</v>
      </c>
      <c r="G285" s="6">
        <v>30728534</v>
      </c>
      <c r="I285" t="s">
        <v>216</v>
      </c>
    </row>
    <row r="286" spans="1:9" x14ac:dyDescent="0.3">
      <c r="A286" s="4">
        <v>45978</v>
      </c>
      <c r="B286" t="s">
        <v>44</v>
      </c>
      <c r="C286" t="s">
        <v>9</v>
      </c>
      <c r="F286" s="6">
        <f t="shared" si="4"/>
        <v>32606265</v>
      </c>
      <c r="H286" s="6">
        <v>-800000</v>
      </c>
      <c r="I286" t="s">
        <v>58</v>
      </c>
    </row>
    <row r="287" spans="1:9" x14ac:dyDescent="0.3">
      <c r="A287" s="4">
        <v>45978</v>
      </c>
      <c r="B287" t="s">
        <v>141</v>
      </c>
      <c r="C287" t="s">
        <v>16</v>
      </c>
      <c r="F287" s="6">
        <f t="shared" si="4"/>
        <v>31806265</v>
      </c>
      <c r="H287" s="6">
        <v>-31000000</v>
      </c>
    </row>
    <row r="288" spans="1:9" x14ac:dyDescent="0.3">
      <c r="A288" s="4">
        <v>45980</v>
      </c>
      <c r="B288" t="s">
        <v>113</v>
      </c>
      <c r="C288" t="s">
        <v>9</v>
      </c>
      <c r="F288" s="6">
        <f t="shared" si="4"/>
        <v>806265</v>
      </c>
      <c r="H288" s="6">
        <v>-318697</v>
      </c>
      <c r="I288" t="s">
        <v>217</v>
      </c>
    </row>
    <row r="289" spans="1:9" x14ac:dyDescent="0.3">
      <c r="A289" s="4">
        <v>45985</v>
      </c>
      <c r="B289" t="s">
        <v>191</v>
      </c>
      <c r="C289" t="s">
        <v>12</v>
      </c>
      <c r="E289" t="s">
        <v>196</v>
      </c>
      <c r="F289" s="6">
        <f t="shared" si="4"/>
        <v>487568</v>
      </c>
      <c r="G289" s="6">
        <v>572849</v>
      </c>
      <c r="I289" t="s">
        <v>252</v>
      </c>
    </row>
    <row r="290" spans="1:9" x14ac:dyDescent="0.3">
      <c r="A290" s="4">
        <v>45988</v>
      </c>
      <c r="B290" t="s">
        <v>190</v>
      </c>
      <c r="C290" t="s">
        <v>12</v>
      </c>
      <c r="E290" t="s">
        <v>197</v>
      </c>
      <c r="F290" s="6">
        <f t="shared" si="4"/>
        <v>1060417</v>
      </c>
      <c r="G290" s="6">
        <v>737767</v>
      </c>
      <c r="I290" t="s">
        <v>220</v>
      </c>
    </row>
    <row r="291" spans="1:9" x14ac:dyDescent="0.3">
      <c r="A291" s="4">
        <v>45988</v>
      </c>
      <c r="B291" t="s">
        <v>35</v>
      </c>
      <c r="C291" t="s">
        <v>12</v>
      </c>
      <c r="E291" t="s">
        <v>53</v>
      </c>
      <c r="F291" s="6">
        <f t="shared" si="4"/>
        <v>1798184</v>
      </c>
      <c r="G291" s="6">
        <v>413879</v>
      </c>
      <c r="I291" t="s">
        <v>235</v>
      </c>
    </row>
    <row r="292" spans="1:9" x14ac:dyDescent="0.3">
      <c r="A292" s="4">
        <v>45989</v>
      </c>
      <c r="B292" t="s">
        <v>166</v>
      </c>
      <c r="C292" t="s">
        <v>12</v>
      </c>
      <c r="F292" s="6">
        <f t="shared" si="4"/>
        <v>2212063</v>
      </c>
      <c r="G292" s="6">
        <v>25295500</v>
      </c>
      <c r="I292" t="s">
        <v>236</v>
      </c>
    </row>
    <row r="293" spans="1:9" x14ac:dyDescent="0.3">
      <c r="A293" s="4">
        <v>45992</v>
      </c>
      <c r="B293" t="s">
        <v>43</v>
      </c>
      <c r="C293" t="s">
        <v>12</v>
      </c>
      <c r="E293" t="s">
        <v>105</v>
      </c>
      <c r="F293" s="6">
        <f t="shared" si="4"/>
        <v>27507563</v>
      </c>
      <c r="G293" s="6">
        <v>273145</v>
      </c>
      <c r="I293" t="s">
        <v>91</v>
      </c>
    </row>
    <row r="294" spans="1:9" x14ac:dyDescent="0.3">
      <c r="A294" s="4">
        <v>45992</v>
      </c>
      <c r="B294" t="s">
        <v>188</v>
      </c>
      <c r="C294" t="s">
        <v>12</v>
      </c>
      <c r="E294" t="s">
        <v>199</v>
      </c>
      <c r="F294" s="6">
        <f t="shared" si="4"/>
        <v>27780708</v>
      </c>
      <c r="G294" s="6">
        <v>337366</v>
      </c>
      <c r="I294" t="s">
        <v>248</v>
      </c>
    </row>
    <row r="295" spans="1:9" x14ac:dyDescent="0.3">
      <c r="A295" s="4">
        <v>45992</v>
      </c>
      <c r="B295" t="s">
        <v>189</v>
      </c>
      <c r="C295" t="s">
        <v>12</v>
      </c>
      <c r="E295" t="s">
        <v>195</v>
      </c>
      <c r="F295" s="6">
        <f t="shared" si="4"/>
        <v>28118074</v>
      </c>
      <c r="G295" s="6">
        <v>572850</v>
      </c>
      <c r="I295" t="s">
        <v>243</v>
      </c>
    </row>
    <row r="296" spans="1:9" x14ac:dyDescent="0.3">
      <c r="A296" s="4">
        <v>45992</v>
      </c>
      <c r="B296" t="s">
        <v>141</v>
      </c>
      <c r="C296" t="s">
        <v>16</v>
      </c>
      <c r="F296" s="6">
        <f t="shared" si="4"/>
        <v>28690924</v>
      </c>
      <c r="H296" s="6">
        <v>-26500000</v>
      </c>
    </row>
    <row r="297" spans="1:9" x14ac:dyDescent="0.3">
      <c r="A297" s="4">
        <v>45994</v>
      </c>
      <c r="B297" t="s">
        <v>39</v>
      </c>
      <c r="C297" t="s">
        <v>12</v>
      </c>
      <c r="E297" t="s">
        <v>49</v>
      </c>
      <c r="F297" s="6">
        <f t="shared" si="4"/>
        <v>2190924</v>
      </c>
      <c r="G297" s="6">
        <v>657298</v>
      </c>
      <c r="I297" t="s">
        <v>247</v>
      </c>
    </row>
    <row r="298" spans="1:9" x14ac:dyDescent="0.3">
      <c r="A298" s="4">
        <v>45994</v>
      </c>
      <c r="B298" t="s">
        <v>64</v>
      </c>
      <c r="C298" t="s">
        <v>12</v>
      </c>
      <c r="E298" t="s">
        <v>65</v>
      </c>
      <c r="F298" s="6">
        <f t="shared" si="4"/>
        <v>2848222</v>
      </c>
      <c r="G298" s="6">
        <v>733406</v>
      </c>
      <c r="I298" t="s">
        <v>104</v>
      </c>
    </row>
    <row r="299" spans="1:9" x14ac:dyDescent="0.3">
      <c r="A299" s="4">
        <v>45994</v>
      </c>
      <c r="B299" t="s">
        <v>63</v>
      </c>
      <c r="C299" t="s">
        <v>12</v>
      </c>
      <c r="E299" t="s">
        <v>47</v>
      </c>
      <c r="F299" s="6">
        <f t="shared" si="4"/>
        <v>3581628</v>
      </c>
      <c r="G299" s="6">
        <v>539541</v>
      </c>
      <c r="I299" t="s">
        <v>245</v>
      </c>
    </row>
    <row r="300" spans="1:9" x14ac:dyDescent="0.3">
      <c r="A300" s="4">
        <v>45995</v>
      </c>
      <c r="B300" t="s">
        <v>130</v>
      </c>
      <c r="C300" t="s">
        <v>12</v>
      </c>
      <c r="E300" t="s">
        <v>132</v>
      </c>
      <c r="F300" s="6">
        <f t="shared" si="4"/>
        <v>4121169</v>
      </c>
      <c r="G300" s="6">
        <v>1010119</v>
      </c>
      <c r="I300" t="s">
        <v>249</v>
      </c>
    </row>
    <row r="301" spans="1:9" x14ac:dyDescent="0.3">
      <c r="A301" s="4">
        <v>45995</v>
      </c>
      <c r="B301" t="s">
        <v>113</v>
      </c>
      <c r="C301" t="s">
        <v>13</v>
      </c>
      <c r="F301" s="6">
        <f t="shared" si="4"/>
        <v>5131288</v>
      </c>
      <c r="H301" s="6">
        <v>-750000</v>
      </c>
    </row>
    <row r="302" spans="1:9" x14ac:dyDescent="0.3">
      <c r="A302" s="4">
        <v>45995</v>
      </c>
      <c r="B302" t="s">
        <v>139</v>
      </c>
      <c r="C302" t="s">
        <v>13</v>
      </c>
      <c r="F302" s="6">
        <f t="shared" si="4"/>
        <v>4381288</v>
      </c>
      <c r="H302" s="6">
        <v>-218335</v>
      </c>
    </row>
    <row r="303" spans="1:9" x14ac:dyDescent="0.3">
      <c r="A303" s="4">
        <v>45995</v>
      </c>
      <c r="B303" t="s">
        <v>40</v>
      </c>
      <c r="C303" t="s">
        <v>9</v>
      </c>
      <c r="F303" s="6">
        <f t="shared" si="4"/>
        <v>4162953</v>
      </c>
      <c r="H303" s="6">
        <v>-100000</v>
      </c>
      <c r="I303" t="s">
        <v>143</v>
      </c>
    </row>
    <row r="304" spans="1:9" x14ac:dyDescent="0.3">
      <c r="A304" s="4">
        <v>45996</v>
      </c>
      <c r="B304" t="s">
        <v>182</v>
      </c>
      <c r="C304" t="s">
        <v>12</v>
      </c>
      <c r="E304" t="s">
        <v>198</v>
      </c>
      <c r="F304" s="6">
        <f t="shared" si="4"/>
        <v>4062953</v>
      </c>
      <c r="G304" s="6">
        <v>561755</v>
      </c>
      <c r="I304" t="s">
        <v>246</v>
      </c>
    </row>
    <row r="305" spans="1:9" x14ac:dyDescent="0.3">
      <c r="A305" s="4">
        <v>45996</v>
      </c>
      <c r="B305" t="s">
        <v>167</v>
      </c>
      <c r="C305" t="s">
        <v>16</v>
      </c>
      <c r="F305" s="6">
        <f t="shared" si="4"/>
        <v>4624708</v>
      </c>
      <c r="G305" s="6">
        <v>73000000</v>
      </c>
    </row>
    <row r="306" spans="1:9" x14ac:dyDescent="0.3">
      <c r="A306" s="4">
        <v>45996</v>
      </c>
      <c r="B306" t="s">
        <v>40</v>
      </c>
      <c r="C306" t="s">
        <v>9</v>
      </c>
      <c r="F306" s="6">
        <f t="shared" si="4"/>
        <v>77624708</v>
      </c>
      <c r="H306" s="6">
        <v>-1250000</v>
      </c>
      <c r="I306" t="s">
        <v>242</v>
      </c>
    </row>
    <row r="307" spans="1:9" x14ac:dyDescent="0.3">
      <c r="A307" s="4">
        <v>46000</v>
      </c>
      <c r="B307" t="s">
        <v>71</v>
      </c>
      <c r="C307" t="s">
        <v>20</v>
      </c>
      <c r="D307" t="s">
        <v>21</v>
      </c>
      <c r="F307" s="6">
        <f t="shared" si="4"/>
        <v>76374708</v>
      </c>
      <c r="H307" s="6">
        <v>-5000000</v>
      </c>
    </row>
    <row r="308" spans="1:9" x14ac:dyDescent="0.3">
      <c r="A308" s="4">
        <v>46000</v>
      </c>
      <c r="B308" t="s">
        <v>71</v>
      </c>
      <c r="C308" t="s">
        <v>20</v>
      </c>
      <c r="D308" t="s">
        <v>21</v>
      </c>
      <c r="F308" s="6">
        <f t="shared" si="4"/>
        <v>71374708</v>
      </c>
      <c r="H308" s="6">
        <v>-5000000</v>
      </c>
    </row>
    <row r="309" spans="1:9" x14ac:dyDescent="0.3">
      <c r="A309" s="4">
        <v>46000</v>
      </c>
      <c r="B309" t="s">
        <v>71</v>
      </c>
      <c r="C309" t="s">
        <v>20</v>
      </c>
      <c r="D309" t="s">
        <v>21</v>
      </c>
      <c r="F309" s="6">
        <f t="shared" si="4"/>
        <v>66374708</v>
      </c>
      <c r="H309" s="6">
        <v>-5000000</v>
      </c>
    </row>
    <row r="310" spans="1:9" x14ac:dyDescent="0.3">
      <c r="A310" s="4">
        <v>46000</v>
      </c>
      <c r="B310" t="s">
        <v>71</v>
      </c>
      <c r="C310" t="s">
        <v>20</v>
      </c>
      <c r="D310" t="s">
        <v>21</v>
      </c>
      <c r="F310" s="6">
        <f t="shared" si="4"/>
        <v>61374708</v>
      </c>
      <c r="H310" s="6">
        <v>-5000000</v>
      </c>
    </row>
    <row r="311" spans="1:9" x14ac:dyDescent="0.3">
      <c r="A311" s="4">
        <v>46000</v>
      </c>
      <c r="B311" t="s">
        <v>71</v>
      </c>
      <c r="C311" t="s">
        <v>20</v>
      </c>
      <c r="D311" t="s">
        <v>21</v>
      </c>
      <c r="F311" s="6">
        <f t="shared" si="4"/>
        <v>56374708</v>
      </c>
      <c r="H311" s="6">
        <v>-5000000</v>
      </c>
    </row>
    <row r="312" spans="1:9" x14ac:dyDescent="0.3">
      <c r="A312" s="4">
        <v>46000</v>
      </c>
      <c r="B312" t="s">
        <v>71</v>
      </c>
      <c r="C312" t="s">
        <v>20</v>
      </c>
      <c r="D312" t="s">
        <v>21</v>
      </c>
      <c r="F312" s="6">
        <f t="shared" si="4"/>
        <v>51374708</v>
      </c>
      <c r="H312" s="6">
        <v>-5000000</v>
      </c>
    </row>
    <row r="313" spans="1:9" x14ac:dyDescent="0.3">
      <c r="A313" s="4">
        <v>46000</v>
      </c>
      <c r="B313" t="s">
        <v>71</v>
      </c>
      <c r="C313" t="s">
        <v>20</v>
      </c>
      <c r="D313" t="s">
        <v>21</v>
      </c>
      <c r="F313" s="6">
        <f t="shared" si="4"/>
        <v>46374708</v>
      </c>
      <c r="H313" s="6">
        <v>-5000000</v>
      </c>
    </row>
    <row r="314" spans="1:9" x14ac:dyDescent="0.3">
      <c r="A314" s="4">
        <v>46000</v>
      </c>
      <c r="B314" t="s">
        <v>71</v>
      </c>
      <c r="C314" t="s">
        <v>20</v>
      </c>
      <c r="D314" t="s">
        <v>21</v>
      </c>
      <c r="F314" s="6">
        <f t="shared" si="4"/>
        <v>41374708</v>
      </c>
      <c r="H314" s="6">
        <v>-5000000</v>
      </c>
    </row>
    <row r="315" spans="1:9" x14ac:dyDescent="0.3">
      <c r="A315" s="4">
        <v>46000</v>
      </c>
      <c r="B315" t="s">
        <v>71</v>
      </c>
      <c r="C315" t="s">
        <v>20</v>
      </c>
      <c r="D315" t="s">
        <v>21</v>
      </c>
      <c r="F315" s="6">
        <f t="shared" si="4"/>
        <v>36374708</v>
      </c>
      <c r="H315" s="6">
        <v>-3500000</v>
      </c>
    </row>
    <row r="316" spans="1:9" x14ac:dyDescent="0.3">
      <c r="A316" s="4">
        <v>46000</v>
      </c>
      <c r="B316" t="s">
        <v>71</v>
      </c>
      <c r="C316" t="s">
        <v>20</v>
      </c>
      <c r="D316" t="s">
        <v>21</v>
      </c>
      <c r="F316" s="6">
        <f t="shared" si="4"/>
        <v>32874708</v>
      </c>
      <c r="H316" s="6">
        <v>-5000000</v>
      </c>
    </row>
    <row r="317" spans="1:9" x14ac:dyDescent="0.3">
      <c r="A317" s="4">
        <v>46001</v>
      </c>
      <c r="B317" t="s">
        <v>40</v>
      </c>
      <c r="C317" t="s">
        <v>9</v>
      </c>
      <c r="F317" s="6">
        <f t="shared" si="4"/>
        <v>27874708</v>
      </c>
      <c r="H317" s="6">
        <v>-5000000</v>
      </c>
      <c r="I317" t="s">
        <v>242</v>
      </c>
    </row>
    <row r="318" spans="1:9" x14ac:dyDescent="0.3">
      <c r="A318" s="4">
        <v>46001</v>
      </c>
      <c r="B318" t="s">
        <v>40</v>
      </c>
      <c r="C318" t="s">
        <v>9</v>
      </c>
      <c r="F318" s="6">
        <f t="shared" si="4"/>
        <v>22874708</v>
      </c>
      <c r="H318" s="6">
        <v>-5000000</v>
      </c>
      <c r="I318" t="s">
        <v>242</v>
      </c>
    </row>
    <row r="319" spans="1:9" x14ac:dyDescent="0.3">
      <c r="A319" s="4">
        <v>46001</v>
      </c>
      <c r="B319" t="s">
        <v>40</v>
      </c>
      <c r="C319" t="s">
        <v>9</v>
      </c>
      <c r="F319" s="6">
        <f t="shared" si="4"/>
        <v>17874708</v>
      </c>
      <c r="H319" s="6">
        <v>-5000000</v>
      </c>
      <c r="I319" t="s">
        <v>242</v>
      </c>
    </row>
    <row r="320" spans="1:9" x14ac:dyDescent="0.3">
      <c r="A320" s="4">
        <v>46001</v>
      </c>
      <c r="B320" t="s">
        <v>40</v>
      </c>
      <c r="C320" t="s">
        <v>9</v>
      </c>
      <c r="F320" s="6">
        <f t="shared" si="4"/>
        <v>12874708</v>
      </c>
      <c r="H320" s="6">
        <v>-5000000</v>
      </c>
      <c r="I320" t="s">
        <v>242</v>
      </c>
    </row>
    <row r="321" spans="1:9" x14ac:dyDescent="0.3">
      <c r="A321" s="4">
        <v>46001</v>
      </c>
      <c r="B321" t="s">
        <v>40</v>
      </c>
      <c r="C321" t="s">
        <v>9</v>
      </c>
      <c r="F321" s="6">
        <f t="shared" si="4"/>
        <v>7874708</v>
      </c>
      <c r="H321" s="6">
        <v>-5000000</v>
      </c>
      <c r="I321" t="s">
        <v>242</v>
      </c>
    </row>
    <row r="322" spans="1:9" x14ac:dyDescent="0.3">
      <c r="A322" s="4">
        <v>46001</v>
      </c>
      <c r="B322" t="s">
        <v>37</v>
      </c>
      <c r="C322" t="s">
        <v>9</v>
      </c>
      <c r="F322" s="6">
        <f t="shared" si="4"/>
        <v>2874708</v>
      </c>
      <c r="H322" s="6">
        <v>-125623</v>
      </c>
    </row>
    <row r="323" spans="1:9" x14ac:dyDescent="0.3">
      <c r="A323" s="4">
        <v>46001</v>
      </c>
      <c r="B323" t="s">
        <v>44</v>
      </c>
      <c r="C323" t="s">
        <v>9</v>
      </c>
      <c r="F323" s="6">
        <f t="shared" si="4"/>
        <v>2749085</v>
      </c>
      <c r="H323" s="6">
        <v>-6131</v>
      </c>
    </row>
    <row r="324" spans="1:9" x14ac:dyDescent="0.3">
      <c r="A324" s="4">
        <v>46002</v>
      </c>
      <c r="B324" t="s">
        <v>167</v>
      </c>
      <c r="C324" t="s">
        <v>16</v>
      </c>
      <c r="F324" s="6">
        <f t="shared" ref="F324:F335" si="5">+F323+G323+H323</f>
        <v>2742954</v>
      </c>
      <c r="G324" s="6">
        <v>2000000</v>
      </c>
    </row>
    <row r="325" spans="1:9" x14ac:dyDescent="0.3">
      <c r="A325" s="4">
        <v>46002</v>
      </c>
      <c r="B325" t="s">
        <v>237</v>
      </c>
      <c r="C325" t="s">
        <v>9</v>
      </c>
      <c r="F325" s="6">
        <f t="shared" si="5"/>
        <v>4742954</v>
      </c>
      <c r="H325" s="6">
        <v>-4700500</v>
      </c>
      <c r="I325" t="s">
        <v>238</v>
      </c>
    </row>
    <row r="326" spans="1:9" x14ac:dyDescent="0.3">
      <c r="A326" s="4">
        <v>46013</v>
      </c>
      <c r="B326" t="s">
        <v>210</v>
      </c>
      <c r="C326" t="s">
        <v>12</v>
      </c>
      <c r="E326" t="s">
        <v>197</v>
      </c>
      <c r="F326" s="6">
        <f t="shared" si="5"/>
        <v>42454</v>
      </c>
      <c r="G326" s="6">
        <v>738463</v>
      </c>
      <c r="I326" t="s">
        <v>244</v>
      </c>
    </row>
    <row r="327" spans="1:9" x14ac:dyDescent="0.3">
      <c r="A327" s="4">
        <v>46013</v>
      </c>
      <c r="B327" t="s">
        <v>43</v>
      </c>
      <c r="C327" t="s">
        <v>12</v>
      </c>
      <c r="E327" t="s">
        <v>105</v>
      </c>
      <c r="F327" s="6">
        <f t="shared" si="5"/>
        <v>780917</v>
      </c>
      <c r="G327" s="6">
        <v>273437</v>
      </c>
      <c r="I327" t="s">
        <v>103</v>
      </c>
    </row>
    <row r="328" spans="1:9" x14ac:dyDescent="0.3">
      <c r="A328" s="4">
        <v>46013</v>
      </c>
      <c r="B328" t="s">
        <v>181</v>
      </c>
      <c r="C328" t="s">
        <v>9</v>
      </c>
      <c r="F328" s="6">
        <f t="shared" si="5"/>
        <v>1054354</v>
      </c>
      <c r="H328" s="6">
        <v>-50000</v>
      </c>
      <c r="I328" t="s">
        <v>239</v>
      </c>
    </row>
    <row r="329" spans="1:9" x14ac:dyDescent="0.3">
      <c r="A329" s="4">
        <v>46013</v>
      </c>
      <c r="B329" t="s">
        <v>84</v>
      </c>
      <c r="C329" t="s">
        <v>9</v>
      </c>
      <c r="F329" s="6">
        <f t="shared" si="5"/>
        <v>1004354</v>
      </c>
      <c r="H329" s="6">
        <v>-60000</v>
      </c>
      <c r="I329" t="s">
        <v>240</v>
      </c>
    </row>
    <row r="330" spans="1:9" x14ac:dyDescent="0.3">
      <c r="A330" s="4">
        <v>46015</v>
      </c>
      <c r="B330" t="s">
        <v>42</v>
      </c>
      <c r="C330" t="s">
        <v>9</v>
      </c>
      <c r="F330" s="6">
        <f t="shared" si="5"/>
        <v>944354</v>
      </c>
      <c r="H330" s="6">
        <v>-24500</v>
      </c>
      <c r="I330" t="s">
        <v>241</v>
      </c>
    </row>
    <row r="331" spans="1:9" x14ac:dyDescent="0.3">
      <c r="A331" s="4">
        <v>46020</v>
      </c>
      <c r="B331" t="s">
        <v>35</v>
      </c>
      <c r="C331" t="s">
        <v>12</v>
      </c>
      <c r="E331" t="s">
        <v>53</v>
      </c>
      <c r="F331" s="6">
        <f t="shared" si="5"/>
        <v>919854</v>
      </c>
      <c r="G331" s="6">
        <v>414679</v>
      </c>
      <c r="I331" t="s">
        <v>251</v>
      </c>
    </row>
    <row r="332" spans="1:9" x14ac:dyDescent="0.3">
      <c r="A332" s="4">
        <v>46021</v>
      </c>
      <c r="B332" t="s">
        <v>130</v>
      </c>
      <c r="C332" t="s">
        <v>12</v>
      </c>
      <c r="E332" t="s">
        <v>132</v>
      </c>
      <c r="F332" s="6">
        <f>+F331+G331+H331</f>
        <v>1334533</v>
      </c>
      <c r="G332" s="6">
        <v>1012073</v>
      </c>
      <c r="I332" t="s">
        <v>250</v>
      </c>
    </row>
    <row r="333" spans="1:9" x14ac:dyDescent="0.3">
      <c r="F333" s="6">
        <f t="shared" si="5"/>
        <v>2346606</v>
      </c>
    </row>
    <row r="334" spans="1:9" x14ac:dyDescent="0.3">
      <c r="F334" s="6">
        <f t="shared" si="5"/>
        <v>2346606</v>
      </c>
    </row>
    <row r="335" spans="1:9" x14ac:dyDescent="0.3">
      <c r="F335" s="6">
        <f t="shared" si="5"/>
        <v>2346606</v>
      </c>
    </row>
  </sheetData>
  <autoFilter ref="A1:AB335" xr:uid="{00000000-0001-0000-0000-000000000000}"/>
  <phoneticPr fontId="4" type="noConversion"/>
  <conditionalFormatting sqref="C1:C1048576">
    <cfRule type="containsBlanks" dxfId="0" priority="1">
      <formula>LEN(TRIM(C1))=0</formula>
    </cfRule>
  </conditionalFormatting>
  <dataValidations count="2">
    <dataValidation type="decimal" operator="greaterThan" allowBlank="1" showInputMessage="1" showErrorMessage="1" sqref="G2:G1048576" xr:uid="{B93CC2DC-B85D-4A9C-96C1-5B8E36862DE2}">
      <formula1>0</formula1>
    </dataValidation>
    <dataValidation type="decimal" operator="lessThan" allowBlank="1" showInputMessage="1" showErrorMessage="1" sqref="H2:H1048576" xr:uid="{D2D4C543-2793-45C3-9DB8-33388037FCF9}">
      <formula1>0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1F16C7B-3110-4343-BAD4-CFED7211F3D3}">
          <x14:formula1>
            <xm:f>CATEGORIAS!$A$2:$A$13</xm:f>
          </x14:formula1>
          <xm:sqref>C2:C201 C210:C1048576</xm:sqref>
        </x14:dataValidation>
        <x14:dataValidation type="list" allowBlank="1" showInputMessage="1" showErrorMessage="1" xr:uid="{9414D1A0-62F3-4199-830F-802B44E96E89}">
          <x14:formula1>
            <xm:f>CATEGORIAS!$B$2:$B$15</xm:f>
          </x14:formula1>
          <xm:sqref>D2:D201 D210</xm:sqref>
        </x14:dataValidation>
        <x14:dataValidation type="list" allowBlank="1" showInputMessage="1" showErrorMessage="1" xr:uid="{97183FCB-5E04-406F-A652-05545E5A74DD}">
          <x14:formula1>
            <xm:f>CATEGORIAS!$C:$C</xm:f>
          </x14:formula1>
          <xm:sqref>E2:E201 E210:E1222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9E68-493F-491E-9566-7DA17BB5F7E5}">
  <dimension ref="A1:C20"/>
  <sheetViews>
    <sheetView workbookViewId="0">
      <selection activeCell="C6" sqref="C6"/>
    </sheetView>
  </sheetViews>
  <sheetFormatPr defaultRowHeight="14.4" x14ac:dyDescent="0.3"/>
  <cols>
    <col min="1" max="1" width="28.5546875" bestFit="1" customWidth="1"/>
    <col min="2" max="2" width="19" customWidth="1"/>
    <col min="3" max="3" width="17.109375" bestFit="1" customWidth="1"/>
  </cols>
  <sheetData>
    <row r="1" spans="1:3" x14ac:dyDescent="0.3">
      <c r="A1" t="s">
        <v>1</v>
      </c>
      <c r="B1" t="s">
        <v>2</v>
      </c>
      <c r="C1" t="s">
        <v>46</v>
      </c>
    </row>
    <row r="2" spans="1:3" x14ac:dyDescent="0.3">
      <c r="A2" t="s">
        <v>19</v>
      </c>
      <c r="B2" t="s">
        <v>28</v>
      </c>
      <c r="C2" t="s">
        <v>47</v>
      </c>
    </row>
    <row r="3" spans="1:3" x14ac:dyDescent="0.3">
      <c r="A3" t="s">
        <v>16</v>
      </c>
      <c r="B3" t="s">
        <v>31</v>
      </c>
      <c r="C3" t="s">
        <v>48</v>
      </c>
    </row>
    <row r="4" spans="1:3" x14ac:dyDescent="0.3">
      <c r="A4" t="s">
        <v>9</v>
      </c>
      <c r="B4" t="s">
        <v>30</v>
      </c>
      <c r="C4" t="s">
        <v>105</v>
      </c>
    </row>
    <row r="5" spans="1:3" x14ac:dyDescent="0.3">
      <c r="A5" t="s">
        <v>14</v>
      </c>
      <c r="B5" t="s">
        <v>26</v>
      </c>
      <c r="C5" t="s">
        <v>255</v>
      </c>
    </row>
    <row r="6" spans="1:3" x14ac:dyDescent="0.3">
      <c r="A6" t="s">
        <v>18</v>
      </c>
      <c r="B6" t="s">
        <v>25</v>
      </c>
      <c r="C6" t="s">
        <v>49</v>
      </c>
    </row>
    <row r="7" spans="1:3" x14ac:dyDescent="0.3">
      <c r="A7" t="s">
        <v>11</v>
      </c>
      <c r="B7" t="s">
        <v>34</v>
      </c>
      <c r="C7" t="s">
        <v>50</v>
      </c>
    </row>
    <row r="8" spans="1:3" x14ac:dyDescent="0.3">
      <c r="A8" t="s">
        <v>10</v>
      </c>
      <c r="B8" t="s">
        <v>24</v>
      </c>
      <c r="C8" t="s">
        <v>51</v>
      </c>
    </row>
    <row r="9" spans="1:3" x14ac:dyDescent="0.3">
      <c r="A9" t="s">
        <v>15</v>
      </c>
      <c r="B9" t="s">
        <v>21</v>
      </c>
      <c r="C9" t="s">
        <v>52</v>
      </c>
    </row>
    <row r="10" spans="1:3" x14ac:dyDescent="0.3">
      <c r="A10" t="s">
        <v>20</v>
      </c>
      <c r="B10" t="s">
        <v>27</v>
      </c>
      <c r="C10" t="s">
        <v>53</v>
      </c>
    </row>
    <row r="11" spans="1:3" x14ac:dyDescent="0.3">
      <c r="A11" t="s">
        <v>17</v>
      </c>
      <c r="B11" t="s">
        <v>33</v>
      </c>
      <c r="C11" t="s">
        <v>61</v>
      </c>
    </row>
    <row r="12" spans="1:3" x14ac:dyDescent="0.3">
      <c r="A12" t="s">
        <v>13</v>
      </c>
      <c r="B12" t="s">
        <v>29</v>
      </c>
      <c r="C12" t="s">
        <v>65</v>
      </c>
    </row>
    <row r="13" spans="1:3" x14ac:dyDescent="0.3">
      <c r="A13" t="s">
        <v>12</v>
      </c>
      <c r="B13" t="s">
        <v>23</v>
      </c>
      <c r="C13" t="s">
        <v>69</v>
      </c>
    </row>
    <row r="14" spans="1:3" x14ac:dyDescent="0.3">
      <c r="B14" t="s">
        <v>32</v>
      </c>
      <c r="C14" t="s">
        <v>88</v>
      </c>
    </row>
    <row r="15" spans="1:3" x14ac:dyDescent="0.3">
      <c r="B15" t="s">
        <v>22</v>
      </c>
      <c r="C15" t="s">
        <v>132</v>
      </c>
    </row>
    <row r="16" spans="1:3" x14ac:dyDescent="0.3">
      <c r="C16" t="s">
        <v>195</v>
      </c>
    </row>
    <row r="17" spans="3:3" x14ac:dyDescent="0.3">
      <c r="C17" t="s">
        <v>196</v>
      </c>
    </row>
    <row r="18" spans="3:3" x14ac:dyDescent="0.3">
      <c r="C18" t="s">
        <v>197</v>
      </c>
    </row>
    <row r="19" spans="3:3" x14ac:dyDescent="0.3">
      <c r="C19" t="s">
        <v>198</v>
      </c>
    </row>
    <row r="20" spans="3:3" x14ac:dyDescent="0.3">
      <c r="C20" t="s">
        <v>199</v>
      </c>
    </row>
  </sheetData>
  <sortState xmlns:xlrd2="http://schemas.microsoft.com/office/spreadsheetml/2017/richdata2" ref="B2:B15">
    <sortCondition ref="B2:B15"/>
  </sortState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26DC4-4610-476A-9ACA-07BA7375CAF6}">
  <dimension ref="B3:D19"/>
  <sheetViews>
    <sheetView workbookViewId="0">
      <selection activeCell="K12" sqref="K12"/>
    </sheetView>
  </sheetViews>
  <sheetFormatPr defaultRowHeight="14.4" x14ac:dyDescent="0.3"/>
  <cols>
    <col min="2" max="2" width="13.109375" bestFit="1" customWidth="1"/>
    <col min="3" max="3" width="16.6640625" bestFit="1" customWidth="1"/>
    <col min="4" max="4" width="17" bestFit="1" customWidth="1"/>
  </cols>
  <sheetData>
    <row r="3" spans="2:4" x14ac:dyDescent="0.3">
      <c r="B3" s="8" t="s">
        <v>171</v>
      </c>
      <c r="C3" t="s">
        <v>174</v>
      </c>
      <c r="D3" t="s">
        <v>175</v>
      </c>
    </row>
    <row r="4" spans="2:4" x14ac:dyDescent="0.3">
      <c r="B4" s="9" t="s">
        <v>16</v>
      </c>
      <c r="C4" s="10">
        <v>64630462</v>
      </c>
      <c r="D4" s="10">
        <v>-64500000</v>
      </c>
    </row>
    <row r="5" spans="2:4" x14ac:dyDescent="0.3">
      <c r="B5" s="9" t="s">
        <v>9</v>
      </c>
      <c r="C5" s="10"/>
      <c r="D5" s="10">
        <v>-75959756</v>
      </c>
    </row>
    <row r="6" spans="2:4" x14ac:dyDescent="0.3">
      <c r="B6" s="9" t="s">
        <v>14</v>
      </c>
      <c r="C6" s="10"/>
      <c r="D6" s="10">
        <v>-5389398</v>
      </c>
    </row>
    <row r="7" spans="2:4" x14ac:dyDescent="0.3">
      <c r="B7" s="9" t="s">
        <v>10</v>
      </c>
      <c r="C7" s="10"/>
      <c r="D7" s="10">
        <v>-1027600</v>
      </c>
    </row>
    <row r="8" spans="2:4" x14ac:dyDescent="0.3">
      <c r="B8" s="9" t="s">
        <v>20</v>
      </c>
      <c r="C8" s="10">
        <v>59151000</v>
      </c>
      <c r="D8" s="10">
        <v>-99859160</v>
      </c>
    </row>
    <row r="9" spans="2:4" x14ac:dyDescent="0.3">
      <c r="B9" s="9" t="s">
        <v>13</v>
      </c>
      <c r="C9" s="10"/>
      <c r="D9" s="10">
        <v>-2674483</v>
      </c>
    </row>
    <row r="10" spans="2:4" x14ac:dyDescent="0.3">
      <c r="B10" s="9" t="s">
        <v>12</v>
      </c>
      <c r="C10" s="10">
        <v>156114238</v>
      </c>
      <c r="D10" s="10">
        <v>-6542336</v>
      </c>
    </row>
    <row r="11" spans="2:4" x14ac:dyDescent="0.3">
      <c r="B11" s="9" t="s">
        <v>172</v>
      </c>
      <c r="C11" s="10">
        <v>568757</v>
      </c>
      <c r="D11" s="10">
        <v>-8810665</v>
      </c>
    </row>
    <row r="12" spans="2:4" x14ac:dyDescent="0.3">
      <c r="B12" s="9" t="s">
        <v>173</v>
      </c>
      <c r="C12" s="10">
        <v>280464457</v>
      </c>
      <c r="D12" s="10">
        <v>-264763398</v>
      </c>
    </row>
    <row r="16" spans="2:4" x14ac:dyDescent="0.3">
      <c r="B16" s="8" t="s">
        <v>171</v>
      </c>
      <c r="C16" t="s">
        <v>174</v>
      </c>
      <c r="D16" t="s">
        <v>175</v>
      </c>
    </row>
    <row r="17" spans="2:4" x14ac:dyDescent="0.3">
      <c r="B17" s="9" t="s">
        <v>21</v>
      </c>
      <c r="C17" s="10">
        <v>59151000</v>
      </c>
      <c r="D17" s="10">
        <v>-99859160</v>
      </c>
    </row>
    <row r="18" spans="2:4" x14ac:dyDescent="0.3">
      <c r="B18" s="9" t="s">
        <v>172</v>
      </c>
      <c r="C18" s="10">
        <v>221313457</v>
      </c>
      <c r="D18" s="10">
        <v>-164904238</v>
      </c>
    </row>
    <row r="19" spans="2:4" x14ac:dyDescent="0.3">
      <c r="B19" s="9" t="s">
        <v>173</v>
      </c>
      <c r="C19" s="10">
        <v>280464457</v>
      </c>
      <c r="D19" s="10">
        <v>-264763398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MOVIMIENTOS</vt:lpstr>
      <vt:lpstr>CATEGORIAS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Lecaros</dc:creator>
  <cp:lastModifiedBy>Benjamin Lecaros</cp:lastModifiedBy>
  <dcterms:created xsi:type="dcterms:W3CDTF">2015-06-05T18:17:20Z</dcterms:created>
  <dcterms:modified xsi:type="dcterms:W3CDTF">2026-05-07T16:22:15Z</dcterms:modified>
</cp:coreProperties>
</file>
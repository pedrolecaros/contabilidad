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melis\Dropbox\Antecedentes y gastos Tregualemu SpA\Contabilidad 2021\4.- Libro de Honorarios\"/>
    </mc:Choice>
  </mc:AlternateContent>
  <xr:revisionPtr revIDLastSave="0" documentId="13_ncr:1_{E32C6CCA-7E5A-4E57-B9AC-FB47245B6736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Libro Honorarios 2021" sheetId="1" r:id="rId1"/>
  </sheets>
  <definedNames>
    <definedName name="_xlnm._FilterDatabase" localSheetId="0" hidden="1">'Libro Honorarios 2021'!$B$2:$M$19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K21" i="1"/>
  <c r="I21" i="1"/>
</calcChain>
</file>

<file path=xl/sharedStrings.xml><?xml version="1.0" encoding="utf-8"?>
<sst xmlns="http://schemas.openxmlformats.org/spreadsheetml/2006/main" count="98" uniqueCount="49">
  <si>
    <t>Periodo</t>
  </si>
  <si>
    <t>Fecha</t>
  </si>
  <si>
    <t>No</t>
  </si>
  <si>
    <t>Emisor</t>
  </si>
  <si>
    <t>Dirección</t>
  </si>
  <si>
    <t>RUT</t>
  </si>
  <si>
    <t>Bruto</t>
  </si>
  <si>
    <t>Liquido</t>
  </si>
  <si>
    <t>Manuel Alejandro Labrin Ordene</t>
  </si>
  <si>
    <t>14320976-8</t>
  </si>
  <si>
    <t>Roble 424, San Carlos</t>
  </si>
  <si>
    <t>Francisco José del Brutto</t>
  </si>
  <si>
    <t>14631298-5</t>
  </si>
  <si>
    <t>Av. Cuarto Centenario 1822, Las Condes</t>
  </si>
  <si>
    <t>Camila Grob Lunecke</t>
  </si>
  <si>
    <t>16339156-2</t>
  </si>
  <si>
    <t>Asturias 200, Las Condes</t>
  </si>
  <si>
    <t>Total retenido</t>
  </si>
  <si>
    <t>3375204-0</t>
  </si>
  <si>
    <t>Manuel Rodriguez 784, Linares</t>
  </si>
  <si>
    <t>10755410-6</t>
  </si>
  <si>
    <t>La Concepción 65, Providencia, Santiago</t>
  </si>
  <si>
    <t xml:space="preserve">Claudinet Pereira Gonzalez </t>
  </si>
  <si>
    <t>Ref. Respaldo</t>
  </si>
  <si>
    <t>A1</t>
  </si>
  <si>
    <t>A2</t>
  </si>
  <si>
    <t>A5</t>
  </si>
  <si>
    <t>A68</t>
  </si>
  <si>
    <t>A69</t>
  </si>
  <si>
    <t>A70</t>
  </si>
  <si>
    <t>Andres Felipe Rieutord Alvarado</t>
  </si>
  <si>
    <t>A73</t>
  </si>
  <si>
    <t>A74</t>
  </si>
  <si>
    <t>A75</t>
  </si>
  <si>
    <t>A90</t>
  </si>
  <si>
    <t>A91</t>
  </si>
  <si>
    <t>A92</t>
  </si>
  <si>
    <t>A93</t>
  </si>
  <si>
    <t>A94</t>
  </si>
  <si>
    <t>A95</t>
  </si>
  <si>
    <t>A96</t>
  </si>
  <si>
    <t>A97</t>
  </si>
  <si>
    <t>Forma de pago</t>
  </si>
  <si>
    <t>Cartola Edward</t>
  </si>
  <si>
    <t>Sin Cartola</t>
  </si>
  <si>
    <t>Retención 11,5%</t>
  </si>
  <si>
    <t>Retención 3%</t>
  </si>
  <si>
    <t>Cartola Santander</t>
  </si>
  <si>
    <t>ANTICIPO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</si>
</sst>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" fontId="4" fillId="0" borderId="0" xfId="0" applyNumberFormat="1" applyFont="1"/>
    <xf numFmtId="14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41" fontId="4" fillId="0" borderId="0" xfId="1" applyFont="1"/>
    <xf numFmtId="3" fontId="4" fillId="0" borderId="0" xfId="0" applyNumberFormat="1" applyFont="1"/>
    <xf numFmtId="41" fontId="4" fillId="0" borderId="0" xfId="0" applyNumberFormat="1" applyFont="1"/>
    <xf numFmtId="41" fontId="5" fillId="0" borderId="0" xfId="1" applyFont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M21"/>
  <sheetViews>
    <sheetView tabSelected="1" topLeftCell="B1" zoomScaleNormal="100" workbookViewId="0">
      <selection activeCell="N22" sqref="N22"/>
    </sheetView>
  </sheetViews>
  <sheetFormatPr baseColWidth="10" defaultColWidth="9.140625" defaultRowHeight="15" x14ac:dyDescent="0.25"/>
  <cols>
    <col min="2" max="2" width="8" bestFit="1" customWidth="1"/>
    <col min="3" max="3" width="10.85546875" bestFit="1" customWidth="1"/>
    <col min="4" max="4" width="7.7109375" bestFit="1" customWidth="1"/>
    <col min="5" max="5" width="33.42578125" bestFit="1" customWidth="1"/>
    <col min="6" max="6" width="10.7109375" bestFit="1" customWidth="1"/>
    <col min="7" max="7" width="36.85546875" bestFit="1" customWidth="1"/>
    <col min="8" max="8" width="10.5703125" bestFit="1" customWidth="1"/>
    <col min="9" max="9" width="11.5703125" bestFit="1" customWidth="1"/>
    <col min="10" max="10" width="10.140625" customWidth="1"/>
    <col min="11" max="11" width="10.5703125" bestFit="1" customWidth="1"/>
    <col min="12" max="12" width="11.42578125" customWidth="1"/>
  </cols>
  <sheetData>
    <row r="2" spans="2:13" ht="25.5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5</v>
      </c>
      <c r="G2" s="2" t="s">
        <v>4</v>
      </c>
      <c r="H2" s="2" t="s">
        <v>6</v>
      </c>
      <c r="I2" s="2" t="s">
        <v>45</v>
      </c>
      <c r="J2" s="2" t="s">
        <v>46</v>
      </c>
      <c r="K2" s="2" t="s">
        <v>7</v>
      </c>
      <c r="L2" s="1" t="s">
        <v>23</v>
      </c>
      <c r="M2" s="1" t="s">
        <v>42</v>
      </c>
    </row>
    <row r="3" spans="2:13" hidden="1" x14ac:dyDescent="0.25">
      <c r="B3" s="3">
        <v>44197</v>
      </c>
      <c r="C3" s="4">
        <v>44208</v>
      </c>
      <c r="D3" s="5">
        <v>153</v>
      </c>
      <c r="E3" s="5" t="s">
        <v>11</v>
      </c>
      <c r="F3" s="6" t="s">
        <v>12</v>
      </c>
      <c r="G3" s="5" t="s">
        <v>13</v>
      </c>
      <c r="H3" s="7">
        <v>538184</v>
      </c>
      <c r="I3" s="7">
        <v>61891</v>
      </c>
      <c r="J3" s="7">
        <v>0</v>
      </c>
      <c r="K3" s="7">
        <v>476293</v>
      </c>
      <c r="L3" s="10" t="s">
        <v>24</v>
      </c>
      <c r="M3" t="s">
        <v>43</v>
      </c>
    </row>
    <row r="4" spans="2:13" x14ac:dyDescent="0.25">
      <c r="B4" s="3">
        <v>44228</v>
      </c>
      <c r="C4" s="4">
        <v>44249</v>
      </c>
      <c r="D4" s="5">
        <v>49</v>
      </c>
      <c r="E4" s="5" t="s">
        <v>14</v>
      </c>
      <c r="F4" s="6" t="s">
        <v>15</v>
      </c>
      <c r="G4" s="5" t="s">
        <v>16</v>
      </c>
      <c r="H4" s="7">
        <v>180791</v>
      </c>
      <c r="I4" s="7">
        <v>20791</v>
      </c>
      <c r="J4" s="7">
        <v>0</v>
      </c>
      <c r="K4" s="7">
        <v>160000</v>
      </c>
      <c r="L4" s="10" t="s">
        <v>25</v>
      </c>
      <c r="M4" t="s">
        <v>44</v>
      </c>
    </row>
    <row r="5" spans="2:13" x14ac:dyDescent="0.25">
      <c r="B5" s="3">
        <v>44256</v>
      </c>
      <c r="C5" s="4">
        <v>44265</v>
      </c>
      <c r="D5" s="5">
        <v>428414</v>
      </c>
      <c r="E5" s="5" t="s">
        <v>22</v>
      </c>
      <c r="F5" s="6" t="s">
        <v>18</v>
      </c>
      <c r="G5" s="5" t="s">
        <v>19</v>
      </c>
      <c r="H5" s="7">
        <v>16000</v>
      </c>
      <c r="I5" s="7">
        <v>0</v>
      </c>
      <c r="J5" s="7">
        <v>0</v>
      </c>
      <c r="K5" s="7">
        <v>16000</v>
      </c>
      <c r="L5" s="10" t="s">
        <v>26</v>
      </c>
      <c r="M5" t="s">
        <v>44</v>
      </c>
    </row>
    <row r="6" spans="2:13" x14ac:dyDescent="0.25">
      <c r="B6" s="3">
        <v>44409</v>
      </c>
      <c r="C6" s="4">
        <v>44437</v>
      </c>
      <c r="D6" s="5">
        <v>97</v>
      </c>
      <c r="E6" s="5" t="s">
        <v>8</v>
      </c>
      <c r="F6" s="6" t="s">
        <v>9</v>
      </c>
      <c r="G6" s="5" t="s">
        <v>10</v>
      </c>
      <c r="H6" s="7">
        <v>1694915</v>
      </c>
      <c r="I6" s="7">
        <v>194915</v>
      </c>
      <c r="J6" s="7">
        <v>0</v>
      </c>
      <c r="K6" s="7">
        <v>1500000</v>
      </c>
      <c r="L6" s="10" t="s">
        <v>28</v>
      </c>
      <c r="M6" t="s">
        <v>48</v>
      </c>
    </row>
    <row r="7" spans="2:13" hidden="1" x14ac:dyDescent="0.25">
      <c r="B7" s="3">
        <v>44409</v>
      </c>
      <c r="C7" s="4">
        <v>44419</v>
      </c>
      <c r="D7" s="5">
        <v>6344</v>
      </c>
      <c r="E7" s="5" t="s">
        <v>30</v>
      </c>
      <c r="F7" s="6" t="s">
        <v>20</v>
      </c>
      <c r="G7" s="5" t="s">
        <v>21</v>
      </c>
      <c r="H7" s="7">
        <v>30000</v>
      </c>
      <c r="I7" s="7">
        <v>0</v>
      </c>
      <c r="J7" s="7">
        <v>0</v>
      </c>
      <c r="K7" s="7">
        <v>30000</v>
      </c>
      <c r="L7" s="10" t="s">
        <v>27</v>
      </c>
      <c r="M7" t="s">
        <v>47</v>
      </c>
    </row>
    <row r="8" spans="2:13" hidden="1" x14ac:dyDescent="0.25">
      <c r="B8" s="3">
        <v>44409</v>
      </c>
      <c r="C8" s="4">
        <v>44420</v>
      </c>
      <c r="D8" s="5">
        <v>6748</v>
      </c>
      <c r="E8" s="5" t="s">
        <v>30</v>
      </c>
      <c r="F8" s="6" t="s">
        <v>20</v>
      </c>
      <c r="G8" s="5" t="s">
        <v>21</v>
      </c>
      <c r="H8" s="7">
        <v>65000</v>
      </c>
      <c r="I8" s="7">
        <v>0</v>
      </c>
      <c r="J8" s="7">
        <v>0</v>
      </c>
      <c r="K8" s="7">
        <v>65000</v>
      </c>
      <c r="L8" s="10" t="s">
        <v>29</v>
      </c>
      <c r="M8" t="s">
        <v>47</v>
      </c>
    </row>
    <row r="9" spans="2:13" hidden="1" x14ac:dyDescent="0.25">
      <c r="B9" s="3">
        <v>44440</v>
      </c>
      <c r="C9" s="4">
        <v>44453</v>
      </c>
      <c r="D9" s="5">
        <v>11917</v>
      </c>
      <c r="E9" s="5" t="s">
        <v>30</v>
      </c>
      <c r="F9" s="6" t="s">
        <v>20</v>
      </c>
      <c r="G9" s="5" t="s">
        <v>21</v>
      </c>
      <c r="H9" s="7">
        <v>30000</v>
      </c>
      <c r="I9" s="7">
        <v>0</v>
      </c>
      <c r="J9" s="7">
        <v>0</v>
      </c>
      <c r="K9" s="7">
        <v>30000</v>
      </c>
      <c r="L9" s="10" t="s">
        <v>31</v>
      </c>
      <c r="M9" t="s">
        <v>47</v>
      </c>
    </row>
    <row r="10" spans="2:13" x14ac:dyDescent="0.25">
      <c r="B10" s="3">
        <v>44440</v>
      </c>
      <c r="C10" s="4">
        <v>44466</v>
      </c>
      <c r="D10" s="5">
        <v>99</v>
      </c>
      <c r="E10" s="5" t="s">
        <v>8</v>
      </c>
      <c r="F10" s="6" t="s">
        <v>9</v>
      </c>
      <c r="G10" s="5" t="s">
        <v>10</v>
      </c>
      <c r="H10" s="7">
        <v>1694915</v>
      </c>
      <c r="I10" s="7">
        <v>194915.22500000001</v>
      </c>
      <c r="J10" s="7">
        <v>50847.45</v>
      </c>
      <c r="K10" s="7">
        <v>1449152</v>
      </c>
      <c r="L10" s="10" t="s">
        <v>32</v>
      </c>
      <c r="M10" t="s">
        <v>48</v>
      </c>
    </row>
    <row r="11" spans="2:13" x14ac:dyDescent="0.25">
      <c r="B11" s="3">
        <v>44440</v>
      </c>
      <c r="C11" s="4">
        <v>44466</v>
      </c>
      <c r="D11" s="5">
        <v>100</v>
      </c>
      <c r="E11" s="5" t="s">
        <v>8</v>
      </c>
      <c r="F11" s="6" t="s">
        <v>9</v>
      </c>
      <c r="G11" s="5" t="s">
        <v>10</v>
      </c>
      <c r="H11" s="7">
        <v>1800000</v>
      </c>
      <c r="I11" s="7">
        <v>261000</v>
      </c>
      <c r="J11" s="7">
        <v>0</v>
      </c>
      <c r="K11" s="7">
        <v>1539000</v>
      </c>
      <c r="L11" s="10" t="s">
        <v>33</v>
      </c>
      <c r="M11" t="s">
        <v>48</v>
      </c>
    </row>
    <row r="12" spans="2:13" x14ac:dyDescent="0.25">
      <c r="B12" s="3">
        <v>44501</v>
      </c>
      <c r="C12" s="4">
        <v>44505</v>
      </c>
      <c r="D12" s="5">
        <v>19439</v>
      </c>
      <c r="E12" s="5" t="s">
        <v>30</v>
      </c>
      <c r="F12" s="6" t="s">
        <v>20</v>
      </c>
      <c r="G12" s="5" t="s">
        <v>21</v>
      </c>
      <c r="H12" s="8">
        <v>20000</v>
      </c>
      <c r="I12" s="7">
        <v>0</v>
      </c>
      <c r="J12" s="7">
        <v>0</v>
      </c>
      <c r="K12" s="8">
        <v>20000</v>
      </c>
      <c r="L12" s="10" t="s">
        <v>34</v>
      </c>
      <c r="M12" t="s">
        <v>44</v>
      </c>
    </row>
    <row r="13" spans="2:13" x14ac:dyDescent="0.25">
      <c r="B13" s="3">
        <v>44501</v>
      </c>
      <c r="C13" s="4">
        <v>44505</v>
      </c>
      <c r="D13" s="5">
        <v>19440</v>
      </c>
      <c r="E13" s="5" t="s">
        <v>30</v>
      </c>
      <c r="F13" s="6" t="s">
        <v>20</v>
      </c>
      <c r="G13" s="5" t="s">
        <v>21</v>
      </c>
      <c r="H13" s="8">
        <v>45000</v>
      </c>
      <c r="I13" s="7">
        <v>0</v>
      </c>
      <c r="J13" s="7">
        <v>0</v>
      </c>
      <c r="K13" s="8">
        <v>45000</v>
      </c>
      <c r="L13" s="10" t="s">
        <v>35</v>
      </c>
      <c r="M13" t="s">
        <v>44</v>
      </c>
    </row>
    <row r="14" spans="2:13" hidden="1" x14ac:dyDescent="0.25">
      <c r="B14" s="3">
        <v>44501</v>
      </c>
      <c r="C14" s="4">
        <v>44505</v>
      </c>
      <c r="D14" s="5">
        <v>19448</v>
      </c>
      <c r="E14" s="5" t="s">
        <v>30</v>
      </c>
      <c r="F14" s="6" t="s">
        <v>20</v>
      </c>
      <c r="G14" s="5" t="s">
        <v>21</v>
      </c>
      <c r="H14" s="8">
        <v>120000</v>
      </c>
      <c r="I14" s="7">
        <v>0</v>
      </c>
      <c r="J14" s="7">
        <v>0</v>
      </c>
      <c r="K14" s="8">
        <v>120000</v>
      </c>
      <c r="L14" s="10" t="s">
        <v>36</v>
      </c>
      <c r="M14" t="s">
        <v>47</v>
      </c>
    </row>
    <row r="15" spans="2:13" x14ac:dyDescent="0.25">
      <c r="B15" s="3">
        <v>44501</v>
      </c>
      <c r="C15" s="4">
        <v>44525</v>
      </c>
      <c r="D15" s="5">
        <v>22475</v>
      </c>
      <c r="E15" s="5" t="s">
        <v>30</v>
      </c>
      <c r="F15" s="6" t="s">
        <v>20</v>
      </c>
      <c r="G15" s="5" t="s">
        <v>21</v>
      </c>
      <c r="H15" s="8">
        <v>20000</v>
      </c>
      <c r="I15" s="7">
        <v>0</v>
      </c>
      <c r="J15" s="7">
        <v>0</v>
      </c>
      <c r="K15" s="8">
        <v>20000</v>
      </c>
      <c r="L15" s="10" t="s">
        <v>37</v>
      </c>
      <c r="M15" t="s">
        <v>44</v>
      </c>
    </row>
    <row r="16" spans="2:13" x14ac:dyDescent="0.25">
      <c r="B16" s="3">
        <v>44501</v>
      </c>
      <c r="C16" s="4">
        <v>44525</v>
      </c>
      <c r="D16" s="5">
        <v>22476</v>
      </c>
      <c r="E16" s="5" t="s">
        <v>30</v>
      </c>
      <c r="F16" s="6" t="s">
        <v>20</v>
      </c>
      <c r="G16" s="5" t="s">
        <v>21</v>
      </c>
      <c r="H16" s="8">
        <v>45000</v>
      </c>
      <c r="I16" s="7">
        <v>0</v>
      </c>
      <c r="J16" s="7">
        <v>0</v>
      </c>
      <c r="K16" s="8">
        <v>45000</v>
      </c>
      <c r="L16" s="10" t="s">
        <v>38</v>
      </c>
      <c r="M16" t="s">
        <v>44</v>
      </c>
    </row>
    <row r="17" spans="2:13" hidden="1" x14ac:dyDescent="0.25">
      <c r="B17" s="3">
        <v>44531</v>
      </c>
      <c r="C17" s="4">
        <v>44533</v>
      </c>
      <c r="D17" s="5">
        <v>23837</v>
      </c>
      <c r="E17" s="5" t="s">
        <v>30</v>
      </c>
      <c r="F17" s="6" t="s">
        <v>20</v>
      </c>
      <c r="G17" s="5" t="s">
        <v>21</v>
      </c>
      <c r="H17" s="8">
        <v>34000</v>
      </c>
      <c r="I17" s="7">
        <v>0</v>
      </c>
      <c r="J17" s="7">
        <v>0</v>
      </c>
      <c r="K17" s="8">
        <v>34000</v>
      </c>
      <c r="L17" s="10" t="s">
        <v>39</v>
      </c>
      <c r="M17" t="s">
        <v>47</v>
      </c>
    </row>
    <row r="18" spans="2:13" hidden="1" x14ac:dyDescent="0.25">
      <c r="B18" s="3">
        <v>44531</v>
      </c>
      <c r="C18" s="4">
        <v>44552</v>
      </c>
      <c r="D18" s="5">
        <v>26169</v>
      </c>
      <c r="E18" s="5" t="s">
        <v>30</v>
      </c>
      <c r="F18" s="6" t="s">
        <v>20</v>
      </c>
      <c r="G18" s="5" t="s">
        <v>21</v>
      </c>
      <c r="H18" s="8">
        <v>20000</v>
      </c>
      <c r="I18" s="7">
        <v>0</v>
      </c>
      <c r="J18" s="7">
        <v>0</v>
      </c>
      <c r="K18" s="8">
        <v>20000</v>
      </c>
      <c r="L18" s="10" t="s">
        <v>40</v>
      </c>
      <c r="M18" t="s">
        <v>47</v>
      </c>
    </row>
    <row r="19" spans="2:13" hidden="1" x14ac:dyDescent="0.25">
      <c r="B19" s="3">
        <v>44531</v>
      </c>
      <c r="C19" s="4">
        <v>44552</v>
      </c>
      <c r="D19" s="5">
        <v>26172</v>
      </c>
      <c r="E19" s="5" t="s">
        <v>30</v>
      </c>
      <c r="F19" s="6" t="s">
        <v>20</v>
      </c>
      <c r="G19" s="5" t="s">
        <v>21</v>
      </c>
      <c r="H19" s="8">
        <v>50000</v>
      </c>
      <c r="I19" s="7">
        <v>0</v>
      </c>
      <c r="J19" s="7">
        <v>0</v>
      </c>
      <c r="K19" s="8">
        <v>50000</v>
      </c>
      <c r="L19" s="10" t="s">
        <v>41</v>
      </c>
      <c r="M19" t="s">
        <v>47</v>
      </c>
    </row>
    <row r="20" spans="2:13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3" x14ac:dyDescent="0.25">
      <c r="B21" s="5"/>
      <c r="C21" s="5"/>
      <c r="D21" s="5"/>
      <c r="E21" s="5"/>
      <c r="F21" s="5"/>
      <c r="G21" s="5" t="s">
        <v>17</v>
      </c>
      <c r="H21" s="9">
        <f>+SUM(H3:H20)</f>
        <v>6403805</v>
      </c>
      <c r="I21" s="9">
        <f>+SUM(I3:I20)</f>
        <v>733512.22499999998</v>
      </c>
      <c r="J21" s="9"/>
      <c r="K21" s="9">
        <f>+SUM(K3:K20)</f>
        <v>5619445</v>
      </c>
    </row>
  </sheetData>
  <autoFilter ref="B2:M19" xr:uid="{00000000-0001-0000-0000-000000000000}">
    <filterColumn colId="11">
      <filters>
        <filter val="Sin Cartola"/>
      </filters>
    </filterColumn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 Honorarios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Soto</dc:creator>
  <cp:lastModifiedBy>Melisa Silva</cp:lastModifiedBy>
  <dcterms:created xsi:type="dcterms:W3CDTF">2015-06-05T18:17:20Z</dcterms:created>
  <dcterms:modified xsi:type="dcterms:W3CDTF">2022-04-20T01:18:55Z</dcterms:modified>
</cp:coreProperties>
</file>
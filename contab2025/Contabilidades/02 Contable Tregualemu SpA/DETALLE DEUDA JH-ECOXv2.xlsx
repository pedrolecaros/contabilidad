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G:\My Drive\Desarrollos Ecox\Tregualemu SpA\Contable Tregualemu SpA\"/>
    </mc:Choice>
  </mc:AlternateContent>
  <xr:revisionPtr revIDLastSave="0" documentId="13_ncr:1_{EC4E315A-0566-482B-9798-EE7001B2818A}" xr6:coauthVersionLast="47" xr6:coauthVersionMax="47" xr10:uidLastSave="{00000000-0000-0000-0000-000000000000}"/>
  <bookViews>
    <workbookView xWindow="-20610" yWindow="4575" windowWidth="19800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  <c r="G55" i="1"/>
  <c r="G53" i="1"/>
  <c r="C20" i="1"/>
  <c r="C21" i="2"/>
  <c r="H13" i="1"/>
  <c r="H17" i="1"/>
  <c r="C17" i="1" s="1"/>
  <c r="H16" i="1"/>
  <c r="C16" i="1" s="1"/>
  <c r="C13" i="1"/>
  <c r="H8" i="1"/>
  <c r="C8" i="1" s="1"/>
  <c r="C6" i="1"/>
  <c r="M37" i="2"/>
  <c r="M35" i="2"/>
  <c r="C3" i="2"/>
  <c r="J32" i="2"/>
  <c r="B34" i="2"/>
  <c r="F30" i="2"/>
  <c r="F29" i="2"/>
  <c r="Q31" i="2"/>
  <c r="P31" i="2"/>
  <c r="O31" i="2"/>
  <c r="N31" i="2"/>
  <c r="D26" i="2"/>
  <c r="D4" i="2"/>
  <c r="R16" i="2"/>
  <c r="S16" i="2" s="1"/>
  <c r="R15" i="2"/>
  <c r="S15" i="2" s="1"/>
  <c r="R14" i="2"/>
  <c r="S14" i="2" s="1"/>
  <c r="R27" i="2"/>
  <c r="S27" i="2" s="1"/>
  <c r="D27" i="2" s="1"/>
  <c r="R13" i="2"/>
  <c r="S13" i="2" s="1"/>
  <c r="R18" i="2"/>
  <c r="S18" i="2" s="1"/>
  <c r="R12" i="2"/>
  <c r="S12" i="2" s="1"/>
  <c r="R6" i="2"/>
  <c r="S6" i="2" s="1"/>
  <c r="R17" i="2"/>
  <c r="S17" i="2" s="1"/>
  <c r="D11" i="2"/>
  <c r="D10" i="2"/>
  <c r="D9" i="2"/>
  <c r="D8" i="2"/>
  <c r="D7" i="2"/>
  <c r="D6" i="2"/>
  <c r="C5" i="2"/>
  <c r="D28" i="2" l="1"/>
  <c r="F28" i="2" s="1"/>
  <c r="D23" i="2"/>
  <c r="C23" i="2"/>
  <c r="F26" i="2"/>
  <c r="H22" i="1"/>
  <c r="C22" i="1" s="1"/>
  <c r="C67" i="1" s="1"/>
  <c r="H18" i="1"/>
  <c r="C18" i="1" s="1"/>
  <c r="D24" i="2" l="1"/>
  <c r="H15" i="1"/>
  <c r="H14" i="1"/>
  <c r="C12" i="1"/>
  <c r="G12" i="1"/>
  <c r="H12" i="1" s="1"/>
  <c r="H11" i="1"/>
  <c r="H10" i="1"/>
  <c r="H9" i="1"/>
  <c r="C9" i="1" s="1"/>
  <c r="H7" i="1"/>
  <c r="C7" i="1" s="1"/>
  <c r="J40" i="2" l="1"/>
  <c r="J34" i="2" s="1"/>
  <c r="K34" i="2" s="1"/>
  <c r="F24" i="2"/>
  <c r="C33" i="2"/>
  <c r="B33" i="2" s="1"/>
  <c r="J33" i="2" s="1"/>
  <c r="K32" i="2" s="1"/>
  <c r="L33" i="2" l="1"/>
</calcChain>
</file>

<file path=xl/sharedStrings.xml><?xml version="1.0" encoding="utf-8"?>
<sst xmlns="http://schemas.openxmlformats.org/spreadsheetml/2006/main" count="186" uniqueCount="78">
  <si>
    <t>CUENTAS POR COBRAR TREGUALEMU SPA</t>
  </si>
  <si>
    <t>JORGE HIRART BLOME</t>
  </si>
  <si>
    <t>ECOX SPA</t>
  </si>
  <si>
    <t>AYSEN SPA</t>
  </si>
  <si>
    <t>para compra de futrono</t>
  </si>
  <si>
    <t>Destino</t>
  </si>
  <si>
    <t>29.10.2021</t>
  </si>
  <si>
    <t>22.12.2021</t>
  </si>
  <si>
    <t>Fecha</t>
  </si>
  <si>
    <t>Prestamo</t>
  </si>
  <si>
    <t>17.05.2022</t>
  </si>
  <si>
    <t>Retiro socios</t>
  </si>
  <si>
    <t>Retiro</t>
  </si>
  <si>
    <t>Pago</t>
  </si>
  <si>
    <t>29.06.2022</t>
  </si>
  <si>
    <t>29.07.2022</t>
  </si>
  <si>
    <t>02.09.2022</t>
  </si>
  <si>
    <t>04.10.2022</t>
  </si>
  <si>
    <t>Nuevo prestamo</t>
  </si>
  <si>
    <t>24.10.2022</t>
  </si>
  <si>
    <t>Compra Colbun</t>
  </si>
  <si>
    <t>para compras sitios usa</t>
  </si>
  <si>
    <t>pago ecox a tregualemu</t>
  </si>
  <si>
    <t>Treguya a PLS FHB</t>
  </si>
  <si>
    <t>28.12.2022</t>
  </si>
  <si>
    <t>UF</t>
  </si>
  <si>
    <t xml:space="preserve"> UF</t>
  </si>
  <si>
    <t xml:space="preserve">Prestamo </t>
  </si>
  <si>
    <t>11.01.2023</t>
  </si>
  <si>
    <t>Febrero</t>
  </si>
  <si>
    <t>Retiro Bono Clarita Tregualemu SpA</t>
  </si>
  <si>
    <t>15/2/2022</t>
  </si>
  <si>
    <t>Retiro Tregualemu</t>
  </si>
  <si>
    <t>Mayo</t>
  </si>
  <si>
    <t>17/5/2022</t>
  </si>
  <si>
    <t>Retiro Tregualemu SpA</t>
  </si>
  <si>
    <t>Junio</t>
  </si>
  <si>
    <t>29/06/2022</t>
  </si>
  <si>
    <t>30/06/2022</t>
  </si>
  <si>
    <t>29/07/2022</t>
  </si>
  <si>
    <t>Septiembre</t>
  </si>
  <si>
    <t>8.2.2022</t>
  </si>
  <si>
    <t>16.2.2022</t>
  </si>
  <si>
    <t>Devuelve</t>
  </si>
  <si>
    <t>04.04.2022</t>
  </si>
  <si>
    <t>06.04.2022</t>
  </si>
  <si>
    <t>08.04.2022</t>
  </si>
  <si>
    <t>12.04.2022</t>
  </si>
  <si>
    <t>19.04.2022</t>
  </si>
  <si>
    <t>Retiro cxc</t>
  </si>
  <si>
    <t>SE PAGA CON BILLETES</t>
  </si>
  <si>
    <t>5.09.2022</t>
  </si>
  <si>
    <t>Total deuda</t>
  </si>
  <si>
    <t>Total Retiros</t>
  </si>
  <si>
    <t>Diferencia cxc</t>
  </si>
  <si>
    <t>Total Cxc imputa a retiro</t>
  </si>
  <si>
    <t>Retiro en caja</t>
  </si>
  <si>
    <t>Total Retiro JH</t>
  </si>
  <si>
    <t>4.5.2022</t>
  </si>
  <si>
    <t>1.6.2022</t>
  </si>
  <si>
    <t>15.2.2022</t>
  </si>
  <si>
    <t>15.02.2022</t>
  </si>
  <si>
    <t>31.12.2022</t>
  </si>
  <si>
    <t>Ajusta CxC por exceso retiro</t>
  </si>
  <si>
    <t>SALDO DEUDA AL 31.12.2022</t>
  </si>
  <si>
    <t>Ajuste para 20% participacion</t>
  </si>
  <si>
    <t>Retiros SII</t>
  </si>
  <si>
    <t>Movimientos Cuenta Jorge Hiriart 2022</t>
  </si>
  <si>
    <t>ECOX</t>
  </si>
  <si>
    <t>JH</t>
  </si>
  <si>
    <t>AYSEN</t>
  </si>
  <si>
    <t>16.02.2022</t>
  </si>
  <si>
    <t>01.06.2022</t>
  </si>
  <si>
    <t>12.10.2022</t>
  </si>
  <si>
    <t>8.11.2022</t>
  </si>
  <si>
    <t>22.12.2022</t>
  </si>
  <si>
    <t>Total Retiros JH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</si>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</sst>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?_);_(@_)"/>
    <numFmt numFmtId="166" formatCode="0.000"/>
    <numFmt numFmtId="167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706F6F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CDCDC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0" borderId="0" xfId="0" applyFont="1"/>
    <xf numFmtId="3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1" applyNumberFormat="1" applyFont="1"/>
    <xf numFmtId="9" fontId="0" fillId="0" borderId="0" xfId="2" applyFont="1"/>
    <xf numFmtId="2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0" fontId="3" fillId="0" borderId="0" xfId="0" applyFont="1"/>
    <xf numFmtId="0" fontId="0" fillId="0" borderId="1" xfId="0" applyBorder="1"/>
    <xf numFmtId="164" fontId="0" fillId="3" borderId="1" xfId="1" applyNumberFormat="1" applyFont="1" applyFill="1" applyBorder="1"/>
    <xf numFmtId="164" fontId="0" fillId="0" borderId="1" xfId="1" applyNumberFormat="1" applyFont="1" applyFill="1" applyBorder="1"/>
    <xf numFmtId="14" fontId="0" fillId="0" borderId="1" xfId="0" applyNumberFormat="1" applyBorder="1"/>
    <xf numFmtId="164" fontId="0" fillId="0" borderId="2" xfId="1" applyNumberFormat="1" applyFont="1" applyFill="1" applyBorder="1"/>
    <xf numFmtId="0" fontId="0" fillId="0" borderId="2" xfId="0" applyBorder="1"/>
    <xf numFmtId="166" fontId="0" fillId="0" borderId="0" xfId="0" applyNumberFormat="1"/>
    <xf numFmtId="0" fontId="3" fillId="4" borderId="3" xfId="0" applyFont="1" applyFill="1" applyBorder="1" applyAlignment="1">
      <alignment vertical="top" wrapText="1"/>
    </xf>
    <xf numFmtId="166" fontId="0" fillId="5" borderId="0" xfId="0" applyNumberFormat="1" applyFill="1"/>
    <xf numFmtId="4" fontId="4" fillId="0" borderId="4" xfId="0" applyNumberFormat="1" applyFont="1" applyBorder="1" applyAlignment="1">
      <alignment horizontal="right"/>
    </xf>
    <xf numFmtId="1" fontId="0" fillId="0" borderId="0" xfId="0" applyNumberFormat="1"/>
    <xf numFmtId="14" fontId="0" fillId="6" borderId="0" xfId="0" applyNumberFormat="1" applyFill="1"/>
    <xf numFmtId="164" fontId="0" fillId="0" borderId="0" xfId="0" applyNumberFormat="1"/>
    <xf numFmtId="0" fontId="0" fillId="6" borderId="0" xfId="0" applyFill="1"/>
    <xf numFmtId="0" fontId="0" fillId="3" borderId="0" xfId="0" applyFill="1"/>
    <xf numFmtId="44" fontId="0" fillId="0" borderId="0" xfId="1" applyFont="1" applyFill="1"/>
    <xf numFmtId="167" fontId="0" fillId="0" borderId="0" xfId="0" applyNumberFormat="1"/>
    <xf numFmtId="0" fontId="0" fillId="0" borderId="6" xfId="0" applyBorder="1"/>
    <xf numFmtId="0" fontId="0" fillId="0" borderId="7" xfId="0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0" fontId="0" fillId="0" borderId="5" xfId="0" applyBorder="1"/>
    <xf numFmtId="44" fontId="0" fillId="0" borderId="5" xfId="1" applyFont="1" applyBorder="1"/>
    <xf numFmtId="0" fontId="0" fillId="7" borderId="6" xfId="0" applyFill="1" applyBorder="1"/>
    <xf numFmtId="165" fontId="0" fillId="7" borderId="6" xfId="1" applyNumberFormat="1" applyFont="1" applyFill="1" applyBorder="1"/>
    <xf numFmtId="0" fontId="0" fillId="7" borderId="7" xfId="0" applyFill="1" applyBorder="1"/>
    <xf numFmtId="165" fontId="0" fillId="7" borderId="7" xfId="1" applyNumberFormat="1" applyFont="1" applyFill="1" applyBorder="1"/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topLeftCell="A46" workbookViewId="0">
      <selection activeCell="H49" sqref="H49"/>
    </sheetView>
  </sheetViews>
  <sheetFormatPr defaultRowHeight="15" x14ac:dyDescent="0.25"/>
  <cols>
    <col min="2" max="2" width="30.7109375" customWidth="1"/>
    <col min="3" max="3" width="15.42578125" bestFit="1" customWidth="1"/>
    <col min="4" max="4" width="15.5703125" customWidth="1"/>
    <col min="5" max="5" width="39.7109375" customWidth="1"/>
    <col min="6" max="6" width="12.5703125" bestFit="1" customWidth="1"/>
    <col min="7" max="7" width="15.28515625" bestFit="1" customWidth="1"/>
    <col min="8" max="8" width="14.7109375" bestFit="1" customWidth="1"/>
    <col min="10" max="10" width="15.28515625" bestFit="1" customWidth="1"/>
    <col min="11" max="11" width="23" customWidth="1"/>
    <col min="12" max="12" width="15.28515625" bestFit="1" customWidth="1"/>
    <col min="13" max="13" width="12" bestFit="1" customWidth="1"/>
  </cols>
  <sheetData>
    <row r="1" spans="1:13" x14ac:dyDescent="0.25">
      <c r="B1" s="2" t="s">
        <v>0</v>
      </c>
    </row>
    <row r="3" spans="1:13" x14ac:dyDescent="0.25">
      <c r="A3" s="1">
        <v>1</v>
      </c>
      <c r="B3" s="1" t="s">
        <v>2</v>
      </c>
      <c r="C3" s="1" t="s">
        <v>25</v>
      </c>
      <c r="D3" s="1" t="s">
        <v>8</v>
      </c>
      <c r="E3" s="1" t="s">
        <v>5</v>
      </c>
    </row>
    <row r="4" spans="1:13" x14ac:dyDescent="0.25">
      <c r="B4" t="s">
        <v>9</v>
      </c>
      <c r="C4">
        <v>4335.6000000000004</v>
      </c>
      <c r="D4" t="s">
        <v>6</v>
      </c>
      <c r="E4" t="s">
        <v>4</v>
      </c>
    </row>
    <row r="5" spans="1:13" x14ac:dyDescent="0.25">
      <c r="B5" t="s">
        <v>9</v>
      </c>
      <c r="C5">
        <v>1990.3209999999999</v>
      </c>
      <c r="D5" t="s">
        <v>7</v>
      </c>
      <c r="F5" s="11"/>
      <c r="G5" s="4"/>
      <c r="K5" t="s">
        <v>22</v>
      </c>
      <c r="L5" s="10">
        <v>4552747</v>
      </c>
      <c r="M5" s="9">
        <v>45231</v>
      </c>
    </row>
    <row r="6" spans="1:13" x14ac:dyDescent="0.25">
      <c r="B6" t="s">
        <v>13</v>
      </c>
      <c r="C6" s="28">
        <f>+G6/F6</f>
        <v>254.95261386980462</v>
      </c>
      <c r="D6" t="s">
        <v>71</v>
      </c>
      <c r="F6" s="11">
        <v>31378.38</v>
      </c>
      <c r="G6" s="4">
        <v>8000000</v>
      </c>
      <c r="L6" s="10"/>
      <c r="M6" s="9"/>
    </row>
    <row r="7" spans="1:13" x14ac:dyDescent="0.25">
      <c r="B7" t="s">
        <v>13</v>
      </c>
      <c r="C7" s="5">
        <f>-H7</f>
        <v>-492.68668206312549</v>
      </c>
      <c r="D7" t="s">
        <v>10</v>
      </c>
      <c r="F7" s="11">
        <v>32475</v>
      </c>
      <c r="G7" s="6">
        <v>16000000</v>
      </c>
      <c r="H7" s="5">
        <f t="shared" ref="H7:H13" si="0">G7/F7</f>
        <v>492.68668206312549</v>
      </c>
      <c r="K7" t="s">
        <v>23</v>
      </c>
      <c r="L7" s="10">
        <v>2276374</v>
      </c>
      <c r="M7" s="9">
        <v>45231</v>
      </c>
    </row>
    <row r="8" spans="1:13" x14ac:dyDescent="0.25">
      <c r="B8" t="s">
        <v>13</v>
      </c>
      <c r="C8" s="5">
        <f>+-H8</f>
        <v>-140.69773843678695</v>
      </c>
      <c r="D8" t="s">
        <v>72</v>
      </c>
      <c r="F8" s="11">
        <v>32694.2</v>
      </c>
      <c r="G8" s="6">
        <v>4600000</v>
      </c>
      <c r="H8" s="5">
        <f t="shared" si="0"/>
        <v>140.69773843678695</v>
      </c>
      <c r="L8" s="10"/>
      <c r="M8" s="9"/>
    </row>
    <row r="9" spans="1:13" x14ac:dyDescent="0.25">
      <c r="B9" t="s">
        <v>13</v>
      </c>
      <c r="C9" s="5">
        <f>-H9</f>
        <v>-151.17761313527856</v>
      </c>
      <c r="D9" t="s">
        <v>14</v>
      </c>
      <c r="F9" s="11">
        <v>33073.68</v>
      </c>
      <c r="G9" s="3">
        <v>5000000</v>
      </c>
      <c r="H9" s="8">
        <f t="shared" si="0"/>
        <v>151.17761313527856</v>
      </c>
      <c r="L9" s="10"/>
      <c r="M9" s="9"/>
    </row>
    <row r="10" spans="1:13" x14ac:dyDescent="0.25">
      <c r="B10" t="s">
        <v>13</v>
      </c>
      <c r="C10" s="5">
        <v>-59.88</v>
      </c>
      <c r="D10" t="s">
        <v>15</v>
      </c>
      <c r="F10" s="11">
        <v>33397.949999999997</v>
      </c>
      <c r="G10" s="3">
        <v>2000000</v>
      </c>
      <c r="H10" s="8">
        <f t="shared" si="0"/>
        <v>59.88391503071297</v>
      </c>
      <c r="L10" s="10"/>
      <c r="M10" s="9"/>
    </row>
    <row r="11" spans="1:13" x14ac:dyDescent="0.25">
      <c r="B11" t="s">
        <v>13</v>
      </c>
      <c r="C11" s="5">
        <v>-88.58</v>
      </c>
      <c r="D11" t="s">
        <v>51</v>
      </c>
      <c r="F11" s="11">
        <v>33866.870000000003</v>
      </c>
      <c r="G11" s="3">
        <v>3000000</v>
      </c>
      <c r="H11" s="8">
        <f t="shared" si="0"/>
        <v>88.582145323733783</v>
      </c>
      <c r="L11" s="10"/>
      <c r="M11" s="9"/>
    </row>
    <row r="12" spans="1:13" x14ac:dyDescent="0.25">
      <c r="B12" t="s">
        <v>13</v>
      </c>
      <c r="C12" s="5">
        <f>+-66.66</f>
        <v>-66.66</v>
      </c>
      <c r="D12" t="s">
        <v>17</v>
      </c>
      <c r="F12" s="11">
        <v>34312.76</v>
      </c>
      <c r="G12" s="3">
        <f>1075000*2</f>
        <v>2150000</v>
      </c>
      <c r="H12" s="8">
        <f t="shared" si="0"/>
        <v>62.658905899729426</v>
      </c>
      <c r="L12" s="10"/>
      <c r="M12" s="9"/>
    </row>
    <row r="13" spans="1:13" x14ac:dyDescent="0.25">
      <c r="B13" t="s">
        <v>9</v>
      </c>
      <c r="C13" s="5">
        <f>+G13/F13</f>
        <v>23.248474464166254</v>
      </c>
      <c r="D13" t="s">
        <v>73</v>
      </c>
      <c r="F13" s="11">
        <v>34410.86</v>
      </c>
      <c r="G13" s="3">
        <v>800000</v>
      </c>
      <c r="H13" s="8">
        <f t="shared" si="0"/>
        <v>23.248474464166254</v>
      </c>
      <c r="L13" s="10"/>
      <c r="M13" s="9"/>
    </row>
    <row r="14" spans="1:13" x14ac:dyDescent="0.25">
      <c r="B14" t="s">
        <v>9</v>
      </c>
      <c r="C14">
        <v>705</v>
      </c>
      <c r="D14" t="s">
        <v>19</v>
      </c>
      <c r="E14" t="s">
        <v>20</v>
      </c>
      <c r="F14" s="11">
        <v>34530.42</v>
      </c>
      <c r="G14" s="4">
        <v>24343946.100000001</v>
      </c>
      <c r="H14">
        <f>+G14/F14</f>
        <v>705.00000000000011</v>
      </c>
      <c r="J14" s="5"/>
    </row>
    <row r="15" spans="1:13" x14ac:dyDescent="0.25">
      <c r="B15" t="s">
        <v>9</v>
      </c>
      <c r="C15">
        <v>705</v>
      </c>
      <c r="D15" t="s">
        <v>19</v>
      </c>
      <c r="E15" t="s">
        <v>20</v>
      </c>
      <c r="F15" s="11">
        <v>34530.42</v>
      </c>
      <c r="G15" s="4">
        <v>24343946.100000001</v>
      </c>
      <c r="H15">
        <f>+G15/F15</f>
        <v>705.00000000000011</v>
      </c>
    </row>
    <row r="16" spans="1:13" x14ac:dyDescent="0.25">
      <c r="B16" t="s">
        <v>9</v>
      </c>
      <c r="C16">
        <f>+H16</f>
        <v>3.3736596190821104</v>
      </c>
      <c r="D16" t="s">
        <v>74</v>
      </c>
      <c r="F16" s="11">
        <v>34680.44</v>
      </c>
      <c r="G16" s="4">
        <v>117000</v>
      </c>
      <c r="H16">
        <f>+G16/F16</f>
        <v>3.3736596190821104</v>
      </c>
    </row>
    <row r="17" spans="1:16" x14ac:dyDescent="0.25">
      <c r="B17" t="s">
        <v>13</v>
      </c>
      <c r="C17">
        <f>-H17</f>
        <v>-6.6838619011302587</v>
      </c>
      <c r="D17" t="s">
        <v>75</v>
      </c>
      <c r="F17" s="11">
        <v>35009.699999999997</v>
      </c>
      <c r="G17" s="4">
        <v>234000</v>
      </c>
      <c r="H17">
        <f>+G17/F17</f>
        <v>6.6838619011302587</v>
      </c>
    </row>
    <row r="18" spans="1:16" x14ac:dyDescent="0.25">
      <c r="B18" t="s">
        <v>27</v>
      </c>
      <c r="C18" s="8">
        <f>+H18</f>
        <v>598.67965478420592</v>
      </c>
      <c r="D18" t="s">
        <v>24</v>
      </c>
      <c r="E18" t="s">
        <v>21</v>
      </c>
      <c r="F18" s="11">
        <v>35077.19</v>
      </c>
      <c r="G18" s="3">
        <v>21000000</v>
      </c>
      <c r="H18" s="8">
        <f>+G18/F18</f>
        <v>598.67965478420592</v>
      </c>
      <c r="L18" s="10"/>
      <c r="M18" s="9"/>
    </row>
    <row r="20" spans="1:16" ht="15.75" thickBot="1" x14ac:dyDescent="0.3">
      <c r="A20" s="33"/>
      <c r="B20" s="33" t="s">
        <v>64</v>
      </c>
      <c r="C20" s="34">
        <f>+SUM(C4:C18)</f>
        <v>7609.8095072009373</v>
      </c>
      <c r="D20" s="33"/>
      <c r="E20" s="33"/>
    </row>
    <row r="21" spans="1:16" ht="15.75" thickTop="1" x14ac:dyDescent="0.25">
      <c r="L21" s="10"/>
      <c r="M21" s="9"/>
    </row>
    <row r="22" spans="1:16" x14ac:dyDescent="0.25">
      <c r="B22" t="s">
        <v>13</v>
      </c>
      <c r="C22" s="8">
        <f>+-H22</f>
        <v>-129.26826913712537</v>
      </c>
      <c r="D22" t="s">
        <v>28</v>
      </c>
      <c r="F22" s="11">
        <v>35219.370000000003</v>
      </c>
      <c r="G22" s="6">
        <v>4552747</v>
      </c>
      <c r="H22" s="8">
        <f>+G22/F22</f>
        <v>129.26826913712537</v>
      </c>
      <c r="L22" s="10"/>
      <c r="M22" s="9"/>
    </row>
    <row r="23" spans="1:16" x14ac:dyDescent="0.25">
      <c r="K23" s="4"/>
    </row>
    <row r="24" spans="1:16" x14ac:dyDescent="0.25">
      <c r="A24" s="1">
        <v>2</v>
      </c>
      <c r="B24" s="1" t="s">
        <v>3</v>
      </c>
      <c r="C24" s="1" t="s">
        <v>25</v>
      </c>
      <c r="D24" s="1" t="s">
        <v>8</v>
      </c>
      <c r="E24" s="1" t="s">
        <v>5</v>
      </c>
    </row>
    <row r="25" spans="1:16" x14ac:dyDescent="0.25">
      <c r="B25" t="s">
        <v>9</v>
      </c>
      <c r="C25">
        <v>1084</v>
      </c>
      <c r="D25" t="s">
        <v>6</v>
      </c>
      <c r="E25" t="s">
        <v>4</v>
      </c>
    </row>
    <row r="28" spans="1:16" x14ac:dyDescent="0.25">
      <c r="C28" s="5"/>
      <c r="G28" s="3"/>
    </row>
    <row r="30" spans="1:16" x14ac:dyDescent="0.25">
      <c r="A30" s="1">
        <v>3</v>
      </c>
      <c r="B30" s="1" t="s">
        <v>1</v>
      </c>
      <c r="C30" s="1" t="s">
        <v>26</v>
      </c>
      <c r="D30" s="1" t="s">
        <v>8</v>
      </c>
      <c r="E30" s="1" t="s">
        <v>5</v>
      </c>
    </row>
    <row r="31" spans="1:16" x14ac:dyDescent="0.25">
      <c r="B31" t="s">
        <v>9</v>
      </c>
      <c r="C31" s="8">
        <v>497.58030000000002</v>
      </c>
      <c r="D31" t="s">
        <v>7</v>
      </c>
      <c r="K31" s="39"/>
      <c r="L31" s="39"/>
      <c r="M31" s="39"/>
      <c r="N31" s="39"/>
      <c r="O31" s="39"/>
      <c r="P31" s="39"/>
    </row>
    <row r="32" spans="1:16" x14ac:dyDescent="0.25">
      <c r="B32" t="s">
        <v>27</v>
      </c>
      <c r="C32" s="8">
        <v>160.10913038326925</v>
      </c>
      <c r="D32" t="s">
        <v>41</v>
      </c>
      <c r="K32" s="39"/>
      <c r="L32" s="39"/>
      <c r="M32" s="39"/>
      <c r="N32" s="39"/>
      <c r="O32" s="39"/>
      <c r="P32" s="39"/>
    </row>
    <row r="33" spans="2:9" x14ac:dyDescent="0.25">
      <c r="B33" t="s">
        <v>49</v>
      </c>
      <c r="C33" s="8">
        <v>-127.530646411399</v>
      </c>
      <c r="D33" t="s">
        <v>61</v>
      </c>
      <c r="I33" s="7"/>
    </row>
    <row r="34" spans="2:9" x14ac:dyDescent="0.25">
      <c r="B34" t="s">
        <v>9</v>
      </c>
      <c r="C34" s="8">
        <v>637.3815346745115</v>
      </c>
      <c r="D34" t="s">
        <v>42</v>
      </c>
    </row>
    <row r="35" spans="2:9" x14ac:dyDescent="0.25">
      <c r="B35" t="s">
        <v>43</v>
      </c>
      <c r="C35" s="8">
        <v>-7.8764965343415252</v>
      </c>
      <c r="D35" t="s">
        <v>44</v>
      </c>
    </row>
    <row r="36" spans="2:9" x14ac:dyDescent="0.25">
      <c r="B36" t="s">
        <v>43</v>
      </c>
      <c r="C36" s="8">
        <v>-157.49946292683143</v>
      </c>
      <c r="D36" t="s">
        <v>45</v>
      </c>
    </row>
    <row r="37" spans="2:9" x14ac:dyDescent="0.25">
      <c r="B37" t="s">
        <v>43</v>
      </c>
      <c r="C37" s="8">
        <v>-157.49946292683143</v>
      </c>
      <c r="D37" t="s">
        <v>45</v>
      </c>
    </row>
    <row r="38" spans="2:9" x14ac:dyDescent="0.25">
      <c r="B38" t="s">
        <v>43</v>
      </c>
      <c r="C38" s="8">
        <v>-157.46905654304402</v>
      </c>
      <c r="D38" t="s">
        <v>46</v>
      </c>
    </row>
    <row r="39" spans="2:9" x14ac:dyDescent="0.25">
      <c r="B39" t="s">
        <v>43</v>
      </c>
      <c r="C39" s="8">
        <v>-157.157733244864</v>
      </c>
      <c r="D39" t="s">
        <v>47</v>
      </c>
    </row>
    <row r="40" spans="2:9" x14ac:dyDescent="0.25">
      <c r="B40" t="s">
        <v>43</v>
      </c>
      <c r="C40" s="8">
        <v>-4.3498397756859601</v>
      </c>
      <c r="D40" t="s">
        <v>48</v>
      </c>
    </row>
    <row r="41" spans="2:9" x14ac:dyDescent="0.25">
      <c r="B41" t="s">
        <v>49</v>
      </c>
      <c r="C41" s="8">
        <v>-123.17167051578137</v>
      </c>
      <c r="D41" t="s">
        <v>10</v>
      </c>
    </row>
    <row r="42" spans="2:9" x14ac:dyDescent="0.25">
      <c r="B42" t="s">
        <v>49</v>
      </c>
      <c r="C42" s="8">
        <v>-37.794403283819641</v>
      </c>
      <c r="D42" t="s">
        <v>14</v>
      </c>
    </row>
    <row r="43" spans="2:9" x14ac:dyDescent="0.25">
      <c r="B43" t="s">
        <v>49</v>
      </c>
      <c r="C43" s="8">
        <v>-14.97</v>
      </c>
      <c r="D43" t="s">
        <v>15</v>
      </c>
    </row>
    <row r="44" spans="2:9" x14ac:dyDescent="0.25">
      <c r="B44" t="s">
        <v>49</v>
      </c>
      <c r="C44" s="8">
        <v>-22.145</v>
      </c>
      <c r="D44" t="s">
        <v>16</v>
      </c>
    </row>
    <row r="45" spans="2:9" x14ac:dyDescent="0.25">
      <c r="B45" t="s">
        <v>49</v>
      </c>
      <c r="C45" s="8">
        <v>-15.664999999999999</v>
      </c>
      <c r="D45" t="s">
        <v>17</v>
      </c>
    </row>
    <row r="46" spans="2:9" x14ac:dyDescent="0.25">
      <c r="B46" t="s">
        <v>49</v>
      </c>
      <c r="C46" s="8">
        <v>-37.177496832941991</v>
      </c>
      <c r="D46" s="9" t="s">
        <v>58</v>
      </c>
    </row>
    <row r="47" spans="2:9" x14ac:dyDescent="0.25">
      <c r="B47" t="s">
        <v>49</v>
      </c>
      <c r="C47" s="8">
        <v>-35.174434609196737</v>
      </c>
      <c r="D47" s="9" t="s">
        <v>59</v>
      </c>
    </row>
    <row r="48" spans="2:9" x14ac:dyDescent="0.25">
      <c r="B48" t="s">
        <v>49</v>
      </c>
      <c r="C48" s="8">
        <v>-127.5306464113992</v>
      </c>
      <c r="D48" s="9" t="s">
        <v>60</v>
      </c>
    </row>
    <row r="49" spans="1:8" x14ac:dyDescent="0.25">
      <c r="B49" t="s">
        <v>18</v>
      </c>
      <c r="C49" s="8">
        <v>353.93</v>
      </c>
      <c r="D49" t="s">
        <v>19</v>
      </c>
      <c r="H49" t="s">
        <v>77</v>
      </c>
    </row>
    <row r="50" spans="1:8" x14ac:dyDescent="0.25">
      <c r="B50" t="s">
        <v>63</v>
      </c>
      <c r="C50" s="8">
        <v>174.67860540317179</v>
      </c>
      <c r="D50" s="9" t="s">
        <v>62</v>
      </c>
    </row>
    <row r="53" spans="1:8" x14ac:dyDescent="0.25">
      <c r="B53" t="s">
        <v>54</v>
      </c>
      <c r="E53" s="10">
        <v>640.66822044481614</v>
      </c>
      <c r="F53" s="10"/>
      <c r="G53" s="10">
        <f>+SUM(C31:C50)</f>
        <v>640.66822044481637</v>
      </c>
    </row>
    <row r="54" spans="1:8" x14ac:dyDescent="0.25">
      <c r="E54" s="10"/>
      <c r="F54" s="10"/>
      <c r="G54" s="10"/>
    </row>
    <row r="55" spans="1:8" x14ac:dyDescent="0.25">
      <c r="B55" t="s">
        <v>55</v>
      </c>
      <c r="E55" s="10">
        <v>541.15929806453812</v>
      </c>
      <c r="F55" s="10"/>
      <c r="G55" s="10">
        <f>+C33+C41+C42+C43+C44+C45+C46+C47+C48</f>
        <v>-541.15929806453801</v>
      </c>
    </row>
    <row r="56" spans="1:8" x14ac:dyDescent="0.25">
      <c r="B56" t="s">
        <v>56</v>
      </c>
      <c r="E56" s="10">
        <v>256.89979970882672</v>
      </c>
      <c r="F56" s="10"/>
      <c r="G56" s="10"/>
    </row>
    <row r="57" spans="1:8" x14ac:dyDescent="0.25">
      <c r="B57" t="s">
        <v>57</v>
      </c>
      <c r="E57" s="10">
        <f>+E56+E55</f>
        <v>798.05909777336478</v>
      </c>
      <c r="F57" s="10"/>
      <c r="G57" s="10">
        <v>28020637.020738658</v>
      </c>
    </row>
    <row r="58" spans="1:8" x14ac:dyDescent="0.25">
      <c r="B58" t="s">
        <v>65</v>
      </c>
      <c r="E58" s="10"/>
      <c r="F58" s="10"/>
      <c r="G58" s="10">
        <v>-6133137.0207386576</v>
      </c>
    </row>
    <row r="59" spans="1:8" x14ac:dyDescent="0.25">
      <c r="B59" t="s">
        <v>66</v>
      </c>
      <c r="E59" s="10"/>
      <c r="F59" s="10"/>
      <c r="G59" s="10">
        <v>21887500</v>
      </c>
    </row>
    <row r="62" spans="1:8" x14ac:dyDescent="0.25">
      <c r="A62" s="29"/>
      <c r="B62" s="35" t="s">
        <v>64</v>
      </c>
      <c r="C62" s="36">
        <v>22494489.074673533</v>
      </c>
      <c r="D62" s="31">
        <v>640.66822044481614</v>
      </c>
      <c r="E62" s="29"/>
      <c r="F62" s="29"/>
      <c r="G62" s="29"/>
      <c r="H62" s="29"/>
    </row>
    <row r="63" spans="1:8" ht="15.75" thickBot="1" x14ac:dyDescent="0.3">
      <c r="A63" s="30"/>
      <c r="B63" s="37" t="s">
        <v>76</v>
      </c>
      <c r="C63" s="38">
        <v>21887500</v>
      </c>
      <c r="D63" s="32"/>
      <c r="E63" s="30"/>
      <c r="F63" s="30"/>
      <c r="G63" s="30"/>
      <c r="H63" s="30"/>
    </row>
    <row r="64" spans="1:8" ht="15.75" thickTop="1" x14ac:dyDescent="0.25"/>
    <row r="67" spans="2:9" x14ac:dyDescent="0.25">
      <c r="B67" t="s">
        <v>12</v>
      </c>
      <c r="C67" s="4">
        <f>+C22/4</f>
        <v>-32.317067284281343</v>
      </c>
      <c r="D67" t="s">
        <v>28</v>
      </c>
      <c r="E67" t="s">
        <v>11</v>
      </c>
    </row>
    <row r="69" spans="2:9" x14ac:dyDescent="0.25">
      <c r="I69" s="29"/>
    </row>
    <row r="70" spans="2:9" ht="15.75" thickBot="1" x14ac:dyDescent="0.3">
      <c r="I70" s="30"/>
    </row>
    <row r="71" spans="2:9" ht="15.75" thickTop="1" x14ac:dyDescent="0.25"/>
  </sheetData>
  <mergeCells count="1">
    <mergeCell ref="K31:P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C676-3335-4A24-AC11-13C2B32B44F0}">
  <dimension ref="A1:T40"/>
  <sheetViews>
    <sheetView workbookViewId="0">
      <selection activeCell="A24" sqref="A24:F34"/>
    </sheetView>
  </sheetViews>
  <sheetFormatPr defaultRowHeight="15" x14ac:dyDescent="0.25"/>
  <cols>
    <col min="1" max="1" width="32.140625" customWidth="1"/>
    <col min="2" max="2" width="20.85546875" customWidth="1"/>
    <col min="3" max="4" width="19.7109375" customWidth="1"/>
    <col min="6" max="6" width="15.28515625" bestFit="1" customWidth="1"/>
    <col min="7" max="7" width="10" bestFit="1" customWidth="1"/>
    <col min="10" max="10" width="16.28515625" bestFit="1" customWidth="1"/>
    <col min="11" max="11" width="15.28515625" bestFit="1" customWidth="1"/>
    <col min="12" max="12" width="11.5703125" bestFit="1" customWidth="1"/>
    <col min="14" max="14" width="12.5703125" bestFit="1" customWidth="1"/>
    <col min="15" max="15" width="23.85546875" customWidth="1"/>
    <col min="16" max="16" width="16.7109375" customWidth="1"/>
  </cols>
  <sheetData>
    <row r="1" spans="1:19" x14ac:dyDescent="0.25">
      <c r="A1" s="2" t="s">
        <v>67</v>
      </c>
      <c r="G1" t="s">
        <v>25</v>
      </c>
    </row>
    <row r="2" spans="1:19" x14ac:dyDescent="0.25">
      <c r="A2" t="s">
        <v>7</v>
      </c>
      <c r="B2" t="s">
        <v>9</v>
      </c>
      <c r="C2" s="8">
        <v>497.58030000000002</v>
      </c>
    </row>
    <row r="3" spans="1:19" x14ac:dyDescent="0.25">
      <c r="A3" t="s">
        <v>41</v>
      </c>
      <c r="B3" t="s">
        <v>27</v>
      </c>
      <c r="C3" s="8">
        <f>5000000/G3</f>
        <v>160.10913038326925</v>
      </c>
      <c r="G3" s="11">
        <v>31228.7</v>
      </c>
    </row>
    <row r="4" spans="1:19" ht="15.75" thickBot="1" x14ac:dyDescent="0.3">
      <c r="A4" t="s">
        <v>61</v>
      </c>
      <c r="B4" t="s">
        <v>49</v>
      </c>
      <c r="C4" s="8"/>
      <c r="D4" s="22">
        <f>+S6</f>
        <v>127.5306464113992</v>
      </c>
      <c r="G4" s="11"/>
    </row>
    <row r="5" spans="1:19" ht="15.75" thickBot="1" x14ac:dyDescent="0.3">
      <c r="A5" t="s">
        <v>42</v>
      </c>
      <c r="B5" t="s">
        <v>9</v>
      </c>
      <c r="C5" s="8">
        <f>20000000/G5</f>
        <v>637.3815346745115</v>
      </c>
      <c r="G5" s="19">
        <v>31378.38</v>
      </c>
    </row>
    <row r="6" spans="1:19" x14ac:dyDescent="0.25">
      <c r="A6" t="s">
        <v>44</v>
      </c>
      <c r="B6" t="s">
        <v>43</v>
      </c>
      <c r="D6" s="18">
        <f>250000/G6</f>
        <v>7.8764965343415252</v>
      </c>
      <c r="G6" s="11">
        <v>31740</v>
      </c>
      <c r="M6" s="12" t="s">
        <v>29</v>
      </c>
      <c r="N6" s="14">
        <v>8000000</v>
      </c>
      <c r="O6" s="12" t="s">
        <v>30</v>
      </c>
      <c r="P6" s="15" t="s">
        <v>31</v>
      </c>
      <c r="Q6" s="11">
        <v>31365.01</v>
      </c>
      <c r="R6">
        <f>+N6/Q6</f>
        <v>255.06129282279841</v>
      </c>
      <c r="S6">
        <f>+R6/2</f>
        <v>127.5306464113992</v>
      </c>
    </row>
    <row r="7" spans="1:19" x14ac:dyDescent="0.25">
      <c r="A7" t="s">
        <v>45</v>
      </c>
      <c r="B7" t="s">
        <v>43</v>
      </c>
      <c r="D7" s="18">
        <f>5000000/G7</f>
        <v>157.49946292683143</v>
      </c>
      <c r="G7" s="11">
        <v>31746.14</v>
      </c>
    </row>
    <row r="8" spans="1:19" x14ac:dyDescent="0.25">
      <c r="A8" t="s">
        <v>45</v>
      </c>
      <c r="B8" t="s">
        <v>43</v>
      </c>
      <c r="D8" s="18">
        <f>5000000/G8</f>
        <v>157.49946292683143</v>
      </c>
      <c r="G8" s="11">
        <v>31746.14</v>
      </c>
    </row>
    <row r="9" spans="1:19" x14ac:dyDescent="0.25">
      <c r="A9" t="s">
        <v>46</v>
      </c>
      <c r="B9" t="s">
        <v>43</v>
      </c>
      <c r="D9" s="18">
        <f>5000000/G9</f>
        <v>157.46905654304402</v>
      </c>
      <c r="G9" s="11">
        <v>31752.27</v>
      </c>
    </row>
    <row r="10" spans="1:19" x14ac:dyDescent="0.25">
      <c r="A10" t="s">
        <v>47</v>
      </c>
      <c r="B10" t="s">
        <v>43</v>
      </c>
      <c r="D10" s="18">
        <f>5000000/G10</f>
        <v>157.157733244864</v>
      </c>
      <c r="G10" s="11">
        <v>31815.17</v>
      </c>
    </row>
    <row r="11" spans="1:19" x14ac:dyDescent="0.25">
      <c r="A11" t="s">
        <v>48</v>
      </c>
      <c r="B11" t="s">
        <v>43</v>
      </c>
      <c r="D11" s="18">
        <f>139000/G11</f>
        <v>4.3498397756859601</v>
      </c>
      <c r="G11" s="11">
        <v>31955.200000000001</v>
      </c>
    </row>
    <row r="12" spans="1:19" x14ac:dyDescent="0.25">
      <c r="A12" t="s">
        <v>10</v>
      </c>
      <c r="B12" t="s">
        <v>49</v>
      </c>
      <c r="D12" s="18">
        <v>123.17167051578137</v>
      </c>
      <c r="M12" s="12" t="s">
        <v>33</v>
      </c>
      <c r="N12" s="13">
        <v>8000000</v>
      </c>
      <c r="O12" s="12" t="s">
        <v>32</v>
      </c>
      <c r="P12" s="15" t="s">
        <v>34</v>
      </c>
      <c r="Q12" s="11">
        <v>32475</v>
      </c>
      <c r="R12">
        <f t="shared" ref="R12:R18" si="0">+N12/Q12</f>
        <v>246.34334103156274</v>
      </c>
      <c r="S12">
        <f t="shared" ref="S12:S18" si="1">+R12/2</f>
        <v>123.17167051578137</v>
      </c>
    </row>
    <row r="13" spans="1:19" x14ac:dyDescent="0.25">
      <c r="A13" t="s">
        <v>14</v>
      </c>
      <c r="B13" t="s">
        <v>49</v>
      </c>
      <c r="D13" s="20">
        <v>37.794403283819641</v>
      </c>
      <c r="M13" s="12" t="s">
        <v>36</v>
      </c>
      <c r="N13" s="14">
        <v>2500000</v>
      </c>
      <c r="O13" s="12" t="s">
        <v>35</v>
      </c>
      <c r="P13" s="15" t="s">
        <v>37</v>
      </c>
      <c r="Q13" s="11">
        <v>33073.68</v>
      </c>
      <c r="R13">
        <f t="shared" si="0"/>
        <v>75.588806567639281</v>
      </c>
      <c r="S13">
        <f t="shared" si="1"/>
        <v>37.794403283819641</v>
      </c>
    </row>
    <row r="14" spans="1:19" x14ac:dyDescent="0.25">
      <c r="A14" t="s">
        <v>15</v>
      </c>
      <c r="B14" t="s">
        <v>49</v>
      </c>
      <c r="D14" s="18">
        <v>14.97</v>
      </c>
      <c r="M14" s="12" t="s">
        <v>36</v>
      </c>
      <c r="N14" s="16">
        <v>1000000</v>
      </c>
      <c r="O14" s="12" t="s">
        <v>35</v>
      </c>
      <c r="P14" s="15" t="s">
        <v>39</v>
      </c>
      <c r="Q14" s="11">
        <v>33397.949999999997</v>
      </c>
      <c r="R14">
        <f t="shared" si="0"/>
        <v>29.941957515356485</v>
      </c>
      <c r="S14">
        <f t="shared" si="1"/>
        <v>14.970978757678242</v>
      </c>
    </row>
    <row r="15" spans="1:19" x14ac:dyDescent="0.25">
      <c r="A15" t="s">
        <v>16</v>
      </c>
      <c r="B15" t="s">
        <v>49</v>
      </c>
      <c r="D15" s="18">
        <v>22.145</v>
      </c>
      <c r="M15" s="12" t="s">
        <v>40</v>
      </c>
      <c r="N15" s="14">
        <v>1500000</v>
      </c>
      <c r="O15" s="12" t="s">
        <v>35</v>
      </c>
      <c r="P15" s="15" t="s">
        <v>51</v>
      </c>
      <c r="Q15" s="11">
        <v>33912.47</v>
      </c>
      <c r="R15">
        <f t="shared" si="0"/>
        <v>44.231517197066445</v>
      </c>
      <c r="S15">
        <f t="shared" si="1"/>
        <v>22.115758598533223</v>
      </c>
    </row>
    <row r="16" spans="1:19" x14ac:dyDescent="0.25">
      <c r="A16" t="s">
        <v>17</v>
      </c>
      <c r="B16" t="s">
        <v>49</v>
      </c>
      <c r="D16" s="18">
        <v>15.664999999999999</v>
      </c>
      <c r="M16" s="12" t="s">
        <v>40</v>
      </c>
      <c r="N16" s="14">
        <v>1075000</v>
      </c>
      <c r="O16" s="12" t="s">
        <v>35</v>
      </c>
      <c r="P16" s="15">
        <v>44691</v>
      </c>
      <c r="Q16" s="11">
        <v>34312.76</v>
      </c>
      <c r="R16">
        <f t="shared" si="0"/>
        <v>31.329452949864713</v>
      </c>
      <c r="S16">
        <f t="shared" si="1"/>
        <v>15.664726474932356</v>
      </c>
    </row>
    <row r="17" spans="1:20" x14ac:dyDescent="0.25">
      <c r="A17" s="9" t="s">
        <v>58</v>
      </c>
      <c r="B17" t="s">
        <v>49</v>
      </c>
      <c r="D17" s="18">
        <v>37.177496832941991</v>
      </c>
      <c r="I17" s="21"/>
      <c r="M17" s="12" t="s">
        <v>33</v>
      </c>
      <c r="N17" s="13">
        <v>2400000</v>
      </c>
      <c r="O17" s="12" t="s">
        <v>32</v>
      </c>
      <c r="P17" s="15">
        <v>44656</v>
      </c>
      <c r="Q17" s="11">
        <v>32277.59</v>
      </c>
      <c r="R17">
        <f t="shared" si="0"/>
        <v>74.354993665883981</v>
      </c>
      <c r="S17">
        <f t="shared" si="1"/>
        <v>37.177496832941991</v>
      </c>
    </row>
    <row r="18" spans="1:20" x14ac:dyDescent="0.25">
      <c r="A18" s="9" t="s">
        <v>59</v>
      </c>
      <c r="B18" t="s">
        <v>49</v>
      </c>
      <c r="D18" s="18">
        <v>35.174434609196737</v>
      </c>
      <c r="M18" s="12" t="s">
        <v>33</v>
      </c>
      <c r="N18" s="16">
        <v>2300000</v>
      </c>
      <c r="O18" s="12" t="s">
        <v>35</v>
      </c>
      <c r="P18" s="15">
        <v>44567</v>
      </c>
      <c r="Q18" s="11">
        <v>32694.2</v>
      </c>
      <c r="R18">
        <f t="shared" si="0"/>
        <v>70.348869218393475</v>
      </c>
      <c r="S18">
        <f t="shared" si="1"/>
        <v>35.174434609196737</v>
      </c>
    </row>
    <row r="19" spans="1:20" x14ac:dyDescent="0.25">
      <c r="A19" s="9" t="s">
        <v>60</v>
      </c>
      <c r="B19" t="s">
        <v>49</v>
      </c>
      <c r="D19" s="18">
        <v>127.5306464113992</v>
      </c>
    </row>
    <row r="20" spans="1:20" x14ac:dyDescent="0.25">
      <c r="A20" t="s">
        <v>19</v>
      </c>
      <c r="B20" t="s">
        <v>18</v>
      </c>
      <c r="C20">
        <v>353.93</v>
      </c>
    </row>
    <row r="21" spans="1:20" x14ac:dyDescent="0.25">
      <c r="A21" s="23" t="s">
        <v>62</v>
      </c>
      <c r="B21" s="25" t="s">
        <v>63</v>
      </c>
      <c r="C21">
        <f>+Q31</f>
        <v>174.67860540317179</v>
      </c>
      <c r="G21" s="11">
        <v>35110.980000000003</v>
      </c>
    </row>
    <row r="23" spans="1:20" x14ac:dyDescent="0.25">
      <c r="A23" t="s">
        <v>52</v>
      </c>
      <c r="C23">
        <f>+SUM(C2:C21)</f>
        <v>1823.6795704609526</v>
      </c>
      <c r="D23">
        <f>+SUM(D2:D21)</f>
        <v>1183.0113500161365</v>
      </c>
    </row>
    <row r="24" spans="1:20" x14ac:dyDescent="0.25">
      <c r="A24" t="s">
        <v>54</v>
      </c>
      <c r="D24" s="18">
        <f>+C23-D23</f>
        <v>640.66822044481614</v>
      </c>
      <c r="F24" s="27">
        <f>+D24*35110.98</f>
        <v>22494489.074673533</v>
      </c>
    </row>
    <row r="26" spans="1:20" x14ac:dyDescent="0.25">
      <c r="A26" t="s">
        <v>55</v>
      </c>
      <c r="D26" s="18">
        <f>+D12+D13+D14+D15+D16+D17+D18+D19+D4</f>
        <v>541.15929806453812</v>
      </c>
      <c r="F26" s="27">
        <f>+D26*35110.98</f>
        <v>19000633.291158039</v>
      </c>
    </row>
    <row r="27" spans="1:20" x14ac:dyDescent="0.25">
      <c r="A27" t="s">
        <v>56</v>
      </c>
      <c r="D27">
        <f>+S27</f>
        <v>256.89979970882672</v>
      </c>
      <c r="M27" s="12" t="s">
        <v>36</v>
      </c>
      <c r="N27" s="14">
        <v>17000000</v>
      </c>
      <c r="O27" s="17" t="s">
        <v>35</v>
      </c>
      <c r="P27" s="15" t="s">
        <v>38</v>
      </c>
      <c r="Q27" s="11">
        <v>33086.83</v>
      </c>
      <c r="R27">
        <f>+N27/Q27</f>
        <v>513.79959941765344</v>
      </c>
      <c r="S27">
        <f>+R27/2</f>
        <v>256.89979970882672</v>
      </c>
      <c r="T27" t="s">
        <v>50</v>
      </c>
    </row>
    <row r="28" spans="1:20" x14ac:dyDescent="0.25">
      <c r="A28" t="s">
        <v>57</v>
      </c>
      <c r="D28" s="18">
        <f>+D27+D26</f>
        <v>798.05909777336478</v>
      </c>
      <c r="F28" s="27">
        <f>+D28*35110.98</f>
        <v>28020637.020738658</v>
      </c>
    </row>
    <row r="29" spans="1:20" x14ac:dyDescent="0.25">
      <c r="A29" t="s">
        <v>65</v>
      </c>
      <c r="F29" s="5">
        <f>+-P31</f>
        <v>-6133137.0207386576</v>
      </c>
      <c r="K29" s="5"/>
    </row>
    <row r="30" spans="1:20" x14ac:dyDescent="0.25">
      <c r="A30" t="s">
        <v>66</v>
      </c>
      <c r="F30" s="5">
        <f>+F29+F28</f>
        <v>21887500</v>
      </c>
    </row>
    <row r="31" spans="1:20" x14ac:dyDescent="0.25">
      <c r="N31" s="24">
        <f>+SUM(N6:N27)</f>
        <v>43775000</v>
      </c>
      <c r="O31" s="4">
        <f>+N31/2</f>
        <v>21887500</v>
      </c>
      <c r="P31" s="5">
        <f>+F28-O31</f>
        <v>6133137.0207386576</v>
      </c>
      <c r="Q31">
        <f>+P31/G21</f>
        <v>174.67860540317179</v>
      </c>
    </row>
    <row r="32" spans="1:20" x14ac:dyDescent="0.25">
      <c r="I32" t="s">
        <v>70</v>
      </c>
      <c r="J32" s="6">
        <f>1084*G21</f>
        <v>38060302.32</v>
      </c>
      <c r="K32" s="6">
        <f>+J32+J33</f>
        <v>60554791.394673534</v>
      </c>
    </row>
    <row r="33" spans="1:13" x14ac:dyDescent="0.25">
      <c r="A33" s="1" t="s">
        <v>64</v>
      </c>
      <c r="B33" s="6">
        <f>+C33*G21</f>
        <v>22494489.074673533</v>
      </c>
      <c r="C33" s="18">
        <f>+D24</f>
        <v>640.66822044481614</v>
      </c>
      <c r="I33" t="s">
        <v>69</v>
      </c>
      <c r="J33" s="6">
        <f>+B33</f>
        <v>22494489.074673533</v>
      </c>
      <c r="K33" s="6"/>
      <c r="L33" s="24">
        <f>+K34-K32</f>
        <v>6242175.9581119642</v>
      </c>
    </row>
    <row r="34" spans="1:13" x14ac:dyDescent="0.25">
      <c r="A34" s="26" t="s">
        <v>53</v>
      </c>
      <c r="B34" s="6">
        <f>+F30</f>
        <v>21887500</v>
      </c>
      <c r="F34" s="3"/>
      <c r="I34" t="s">
        <v>68</v>
      </c>
      <c r="J34" s="6">
        <f>+J40*G21</f>
        <v>267187869.41114199</v>
      </c>
      <c r="K34" s="6">
        <f>+J34/4</f>
        <v>66796967.352785498</v>
      </c>
    </row>
    <row r="35" spans="1:13" x14ac:dyDescent="0.25">
      <c r="F35" s="3"/>
      <c r="M35">
        <f>21*0.8</f>
        <v>16.8</v>
      </c>
    </row>
    <row r="36" spans="1:13" x14ac:dyDescent="0.25">
      <c r="M36">
        <v>21</v>
      </c>
    </row>
    <row r="37" spans="1:13" x14ac:dyDescent="0.25">
      <c r="K37" s="5"/>
      <c r="M37">
        <f>+M36-M35</f>
        <v>4.1999999999999993</v>
      </c>
    </row>
    <row r="38" spans="1:13" x14ac:dyDescent="0.25">
      <c r="K38" s="4"/>
    </row>
    <row r="40" spans="1:13" x14ac:dyDescent="0.25">
      <c r="I40">
        <v>2022</v>
      </c>
      <c r="J40">
        <f>+SUM(Sheet1!C4:C18)</f>
        <v>7609.8095072009373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9B12-FF8F-425C-844C-BCA8EFF47568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</dc:creator>
  <cp:lastModifiedBy>Pedro </cp:lastModifiedBy>
  <dcterms:created xsi:type="dcterms:W3CDTF">2015-06-05T18:17:20Z</dcterms:created>
  <dcterms:modified xsi:type="dcterms:W3CDTF">2023-04-25T01:06:41Z</dcterms:modified>
</cp:coreProperties>
</file>
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13. Contable Puerto Octay SpA\"/>
    </mc:Choice>
  </mc:AlternateContent>
  <xr:revisionPtr revIDLastSave="0" documentId="13_ncr:1_{6E713AAB-7FA1-4F71-BF7D-B9D606ED009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men" sheetId="4" r:id="rId1"/>
    <sheet name="MOVIMIENTOS" sheetId="1" r:id="rId2"/>
    <sheet name="CATEGORIAS" sheetId="2" r:id="rId3"/>
    <sheet name="Rendiciones de Gastos" sheetId="3" r:id="rId4"/>
  </sheets>
  <definedNames>
    <definedName name="_xlnm._FilterDatabase" localSheetId="1" hidden="1">MOVIMIENTOS!$A$1:$I$2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D12" i="3"/>
  <c r="F3" i="1"/>
  <c r="D4" i="4"/>
  <c r="D5" i="4"/>
  <c r="D6" i="4"/>
  <c r="D10" i="4"/>
  <c r="D7" i="4"/>
  <c r="D9" i="4"/>
  <c r="D8" i="4"/>
  <c r="D12" i="4"/>
  <c r="F4" i="1" l="1"/>
</calcChain>
</file>

<file path=xl/sharedStrings.xml><?xml version="1.0" encoding="utf-8"?>
<sst xmlns="http://schemas.openxmlformats.org/spreadsheetml/2006/main" count="133" uniqueCount="57">
  <si>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</si>
  <si>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</si>
  <si>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</si>
  <si>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</si>
  <si>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</si>
  <si>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</si>
  <si>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</si>
  <si>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</si>
  <si>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</si>
  <si>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</si>
  <si>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</si>
  <si>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</si>
  <si>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</si>
  <si>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</si>
  <si>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</si>
  <si>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</si>
  <si>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</si>
  <si>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</si>
  <si>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</si>
  <si>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</si>
  <si>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</si>
  <si>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PLS</t>
  </si>
  <si>
    <t>FHB</t>
  </si>
  <si>
    <t>ASESORIAS ECOX</t>
  </si>
  <si>
    <t>BANCO DE CHILE</t>
  </si>
  <si>
    <t>PARCELA</t>
  </si>
  <si>
    <t>Respaldo</t>
  </si>
  <si>
    <t>Monto</t>
  </si>
  <si>
    <t>Total Rendicion 1</t>
  </si>
  <si>
    <t>(blank)</t>
  </si>
  <si>
    <t>Grand Total</t>
  </si>
  <si>
    <t>Row Labels</t>
  </si>
  <si>
    <t>Sum of DEPOSITO</t>
  </si>
  <si>
    <t>Sum of GIROS</t>
  </si>
  <si>
    <t>JMP</t>
  </si>
  <si>
    <t>BLS</t>
  </si>
  <si>
    <t>JOPA</t>
  </si>
  <si>
    <t>DOMI</t>
  </si>
  <si>
    <t>LONQUEN</t>
  </si>
  <si>
    <t>(Multiple Items)</t>
  </si>
  <si>
    <t>boleta</t>
  </si>
  <si>
    <t>B-1 CLIENTE</t>
  </si>
  <si>
    <t>MAJO</t>
  </si>
  <si>
    <t>motivo</t>
  </si>
  <si>
    <t>Rendicion 1 - persona - fecha</t>
  </si>
  <si>
    <t>Dep.cheq.otros Bancos N° 8094121</t>
  </si>
  <si>
    <t>Deposito Con Cheque Mismo Banco N° 8094123</t>
  </si>
  <si>
    <t>Traspaso De: Inversiones Majo Spa</t>
  </si>
  <si>
    <t>Cheque Depositado Devuelto N° 0007915</t>
  </si>
  <si>
    <t>Traspaso De: Asesormas Ecox Limitada</t>
  </si>
  <si>
    <t>Pago: Santander 0777140248</t>
  </si>
  <si>
    <t>Traspaso De: Inversiones Cerro Pan De Azucar Li</t>
  </si>
  <si>
    <t>Dep.cheq.otros Bancos N° 1977117</t>
  </si>
  <si>
    <t>Emision Vale Vista</t>
  </si>
  <si>
    <t>Comision: Vale Vista</t>
  </si>
  <si>
    <t>Compra Lote 3</t>
  </si>
  <si>
    <t>PAN DE AZUCAR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</si>
</sst>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dd\-mmm\-yy;@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Rubik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3" fillId="0" borderId="3" xfId="0" applyFont="1" applyBorder="1"/>
    <xf numFmtId="0" fontId="0" fillId="0" borderId="3" xfId="0" applyBorder="1"/>
    <xf numFmtId="166" fontId="3" fillId="0" borderId="3" xfId="0" applyNumberFormat="1" applyFont="1" applyBorder="1"/>
    <xf numFmtId="165" fontId="4" fillId="2" borderId="1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5" fillId="2" borderId="4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43" fontId="0" fillId="0" borderId="0" xfId="2" applyFont="1"/>
    <xf numFmtId="166" fontId="0" fillId="0" borderId="0" xfId="2" applyNumberFormat="1" applyFont="1"/>
    <xf numFmtId="164" fontId="0" fillId="0" borderId="0" xfId="0" applyNumberFormat="1"/>
    <xf numFmtId="14" fontId="0" fillId="0" borderId="0" xfId="0" applyNumberFormat="1"/>
    <xf numFmtId="164" fontId="0" fillId="0" borderId="3" xfId="1" applyNumberFormat="1" applyFont="1" applyFill="1" applyBorder="1"/>
    <xf numFmtId="164" fontId="0" fillId="0" borderId="0" xfId="1" applyNumberFormat="1" applyFont="1" applyFill="1" applyBorder="1"/>
    <xf numFmtId="165" fontId="0" fillId="0" borderId="3" xfId="0" applyNumberFormat="1" applyBorder="1"/>
    <xf numFmtId="166" fontId="3" fillId="0" borderId="3" xfId="2" applyNumberFormat="1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</cellXfs>
  <cellStyles count="3">
    <cellStyle name="Comma" xfId="2" builtinId="3"/>
    <cellStyle name="Currency" xfId="1" builtinId="4"/>
    <cellStyle name="Normal" xfId="0" builtinId="0"/>
  </cellStyles>
  <dxfs count="12">
    <dxf>
      <fill>
        <patternFill>
          <bgColor theme="7" tint="0.39994506668294322"/>
        </patternFill>
      </fill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ubik"/>
        <scheme val="none"/>
      </font>
      <numFmt numFmtId="164" formatCode="_(&quot;$&quot;* #,##0_);_(&quot;$&quot;* \(#,##0\);_(&quot;$&quot;* &quot;-&quot;??_);_(@_)"/>
      <fill>
        <patternFill patternType="solid">
          <fgColor indexed="64"/>
          <bgColor rgb="FFEFEFE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10.673036805558" createdVersion="8" refreshedVersion="8" minRefreshableVersion="3" recordCount="460" xr:uid="{B3E9A963-5070-4D05-B189-16878F70C8DA}">
  <cacheSource type="worksheet">
    <worksheetSource name="Table3"/>
  </cacheSource>
  <cacheFields count="8">
    <cacheField name="DETALLE" numFmtId="0">
      <sharedItems containsBlank="1"/>
    </cacheField>
    <cacheField name="CATEGORIA" numFmtId="0">
      <sharedItems containsBlank="1" count="8">
        <m/>
        <s v="GASTOS GENERALES"/>
        <s v="PRESTAMO"/>
        <s v="VENTA"/>
        <s v="NOTARIA Y CONSERVADOR"/>
        <s v="IMPUESTOS"/>
        <s v="LINEA DE CREDITO"/>
        <s v="FONDOS MUTUOS"/>
      </sharedItems>
    </cacheField>
    <cacheField name="PARCELA" numFmtId="0">
      <sharedItems containsBlank="1"/>
    </cacheField>
    <cacheField name="SUB" numFmtId="0">
      <sharedItems containsBlank="1" count="10">
        <m/>
        <s v="PLS"/>
        <s v="JMP"/>
        <s v="JOPA"/>
        <s v="BANCO DE CHILE"/>
        <s v="BLS"/>
        <s v="FHB"/>
        <s v="DOMI"/>
        <s v="PUERTO OCTAY"/>
        <s v="LONQUEN"/>
      </sharedItems>
    </cacheField>
    <cacheField name="SALDO" numFmtId="164">
      <sharedItems containsSemiMixedTypes="0" containsString="0" containsNumber="1" containsInteger="1" minValue="-989726" maxValue="356950777"/>
    </cacheField>
    <cacheField name="DEPOSITO" numFmtId="164">
      <sharedItems containsString="0" containsBlank="1" containsNumber="1" containsInteger="1" minValue="1000" maxValue="262430812"/>
    </cacheField>
    <cacheField name="GIROS" numFmtId="164">
      <sharedItems containsString="0" containsBlank="1" containsNumber="1" containsInteger="1" minValue="-300775861" maxValue="-5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10.673062037036" createdVersion="8" refreshedVersion="8" minRefreshableVersion="3" recordCount="461" xr:uid="{978D2BFE-804C-45A1-ABA6-7685F0E71646}">
  <cacheSource type="worksheet">
    <worksheetSource ref="A1:I1048576" sheet="MOVIMIENTOS"/>
  </cacheSource>
  <cacheFields count="9">
    <cacheField name="FECHA" numFmtId="165">
      <sharedItems containsNonDate="0" containsDate="1" containsString="0" containsBlank="1" minDate="2025-01-01T00:00:00" maxDate="2025-09-04T00:00:00" count="136">
        <d v="2025-01-01T00:00:00"/>
        <d v="2025-01-02T00:00:00"/>
        <d v="2025-01-08T00:00:00"/>
        <d v="2025-01-10T00:00:00"/>
        <d v="2025-01-13T00:00:00"/>
        <d v="2025-01-14T00:00:00"/>
        <d v="2025-01-17T00:00:00"/>
        <d v="2025-01-20T00:00:00"/>
        <d v="2025-01-21T00:00:00"/>
        <d v="2025-01-22T00:00:00"/>
        <d v="2025-01-24T00:00:00"/>
        <d v="2025-01-28T00:00:00"/>
        <d v="2025-01-29T00:00:00"/>
        <d v="2025-01-30T00:00:00"/>
        <d v="2025-01-31T00:00:00"/>
        <d v="2025-02-03T00:00:00"/>
        <d v="2025-02-06T00:00:00"/>
        <d v="2025-02-10T00:00:00"/>
        <d v="2025-02-12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9T00:00:00"/>
        <d v="2025-03-20T00:00:00"/>
        <d v="2025-03-24T00:00:00"/>
        <d v="2025-03-28T00:00:00"/>
        <d v="2025-03-31T00:00:00"/>
        <d v="2025-04-01T00:00:00"/>
        <d v="2025-04-03T00:00:00"/>
        <d v="2025-04-04T00:00:00"/>
        <d v="2025-04-07T00:00:00"/>
        <d v="2025-04-08T00:00:00"/>
        <d v="2025-04-09T00:00:00"/>
        <d v="2025-04-11T00:00:00"/>
        <d v="2025-04-14T00:00:00"/>
        <d v="2025-04-15T00:00:00"/>
        <d v="2025-04-16T00:00:00"/>
        <d v="2025-04-21T00:00:00"/>
        <d v="2025-04-22T00:00:00"/>
        <d v="2025-04-24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2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11T00:00:00"/>
        <d v="2025-07-14T00:00:00"/>
        <d v="2025-07-15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2T00:00:00"/>
        <d v="2025-08-18T00:00:00"/>
        <d v="2025-08-19T00:00:00"/>
        <d v="2025-08-21T00:00:00"/>
        <d v="2025-08-27T00:00:00"/>
        <d v="2025-08-28T00:00:00"/>
        <d v="2025-08-29T00:00:00"/>
        <d v="2025-09-01T00:00:00"/>
        <d v="2025-09-02T00:00:00"/>
        <d v="2025-09-03T00:00:00"/>
        <m/>
      </sharedItems>
    </cacheField>
    <cacheField name="DETALLE" numFmtId="0">
      <sharedItems containsBlank="1"/>
    </cacheField>
    <cacheField name="CATEGORIA" numFmtId="0">
      <sharedItems containsBlank="1" count="8">
        <m/>
        <s v="GASTOS GENERALES"/>
        <s v="PRESTAMO"/>
        <s v="VENTA"/>
        <s v="NOTARIA Y CONSERVADOR"/>
        <s v="IMPUESTOS"/>
        <s v="LINEA DE CREDITO"/>
        <s v="FONDOS MUTUOS"/>
      </sharedItems>
    </cacheField>
    <cacheField name="PARCELA" numFmtId="0">
      <sharedItems containsBlank="1"/>
    </cacheField>
    <cacheField name="SUB" numFmtId="0">
      <sharedItems containsBlank="1"/>
    </cacheField>
    <cacheField name="SALDO" numFmtId="164">
      <sharedItems containsString="0" containsBlank="1" containsNumber="1" containsInteger="1" minValue="-989726" maxValue="356950777"/>
    </cacheField>
    <cacheField name="DEPOSITO" numFmtId="164">
      <sharedItems containsString="0" containsBlank="1" containsNumber="1" containsInteger="1" minValue="1000" maxValue="262430812"/>
    </cacheField>
    <cacheField name="GIROS" numFmtId="164">
      <sharedItems containsString="0" containsBlank="1" containsNumber="1" containsInteger="1" minValue="-300775861" maxValue="-5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s v="SALDO ANTERIOR"/>
    <x v="0"/>
    <m/>
    <x v="0"/>
    <n v="702601"/>
    <m/>
    <m/>
    <m/>
  </r>
  <r>
    <s v="Traspaso A: Construcciones Del Ranco Spa"/>
    <x v="1"/>
    <m/>
    <x v="0"/>
    <n v="702601"/>
    <m/>
    <n v="-700000"/>
    <m/>
  </r>
  <r>
    <s v="Traspaso De: Pedro Jose Lecaros Sotomayor"/>
    <x v="2"/>
    <m/>
    <x v="1"/>
    <n v="2601"/>
    <n v="5000000"/>
    <m/>
    <m/>
  </r>
  <r>
    <s v="Traspaso A: Construcciones Del Ranco Spa"/>
    <x v="1"/>
    <m/>
    <x v="0"/>
    <n v="5002601"/>
    <m/>
    <n v="-1627022"/>
    <s v="Porton completa estado de pago 1"/>
  </r>
  <r>
    <s v="Traspaso A: Construcciones Del Ranco Spa"/>
    <x v="1"/>
    <m/>
    <x v="0"/>
    <n v="3375579"/>
    <m/>
    <n v="-1351157"/>
    <s v="Completa pago 30 porciento inicial, tranqueras"/>
  </r>
  <r>
    <s v="Traspaso A: La Nube Fotografia Ltda."/>
    <x v="1"/>
    <m/>
    <x v="0"/>
    <n v="2024422"/>
    <m/>
    <n v="-1309000"/>
    <s v="Pago la nube"/>
  </r>
  <r>
    <s v="Traspaso De: Jose Miguel Parro"/>
    <x v="2"/>
    <m/>
    <x v="2"/>
    <n v="715422"/>
    <n v="350000"/>
    <m/>
    <m/>
  </r>
  <r>
    <s v="Traspaso De: Pedro Jose Lecaros Sotomayor"/>
    <x v="2"/>
    <m/>
    <x v="1"/>
    <n v="1065422"/>
    <n v="2500000"/>
    <m/>
    <m/>
  </r>
  <r>
    <s v="Traspaso De: Jose Miguel Parro"/>
    <x v="2"/>
    <m/>
    <x v="2"/>
    <n v="3565422"/>
    <n v="2150000"/>
    <m/>
    <m/>
  </r>
  <r>
    <s v="Traspaso De: Carlos Alberto Cespedes Lopez"/>
    <x v="3"/>
    <m/>
    <x v="0"/>
    <n v="5715422"/>
    <n v="200000"/>
    <m/>
    <s v="Reserva C-18"/>
  </r>
  <r>
    <s v="Traspaso A: Conrad Pablo Zlch Parra"/>
    <x v="4"/>
    <m/>
    <x v="0"/>
    <n v="5915422"/>
    <m/>
    <n v="-177000"/>
    <s v="inscripcion servidumbre caminos"/>
  </r>
  <r>
    <s v="Traspaso A: Conrad Pablo Zlch Parra"/>
    <x v="4"/>
    <m/>
    <x v="0"/>
    <n v="5738422"/>
    <m/>
    <n v="-177000"/>
    <s v="inscripcion servidumbre caminos E1"/>
  </r>
  <r>
    <s v="Traspaso A: Asesorias Ecox Spa"/>
    <x v="1"/>
    <m/>
    <x v="0"/>
    <n v="5561422"/>
    <m/>
    <n v="-100000"/>
    <s v="Servicio contable"/>
  </r>
  <r>
    <s v="Traspaso A: Andres Rieutord"/>
    <x v="4"/>
    <m/>
    <x v="0"/>
    <n v="5461422"/>
    <m/>
    <n v="-80000"/>
    <m/>
  </r>
  <r>
    <s v="Traspaso De: Inversiones Jopa Limitada"/>
    <x v="2"/>
    <m/>
    <x v="3"/>
    <n v="5381422"/>
    <n v="5000000"/>
    <m/>
    <m/>
  </r>
  <r>
    <s v="Traspaso A: Geotim Ltda"/>
    <x v="1"/>
    <m/>
    <x v="0"/>
    <n v="10381422"/>
    <m/>
    <n v="-5000000"/>
    <s v="Abono parcial a primer 50 por ciento caminos"/>
  </r>
  <r>
    <s v="Traspaso De: Luis Eduardo Salas Ojeda"/>
    <x v="3"/>
    <m/>
    <x v="0"/>
    <n v="5381422"/>
    <n v="200000"/>
    <m/>
    <s v="Reserva A15"/>
  </r>
  <r>
    <s v="Traspaso De: Katherinne Andrea Orellana Saez"/>
    <x v="3"/>
    <m/>
    <x v="0"/>
    <n v="5581422"/>
    <n v="200000"/>
    <m/>
    <s v="Reserva A10"/>
  </r>
  <r>
    <s v="Traspaso A: Geotim Ltda"/>
    <x v="1"/>
    <m/>
    <x v="0"/>
    <n v="5781422"/>
    <m/>
    <n v="-5000000"/>
    <s v="Abono primera mitad caminos"/>
  </r>
  <r>
    <s v="Traspaso De: Marco Sebast?iacute?an"/>
    <x v="3"/>
    <m/>
    <x v="0"/>
    <n v="781422"/>
    <n v="200000"/>
    <m/>
    <s v="Reserva A14"/>
  </r>
  <r>
    <s v="Traspaso De: Pedro Jose Lecaros Sotomayor"/>
    <x v="2"/>
    <m/>
    <x v="1"/>
    <n v="981422"/>
    <n v="5000000"/>
    <m/>
    <m/>
  </r>
  <r>
    <s v="Traspaso A: Construcciones Del Ranco Spa"/>
    <x v="1"/>
    <m/>
    <x v="0"/>
    <n v="5981422"/>
    <m/>
    <n v="-2159683"/>
    <s v="Estado de Pago 1 Tranqueras Los Chilcos"/>
  </r>
  <r>
    <s v="Traspaso A: Construcciones Del Ranco Spa"/>
    <x v="1"/>
    <m/>
    <x v="0"/>
    <n v="3821739"/>
    <m/>
    <n v="-3610318"/>
    <s v="Estado de pago 2 Acceso Chilcos"/>
  </r>
  <r>
    <s v="Traspaso De: Jose Miguel Parro"/>
    <x v="2"/>
    <m/>
    <x v="2"/>
    <n v="211421"/>
    <n v="2500000"/>
    <m/>
    <m/>
  </r>
  <r>
    <s v="App-traspaso De: Inversiones Jopa Limitada"/>
    <x v="2"/>
    <m/>
    <x v="3"/>
    <n v="2711421"/>
    <n v="5000000"/>
    <m/>
    <m/>
  </r>
  <r>
    <s v="Traspaso A: Andres Rieutord"/>
    <x v="4"/>
    <m/>
    <x v="0"/>
    <n v="7711421"/>
    <m/>
    <n v="-70000"/>
    <s v="Reglamento"/>
  </r>
  <r>
    <s v="Traspaso De: Pedro Jose Lecaros Sotomayor"/>
    <x v="2"/>
    <m/>
    <x v="1"/>
    <n v="7641421"/>
    <n v="2500000"/>
    <m/>
    <m/>
  </r>
  <r>
    <s v="Traspaso De: Nicole Odette Rojas Bahamondes"/>
    <x v="3"/>
    <m/>
    <x v="0"/>
    <n v="10141421"/>
    <n v="200000"/>
    <m/>
    <s v="Reserva B-11"/>
  </r>
  <r>
    <s v="Traspaso De: Pedro Jose Lecaros Sotomayor"/>
    <x v="2"/>
    <m/>
    <x v="1"/>
    <n v="10341421"/>
    <n v="5000000"/>
    <m/>
    <m/>
  </r>
  <r>
    <s v="Traspaso De: Camila Stefany Diaz Duran"/>
    <x v="3"/>
    <m/>
    <x v="0"/>
    <n v="15341421"/>
    <n v="200000"/>
    <m/>
    <s v="Reserva C-14"/>
  </r>
  <r>
    <s v="Traspaso A: Sinergia Austral Spa"/>
    <x v="1"/>
    <m/>
    <x v="0"/>
    <n v="15541421"/>
    <m/>
    <n v="-695436"/>
    <s v="Tubo Corrugado HDPE 600 mm Agricola Los Chilcos"/>
  </r>
  <r>
    <s v="Traspaso De: Pedro Jose Lecaros Sotomayor"/>
    <x v="2"/>
    <m/>
    <x v="1"/>
    <n v="14845985"/>
    <n v="5000000"/>
    <m/>
    <m/>
  </r>
  <r>
    <s v="Traspaso De: Pedro Jose Lecaros Sotomayor"/>
    <x v="2"/>
    <m/>
    <x v="1"/>
    <n v="19845985"/>
    <n v="5000000"/>
    <m/>
    <m/>
  </r>
  <r>
    <s v="Traspaso A: Hernan Pizarro"/>
    <x v="1"/>
    <m/>
    <x v="0"/>
    <n v="24845985"/>
    <m/>
    <n v="-574395"/>
    <m/>
  </r>
  <r>
    <s v="Traspaso De: Pedro Jose Lecaros Sotomayor"/>
    <x v="2"/>
    <m/>
    <x v="1"/>
    <n v="24271590"/>
    <n v="5000000"/>
    <m/>
    <m/>
  </r>
  <r>
    <s v="Traspaso De: Servicios Psicologicos Integrales Spa"/>
    <x v="3"/>
    <m/>
    <x v="0"/>
    <n v="29271590"/>
    <n v="200000"/>
    <m/>
    <s v="Reserva A-10"/>
  </r>
  <r>
    <s v="Traspaso De: Cristian Andres Vera Gutierrez"/>
    <x v="3"/>
    <m/>
    <x v="0"/>
    <n v="29471590"/>
    <n v="250000"/>
    <m/>
    <s v="Parte 1 reserva A16/17/18"/>
  </r>
  <r>
    <s v="Traspaso De: Pedro Jose Lecaros Sotomayor"/>
    <x v="2"/>
    <m/>
    <x v="1"/>
    <n v="29721590"/>
    <n v="5000000"/>
    <m/>
    <m/>
  </r>
  <r>
    <s v="Traspaso A: Construcciones Del Ranco Spa"/>
    <x v="1"/>
    <m/>
    <x v="0"/>
    <n v="34721590"/>
    <m/>
    <n v="-3552557"/>
    <s v="Estado de pago 3"/>
  </r>
  <r>
    <s v="Traspaso De: Inversiones Jopa Limitada"/>
    <x v="2"/>
    <m/>
    <x v="3"/>
    <n v="31169033"/>
    <n v="16000000"/>
    <m/>
    <m/>
  </r>
  <r>
    <s v="Traspaso De: Jose Miguel Parro Fluxa"/>
    <x v="2"/>
    <m/>
    <x v="2"/>
    <n v="47169033"/>
    <n v="5000000"/>
    <m/>
    <m/>
  </r>
  <r>
    <s v="Traspaso De: Jose Miguel Parro"/>
    <x v="2"/>
    <m/>
    <x v="2"/>
    <n v="52169033"/>
    <n v="5000000"/>
    <m/>
    <m/>
  </r>
  <r>
    <s v="Traspaso De: Cristian Andres Vera Gutierrez"/>
    <x v="3"/>
    <m/>
    <x v="0"/>
    <n v="57169033"/>
    <n v="350000"/>
    <m/>
    <s v="Parte 2 reserva A16/17/18"/>
  </r>
  <r>
    <s v="Traspaso De: Pedro Jose Lecaros Sotomayor"/>
    <x v="2"/>
    <m/>
    <x v="1"/>
    <n v="57519033"/>
    <n v="5000000"/>
    <m/>
    <m/>
  </r>
  <r>
    <s v="Traspaso De: Mauricio Ignacio Fuentes Rodriguez"/>
    <x v="3"/>
    <m/>
    <x v="0"/>
    <n v="62519033"/>
    <n v="200000"/>
    <m/>
    <m/>
  </r>
  <r>
    <s v="Traspaso A: Camila Stefany Diaz Duran"/>
    <x v="3"/>
    <m/>
    <x v="0"/>
    <n v="62719033"/>
    <m/>
    <n v="-200000"/>
    <s v="Devolucion reserva C14"/>
  </r>
  <r>
    <s v="Traspaso De: Jose Miguel Parro"/>
    <x v="2"/>
    <m/>
    <x v="2"/>
    <n v="62519033"/>
    <n v="4000000"/>
    <m/>
    <m/>
  </r>
  <r>
    <s v="Traspaso A: Geotim Ltda"/>
    <x v="1"/>
    <m/>
    <x v="0"/>
    <n v="66519033"/>
    <m/>
    <n v="-11061"/>
    <s v="Reembolsa envio planos Stgo"/>
  </r>
  <r>
    <s v="Traspaso De: Felipe Leopoldo Pardo Vasquez"/>
    <x v="3"/>
    <m/>
    <x v="0"/>
    <n v="66507972"/>
    <n v="200000"/>
    <m/>
    <s v="Reserva B-14"/>
  </r>
  <r>
    <s v="Cargo Por Aplicacion De Dividendo"/>
    <x v="2"/>
    <m/>
    <x v="4"/>
    <n v="66707972"/>
    <m/>
    <n v="-59739613"/>
    <s v="Prepaga prestamo hipotecario Banco de Chile"/>
  </r>
  <r>
    <s v="Pago Automatico Tarjeta De Credito"/>
    <x v="1"/>
    <m/>
    <x v="0"/>
    <n v="6968359"/>
    <m/>
    <n v="-19859"/>
    <m/>
  </r>
  <r>
    <s v="Traspaso De: Claudio Andr?eacute?s"/>
    <x v="3"/>
    <m/>
    <x v="0"/>
    <n v="6948500"/>
    <n v="200000"/>
    <m/>
    <s v="Reserva B-12"/>
  </r>
  <r>
    <s v="Traspaso De: Molina Saavedra Alberto Ricardo"/>
    <x v="3"/>
    <m/>
    <x v="0"/>
    <n v="7148500"/>
    <n v="200000"/>
    <m/>
    <s v="Reserva B-8"/>
  </r>
  <r>
    <s v="Traspaso De: Lisssette Patricia Riquelme Martinez"/>
    <x v="3"/>
    <m/>
    <x v="0"/>
    <n v="7348500"/>
    <n v="200000"/>
    <m/>
    <s v="Reserva B-8"/>
  </r>
  <r>
    <s v="Traspaso De: Rodolfo Alexis Utreras"/>
    <x v="3"/>
    <s v="B9 - RODOLFO UTRERAS"/>
    <x v="0"/>
    <n v="7548500"/>
    <n v="200000"/>
    <m/>
    <s v="Reserva B-9"/>
  </r>
  <r>
    <s v="Traspaso A: Lissette Riquelme"/>
    <x v="3"/>
    <m/>
    <x v="0"/>
    <n v="7748500"/>
    <m/>
    <n v="-200000"/>
    <s v="Reembolso reserva B-8"/>
  </r>
  <r>
    <s v="Traspaso De: Mauricio Ignacio Fuentes Rodriguez"/>
    <x v="3"/>
    <m/>
    <x v="0"/>
    <n v="7548500"/>
    <n v="200000"/>
    <m/>
    <s v="Reserva C-18"/>
  </r>
  <r>
    <s v="Traspaso De: Edelmira Zulema Reyes Urbina"/>
    <x v="3"/>
    <m/>
    <x v="0"/>
    <n v="7748500"/>
    <n v="200000"/>
    <m/>
    <s v="Reserva B-6"/>
  </r>
  <r>
    <s v="Traspaso De: Lisssette Patricia Riquelme Martinez"/>
    <x v="3"/>
    <m/>
    <x v="0"/>
    <n v="7948500"/>
    <n v="200000"/>
    <m/>
    <s v="Reserva B-7"/>
  </r>
  <r>
    <s v="Traspaso De: San Martin Vargas Carlos Eduardo"/>
    <x v="3"/>
    <m/>
    <x v="0"/>
    <n v="8148500"/>
    <n v="200000"/>
    <m/>
    <s v="Reserva B-13"/>
  </r>
  <r>
    <s v="Traspaso A: Asesorias Ecox Spa"/>
    <x v="1"/>
    <m/>
    <x v="0"/>
    <n v="8348500"/>
    <m/>
    <n v="-100000"/>
    <s v="Servicio contable"/>
  </r>
  <r>
    <s v="Traspaso De: Hector Bernardo Maldonado Munoz"/>
    <x v="3"/>
    <m/>
    <x v="0"/>
    <n v="8248500"/>
    <n v="200000"/>
    <m/>
    <s v="Reserva B-16"/>
  </r>
  <r>
    <s v="Traspaso De: Lizzette Guajardo Vargas"/>
    <x v="3"/>
    <m/>
    <x v="0"/>
    <n v="8448500"/>
    <n v="200000"/>
    <m/>
    <s v="Reserva A-9"/>
  </r>
  <r>
    <s v="Traspaso De: Johanns Edward Agurto Rozas"/>
    <x v="3"/>
    <m/>
    <x v="0"/>
    <n v="8648500"/>
    <n v="200000"/>
    <m/>
    <s v="Reserva C-17"/>
  </r>
  <r>
    <s v="Traspaso A: Conrad Pablo Zlch Parra"/>
    <x v="4"/>
    <m/>
    <x v="0"/>
    <n v="8848500"/>
    <m/>
    <n v="-40000"/>
    <s v="Copia plano inscrito"/>
  </r>
  <r>
    <s v="Pago En Sii.cl*"/>
    <x v="5"/>
    <m/>
    <x v="0"/>
    <n v="8808500"/>
    <m/>
    <n v="-102492"/>
    <m/>
  </r>
  <r>
    <s v="Traspaso A: Construcciones Del Ranco Spa"/>
    <x v="1"/>
    <m/>
    <x v="0"/>
    <n v="8706008"/>
    <m/>
    <n v="-1322892"/>
    <m/>
  </r>
  <r>
    <s v="Traspaso A: Construcciones Del Ranco Spa"/>
    <x v="1"/>
    <m/>
    <x v="0"/>
    <n v="7383116"/>
    <m/>
    <n v="-2159683"/>
    <m/>
  </r>
  <r>
    <s v="Traspaso A: Construcciones Del Ranco Spa"/>
    <x v="1"/>
    <m/>
    <x v="0"/>
    <n v="5223433"/>
    <m/>
    <n v="-70545"/>
    <m/>
  </r>
  <r>
    <s v="Traspaso A: Benjamin Lecaros"/>
    <x v="1"/>
    <m/>
    <x v="5"/>
    <n v="5152888"/>
    <m/>
    <n v="-113639"/>
    <m/>
  </r>
  <r>
    <s v="Deposito En Efectivo N° 2941600"/>
    <x v="3"/>
    <m/>
    <x v="0"/>
    <n v="5039249"/>
    <n v="3500000"/>
    <m/>
    <s v="Promesa Katherine A-10"/>
  </r>
  <r>
    <s v="Comision Anual Linea De Credito Automatica"/>
    <x v="6"/>
    <m/>
    <x v="0"/>
    <n v="8539249"/>
    <m/>
    <n v="-103638"/>
    <m/>
  </r>
  <r>
    <s v="Traspaso De: Valentina Michelle Aranda Espinoza"/>
    <x v="3"/>
    <s v="A5 - VALENTINA ARANDA"/>
    <x v="0"/>
    <n v="8435611"/>
    <n v="200000"/>
    <m/>
    <s v="Reserva A-5"/>
  </r>
  <r>
    <s v="Traspaso A: La Nube Fotografia Ltda."/>
    <x v="1"/>
    <m/>
    <x v="0"/>
    <n v="8635611"/>
    <m/>
    <n v="-178500"/>
    <m/>
  </r>
  <r>
    <s v="Traspaso A: Geotim Ltda"/>
    <x v="1"/>
    <m/>
    <x v="0"/>
    <n v="8457111"/>
    <m/>
    <n v="-946050"/>
    <s v="instalacion alcantarill"/>
  </r>
  <r>
    <s v="Traspaso A: Servicios Psicologicos Integrales"/>
    <x v="3"/>
    <m/>
    <x v="0"/>
    <n v="7511061"/>
    <m/>
    <n v="-200000"/>
    <s v="Reembolso reserva A-13"/>
  </r>
  <r>
    <s v="Traspaso A: Benjamin Lecaros"/>
    <x v="1"/>
    <m/>
    <x v="5"/>
    <n v="7311061"/>
    <m/>
    <n v="-19909"/>
    <s v="Tekkrom"/>
  </r>
  <r>
    <s v="Dep.cheq.otros Bancos N° 4485178"/>
    <x v="2"/>
    <m/>
    <x v="6"/>
    <n v="7291152"/>
    <n v="42000000"/>
    <m/>
    <s v="Prestamos Felipe Hiriart"/>
  </r>
  <r>
    <s v="Deposito Con Cheque Mismo Banco N° 3956722"/>
    <x v="2"/>
    <m/>
    <x v="7"/>
    <n v="49291152"/>
    <n v="260000000"/>
    <m/>
    <s v="Prestamos Dominique Hiriat"/>
  </r>
  <r>
    <s v="Traspaso De: Valentina Michelle Aranda Espinoza"/>
    <x v="3"/>
    <s v="A5 - VALENTINA ARANDA"/>
    <x v="0"/>
    <n v="309291152"/>
    <n v="4800000"/>
    <m/>
    <s v="Pie parcela A-5"/>
  </r>
  <r>
    <s v="Traspaso De: Miguel Jesus Torres Agreda"/>
    <x v="3"/>
    <m/>
    <x v="0"/>
    <n v="314091152"/>
    <n v="200000"/>
    <m/>
    <s v="Reserva B-5"/>
  </r>
  <r>
    <s v="Traspaso A: Asesorias Ecox Spa"/>
    <x v="1"/>
    <m/>
    <x v="0"/>
    <n v="314291152"/>
    <m/>
    <n v="-100000"/>
    <s v="Servicio contable"/>
  </r>
  <r>
    <s v="Traspaso A: Benjamin Lecaros"/>
    <x v="1"/>
    <m/>
    <x v="5"/>
    <n v="314191152"/>
    <m/>
    <n v="-9674"/>
    <s v="Envio chilexpress"/>
  </r>
  <r>
    <s v="Traspaso A: Conrad Pablo Zlch Parra"/>
    <x v="4"/>
    <m/>
    <x v="0"/>
    <n v="314181478"/>
    <m/>
    <n v="-27500"/>
    <s v="Set documentos"/>
  </r>
  <r>
    <s v="Traspaso De: Manuel Alejandro Jeldres Stuardo"/>
    <x v="3"/>
    <m/>
    <x v="0"/>
    <n v="314153978"/>
    <n v="200000"/>
    <m/>
    <s v="Reserva A-3"/>
  </r>
  <r>
    <s v="Traspaso A: Andres Rieutord"/>
    <x v="4"/>
    <m/>
    <x v="0"/>
    <n v="314353978"/>
    <m/>
    <n v="-10000"/>
    <m/>
  </r>
  <r>
    <s v="Cargo Por Aplicacion De Dividendo"/>
    <x v="2"/>
    <m/>
    <x v="4"/>
    <n v="314343978"/>
    <m/>
    <n v="-300775861"/>
    <m/>
  </r>
  <r>
    <s v="Traspaso A: Benjamin Lecaros"/>
    <x v="1"/>
    <m/>
    <x v="5"/>
    <n v="13568117"/>
    <m/>
    <n v="-140949"/>
    <s v="Reembolsa gastos viaje"/>
  </r>
  <r>
    <s v="Pago En Sii.cl*"/>
    <x v="1"/>
    <m/>
    <x v="0"/>
    <n v="13427168"/>
    <m/>
    <n v="-7563"/>
    <m/>
  </r>
  <r>
    <s v="Traspaso De: Distribuidora El Turco Limitada"/>
    <x v="3"/>
    <m/>
    <x v="0"/>
    <n v="13419605"/>
    <n v="1000000"/>
    <m/>
    <s v="Reserva 5 lotes Jorge Berna"/>
  </r>
  <r>
    <s v="Traspaso De: Carlos Alberto Cespedes Lopez"/>
    <x v="3"/>
    <m/>
    <x v="0"/>
    <n v="14419605"/>
    <n v="6600000"/>
    <m/>
    <s v="Pago cuota 1/3"/>
  </r>
  <r>
    <s v="Traspaso De: Rodolfo Andres Ramirez Ortiz"/>
    <x v="3"/>
    <s v="C11 - RODOLFO RAMÍREZ"/>
    <x v="0"/>
    <n v="21019605"/>
    <n v="200000"/>
    <m/>
    <s v="Reserva lote C-11"/>
  </r>
  <r>
    <s v="Pago Automatico Tarjeta De Credito"/>
    <x v="1"/>
    <m/>
    <x v="0"/>
    <n v="21219605"/>
    <m/>
    <n v="-901592"/>
    <m/>
  </r>
  <r>
    <s v="Traspaso A: Andres Rieutord"/>
    <x v="4"/>
    <m/>
    <x v="0"/>
    <n v="20318013"/>
    <m/>
    <n v="-60000"/>
    <m/>
  </r>
  <r>
    <s v="Traspaso De: Miguel Jesus Torres Agreda"/>
    <x v="3"/>
    <m/>
    <x v="0"/>
    <n v="20258013"/>
    <n v="200000"/>
    <m/>
    <s v="Reserva lote B3"/>
  </r>
  <r>
    <s v="Recaudacion Y Pagos De Servicios *"/>
    <x v="7"/>
    <m/>
    <x v="0"/>
    <n v="20458013"/>
    <m/>
    <n v="-20000000"/>
    <m/>
  </r>
  <r>
    <s v="Traspaso De: Maria Paz Martinez"/>
    <x v="3"/>
    <m/>
    <x v="0"/>
    <n v="458013"/>
    <n v="200000"/>
    <m/>
    <s v="Reserva B15"/>
  </r>
  <r>
    <s v="Traspaso De: Pamela De Lourdes Ruiz Garces"/>
    <x v="3"/>
    <m/>
    <x v="0"/>
    <n v="658013"/>
    <n v="200000"/>
    <m/>
    <s v="Reserva C7"/>
  </r>
  <r>
    <s v="Traspaso De: Karen Mabel Mardones Leiva"/>
    <x v="3"/>
    <m/>
    <x v="0"/>
    <n v="858013"/>
    <n v="200000"/>
    <m/>
    <s v="Reserva B4"/>
  </r>
  <r>
    <s v="Traspaso De: Blanca Del Pilar Rojas Bahamondes"/>
    <x v="3"/>
    <m/>
    <x v="0"/>
    <n v="1058013"/>
    <n v="200000"/>
    <m/>
    <s v="Reserva A12"/>
  </r>
  <r>
    <s v="Traspaso A: Benjamin Lecaros"/>
    <x v="1"/>
    <m/>
    <x v="5"/>
    <n v="1258013"/>
    <m/>
    <n v="-20000"/>
    <m/>
  </r>
  <r>
    <s v="Traspaso A: Benjamin Lecaros"/>
    <x v="1"/>
    <m/>
    <x v="5"/>
    <n v="1238013"/>
    <m/>
    <n v="-9691"/>
    <m/>
  </r>
  <r>
    <s v="Traspaso A: Benjamin Lecaros"/>
    <x v="1"/>
    <m/>
    <x v="5"/>
    <n v="1228322"/>
    <m/>
    <n v="-36069"/>
    <m/>
  </r>
  <r>
    <s v="Traspaso A: Benjamin Lecaros"/>
    <x v="1"/>
    <m/>
    <x v="5"/>
    <n v="1192253"/>
    <m/>
    <n v="-9528"/>
    <m/>
  </r>
  <r>
    <s v="Traspaso A: Andres Rieutord"/>
    <x v="4"/>
    <m/>
    <x v="0"/>
    <n v="1182725"/>
    <m/>
    <n v="-120000"/>
    <m/>
  </r>
  <r>
    <s v="Traspaso A: Felipe Chavez Torres"/>
    <x v="1"/>
    <m/>
    <x v="0"/>
    <n v="1062725"/>
    <m/>
    <n v="-259074"/>
    <m/>
  </r>
  <r>
    <s v="Traspaso A: Felipe Chavez Torres"/>
    <x v="1"/>
    <m/>
    <x v="0"/>
    <n v="803651"/>
    <m/>
    <n v="-260000"/>
    <m/>
  </r>
  <r>
    <s v="Traspaso A: Andres Rieutord"/>
    <x v="4"/>
    <m/>
    <x v="0"/>
    <n v="543651"/>
    <m/>
    <n v="-50000"/>
    <m/>
  </r>
  <r>
    <s v="Traspaso De: Francisco Javier Flore"/>
    <x v="3"/>
    <m/>
    <x v="0"/>
    <n v="493651"/>
    <n v="200000"/>
    <m/>
    <s v="Reserva B2 Francisco"/>
  </r>
  <r>
    <s v="Traspaso De: Roberto Andres Traslavina Lopez"/>
    <x v="3"/>
    <m/>
    <x v="0"/>
    <n v="693651"/>
    <n v="200000"/>
    <m/>
    <s v="Reserva C-14 Roberto"/>
  </r>
  <r>
    <s v="Traspaso De: Cristina Adela Ochoa Adamas"/>
    <x v="3"/>
    <m/>
    <x v="0"/>
    <n v="893651"/>
    <n v="200000"/>
    <m/>
    <s v="Reserva C-1 Cristina"/>
  </r>
  <r>
    <s v="Pago: Inversiones 0965712208"/>
    <x v="7"/>
    <m/>
    <x v="0"/>
    <n v="1093651"/>
    <n v="5000001"/>
    <m/>
    <m/>
  </r>
  <r>
    <s v="Traspaso De: Cifuentes Ortiz Natalia Andrea"/>
    <x v="3"/>
    <m/>
    <x v="0"/>
    <n v="6093652"/>
    <n v="200000"/>
    <m/>
    <s v="Reserva C-12 Natalia"/>
  </r>
  <r>
    <s v="Traspaso A: Geotim Ltda"/>
    <x v="1"/>
    <m/>
    <x v="0"/>
    <n v="6293652"/>
    <m/>
    <n v="-5000000"/>
    <s v="Caminos"/>
  </r>
  <r>
    <s v="Traspaso A: Geotim Ltda"/>
    <x v="1"/>
    <m/>
    <x v="0"/>
    <n v="1293652"/>
    <m/>
    <n v="-950000"/>
    <s v="Caminos"/>
  </r>
  <r>
    <s v="Traspaso A: Andres Rieutord"/>
    <x v="4"/>
    <m/>
    <x v="0"/>
    <n v="343652"/>
    <m/>
    <n v="-120000"/>
    <m/>
  </r>
  <r>
    <s v="Traspaso A: Conrad Pablo Zlch Parra"/>
    <x v="4"/>
    <m/>
    <x v="0"/>
    <n v="223652"/>
    <m/>
    <n v="-27500"/>
    <m/>
  </r>
  <r>
    <s v="Traspaso A: Asesorias Ecox Spa"/>
    <x v="1"/>
    <m/>
    <x v="0"/>
    <n v="196152"/>
    <m/>
    <n v="-100000"/>
    <m/>
  </r>
  <r>
    <s v="Pago: Inversiones 0965712208"/>
    <x v="7"/>
    <m/>
    <x v="0"/>
    <n v="96152"/>
    <n v="6000001"/>
    <m/>
    <m/>
  </r>
  <r>
    <s v="Deposito En Efectivo N° 5584602"/>
    <x v="3"/>
    <s v="B9 - RODOLFO UTRERAS"/>
    <x v="0"/>
    <n v="6096153"/>
    <n v="7000000"/>
    <m/>
    <s v="Pie parcela B-9 Rodolfo"/>
  </r>
  <r>
    <s v="Traspaso A: Asesorias Ecox Spa"/>
    <x v="1"/>
    <m/>
    <x v="0"/>
    <n v="13096153"/>
    <m/>
    <n v="-4000000"/>
    <m/>
  </r>
  <r>
    <s v="Traspaso A: Geotim Ltda"/>
    <x v="1"/>
    <m/>
    <x v="0"/>
    <n v="9096153"/>
    <m/>
    <n v="-1900000"/>
    <s v="Caminos"/>
  </r>
  <r>
    <s v="Recaudacion Y Pagos De Servicios *"/>
    <x v="7"/>
    <m/>
    <x v="0"/>
    <n v="7196153"/>
    <m/>
    <n v="-7000000"/>
    <m/>
  </r>
  <r>
    <s v="Traspaso De: Lisssette Patricia Riquelme Martinez"/>
    <x v="3"/>
    <m/>
    <x v="0"/>
    <n v="196153"/>
    <n v="4800000"/>
    <m/>
    <s v="Pie parcela B7"/>
  </r>
  <r>
    <s v="Traspaso De: Francisca Fernanda San Martin Peralta"/>
    <x v="3"/>
    <m/>
    <x v="0"/>
    <n v="4996153"/>
    <n v="200000"/>
    <m/>
    <s v="Reserva B10"/>
  </r>
  <r>
    <s v="Traspaso A: Benjamin Lecaros"/>
    <x v="1"/>
    <m/>
    <x v="5"/>
    <n v="5196153"/>
    <m/>
    <n v="-1710000"/>
    <m/>
  </r>
  <r>
    <s v="Recaudacion Y Pagos De Servicios *"/>
    <x v="7"/>
    <m/>
    <x v="0"/>
    <n v="3486153"/>
    <m/>
    <n v="-3300000"/>
    <m/>
  </r>
  <r>
    <s v="Pago Automatico Tarjeta De Credito"/>
    <x v="1"/>
    <m/>
    <x v="0"/>
    <n v="186153"/>
    <m/>
    <n v="-1175879"/>
    <m/>
  </r>
  <r>
    <s v="Transferencia Desde Linea De Credito"/>
    <x v="6"/>
    <m/>
    <x v="0"/>
    <n v="-989726"/>
    <n v="989726"/>
    <m/>
    <m/>
  </r>
  <r>
    <s v="Traspaso De: Francisco Javier Flore"/>
    <x v="3"/>
    <m/>
    <x v="0"/>
    <n v="0"/>
    <n v="200000"/>
    <m/>
    <m/>
  </r>
  <r>
    <s v="Traspaso A: Andres Rieutord"/>
    <x v="4"/>
    <m/>
    <x v="0"/>
    <n v="200000"/>
    <m/>
    <n v="-50000"/>
    <m/>
  </r>
  <r>
    <s v="Traspaso A: Andres Rieutord"/>
    <x v="4"/>
    <m/>
    <x v="0"/>
    <n v="150000"/>
    <m/>
    <n v="-60000"/>
    <m/>
  </r>
  <r>
    <s v="Traspaso De: Carlos Alberto Cespedes Lopez"/>
    <x v="3"/>
    <m/>
    <x v="0"/>
    <n v="90000"/>
    <n v="6600000"/>
    <m/>
    <m/>
  </r>
  <r>
    <s v="Recaudacion Y Pagos De Servicios *"/>
    <x v="7"/>
    <m/>
    <x v="0"/>
    <n v="6690000"/>
    <m/>
    <n v="-4600000"/>
    <m/>
  </r>
  <r>
    <s v="Amortizacion A Linea De Credito"/>
    <x v="6"/>
    <m/>
    <x v="0"/>
    <n v="2090000"/>
    <m/>
    <n v="-989726"/>
    <m/>
  </r>
  <r>
    <s v="Pago En Tesoreria.cl*"/>
    <x v="5"/>
    <m/>
    <x v="0"/>
    <n v="1100274"/>
    <m/>
    <n v="-351268"/>
    <s v="Contribuciones cuota 1"/>
  </r>
  <r>
    <s v="Pago En Sii.cl*"/>
    <x v="5"/>
    <m/>
    <x v="0"/>
    <n v="749006"/>
    <m/>
    <n v="-439844"/>
    <m/>
  </r>
  <r>
    <s v="Traspaso De: Maritza Marcela Leiva Vera"/>
    <x v="3"/>
    <m/>
    <x v="0"/>
    <n v="309162"/>
    <n v="200000"/>
    <m/>
    <m/>
  </r>
  <r>
    <s v="Abono Por Reversa De Dividendo"/>
    <x v="2"/>
    <m/>
    <x v="4"/>
    <n v="509162"/>
    <n v="17570170"/>
    <m/>
    <m/>
  </r>
  <r>
    <s v="Recaudacion Y Pagos De Servicios *"/>
    <x v="7"/>
    <m/>
    <x v="0"/>
    <n v="18079332"/>
    <m/>
    <n v="-16000000"/>
    <m/>
  </r>
  <r>
    <s v="Traspaso A: Geotim Ltda"/>
    <x v="1"/>
    <m/>
    <x v="0"/>
    <n v="2079332"/>
    <m/>
    <n v="-1309000"/>
    <s v="ADELANTO REPLANTEO"/>
  </r>
  <r>
    <s v="Traspaso De: Cecilia Adelaida Villagra Villagra"/>
    <x v="3"/>
    <m/>
    <x v="0"/>
    <n v="770332"/>
    <n v="200000"/>
    <m/>
    <s v="Reserva C10"/>
  </r>
  <r>
    <s v="Traspaso De: Juan Esteban Sanchez Bascur"/>
    <x v="3"/>
    <m/>
    <x v="0"/>
    <n v="970332"/>
    <n v="200000"/>
    <m/>
    <s v="Reserva C9"/>
  </r>
  <r>
    <s v="Traspaso A: Conrad Pablo Zlch Parra"/>
    <x v="4"/>
    <m/>
    <x v="0"/>
    <n v="1170332"/>
    <m/>
    <n v="-177500"/>
    <m/>
  </r>
  <r>
    <s v="Traspaso A: Andres Rieutord"/>
    <x v="4"/>
    <m/>
    <x v="0"/>
    <n v="992832"/>
    <m/>
    <n v="-90000"/>
    <m/>
  </r>
  <r>
    <s v="Traspaso A: Conrad Pablo Zlch Parra"/>
    <x v="4"/>
    <m/>
    <x v="0"/>
    <n v="902832"/>
    <m/>
    <n v="-35500"/>
    <m/>
  </r>
  <r>
    <s v="Deposito En Efectivo N° 8860669"/>
    <x v="3"/>
    <m/>
    <x v="0"/>
    <n v="867332"/>
    <n v="19800000"/>
    <m/>
    <s v="B12 claudio Quezada"/>
  </r>
  <r>
    <s v="Dep.cheq.otros Bancos N° 4543970"/>
    <x v="3"/>
    <m/>
    <x v="0"/>
    <n v="20667332"/>
    <n v="84200000"/>
    <m/>
    <s v="B6, B16, A15, A9"/>
  </r>
  <r>
    <s v="Traspaso De: Manzano Ruiz Cristian Osvaldo"/>
    <x v="3"/>
    <m/>
    <x v="0"/>
    <n v="104867332"/>
    <n v="200000"/>
    <m/>
    <s v="Reserva parcela C8"/>
  </r>
  <r>
    <s v="Dep.cheq.otros Bancos N° 4543994"/>
    <x v="3"/>
    <m/>
    <x v="0"/>
    <n v="105067332"/>
    <n v="19800000"/>
    <m/>
    <s v="B13 Carlos San Martin"/>
  </r>
  <r>
    <s v="Traspaso A: Benjamin Lecaros"/>
    <x v="1"/>
    <m/>
    <x v="5"/>
    <n v="124867332"/>
    <m/>
    <n v="-3420000"/>
    <s v="Asesoria venta A9 B12 B13 B16"/>
  </r>
  <r>
    <s v="Traspaso De: Valentina Michelle Aranda Espinoza"/>
    <x v="3"/>
    <s v="A5 - VALENTINA ARANDA"/>
    <x v="0"/>
    <n v="121447332"/>
    <n v="1125465"/>
    <m/>
    <s v="Cuota 1/24"/>
  </r>
  <r>
    <s v="Pago: Inversiones 0965712208"/>
    <x v="7"/>
    <m/>
    <x v="0"/>
    <n v="122572797"/>
    <n v="40028395"/>
    <m/>
    <m/>
  </r>
  <r>
    <s v="Traspaso A: Dominique Hiriart"/>
    <x v="2"/>
    <m/>
    <x v="7"/>
    <n v="162601192"/>
    <m/>
    <n v="-5000000"/>
    <m/>
  </r>
  <r>
    <s v="Traspaso A: Dominique Hiriart"/>
    <x v="2"/>
    <m/>
    <x v="7"/>
    <n v="157601192"/>
    <m/>
    <n v="-5000000"/>
    <m/>
  </r>
  <r>
    <s v="Traspaso A: Dominique Hiriart"/>
    <x v="2"/>
    <m/>
    <x v="7"/>
    <n v="152601192"/>
    <m/>
    <n v="-5000000"/>
    <m/>
  </r>
  <r>
    <s v="Traspaso A: Dominique Hiriart"/>
    <x v="2"/>
    <m/>
    <x v="7"/>
    <n v="147601192"/>
    <m/>
    <n v="-5000000"/>
    <m/>
  </r>
  <r>
    <s v="Traspaso A: Dominique Hiriart"/>
    <x v="2"/>
    <m/>
    <x v="7"/>
    <n v="142601192"/>
    <m/>
    <n v="-5000000"/>
    <m/>
  </r>
  <r>
    <s v="Traspaso A: Dominique Hiriart"/>
    <x v="2"/>
    <m/>
    <x v="7"/>
    <n v="137601192"/>
    <m/>
    <n v="-5000000"/>
    <m/>
  </r>
  <r>
    <s v="Traspaso A: Dominique Hiriart"/>
    <x v="2"/>
    <m/>
    <x v="7"/>
    <n v="132601192"/>
    <m/>
    <n v="-5000000"/>
    <m/>
  </r>
  <r>
    <s v="Traspaso A: Dominique Hiriart"/>
    <x v="2"/>
    <m/>
    <x v="7"/>
    <n v="127601192"/>
    <m/>
    <n v="-5000000"/>
    <m/>
  </r>
  <r>
    <s v="Traspaso A: Dominique Hiriart"/>
    <x v="2"/>
    <m/>
    <x v="7"/>
    <n v="122601192"/>
    <m/>
    <n v="-5000000"/>
    <m/>
  </r>
  <r>
    <s v="Traspaso A: Dominique Hiriart"/>
    <x v="2"/>
    <m/>
    <x v="7"/>
    <n v="117601192"/>
    <m/>
    <n v="-5000000"/>
    <m/>
  </r>
  <r>
    <s v="Traspaso A: Dominique Hiriart"/>
    <x v="2"/>
    <m/>
    <x v="7"/>
    <n v="112601192"/>
    <m/>
    <n v="-5000000"/>
    <m/>
  </r>
  <r>
    <s v="Traspaso A: Dominique Hiriart"/>
    <x v="2"/>
    <m/>
    <x v="7"/>
    <n v="107601192"/>
    <m/>
    <n v="-5000000"/>
    <m/>
  </r>
  <r>
    <s v="Traspaso A: Dominique Hiriart"/>
    <x v="2"/>
    <m/>
    <x v="7"/>
    <n v="102601192"/>
    <m/>
    <n v="-5000000"/>
    <m/>
  </r>
  <r>
    <s v="Traspaso A: Dominique Hiriart"/>
    <x v="2"/>
    <m/>
    <x v="7"/>
    <n v="97601192"/>
    <m/>
    <n v="-5000000"/>
    <m/>
  </r>
  <r>
    <s v="Traspaso A: Dominique Hiriart"/>
    <x v="2"/>
    <m/>
    <x v="7"/>
    <n v="92601192"/>
    <m/>
    <n v="-5000000"/>
    <m/>
  </r>
  <r>
    <s v="Traspaso A: Dominique Hiriart"/>
    <x v="2"/>
    <m/>
    <x v="7"/>
    <n v="87601192"/>
    <m/>
    <n v="-5000000"/>
    <m/>
  </r>
  <r>
    <s v="Traspaso A: Dominique Hiriart"/>
    <x v="2"/>
    <m/>
    <x v="7"/>
    <n v="82601192"/>
    <m/>
    <n v="-5000000"/>
    <m/>
  </r>
  <r>
    <s v="Traspaso A: Dominique Hiriart"/>
    <x v="2"/>
    <m/>
    <x v="7"/>
    <n v="77601192"/>
    <m/>
    <n v="-5000000"/>
    <m/>
  </r>
  <r>
    <s v="Traspaso A: Dominique Hiriart"/>
    <x v="2"/>
    <m/>
    <x v="7"/>
    <n v="72601192"/>
    <m/>
    <n v="-5000000"/>
    <m/>
  </r>
  <r>
    <s v="Traspaso A: Dominique Hiriart"/>
    <x v="2"/>
    <m/>
    <x v="7"/>
    <n v="67601192"/>
    <m/>
    <n v="-5000000"/>
    <m/>
  </r>
  <r>
    <s v="Traspaso A: Dominique Hiriart"/>
    <x v="2"/>
    <m/>
    <x v="7"/>
    <n v="62601192"/>
    <m/>
    <n v="-5000000"/>
    <m/>
  </r>
  <r>
    <s v="Traspaso A: Dominique Hiriart"/>
    <x v="2"/>
    <m/>
    <x v="7"/>
    <n v="57601192"/>
    <m/>
    <n v="-5000000"/>
    <m/>
  </r>
  <r>
    <s v="Traspaso A: Dominique Hiriart"/>
    <x v="2"/>
    <m/>
    <x v="7"/>
    <n v="52601192"/>
    <m/>
    <n v="-5000000"/>
    <m/>
  </r>
  <r>
    <s v="Traspaso A: Dominique Hiriart"/>
    <x v="2"/>
    <m/>
    <x v="7"/>
    <n v="47601192"/>
    <m/>
    <n v="-5000000"/>
    <m/>
  </r>
  <r>
    <s v="Traspaso A: Dominique Hiriart"/>
    <x v="2"/>
    <m/>
    <x v="7"/>
    <n v="42601192"/>
    <m/>
    <n v="-5000000"/>
    <m/>
  </r>
  <r>
    <s v="Traspaso A: Dominique Hiriart"/>
    <x v="2"/>
    <m/>
    <x v="7"/>
    <n v="37601192"/>
    <m/>
    <n v="-5000000"/>
    <m/>
  </r>
  <r>
    <s v="Traspaso A: Dominique Hiriart"/>
    <x v="2"/>
    <m/>
    <x v="7"/>
    <n v="32601192"/>
    <m/>
    <n v="-5000000"/>
    <m/>
  </r>
  <r>
    <s v="Traspaso A: Dominique Hiriart"/>
    <x v="2"/>
    <m/>
    <x v="7"/>
    <n v="27601192"/>
    <m/>
    <n v="-5000000"/>
    <m/>
  </r>
  <r>
    <s v="Traspaso A: Dominique Hiriart"/>
    <x v="2"/>
    <m/>
    <x v="7"/>
    <n v="22601192"/>
    <m/>
    <n v="-5000000"/>
    <m/>
  </r>
  <r>
    <s v="Traspaso A: Dominique Hiriart"/>
    <x v="2"/>
    <m/>
    <x v="7"/>
    <n v="17601192"/>
    <m/>
    <n v="-5000000"/>
    <m/>
  </r>
  <r>
    <s v="Traspaso A: Carlos Ciuffardi"/>
    <x v="1"/>
    <m/>
    <x v="0"/>
    <n v="12601192"/>
    <m/>
    <n v="-1068750"/>
    <s v="Comision venta A15"/>
  </r>
  <r>
    <s v="Traspaso A: La Nube Fotografia Ltda."/>
    <x v="1"/>
    <m/>
    <x v="0"/>
    <n v="11532442"/>
    <m/>
    <n v="-178500"/>
    <s v="actualizacion nube"/>
  </r>
  <r>
    <s v="Traspaso De: Rodolfo Alexis Utreras"/>
    <x v="3"/>
    <s v="B9 - RODOLFO UTRERAS"/>
    <x v="0"/>
    <n v="11353942"/>
    <n v="175000"/>
    <m/>
    <s v="Cuota 1/48"/>
  </r>
  <r>
    <s v="Traspaso A: Geotim Ltda"/>
    <x v="1"/>
    <m/>
    <x v="0"/>
    <n v="11528942"/>
    <m/>
    <n v="-800000"/>
    <s v="Comision venta B6"/>
  </r>
  <r>
    <s v="Traspaso A: Asesorias Ecox Spa"/>
    <x v="1"/>
    <m/>
    <x v="0"/>
    <n v="10728942"/>
    <m/>
    <n v="-4000000"/>
    <m/>
  </r>
  <r>
    <s v="Traspaso A: Asesorias Ecox Spa"/>
    <x v="1"/>
    <m/>
    <x v="0"/>
    <n v="6728942"/>
    <m/>
    <n v="-100000"/>
    <s v="Servicio contable"/>
  </r>
  <r>
    <s v="Impuesto Linea De Credito"/>
    <x v="6"/>
    <m/>
    <x v="0"/>
    <n v="6628942"/>
    <m/>
    <n v="-653"/>
    <m/>
  </r>
  <r>
    <s v="Intereses Linea De Credito"/>
    <x v="6"/>
    <m/>
    <x v="0"/>
    <n v="6628289"/>
    <m/>
    <n v="-473"/>
    <m/>
  </r>
  <r>
    <s v="Traspaso A: Benjamin Lecaros"/>
    <x v="1"/>
    <m/>
    <x v="5"/>
    <n v="6627816"/>
    <m/>
    <n v="-2565000"/>
    <s v="Asesoria venta A5 A10 C15"/>
  </r>
  <r>
    <s v="Traspaso A: Hector Varela"/>
    <x v="1"/>
    <m/>
    <x v="0"/>
    <n v="4062816"/>
    <m/>
    <n v="-141152"/>
    <s v="Reembolsa gastos bencina"/>
  </r>
  <r>
    <s v="Traspaso A: Conrad Pablo Zlch Parra"/>
    <x v="4"/>
    <m/>
    <x v="0"/>
    <n v="3921664"/>
    <m/>
    <n v="-155500"/>
    <m/>
  </r>
  <r>
    <s v="Traspaso A: Andres Rieutord"/>
    <x v="4"/>
    <m/>
    <x v="0"/>
    <n v="3766164"/>
    <m/>
    <n v="-60000"/>
    <m/>
  </r>
  <r>
    <s v="Traspaso A: Pamela Ruiz"/>
    <x v="3"/>
    <m/>
    <x v="0"/>
    <n v="3706164"/>
    <m/>
    <n v="-200000"/>
    <s v="Reembolso reserva C7"/>
  </r>
  <r>
    <s v="Pago Automatico Tarjeta De Credito"/>
    <x v="1"/>
    <m/>
    <x v="0"/>
    <n v="3506164"/>
    <m/>
    <n v="-1334208"/>
    <m/>
  </r>
  <r>
    <s v="Traspaso De: Carlos Alberto Cespedes Lopez"/>
    <x v="3"/>
    <m/>
    <x v="0"/>
    <n v="2171956"/>
    <n v="6600000"/>
    <m/>
    <m/>
  </r>
  <r>
    <s v="Recaudacion Y Pagos De Servicios *"/>
    <x v="7"/>
    <m/>
    <x v="0"/>
    <n v="8771956"/>
    <m/>
    <n v="-7500000"/>
    <m/>
  </r>
  <r>
    <s v="Traspaso A: Jorge Ignacio Troncoso Vidal"/>
    <x v="1"/>
    <m/>
    <x v="0"/>
    <n v="1271956"/>
    <m/>
    <n v="-50000"/>
    <s v="Firma en valdivia"/>
  </r>
  <r>
    <s v="Pago En Sii.cl*"/>
    <x v="5"/>
    <m/>
    <x v="0"/>
    <n v="1221956"/>
    <m/>
    <n v="-1232157"/>
    <m/>
  </r>
  <r>
    <s v="Transferencia Desde Linea De Credito"/>
    <x v="6"/>
    <m/>
    <x v="0"/>
    <n v="-10201"/>
    <n v="10201"/>
    <m/>
    <m/>
  </r>
  <r>
    <s v="Traspaso De: Molina Saavedra Alberto Ricardo"/>
    <x v="3"/>
    <m/>
    <x v="0"/>
    <n v="0"/>
    <n v="200000"/>
    <m/>
    <s v="Reserva B-11"/>
  </r>
  <r>
    <s v="Pago Linea De Cred: 018870277108"/>
    <x v="6"/>
    <m/>
    <x v="0"/>
    <n v="200000"/>
    <m/>
    <n v="-10201"/>
    <m/>
  </r>
  <r>
    <s v="Traspaso A: Jorge Ignacio Troncoso Vidal"/>
    <x v="1"/>
    <m/>
    <x v="0"/>
    <n v="189799"/>
    <m/>
    <n v="-50000"/>
    <s v="Firma en valdivia"/>
  </r>
  <r>
    <s v="Traspaso De: Ximena Paz Ormazabal Canelo"/>
    <x v="3"/>
    <m/>
    <x v="0"/>
    <n v="139799"/>
    <n v="200000"/>
    <m/>
    <s v="Reserva C-14"/>
  </r>
  <r>
    <s v="Traspaso A: Rodrigo Rojas Castillo"/>
    <x v="4"/>
    <m/>
    <x v="0"/>
    <n v="339799"/>
    <m/>
    <n v="-133500"/>
    <s v="notaria San pedro de la paz"/>
  </r>
  <r>
    <s v="Traspaso De: Distribuidora El Turco Limitada"/>
    <x v="3"/>
    <m/>
    <x v="0"/>
    <n v="206299"/>
    <n v="7000000"/>
    <m/>
    <s v="Pago 1 de 4 Pie 4 lotes"/>
  </r>
  <r>
    <s v="Traspaso De: Distribuidora El Turco Limitada"/>
    <x v="3"/>
    <m/>
    <x v="0"/>
    <n v="7206299"/>
    <n v="3000000"/>
    <m/>
    <s v="Pago 2 de 4 Pie 4 lotes"/>
  </r>
  <r>
    <s v="Traspaso A: Jorge Ignacio Troncoso Vidal"/>
    <x v="1"/>
    <m/>
    <x v="0"/>
    <n v="10206299"/>
    <m/>
    <n v="-50000"/>
    <s v="Firma en Osorno"/>
  </r>
  <r>
    <s v="Traspaso A: Jorge Ignacio Troncoso Vidal"/>
    <x v="1"/>
    <m/>
    <x v="0"/>
    <n v="10156299"/>
    <m/>
    <n v="-47000"/>
    <s v="Reembolsa gastos a Osorno"/>
  </r>
  <r>
    <s v="Traspaso De: Miguel Bernales Bernales"/>
    <x v="3"/>
    <m/>
    <x v="0"/>
    <n v="10109299"/>
    <n v="200000"/>
    <m/>
    <s v="Reserva C-1"/>
  </r>
  <r>
    <s v="Traspaso De: Evelyn Paola Galarce Gonzalez"/>
    <x v="3"/>
    <m/>
    <x v="0"/>
    <n v="10309299"/>
    <n v="200000"/>
    <m/>
    <s v="Reserva C-4"/>
  </r>
  <r>
    <s v="Recaudacion Y Pagos De Servicios *"/>
    <x v="7"/>
    <m/>
    <x v="0"/>
    <n v="10509299"/>
    <m/>
    <n v="-10000000"/>
    <m/>
  </r>
  <r>
    <s v="Traspaso De: Rodolfo Andres Ramirez Ortiz"/>
    <x v="3"/>
    <s v="C11 - RODOLFO RAMÍREZ"/>
    <x v="0"/>
    <n v="509299"/>
    <n v="4800000"/>
    <m/>
    <s v="Pie parcela C-11"/>
  </r>
  <r>
    <s v="Traspaso A: Felipe Hiriart"/>
    <x v="1"/>
    <m/>
    <x v="0"/>
    <n v="5309299"/>
    <m/>
    <n v="-149376"/>
    <s v="Rendición pasaje Lan a Osorno"/>
  </r>
  <r>
    <s v="Traspaso A: Felipe Hiriart"/>
    <x v="1"/>
    <m/>
    <x v="0"/>
    <n v="5159923"/>
    <m/>
    <n v="-133816"/>
    <s v="Rendición pasaje Lan a Stgo"/>
  </r>
  <r>
    <s v="Traspaso A: Felipe Hiriart"/>
    <x v="1"/>
    <m/>
    <x v="0"/>
    <n v="5026107"/>
    <m/>
    <n v="-152656"/>
    <s v="Arriendo auto Osorno"/>
  </r>
  <r>
    <s v="Traspaso De: Miguel Angel Cortes Grego"/>
    <x v="3"/>
    <m/>
    <x v="0"/>
    <n v="4873451"/>
    <n v="200000"/>
    <m/>
    <s v="Reserva C-13"/>
  </r>
  <r>
    <s v="Traspaso De: Bernales Vergara Miguel Eduardo"/>
    <x v="3"/>
    <m/>
    <x v="0"/>
    <n v="5073451"/>
    <n v="21800000"/>
    <m/>
    <s v="Pago parcela C-1"/>
  </r>
  <r>
    <s v="Recaudacion Y Pagos De Servicios *"/>
    <x v="7"/>
    <m/>
    <x v="0"/>
    <n v="26873451"/>
    <m/>
    <n v="-25000000"/>
    <m/>
  </r>
  <r>
    <s v="Traspaso De: Moncada Sandoval Pedro Simon"/>
    <x v="3"/>
    <m/>
    <x v="0"/>
    <n v="1873451"/>
    <n v="300000"/>
    <m/>
    <s v="Pie parcela C8"/>
  </r>
  <r>
    <s v="Traspaso A: Brayans Stegmayer"/>
    <x v="1"/>
    <m/>
    <x v="0"/>
    <n v="2173451"/>
    <m/>
    <n v="-500000"/>
    <m/>
  </r>
  <r>
    <s v="Traspaso A: Felipe Hiriart"/>
    <x v="1"/>
    <m/>
    <x v="0"/>
    <n v="1673451"/>
    <m/>
    <n v="-590166"/>
    <s v="gastos viaje"/>
  </r>
  <r>
    <s v="Traspaso A: Pedro Lecaros"/>
    <x v="1"/>
    <m/>
    <x v="0"/>
    <n v="1083285"/>
    <m/>
    <n v="-50990"/>
    <s v="viaje"/>
  </r>
  <r>
    <s v="Traspaso De: Moncada Sandoval Pedro Simon"/>
    <x v="3"/>
    <m/>
    <x v="0"/>
    <n v="1032295"/>
    <n v="4500000"/>
    <m/>
    <s v="Pie parcela C8"/>
  </r>
  <r>
    <s v="Traspaso A: Carlos Ciuffardi"/>
    <x v="1"/>
    <m/>
    <x v="0"/>
    <n v="5532295"/>
    <m/>
    <n v="-940500"/>
    <s v="Comision B-5"/>
  </r>
  <r>
    <s v="Traspaso A: Jorge Ignacio Troncoso Vidal"/>
    <x v="1"/>
    <m/>
    <x v="0"/>
    <n v="4591795"/>
    <m/>
    <n v="-50000"/>
    <s v="Firma en Valdivia"/>
  </r>
  <r>
    <s v="Traspaso De: Rodolfo Andres Ramirez Ortiz"/>
    <x v="1"/>
    <s v="C11 - RODOLFO RAMÍREZ"/>
    <x v="0"/>
    <n v="4541795"/>
    <n v="313500"/>
    <m/>
    <s v="Transfiere para pago CBR"/>
  </r>
  <r>
    <s v="Traspaso De: Rodolfo Andres Ramirez Ortiz"/>
    <x v="1"/>
    <s v="C11 - RODOLFO RAMÍREZ"/>
    <x v="0"/>
    <n v="4855295"/>
    <n v="1000"/>
    <m/>
    <m/>
  </r>
  <r>
    <s v="Traspaso A: Felipe Hiriart"/>
    <x v="1"/>
    <m/>
    <x v="0"/>
    <n v="4856295"/>
    <m/>
    <n v="-499026"/>
    <s v="Rendicion 3 viaje a Osorno 29 mayo 25"/>
  </r>
  <r>
    <s v="Traspaso A: Conrad Pablo Zlch Parra"/>
    <x v="1"/>
    <m/>
    <x v="0"/>
    <n v="4357269"/>
    <m/>
    <n v="-313500"/>
    <s v="Pago inscripcion lote C11"/>
  </r>
  <r>
    <s v="Dep.cheq.otros Bancos N° 3456941"/>
    <x v="3"/>
    <m/>
    <x v="0"/>
    <n v="4043769"/>
    <n v="21300000"/>
    <m/>
    <s v="B5"/>
  </r>
  <r>
    <s v="Traspaso De: Maria Salome Ramos"/>
    <x v="3"/>
    <m/>
    <x v="0"/>
    <n v="25343769"/>
    <n v="200000"/>
    <m/>
    <s v="Reserva C7"/>
  </r>
  <r>
    <s v="Traspaso De: Valentina Michelle Aranda Espinoza"/>
    <x v="3"/>
    <s v="A5 - VALENTINA ARANDA"/>
    <x v="0"/>
    <n v="25543769"/>
    <n v="1125465"/>
    <m/>
    <s v="Cuota 2/24"/>
  </r>
  <r>
    <s v="Traspaso A: Asesorias Ecox Spa"/>
    <x v="1"/>
    <m/>
    <x v="0"/>
    <n v="26669234"/>
    <m/>
    <n v="-100000"/>
    <s v="Servicio contable"/>
  </r>
  <r>
    <s v="Traspaso A: Asesorias Ecox Spa"/>
    <x v="1"/>
    <m/>
    <x v="0"/>
    <n v="26569234"/>
    <m/>
    <n v="-4000000"/>
    <m/>
  </r>
  <r>
    <s v="Traspaso De: Molina Saavedra Alberto Ricardo"/>
    <x v="3"/>
    <m/>
    <x v="0"/>
    <n v="22569234"/>
    <n v="4500000"/>
    <m/>
    <s v="Pago 1 de 5 parcela B11"/>
  </r>
  <r>
    <s v="Traspaso A: Sindy Danaee Sandoval Vega"/>
    <x v="1"/>
    <m/>
    <x v="0"/>
    <n v="27069234"/>
    <m/>
    <n v="-752400"/>
    <s v="Comision venta C1"/>
  </r>
  <r>
    <s v="Traspaso A: Geotim Ltda"/>
    <x v="1"/>
    <m/>
    <x v="0"/>
    <n v="26316834"/>
    <m/>
    <n v="-3234800"/>
    <s v="Caminos"/>
  </r>
  <r>
    <s v="Traspaso A: Geotim Ltda"/>
    <x v="1"/>
    <m/>
    <x v="0"/>
    <n v="23082034"/>
    <m/>
    <n v="-1406580"/>
    <s v="Estacas replanteo"/>
  </r>
  <r>
    <s v="Traspaso A: Geotim Ltda"/>
    <x v="1"/>
    <m/>
    <x v="0"/>
    <n v="21675454"/>
    <m/>
    <n v="-5000000"/>
    <s v="Caminos"/>
  </r>
  <r>
    <s v="Traspaso A: Brayans Stegmayer"/>
    <x v="1"/>
    <m/>
    <x v="0"/>
    <n v="16675454"/>
    <m/>
    <n v="-500000"/>
    <m/>
  </r>
  <r>
    <s v="Traspaso De: Molina Saavedra Alberto Ricardo"/>
    <x v="3"/>
    <m/>
    <x v="0"/>
    <n v="16175454"/>
    <n v="4500000"/>
    <m/>
    <s v="Pago 2 de 5 parcela B11"/>
  </r>
  <r>
    <s v="Traspaso A: Carlos Ciuffardi"/>
    <x v="1"/>
    <m/>
    <x v="0"/>
    <n v="20675454"/>
    <m/>
    <n v="-919125"/>
    <s v="Comision A3"/>
  </r>
  <r>
    <s v="Traspaso A: Benjamin Lecaros"/>
    <x v="1"/>
    <m/>
    <x v="5"/>
    <n v="19756329"/>
    <m/>
    <n v="-855000"/>
    <m/>
  </r>
  <r>
    <s v="Impuesto Linea De Credito"/>
    <x v="6"/>
    <m/>
    <x v="0"/>
    <n v="18901329"/>
    <m/>
    <n v="-7"/>
    <m/>
  </r>
  <r>
    <s v="Intereses Linea De Credito"/>
    <x v="6"/>
    <m/>
    <x v="0"/>
    <n v="18901322"/>
    <m/>
    <n v="-5"/>
    <m/>
  </r>
  <r>
    <s v="Traspaso A: Hector Varela"/>
    <x v="1"/>
    <m/>
    <x v="0"/>
    <n v="18901317"/>
    <m/>
    <n v="-216140"/>
    <s v="Reembolsa gastos"/>
  </r>
  <r>
    <s v="Recaudacion Y Pagos De Servicios *"/>
    <x v="7"/>
    <m/>
    <x v="0"/>
    <n v="18685177"/>
    <m/>
    <n v="-18000000"/>
    <m/>
  </r>
  <r>
    <s v="Traspaso De: Rodolfo Alexis Utreras"/>
    <x v="3"/>
    <s v="B9 - RODOLFO UTRERAS"/>
    <x v="0"/>
    <n v="685177"/>
    <n v="375000"/>
    <m/>
    <s v="Cuota 2/48"/>
  </r>
  <r>
    <s v="Deposito En Efectivo N° 8024900"/>
    <x v="3"/>
    <m/>
    <x v="0"/>
    <n v="1060177"/>
    <n v="20000000"/>
    <m/>
    <s v="B15"/>
  </r>
  <r>
    <s v="Traspaso A: Maria Martinez"/>
    <x v="3"/>
    <m/>
    <x v="0"/>
    <n v="21060177"/>
    <m/>
    <n v="-44500"/>
    <s v="Reembolsa saldo a favor parcela B-15"/>
  </r>
  <r>
    <s v="Dep.cheq.otros Bancos N° 8024899"/>
    <x v="3"/>
    <m/>
    <x v="0"/>
    <n v="21015677"/>
    <n v="41100000"/>
    <m/>
    <s v="B3 y B14"/>
  </r>
  <r>
    <s v="Dep.cheq.otros Bancos N° 6576926"/>
    <x v="3"/>
    <m/>
    <x v="0"/>
    <n v="62115677"/>
    <n v="21800000"/>
    <m/>
    <s v="A3"/>
  </r>
  <r>
    <s v="Traspaso A: Denis Marcelo Bustos Fuentealba"/>
    <x v="1"/>
    <m/>
    <x v="0"/>
    <n v="83915677"/>
    <m/>
    <n v="-75000"/>
    <s v="Firma Temuco"/>
  </r>
  <r>
    <s v="Traspaso De: Molina Saavedra Alberto Ricardo"/>
    <x v="3"/>
    <m/>
    <x v="0"/>
    <n v="83840677"/>
    <n v="4500000"/>
    <m/>
    <s v="Pago 3 de 5 parcela B11"/>
  </r>
  <r>
    <s v="Pago: Inversiones 0965712208"/>
    <x v="7"/>
    <m/>
    <x v="0"/>
    <n v="88340677"/>
    <n v="18000000"/>
    <m/>
    <m/>
  </r>
  <r>
    <s v="Pago: Inversiones 0965712208"/>
    <x v="7"/>
    <m/>
    <x v="0"/>
    <n v="106340677"/>
    <n v="23000001"/>
    <m/>
    <m/>
  </r>
  <r>
    <s v="Traspaso De: Cifuentes Ortiz Natalia Andrea"/>
    <x v="1"/>
    <m/>
    <x v="0"/>
    <n v="129340678"/>
    <n v="155500"/>
    <m/>
    <s v="Deposita para pagar a CBR Paillaco"/>
  </r>
  <r>
    <s v="Traspaso De: Molina Saavedra Alberto Ricardo"/>
    <x v="3"/>
    <m/>
    <x v="0"/>
    <n v="129496178"/>
    <n v="4500000"/>
    <m/>
    <m/>
  </r>
  <r>
    <s v="Traspaso A: Maria Paz Amenabar"/>
    <x v="1"/>
    <m/>
    <x v="0"/>
    <n v="133996178"/>
    <m/>
    <n v="-200000"/>
    <m/>
  </r>
  <r>
    <s v="Traspaso A: Conrad Pablo Zlch Parra"/>
    <x v="1"/>
    <m/>
    <x v="0"/>
    <n v="133796178"/>
    <m/>
    <n v="-155500"/>
    <s v="Pago inscripcion lote C12"/>
  </r>
  <r>
    <s v="Traspaso A: Andres Rieutord"/>
    <x v="3"/>
    <m/>
    <x v="0"/>
    <n v="133640678"/>
    <m/>
    <n v="-160000"/>
    <s v="Usa monto de saldo a favor de parcela C-13 para pago notaría"/>
  </r>
  <r>
    <s v="Traspaso A: Miguel Cortes"/>
    <x v="3"/>
    <m/>
    <x v="0"/>
    <n v="133480678"/>
    <m/>
    <n v="-40000"/>
    <s v="Reembolsa saldo a favor parcela C-13"/>
  </r>
  <r>
    <s v="Traspaso De: Lisssette Patricia Riquelme Martinez"/>
    <x v="3"/>
    <s v="B7 - LISSETTE RIQUELME"/>
    <x v="0"/>
    <n v="133440678"/>
    <n v="844174"/>
    <m/>
    <m/>
  </r>
  <r>
    <s v="Traspaso De: Molina Saavedra Alberto Ricardo"/>
    <x v="3"/>
    <m/>
    <x v="0"/>
    <n v="134284852"/>
    <n v="1800000"/>
    <m/>
    <m/>
  </r>
  <r>
    <s v="Traspaso A: Dominique Hiriart"/>
    <x v="2"/>
    <m/>
    <x v="7"/>
    <n v="136084852"/>
    <m/>
    <n v="-118348443"/>
    <s v="Paga deuda"/>
  </r>
  <r>
    <s v="Traspaso De: Juan Esteban Sanchez Bascur"/>
    <x v="3"/>
    <m/>
    <x v="0"/>
    <n v="17736409"/>
    <n v="4800000"/>
    <m/>
    <s v="Pie parcela C9"/>
  </r>
  <r>
    <s v="Traspaso A: Benjamin Lecaros"/>
    <x v="1"/>
    <m/>
    <x v="5"/>
    <n v="22536409"/>
    <m/>
    <n v="-2565000"/>
    <m/>
  </r>
  <r>
    <s v="Traspaso A: Carlos Ciuffardi"/>
    <x v="1"/>
    <m/>
    <x v="0"/>
    <n v="19971409"/>
    <m/>
    <n v="-1859625"/>
    <m/>
  </r>
  <r>
    <s v="Traspaso A: Martin Gouet"/>
    <x v="1"/>
    <m/>
    <x v="0"/>
    <n v="18111784"/>
    <m/>
    <n v="-50000"/>
    <s v="Firma de Puerto Montt"/>
  </r>
  <r>
    <s v="Recaudacion Y Pagos De Servicios *"/>
    <x v="7"/>
    <m/>
    <x v="0"/>
    <n v="18061784"/>
    <m/>
    <n v="-16000000"/>
    <m/>
  </r>
  <r>
    <s v="Pago Automatico Tarjeta De Credito"/>
    <x v="1"/>
    <m/>
    <x v="0"/>
    <n v="2061784"/>
    <m/>
    <n v="-498867"/>
    <m/>
  </r>
  <r>
    <s v="Traspaso A: Juan Nicolas Espinoza"/>
    <x v="1"/>
    <m/>
    <x v="0"/>
    <n v="1562917"/>
    <m/>
    <n v="-100035"/>
    <s v="Firma + retiro VV en Los Angeles"/>
  </r>
  <r>
    <s v="Pago: Inversiones 0965712208"/>
    <x v="7"/>
    <m/>
    <x v="0"/>
    <n v="1462882"/>
    <n v="16000000"/>
    <m/>
    <m/>
  </r>
  <r>
    <s v="Pago: Inversiones 0965712208"/>
    <x v="7"/>
    <m/>
    <x v="0"/>
    <n v="17462882"/>
    <n v="19569256"/>
    <m/>
    <m/>
  </r>
  <r>
    <s v="Pago En Sii.cl*"/>
    <x v="5"/>
    <m/>
    <x v="0"/>
    <n v="37032138"/>
    <m/>
    <n v="-894739"/>
    <s v="F29"/>
  </r>
  <r>
    <s v="Dep.cheq.otros Bancos N° 8025625"/>
    <x v="3"/>
    <m/>
    <x v="0"/>
    <n v="36137399"/>
    <n v="19800000"/>
    <m/>
    <s v="B8"/>
  </r>
  <r>
    <s v="Pago En Tesoreria.cl*"/>
    <x v="5"/>
    <m/>
    <x v="0"/>
    <n v="55937399"/>
    <m/>
    <n v="-351268"/>
    <s v="Contribuciones  "/>
  </r>
  <r>
    <s v="Traspaso De: Juan Gonzalo Arias"/>
    <x v="3"/>
    <m/>
    <x v="0"/>
    <n v="55586131"/>
    <n v="300000"/>
    <m/>
    <s v="Reserva A4 + D11"/>
  </r>
  <r>
    <s v="Traspaso A: Felipe Hiriart"/>
    <x v="2"/>
    <m/>
    <x v="6"/>
    <n v="55886131"/>
    <m/>
    <n v="-5000000"/>
    <m/>
  </r>
  <r>
    <s v="Traspaso A: Felipe Hiriart"/>
    <x v="2"/>
    <m/>
    <x v="6"/>
    <n v="50886131"/>
    <m/>
    <n v="-3751403"/>
    <m/>
  </r>
  <r>
    <s v="Traspaso A: Felipe Hiriart"/>
    <x v="2"/>
    <m/>
    <x v="6"/>
    <n v="47134728"/>
    <m/>
    <n v="-5000000"/>
    <m/>
  </r>
  <r>
    <s v="Traspaso A: Felipe Hiriart"/>
    <x v="2"/>
    <m/>
    <x v="6"/>
    <n v="42134728"/>
    <m/>
    <n v="-5000000"/>
    <m/>
  </r>
  <r>
    <s v="Traspaso A: Felipe Hiriart"/>
    <x v="2"/>
    <m/>
    <x v="6"/>
    <n v="37134728"/>
    <m/>
    <n v="-5000000"/>
    <m/>
  </r>
  <r>
    <s v="Traspaso A: Felipe Hiriart"/>
    <x v="2"/>
    <m/>
    <x v="6"/>
    <n v="32134728"/>
    <m/>
    <n v="-5000000"/>
    <m/>
  </r>
  <r>
    <s v="Traspaso A: Felipe Hiriart"/>
    <x v="2"/>
    <m/>
    <x v="6"/>
    <n v="27134728"/>
    <m/>
    <n v="-5000000"/>
    <m/>
  </r>
  <r>
    <s v="Traspaso A: Felipe Hiriart"/>
    <x v="2"/>
    <m/>
    <x v="6"/>
    <n v="22134728"/>
    <m/>
    <n v="-5000000"/>
    <m/>
  </r>
  <r>
    <s v="Traspaso A: Felipe Hiriart"/>
    <x v="2"/>
    <m/>
    <x v="6"/>
    <n v="17134728"/>
    <m/>
    <n v="-5000000"/>
    <m/>
  </r>
  <r>
    <s v="Recaudacion Y Pagos De Servicios *"/>
    <x v="7"/>
    <m/>
    <x v="0"/>
    <n v="12134728"/>
    <m/>
    <n v="-11000000"/>
    <m/>
  </r>
  <r>
    <s v="Traspaso De: Juan Gonzalo Arias"/>
    <x v="3"/>
    <m/>
    <x v="0"/>
    <n v="1134728"/>
    <n v="100000"/>
    <m/>
    <s v="Reserva A4 + D11"/>
  </r>
  <r>
    <s v="Dep.cheq.otros Bancos N° 4542919"/>
    <x v="3"/>
    <m/>
    <x v="0"/>
    <n v="1234728"/>
    <n v="19800000"/>
    <m/>
    <s v="C17"/>
  </r>
  <r>
    <s v="Traspaso De: Juan Gonzalo Arias"/>
    <x v="3"/>
    <m/>
    <x v="0"/>
    <n v="21034728"/>
    <n v="5000000"/>
    <m/>
    <s v="A4 + D11"/>
  </r>
  <r>
    <s v="Traspaso De: Juan Gonzalo Arias"/>
    <x v="3"/>
    <m/>
    <x v="0"/>
    <n v="26034728"/>
    <n v="5000000"/>
    <m/>
    <s v="A4 + D11"/>
  </r>
  <r>
    <s v="Traspaso A: Benjamin Lecaros"/>
    <x v="1"/>
    <m/>
    <x v="5"/>
    <n v="31034728"/>
    <m/>
    <n v="-855000"/>
    <m/>
  </r>
  <r>
    <s v="Recaudacion Y Pagos De Servicios *"/>
    <x v="7"/>
    <m/>
    <x v="0"/>
    <n v="30179728"/>
    <m/>
    <n v="-29000000"/>
    <m/>
  </r>
  <r>
    <s v="Traspaso De: Juan Gonzalo Arias"/>
    <x v="3"/>
    <m/>
    <x v="0"/>
    <n v="1179728"/>
    <n v="5000000"/>
    <m/>
    <s v="A4 + D11"/>
  </r>
  <r>
    <s v="Traspaso De: Juan Gonzalo Arias"/>
    <x v="3"/>
    <m/>
    <x v="0"/>
    <n v="6179728"/>
    <n v="5000000"/>
    <m/>
    <s v="A4 + D11"/>
  </r>
  <r>
    <s v="Recaudacion Y Pagos De Servicios *"/>
    <x v="7"/>
    <m/>
    <x v="0"/>
    <n v="11179728"/>
    <m/>
    <n v="-9000000"/>
    <m/>
  </r>
  <r>
    <s v="Traspaso A: Benjamin Lecaros"/>
    <x v="1"/>
    <m/>
    <x v="5"/>
    <n v="2179728"/>
    <m/>
    <n v="-855000"/>
    <s v="Asesoria Venta B8"/>
  </r>
  <r>
    <s v="Traspaso A: Andres Rieutord"/>
    <x v="4"/>
    <m/>
    <x v="0"/>
    <n v="1324728"/>
    <m/>
    <n v="-60000"/>
    <s v="Promesa C9"/>
  </r>
  <r>
    <s v="Traspaso A: Andres Rieutord"/>
    <x v="4"/>
    <m/>
    <x v="0"/>
    <n v="1264728"/>
    <m/>
    <n v="-120000"/>
    <s v="Escritura B11"/>
  </r>
  <r>
    <s v="Traspaso A: Andres Rieutord"/>
    <x v="4"/>
    <m/>
    <x v="0"/>
    <n v="1144728"/>
    <m/>
    <n v="-35000"/>
    <m/>
  </r>
  <r>
    <s v="Traspaso De: Juan Gonzalo Arias"/>
    <x v="3"/>
    <m/>
    <x v="0"/>
    <n v="1109728"/>
    <n v="5000000"/>
    <m/>
    <s v="A4 + D11"/>
  </r>
  <r>
    <s v="Traspaso De: Juan Gonzalo Arias"/>
    <x v="3"/>
    <m/>
    <x v="0"/>
    <n v="6109728"/>
    <n v="5000000"/>
    <m/>
    <s v="A4 + D11"/>
  </r>
  <r>
    <s v="Recaudacion Y Pagos De Servicios *"/>
    <x v="7"/>
    <m/>
    <x v="0"/>
    <n v="11109728"/>
    <m/>
    <n v="-10000000"/>
    <m/>
  </r>
  <r>
    <s v="Traspaso A: Conrad Pablo Zlch Parra"/>
    <x v="4"/>
    <m/>
    <x v="0"/>
    <n v="1109728"/>
    <m/>
    <n v="-155500"/>
    <s v="Inscripcion B11"/>
  </r>
  <r>
    <s v="Deposito En Efectivo N° 6443695"/>
    <x v="3"/>
    <m/>
    <x v="0"/>
    <n v="954228"/>
    <n v="21800000"/>
    <m/>
    <s v="B4"/>
  </r>
  <r>
    <s v="Recaudacion Y Pagos De Servicios *"/>
    <x v="7"/>
    <m/>
    <x v="0"/>
    <n v="22754228"/>
    <m/>
    <n v="-20000000"/>
    <m/>
  </r>
  <r>
    <s v="Traspaso A: Jorge Ignacio Troncoso Vidal"/>
    <x v="1"/>
    <m/>
    <x v="0"/>
    <n v="2754228"/>
    <m/>
    <n v="-50000"/>
    <m/>
  </r>
  <r>
    <s v="Dep.cheq.otros Bancos N° 6443696"/>
    <x v="3"/>
    <m/>
    <x v="0"/>
    <n v="2704228"/>
    <n v="21800000"/>
    <m/>
    <s v="A2"/>
  </r>
  <r>
    <s v="Traspaso A: Pedro Lecaros"/>
    <x v="1"/>
    <m/>
    <x v="0"/>
    <n v="24504228"/>
    <m/>
    <n v="-20000"/>
    <m/>
  </r>
  <r>
    <s v="Traspaso A: Benjamin Lecaros"/>
    <x v="1"/>
    <m/>
    <x v="5"/>
    <n v="24484228"/>
    <m/>
    <n v="-1710000"/>
    <m/>
  </r>
  <r>
    <s v="Traspaso A: Benjamin Lecaros"/>
    <x v="1"/>
    <m/>
    <x v="5"/>
    <n v="22774228"/>
    <m/>
    <n v="-855000"/>
    <m/>
  </r>
  <r>
    <s v="Dep.cheq.otros Bancos N° 3445795"/>
    <x v="3"/>
    <m/>
    <x v="0"/>
    <n v="21919228"/>
    <n v="19800000"/>
    <m/>
    <s v="C16"/>
  </r>
  <r>
    <s v="Recaudacion Y Pagos De Servicios *"/>
    <x v="7"/>
    <m/>
    <x v="0"/>
    <n v="41719228"/>
    <m/>
    <n v="-21000000"/>
    <m/>
  </r>
  <r>
    <s v="Traspaso De: Juan Gonzalo Arias"/>
    <x v="3"/>
    <m/>
    <x v="0"/>
    <n v="20719228"/>
    <n v="5000000"/>
    <m/>
    <s v="A4 + D11"/>
  </r>
  <r>
    <s v="Recaudacion Y Pagos De Servicios *"/>
    <x v="7"/>
    <m/>
    <x v="0"/>
    <n v="25719228"/>
    <m/>
    <n v="-5000000"/>
    <m/>
  </r>
  <r>
    <s v="Traspaso A: Denis Marcelo Bustos Fuentealba"/>
    <x v="1"/>
    <m/>
    <x v="0"/>
    <n v="20719228"/>
    <m/>
    <n v="-75000"/>
    <m/>
  </r>
  <r>
    <s v="Traspaso A: Benjamin Lecaros"/>
    <x v="1"/>
    <m/>
    <x v="5"/>
    <n v="20644228"/>
    <m/>
    <n v="-1710000"/>
    <m/>
  </r>
  <r>
    <s v="Recaudacion Y Pagos De Servicios *"/>
    <x v="7"/>
    <m/>
    <x v="0"/>
    <n v="18934228"/>
    <m/>
    <n v="-18000000"/>
    <m/>
  </r>
  <r>
    <s v="Dep.cheq.otros Bancos N° 2296642"/>
    <x v="3"/>
    <m/>
    <x v="0"/>
    <n v="934228"/>
    <n v="19800000"/>
    <m/>
    <s v="C12"/>
  </r>
  <r>
    <s v="Recaudacion Y Pagos De Servicios *"/>
    <x v="7"/>
    <m/>
    <x v="0"/>
    <n v="20734228"/>
    <m/>
    <n v="-20000000"/>
    <m/>
  </r>
  <r>
    <s v="Traspaso De: Juan Gonzalo Arias"/>
    <x v="3"/>
    <m/>
    <x v="0"/>
    <n v="734228"/>
    <n v="5000000"/>
    <m/>
    <m/>
  </r>
  <r>
    <s v="Recaudacion Y Pagos De Servicios *"/>
    <x v="7"/>
    <m/>
    <x v="0"/>
    <n v="5734228"/>
    <m/>
    <n v="-5000000"/>
    <m/>
  </r>
  <r>
    <s v="Dep.cheq.otros Bancos N° 3081647"/>
    <x v="3"/>
    <m/>
    <x v="0"/>
    <n v="734228"/>
    <n v="21800000"/>
    <m/>
    <s v="A1"/>
  </r>
  <r>
    <s v="Traspaso De: Teresa Andrea Sanhueza"/>
    <x v="3"/>
    <m/>
    <x v="0"/>
    <n v="22534228"/>
    <n v="250000"/>
    <m/>
    <s v="Reserva C6"/>
  </r>
  <r>
    <s v="Traspaso De: Doris Del Pilar Silva"/>
    <x v="3"/>
    <m/>
    <x v="0"/>
    <n v="22784228"/>
    <n v="200000"/>
    <m/>
    <s v="Reserva C2"/>
  </r>
  <r>
    <s v="Recaudacion Y Pagos De Servicios *"/>
    <x v="7"/>
    <m/>
    <x v="0"/>
    <n v="22984228"/>
    <m/>
    <n v="-15600000"/>
    <m/>
  </r>
  <r>
    <s v="Traspaso A: Benjamin Lecaros"/>
    <x v="1"/>
    <m/>
    <x v="5"/>
    <n v="7384228"/>
    <m/>
    <n v="-855000"/>
    <m/>
  </r>
  <r>
    <s v="Traspaso A: Felipe Hiriart"/>
    <x v="1"/>
    <m/>
    <x v="0"/>
    <n v="6529228"/>
    <m/>
    <n v="-1334539"/>
    <s v="Rendicion 4"/>
  </r>
  <r>
    <s v="Traspaso A: Jorge Ignacio Troncoso Vidal"/>
    <x v="1"/>
    <m/>
    <x v="0"/>
    <n v="5194689"/>
    <m/>
    <n v="-37000"/>
    <s v="Rendicion 5, viaje a Osorno"/>
  </r>
  <r>
    <s v="Traspaso A: Jorge Ignacio Troncoso Vidal"/>
    <x v="1"/>
    <m/>
    <x v="0"/>
    <n v="5157689"/>
    <m/>
    <n v="-50000"/>
    <s v="Retiro VV Osorno"/>
  </r>
  <r>
    <s v="Deposito En Efectivo N° 6443688"/>
    <x v="3"/>
    <m/>
    <x v="0"/>
    <n v="5107689"/>
    <n v="4800000"/>
    <m/>
    <s v="Pago pie A14"/>
  </r>
  <r>
    <s v="Recaudacion Y Pagos De Servicios *"/>
    <x v="7"/>
    <m/>
    <x v="0"/>
    <n v="9907689"/>
    <m/>
    <n v="-4000000"/>
    <m/>
  </r>
  <r>
    <s v="Traspaso A: Jorge Ignacio Troncoso Vidal"/>
    <x v="1"/>
    <m/>
    <x v="0"/>
    <n v="5907689"/>
    <m/>
    <n v="-50000"/>
    <m/>
  </r>
  <r>
    <s v="Traspaso A: Asesorias Ecox Spa"/>
    <x v="1"/>
    <m/>
    <x v="0"/>
    <n v="5857689"/>
    <m/>
    <n v="-4000000"/>
    <m/>
  </r>
  <r>
    <s v="Traspaso A: Asesorias Ecox Spa"/>
    <x v="1"/>
    <m/>
    <x v="0"/>
    <n v="1857689"/>
    <m/>
    <n v="-100000"/>
    <s v="Servicio contable"/>
  </r>
  <r>
    <s v="Traspaso De: Evelyn Paola Galarce Gonzalez"/>
    <x v="3"/>
    <m/>
    <x v="0"/>
    <n v="1757689"/>
    <n v="5000000"/>
    <m/>
    <s v="Pie C4"/>
  </r>
  <r>
    <s v="Traspaso A: Hector Varela"/>
    <x v="1"/>
    <m/>
    <x v="0"/>
    <n v="6757689"/>
    <m/>
    <n v="-168871"/>
    <s v="Reembolsa gastos"/>
  </r>
  <r>
    <s v="Traspaso A: Benjamin Lecaros"/>
    <x v="1"/>
    <m/>
    <x v="5"/>
    <n v="6588818"/>
    <m/>
    <n v="-1710000"/>
    <s v="Asesoria venta A14 C4"/>
  </r>
  <r>
    <s v="Recaudacion Y Pagos De Servicios *"/>
    <x v="7"/>
    <m/>
    <x v="0"/>
    <n v="4878818"/>
    <m/>
    <n v="-4000000"/>
    <m/>
  </r>
  <r>
    <s v="Traspaso De: Villota Gallegos Francisco Gabriel"/>
    <x v="3"/>
    <m/>
    <x v="0"/>
    <n v="878818"/>
    <n v="200000"/>
    <m/>
    <s v="Reserva C3"/>
  </r>
  <r>
    <s v="Traspaso De: Rodolfo Alexis Utreras"/>
    <x v="3"/>
    <s v="B9 - RODOLFO UTRERAS"/>
    <x v="0"/>
    <n v="1078818"/>
    <n v="379760"/>
    <m/>
    <m/>
  </r>
  <r>
    <s v="Traspaso De: Valentina Michelle Aranda Espinoza"/>
    <x v="3"/>
    <s v="A5 - VALENTINA ARANDA"/>
    <x v="0"/>
    <n v="1458578"/>
    <n v="1125465"/>
    <m/>
    <m/>
  </r>
  <r>
    <s v="Traspaso A: Jose Manuel Astorga Lanas"/>
    <x v="1"/>
    <m/>
    <x v="8"/>
    <n v="2584043"/>
    <m/>
    <n v="-250476"/>
    <s v="Reembolsa gastos"/>
  </r>
  <r>
    <s v="Traspaso A: Andres Rieutord"/>
    <x v="4"/>
    <m/>
    <x v="0"/>
    <n v="2333567"/>
    <m/>
    <n v="-60000"/>
    <m/>
  </r>
  <r>
    <s v="Traspaso De: Lisssette Patricia Riquelme Martinez"/>
    <x v="3"/>
    <m/>
    <x v="0"/>
    <n v="2273567"/>
    <n v="846000"/>
    <m/>
    <m/>
  </r>
  <r>
    <s v="Recaudacion Y Pagos De Servicios *"/>
    <x v="7"/>
    <m/>
    <x v="0"/>
    <n v="3119567"/>
    <m/>
    <n v="-2000000"/>
    <m/>
  </r>
  <r>
    <s v="Traspaso De: Ximena Paz Ormazabal Canelo"/>
    <x v="3"/>
    <m/>
    <x v="0"/>
    <n v="1119567"/>
    <n v="2000000"/>
    <m/>
    <s v="C14, paga diferencia que faltaba en el vale vista"/>
  </r>
  <r>
    <s v="Pago Automatico Tarjeta De Credito"/>
    <x v="1"/>
    <m/>
    <x v="0"/>
    <n v="3119567"/>
    <m/>
    <n v="-786040"/>
    <s v="Cargo tarjeta de credito, publicidad"/>
  </r>
  <r>
    <s v="Pago: Inversiones 0965712208"/>
    <x v="7"/>
    <m/>
    <x v="0"/>
    <n v="2333527"/>
    <n v="1000000"/>
    <m/>
    <m/>
  </r>
  <r>
    <s v="Pago En Sii.cl*"/>
    <x v="5"/>
    <m/>
    <x v="0"/>
    <n v="3333527"/>
    <m/>
    <n v="-2508612"/>
    <s v="F29"/>
  </r>
  <r>
    <s v="Dep.cheq.otros Bancos N° 4501192"/>
    <x v="3"/>
    <m/>
    <x v="0"/>
    <n v="824915"/>
    <n v="39600000"/>
    <m/>
    <s v="Venta A19 + C18"/>
  </r>
  <r>
    <s v="Recaudacion Y Pagos De Servicios *"/>
    <x v="7"/>
    <m/>
    <x v="0"/>
    <n v="40424915"/>
    <m/>
    <n v="-37700000"/>
    <m/>
  </r>
  <r>
    <s v="Traspaso A: Felipe Hiriart"/>
    <x v="1"/>
    <m/>
    <x v="0"/>
    <n v="2724915"/>
    <m/>
    <n v="-1038218"/>
    <s v="Rendicion 6"/>
  </r>
  <r>
    <s v="Traspaso De: Juan Gonzalo Arias"/>
    <x v="3"/>
    <m/>
    <x v="0"/>
    <n v="1686697"/>
    <n v="4600000"/>
    <m/>
    <s v="A4+D11"/>
  </r>
  <r>
    <s v="Traspaso A: Sebastian Sada Aznar"/>
    <x v="4"/>
    <m/>
    <x v="8"/>
    <n v="6286697"/>
    <m/>
    <n v="-450000"/>
    <s v="Promesa  "/>
  </r>
  <r>
    <s v="Traspaso A: Jorge Ignacio Troncoso Vidal"/>
    <x v="1"/>
    <m/>
    <x v="8"/>
    <n v="5836697"/>
    <m/>
    <n v="-37000"/>
    <s v="Gastos Osorno Jorge Troncoso"/>
  </r>
  <r>
    <s v="Traspaso A: Jorge Ignacio Troncoso Vidal"/>
    <x v="1"/>
    <m/>
    <x v="8"/>
    <n v="5799697"/>
    <m/>
    <n v="-50000"/>
    <s v="Firma de promesa"/>
  </r>
  <r>
    <s v="Traspaso De: Roberto Antonio Farias"/>
    <x v="3"/>
    <m/>
    <x v="0"/>
    <n v="5749697"/>
    <n v="200000"/>
    <m/>
    <s v="Reserva C5 Maria Elena"/>
  </r>
  <r>
    <s v="Traspaso A: Benjamin Lecaros"/>
    <x v="1"/>
    <m/>
    <x v="5"/>
    <n v="5949697"/>
    <m/>
    <n v="-3420000"/>
    <s v="Asesoria venta A4, A19, C18, D11"/>
  </r>
  <r>
    <s v="Traspaso A: German Marquez"/>
    <x v="1"/>
    <m/>
    <x v="8"/>
    <n v="2529697"/>
    <m/>
    <n v="-1000000"/>
    <s v="Topografia German Marquez"/>
  </r>
  <r>
    <s v="Dep.cheq.otros Bancos N° 4791038"/>
    <x v="3"/>
    <m/>
    <x v="0"/>
    <n v="1529697"/>
    <n v="41300000"/>
    <m/>
    <s v="Lotes C13 y C10"/>
  </r>
  <r>
    <s v="Pago: Inversiones 0965712208"/>
    <x v="7"/>
    <m/>
    <x v="0"/>
    <n v="42829697"/>
    <n v="1000000"/>
    <m/>
    <m/>
  </r>
  <r>
    <s v="Traspaso De: Katherinne Andrea Orellana Saez"/>
    <x v="3"/>
    <m/>
    <x v="0"/>
    <n v="43829697"/>
    <n v="7000000"/>
    <m/>
    <s v="Parcela A10"/>
  </r>
  <r>
    <s v="Traspaso A: German Marquez"/>
    <x v="1"/>
    <m/>
    <x v="8"/>
    <n v="50829697"/>
    <m/>
    <n v="-1745950"/>
    <s v="Topografia German Marquez"/>
  </r>
  <r>
    <s v="Recaudacion Y Pagos De Servicios *"/>
    <x v="7"/>
    <m/>
    <x v="0"/>
    <n v="49083747"/>
    <m/>
    <n v="-48000000"/>
    <m/>
  </r>
  <r>
    <s v="Traspaso A: Juan Nicolas Espinoza"/>
    <x v="1"/>
    <m/>
    <x v="0"/>
    <n v="1083747"/>
    <m/>
    <n v="-50000"/>
    <s v="Firma Los Angeles"/>
  </r>
  <r>
    <s v="Traspaso De: Katherinne Andrea Orellana Saez"/>
    <x v="3"/>
    <m/>
    <x v="0"/>
    <n v="1033747"/>
    <n v="4300000"/>
    <m/>
    <s v="Parcela A10"/>
  </r>
  <r>
    <s v="Recaudacion Y Pagos De Servicios *"/>
    <x v="7"/>
    <m/>
    <x v="0"/>
    <n v="5333747"/>
    <m/>
    <n v="-4500000"/>
    <m/>
  </r>
  <r>
    <s v="Traspaso A: Tesoreria Municipal Puerto Octay"/>
    <x v="1"/>
    <m/>
    <x v="8"/>
    <n v="833747"/>
    <m/>
    <n v="-13784"/>
    <s v="Certificado DOM"/>
  </r>
  <r>
    <s v="Traspaso De: Lisssette Patricia Riquelme Riquelme"/>
    <x v="3"/>
    <m/>
    <x v="0"/>
    <n v="819963"/>
    <n v="5000000"/>
    <m/>
    <s v="Adelanta pago parcela B7"/>
  </r>
  <r>
    <s v="Deposito En Efectivo N° 4789770"/>
    <x v="3"/>
    <m/>
    <x v="0"/>
    <n v="5819963"/>
    <n v="55000001"/>
    <m/>
    <s v="Lotes A16, A17, A18 y C7"/>
  </r>
  <r>
    <s v="Dep.cheq.otros Bancos N° 4789767"/>
    <x v="3"/>
    <m/>
    <x v="0"/>
    <n v="60819964"/>
    <n v="33700001"/>
    <m/>
    <s v="Lotes A16, A17, A18 y C7"/>
  </r>
  <r>
    <s v="Pago: Inversiones 0965712208"/>
    <x v="7"/>
    <m/>
    <x v="0"/>
    <n v="94519965"/>
    <n v="262430812"/>
    <m/>
    <m/>
  </r>
  <r>
    <s v="Traspaso A: Inversiones Lonquen Limitada"/>
    <x v="2"/>
    <m/>
    <x v="9"/>
    <n v="356950777"/>
    <m/>
    <n v="-267782920"/>
    <m/>
  </r>
  <r>
    <s v="Traspaso A: Pedro Lecaros"/>
    <x v="2"/>
    <m/>
    <x v="1"/>
    <n v="89167857"/>
    <m/>
    <n v="-5000000"/>
    <m/>
  </r>
  <r>
    <s v="Traspaso A: Pedro Lecaros"/>
    <x v="2"/>
    <m/>
    <x v="1"/>
    <n v="84167857"/>
    <m/>
    <n v="-2500000"/>
    <m/>
  </r>
  <r>
    <s v="Traspaso A: Benjamin Lecaros"/>
    <x v="2"/>
    <m/>
    <x v="5"/>
    <n v="81667857"/>
    <m/>
    <n v="-5000000"/>
    <m/>
  </r>
  <r>
    <s v="Traspaso A: Pedro Lecaros"/>
    <x v="2"/>
    <m/>
    <x v="1"/>
    <n v="76667857"/>
    <m/>
    <n v="-5000000"/>
    <m/>
  </r>
  <r>
    <s v="Traspaso A: Pedro Lecaros"/>
    <x v="2"/>
    <m/>
    <x v="1"/>
    <n v="71667857"/>
    <m/>
    <n v="-5000000"/>
    <m/>
  </r>
  <r>
    <s v="Traspaso A: Pedro Lecaros"/>
    <x v="2"/>
    <m/>
    <x v="1"/>
    <n v="66667857"/>
    <m/>
    <n v="-5000000"/>
    <m/>
  </r>
  <r>
    <s v="Traspaso A: Pedro Lecaros"/>
    <x v="2"/>
    <m/>
    <x v="1"/>
    <n v="61667857"/>
    <m/>
    <n v="-5000000"/>
    <m/>
  </r>
  <r>
    <s v="Traspaso A: Pedro Lecaros"/>
    <x v="2"/>
    <m/>
    <x v="1"/>
    <n v="56667857"/>
    <m/>
    <n v="-5000000"/>
    <m/>
  </r>
  <r>
    <s v="Traspaso A: Benjamin Lecaros"/>
    <x v="1"/>
    <m/>
    <x v="5"/>
    <n v="51667857"/>
    <m/>
    <n v="-5130000"/>
    <s v="Asesoria venta A16, A17, A18, C7, C10, C13"/>
  </r>
  <r>
    <s v="Traspaso De: Benjamin Jose Lecaros Sotomayor"/>
    <x v="2"/>
    <m/>
    <x v="5"/>
    <n v="46537857"/>
    <n v="200000"/>
    <m/>
    <s v="Devolucion 1/2 error transferencia"/>
  </r>
  <r>
    <s v="Traspaso A: Pedro Lecaros"/>
    <x v="2"/>
    <m/>
    <x v="1"/>
    <n v="46737857"/>
    <m/>
    <n v="-5000000"/>
    <m/>
  </r>
  <r>
    <s v="Traspaso A: Jose Miguel Parro Fluxa"/>
    <x v="2"/>
    <m/>
    <x v="2"/>
    <n v="41737857"/>
    <m/>
    <n v="-12500000"/>
    <m/>
  </r>
  <r>
    <s v="Traspaso A: Inversiones Jopa Limitada"/>
    <x v="2"/>
    <m/>
    <x v="3"/>
    <n v="29237857"/>
    <m/>
    <n v="-25000000"/>
    <m/>
  </r>
  <r>
    <s v="Traspaso De: Lisssette Patricia Riquelme Martinez"/>
    <x v="3"/>
    <s v="B7 - LISSETTE RIQUELME"/>
    <x v="0"/>
    <n v="4237857"/>
    <n v="5000000"/>
    <m/>
    <s v="Adelanta pago parcela B7"/>
  </r>
  <r>
    <s v="Traspaso De: Benjamin Jose Lecaros"/>
    <x v="2"/>
    <m/>
    <x v="5"/>
    <n v="9237857"/>
    <n v="4800000"/>
    <m/>
    <s v="Devolucion 2/2 error transferencia"/>
  </r>
  <r>
    <s v="Traspaso De: Rodolfo Andres Ramirez Ortiz"/>
    <x v="3"/>
    <s v="C11 - RODOLFO RAMÍREZ"/>
    <x v="0"/>
    <n v="14037857"/>
    <n v="5000000"/>
    <m/>
    <s v="Adelanta pago parcela C11"/>
  </r>
  <r>
    <s v="Recaudacion Y Pagos De Servicios *"/>
    <x v="7"/>
    <m/>
    <x v="0"/>
    <n v="19037857"/>
    <m/>
    <n v="-18000000"/>
    <m/>
  </r>
  <r>
    <s v="Traspaso A: Benjamin Lecaros"/>
    <x v="1"/>
    <m/>
    <x v="8"/>
    <n v="1037857"/>
    <m/>
    <n v="-6856"/>
    <s v="Escaneo plano tekkrom"/>
  </r>
  <r>
    <s v="Traspaso A: Andres Rieutord"/>
    <x v="4"/>
    <m/>
    <x v="0"/>
    <n v="1031001"/>
    <m/>
    <n v="-60000"/>
    <s v="Mandato C6"/>
  </r>
  <r>
    <s v="Traspaso A: Andres Rieutord"/>
    <x v="4"/>
    <m/>
    <x v="0"/>
    <n v="971001"/>
    <m/>
    <n v="-60000"/>
    <s v="Mandato"/>
  </r>
  <r>
    <s v="Traspaso De: Rodolfo Andres Ramirez Ortiz"/>
    <x v="3"/>
    <m/>
    <x v="0"/>
    <n v="911001"/>
    <n v="5000000"/>
    <m/>
    <s v="Adelanta pago parcela C11"/>
  </r>
  <r>
    <s v="Recaudacion Y Pagos De Servicios *"/>
    <x v="7"/>
    <m/>
    <x v="0"/>
    <n v="5911001"/>
    <m/>
    <n v="-5000000"/>
    <m/>
  </r>
  <r>
    <s v="Traspaso A: Daniel Gebauer"/>
    <x v="1"/>
    <m/>
    <x v="8"/>
    <n v="911001"/>
    <m/>
    <n v="-38400"/>
    <s v="Reembolsa gasto CBR"/>
  </r>
  <r>
    <s v="Traspaso De: Rodolfo Andres Ramirez Ortiz"/>
    <x v="3"/>
    <m/>
    <x v="0"/>
    <n v="872601"/>
    <n v="5000000"/>
    <m/>
    <s v="Adelanta pago parcela C11"/>
  </r>
  <r>
    <s v="Traspaso De: Juan Esteban Sanchez Bascur"/>
    <x v="3"/>
    <s v="C9 - JUAN ESTEBAN SANCHEZ"/>
    <x v="0"/>
    <n v="5872601"/>
    <n v="611111"/>
    <m/>
    <s v="Cuota 1/36"/>
  </r>
  <r>
    <s v="Deposito En Efectivo N° 2946967"/>
    <x v="3"/>
    <m/>
    <x v="0"/>
    <n v="6483712"/>
    <n v="6500000"/>
    <m/>
    <s v="Katherine Orellana A10"/>
  </r>
  <r>
    <s v="Traspaso De: Katherinne Andrea Orellana Saez"/>
    <x v="3"/>
    <m/>
    <x v="0"/>
    <n v="12983712"/>
    <n v="2000000"/>
    <m/>
    <s v="Katherine Orellana A10"/>
  </r>
  <r>
    <s v="Recaudacion Y Pagos De Servicios *"/>
    <x v="7"/>
    <m/>
    <x v="0"/>
    <n v="14983712"/>
    <m/>
    <n v="-9000000"/>
    <m/>
  </r>
  <r>
    <s v="Traspaso A: La Nube Fotografia Ltda."/>
    <x v="1"/>
    <m/>
    <x v="8"/>
    <n v="5983712"/>
    <m/>
    <n v="-535500"/>
    <s v="Nube Puerto Octay"/>
  </r>
  <r>
    <s v="Traspaso De: Rodolfo Alexis Utreras"/>
    <x v="3"/>
    <s v="B9 - RODOLFO UTRERAS"/>
    <x v="0"/>
    <n v="5448212"/>
    <n v="378803"/>
    <m/>
    <m/>
  </r>
  <r>
    <s v="Traspaso A: Asesorias Ecox Spa"/>
    <x v="1"/>
    <m/>
    <x v="0"/>
    <n v="5827015"/>
    <m/>
    <n v="-4000000"/>
    <m/>
  </r>
  <r>
    <s v="Traspaso De: Valentina Michelle Aranda Espinoza"/>
    <x v="3"/>
    <s v="A5 - VALENTINA ARANDA"/>
    <x v="0"/>
    <n v="1827015"/>
    <n v="1144664"/>
    <m/>
    <m/>
  </r>
  <r>
    <s v="Traspaso De: Evelyn Paola Galarce Gonzalez"/>
    <x v="3"/>
    <s v="C4 - EVELYN PAOLA GALARCE"/>
    <x v="0"/>
    <n v="2971679"/>
    <n v="716667"/>
    <m/>
    <s v="Cuota 1/24"/>
  </r>
  <r>
    <s v="Traspaso De: Lisssette Patricia Riquelme Martinez"/>
    <x v="3"/>
    <s v="B7 - LISSETTE RIQUELME"/>
    <x v="0"/>
    <n v="3688346"/>
    <n v="3693898"/>
    <m/>
    <s v="Termina pago B7"/>
  </r>
  <r>
    <s v="Aporte A Fondo Mutuo"/>
    <x v="7"/>
    <m/>
    <x v="0"/>
    <n v="7382244"/>
    <m/>
    <n v="-5000000"/>
    <m/>
  </r>
  <r>
    <s v="Traspaso A: Hector Varela"/>
    <x v="1"/>
    <m/>
    <x v="0"/>
    <n v="2382244"/>
    <m/>
    <n v="-183101"/>
    <s v="Reembolsa gastos bencina"/>
  </r>
  <r>
    <s v="Traspaso A: Benjamin Lecaros"/>
    <x v="1"/>
    <m/>
    <x v="5"/>
    <n v="2199143"/>
    <m/>
    <n v="-85204"/>
    <s v="Planos"/>
  </r>
  <r>
    <s v="Traspaso A: Asesorias Ecox Spa"/>
    <x v="1"/>
    <m/>
    <x v="0"/>
    <n v="2113939"/>
    <m/>
    <n v="-100000"/>
    <s v="contabilidad"/>
  </r>
  <r>
    <s v="Traspaso A: Rios Y Compania Abogados Limitada"/>
    <x v="1"/>
    <m/>
    <x v="0"/>
    <n v="2013939"/>
    <m/>
    <n v="-587685"/>
    <m/>
  </r>
  <r>
    <s v="Pago Automatico Tarjeta De Credito"/>
    <x v="1"/>
    <m/>
    <x v="0"/>
    <n v="1426254"/>
    <m/>
    <n v="-49264"/>
    <s v="publicidad"/>
  </r>
  <r>
    <s v="Traspaso A: Felipe Hiriart"/>
    <x v="1"/>
    <m/>
    <x v="0"/>
    <n v="1376990"/>
    <m/>
    <n v="-570236"/>
    <s v="Rendicion 7"/>
  </r>
  <r>
    <s v="Pago: Inversiones 0965712208"/>
    <x v="7"/>
    <m/>
    <x v="0"/>
    <n v="806754"/>
    <n v="2200000"/>
    <m/>
    <m/>
  </r>
  <r>
    <s v="Pago En Sii.cl*"/>
    <x v="5"/>
    <m/>
    <x v="0"/>
    <n v="3006754"/>
    <m/>
    <n v="-2222647"/>
    <s v="F29"/>
  </r>
  <r>
    <s v="Traspaso A: Benjamin Lecaros"/>
    <x v="1"/>
    <m/>
    <x v="5"/>
    <n v="784107"/>
    <m/>
    <n v="-76160"/>
    <s v="Reembolso Tekkrom"/>
  </r>
  <r>
    <s v="Traspaso A: Andres Rieutord"/>
    <x v="4"/>
    <m/>
    <x v="0"/>
    <n v="707947"/>
    <m/>
    <n v="-40000"/>
    <m/>
  </r>
  <r>
    <s v="Traspaso De: Katherinne Andrea Orellana Saez"/>
    <x v="3"/>
    <m/>
    <x v="0"/>
    <n v="667947"/>
    <n v="2000000"/>
    <m/>
    <s v="Parcela A10 - Katherine"/>
  </r>
  <r>
    <s v="Aporte A Fondo Mutuo"/>
    <x v="7"/>
    <m/>
    <x v="0"/>
    <n v="2667947"/>
    <m/>
    <n v="-2000000"/>
    <m/>
  </r>
  <r>
    <s v="Traspaso A: Conrad Pablo Zlch Parra"/>
    <x v="1"/>
    <m/>
    <x v="0"/>
    <n v="667947"/>
    <m/>
    <n v="-31000"/>
    <s v="Alzamiento C11"/>
  </r>
  <r>
    <s v="Traspaso A: Benjamin Lecaros"/>
    <x v="1"/>
    <m/>
    <x v="5"/>
    <n v="636947"/>
    <m/>
    <n v="-9674"/>
    <m/>
  </r>
  <r>
    <s v="Traspaso De: Galarce Gonzalez Evelyn Paola"/>
    <x v="3"/>
    <s v="C4 - EVELYN PAOLA GALARCE"/>
    <x v="0"/>
    <n v="627273"/>
    <n v="300000"/>
    <m/>
    <s v="Prepaga parcela C4"/>
  </r>
  <r>
    <s v="Traspaso De: Evelyn Paola Galarce Gonzalez"/>
    <x v="3"/>
    <s v="C4 - EVELYN PAOLA GALARCE"/>
    <x v="0"/>
    <n v="927273"/>
    <n v="5000000"/>
    <m/>
    <s v="Prepaga parcela C4"/>
  </r>
  <r>
    <s v="Traspaso A: Felipe Hiriart"/>
    <x v="1"/>
    <m/>
    <x v="0"/>
    <n v="5927273"/>
    <m/>
    <n v="-598208"/>
    <s v="Rendicion 8"/>
  </r>
  <r>
    <s v="Traspaso A: Pedro Lecaros"/>
    <x v="1"/>
    <m/>
    <x v="0"/>
    <n v="5329065"/>
    <m/>
    <n v="-1204109"/>
    <s v="Rendicion 9"/>
  </r>
  <r>
    <s v="Dep.cheq.otros Bancos N° 7841124"/>
    <x v="3"/>
    <m/>
    <x v="0"/>
    <n v="4124956"/>
    <n v="17800000"/>
    <m/>
    <s v="Parcela C-14"/>
  </r>
  <r>
    <s v="Traspaso De: Galarce Gonzalez Evelyn Paola"/>
    <x v="3"/>
    <s v="C4 - EVELYN PAOLA GALARCE"/>
    <x v="0"/>
    <n v="21924956"/>
    <n v="5000000"/>
    <m/>
    <s v="Prepaga parcela C4"/>
  </r>
  <r>
    <s v="Traspaso A: Benjamin Lecaros"/>
    <x v="1"/>
    <m/>
    <x v="5"/>
    <n v="26924956"/>
    <m/>
    <n v="-855000"/>
    <s v="Asesoria venta C14"/>
  </r>
  <r>
    <s v="Traspaso A: Hernan Pizarro"/>
    <x v="1"/>
    <m/>
    <x v="0"/>
    <n v="26069956"/>
    <m/>
    <n v="-344739"/>
    <s v="Arquitectura"/>
  </r>
  <r>
    <s v="Aporte A Fondo Mutuo"/>
    <x v="7"/>
    <m/>
    <x v="0"/>
    <n v="25725217"/>
    <m/>
    <n v="-7500000"/>
    <m/>
  </r>
  <r>
    <s v="Traspaso De: Galarce Gonzalez Evelyn Paola"/>
    <x v="3"/>
    <s v="C4 - EVELYN PAOLA GALARCE"/>
    <x v="0"/>
    <n v="18225217"/>
    <n v="5000000"/>
    <m/>
    <s v="Prepaga parcela C4"/>
  </r>
  <r>
    <s v="Traspaso De: Evelyn Paola Galarce Gonzalez"/>
    <x v="3"/>
    <s v="C4 - EVELYN PAOLA GALARCE"/>
    <x v="0"/>
    <n v="23225217"/>
    <n v="1783333"/>
    <m/>
    <s v="Prepaga parcela C4"/>
  </r>
  <r>
    <s v="Aporte A Fondo Mutuo"/>
    <x v="7"/>
    <m/>
    <x v="0"/>
    <n v="25008550"/>
    <m/>
    <n v="-20000000"/>
    <m/>
  </r>
  <r>
    <s v="Traspaso De: Valentina Michelle Aranda Espinoza"/>
    <x v="3"/>
    <s v="A5 - VALENTINA ARANDA"/>
    <x v="0"/>
    <n v="5008550"/>
    <n v="1150099"/>
    <m/>
    <m/>
  </r>
  <r>
    <s v="Traspaso A: Asesorias Ecox Spa"/>
    <x v="1"/>
    <m/>
    <x v="0"/>
    <n v="6158649"/>
    <m/>
    <n v="-4000000"/>
    <s v="Servicio de gestion"/>
  </r>
  <r>
    <s v="Transferencia De Otro Banco Via Spav"/>
    <x v="3"/>
    <m/>
    <x v="0"/>
    <n v="2158649"/>
    <n v="20146327"/>
    <m/>
    <s v="Parcela A-14"/>
  </r>
  <r>
    <s v="Traspaso De: Lissette Patricia Riquelme Martinez"/>
    <x v="1"/>
    <m/>
    <x v="0"/>
    <n v="22304976"/>
    <n v="155500"/>
    <m/>
    <m/>
  </r>
  <r>
    <s v="Traspaso A: Hector Varela"/>
    <x v="1"/>
    <m/>
    <x v="0"/>
    <n v="22460476"/>
    <m/>
    <n v="-188729"/>
    <s v="Reembolsa gastos"/>
  </r>
  <r>
    <s v="Traspaso A: Conrad Pablo Zlch Parra"/>
    <x v="1"/>
    <m/>
    <x v="0"/>
    <n v="22271747"/>
    <m/>
    <n v="-155500"/>
    <m/>
  </r>
  <r>
    <s v="Traspaso A: Benjamin Lecaros"/>
    <x v="1"/>
    <m/>
    <x v="5"/>
    <n v="22116247"/>
    <m/>
    <n v="-4132500"/>
    <s v="Reembolsa gastos durante el año CBR Rendicion 10"/>
  </r>
  <r>
    <s v="Traspaso De: Juan Esteban Sanchez Bascur"/>
    <x v="3"/>
    <s v="C9 - JUAN ESTEBAN SANCHEZ"/>
    <x v="0"/>
    <n v="17983747"/>
    <n v="614940"/>
    <m/>
    <m/>
  </r>
  <r>
    <s v="Traspaso De: Evelyn Paola Galarce Gonzalez"/>
    <x v="1"/>
    <m/>
    <x v="0"/>
    <n v="18598687"/>
    <n v="164500"/>
    <m/>
    <m/>
  </r>
  <r>
    <s v="Traspaso A: Conrad Pablo Zlch Parra"/>
    <x v="1"/>
    <m/>
    <x v="0"/>
    <n v="18763187"/>
    <m/>
    <n v="-164500"/>
    <m/>
  </r>
  <r>
    <s v="Traspaso De: Rodolfo Alexis Utreras"/>
    <x v="3"/>
    <s v="B9 - RODOLFO UTRERAS"/>
    <x v="0"/>
    <n v="18598687"/>
    <n v="381056"/>
    <m/>
    <m/>
  </r>
  <r>
    <s v="Pago: Inversiones 0965712208"/>
    <x v="7"/>
    <m/>
    <x v="0"/>
    <n v="18979743"/>
    <n v="4000000"/>
    <m/>
    <m/>
  </r>
  <r>
    <s v="Pago: Inversiones 0965712208"/>
    <x v="7"/>
    <m/>
    <x v="0"/>
    <n v="22979743"/>
    <n v="8500001"/>
    <m/>
    <m/>
  </r>
  <r>
    <s v="Traspaso A: Pedro Lecaros"/>
    <x v="2"/>
    <m/>
    <x v="1"/>
    <n v="31479744"/>
    <m/>
    <n v="-5000000"/>
    <m/>
  </r>
  <r>
    <s v="Traspaso A: Inversiones Jopa Limitada"/>
    <x v="2"/>
    <m/>
    <x v="3"/>
    <n v="26479744"/>
    <m/>
    <n v="-10000000"/>
    <m/>
  </r>
  <r>
    <s v="Traspaso A: Pedro Lecaros"/>
    <x v="2"/>
    <m/>
    <x v="1"/>
    <n v="16479744"/>
    <m/>
    <n v="-5000000"/>
    <m/>
  </r>
  <r>
    <s v="Traspaso A: Jose Miguel Parro Fluxa"/>
    <x v="2"/>
    <m/>
    <x v="2"/>
    <n v="11479744"/>
    <m/>
    <n v="-5000000"/>
    <m/>
  </r>
  <r>
    <s v="Traspaso A: Pedro Lecaros"/>
    <x v="2"/>
    <m/>
    <x v="1"/>
    <n v="6479744"/>
    <m/>
    <n v="-5000000"/>
    <m/>
  </r>
  <r>
    <m/>
    <x v="0"/>
    <m/>
    <x v="0"/>
    <n v="1479744"/>
    <m/>
    <m/>
    <m/>
  </r>
  <r>
    <m/>
    <x v="0"/>
    <m/>
    <x v="0"/>
    <n v="1479744"/>
    <m/>
    <m/>
    <m/>
  </r>
  <r>
    <m/>
    <x v="0"/>
    <m/>
    <x v="0"/>
    <n v="147974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x v="0"/>
    <s v="SALDO ANTERIOR"/>
    <x v="0"/>
    <m/>
    <m/>
    <n v="702601"/>
    <m/>
    <m/>
    <m/>
  </r>
  <r>
    <x v="1"/>
    <s v="Traspaso A: Construcciones Del Ranco Spa"/>
    <x v="1"/>
    <m/>
    <m/>
    <n v="702601"/>
    <m/>
    <n v="-700000"/>
    <m/>
  </r>
  <r>
    <x v="2"/>
    <s v="Traspaso De: Pedro Jose Lecaros Sotomayor"/>
    <x v="2"/>
    <m/>
    <s v="PLS"/>
    <n v="2601"/>
    <n v="5000000"/>
    <m/>
    <m/>
  </r>
  <r>
    <x v="2"/>
    <s v="Traspaso A: Construcciones Del Ranco Spa"/>
    <x v="1"/>
    <m/>
    <m/>
    <n v="5002601"/>
    <m/>
    <n v="-1627022"/>
    <s v="Porton completa estado de pago 1"/>
  </r>
  <r>
    <x v="2"/>
    <s v="Traspaso A: Construcciones Del Ranco Spa"/>
    <x v="1"/>
    <m/>
    <m/>
    <n v="3375579"/>
    <m/>
    <n v="-1351157"/>
    <s v="Completa pago 30 porciento inicial, tranqueras"/>
  </r>
  <r>
    <x v="2"/>
    <s v="Traspaso A: La Nube Fotografia Ltda."/>
    <x v="1"/>
    <m/>
    <m/>
    <n v="2024422"/>
    <m/>
    <n v="-1309000"/>
    <s v="Pago la nube"/>
  </r>
  <r>
    <x v="3"/>
    <s v="Traspaso De: Jose Miguel Parro"/>
    <x v="2"/>
    <m/>
    <s v="JMP"/>
    <n v="715422"/>
    <n v="350000"/>
    <m/>
    <m/>
  </r>
  <r>
    <x v="3"/>
    <s v="Traspaso De: Pedro Jose Lecaros Sotomayor"/>
    <x v="2"/>
    <m/>
    <s v="PLS"/>
    <n v="1065422"/>
    <n v="2500000"/>
    <m/>
    <m/>
  </r>
  <r>
    <x v="3"/>
    <s v="Traspaso De: Jose Miguel Parro"/>
    <x v="2"/>
    <m/>
    <s v="JMP"/>
    <n v="3565422"/>
    <n v="2150000"/>
    <m/>
    <m/>
  </r>
  <r>
    <x v="4"/>
    <s v="Traspaso De: Carlos Alberto Cespedes Lopez"/>
    <x v="3"/>
    <m/>
    <m/>
    <n v="5715422"/>
    <n v="200000"/>
    <m/>
    <s v="Reserva C-18"/>
  </r>
  <r>
    <x v="4"/>
    <s v="Traspaso A: Conrad Pablo Zlch Parra"/>
    <x v="4"/>
    <m/>
    <m/>
    <n v="5915422"/>
    <m/>
    <n v="-177000"/>
    <s v="inscripcion servidumbre caminos"/>
  </r>
  <r>
    <x v="4"/>
    <s v="Traspaso A: Conrad Pablo Zlch Parra"/>
    <x v="4"/>
    <m/>
    <m/>
    <n v="5738422"/>
    <m/>
    <n v="-177000"/>
    <s v="inscripcion servidumbre caminos E1"/>
  </r>
  <r>
    <x v="4"/>
    <s v="Traspaso A: Asesorias Ecox Spa"/>
    <x v="1"/>
    <m/>
    <m/>
    <n v="5561422"/>
    <m/>
    <n v="-100000"/>
    <s v="Servicio contable"/>
  </r>
  <r>
    <x v="4"/>
    <s v="Traspaso A: Andres Rieutord"/>
    <x v="4"/>
    <m/>
    <m/>
    <n v="5461422"/>
    <m/>
    <n v="-80000"/>
    <m/>
  </r>
  <r>
    <x v="5"/>
    <s v="Traspaso De: Inversiones Jopa Limitada"/>
    <x v="2"/>
    <m/>
    <s v="JOPA"/>
    <n v="5381422"/>
    <n v="5000000"/>
    <m/>
    <m/>
  </r>
  <r>
    <x v="5"/>
    <s v="Traspaso A: Geotim Ltda"/>
    <x v="1"/>
    <m/>
    <m/>
    <n v="10381422"/>
    <m/>
    <n v="-5000000"/>
    <s v="Abono parcial a primer 50 por ciento caminos"/>
  </r>
  <r>
    <x v="6"/>
    <s v="Traspaso De: Luis Eduardo Salas Ojeda"/>
    <x v="3"/>
    <m/>
    <m/>
    <n v="5381422"/>
    <n v="200000"/>
    <m/>
    <s v="Reserva A15"/>
  </r>
  <r>
    <x v="6"/>
    <s v="Traspaso De: Katherinne Andrea Orellana Saez"/>
    <x v="3"/>
    <m/>
    <m/>
    <n v="5581422"/>
    <n v="200000"/>
    <m/>
    <s v="Reserva A10"/>
  </r>
  <r>
    <x v="7"/>
    <s v="Traspaso A: Geotim Ltda"/>
    <x v="1"/>
    <m/>
    <m/>
    <n v="5781422"/>
    <m/>
    <n v="-5000000"/>
    <s v="Abono primera mitad caminos"/>
  </r>
  <r>
    <x v="7"/>
    <s v="Traspaso De: Marco Sebast?iacute?an"/>
    <x v="3"/>
    <m/>
    <m/>
    <n v="781422"/>
    <n v="200000"/>
    <m/>
    <s v="Reserva A14"/>
  </r>
  <r>
    <x v="8"/>
    <s v="Traspaso De: Pedro Jose Lecaros Sotomayor"/>
    <x v="2"/>
    <m/>
    <s v="PLS"/>
    <n v="981422"/>
    <n v="5000000"/>
    <m/>
    <m/>
  </r>
  <r>
    <x v="8"/>
    <s v="Traspaso A: Construcciones Del Ranco Spa"/>
    <x v="1"/>
    <m/>
    <m/>
    <n v="5981422"/>
    <m/>
    <n v="-2159683"/>
    <s v="Estado de Pago 1 Tranqueras Los Chilcos"/>
  </r>
  <r>
    <x v="8"/>
    <s v="Traspaso A: Construcciones Del Ranco Spa"/>
    <x v="1"/>
    <m/>
    <m/>
    <n v="3821739"/>
    <m/>
    <n v="-3610318"/>
    <s v="Estado de pago 2 Acceso Chilcos"/>
  </r>
  <r>
    <x v="8"/>
    <s v="Traspaso De: Jose Miguel Parro"/>
    <x v="2"/>
    <m/>
    <s v="JMP"/>
    <n v="211421"/>
    <n v="2500000"/>
    <m/>
    <m/>
  </r>
  <r>
    <x v="8"/>
    <s v="App-traspaso De: Inversiones Jopa Limitada"/>
    <x v="2"/>
    <m/>
    <s v="JOPA"/>
    <n v="2711421"/>
    <n v="5000000"/>
    <m/>
    <m/>
  </r>
  <r>
    <x v="9"/>
    <s v="Traspaso A: Andres Rieutord"/>
    <x v="4"/>
    <m/>
    <m/>
    <n v="7711421"/>
    <m/>
    <n v="-70000"/>
    <s v="Reglamento"/>
  </r>
  <r>
    <x v="9"/>
    <s v="Traspaso De: Pedro Jose Lecaros Sotomayor"/>
    <x v="2"/>
    <m/>
    <s v="PLS"/>
    <n v="7641421"/>
    <n v="2500000"/>
    <m/>
    <m/>
  </r>
  <r>
    <x v="10"/>
    <s v="Traspaso De: Nicole Odette Rojas Bahamondes"/>
    <x v="3"/>
    <m/>
    <m/>
    <n v="10141421"/>
    <n v="200000"/>
    <m/>
    <s v="Reserva B-11"/>
  </r>
  <r>
    <x v="11"/>
    <s v="Traspaso De: Pedro Jose Lecaros Sotomayor"/>
    <x v="2"/>
    <m/>
    <s v="PLS"/>
    <n v="10341421"/>
    <n v="5000000"/>
    <m/>
    <m/>
  </r>
  <r>
    <x v="11"/>
    <s v="Traspaso De: Camila Stefany Diaz Duran"/>
    <x v="3"/>
    <m/>
    <m/>
    <n v="15341421"/>
    <n v="200000"/>
    <m/>
    <s v="Reserva C-14"/>
  </r>
  <r>
    <x v="11"/>
    <s v="Traspaso A: Sinergia Austral Spa"/>
    <x v="1"/>
    <m/>
    <m/>
    <n v="15541421"/>
    <m/>
    <n v="-695436"/>
    <s v="Tubo Corrugado HDPE 600 mm Agricola Los Chilcos"/>
  </r>
  <r>
    <x v="11"/>
    <s v="Traspaso De: Pedro Jose Lecaros Sotomayor"/>
    <x v="2"/>
    <m/>
    <s v="PLS"/>
    <n v="14845985"/>
    <n v="5000000"/>
    <m/>
    <m/>
  </r>
  <r>
    <x v="12"/>
    <s v="Traspaso De: Pedro Jose Lecaros Sotomayor"/>
    <x v="2"/>
    <m/>
    <s v="PLS"/>
    <n v="19845985"/>
    <n v="5000000"/>
    <m/>
    <m/>
  </r>
  <r>
    <x v="13"/>
    <s v="Traspaso A: Hernan Pizarro"/>
    <x v="1"/>
    <m/>
    <m/>
    <n v="24845985"/>
    <m/>
    <n v="-574395"/>
    <m/>
  </r>
  <r>
    <x v="14"/>
    <s v="Traspaso De: Pedro Jose Lecaros Sotomayor"/>
    <x v="2"/>
    <m/>
    <s v="PLS"/>
    <n v="24271590"/>
    <n v="5000000"/>
    <m/>
    <m/>
  </r>
  <r>
    <x v="14"/>
    <s v="Traspaso De: Servicios Psicologicos Integrales Spa"/>
    <x v="3"/>
    <m/>
    <m/>
    <n v="29271590"/>
    <n v="200000"/>
    <m/>
    <s v="Reserva A-10"/>
  </r>
  <r>
    <x v="14"/>
    <s v="Traspaso De: Cristian Andres Vera Gutierrez"/>
    <x v="3"/>
    <m/>
    <m/>
    <n v="29471590"/>
    <n v="250000"/>
    <m/>
    <s v="Parte 1 reserva A16/17/18"/>
  </r>
  <r>
    <x v="14"/>
    <s v="Traspaso De: Pedro Jose Lecaros Sotomayor"/>
    <x v="2"/>
    <m/>
    <s v="PLS"/>
    <n v="29721590"/>
    <n v="5000000"/>
    <m/>
    <m/>
  </r>
  <r>
    <x v="14"/>
    <s v="Traspaso A: Construcciones Del Ranco Spa"/>
    <x v="1"/>
    <m/>
    <m/>
    <n v="34721590"/>
    <m/>
    <n v="-3552557"/>
    <s v="Estado de pago 3"/>
  </r>
  <r>
    <x v="14"/>
    <s v="Traspaso De: Inversiones Jopa Limitada"/>
    <x v="2"/>
    <m/>
    <s v="JOPA"/>
    <n v="31169033"/>
    <n v="16000000"/>
    <m/>
    <m/>
  </r>
  <r>
    <x v="15"/>
    <s v="Traspaso De: Jose Miguel Parro Fluxa"/>
    <x v="2"/>
    <m/>
    <s v="JMP"/>
    <n v="47169033"/>
    <n v="5000000"/>
    <m/>
    <m/>
  </r>
  <r>
    <x v="15"/>
    <s v="Traspaso De: Jose Miguel Parro"/>
    <x v="2"/>
    <m/>
    <s v="JMP"/>
    <n v="52169033"/>
    <n v="5000000"/>
    <m/>
    <m/>
  </r>
  <r>
    <x v="15"/>
    <s v="Traspaso De: Cristian Andres Vera Gutierrez"/>
    <x v="3"/>
    <m/>
    <m/>
    <n v="57169033"/>
    <n v="350000"/>
    <m/>
    <s v="Parte 2 reserva A16/17/18"/>
  </r>
  <r>
    <x v="15"/>
    <s v="Traspaso De: Pedro Jose Lecaros Sotomayor"/>
    <x v="2"/>
    <m/>
    <s v="PLS"/>
    <n v="57519033"/>
    <n v="5000000"/>
    <m/>
    <m/>
  </r>
  <r>
    <x v="15"/>
    <s v="Traspaso De: Mauricio Ignacio Fuentes Rodriguez"/>
    <x v="3"/>
    <m/>
    <m/>
    <n v="62519033"/>
    <n v="200000"/>
    <m/>
    <m/>
  </r>
  <r>
    <x v="15"/>
    <s v="Traspaso A: Camila Stefany Diaz Duran"/>
    <x v="3"/>
    <m/>
    <m/>
    <n v="62719033"/>
    <m/>
    <n v="-200000"/>
    <s v="Devolucion reserva C14"/>
  </r>
  <r>
    <x v="15"/>
    <s v="Traspaso De: Jose Miguel Parro"/>
    <x v="2"/>
    <m/>
    <s v="JMP"/>
    <n v="62519033"/>
    <n v="4000000"/>
    <m/>
    <m/>
  </r>
  <r>
    <x v="15"/>
    <s v="Traspaso A: Geotim Ltda"/>
    <x v="1"/>
    <m/>
    <m/>
    <n v="66519033"/>
    <m/>
    <n v="-11061"/>
    <s v="Reembolsa envio planos Stgo"/>
  </r>
  <r>
    <x v="16"/>
    <s v="Traspaso De: Felipe Leopoldo Pardo Vasquez"/>
    <x v="3"/>
    <m/>
    <m/>
    <n v="66507972"/>
    <n v="200000"/>
    <m/>
    <s v="Reserva B-14"/>
  </r>
  <r>
    <x v="16"/>
    <s v="Cargo Por Aplicacion De Dividendo"/>
    <x v="2"/>
    <m/>
    <s v="BANCO DE CHILE"/>
    <n v="66707972"/>
    <m/>
    <n v="-59739613"/>
    <s v="Prepaga prestamo hipotecario Banco de Chile"/>
  </r>
  <r>
    <x v="16"/>
    <s v="Pago Automatico Tarjeta De Credito"/>
    <x v="1"/>
    <m/>
    <m/>
    <n v="6968359"/>
    <m/>
    <n v="-19859"/>
    <m/>
  </r>
  <r>
    <x v="17"/>
    <s v="Traspaso De: Claudio Andr?eacute?s"/>
    <x v="3"/>
    <m/>
    <m/>
    <n v="6948500"/>
    <n v="200000"/>
    <m/>
    <s v="Reserva B-12"/>
  </r>
  <r>
    <x v="18"/>
    <s v="Traspaso De: Molina Saavedra Alberto Ricardo"/>
    <x v="3"/>
    <m/>
    <m/>
    <n v="7148500"/>
    <n v="200000"/>
    <m/>
    <s v="Reserva B-8"/>
  </r>
  <r>
    <x v="18"/>
    <s v="Traspaso De: Lisssette Patricia Riquelme Martinez"/>
    <x v="3"/>
    <m/>
    <m/>
    <n v="7348500"/>
    <n v="200000"/>
    <m/>
    <s v="Reserva B-8"/>
  </r>
  <r>
    <x v="18"/>
    <s v="Traspaso De: Rodolfo Alexis Utreras"/>
    <x v="3"/>
    <s v="B9 - RODOLFO UTRERAS"/>
    <m/>
    <n v="7548500"/>
    <n v="200000"/>
    <m/>
    <s v="Reserva B-9"/>
  </r>
  <r>
    <x v="18"/>
    <s v="Traspaso A: Lissette Riquelme"/>
    <x v="3"/>
    <m/>
    <m/>
    <n v="7748500"/>
    <m/>
    <n v="-200000"/>
    <s v="Reembolso reserva B-8"/>
  </r>
  <r>
    <x v="18"/>
    <s v="Traspaso De: Mauricio Ignacio Fuentes Rodriguez"/>
    <x v="3"/>
    <m/>
    <m/>
    <n v="7548500"/>
    <n v="200000"/>
    <m/>
    <s v="Reserva C-18"/>
  </r>
  <r>
    <x v="18"/>
    <s v="Traspaso De: Edelmira Zulema Reyes Urbina"/>
    <x v="3"/>
    <m/>
    <m/>
    <n v="7748500"/>
    <n v="200000"/>
    <m/>
    <s v="Reserva B-6"/>
  </r>
  <r>
    <x v="19"/>
    <s v="Traspaso De: Lisssette Patricia Riquelme Martinez"/>
    <x v="3"/>
    <m/>
    <m/>
    <n v="7948500"/>
    <n v="200000"/>
    <m/>
    <s v="Reserva B-7"/>
  </r>
  <r>
    <x v="19"/>
    <s v="Traspaso De: San Martin Vargas Carlos Eduardo"/>
    <x v="3"/>
    <m/>
    <m/>
    <n v="8148500"/>
    <n v="200000"/>
    <m/>
    <s v="Reserva B-13"/>
  </r>
  <r>
    <x v="20"/>
    <s v="Traspaso A: Asesorias Ecox Spa"/>
    <x v="1"/>
    <m/>
    <m/>
    <n v="8348500"/>
    <m/>
    <n v="-100000"/>
    <s v="Servicio contable"/>
  </r>
  <r>
    <x v="20"/>
    <s v="Traspaso De: Hector Bernardo Maldonado Munoz"/>
    <x v="3"/>
    <m/>
    <m/>
    <n v="8248500"/>
    <n v="200000"/>
    <m/>
    <s v="Reserva B-16"/>
  </r>
  <r>
    <x v="20"/>
    <s v="Traspaso De: Lizzette Guajardo Vargas"/>
    <x v="3"/>
    <m/>
    <m/>
    <n v="8448500"/>
    <n v="200000"/>
    <m/>
    <s v="Reserva A-9"/>
  </r>
  <r>
    <x v="20"/>
    <s v="Traspaso De: Johanns Edward Agurto Rozas"/>
    <x v="3"/>
    <m/>
    <m/>
    <n v="8648500"/>
    <n v="200000"/>
    <m/>
    <s v="Reserva C-17"/>
  </r>
  <r>
    <x v="21"/>
    <s v="Traspaso A: Conrad Pablo Zlch Parra"/>
    <x v="4"/>
    <m/>
    <m/>
    <n v="8848500"/>
    <m/>
    <n v="-40000"/>
    <s v="Copia plano inscrito"/>
  </r>
  <r>
    <x v="21"/>
    <s v="Pago En Sii.cl*"/>
    <x v="5"/>
    <m/>
    <m/>
    <n v="8808500"/>
    <m/>
    <n v="-102492"/>
    <m/>
  </r>
  <r>
    <x v="22"/>
    <s v="Traspaso A: Construcciones Del Ranco Spa"/>
    <x v="1"/>
    <m/>
    <m/>
    <n v="8706008"/>
    <m/>
    <n v="-1322892"/>
    <m/>
  </r>
  <r>
    <x v="22"/>
    <s v="Traspaso A: Construcciones Del Ranco Spa"/>
    <x v="1"/>
    <m/>
    <m/>
    <n v="7383116"/>
    <m/>
    <n v="-2159683"/>
    <m/>
  </r>
  <r>
    <x v="22"/>
    <s v="Traspaso A: Construcciones Del Ranco Spa"/>
    <x v="1"/>
    <m/>
    <m/>
    <n v="5223433"/>
    <m/>
    <n v="-70545"/>
    <m/>
  </r>
  <r>
    <x v="23"/>
    <s v="Traspaso A: Benjamin Lecaros"/>
    <x v="1"/>
    <m/>
    <s v="BLS"/>
    <n v="5152888"/>
    <m/>
    <n v="-113639"/>
    <m/>
  </r>
  <r>
    <x v="24"/>
    <s v="Deposito En Efectivo N° 2941600"/>
    <x v="3"/>
    <m/>
    <m/>
    <n v="5039249"/>
    <n v="3500000"/>
    <m/>
    <s v="Promesa Katherine A-10"/>
  </r>
  <r>
    <x v="25"/>
    <s v="Comision Anual Linea De Credito Automatica"/>
    <x v="6"/>
    <m/>
    <m/>
    <n v="8539249"/>
    <m/>
    <n v="-103638"/>
    <m/>
  </r>
  <r>
    <x v="26"/>
    <s v="Traspaso De: Valentina Michelle Aranda Espinoza"/>
    <x v="3"/>
    <s v="A5 - VALENTINA ARANDA"/>
    <m/>
    <n v="8435611"/>
    <n v="200000"/>
    <m/>
    <s v="Reserva A-5"/>
  </r>
  <r>
    <x v="27"/>
    <s v="Traspaso A: La Nube Fotografia Ltda."/>
    <x v="1"/>
    <m/>
    <m/>
    <n v="8635611"/>
    <m/>
    <n v="-178500"/>
    <m/>
  </r>
  <r>
    <x v="27"/>
    <s v="Traspaso A: Geotim Ltda"/>
    <x v="1"/>
    <m/>
    <m/>
    <n v="8457111"/>
    <m/>
    <n v="-946050"/>
    <s v="instalacion alcantarill"/>
  </r>
  <r>
    <x v="28"/>
    <s v="Traspaso A: Servicios Psicologicos Integrales"/>
    <x v="3"/>
    <m/>
    <m/>
    <n v="7511061"/>
    <m/>
    <n v="-200000"/>
    <s v="Reembolso reserva A-13"/>
  </r>
  <r>
    <x v="28"/>
    <s v="Traspaso A: Benjamin Lecaros"/>
    <x v="1"/>
    <m/>
    <s v="BLS"/>
    <n v="7311061"/>
    <m/>
    <n v="-19909"/>
    <s v="Tekkrom"/>
  </r>
  <r>
    <x v="29"/>
    <s v="Dep.cheq.otros Bancos N° 4485178"/>
    <x v="2"/>
    <m/>
    <s v="FHB"/>
    <n v="7291152"/>
    <n v="42000000"/>
    <m/>
    <s v="Prestamos Felipe Hiriart"/>
  </r>
  <r>
    <x v="29"/>
    <s v="Deposito Con Cheque Mismo Banco N° 3956722"/>
    <x v="2"/>
    <m/>
    <s v="DOMI"/>
    <n v="49291152"/>
    <n v="260000000"/>
    <m/>
    <s v="Prestamos Dominique Hiriat"/>
  </r>
  <r>
    <x v="30"/>
    <s v="Traspaso De: Valentina Michelle Aranda Espinoza"/>
    <x v="3"/>
    <s v="A5 - VALENTINA ARANDA"/>
    <m/>
    <n v="309291152"/>
    <n v="4800000"/>
    <m/>
    <s v="Pie parcela A-5"/>
  </r>
  <r>
    <x v="30"/>
    <s v="Traspaso De: Miguel Jesus Torres Agreda"/>
    <x v="3"/>
    <m/>
    <m/>
    <n v="314091152"/>
    <n v="200000"/>
    <m/>
    <s v="Reserva B-5"/>
  </r>
  <r>
    <x v="30"/>
    <s v="Traspaso A: Asesorias Ecox Spa"/>
    <x v="1"/>
    <m/>
    <m/>
    <n v="314291152"/>
    <m/>
    <n v="-100000"/>
    <s v="Servicio contable"/>
  </r>
  <r>
    <x v="30"/>
    <s v="Traspaso A: Benjamin Lecaros"/>
    <x v="1"/>
    <m/>
    <s v="BLS"/>
    <n v="314191152"/>
    <m/>
    <n v="-9674"/>
    <s v="Envio chilexpress"/>
  </r>
  <r>
    <x v="31"/>
    <s v="Traspaso A: Conrad Pablo Zlch Parra"/>
    <x v="4"/>
    <m/>
    <m/>
    <n v="314181478"/>
    <m/>
    <n v="-27500"/>
    <s v="Set documentos"/>
  </r>
  <r>
    <x v="31"/>
    <s v="Traspaso De: Manuel Alejandro Jeldres Stuardo"/>
    <x v="3"/>
    <m/>
    <m/>
    <n v="314153978"/>
    <n v="200000"/>
    <m/>
    <s v="Reserva A-3"/>
  </r>
  <r>
    <x v="32"/>
    <s v="Traspaso A: Andres Rieutord"/>
    <x v="4"/>
    <m/>
    <m/>
    <n v="314353978"/>
    <m/>
    <n v="-10000"/>
    <m/>
  </r>
  <r>
    <x v="33"/>
    <s v="Cargo Por Aplicacion De Dividendo"/>
    <x v="2"/>
    <m/>
    <s v="BANCO DE CHILE"/>
    <n v="314343978"/>
    <m/>
    <n v="-300775861"/>
    <m/>
  </r>
  <r>
    <x v="33"/>
    <s v="Traspaso A: Benjamin Lecaros"/>
    <x v="1"/>
    <m/>
    <s v="BLS"/>
    <n v="13568117"/>
    <m/>
    <n v="-140949"/>
    <s v="Reembolsa gastos viaje"/>
  </r>
  <r>
    <x v="34"/>
    <s v="Pago En Sii.cl*"/>
    <x v="1"/>
    <m/>
    <m/>
    <n v="13427168"/>
    <m/>
    <n v="-7563"/>
    <m/>
  </r>
  <r>
    <x v="34"/>
    <s v="Traspaso De: Distribuidora El Turco Limitada"/>
    <x v="3"/>
    <m/>
    <m/>
    <n v="13419605"/>
    <n v="1000000"/>
    <m/>
    <s v="Reserva 5 lotes Jorge Berna"/>
  </r>
  <r>
    <x v="34"/>
    <s v="Traspaso De: Carlos Alberto Cespedes Lopez"/>
    <x v="3"/>
    <m/>
    <m/>
    <n v="14419605"/>
    <n v="6600000"/>
    <m/>
    <s v="Pago cuota 1/3"/>
  </r>
  <r>
    <x v="34"/>
    <s v="Traspaso De: Rodolfo Andres Ramirez Ortiz"/>
    <x v="3"/>
    <s v="C11 - RODOLFO RAMÍREZ"/>
    <m/>
    <n v="21019605"/>
    <n v="200000"/>
    <m/>
    <s v="Reserva lote C-11"/>
  </r>
  <r>
    <x v="34"/>
    <s v="Pago Automatico Tarjeta De Credito"/>
    <x v="1"/>
    <m/>
    <m/>
    <n v="21219605"/>
    <m/>
    <n v="-901592"/>
    <m/>
  </r>
  <r>
    <x v="35"/>
    <s v="Traspaso A: Andres Rieutord"/>
    <x v="4"/>
    <m/>
    <m/>
    <n v="20318013"/>
    <m/>
    <n v="-60000"/>
    <m/>
  </r>
  <r>
    <x v="35"/>
    <s v="Traspaso De: Miguel Jesus Torres Agreda"/>
    <x v="3"/>
    <m/>
    <m/>
    <n v="20258013"/>
    <n v="200000"/>
    <m/>
    <s v="Reserva lote B3"/>
  </r>
  <r>
    <x v="36"/>
    <s v="Recaudacion Y Pagos De Servicios *"/>
    <x v="7"/>
    <m/>
    <m/>
    <n v="20458013"/>
    <m/>
    <n v="-20000000"/>
    <m/>
  </r>
  <r>
    <x v="37"/>
    <s v="Traspaso De: Maria Paz Martinez"/>
    <x v="3"/>
    <m/>
    <m/>
    <n v="458013"/>
    <n v="200000"/>
    <m/>
    <s v="Reserva B15"/>
  </r>
  <r>
    <x v="37"/>
    <s v="Traspaso De: Pamela De Lourdes Ruiz Garces"/>
    <x v="3"/>
    <m/>
    <m/>
    <n v="658013"/>
    <n v="200000"/>
    <m/>
    <s v="Reserva C7"/>
  </r>
  <r>
    <x v="37"/>
    <s v="Traspaso De: Karen Mabel Mardones Leiva"/>
    <x v="3"/>
    <m/>
    <m/>
    <n v="858013"/>
    <n v="200000"/>
    <m/>
    <s v="Reserva B4"/>
  </r>
  <r>
    <x v="38"/>
    <s v="Traspaso De: Blanca Del Pilar Rojas Bahamondes"/>
    <x v="3"/>
    <m/>
    <m/>
    <n v="1058013"/>
    <n v="200000"/>
    <m/>
    <s v="Reserva A12"/>
  </r>
  <r>
    <x v="38"/>
    <s v="Traspaso A: Benjamin Lecaros"/>
    <x v="1"/>
    <m/>
    <s v="BLS"/>
    <n v="1258013"/>
    <m/>
    <n v="-20000"/>
    <m/>
  </r>
  <r>
    <x v="38"/>
    <s v="Traspaso A: Benjamin Lecaros"/>
    <x v="1"/>
    <m/>
    <s v="BLS"/>
    <n v="1238013"/>
    <m/>
    <n v="-9691"/>
    <m/>
  </r>
  <r>
    <x v="39"/>
    <s v="Traspaso A: Benjamin Lecaros"/>
    <x v="1"/>
    <m/>
    <s v="BLS"/>
    <n v="1228322"/>
    <m/>
    <n v="-36069"/>
    <m/>
  </r>
  <r>
    <x v="39"/>
    <s v="Traspaso A: Benjamin Lecaros"/>
    <x v="1"/>
    <m/>
    <s v="BLS"/>
    <n v="1192253"/>
    <m/>
    <n v="-9528"/>
    <m/>
  </r>
  <r>
    <x v="40"/>
    <s v="Traspaso A: Andres Rieutord"/>
    <x v="4"/>
    <m/>
    <m/>
    <n v="1182725"/>
    <m/>
    <n v="-120000"/>
    <m/>
  </r>
  <r>
    <x v="41"/>
    <s v="Traspaso A: Felipe Chavez Torres"/>
    <x v="1"/>
    <m/>
    <m/>
    <n v="1062725"/>
    <m/>
    <n v="-259074"/>
    <m/>
  </r>
  <r>
    <x v="41"/>
    <s v="Traspaso A: Felipe Chavez Torres"/>
    <x v="1"/>
    <m/>
    <m/>
    <n v="803651"/>
    <m/>
    <n v="-260000"/>
    <m/>
  </r>
  <r>
    <x v="41"/>
    <s v="Traspaso A: Andres Rieutord"/>
    <x v="4"/>
    <m/>
    <m/>
    <n v="543651"/>
    <m/>
    <n v="-50000"/>
    <m/>
  </r>
  <r>
    <x v="41"/>
    <s v="Traspaso De: Francisco Javier Flore"/>
    <x v="3"/>
    <m/>
    <m/>
    <n v="493651"/>
    <n v="200000"/>
    <m/>
    <s v="Reserva B2 Francisco"/>
  </r>
  <r>
    <x v="42"/>
    <s v="Traspaso De: Roberto Andres Traslavina Lopez"/>
    <x v="3"/>
    <m/>
    <m/>
    <n v="693651"/>
    <n v="200000"/>
    <m/>
    <s v="Reserva C-14 Roberto"/>
  </r>
  <r>
    <x v="43"/>
    <s v="Traspaso De: Cristina Adela Ochoa Adamas"/>
    <x v="3"/>
    <m/>
    <m/>
    <n v="893651"/>
    <n v="200000"/>
    <m/>
    <s v="Reserva C-1 Cristina"/>
  </r>
  <r>
    <x v="43"/>
    <s v="Pago: Inversiones 0965712208"/>
    <x v="7"/>
    <m/>
    <m/>
    <n v="1093651"/>
    <n v="5000001"/>
    <m/>
    <m/>
  </r>
  <r>
    <x v="44"/>
    <s v="Traspaso De: Cifuentes Ortiz Natalia Andrea"/>
    <x v="3"/>
    <m/>
    <m/>
    <n v="6093652"/>
    <n v="200000"/>
    <m/>
    <s v="Reserva C-12 Natalia"/>
  </r>
  <r>
    <x v="44"/>
    <s v="Traspaso A: Geotim Ltda"/>
    <x v="1"/>
    <m/>
    <m/>
    <n v="6293652"/>
    <m/>
    <n v="-5000000"/>
    <s v="Caminos"/>
  </r>
  <r>
    <x v="44"/>
    <s v="Traspaso A: Geotim Ltda"/>
    <x v="1"/>
    <m/>
    <m/>
    <n v="1293652"/>
    <m/>
    <n v="-950000"/>
    <s v="Caminos"/>
  </r>
  <r>
    <x v="44"/>
    <s v="Traspaso A: Andres Rieutord"/>
    <x v="4"/>
    <m/>
    <m/>
    <n v="343652"/>
    <m/>
    <n v="-120000"/>
    <m/>
  </r>
  <r>
    <x v="44"/>
    <s v="Traspaso A: Conrad Pablo Zlch Parra"/>
    <x v="4"/>
    <m/>
    <m/>
    <n v="223652"/>
    <m/>
    <n v="-27500"/>
    <m/>
  </r>
  <r>
    <x v="44"/>
    <s v="Traspaso A: Asesorias Ecox Spa"/>
    <x v="1"/>
    <m/>
    <m/>
    <n v="196152"/>
    <m/>
    <n v="-100000"/>
    <m/>
  </r>
  <r>
    <x v="45"/>
    <s v="Pago: Inversiones 0965712208"/>
    <x v="7"/>
    <m/>
    <m/>
    <n v="96152"/>
    <n v="6000001"/>
    <m/>
    <m/>
  </r>
  <r>
    <x v="45"/>
    <s v="Deposito En Efectivo N° 5584602"/>
    <x v="3"/>
    <s v="B9 - RODOLFO UTRERAS"/>
    <m/>
    <n v="6096153"/>
    <n v="7000000"/>
    <m/>
    <s v="Pie parcela B-9 Rodolfo"/>
  </r>
  <r>
    <x v="45"/>
    <s v="Traspaso A: Asesorias Ecox Spa"/>
    <x v="1"/>
    <m/>
    <m/>
    <n v="13096153"/>
    <m/>
    <n v="-4000000"/>
    <m/>
  </r>
  <r>
    <x v="45"/>
    <s v="Traspaso A: Geotim Ltda"/>
    <x v="1"/>
    <m/>
    <m/>
    <n v="9096153"/>
    <m/>
    <n v="-1900000"/>
    <s v="Caminos"/>
  </r>
  <r>
    <x v="45"/>
    <s v="Recaudacion Y Pagos De Servicios *"/>
    <x v="7"/>
    <m/>
    <m/>
    <n v="7196153"/>
    <m/>
    <n v="-7000000"/>
    <m/>
  </r>
  <r>
    <x v="46"/>
    <s v="Traspaso De: Lisssette Patricia Riquelme Martinez"/>
    <x v="3"/>
    <m/>
    <m/>
    <n v="196153"/>
    <n v="4800000"/>
    <m/>
    <s v="Pie parcela B7"/>
  </r>
  <r>
    <x v="47"/>
    <s v="Traspaso De: Francisca Fernanda San Martin Peralta"/>
    <x v="3"/>
    <m/>
    <m/>
    <n v="4996153"/>
    <n v="200000"/>
    <m/>
    <s v="Reserva B10"/>
  </r>
  <r>
    <x v="47"/>
    <s v="Traspaso A: Benjamin Lecaros"/>
    <x v="1"/>
    <m/>
    <s v="BLS"/>
    <n v="5196153"/>
    <m/>
    <n v="-1710000"/>
    <m/>
  </r>
  <r>
    <x v="47"/>
    <s v="Recaudacion Y Pagos De Servicios *"/>
    <x v="7"/>
    <m/>
    <m/>
    <n v="3486153"/>
    <m/>
    <n v="-3300000"/>
    <m/>
  </r>
  <r>
    <x v="47"/>
    <s v="Pago Automatico Tarjeta De Credito"/>
    <x v="1"/>
    <m/>
    <m/>
    <n v="186153"/>
    <m/>
    <n v="-1175879"/>
    <m/>
  </r>
  <r>
    <x v="47"/>
    <s v="Transferencia Desde Linea De Credito"/>
    <x v="6"/>
    <m/>
    <m/>
    <n v="-989726"/>
    <n v="989726"/>
    <m/>
    <m/>
  </r>
  <r>
    <x v="48"/>
    <s v="Traspaso De: Francisco Javier Flore"/>
    <x v="3"/>
    <m/>
    <m/>
    <n v="0"/>
    <n v="200000"/>
    <m/>
    <m/>
  </r>
  <r>
    <x v="48"/>
    <s v="Traspaso A: Andres Rieutord"/>
    <x v="4"/>
    <m/>
    <m/>
    <n v="200000"/>
    <m/>
    <n v="-50000"/>
    <m/>
  </r>
  <r>
    <x v="48"/>
    <s v="Traspaso A: Andres Rieutord"/>
    <x v="4"/>
    <m/>
    <m/>
    <n v="150000"/>
    <m/>
    <n v="-60000"/>
    <m/>
  </r>
  <r>
    <x v="48"/>
    <s v="Traspaso De: Carlos Alberto Cespedes Lopez"/>
    <x v="3"/>
    <m/>
    <m/>
    <n v="90000"/>
    <n v="6600000"/>
    <m/>
    <m/>
  </r>
  <r>
    <x v="48"/>
    <s v="Recaudacion Y Pagos De Servicios *"/>
    <x v="7"/>
    <m/>
    <m/>
    <n v="6690000"/>
    <m/>
    <n v="-4600000"/>
    <m/>
  </r>
  <r>
    <x v="48"/>
    <s v="Amortizacion A Linea De Credito"/>
    <x v="6"/>
    <m/>
    <m/>
    <n v="2090000"/>
    <m/>
    <n v="-989726"/>
    <m/>
  </r>
  <r>
    <x v="49"/>
    <s v="Pago En Tesoreria.cl*"/>
    <x v="5"/>
    <m/>
    <m/>
    <n v="1100274"/>
    <m/>
    <n v="-351268"/>
    <s v="Contribuciones cuota 1"/>
  </r>
  <r>
    <x v="50"/>
    <s v="Pago En Sii.cl*"/>
    <x v="5"/>
    <m/>
    <m/>
    <n v="749006"/>
    <m/>
    <n v="-439844"/>
    <m/>
  </r>
  <r>
    <x v="51"/>
    <s v="Traspaso De: Maritza Marcela Leiva Vera"/>
    <x v="3"/>
    <m/>
    <m/>
    <n v="309162"/>
    <n v="200000"/>
    <m/>
    <m/>
  </r>
  <r>
    <x v="51"/>
    <s v="Abono Por Reversa De Dividendo"/>
    <x v="2"/>
    <m/>
    <s v="BANCO DE CHILE"/>
    <n v="509162"/>
    <n v="17570170"/>
    <m/>
    <m/>
  </r>
  <r>
    <x v="52"/>
    <s v="Recaudacion Y Pagos De Servicios *"/>
    <x v="7"/>
    <m/>
    <m/>
    <n v="18079332"/>
    <m/>
    <n v="-16000000"/>
    <m/>
  </r>
  <r>
    <x v="53"/>
    <s v="Traspaso A: Geotim Ltda"/>
    <x v="1"/>
    <m/>
    <m/>
    <n v="2079332"/>
    <m/>
    <n v="-1309000"/>
    <s v="ADELANTO REPLANTEO"/>
  </r>
  <r>
    <x v="53"/>
    <s v="Traspaso De: Cecilia Adelaida Villagra Villagra"/>
    <x v="3"/>
    <m/>
    <m/>
    <n v="770332"/>
    <n v="200000"/>
    <m/>
    <s v="Reserva C10"/>
  </r>
  <r>
    <x v="54"/>
    <s v="Traspaso De: Juan Esteban Sanchez Bascur"/>
    <x v="3"/>
    <m/>
    <m/>
    <n v="970332"/>
    <n v="200000"/>
    <m/>
    <s v="Reserva C9"/>
  </r>
  <r>
    <x v="55"/>
    <s v="Traspaso A: Conrad Pablo Zlch Parra"/>
    <x v="4"/>
    <m/>
    <m/>
    <n v="1170332"/>
    <m/>
    <n v="-177500"/>
    <m/>
  </r>
  <r>
    <x v="56"/>
    <s v="Traspaso A: Andres Rieutord"/>
    <x v="4"/>
    <m/>
    <m/>
    <n v="992832"/>
    <m/>
    <n v="-90000"/>
    <m/>
  </r>
  <r>
    <x v="56"/>
    <s v="Traspaso A: Conrad Pablo Zlch Parra"/>
    <x v="4"/>
    <m/>
    <m/>
    <n v="902832"/>
    <m/>
    <n v="-35500"/>
    <m/>
  </r>
  <r>
    <x v="57"/>
    <s v="Deposito En Efectivo N° 8860669"/>
    <x v="3"/>
    <m/>
    <m/>
    <n v="867332"/>
    <n v="19800000"/>
    <m/>
    <s v="B12 claudio Quezada"/>
  </r>
  <r>
    <x v="57"/>
    <s v="Dep.cheq.otros Bancos N° 4543970"/>
    <x v="3"/>
    <m/>
    <m/>
    <n v="20667332"/>
    <n v="84200000"/>
    <m/>
    <s v="B6, B16, A15, A9"/>
  </r>
  <r>
    <x v="58"/>
    <s v="Traspaso De: Manzano Ruiz Cristian Osvaldo"/>
    <x v="3"/>
    <m/>
    <m/>
    <n v="104867332"/>
    <n v="200000"/>
    <m/>
    <s v="Reserva parcela C8"/>
  </r>
  <r>
    <x v="58"/>
    <s v="Dep.cheq.otros Bancos N° 4543994"/>
    <x v="3"/>
    <m/>
    <m/>
    <n v="105067332"/>
    <n v="19800000"/>
    <m/>
    <s v="B13 Carlos San Martin"/>
  </r>
  <r>
    <x v="59"/>
    <s v="Traspaso A: Benjamin Lecaros"/>
    <x v="1"/>
    <m/>
    <s v="BLS"/>
    <n v="124867332"/>
    <m/>
    <n v="-3420000"/>
    <s v="Asesoria venta A9 B12 B13 B16"/>
  </r>
  <r>
    <x v="59"/>
    <s v="Traspaso De: Valentina Michelle Aranda Espinoza"/>
    <x v="3"/>
    <s v="A5 - VALENTINA ARANDA"/>
    <m/>
    <n v="121447332"/>
    <n v="1125465"/>
    <m/>
    <s v="Cuota 1/24"/>
  </r>
  <r>
    <x v="59"/>
    <s v="Pago: Inversiones 0965712208"/>
    <x v="7"/>
    <m/>
    <m/>
    <n v="122572797"/>
    <n v="40028395"/>
    <m/>
    <m/>
  </r>
  <r>
    <x v="59"/>
    <s v="Traspaso A: Dominique Hiriart"/>
    <x v="2"/>
    <m/>
    <s v="DOMI"/>
    <n v="162601192"/>
    <m/>
    <n v="-5000000"/>
    <m/>
  </r>
  <r>
    <x v="59"/>
    <s v="Traspaso A: Dominique Hiriart"/>
    <x v="2"/>
    <m/>
    <s v="DOMI"/>
    <n v="157601192"/>
    <m/>
    <n v="-5000000"/>
    <m/>
  </r>
  <r>
    <x v="59"/>
    <s v="Traspaso A: Dominique Hiriart"/>
    <x v="2"/>
    <m/>
    <s v="DOMI"/>
    <n v="152601192"/>
    <m/>
    <n v="-5000000"/>
    <m/>
  </r>
  <r>
    <x v="59"/>
    <s v="Traspaso A: Dominique Hiriart"/>
    <x v="2"/>
    <m/>
    <s v="DOMI"/>
    <n v="147601192"/>
    <m/>
    <n v="-5000000"/>
    <m/>
  </r>
  <r>
    <x v="59"/>
    <s v="Traspaso A: Dominique Hiriart"/>
    <x v="2"/>
    <m/>
    <s v="DOMI"/>
    <n v="142601192"/>
    <m/>
    <n v="-5000000"/>
    <m/>
  </r>
  <r>
    <x v="59"/>
    <s v="Traspaso A: Dominique Hiriart"/>
    <x v="2"/>
    <m/>
    <s v="DOMI"/>
    <n v="137601192"/>
    <m/>
    <n v="-5000000"/>
    <m/>
  </r>
  <r>
    <x v="59"/>
    <s v="Traspaso A: Dominique Hiriart"/>
    <x v="2"/>
    <m/>
    <s v="DOMI"/>
    <n v="132601192"/>
    <m/>
    <n v="-5000000"/>
    <m/>
  </r>
  <r>
    <x v="59"/>
    <s v="Traspaso A: Dominique Hiriart"/>
    <x v="2"/>
    <m/>
    <s v="DOMI"/>
    <n v="127601192"/>
    <m/>
    <n v="-5000000"/>
    <m/>
  </r>
  <r>
    <x v="59"/>
    <s v="Traspaso A: Dominique Hiriart"/>
    <x v="2"/>
    <m/>
    <s v="DOMI"/>
    <n v="122601192"/>
    <m/>
    <n v="-5000000"/>
    <m/>
  </r>
  <r>
    <x v="59"/>
    <s v="Traspaso A: Dominique Hiriart"/>
    <x v="2"/>
    <m/>
    <s v="DOMI"/>
    <n v="117601192"/>
    <m/>
    <n v="-5000000"/>
    <m/>
  </r>
  <r>
    <x v="59"/>
    <s v="Traspaso A: Dominique Hiriart"/>
    <x v="2"/>
    <m/>
    <s v="DOMI"/>
    <n v="112601192"/>
    <m/>
    <n v="-5000000"/>
    <m/>
  </r>
  <r>
    <x v="59"/>
    <s v="Traspaso A: Dominique Hiriart"/>
    <x v="2"/>
    <m/>
    <s v="DOMI"/>
    <n v="107601192"/>
    <m/>
    <n v="-5000000"/>
    <m/>
  </r>
  <r>
    <x v="59"/>
    <s v="Traspaso A: Dominique Hiriart"/>
    <x v="2"/>
    <m/>
    <s v="DOMI"/>
    <n v="102601192"/>
    <m/>
    <n v="-5000000"/>
    <m/>
  </r>
  <r>
    <x v="59"/>
    <s v="Traspaso A: Dominique Hiriart"/>
    <x v="2"/>
    <m/>
    <s v="DOMI"/>
    <n v="97601192"/>
    <m/>
    <n v="-5000000"/>
    <m/>
  </r>
  <r>
    <x v="59"/>
    <s v="Traspaso A: Dominique Hiriart"/>
    <x v="2"/>
    <m/>
    <s v="DOMI"/>
    <n v="92601192"/>
    <m/>
    <n v="-5000000"/>
    <m/>
  </r>
  <r>
    <x v="59"/>
    <s v="Traspaso A: Dominique Hiriart"/>
    <x v="2"/>
    <m/>
    <s v="DOMI"/>
    <n v="87601192"/>
    <m/>
    <n v="-5000000"/>
    <m/>
  </r>
  <r>
    <x v="59"/>
    <s v="Traspaso A: Dominique Hiriart"/>
    <x v="2"/>
    <m/>
    <s v="DOMI"/>
    <n v="82601192"/>
    <m/>
    <n v="-5000000"/>
    <m/>
  </r>
  <r>
    <x v="59"/>
    <s v="Traspaso A: Dominique Hiriart"/>
    <x v="2"/>
    <m/>
    <s v="DOMI"/>
    <n v="77601192"/>
    <m/>
    <n v="-5000000"/>
    <m/>
  </r>
  <r>
    <x v="59"/>
    <s v="Traspaso A: Dominique Hiriart"/>
    <x v="2"/>
    <m/>
    <s v="DOMI"/>
    <n v="72601192"/>
    <m/>
    <n v="-5000000"/>
    <m/>
  </r>
  <r>
    <x v="59"/>
    <s v="Traspaso A: Dominique Hiriart"/>
    <x v="2"/>
    <m/>
    <s v="DOMI"/>
    <n v="67601192"/>
    <m/>
    <n v="-5000000"/>
    <m/>
  </r>
  <r>
    <x v="59"/>
    <s v="Traspaso A: Dominique Hiriart"/>
    <x v="2"/>
    <m/>
    <s v="DOMI"/>
    <n v="62601192"/>
    <m/>
    <n v="-5000000"/>
    <m/>
  </r>
  <r>
    <x v="59"/>
    <s v="Traspaso A: Dominique Hiriart"/>
    <x v="2"/>
    <m/>
    <s v="DOMI"/>
    <n v="57601192"/>
    <m/>
    <n v="-5000000"/>
    <m/>
  </r>
  <r>
    <x v="59"/>
    <s v="Traspaso A: Dominique Hiriart"/>
    <x v="2"/>
    <m/>
    <s v="DOMI"/>
    <n v="52601192"/>
    <m/>
    <n v="-5000000"/>
    <m/>
  </r>
  <r>
    <x v="59"/>
    <s v="Traspaso A: Dominique Hiriart"/>
    <x v="2"/>
    <m/>
    <s v="DOMI"/>
    <n v="47601192"/>
    <m/>
    <n v="-5000000"/>
    <m/>
  </r>
  <r>
    <x v="59"/>
    <s v="Traspaso A: Dominique Hiriart"/>
    <x v="2"/>
    <m/>
    <s v="DOMI"/>
    <n v="42601192"/>
    <m/>
    <n v="-5000000"/>
    <m/>
  </r>
  <r>
    <x v="59"/>
    <s v="Traspaso A: Dominique Hiriart"/>
    <x v="2"/>
    <m/>
    <s v="DOMI"/>
    <n v="37601192"/>
    <m/>
    <n v="-5000000"/>
    <m/>
  </r>
  <r>
    <x v="59"/>
    <s v="Traspaso A: Dominique Hiriart"/>
    <x v="2"/>
    <m/>
    <s v="DOMI"/>
    <n v="32601192"/>
    <m/>
    <n v="-5000000"/>
    <m/>
  </r>
  <r>
    <x v="59"/>
    <s v="Traspaso A: Dominique Hiriart"/>
    <x v="2"/>
    <m/>
    <s v="DOMI"/>
    <n v="27601192"/>
    <m/>
    <n v="-5000000"/>
    <m/>
  </r>
  <r>
    <x v="59"/>
    <s v="Traspaso A: Dominique Hiriart"/>
    <x v="2"/>
    <m/>
    <s v="DOMI"/>
    <n v="22601192"/>
    <m/>
    <n v="-5000000"/>
    <m/>
  </r>
  <r>
    <x v="59"/>
    <s v="Traspaso A: Dominique Hiriart"/>
    <x v="2"/>
    <m/>
    <s v="DOMI"/>
    <n v="17601192"/>
    <m/>
    <n v="-5000000"/>
    <m/>
  </r>
  <r>
    <x v="60"/>
    <s v="Traspaso A: Carlos Ciuffardi"/>
    <x v="1"/>
    <m/>
    <m/>
    <n v="12601192"/>
    <m/>
    <n v="-1068750"/>
    <s v="Comision venta A15"/>
  </r>
  <r>
    <x v="60"/>
    <s v="Traspaso A: La Nube Fotografia Ltda."/>
    <x v="1"/>
    <m/>
    <m/>
    <n v="11532442"/>
    <m/>
    <n v="-178500"/>
    <s v="actualizacion nube"/>
  </r>
  <r>
    <x v="60"/>
    <s v="Traspaso De: Rodolfo Alexis Utreras"/>
    <x v="3"/>
    <s v="B9 - RODOLFO UTRERAS"/>
    <m/>
    <n v="11353942"/>
    <n v="175000"/>
    <m/>
    <s v="Cuota 1/48"/>
  </r>
  <r>
    <x v="61"/>
    <s v="Traspaso A: Geotim Ltda"/>
    <x v="1"/>
    <m/>
    <m/>
    <n v="11528942"/>
    <m/>
    <n v="-800000"/>
    <s v="Comision venta B6"/>
  </r>
  <r>
    <x v="61"/>
    <s v="Traspaso A: Asesorias Ecox Spa"/>
    <x v="1"/>
    <m/>
    <m/>
    <n v="10728942"/>
    <m/>
    <n v="-4000000"/>
    <m/>
  </r>
  <r>
    <x v="61"/>
    <s v="Traspaso A: Asesorias Ecox Spa"/>
    <x v="1"/>
    <m/>
    <m/>
    <n v="6728942"/>
    <m/>
    <n v="-100000"/>
    <s v="Servicio contable"/>
  </r>
  <r>
    <x v="61"/>
    <s v="Impuesto Linea De Credito"/>
    <x v="6"/>
    <m/>
    <m/>
    <n v="6628942"/>
    <m/>
    <n v="-653"/>
    <m/>
  </r>
  <r>
    <x v="61"/>
    <s v="Intereses Linea De Credito"/>
    <x v="6"/>
    <m/>
    <m/>
    <n v="6628289"/>
    <m/>
    <n v="-473"/>
    <m/>
  </r>
  <r>
    <x v="62"/>
    <s v="Traspaso A: Benjamin Lecaros"/>
    <x v="1"/>
    <m/>
    <s v="BLS"/>
    <n v="6627816"/>
    <m/>
    <n v="-2565000"/>
    <s v="Asesoria venta A5 A10 C15"/>
  </r>
  <r>
    <x v="62"/>
    <s v="Traspaso A: Hector Varela"/>
    <x v="1"/>
    <m/>
    <m/>
    <n v="4062816"/>
    <m/>
    <n v="-141152"/>
    <s v="Reembolsa gastos bencina"/>
  </r>
  <r>
    <x v="63"/>
    <s v="Traspaso A: Conrad Pablo Zlch Parra"/>
    <x v="4"/>
    <m/>
    <m/>
    <n v="3921664"/>
    <m/>
    <n v="-155500"/>
    <m/>
  </r>
  <r>
    <x v="64"/>
    <s v="Traspaso A: Andres Rieutord"/>
    <x v="4"/>
    <m/>
    <m/>
    <n v="3766164"/>
    <m/>
    <n v="-60000"/>
    <m/>
  </r>
  <r>
    <x v="64"/>
    <s v="Traspaso A: Pamela Ruiz"/>
    <x v="3"/>
    <m/>
    <m/>
    <n v="3706164"/>
    <m/>
    <n v="-200000"/>
    <s v="Reembolso reserva C7"/>
  </r>
  <r>
    <x v="64"/>
    <s v="Pago Automatico Tarjeta De Credito"/>
    <x v="1"/>
    <m/>
    <m/>
    <n v="3506164"/>
    <m/>
    <n v="-1334208"/>
    <m/>
  </r>
  <r>
    <x v="65"/>
    <s v="Traspaso De: Carlos Alberto Cespedes Lopez"/>
    <x v="3"/>
    <m/>
    <m/>
    <n v="2171956"/>
    <n v="6600000"/>
    <m/>
    <m/>
  </r>
  <r>
    <x v="66"/>
    <s v="Recaudacion Y Pagos De Servicios *"/>
    <x v="7"/>
    <m/>
    <m/>
    <n v="8771956"/>
    <m/>
    <n v="-7500000"/>
    <m/>
  </r>
  <r>
    <x v="66"/>
    <s v="Traspaso A: Jorge Ignacio Troncoso Vidal"/>
    <x v="1"/>
    <m/>
    <m/>
    <n v="1271956"/>
    <m/>
    <n v="-50000"/>
    <s v="Firma en valdivia"/>
  </r>
  <r>
    <x v="67"/>
    <s v="Pago En Sii.cl*"/>
    <x v="5"/>
    <m/>
    <m/>
    <n v="1221956"/>
    <m/>
    <n v="-1232157"/>
    <m/>
  </r>
  <r>
    <x v="67"/>
    <s v="Transferencia Desde Linea De Credito"/>
    <x v="6"/>
    <m/>
    <m/>
    <n v="-10201"/>
    <n v="10201"/>
    <m/>
    <m/>
  </r>
  <r>
    <x v="68"/>
    <s v="Traspaso De: Molina Saavedra Alberto Ricardo"/>
    <x v="3"/>
    <m/>
    <m/>
    <n v="0"/>
    <n v="200000"/>
    <m/>
    <s v="Reserva B-11"/>
  </r>
  <r>
    <x v="68"/>
    <s v="Pago Linea De Cred: 018870277108"/>
    <x v="6"/>
    <m/>
    <m/>
    <n v="200000"/>
    <m/>
    <n v="-10201"/>
    <m/>
  </r>
  <r>
    <x v="68"/>
    <s v="Traspaso A: Jorge Ignacio Troncoso Vidal"/>
    <x v="1"/>
    <m/>
    <m/>
    <n v="189799"/>
    <m/>
    <n v="-50000"/>
    <s v="Firma en valdivia"/>
  </r>
  <r>
    <x v="69"/>
    <s v="Traspaso De: Ximena Paz Ormazabal Canelo"/>
    <x v="3"/>
    <m/>
    <m/>
    <n v="139799"/>
    <n v="200000"/>
    <m/>
    <s v="Reserva C-14"/>
  </r>
  <r>
    <x v="70"/>
    <s v="Traspaso A: Rodrigo Rojas Castillo"/>
    <x v="4"/>
    <m/>
    <m/>
    <n v="339799"/>
    <m/>
    <n v="-133500"/>
    <s v="notaria San pedro de la paz"/>
  </r>
  <r>
    <x v="70"/>
    <s v="Traspaso De: Distribuidora El Turco Limitada"/>
    <x v="3"/>
    <m/>
    <m/>
    <n v="206299"/>
    <n v="7000000"/>
    <m/>
    <s v="Pago 1 de 4 Pie 4 lotes"/>
  </r>
  <r>
    <x v="70"/>
    <s v="Traspaso De: Distribuidora El Turco Limitada"/>
    <x v="3"/>
    <m/>
    <m/>
    <n v="7206299"/>
    <n v="3000000"/>
    <m/>
    <s v="Pago 2 de 4 Pie 4 lotes"/>
  </r>
  <r>
    <x v="70"/>
    <s v="Traspaso A: Jorge Ignacio Troncoso Vidal"/>
    <x v="1"/>
    <m/>
    <m/>
    <n v="10206299"/>
    <m/>
    <n v="-50000"/>
    <s v="Firma en Osorno"/>
  </r>
  <r>
    <x v="70"/>
    <s v="Traspaso A: Jorge Ignacio Troncoso Vidal"/>
    <x v="1"/>
    <m/>
    <m/>
    <n v="10156299"/>
    <m/>
    <n v="-47000"/>
    <s v="Reembolsa gastos a Osorno"/>
  </r>
  <r>
    <x v="71"/>
    <s v="Traspaso De: Miguel Bernales Bernales"/>
    <x v="3"/>
    <m/>
    <m/>
    <n v="10109299"/>
    <n v="200000"/>
    <m/>
    <s v="Reserva C-1"/>
  </r>
  <r>
    <x v="72"/>
    <s v="Traspaso De: Evelyn Paola Galarce Gonzalez"/>
    <x v="3"/>
    <m/>
    <m/>
    <n v="10309299"/>
    <n v="200000"/>
    <m/>
    <s v="Reserva C-4"/>
  </r>
  <r>
    <x v="72"/>
    <s v="Recaudacion Y Pagos De Servicios *"/>
    <x v="7"/>
    <m/>
    <m/>
    <n v="10509299"/>
    <m/>
    <n v="-10000000"/>
    <m/>
  </r>
  <r>
    <x v="72"/>
    <s v="Traspaso De: Rodolfo Andres Ramirez Ortiz"/>
    <x v="3"/>
    <s v="C11 - RODOLFO RAMÍREZ"/>
    <m/>
    <n v="509299"/>
    <n v="4800000"/>
    <m/>
    <s v="Pie parcela C-11"/>
  </r>
  <r>
    <x v="73"/>
    <s v="Traspaso A: Felipe Hiriart"/>
    <x v="1"/>
    <m/>
    <m/>
    <n v="5309299"/>
    <m/>
    <n v="-149376"/>
    <s v="Rendición pasaje Lan a Osorno"/>
  </r>
  <r>
    <x v="73"/>
    <s v="Traspaso A: Felipe Hiriart"/>
    <x v="1"/>
    <m/>
    <m/>
    <n v="5159923"/>
    <m/>
    <n v="-133816"/>
    <s v="Rendición pasaje Lan a Stgo"/>
  </r>
  <r>
    <x v="73"/>
    <s v="Traspaso A: Felipe Hiriart"/>
    <x v="1"/>
    <m/>
    <m/>
    <n v="5026107"/>
    <m/>
    <n v="-152656"/>
    <s v="Arriendo auto Osorno"/>
  </r>
  <r>
    <x v="74"/>
    <s v="Traspaso De: Miguel Angel Cortes Grego"/>
    <x v="3"/>
    <m/>
    <m/>
    <n v="4873451"/>
    <n v="200000"/>
    <m/>
    <s v="Reserva C-13"/>
  </r>
  <r>
    <x v="74"/>
    <s v="Traspaso De: Bernales Vergara Miguel Eduardo"/>
    <x v="3"/>
    <m/>
    <m/>
    <n v="5073451"/>
    <n v="21800000"/>
    <m/>
    <s v="Pago parcela C-1"/>
  </r>
  <r>
    <x v="75"/>
    <s v="Recaudacion Y Pagos De Servicios *"/>
    <x v="7"/>
    <m/>
    <m/>
    <n v="26873451"/>
    <m/>
    <n v="-25000000"/>
    <m/>
  </r>
  <r>
    <x v="75"/>
    <s v="Traspaso De: Moncada Sandoval Pedro Simon"/>
    <x v="3"/>
    <m/>
    <m/>
    <n v="1873451"/>
    <n v="300000"/>
    <m/>
    <s v="Pie parcela C8"/>
  </r>
  <r>
    <x v="76"/>
    <s v="Traspaso A: Brayans Stegmayer"/>
    <x v="1"/>
    <m/>
    <m/>
    <n v="2173451"/>
    <m/>
    <n v="-500000"/>
    <m/>
  </r>
  <r>
    <x v="76"/>
    <s v="Traspaso A: Felipe Hiriart"/>
    <x v="1"/>
    <m/>
    <m/>
    <n v="1673451"/>
    <m/>
    <n v="-590166"/>
    <s v="gastos viaje"/>
  </r>
  <r>
    <x v="76"/>
    <s v="Traspaso A: Pedro Lecaros"/>
    <x v="1"/>
    <m/>
    <m/>
    <n v="1083285"/>
    <m/>
    <n v="-50990"/>
    <s v="viaje"/>
  </r>
  <r>
    <x v="76"/>
    <s v="Traspaso De: Moncada Sandoval Pedro Simon"/>
    <x v="3"/>
    <m/>
    <m/>
    <n v="1032295"/>
    <n v="4500000"/>
    <m/>
    <s v="Pie parcela C8"/>
  </r>
  <r>
    <x v="77"/>
    <s v="Traspaso A: Carlos Ciuffardi"/>
    <x v="1"/>
    <m/>
    <m/>
    <n v="5532295"/>
    <m/>
    <n v="-940500"/>
    <s v="Comision B-5"/>
  </r>
  <r>
    <x v="78"/>
    <s v="Traspaso A: Jorge Ignacio Troncoso Vidal"/>
    <x v="1"/>
    <m/>
    <m/>
    <n v="4591795"/>
    <m/>
    <n v="-50000"/>
    <s v="Firma en Valdivia"/>
  </r>
  <r>
    <x v="78"/>
    <s v="Traspaso De: Rodolfo Andres Ramirez Ortiz"/>
    <x v="1"/>
    <s v="C11 - RODOLFO RAMÍREZ"/>
    <m/>
    <n v="4541795"/>
    <n v="313500"/>
    <m/>
    <s v="Transfiere para pago CBR"/>
  </r>
  <r>
    <x v="78"/>
    <s v="Traspaso De: Rodolfo Andres Ramirez Ortiz"/>
    <x v="1"/>
    <s v="C11 - RODOLFO RAMÍREZ"/>
    <m/>
    <n v="4855295"/>
    <n v="1000"/>
    <m/>
    <m/>
  </r>
  <r>
    <x v="78"/>
    <s v="Traspaso A: Felipe Hiriart"/>
    <x v="1"/>
    <m/>
    <m/>
    <n v="4856295"/>
    <m/>
    <n v="-499026"/>
    <s v="Rendicion 3 viaje a Osorno 29 mayo 25"/>
  </r>
  <r>
    <x v="78"/>
    <s v="Traspaso A: Conrad Pablo Zlch Parra"/>
    <x v="1"/>
    <m/>
    <m/>
    <n v="4357269"/>
    <m/>
    <n v="-313500"/>
    <s v="Pago inscripcion lote C11"/>
  </r>
  <r>
    <x v="78"/>
    <s v="Dep.cheq.otros Bancos N° 3456941"/>
    <x v="3"/>
    <m/>
    <m/>
    <n v="4043769"/>
    <n v="21300000"/>
    <m/>
    <s v="B5"/>
  </r>
  <r>
    <x v="79"/>
    <s v="Traspaso De: Maria Salome Ramos"/>
    <x v="3"/>
    <m/>
    <m/>
    <n v="25343769"/>
    <n v="200000"/>
    <m/>
    <s v="Reserva C7"/>
  </r>
  <r>
    <x v="79"/>
    <s v="Traspaso De: Valentina Michelle Aranda Espinoza"/>
    <x v="3"/>
    <s v="A5 - VALENTINA ARANDA"/>
    <m/>
    <n v="25543769"/>
    <n v="1125465"/>
    <m/>
    <s v="Cuota 2/24"/>
  </r>
  <r>
    <x v="79"/>
    <s v="Traspaso A: Asesorias Ecox Spa"/>
    <x v="1"/>
    <m/>
    <m/>
    <n v="26669234"/>
    <m/>
    <n v="-100000"/>
    <s v="Servicio contable"/>
  </r>
  <r>
    <x v="79"/>
    <s v="Traspaso A: Asesorias Ecox Spa"/>
    <x v="1"/>
    <m/>
    <m/>
    <n v="26569234"/>
    <m/>
    <n v="-4000000"/>
    <m/>
  </r>
  <r>
    <x v="80"/>
    <s v="Traspaso De: Molina Saavedra Alberto Ricardo"/>
    <x v="3"/>
    <m/>
    <m/>
    <n v="22569234"/>
    <n v="4500000"/>
    <m/>
    <s v="Pago 1 de 5 parcela B11"/>
  </r>
  <r>
    <x v="80"/>
    <s v="Traspaso A: Sindy Danaee Sandoval Vega"/>
    <x v="1"/>
    <m/>
    <m/>
    <n v="27069234"/>
    <m/>
    <n v="-752400"/>
    <s v="Comision venta C1"/>
  </r>
  <r>
    <x v="80"/>
    <s v="Traspaso A: Geotim Ltda"/>
    <x v="1"/>
    <m/>
    <m/>
    <n v="26316834"/>
    <m/>
    <n v="-3234800"/>
    <s v="Caminos"/>
  </r>
  <r>
    <x v="80"/>
    <s v="Traspaso A: Geotim Ltda"/>
    <x v="1"/>
    <m/>
    <m/>
    <n v="23082034"/>
    <m/>
    <n v="-1406580"/>
    <s v="Estacas replanteo"/>
  </r>
  <r>
    <x v="80"/>
    <s v="Traspaso A: Geotim Ltda"/>
    <x v="1"/>
    <m/>
    <m/>
    <n v="21675454"/>
    <m/>
    <n v="-5000000"/>
    <s v="Caminos"/>
  </r>
  <r>
    <x v="80"/>
    <s v="Traspaso A: Brayans Stegmayer"/>
    <x v="1"/>
    <m/>
    <m/>
    <n v="16675454"/>
    <m/>
    <n v="-500000"/>
    <m/>
  </r>
  <r>
    <x v="80"/>
    <s v="Traspaso De: Molina Saavedra Alberto Ricardo"/>
    <x v="3"/>
    <m/>
    <m/>
    <n v="16175454"/>
    <n v="4500000"/>
    <m/>
    <s v="Pago 2 de 5 parcela B11"/>
  </r>
  <r>
    <x v="80"/>
    <s v="Traspaso A: Carlos Ciuffardi"/>
    <x v="1"/>
    <m/>
    <m/>
    <n v="20675454"/>
    <m/>
    <n v="-919125"/>
    <s v="Comision A3"/>
  </r>
  <r>
    <x v="80"/>
    <s v="Traspaso A: Benjamin Lecaros"/>
    <x v="1"/>
    <m/>
    <s v="BLS"/>
    <n v="19756329"/>
    <m/>
    <n v="-855000"/>
    <m/>
  </r>
  <r>
    <x v="80"/>
    <s v="Impuesto Linea De Credito"/>
    <x v="6"/>
    <m/>
    <m/>
    <n v="18901329"/>
    <m/>
    <n v="-7"/>
    <m/>
  </r>
  <r>
    <x v="80"/>
    <s v="Intereses Linea De Credito"/>
    <x v="6"/>
    <m/>
    <m/>
    <n v="18901322"/>
    <m/>
    <n v="-5"/>
    <m/>
  </r>
  <r>
    <x v="81"/>
    <s v="Traspaso A: Hector Varela"/>
    <x v="1"/>
    <m/>
    <m/>
    <n v="18901317"/>
    <m/>
    <n v="-216140"/>
    <s v="Reembolsa gastos"/>
  </r>
  <r>
    <x v="81"/>
    <s v="Recaudacion Y Pagos De Servicios *"/>
    <x v="7"/>
    <m/>
    <m/>
    <n v="18685177"/>
    <m/>
    <n v="-18000000"/>
    <m/>
  </r>
  <r>
    <x v="81"/>
    <s v="Traspaso De: Rodolfo Alexis Utreras"/>
    <x v="3"/>
    <s v="B9 - RODOLFO UTRERAS"/>
    <m/>
    <n v="685177"/>
    <n v="375000"/>
    <m/>
    <s v="Cuota 2/48"/>
  </r>
  <r>
    <x v="81"/>
    <s v="Deposito En Efectivo N° 8024900"/>
    <x v="3"/>
    <m/>
    <m/>
    <n v="1060177"/>
    <n v="20000000"/>
    <m/>
    <s v="B15"/>
  </r>
  <r>
    <x v="81"/>
    <s v="Traspaso A: Maria Martinez"/>
    <x v="3"/>
    <m/>
    <m/>
    <n v="21060177"/>
    <m/>
    <n v="-44500"/>
    <s v="Reembolsa saldo a favor parcela B-15"/>
  </r>
  <r>
    <x v="81"/>
    <s v="Dep.cheq.otros Bancos N° 8024899"/>
    <x v="3"/>
    <m/>
    <m/>
    <n v="21015677"/>
    <n v="41100000"/>
    <m/>
    <s v="B3 y B14"/>
  </r>
  <r>
    <x v="81"/>
    <s v="Dep.cheq.otros Bancos N° 6576926"/>
    <x v="3"/>
    <m/>
    <m/>
    <n v="62115677"/>
    <n v="21800000"/>
    <m/>
    <s v="A3"/>
  </r>
  <r>
    <x v="82"/>
    <s v="Traspaso A: Denis Marcelo Bustos Fuentealba"/>
    <x v="1"/>
    <m/>
    <m/>
    <n v="83915677"/>
    <m/>
    <n v="-75000"/>
    <s v="Firma Temuco"/>
  </r>
  <r>
    <x v="82"/>
    <s v="Traspaso De: Molina Saavedra Alberto Ricardo"/>
    <x v="3"/>
    <m/>
    <m/>
    <n v="83840677"/>
    <n v="4500000"/>
    <m/>
    <s v="Pago 3 de 5 parcela B11"/>
  </r>
  <r>
    <x v="82"/>
    <s v="Pago: Inversiones 0965712208"/>
    <x v="7"/>
    <m/>
    <m/>
    <n v="88340677"/>
    <n v="18000000"/>
    <m/>
    <m/>
  </r>
  <r>
    <x v="82"/>
    <s v="Pago: Inversiones 0965712208"/>
    <x v="7"/>
    <m/>
    <m/>
    <n v="106340677"/>
    <n v="23000001"/>
    <m/>
    <m/>
  </r>
  <r>
    <x v="82"/>
    <s v="Traspaso De: Cifuentes Ortiz Natalia Andrea"/>
    <x v="1"/>
    <m/>
    <m/>
    <n v="129340678"/>
    <n v="155500"/>
    <m/>
    <s v="Deposita para pagar a CBR Paillaco"/>
  </r>
  <r>
    <x v="83"/>
    <s v="Traspaso De: Molina Saavedra Alberto Ricardo"/>
    <x v="3"/>
    <m/>
    <m/>
    <n v="129496178"/>
    <n v="4500000"/>
    <m/>
    <m/>
  </r>
  <r>
    <x v="83"/>
    <s v="Traspaso A: Maria Paz Amenabar"/>
    <x v="1"/>
    <m/>
    <m/>
    <n v="133996178"/>
    <m/>
    <n v="-200000"/>
    <m/>
  </r>
  <r>
    <x v="83"/>
    <s v="Traspaso A: Conrad Pablo Zlch Parra"/>
    <x v="1"/>
    <m/>
    <m/>
    <n v="133796178"/>
    <m/>
    <n v="-155500"/>
    <s v="Pago inscripcion lote C12"/>
  </r>
  <r>
    <x v="83"/>
    <s v="Traspaso A: Andres Rieutord"/>
    <x v="3"/>
    <m/>
    <m/>
    <n v="133640678"/>
    <m/>
    <n v="-160000"/>
    <s v="Usa monto de saldo a favor de parcela C-13 para pago notaría"/>
  </r>
  <r>
    <x v="83"/>
    <s v="Traspaso A: Miguel Cortes"/>
    <x v="3"/>
    <m/>
    <m/>
    <n v="133480678"/>
    <m/>
    <n v="-40000"/>
    <s v="Reembolsa saldo a favor parcela C-13"/>
  </r>
  <r>
    <x v="83"/>
    <s v="Traspaso De: Lisssette Patricia Riquelme Martinez"/>
    <x v="3"/>
    <s v="B7 - LISSETTE RIQUELME"/>
    <m/>
    <n v="133440678"/>
    <n v="844174"/>
    <m/>
    <m/>
  </r>
  <r>
    <x v="83"/>
    <s v="Traspaso De: Molina Saavedra Alberto Ricardo"/>
    <x v="3"/>
    <m/>
    <m/>
    <n v="134284852"/>
    <n v="1800000"/>
    <m/>
    <m/>
  </r>
  <r>
    <x v="83"/>
    <s v="Traspaso A: Dominique Hiriart"/>
    <x v="2"/>
    <m/>
    <s v="DOMI"/>
    <n v="136084852"/>
    <m/>
    <n v="-118348443"/>
    <s v="Paga deuda"/>
  </r>
  <r>
    <x v="83"/>
    <s v="Traspaso De: Juan Esteban Sanchez Bascur"/>
    <x v="3"/>
    <m/>
    <m/>
    <n v="17736409"/>
    <n v="4800000"/>
    <m/>
    <s v="Pie parcela C9"/>
  </r>
  <r>
    <x v="84"/>
    <s v="Traspaso A: Benjamin Lecaros"/>
    <x v="1"/>
    <m/>
    <s v="BLS"/>
    <n v="22536409"/>
    <m/>
    <n v="-2565000"/>
    <m/>
  </r>
  <r>
    <x v="84"/>
    <s v="Traspaso A: Carlos Ciuffardi"/>
    <x v="1"/>
    <m/>
    <m/>
    <n v="19971409"/>
    <m/>
    <n v="-1859625"/>
    <m/>
  </r>
  <r>
    <x v="84"/>
    <s v="Traspaso A: Martin Gouet"/>
    <x v="1"/>
    <m/>
    <m/>
    <n v="18111784"/>
    <m/>
    <n v="-50000"/>
    <s v="Firma de Puerto Montt"/>
  </r>
  <r>
    <x v="84"/>
    <s v="Recaudacion Y Pagos De Servicios *"/>
    <x v="7"/>
    <m/>
    <m/>
    <n v="18061784"/>
    <m/>
    <n v="-16000000"/>
    <m/>
  </r>
  <r>
    <x v="84"/>
    <s v="Pago Automatico Tarjeta De Credito"/>
    <x v="1"/>
    <m/>
    <m/>
    <n v="2061784"/>
    <m/>
    <n v="-498867"/>
    <m/>
  </r>
  <r>
    <x v="85"/>
    <s v="Traspaso A: Juan Nicolas Espinoza"/>
    <x v="1"/>
    <m/>
    <m/>
    <n v="1562917"/>
    <m/>
    <n v="-100035"/>
    <s v="Firma + retiro VV en Los Angeles"/>
  </r>
  <r>
    <x v="85"/>
    <s v="Pago: Inversiones 0965712208"/>
    <x v="7"/>
    <m/>
    <m/>
    <n v="1462882"/>
    <n v="16000000"/>
    <m/>
    <m/>
  </r>
  <r>
    <x v="85"/>
    <s v="Pago: Inversiones 0965712208"/>
    <x v="7"/>
    <m/>
    <m/>
    <n v="17462882"/>
    <n v="19569256"/>
    <m/>
    <m/>
  </r>
  <r>
    <x v="85"/>
    <s v="Pago En Sii.cl*"/>
    <x v="5"/>
    <m/>
    <m/>
    <n v="37032138"/>
    <m/>
    <n v="-894739"/>
    <s v="F29"/>
  </r>
  <r>
    <x v="85"/>
    <s v="Dep.cheq.otros Bancos N° 8025625"/>
    <x v="3"/>
    <m/>
    <m/>
    <n v="36137399"/>
    <n v="19800000"/>
    <m/>
    <s v="B8"/>
  </r>
  <r>
    <x v="86"/>
    <s v="Pago En Tesoreria.cl*"/>
    <x v="5"/>
    <m/>
    <m/>
    <n v="55937399"/>
    <m/>
    <n v="-351268"/>
    <s v="Contribuciones  "/>
  </r>
  <r>
    <x v="86"/>
    <s v="Traspaso De: Juan Gonzalo Arias"/>
    <x v="3"/>
    <m/>
    <m/>
    <n v="55586131"/>
    <n v="300000"/>
    <m/>
    <s v="Reserva A4 + D11"/>
  </r>
  <r>
    <x v="86"/>
    <s v="Traspaso A: Felipe Hiriart"/>
    <x v="2"/>
    <m/>
    <s v="FHB"/>
    <n v="55886131"/>
    <m/>
    <n v="-5000000"/>
    <m/>
  </r>
  <r>
    <x v="86"/>
    <s v="Traspaso A: Felipe Hiriart"/>
    <x v="2"/>
    <m/>
    <s v="FHB"/>
    <n v="50886131"/>
    <m/>
    <n v="-3751403"/>
    <m/>
  </r>
  <r>
    <x v="86"/>
    <s v="Traspaso A: Felipe Hiriart"/>
    <x v="2"/>
    <m/>
    <s v="FHB"/>
    <n v="47134728"/>
    <m/>
    <n v="-5000000"/>
    <m/>
  </r>
  <r>
    <x v="86"/>
    <s v="Traspaso A: Felipe Hiriart"/>
    <x v="2"/>
    <m/>
    <s v="FHB"/>
    <n v="42134728"/>
    <m/>
    <n v="-5000000"/>
    <m/>
  </r>
  <r>
    <x v="86"/>
    <s v="Traspaso A: Felipe Hiriart"/>
    <x v="2"/>
    <m/>
    <s v="FHB"/>
    <n v="37134728"/>
    <m/>
    <n v="-5000000"/>
    <m/>
  </r>
  <r>
    <x v="86"/>
    <s v="Traspaso A: Felipe Hiriart"/>
    <x v="2"/>
    <m/>
    <s v="FHB"/>
    <n v="32134728"/>
    <m/>
    <n v="-5000000"/>
    <m/>
  </r>
  <r>
    <x v="86"/>
    <s v="Traspaso A: Felipe Hiriart"/>
    <x v="2"/>
    <m/>
    <s v="FHB"/>
    <n v="27134728"/>
    <m/>
    <n v="-5000000"/>
    <m/>
  </r>
  <r>
    <x v="86"/>
    <s v="Traspaso A: Felipe Hiriart"/>
    <x v="2"/>
    <m/>
    <s v="FHB"/>
    <n v="22134728"/>
    <m/>
    <n v="-5000000"/>
    <m/>
  </r>
  <r>
    <x v="86"/>
    <s v="Traspaso A: Felipe Hiriart"/>
    <x v="2"/>
    <m/>
    <s v="FHB"/>
    <n v="17134728"/>
    <m/>
    <n v="-5000000"/>
    <m/>
  </r>
  <r>
    <x v="86"/>
    <s v="Recaudacion Y Pagos De Servicios *"/>
    <x v="7"/>
    <m/>
    <m/>
    <n v="12134728"/>
    <m/>
    <n v="-11000000"/>
    <m/>
  </r>
  <r>
    <x v="87"/>
    <s v="Traspaso De: Juan Gonzalo Arias"/>
    <x v="3"/>
    <m/>
    <m/>
    <n v="1134728"/>
    <n v="100000"/>
    <m/>
    <s v="Reserva A4 + D11"/>
  </r>
  <r>
    <x v="87"/>
    <s v="Dep.cheq.otros Bancos N° 4542919"/>
    <x v="3"/>
    <m/>
    <m/>
    <n v="1234728"/>
    <n v="19800000"/>
    <m/>
    <s v="C17"/>
  </r>
  <r>
    <x v="88"/>
    <s v="Traspaso De: Juan Gonzalo Arias"/>
    <x v="3"/>
    <m/>
    <m/>
    <n v="21034728"/>
    <n v="5000000"/>
    <m/>
    <s v="A4 + D11"/>
  </r>
  <r>
    <x v="88"/>
    <s v="Traspaso De: Juan Gonzalo Arias"/>
    <x v="3"/>
    <m/>
    <m/>
    <n v="26034728"/>
    <n v="5000000"/>
    <m/>
    <s v="A4 + D11"/>
  </r>
  <r>
    <x v="88"/>
    <s v="Traspaso A: Benjamin Lecaros"/>
    <x v="1"/>
    <m/>
    <s v="BLS"/>
    <n v="31034728"/>
    <m/>
    <n v="-855000"/>
    <m/>
  </r>
  <r>
    <x v="89"/>
    <s v="Recaudacion Y Pagos De Servicios *"/>
    <x v="7"/>
    <m/>
    <m/>
    <n v="30179728"/>
    <m/>
    <n v="-29000000"/>
    <m/>
  </r>
  <r>
    <x v="89"/>
    <s v="Traspaso De: Juan Gonzalo Arias"/>
    <x v="3"/>
    <m/>
    <m/>
    <n v="1179728"/>
    <n v="5000000"/>
    <m/>
    <s v="A4 + D11"/>
  </r>
  <r>
    <x v="89"/>
    <s v="Traspaso De: Juan Gonzalo Arias"/>
    <x v="3"/>
    <m/>
    <m/>
    <n v="6179728"/>
    <n v="5000000"/>
    <m/>
    <s v="A4 + D11"/>
  </r>
  <r>
    <x v="89"/>
    <s v="Recaudacion Y Pagos De Servicios *"/>
    <x v="7"/>
    <m/>
    <m/>
    <n v="11179728"/>
    <m/>
    <n v="-9000000"/>
    <m/>
  </r>
  <r>
    <x v="89"/>
    <s v="Traspaso A: Benjamin Lecaros"/>
    <x v="1"/>
    <m/>
    <s v="BLS"/>
    <n v="2179728"/>
    <m/>
    <n v="-855000"/>
    <s v="Asesoria Venta B8"/>
  </r>
  <r>
    <x v="90"/>
    <s v="Traspaso A: Andres Rieutord"/>
    <x v="4"/>
    <m/>
    <m/>
    <n v="1324728"/>
    <m/>
    <n v="-60000"/>
    <s v="Promesa C9"/>
  </r>
  <r>
    <x v="90"/>
    <s v="Traspaso A: Andres Rieutord"/>
    <x v="4"/>
    <m/>
    <m/>
    <n v="1264728"/>
    <m/>
    <n v="-120000"/>
    <s v="Escritura B11"/>
  </r>
  <r>
    <x v="90"/>
    <s v="Traspaso A: Andres Rieutord"/>
    <x v="4"/>
    <m/>
    <m/>
    <n v="1144728"/>
    <m/>
    <n v="-35000"/>
    <m/>
  </r>
  <r>
    <x v="90"/>
    <s v="Traspaso De: Juan Gonzalo Arias"/>
    <x v="3"/>
    <m/>
    <m/>
    <n v="1109728"/>
    <n v="5000000"/>
    <m/>
    <s v="A4 + D11"/>
  </r>
  <r>
    <x v="90"/>
    <s v="Traspaso De: Juan Gonzalo Arias"/>
    <x v="3"/>
    <m/>
    <m/>
    <n v="6109728"/>
    <n v="5000000"/>
    <m/>
    <s v="A4 + D11"/>
  </r>
  <r>
    <x v="90"/>
    <s v="Recaudacion Y Pagos De Servicios *"/>
    <x v="7"/>
    <m/>
    <m/>
    <n v="11109728"/>
    <m/>
    <n v="-10000000"/>
    <m/>
  </r>
  <r>
    <x v="90"/>
    <s v="Traspaso A: Conrad Pablo Zlch Parra"/>
    <x v="4"/>
    <m/>
    <m/>
    <n v="1109728"/>
    <m/>
    <n v="-155500"/>
    <s v="Inscripcion B11"/>
  </r>
  <r>
    <x v="91"/>
    <s v="Deposito En Efectivo N° 6443695"/>
    <x v="3"/>
    <m/>
    <m/>
    <n v="954228"/>
    <n v="21800000"/>
    <m/>
    <s v="B4"/>
  </r>
  <r>
    <x v="91"/>
    <s v="Recaudacion Y Pagos De Servicios *"/>
    <x v="7"/>
    <m/>
    <m/>
    <n v="22754228"/>
    <m/>
    <n v="-20000000"/>
    <m/>
  </r>
  <r>
    <x v="91"/>
    <s v="Traspaso A: Jorge Ignacio Troncoso Vidal"/>
    <x v="1"/>
    <m/>
    <m/>
    <n v="2754228"/>
    <m/>
    <n v="-50000"/>
    <m/>
  </r>
  <r>
    <x v="91"/>
    <s v="Dep.cheq.otros Bancos N° 6443696"/>
    <x v="3"/>
    <m/>
    <m/>
    <n v="2704228"/>
    <n v="21800000"/>
    <m/>
    <s v="A2"/>
  </r>
  <r>
    <x v="92"/>
    <s v="Traspaso A: Pedro Lecaros"/>
    <x v="1"/>
    <m/>
    <m/>
    <n v="24504228"/>
    <m/>
    <n v="-20000"/>
    <m/>
  </r>
  <r>
    <x v="92"/>
    <s v="Traspaso A: Benjamin Lecaros"/>
    <x v="1"/>
    <m/>
    <s v="BLS"/>
    <n v="24484228"/>
    <m/>
    <n v="-1710000"/>
    <m/>
  </r>
  <r>
    <x v="92"/>
    <s v="Traspaso A: Benjamin Lecaros"/>
    <x v="1"/>
    <m/>
    <s v="BLS"/>
    <n v="22774228"/>
    <m/>
    <n v="-855000"/>
    <m/>
  </r>
  <r>
    <x v="92"/>
    <s v="Dep.cheq.otros Bancos N° 3445795"/>
    <x v="3"/>
    <m/>
    <m/>
    <n v="21919228"/>
    <n v="19800000"/>
    <m/>
    <s v="C16"/>
  </r>
  <r>
    <x v="93"/>
    <s v="Recaudacion Y Pagos De Servicios *"/>
    <x v="7"/>
    <m/>
    <m/>
    <n v="41719228"/>
    <m/>
    <n v="-21000000"/>
    <m/>
  </r>
  <r>
    <x v="93"/>
    <s v="Traspaso De: Juan Gonzalo Arias"/>
    <x v="3"/>
    <m/>
    <m/>
    <n v="20719228"/>
    <n v="5000000"/>
    <m/>
    <s v="A4 + D11"/>
  </r>
  <r>
    <x v="93"/>
    <s v="Recaudacion Y Pagos De Servicios *"/>
    <x v="7"/>
    <m/>
    <m/>
    <n v="25719228"/>
    <m/>
    <n v="-5000000"/>
    <m/>
  </r>
  <r>
    <x v="94"/>
    <s v="Traspaso A: Denis Marcelo Bustos Fuentealba"/>
    <x v="1"/>
    <m/>
    <m/>
    <n v="20719228"/>
    <m/>
    <n v="-75000"/>
    <m/>
  </r>
  <r>
    <x v="94"/>
    <s v="Traspaso A: Benjamin Lecaros"/>
    <x v="1"/>
    <m/>
    <s v="BLS"/>
    <n v="20644228"/>
    <m/>
    <n v="-1710000"/>
    <m/>
  </r>
  <r>
    <x v="94"/>
    <s v="Recaudacion Y Pagos De Servicios *"/>
    <x v="7"/>
    <m/>
    <m/>
    <n v="18934228"/>
    <m/>
    <n v="-18000000"/>
    <m/>
  </r>
  <r>
    <x v="94"/>
    <s v="Dep.cheq.otros Bancos N° 2296642"/>
    <x v="3"/>
    <m/>
    <m/>
    <n v="934228"/>
    <n v="19800000"/>
    <m/>
    <s v="C12"/>
  </r>
  <r>
    <x v="95"/>
    <s v="Recaudacion Y Pagos De Servicios *"/>
    <x v="7"/>
    <m/>
    <m/>
    <n v="20734228"/>
    <m/>
    <n v="-20000000"/>
    <m/>
  </r>
  <r>
    <x v="96"/>
    <s v="Traspaso De: Juan Gonzalo Arias"/>
    <x v="3"/>
    <m/>
    <m/>
    <n v="734228"/>
    <n v="5000000"/>
    <m/>
    <m/>
  </r>
  <r>
    <x v="96"/>
    <s v="Recaudacion Y Pagos De Servicios *"/>
    <x v="7"/>
    <m/>
    <m/>
    <n v="5734228"/>
    <m/>
    <n v="-5000000"/>
    <m/>
  </r>
  <r>
    <x v="96"/>
    <s v="Dep.cheq.otros Bancos N° 3081647"/>
    <x v="3"/>
    <m/>
    <m/>
    <n v="734228"/>
    <n v="21800000"/>
    <m/>
    <s v="A1"/>
  </r>
  <r>
    <x v="97"/>
    <s v="Traspaso De: Teresa Andrea Sanhueza"/>
    <x v="3"/>
    <m/>
    <m/>
    <n v="22534228"/>
    <n v="250000"/>
    <m/>
    <s v="Reserva C6"/>
  </r>
  <r>
    <x v="97"/>
    <s v="Traspaso De: Doris Del Pilar Silva"/>
    <x v="3"/>
    <m/>
    <m/>
    <n v="22784228"/>
    <n v="200000"/>
    <m/>
    <s v="Reserva C2"/>
  </r>
  <r>
    <x v="97"/>
    <s v="Recaudacion Y Pagos De Servicios *"/>
    <x v="7"/>
    <m/>
    <m/>
    <n v="22984228"/>
    <m/>
    <n v="-15600000"/>
    <m/>
  </r>
  <r>
    <x v="97"/>
    <s v="Traspaso A: Benjamin Lecaros"/>
    <x v="1"/>
    <m/>
    <s v="BLS"/>
    <n v="7384228"/>
    <m/>
    <n v="-855000"/>
    <m/>
  </r>
  <r>
    <x v="98"/>
    <s v="Traspaso A: Felipe Hiriart"/>
    <x v="1"/>
    <m/>
    <m/>
    <n v="6529228"/>
    <m/>
    <n v="-1334539"/>
    <s v="Rendicion 4"/>
  </r>
  <r>
    <x v="98"/>
    <s v="Traspaso A: Jorge Ignacio Troncoso Vidal"/>
    <x v="1"/>
    <m/>
    <m/>
    <n v="5194689"/>
    <m/>
    <n v="-37000"/>
    <s v="Rendicion 5, viaje a Osorno"/>
  </r>
  <r>
    <x v="98"/>
    <s v="Traspaso A: Jorge Ignacio Troncoso Vidal"/>
    <x v="1"/>
    <m/>
    <m/>
    <n v="5157689"/>
    <m/>
    <n v="-50000"/>
    <s v="Retiro VV Osorno"/>
  </r>
  <r>
    <x v="98"/>
    <s v="Deposito En Efectivo N° 6443688"/>
    <x v="3"/>
    <m/>
    <m/>
    <n v="5107689"/>
    <n v="4800000"/>
    <m/>
    <s v="Pago pie A14"/>
  </r>
  <r>
    <x v="98"/>
    <s v="Recaudacion Y Pagos De Servicios *"/>
    <x v="7"/>
    <m/>
    <m/>
    <n v="9907689"/>
    <m/>
    <n v="-4000000"/>
    <m/>
  </r>
  <r>
    <x v="98"/>
    <s v="Traspaso A: Jorge Ignacio Troncoso Vidal"/>
    <x v="1"/>
    <m/>
    <m/>
    <n v="5907689"/>
    <m/>
    <n v="-50000"/>
    <m/>
  </r>
  <r>
    <x v="99"/>
    <s v="Traspaso A: Asesorias Ecox Spa"/>
    <x v="1"/>
    <m/>
    <m/>
    <n v="5857689"/>
    <m/>
    <n v="-4000000"/>
    <m/>
  </r>
  <r>
    <x v="99"/>
    <s v="Traspaso A: Asesorias Ecox Spa"/>
    <x v="1"/>
    <m/>
    <m/>
    <n v="1857689"/>
    <m/>
    <n v="-100000"/>
    <s v="Servicio contable"/>
  </r>
  <r>
    <x v="99"/>
    <s v="Traspaso De: Evelyn Paola Galarce Gonzalez"/>
    <x v="3"/>
    <m/>
    <m/>
    <n v="1757689"/>
    <n v="5000000"/>
    <m/>
    <s v="Pie C4"/>
  </r>
  <r>
    <x v="100"/>
    <s v="Traspaso A: Hector Varela"/>
    <x v="1"/>
    <m/>
    <m/>
    <n v="6757689"/>
    <m/>
    <n v="-168871"/>
    <s v="Reembolsa gastos"/>
  </r>
  <r>
    <x v="100"/>
    <s v="Traspaso A: Benjamin Lecaros"/>
    <x v="1"/>
    <m/>
    <s v="BLS"/>
    <n v="6588818"/>
    <m/>
    <n v="-1710000"/>
    <s v="Asesoria venta A14 C4"/>
  </r>
  <r>
    <x v="100"/>
    <s v="Recaudacion Y Pagos De Servicios *"/>
    <x v="7"/>
    <m/>
    <m/>
    <n v="4878818"/>
    <m/>
    <n v="-4000000"/>
    <m/>
  </r>
  <r>
    <x v="101"/>
    <s v="Traspaso De: Villota Gallegos Francisco Gabriel"/>
    <x v="3"/>
    <m/>
    <m/>
    <n v="878818"/>
    <n v="200000"/>
    <m/>
    <s v="Reserva C3"/>
  </r>
  <r>
    <x v="101"/>
    <s v="Traspaso De: Rodolfo Alexis Utreras"/>
    <x v="3"/>
    <s v="B9 - RODOLFO UTRERAS"/>
    <m/>
    <n v="1078818"/>
    <n v="379760"/>
    <m/>
    <m/>
  </r>
  <r>
    <x v="101"/>
    <s v="Traspaso De: Valentina Michelle Aranda Espinoza"/>
    <x v="3"/>
    <s v="A5 - VALENTINA ARANDA"/>
    <m/>
    <n v="1458578"/>
    <n v="1125465"/>
    <m/>
    <m/>
  </r>
  <r>
    <x v="101"/>
    <s v="Traspaso A: Jose Manuel Astorga Lanas"/>
    <x v="1"/>
    <m/>
    <s v="PUERTO OCTAY"/>
    <n v="2584043"/>
    <m/>
    <n v="-250476"/>
    <s v="Reembolsa gastos"/>
  </r>
  <r>
    <x v="102"/>
    <s v="Traspaso A: Andres Rieutord"/>
    <x v="4"/>
    <m/>
    <m/>
    <n v="2333567"/>
    <m/>
    <n v="-60000"/>
    <m/>
  </r>
  <r>
    <x v="102"/>
    <s v="Traspaso De: Lisssette Patricia Riquelme Martinez"/>
    <x v="3"/>
    <m/>
    <m/>
    <n v="2273567"/>
    <n v="846000"/>
    <m/>
    <m/>
  </r>
  <r>
    <x v="103"/>
    <s v="Recaudacion Y Pagos De Servicios *"/>
    <x v="7"/>
    <m/>
    <m/>
    <n v="3119567"/>
    <m/>
    <n v="-2000000"/>
    <m/>
  </r>
  <r>
    <x v="104"/>
    <s v="Traspaso De: Ximena Paz Ormazabal Canelo"/>
    <x v="3"/>
    <m/>
    <m/>
    <n v="1119567"/>
    <n v="2000000"/>
    <m/>
    <s v="C14, paga diferencia que faltaba en el vale vista"/>
  </r>
  <r>
    <x v="104"/>
    <s v="Pago Automatico Tarjeta De Credito"/>
    <x v="1"/>
    <m/>
    <m/>
    <n v="3119567"/>
    <m/>
    <n v="-786040"/>
    <s v="Cargo tarjeta de credito, publicidad"/>
  </r>
  <r>
    <x v="105"/>
    <s v="Pago: Inversiones 0965712208"/>
    <x v="7"/>
    <m/>
    <m/>
    <n v="2333527"/>
    <n v="1000000"/>
    <m/>
    <m/>
  </r>
  <r>
    <x v="105"/>
    <s v="Pago En Sii.cl*"/>
    <x v="5"/>
    <m/>
    <m/>
    <n v="3333527"/>
    <m/>
    <n v="-2508612"/>
    <s v="F29"/>
  </r>
  <r>
    <x v="106"/>
    <s v="Dep.cheq.otros Bancos N° 4501192"/>
    <x v="3"/>
    <m/>
    <m/>
    <n v="824915"/>
    <n v="39600000"/>
    <m/>
    <s v="Venta A19 + C18"/>
  </r>
  <r>
    <x v="107"/>
    <s v="Recaudacion Y Pagos De Servicios *"/>
    <x v="7"/>
    <m/>
    <m/>
    <n v="40424915"/>
    <m/>
    <n v="-37700000"/>
    <m/>
  </r>
  <r>
    <x v="107"/>
    <s v="Traspaso A: Felipe Hiriart"/>
    <x v="1"/>
    <m/>
    <m/>
    <n v="2724915"/>
    <m/>
    <n v="-1038218"/>
    <s v="Rendicion 6"/>
  </r>
  <r>
    <x v="107"/>
    <s v="Traspaso De: Juan Gonzalo Arias"/>
    <x v="3"/>
    <m/>
    <m/>
    <n v="1686697"/>
    <n v="4600000"/>
    <m/>
    <s v="A4+D11"/>
  </r>
  <r>
    <x v="108"/>
    <s v="Traspaso A: Sebastian Sada Aznar"/>
    <x v="4"/>
    <m/>
    <s v="PUERTO OCTAY"/>
    <n v="6286697"/>
    <m/>
    <n v="-450000"/>
    <s v="Promesa  "/>
  </r>
  <r>
    <x v="108"/>
    <s v="Traspaso A: Jorge Ignacio Troncoso Vidal"/>
    <x v="1"/>
    <m/>
    <s v="PUERTO OCTAY"/>
    <n v="5836697"/>
    <m/>
    <n v="-37000"/>
    <s v="Gastos Osorno Jorge Troncoso"/>
  </r>
  <r>
    <x v="108"/>
    <s v="Traspaso A: Jorge Ignacio Troncoso Vidal"/>
    <x v="1"/>
    <m/>
    <s v="PUERTO OCTAY"/>
    <n v="5799697"/>
    <m/>
    <n v="-50000"/>
    <s v="Firma de promesa"/>
  </r>
  <r>
    <x v="109"/>
    <s v="Traspaso De: Roberto Antonio Farias"/>
    <x v="3"/>
    <m/>
    <m/>
    <n v="5749697"/>
    <n v="200000"/>
    <m/>
    <s v="Reserva C5 Maria Elena"/>
  </r>
  <r>
    <x v="109"/>
    <s v="Traspaso A: Benjamin Lecaros"/>
    <x v="1"/>
    <m/>
    <s v="BLS"/>
    <n v="5949697"/>
    <m/>
    <n v="-3420000"/>
    <s v="Asesoria venta A4, A19, C18, D11"/>
  </r>
  <r>
    <x v="109"/>
    <s v="Traspaso A: German Marquez"/>
    <x v="1"/>
    <m/>
    <s v="PUERTO OCTAY"/>
    <n v="2529697"/>
    <m/>
    <n v="-1000000"/>
    <s v="Topografia German Marquez"/>
  </r>
  <r>
    <x v="109"/>
    <s v="Dep.cheq.otros Bancos N° 4791038"/>
    <x v="3"/>
    <m/>
    <m/>
    <n v="1529697"/>
    <n v="41300000"/>
    <m/>
    <s v="Lotes C13 y C10"/>
  </r>
  <r>
    <x v="110"/>
    <s v="Pago: Inversiones 0965712208"/>
    <x v="7"/>
    <m/>
    <m/>
    <n v="42829697"/>
    <n v="1000000"/>
    <m/>
    <m/>
  </r>
  <r>
    <x v="110"/>
    <s v="Traspaso De: Katherinne Andrea Orellana Saez"/>
    <x v="3"/>
    <m/>
    <m/>
    <n v="43829697"/>
    <n v="7000000"/>
    <m/>
    <s v="Parcela A10"/>
  </r>
  <r>
    <x v="110"/>
    <s v="Traspaso A: German Marquez"/>
    <x v="1"/>
    <m/>
    <s v="PUERTO OCTAY"/>
    <n v="50829697"/>
    <m/>
    <n v="-1745950"/>
    <s v="Topografia German Marquez"/>
  </r>
  <r>
    <x v="111"/>
    <s v="Recaudacion Y Pagos De Servicios *"/>
    <x v="7"/>
    <m/>
    <m/>
    <n v="49083747"/>
    <m/>
    <n v="-48000000"/>
    <m/>
  </r>
  <r>
    <x v="111"/>
    <s v="Traspaso A: Juan Nicolas Espinoza"/>
    <x v="1"/>
    <m/>
    <m/>
    <n v="1083747"/>
    <m/>
    <n v="-50000"/>
    <s v="Firma Los Angeles"/>
  </r>
  <r>
    <x v="112"/>
    <s v="Traspaso De: Katherinne Andrea Orellana Saez"/>
    <x v="3"/>
    <m/>
    <m/>
    <n v="1033747"/>
    <n v="4300000"/>
    <m/>
    <s v="Parcela A10"/>
  </r>
  <r>
    <x v="112"/>
    <s v="Recaudacion Y Pagos De Servicios *"/>
    <x v="7"/>
    <m/>
    <m/>
    <n v="5333747"/>
    <m/>
    <n v="-4500000"/>
    <m/>
  </r>
  <r>
    <x v="113"/>
    <s v="Traspaso A: Tesoreria Municipal Puerto Octay"/>
    <x v="1"/>
    <m/>
    <s v="PUERTO OCTAY"/>
    <n v="833747"/>
    <m/>
    <n v="-13784"/>
    <s v="Certificado DOM"/>
  </r>
  <r>
    <x v="113"/>
    <s v="Traspaso De: Lisssette Patricia Riquelme Riquelme"/>
    <x v="3"/>
    <m/>
    <m/>
    <n v="819963"/>
    <n v="5000000"/>
    <m/>
    <s v="Adelanta pago parcela B7"/>
  </r>
  <r>
    <x v="113"/>
    <s v="Deposito En Efectivo N° 4789770"/>
    <x v="3"/>
    <m/>
    <m/>
    <n v="5819963"/>
    <n v="55000001"/>
    <m/>
    <s v="Lotes A16, A17, A18 y C7"/>
  </r>
  <r>
    <x v="113"/>
    <s v="Dep.cheq.otros Bancos N° 4789767"/>
    <x v="3"/>
    <m/>
    <m/>
    <n v="60819964"/>
    <n v="33700001"/>
    <m/>
    <s v="Lotes A16, A17, A18 y C7"/>
  </r>
  <r>
    <x v="114"/>
    <s v="Pago: Inversiones 0965712208"/>
    <x v="7"/>
    <m/>
    <m/>
    <n v="94519965"/>
    <n v="262430812"/>
    <m/>
    <m/>
  </r>
  <r>
    <x v="114"/>
    <s v="Traspaso A: Inversiones Lonquen Limitada"/>
    <x v="2"/>
    <m/>
    <s v="LONQUEN"/>
    <n v="356950777"/>
    <m/>
    <n v="-267782920"/>
    <m/>
  </r>
  <r>
    <x v="114"/>
    <s v="Traspaso A: Pedro Lecaros"/>
    <x v="2"/>
    <m/>
    <s v="PLS"/>
    <n v="89167857"/>
    <m/>
    <n v="-5000000"/>
    <m/>
  </r>
  <r>
    <x v="114"/>
    <s v="Traspaso A: Pedro Lecaros"/>
    <x v="2"/>
    <m/>
    <s v="PLS"/>
    <n v="84167857"/>
    <m/>
    <n v="-2500000"/>
    <m/>
  </r>
  <r>
    <x v="114"/>
    <s v="Traspaso A: Benjamin Lecaros"/>
    <x v="2"/>
    <m/>
    <s v="BLS"/>
    <n v="81667857"/>
    <m/>
    <n v="-5000000"/>
    <m/>
  </r>
  <r>
    <x v="114"/>
    <s v="Traspaso A: Pedro Lecaros"/>
    <x v="2"/>
    <m/>
    <s v="PLS"/>
    <n v="76667857"/>
    <m/>
    <n v="-5000000"/>
    <m/>
  </r>
  <r>
    <x v="114"/>
    <s v="Traspaso A: Pedro Lecaros"/>
    <x v="2"/>
    <m/>
    <s v="PLS"/>
    <n v="71667857"/>
    <m/>
    <n v="-5000000"/>
    <m/>
  </r>
  <r>
    <x v="114"/>
    <s v="Traspaso A: Pedro Lecaros"/>
    <x v="2"/>
    <m/>
    <s v="PLS"/>
    <n v="66667857"/>
    <m/>
    <n v="-5000000"/>
    <m/>
  </r>
  <r>
    <x v="114"/>
    <s v="Traspaso A: Pedro Lecaros"/>
    <x v="2"/>
    <m/>
    <s v="PLS"/>
    <n v="61667857"/>
    <m/>
    <n v="-5000000"/>
    <m/>
  </r>
  <r>
    <x v="114"/>
    <s v="Traspaso A: Pedro Lecaros"/>
    <x v="2"/>
    <m/>
    <s v="PLS"/>
    <n v="56667857"/>
    <m/>
    <n v="-5000000"/>
    <m/>
  </r>
  <r>
    <x v="114"/>
    <s v="Traspaso A: Benjamin Lecaros"/>
    <x v="1"/>
    <m/>
    <s v="BLS"/>
    <n v="51667857"/>
    <m/>
    <n v="-5130000"/>
    <s v="Asesoria venta A16, A17, A18, C7, C10, C13"/>
  </r>
  <r>
    <x v="114"/>
    <s v="Traspaso De: Benjamin Jose Lecaros Sotomayor"/>
    <x v="2"/>
    <m/>
    <s v="BLS"/>
    <n v="46537857"/>
    <n v="200000"/>
    <m/>
    <s v="Devolucion 1/2 error transferencia"/>
  </r>
  <r>
    <x v="114"/>
    <s v="Traspaso A: Pedro Lecaros"/>
    <x v="2"/>
    <m/>
    <s v="PLS"/>
    <n v="46737857"/>
    <m/>
    <n v="-5000000"/>
    <m/>
  </r>
  <r>
    <x v="115"/>
    <s v="Traspaso A: Jose Miguel Parro Fluxa"/>
    <x v="2"/>
    <m/>
    <s v="JMP"/>
    <n v="41737857"/>
    <m/>
    <n v="-12500000"/>
    <m/>
  </r>
  <r>
    <x v="115"/>
    <s v="Traspaso A: Inversiones Jopa Limitada"/>
    <x v="2"/>
    <m/>
    <s v="JOPA"/>
    <n v="29237857"/>
    <m/>
    <n v="-25000000"/>
    <m/>
  </r>
  <r>
    <x v="115"/>
    <s v="Traspaso De: Lisssette Patricia Riquelme Martinez"/>
    <x v="3"/>
    <s v="B7 - LISSETTE RIQUELME"/>
    <m/>
    <n v="4237857"/>
    <n v="5000000"/>
    <m/>
    <s v="Adelanta pago parcela B7"/>
  </r>
  <r>
    <x v="115"/>
    <s v="Traspaso De: Benjamin Jose Lecaros"/>
    <x v="2"/>
    <m/>
    <s v="BLS"/>
    <n v="9237857"/>
    <n v="4800000"/>
    <m/>
    <s v="Devolucion 2/2 error transferencia"/>
  </r>
  <r>
    <x v="115"/>
    <s v="Traspaso De: Rodolfo Andres Ramirez Ortiz"/>
    <x v="3"/>
    <s v="C11 - RODOLFO RAMÍREZ"/>
    <m/>
    <n v="14037857"/>
    <n v="5000000"/>
    <m/>
    <s v="Adelanta pago parcela C11"/>
  </r>
  <r>
    <x v="115"/>
    <s v="Recaudacion Y Pagos De Servicios *"/>
    <x v="7"/>
    <m/>
    <m/>
    <n v="19037857"/>
    <m/>
    <n v="-18000000"/>
    <m/>
  </r>
  <r>
    <x v="115"/>
    <s v="Traspaso A: Benjamin Lecaros"/>
    <x v="1"/>
    <m/>
    <s v="PUERTO OCTAY"/>
    <n v="1037857"/>
    <m/>
    <n v="-6856"/>
    <s v="Escaneo plano tekkrom"/>
  </r>
  <r>
    <x v="115"/>
    <s v="Traspaso A: Andres Rieutord"/>
    <x v="4"/>
    <m/>
    <m/>
    <n v="1031001"/>
    <m/>
    <n v="-60000"/>
    <s v="Mandato C6"/>
  </r>
  <r>
    <x v="115"/>
    <s v="Traspaso A: Andres Rieutord"/>
    <x v="4"/>
    <m/>
    <m/>
    <n v="971001"/>
    <m/>
    <n v="-60000"/>
    <s v="Mandato"/>
  </r>
  <r>
    <x v="116"/>
    <s v="Traspaso De: Rodolfo Andres Ramirez Ortiz"/>
    <x v="3"/>
    <m/>
    <m/>
    <n v="911001"/>
    <n v="5000000"/>
    <m/>
    <s v="Adelanta pago parcela C11"/>
  </r>
  <r>
    <x v="116"/>
    <s v="Recaudacion Y Pagos De Servicios *"/>
    <x v="7"/>
    <m/>
    <m/>
    <n v="5911001"/>
    <m/>
    <n v="-5000000"/>
    <m/>
  </r>
  <r>
    <x v="116"/>
    <s v="Traspaso A: Daniel Gebauer"/>
    <x v="1"/>
    <m/>
    <s v="PUERTO OCTAY"/>
    <n v="911001"/>
    <m/>
    <n v="-38400"/>
    <s v="Reembolsa gasto CBR"/>
  </r>
  <r>
    <x v="117"/>
    <s v="Traspaso De: Rodolfo Andres Ramirez Ortiz"/>
    <x v="3"/>
    <m/>
    <m/>
    <n v="872601"/>
    <n v="5000000"/>
    <m/>
    <s v="Adelanta pago parcela C11"/>
  </r>
  <r>
    <x v="118"/>
    <s v="Traspaso De: Juan Esteban Sanchez Bascur"/>
    <x v="3"/>
    <s v="C9 - JUAN ESTEBAN SANCHEZ"/>
    <m/>
    <n v="5872601"/>
    <n v="611111"/>
    <m/>
    <s v="Cuota 1/36"/>
  </r>
  <r>
    <x v="118"/>
    <s v="Deposito En Efectivo N° 2946967"/>
    <x v="3"/>
    <m/>
    <m/>
    <n v="6483712"/>
    <n v="6500000"/>
    <m/>
    <s v="Katherine Orellana A10"/>
  </r>
  <r>
    <x v="118"/>
    <s v="Traspaso De: Katherinne Andrea Orellana Saez"/>
    <x v="3"/>
    <m/>
    <m/>
    <n v="12983712"/>
    <n v="2000000"/>
    <m/>
    <s v="Katherine Orellana A10"/>
  </r>
  <r>
    <x v="118"/>
    <s v="Recaudacion Y Pagos De Servicios *"/>
    <x v="7"/>
    <m/>
    <m/>
    <n v="14983712"/>
    <m/>
    <n v="-9000000"/>
    <m/>
  </r>
  <r>
    <x v="119"/>
    <s v="Traspaso A: La Nube Fotografia Ltda."/>
    <x v="1"/>
    <m/>
    <s v="PUERTO OCTAY"/>
    <n v="5983712"/>
    <m/>
    <n v="-535500"/>
    <s v="Nube Puerto Octay"/>
  </r>
  <r>
    <x v="119"/>
    <s v="Traspaso De: Rodolfo Alexis Utreras"/>
    <x v="3"/>
    <s v="B9 - RODOLFO UTRERAS"/>
    <m/>
    <n v="5448212"/>
    <n v="378803"/>
    <m/>
    <m/>
  </r>
  <r>
    <x v="119"/>
    <s v="Traspaso A: Asesorias Ecox Spa"/>
    <x v="1"/>
    <m/>
    <m/>
    <n v="5827015"/>
    <m/>
    <n v="-4000000"/>
    <m/>
  </r>
  <r>
    <x v="119"/>
    <s v="Traspaso De: Valentina Michelle Aranda Espinoza"/>
    <x v="3"/>
    <s v="A5 - VALENTINA ARANDA"/>
    <m/>
    <n v="1827015"/>
    <n v="1144664"/>
    <m/>
    <m/>
  </r>
  <r>
    <x v="120"/>
    <s v="Traspaso De: Evelyn Paola Galarce Gonzalez"/>
    <x v="3"/>
    <s v="C4 - EVELYN PAOLA GALARCE"/>
    <m/>
    <n v="2971679"/>
    <n v="716667"/>
    <m/>
    <s v="Cuota 1/24"/>
  </r>
  <r>
    <x v="120"/>
    <s v="Traspaso De: Lisssette Patricia Riquelme Martinez"/>
    <x v="3"/>
    <s v="B7 - LISSETTE RIQUELME"/>
    <m/>
    <n v="3688346"/>
    <n v="3693898"/>
    <m/>
    <s v="Termina pago B7"/>
  </r>
  <r>
    <x v="120"/>
    <s v="Aporte A Fondo Mutuo"/>
    <x v="7"/>
    <m/>
    <m/>
    <n v="7382244"/>
    <m/>
    <n v="-5000000"/>
    <m/>
  </r>
  <r>
    <x v="121"/>
    <s v="Traspaso A: Hector Varela"/>
    <x v="1"/>
    <m/>
    <m/>
    <n v="2382244"/>
    <m/>
    <n v="-183101"/>
    <s v="Reembolsa gastos bencina"/>
  </r>
  <r>
    <x v="121"/>
    <s v="Traspaso A: Benjamin Lecaros"/>
    <x v="1"/>
    <m/>
    <s v="BLS"/>
    <n v="2199143"/>
    <m/>
    <n v="-85204"/>
    <s v="Planos"/>
  </r>
  <r>
    <x v="121"/>
    <s v="Traspaso A: Asesorias Ecox Spa"/>
    <x v="1"/>
    <m/>
    <m/>
    <n v="2113939"/>
    <m/>
    <n v="-100000"/>
    <s v="contabilidad"/>
  </r>
  <r>
    <x v="122"/>
    <s v="Traspaso A: Rios Y Compania Abogados Limitada"/>
    <x v="1"/>
    <m/>
    <m/>
    <n v="2013939"/>
    <m/>
    <n v="-587685"/>
    <m/>
  </r>
  <r>
    <x v="123"/>
    <s v="Pago Automatico Tarjeta De Credito"/>
    <x v="1"/>
    <m/>
    <m/>
    <n v="1426254"/>
    <m/>
    <n v="-49264"/>
    <s v="publicidad"/>
  </r>
  <r>
    <x v="124"/>
    <s v="Traspaso A: Felipe Hiriart"/>
    <x v="1"/>
    <m/>
    <m/>
    <n v="1376990"/>
    <m/>
    <n v="-570236"/>
    <s v="Rendicion 7"/>
  </r>
  <r>
    <x v="125"/>
    <s v="Pago: Inversiones 0965712208"/>
    <x v="7"/>
    <m/>
    <m/>
    <n v="806754"/>
    <n v="2200000"/>
    <m/>
    <m/>
  </r>
  <r>
    <x v="125"/>
    <s v="Pago En Sii.cl*"/>
    <x v="5"/>
    <m/>
    <m/>
    <n v="3006754"/>
    <m/>
    <n v="-2222647"/>
    <s v="F29"/>
  </r>
  <r>
    <x v="126"/>
    <s v="Traspaso A: Benjamin Lecaros"/>
    <x v="1"/>
    <m/>
    <s v="BLS"/>
    <n v="784107"/>
    <m/>
    <n v="-76160"/>
    <s v="Reembolso Tekkrom"/>
  </r>
  <r>
    <x v="126"/>
    <s v="Traspaso A: Andres Rieutord"/>
    <x v="4"/>
    <m/>
    <m/>
    <n v="707947"/>
    <m/>
    <n v="-40000"/>
    <m/>
  </r>
  <r>
    <x v="127"/>
    <s v="Traspaso De: Katherinne Andrea Orellana Saez"/>
    <x v="3"/>
    <m/>
    <m/>
    <n v="667947"/>
    <n v="2000000"/>
    <m/>
    <s v="Parcela A10 - Katherine"/>
  </r>
  <r>
    <x v="127"/>
    <s v="Aporte A Fondo Mutuo"/>
    <x v="7"/>
    <m/>
    <m/>
    <n v="2667947"/>
    <m/>
    <n v="-2000000"/>
    <m/>
  </r>
  <r>
    <x v="128"/>
    <s v="Traspaso A: Conrad Pablo Zlch Parra"/>
    <x v="1"/>
    <m/>
    <m/>
    <n v="667947"/>
    <m/>
    <n v="-31000"/>
    <s v="Alzamiento C11"/>
  </r>
  <r>
    <x v="129"/>
    <s v="Traspaso A: Benjamin Lecaros"/>
    <x v="1"/>
    <m/>
    <s v="BLS"/>
    <n v="636947"/>
    <m/>
    <n v="-9674"/>
    <m/>
  </r>
  <r>
    <x v="129"/>
    <s v="Traspaso De: Galarce Gonzalez Evelyn Paola"/>
    <x v="3"/>
    <s v="C4 - EVELYN PAOLA GALARCE"/>
    <m/>
    <n v="627273"/>
    <n v="300000"/>
    <m/>
    <s v="Prepaga parcela C4"/>
  </r>
  <r>
    <x v="129"/>
    <s v="Traspaso De: Evelyn Paola Galarce Gonzalez"/>
    <x v="3"/>
    <s v="C4 - EVELYN PAOLA GALARCE"/>
    <m/>
    <n v="927273"/>
    <n v="5000000"/>
    <m/>
    <s v="Prepaga parcela C4"/>
  </r>
  <r>
    <x v="129"/>
    <s v="Traspaso A: Felipe Hiriart"/>
    <x v="1"/>
    <m/>
    <m/>
    <n v="5927273"/>
    <m/>
    <n v="-598208"/>
    <s v="Rendicion 8"/>
  </r>
  <r>
    <x v="129"/>
    <s v="Traspaso A: Pedro Lecaros"/>
    <x v="1"/>
    <m/>
    <m/>
    <n v="5329065"/>
    <m/>
    <n v="-1204109"/>
    <s v="Rendicion 9"/>
  </r>
  <r>
    <x v="129"/>
    <s v="Dep.cheq.otros Bancos N° 7841124"/>
    <x v="3"/>
    <m/>
    <m/>
    <n v="4124956"/>
    <n v="17800000"/>
    <m/>
    <s v="Parcela C-14"/>
  </r>
  <r>
    <x v="130"/>
    <s v="Traspaso De: Galarce Gonzalez Evelyn Paola"/>
    <x v="3"/>
    <s v="C4 - EVELYN PAOLA GALARCE"/>
    <m/>
    <n v="21924956"/>
    <n v="5000000"/>
    <m/>
    <s v="Prepaga parcela C4"/>
  </r>
  <r>
    <x v="130"/>
    <s v="Traspaso A: Benjamin Lecaros"/>
    <x v="1"/>
    <m/>
    <s v="BLS"/>
    <n v="26924956"/>
    <m/>
    <n v="-855000"/>
    <s v="Asesoria venta C14"/>
  </r>
  <r>
    <x v="130"/>
    <s v="Traspaso A: Hernan Pizarro"/>
    <x v="1"/>
    <m/>
    <m/>
    <n v="26069956"/>
    <m/>
    <n v="-344739"/>
    <s v="Arquitectura"/>
  </r>
  <r>
    <x v="130"/>
    <s v="Aporte A Fondo Mutuo"/>
    <x v="7"/>
    <m/>
    <m/>
    <n v="25725217"/>
    <m/>
    <n v="-7500000"/>
    <m/>
  </r>
  <r>
    <x v="130"/>
    <s v="Traspaso De: Galarce Gonzalez Evelyn Paola"/>
    <x v="3"/>
    <s v="C4 - EVELYN PAOLA GALARCE"/>
    <m/>
    <n v="18225217"/>
    <n v="5000000"/>
    <m/>
    <s v="Prepaga parcela C4"/>
  </r>
  <r>
    <x v="130"/>
    <s v="Traspaso De: Evelyn Paola Galarce Gonzalez"/>
    <x v="3"/>
    <s v="C4 - EVELYN PAOLA GALARCE"/>
    <m/>
    <n v="23225217"/>
    <n v="1783333"/>
    <m/>
    <s v="Prepaga parcela C4"/>
  </r>
  <r>
    <x v="131"/>
    <s v="Aporte A Fondo Mutuo"/>
    <x v="7"/>
    <m/>
    <m/>
    <n v="25008550"/>
    <m/>
    <n v="-20000000"/>
    <m/>
  </r>
  <r>
    <x v="132"/>
    <s v="Traspaso De: Valentina Michelle Aranda Espinoza"/>
    <x v="3"/>
    <s v="A5 - VALENTINA ARANDA"/>
    <m/>
    <n v="5008550"/>
    <n v="1150099"/>
    <m/>
    <m/>
  </r>
  <r>
    <x v="132"/>
    <s v="Traspaso A: Asesorias Ecox Spa"/>
    <x v="1"/>
    <m/>
    <m/>
    <n v="6158649"/>
    <m/>
    <n v="-4000000"/>
    <s v="Servicio de gestion"/>
  </r>
  <r>
    <x v="132"/>
    <s v="Transferencia De Otro Banco Via Spav"/>
    <x v="3"/>
    <m/>
    <m/>
    <n v="2158649"/>
    <n v="20146327"/>
    <m/>
    <s v="Parcela A-14"/>
  </r>
  <r>
    <x v="133"/>
    <s v="Traspaso De: Lissette Patricia Riquelme Martinez"/>
    <x v="1"/>
    <m/>
    <m/>
    <n v="22304976"/>
    <n v="155500"/>
    <m/>
    <m/>
  </r>
  <r>
    <x v="133"/>
    <s v="Traspaso A: Hector Varela"/>
    <x v="1"/>
    <m/>
    <m/>
    <n v="22460476"/>
    <m/>
    <n v="-188729"/>
    <s v="Reembolsa gastos"/>
  </r>
  <r>
    <x v="133"/>
    <s v="Traspaso A: Conrad Pablo Zlch Parra"/>
    <x v="1"/>
    <m/>
    <m/>
    <n v="22271747"/>
    <m/>
    <n v="-155500"/>
    <m/>
  </r>
  <r>
    <x v="133"/>
    <s v="Traspaso A: Benjamin Lecaros"/>
    <x v="1"/>
    <m/>
    <s v="BLS"/>
    <n v="22116247"/>
    <m/>
    <n v="-4132500"/>
    <s v="Reembolsa gastos durante el año CBR Rendicion 10"/>
  </r>
  <r>
    <x v="133"/>
    <s v="Traspaso De: Juan Esteban Sanchez Bascur"/>
    <x v="3"/>
    <s v="C9 - JUAN ESTEBAN SANCHEZ"/>
    <m/>
    <n v="17983747"/>
    <n v="614940"/>
    <m/>
    <m/>
  </r>
  <r>
    <x v="133"/>
    <s v="Traspaso De: Evelyn Paola Galarce Gonzalez"/>
    <x v="1"/>
    <m/>
    <m/>
    <n v="18598687"/>
    <n v="164500"/>
    <m/>
    <m/>
  </r>
  <r>
    <x v="134"/>
    <s v="Traspaso A: Conrad Pablo Zlch Parra"/>
    <x v="1"/>
    <m/>
    <m/>
    <n v="18763187"/>
    <m/>
    <n v="-164500"/>
    <m/>
  </r>
  <r>
    <x v="134"/>
    <s v="Traspaso De: Rodolfo Alexis Utreras"/>
    <x v="3"/>
    <s v="B9 - RODOLFO UTRERAS"/>
    <m/>
    <n v="18598687"/>
    <n v="381056"/>
    <m/>
    <m/>
  </r>
  <r>
    <x v="134"/>
    <s v="Pago: Inversiones 0965712208"/>
    <x v="7"/>
    <m/>
    <m/>
    <n v="18979743"/>
    <n v="4000000"/>
    <m/>
    <m/>
  </r>
  <r>
    <x v="134"/>
    <s v="Pago: Inversiones 0965712208"/>
    <x v="7"/>
    <m/>
    <m/>
    <n v="22979743"/>
    <n v="8500001"/>
    <m/>
    <m/>
  </r>
  <r>
    <x v="134"/>
    <s v="Traspaso A: Pedro Lecaros"/>
    <x v="2"/>
    <m/>
    <s v="PLS"/>
    <n v="31479744"/>
    <m/>
    <n v="-5000000"/>
    <m/>
  </r>
  <r>
    <x v="134"/>
    <s v="Traspaso A: Inversiones Jopa Limitada"/>
    <x v="2"/>
    <m/>
    <s v="JOPA"/>
    <n v="26479744"/>
    <m/>
    <n v="-10000000"/>
    <m/>
  </r>
  <r>
    <x v="134"/>
    <s v="Traspaso A: Pedro Lecaros"/>
    <x v="2"/>
    <m/>
    <s v="PLS"/>
    <n v="16479744"/>
    <m/>
    <n v="-5000000"/>
    <m/>
  </r>
  <r>
    <x v="134"/>
    <s v="Traspaso A: Jose Miguel Parro Fluxa"/>
    <x v="2"/>
    <m/>
    <s v="JMP"/>
    <n v="11479744"/>
    <m/>
    <n v="-5000000"/>
    <m/>
  </r>
  <r>
    <x v="134"/>
    <s v="Traspaso A: Pedro Lecaros"/>
    <x v="2"/>
    <m/>
    <s v="PLS"/>
    <n v="6479744"/>
    <m/>
    <n v="-5000000"/>
    <m/>
  </r>
  <r>
    <x v="135"/>
    <m/>
    <x v="0"/>
    <m/>
    <m/>
    <n v="1479744"/>
    <m/>
    <m/>
    <m/>
  </r>
  <r>
    <x v="135"/>
    <m/>
    <x v="0"/>
    <m/>
    <m/>
    <n v="1479744"/>
    <m/>
    <m/>
    <m/>
  </r>
  <r>
    <x v="135"/>
    <m/>
    <x v="0"/>
    <m/>
    <m/>
    <n v="1479744"/>
    <m/>
    <m/>
    <m/>
  </r>
  <r>
    <x v="135"/>
    <m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B0B01-4712-4F10-A235-DF2AF76B34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 rowPageCount="1" colPageCount="1"/>
  <pivotFields count="8">
    <pivotField showAll="0"/>
    <pivotField axis="axisPage" showAll="0">
      <items count="9">
        <item x="7"/>
        <item x="1"/>
        <item x="5"/>
        <item x="6"/>
        <item x="4"/>
        <item x="2"/>
        <item x="3"/>
        <item x="0"/>
        <item t="default"/>
      </items>
    </pivotField>
    <pivotField showAll="0"/>
    <pivotField axis="axisRow" showAll="0">
      <items count="11">
        <item x="4"/>
        <item x="7"/>
        <item x="6"/>
        <item x="8"/>
        <item x="0"/>
        <item x="1"/>
        <item x="2"/>
        <item x="3"/>
        <item x="5"/>
        <item x="9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5" hier="-1"/>
  </pageFields>
  <dataFields count="2">
    <dataField name="Sum of DEPOSITO" fld="5" baseField="0" baseItem="0"/>
    <dataField name="Sum of GIROS" fld="6" baseField="0" baseItem="0"/>
  </dataFields>
  <formats count="2">
    <format dxfId="2">
      <pivotArea outline="0" collapsedLevelsAreSubtotals="1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9F2F8-DD47-4908-A119-A07526329E4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31" firstHeaderRow="0" firstDataRow="1" firstDataCol="1"/>
  <pivotFields count="9">
    <pivotField showAll="0"/>
    <pivotField showAll="0"/>
    <pivotField axis="axisRow" showAll="0">
      <items count="9">
        <item x="7"/>
        <item x="1"/>
        <item x="5"/>
        <item x="6"/>
        <item x="4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POSITO" fld="6" baseField="0" baseItem="0"/>
    <dataField name="Sum of GIROS" fld="7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B7AAF-4797-4195-9DCB-8C7F9FCED38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C45" firstHeaderRow="0" firstDataRow="1" firstDataCol="1" rowPageCount="1" colPageCount="1"/>
  <pivotFields count="9">
    <pivotField axis="axisPage" multipleItemSelectionAllowed="1" showAll="0">
      <items count="1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t="default"/>
      </items>
    </pivotField>
    <pivotField showAll="0"/>
    <pivotField axis="axisRow" showAll="0">
      <items count="9">
        <item x="7"/>
        <item x="1"/>
        <item x="5"/>
        <item x="6"/>
        <item x="4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DEPOSITO" fld="6" baseField="0" baseItem="0"/>
    <dataField name="Sum of GIROS" fld="7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6635AD-4D89-4A82-8E7A-AFE55DCCAEA7}" name="Table3" displayName="Table3" ref="B1:I232" totalsRowShown="0" headerRowDxfId="11" dataDxfId="9" headerRowBorderDxfId="10" tableBorderDxfId="8">
  <autoFilter ref="B1:I232" xr:uid="{256635AD-4D89-4A82-8E7A-AFE55DCCAEA7}"/>
  <tableColumns count="8">
    <tableColumn id="1" xr3:uid="{296D9FD2-F009-40EC-978F-C84F48A6D63C}" name="DETALLE"/>
    <tableColumn id="2" xr3:uid="{219A8E98-5627-4806-9660-C8801E88AE3F}" name="CATEGORIA"/>
    <tableColumn id="3" xr3:uid="{1186E174-699B-409A-BE6A-F6CCDF01D1C6}" name="PARCELA"/>
    <tableColumn id="4" xr3:uid="{D0FB856E-756B-41E2-83DE-E999BD9EBA92}" name="SUB"/>
    <tableColumn id="5" xr3:uid="{A584078E-5488-4E1F-977F-D5D8A6FAD45F}" name="SALDO" dataDxfId="7"/>
    <tableColumn id="6" xr3:uid="{7D55C17B-ADE1-4638-9787-FE8DF81B47C9}" name="DEPOSITO" dataDxfId="6"/>
    <tableColumn id="7" xr3:uid="{D44C0AD2-D7FA-494B-A7C8-D417C8683636}" name="GIROS" dataDxfId="5"/>
    <tableColumn id="8" xr3:uid="{AE09D32B-3A31-4380-A140-5D8E06AFEFA2}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C22" totalsRowShown="0">
  <autoFilter ref="B1:C22" xr:uid="{2BB82FD5-B412-4E0D-B077-4C640B1E542E}"/>
  <tableColumns count="2">
    <tableColumn id="1" xr3:uid="{C4DCE3EE-B2B2-48E4-94C9-F8A181717A95}" name="SUB"/>
    <tableColumn id="2" xr3:uid="{B684D150-AA69-4CF3-A887-6E815744E520}" name="PARCE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2983-4EAA-4C88-A2F8-DB571790E363}">
  <dimension ref="A1:J45"/>
  <sheetViews>
    <sheetView topLeftCell="A19" workbookViewId="0">
      <selection activeCell="E34" sqref="E34"/>
    </sheetView>
  </sheetViews>
  <sheetFormatPr defaultColWidth="9.109375" defaultRowHeight="14.4" x14ac:dyDescent="0.3"/>
  <cols>
    <col min="1" max="1" width="23.44140625" bestFit="1" customWidth="1"/>
    <col min="2" max="2" width="16.33203125" bestFit="1" customWidth="1"/>
    <col min="3" max="3" width="16.6640625" bestFit="1" customWidth="1"/>
    <col min="4" max="4" width="16" bestFit="1" customWidth="1"/>
    <col min="5" max="9" width="9.6640625" bestFit="1" customWidth="1"/>
    <col min="10" max="10" width="13.33203125" bestFit="1" customWidth="1"/>
    <col min="11" max="17" width="9.6640625" bestFit="1" customWidth="1"/>
    <col min="18" max="53" width="8.6640625" bestFit="1" customWidth="1"/>
    <col min="54" max="102" width="7.6640625" bestFit="1" customWidth="1"/>
    <col min="103" max="130" width="6.6640625" bestFit="1" customWidth="1"/>
    <col min="131" max="135" width="5.6640625" bestFit="1" customWidth="1"/>
    <col min="136" max="137" width="4.6640625" bestFit="1" customWidth="1"/>
    <col min="138" max="139" width="2.6640625" bestFit="1" customWidth="1"/>
    <col min="140" max="140" width="11" bestFit="1" customWidth="1"/>
    <col min="141" max="141" width="11.33203125" bestFit="1" customWidth="1"/>
  </cols>
  <sheetData>
    <row r="1" spans="1:10" x14ac:dyDescent="0.3">
      <c r="A1" s="11" t="s">
        <v>1</v>
      </c>
      <c r="B1" t="s">
        <v>20</v>
      </c>
    </row>
    <row r="3" spans="1:10" x14ac:dyDescent="0.3">
      <c r="A3" s="11" t="s">
        <v>31</v>
      </c>
      <c r="B3" s="13" t="s">
        <v>32</v>
      </c>
      <c r="C3" s="13" t="s">
        <v>33</v>
      </c>
      <c r="D3" s="15"/>
    </row>
    <row r="4" spans="1:10" x14ac:dyDescent="0.3">
      <c r="A4" s="12" t="s">
        <v>24</v>
      </c>
      <c r="B4" s="13">
        <v>17570170</v>
      </c>
      <c r="C4" s="13">
        <v>-360515474</v>
      </c>
      <c r="D4" s="15" t="e">
        <f>+GETPIVOTDATA("Sum of DEPOSITO",$A$3,"CATEGORIA","FONDOS MUTUOS")-GETPIVOTDATA("Sum of GIROS",$A$3,"CATEGORIA","FONDOS MUTUOS")</f>
        <v>#REF!</v>
      </c>
    </row>
    <row r="5" spans="1:10" x14ac:dyDescent="0.3">
      <c r="A5" s="12" t="s">
        <v>37</v>
      </c>
      <c r="B5" s="13">
        <v>260000000</v>
      </c>
      <c r="C5" s="13">
        <v>-268348443</v>
      </c>
      <c r="D5" s="15" t="e">
        <f>+GETPIVOTDATA("Sum of DEPOSITO",$A$3,"CATEGORIA","GASTOS GENERALES")+GETPIVOTDATA("Sum of GIROS",$A$3,"CATEGORIA","GASTOS GENERALES")</f>
        <v>#REF!</v>
      </c>
    </row>
    <row r="6" spans="1:10" x14ac:dyDescent="0.3">
      <c r="A6" s="12" t="s">
        <v>22</v>
      </c>
      <c r="B6" s="13">
        <v>42000000</v>
      </c>
      <c r="C6" s="13">
        <v>-43751403</v>
      </c>
      <c r="D6" s="15" t="e">
        <f>+GETPIVOTDATA("Sum of DEPOSITO",$A$3,"CATEGORIA","IMPUESTOS")+GETPIVOTDATA("Sum of GIROS",$A$3,"CATEGORIA","IMPUESTOS")</f>
        <v>#REF!</v>
      </c>
    </row>
    <row r="7" spans="1:10" x14ac:dyDescent="0.3">
      <c r="A7" s="12" t="s">
        <v>21</v>
      </c>
      <c r="B7" s="13">
        <v>45000000</v>
      </c>
      <c r="C7" s="13">
        <v>-52500000</v>
      </c>
      <c r="D7" s="15" t="e">
        <f>+GETPIVOTDATA("Sum of DEPOSITO",$A$3,"CATEGORIA","LINEA DE CREDITO")+GETPIVOTDATA("Sum of GIROS",$A$3,"CATEGORIA","LINEA DE CREDITO")</f>
        <v>#REF!</v>
      </c>
    </row>
    <row r="8" spans="1:10" x14ac:dyDescent="0.3">
      <c r="A8" s="12" t="s">
        <v>34</v>
      </c>
      <c r="B8" s="13">
        <v>19000000</v>
      </c>
      <c r="C8" s="13">
        <v>-17500000</v>
      </c>
      <c r="D8" s="15" t="e">
        <f>+GETPIVOTDATA("Sum of DEPOSITO",$A$3,"CATEGORIA","NOTARIA Y CONSERVADOR")+GETPIVOTDATA("Sum of GIROS",$A$3,"CATEGORIA","NOTARIA Y CONSERVADOR")</f>
        <v>#REF!</v>
      </c>
    </row>
    <row r="9" spans="1:10" x14ac:dyDescent="0.3">
      <c r="A9" s="12" t="s">
        <v>36</v>
      </c>
      <c r="B9" s="13">
        <v>26000000</v>
      </c>
      <c r="C9" s="13">
        <v>-35000000</v>
      </c>
      <c r="D9" s="15">
        <f>+GETPIVOTDATA("Sum of DEPOSITO",$A$3,"CATEGORIA","PRESTAMO")+GETPIVOTDATA("Sum of GIROS",$A$3,"CATEGORIA","PRESTAMO")</f>
        <v>-635828070</v>
      </c>
    </row>
    <row r="10" spans="1:10" x14ac:dyDescent="0.3">
      <c r="A10" s="12" t="s">
        <v>35</v>
      </c>
      <c r="B10" s="13">
        <v>5000000</v>
      </c>
      <c r="C10" s="13">
        <v>-5000000</v>
      </c>
      <c r="D10" s="15" t="e">
        <f>+GETPIVOTDATA("Sum of DEPOSITO",$A$3,"CATEGORIA","VENTA")+GETPIVOTDATA("Sum of GIROS",$A$3,"CATEGORIA","VENTA")</f>
        <v>#REF!</v>
      </c>
    </row>
    <row r="11" spans="1:10" x14ac:dyDescent="0.3">
      <c r="A11" s="12" t="s">
        <v>38</v>
      </c>
      <c r="B11" s="13"/>
      <c r="C11" s="13">
        <v>-267782920</v>
      </c>
      <c r="D11" s="15"/>
      <c r="J11" s="14"/>
    </row>
    <row r="12" spans="1:10" x14ac:dyDescent="0.3">
      <c r="A12" s="12" t="s">
        <v>30</v>
      </c>
      <c r="B12" s="13">
        <v>414570170</v>
      </c>
      <c r="C12" s="13">
        <v>-1050398240</v>
      </c>
      <c r="D12" s="15">
        <f>+GETPIVOTDATA("Sum of DEPOSITO",$A$3)+GETPIVOTDATA("Sum of GIROS",$A$3)</f>
        <v>-635828070</v>
      </c>
    </row>
    <row r="22" spans="1:3" x14ac:dyDescent="0.3">
      <c r="A22" s="11" t="s">
        <v>31</v>
      </c>
      <c r="B22" t="s">
        <v>32</v>
      </c>
      <c r="C22" t="s">
        <v>33</v>
      </c>
    </row>
    <row r="23" spans="1:3" x14ac:dyDescent="0.3">
      <c r="A23" s="12" t="s">
        <v>16</v>
      </c>
      <c r="B23" s="16">
        <v>406728467</v>
      </c>
      <c r="C23" s="16">
        <v>-457700000</v>
      </c>
    </row>
    <row r="24" spans="1:3" x14ac:dyDescent="0.3">
      <c r="A24" s="12" t="s">
        <v>9</v>
      </c>
      <c r="B24" s="16">
        <v>790000</v>
      </c>
      <c r="C24" s="16">
        <v>-134066680</v>
      </c>
    </row>
    <row r="25" spans="1:3" x14ac:dyDescent="0.3">
      <c r="A25" s="12" t="s">
        <v>14</v>
      </c>
      <c r="B25" s="16"/>
      <c r="C25" s="16">
        <v>-8103027</v>
      </c>
    </row>
    <row r="26" spans="1:3" x14ac:dyDescent="0.3">
      <c r="A26" s="12" t="s">
        <v>18</v>
      </c>
      <c r="B26" s="16">
        <v>999927</v>
      </c>
      <c r="C26" s="16">
        <v>-1104703</v>
      </c>
    </row>
    <row r="27" spans="1:3" x14ac:dyDescent="0.3">
      <c r="A27" s="12" t="s">
        <v>10</v>
      </c>
      <c r="B27" s="16"/>
      <c r="C27" s="16">
        <v>-2761500</v>
      </c>
    </row>
    <row r="28" spans="1:3" x14ac:dyDescent="0.3">
      <c r="A28" s="12" t="s">
        <v>20</v>
      </c>
      <c r="B28" s="16">
        <v>414570170</v>
      </c>
      <c r="C28" s="16">
        <v>-1050398240</v>
      </c>
    </row>
    <row r="29" spans="1:3" x14ac:dyDescent="0.3">
      <c r="A29" s="12" t="s">
        <v>12</v>
      </c>
      <c r="B29" s="16">
        <v>832867229</v>
      </c>
      <c r="C29" s="16">
        <v>-1044500</v>
      </c>
    </row>
    <row r="30" spans="1:3" x14ac:dyDescent="0.3">
      <c r="A30" s="12" t="s">
        <v>29</v>
      </c>
      <c r="B30" s="16"/>
      <c r="C30" s="16"/>
    </row>
    <row r="31" spans="1:3" x14ac:dyDescent="0.3">
      <c r="A31" s="12" t="s">
        <v>30</v>
      </c>
      <c r="B31" s="16">
        <v>1655955793</v>
      </c>
      <c r="C31" s="16">
        <v>-1655178650</v>
      </c>
    </row>
    <row r="35" spans="1:3" x14ac:dyDescent="0.3">
      <c r="A35" s="11" t="s">
        <v>7</v>
      </c>
      <c r="B35" t="s">
        <v>39</v>
      </c>
    </row>
    <row r="37" spans="1:3" x14ac:dyDescent="0.3">
      <c r="A37" s="11" t="s">
        <v>31</v>
      </c>
      <c r="B37" t="s">
        <v>32</v>
      </c>
      <c r="C37" t="s">
        <v>33</v>
      </c>
    </row>
    <row r="38" spans="1:3" x14ac:dyDescent="0.3">
      <c r="A38" s="12" t="s">
        <v>16</v>
      </c>
      <c r="B38" s="16">
        <v>76569257</v>
      </c>
      <c r="C38" s="16">
        <v>-201600000</v>
      </c>
    </row>
    <row r="39" spans="1:3" x14ac:dyDescent="0.3">
      <c r="A39" s="12" t="s">
        <v>9</v>
      </c>
      <c r="B39" s="16">
        <v>155500</v>
      </c>
      <c r="C39" s="16">
        <v>-30944611</v>
      </c>
    </row>
    <row r="40" spans="1:3" x14ac:dyDescent="0.3">
      <c r="A40" s="12" t="s">
        <v>14</v>
      </c>
      <c r="B40" s="16"/>
      <c r="C40" s="16">
        <v>-1246007</v>
      </c>
    </row>
    <row r="41" spans="1:3" x14ac:dyDescent="0.3">
      <c r="A41" s="12" t="s">
        <v>18</v>
      </c>
      <c r="B41" s="16"/>
      <c r="C41" s="16">
        <v>-12</v>
      </c>
    </row>
    <row r="42" spans="1:3" x14ac:dyDescent="0.3">
      <c r="A42" s="12" t="s">
        <v>10</v>
      </c>
      <c r="B42" s="16"/>
      <c r="C42" s="16">
        <v>-370500</v>
      </c>
    </row>
    <row r="43" spans="1:3" x14ac:dyDescent="0.3">
      <c r="A43" s="12" t="s">
        <v>20</v>
      </c>
      <c r="B43" s="16"/>
      <c r="C43" s="16">
        <v>-162099846</v>
      </c>
    </row>
    <row r="44" spans="1:3" x14ac:dyDescent="0.3">
      <c r="A44" s="12" t="s">
        <v>12</v>
      </c>
      <c r="B44" s="16">
        <v>300294639</v>
      </c>
      <c r="C44" s="16">
        <v>-244500</v>
      </c>
    </row>
    <row r="45" spans="1:3" x14ac:dyDescent="0.3">
      <c r="A45" s="12" t="s">
        <v>30</v>
      </c>
      <c r="B45" s="16">
        <v>377019396</v>
      </c>
      <c r="C45" s="16">
        <v>-396505476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tabSelected="1" topLeftCell="A3" workbookViewId="0">
      <selection activeCell="B22" sqref="B22"/>
    </sheetView>
  </sheetViews>
  <sheetFormatPr defaultColWidth="9.109375" defaultRowHeight="14.4" x14ac:dyDescent="0.3"/>
  <cols>
    <col min="1" max="1" width="12" style="2" customWidth="1"/>
    <col min="2" max="2" width="43.88671875" bestFit="1" customWidth="1"/>
    <col min="3" max="3" width="18.33203125" bestFit="1" customWidth="1"/>
    <col min="4" max="4" width="18.33203125" customWidth="1"/>
    <col min="5" max="5" width="17.33203125" customWidth="1"/>
    <col min="6" max="8" width="17.33203125" style="1" customWidth="1"/>
    <col min="9" max="9" width="56.6640625" customWidth="1"/>
  </cols>
  <sheetData>
    <row r="1" spans="1:28" s="10" customFormat="1" ht="18" thickBot="1" x14ac:dyDescent="0.35">
      <c r="A1" s="6" t="s">
        <v>7</v>
      </c>
      <c r="B1" s="7" t="s">
        <v>0</v>
      </c>
      <c r="C1" s="7" t="s">
        <v>1</v>
      </c>
      <c r="D1" s="7" t="s">
        <v>25</v>
      </c>
      <c r="E1" s="7" t="s">
        <v>2</v>
      </c>
      <c r="F1" s="8" t="s">
        <v>3</v>
      </c>
      <c r="G1" s="8" t="s">
        <v>4</v>
      </c>
      <c r="H1" s="8" t="s">
        <v>5</v>
      </c>
      <c r="I1" s="7" t="s">
        <v>6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x14ac:dyDescent="0.3">
      <c r="A2" s="2">
        <v>46023</v>
      </c>
      <c r="B2" t="s">
        <v>8</v>
      </c>
      <c r="F2" s="1">
        <v>0</v>
      </c>
    </row>
    <row r="3" spans="1:28" x14ac:dyDescent="0.3">
      <c r="A3" s="2">
        <v>46134</v>
      </c>
      <c r="B3" t="s">
        <v>45</v>
      </c>
      <c r="C3" t="s">
        <v>12</v>
      </c>
      <c r="F3" s="1">
        <f>+F2+G2+H2</f>
        <v>0</v>
      </c>
      <c r="G3" s="1">
        <v>199936750</v>
      </c>
    </row>
    <row r="4" spans="1:28" x14ac:dyDescent="0.3">
      <c r="A4" s="2">
        <v>46134</v>
      </c>
      <c r="B4" t="s">
        <v>46</v>
      </c>
      <c r="C4" t="s">
        <v>12</v>
      </c>
      <c r="F4" s="1">
        <f t="shared" ref="F4:F25" si="0">+F3+G3+H3</f>
        <v>199936750</v>
      </c>
      <c r="G4" s="1">
        <v>399409800</v>
      </c>
    </row>
    <row r="5" spans="1:28" x14ac:dyDescent="0.3">
      <c r="A5" s="2">
        <v>46135</v>
      </c>
      <c r="B5" t="s">
        <v>47</v>
      </c>
      <c r="C5" t="s">
        <v>20</v>
      </c>
      <c r="E5" t="s">
        <v>42</v>
      </c>
      <c r="F5" s="1">
        <f t="shared" si="0"/>
        <v>599346550</v>
      </c>
      <c r="G5" s="1">
        <v>5000000</v>
      </c>
    </row>
    <row r="6" spans="1:28" x14ac:dyDescent="0.3">
      <c r="A6" s="2">
        <v>46135</v>
      </c>
      <c r="B6" t="s">
        <v>47</v>
      </c>
      <c r="C6" t="s">
        <v>20</v>
      </c>
      <c r="E6" t="s">
        <v>42</v>
      </c>
      <c r="F6" s="1">
        <f t="shared" si="0"/>
        <v>604346550</v>
      </c>
      <c r="G6" s="1">
        <v>5000000</v>
      </c>
    </row>
    <row r="7" spans="1:28" x14ac:dyDescent="0.3">
      <c r="A7" s="2">
        <v>46135</v>
      </c>
      <c r="B7" t="s">
        <v>47</v>
      </c>
      <c r="C7" t="s">
        <v>20</v>
      </c>
      <c r="E7" t="s">
        <v>42</v>
      </c>
      <c r="F7" s="1">
        <f t="shared" si="0"/>
        <v>609346550</v>
      </c>
      <c r="G7" s="1">
        <v>5000000</v>
      </c>
    </row>
    <row r="8" spans="1:28" x14ac:dyDescent="0.3">
      <c r="A8" s="2">
        <v>46135</v>
      </c>
      <c r="B8" t="s">
        <v>47</v>
      </c>
      <c r="C8" t="s">
        <v>20</v>
      </c>
      <c r="E8" t="s">
        <v>42</v>
      </c>
      <c r="F8" s="1">
        <f t="shared" si="0"/>
        <v>614346550</v>
      </c>
      <c r="G8" s="1">
        <v>5000000</v>
      </c>
    </row>
    <row r="9" spans="1:28" x14ac:dyDescent="0.3">
      <c r="A9" s="2">
        <v>46135</v>
      </c>
      <c r="B9" t="s">
        <v>47</v>
      </c>
      <c r="C9" t="s">
        <v>20</v>
      </c>
      <c r="E9" t="s">
        <v>42</v>
      </c>
      <c r="F9" s="1">
        <f t="shared" si="0"/>
        <v>619346550</v>
      </c>
      <c r="G9" s="1">
        <v>5000000</v>
      </c>
    </row>
    <row r="10" spans="1:28" x14ac:dyDescent="0.3">
      <c r="A10" s="2">
        <v>46135</v>
      </c>
      <c r="B10" t="s">
        <v>47</v>
      </c>
      <c r="C10" t="s">
        <v>20</v>
      </c>
      <c r="E10" t="s">
        <v>42</v>
      </c>
      <c r="F10" s="1">
        <f t="shared" si="0"/>
        <v>624346550</v>
      </c>
      <c r="G10" s="1">
        <v>5000000</v>
      </c>
    </row>
    <row r="11" spans="1:28" x14ac:dyDescent="0.3">
      <c r="A11" s="2">
        <v>46135</v>
      </c>
      <c r="B11" t="s">
        <v>47</v>
      </c>
      <c r="C11" t="s">
        <v>20</v>
      </c>
      <c r="E11" t="s">
        <v>42</v>
      </c>
      <c r="F11" s="1">
        <f t="shared" si="0"/>
        <v>629346550</v>
      </c>
      <c r="G11" s="1">
        <v>5000000</v>
      </c>
    </row>
    <row r="12" spans="1:28" x14ac:dyDescent="0.3">
      <c r="A12" s="2">
        <v>46135</v>
      </c>
      <c r="B12" t="s">
        <v>47</v>
      </c>
      <c r="C12" t="s">
        <v>20</v>
      </c>
      <c r="E12" t="s">
        <v>42</v>
      </c>
      <c r="F12" s="1">
        <f t="shared" si="0"/>
        <v>634346550</v>
      </c>
      <c r="G12" s="1">
        <v>5000000</v>
      </c>
    </row>
    <row r="13" spans="1:28" x14ac:dyDescent="0.3">
      <c r="A13" s="2">
        <v>46135</v>
      </c>
      <c r="B13" t="s">
        <v>47</v>
      </c>
      <c r="C13" t="s">
        <v>20</v>
      </c>
      <c r="E13" t="s">
        <v>42</v>
      </c>
      <c r="F13" s="1">
        <f t="shared" si="0"/>
        <v>639346550</v>
      </c>
      <c r="G13" s="1">
        <v>5000000</v>
      </c>
    </row>
    <row r="14" spans="1:28" x14ac:dyDescent="0.3">
      <c r="A14" s="2">
        <v>46135</v>
      </c>
      <c r="B14" t="s">
        <v>47</v>
      </c>
      <c r="C14" t="s">
        <v>20</v>
      </c>
      <c r="E14" t="s">
        <v>42</v>
      </c>
      <c r="F14" s="1">
        <f t="shared" si="0"/>
        <v>644346550</v>
      </c>
      <c r="G14" s="1">
        <v>5000000</v>
      </c>
    </row>
    <row r="15" spans="1:28" x14ac:dyDescent="0.3">
      <c r="A15" s="2">
        <v>46135</v>
      </c>
      <c r="B15" t="s">
        <v>48</v>
      </c>
      <c r="C15" t="s">
        <v>12</v>
      </c>
      <c r="F15" s="1">
        <f t="shared" si="0"/>
        <v>649346550</v>
      </c>
      <c r="H15" s="1">
        <v>-199936750</v>
      </c>
    </row>
    <row r="16" spans="1:28" x14ac:dyDescent="0.3">
      <c r="A16" s="2">
        <v>46136</v>
      </c>
      <c r="B16" t="s">
        <v>49</v>
      </c>
      <c r="C16" t="s">
        <v>20</v>
      </c>
      <c r="E16" t="s">
        <v>23</v>
      </c>
      <c r="F16" s="1">
        <f t="shared" si="0"/>
        <v>449409800</v>
      </c>
      <c r="G16" s="1">
        <v>200000</v>
      </c>
    </row>
    <row r="17" spans="1:9" x14ac:dyDescent="0.3">
      <c r="A17" s="2">
        <v>46139</v>
      </c>
      <c r="B17" t="s">
        <v>50</v>
      </c>
      <c r="C17" t="s">
        <v>20</v>
      </c>
      <c r="E17" t="s">
        <v>23</v>
      </c>
      <c r="F17" s="1">
        <f t="shared" si="0"/>
        <v>449609800</v>
      </c>
      <c r="G17" s="1">
        <v>75000000</v>
      </c>
    </row>
    <row r="18" spans="1:9" x14ac:dyDescent="0.3">
      <c r="A18" s="2">
        <v>46139</v>
      </c>
      <c r="B18" t="s">
        <v>51</v>
      </c>
      <c r="C18" t="s">
        <v>20</v>
      </c>
      <c r="E18" t="s">
        <v>56</v>
      </c>
      <c r="F18" s="1">
        <f t="shared" si="0"/>
        <v>524609800</v>
      </c>
      <c r="G18" s="1">
        <v>200401450</v>
      </c>
    </row>
    <row r="19" spans="1:9" x14ac:dyDescent="0.3">
      <c r="A19" s="2">
        <v>46139</v>
      </c>
      <c r="B19" t="s">
        <v>52</v>
      </c>
      <c r="C19" t="s">
        <v>12</v>
      </c>
      <c r="F19" s="1">
        <f t="shared" si="0"/>
        <v>725011250</v>
      </c>
      <c r="G19" s="1">
        <v>199936750</v>
      </c>
    </row>
    <row r="20" spans="1:9" x14ac:dyDescent="0.3">
      <c r="A20" s="2">
        <v>46140</v>
      </c>
      <c r="B20" t="s">
        <v>50</v>
      </c>
      <c r="C20" t="s">
        <v>20</v>
      </c>
      <c r="E20" t="s">
        <v>23</v>
      </c>
      <c r="F20" s="1">
        <f t="shared" si="0"/>
        <v>924948000</v>
      </c>
      <c r="G20" s="1">
        <v>24800000</v>
      </c>
    </row>
    <row r="21" spans="1:9" x14ac:dyDescent="0.3">
      <c r="A21" s="2">
        <v>46141</v>
      </c>
      <c r="B21" t="s">
        <v>53</v>
      </c>
      <c r="C21" t="s">
        <v>9</v>
      </c>
      <c r="F21" s="1">
        <f t="shared" si="0"/>
        <v>949748000</v>
      </c>
      <c r="H21" s="1">
        <v>-919596912</v>
      </c>
      <c r="I21" t="s">
        <v>55</v>
      </c>
    </row>
    <row r="22" spans="1:9" x14ac:dyDescent="0.3">
      <c r="A22" s="2">
        <v>46141</v>
      </c>
      <c r="B22" t="s">
        <v>54</v>
      </c>
      <c r="C22" t="s">
        <v>9</v>
      </c>
      <c r="F22" s="1">
        <f t="shared" si="0"/>
        <v>30151088</v>
      </c>
      <c r="H22" s="1">
        <v>-14037</v>
      </c>
    </row>
    <row r="23" spans="1:9" x14ac:dyDescent="0.3">
      <c r="F23" s="1">
        <f t="shared" si="0"/>
        <v>30137051</v>
      </c>
    </row>
    <row r="24" spans="1:9" x14ac:dyDescent="0.3">
      <c r="F24" s="1">
        <f t="shared" si="0"/>
        <v>30137051</v>
      </c>
    </row>
  </sheetData>
  <phoneticPr fontId="1" type="noConversion"/>
  <conditionalFormatting sqref="C1:C1048576">
    <cfRule type="containsBlanks" dxfId="0" priority="1">
      <formula>LEN(TRIM(C1))=0</formula>
    </cfRule>
  </conditionalFormatting>
  <dataValidations count="2">
    <dataValidation type="decimal" operator="greaterThan" allowBlank="1" showInputMessage="1" showErrorMessage="1" sqref="G2:G1048576" xr:uid="{B93CC2DC-B85D-4A9C-96C1-5B8E36862DE2}">
      <formula1>0</formula1>
    </dataValidation>
    <dataValidation type="decimal" operator="lessThan" allowBlank="1" showInputMessage="1" showErrorMessage="1" sqref="H2:H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B9F8CF-DBAC-4F42-8D65-4AFA22F72F18}">
          <x14:formula1>
            <xm:f>CATEGORIAS!$B$2:$B$30</xm:f>
          </x14:formula1>
          <xm:sqref>E2:E1048576</xm:sqref>
        </x14:dataValidation>
        <x14:dataValidation type="list" allowBlank="1" showInputMessage="1" showErrorMessage="1" xr:uid="{A1F16C7B-3110-4343-BAD4-CFED7211F3D3}">
          <x14:formula1>
            <xm:f>CATEGORIAS!$A$2:$A$13</xm:f>
          </x14:formula1>
          <xm:sqref>C2:C1048576</xm:sqref>
        </x14:dataValidation>
        <x14:dataValidation type="list" allowBlank="1" showInputMessage="1" showErrorMessage="1" xr:uid="{21498822-A9B9-496C-9B87-DCBB723D986C}">
          <x14:formula1>
            <xm:f>CATEGORIAS!$C$2:$C$15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C20"/>
  <sheetViews>
    <sheetView workbookViewId="0">
      <selection activeCell="B5" sqref="B5"/>
    </sheetView>
  </sheetViews>
  <sheetFormatPr defaultColWidth="9.109375" defaultRowHeight="14.4" x14ac:dyDescent="0.3"/>
  <cols>
    <col min="1" max="1" width="28.5546875" bestFit="1" customWidth="1"/>
    <col min="2" max="2" width="19" customWidth="1"/>
    <col min="3" max="3" width="29.44140625" customWidth="1"/>
  </cols>
  <sheetData>
    <row r="1" spans="1:3" x14ac:dyDescent="0.3">
      <c r="A1" t="s">
        <v>1</v>
      </c>
      <c r="B1" t="s">
        <v>2</v>
      </c>
      <c r="C1" t="s">
        <v>25</v>
      </c>
    </row>
    <row r="2" spans="1:3" x14ac:dyDescent="0.3">
      <c r="A2" t="s">
        <v>19</v>
      </c>
      <c r="C2" t="s">
        <v>41</v>
      </c>
    </row>
    <row r="3" spans="1:3" x14ac:dyDescent="0.3">
      <c r="A3" t="s">
        <v>16</v>
      </c>
      <c r="B3" t="s">
        <v>23</v>
      </c>
    </row>
    <row r="4" spans="1:3" x14ac:dyDescent="0.3">
      <c r="A4" t="s">
        <v>9</v>
      </c>
      <c r="B4" t="s">
        <v>56</v>
      </c>
    </row>
    <row r="5" spans="1:3" x14ac:dyDescent="0.3">
      <c r="A5" t="s">
        <v>14</v>
      </c>
    </row>
    <row r="6" spans="1:3" x14ac:dyDescent="0.3">
      <c r="A6" t="s">
        <v>18</v>
      </c>
    </row>
    <row r="7" spans="1:3" x14ac:dyDescent="0.3">
      <c r="A7" t="s">
        <v>11</v>
      </c>
    </row>
    <row r="8" spans="1:3" x14ac:dyDescent="0.3">
      <c r="A8" t="s">
        <v>10</v>
      </c>
      <c r="B8" t="s">
        <v>22</v>
      </c>
    </row>
    <row r="9" spans="1:3" x14ac:dyDescent="0.3">
      <c r="A9" t="s">
        <v>15</v>
      </c>
    </row>
    <row r="10" spans="1:3" x14ac:dyDescent="0.3">
      <c r="A10" t="s">
        <v>20</v>
      </c>
    </row>
    <row r="11" spans="1:3" x14ac:dyDescent="0.3">
      <c r="A11" t="s">
        <v>17</v>
      </c>
    </row>
    <row r="12" spans="1:3" x14ac:dyDescent="0.3">
      <c r="A12" t="s">
        <v>13</v>
      </c>
    </row>
    <row r="13" spans="1:3" x14ac:dyDescent="0.3">
      <c r="A13" t="s">
        <v>12</v>
      </c>
      <c r="B13" t="s">
        <v>21</v>
      </c>
    </row>
    <row r="18" spans="2:2" x14ac:dyDescent="0.3">
      <c r="B18" t="s">
        <v>42</v>
      </c>
    </row>
    <row r="19" spans="2:2" x14ac:dyDescent="0.3">
      <c r="B19" t="s">
        <v>36</v>
      </c>
    </row>
    <row r="20" spans="2:2" x14ac:dyDescent="0.3">
      <c r="B20" t="s">
        <v>24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C4A8-22C4-46FF-8D35-2DB0D123AA66}">
  <dimension ref="A1:D54"/>
  <sheetViews>
    <sheetView workbookViewId="0">
      <selection activeCell="A2" sqref="A2"/>
    </sheetView>
  </sheetViews>
  <sheetFormatPr defaultColWidth="9.109375" defaultRowHeight="14.4" x14ac:dyDescent="0.3"/>
  <cols>
    <col min="1" max="1" width="13.5546875" customWidth="1"/>
    <col min="2" max="2" width="33.44140625" customWidth="1"/>
    <col min="3" max="3" width="18.33203125" customWidth="1"/>
    <col min="4" max="4" width="14.33203125" bestFit="1" customWidth="1"/>
  </cols>
  <sheetData>
    <row r="1" spans="1:4" x14ac:dyDescent="0.3">
      <c r="A1" s="22" t="s">
        <v>44</v>
      </c>
      <c r="B1" s="23"/>
      <c r="C1" s="3" t="s">
        <v>26</v>
      </c>
      <c r="D1" s="3" t="s">
        <v>27</v>
      </c>
    </row>
    <row r="2" spans="1:4" x14ac:dyDescent="0.3">
      <c r="A2" s="20">
        <v>46105</v>
      </c>
      <c r="B2" s="4" t="s">
        <v>43</v>
      </c>
      <c r="C2" s="4" t="s">
        <v>40</v>
      </c>
      <c r="D2" s="18">
        <v>100</v>
      </c>
    </row>
    <row r="3" spans="1:4" x14ac:dyDescent="0.3">
      <c r="A3" s="20"/>
      <c r="B3" s="4"/>
      <c r="C3" s="4"/>
      <c r="D3" s="18"/>
    </row>
    <row r="4" spans="1:4" x14ac:dyDescent="0.3">
      <c r="A4" s="20"/>
      <c r="B4" s="4"/>
      <c r="C4" s="4"/>
      <c r="D4" s="18"/>
    </row>
    <row r="5" spans="1:4" x14ac:dyDescent="0.3">
      <c r="A5" s="20"/>
      <c r="B5" s="4"/>
      <c r="C5" s="4"/>
      <c r="D5" s="18"/>
    </row>
    <row r="6" spans="1:4" x14ac:dyDescent="0.3">
      <c r="A6" s="20"/>
      <c r="B6" s="4"/>
      <c r="C6" s="4"/>
      <c r="D6" s="18"/>
    </row>
    <row r="7" spans="1:4" x14ac:dyDescent="0.3">
      <c r="A7" s="20"/>
      <c r="B7" s="4"/>
      <c r="C7" s="4"/>
      <c r="D7" s="18"/>
    </row>
    <row r="8" spans="1:4" x14ac:dyDescent="0.3">
      <c r="A8" s="20"/>
      <c r="B8" s="4"/>
      <c r="C8" s="4"/>
      <c r="D8" s="18"/>
    </row>
    <row r="9" spans="1:4" x14ac:dyDescent="0.3">
      <c r="A9" s="20"/>
      <c r="B9" s="4"/>
      <c r="C9" s="4"/>
      <c r="D9" s="18"/>
    </row>
    <row r="10" spans="1:4" x14ac:dyDescent="0.3">
      <c r="A10" s="20"/>
      <c r="B10" s="4"/>
      <c r="C10" s="4"/>
      <c r="D10" s="18"/>
    </row>
    <row r="11" spans="1:4" x14ac:dyDescent="0.3">
      <c r="A11" s="20"/>
      <c r="B11" s="4"/>
      <c r="C11" s="4"/>
      <c r="D11" s="18"/>
    </row>
    <row r="12" spans="1:4" x14ac:dyDescent="0.3">
      <c r="A12" s="24" t="s">
        <v>28</v>
      </c>
      <c r="B12" s="25"/>
      <c r="C12" s="4"/>
      <c r="D12" s="5">
        <f>+SUM(D2:D11)</f>
        <v>100</v>
      </c>
    </row>
    <row r="13" spans="1:4" x14ac:dyDescent="0.3">
      <c r="A13" s="17"/>
      <c r="D13" s="19"/>
    </row>
    <row r="14" spans="1:4" x14ac:dyDescent="0.3">
      <c r="A14" s="17"/>
      <c r="D14" s="19"/>
    </row>
    <row r="15" spans="1:4" x14ac:dyDescent="0.3">
      <c r="A15" s="3"/>
      <c r="B15" s="4"/>
      <c r="C15" s="4"/>
      <c r="D15" s="4"/>
    </row>
    <row r="16" spans="1:4" x14ac:dyDescent="0.3">
      <c r="A16" s="3"/>
      <c r="B16" s="3"/>
      <c r="C16" s="3"/>
      <c r="D16" s="3"/>
    </row>
    <row r="17" spans="1:4" x14ac:dyDescent="0.3">
      <c r="A17" s="4"/>
      <c r="B17" s="4"/>
      <c r="C17" s="4"/>
      <c r="D17" s="4"/>
    </row>
    <row r="18" spans="1:4" x14ac:dyDescent="0.3">
      <c r="A18" s="4"/>
      <c r="B18" s="4"/>
      <c r="C18" s="4"/>
      <c r="D18" s="4"/>
    </row>
    <row r="19" spans="1:4" x14ac:dyDescent="0.3">
      <c r="A19" s="4"/>
      <c r="B19" s="4"/>
      <c r="C19" s="4"/>
      <c r="D19" s="4"/>
    </row>
    <row r="20" spans="1:4" x14ac:dyDescent="0.3">
      <c r="A20" s="4"/>
      <c r="B20" s="4"/>
      <c r="C20" s="4"/>
      <c r="D20" s="4"/>
    </row>
    <row r="21" spans="1:4" x14ac:dyDescent="0.3">
      <c r="A21" s="4"/>
      <c r="B21" s="4"/>
      <c r="C21" s="4"/>
      <c r="D21" s="4"/>
    </row>
    <row r="22" spans="1:4" x14ac:dyDescent="0.3">
      <c r="A22" s="4"/>
      <c r="B22" s="4"/>
      <c r="C22" s="4"/>
      <c r="D22" s="4"/>
    </row>
    <row r="23" spans="1:4" x14ac:dyDescent="0.3">
      <c r="A23" s="4"/>
      <c r="B23" s="4"/>
      <c r="C23" s="4"/>
      <c r="D23" s="4"/>
    </row>
    <row r="24" spans="1:4" x14ac:dyDescent="0.3">
      <c r="A24" s="4"/>
      <c r="B24" s="4"/>
      <c r="C24" s="4"/>
      <c r="D24" s="4"/>
    </row>
    <row r="25" spans="1:4" x14ac:dyDescent="0.3">
      <c r="A25" s="4"/>
      <c r="B25" s="4"/>
      <c r="C25" s="4"/>
      <c r="D25" s="4"/>
    </row>
    <row r="26" spans="1:4" x14ac:dyDescent="0.3">
      <c r="A26" s="4"/>
      <c r="B26" s="4"/>
      <c r="C26" s="4"/>
      <c r="D26" s="4"/>
    </row>
    <row r="27" spans="1:4" x14ac:dyDescent="0.3">
      <c r="A27" s="4"/>
      <c r="B27" s="4"/>
      <c r="C27" s="4"/>
      <c r="D27" s="4"/>
    </row>
    <row r="28" spans="1:4" x14ac:dyDescent="0.3">
      <c r="A28" s="4"/>
      <c r="B28" s="4"/>
      <c r="C28" s="4"/>
      <c r="D28" s="4"/>
    </row>
    <row r="29" spans="1:4" x14ac:dyDescent="0.3">
      <c r="A29" s="4"/>
      <c r="B29" s="4"/>
      <c r="C29" s="4"/>
      <c r="D29" s="4"/>
    </row>
    <row r="30" spans="1:4" x14ac:dyDescent="0.3">
      <c r="A30" s="4"/>
      <c r="B30" s="4"/>
      <c r="C30" s="4"/>
      <c r="D30" s="4"/>
    </row>
    <row r="31" spans="1:4" x14ac:dyDescent="0.3">
      <c r="A31" s="4"/>
      <c r="B31" s="4"/>
      <c r="C31" s="4"/>
      <c r="D31" s="4"/>
    </row>
    <row r="32" spans="1:4" x14ac:dyDescent="0.3">
      <c r="A32" s="4"/>
      <c r="B32" s="4"/>
      <c r="C32" s="4"/>
      <c r="D32" s="4"/>
    </row>
    <row r="33" spans="1:4" x14ac:dyDescent="0.3">
      <c r="A33" s="3"/>
      <c r="B33" s="3"/>
      <c r="C33" s="3"/>
      <c r="D33" s="21"/>
    </row>
    <row r="36" spans="1:4" x14ac:dyDescent="0.3">
      <c r="A36" s="3"/>
      <c r="B36" s="4"/>
      <c r="C36" s="4"/>
      <c r="D36" s="4"/>
    </row>
    <row r="37" spans="1:4" x14ac:dyDescent="0.3">
      <c r="A37" s="3"/>
      <c r="B37" s="3"/>
      <c r="C37" s="3"/>
      <c r="D37" s="3"/>
    </row>
    <row r="38" spans="1:4" x14ac:dyDescent="0.3">
      <c r="A38" s="4"/>
      <c r="B38" s="4"/>
      <c r="C38" s="4"/>
      <c r="D38" s="4"/>
    </row>
    <row r="39" spans="1:4" x14ac:dyDescent="0.3">
      <c r="A39" s="4"/>
      <c r="B39" s="4"/>
      <c r="C39" s="4"/>
      <c r="D39" s="4"/>
    </row>
    <row r="40" spans="1:4" x14ac:dyDescent="0.3">
      <c r="A40" s="4"/>
      <c r="B40" s="4"/>
      <c r="C40" s="4"/>
      <c r="D40" s="4"/>
    </row>
    <row r="41" spans="1:4" x14ac:dyDescent="0.3">
      <c r="A41" s="4"/>
      <c r="B41" s="4"/>
      <c r="C41" s="4"/>
      <c r="D41" s="4"/>
    </row>
    <row r="42" spans="1:4" x14ac:dyDescent="0.3">
      <c r="A42" s="4"/>
      <c r="B42" s="4"/>
      <c r="C42" s="4"/>
      <c r="D42" s="4"/>
    </row>
    <row r="43" spans="1:4" x14ac:dyDescent="0.3">
      <c r="A43" s="4"/>
      <c r="B43" s="4"/>
      <c r="C43" s="4"/>
      <c r="D43" s="4"/>
    </row>
    <row r="44" spans="1:4" x14ac:dyDescent="0.3">
      <c r="A44" s="4"/>
      <c r="B44" s="4"/>
      <c r="C44" s="4"/>
      <c r="D44" s="4"/>
    </row>
    <row r="45" spans="1:4" x14ac:dyDescent="0.3">
      <c r="A45" s="4"/>
      <c r="B45" s="4"/>
      <c r="C45" s="4"/>
      <c r="D45" s="4"/>
    </row>
    <row r="46" spans="1:4" x14ac:dyDescent="0.3">
      <c r="A46" s="4"/>
      <c r="B46" s="4"/>
      <c r="C46" s="4"/>
      <c r="D46" s="4"/>
    </row>
    <row r="47" spans="1:4" x14ac:dyDescent="0.3">
      <c r="A47" s="4"/>
      <c r="B47" s="4"/>
      <c r="C47" s="4"/>
      <c r="D47" s="4"/>
    </row>
    <row r="48" spans="1:4" x14ac:dyDescent="0.3">
      <c r="A48" s="4"/>
      <c r="B48" s="4"/>
      <c r="C48" s="4"/>
      <c r="D48" s="4"/>
    </row>
    <row r="49" spans="1:4" x14ac:dyDescent="0.3">
      <c r="A49" s="4"/>
      <c r="B49" s="4"/>
      <c r="C49" s="4"/>
      <c r="D49" s="4"/>
    </row>
    <row r="50" spans="1:4" x14ac:dyDescent="0.3">
      <c r="A50" s="4"/>
      <c r="B50" s="4"/>
      <c r="C50" s="4"/>
      <c r="D50" s="4"/>
    </row>
    <row r="51" spans="1:4" x14ac:dyDescent="0.3">
      <c r="A51" s="4"/>
      <c r="B51" s="4"/>
      <c r="C51" s="4"/>
      <c r="D51" s="4"/>
    </row>
    <row r="52" spans="1:4" x14ac:dyDescent="0.3">
      <c r="A52" s="4"/>
      <c r="B52" s="4"/>
      <c r="C52" s="4"/>
      <c r="D52" s="4"/>
    </row>
    <row r="53" spans="1:4" x14ac:dyDescent="0.3">
      <c r="A53" s="4"/>
      <c r="B53" s="4"/>
      <c r="C53" s="4"/>
      <c r="D53" s="4"/>
    </row>
    <row r="54" spans="1:4" x14ac:dyDescent="0.3">
      <c r="A54" s="3"/>
      <c r="B54" s="3"/>
      <c r="C54" s="3"/>
      <c r="D54" s="21"/>
    </row>
  </sheetData>
  <mergeCells count="2">
    <mergeCell ref="A1:B1"/>
    <mergeCell ref="A12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MOVIMIENTOS</vt:lpstr>
      <vt:lpstr>CATEGORIAS</vt:lpstr>
      <vt:lpstr>Rendiciones de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2026-05-04T21:54:03Z</dcterms:modified>
</cp:coreProperties>
</file>
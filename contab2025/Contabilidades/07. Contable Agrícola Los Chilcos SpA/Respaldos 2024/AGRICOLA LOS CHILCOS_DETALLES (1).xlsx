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Escritorio\CLIENTES EMPRESAS Y PERS.NATURALES\EMPRESAS PEDRO LECAROS\BALANCES AÑO 2024\AGRICOLA LOS CHILCOS 2024\BALANCES Y BASE 2024_BORRADOR\"/>
    </mc:Choice>
  </mc:AlternateContent>
  <xr:revisionPtr revIDLastSave="0" documentId="13_ncr:1_{CC94B413-CA33-40A4-AAAE-2F38E5E57DC0}" xr6:coauthVersionLast="47" xr6:coauthVersionMax="47" xr10:uidLastSave="{00000000-0000-0000-0000-000000000000}"/>
  <bookViews>
    <workbookView xWindow="-108" yWindow="-108" windowWidth="23256" windowHeight="12456" xr2:uid="{2AADA020-196E-477C-A9FF-5E2C860A78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H43" i="1" l="1"/>
  <c r="G43" i="1"/>
  <c r="K33" i="1" l="1"/>
</calcChain>
</file>

<file path=xl/sharedStrings.xml><?xml version="1.0" encoding="utf-8"?>
<sst xmlns="http://schemas.openxmlformats.org/spreadsheetml/2006/main" count="75" uniqueCount="54">
  <si>
    <t>Declaracion jurada 1948 enviada s/m no hay dividendos año comercial 2024</t>
  </si>
  <si>
    <t>Cuenta_ANTICIPO PROVEEDORES</t>
  </si>
  <si>
    <t>[107103] ANTICIPO DE PROVEEDORES</t>
  </si>
  <si>
    <t>EGRESO</t>
  </si>
  <si>
    <t>TRASPASO A: ASESORIAS ECOX SPAREEMBOLSA GASTO ARQUITE</t>
  </si>
  <si>
    <t>Traspaso A: Construcciones Del Ranco Spaporton de acceso</t>
  </si>
  <si>
    <t>Traspaso A: Construcciones Del Ranco Spatranqueras</t>
  </si>
  <si>
    <t>TRASPASO</t>
  </si>
  <si>
    <t>ASIENTO DE AJUSTE POR ERROR EN EMISION DE NOTA DE CREDITO</t>
  </si>
  <si>
    <t>TOTALES</t>
  </si>
  <si>
    <t>Cuenta_anticipo honorarios :</t>
  </si>
  <si>
    <t>ABDALLAH FERNANDEZ ATUEZ?</t>
  </si>
  <si>
    <t>12247035-0</t>
  </si>
  <si>
    <t>COMPROBANTE CONTABLE</t>
  </si>
  <si>
    <t>(documentos por facturar por parte de constr el Ranco)</t>
  </si>
  <si>
    <t>ABDALLAH FERNANDEZ ATUEZ centraliz honor mayo 2024</t>
  </si>
  <si>
    <t>Abdallah, emitio una boleta de honor por $180.000 y se le transfirío  $260.000.- el dia 09 de mayo 2024 banco chile Los Chilcos</t>
  </si>
  <si>
    <t>76664215-2</t>
  </si>
  <si>
    <t>GEOTIM LIMITADA</t>
  </si>
  <si>
    <t>83547100-4</t>
  </si>
  <si>
    <t>AUTORENTAS DEL PACIFICO S</t>
  </si>
  <si>
    <t>89862200-2</t>
  </si>
  <si>
    <t>LATAM AIRLINES GROUP S.A.</t>
  </si>
  <si>
    <t>Cuenta_Proveedores</t>
  </si>
  <si>
    <t>Por pagar:</t>
  </si>
  <si>
    <t>Total</t>
  </si>
  <si>
    <t>1.-</t>
  </si>
  <si>
    <t>2.-</t>
  </si>
  <si>
    <t>3.-</t>
  </si>
  <si>
    <t>4.-</t>
  </si>
  <si>
    <t>Se pagó y no se hizo factura</t>
  </si>
  <si>
    <t>TRASPASO Centralizacion compras Geotim</t>
  </si>
  <si>
    <t>TRASPASO Centralizacion compras Autorentas…</t>
  </si>
  <si>
    <t>TRASPASO Centralizacion compras Latam</t>
  </si>
  <si>
    <t>AGRICOLA LOS CHILCOS SPA</t>
  </si>
  <si>
    <t>Revisar si hay algun presupuesto, para hacer las rebajas por los abonos y solicitar las facturas</t>
  </si>
  <si>
    <t>ASIENTO CONTABLE POR LA COMPRA DEL TERRENO LOS CHILCOS</t>
  </si>
  <si>
    <t>115101 TERRENOS</t>
  </si>
  <si>
    <t/>
  </si>
  <si>
    <t>100102 BANCO CHILE</t>
  </si>
  <si>
    <t>210101 CREDITOS BANCARIOS LARGO PLAZO</t>
  </si>
  <si>
    <t>421103 DIFERENCIA VALOR UF</t>
  </si>
  <si>
    <t xml:space="preserve">TERRENOS </t>
  </si>
  <si>
    <t xml:space="preserve">                   COSTO</t>
  </si>
  <si>
    <t>COSTO TERRENOS</t>
  </si>
  <si>
    <t>CUENTAS POR COBRAR VENTA LOTEOS</t>
  </si>
  <si>
    <t xml:space="preserve">                                     VENTAS</t>
  </si>
  <si>
    <t>POR LA VENTA DE LOTE A MAITEN</t>
  </si>
  <si>
    <t>CAJA</t>
  </si>
  <si>
    <t>CUENTA POR COBRAR EL MAITEN</t>
  </si>
  <si>
    <t xml:space="preserve">          CUENTAS POR COBRAR VENTA LOTEOS</t>
  </si>
  <si>
    <t>PAGO LOTEOS MAITEN</t>
  </si>
  <si>
    <t>PRESTAMO LOS CHILCOS A MAITEN</t>
  </si>
  <si>
    <t>ASIENTO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</si>
</sst>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-* #,##0_-;\-* #,##0_-;_-* &quot;-&quot;??_-;_-@_-"/>
    <numFmt numFmtId="173" formatCode="_(&quot;$&quot;* #,##0_);_(&quot;$&quot;* \(#,##0\);_(&quot;$&quot;* &quot;-&quot;??_);_(@_)"/>
    <numFmt numFmtId="17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212529"/>
      <name val="Verdana"/>
      <family val="2"/>
    </font>
    <font>
      <sz val="7"/>
      <color rgb="FF212529"/>
      <name val="Verdana"/>
      <family val="2"/>
    </font>
    <font>
      <sz val="7"/>
      <color rgb="FF2E92CF"/>
      <name val="Verdana"/>
      <family val="2"/>
    </font>
    <font>
      <b/>
      <sz val="8"/>
      <color theme="1"/>
      <name val="Verdana"/>
      <family val="2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1">
    <xf numFmtId="0" fontId="0" fillId="0" borderId="0" xfId="0"/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14" fontId="4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3" fontId="4" fillId="3" borderId="4" xfId="0" applyNumberFormat="1" applyFont="1" applyFill="1" applyBorder="1" applyAlignment="1">
      <alignment horizontal="right" vertical="center" wrapText="1"/>
    </xf>
    <xf numFmtId="3" fontId="3" fillId="3" borderId="4" xfId="0" applyNumberFormat="1" applyFont="1" applyFill="1" applyBorder="1" applyAlignment="1">
      <alignment horizontal="right" vertical="center" wrapText="1"/>
    </xf>
    <xf numFmtId="44" fontId="3" fillId="2" borderId="1" xfId="2" applyFont="1" applyFill="1" applyBorder="1" applyAlignment="1">
      <alignment horizontal="right" vertical="center" wrapText="1"/>
    </xf>
    <xf numFmtId="6" fontId="3" fillId="3" borderId="4" xfId="1" applyNumberFormat="1" applyFont="1" applyFill="1" applyBorder="1" applyAlignment="1">
      <alignment horizontal="right" vertical="center" wrapText="1"/>
    </xf>
    <xf numFmtId="0" fontId="2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3" fontId="4" fillId="2" borderId="4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5" xfId="0" applyFont="1" applyBorder="1"/>
    <xf numFmtId="3" fontId="6" fillId="0" borderId="5" xfId="0" applyNumberFormat="1" applyFont="1" applyBorder="1"/>
    <xf numFmtId="173" fontId="4" fillId="3" borderId="1" xfId="2" applyNumberFormat="1" applyFont="1" applyFill="1" applyBorder="1" applyAlignment="1">
      <alignment horizontal="right" vertical="center" wrapText="1"/>
    </xf>
    <xf numFmtId="0" fontId="2" fillId="5" borderId="0" xfId="0" applyFont="1" applyFill="1"/>
    <xf numFmtId="174" fontId="0" fillId="0" borderId="0" xfId="1" applyNumberFormat="1" applyFont="1"/>
    <xf numFmtId="174" fontId="2" fillId="0" borderId="6" xfId="1" applyNumberFormat="1" applyFont="1" applyBorder="1"/>
    <xf numFmtId="0" fontId="0" fillId="0" borderId="8" xfId="0" applyBorder="1"/>
    <xf numFmtId="0" fontId="0" fillId="0" borderId="9" xfId="0" applyBorder="1"/>
    <xf numFmtId="174" fontId="0" fillId="0" borderId="9" xfId="1" applyNumberFormat="1" applyFont="1" applyBorder="1"/>
    <xf numFmtId="174" fontId="0" fillId="0" borderId="10" xfId="1" applyNumberFormat="1" applyFont="1" applyBorder="1"/>
    <xf numFmtId="0" fontId="2" fillId="6" borderId="11" xfId="0" applyFont="1" applyFill="1" applyBorder="1"/>
    <xf numFmtId="0" fontId="0" fillId="6" borderId="0" xfId="0" applyFill="1" applyBorder="1"/>
    <xf numFmtId="174" fontId="0" fillId="0" borderId="0" xfId="1" applyNumberFormat="1" applyFont="1" applyBorder="1"/>
    <xf numFmtId="174" fontId="0" fillId="0" borderId="12" xfId="1" applyNumberFormat="1" applyFont="1" applyBorder="1"/>
    <xf numFmtId="0" fontId="0" fillId="0" borderId="11" xfId="0" applyBorder="1"/>
    <xf numFmtId="0" fontId="0" fillId="0" borderId="0" xfId="0" applyBorder="1"/>
    <xf numFmtId="0" fontId="7" fillId="0" borderId="11" xfId="0" applyFont="1" applyBorder="1"/>
    <xf numFmtId="0" fontId="0" fillId="0" borderId="13" xfId="0" applyBorder="1"/>
    <xf numFmtId="0" fontId="0" fillId="0" borderId="14" xfId="0" applyBorder="1"/>
    <xf numFmtId="174" fontId="0" fillId="0" borderId="14" xfId="1" applyNumberFormat="1" applyFont="1" applyBorder="1"/>
    <xf numFmtId="174" fontId="0" fillId="0" borderId="15" xfId="1" applyNumberFormat="1" applyFont="1" applyBorder="1"/>
    <xf numFmtId="0" fontId="4" fillId="4" borderId="2" xfId="0" applyFont="1" applyFill="1" applyBorder="1" applyAlignment="1">
      <alignment horizontal="left" vertical="center" wrapText="1"/>
    </xf>
    <xf numFmtId="173" fontId="3" fillId="4" borderId="7" xfId="2" applyNumberFormat="1" applyFont="1" applyFill="1" applyBorder="1" applyAlignment="1">
      <alignment horizontal="right" vertical="center" wrapText="1"/>
    </xf>
    <xf numFmtId="173" fontId="4" fillId="4" borderId="7" xfId="2" applyNumberFormat="1" applyFont="1" applyFill="1" applyBorder="1" applyAlignment="1">
      <alignment horizontal="right" vertical="center" wrapText="1"/>
    </xf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5" xfId="0" applyBorder="1"/>
    <xf numFmtId="169" fontId="0" fillId="4" borderId="9" xfId="1" applyNumberFormat="1" applyFont="1" applyFill="1" applyBorder="1"/>
    <xf numFmtId="169" fontId="0" fillId="0" borderId="12" xfId="0" applyNumberFormat="1" applyBorder="1"/>
    <xf numFmtId="0" fontId="2" fillId="0" borderId="13" xfId="0" applyFont="1" applyBorder="1"/>
    <xf numFmtId="0" fontId="0" fillId="0" borderId="11" xfId="0" applyBorder="1" applyAlignment="1">
      <alignment horizontal="center"/>
    </xf>
    <xf numFmtId="0" fontId="2" fillId="7" borderId="0" xfId="0" applyFont="1" applyFill="1"/>
    <xf numFmtId="0" fontId="0" fillId="7" borderId="11" xfId="0" applyFill="1" applyBorder="1"/>
    <xf numFmtId="0" fontId="2" fillId="7" borderId="0" xfId="0" applyFont="1" applyFill="1" applyBorder="1"/>
    <xf numFmtId="0" fontId="0" fillId="7" borderId="0" xfId="0" applyFill="1" applyBorder="1"/>
    <xf numFmtId="0" fontId="0" fillId="7" borderId="12" xfId="0" applyFill="1" applyBorder="1"/>
    <xf numFmtId="0" fontId="0" fillId="7" borderId="0" xfId="0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B0A9-1E23-4B24-95CC-BA5133876D6E}">
  <dimension ref="A2:M65"/>
  <sheetViews>
    <sheetView tabSelected="1" workbookViewId="0">
      <selection activeCell="K14" sqref="K14"/>
    </sheetView>
  </sheetViews>
  <sheetFormatPr baseColWidth="10" defaultRowHeight="14.4" x14ac:dyDescent="0.3"/>
  <cols>
    <col min="1" max="1" width="3.33203125" customWidth="1"/>
    <col min="2" max="2" width="5.6640625" customWidth="1"/>
    <col min="3" max="3" width="38.33203125" customWidth="1"/>
    <col min="4" max="4" width="12.88671875" customWidth="1"/>
    <col min="5" max="5" width="14.6640625" bestFit="1" customWidth="1"/>
    <col min="6" max="6" width="38" customWidth="1"/>
    <col min="7" max="8" width="13.6640625" bestFit="1" customWidth="1"/>
    <col min="9" max="9" width="10.44140625" customWidth="1"/>
    <col min="10" max="10" width="16" customWidth="1"/>
  </cols>
  <sheetData>
    <row r="2" spans="1:13" x14ac:dyDescent="0.3">
      <c r="C2" s="17" t="s">
        <v>34</v>
      </c>
    </row>
    <row r="4" spans="1:13" x14ac:dyDescent="0.3">
      <c r="A4" s="70" t="s">
        <v>26</v>
      </c>
      <c r="B4" s="70" t="s">
        <v>0</v>
      </c>
      <c r="C4" s="70"/>
      <c r="D4" s="70"/>
      <c r="E4" s="70"/>
    </row>
    <row r="6" spans="1:13" x14ac:dyDescent="0.3">
      <c r="A6" s="70" t="s">
        <v>27</v>
      </c>
      <c r="B6" s="65" t="s">
        <v>1</v>
      </c>
      <c r="C6" s="65"/>
      <c r="D6" s="17"/>
      <c r="E6" t="s">
        <v>14</v>
      </c>
      <c r="G6" s="36" t="s">
        <v>35</v>
      </c>
      <c r="H6" s="36"/>
      <c r="I6" s="36"/>
      <c r="J6" s="36"/>
      <c r="K6" s="36"/>
      <c r="L6" s="36"/>
      <c r="M6" s="36"/>
    </row>
    <row r="8" spans="1:13" x14ac:dyDescent="0.3">
      <c r="C8" s="3" t="s">
        <v>2</v>
      </c>
      <c r="D8" s="4"/>
      <c r="E8" s="4"/>
      <c r="F8" s="4"/>
      <c r="G8" s="4"/>
      <c r="H8" s="4"/>
    </row>
    <row r="9" spans="1:13" ht="21" customHeight="1" x14ac:dyDescent="0.3">
      <c r="C9" s="1">
        <v>45547</v>
      </c>
      <c r="D9" s="2">
        <v>45</v>
      </c>
      <c r="E9" s="2" t="s">
        <v>3</v>
      </c>
      <c r="F9" s="2" t="s">
        <v>4</v>
      </c>
      <c r="G9" s="35">
        <v>1840765</v>
      </c>
      <c r="H9" s="35"/>
    </row>
    <row r="10" spans="1:13" ht="21" customHeight="1" x14ac:dyDescent="0.3">
      <c r="C10" s="6">
        <v>45636</v>
      </c>
      <c r="D10" s="7">
        <v>56</v>
      </c>
      <c r="E10" s="32" t="s">
        <v>3</v>
      </c>
      <c r="F10" s="54" t="s">
        <v>5</v>
      </c>
      <c r="G10" s="55">
        <v>600000</v>
      </c>
      <c r="H10" s="56"/>
      <c r="I10" s="57" t="s">
        <v>30</v>
      </c>
      <c r="J10" s="57"/>
    </row>
    <row r="11" spans="1:13" ht="21" customHeight="1" x14ac:dyDescent="0.3">
      <c r="C11" s="6">
        <v>45637</v>
      </c>
      <c r="D11" s="7">
        <v>58</v>
      </c>
      <c r="E11" s="32" t="s">
        <v>3</v>
      </c>
      <c r="F11" s="54" t="s">
        <v>5</v>
      </c>
      <c r="G11" s="55">
        <v>4034052</v>
      </c>
      <c r="H11" s="56"/>
      <c r="I11" s="57" t="s">
        <v>30</v>
      </c>
      <c r="J11" s="57"/>
    </row>
    <row r="12" spans="1:13" ht="21" customHeight="1" x14ac:dyDescent="0.3">
      <c r="C12" s="6">
        <v>45653</v>
      </c>
      <c r="D12" s="7">
        <v>63</v>
      </c>
      <c r="E12" s="32" t="s">
        <v>3</v>
      </c>
      <c r="F12" s="54" t="s">
        <v>6</v>
      </c>
      <c r="G12" s="55">
        <v>500000</v>
      </c>
      <c r="H12" s="56"/>
      <c r="I12" s="57" t="s">
        <v>30</v>
      </c>
      <c r="J12" s="57"/>
    </row>
    <row r="13" spans="1:13" ht="21" customHeight="1" x14ac:dyDescent="0.3">
      <c r="C13" s="1">
        <v>45657</v>
      </c>
      <c r="D13" s="2">
        <v>16</v>
      </c>
      <c r="E13" s="2" t="s">
        <v>7</v>
      </c>
      <c r="F13" s="2" t="s">
        <v>8</v>
      </c>
      <c r="G13" s="35"/>
      <c r="H13" s="35">
        <v>1840756</v>
      </c>
    </row>
    <row r="14" spans="1:13" ht="21" customHeight="1" x14ac:dyDescent="0.3">
      <c r="C14" s="3" t="s">
        <v>9</v>
      </c>
      <c r="D14" s="4"/>
      <c r="E14" s="4"/>
      <c r="F14" s="5"/>
      <c r="G14" s="15">
        <v>6974817</v>
      </c>
      <c r="H14" s="15">
        <v>1840756</v>
      </c>
    </row>
    <row r="15" spans="1:13" ht="27" customHeight="1" x14ac:dyDescent="0.3"/>
    <row r="16" spans="1:13" ht="27" customHeight="1" x14ac:dyDescent="0.3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58"/>
    </row>
    <row r="17" spans="1:12" s="70" customFormat="1" x14ac:dyDescent="0.3">
      <c r="A17" s="66" t="s">
        <v>28</v>
      </c>
      <c r="B17" s="67" t="s">
        <v>10</v>
      </c>
      <c r="C17" s="67"/>
      <c r="D17" s="68"/>
      <c r="E17" s="68" t="s">
        <v>16</v>
      </c>
      <c r="F17" s="68"/>
      <c r="G17" s="68"/>
      <c r="H17" s="68"/>
      <c r="I17" s="68"/>
      <c r="J17" s="68"/>
      <c r="K17" s="68"/>
      <c r="L17" s="69"/>
    </row>
    <row r="18" spans="1:12" x14ac:dyDescent="0.3">
      <c r="A18" s="47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59"/>
    </row>
    <row r="19" spans="1:12" ht="27.6" thickBot="1" x14ac:dyDescent="0.35">
      <c r="A19" s="47"/>
      <c r="B19" s="48"/>
      <c r="C19" s="8" t="s">
        <v>12</v>
      </c>
      <c r="D19" s="9" t="s">
        <v>11</v>
      </c>
      <c r="E19" s="10">
        <v>45443</v>
      </c>
      <c r="F19" s="9" t="s">
        <v>15</v>
      </c>
      <c r="G19" s="18">
        <v>21</v>
      </c>
      <c r="H19" s="9" t="s">
        <v>13</v>
      </c>
      <c r="I19" s="12">
        <v>112778</v>
      </c>
      <c r="J19" s="10">
        <v>45443</v>
      </c>
      <c r="K19" s="16">
        <v>180000</v>
      </c>
      <c r="L19" s="59"/>
    </row>
    <row r="20" spans="1:12" x14ac:dyDescent="0.3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59"/>
    </row>
    <row r="21" spans="1:12" x14ac:dyDescent="0.3">
      <c r="A21" s="50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60"/>
    </row>
    <row r="22" spans="1:12" x14ac:dyDescent="0.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 spans="1:12" x14ac:dyDescent="0.3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58"/>
    </row>
    <row r="24" spans="1:12" x14ac:dyDescent="0.3">
      <c r="A24" s="66" t="s">
        <v>29</v>
      </c>
      <c r="B24" s="67" t="s">
        <v>23</v>
      </c>
      <c r="C24" s="67"/>
      <c r="D24" s="67" t="s">
        <v>24</v>
      </c>
      <c r="E24" s="48"/>
      <c r="F24" s="48"/>
      <c r="G24" s="48"/>
      <c r="H24" s="48"/>
      <c r="I24" s="48"/>
      <c r="J24" s="48"/>
      <c r="K24" s="48"/>
      <c r="L24" s="59"/>
    </row>
    <row r="25" spans="1:12" x14ac:dyDescent="0.3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59"/>
    </row>
    <row r="26" spans="1:12" ht="18.600000000000001" thickBot="1" x14ac:dyDescent="0.35">
      <c r="A26" s="47"/>
      <c r="B26" s="48"/>
      <c r="C26" s="19" t="s">
        <v>17</v>
      </c>
      <c r="D26" s="20" t="s">
        <v>18</v>
      </c>
      <c r="E26" s="21">
        <v>45366</v>
      </c>
      <c r="F26" s="20" t="s">
        <v>31</v>
      </c>
      <c r="G26" s="22">
        <v>31</v>
      </c>
      <c r="H26" s="20" t="s">
        <v>13</v>
      </c>
      <c r="I26" s="23">
        <v>265</v>
      </c>
      <c r="J26" s="21">
        <v>45382</v>
      </c>
      <c r="K26" s="24">
        <v>4807600</v>
      </c>
      <c r="L26" s="59"/>
    </row>
    <row r="27" spans="1:12" ht="15" thickBot="1" x14ac:dyDescent="0.35">
      <c r="A27" s="47"/>
      <c r="B27" s="48"/>
      <c r="C27" s="25"/>
      <c r="D27" s="26"/>
      <c r="E27" s="25"/>
      <c r="F27" s="26"/>
      <c r="G27" s="27"/>
      <c r="H27" s="26"/>
      <c r="I27" s="27"/>
      <c r="J27" s="25"/>
      <c r="K27" s="14">
        <v>4807600</v>
      </c>
      <c r="L27" s="59"/>
    </row>
    <row r="28" spans="1:12" ht="27.6" thickBot="1" x14ac:dyDescent="0.35">
      <c r="A28" s="47"/>
      <c r="B28" s="48"/>
      <c r="C28" s="8" t="s">
        <v>19</v>
      </c>
      <c r="D28" s="9" t="s">
        <v>20</v>
      </c>
      <c r="E28" s="10">
        <v>45443</v>
      </c>
      <c r="F28" s="9" t="s">
        <v>32</v>
      </c>
      <c r="G28" s="11">
        <v>33</v>
      </c>
      <c r="H28" s="9" t="s">
        <v>13</v>
      </c>
      <c r="I28" s="12">
        <v>1178249</v>
      </c>
      <c r="J28" s="10">
        <v>45443</v>
      </c>
      <c r="K28" s="13">
        <v>107493</v>
      </c>
      <c r="L28" s="59"/>
    </row>
    <row r="29" spans="1:12" ht="15" thickBot="1" x14ac:dyDescent="0.35">
      <c r="A29" s="47"/>
      <c r="B29" s="48"/>
      <c r="C29" s="28"/>
      <c r="D29" s="29"/>
      <c r="E29" s="28"/>
      <c r="F29" s="29"/>
      <c r="G29" s="30"/>
      <c r="H29" s="29"/>
      <c r="I29" s="30"/>
      <c r="J29" s="28"/>
      <c r="K29" s="31">
        <v>107493</v>
      </c>
      <c r="L29" s="59"/>
    </row>
    <row r="30" spans="1:12" ht="27.6" thickBot="1" x14ac:dyDescent="0.35">
      <c r="A30" s="47"/>
      <c r="B30" s="48"/>
      <c r="C30" s="8" t="s">
        <v>21</v>
      </c>
      <c r="D30" s="9" t="s">
        <v>22</v>
      </c>
      <c r="E30" s="10">
        <v>45443</v>
      </c>
      <c r="F30" s="9" t="s">
        <v>33</v>
      </c>
      <c r="G30" s="11">
        <v>32</v>
      </c>
      <c r="H30" s="9" t="s">
        <v>13</v>
      </c>
      <c r="I30" s="12">
        <v>4493286</v>
      </c>
      <c r="J30" s="10">
        <v>45443</v>
      </c>
      <c r="K30" s="13">
        <v>332745</v>
      </c>
      <c r="L30" s="59"/>
    </row>
    <row r="31" spans="1:12" ht="15" thickBot="1" x14ac:dyDescent="0.35">
      <c r="A31" s="47"/>
      <c r="B31" s="48"/>
      <c r="C31" s="28"/>
      <c r="D31" s="29"/>
      <c r="E31" s="28"/>
      <c r="F31" s="29"/>
      <c r="G31" s="30"/>
      <c r="H31" s="29"/>
      <c r="I31" s="30"/>
      <c r="J31" s="28"/>
      <c r="K31" s="31">
        <v>332745</v>
      </c>
      <c r="L31" s="59"/>
    </row>
    <row r="32" spans="1:12" x14ac:dyDescent="0.3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59"/>
    </row>
    <row r="33" spans="1:12" ht="15" thickBot="1" x14ac:dyDescent="0.35">
      <c r="A33" s="47"/>
      <c r="B33" s="48"/>
      <c r="C33" s="48"/>
      <c r="D33" s="48"/>
      <c r="E33" s="48"/>
      <c r="F33" s="48"/>
      <c r="G33" s="48"/>
      <c r="H33" s="48"/>
      <c r="I33" s="48"/>
      <c r="J33" s="33" t="s">
        <v>25</v>
      </c>
      <c r="K33" s="34">
        <f>K27+K29+K31</f>
        <v>5247838</v>
      </c>
      <c r="L33" s="59"/>
    </row>
    <row r="34" spans="1:12" x14ac:dyDescent="0.3">
      <c r="A34" s="50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60"/>
    </row>
    <row r="36" spans="1:12" x14ac:dyDescent="0.3">
      <c r="C36" s="39"/>
      <c r="D36" s="40"/>
      <c r="E36" s="40"/>
      <c r="F36" s="40"/>
      <c r="G36" s="41"/>
      <c r="H36" s="41"/>
      <c r="I36" s="42"/>
    </row>
    <row r="37" spans="1:12" x14ac:dyDescent="0.3">
      <c r="C37" s="43" t="s">
        <v>36</v>
      </c>
      <c r="D37" s="44"/>
      <c r="E37" s="44"/>
      <c r="F37" s="44"/>
      <c r="G37" s="45"/>
      <c r="H37" s="45"/>
      <c r="I37" s="46"/>
    </row>
    <row r="38" spans="1:12" x14ac:dyDescent="0.3">
      <c r="C38" s="47"/>
      <c r="D38" s="48"/>
      <c r="E38" s="48"/>
      <c r="F38" s="48"/>
      <c r="G38" s="45"/>
      <c r="H38" s="45"/>
      <c r="I38" s="46"/>
    </row>
    <row r="39" spans="1:12" x14ac:dyDescent="0.3">
      <c r="C39" s="49" t="s">
        <v>37</v>
      </c>
      <c r="D39" s="48" t="s">
        <v>38</v>
      </c>
      <c r="E39" s="48" t="s">
        <v>38</v>
      </c>
      <c r="F39" s="48" t="s">
        <v>38</v>
      </c>
      <c r="G39" s="45">
        <v>679999835</v>
      </c>
      <c r="H39" s="45">
        <v>0</v>
      </c>
      <c r="I39" s="46"/>
    </row>
    <row r="40" spans="1:12" x14ac:dyDescent="0.3">
      <c r="C40" s="49" t="s">
        <v>39</v>
      </c>
      <c r="D40" s="48" t="s">
        <v>38</v>
      </c>
      <c r="E40" s="48" t="s">
        <v>38</v>
      </c>
      <c r="F40" s="48" t="s">
        <v>38</v>
      </c>
      <c r="G40" s="45">
        <v>0</v>
      </c>
      <c r="H40" s="45">
        <v>363273170</v>
      </c>
      <c r="I40" s="46"/>
    </row>
    <row r="41" spans="1:12" x14ac:dyDescent="0.3">
      <c r="C41" s="49" t="s">
        <v>40</v>
      </c>
      <c r="D41" s="48" t="s">
        <v>38</v>
      </c>
      <c r="E41" s="48" t="s">
        <v>38</v>
      </c>
      <c r="F41" s="48" t="s">
        <v>38</v>
      </c>
      <c r="G41" s="45">
        <v>0</v>
      </c>
      <c r="H41" s="45">
        <v>316726830</v>
      </c>
      <c r="I41" s="46"/>
    </row>
    <row r="42" spans="1:12" x14ac:dyDescent="0.3">
      <c r="C42" s="49" t="s">
        <v>41</v>
      </c>
      <c r="D42" s="48" t="s">
        <v>38</v>
      </c>
      <c r="E42" s="48" t="s">
        <v>38</v>
      </c>
      <c r="F42" s="48" t="s">
        <v>38</v>
      </c>
      <c r="G42" s="45">
        <v>165</v>
      </c>
      <c r="H42" s="45">
        <v>0</v>
      </c>
      <c r="I42" s="46"/>
    </row>
    <row r="43" spans="1:12" ht="15" thickBot="1" x14ac:dyDescent="0.35">
      <c r="C43" s="47"/>
      <c r="D43" s="48"/>
      <c r="E43" s="48"/>
      <c r="F43" s="48"/>
      <c r="G43" s="38">
        <f>SUM(G39:G42)</f>
        <v>680000000</v>
      </c>
      <c r="H43" s="38">
        <f>SUM(H39:H42)</f>
        <v>680000000</v>
      </c>
      <c r="I43" s="46"/>
    </row>
    <row r="44" spans="1:12" ht="15" thickTop="1" x14ac:dyDescent="0.3">
      <c r="C44" s="50"/>
      <c r="D44" s="51"/>
      <c r="E44" s="51"/>
      <c r="F44" s="51"/>
      <c r="G44" s="52"/>
      <c r="H44" s="52"/>
      <c r="I44" s="53"/>
    </row>
    <row r="45" spans="1:12" x14ac:dyDescent="0.3">
      <c r="G45" s="37"/>
      <c r="H45" s="37"/>
      <c r="I45" s="37"/>
    </row>
    <row r="46" spans="1:12" x14ac:dyDescent="0.3">
      <c r="C46" s="65" t="s">
        <v>53</v>
      </c>
    </row>
    <row r="47" spans="1:12" x14ac:dyDescent="0.3">
      <c r="C47" s="39" t="s">
        <v>42</v>
      </c>
      <c r="D47" s="61">
        <v>316668776</v>
      </c>
      <c r="E47" s="58"/>
    </row>
    <row r="48" spans="1:12" x14ac:dyDescent="0.3">
      <c r="C48" s="47" t="s">
        <v>43</v>
      </c>
      <c r="D48" s="48"/>
      <c r="E48" s="62">
        <f>D47</f>
        <v>316668776</v>
      </c>
    </row>
    <row r="49" spans="3:5" x14ac:dyDescent="0.3">
      <c r="C49" s="63" t="s">
        <v>44</v>
      </c>
      <c r="D49" s="51"/>
      <c r="E49" s="60"/>
    </row>
    <row r="52" spans="3:5" x14ac:dyDescent="0.3">
      <c r="C52" s="39" t="s">
        <v>45</v>
      </c>
      <c r="D52" s="41">
        <v>316668776</v>
      </c>
      <c r="E52" s="42"/>
    </row>
    <row r="53" spans="3:5" x14ac:dyDescent="0.3">
      <c r="C53" s="47" t="s">
        <v>46</v>
      </c>
      <c r="D53" s="45"/>
      <c r="E53" s="46">
        <v>316668776</v>
      </c>
    </row>
    <row r="54" spans="3:5" x14ac:dyDescent="0.3">
      <c r="C54" s="63" t="s">
        <v>47</v>
      </c>
      <c r="D54" s="51"/>
      <c r="E54" s="60"/>
    </row>
    <row r="57" spans="3:5" x14ac:dyDescent="0.3">
      <c r="C57" s="39" t="s">
        <v>48</v>
      </c>
      <c r="D57" s="41">
        <v>316668776</v>
      </c>
      <c r="E57" s="42"/>
    </row>
    <row r="58" spans="3:5" x14ac:dyDescent="0.3">
      <c r="C58" s="47" t="s">
        <v>50</v>
      </c>
      <c r="D58" s="45"/>
      <c r="E58" s="46">
        <v>316668776</v>
      </c>
    </row>
    <row r="59" spans="3:5" x14ac:dyDescent="0.3">
      <c r="C59" s="63" t="s">
        <v>51</v>
      </c>
      <c r="D59" s="52"/>
      <c r="E59" s="53"/>
    </row>
    <row r="60" spans="3:5" x14ac:dyDescent="0.3">
      <c r="D60" s="37"/>
      <c r="E60" s="37"/>
    </row>
    <row r="61" spans="3:5" x14ac:dyDescent="0.3">
      <c r="D61" s="37"/>
      <c r="E61" s="37"/>
    </row>
    <row r="62" spans="3:5" x14ac:dyDescent="0.3">
      <c r="C62" s="39" t="s">
        <v>49</v>
      </c>
      <c r="D62" s="41">
        <v>316668776</v>
      </c>
      <c r="E62" s="42"/>
    </row>
    <row r="63" spans="3:5" x14ac:dyDescent="0.3">
      <c r="C63" s="64" t="s">
        <v>48</v>
      </c>
      <c r="D63" s="45"/>
      <c r="E63" s="46">
        <v>316668776</v>
      </c>
    </row>
    <row r="64" spans="3:5" x14ac:dyDescent="0.3">
      <c r="C64" s="63" t="s">
        <v>52</v>
      </c>
      <c r="D64" s="52"/>
      <c r="E64" s="53"/>
    </row>
    <row r="65" spans="4:5" x14ac:dyDescent="0.3">
      <c r="D65" s="37"/>
      <c r="E65" s="37"/>
    </row>
  </sheetData>
  <mergeCells count="2">
    <mergeCell ref="C8:H8"/>
    <mergeCell ref="C14:F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palacios</dc:creator>
  <cp:lastModifiedBy>michelle palacios</cp:lastModifiedBy>
  <dcterms:created xsi:type="dcterms:W3CDTF">2025-04-11T15:48:01Z</dcterms:created>
  <dcterms:modified xsi:type="dcterms:W3CDTF">2025-04-11T19:24:58Z</dcterms:modified>
</cp:coreProperties>
</file>
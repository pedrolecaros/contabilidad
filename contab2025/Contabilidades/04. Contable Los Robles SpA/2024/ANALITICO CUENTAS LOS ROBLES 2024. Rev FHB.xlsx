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4. Contable Los Robles SpA\2024\"/>
    </mc:Choice>
  </mc:AlternateContent>
  <xr:revisionPtr revIDLastSave="0" documentId="13_ncr:1_{2D65F578-BB48-4A86-9A53-FB819CC29FB3}" xr6:coauthVersionLast="47" xr6:coauthVersionMax="47" xr10:uidLastSave="{00000000-0000-0000-0000-000000000000}"/>
  <bookViews>
    <workbookView xWindow="1515" yWindow="1515" windowWidth="24960" windowHeight="13140" xr2:uid="{73CD10E3-8AC5-4B79-B5D5-955E2B0786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6" i="1" l="1"/>
  <c r="M39" i="1"/>
  <c r="M38" i="1"/>
  <c r="M34" i="1"/>
  <c r="M32" i="1"/>
  <c r="M31" i="1"/>
  <c r="M30" i="1"/>
  <c r="M29" i="1"/>
  <c r="M28" i="1"/>
  <c r="M27" i="1"/>
</calcChain>
</file>

<file path=xl/sharedStrings.xml><?xml version="1.0" encoding="utf-8"?>
<sst xmlns="http://schemas.openxmlformats.org/spreadsheetml/2006/main" count="115" uniqueCount="57">
  <si>
    <t>100101 CAJA</t>
  </si>
  <si>
    <t>Fecha</t>
  </si>
  <si>
    <t>Número</t>
  </si>
  <si>
    <t>Tipo</t>
  </si>
  <si>
    <t>Glosa</t>
  </si>
  <si>
    <t>Debe</t>
  </si>
  <si>
    <t>Haber</t>
  </si>
  <si>
    <t>Saldo</t>
  </si>
  <si>
    <t>INGRESO</t>
  </si>
  <si>
    <t>CAPITAL INICIAL</t>
  </si>
  <si>
    <t>TRASPASO</t>
  </si>
  <si>
    <t>CENTRALIZACION VENTAS COMPROB ELECTRONICOS MARZO 2024</t>
  </si>
  <si>
    <t>EGRESO</t>
  </si>
  <si>
    <t>PAGO F29 PERIODO ABRIL 2024</t>
  </si>
  <si>
    <t>FLOW PAGO DE PRUEBA</t>
  </si>
  <si>
    <t>CENTRALIZACION VENTAS COMPROB ELECTRONICO MAYO 2024</t>
  </si>
  <si>
    <t>TRASPASO DE: SOLEDAD ANDREA SILVA FERNANDEZ</t>
  </si>
  <si>
    <t>TRASPASO DE: JORGE LEONEL SILVA FERNANDEZ</t>
  </si>
  <si>
    <t>CENTRALIZACION VENTAS COMPROB ELECTRONICO JUNIO 2024</t>
  </si>
  <si>
    <t>PAGO DE PROVEEDORES, N° DOCUMENTOS: 298980, 315631, 318417, FLOW S A</t>
  </si>
  <si>
    <t>CLEMENTE SOULODER GASTOS POR FIRMA EN VALDIVIA</t>
  </si>
  <si>
    <t>PRESTAMO FUTRONO SPA</t>
  </si>
  <si>
    <t>DEPOSITO EFECTIVO PARA GASTOS NOTARIS DE ROSA NELLY BERMUDEZ ARAYA</t>
  </si>
  <si>
    <t>Deposito En Efectivo N? 4285110</t>
  </si>
  <si>
    <t>TOTALES</t>
  </si>
  <si>
    <t>LOS ROBLES  2024</t>
  </si>
  <si>
    <t>RUT</t>
  </si>
  <si>
    <t>Nombre</t>
  </si>
  <si>
    <t>Comprobante</t>
  </si>
  <si>
    <t>Documento</t>
  </si>
  <si>
    <t>Vencimiento</t>
  </si>
  <si>
    <t>10755410-6</t>
  </si>
  <si>
    <t>ANDRES FELIPE RIEUTORD AL</t>
  </si>
  <si>
    <t>COMPROBANTE CONTABLE</t>
  </si>
  <si>
    <t>$</t>
  </si>
  <si>
    <t>13319718-4</t>
  </si>
  <si>
    <t>CARLOS ANDRES OCAMPO BUST</t>
  </si>
  <si>
    <t>60306045-8</t>
  </si>
  <si>
    <t>CONSERVADOR DE BIENES RAI</t>
  </si>
  <si>
    <t>HONORARIOS POR PAGAR</t>
  </si>
  <si>
    <t>EGRESO -  PAGO O ABONO</t>
  </si>
  <si>
    <t>TRASPASO BOLETA HONORARIOS N°122295</t>
  </si>
  <si>
    <t>TRASPASO BOLETA HONORARIOS N°122318</t>
  </si>
  <si>
    <t>TRASPASO BOLETA HONORARIOS N°123515</t>
  </si>
  <si>
    <t>TRASPASO BOLETA HONORARIOS N°123516</t>
  </si>
  <si>
    <t>TRASPASO BOLETA HONORARIOS N°125616</t>
  </si>
  <si>
    <t>TRASPASO BOLETA HONORARIOS N°125617</t>
  </si>
  <si>
    <t>TRASPASO BOLETA HONORARIOS N°73867</t>
  </si>
  <si>
    <t>TRASPASO BOLETA HONORARIOS N°74377</t>
  </si>
  <si>
    <t>TRASPASO BOLETA HONORARIOS N°12892438</t>
  </si>
  <si>
    <t>TRASPASO BOLETA HONORARIOS N°12892440</t>
  </si>
  <si>
    <t>POR Pagar</t>
  </si>
  <si>
    <t>ABONO??</t>
  </si>
  <si>
    <t>Egresos</t>
  </si>
  <si>
    <t>Ingresos</t>
  </si>
  <si>
    <t>Son pagos a Notaría y Conservador hechos por clientes, pero la boleta la hacen a nosotros. ¿Lo sacamos? Conversar.</t>
  </si>
  <si>
    <t>Ok, dejemoslo así. Es casi nada de diferencia.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</si>
</sst>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Segoe UI Semilight"/>
      <family val="2"/>
    </font>
    <font>
      <sz val="7"/>
      <color rgb="FFFFFFFF"/>
      <name val="Segoe UI"/>
      <family val="2"/>
    </font>
    <font>
      <sz val="7"/>
      <color rgb="FF212529"/>
      <name val="Verdana"/>
      <family val="2"/>
    </font>
    <font>
      <b/>
      <sz val="7"/>
      <color rgb="FF212529"/>
      <name val="Verdana"/>
      <family val="2"/>
    </font>
    <font>
      <sz val="7"/>
      <color rgb="FF2E92CF"/>
      <name val="Verdana"/>
      <family val="2"/>
    </font>
    <font>
      <sz val="7"/>
      <color rgb="FF212529"/>
      <name val="Segoe UI"/>
      <family val="2"/>
    </font>
    <font>
      <b/>
      <sz val="7"/>
      <name val="Segoe UI"/>
      <family val="2"/>
    </font>
    <font>
      <b/>
      <sz val="9"/>
      <name val="Segoe UI"/>
      <family val="2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7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3" fontId="4" fillId="4" borderId="2" xfId="0" applyNumberFormat="1" applyFont="1" applyFill="1" applyBorder="1" applyAlignment="1">
      <alignment horizontal="right" vertical="center" wrapText="1"/>
    </xf>
    <xf numFmtId="3" fontId="5" fillId="3" borderId="2" xfId="0" applyNumberFormat="1" applyFont="1" applyFill="1" applyBorder="1" applyAlignment="1">
      <alignment horizontal="right" vertical="center" wrapText="1"/>
    </xf>
    <xf numFmtId="0" fontId="2" fillId="5" borderId="0" xfId="0" applyFont="1" applyFill="1" applyAlignment="1">
      <alignment vertical="center" wrapText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  <xf numFmtId="3" fontId="4" fillId="3" borderId="3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right" vertical="center" wrapText="1"/>
    </xf>
    <xf numFmtId="3" fontId="4" fillId="4" borderId="3" xfId="0" applyNumberFormat="1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right" vertical="center" wrapText="1"/>
    </xf>
    <xf numFmtId="3" fontId="5" fillId="3" borderId="3" xfId="0" applyNumberFormat="1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right" vertical="center" wrapText="1"/>
    </xf>
    <xf numFmtId="3" fontId="5" fillId="4" borderId="3" xfId="0" applyNumberFormat="1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3" fontId="4" fillId="3" borderId="3" xfId="0" applyNumberFormat="1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5" fillId="3" borderId="2" xfId="0" applyFont="1" applyFill="1" applyBorder="1" applyAlignment="1">
      <alignment vertical="center" wrapText="1"/>
    </xf>
    <xf numFmtId="0" fontId="1" fillId="5" borderId="0" xfId="0" applyFont="1" applyFill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B09D-AB28-4756-B536-324A8C7F9F9B}">
  <dimension ref="B3:N40"/>
  <sheetViews>
    <sheetView tabSelected="1" workbookViewId="0">
      <selection activeCell="M22" sqref="M22"/>
    </sheetView>
  </sheetViews>
  <sheetFormatPr baseColWidth="10" defaultRowHeight="15" x14ac:dyDescent="0.25"/>
  <cols>
    <col min="1" max="1" width="4" customWidth="1"/>
    <col min="2" max="2" width="19.140625" customWidth="1"/>
    <col min="5" max="5" width="38.85546875" customWidth="1"/>
    <col min="7" max="7" width="16.28515625" customWidth="1"/>
  </cols>
  <sheetData>
    <row r="3" spans="2:8" x14ac:dyDescent="0.25">
      <c r="E3" s="12" t="s">
        <v>25</v>
      </c>
    </row>
    <row r="4" spans="2:8" ht="15.75" thickBot="1" x14ac:dyDescent="0.3"/>
    <row r="5" spans="2:8" ht="15.75" thickBot="1" x14ac:dyDescent="0.3">
      <c r="B5" s="11" t="s">
        <v>0</v>
      </c>
      <c r="F5" s="40" t="s">
        <v>54</v>
      </c>
      <c r="G5" s="41" t="s">
        <v>53</v>
      </c>
    </row>
    <row r="6" spans="2:8" x14ac:dyDescent="0.25">
      <c r="B6" s="1" t="s">
        <v>1</v>
      </c>
      <c r="C6" s="1" t="s">
        <v>2</v>
      </c>
      <c r="D6" s="1" t="s">
        <v>3</v>
      </c>
      <c r="E6" s="1" t="s">
        <v>4</v>
      </c>
      <c r="F6" s="39" t="s">
        <v>5</v>
      </c>
      <c r="G6" s="39" t="s">
        <v>6</v>
      </c>
      <c r="H6" s="1" t="s">
        <v>7</v>
      </c>
    </row>
    <row r="7" spans="2:8" x14ac:dyDescent="0.25">
      <c r="B7" s="2">
        <v>45352</v>
      </c>
      <c r="C7" s="3">
        <v>76</v>
      </c>
      <c r="D7" s="3" t="s">
        <v>8</v>
      </c>
      <c r="E7" s="3" t="s">
        <v>9</v>
      </c>
      <c r="F7" s="4">
        <v>1000000</v>
      </c>
      <c r="G7" s="5">
        <v>0</v>
      </c>
      <c r="H7" s="4">
        <v>1000000</v>
      </c>
    </row>
    <row r="8" spans="2:8" ht="21" customHeight="1" x14ac:dyDescent="0.25">
      <c r="B8" s="6">
        <v>45382</v>
      </c>
      <c r="C8" s="7">
        <v>19</v>
      </c>
      <c r="D8" s="7" t="s">
        <v>10</v>
      </c>
      <c r="E8" s="7" t="s">
        <v>11</v>
      </c>
      <c r="F8" s="8">
        <v>350</v>
      </c>
      <c r="G8" s="8">
        <v>0</v>
      </c>
      <c r="H8" s="9">
        <v>1000350</v>
      </c>
    </row>
    <row r="9" spans="2:8" ht="21" customHeight="1" x14ac:dyDescent="0.25">
      <c r="B9" s="2">
        <v>45412</v>
      </c>
      <c r="C9" s="3">
        <v>34</v>
      </c>
      <c r="D9" s="3" t="s">
        <v>12</v>
      </c>
      <c r="E9" s="3" t="s">
        <v>13</v>
      </c>
      <c r="F9" s="5">
        <v>2</v>
      </c>
      <c r="G9" s="5">
        <v>0</v>
      </c>
      <c r="H9" s="4">
        <v>1000352</v>
      </c>
    </row>
    <row r="10" spans="2:8" ht="21" customHeight="1" x14ac:dyDescent="0.25">
      <c r="B10" s="6">
        <v>45442</v>
      </c>
      <c r="C10" s="7">
        <v>11</v>
      </c>
      <c r="D10" s="7" t="s">
        <v>8</v>
      </c>
      <c r="E10" s="7" t="s">
        <v>14</v>
      </c>
      <c r="F10" s="8">
        <v>0</v>
      </c>
      <c r="G10" s="8">
        <v>962</v>
      </c>
      <c r="H10" s="9">
        <v>999390</v>
      </c>
    </row>
    <row r="11" spans="2:8" ht="21" customHeight="1" x14ac:dyDescent="0.25">
      <c r="B11" s="2">
        <v>45443</v>
      </c>
      <c r="C11" s="3">
        <v>20</v>
      </c>
      <c r="D11" s="3" t="s">
        <v>10</v>
      </c>
      <c r="E11" s="3" t="s">
        <v>15</v>
      </c>
      <c r="F11" s="4">
        <v>1000</v>
      </c>
      <c r="G11" s="5">
        <v>0</v>
      </c>
      <c r="H11" s="4">
        <v>1000390</v>
      </c>
    </row>
    <row r="12" spans="2:8" ht="21" customHeight="1" x14ac:dyDescent="0.25">
      <c r="B12" s="6">
        <v>45470</v>
      </c>
      <c r="C12" s="7">
        <v>81</v>
      </c>
      <c r="D12" s="7" t="s">
        <v>8</v>
      </c>
      <c r="E12" s="7" t="s">
        <v>16</v>
      </c>
      <c r="F12" s="8">
        <v>0</v>
      </c>
      <c r="G12" s="9">
        <v>50000</v>
      </c>
      <c r="H12" s="9">
        <v>950390</v>
      </c>
    </row>
    <row r="13" spans="2:8" ht="21" customHeight="1" x14ac:dyDescent="0.25">
      <c r="B13" s="2">
        <v>45471</v>
      </c>
      <c r="C13" s="3">
        <v>82</v>
      </c>
      <c r="D13" s="3" t="s">
        <v>8</v>
      </c>
      <c r="E13" s="3" t="s">
        <v>17</v>
      </c>
      <c r="F13" s="5">
        <v>0</v>
      </c>
      <c r="G13" s="4">
        <v>50000</v>
      </c>
      <c r="H13" s="4">
        <v>900390</v>
      </c>
    </row>
    <row r="14" spans="2:8" ht="21" customHeight="1" x14ac:dyDescent="0.25">
      <c r="B14" s="6">
        <v>45473</v>
      </c>
      <c r="C14" s="7">
        <v>21</v>
      </c>
      <c r="D14" s="7" t="s">
        <v>10</v>
      </c>
      <c r="E14" s="7" t="s">
        <v>18</v>
      </c>
      <c r="F14" s="9">
        <v>1000000</v>
      </c>
      <c r="G14" s="8">
        <v>0</v>
      </c>
      <c r="H14" s="9">
        <v>1900390</v>
      </c>
    </row>
    <row r="15" spans="2:8" ht="21" customHeight="1" x14ac:dyDescent="0.25">
      <c r="B15" s="2">
        <v>45473</v>
      </c>
      <c r="C15" s="3">
        <v>96</v>
      </c>
      <c r="D15" s="3" t="s">
        <v>12</v>
      </c>
      <c r="E15" s="3" t="s">
        <v>19</v>
      </c>
      <c r="F15" s="5">
        <v>0</v>
      </c>
      <c r="G15" s="4">
        <v>42989</v>
      </c>
      <c r="H15" s="4">
        <v>1857401</v>
      </c>
    </row>
    <row r="16" spans="2:8" ht="21" customHeight="1" x14ac:dyDescent="0.25">
      <c r="B16" s="6">
        <v>45476</v>
      </c>
      <c r="C16" s="7">
        <v>13</v>
      </c>
      <c r="D16" s="7" t="s">
        <v>12</v>
      </c>
      <c r="E16" s="7" t="s">
        <v>20</v>
      </c>
      <c r="F16" s="8">
        <v>0</v>
      </c>
      <c r="G16" s="8">
        <v>197</v>
      </c>
      <c r="H16" s="9">
        <v>1857204</v>
      </c>
    </row>
    <row r="17" spans="2:14" ht="21" customHeight="1" x14ac:dyDescent="0.25">
      <c r="B17" s="2">
        <v>45483</v>
      </c>
      <c r="C17" s="3">
        <v>43</v>
      </c>
      <c r="D17" s="3" t="s">
        <v>8</v>
      </c>
      <c r="E17" s="3" t="s">
        <v>21</v>
      </c>
      <c r="F17" s="5">
        <v>0</v>
      </c>
      <c r="G17" s="4">
        <v>100000</v>
      </c>
      <c r="H17" s="4">
        <v>1757204</v>
      </c>
    </row>
    <row r="18" spans="2:14" ht="21" customHeight="1" x14ac:dyDescent="0.25">
      <c r="B18" s="6">
        <v>45495</v>
      </c>
      <c r="C18" s="7">
        <v>113</v>
      </c>
      <c r="D18" s="7" t="s">
        <v>8</v>
      </c>
      <c r="E18" s="7" t="s">
        <v>22</v>
      </c>
      <c r="F18" s="8">
        <v>0</v>
      </c>
      <c r="G18" s="9">
        <v>184720</v>
      </c>
      <c r="H18" s="9">
        <v>1572484</v>
      </c>
    </row>
    <row r="19" spans="2:14" ht="21" customHeight="1" x14ac:dyDescent="0.25">
      <c r="B19" s="2">
        <v>45496</v>
      </c>
      <c r="C19" s="3">
        <v>45</v>
      </c>
      <c r="D19" s="3" t="s">
        <v>8</v>
      </c>
      <c r="E19" s="3" t="s">
        <v>21</v>
      </c>
      <c r="F19" s="5">
        <v>0</v>
      </c>
      <c r="G19" s="4">
        <v>230000</v>
      </c>
      <c r="H19" s="4">
        <v>1342484</v>
      </c>
    </row>
    <row r="20" spans="2:14" ht="21" customHeight="1" x14ac:dyDescent="0.25">
      <c r="B20" s="6">
        <v>45650</v>
      </c>
      <c r="C20" s="7">
        <v>109</v>
      </c>
      <c r="D20" s="7" t="s">
        <v>8</v>
      </c>
      <c r="E20" s="7" t="s">
        <v>23</v>
      </c>
      <c r="F20" s="8">
        <v>0</v>
      </c>
      <c r="G20" s="9">
        <v>272194</v>
      </c>
      <c r="H20" s="9">
        <v>1070290</v>
      </c>
    </row>
    <row r="21" spans="2:14" ht="21" customHeight="1" x14ac:dyDescent="0.25">
      <c r="B21" s="42" t="s">
        <v>24</v>
      </c>
      <c r="C21" s="42"/>
      <c r="D21" s="42"/>
      <c r="E21" s="42"/>
      <c r="F21" s="10">
        <v>2001352</v>
      </c>
      <c r="G21" s="10">
        <v>931062</v>
      </c>
      <c r="H21" s="10">
        <v>1070290</v>
      </c>
      <c r="I21" s="44" t="s">
        <v>56</v>
      </c>
    </row>
    <row r="25" spans="2:14" ht="15.75" thickBot="1" x14ac:dyDescent="0.3">
      <c r="B25" s="43" t="s">
        <v>39</v>
      </c>
      <c r="C25" s="43"/>
    </row>
    <row r="26" spans="2:14" ht="15.75" thickBot="1" x14ac:dyDescent="0.3">
      <c r="B26" s="13" t="s">
        <v>26</v>
      </c>
      <c r="C26" s="13" t="s">
        <v>27</v>
      </c>
      <c r="D26" s="13" t="s">
        <v>1</v>
      </c>
      <c r="E26" s="13" t="s">
        <v>3</v>
      </c>
      <c r="F26" s="13" t="s">
        <v>28</v>
      </c>
      <c r="G26" s="13" t="s">
        <v>29</v>
      </c>
      <c r="H26" s="13" t="s">
        <v>2</v>
      </c>
      <c r="I26" s="13" t="s">
        <v>30</v>
      </c>
      <c r="J26" s="13" t="s">
        <v>5</v>
      </c>
      <c r="K26" s="13" t="s">
        <v>6</v>
      </c>
      <c r="L26" s="13" t="s">
        <v>7</v>
      </c>
      <c r="M26" s="38" t="s">
        <v>51</v>
      </c>
    </row>
    <row r="27" spans="2:14" ht="27.75" thickBot="1" x14ac:dyDescent="0.3">
      <c r="B27" s="14" t="s">
        <v>31</v>
      </c>
      <c r="C27" s="15" t="s">
        <v>32</v>
      </c>
      <c r="D27" s="16">
        <v>45473</v>
      </c>
      <c r="E27" s="15" t="s">
        <v>41</v>
      </c>
      <c r="F27" s="17">
        <v>137</v>
      </c>
      <c r="G27" s="15" t="s">
        <v>33</v>
      </c>
      <c r="H27" s="18">
        <v>122295</v>
      </c>
      <c r="I27" s="16">
        <v>45473</v>
      </c>
      <c r="J27" s="18">
        <v>0</v>
      </c>
      <c r="K27" s="19">
        <v>50000</v>
      </c>
      <c r="L27" s="19">
        <v>50000</v>
      </c>
      <c r="M27" s="37">
        <f>K27</f>
        <v>50000</v>
      </c>
      <c r="N27" s="44" t="s">
        <v>55</v>
      </c>
    </row>
    <row r="28" spans="2:14" ht="27.75" thickBot="1" x14ac:dyDescent="0.3">
      <c r="B28" s="20" t="s">
        <v>31</v>
      </c>
      <c r="C28" s="21" t="s">
        <v>32</v>
      </c>
      <c r="D28" s="22">
        <v>45473</v>
      </c>
      <c r="E28" s="15" t="s">
        <v>42</v>
      </c>
      <c r="F28" s="23">
        <v>138</v>
      </c>
      <c r="G28" s="21" t="s">
        <v>33</v>
      </c>
      <c r="H28" s="24">
        <v>122318</v>
      </c>
      <c r="I28" s="22">
        <v>45473</v>
      </c>
      <c r="J28" s="24">
        <v>0</v>
      </c>
      <c r="K28" s="25">
        <v>90000</v>
      </c>
      <c r="L28" s="25">
        <v>90000</v>
      </c>
      <c r="M28" s="37">
        <f t="shared" ref="M28:M36" si="0">K28</f>
        <v>90000</v>
      </c>
      <c r="N28" s="44" t="s">
        <v>55</v>
      </c>
    </row>
    <row r="29" spans="2:14" ht="27.75" thickBot="1" x14ac:dyDescent="0.3">
      <c r="B29" s="14" t="s">
        <v>31</v>
      </c>
      <c r="C29" s="15" t="s">
        <v>32</v>
      </c>
      <c r="D29" s="16">
        <v>45504</v>
      </c>
      <c r="E29" s="15" t="s">
        <v>43</v>
      </c>
      <c r="F29" s="17">
        <v>141</v>
      </c>
      <c r="G29" s="15" t="s">
        <v>33</v>
      </c>
      <c r="H29" s="18">
        <v>123515</v>
      </c>
      <c r="I29" s="16">
        <v>45504</v>
      </c>
      <c r="J29" s="18">
        <v>0</v>
      </c>
      <c r="K29" s="19">
        <v>30000</v>
      </c>
      <c r="L29" s="19">
        <v>30000</v>
      </c>
      <c r="M29" s="37">
        <f t="shared" si="0"/>
        <v>30000</v>
      </c>
      <c r="N29" s="44" t="s">
        <v>55</v>
      </c>
    </row>
    <row r="30" spans="2:14" ht="27.75" thickBot="1" x14ac:dyDescent="0.3">
      <c r="B30" s="20" t="s">
        <v>31</v>
      </c>
      <c r="C30" s="21" t="s">
        <v>32</v>
      </c>
      <c r="D30" s="22">
        <v>45504</v>
      </c>
      <c r="E30" s="15" t="s">
        <v>44</v>
      </c>
      <c r="F30" s="23">
        <v>142</v>
      </c>
      <c r="G30" s="21" t="s">
        <v>33</v>
      </c>
      <c r="H30" s="24">
        <v>123516</v>
      </c>
      <c r="I30" s="22">
        <v>45504</v>
      </c>
      <c r="J30" s="24">
        <v>0</v>
      </c>
      <c r="K30" s="25">
        <v>90000</v>
      </c>
      <c r="L30" s="25">
        <v>90000</v>
      </c>
      <c r="M30" s="37">
        <f t="shared" si="0"/>
        <v>90000</v>
      </c>
      <c r="N30" s="44" t="s">
        <v>55</v>
      </c>
    </row>
    <row r="31" spans="2:14" ht="27.75" thickBot="1" x14ac:dyDescent="0.3">
      <c r="B31" s="14" t="s">
        <v>31</v>
      </c>
      <c r="C31" s="15" t="s">
        <v>32</v>
      </c>
      <c r="D31" s="16">
        <v>45504</v>
      </c>
      <c r="E31" s="15" t="s">
        <v>45</v>
      </c>
      <c r="F31" s="17">
        <v>149</v>
      </c>
      <c r="G31" s="15" t="s">
        <v>33</v>
      </c>
      <c r="H31" s="18">
        <v>125616</v>
      </c>
      <c r="I31" s="16">
        <v>45504</v>
      </c>
      <c r="J31" s="18">
        <v>0</v>
      </c>
      <c r="K31" s="19">
        <v>40000</v>
      </c>
      <c r="L31" s="19">
        <v>40000</v>
      </c>
      <c r="M31" s="37">
        <f t="shared" si="0"/>
        <v>40000</v>
      </c>
      <c r="N31" s="44" t="s">
        <v>55</v>
      </c>
    </row>
    <row r="32" spans="2:14" ht="27.75" thickBot="1" x14ac:dyDescent="0.3">
      <c r="B32" s="20" t="s">
        <v>31</v>
      </c>
      <c r="C32" s="21" t="s">
        <v>32</v>
      </c>
      <c r="D32" s="22">
        <v>45504</v>
      </c>
      <c r="E32" s="15" t="s">
        <v>46</v>
      </c>
      <c r="F32" s="23">
        <v>150</v>
      </c>
      <c r="G32" s="21" t="s">
        <v>33</v>
      </c>
      <c r="H32" s="24">
        <v>125617</v>
      </c>
      <c r="I32" s="22">
        <v>45504</v>
      </c>
      <c r="J32" s="24">
        <v>0</v>
      </c>
      <c r="K32" s="25">
        <v>40000</v>
      </c>
      <c r="L32" s="25">
        <v>40000</v>
      </c>
      <c r="M32" s="37">
        <f t="shared" si="0"/>
        <v>40000</v>
      </c>
      <c r="N32" s="44" t="s">
        <v>55</v>
      </c>
    </row>
    <row r="33" spans="2:14" ht="15.75" thickBot="1" x14ac:dyDescent="0.3">
      <c r="B33" s="26"/>
      <c r="C33" s="27"/>
      <c r="D33" s="26"/>
      <c r="E33" s="27"/>
      <c r="F33" s="28"/>
      <c r="G33" s="27"/>
      <c r="H33" s="28"/>
      <c r="I33" s="26"/>
      <c r="J33" s="28">
        <v>0</v>
      </c>
      <c r="K33" s="29">
        <v>340000</v>
      </c>
      <c r="L33" s="29">
        <v>-340000</v>
      </c>
      <c r="M33" s="30" t="s">
        <v>34</v>
      </c>
      <c r="N33" s="44" t="s">
        <v>55</v>
      </c>
    </row>
    <row r="34" spans="2:14" ht="27.75" thickBot="1" x14ac:dyDescent="0.3">
      <c r="B34" s="20" t="s">
        <v>35</v>
      </c>
      <c r="C34" s="21" t="s">
        <v>36</v>
      </c>
      <c r="D34" s="22">
        <v>45504</v>
      </c>
      <c r="E34" s="15" t="s">
        <v>47</v>
      </c>
      <c r="F34" s="23">
        <v>148</v>
      </c>
      <c r="G34" s="21" t="s">
        <v>33</v>
      </c>
      <c r="H34" s="24">
        <v>73867</v>
      </c>
      <c r="I34" s="22">
        <v>45504</v>
      </c>
      <c r="J34" s="24">
        <v>0</v>
      </c>
      <c r="K34" s="25">
        <v>137321</v>
      </c>
      <c r="L34" s="25">
        <v>137321</v>
      </c>
      <c r="M34" s="37">
        <f t="shared" si="0"/>
        <v>137321</v>
      </c>
      <c r="N34" s="44" t="s">
        <v>55</v>
      </c>
    </row>
    <row r="35" spans="2:14" ht="27.75" thickBot="1" x14ac:dyDescent="0.3">
      <c r="B35" s="14" t="s">
        <v>35</v>
      </c>
      <c r="C35" s="15" t="s">
        <v>36</v>
      </c>
      <c r="D35" s="16">
        <v>45650</v>
      </c>
      <c r="E35" s="36" t="s">
        <v>40</v>
      </c>
      <c r="F35" s="17">
        <v>86</v>
      </c>
      <c r="G35" s="15" t="s">
        <v>33</v>
      </c>
      <c r="H35" s="18">
        <v>74377</v>
      </c>
      <c r="I35" s="16">
        <v>45650</v>
      </c>
      <c r="J35" s="19">
        <v>272194</v>
      </c>
      <c r="K35" s="18">
        <v>0</v>
      </c>
      <c r="L35" s="19">
        <v>272194</v>
      </c>
      <c r="M35" s="26" t="s">
        <v>52</v>
      </c>
      <c r="N35" s="44" t="s">
        <v>55</v>
      </c>
    </row>
    <row r="36" spans="2:14" ht="27.75" thickBot="1" x14ac:dyDescent="0.3">
      <c r="B36" s="20" t="s">
        <v>35</v>
      </c>
      <c r="C36" s="21" t="s">
        <v>36</v>
      </c>
      <c r="D36" s="22">
        <v>45535</v>
      </c>
      <c r="E36" s="15" t="s">
        <v>48</v>
      </c>
      <c r="F36" s="23">
        <v>157</v>
      </c>
      <c r="G36" s="21" t="s">
        <v>33</v>
      </c>
      <c r="H36" s="24">
        <v>74377</v>
      </c>
      <c r="I36" s="22">
        <v>45535</v>
      </c>
      <c r="J36" s="24">
        <v>0</v>
      </c>
      <c r="K36" s="25">
        <v>335040</v>
      </c>
      <c r="L36" s="25">
        <v>335040</v>
      </c>
      <c r="M36" s="37">
        <f t="shared" si="0"/>
        <v>335040</v>
      </c>
      <c r="N36" s="44" t="s">
        <v>55</v>
      </c>
    </row>
    <row r="37" spans="2:14" ht="15.75" thickBot="1" x14ac:dyDescent="0.3">
      <c r="B37" s="26"/>
      <c r="C37" s="27"/>
      <c r="D37" s="26"/>
      <c r="E37" s="27"/>
      <c r="F37" s="28"/>
      <c r="G37" s="27"/>
      <c r="H37" s="28"/>
      <c r="I37" s="26"/>
      <c r="J37" s="29">
        <v>272194</v>
      </c>
      <c r="K37" s="29">
        <v>472361</v>
      </c>
      <c r="L37" s="29">
        <v>-200167</v>
      </c>
      <c r="M37" s="30" t="s">
        <v>34</v>
      </c>
      <c r="N37" s="44" t="s">
        <v>55</v>
      </c>
    </row>
    <row r="38" spans="2:14" ht="27.75" thickBot="1" x14ac:dyDescent="0.3">
      <c r="B38" s="20" t="s">
        <v>37</v>
      </c>
      <c r="C38" s="21" t="s">
        <v>38</v>
      </c>
      <c r="D38" s="22">
        <v>45443</v>
      </c>
      <c r="E38" s="15" t="s">
        <v>49</v>
      </c>
      <c r="F38" s="23">
        <v>134</v>
      </c>
      <c r="G38" s="21" t="s">
        <v>33</v>
      </c>
      <c r="H38" s="24">
        <v>12892438</v>
      </c>
      <c r="I38" s="22">
        <v>45443</v>
      </c>
      <c r="J38" s="24">
        <v>0</v>
      </c>
      <c r="K38" s="25">
        <v>2300</v>
      </c>
      <c r="L38" s="25">
        <v>2300</v>
      </c>
      <c r="M38" s="37">
        <f t="shared" ref="M38:M39" si="1">K38</f>
        <v>2300</v>
      </c>
      <c r="N38" s="44" t="s">
        <v>55</v>
      </c>
    </row>
    <row r="39" spans="2:14" ht="27.75" thickBot="1" x14ac:dyDescent="0.3">
      <c r="B39" s="14" t="s">
        <v>37</v>
      </c>
      <c r="C39" s="15" t="s">
        <v>38</v>
      </c>
      <c r="D39" s="16">
        <v>45443</v>
      </c>
      <c r="E39" s="15" t="s">
        <v>50</v>
      </c>
      <c r="F39" s="17">
        <v>135</v>
      </c>
      <c r="G39" s="15" t="s">
        <v>33</v>
      </c>
      <c r="H39" s="18">
        <v>12892440</v>
      </c>
      <c r="I39" s="16">
        <v>45443</v>
      </c>
      <c r="J39" s="18">
        <v>0</v>
      </c>
      <c r="K39" s="19">
        <v>4600</v>
      </c>
      <c r="L39" s="19">
        <v>4600</v>
      </c>
      <c r="M39" s="37">
        <f t="shared" si="1"/>
        <v>4600</v>
      </c>
      <c r="N39" s="44" t="s">
        <v>55</v>
      </c>
    </row>
    <row r="40" spans="2:14" ht="15.75" thickBot="1" x14ac:dyDescent="0.3">
      <c r="B40" s="31"/>
      <c r="C40" s="32"/>
      <c r="D40" s="31"/>
      <c r="E40" s="32"/>
      <c r="F40" s="33"/>
      <c r="G40" s="32"/>
      <c r="H40" s="33"/>
      <c r="I40" s="31"/>
      <c r="J40" s="33">
        <v>0</v>
      </c>
      <c r="K40" s="34">
        <v>6900</v>
      </c>
      <c r="L40" s="34">
        <v>-6900</v>
      </c>
      <c r="M40" s="35" t="s">
        <v>34</v>
      </c>
    </row>
  </sheetData>
  <mergeCells count="2">
    <mergeCell ref="B21:E21"/>
    <mergeCell ref="B25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palacios</dc:creator>
  <cp:lastModifiedBy>Felipe Hiriart</cp:lastModifiedBy>
  <dcterms:created xsi:type="dcterms:W3CDTF">2025-04-16T01:25:38Z</dcterms:created>
  <dcterms:modified xsi:type="dcterms:W3CDTF">2025-04-16T14:33:01Z</dcterms:modified>
</cp:coreProperties>
</file>
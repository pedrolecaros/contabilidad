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:\My Drive\Desarrollos Ecox 2025\Contabilidades\02 Contable Tregualemu SpA\"/>
    </mc:Choice>
  </mc:AlternateContent>
  <xr:revisionPtr revIDLastSave="0" documentId="13_ncr:1_{0967ADA3-3BBE-42FF-B85D-2C1C281532B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E13" i="3"/>
  <c r="E14" i="3"/>
  <c r="E15" i="3"/>
  <c r="E12" i="3"/>
  <c r="I13" i="3"/>
  <c r="F13" i="3"/>
  <c r="G12" i="3"/>
  <c r="J12" i="3" s="1"/>
  <c r="G15" i="3"/>
  <c r="G14" i="3"/>
  <c r="J14" i="3" s="1"/>
  <c r="D15" i="3"/>
  <c r="J15" i="3" l="1"/>
  <c r="K12" i="3" s="1"/>
  <c r="K14" i="3"/>
  <c r="J13" i="3"/>
  <c r="H13" i="3"/>
  <c r="H14" i="3"/>
  <c r="H12" i="3"/>
  <c r="G3" i="3"/>
  <c r="G4" i="3"/>
  <c r="G5" i="3"/>
  <c r="F5" i="3"/>
  <c r="H5" i="3"/>
  <c r="I3" i="3"/>
  <c r="G50" i="1"/>
  <c r="B4" i="3"/>
  <c r="M47" i="1"/>
  <c r="M48" i="1"/>
  <c r="H34" i="1"/>
  <c r="C34" i="1" s="1"/>
  <c r="H35" i="1"/>
  <c r="C35" i="1" s="1"/>
  <c r="K13" i="3" l="1"/>
  <c r="L12" i="3"/>
  <c r="I5" i="3"/>
  <c r="H4" i="3"/>
  <c r="I4" i="3" s="1"/>
  <c r="C7" i="1"/>
  <c r="C5" i="1"/>
  <c r="G5" i="1" s="1"/>
  <c r="C4" i="1"/>
  <c r="G4" i="1" s="1"/>
  <c r="H39" i="1"/>
  <c r="C39" i="1" s="1"/>
  <c r="H40" i="1"/>
  <c r="C40" i="1" s="1"/>
  <c r="H41" i="1"/>
  <c r="C41" i="1" s="1"/>
  <c r="H42" i="1"/>
  <c r="C42" i="1" s="1"/>
  <c r="H43" i="1"/>
  <c r="C43" i="1" s="1"/>
  <c r="H44" i="1"/>
  <c r="C44" i="1" s="1"/>
  <c r="H45" i="1"/>
  <c r="C45" i="1" s="1"/>
  <c r="H46" i="1"/>
  <c r="C46" i="1" s="1"/>
  <c r="H47" i="1"/>
  <c r="C47" i="1" s="1"/>
  <c r="H33" i="1"/>
  <c r="C33" i="1" s="1"/>
  <c r="H36" i="1"/>
  <c r="C36" i="1" s="1"/>
  <c r="H37" i="1"/>
  <c r="C37" i="1" s="1"/>
  <c r="H38" i="1"/>
  <c r="C38" i="1" s="1"/>
  <c r="H6" i="1"/>
  <c r="C6" i="1" s="1"/>
  <c r="H19" i="1"/>
  <c r="C19" i="1" s="1"/>
  <c r="H20" i="1"/>
  <c r="C20" i="1" s="1"/>
  <c r="H21" i="1"/>
  <c r="C21" i="1" s="1"/>
  <c r="H22" i="1"/>
  <c r="C22" i="1" s="1"/>
  <c r="H23" i="1"/>
  <c r="C23" i="1" s="1"/>
  <c r="H24" i="1"/>
  <c r="C24" i="1" s="1"/>
  <c r="H25" i="1"/>
  <c r="C25" i="1" s="1"/>
  <c r="H26" i="1"/>
  <c r="C26" i="1" s="1"/>
  <c r="H27" i="1"/>
  <c r="C27" i="1" s="1"/>
  <c r="H28" i="1"/>
  <c r="C28" i="1" s="1"/>
  <c r="H29" i="1"/>
  <c r="C29" i="1" s="1"/>
  <c r="H30" i="1"/>
  <c r="C30" i="1" s="1"/>
  <c r="H31" i="1"/>
  <c r="C31" i="1" s="1"/>
  <c r="H32" i="1"/>
  <c r="C32" i="1" s="1"/>
  <c r="H7" i="1"/>
  <c r="E96" i="1"/>
  <c r="G94" i="1"/>
  <c r="G92" i="1"/>
  <c r="H13" i="1"/>
  <c r="C13" i="1" s="1"/>
  <c r="H17" i="1"/>
  <c r="C17" i="1" s="1"/>
  <c r="H16" i="1"/>
  <c r="C16" i="1" s="1"/>
  <c r="H8" i="1"/>
  <c r="C8" i="1" s="1"/>
  <c r="M37" i="2"/>
  <c r="M35" i="2"/>
  <c r="C3" i="2"/>
  <c r="J32" i="2"/>
  <c r="N31" i="2"/>
  <c r="O31" i="2" s="1"/>
  <c r="R16" i="2"/>
  <c r="S16" i="2" s="1"/>
  <c r="R15" i="2"/>
  <c r="S15" i="2" s="1"/>
  <c r="R14" i="2"/>
  <c r="S14" i="2" s="1"/>
  <c r="R27" i="2"/>
  <c r="S27" i="2" s="1"/>
  <c r="D27" i="2" s="1"/>
  <c r="R13" i="2"/>
  <c r="S13" i="2" s="1"/>
  <c r="R18" i="2"/>
  <c r="S18" i="2" s="1"/>
  <c r="R12" i="2"/>
  <c r="S12" i="2" s="1"/>
  <c r="R6" i="2"/>
  <c r="S6" i="2" s="1"/>
  <c r="D4" i="2" s="1"/>
  <c r="D26" i="2" s="1"/>
  <c r="R17" i="2"/>
  <c r="S17" i="2" s="1"/>
  <c r="D11" i="2"/>
  <c r="D10" i="2"/>
  <c r="D9" i="2"/>
  <c r="D8" i="2"/>
  <c r="D7" i="2"/>
  <c r="D6" i="2"/>
  <c r="C5" i="2"/>
  <c r="I6" i="3" l="1"/>
  <c r="K4" i="3" s="1"/>
  <c r="D28" i="2"/>
  <c r="F28" i="2" s="1"/>
  <c r="P31" i="2" s="1"/>
  <c r="D23" i="2"/>
  <c r="F26" i="2"/>
  <c r="C106" i="1"/>
  <c r="H18" i="1"/>
  <c r="C18" i="1" s="1"/>
  <c r="K3" i="3" l="1"/>
  <c r="L3" i="3" s="1"/>
  <c r="K5" i="3"/>
  <c r="F29" i="2"/>
  <c r="F30" i="2" s="1"/>
  <c r="B34" i="2" s="1"/>
  <c r="Q31" i="2"/>
  <c r="C21" i="2" s="1"/>
  <c r="C23" i="2" s="1"/>
  <c r="D24" i="2"/>
  <c r="H15" i="1"/>
  <c r="C15" i="1" s="1"/>
  <c r="H14" i="1"/>
  <c r="C14" i="1" s="1"/>
  <c r="G12" i="1"/>
  <c r="H11" i="1"/>
  <c r="C11" i="1" s="1"/>
  <c r="H10" i="1"/>
  <c r="C10" i="1" s="1"/>
  <c r="H9" i="1"/>
  <c r="C9" i="1" s="1"/>
  <c r="H12" i="1" l="1"/>
  <c r="C12" i="1" s="1"/>
  <c r="C50" i="1"/>
  <c r="J40" i="2"/>
  <c r="J34" i="2" s="1"/>
  <c r="K34" i="2" s="1"/>
  <c r="F24" i="2"/>
  <c r="C33" i="2"/>
  <c r="B33" i="2" s="1"/>
  <c r="J33" i="2" s="1"/>
  <c r="K32" i="2" s="1"/>
  <c r="L33" i="2" l="1"/>
</calcChain>
</file>

<file path=xl/sharedStrings.xml><?xml version="1.0" encoding="utf-8"?>
<sst xmlns="http://schemas.openxmlformats.org/spreadsheetml/2006/main" count="230" uniqueCount="93">
  <si>
    <t>CUENTAS POR COBRAR TREGUALEMU SPA</t>
  </si>
  <si>
    <t>JORGE HIRART BLOME</t>
  </si>
  <si>
    <t>ECOX SPA</t>
  </si>
  <si>
    <t>AYSEN SPA</t>
  </si>
  <si>
    <t>para compra de futrono</t>
  </si>
  <si>
    <t>Destino</t>
  </si>
  <si>
    <t>29.10.2021</t>
  </si>
  <si>
    <t>22.12.2021</t>
  </si>
  <si>
    <t>Fecha</t>
  </si>
  <si>
    <t>Prestamo</t>
  </si>
  <si>
    <t>17.05.2022</t>
  </si>
  <si>
    <t>Retiro socios</t>
  </si>
  <si>
    <t>Retiro</t>
  </si>
  <si>
    <t>Pago</t>
  </si>
  <si>
    <t>29.06.2022</t>
  </si>
  <si>
    <t>29.07.2022</t>
  </si>
  <si>
    <t>02.09.2022</t>
  </si>
  <si>
    <t>04.10.2022</t>
  </si>
  <si>
    <t>Nuevo prestamo</t>
  </si>
  <si>
    <t>24.10.2022</t>
  </si>
  <si>
    <t>Compra Colbun</t>
  </si>
  <si>
    <t>para compras sitios usa</t>
  </si>
  <si>
    <t>pago ecox a tregualemu</t>
  </si>
  <si>
    <t>Treguya a PLS FHB</t>
  </si>
  <si>
    <t>28.12.2022</t>
  </si>
  <si>
    <t>UF</t>
  </si>
  <si>
    <t xml:space="preserve"> UF</t>
  </si>
  <si>
    <t xml:space="preserve">Prestamo </t>
  </si>
  <si>
    <t>11.01.2023</t>
  </si>
  <si>
    <t>Febrero</t>
  </si>
  <si>
    <t>Retiro Bono Clarita Tregualemu SpA</t>
  </si>
  <si>
    <t>15/2/2022</t>
  </si>
  <si>
    <t>Retiro Tregualemu</t>
  </si>
  <si>
    <t>Mayo</t>
  </si>
  <si>
    <t>17/5/2022</t>
  </si>
  <si>
    <t>Retiro Tregualemu SpA</t>
  </si>
  <si>
    <t>Junio</t>
  </si>
  <si>
    <t>29/06/2022</t>
  </si>
  <si>
    <t>30/06/2022</t>
  </si>
  <si>
    <t>29/07/2022</t>
  </si>
  <si>
    <t>Septiembre</t>
  </si>
  <si>
    <t>8.2.2022</t>
  </si>
  <si>
    <t>16.2.2022</t>
  </si>
  <si>
    <t>Devuelve</t>
  </si>
  <si>
    <t>04.04.2022</t>
  </si>
  <si>
    <t>06.04.2022</t>
  </si>
  <si>
    <t>08.04.2022</t>
  </si>
  <si>
    <t>12.04.2022</t>
  </si>
  <si>
    <t>19.04.2022</t>
  </si>
  <si>
    <t>Retiro cxc</t>
  </si>
  <si>
    <t>SE PAGA CON BILLETES</t>
  </si>
  <si>
    <t>5.09.2022</t>
  </si>
  <si>
    <t>Total deuda</t>
  </si>
  <si>
    <t>Total Retiros</t>
  </si>
  <si>
    <t>Diferencia cxc</t>
  </si>
  <si>
    <t>Total Cxc imputa a retiro</t>
  </si>
  <si>
    <t>Retiro en caja</t>
  </si>
  <si>
    <t>Total Retiro JH</t>
  </si>
  <si>
    <t>4.5.2022</t>
  </si>
  <si>
    <t>1.6.2022</t>
  </si>
  <si>
    <t>15.2.2022</t>
  </si>
  <si>
    <t>15.02.2022</t>
  </si>
  <si>
    <t>31.12.2022</t>
  </si>
  <si>
    <t>Ajusta CxC por exceso retiro</t>
  </si>
  <si>
    <t>SALDO DEUDA AL 31.12.2022</t>
  </si>
  <si>
    <t>Ajuste para 20% participacion</t>
  </si>
  <si>
    <t>Retiros SII</t>
  </si>
  <si>
    <t>Movimientos Cuenta Jorge Hiriart 2022</t>
  </si>
  <si>
    <t>ECOX</t>
  </si>
  <si>
    <t>JH</t>
  </si>
  <si>
    <t>AYSEN</t>
  </si>
  <si>
    <t>16.02.2022</t>
  </si>
  <si>
    <t>01.06.2022</t>
  </si>
  <si>
    <t>12.10.2022</t>
  </si>
  <si>
    <t>8.11.2022</t>
  </si>
  <si>
    <t>22.12.2022</t>
  </si>
  <si>
    <t>Total Retiros JH</t>
  </si>
  <si>
    <t>S</t>
  </si>
  <si>
    <t xml:space="preserve">SALDO DEUDA AL </t>
  </si>
  <si>
    <t>Resumen</t>
  </si>
  <si>
    <t>Sando al 31/12</t>
  </si>
  <si>
    <t>Pagos a julio</t>
  </si>
  <si>
    <t>Saldo</t>
  </si>
  <si>
    <t>Jorge</t>
  </si>
  <si>
    <t>Dividendo pls</t>
  </si>
  <si>
    <t>Div Jorge</t>
  </si>
  <si>
    <t>Aysen</t>
  </si>
  <si>
    <t>Ecox</t>
  </si>
  <si>
    <t>debito</t>
  </si>
  <si>
    <t>credito</t>
  </si>
  <si>
    <t>AY</t>
  </si>
  <si>
    <t>Pago cxc</t>
  </si>
  <si>
    <t>pago cxc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</si>
</sst>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?_);_(@_)"/>
    <numFmt numFmtId="166" formatCode="0.000"/>
    <numFmt numFmtId="167" formatCode="0.0000"/>
    <numFmt numFmtId="168" formatCode="_(* #,##0_);_(* \(#,##0\);_(* &quot;-&quot;??_);_(@_)"/>
    <numFmt numFmtId="171" formatCode="_(* #,##0.0000_);_(* \(#,##0.0000\);_(* &quot;-&quot;??_);_(@_)"/>
    <numFmt numFmtId="17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706F6F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CDCDC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8" borderId="0" applyNumberFormat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1" fillId="0" borderId="0" xfId="0" applyFont="1"/>
    <xf numFmtId="3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1" applyNumberFormat="1" applyFont="1"/>
    <xf numFmtId="9" fontId="0" fillId="0" borderId="0" xfId="2" applyFont="1"/>
    <xf numFmtId="2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0" fontId="3" fillId="0" borderId="0" xfId="0" applyFont="1"/>
    <xf numFmtId="0" fontId="0" fillId="0" borderId="1" xfId="0" applyBorder="1"/>
    <xf numFmtId="164" fontId="0" fillId="3" borderId="1" xfId="1" applyNumberFormat="1" applyFont="1" applyFill="1" applyBorder="1"/>
    <xf numFmtId="164" fontId="0" fillId="0" borderId="1" xfId="1" applyNumberFormat="1" applyFont="1" applyFill="1" applyBorder="1"/>
    <xf numFmtId="14" fontId="0" fillId="0" borderId="1" xfId="0" applyNumberFormat="1" applyBorder="1"/>
    <xf numFmtId="164" fontId="0" fillId="0" borderId="2" xfId="1" applyNumberFormat="1" applyFont="1" applyFill="1" applyBorder="1"/>
    <xf numFmtId="0" fontId="0" fillId="0" borderId="2" xfId="0" applyBorder="1"/>
    <xf numFmtId="166" fontId="0" fillId="0" borderId="0" xfId="0" applyNumberFormat="1"/>
    <xf numFmtId="0" fontId="3" fillId="4" borderId="3" xfId="0" applyFont="1" applyFill="1" applyBorder="1" applyAlignment="1">
      <alignment vertical="top" wrapText="1"/>
    </xf>
    <xf numFmtId="166" fontId="0" fillId="5" borderId="0" xfId="0" applyNumberFormat="1" applyFill="1"/>
    <xf numFmtId="4" fontId="4" fillId="0" borderId="4" xfId="0" applyNumberFormat="1" applyFont="1" applyBorder="1" applyAlignment="1">
      <alignment horizontal="right"/>
    </xf>
    <xf numFmtId="1" fontId="0" fillId="0" borderId="0" xfId="0" applyNumberFormat="1"/>
    <xf numFmtId="14" fontId="0" fillId="6" borderId="0" xfId="0" applyNumberFormat="1" applyFill="1"/>
    <xf numFmtId="164" fontId="0" fillId="0" borderId="0" xfId="0" applyNumberFormat="1"/>
    <xf numFmtId="0" fontId="0" fillId="6" borderId="0" xfId="0" applyFill="1"/>
    <xf numFmtId="0" fontId="0" fillId="3" borderId="0" xfId="0" applyFill="1"/>
    <xf numFmtId="44" fontId="0" fillId="0" borderId="0" xfId="1" applyFont="1" applyFill="1"/>
    <xf numFmtId="0" fontId="0" fillId="0" borderId="6" xfId="0" applyBorder="1"/>
    <xf numFmtId="0" fontId="0" fillId="0" borderId="7" xfId="0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0" fontId="0" fillId="0" borderId="5" xfId="0" applyBorder="1"/>
    <xf numFmtId="44" fontId="0" fillId="0" borderId="5" xfId="1" applyFont="1" applyBorder="1"/>
    <xf numFmtId="0" fontId="0" fillId="7" borderId="6" xfId="0" applyFill="1" applyBorder="1"/>
    <xf numFmtId="165" fontId="0" fillId="7" borderId="6" xfId="1" applyNumberFormat="1" applyFont="1" applyFill="1" applyBorder="1"/>
    <xf numFmtId="0" fontId="0" fillId="7" borderId="7" xfId="0" applyFill="1" applyBorder="1"/>
    <xf numFmtId="165" fontId="0" fillId="7" borderId="7" xfId="1" applyNumberFormat="1" applyFont="1" applyFill="1" applyBorder="1"/>
    <xf numFmtId="0" fontId="0" fillId="2" borderId="1" xfId="0" applyFill="1" applyBorder="1"/>
    <xf numFmtId="167" fontId="0" fillId="0" borderId="1" xfId="0" applyNumberFormat="1" applyBorder="1"/>
    <xf numFmtId="2" fontId="0" fillId="0" borderId="1" xfId="0" applyNumberFormat="1" applyBorder="1"/>
    <xf numFmtId="0" fontId="0" fillId="0" borderId="8" xfId="0" applyBorder="1"/>
    <xf numFmtId="0" fontId="0" fillId="0" borderId="9" xfId="0" applyBorder="1"/>
    <xf numFmtId="14" fontId="5" fillId="0" borderId="1" xfId="0" applyNumberFormat="1" applyFont="1" applyBorder="1" applyAlignment="1">
      <alignment horizontal="right" wrapText="1"/>
    </xf>
    <xf numFmtId="14" fontId="5" fillId="0" borderId="9" xfId="0" applyNumberFormat="1" applyFont="1" applyBorder="1" applyAlignment="1">
      <alignment horizontal="right" wrapText="1"/>
    </xf>
    <xf numFmtId="14" fontId="0" fillId="0" borderId="9" xfId="0" applyNumberFormat="1" applyBorder="1"/>
    <xf numFmtId="0" fontId="0" fillId="5" borderId="1" xfId="0" applyFill="1" applyBorder="1"/>
    <xf numFmtId="2" fontId="0" fillId="0" borderId="9" xfId="0" applyNumberFormat="1" applyBorder="1"/>
    <xf numFmtId="0" fontId="0" fillId="0" borderId="10" xfId="0" applyBorder="1"/>
    <xf numFmtId="0" fontId="0" fillId="0" borderId="11" xfId="0" applyBorder="1"/>
    <xf numFmtId="167" fontId="0" fillId="0" borderId="11" xfId="0" applyNumberFormat="1" applyBorder="1"/>
    <xf numFmtId="0" fontId="3" fillId="0" borderId="7" xfId="0" applyFont="1" applyBorder="1"/>
    <xf numFmtId="2" fontId="0" fillId="0" borderId="11" xfId="0" applyNumberFormat="1" applyBorder="1"/>
    <xf numFmtId="14" fontId="5" fillId="0" borderId="11" xfId="0" applyNumberFormat="1" applyFont="1" applyBorder="1" applyAlignment="1">
      <alignment horizontal="right" wrapText="1"/>
    </xf>
    <xf numFmtId="0" fontId="0" fillId="0" borderId="12" xfId="0" applyBorder="1"/>
    <xf numFmtId="14" fontId="0" fillId="0" borderId="11" xfId="0" applyNumberFormat="1" applyBorder="1"/>
    <xf numFmtId="167" fontId="0" fillId="0" borderId="9" xfId="0" applyNumberFormat="1" applyBorder="1"/>
    <xf numFmtId="44" fontId="0" fillId="0" borderId="7" xfId="1" applyFont="1" applyBorder="1"/>
    <xf numFmtId="44" fontId="0" fillId="0" borderId="7" xfId="0" applyNumberFormat="1" applyBorder="1"/>
    <xf numFmtId="164" fontId="0" fillId="0" borderId="7" xfId="0" applyNumberFormat="1" applyBorder="1"/>
    <xf numFmtId="43" fontId="0" fillId="0" borderId="0" xfId="3" applyFont="1"/>
    <xf numFmtId="168" fontId="0" fillId="0" borderId="0" xfId="3" applyNumberFormat="1" applyFont="1"/>
    <xf numFmtId="165" fontId="0" fillId="0" borderId="13" xfId="1" applyNumberFormat="1" applyFont="1" applyBorder="1"/>
    <xf numFmtId="168" fontId="0" fillId="0" borderId="14" xfId="3" applyNumberFormat="1" applyFont="1" applyBorder="1"/>
    <xf numFmtId="165" fontId="0" fillId="0" borderId="15" xfId="1" applyNumberFormat="1" applyFont="1" applyBorder="1"/>
    <xf numFmtId="168" fontId="0" fillId="0" borderId="16" xfId="3" applyNumberFormat="1" applyFont="1" applyBorder="1"/>
    <xf numFmtId="165" fontId="0" fillId="0" borderId="17" xfId="1" applyNumberFormat="1" applyFont="1" applyBorder="1"/>
    <xf numFmtId="168" fontId="6" fillId="8" borderId="18" xfId="4" applyNumberFormat="1" applyBorder="1"/>
    <xf numFmtId="0" fontId="0" fillId="0" borderId="0" xfId="0" applyAlignment="1">
      <alignment horizontal="center" vertical="center" wrapText="1"/>
    </xf>
    <xf numFmtId="168" fontId="0" fillId="0" borderId="0" xfId="0" applyNumberFormat="1"/>
    <xf numFmtId="43" fontId="0" fillId="0" borderId="0" xfId="0" applyNumberFormat="1"/>
    <xf numFmtId="176" fontId="0" fillId="0" borderId="0" xfId="2" applyNumberFormat="1" applyFont="1"/>
    <xf numFmtId="171" fontId="0" fillId="0" borderId="0" xfId="3" applyNumberFormat="1" applyFont="1"/>
  </cellXfs>
  <cellStyles count="5">
    <cellStyle name="Accent6" xfId="4" builtinId="49"/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990600</xdr:colOff>
      <xdr:row>16</xdr:row>
      <xdr:rowOff>142875</xdr:rowOff>
    </xdr:from>
    <xdr:to>
      <xdr:col>17</xdr:col>
      <xdr:colOff>408472</xdr:colOff>
      <xdr:row>18</xdr:row>
      <xdr:rowOff>9558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738B5-61A5-DC4B-4162-05AB7B8A7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4175" y="3038475"/>
          <a:ext cx="9154803" cy="23815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17</xdr:col>
      <xdr:colOff>389416</xdr:colOff>
      <xdr:row>32</xdr:row>
      <xdr:rowOff>47658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A6C342-06BD-7DB7-B709-BFE535002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63225" y="5629275"/>
          <a:ext cx="9116697" cy="238158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</xdr:row>
      <xdr:rowOff>104775</xdr:rowOff>
    </xdr:from>
    <xdr:to>
      <xdr:col>18</xdr:col>
      <xdr:colOff>570494</xdr:colOff>
      <xdr:row>3</xdr:row>
      <xdr:rowOff>66720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F530F8-B9DA-F5A2-2AC2-5622C8B11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20375" y="285750"/>
          <a:ext cx="9850225" cy="32389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13</xdr:col>
      <xdr:colOff>484339</xdr:colOff>
      <xdr:row>38</xdr:row>
      <xdr:rowOff>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FF84EB-EA86-D82B-F6D3-F598B14E9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63225" y="6753225"/>
          <a:ext cx="6773220" cy="190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zoomScale="80" zoomScaleNormal="80" workbookViewId="0">
      <selection activeCell="G4" sqref="G4:G18"/>
    </sheetView>
  </sheetViews>
  <sheetFormatPr defaultRowHeight="15" x14ac:dyDescent="0.25"/>
  <cols>
    <col min="2" max="2" width="30.7109375" customWidth="1"/>
    <col min="3" max="3" width="15.42578125" bestFit="1" customWidth="1"/>
    <col min="4" max="4" width="15.5703125" customWidth="1"/>
    <col min="5" max="5" width="39.7109375" customWidth="1"/>
    <col min="6" max="6" width="12.5703125" bestFit="1" customWidth="1"/>
    <col min="7" max="7" width="18" bestFit="1" customWidth="1"/>
    <col min="8" max="8" width="14.7109375" bestFit="1" customWidth="1"/>
    <col min="10" max="10" width="15.28515625" bestFit="1" customWidth="1"/>
    <col min="11" max="11" width="23" customWidth="1"/>
    <col min="12" max="12" width="15.28515625" bestFit="1" customWidth="1"/>
    <col min="13" max="13" width="29.7109375" customWidth="1"/>
    <col min="19" max="19" width="15.140625" bestFit="1" customWidth="1"/>
  </cols>
  <sheetData>
    <row r="1" spans="1:13" x14ac:dyDescent="0.25">
      <c r="B1" s="2" t="s">
        <v>0</v>
      </c>
    </row>
    <row r="3" spans="1:13" x14ac:dyDescent="0.25">
      <c r="A3" s="38">
        <v>1</v>
      </c>
      <c r="B3" s="38" t="s">
        <v>2</v>
      </c>
      <c r="C3" s="38" t="s">
        <v>25</v>
      </c>
      <c r="D3" s="38" t="s">
        <v>8</v>
      </c>
      <c r="E3" s="38" t="s">
        <v>5</v>
      </c>
      <c r="G3" s="5"/>
      <c r="H3" s="5"/>
    </row>
    <row r="4" spans="1:13" x14ac:dyDescent="0.25">
      <c r="A4" s="12"/>
      <c r="B4" s="12" t="s">
        <v>9</v>
      </c>
      <c r="C4" s="12">
        <f>4335.6*-1</f>
        <v>-4335.6000000000004</v>
      </c>
      <c r="D4" s="12" t="s">
        <v>6</v>
      </c>
      <c r="E4" s="12" t="s">
        <v>4</v>
      </c>
      <c r="G4" s="5">
        <f>+C4*30310.47</f>
        <v>-131414073.73200002</v>
      </c>
      <c r="H4" s="5">
        <v>-4335.6000000000004</v>
      </c>
    </row>
    <row r="5" spans="1:13" ht="15.75" thickBot="1" x14ac:dyDescent="0.3">
      <c r="A5" s="49"/>
      <c r="B5" s="49" t="s">
        <v>9</v>
      </c>
      <c r="C5" s="49">
        <f>1990.321*-1</f>
        <v>-1990.3209999999999</v>
      </c>
      <c r="D5" s="49" t="s">
        <v>7</v>
      </c>
      <c r="E5" s="49"/>
      <c r="F5" s="51"/>
      <c r="G5" s="57">
        <f>+C5*30855.66</f>
        <v>-61412668.066859998</v>
      </c>
      <c r="H5" s="58">
        <v>-1990.3209999999999</v>
      </c>
      <c r="K5" t="s">
        <v>22</v>
      </c>
      <c r="L5" s="10">
        <v>4552747</v>
      </c>
      <c r="M5" s="9">
        <v>45231</v>
      </c>
    </row>
    <row r="6" spans="1:13" ht="15.75" thickTop="1" x14ac:dyDescent="0.25">
      <c r="A6" s="42"/>
      <c r="B6" s="42" t="s">
        <v>13</v>
      </c>
      <c r="C6" s="56">
        <f>H6</f>
        <v>254.95261386980462</v>
      </c>
      <c r="D6" s="42" t="s">
        <v>71</v>
      </c>
      <c r="E6" s="42"/>
      <c r="F6" s="11">
        <v>31378.38</v>
      </c>
      <c r="G6" s="4">
        <v>8000000</v>
      </c>
      <c r="H6" s="5">
        <f>G6/F6</f>
        <v>254.95261386980462</v>
      </c>
      <c r="L6" s="10"/>
      <c r="M6" s="9"/>
    </row>
    <row r="7" spans="1:13" x14ac:dyDescent="0.25">
      <c r="A7" s="12"/>
      <c r="B7" s="12" t="s">
        <v>13</v>
      </c>
      <c r="C7" s="39">
        <f t="shared" ref="C7:C18" si="0">H7</f>
        <v>492.68668206312549</v>
      </c>
      <c r="D7" s="12" t="s">
        <v>10</v>
      </c>
      <c r="E7" s="12"/>
      <c r="F7" s="11">
        <v>32475</v>
      </c>
      <c r="G7" s="4">
        <v>16000000</v>
      </c>
      <c r="H7" s="5">
        <f>G7/F7</f>
        <v>492.68668206312549</v>
      </c>
      <c r="K7" t="s">
        <v>23</v>
      </c>
      <c r="L7" s="10">
        <v>2276374</v>
      </c>
      <c r="M7" s="9">
        <v>45231</v>
      </c>
    </row>
    <row r="8" spans="1:13" x14ac:dyDescent="0.25">
      <c r="A8" s="12"/>
      <c r="B8" s="12" t="s">
        <v>13</v>
      </c>
      <c r="C8" s="39">
        <f t="shared" si="0"/>
        <v>140.69773843678695</v>
      </c>
      <c r="D8" s="12" t="s">
        <v>72</v>
      </c>
      <c r="E8" s="12"/>
      <c r="F8" s="11">
        <v>32694.2</v>
      </c>
      <c r="G8" s="4">
        <v>4600000</v>
      </c>
      <c r="H8" s="5">
        <f t="shared" ref="H8:H13" si="1">G8/F8</f>
        <v>140.69773843678695</v>
      </c>
      <c r="L8" s="10"/>
      <c r="M8" s="9"/>
    </row>
    <row r="9" spans="1:13" x14ac:dyDescent="0.25">
      <c r="A9" s="12"/>
      <c r="B9" s="12" t="s">
        <v>13</v>
      </c>
      <c r="C9" s="39">
        <f t="shared" si="0"/>
        <v>151.17761313527856</v>
      </c>
      <c r="D9" s="12" t="s">
        <v>14</v>
      </c>
      <c r="E9" s="12"/>
      <c r="F9" s="11">
        <v>33073.68</v>
      </c>
      <c r="G9" s="5">
        <v>5000000</v>
      </c>
      <c r="H9" s="5">
        <f t="shared" si="1"/>
        <v>151.17761313527856</v>
      </c>
      <c r="L9" s="10"/>
      <c r="M9" s="9"/>
    </row>
    <row r="10" spans="1:13" x14ac:dyDescent="0.25">
      <c r="A10" s="12"/>
      <c r="B10" s="12" t="s">
        <v>13</v>
      </c>
      <c r="C10" s="39">
        <f t="shared" si="0"/>
        <v>59.88391503071297</v>
      </c>
      <c r="D10" s="12" t="s">
        <v>15</v>
      </c>
      <c r="E10" s="12"/>
      <c r="F10" s="11">
        <v>33397.949999999997</v>
      </c>
      <c r="G10" s="5">
        <v>2000000</v>
      </c>
      <c r="H10" s="5">
        <f t="shared" si="1"/>
        <v>59.88391503071297</v>
      </c>
      <c r="L10" s="10"/>
      <c r="M10" s="9"/>
    </row>
    <row r="11" spans="1:13" x14ac:dyDescent="0.25">
      <c r="A11" s="12"/>
      <c r="B11" s="12" t="s">
        <v>13</v>
      </c>
      <c r="C11" s="39">
        <f t="shared" si="0"/>
        <v>88.582145323733783</v>
      </c>
      <c r="D11" s="12" t="s">
        <v>51</v>
      </c>
      <c r="E11" s="12"/>
      <c r="F11" s="11">
        <v>33866.870000000003</v>
      </c>
      <c r="G11" s="5">
        <v>3000000</v>
      </c>
      <c r="H11" s="5">
        <f t="shared" si="1"/>
        <v>88.582145323733783</v>
      </c>
      <c r="L11" s="10"/>
      <c r="M11" s="9"/>
    </row>
    <row r="12" spans="1:13" x14ac:dyDescent="0.25">
      <c r="A12" s="12"/>
      <c r="B12" s="12" t="s">
        <v>13</v>
      </c>
      <c r="C12" s="39">
        <f t="shared" si="0"/>
        <v>62.658905899729426</v>
      </c>
      <c r="D12" s="12" t="s">
        <v>17</v>
      </c>
      <c r="E12" s="12"/>
      <c r="F12" s="11">
        <v>34312.76</v>
      </c>
      <c r="G12" s="5">
        <f>1075000*2</f>
        <v>2150000</v>
      </c>
      <c r="H12" s="5">
        <f t="shared" si="1"/>
        <v>62.658905899729426</v>
      </c>
      <c r="L12" s="10"/>
      <c r="M12" s="9"/>
    </row>
    <row r="13" spans="1:13" x14ac:dyDescent="0.25">
      <c r="A13" s="12"/>
      <c r="B13" s="12" t="s">
        <v>9</v>
      </c>
      <c r="C13" s="39">
        <f t="shared" si="0"/>
        <v>-23.248474464166254</v>
      </c>
      <c r="D13" s="12" t="s">
        <v>73</v>
      </c>
      <c r="E13" s="12"/>
      <c r="F13" s="11">
        <v>34410.86</v>
      </c>
      <c r="G13" s="5">
        <v>-800000</v>
      </c>
      <c r="H13" s="5">
        <f t="shared" si="1"/>
        <v>-23.248474464166254</v>
      </c>
      <c r="L13" s="10"/>
      <c r="M13" s="9"/>
    </row>
    <row r="14" spans="1:13" x14ac:dyDescent="0.25">
      <c r="A14" s="12"/>
      <c r="B14" s="12" t="s">
        <v>9</v>
      </c>
      <c r="C14" s="39">
        <f t="shared" si="0"/>
        <v>-705.00000000000011</v>
      </c>
      <c r="D14" s="12" t="s">
        <v>19</v>
      </c>
      <c r="E14" s="12" t="s">
        <v>20</v>
      </c>
      <c r="F14" s="11">
        <v>34530.42</v>
      </c>
      <c r="G14" s="4">
        <v>-24343946.100000001</v>
      </c>
      <c r="H14" s="5">
        <f>+G14/F14</f>
        <v>-705.00000000000011</v>
      </c>
      <c r="J14" s="5"/>
    </row>
    <row r="15" spans="1:13" x14ac:dyDescent="0.25">
      <c r="A15" s="12"/>
      <c r="B15" s="12" t="s">
        <v>9</v>
      </c>
      <c r="C15" s="39">
        <f t="shared" si="0"/>
        <v>-705.00000000000011</v>
      </c>
      <c r="D15" s="12" t="s">
        <v>19</v>
      </c>
      <c r="E15" s="12" t="s">
        <v>20</v>
      </c>
      <c r="F15" s="11">
        <v>34530.42</v>
      </c>
      <c r="G15" s="4">
        <v>-24343946.100000001</v>
      </c>
      <c r="H15" s="5">
        <f>+G15/F15</f>
        <v>-705.00000000000011</v>
      </c>
    </row>
    <row r="16" spans="1:13" x14ac:dyDescent="0.25">
      <c r="A16" s="12"/>
      <c r="B16" s="12" t="s">
        <v>9</v>
      </c>
      <c r="C16" s="39">
        <f t="shared" si="0"/>
        <v>-3.3736596190821104</v>
      </c>
      <c r="D16" s="12" t="s">
        <v>74</v>
      </c>
      <c r="E16" s="12"/>
      <c r="F16" s="11">
        <v>34680.44</v>
      </c>
      <c r="G16" s="4">
        <v>-117000</v>
      </c>
      <c r="H16" s="5">
        <f>+G16/F16</f>
        <v>-3.3736596190821104</v>
      </c>
    </row>
    <row r="17" spans="1:13" x14ac:dyDescent="0.25">
      <c r="A17" s="12"/>
      <c r="B17" s="12" t="s">
        <v>13</v>
      </c>
      <c r="C17" s="39">
        <f t="shared" si="0"/>
        <v>6.6838619011302587</v>
      </c>
      <c r="D17" s="12" t="s">
        <v>75</v>
      </c>
      <c r="E17" s="12"/>
      <c r="F17" s="11">
        <v>35009.699999999997</v>
      </c>
      <c r="G17" s="4">
        <v>234000</v>
      </c>
      <c r="H17" s="5">
        <f>+G17/F17</f>
        <v>6.6838619011302587</v>
      </c>
    </row>
    <row r="18" spans="1:13" ht="15.75" thickBot="1" x14ac:dyDescent="0.3">
      <c r="A18" s="49"/>
      <c r="B18" s="49" t="s">
        <v>27</v>
      </c>
      <c r="C18" s="50">
        <f t="shared" si="0"/>
        <v>-598.67965478420592</v>
      </c>
      <c r="D18" s="49" t="s">
        <v>24</v>
      </c>
      <c r="E18" s="49" t="s">
        <v>21</v>
      </c>
      <c r="F18" s="51">
        <v>35077.19</v>
      </c>
      <c r="G18" s="58">
        <v>-21000000</v>
      </c>
      <c r="H18" s="58">
        <f>+G18/F18</f>
        <v>-598.67965478420592</v>
      </c>
      <c r="L18" s="10"/>
      <c r="M18" s="9"/>
    </row>
    <row r="19" spans="1:13" ht="15.75" thickTop="1" x14ac:dyDescent="0.25">
      <c r="A19" s="42"/>
      <c r="B19" s="42" t="s">
        <v>13</v>
      </c>
      <c r="C19" s="47">
        <f t="shared" ref="C19:C47" si="2">+H19</f>
        <v>129.26826913712537</v>
      </c>
      <c r="D19" s="44">
        <v>44937</v>
      </c>
      <c r="E19" s="48"/>
      <c r="F19" s="11">
        <v>35219.370000000003</v>
      </c>
      <c r="G19" s="5">
        <v>4552747</v>
      </c>
      <c r="H19" s="5">
        <f t="shared" ref="H19:H47" si="3">+G19/F19</f>
        <v>129.26826913712537</v>
      </c>
      <c r="L19" s="10"/>
      <c r="M19" s="9"/>
    </row>
    <row r="20" spans="1:13" x14ac:dyDescent="0.25">
      <c r="A20" s="12"/>
      <c r="B20" s="12" t="s">
        <v>13</v>
      </c>
      <c r="C20" s="40">
        <f t="shared" si="2"/>
        <v>21.903564443944315</v>
      </c>
      <c r="D20" s="43">
        <v>44971</v>
      </c>
      <c r="E20" s="41"/>
      <c r="F20" s="11">
        <v>35368.49</v>
      </c>
      <c r="G20" s="5">
        <v>774696</v>
      </c>
      <c r="H20" s="5">
        <f t="shared" si="3"/>
        <v>21.903564443944315</v>
      </c>
      <c r="L20" s="10"/>
      <c r="M20" s="9"/>
    </row>
    <row r="21" spans="1:13" x14ac:dyDescent="0.25">
      <c r="A21" s="12"/>
      <c r="B21" s="12" t="s">
        <v>27</v>
      </c>
      <c r="C21" s="40">
        <f t="shared" si="2"/>
        <v>-7.3037610596324587</v>
      </c>
      <c r="D21" s="43">
        <v>44971</v>
      </c>
      <c r="E21" s="41"/>
      <c r="F21" s="11">
        <v>35368.49</v>
      </c>
      <c r="G21" s="5">
        <v>-258323</v>
      </c>
      <c r="H21" s="5">
        <f t="shared" si="3"/>
        <v>-7.3037610596324587</v>
      </c>
      <c r="L21" s="10"/>
      <c r="M21" s="9"/>
    </row>
    <row r="22" spans="1:13" x14ac:dyDescent="0.25">
      <c r="A22" s="12"/>
      <c r="B22" s="12" t="s">
        <v>13</v>
      </c>
      <c r="C22" s="40">
        <f t="shared" si="2"/>
        <v>222.57302203528559</v>
      </c>
      <c r="D22" s="43">
        <v>45054</v>
      </c>
      <c r="E22" s="41"/>
      <c r="F22" s="11">
        <v>35943.26</v>
      </c>
      <c r="G22" s="5">
        <v>8000000</v>
      </c>
      <c r="H22" s="5">
        <f t="shared" si="3"/>
        <v>222.57302203528559</v>
      </c>
      <c r="L22" s="10"/>
      <c r="M22" s="9"/>
    </row>
    <row r="23" spans="1:13" x14ac:dyDescent="0.25">
      <c r="A23" s="12"/>
      <c r="B23" s="12" t="s">
        <v>13</v>
      </c>
      <c r="C23" s="40">
        <f t="shared" si="2"/>
        <v>55.62295203243486</v>
      </c>
      <c r="D23" s="43">
        <v>45055</v>
      </c>
      <c r="E23" s="41"/>
      <c r="F23" s="11">
        <v>35956.379999999997</v>
      </c>
      <c r="G23" s="5">
        <v>2000000</v>
      </c>
      <c r="H23" s="5">
        <f t="shared" si="3"/>
        <v>55.62295203243486</v>
      </c>
      <c r="L23" s="10"/>
      <c r="M23" s="9"/>
    </row>
    <row r="24" spans="1:13" x14ac:dyDescent="0.25">
      <c r="A24" s="12"/>
      <c r="B24" s="12" t="s">
        <v>13</v>
      </c>
      <c r="C24" s="40">
        <f>+H24</f>
        <v>201.44852770725475</v>
      </c>
      <c r="D24" s="43">
        <v>45061</v>
      </c>
      <c r="E24" s="41"/>
      <c r="F24" s="11">
        <v>35977.22</v>
      </c>
      <c r="G24" s="5">
        <v>7247558</v>
      </c>
      <c r="H24" s="5">
        <f t="shared" si="3"/>
        <v>201.44852770725475</v>
      </c>
      <c r="L24" s="10"/>
      <c r="M24" s="9"/>
    </row>
    <row r="25" spans="1:13" x14ac:dyDescent="0.25">
      <c r="A25" s="12"/>
      <c r="B25" s="12" t="s">
        <v>13</v>
      </c>
      <c r="C25" s="40">
        <f t="shared" si="2"/>
        <v>221.97650656148681</v>
      </c>
      <c r="D25" s="43">
        <v>45079</v>
      </c>
      <c r="E25" s="41"/>
      <c r="F25" s="11">
        <v>36039.85</v>
      </c>
      <c r="G25" s="5">
        <v>8000000</v>
      </c>
      <c r="H25" s="5">
        <f t="shared" si="3"/>
        <v>221.97650656148681</v>
      </c>
      <c r="L25" s="10"/>
      <c r="M25" s="9"/>
    </row>
    <row r="26" spans="1:13" x14ac:dyDescent="0.25">
      <c r="A26" s="12"/>
      <c r="B26" s="12" t="s">
        <v>13</v>
      </c>
      <c r="C26" s="40">
        <f t="shared" si="2"/>
        <v>166.2368059925044</v>
      </c>
      <c r="D26" s="43">
        <v>45110</v>
      </c>
      <c r="E26" s="41"/>
      <c r="F26" s="11">
        <v>36093.089999999997</v>
      </c>
      <c r="G26" s="5">
        <v>6000000</v>
      </c>
      <c r="H26" s="5">
        <f t="shared" si="3"/>
        <v>166.2368059925044</v>
      </c>
      <c r="L26" s="10"/>
      <c r="M26" s="9"/>
    </row>
    <row r="27" spans="1:13" x14ac:dyDescent="0.25">
      <c r="A27" s="12"/>
      <c r="B27" s="12" t="s">
        <v>13</v>
      </c>
      <c r="C27" s="40">
        <f t="shared" si="2"/>
        <v>221.96289557256162</v>
      </c>
      <c r="D27" s="43">
        <v>45141</v>
      </c>
      <c r="E27" s="41"/>
      <c r="F27" s="11">
        <v>36042.06</v>
      </c>
      <c r="G27" s="5">
        <v>8000000</v>
      </c>
      <c r="H27" s="5">
        <f t="shared" si="3"/>
        <v>221.96289557256162</v>
      </c>
      <c r="L27" s="10"/>
      <c r="M27" s="9"/>
    </row>
    <row r="28" spans="1:13" x14ac:dyDescent="0.25">
      <c r="A28" s="12"/>
      <c r="B28" s="12" t="s">
        <v>13</v>
      </c>
      <c r="C28" s="40">
        <f t="shared" si="2"/>
        <v>55.455058665906563</v>
      </c>
      <c r="D28" s="43">
        <v>45155</v>
      </c>
      <c r="E28" s="41"/>
      <c r="F28" s="11">
        <v>36065.24</v>
      </c>
      <c r="G28" s="5">
        <v>2000000</v>
      </c>
      <c r="H28" s="5">
        <f t="shared" si="3"/>
        <v>55.455058665906563</v>
      </c>
      <c r="L28" s="10"/>
      <c r="M28" s="9"/>
    </row>
    <row r="29" spans="1:13" x14ac:dyDescent="0.25">
      <c r="A29" s="12"/>
      <c r="B29" s="12" t="s">
        <v>13</v>
      </c>
      <c r="C29" s="40">
        <f t="shared" si="2"/>
        <v>221.27822472905862</v>
      </c>
      <c r="D29" s="43">
        <v>45174</v>
      </c>
      <c r="E29" s="41"/>
      <c r="F29" s="11">
        <v>36153.58</v>
      </c>
      <c r="G29" s="5">
        <v>8000000</v>
      </c>
      <c r="H29" s="5">
        <f t="shared" si="3"/>
        <v>221.27822472905862</v>
      </c>
      <c r="L29" s="10"/>
      <c r="M29" s="9"/>
    </row>
    <row r="30" spans="1:13" x14ac:dyDescent="0.25">
      <c r="A30" s="12"/>
      <c r="B30" s="12" t="s">
        <v>13</v>
      </c>
      <c r="C30" s="40">
        <f t="shared" si="2"/>
        <v>27.649094284793964</v>
      </c>
      <c r="D30" s="43">
        <v>45177</v>
      </c>
      <c r="E30" s="41"/>
      <c r="F30" s="11">
        <v>36167.550000000003</v>
      </c>
      <c r="G30" s="5">
        <v>1000000</v>
      </c>
      <c r="H30" s="5">
        <f t="shared" si="3"/>
        <v>27.649094284793964</v>
      </c>
      <c r="L30" s="10"/>
      <c r="M30" s="9"/>
    </row>
    <row r="31" spans="1:13" x14ac:dyDescent="0.25">
      <c r="A31" s="12"/>
      <c r="B31" s="12" t="s">
        <v>13</v>
      </c>
      <c r="C31" s="40">
        <f t="shared" si="2"/>
        <v>248.61095534560513</v>
      </c>
      <c r="D31" s="43">
        <v>45202</v>
      </c>
      <c r="E31" s="41"/>
      <c r="F31" s="11">
        <v>36201.14</v>
      </c>
      <c r="G31" s="5">
        <v>9000000</v>
      </c>
      <c r="H31" s="5">
        <f t="shared" si="3"/>
        <v>248.61095534560513</v>
      </c>
      <c r="L31" s="10"/>
      <c r="M31" s="9"/>
    </row>
    <row r="32" spans="1:13" ht="15.75" thickBot="1" x14ac:dyDescent="0.3">
      <c r="A32" s="49"/>
      <c r="B32" s="49" t="s">
        <v>13</v>
      </c>
      <c r="C32" s="52">
        <f t="shared" si="2"/>
        <v>246.01362259432847</v>
      </c>
      <c r="D32" s="53">
        <v>45264</v>
      </c>
      <c r="E32" s="54"/>
      <c r="F32" s="51">
        <v>36583.339999999997</v>
      </c>
      <c r="G32" s="58">
        <v>9000000</v>
      </c>
      <c r="H32" s="58">
        <f t="shared" si="3"/>
        <v>246.01362259432847</v>
      </c>
      <c r="L32" s="10"/>
      <c r="M32" s="9"/>
    </row>
    <row r="33" spans="1:16" ht="15.75" thickTop="1" x14ac:dyDescent="0.25">
      <c r="A33" s="42"/>
      <c r="B33" s="42" t="s">
        <v>13</v>
      </c>
      <c r="C33" s="47">
        <f t="shared" si="2"/>
        <v>269.52841152891614</v>
      </c>
      <c r="D33" s="44">
        <v>45384</v>
      </c>
      <c r="E33" s="48"/>
      <c r="F33" s="11">
        <v>37101.839999999997</v>
      </c>
      <c r="G33" s="5">
        <v>10000000</v>
      </c>
      <c r="H33" s="5">
        <f t="shared" si="3"/>
        <v>269.52841152891614</v>
      </c>
      <c r="L33" s="10"/>
      <c r="M33" s="9"/>
    </row>
    <row r="34" spans="1:16" x14ac:dyDescent="0.25">
      <c r="A34" s="12"/>
      <c r="B34" s="12" t="s">
        <v>27</v>
      </c>
      <c r="C34" s="40">
        <f t="shared" si="2"/>
        <v>134.18503257207479</v>
      </c>
      <c r="D34" s="44">
        <v>45412</v>
      </c>
      <c r="E34" s="41"/>
      <c r="F34" s="11">
        <v>37261.980000000003</v>
      </c>
      <c r="G34" s="5">
        <v>5000000</v>
      </c>
      <c r="H34" s="5">
        <f t="shared" si="3"/>
        <v>134.18503257207479</v>
      </c>
      <c r="L34" s="10"/>
      <c r="M34" s="9"/>
    </row>
    <row r="35" spans="1:16" x14ac:dyDescent="0.25">
      <c r="A35" s="12"/>
      <c r="B35" s="12" t="s">
        <v>27</v>
      </c>
      <c r="C35" s="40">
        <f t="shared" si="2"/>
        <v>54.728173235064482</v>
      </c>
      <c r="D35" s="44">
        <v>45414</v>
      </c>
      <c r="E35" s="41"/>
      <c r="F35" s="11">
        <v>37271.9</v>
      </c>
      <c r="G35" s="5">
        <v>2039823</v>
      </c>
      <c r="H35" s="5">
        <f t="shared" si="3"/>
        <v>54.728173235064482</v>
      </c>
      <c r="L35" s="10"/>
      <c r="M35" s="9"/>
    </row>
    <row r="36" spans="1:16" x14ac:dyDescent="0.25">
      <c r="A36" s="12"/>
      <c r="B36" s="12" t="s">
        <v>13</v>
      </c>
      <c r="C36" s="40">
        <f t="shared" si="2"/>
        <v>316.47247124649806</v>
      </c>
      <c r="D36" s="44">
        <v>45567</v>
      </c>
      <c r="E36" s="41"/>
      <c r="F36" s="11">
        <v>37917.99</v>
      </c>
      <c r="G36" s="5">
        <v>12000000</v>
      </c>
      <c r="H36" s="5">
        <f t="shared" si="3"/>
        <v>316.47247124649806</v>
      </c>
      <c r="L36" s="10"/>
      <c r="M36" s="9"/>
    </row>
    <row r="37" spans="1:16" x14ac:dyDescent="0.25">
      <c r="A37" s="12"/>
      <c r="B37" s="12" t="s">
        <v>13</v>
      </c>
      <c r="C37" s="40">
        <f t="shared" si="2"/>
        <v>316.03731347214398</v>
      </c>
      <c r="D37" s="45">
        <v>45595</v>
      </c>
      <c r="E37" s="12"/>
      <c r="F37" s="11">
        <v>37970.199999999997</v>
      </c>
      <c r="G37" s="5">
        <v>12000000</v>
      </c>
      <c r="H37" s="5">
        <f t="shared" si="3"/>
        <v>316.03731347214398</v>
      </c>
      <c r="L37" s="10"/>
      <c r="M37" s="9"/>
    </row>
    <row r="38" spans="1:16" ht="15.75" thickBot="1" x14ac:dyDescent="0.3">
      <c r="A38" s="49"/>
      <c r="B38" s="49" t="s">
        <v>13</v>
      </c>
      <c r="C38" s="52">
        <f t="shared" si="2"/>
        <v>313.2226961165606</v>
      </c>
      <c r="D38" s="55">
        <v>45631</v>
      </c>
      <c r="E38" s="49"/>
      <c r="F38" s="51">
        <v>38311.4</v>
      </c>
      <c r="G38" s="58">
        <v>12000000</v>
      </c>
      <c r="H38" s="58">
        <f t="shared" si="3"/>
        <v>313.2226961165606</v>
      </c>
      <c r="L38" s="10"/>
      <c r="M38" s="9"/>
    </row>
    <row r="39" spans="1:16" ht="15.75" thickTop="1" x14ac:dyDescent="0.25">
      <c r="A39" s="42"/>
      <c r="B39" s="42" t="s">
        <v>13</v>
      </c>
      <c r="C39" s="47">
        <f t="shared" si="2"/>
        <v>312.30383415417191</v>
      </c>
      <c r="D39" s="45">
        <v>45660</v>
      </c>
      <c r="E39" s="42"/>
      <c r="F39" s="11">
        <v>38424.120000000003</v>
      </c>
      <c r="G39" s="5">
        <v>12000000</v>
      </c>
      <c r="H39" s="5">
        <f t="shared" si="3"/>
        <v>312.30383415417191</v>
      </c>
      <c r="L39" s="10"/>
      <c r="M39" s="9"/>
    </row>
    <row r="40" spans="1:16" x14ac:dyDescent="0.25">
      <c r="A40" s="12"/>
      <c r="B40" s="12" t="s">
        <v>13</v>
      </c>
      <c r="C40" s="40">
        <f t="shared" si="2"/>
        <v>308.45054239742672</v>
      </c>
      <c r="D40" s="15">
        <v>45749</v>
      </c>
      <c r="E40" s="12"/>
      <c r="F40" s="11">
        <v>38904.129999999997</v>
      </c>
      <c r="G40" s="5">
        <v>12000000</v>
      </c>
      <c r="H40" s="5">
        <f t="shared" si="3"/>
        <v>308.45054239742672</v>
      </c>
      <c r="L40" s="10"/>
      <c r="M40" s="9"/>
    </row>
    <row r="41" spans="1:16" x14ac:dyDescent="0.25">
      <c r="A41" s="12"/>
      <c r="B41" s="12" t="s">
        <v>13</v>
      </c>
      <c r="C41" s="40">
        <f t="shared" si="2"/>
        <v>76.838475791013678</v>
      </c>
      <c r="D41" s="15">
        <v>45772</v>
      </c>
      <c r="E41" s="12"/>
      <c r="F41" s="11">
        <v>39042.94</v>
      </c>
      <c r="G41" s="5">
        <v>3000000</v>
      </c>
      <c r="H41" s="5">
        <f t="shared" si="3"/>
        <v>76.838475791013678</v>
      </c>
      <c r="L41" s="10"/>
      <c r="M41" s="9"/>
    </row>
    <row r="42" spans="1:16" x14ac:dyDescent="0.25">
      <c r="A42" s="12"/>
      <c r="B42" s="12" t="s">
        <v>13</v>
      </c>
      <c r="C42" s="40">
        <f t="shared" si="2"/>
        <v>357.98393674935244</v>
      </c>
      <c r="D42" s="15">
        <v>45782</v>
      </c>
      <c r="E42" s="12"/>
      <c r="F42" s="11">
        <v>39107.9</v>
      </c>
      <c r="G42" s="5">
        <v>14000000</v>
      </c>
      <c r="H42" s="5">
        <f t="shared" si="3"/>
        <v>357.98393674935244</v>
      </c>
      <c r="L42" s="10"/>
      <c r="M42" s="9"/>
    </row>
    <row r="43" spans="1:16" x14ac:dyDescent="0.25">
      <c r="A43" s="12"/>
      <c r="B43" s="12" t="s">
        <v>13</v>
      </c>
      <c r="C43" s="40">
        <f t="shared" si="2"/>
        <v>51.02756764341936</v>
      </c>
      <c r="D43" s="15">
        <v>45810</v>
      </c>
      <c r="E43" s="12"/>
      <c r="F43" s="11">
        <v>39194.5</v>
      </c>
      <c r="G43" s="5">
        <v>2000000</v>
      </c>
      <c r="H43" s="5">
        <f t="shared" si="3"/>
        <v>51.02756764341936</v>
      </c>
      <c r="L43" s="10"/>
      <c r="M43" s="9"/>
    </row>
    <row r="44" spans="1:16" ht="15.75" thickBot="1" x14ac:dyDescent="0.3">
      <c r="A44" s="12"/>
      <c r="B44" s="12" t="s">
        <v>13</v>
      </c>
      <c r="C44" s="40">
        <f t="shared" si="2"/>
        <v>306.14564419804259</v>
      </c>
      <c r="D44" s="15">
        <v>45811</v>
      </c>
      <c r="E44" s="12"/>
      <c r="F44" s="11">
        <v>39197.03</v>
      </c>
      <c r="G44" s="5">
        <v>12000000</v>
      </c>
      <c r="H44" s="5">
        <f t="shared" si="3"/>
        <v>306.14564419804259</v>
      </c>
      <c r="L44" s="10"/>
      <c r="M44" s="61"/>
    </row>
    <row r="45" spans="1:16" x14ac:dyDescent="0.25">
      <c r="A45" s="12"/>
      <c r="B45" s="12" t="s">
        <v>13</v>
      </c>
      <c r="C45" s="40">
        <f t="shared" si="2"/>
        <v>433.30770020918573</v>
      </c>
      <c r="D45" s="15">
        <v>45825</v>
      </c>
      <c r="E45" s="12"/>
      <c r="F45" s="11">
        <v>39233.089999999997</v>
      </c>
      <c r="G45" s="5">
        <v>17000000</v>
      </c>
      <c r="H45" s="5">
        <f t="shared" si="3"/>
        <v>433.30770020918573</v>
      </c>
      <c r="L45" s="62" t="s">
        <v>79</v>
      </c>
      <c r="M45" s="63"/>
      <c r="P45" t="s">
        <v>83</v>
      </c>
    </row>
    <row r="46" spans="1:16" x14ac:dyDescent="0.25">
      <c r="A46" s="12"/>
      <c r="B46" s="12" t="s">
        <v>13</v>
      </c>
      <c r="C46" s="40">
        <f t="shared" si="2"/>
        <v>178.25452658271556</v>
      </c>
      <c r="D46" s="15">
        <v>45839</v>
      </c>
      <c r="E46" s="12"/>
      <c r="F46" s="11">
        <v>39269.69</v>
      </c>
      <c r="G46" s="5">
        <v>7000000</v>
      </c>
      <c r="H46" s="5">
        <f t="shared" si="3"/>
        <v>178.25452658271556</v>
      </c>
      <c r="L46" s="64" t="s">
        <v>80</v>
      </c>
      <c r="M46" s="65">
        <v>123912532</v>
      </c>
    </row>
    <row r="47" spans="1:16" x14ac:dyDescent="0.25">
      <c r="A47" s="12"/>
      <c r="B47" s="12" t="s">
        <v>13</v>
      </c>
      <c r="C47" s="40">
        <f t="shared" si="2"/>
        <v>127.3161999679163</v>
      </c>
      <c r="D47" s="15">
        <v>45840</v>
      </c>
      <c r="E47" s="12"/>
      <c r="F47" s="11">
        <v>39272.300000000003</v>
      </c>
      <c r="G47" s="5">
        <v>5000000</v>
      </c>
      <c r="H47" s="5">
        <f t="shared" si="3"/>
        <v>127.3161999679163</v>
      </c>
      <c r="L47" s="64" t="s">
        <v>81</v>
      </c>
      <c r="M47" s="65">
        <f>-SUM(G39:G47)</f>
        <v>-84000000</v>
      </c>
    </row>
    <row r="48" spans="1:16" ht="15.75" thickBot="1" x14ac:dyDescent="0.3">
      <c r="A48" s="12"/>
      <c r="B48" s="12"/>
      <c r="C48" s="40"/>
      <c r="D48" s="15"/>
      <c r="E48" s="12"/>
      <c r="F48" s="11"/>
      <c r="G48" s="5"/>
      <c r="H48" s="5"/>
      <c r="L48" s="66" t="s">
        <v>82</v>
      </c>
      <c r="M48" s="67">
        <f>+M47+M46</f>
        <v>39912532</v>
      </c>
    </row>
    <row r="49" spans="1:19" x14ac:dyDescent="0.25">
      <c r="A49" s="12"/>
      <c r="B49" s="12"/>
      <c r="C49" s="46"/>
      <c r="D49" s="12"/>
      <c r="E49" s="12"/>
      <c r="G49" s="5"/>
      <c r="H49" s="5"/>
      <c r="M49" s="61"/>
    </row>
    <row r="50" spans="1:19" ht="15.75" thickBot="1" x14ac:dyDescent="0.3">
      <c r="A50" s="32"/>
      <c r="B50" s="32" t="s">
        <v>78</v>
      </c>
      <c r="C50" s="33">
        <f>+SUM(C4:C49)</f>
        <v>-1515.4010492999896</v>
      </c>
      <c r="D50" s="32"/>
      <c r="E50" s="32"/>
      <c r="F50" s="29"/>
      <c r="G50" s="59">
        <f>+SUM(G4:G49)</f>
        <v>-12091132.998860002</v>
      </c>
      <c r="H50" s="29"/>
      <c r="M50" s="61"/>
    </row>
    <row r="51" spans="1:19" ht="15.75" thickTop="1" x14ac:dyDescent="0.25">
      <c r="L51" s="10"/>
      <c r="M51" s="9"/>
    </row>
    <row r="52" spans="1:19" x14ac:dyDescent="0.25">
      <c r="C52" s="8"/>
      <c r="F52" s="11"/>
      <c r="G52" s="6"/>
      <c r="H52" s="8"/>
      <c r="L52" s="10"/>
      <c r="M52" s="60"/>
    </row>
    <row r="53" spans="1:19" x14ac:dyDescent="0.25">
      <c r="K53" s="4"/>
    </row>
    <row r="54" spans="1:19" x14ac:dyDescent="0.25">
      <c r="A54" s="38">
        <v>2</v>
      </c>
      <c r="B54" s="38" t="s">
        <v>3</v>
      </c>
      <c r="C54" s="38" t="s">
        <v>25</v>
      </c>
      <c r="D54" s="38" t="s">
        <v>8</v>
      </c>
      <c r="E54" s="38" t="s">
        <v>5</v>
      </c>
    </row>
    <row r="55" spans="1:19" x14ac:dyDescent="0.25">
      <c r="A55" s="12"/>
      <c r="B55" s="12" t="s">
        <v>9</v>
      </c>
      <c r="C55" s="12">
        <v>1084</v>
      </c>
      <c r="D55" s="12" t="s">
        <v>6</v>
      </c>
      <c r="E55" s="12" t="s">
        <v>4</v>
      </c>
    </row>
    <row r="58" spans="1:19" x14ac:dyDescent="0.25">
      <c r="C58" s="5"/>
      <c r="G58" s="3"/>
    </row>
    <row r="60" spans="1:19" x14ac:dyDescent="0.25">
      <c r="A60" s="38">
        <v>3</v>
      </c>
      <c r="B60" s="38" t="s">
        <v>1</v>
      </c>
      <c r="C60" s="38" t="s">
        <v>26</v>
      </c>
      <c r="D60" s="38" t="s">
        <v>8</v>
      </c>
      <c r="E60" s="38" t="s">
        <v>5</v>
      </c>
      <c r="S60" s="60"/>
    </row>
    <row r="61" spans="1:19" x14ac:dyDescent="0.25">
      <c r="A61" s="12"/>
      <c r="B61" s="12" t="s">
        <v>9</v>
      </c>
      <c r="C61" s="40">
        <v>497.58030000000002</v>
      </c>
      <c r="D61" s="12" t="s">
        <v>7</v>
      </c>
      <c r="E61" s="12"/>
      <c r="K61" s="68"/>
      <c r="L61" s="68"/>
      <c r="M61" s="68"/>
      <c r="N61" s="68"/>
      <c r="O61" s="68"/>
      <c r="P61" s="68"/>
    </row>
    <row r="62" spans="1:19" x14ac:dyDescent="0.25">
      <c r="A62" s="12"/>
      <c r="B62" s="12" t="s">
        <v>27</v>
      </c>
      <c r="C62" s="40">
        <v>160.10913038326925</v>
      </c>
      <c r="D62" s="12" t="s">
        <v>41</v>
      </c>
      <c r="E62" s="12"/>
      <c r="K62" s="68"/>
      <c r="L62" s="68"/>
      <c r="M62" s="68"/>
      <c r="N62" s="68"/>
      <c r="O62" s="68"/>
      <c r="P62" s="68"/>
    </row>
    <row r="63" spans="1:19" x14ac:dyDescent="0.25">
      <c r="A63" s="12"/>
      <c r="B63" s="12" t="s">
        <v>49</v>
      </c>
      <c r="C63" s="40">
        <v>-127.530646411399</v>
      </c>
      <c r="D63" s="12" t="s">
        <v>61</v>
      </c>
      <c r="E63" s="12"/>
      <c r="I63" s="7"/>
    </row>
    <row r="64" spans="1:19" x14ac:dyDescent="0.25">
      <c r="A64" s="12"/>
      <c r="B64" s="12" t="s">
        <v>9</v>
      </c>
      <c r="C64" s="40">
        <v>637.3815346745115</v>
      </c>
      <c r="D64" s="12" t="s">
        <v>42</v>
      </c>
      <c r="E64" s="12"/>
    </row>
    <row r="65" spans="1:8" x14ac:dyDescent="0.25">
      <c r="A65" s="12"/>
      <c r="B65" s="12" t="s">
        <v>43</v>
      </c>
      <c r="C65" s="40">
        <v>-7.8764965343415252</v>
      </c>
      <c r="D65" s="12" t="s">
        <v>44</v>
      </c>
      <c r="E65" s="12"/>
    </row>
    <row r="66" spans="1:8" x14ac:dyDescent="0.25">
      <c r="A66" s="12"/>
      <c r="B66" s="12" t="s">
        <v>43</v>
      </c>
      <c r="C66" s="40">
        <v>-157.49946292683143</v>
      </c>
      <c r="D66" s="12" t="s">
        <v>45</v>
      </c>
      <c r="E66" s="12"/>
    </row>
    <row r="67" spans="1:8" x14ac:dyDescent="0.25">
      <c r="A67" s="12"/>
      <c r="B67" s="12" t="s">
        <v>43</v>
      </c>
      <c r="C67" s="40">
        <v>-157.49946292683143</v>
      </c>
      <c r="D67" s="12" t="s">
        <v>45</v>
      </c>
      <c r="E67" s="12"/>
    </row>
    <row r="68" spans="1:8" x14ac:dyDescent="0.25">
      <c r="A68" s="12"/>
      <c r="B68" s="12" t="s">
        <v>43</v>
      </c>
      <c r="C68" s="40">
        <v>-157.46905654304402</v>
      </c>
      <c r="D68" s="12" t="s">
        <v>46</v>
      </c>
      <c r="E68" s="12"/>
    </row>
    <row r="69" spans="1:8" x14ac:dyDescent="0.25">
      <c r="A69" s="12"/>
      <c r="B69" s="12" t="s">
        <v>43</v>
      </c>
      <c r="C69" s="40">
        <v>-157.157733244864</v>
      </c>
      <c r="D69" s="12" t="s">
        <v>47</v>
      </c>
      <c r="E69" s="12"/>
    </row>
    <row r="70" spans="1:8" x14ac:dyDescent="0.25">
      <c r="A70" s="12"/>
      <c r="B70" s="12" t="s">
        <v>43</v>
      </c>
      <c r="C70" s="40">
        <v>-4.3498397756859601</v>
      </c>
      <c r="D70" s="12" t="s">
        <v>48</v>
      </c>
      <c r="E70" s="12"/>
    </row>
    <row r="71" spans="1:8" x14ac:dyDescent="0.25">
      <c r="A71" s="12"/>
      <c r="B71" s="12" t="s">
        <v>49</v>
      </c>
      <c r="C71" s="40">
        <v>-123.17167051578137</v>
      </c>
      <c r="D71" s="12" t="s">
        <v>10</v>
      </c>
      <c r="E71" s="12"/>
    </row>
    <row r="72" spans="1:8" x14ac:dyDescent="0.25">
      <c r="A72" s="12"/>
      <c r="B72" s="12" t="s">
        <v>49</v>
      </c>
      <c r="C72" s="40">
        <v>-37.794403283819641</v>
      </c>
      <c r="D72" s="12" t="s">
        <v>14</v>
      </c>
      <c r="E72" s="12"/>
    </row>
    <row r="73" spans="1:8" x14ac:dyDescent="0.25">
      <c r="A73" s="12"/>
      <c r="B73" s="12" t="s">
        <v>49</v>
      </c>
      <c r="C73" s="40">
        <v>-14.97</v>
      </c>
      <c r="D73" s="12" t="s">
        <v>15</v>
      </c>
      <c r="E73" s="12"/>
    </row>
    <row r="74" spans="1:8" x14ac:dyDescent="0.25">
      <c r="A74" s="12"/>
      <c r="B74" s="12" t="s">
        <v>49</v>
      </c>
      <c r="C74" s="40">
        <v>-22.145</v>
      </c>
      <c r="D74" s="12" t="s">
        <v>16</v>
      </c>
      <c r="E74" s="12"/>
    </row>
    <row r="75" spans="1:8" x14ac:dyDescent="0.25">
      <c r="A75" s="12"/>
      <c r="B75" s="12" t="s">
        <v>49</v>
      </c>
      <c r="C75" s="40">
        <v>-15.664999999999999</v>
      </c>
      <c r="D75" s="12" t="s">
        <v>17</v>
      </c>
      <c r="E75" s="12"/>
    </row>
    <row r="76" spans="1:8" x14ac:dyDescent="0.25">
      <c r="A76" s="12"/>
      <c r="B76" s="12" t="s">
        <v>49</v>
      </c>
      <c r="C76" s="40">
        <v>-37.177496832941991</v>
      </c>
      <c r="D76" s="15" t="s">
        <v>58</v>
      </c>
      <c r="E76" s="12"/>
    </row>
    <row r="77" spans="1:8" x14ac:dyDescent="0.25">
      <c r="A77" s="12"/>
      <c r="B77" s="12" t="s">
        <v>49</v>
      </c>
      <c r="C77" s="40">
        <v>-35.174434609196737</v>
      </c>
      <c r="D77" s="15" t="s">
        <v>59</v>
      </c>
      <c r="E77" s="12"/>
    </row>
    <row r="78" spans="1:8" x14ac:dyDescent="0.25">
      <c r="A78" s="12"/>
      <c r="B78" s="12" t="s">
        <v>49</v>
      </c>
      <c r="C78" s="40">
        <v>-127.5306464113992</v>
      </c>
      <c r="D78" s="15" t="s">
        <v>60</v>
      </c>
      <c r="E78" s="12"/>
    </row>
    <row r="79" spans="1:8" x14ac:dyDescent="0.25">
      <c r="A79" s="12"/>
      <c r="B79" s="12" t="s">
        <v>18</v>
      </c>
      <c r="C79" s="40">
        <v>353.93</v>
      </c>
      <c r="D79" s="12" t="s">
        <v>19</v>
      </c>
      <c r="E79" s="12"/>
      <c r="H79" t="s">
        <v>77</v>
      </c>
    </row>
    <row r="80" spans="1:8" x14ac:dyDescent="0.25">
      <c r="A80" s="12"/>
      <c r="B80" s="12" t="s">
        <v>63</v>
      </c>
      <c r="C80" s="40">
        <v>174.67860540317179</v>
      </c>
      <c r="D80" s="15" t="s">
        <v>62</v>
      </c>
      <c r="E80" s="12"/>
    </row>
    <row r="92" spans="1:7" x14ac:dyDescent="0.25">
      <c r="A92" s="28"/>
      <c r="B92" t="s">
        <v>54</v>
      </c>
      <c r="E92" s="10">
        <v>640.66822044481614</v>
      </c>
      <c r="F92" s="10"/>
      <c r="G92" s="10">
        <f>+SUM(C61:C80)</f>
        <v>640.66822044481637</v>
      </c>
    </row>
    <row r="93" spans="1:7" ht="15.75" thickBot="1" x14ac:dyDescent="0.3">
      <c r="A93" s="29"/>
      <c r="E93" s="10"/>
      <c r="F93" s="10"/>
      <c r="G93" s="10"/>
    </row>
    <row r="94" spans="1:7" ht="15.75" thickTop="1" x14ac:dyDescent="0.25">
      <c r="B94" t="s">
        <v>55</v>
      </c>
      <c r="E94" s="10">
        <v>541.15929806453812</v>
      </c>
      <c r="F94" s="10"/>
      <c r="G94" s="10">
        <f>+C63+C71+C72+C73+C74+C75+C76+C77+C78</f>
        <v>-541.15929806453801</v>
      </c>
    </row>
    <row r="95" spans="1:7" x14ac:dyDescent="0.25">
      <c r="B95" t="s">
        <v>56</v>
      </c>
      <c r="E95" s="10">
        <v>256.89979970882672</v>
      </c>
      <c r="F95" s="10"/>
      <c r="G95" s="10"/>
    </row>
    <row r="96" spans="1:7" x14ac:dyDescent="0.25">
      <c r="B96" t="s">
        <v>57</v>
      </c>
      <c r="E96" s="10">
        <f>+E95+E94</f>
        <v>798.05909777336478</v>
      </c>
      <c r="F96" s="10"/>
      <c r="G96" s="10">
        <v>28020637.020738658</v>
      </c>
    </row>
    <row r="97" spans="2:9" x14ac:dyDescent="0.25">
      <c r="B97" t="s">
        <v>65</v>
      </c>
      <c r="E97" s="10"/>
      <c r="F97" s="10"/>
      <c r="G97" s="10">
        <v>-6133137.0207386576</v>
      </c>
    </row>
    <row r="98" spans="2:9" x14ac:dyDescent="0.25">
      <c r="B98" t="s">
        <v>66</v>
      </c>
      <c r="E98" s="10"/>
      <c r="F98" s="10"/>
      <c r="G98" s="10">
        <v>21887500</v>
      </c>
    </row>
    <row r="99" spans="2:9" x14ac:dyDescent="0.25">
      <c r="I99" s="28"/>
    </row>
    <row r="100" spans="2:9" ht="15.75" thickBot="1" x14ac:dyDescent="0.3">
      <c r="I100" s="29"/>
    </row>
    <row r="101" spans="2:9" ht="15.75" thickTop="1" x14ac:dyDescent="0.25">
      <c r="B101" s="34" t="s">
        <v>64</v>
      </c>
      <c r="C101" s="35">
        <v>22494489.074673533</v>
      </c>
      <c r="D101" s="30">
        <v>640.66822044481614</v>
      </c>
      <c r="E101" s="28"/>
      <c r="F101" s="28"/>
      <c r="G101" s="28"/>
      <c r="H101" s="28"/>
    </row>
    <row r="102" spans="2:9" ht="15.75" thickBot="1" x14ac:dyDescent="0.3">
      <c r="B102" s="36" t="s">
        <v>76</v>
      </c>
      <c r="C102" s="37">
        <v>21887500</v>
      </c>
      <c r="D102" s="31"/>
      <c r="E102" s="29"/>
      <c r="F102" s="29"/>
      <c r="G102" s="29"/>
      <c r="H102" s="29"/>
    </row>
    <row r="103" spans="2:9" ht="15.75" thickTop="1" x14ac:dyDescent="0.25"/>
    <row r="106" spans="2:9" x14ac:dyDescent="0.25">
      <c r="B106" t="s">
        <v>12</v>
      </c>
      <c r="C106" s="4">
        <f>+C52/4</f>
        <v>0</v>
      </c>
      <c r="D106" t="s">
        <v>28</v>
      </c>
      <c r="E106" t="s">
        <v>11</v>
      </c>
    </row>
  </sheetData>
  <mergeCells count="1">
    <mergeCell ref="K61:P62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C676-3335-4A24-AC11-13C2B32B44F0}">
  <dimension ref="A1:T40"/>
  <sheetViews>
    <sheetView workbookViewId="0">
      <selection activeCell="B38" sqref="B38"/>
    </sheetView>
  </sheetViews>
  <sheetFormatPr defaultRowHeight="15" x14ac:dyDescent="0.25"/>
  <cols>
    <col min="1" max="1" width="32.140625" customWidth="1"/>
    <col min="2" max="2" width="20.85546875" customWidth="1"/>
    <col min="3" max="4" width="19.7109375" customWidth="1"/>
    <col min="6" max="6" width="15.28515625" bestFit="1" customWidth="1"/>
    <col min="7" max="7" width="10" bestFit="1" customWidth="1"/>
    <col min="10" max="10" width="16.28515625" bestFit="1" customWidth="1"/>
    <col min="11" max="11" width="15.28515625" bestFit="1" customWidth="1"/>
    <col min="12" max="12" width="11.5703125" bestFit="1" customWidth="1"/>
    <col min="14" max="14" width="12.5703125" bestFit="1" customWidth="1"/>
    <col min="15" max="15" width="23.85546875" customWidth="1"/>
    <col min="16" max="16" width="16.7109375" customWidth="1"/>
  </cols>
  <sheetData>
    <row r="1" spans="1:19" x14ac:dyDescent="0.25">
      <c r="A1" s="2" t="s">
        <v>67</v>
      </c>
      <c r="G1" t="s">
        <v>25</v>
      </c>
    </row>
    <row r="2" spans="1:19" x14ac:dyDescent="0.25">
      <c r="A2" t="s">
        <v>7</v>
      </c>
      <c r="B2" t="s">
        <v>9</v>
      </c>
      <c r="C2" s="8">
        <v>497.58030000000002</v>
      </c>
    </row>
    <row r="3" spans="1:19" x14ac:dyDescent="0.25">
      <c r="A3" t="s">
        <v>41</v>
      </c>
      <c r="B3" t="s">
        <v>27</v>
      </c>
      <c r="C3" s="8">
        <f>5000000/G3</f>
        <v>160.10913038326925</v>
      </c>
      <c r="G3" s="11">
        <v>31228.7</v>
      </c>
    </row>
    <row r="4" spans="1:19" ht="15.75" thickBot="1" x14ac:dyDescent="0.3">
      <c r="A4" t="s">
        <v>61</v>
      </c>
      <c r="B4" t="s">
        <v>49</v>
      </c>
      <c r="C4" s="8"/>
      <c r="D4" s="22">
        <f>+S6</f>
        <v>127.5306464113992</v>
      </c>
      <c r="G4" s="11"/>
    </row>
    <row r="5" spans="1:19" ht="15.75" thickBot="1" x14ac:dyDescent="0.3">
      <c r="A5" t="s">
        <v>42</v>
      </c>
      <c r="B5" t="s">
        <v>9</v>
      </c>
      <c r="C5" s="8">
        <f>20000000/G5</f>
        <v>637.3815346745115</v>
      </c>
      <c r="G5" s="19">
        <v>31378.38</v>
      </c>
    </row>
    <row r="6" spans="1:19" x14ac:dyDescent="0.25">
      <c r="A6" t="s">
        <v>44</v>
      </c>
      <c r="B6" t="s">
        <v>43</v>
      </c>
      <c r="D6" s="18">
        <f>250000/G6</f>
        <v>7.8764965343415252</v>
      </c>
      <c r="G6" s="11">
        <v>31740</v>
      </c>
      <c r="M6" s="12" t="s">
        <v>29</v>
      </c>
      <c r="N6" s="14">
        <v>8000000</v>
      </c>
      <c r="O6" s="12" t="s">
        <v>30</v>
      </c>
      <c r="P6" s="15" t="s">
        <v>31</v>
      </c>
      <c r="Q6" s="11">
        <v>31365.01</v>
      </c>
      <c r="R6">
        <f>+N6/Q6</f>
        <v>255.06129282279841</v>
      </c>
      <c r="S6">
        <f>+R6/2</f>
        <v>127.5306464113992</v>
      </c>
    </row>
    <row r="7" spans="1:19" x14ac:dyDescent="0.25">
      <c r="A7" t="s">
        <v>45</v>
      </c>
      <c r="B7" t="s">
        <v>43</v>
      </c>
      <c r="D7" s="18">
        <f>5000000/G7</f>
        <v>157.49946292683143</v>
      </c>
      <c r="G7" s="11">
        <v>31746.14</v>
      </c>
    </row>
    <row r="8" spans="1:19" x14ac:dyDescent="0.25">
      <c r="A8" t="s">
        <v>45</v>
      </c>
      <c r="B8" t="s">
        <v>43</v>
      </c>
      <c r="D8" s="18">
        <f>5000000/G8</f>
        <v>157.49946292683143</v>
      </c>
      <c r="G8" s="11">
        <v>31746.14</v>
      </c>
    </row>
    <row r="9" spans="1:19" x14ac:dyDescent="0.25">
      <c r="A9" t="s">
        <v>46</v>
      </c>
      <c r="B9" t="s">
        <v>43</v>
      </c>
      <c r="D9" s="18">
        <f>5000000/G9</f>
        <v>157.46905654304402</v>
      </c>
      <c r="G9" s="11">
        <v>31752.27</v>
      </c>
    </row>
    <row r="10" spans="1:19" x14ac:dyDescent="0.25">
      <c r="A10" t="s">
        <v>47</v>
      </c>
      <c r="B10" t="s">
        <v>43</v>
      </c>
      <c r="D10" s="18">
        <f>5000000/G10</f>
        <v>157.157733244864</v>
      </c>
      <c r="G10" s="11">
        <v>31815.17</v>
      </c>
    </row>
    <row r="11" spans="1:19" x14ac:dyDescent="0.25">
      <c r="A11" t="s">
        <v>48</v>
      </c>
      <c r="B11" t="s">
        <v>43</v>
      </c>
      <c r="D11" s="18">
        <f>139000/G11</f>
        <v>4.3498397756859601</v>
      </c>
      <c r="G11" s="11">
        <v>31955.200000000001</v>
      </c>
    </row>
    <row r="12" spans="1:19" x14ac:dyDescent="0.25">
      <c r="A12" t="s">
        <v>10</v>
      </c>
      <c r="B12" t="s">
        <v>49</v>
      </c>
      <c r="D12" s="18">
        <v>123.17167051578137</v>
      </c>
      <c r="M12" s="12" t="s">
        <v>33</v>
      </c>
      <c r="N12" s="13">
        <v>8000000</v>
      </c>
      <c r="O12" s="12" t="s">
        <v>32</v>
      </c>
      <c r="P12" s="15" t="s">
        <v>34</v>
      </c>
      <c r="Q12" s="11">
        <v>32475</v>
      </c>
      <c r="R12">
        <f t="shared" ref="R12:R18" si="0">+N12/Q12</f>
        <v>246.34334103156274</v>
      </c>
      <c r="S12">
        <f t="shared" ref="S12:S18" si="1">+R12/2</f>
        <v>123.17167051578137</v>
      </c>
    </row>
    <row r="13" spans="1:19" x14ac:dyDescent="0.25">
      <c r="A13" t="s">
        <v>14</v>
      </c>
      <c r="B13" t="s">
        <v>49</v>
      </c>
      <c r="D13" s="20">
        <v>37.794403283819641</v>
      </c>
      <c r="M13" s="12" t="s">
        <v>36</v>
      </c>
      <c r="N13" s="14">
        <v>2500000</v>
      </c>
      <c r="O13" s="12" t="s">
        <v>35</v>
      </c>
      <c r="P13" s="15" t="s">
        <v>37</v>
      </c>
      <c r="Q13" s="11">
        <v>33073.68</v>
      </c>
      <c r="R13">
        <f t="shared" si="0"/>
        <v>75.588806567639281</v>
      </c>
      <c r="S13">
        <f t="shared" si="1"/>
        <v>37.794403283819641</v>
      </c>
    </row>
    <row r="14" spans="1:19" x14ac:dyDescent="0.25">
      <c r="A14" t="s">
        <v>15</v>
      </c>
      <c r="B14" t="s">
        <v>49</v>
      </c>
      <c r="D14" s="18">
        <v>14.97</v>
      </c>
      <c r="M14" s="12" t="s">
        <v>36</v>
      </c>
      <c r="N14" s="16">
        <v>1000000</v>
      </c>
      <c r="O14" s="12" t="s">
        <v>35</v>
      </c>
      <c r="P14" s="15" t="s">
        <v>39</v>
      </c>
      <c r="Q14" s="11">
        <v>33397.949999999997</v>
      </c>
      <c r="R14">
        <f t="shared" si="0"/>
        <v>29.941957515356485</v>
      </c>
      <c r="S14">
        <f t="shared" si="1"/>
        <v>14.970978757678242</v>
      </c>
    </row>
    <row r="15" spans="1:19" x14ac:dyDescent="0.25">
      <c r="A15" t="s">
        <v>16</v>
      </c>
      <c r="B15" t="s">
        <v>49</v>
      </c>
      <c r="D15" s="18">
        <v>22.145</v>
      </c>
      <c r="M15" s="12" t="s">
        <v>40</v>
      </c>
      <c r="N15" s="14">
        <v>1500000</v>
      </c>
      <c r="O15" s="12" t="s">
        <v>35</v>
      </c>
      <c r="P15" s="15" t="s">
        <v>51</v>
      </c>
      <c r="Q15" s="11">
        <v>33912.47</v>
      </c>
      <c r="R15">
        <f t="shared" si="0"/>
        <v>44.231517197066445</v>
      </c>
      <c r="S15">
        <f t="shared" si="1"/>
        <v>22.115758598533223</v>
      </c>
    </row>
    <row r="16" spans="1:19" x14ac:dyDescent="0.25">
      <c r="A16" t="s">
        <v>17</v>
      </c>
      <c r="B16" t="s">
        <v>49</v>
      </c>
      <c r="D16" s="18">
        <v>15.664999999999999</v>
      </c>
      <c r="M16" s="12" t="s">
        <v>40</v>
      </c>
      <c r="N16" s="14">
        <v>1075000</v>
      </c>
      <c r="O16" s="12" t="s">
        <v>35</v>
      </c>
      <c r="P16" s="15">
        <v>44691</v>
      </c>
      <c r="Q16" s="11">
        <v>34312.76</v>
      </c>
      <c r="R16">
        <f t="shared" si="0"/>
        <v>31.329452949864713</v>
      </c>
      <c r="S16">
        <f t="shared" si="1"/>
        <v>15.664726474932356</v>
      </c>
    </row>
    <row r="17" spans="1:20" x14ac:dyDescent="0.25">
      <c r="A17" s="9" t="s">
        <v>58</v>
      </c>
      <c r="B17" t="s">
        <v>49</v>
      </c>
      <c r="D17" s="18">
        <v>37.177496832941991</v>
      </c>
      <c r="I17" s="21"/>
      <c r="M17" s="12" t="s">
        <v>33</v>
      </c>
      <c r="N17" s="13">
        <v>2400000</v>
      </c>
      <c r="O17" s="12" t="s">
        <v>32</v>
      </c>
      <c r="P17" s="15">
        <v>44656</v>
      </c>
      <c r="Q17" s="11">
        <v>32277.59</v>
      </c>
      <c r="R17">
        <f t="shared" si="0"/>
        <v>74.354993665883981</v>
      </c>
      <c r="S17">
        <f t="shared" si="1"/>
        <v>37.177496832941991</v>
      </c>
    </row>
    <row r="18" spans="1:20" x14ac:dyDescent="0.25">
      <c r="A18" s="9" t="s">
        <v>59</v>
      </c>
      <c r="B18" t="s">
        <v>49</v>
      </c>
      <c r="D18" s="18">
        <v>35.174434609196737</v>
      </c>
      <c r="M18" s="12" t="s">
        <v>33</v>
      </c>
      <c r="N18" s="16">
        <v>2300000</v>
      </c>
      <c r="O18" s="12" t="s">
        <v>35</v>
      </c>
      <c r="P18" s="15">
        <v>44567</v>
      </c>
      <c r="Q18" s="11">
        <v>32694.2</v>
      </c>
      <c r="R18">
        <f t="shared" si="0"/>
        <v>70.348869218393475</v>
      </c>
      <c r="S18">
        <f t="shared" si="1"/>
        <v>35.174434609196737</v>
      </c>
    </row>
    <row r="19" spans="1:20" x14ac:dyDescent="0.25">
      <c r="A19" s="9" t="s">
        <v>60</v>
      </c>
      <c r="B19" t="s">
        <v>49</v>
      </c>
      <c r="D19" s="18">
        <v>127.5306464113992</v>
      </c>
    </row>
    <row r="20" spans="1:20" x14ac:dyDescent="0.25">
      <c r="A20" t="s">
        <v>19</v>
      </c>
      <c r="B20" t="s">
        <v>18</v>
      </c>
      <c r="C20">
        <v>353.93</v>
      </c>
    </row>
    <row r="21" spans="1:20" x14ac:dyDescent="0.25">
      <c r="A21" s="23" t="s">
        <v>62</v>
      </c>
      <c r="B21" s="25" t="s">
        <v>63</v>
      </c>
      <c r="C21">
        <f>+Q31</f>
        <v>174.67860540317179</v>
      </c>
      <c r="G21" s="11">
        <v>35110.980000000003</v>
      </c>
    </row>
    <row r="23" spans="1:20" x14ac:dyDescent="0.25">
      <c r="A23" t="s">
        <v>52</v>
      </c>
      <c r="C23">
        <f>+SUM(C2:C21)</f>
        <v>1823.6795704609526</v>
      </c>
      <c r="D23">
        <f>+SUM(D2:D21)</f>
        <v>1183.0113500161365</v>
      </c>
    </row>
    <row r="24" spans="1:20" x14ac:dyDescent="0.25">
      <c r="A24" t="s">
        <v>54</v>
      </c>
      <c r="D24" s="18">
        <f>+C23-D23</f>
        <v>640.66822044481614</v>
      </c>
      <c r="F24" s="27">
        <f>+D24*35110.98</f>
        <v>22494489.074673533</v>
      </c>
    </row>
    <row r="26" spans="1:20" x14ac:dyDescent="0.25">
      <c r="A26" t="s">
        <v>55</v>
      </c>
      <c r="D26" s="18">
        <f>+D12+D13+D14+D15+D16+D17+D18+D19+D4</f>
        <v>541.15929806453812</v>
      </c>
      <c r="F26" s="27">
        <f>+D26*35110.98</f>
        <v>19000633.291158039</v>
      </c>
    </row>
    <row r="27" spans="1:20" x14ac:dyDescent="0.25">
      <c r="A27" t="s">
        <v>56</v>
      </c>
      <c r="D27">
        <f>+S27</f>
        <v>256.89979970882672</v>
      </c>
      <c r="M27" s="12" t="s">
        <v>36</v>
      </c>
      <c r="N27" s="14">
        <v>17000000</v>
      </c>
      <c r="O27" s="17" t="s">
        <v>35</v>
      </c>
      <c r="P27" s="15" t="s">
        <v>38</v>
      </c>
      <c r="Q27" s="11">
        <v>33086.83</v>
      </c>
      <c r="R27">
        <f>+N27/Q27</f>
        <v>513.79959941765344</v>
      </c>
      <c r="S27">
        <f>+R27/2</f>
        <v>256.89979970882672</v>
      </c>
      <c r="T27" t="s">
        <v>50</v>
      </c>
    </row>
    <row r="28" spans="1:20" x14ac:dyDescent="0.25">
      <c r="A28" t="s">
        <v>57</v>
      </c>
      <c r="D28" s="18">
        <f>+D27+D26</f>
        <v>798.05909777336478</v>
      </c>
      <c r="F28" s="27">
        <f>+D28*35110.98</f>
        <v>28020637.020738658</v>
      </c>
    </row>
    <row r="29" spans="1:20" x14ac:dyDescent="0.25">
      <c r="A29" t="s">
        <v>65</v>
      </c>
      <c r="F29" s="5">
        <f>+-P31</f>
        <v>-6133137.0207386576</v>
      </c>
      <c r="K29" s="5"/>
    </row>
    <row r="30" spans="1:20" x14ac:dyDescent="0.25">
      <c r="A30" t="s">
        <v>66</v>
      </c>
      <c r="F30" s="5">
        <f>+F29+F28</f>
        <v>21887500</v>
      </c>
    </row>
    <row r="31" spans="1:20" x14ac:dyDescent="0.25">
      <c r="N31" s="24">
        <f>+SUM(N6:N27)</f>
        <v>43775000</v>
      </c>
      <c r="O31" s="4">
        <f>+N31/2</f>
        <v>21887500</v>
      </c>
      <c r="P31" s="5">
        <f>+F28-O31</f>
        <v>6133137.0207386576</v>
      </c>
      <c r="Q31">
        <f>+P31/G21</f>
        <v>174.67860540317179</v>
      </c>
    </row>
    <row r="32" spans="1:20" x14ac:dyDescent="0.25">
      <c r="I32" t="s">
        <v>70</v>
      </c>
      <c r="J32" s="6">
        <f>1084*G21</f>
        <v>38060302.32</v>
      </c>
      <c r="K32" s="6">
        <f>+J32+J33</f>
        <v>60554791.394673534</v>
      </c>
    </row>
    <row r="33" spans="1:13" x14ac:dyDescent="0.25">
      <c r="A33" s="1" t="s">
        <v>64</v>
      </c>
      <c r="B33" s="6">
        <f>+C33*G21</f>
        <v>22494489.074673533</v>
      </c>
      <c r="C33" s="18">
        <f>+D24</f>
        <v>640.66822044481614</v>
      </c>
      <c r="I33" t="s">
        <v>69</v>
      </c>
      <c r="J33" s="6">
        <f>+B33</f>
        <v>22494489.074673533</v>
      </c>
      <c r="K33" s="6"/>
      <c r="L33" s="24">
        <f>+K34-K32</f>
        <v>-122911008.07168105</v>
      </c>
    </row>
    <row r="34" spans="1:13" x14ac:dyDescent="0.25">
      <c r="A34" s="26" t="s">
        <v>53</v>
      </c>
      <c r="B34" s="6">
        <f>+F30</f>
        <v>21887500</v>
      </c>
      <c r="F34" s="3"/>
      <c r="I34" t="s">
        <v>68</v>
      </c>
      <c r="J34" s="6">
        <f>+J40*G21</f>
        <v>-249424866.70803005</v>
      </c>
      <c r="K34" s="6">
        <f>+J34/4</f>
        <v>-62356216.677007511</v>
      </c>
    </row>
    <row r="35" spans="1:13" x14ac:dyDescent="0.25">
      <c r="F35" s="3"/>
      <c r="M35">
        <f>21*0.8</f>
        <v>16.8</v>
      </c>
    </row>
    <row r="36" spans="1:13" x14ac:dyDescent="0.25">
      <c r="M36">
        <v>21</v>
      </c>
    </row>
    <row r="37" spans="1:13" x14ac:dyDescent="0.25">
      <c r="K37" s="5"/>
      <c r="M37">
        <f>+M36-M35</f>
        <v>4.1999999999999993</v>
      </c>
    </row>
    <row r="38" spans="1:13" x14ac:dyDescent="0.25">
      <c r="K38" s="4"/>
    </row>
    <row r="40" spans="1:13" x14ac:dyDescent="0.25">
      <c r="I40">
        <v>2022</v>
      </c>
      <c r="J40">
        <f>+SUM(Sheet1!C4:C18)</f>
        <v>-7103.899313207151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9B12-FF8F-425C-844C-BCA8EFF47568}">
  <dimension ref="A2:N26"/>
  <sheetViews>
    <sheetView tabSelected="1" workbookViewId="0">
      <selection activeCell="G22" sqref="G22"/>
    </sheetView>
  </sheetViews>
  <sheetFormatPr defaultRowHeight="15" x14ac:dyDescent="0.25"/>
  <cols>
    <col min="1" max="1" width="20.42578125" customWidth="1"/>
    <col min="2" max="2" width="14.28515625" bestFit="1" customWidth="1"/>
    <col min="3" max="3" width="14.28515625" customWidth="1"/>
    <col min="4" max="4" width="12.5703125" bestFit="1" customWidth="1"/>
    <col min="5" max="6" width="15.28515625" bestFit="1" customWidth="1"/>
    <col min="7" max="8" width="15.28515625" customWidth="1"/>
    <col min="9" max="9" width="11.5703125" bestFit="1" customWidth="1"/>
    <col min="10" max="10" width="12.5703125" bestFit="1" customWidth="1"/>
    <col min="11" max="12" width="15.28515625" bestFit="1" customWidth="1"/>
    <col min="13" max="13" width="16.28515625" bestFit="1" customWidth="1"/>
  </cols>
  <sheetData>
    <row r="2" spans="1:13" x14ac:dyDescent="0.25">
      <c r="D2">
        <v>2022</v>
      </c>
      <c r="E2" s="2">
        <v>2023</v>
      </c>
      <c r="F2">
        <v>2024</v>
      </c>
      <c r="G2" t="s">
        <v>88</v>
      </c>
      <c r="H2" t="s">
        <v>89</v>
      </c>
      <c r="I2">
        <v>2025</v>
      </c>
    </row>
    <row r="3" spans="1:13" x14ac:dyDescent="0.25">
      <c r="A3" t="s">
        <v>84</v>
      </c>
      <c r="B3" s="60">
        <v>22400000</v>
      </c>
      <c r="C3" s="60" t="s">
        <v>83</v>
      </c>
      <c r="E3" s="61">
        <v>3431338</v>
      </c>
      <c r="F3" s="61">
        <v>4431338</v>
      </c>
      <c r="G3" s="61">
        <f>+F3</f>
        <v>4431338</v>
      </c>
      <c r="H3" s="61"/>
      <c r="I3" s="69">
        <f>+G3</f>
        <v>4431338</v>
      </c>
      <c r="J3" s="69"/>
      <c r="K3" s="70">
        <f>+I3/$I$6</f>
        <v>-6.057654741383435</v>
      </c>
      <c r="L3" s="70">
        <f>+K3+K4</f>
        <v>-15.739004848761564</v>
      </c>
      <c r="M3" s="70"/>
    </row>
    <row r="4" spans="1:13" x14ac:dyDescent="0.25">
      <c r="A4" t="s">
        <v>85</v>
      </c>
      <c r="B4">
        <f>+B3/2</f>
        <v>11200000</v>
      </c>
      <c r="C4" t="s">
        <v>86</v>
      </c>
      <c r="E4" s="61">
        <v>38060302</v>
      </c>
      <c r="F4" s="61">
        <v>38060302</v>
      </c>
      <c r="G4" s="61">
        <f>+F4</f>
        <v>38060302</v>
      </c>
      <c r="H4" s="61">
        <f>+H5/4</f>
        <v>30978133</v>
      </c>
      <c r="I4" s="69">
        <f>+G4-H4</f>
        <v>7082169</v>
      </c>
      <c r="J4" s="60"/>
      <c r="K4" s="70">
        <f>+I4/$I$6</f>
        <v>-9.6813501073781278</v>
      </c>
    </row>
    <row r="5" spans="1:13" x14ac:dyDescent="0.25">
      <c r="C5" t="s">
        <v>87</v>
      </c>
      <c r="E5" s="61">
        <v>169137836</v>
      </c>
      <c r="F5" s="61">
        <f>+E5-53039000</f>
        <v>116098836</v>
      </c>
      <c r="G5" s="61">
        <f>+F5</f>
        <v>116098836</v>
      </c>
      <c r="H5" s="61">
        <f>84000000+39912532</f>
        <v>123912532</v>
      </c>
      <c r="I5" s="69">
        <f>+G5-H5</f>
        <v>-7813696</v>
      </c>
      <c r="K5" s="70">
        <f>+I5/$I$6</f>
        <v>10.681350107378128</v>
      </c>
      <c r="M5" s="70"/>
    </row>
    <row r="6" spans="1:13" x14ac:dyDescent="0.25">
      <c r="I6" s="69">
        <f>+I5+I4</f>
        <v>-731527</v>
      </c>
      <c r="L6" s="70"/>
    </row>
    <row r="8" spans="1:13" x14ac:dyDescent="0.25">
      <c r="E8" s="69"/>
      <c r="F8" s="70"/>
    </row>
    <row r="9" spans="1:13" x14ac:dyDescent="0.25">
      <c r="F9" s="61"/>
      <c r="G9" s="61"/>
      <c r="H9" s="61"/>
      <c r="K9" s="60"/>
      <c r="L9" s="70"/>
      <c r="M9" s="60"/>
    </row>
    <row r="10" spans="1:13" x14ac:dyDescent="0.25">
      <c r="F10" s="61"/>
      <c r="G10" s="61"/>
      <c r="H10" s="61"/>
      <c r="I10" s="61"/>
      <c r="K10" s="60"/>
      <c r="L10" s="70"/>
      <c r="M10" s="60"/>
    </row>
    <row r="11" spans="1:13" x14ac:dyDescent="0.25">
      <c r="D11">
        <v>2023</v>
      </c>
      <c r="F11" s="61" t="s">
        <v>91</v>
      </c>
      <c r="G11" s="61">
        <v>2024</v>
      </c>
      <c r="H11" s="61"/>
      <c r="I11" s="61" t="s">
        <v>92</v>
      </c>
      <c r="J11">
        <v>2025</v>
      </c>
      <c r="K11" s="71"/>
    </row>
    <row r="12" spans="1:13" x14ac:dyDescent="0.25">
      <c r="C12" t="s">
        <v>69</v>
      </c>
      <c r="D12" s="61">
        <v>3431338</v>
      </c>
      <c r="E12" s="7">
        <f>+D12/$D$15</f>
        <v>1.6290872793131763E-2</v>
      </c>
      <c r="F12" s="61"/>
      <c r="G12" s="61">
        <f>+D12-F12</f>
        <v>3431338</v>
      </c>
      <c r="H12" s="71">
        <f>+G12/$G$15</f>
        <v>2.3615854394649562E-2</v>
      </c>
      <c r="I12" s="61"/>
      <c r="J12" s="69">
        <f>+G12</f>
        <v>3431338</v>
      </c>
      <c r="K12" s="71">
        <f>+J12/$J$15</f>
        <v>8.5148947186790946E-2</v>
      </c>
      <c r="L12" s="69">
        <f>+J12+J13</f>
        <v>7425358.25</v>
      </c>
    </row>
    <row r="13" spans="1:13" x14ac:dyDescent="0.25">
      <c r="C13" t="s">
        <v>90</v>
      </c>
      <c r="D13" s="61">
        <v>38060302</v>
      </c>
      <c r="E13" s="7">
        <f t="shared" ref="E13:E15" si="0">+D13/$D$15</f>
        <v>0.1806978905459557</v>
      </c>
      <c r="F13" s="61">
        <f>+F14/4</f>
        <v>13066281.75</v>
      </c>
      <c r="G13" s="61">
        <f>+D13-F13</f>
        <v>24994020.25</v>
      </c>
      <c r="H13" s="71">
        <f t="shared" ref="H13:H14" si="1">+G13/$G$15</f>
        <v>0.17201894507650445</v>
      </c>
      <c r="I13" s="61">
        <f>+I14/4</f>
        <v>21000000</v>
      </c>
      <c r="J13" s="69">
        <f>+G13-I13</f>
        <v>3994020.25</v>
      </c>
      <c r="K13" s="71">
        <f>+J13/$J$15</f>
        <v>9.9111955549183312E-2</v>
      </c>
    </row>
    <row r="14" spans="1:13" x14ac:dyDescent="0.25">
      <c r="C14" t="s">
        <v>68</v>
      </c>
      <c r="D14" s="61">
        <v>169137836</v>
      </c>
      <c r="E14" s="7">
        <f t="shared" si="0"/>
        <v>0.80301123666091256</v>
      </c>
      <c r="F14" s="61">
        <v>52265127</v>
      </c>
      <c r="G14" s="61">
        <f>+D14-F14</f>
        <v>116872709</v>
      </c>
      <c r="H14" s="71">
        <f t="shared" si="1"/>
        <v>0.80436520052884597</v>
      </c>
      <c r="I14" s="61">
        <v>84000000</v>
      </c>
      <c r="J14" s="69">
        <f>+G14-I14</f>
        <v>32872709</v>
      </c>
      <c r="K14" s="71">
        <f>+J14/$J$15</f>
        <v>0.81573909726402571</v>
      </c>
      <c r="L14" s="69"/>
    </row>
    <row r="15" spans="1:13" x14ac:dyDescent="0.25">
      <c r="D15" s="69">
        <f>+D14+D13+D12</f>
        <v>210629476</v>
      </c>
      <c r="E15" s="7">
        <f t="shared" si="0"/>
        <v>1</v>
      </c>
      <c r="F15" s="61"/>
      <c r="G15" s="61">
        <f>+SUM(G12:G14)</f>
        <v>145298067.25</v>
      </c>
      <c r="H15" s="71"/>
      <c r="I15" s="61"/>
      <c r="J15" s="69">
        <f>+J14+J13+J12</f>
        <v>40298067.25</v>
      </c>
      <c r="K15" s="71"/>
    </row>
    <row r="16" spans="1:13" x14ac:dyDescent="0.25">
      <c r="F16" s="61"/>
      <c r="G16" s="61"/>
      <c r="H16" s="61"/>
      <c r="I16" s="61"/>
      <c r="K16" s="60"/>
    </row>
    <row r="17" spans="6:14" x14ac:dyDescent="0.25">
      <c r="F17" s="61"/>
      <c r="G17" s="61"/>
      <c r="H17" s="61"/>
      <c r="I17" s="61"/>
      <c r="K17" s="60"/>
      <c r="L17" s="70"/>
      <c r="M17" s="69"/>
      <c r="N17" s="70"/>
    </row>
    <row r="18" spans="6:14" x14ac:dyDescent="0.25">
      <c r="F18" s="61"/>
      <c r="G18" s="61"/>
      <c r="H18" s="61"/>
      <c r="I18" s="72"/>
      <c r="K18" s="60"/>
      <c r="L18" s="70"/>
      <c r="M18" s="69"/>
      <c r="N18" s="70"/>
    </row>
    <row r="19" spans="6:14" x14ac:dyDescent="0.25">
      <c r="F19" s="61"/>
      <c r="G19" s="61"/>
      <c r="H19" s="61"/>
      <c r="I19" s="61"/>
      <c r="K19" s="70"/>
      <c r="M19" s="70"/>
    </row>
    <row r="20" spans="6:14" x14ac:dyDescent="0.25">
      <c r="F20" s="61"/>
      <c r="G20" s="61"/>
      <c r="H20" s="61"/>
      <c r="I20" s="61"/>
    </row>
    <row r="21" spans="6:14" x14ac:dyDescent="0.25">
      <c r="F21" s="61"/>
      <c r="G21" s="61"/>
      <c r="H21" s="61"/>
      <c r="I21" s="61"/>
    </row>
    <row r="22" spans="6:14" x14ac:dyDescent="0.25">
      <c r="K22" s="61"/>
    </row>
    <row r="23" spans="6:14" x14ac:dyDescent="0.25">
      <c r="K23" s="69"/>
    </row>
    <row r="26" spans="6:14" x14ac:dyDescent="0.25">
      <c r="K26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</dc:creator>
  <cp:lastModifiedBy>Pedro Lecaros</cp:lastModifiedBy>
  <dcterms:created xsi:type="dcterms:W3CDTF">2015-06-05T18:17:20Z</dcterms:created>
  <dcterms:modified xsi:type="dcterms:W3CDTF">2025-08-01T15:48:24Z</dcterms:modified>
</cp:coreProperties>
</file>
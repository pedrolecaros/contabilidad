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.shortcut-targets-by-id\1-SMUozvP3ijEuUXCZ8xvcSdgizVEpDE_\Desarrollos Ecox 2025\Contabilidades\07. Contable Agrícola Los Chilcos SpA\Respaldos 2026\"/>
    </mc:Choice>
  </mc:AlternateContent>
  <xr:revisionPtr revIDLastSave="0" documentId="13_ncr:1_{8AE11812-A94D-48DE-A795-4BF4106E4BDA}" xr6:coauthVersionLast="47" xr6:coauthVersionMax="47" xr10:uidLastSave="{00000000-0000-0000-0000-000000000000}"/>
  <bookViews>
    <workbookView xWindow="29190" yWindow="390" windowWidth="26490" windowHeight="14820" activeTab="3" xr2:uid="{00000000-000D-0000-FFFF-FFFF00000000}"/>
  </bookViews>
  <sheets>
    <sheet name="Resumen" sheetId="4" r:id="rId1"/>
    <sheet name="MOVIMIENTOS" sheetId="1" r:id="rId2"/>
    <sheet name="CATEGORIAS" sheetId="2" r:id="rId3"/>
    <sheet name="Rendiciones de Gastos" sheetId="3" r:id="rId4"/>
  </sheets>
  <definedNames>
    <definedName name="_xlnm._FilterDatabase" localSheetId="1" hidden="1">MOVIMIENTOS!$A$1:$I$2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" i="3" l="1"/>
  <c r="D48" i="3"/>
  <c r="D33" i="3"/>
  <c r="D12" i="3"/>
  <c r="F3" i="1"/>
  <c r="D7" i="4"/>
  <c r="D5" i="4"/>
  <c r="D12" i="4"/>
  <c r="D4" i="4"/>
  <c r="D6" i="4"/>
  <c r="D10" i="4"/>
  <c r="D9" i="4"/>
  <c r="D8" i="4"/>
  <c r="F4" i="1" l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l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</calcChain>
</file>

<file path=xl/sharedStrings.xml><?xml version="1.0" encoding="utf-8"?>
<sst xmlns="http://schemas.openxmlformats.org/spreadsheetml/2006/main" count="923" uniqueCount="249">
  <si>
    <t>DETALLE</t>
  </si>
  <si>
    <t>CATEGORIA</t>
  </si>
  <si>
    <t>SUB</t>
  </si>
  <si>
    <t>SALDO</t>
  </si>
  <si>
    <t>DEPOSITO</t>
  </si>
  <si>
    <t>GIROS</t>
  </si>
  <si>
    <t>COMENTARIO</t>
  </si>
  <si>
    <t>FECHA</t>
  </si>
  <si>
    <t>SALDO ANTERIOR</t>
  </si>
  <si>
    <t>GASTOS GENERALES</t>
  </si>
  <si>
    <t>NOTARIA Y CONSERVADOR</t>
  </si>
  <si>
    <t>MANDATO</t>
  </si>
  <si>
    <t>VENTA</t>
  </si>
  <si>
    <t>SUELDO Y LEYES SOCIALES</t>
  </si>
  <si>
    <t>IMPUESTOS</t>
  </si>
  <si>
    <t>OTRO</t>
  </si>
  <si>
    <t>FONDOS MUTUOS</t>
  </si>
  <si>
    <t>RETIRO</t>
  </si>
  <si>
    <t>LINEA DE CREDITO</t>
  </si>
  <si>
    <t>CUENTA CORRIENTE MERCANTIL</t>
  </si>
  <si>
    <t>PRESTAMO</t>
  </si>
  <si>
    <t>FUTRONO</t>
  </si>
  <si>
    <t>TREGUALEMU</t>
  </si>
  <si>
    <t>PLS</t>
  </si>
  <si>
    <t>FHB</t>
  </si>
  <si>
    <t>ECOX LLC</t>
  </si>
  <si>
    <t>COLBUN</t>
  </si>
  <si>
    <t>INTERES</t>
  </si>
  <si>
    <t>AGB</t>
  </si>
  <si>
    <t>PARQUE SUR</t>
  </si>
  <si>
    <t>CERRO COLORADO</t>
  </si>
  <si>
    <t>ASESORIAS ECOX</t>
  </si>
  <si>
    <t>TEMUCO</t>
  </si>
  <si>
    <t>LOS CHILCOS</t>
  </si>
  <si>
    <t>EREF</t>
  </si>
  <si>
    <t>Traspaso A: Asesorias Ecox Spa</t>
  </si>
  <si>
    <t>Traspaso A: Andres Rieutord</t>
  </si>
  <si>
    <t>Pago Automatico Tarjeta De Credito</t>
  </si>
  <si>
    <t>Traspaso De: Rodolfo Alexis Utreras</t>
  </si>
  <si>
    <t>Traspaso A: Benjamin Lecaros</t>
  </si>
  <si>
    <t>Traspaso De: Valentina Michelle Aranda Espinoza</t>
  </si>
  <si>
    <t>BANCO DE CHILE</t>
  </si>
  <si>
    <t>Pago: Inversiones 0965712208</t>
  </si>
  <si>
    <t>Transferencia Desde Linea De Credito</t>
  </si>
  <si>
    <t>PARCELA</t>
  </si>
  <si>
    <t>Traspaso De: Juan Esteban Sanchez Bascur</t>
  </si>
  <si>
    <t>Impuesto Linea De Credito</t>
  </si>
  <si>
    <t>Traspaso A: Hector Varela</t>
  </si>
  <si>
    <t>Intereses Linea De Credito</t>
  </si>
  <si>
    <t>A5 - VALENTINA ARANDA</t>
  </si>
  <si>
    <t>B7 - LISSETTE RIQUELME</t>
  </si>
  <si>
    <t>B9 - RODOLFO UTRERAS</t>
  </si>
  <si>
    <t>C9 - JUAN ESTEBAN SANCHEZ</t>
  </si>
  <si>
    <t>C11 - RODOLFO RAMÍREZ</t>
  </si>
  <si>
    <t>C14 - ROBERTO TRASLAVIÑA</t>
  </si>
  <si>
    <t>C15 - CARLOS CESPEDES</t>
  </si>
  <si>
    <t>Respaldo</t>
  </si>
  <si>
    <t>Monto</t>
  </si>
  <si>
    <t>Total Rendicion 1</t>
  </si>
  <si>
    <t>Reembolsa gastos</t>
  </si>
  <si>
    <t>Reserva C3</t>
  </si>
  <si>
    <t>PUERTO OCTAY</t>
  </si>
  <si>
    <t>Aporte A Fondo Mutuo</t>
  </si>
  <si>
    <t>C4 - EVELYN PAOLA GALARCE</t>
  </si>
  <si>
    <t>(blank)</t>
  </si>
  <si>
    <t>Grand Total</t>
  </si>
  <si>
    <t>Row Labels</t>
  </si>
  <si>
    <t>Sum of DEPOSITO</t>
  </si>
  <si>
    <t>Sum of GIROS</t>
  </si>
  <si>
    <t>JMP</t>
  </si>
  <si>
    <t>BLS</t>
  </si>
  <si>
    <t>JOPA</t>
  </si>
  <si>
    <t>DOMI</t>
  </si>
  <si>
    <t>LONQUEN</t>
  </si>
  <si>
    <t>(Multiple Items)</t>
  </si>
  <si>
    <t>Traspaso A: Elsa Tania Salome Arias Bustos</t>
  </si>
  <si>
    <t>A12 - CARLOS PEÑA</t>
  </si>
  <si>
    <t>Traspaso De: Teresa Andrea Sanhueza Sepulveda</t>
  </si>
  <si>
    <t>Traspaso De: Cristobal Hernan Aubel Jaramillo</t>
  </si>
  <si>
    <t>Publicidad</t>
  </si>
  <si>
    <t>A6 A7 A8 A13 JORGE - EL TURCO LTDA</t>
  </si>
  <si>
    <t>C6 - TERESA SANHUEZA</t>
  </si>
  <si>
    <t>Pie C6</t>
  </si>
  <si>
    <t>Gestion</t>
  </si>
  <si>
    <t>Contabilidad</t>
  </si>
  <si>
    <t>Asesoria venta C6</t>
  </si>
  <si>
    <t>Reembolsa publicidad Facebook</t>
  </si>
  <si>
    <t>Cuota 9/24</t>
  </si>
  <si>
    <t>Cuota 9/48</t>
  </si>
  <si>
    <t>Cuota 6/36</t>
  </si>
  <si>
    <t>Rendicion 14 (2025)</t>
  </si>
  <si>
    <t>Pago En Sii.cl*</t>
  </si>
  <si>
    <t>Amortizacion A Linea De Credito</t>
  </si>
  <si>
    <t>Pago Linea De Cred: 018870277108</t>
  </si>
  <si>
    <t>Traspaso A: Denis Marcelo Bustos Fuentealba</t>
  </si>
  <si>
    <t>Dep.cheq.otros Bancos N° 1689272</t>
  </si>
  <si>
    <t>Traspaso A: Jose Miguel Parro Fluxa</t>
  </si>
  <si>
    <t>Traspaso A: Inversiones Jopa Limitada</t>
  </si>
  <si>
    <t>Traspaso A: Pedro Lecaros</t>
  </si>
  <si>
    <t>Traspaso De: Maria Ortega Frutos</t>
  </si>
  <si>
    <t>Deposito En Efectivo N° 8544417</t>
  </si>
  <si>
    <t>Deposito En Efectivo N° 8544418</t>
  </si>
  <si>
    <t>Traspaso A: Rios Y Compania Abogados Limitada</t>
  </si>
  <si>
    <t>Traspaso De: Pena Nunez Carlos Alejandro</t>
  </si>
  <si>
    <t>F29</t>
  </si>
  <si>
    <t>Firma en Temuco</t>
  </si>
  <si>
    <t>Venta parcela D-12</t>
  </si>
  <si>
    <t>Asesoria venta D-12</t>
  </si>
  <si>
    <t>Paga prestamo</t>
  </si>
  <si>
    <t>Reserva D-10</t>
  </si>
  <si>
    <t>Reserva D-13</t>
  </si>
  <si>
    <t>Reserva D-14</t>
  </si>
  <si>
    <t>Visitas puerto octay</t>
  </si>
  <si>
    <t>Gastos legales</t>
  </si>
  <si>
    <t>Cuota 1 de 24</t>
  </si>
  <si>
    <t>Cuota 7 de 36</t>
  </si>
  <si>
    <t>Cuota 10 de 48</t>
  </si>
  <si>
    <t>Cuota 10 de 24</t>
  </si>
  <si>
    <t>Reembolsa compra de madera</t>
  </si>
  <si>
    <t>Traspaso A: Gyo Servicios Maquinaria Spa</t>
  </si>
  <si>
    <t>Traspaso A: Maria Paz Amenabar</t>
  </si>
  <si>
    <t>Traspaso De: Pedro Jose Lecaros Sotomayor</t>
  </si>
  <si>
    <t>Traspaso De: Distribuidora El Turco Limitada</t>
  </si>
  <si>
    <t>Comision Anual Linea De Credito Automatica</t>
  </si>
  <si>
    <t>Traspaso De: Jorge Jonathan Heinrich Oberreuter Alvar</t>
  </si>
  <si>
    <t>Dep.cheq.otros Bancos N° 0420663</t>
  </si>
  <si>
    <t>Traspaso De: Italo Egard Rivas Cid</t>
  </si>
  <si>
    <t>Asesoria venta D-10</t>
  </si>
  <si>
    <t>Asesoria venta D-14</t>
  </si>
  <si>
    <t>Caminos</t>
  </si>
  <si>
    <t>Gastos generales</t>
  </si>
  <si>
    <t>Corresponde a parcela D-14 Rosa Ester</t>
  </si>
  <si>
    <t>Reembolsa gastos publicidad</t>
  </si>
  <si>
    <t>Reserva D-1</t>
  </si>
  <si>
    <t>Parcela D-10 Maria Claudia Ortega</t>
  </si>
  <si>
    <t>Reserva B-1</t>
  </si>
  <si>
    <t>Docs CBR Osorno</t>
  </si>
  <si>
    <t>Rendicion 1 - Benjamin Lecaros 26.3.2026</t>
  </si>
  <si>
    <t>Lime</t>
  </si>
  <si>
    <t>Vimont SpA (recorte planos)</t>
  </si>
  <si>
    <t>boleta</t>
  </si>
  <si>
    <t>Tekkrom</t>
  </si>
  <si>
    <t>Chilexpress</t>
  </si>
  <si>
    <t>Librería Nacional</t>
  </si>
  <si>
    <t>Sodimac</t>
  </si>
  <si>
    <t>factura</t>
  </si>
  <si>
    <t>Traspaso De: Katherine Giselle Marambio Reyes</t>
  </si>
  <si>
    <t>Traspaso De: Annie Cristina Parra</t>
  </si>
  <si>
    <t>Traspaso A: Italo Rivas Cid</t>
  </si>
  <si>
    <t>Traspaso De: Garrido Fuentes Francisco Ronaldo</t>
  </si>
  <si>
    <t>Traspaso A: Jorge Ignacio Troncoso Vidal</t>
  </si>
  <si>
    <t>Traspaso A: Carlos H. Barrientos Ortiz</t>
  </si>
  <si>
    <t>Traspaso De: Flores Sepulveda Jonathan Andres</t>
  </si>
  <si>
    <t>Traspaso A: Rosa Ester Torres Ramirez</t>
  </si>
  <si>
    <t>Traspaso A: Conrad Pablo Zlch Parra</t>
  </si>
  <si>
    <t>Cargo Por Pago Tc</t>
  </si>
  <si>
    <t>Traspaso A: Geotim Ltda</t>
  </si>
  <si>
    <t>Traspaso A: Parque Sur Spa</t>
  </si>
  <si>
    <t>Pago factura 1093</t>
  </si>
  <si>
    <t>Cuota 1 de 6</t>
  </si>
  <si>
    <t>Correcciones planos puerto octay</t>
  </si>
  <si>
    <t>Parcela C3 Jonathan Sepulveda</t>
  </si>
  <si>
    <t>Publicidad, pago TC</t>
  </si>
  <si>
    <t>Rendicion 1 2026</t>
  </si>
  <si>
    <t>D15 - ANNIE PARRA / ISRRAEL</t>
  </si>
  <si>
    <t>Tasacion C5</t>
  </si>
  <si>
    <t>Mandato</t>
  </si>
  <si>
    <t>Reserva C5 (Francisco Garrido)</t>
  </si>
  <si>
    <t>Reembolsa gastos Valle del Ranco</t>
  </si>
  <si>
    <t>Total Rendicion 2</t>
  </si>
  <si>
    <t>Reserva D-15</t>
  </si>
  <si>
    <t>Reembolso reserva B1 Italo</t>
  </si>
  <si>
    <t>Firma D1 Valdivia</t>
  </si>
  <si>
    <t>Reembolsa excedente de vale vista parcela D-14</t>
  </si>
  <si>
    <t>Asesoria venta D15</t>
  </si>
  <si>
    <t>Pie D15</t>
  </si>
  <si>
    <t>Cuota 2 de 24</t>
  </si>
  <si>
    <t>Cuota 11 de 24</t>
  </si>
  <si>
    <t>Cuota 12 de 24</t>
  </si>
  <si>
    <t>Cuota 2 de 24 lotes A6 A7 A8 y A13</t>
  </si>
  <si>
    <t>Cuota 11 de 48</t>
  </si>
  <si>
    <t>Cuota 12 de 48</t>
  </si>
  <si>
    <t>Cuota 8 de 36</t>
  </si>
  <si>
    <t>Rendicion 2 - Felipe Hiriart 15.04.2026</t>
  </si>
  <si>
    <t>Fecha</t>
  </si>
  <si>
    <t>Concepto</t>
  </si>
  <si>
    <t>13.04.2026</t>
  </si>
  <si>
    <t>Hotel Frutillar</t>
  </si>
  <si>
    <t>Factura</t>
  </si>
  <si>
    <t>Alimentación</t>
  </si>
  <si>
    <t>Boleta</t>
  </si>
  <si>
    <t>Peaje</t>
  </si>
  <si>
    <t>14.04.2026</t>
  </si>
  <si>
    <t>Estacionamiento</t>
  </si>
  <si>
    <t>Bencina</t>
  </si>
  <si>
    <t>Estacionamiento Aeropuerto</t>
  </si>
  <si>
    <t>Total Rendicion 3</t>
  </si>
  <si>
    <t>Traspaso A: Saesa Innova Soluciones Spa</t>
  </si>
  <si>
    <t>Traspaso De: Francisco Lillo Garrido</t>
  </si>
  <si>
    <t>Dep.cheq.otros Bancos N° 8628589</t>
  </si>
  <si>
    <t>Traspaso De: Claudio Ivan Santibanez Sepulveda</t>
  </si>
  <si>
    <t>Traspaso A: Victor Hugo Quinones Sobarzo</t>
  </si>
  <si>
    <t>Traspaso A: Pablo Eisendecher Bertin</t>
  </si>
  <si>
    <t>Traspaso A: Felipe Hiriart</t>
  </si>
  <si>
    <t>Pago En Tesoreria.cl*</t>
  </si>
  <si>
    <t>Traspaso A: Daniel Gebauer</t>
  </si>
  <si>
    <t>Venta parcela C-3</t>
  </si>
  <si>
    <t>Venta parcela D-13</t>
  </si>
  <si>
    <t>Estudio electrico pto octay</t>
  </si>
  <si>
    <t>Traspaso De: Francisco Avelino Lillo Garrido</t>
  </si>
  <si>
    <t>Traspaso A: Abdallah Fernandez Atuez</t>
  </si>
  <si>
    <t>Traspaso A: Felipe Chavez Torres</t>
  </si>
  <si>
    <t>Traspaso A: Sindy Danaee Sandoval Vega</t>
  </si>
  <si>
    <t>Traspaso De: Perez Carrillo Mackarena Nicol</t>
  </si>
  <si>
    <t>Traspaso De: Jose Tomas Mahuzier Campodonico</t>
  </si>
  <si>
    <t>Traspaso A: Tesoreria Municipal Puerto Octay</t>
  </si>
  <si>
    <t>Traspaso A: Elizabeth Blome</t>
  </si>
  <si>
    <t>F22</t>
  </si>
  <si>
    <t>Venta parcela B-1</t>
  </si>
  <si>
    <t>Cert. No expropiacion municipal</t>
  </si>
  <si>
    <t>Reserva D-16</t>
  </si>
  <si>
    <t>Reserva D-17</t>
  </si>
  <si>
    <t>Rendicion 2 2026</t>
  </si>
  <si>
    <t>Asesoria venta D2</t>
  </si>
  <si>
    <t>Devolucion exceso de vale vista (no descontó la reserva)</t>
  </si>
  <si>
    <t>Asesoria venta D-1</t>
  </si>
  <si>
    <t>Pie parcela D-2</t>
  </si>
  <si>
    <t>D2 - FRANCISCO LILLO</t>
  </si>
  <si>
    <t>EP servidumbre</t>
  </si>
  <si>
    <t>Contribuciones</t>
  </si>
  <si>
    <t>Reserva D2</t>
  </si>
  <si>
    <t>Venta D-1</t>
  </si>
  <si>
    <t>Asesoria venta D13</t>
  </si>
  <si>
    <t>Asesoria venta C3</t>
  </si>
  <si>
    <t>Reembolso solicitud Arnad</t>
  </si>
  <si>
    <t>Traspaso A: Carlos Ciuffardi</t>
  </si>
  <si>
    <t>29.04.2026</t>
  </si>
  <si>
    <t>30.04.2026</t>
  </si>
  <si>
    <t>Notaría Compraventa Lote 3</t>
  </si>
  <si>
    <t>Notaría Extensión Promesa Lote 2</t>
  </si>
  <si>
    <t>Rendicion 3 - Felipe Hiriart 11.05.2026. Viaje 29 y 30 abril 2026</t>
  </si>
  <si>
    <t>Rendicion 4 - Felipe Hiriart. Viaje 27 a 29 mayo 2026</t>
  </si>
  <si>
    <t>Pasajes Sky</t>
  </si>
  <si>
    <t>Pagado con tarjeta Los Chilcos</t>
  </si>
  <si>
    <t>19.05.2026</t>
  </si>
  <si>
    <t>Pago inscripción compra y certificados Lote 3</t>
  </si>
  <si>
    <t>Arriendo auto Econorent</t>
  </si>
  <si>
    <t>Pago CBR anotación subdivisión Lote Dos</t>
  </si>
  <si>
    <t>25.05.2027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</si>
</sst>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[$-409]dd\-mmm\-yy;@"/>
    <numFmt numFmtId="168" formatCode="_(* #,##0_);_(* \(#,##0\);_(* &quot;-&quot;??_);_(@_)"/>
  </numFmts>
  <fonts count="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Rubik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29">
    <xf numFmtId="0" fontId="0" fillId="0" borderId="0" xfId="0"/>
    <xf numFmtId="166" fontId="0" fillId="0" borderId="0" xfId="1" applyNumberFormat="1" applyFont="1"/>
    <xf numFmtId="167" fontId="0" fillId="0" borderId="0" xfId="0" applyNumberFormat="1"/>
    <xf numFmtId="0" fontId="3" fillId="0" borderId="3" xfId="0" applyFont="1" applyBorder="1"/>
    <xf numFmtId="0" fontId="0" fillId="0" borderId="3" xfId="0" applyBorder="1"/>
    <xf numFmtId="168" fontId="3" fillId="0" borderId="3" xfId="0" applyNumberFormat="1" applyFont="1" applyBorder="1"/>
    <xf numFmtId="167" fontId="4" fillId="2" borderId="1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66" fontId="5" fillId="2" borderId="4" xfId="1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  <xf numFmtId="165" fontId="0" fillId="0" borderId="0" xfId="2" applyFont="1"/>
    <xf numFmtId="168" fontId="0" fillId="0" borderId="0" xfId="2" applyNumberFormat="1" applyFont="1"/>
    <xf numFmtId="166" fontId="0" fillId="0" borderId="0" xfId="0" applyNumberFormat="1"/>
    <xf numFmtId="14" fontId="0" fillId="0" borderId="0" xfId="0" applyNumberFormat="1"/>
    <xf numFmtId="166" fontId="0" fillId="0" borderId="3" xfId="1" applyNumberFormat="1" applyFont="1" applyFill="1" applyBorder="1"/>
    <xf numFmtId="166" fontId="0" fillId="0" borderId="0" xfId="1" applyNumberFormat="1" applyFont="1" applyFill="1" applyBorder="1"/>
    <xf numFmtId="167" fontId="0" fillId="0" borderId="3" xfId="0" applyNumberFormat="1" applyBorder="1"/>
    <xf numFmtId="168" fontId="3" fillId="0" borderId="3" xfId="2" applyNumberFormat="1" applyFont="1" applyBorder="1"/>
    <xf numFmtId="14" fontId="0" fillId="0" borderId="3" xfId="0" applyNumberFormat="1" applyBorder="1"/>
    <xf numFmtId="0" fontId="0" fillId="0" borderId="3" xfId="0" applyBorder="1" applyAlignment="1">
      <alignment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0" fillId="0" borderId="3" xfId="0" applyNumberFormat="1" applyBorder="1"/>
  </cellXfs>
  <cellStyles count="3">
    <cellStyle name="Millares" xfId="2" builtinId="3"/>
    <cellStyle name="Moneda" xfId="1" builtinId="4"/>
    <cellStyle name="Normal" xfId="0" builtinId="0"/>
  </cellStyles>
  <dxfs count="12">
    <dxf>
      <fill>
        <patternFill>
          <bgColor theme="7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_);_(&quot;$&quot;* \(#,##0\);_(&quot;$&quot;* &quot;-&quot;??_);_(@_)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ubik"/>
        <scheme val="none"/>
      </font>
      <numFmt numFmtId="166" formatCode="_(&quot;$&quot;* #,##0_);_(&quot;$&quot;* \(#,##0\);_(&quot;$&quot;* &quot;-&quot;??_);_(@_)"/>
      <fill>
        <patternFill patternType="solid">
          <fgColor indexed="64"/>
          <bgColor rgb="FFEFEFEF"/>
        </patternFill>
      </fill>
      <alignment horizontal="center" vertical="center" textRotation="0" wrapText="1" indent="0" justifyLastLine="0" shrinkToFit="0" readingOrder="0"/>
    </dxf>
    <dxf>
      <numFmt numFmtId="168" formatCode="_(* #,##0_);_(* \(#,##0\);_(* &quot;-&quot;??_);_(@_)"/>
    </dxf>
    <dxf>
      <numFmt numFmtId="168" formatCode="_(* #,##0_);_(* \(#,##0\);_(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Lecaros" refreshedDate="45910.673036805558" createdVersion="8" refreshedVersion="8" minRefreshableVersion="3" recordCount="460" xr:uid="{B3E9A963-5070-4D05-B189-16878F70C8DA}">
  <cacheSource type="worksheet">
    <worksheetSource name="Table3"/>
  </cacheSource>
  <cacheFields count="8">
    <cacheField name="DETALLE" numFmtId="0">
      <sharedItems containsBlank="1"/>
    </cacheField>
    <cacheField name="CATEGORIA" numFmtId="0">
      <sharedItems containsBlank="1" count="8">
        <m/>
        <s v="GASTOS GENERALES"/>
        <s v="PRESTAMO"/>
        <s v="VENTA"/>
        <s v="NOTARIA Y CONSERVADOR"/>
        <s v="IMPUESTOS"/>
        <s v="LINEA DE CREDITO"/>
        <s v="FONDOS MUTUOS"/>
      </sharedItems>
    </cacheField>
    <cacheField name="PARCELA" numFmtId="0">
      <sharedItems containsBlank="1"/>
    </cacheField>
    <cacheField name="SUB" numFmtId="0">
      <sharedItems containsBlank="1" count="10">
        <m/>
        <s v="PLS"/>
        <s v="JMP"/>
        <s v="JOPA"/>
        <s v="BANCO DE CHILE"/>
        <s v="BLS"/>
        <s v="FHB"/>
        <s v="DOMI"/>
        <s v="PUERTO OCTAY"/>
        <s v="LONQUEN"/>
      </sharedItems>
    </cacheField>
    <cacheField name="SALDO" numFmtId="166">
      <sharedItems containsSemiMixedTypes="0" containsString="0" containsNumber="1" containsInteger="1" minValue="-989726" maxValue="356950777"/>
    </cacheField>
    <cacheField name="DEPOSITO" numFmtId="166">
      <sharedItems containsString="0" containsBlank="1" containsNumber="1" containsInteger="1" minValue="1000" maxValue="262430812"/>
    </cacheField>
    <cacheField name="GIROS" numFmtId="166">
      <sharedItems containsString="0" containsBlank="1" containsNumber="1" containsInteger="1" minValue="-300775861" maxValue="-5"/>
    </cacheField>
    <cacheField name="COMENTAR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Lecaros" refreshedDate="45910.673062037036" createdVersion="8" refreshedVersion="8" minRefreshableVersion="3" recordCount="461" xr:uid="{978D2BFE-804C-45A1-ABA6-7685F0E71646}">
  <cacheSource type="worksheet">
    <worksheetSource ref="A1:I1048576" sheet="MOVIMIENTOS"/>
  </cacheSource>
  <cacheFields count="9">
    <cacheField name="FECHA" numFmtId="167">
      <sharedItems containsNonDate="0" containsDate="1" containsString="0" containsBlank="1" minDate="2025-01-01T00:00:00" maxDate="2025-09-04T00:00:00" count="136">
        <d v="2025-01-01T00:00:00"/>
        <d v="2025-01-02T00:00:00"/>
        <d v="2025-01-08T00:00:00"/>
        <d v="2025-01-10T00:00:00"/>
        <d v="2025-01-13T00:00:00"/>
        <d v="2025-01-14T00:00:00"/>
        <d v="2025-01-17T00:00:00"/>
        <d v="2025-01-20T00:00:00"/>
        <d v="2025-01-21T00:00:00"/>
        <d v="2025-01-22T00:00:00"/>
        <d v="2025-01-24T00:00:00"/>
        <d v="2025-01-28T00:00:00"/>
        <d v="2025-01-29T00:00:00"/>
        <d v="2025-01-30T00:00:00"/>
        <d v="2025-01-31T00:00:00"/>
        <d v="2025-02-03T00:00:00"/>
        <d v="2025-02-06T00:00:00"/>
        <d v="2025-02-10T00:00:00"/>
        <d v="2025-02-12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9T00:00:00"/>
        <d v="2025-03-20T00:00:00"/>
        <d v="2025-03-24T00:00:00"/>
        <d v="2025-03-28T00:00:00"/>
        <d v="2025-03-31T00:00:00"/>
        <d v="2025-04-01T00:00:00"/>
        <d v="2025-04-03T00:00:00"/>
        <d v="2025-04-04T00:00:00"/>
        <d v="2025-04-07T00:00:00"/>
        <d v="2025-04-08T00:00:00"/>
        <d v="2025-04-09T00:00:00"/>
        <d v="2025-04-11T00:00:00"/>
        <d v="2025-04-14T00:00:00"/>
        <d v="2025-04-15T00:00:00"/>
        <d v="2025-04-16T00:00:00"/>
        <d v="2025-04-21T00:00:00"/>
        <d v="2025-04-22T00:00:00"/>
        <d v="2025-04-24T00:00:00"/>
        <d v="2025-04-28T00:00:00"/>
        <d v="2025-04-29T00:00:00"/>
        <d v="2025-04-30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2T00:00:00"/>
        <d v="2025-05-26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11T00:00:00"/>
        <d v="2025-07-14T00:00:00"/>
        <d v="2025-07-15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2T00:00:00"/>
        <d v="2025-08-18T00:00:00"/>
        <d v="2025-08-19T00:00:00"/>
        <d v="2025-08-21T00:00:00"/>
        <d v="2025-08-27T00:00:00"/>
        <d v="2025-08-28T00:00:00"/>
        <d v="2025-08-29T00:00:00"/>
        <d v="2025-09-01T00:00:00"/>
        <d v="2025-09-02T00:00:00"/>
        <d v="2025-09-03T00:00:00"/>
        <m/>
      </sharedItems>
    </cacheField>
    <cacheField name="DETALLE" numFmtId="0">
      <sharedItems containsBlank="1"/>
    </cacheField>
    <cacheField name="CATEGORIA" numFmtId="0">
      <sharedItems containsBlank="1" count="8">
        <m/>
        <s v="GASTOS GENERALES"/>
        <s v="PRESTAMO"/>
        <s v="VENTA"/>
        <s v="NOTARIA Y CONSERVADOR"/>
        <s v="IMPUESTOS"/>
        <s v="LINEA DE CREDITO"/>
        <s v="FONDOS MUTUOS"/>
      </sharedItems>
    </cacheField>
    <cacheField name="PARCELA" numFmtId="0">
      <sharedItems containsBlank="1"/>
    </cacheField>
    <cacheField name="SUB" numFmtId="0">
      <sharedItems containsBlank="1"/>
    </cacheField>
    <cacheField name="SALDO" numFmtId="166">
      <sharedItems containsString="0" containsBlank="1" containsNumber="1" containsInteger="1" minValue="-989726" maxValue="356950777"/>
    </cacheField>
    <cacheField name="DEPOSITO" numFmtId="166">
      <sharedItems containsString="0" containsBlank="1" containsNumber="1" containsInteger="1" minValue="1000" maxValue="262430812"/>
    </cacheField>
    <cacheField name="GIROS" numFmtId="166">
      <sharedItems containsString="0" containsBlank="1" containsNumber="1" containsInteger="1" minValue="-300775861" maxValue="-5"/>
    </cacheField>
    <cacheField name="COMENTAR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0">
  <r>
    <s v="SALDO ANTERIOR"/>
    <x v="0"/>
    <m/>
    <x v="0"/>
    <n v="702601"/>
    <m/>
    <m/>
    <m/>
  </r>
  <r>
    <s v="Traspaso A: Construcciones Del Ranco Spa"/>
    <x v="1"/>
    <m/>
    <x v="0"/>
    <n v="702601"/>
    <m/>
    <n v="-700000"/>
    <m/>
  </r>
  <r>
    <s v="Traspaso De: Pedro Jose Lecaros Sotomayor"/>
    <x v="2"/>
    <m/>
    <x v="1"/>
    <n v="2601"/>
    <n v="5000000"/>
    <m/>
    <m/>
  </r>
  <r>
    <s v="Traspaso A: Construcciones Del Ranco Spa"/>
    <x v="1"/>
    <m/>
    <x v="0"/>
    <n v="5002601"/>
    <m/>
    <n v="-1627022"/>
    <s v="Porton completa estado de pago 1"/>
  </r>
  <r>
    <s v="Traspaso A: Construcciones Del Ranco Spa"/>
    <x v="1"/>
    <m/>
    <x v="0"/>
    <n v="3375579"/>
    <m/>
    <n v="-1351157"/>
    <s v="Completa pago 30 porciento inicial, tranqueras"/>
  </r>
  <r>
    <s v="Traspaso A: La Nube Fotografia Ltda."/>
    <x v="1"/>
    <m/>
    <x v="0"/>
    <n v="2024422"/>
    <m/>
    <n v="-1309000"/>
    <s v="Pago la nube"/>
  </r>
  <r>
    <s v="Traspaso De: Jose Miguel Parro"/>
    <x v="2"/>
    <m/>
    <x v="2"/>
    <n v="715422"/>
    <n v="350000"/>
    <m/>
    <m/>
  </r>
  <r>
    <s v="Traspaso De: Pedro Jose Lecaros Sotomayor"/>
    <x v="2"/>
    <m/>
    <x v="1"/>
    <n v="1065422"/>
    <n v="2500000"/>
    <m/>
    <m/>
  </r>
  <r>
    <s v="Traspaso De: Jose Miguel Parro"/>
    <x v="2"/>
    <m/>
    <x v="2"/>
    <n v="3565422"/>
    <n v="2150000"/>
    <m/>
    <m/>
  </r>
  <r>
    <s v="Traspaso De: Carlos Alberto Cespedes Lopez"/>
    <x v="3"/>
    <m/>
    <x v="0"/>
    <n v="5715422"/>
    <n v="200000"/>
    <m/>
    <s v="Reserva C-18"/>
  </r>
  <r>
    <s v="Traspaso A: Conrad Pablo Zlch Parra"/>
    <x v="4"/>
    <m/>
    <x v="0"/>
    <n v="5915422"/>
    <m/>
    <n v="-177000"/>
    <s v="inscripcion servidumbre caminos"/>
  </r>
  <r>
    <s v="Traspaso A: Conrad Pablo Zlch Parra"/>
    <x v="4"/>
    <m/>
    <x v="0"/>
    <n v="5738422"/>
    <m/>
    <n v="-177000"/>
    <s v="inscripcion servidumbre caminos E1"/>
  </r>
  <r>
    <s v="Traspaso A: Asesorias Ecox Spa"/>
    <x v="1"/>
    <m/>
    <x v="0"/>
    <n v="5561422"/>
    <m/>
    <n v="-100000"/>
    <s v="Servicio contable"/>
  </r>
  <r>
    <s v="Traspaso A: Andres Rieutord"/>
    <x v="4"/>
    <m/>
    <x v="0"/>
    <n v="5461422"/>
    <m/>
    <n v="-80000"/>
    <m/>
  </r>
  <r>
    <s v="Traspaso De: Inversiones Jopa Limitada"/>
    <x v="2"/>
    <m/>
    <x v="3"/>
    <n v="5381422"/>
    <n v="5000000"/>
    <m/>
    <m/>
  </r>
  <r>
    <s v="Traspaso A: Geotim Ltda"/>
    <x v="1"/>
    <m/>
    <x v="0"/>
    <n v="10381422"/>
    <m/>
    <n v="-5000000"/>
    <s v="Abono parcial a primer 50 por ciento caminos"/>
  </r>
  <r>
    <s v="Traspaso De: Luis Eduardo Salas Ojeda"/>
    <x v="3"/>
    <m/>
    <x v="0"/>
    <n v="5381422"/>
    <n v="200000"/>
    <m/>
    <s v="Reserva A15"/>
  </r>
  <r>
    <s v="Traspaso De: Katherinne Andrea Orellana Saez"/>
    <x v="3"/>
    <m/>
    <x v="0"/>
    <n v="5581422"/>
    <n v="200000"/>
    <m/>
    <s v="Reserva A10"/>
  </r>
  <r>
    <s v="Traspaso A: Geotim Ltda"/>
    <x v="1"/>
    <m/>
    <x v="0"/>
    <n v="5781422"/>
    <m/>
    <n v="-5000000"/>
    <s v="Abono primera mitad caminos"/>
  </r>
  <r>
    <s v="Traspaso De: Marco Sebast?iacute?an"/>
    <x v="3"/>
    <m/>
    <x v="0"/>
    <n v="781422"/>
    <n v="200000"/>
    <m/>
    <s v="Reserva A14"/>
  </r>
  <r>
    <s v="Traspaso De: Pedro Jose Lecaros Sotomayor"/>
    <x v="2"/>
    <m/>
    <x v="1"/>
    <n v="981422"/>
    <n v="5000000"/>
    <m/>
    <m/>
  </r>
  <r>
    <s v="Traspaso A: Construcciones Del Ranco Spa"/>
    <x v="1"/>
    <m/>
    <x v="0"/>
    <n v="5981422"/>
    <m/>
    <n v="-2159683"/>
    <s v="Estado de Pago 1 Tranqueras Los Chilcos"/>
  </r>
  <r>
    <s v="Traspaso A: Construcciones Del Ranco Spa"/>
    <x v="1"/>
    <m/>
    <x v="0"/>
    <n v="3821739"/>
    <m/>
    <n v="-3610318"/>
    <s v="Estado de pago 2 Acceso Chilcos"/>
  </r>
  <r>
    <s v="Traspaso De: Jose Miguel Parro"/>
    <x v="2"/>
    <m/>
    <x v="2"/>
    <n v="211421"/>
    <n v="2500000"/>
    <m/>
    <m/>
  </r>
  <r>
    <s v="App-traspaso De: Inversiones Jopa Limitada"/>
    <x v="2"/>
    <m/>
    <x v="3"/>
    <n v="2711421"/>
    <n v="5000000"/>
    <m/>
    <m/>
  </r>
  <r>
    <s v="Traspaso A: Andres Rieutord"/>
    <x v="4"/>
    <m/>
    <x v="0"/>
    <n v="7711421"/>
    <m/>
    <n v="-70000"/>
    <s v="Reglamento"/>
  </r>
  <r>
    <s v="Traspaso De: Pedro Jose Lecaros Sotomayor"/>
    <x v="2"/>
    <m/>
    <x v="1"/>
    <n v="7641421"/>
    <n v="2500000"/>
    <m/>
    <m/>
  </r>
  <r>
    <s v="Traspaso De: Nicole Odette Rojas Bahamondes"/>
    <x v="3"/>
    <m/>
    <x v="0"/>
    <n v="10141421"/>
    <n v="200000"/>
    <m/>
    <s v="Reserva B-11"/>
  </r>
  <r>
    <s v="Traspaso De: Pedro Jose Lecaros Sotomayor"/>
    <x v="2"/>
    <m/>
    <x v="1"/>
    <n v="10341421"/>
    <n v="5000000"/>
    <m/>
    <m/>
  </r>
  <r>
    <s v="Traspaso De: Camila Stefany Diaz Duran"/>
    <x v="3"/>
    <m/>
    <x v="0"/>
    <n v="15341421"/>
    <n v="200000"/>
    <m/>
    <s v="Reserva C-14"/>
  </r>
  <r>
    <s v="Traspaso A: Sinergia Austral Spa"/>
    <x v="1"/>
    <m/>
    <x v="0"/>
    <n v="15541421"/>
    <m/>
    <n v="-695436"/>
    <s v="Tubo Corrugado HDPE 600 mm Agricola Los Chilcos"/>
  </r>
  <r>
    <s v="Traspaso De: Pedro Jose Lecaros Sotomayor"/>
    <x v="2"/>
    <m/>
    <x v="1"/>
    <n v="14845985"/>
    <n v="5000000"/>
    <m/>
    <m/>
  </r>
  <r>
    <s v="Traspaso De: Pedro Jose Lecaros Sotomayor"/>
    <x v="2"/>
    <m/>
    <x v="1"/>
    <n v="19845985"/>
    <n v="5000000"/>
    <m/>
    <m/>
  </r>
  <r>
    <s v="Traspaso A: Hernan Pizarro"/>
    <x v="1"/>
    <m/>
    <x v="0"/>
    <n v="24845985"/>
    <m/>
    <n v="-574395"/>
    <m/>
  </r>
  <r>
    <s v="Traspaso De: Pedro Jose Lecaros Sotomayor"/>
    <x v="2"/>
    <m/>
    <x v="1"/>
    <n v="24271590"/>
    <n v="5000000"/>
    <m/>
    <m/>
  </r>
  <r>
    <s v="Traspaso De: Servicios Psicologicos Integrales Spa"/>
    <x v="3"/>
    <m/>
    <x v="0"/>
    <n v="29271590"/>
    <n v="200000"/>
    <m/>
    <s v="Reserva A-10"/>
  </r>
  <r>
    <s v="Traspaso De: Cristian Andres Vera Gutierrez"/>
    <x v="3"/>
    <m/>
    <x v="0"/>
    <n v="29471590"/>
    <n v="250000"/>
    <m/>
    <s v="Parte 1 reserva A16/17/18"/>
  </r>
  <r>
    <s v="Traspaso De: Pedro Jose Lecaros Sotomayor"/>
    <x v="2"/>
    <m/>
    <x v="1"/>
    <n v="29721590"/>
    <n v="5000000"/>
    <m/>
    <m/>
  </r>
  <r>
    <s v="Traspaso A: Construcciones Del Ranco Spa"/>
    <x v="1"/>
    <m/>
    <x v="0"/>
    <n v="34721590"/>
    <m/>
    <n v="-3552557"/>
    <s v="Estado de pago 3"/>
  </r>
  <r>
    <s v="Traspaso De: Inversiones Jopa Limitada"/>
    <x v="2"/>
    <m/>
    <x v="3"/>
    <n v="31169033"/>
    <n v="16000000"/>
    <m/>
    <m/>
  </r>
  <r>
    <s v="Traspaso De: Jose Miguel Parro Fluxa"/>
    <x v="2"/>
    <m/>
    <x v="2"/>
    <n v="47169033"/>
    <n v="5000000"/>
    <m/>
    <m/>
  </r>
  <r>
    <s v="Traspaso De: Jose Miguel Parro"/>
    <x v="2"/>
    <m/>
    <x v="2"/>
    <n v="52169033"/>
    <n v="5000000"/>
    <m/>
    <m/>
  </r>
  <r>
    <s v="Traspaso De: Cristian Andres Vera Gutierrez"/>
    <x v="3"/>
    <m/>
    <x v="0"/>
    <n v="57169033"/>
    <n v="350000"/>
    <m/>
    <s v="Parte 2 reserva A16/17/18"/>
  </r>
  <r>
    <s v="Traspaso De: Pedro Jose Lecaros Sotomayor"/>
    <x v="2"/>
    <m/>
    <x v="1"/>
    <n v="57519033"/>
    <n v="5000000"/>
    <m/>
    <m/>
  </r>
  <r>
    <s v="Traspaso De: Mauricio Ignacio Fuentes Rodriguez"/>
    <x v="3"/>
    <m/>
    <x v="0"/>
    <n v="62519033"/>
    <n v="200000"/>
    <m/>
    <m/>
  </r>
  <r>
    <s v="Traspaso A: Camila Stefany Diaz Duran"/>
    <x v="3"/>
    <m/>
    <x v="0"/>
    <n v="62719033"/>
    <m/>
    <n v="-200000"/>
    <s v="Devolucion reserva C14"/>
  </r>
  <r>
    <s v="Traspaso De: Jose Miguel Parro"/>
    <x v="2"/>
    <m/>
    <x v="2"/>
    <n v="62519033"/>
    <n v="4000000"/>
    <m/>
    <m/>
  </r>
  <r>
    <s v="Traspaso A: Geotim Ltda"/>
    <x v="1"/>
    <m/>
    <x v="0"/>
    <n v="66519033"/>
    <m/>
    <n v="-11061"/>
    <s v="Reembolsa envio planos Stgo"/>
  </r>
  <r>
    <s v="Traspaso De: Felipe Leopoldo Pardo Vasquez"/>
    <x v="3"/>
    <m/>
    <x v="0"/>
    <n v="66507972"/>
    <n v="200000"/>
    <m/>
    <s v="Reserva B-14"/>
  </r>
  <r>
    <s v="Cargo Por Aplicacion De Dividendo"/>
    <x v="2"/>
    <m/>
    <x v="4"/>
    <n v="66707972"/>
    <m/>
    <n v="-59739613"/>
    <s v="Prepaga prestamo hipotecario Banco de Chile"/>
  </r>
  <r>
    <s v="Pago Automatico Tarjeta De Credito"/>
    <x v="1"/>
    <m/>
    <x v="0"/>
    <n v="6968359"/>
    <m/>
    <n v="-19859"/>
    <m/>
  </r>
  <r>
    <s v="Traspaso De: Claudio Andr?eacute?s"/>
    <x v="3"/>
    <m/>
    <x v="0"/>
    <n v="6948500"/>
    <n v="200000"/>
    <m/>
    <s v="Reserva B-12"/>
  </r>
  <r>
    <s v="Traspaso De: Molina Saavedra Alberto Ricardo"/>
    <x v="3"/>
    <m/>
    <x v="0"/>
    <n v="7148500"/>
    <n v="200000"/>
    <m/>
    <s v="Reserva B-8"/>
  </r>
  <r>
    <s v="Traspaso De: Lisssette Patricia Riquelme Martinez"/>
    <x v="3"/>
    <m/>
    <x v="0"/>
    <n v="7348500"/>
    <n v="200000"/>
    <m/>
    <s v="Reserva B-8"/>
  </r>
  <r>
    <s v="Traspaso De: Rodolfo Alexis Utreras"/>
    <x v="3"/>
    <s v="B9 - RODOLFO UTRERAS"/>
    <x v="0"/>
    <n v="7548500"/>
    <n v="200000"/>
    <m/>
    <s v="Reserva B-9"/>
  </r>
  <r>
    <s v="Traspaso A: Lissette Riquelme"/>
    <x v="3"/>
    <m/>
    <x v="0"/>
    <n v="7748500"/>
    <m/>
    <n v="-200000"/>
    <s v="Reembolso reserva B-8"/>
  </r>
  <r>
    <s v="Traspaso De: Mauricio Ignacio Fuentes Rodriguez"/>
    <x v="3"/>
    <m/>
    <x v="0"/>
    <n v="7548500"/>
    <n v="200000"/>
    <m/>
    <s v="Reserva C-18"/>
  </r>
  <r>
    <s v="Traspaso De: Edelmira Zulema Reyes Urbina"/>
    <x v="3"/>
    <m/>
    <x v="0"/>
    <n v="7748500"/>
    <n v="200000"/>
    <m/>
    <s v="Reserva B-6"/>
  </r>
  <r>
    <s v="Traspaso De: Lisssette Patricia Riquelme Martinez"/>
    <x v="3"/>
    <m/>
    <x v="0"/>
    <n v="7948500"/>
    <n v="200000"/>
    <m/>
    <s v="Reserva B-7"/>
  </r>
  <r>
    <s v="Traspaso De: San Martin Vargas Carlos Eduardo"/>
    <x v="3"/>
    <m/>
    <x v="0"/>
    <n v="8148500"/>
    <n v="200000"/>
    <m/>
    <s v="Reserva B-13"/>
  </r>
  <r>
    <s v="Traspaso A: Asesorias Ecox Spa"/>
    <x v="1"/>
    <m/>
    <x v="0"/>
    <n v="8348500"/>
    <m/>
    <n v="-100000"/>
    <s v="Servicio contable"/>
  </r>
  <r>
    <s v="Traspaso De: Hector Bernardo Maldonado Munoz"/>
    <x v="3"/>
    <m/>
    <x v="0"/>
    <n v="8248500"/>
    <n v="200000"/>
    <m/>
    <s v="Reserva B-16"/>
  </r>
  <r>
    <s v="Traspaso De: Lizzette Guajardo Vargas"/>
    <x v="3"/>
    <m/>
    <x v="0"/>
    <n v="8448500"/>
    <n v="200000"/>
    <m/>
    <s v="Reserva A-9"/>
  </r>
  <r>
    <s v="Traspaso De: Johanns Edward Agurto Rozas"/>
    <x v="3"/>
    <m/>
    <x v="0"/>
    <n v="8648500"/>
    <n v="200000"/>
    <m/>
    <s v="Reserva C-17"/>
  </r>
  <r>
    <s v="Traspaso A: Conrad Pablo Zlch Parra"/>
    <x v="4"/>
    <m/>
    <x v="0"/>
    <n v="8848500"/>
    <m/>
    <n v="-40000"/>
    <s v="Copia plano inscrito"/>
  </r>
  <r>
    <s v="Pago En Sii.cl*"/>
    <x v="5"/>
    <m/>
    <x v="0"/>
    <n v="8808500"/>
    <m/>
    <n v="-102492"/>
    <m/>
  </r>
  <r>
    <s v="Traspaso A: Construcciones Del Ranco Spa"/>
    <x v="1"/>
    <m/>
    <x v="0"/>
    <n v="8706008"/>
    <m/>
    <n v="-1322892"/>
    <m/>
  </r>
  <r>
    <s v="Traspaso A: Construcciones Del Ranco Spa"/>
    <x v="1"/>
    <m/>
    <x v="0"/>
    <n v="7383116"/>
    <m/>
    <n v="-2159683"/>
    <m/>
  </r>
  <r>
    <s v="Traspaso A: Construcciones Del Ranco Spa"/>
    <x v="1"/>
    <m/>
    <x v="0"/>
    <n v="5223433"/>
    <m/>
    <n v="-70545"/>
    <m/>
  </r>
  <r>
    <s v="Traspaso A: Benjamin Lecaros"/>
    <x v="1"/>
    <m/>
    <x v="5"/>
    <n v="5152888"/>
    <m/>
    <n v="-113639"/>
    <m/>
  </r>
  <r>
    <s v="Deposito En Efectivo N° 2941600"/>
    <x v="3"/>
    <m/>
    <x v="0"/>
    <n v="5039249"/>
    <n v="3500000"/>
    <m/>
    <s v="Promesa Katherine A-10"/>
  </r>
  <r>
    <s v="Comision Anual Linea De Credito Automatica"/>
    <x v="6"/>
    <m/>
    <x v="0"/>
    <n v="8539249"/>
    <m/>
    <n v="-103638"/>
    <m/>
  </r>
  <r>
    <s v="Traspaso De: Valentina Michelle Aranda Espinoza"/>
    <x v="3"/>
    <s v="A5 - VALENTINA ARANDA"/>
    <x v="0"/>
    <n v="8435611"/>
    <n v="200000"/>
    <m/>
    <s v="Reserva A-5"/>
  </r>
  <r>
    <s v="Traspaso A: La Nube Fotografia Ltda."/>
    <x v="1"/>
    <m/>
    <x v="0"/>
    <n v="8635611"/>
    <m/>
    <n v="-178500"/>
    <m/>
  </r>
  <r>
    <s v="Traspaso A: Geotim Ltda"/>
    <x v="1"/>
    <m/>
    <x v="0"/>
    <n v="8457111"/>
    <m/>
    <n v="-946050"/>
    <s v="instalacion alcantarill"/>
  </r>
  <r>
    <s v="Traspaso A: Servicios Psicologicos Integrales"/>
    <x v="3"/>
    <m/>
    <x v="0"/>
    <n v="7511061"/>
    <m/>
    <n v="-200000"/>
    <s v="Reembolso reserva A-13"/>
  </r>
  <r>
    <s v="Traspaso A: Benjamin Lecaros"/>
    <x v="1"/>
    <m/>
    <x v="5"/>
    <n v="7311061"/>
    <m/>
    <n v="-19909"/>
    <s v="Tekkrom"/>
  </r>
  <r>
    <s v="Dep.cheq.otros Bancos N° 4485178"/>
    <x v="2"/>
    <m/>
    <x v="6"/>
    <n v="7291152"/>
    <n v="42000000"/>
    <m/>
    <s v="Prestamos Felipe Hiriart"/>
  </r>
  <r>
    <s v="Deposito Con Cheque Mismo Banco N° 3956722"/>
    <x v="2"/>
    <m/>
    <x v="7"/>
    <n v="49291152"/>
    <n v="260000000"/>
    <m/>
    <s v="Prestamos Dominique Hiriat"/>
  </r>
  <r>
    <s v="Traspaso De: Valentina Michelle Aranda Espinoza"/>
    <x v="3"/>
    <s v="A5 - VALENTINA ARANDA"/>
    <x v="0"/>
    <n v="309291152"/>
    <n v="4800000"/>
    <m/>
    <s v="Pie parcela A-5"/>
  </r>
  <r>
    <s v="Traspaso De: Miguel Jesus Torres Agreda"/>
    <x v="3"/>
    <m/>
    <x v="0"/>
    <n v="314091152"/>
    <n v="200000"/>
    <m/>
    <s v="Reserva B-5"/>
  </r>
  <r>
    <s v="Traspaso A: Asesorias Ecox Spa"/>
    <x v="1"/>
    <m/>
    <x v="0"/>
    <n v="314291152"/>
    <m/>
    <n v="-100000"/>
    <s v="Servicio contable"/>
  </r>
  <r>
    <s v="Traspaso A: Benjamin Lecaros"/>
    <x v="1"/>
    <m/>
    <x v="5"/>
    <n v="314191152"/>
    <m/>
    <n v="-9674"/>
    <s v="Envio chilexpress"/>
  </r>
  <r>
    <s v="Traspaso A: Conrad Pablo Zlch Parra"/>
    <x v="4"/>
    <m/>
    <x v="0"/>
    <n v="314181478"/>
    <m/>
    <n v="-27500"/>
    <s v="Set documentos"/>
  </r>
  <r>
    <s v="Traspaso De: Manuel Alejandro Jeldres Stuardo"/>
    <x v="3"/>
    <m/>
    <x v="0"/>
    <n v="314153978"/>
    <n v="200000"/>
    <m/>
    <s v="Reserva A-3"/>
  </r>
  <r>
    <s v="Traspaso A: Andres Rieutord"/>
    <x v="4"/>
    <m/>
    <x v="0"/>
    <n v="314353978"/>
    <m/>
    <n v="-10000"/>
    <m/>
  </r>
  <r>
    <s v="Cargo Por Aplicacion De Dividendo"/>
    <x v="2"/>
    <m/>
    <x v="4"/>
    <n v="314343978"/>
    <m/>
    <n v="-300775861"/>
    <m/>
  </r>
  <r>
    <s v="Traspaso A: Benjamin Lecaros"/>
    <x v="1"/>
    <m/>
    <x v="5"/>
    <n v="13568117"/>
    <m/>
    <n v="-140949"/>
    <s v="Reembolsa gastos viaje"/>
  </r>
  <r>
    <s v="Pago En Sii.cl*"/>
    <x v="1"/>
    <m/>
    <x v="0"/>
    <n v="13427168"/>
    <m/>
    <n v="-7563"/>
    <m/>
  </r>
  <r>
    <s v="Traspaso De: Distribuidora El Turco Limitada"/>
    <x v="3"/>
    <m/>
    <x v="0"/>
    <n v="13419605"/>
    <n v="1000000"/>
    <m/>
    <s v="Reserva 5 lotes Jorge Berna"/>
  </r>
  <r>
    <s v="Traspaso De: Carlos Alberto Cespedes Lopez"/>
    <x v="3"/>
    <m/>
    <x v="0"/>
    <n v="14419605"/>
    <n v="6600000"/>
    <m/>
    <s v="Pago cuota 1/3"/>
  </r>
  <r>
    <s v="Traspaso De: Rodolfo Andres Ramirez Ortiz"/>
    <x v="3"/>
    <s v="C11 - RODOLFO RAMÍREZ"/>
    <x v="0"/>
    <n v="21019605"/>
    <n v="200000"/>
    <m/>
    <s v="Reserva lote C-11"/>
  </r>
  <r>
    <s v="Pago Automatico Tarjeta De Credito"/>
    <x v="1"/>
    <m/>
    <x v="0"/>
    <n v="21219605"/>
    <m/>
    <n v="-901592"/>
    <m/>
  </r>
  <r>
    <s v="Traspaso A: Andres Rieutord"/>
    <x v="4"/>
    <m/>
    <x v="0"/>
    <n v="20318013"/>
    <m/>
    <n v="-60000"/>
    <m/>
  </r>
  <r>
    <s v="Traspaso De: Miguel Jesus Torres Agreda"/>
    <x v="3"/>
    <m/>
    <x v="0"/>
    <n v="20258013"/>
    <n v="200000"/>
    <m/>
    <s v="Reserva lote B3"/>
  </r>
  <r>
    <s v="Recaudacion Y Pagos De Servicios *"/>
    <x v="7"/>
    <m/>
    <x v="0"/>
    <n v="20458013"/>
    <m/>
    <n v="-20000000"/>
    <m/>
  </r>
  <r>
    <s v="Traspaso De: Maria Paz Martinez"/>
    <x v="3"/>
    <m/>
    <x v="0"/>
    <n v="458013"/>
    <n v="200000"/>
    <m/>
    <s v="Reserva B15"/>
  </r>
  <r>
    <s v="Traspaso De: Pamela De Lourdes Ruiz Garces"/>
    <x v="3"/>
    <m/>
    <x v="0"/>
    <n v="658013"/>
    <n v="200000"/>
    <m/>
    <s v="Reserva C7"/>
  </r>
  <r>
    <s v="Traspaso De: Karen Mabel Mardones Leiva"/>
    <x v="3"/>
    <m/>
    <x v="0"/>
    <n v="858013"/>
    <n v="200000"/>
    <m/>
    <s v="Reserva B4"/>
  </r>
  <r>
    <s v="Traspaso De: Blanca Del Pilar Rojas Bahamondes"/>
    <x v="3"/>
    <m/>
    <x v="0"/>
    <n v="1058013"/>
    <n v="200000"/>
    <m/>
    <s v="Reserva A12"/>
  </r>
  <r>
    <s v="Traspaso A: Benjamin Lecaros"/>
    <x v="1"/>
    <m/>
    <x v="5"/>
    <n v="1258013"/>
    <m/>
    <n v="-20000"/>
    <m/>
  </r>
  <r>
    <s v="Traspaso A: Benjamin Lecaros"/>
    <x v="1"/>
    <m/>
    <x v="5"/>
    <n v="1238013"/>
    <m/>
    <n v="-9691"/>
    <m/>
  </r>
  <r>
    <s v="Traspaso A: Benjamin Lecaros"/>
    <x v="1"/>
    <m/>
    <x v="5"/>
    <n v="1228322"/>
    <m/>
    <n v="-36069"/>
    <m/>
  </r>
  <r>
    <s v="Traspaso A: Benjamin Lecaros"/>
    <x v="1"/>
    <m/>
    <x v="5"/>
    <n v="1192253"/>
    <m/>
    <n v="-9528"/>
    <m/>
  </r>
  <r>
    <s v="Traspaso A: Andres Rieutord"/>
    <x v="4"/>
    <m/>
    <x v="0"/>
    <n v="1182725"/>
    <m/>
    <n v="-120000"/>
    <m/>
  </r>
  <r>
    <s v="Traspaso A: Felipe Chavez Torres"/>
    <x v="1"/>
    <m/>
    <x v="0"/>
    <n v="1062725"/>
    <m/>
    <n v="-259074"/>
    <m/>
  </r>
  <r>
    <s v="Traspaso A: Felipe Chavez Torres"/>
    <x v="1"/>
    <m/>
    <x v="0"/>
    <n v="803651"/>
    <m/>
    <n v="-260000"/>
    <m/>
  </r>
  <r>
    <s v="Traspaso A: Andres Rieutord"/>
    <x v="4"/>
    <m/>
    <x v="0"/>
    <n v="543651"/>
    <m/>
    <n v="-50000"/>
    <m/>
  </r>
  <r>
    <s v="Traspaso De: Francisco Javier Flore"/>
    <x v="3"/>
    <m/>
    <x v="0"/>
    <n v="493651"/>
    <n v="200000"/>
    <m/>
    <s v="Reserva B2 Francisco"/>
  </r>
  <r>
    <s v="Traspaso De: Roberto Andres Traslavina Lopez"/>
    <x v="3"/>
    <m/>
    <x v="0"/>
    <n v="693651"/>
    <n v="200000"/>
    <m/>
    <s v="Reserva C-14 Roberto"/>
  </r>
  <r>
    <s v="Traspaso De: Cristina Adela Ochoa Adamas"/>
    <x v="3"/>
    <m/>
    <x v="0"/>
    <n v="893651"/>
    <n v="200000"/>
    <m/>
    <s v="Reserva C-1 Cristina"/>
  </r>
  <r>
    <s v="Pago: Inversiones 0965712208"/>
    <x v="7"/>
    <m/>
    <x v="0"/>
    <n v="1093651"/>
    <n v="5000001"/>
    <m/>
    <m/>
  </r>
  <r>
    <s v="Traspaso De: Cifuentes Ortiz Natalia Andrea"/>
    <x v="3"/>
    <m/>
    <x v="0"/>
    <n v="6093652"/>
    <n v="200000"/>
    <m/>
    <s v="Reserva C-12 Natalia"/>
  </r>
  <r>
    <s v="Traspaso A: Geotim Ltda"/>
    <x v="1"/>
    <m/>
    <x v="0"/>
    <n v="6293652"/>
    <m/>
    <n v="-5000000"/>
    <s v="Caminos"/>
  </r>
  <r>
    <s v="Traspaso A: Geotim Ltda"/>
    <x v="1"/>
    <m/>
    <x v="0"/>
    <n v="1293652"/>
    <m/>
    <n v="-950000"/>
    <s v="Caminos"/>
  </r>
  <r>
    <s v="Traspaso A: Andres Rieutord"/>
    <x v="4"/>
    <m/>
    <x v="0"/>
    <n v="343652"/>
    <m/>
    <n v="-120000"/>
    <m/>
  </r>
  <r>
    <s v="Traspaso A: Conrad Pablo Zlch Parra"/>
    <x v="4"/>
    <m/>
    <x v="0"/>
    <n v="223652"/>
    <m/>
    <n v="-27500"/>
    <m/>
  </r>
  <r>
    <s v="Traspaso A: Asesorias Ecox Spa"/>
    <x v="1"/>
    <m/>
    <x v="0"/>
    <n v="196152"/>
    <m/>
    <n v="-100000"/>
    <m/>
  </r>
  <r>
    <s v="Pago: Inversiones 0965712208"/>
    <x v="7"/>
    <m/>
    <x v="0"/>
    <n v="96152"/>
    <n v="6000001"/>
    <m/>
    <m/>
  </r>
  <r>
    <s v="Deposito En Efectivo N° 5584602"/>
    <x v="3"/>
    <s v="B9 - RODOLFO UTRERAS"/>
    <x v="0"/>
    <n v="6096153"/>
    <n v="7000000"/>
    <m/>
    <s v="Pie parcela B-9 Rodolfo"/>
  </r>
  <r>
    <s v="Traspaso A: Asesorias Ecox Spa"/>
    <x v="1"/>
    <m/>
    <x v="0"/>
    <n v="13096153"/>
    <m/>
    <n v="-4000000"/>
    <m/>
  </r>
  <r>
    <s v="Traspaso A: Geotim Ltda"/>
    <x v="1"/>
    <m/>
    <x v="0"/>
    <n v="9096153"/>
    <m/>
    <n v="-1900000"/>
    <s v="Caminos"/>
  </r>
  <r>
    <s v="Recaudacion Y Pagos De Servicios *"/>
    <x v="7"/>
    <m/>
    <x v="0"/>
    <n v="7196153"/>
    <m/>
    <n v="-7000000"/>
    <m/>
  </r>
  <r>
    <s v="Traspaso De: Lisssette Patricia Riquelme Martinez"/>
    <x v="3"/>
    <m/>
    <x v="0"/>
    <n v="196153"/>
    <n v="4800000"/>
    <m/>
    <s v="Pie parcela B7"/>
  </r>
  <r>
    <s v="Traspaso De: Francisca Fernanda San Martin Peralta"/>
    <x v="3"/>
    <m/>
    <x v="0"/>
    <n v="4996153"/>
    <n v="200000"/>
    <m/>
    <s v="Reserva B10"/>
  </r>
  <r>
    <s v="Traspaso A: Benjamin Lecaros"/>
    <x v="1"/>
    <m/>
    <x v="5"/>
    <n v="5196153"/>
    <m/>
    <n v="-1710000"/>
    <m/>
  </r>
  <r>
    <s v="Recaudacion Y Pagos De Servicios *"/>
    <x v="7"/>
    <m/>
    <x v="0"/>
    <n v="3486153"/>
    <m/>
    <n v="-3300000"/>
    <m/>
  </r>
  <r>
    <s v="Pago Automatico Tarjeta De Credito"/>
    <x v="1"/>
    <m/>
    <x v="0"/>
    <n v="186153"/>
    <m/>
    <n v="-1175879"/>
    <m/>
  </r>
  <r>
    <s v="Transferencia Desde Linea De Credito"/>
    <x v="6"/>
    <m/>
    <x v="0"/>
    <n v="-989726"/>
    <n v="989726"/>
    <m/>
    <m/>
  </r>
  <r>
    <s v="Traspaso De: Francisco Javier Flore"/>
    <x v="3"/>
    <m/>
    <x v="0"/>
    <n v="0"/>
    <n v="200000"/>
    <m/>
    <m/>
  </r>
  <r>
    <s v="Traspaso A: Andres Rieutord"/>
    <x v="4"/>
    <m/>
    <x v="0"/>
    <n v="200000"/>
    <m/>
    <n v="-50000"/>
    <m/>
  </r>
  <r>
    <s v="Traspaso A: Andres Rieutord"/>
    <x v="4"/>
    <m/>
    <x v="0"/>
    <n v="150000"/>
    <m/>
    <n v="-60000"/>
    <m/>
  </r>
  <r>
    <s v="Traspaso De: Carlos Alberto Cespedes Lopez"/>
    <x v="3"/>
    <m/>
    <x v="0"/>
    <n v="90000"/>
    <n v="6600000"/>
    <m/>
    <m/>
  </r>
  <r>
    <s v="Recaudacion Y Pagos De Servicios *"/>
    <x v="7"/>
    <m/>
    <x v="0"/>
    <n v="6690000"/>
    <m/>
    <n v="-4600000"/>
    <m/>
  </r>
  <r>
    <s v="Amortizacion A Linea De Credito"/>
    <x v="6"/>
    <m/>
    <x v="0"/>
    <n v="2090000"/>
    <m/>
    <n v="-989726"/>
    <m/>
  </r>
  <r>
    <s v="Pago En Tesoreria.cl*"/>
    <x v="5"/>
    <m/>
    <x v="0"/>
    <n v="1100274"/>
    <m/>
    <n v="-351268"/>
    <s v="Contribuciones cuota 1"/>
  </r>
  <r>
    <s v="Pago En Sii.cl*"/>
    <x v="5"/>
    <m/>
    <x v="0"/>
    <n v="749006"/>
    <m/>
    <n v="-439844"/>
    <m/>
  </r>
  <r>
    <s v="Traspaso De: Maritza Marcela Leiva Vera"/>
    <x v="3"/>
    <m/>
    <x v="0"/>
    <n v="309162"/>
    <n v="200000"/>
    <m/>
    <m/>
  </r>
  <r>
    <s v="Abono Por Reversa De Dividendo"/>
    <x v="2"/>
    <m/>
    <x v="4"/>
    <n v="509162"/>
    <n v="17570170"/>
    <m/>
    <m/>
  </r>
  <r>
    <s v="Recaudacion Y Pagos De Servicios *"/>
    <x v="7"/>
    <m/>
    <x v="0"/>
    <n v="18079332"/>
    <m/>
    <n v="-16000000"/>
    <m/>
  </r>
  <r>
    <s v="Traspaso A: Geotim Ltda"/>
    <x v="1"/>
    <m/>
    <x v="0"/>
    <n v="2079332"/>
    <m/>
    <n v="-1309000"/>
    <s v="ADELANTO REPLANTEO"/>
  </r>
  <r>
    <s v="Traspaso De: Cecilia Adelaida Villagra Villagra"/>
    <x v="3"/>
    <m/>
    <x v="0"/>
    <n v="770332"/>
    <n v="200000"/>
    <m/>
    <s v="Reserva C10"/>
  </r>
  <r>
    <s v="Traspaso De: Juan Esteban Sanchez Bascur"/>
    <x v="3"/>
    <m/>
    <x v="0"/>
    <n v="970332"/>
    <n v="200000"/>
    <m/>
    <s v="Reserva C9"/>
  </r>
  <r>
    <s v="Traspaso A: Conrad Pablo Zlch Parra"/>
    <x v="4"/>
    <m/>
    <x v="0"/>
    <n v="1170332"/>
    <m/>
    <n v="-177500"/>
    <m/>
  </r>
  <r>
    <s v="Traspaso A: Andres Rieutord"/>
    <x v="4"/>
    <m/>
    <x v="0"/>
    <n v="992832"/>
    <m/>
    <n v="-90000"/>
    <m/>
  </r>
  <r>
    <s v="Traspaso A: Conrad Pablo Zlch Parra"/>
    <x v="4"/>
    <m/>
    <x v="0"/>
    <n v="902832"/>
    <m/>
    <n v="-35500"/>
    <m/>
  </r>
  <r>
    <s v="Deposito En Efectivo N° 8860669"/>
    <x v="3"/>
    <m/>
    <x v="0"/>
    <n v="867332"/>
    <n v="19800000"/>
    <m/>
    <s v="B12 claudio Quezada"/>
  </r>
  <r>
    <s v="Dep.cheq.otros Bancos N° 4543970"/>
    <x v="3"/>
    <m/>
    <x v="0"/>
    <n v="20667332"/>
    <n v="84200000"/>
    <m/>
    <s v="B6, B16, A15, A9"/>
  </r>
  <r>
    <s v="Traspaso De: Manzano Ruiz Cristian Osvaldo"/>
    <x v="3"/>
    <m/>
    <x v="0"/>
    <n v="104867332"/>
    <n v="200000"/>
    <m/>
    <s v="Reserva parcela C8"/>
  </r>
  <r>
    <s v="Dep.cheq.otros Bancos N° 4543994"/>
    <x v="3"/>
    <m/>
    <x v="0"/>
    <n v="105067332"/>
    <n v="19800000"/>
    <m/>
    <s v="B13 Carlos San Martin"/>
  </r>
  <r>
    <s v="Traspaso A: Benjamin Lecaros"/>
    <x v="1"/>
    <m/>
    <x v="5"/>
    <n v="124867332"/>
    <m/>
    <n v="-3420000"/>
    <s v="Asesoria venta A9 B12 B13 B16"/>
  </r>
  <r>
    <s v="Traspaso De: Valentina Michelle Aranda Espinoza"/>
    <x v="3"/>
    <s v="A5 - VALENTINA ARANDA"/>
    <x v="0"/>
    <n v="121447332"/>
    <n v="1125465"/>
    <m/>
    <s v="Cuota 1/24"/>
  </r>
  <r>
    <s v="Pago: Inversiones 0965712208"/>
    <x v="7"/>
    <m/>
    <x v="0"/>
    <n v="122572797"/>
    <n v="40028395"/>
    <m/>
    <m/>
  </r>
  <r>
    <s v="Traspaso A: Dominique Hiriart"/>
    <x v="2"/>
    <m/>
    <x v="7"/>
    <n v="162601192"/>
    <m/>
    <n v="-5000000"/>
    <m/>
  </r>
  <r>
    <s v="Traspaso A: Dominique Hiriart"/>
    <x v="2"/>
    <m/>
    <x v="7"/>
    <n v="157601192"/>
    <m/>
    <n v="-5000000"/>
    <m/>
  </r>
  <r>
    <s v="Traspaso A: Dominique Hiriart"/>
    <x v="2"/>
    <m/>
    <x v="7"/>
    <n v="152601192"/>
    <m/>
    <n v="-5000000"/>
    <m/>
  </r>
  <r>
    <s v="Traspaso A: Dominique Hiriart"/>
    <x v="2"/>
    <m/>
    <x v="7"/>
    <n v="147601192"/>
    <m/>
    <n v="-5000000"/>
    <m/>
  </r>
  <r>
    <s v="Traspaso A: Dominique Hiriart"/>
    <x v="2"/>
    <m/>
    <x v="7"/>
    <n v="142601192"/>
    <m/>
    <n v="-5000000"/>
    <m/>
  </r>
  <r>
    <s v="Traspaso A: Dominique Hiriart"/>
    <x v="2"/>
    <m/>
    <x v="7"/>
    <n v="137601192"/>
    <m/>
    <n v="-5000000"/>
    <m/>
  </r>
  <r>
    <s v="Traspaso A: Dominique Hiriart"/>
    <x v="2"/>
    <m/>
    <x v="7"/>
    <n v="132601192"/>
    <m/>
    <n v="-5000000"/>
    <m/>
  </r>
  <r>
    <s v="Traspaso A: Dominique Hiriart"/>
    <x v="2"/>
    <m/>
    <x v="7"/>
    <n v="127601192"/>
    <m/>
    <n v="-5000000"/>
    <m/>
  </r>
  <r>
    <s v="Traspaso A: Dominique Hiriart"/>
    <x v="2"/>
    <m/>
    <x v="7"/>
    <n v="122601192"/>
    <m/>
    <n v="-5000000"/>
    <m/>
  </r>
  <r>
    <s v="Traspaso A: Dominique Hiriart"/>
    <x v="2"/>
    <m/>
    <x v="7"/>
    <n v="117601192"/>
    <m/>
    <n v="-5000000"/>
    <m/>
  </r>
  <r>
    <s v="Traspaso A: Dominique Hiriart"/>
    <x v="2"/>
    <m/>
    <x v="7"/>
    <n v="112601192"/>
    <m/>
    <n v="-5000000"/>
    <m/>
  </r>
  <r>
    <s v="Traspaso A: Dominique Hiriart"/>
    <x v="2"/>
    <m/>
    <x v="7"/>
    <n v="107601192"/>
    <m/>
    <n v="-5000000"/>
    <m/>
  </r>
  <r>
    <s v="Traspaso A: Dominique Hiriart"/>
    <x v="2"/>
    <m/>
    <x v="7"/>
    <n v="102601192"/>
    <m/>
    <n v="-5000000"/>
    <m/>
  </r>
  <r>
    <s v="Traspaso A: Dominique Hiriart"/>
    <x v="2"/>
    <m/>
    <x v="7"/>
    <n v="97601192"/>
    <m/>
    <n v="-5000000"/>
    <m/>
  </r>
  <r>
    <s v="Traspaso A: Dominique Hiriart"/>
    <x v="2"/>
    <m/>
    <x v="7"/>
    <n v="92601192"/>
    <m/>
    <n v="-5000000"/>
    <m/>
  </r>
  <r>
    <s v="Traspaso A: Dominique Hiriart"/>
    <x v="2"/>
    <m/>
    <x v="7"/>
    <n v="87601192"/>
    <m/>
    <n v="-5000000"/>
    <m/>
  </r>
  <r>
    <s v="Traspaso A: Dominique Hiriart"/>
    <x v="2"/>
    <m/>
    <x v="7"/>
    <n v="82601192"/>
    <m/>
    <n v="-5000000"/>
    <m/>
  </r>
  <r>
    <s v="Traspaso A: Dominique Hiriart"/>
    <x v="2"/>
    <m/>
    <x v="7"/>
    <n v="77601192"/>
    <m/>
    <n v="-5000000"/>
    <m/>
  </r>
  <r>
    <s v="Traspaso A: Dominique Hiriart"/>
    <x v="2"/>
    <m/>
    <x v="7"/>
    <n v="72601192"/>
    <m/>
    <n v="-5000000"/>
    <m/>
  </r>
  <r>
    <s v="Traspaso A: Dominique Hiriart"/>
    <x v="2"/>
    <m/>
    <x v="7"/>
    <n v="67601192"/>
    <m/>
    <n v="-5000000"/>
    <m/>
  </r>
  <r>
    <s v="Traspaso A: Dominique Hiriart"/>
    <x v="2"/>
    <m/>
    <x v="7"/>
    <n v="62601192"/>
    <m/>
    <n v="-5000000"/>
    <m/>
  </r>
  <r>
    <s v="Traspaso A: Dominique Hiriart"/>
    <x v="2"/>
    <m/>
    <x v="7"/>
    <n v="57601192"/>
    <m/>
    <n v="-5000000"/>
    <m/>
  </r>
  <r>
    <s v="Traspaso A: Dominique Hiriart"/>
    <x v="2"/>
    <m/>
    <x v="7"/>
    <n v="52601192"/>
    <m/>
    <n v="-5000000"/>
    <m/>
  </r>
  <r>
    <s v="Traspaso A: Dominique Hiriart"/>
    <x v="2"/>
    <m/>
    <x v="7"/>
    <n v="47601192"/>
    <m/>
    <n v="-5000000"/>
    <m/>
  </r>
  <r>
    <s v="Traspaso A: Dominique Hiriart"/>
    <x v="2"/>
    <m/>
    <x v="7"/>
    <n v="42601192"/>
    <m/>
    <n v="-5000000"/>
    <m/>
  </r>
  <r>
    <s v="Traspaso A: Dominique Hiriart"/>
    <x v="2"/>
    <m/>
    <x v="7"/>
    <n v="37601192"/>
    <m/>
    <n v="-5000000"/>
    <m/>
  </r>
  <r>
    <s v="Traspaso A: Dominique Hiriart"/>
    <x v="2"/>
    <m/>
    <x v="7"/>
    <n v="32601192"/>
    <m/>
    <n v="-5000000"/>
    <m/>
  </r>
  <r>
    <s v="Traspaso A: Dominique Hiriart"/>
    <x v="2"/>
    <m/>
    <x v="7"/>
    <n v="27601192"/>
    <m/>
    <n v="-5000000"/>
    <m/>
  </r>
  <r>
    <s v="Traspaso A: Dominique Hiriart"/>
    <x v="2"/>
    <m/>
    <x v="7"/>
    <n v="22601192"/>
    <m/>
    <n v="-5000000"/>
    <m/>
  </r>
  <r>
    <s v="Traspaso A: Dominique Hiriart"/>
    <x v="2"/>
    <m/>
    <x v="7"/>
    <n v="17601192"/>
    <m/>
    <n v="-5000000"/>
    <m/>
  </r>
  <r>
    <s v="Traspaso A: Carlos Ciuffardi"/>
    <x v="1"/>
    <m/>
    <x v="0"/>
    <n v="12601192"/>
    <m/>
    <n v="-1068750"/>
    <s v="Comision venta A15"/>
  </r>
  <r>
    <s v="Traspaso A: La Nube Fotografia Ltda."/>
    <x v="1"/>
    <m/>
    <x v="0"/>
    <n v="11532442"/>
    <m/>
    <n v="-178500"/>
    <s v="actualizacion nube"/>
  </r>
  <r>
    <s v="Traspaso De: Rodolfo Alexis Utreras"/>
    <x v="3"/>
    <s v="B9 - RODOLFO UTRERAS"/>
    <x v="0"/>
    <n v="11353942"/>
    <n v="175000"/>
    <m/>
    <s v="Cuota 1/48"/>
  </r>
  <r>
    <s v="Traspaso A: Geotim Ltda"/>
    <x v="1"/>
    <m/>
    <x v="0"/>
    <n v="11528942"/>
    <m/>
    <n v="-800000"/>
    <s v="Comision venta B6"/>
  </r>
  <r>
    <s v="Traspaso A: Asesorias Ecox Spa"/>
    <x v="1"/>
    <m/>
    <x v="0"/>
    <n v="10728942"/>
    <m/>
    <n v="-4000000"/>
    <m/>
  </r>
  <r>
    <s v="Traspaso A: Asesorias Ecox Spa"/>
    <x v="1"/>
    <m/>
    <x v="0"/>
    <n v="6728942"/>
    <m/>
    <n v="-100000"/>
    <s v="Servicio contable"/>
  </r>
  <r>
    <s v="Impuesto Linea De Credito"/>
    <x v="6"/>
    <m/>
    <x v="0"/>
    <n v="6628942"/>
    <m/>
    <n v="-653"/>
    <m/>
  </r>
  <r>
    <s v="Intereses Linea De Credito"/>
    <x v="6"/>
    <m/>
    <x v="0"/>
    <n v="6628289"/>
    <m/>
    <n v="-473"/>
    <m/>
  </r>
  <r>
    <s v="Traspaso A: Benjamin Lecaros"/>
    <x v="1"/>
    <m/>
    <x v="5"/>
    <n v="6627816"/>
    <m/>
    <n v="-2565000"/>
    <s v="Asesoria venta A5 A10 C15"/>
  </r>
  <r>
    <s v="Traspaso A: Hector Varela"/>
    <x v="1"/>
    <m/>
    <x v="0"/>
    <n v="4062816"/>
    <m/>
    <n v="-141152"/>
    <s v="Reembolsa gastos bencina"/>
  </r>
  <r>
    <s v="Traspaso A: Conrad Pablo Zlch Parra"/>
    <x v="4"/>
    <m/>
    <x v="0"/>
    <n v="3921664"/>
    <m/>
    <n v="-155500"/>
    <m/>
  </r>
  <r>
    <s v="Traspaso A: Andres Rieutord"/>
    <x v="4"/>
    <m/>
    <x v="0"/>
    <n v="3766164"/>
    <m/>
    <n v="-60000"/>
    <m/>
  </r>
  <r>
    <s v="Traspaso A: Pamela Ruiz"/>
    <x v="3"/>
    <m/>
    <x v="0"/>
    <n v="3706164"/>
    <m/>
    <n v="-200000"/>
    <s v="Reembolso reserva C7"/>
  </r>
  <r>
    <s v="Pago Automatico Tarjeta De Credito"/>
    <x v="1"/>
    <m/>
    <x v="0"/>
    <n v="3506164"/>
    <m/>
    <n v="-1334208"/>
    <m/>
  </r>
  <r>
    <s v="Traspaso De: Carlos Alberto Cespedes Lopez"/>
    <x v="3"/>
    <m/>
    <x v="0"/>
    <n v="2171956"/>
    <n v="6600000"/>
    <m/>
    <m/>
  </r>
  <r>
    <s v="Recaudacion Y Pagos De Servicios *"/>
    <x v="7"/>
    <m/>
    <x v="0"/>
    <n v="8771956"/>
    <m/>
    <n v="-7500000"/>
    <m/>
  </r>
  <r>
    <s v="Traspaso A: Jorge Ignacio Troncoso Vidal"/>
    <x v="1"/>
    <m/>
    <x v="0"/>
    <n v="1271956"/>
    <m/>
    <n v="-50000"/>
    <s v="Firma en valdivia"/>
  </r>
  <r>
    <s v="Pago En Sii.cl*"/>
    <x v="5"/>
    <m/>
    <x v="0"/>
    <n v="1221956"/>
    <m/>
    <n v="-1232157"/>
    <m/>
  </r>
  <r>
    <s v="Transferencia Desde Linea De Credito"/>
    <x v="6"/>
    <m/>
    <x v="0"/>
    <n v="-10201"/>
    <n v="10201"/>
    <m/>
    <m/>
  </r>
  <r>
    <s v="Traspaso De: Molina Saavedra Alberto Ricardo"/>
    <x v="3"/>
    <m/>
    <x v="0"/>
    <n v="0"/>
    <n v="200000"/>
    <m/>
    <s v="Reserva B-11"/>
  </r>
  <r>
    <s v="Pago Linea De Cred: 018870277108"/>
    <x v="6"/>
    <m/>
    <x v="0"/>
    <n v="200000"/>
    <m/>
    <n v="-10201"/>
    <m/>
  </r>
  <r>
    <s v="Traspaso A: Jorge Ignacio Troncoso Vidal"/>
    <x v="1"/>
    <m/>
    <x v="0"/>
    <n v="189799"/>
    <m/>
    <n v="-50000"/>
    <s v="Firma en valdivia"/>
  </r>
  <r>
    <s v="Traspaso De: Ximena Paz Ormazabal Canelo"/>
    <x v="3"/>
    <m/>
    <x v="0"/>
    <n v="139799"/>
    <n v="200000"/>
    <m/>
    <s v="Reserva C-14"/>
  </r>
  <r>
    <s v="Traspaso A: Rodrigo Rojas Castillo"/>
    <x v="4"/>
    <m/>
    <x v="0"/>
    <n v="339799"/>
    <m/>
    <n v="-133500"/>
    <s v="notaria San pedro de la paz"/>
  </r>
  <r>
    <s v="Traspaso De: Distribuidora El Turco Limitada"/>
    <x v="3"/>
    <m/>
    <x v="0"/>
    <n v="206299"/>
    <n v="7000000"/>
    <m/>
    <s v="Pago 1 de 4 Pie 4 lotes"/>
  </r>
  <r>
    <s v="Traspaso De: Distribuidora El Turco Limitada"/>
    <x v="3"/>
    <m/>
    <x v="0"/>
    <n v="7206299"/>
    <n v="3000000"/>
    <m/>
    <s v="Pago 2 de 4 Pie 4 lotes"/>
  </r>
  <r>
    <s v="Traspaso A: Jorge Ignacio Troncoso Vidal"/>
    <x v="1"/>
    <m/>
    <x v="0"/>
    <n v="10206299"/>
    <m/>
    <n v="-50000"/>
    <s v="Firma en Osorno"/>
  </r>
  <r>
    <s v="Traspaso A: Jorge Ignacio Troncoso Vidal"/>
    <x v="1"/>
    <m/>
    <x v="0"/>
    <n v="10156299"/>
    <m/>
    <n v="-47000"/>
    <s v="Reembolsa gastos a Osorno"/>
  </r>
  <r>
    <s v="Traspaso De: Miguel Bernales Bernales"/>
    <x v="3"/>
    <m/>
    <x v="0"/>
    <n v="10109299"/>
    <n v="200000"/>
    <m/>
    <s v="Reserva C-1"/>
  </r>
  <r>
    <s v="Traspaso De: Evelyn Paola Galarce Gonzalez"/>
    <x v="3"/>
    <m/>
    <x v="0"/>
    <n v="10309299"/>
    <n v="200000"/>
    <m/>
    <s v="Reserva C-4"/>
  </r>
  <r>
    <s v="Recaudacion Y Pagos De Servicios *"/>
    <x v="7"/>
    <m/>
    <x v="0"/>
    <n v="10509299"/>
    <m/>
    <n v="-10000000"/>
    <m/>
  </r>
  <r>
    <s v="Traspaso De: Rodolfo Andres Ramirez Ortiz"/>
    <x v="3"/>
    <s v="C11 - RODOLFO RAMÍREZ"/>
    <x v="0"/>
    <n v="509299"/>
    <n v="4800000"/>
    <m/>
    <s v="Pie parcela C-11"/>
  </r>
  <r>
    <s v="Traspaso A: Felipe Hiriart"/>
    <x v="1"/>
    <m/>
    <x v="0"/>
    <n v="5309299"/>
    <m/>
    <n v="-149376"/>
    <s v="Rendición pasaje Lan a Osorno"/>
  </r>
  <r>
    <s v="Traspaso A: Felipe Hiriart"/>
    <x v="1"/>
    <m/>
    <x v="0"/>
    <n v="5159923"/>
    <m/>
    <n v="-133816"/>
    <s v="Rendición pasaje Lan a Stgo"/>
  </r>
  <r>
    <s v="Traspaso A: Felipe Hiriart"/>
    <x v="1"/>
    <m/>
    <x v="0"/>
    <n v="5026107"/>
    <m/>
    <n v="-152656"/>
    <s v="Arriendo auto Osorno"/>
  </r>
  <r>
    <s v="Traspaso De: Miguel Angel Cortes Grego"/>
    <x v="3"/>
    <m/>
    <x v="0"/>
    <n v="4873451"/>
    <n v="200000"/>
    <m/>
    <s v="Reserva C-13"/>
  </r>
  <r>
    <s v="Traspaso De: Bernales Vergara Miguel Eduardo"/>
    <x v="3"/>
    <m/>
    <x v="0"/>
    <n v="5073451"/>
    <n v="21800000"/>
    <m/>
    <s v="Pago parcela C-1"/>
  </r>
  <r>
    <s v="Recaudacion Y Pagos De Servicios *"/>
    <x v="7"/>
    <m/>
    <x v="0"/>
    <n v="26873451"/>
    <m/>
    <n v="-25000000"/>
    <m/>
  </r>
  <r>
    <s v="Traspaso De: Moncada Sandoval Pedro Simon"/>
    <x v="3"/>
    <m/>
    <x v="0"/>
    <n v="1873451"/>
    <n v="300000"/>
    <m/>
    <s v="Pie parcela C8"/>
  </r>
  <r>
    <s v="Traspaso A: Brayans Stegmayer"/>
    <x v="1"/>
    <m/>
    <x v="0"/>
    <n v="2173451"/>
    <m/>
    <n v="-500000"/>
    <m/>
  </r>
  <r>
    <s v="Traspaso A: Felipe Hiriart"/>
    <x v="1"/>
    <m/>
    <x v="0"/>
    <n v="1673451"/>
    <m/>
    <n v="-590166"/>
    <s v="gastos viaje"/>
  </r>
  <r>
    <s v="Traspaso A: Pedro Lecaros"/>
    <x v="1"/>
    <m/>
    <x v="0"/>
    <n v="1083285"/>
    <m/>
    <n v="-50990"/>
    <s v="viaje"/>
  </r>
  <r>
    <s v="Traspaso De: Moncada Sandoval Pedro Simon"/>
    <x v="3"/>
    <m/>
    <x v="0"/>
    <n v="1032295"/>
    <n v="4500000"/>
    <m/>
    <s v="Pie parcela C8"/>
  </r>
  <r>
    <s v="Traspaso A: Carlos Ciuffardi"/>
    <x v="1"/>
    <m/>
    <x v="0"/>
    <n v="5532295"/>
    <m/>
    <n v="-940500"/>
    <s v="Comision B-5"/>
  </r>
  <r>
    <s v="Traspaso A: Jorge Ignacio Troncoso Vidal"/>
    <x v="1"/>
    <m/>
    <x v="0"/>
    <n v="4591795"/>
    <m/>
    <n v="-50000"/>
    <s v="Firma en Valdivia"/>
  </r>
  <r>
    <s v="Traspaso De: Rodolfo Andres Ramirez Ortiz"/>
    <x v="1"/>
    <s v="C11 - RODOLFO RAMÍREZ"/>
    <x v="0"/>
    <n v="4541795"/>
    <n v="313500"/>
    <m/>
    <s v="Transfiere para pago CBR"/>
  </r>
  <r>
    <s v="Traspaso De: Rodolfo Andres Ramirez Ortiz"/>
    <x v="1"/>
    <s v="C11 - RODOLFO RAMÍREZ"/>
    <x v="0"/>
    <n v="4855295"/>
    <n v="1000"/>
    <m/>
    <m/>
  </r>
  <r>
    <s v="Traspaso A: Felipe Hiriart"/>
    <x v="1"/>
    <m/>
    <x v="0"/>
    <n v="4856295"/>
    <m/>
    <n v="-499026"/>
    <s v="Rendicion 3 viaje a Osorno 29 mayo 25"/>
  </r>
  <r>
    <s v="Traspaso A: Conrad Pablo Zlch Parra"/>
    <x v="1"/>
    <m/>
    <x v="0"/>
    <n v="4357269"/>
    <m/>
    <n v="-313500"/>
    <s v="Pago inscripcion lote C11"/>
  </r>
  <r>
    <s v="Dep.cheq.otros Bancos N° 3456941"/>
    <x v="3"/>
    <m/>
    <x v="0"/>
    <n v="4043769"/>
    <n v="21300000"/>
    <m/>
    <s v="B5"/>
  </r>
  <r>
    <s v="Traspaso De: Maria Salome Ramos"/>
    <x v="3"/>
    <m/>
    <x v="0"/>
    <n v="25343769"/>
    <n v="200000"/>
    <m/>
    <s v="Reserva C7"/>
  </r>
  <r>
    <s v="Traspaso De: Valentina Michelle Aranda Espinoza"/>
    <x v="3"/>
    <s v="A5 - VALENTINA ARANDA"/>
    <x v="0"/>
    <n v="25543769"/>
    <n v="1125465"/>
    <m/>
    <s v="Cuota 2/24"/>
  </r>
  <r>
    <s v="Traspaso A: Asesorias Ecox Spa"/>
    <x v="1"/>
    <m/>
    <x v="0"/>
    <n v="26669234"/>
    <m/>
    <n v="-100000"/>
    <s v="Servicio contable"/>
  </r>
  <r>
    <s v="Traspaso A: Asesorias Ecox Spa"/>
    <x v="1"/>
    <m/>
    <x v="0"/>
    <n v="26569234"/>
    <m/>
    <n v="-4000000"/>
    <m/>
  </r>
  <r>
    <s v="Traspaso De: Molina Saavedra Alberto Ricardo"/>
    <x v="3"/>
    <m/>
    <x v="0"/>
    <n v="22569234"/>
    <n v="4500000"/>
    <m/>
    <s v="Pago 1 de 5 parcela B11"/>
  </r>
  <r>
    <s v="Traspaso A: Sindy Danaee Sandoval Vega"/>
    <x v="1"/>
    <m/>
    <x v="0"/>
    <n v="27069234"/>
    <m/>
    <n v="-752400"/>
    <s v="Comision venta C1"/>
  </r>
  <r>
    <s v="Traspaso A: Geotim Ltda"/>
    <x v="1"/>
    <m/>
    <x v="0"/>
    <n v="26316834"/>
    <m/>
    <n v="-3234800"/>
    <s v="Caminos"/>
  </r>
  <r>
    <s v="Traspaso A: Geotim Ltda"/>
    <x v="1"/>
    <m/>
    <x v="0"/>
    <n v="23082034"/>
    <m/>
    <n v="-1406580"/>
    <s v="Estacas replanteo"/>
  </r>
  <r>
    <s v="Traspaso A: Geotim Ltda"/>
    <x v="1"/>
    <m/>
    <x v="0"/>
    <n v="21675454"/>
    <m/>
    <n v="-5000000"/>
    <s v="Caminos"/>
  </r>
  <r>
    <s v="Traspaso A: Brayans Stegmayer"/>
    <x v="1"/>
    <m/>
    <x v="0"/>
    <n v="16675454"/>
    <m/>
    <n v="-500000"/>
    <m/>
  </r>
  <r>
    <s v="Traspaso De: Molina Saavedra Alberto Ricardo"/>
    <x v="3"/>
    <m/>
    <x v="0"/>
    <n v="16175454"/>
    <n v="4500000"/>
    <m/>
    <s v="Pago 2 de 5 parcela B11"/>
  </r>
  <r>
    <s v="Traspaso A: Carlos Ciuffardi"/>
    <x v="1"/>
    <m/>
    <x v="0"/>
    <n v="20675454"/>
    <m/>
    <n v="-919125"/>
    <s v="Comision A3"/>
  </r>
  <r>
    <s v="Traspaso A: Benjamin Lecaros"/>
    <x v="1"/>
    <m/>
    <x v="5"/>
    <n v="19756329"/>
    <m/>
    <n v="-855000"/>
    <m/>
  </r>
  <r>
    <s v="Impuesto Linea De Credito"/>
    <x v="6"/>
    <m/>
    <x v="0"/>
    <n v="18901329"/>
    <m/>
    <n v="-7"/>
    <m/>
  </r>
  <r>
    <s v="Intereses Linea De Credito"/>
    <x v="6"/>
    <m/>
    <x v="0"/>
    <n v="18901322"/>
    <m/>
    <n v="-5"/>
    <m/>
  </r>
  <r>
    <s v="Traspaso A: Hector Varela"/>
    <x v="1"/>
    <m/>
    <x v="0"/>
    <n v="18901317"/>
    <m/>
    <n v="-216140"/>
    <s v="Reembolsa gastos"/>
  </r>
  <r>
    <s v="Recaudacion Y Pagos De Servicios *"/>
    <x v="7"/>
    <m/>
    <x v="0"/>
    <n v="18685177"/>
    <m/>
    <n v="-18000000"/>
    <m/>
  </r>
  <r>
    <s v="Traspaso De: Rodolfo Alexis Utreras"/>
    <x v="3"/>
    <s v="B9 - RODOLFO UTRERAS"/>
    <x v="0"/>
    <n v="685177"/>
    <n v="375000"/>
    <m/>
    <s v="Cuota 2/48"/>
  </r>
  <r>
    <s v="Deposito En Efectivo N° 8024900"/>
    <x v="3"/>
    <m/>
    <x v="0"/>
    <n v="1060177"/>
    <n v="20000000"/>
    <m/>
    <s v="B15"/>
  </r>
  <r>
    <s v="Traspaso A: Maria Martinez"/>
    <x v="3"/>
    <m/>
    <x v="0"/>
    <n v="21060177"/>
    <m/>
    <n v="-44500"/>
    <s v="Reembolsa saldo a favor parcela B-15"/>
  </r>
  <r>
    <s v="Dep.cheq.otros Bancos N° 8024899"/>
    <x v="3"/>
    <m/>
    <x v="0"/>
    <n v="21015677"/>
    <n v="41100000"/>
    <m/>
    <s v="B3 y B14"/>
  </r>
  <r>
    <s v="Dep.cheq.otros Bancos N° 6576926"/>
    <x v="3"/>
    <m/>
    <x v="0"/>
    <n v="62115677"/>
    <n v="21800000"/>
    <m/>
    <s v="A3"/>
  </r>
  <r>
    <s v="Traspaso A: Denis Marcelo Bustos Fuentealba"/>
    <x v="1"/>
    <m/>
    <x v="0"/>
    <n v="83915677"/>
    <m/>
    <n v="-75000"/>
    <s v="Firma Temuco"/>
  </r>
  <r>
    <s v="Traspaso De: Molina Saavedra Alberto Ricardo"/>
    <x v="3"/>
    <m/>
    <x v="0"/>
    <n v="83840677"/>
    <n v="4500000"/>
    <m/>
    <s v="Pago 3 de 5 parcela B11"/>
  </r>
  <r>
    <s v="Pago: Inversiones 0965712208"/>
    <x v="7"/>
    <m/>
    <x v="0"/>
    <n v="88340677"/>
    <n v="18000000"/>
    <m/>
    <m/>
  </r>
  <r>
    <s v="Pago: Inversiones 0965712208"/>
    <x v="7"/>
    <m/>
    <x v="0"/>
    <n v="106340677"/>
    <n v="23000001"/>
    <m/>
    <m/>
  </r>
  <r>
    <s v="Traspaso De: Cifuentes Ortiz Natalia Andrea"/>
    <x v="1"/>
    <m/>
    <x v="0"/>
    <n v="129340678"/>
    <n v="155500"/>
    <m/>
    <s v="Deposita para pagar a CBR Paillaco"/>
  </r>
  <r>
    <s v="Traspaso De: Molina Saavedra Alberto Ricardo"/>
    <x v="3"/>
    <m/>
    <x v="0"/>
    <n v="129496178"/>
    <n v="4500000"/>
    <m/>
    <m/>
  </r>
  <r>
    <s v="Traspaso A: Maria Paz Amenabar"/>
    <x v="1"/>
    <m/>
    <x v="0"/>
    <n v="133996178"/>
    <m/>
    <n v="-200000"/>
    <m/>
  </r>
  <r>
    <s v="Traspaso A: Conrad Pablo Zlch Parra"/>
    <x v="1"/>
    <m/>
    <x v="0"/>
    <n v="133796178"/>
    <m/>
    <n v="-155500"/>
    <s v="Pago inscripcion lote C12"/>
  </r>
  <r>
    <s v="Traspaso A: Andres Rieutord"/>
    <x v="3"/>
    <m/>
    <x v="0"/>
    <n v="133640678"/>
    <m/>
    <n v="-160000"/>
    <s v="Usa monto de saldo a favor de parcela C-13 para pago notaría"/>
  </r>
  <r>
    <s v="Traspaso A: Miguel Cortes"/>
    <x v="3"/>
    <m/>
    <x v="0"/>
    <n v="133480678"/>
    <m/>
    <n v="-40000"/>
    <s v="Reembolsa saldo a favor parcela C-13"/>
  </r>
  <r>
    <s v="Traspaso De: Lisssette Patricia Riquelme Martinez"/>
    <x v="3"/>
    <s v="B7 - LISSETTE RIQUELME"/>
    <x v="0"/>
    <n v="133440678"/>
    <n v="844174"/>
    <m/>
    <m/>
  </r>
  <r>
    <s v="Traspaso De: Molina Saavedra Alberto Ricardo"/>
    <x v="3"/>
    <m/>
    <x v="0"/>
    <n v="134284852"/>
    <n v="1800000"/>
    <m/>
    <m/>
  </r>
  <r>
    <s v="Traspaso A: Dominique Hiriart"/>
    <x v="2"/>
    <m/>
    <x v="7"/>
    <n v="136084852"/>
    <m/>
    <n v="-118348443"/>
    <s v="Paga deuda"/>
  </r>
  <r>
    <s v="Traspaso De: Juan Esteban Sanchez Bascur"/>
    <x v="3"/>
    <m/>
    <x v="0"/>
    <n v="17736409"/>
    <n v="4800000"/>
    <m/>
    <s v="Pie parcela C9"/>
  </r>
  <r>
    <s v="Traspaso A: Benjamin Lecaros"/>
    <x v="1"/>
    <m/>
    <x v="5"/>
    <n v="22536409"/>
    <m/>
    <n v="-2565000"/>
    <m/>
  </r>
  <r>
    <s v="Traspaso A: Carlos Ciuffardi"/>
    <x v="1"/>
    <m/>
    <x v="0"/>
    <n v="19971409"/>
    <m/>
    <n v="-1859625"/>
    <m/>
  </r>
  <r>
    <s v="Traspaso A: Martin Gouet"/>
    <x v="1"/>
    <m/>
    <x v="0"/>
    <n v="18111784"/>
    <m/>
    <n v="-50000"/>
    <s v="Firma de Puerto Montt"/>
  </r>
  <r>
    <s v="Recaudacion Y Pagos De Servicios *"/>
    <x v="7"/>
    <m/>
    <x v="0"/>
    <n v="18061784"/>
    <m/>
    <n v="-16000000"/>
    <m/>
  </r>
  <r>
    <s v="Pago Automatico Tarjeta De Credito"/>
    <x v="1"/>
    <m/>
    <x v="0"/>
    <n v="2061784"/>
    <m/>
    <n v="-498867"/>
    <m/>
  </r>
  <r>
    <s v="Traspaso A: Juan Nicolas Espinoza"/>
    <x v="1"/>
    <m/>
    <x v="0"/>
    <n v="1562917"/>
    <m/>
    <n v="-100035"/>
    <s v="Firma + retiro VV en Los Angeles"/>
  </r>
  <r>
    <s v="Pago: Inversiones 0965712208"/>
    <x v="7"/>
    <m/>
    <x v="0"/>
    <n v="1462882"/>
    <n v="16000000"/>
    <m/>
    <m/>
  </r>
  <r>
    <s v="Pago: Inversiones 0965712208"/>
    <x v="7"/>
    <m/>
    <x v="0"/>
    <n v="17462882"/>
    <n v="19569256"/>
    <m/>
    <m/>
  </r>
  <r>
    <s v="Pago En Sii.cl*"/>
    <x v="5"/>
    <m/>
    <x v="0"/>
    <n v="37032138"/>
    <m/>
    <n v="-894739"/>
    <s v="F29"/>
  </r>
  <r>
    <s v="Dep.cheq.otros Bancos N° 8025625"/>
    <x v="3"/>
    <m/>
    <x v="0"/>
    <n v="36137399"/>
    <n v="19800000"/>
    <m/>
    <s v="B8"/>
  </r>
  <r>
    <s v="Pago En Tesoreria.cl*"/>
    <x v="5"/>
    <m/>
    <x v="0"/>
    <n v="55937399"/>
    <m/>
    <n v="-351268"/>
    <s v="Contribuciones  "/>
  </r>
  <r>
    <s v="Traspaso De: Juan Gonzalo Arias"/>
    <x v="3"/>
    <m/>
    <x v="0"/>
    <n v="55586131"/>
    <n v="300000"/>
    <m/>
    <s v="Reserva A4 + D11"/>
  </r>
  <r>
    <s v="Traspaso A: Felipe Hiriart"/>
    <x v="2"/>
    <m/>
    <x v="6"/>
    <n v="55886131"/>
    <m/>
    <n v="-5000000"/>
    <m/>
  </r>
  <r>
    <s v="Traspaso A: Felipe Hiriart"/>
    <x v="2"/>
    <m/>
    <x v="6"/>
    <n v="50886131"/>
    <m/>
    <n v="-3751403"/>
    <m/>
  </r>
  <r>
    <s v="Traspaso A: Felipe Hiriart"/>
    <x v="2"/>
    <m/>
    <x v="6"/>
    <n v="47134728"/>
    <m/>
    <n v="-5000000"/>
    <m/>
  </r>
  <r>
    <s v="Traspaso A: Felipe Hiriart"/>
    <x v="2"/>
    <m/>
    <x v="6"/>
    <n v="42134728"/>
    <m/>
    <n v="-5000000"/>
    <m/>
  </r>
  <r>
    <s v="Traspaso A: Felipe Hiriart"/>
    <x v="2"/>
    <m/>
    <x v="6"/>
    <n v="37134728"/>
    <m/>
    <n v="-5000000"/>
    <m/>
  </r>
  <r>
    <s v="Traspaso A: Felipe Hiriart"/>
    <x v="2"/>
    <m/>
    <x v="6"/>
    <n v="32134728"/>
    <m/>
    <n v="-5000000"/>
    <m/>
  </r>
  <r>
    <s v="Traspaso A: Felipe Hiriart"/>
    <x v="2"/>
    <m/>
    <x v="6"/>
    <n v="27134728"/>
    <m/>
    <n v="-5000000"/>
    <m/>
  </r>
  <r>
    <s v="Traspaso A: Felipe Hiriart"/>
    <x v="2"/>
    <m/>
    <x v="6"/>
    <n v="22134728"/>
    <m/>
    <n v="-5000000"/>
    <m/>
  </r>
  <r>
    <s v="Traspaso A: Felipe Hiriart"/>
    <x v="2"/>
    <m/>
    <x v="6"/>
    <n v="17134728"/>
    <m/>
    <n v="-5000000"/>
    <m/>
  </r>
  <r>
    <s v="Recaudacion Y Pagos De Servicios *"/>
    <x v="7"/>
    <m/>
    <x v="0"/>
    <n v="12134728"/>
    <m/>
    <n v="-11000000"/>
    <m/>
  </r>
  <r>
    <s v="Traspaso De: Juan Gonzalo Arias"/>
    <x v="3"/>
    <m/>
    <x v="0"/>
    <n v="1134728"/>
    <n v="100000"/>
    <m/>
    <s v="Reserva A4 + D11"/>
  </r>
  <r>
    <s v="Dep.cheq.otros Bancos N° 4542919"/>
    <x v="3"/>
    <m/>
    <x v="0"/>
    <n v="1234728"/>
    <n v="19800000"/>
    <m/>
    <s v="C17"/>
  </r>
  <r>
    <s v="Traspaso De: Juan Gonzalo Arias"/>
    <x v="3"/>
    <m/>
    <x v="0"/>
    <n v="21034728"/>
    <n v="5000000"/>
    <m/>
    <s v="A4 + D11"/>
  </r>
  <r>
    <s v="Traspaso De: Juan Gonzalo Arias"/>
    <x v="3"/>
    <m/>
    <x v="0"/>
    <n v="26034728"/>
    <n v="5000000"/>
    <m/>
    <s v="A4 + D11"/>
  </r>
  <r>
    <s v="Traspaso A: Benjamin Lecaros"/>
    <x v="1"/>
    <m/>
    <x v="5"/>
    <n v="31034728"/>
    <m/>
    <n v="-855000"/>
    <m/>
  </r>
  <r>
    <s v="Recaudacion Y Pagos De Servicios *"/>
    <x v="7"/>
    <m/>
    <x v="0"/>
    <n v="30179728"/>
    <m/>
    <n v="-29000000"/>
    <m/>
  </r>
  <r>
    <s v="Traspaso De: Juan Gonzalo Arias"/>
    <x v="3"/>
    <m/>
    <x v="0"/>
    <n v="1179728"/>
    <n v="5000000"/>
    <m/>
    <s v="A4 + D11"/>
  </r>
  <r>
    <s v="Traspaso De: Juan Gonzalo Arias"/>
    <x v="3"/>
    <m/>
    <x v="0"/>
    <n v="6179728"/>
    <n v="5000000"/>
    <m/>
    <s v="A4 + D11"/>
  </r>
  <r>
    <s v="Recaudacion Y Pagos De Servicios *"/>
    <x v="7"/>
    <m/>
    <x v="0"/>
    <n v="11179728"/>
    <m/>
    <n v="-9000000"/>
    <m/>
  </r>
  <r>
    <s v="Traspaso A: Benjamin Lecaros"/>
    <x v="1"/>
    <m/>
    <x v="5"/>
    <n v="2179728"/>
    <m/>
    <n v="-855000"/>
    <s v="Asesoria Venta B8"/>
  </r>
  <r>
    <s v="Traspaso A: Andres Rieutord"/>
    <x v="4"/>
    <m/>
    <x v="0"/>
    <n v="1324728"/>
    <m/>
    <n v="-60000"/>
    <s v="Promesa C9"/>
  </r>
  <r>
    <s v="Traspaso A: Andres Rieutord"/>
    <x v="4"/>
    <m/>
    <x v="0"/>
    <n v="1264728"/>
    <m/>
    <n v="-120000"/>
    <s v="Escritura B11"/>
  </r>
  <r>
    <s v="Traspaso A: Andres Rieutord"/>
    <x v="4"/>
    <m/>
    <x v="0"/>
    <n v="1144728"/>
    <m/>
    <n v="-35000"/>
    <m/>
  </r>
  <r>
    <s v="Traspaso De: Juan Gonzalo Arias"/>
    <x v="3"/>
    <m/>
    <x v="0"/>
    <n v="1109728"/>
    <n v="5000000"/>
    <m/>
    <s v="A4 + D11"/>
  </r>
  <r>
    <s v="Traspaso De: Juan Gonzalo Arias"/>
    <x v="3"/>
    <m/>
    <x v="0"/>
    <n v="6109728"/>
    <n v="5000000"/>
    <m/>
    <s v="A4 + D11"/>
  </r>
  <r>
    <s v="Recaudacion Y Pagos De Servicios *"/>
    <x v="7"/>
    <m/>
    <x v="0"/>
    <n v="11109728"/>
    <m/>
    <n v="-10000000"/>
    <m/>
  </r>
  <r>
    <s v="Traspaso A: Conrad Pablo Zlch Parra"/>
    <x v="4"/>
    <m/>
    <x v="0"/>
    <n v="1109728"/>
    <m/>
    <n v="-155500"/>
    <s v="Inscripcion B11"/>
  </r>
  <r>
    <s v="Deposito En Efectivo N° 6443695"/>
    <x v="3"/>
    <m/>
    <x v="0"/>
    <n v="954228"/>
    <n v="21800000"/>
    <m/>
    <s v="B4"/>
  </r>
  <r>
    <s v="Recaudacion Y Pagos De Servicios *"/>
    <x v="7"/>
    <m/>
    <x v="0"/>
    <n v="22754228"/>
    <m/>
    <n v="-20000000"/>
    <m/>
  </r>
  <r>
    <s v="Traspaso A: Jorge Ignacio Troncoso Vidal"/>
    <x v="1"/>
    <m/>
    <x v="0"/>
    <n v="2754228"/>
    <m/>
    <n v="-50000"/>
    <m/>
  </r>
  <r>
    <s v="Dep.cheq.otros Bancos N° 6443696"/>
    <x v="3"/>
    <m/>
    <x v="0"/>
    <n v="2704228"/>
    <n v="21800000"/>
    <m/>
    <s v="A2"/>
  </r>
  <r>
    <s v="Traspaso A: Pedro Lecaros"/>
    <x v="1"/>
    <m/>
    <x v="0"/>
    <n v="24504228"/>
    <m/>
    <n v="-20000"/>
    <m/>
  </r>
  <r>
    <s v="Traspaso A: Benjamin Lecaros"/>
    <x v="1"/>
    <m/>
    <x v="5"/>
    <n v="24484228"/>
    <m/>
    <n v="-1710000"/>
    <m/>
  </r>
  <r>
    <s v="Traspaso A: Benjamin Lecaros"/>
    <x v="1"/>
    <m/>
    <x v="5"/>
    <n v="22774228"/>
    <m/>
    <n v="-855000"/>
    <m/>
  </r>
  <r>
    <s v="Dep.cheq.otros Bancos N° 3445795"/>
    <x v="3"/>
    <m/>
    <x v="0"/>
    <n v="21919228"/>
    <n v="19800000"/>
    <m/>
    <s v="C16"/>
  </r>
  <r>
    <s v="Recaudacion Y Pagos De Servicios *"/>
    <x v="7"/>
    <m/>
    <x v="0"/>
    <n v="41719228"/>
    <m/>
    <n v="-21000000"/>
    <m/>
  </r>
  <r>
    <s v="Traspaso De: Juan Gonzalo Arias"/>
    <x v="3"/>
    <m/>
    <x v="0"/>
    <n v="20719228"/>
    <n v="5000000"/>
    <m/>
    <s v="A4 + D11"/>
  </r>
  <r>
    <s v="Recaudacion Y Pagos De Servicios *"/>
    <x v="7"/>
    <m/>
    <x v="0"/>
    <n v="25719228"/>
    <m/>
    <n v="-5000000"/>
    <m/>
  </r>
  <r>
    <s v="Traspaso A: Denis Marcelo Bustos Fuentealba"/>
    <x v="1"/>
    <m/>
    <x v="0"/>
    <n v="20719228"/>
    <m/>
    <n v="-75000"/>
    <m/>
  </r>
  <r>
    <s v="Traspaso A: Benjamin Lecaros"/>
    <x v="1"/>
    <m/>
    <x v="5"/>
    <n v="20644228"/>
    <m/>
    <n v="-1710000"/>
    <m/>
  </r>
  <r>
    <s v="Recaudacion Y Pagos De Servicios *"/>
    <x v="7"/>
    <m/>
    <x v="0"/>
    <n v="18934228"/>
    <m/>
    <n v="-18000000"/>
    <m/>
  </r>
  <r>
    <s v="Dep.cheq.otros Bancos N° 2296642"/>
    <x v="3"/>
    <m/>
    <x v="0"/>
    <n v="934228"/>
    <n v="19800000"/>
    <m/>
    <s v="C12"/>
  </r>
  <r>
    <s v="Recaudacion Y Pagos De Servicios *"/>
    <x v="7"/>
    <m/>
    <x v="0"/>
    <n v="20734228"/>
    <m/>
    <n v="-20000000"/>
    <m/>
  </r>
  <r>
    <s v="Traspaso De: Juan Gonzalo Arias"/>
    <x v="3"/>
    <m/>
    <x v="0"/>
    <n v="734228"/>
    <n v="5000000"/>
    <m/>
    <m/>
  </r>
  <r>
    <s v="Recaudacion Y Pagos De Servicios *"/>
    <x v="7"/>
    <m/>
    <x v="0"/>
    <n v="5734228"/>
    <m/>
    <n v="-5000000"/>
    <m/>
  </r>
  <r>
    <s v="Dep.cheq.otros Bancos N° 3081647"/>
    <x v="3"/>
    <m/>
    <x v="0"/>
    <n v="734228"/>
    <n v="21800000"/>
    <m/>
    <s v="A1"/>
  </r>
  <r>
    <s v="Traspaso De: Teresa Andrea Sanhueza"/>
    <x v="3"/>
    <m/>
    <x v="0"/>
    <n v="22534228"/>
    <n v="250000"/>
    <m/>
    <s v="Reserva C6"/>
  </r>
  <r>
    <s v="Traspaso De: Doris Del Pilar Silva"/>
    <x v="3"/>
    <m/>
    <x v="0"/>
    <n v="22784228"/>
    <n v="200000"/>
    <m/>
    <s v="Reserva C2"/>
  </r>
  <r>
    <s v="Recaudacion Y Pagos De Servicios *"/>
    <x v="7"/>
    <m/>
    <x v="0"/>
    <n v="22984228"/>
    <m/>
    <n v="-15600000"/>
    <m/>
  </r>
  <r>
    <s v="Traspaso A: Benjamin Lecaros"/>
    <x v="1"/>
    <m/>
    <x v="5"/>
    <n v="7384228"/>
    <m/>
    <n v="-855000"/>
    <m/>
  </r>
  <r>
    <s v="Traspaso A: Felipe Hiriart"/>
    <x v="1"/>
    <m/>
    <x v="0"/>
    <n v="6529228"/>
    <m/>
    <n v="-1334539"/>
    <s v="Rendicion 4"/>
  </r>
  <r>
    <s v="Traspaso A: Jorge Ignacio Troncoso Vidal"/>
    <x v="1"/>
    <m/>
    <x v="0"/>
    <n v="5194689"/>
    <m/>
    <n v="-37000"/>
    <s v="Rendicion 5, viaje a Osorno"/>
  </r>
  <r>
    <s v="Traspaso A: Jorge Ignacio Troncoso Vidal"/>
    <x v="1"/>
    <m/>
    <x v="0"/>
    <n v="5157689"/>
    <m/>
    <n v="-50000"/>
    <s v="Retiro VV Osorno"/>
  </r>
  <r>
    <s v="Deposito En Efectivo N° 6443688"/>
    <x v="3"/>
    <m/>
    <x v="0"/>
    <n v="5107689"/>
    <n v="4800000"/>
    <m/>
    <s v="Pago pie A14"/>
  </r>
  <r>
    <s v="Recaudacion Y Pagos De Servicios *"/>
    <x v="7"/>
    <m/>
    <x v="0"/>
    <n v="9907689"/>
    <m/>
    <n v="-4000000"/>
    <m/>
  </r>
  <r>
    <s v="Traspaso A: Jorge Ignacio Troncoso Vidal"/>
    <x v="1"/>
    <m/>
    <x v="0"/>
    <n v="5907689"/>
    <m/>
    <n v="-50000"/>
    <m/>
  </r>
  <r>
    <s v="Traspaso A: Asesorias Ecox Spa"/>
    <x v="1"/>
    <m/>
    <x v="0"/>
    <n v="5857689"/>
    <m/>
    <n v="-4000000"/>
    <m/>
  </r>
  <r>
    <s v="Traspaso A: Asesorias Ecox Spa"/>
    <x v="1"/>
    <m/>
    <x v="0"/>
    <n v="1857689"/>
    <m/>
    <n v="-100000"/>
    <s v="Servicio contable"/>
  </r>
  <r>
    <s v="Traspaso De: Evelyn Paola Galarce Gonzalez"/>
    <x v="3"/>
    <m/>
    <x v="0"/>
    <n v="1757689"/>
    <n v="5000000"/>
    <m/>
    <s v="Pie C4"/>
  </r>
  <r>
    <s v="Traspaso A: Hector Varela"/>
    <x v="1"/>
    <m/>
    <x v="0"/>
    <n v="6757689"/>
    <m/>
    <n v="-168871"/>
    <s v="Reembolsa gastos"/>
  </r>
  <r>
    <s v="Traspaso A: Benjamin Lecaros"/>
    <x v="1"/>
    <m/>
    <x v="5"/>
    <n v="6588818"/>
    <m/>
    <n v="-1710000"/>
    <s v="Asesoria venta A14 C4"/>
  </r>
  <r>
    <s v="Recaudacion Y Pagos De Servicios *"/>
    <x v="7"/>
    <m/>
    <x v="0"/>
    <n v="4878818"/>
    <m/>
    <n v="-4000000"/>
    <m/>
  </r>
  <r>
    <s v="Traspaso De: Villota Gallegos Francisco Gabriel"/>
    <x v="3"/>
    <m/>
    <x v="0"/>
    <n v="878818"/>
    <n v="200000"/>
    <m/>
    <s v="Reserva C3"/>
  </r>
  <r>
    <s v="Traspaso De: Rodolfo Alexis Utreras"/>
    <x v="3"/>
    <s v="B9 - RODOLFO UTRERAS"/>
    <x v="0"/>
    <n v="1078818"/>
    <n v="379760"/>
    <m/>
    <m/>
  </r>
  <r>
    <s v="Traspaso De: Valentina Michelle Aranda Espinoza"/>
    <x v="3"/>
    <s v="A5 - VALENTINA ARANDA"/>
    <x v="0"/>
    <n v="1458578"/>
    <n v="1125465"/>
    <m/>
    <m/>
  </r>
  <r>
    <s v="Traspaso A: Jose Manuel Astorga Lanas"/>
    <x v="1"/>
    <m/>
    <x v="8"/>
    <n v="2584043"/>
    <m/>
    <n v="-250476"/>
    <s v="Reembolsa gastos"/>
  </r>
  <r>
    <s v="Traspaso A: Andres Rieutord"/>
    <x v="4"/>
    <m/>
    <x v="0"/>
    <n v="2333567"/>
    <m/>
    <n v="-60000"/>
    <m/>
  </r>
  <r>
    <s v="Traspaso De: Lisssette Patricia Riquelme Martinez"/>
    <x v="3"/>
    <m/>
    <x v="0"/>
    <n v="2273567"/>
    <n v="846000"/>
    <m/>
    <m/>
  </r>
  <r>
    <s v="Recaudacion Y Pagos De Servicios *"/>
    <x v="7"/>
    <m/>
    <x v="0"/>
    <n v="3119567"/>
    <m/>
    <n v="-2000000"/>
    <m/>
  </r>
  <r>
    <s v="Traspaso De: Ximena Paz Ormazabal Canelo"/>
    <x v="3"/>
    <m/>
    <x v="0"/>
    <n v="1119567"/>
    <n v="2000000"/>
    <m/>
    <s v="C14, paga diferencia que faltaba en el vale vista"/>
  </r>
  <r>
    <s v="Pago Automatico Tarjeta De Credito"/>
    <x v="1"/>
    <m/>
    <x v="0"/>
    <n v="3119567"/>
    <m/>
    <n v="-786040"/>
    <s v="Cargo tarjeta de credito, publicidad"/>
  </r>
  <r>
    <s v="Pago: Inversiones 0965712208"/>
    <x v="7"/>
    <m/>
    <x v="0"/>
    <n v="2333527"/>
    <n v="1000000"/>
    <m/>
    <m/>
  </r>
  <r>
    <s v="Pago En Sii.cl*"/>
    <x v="5"/>
    <m/>
    <x v="0"/>
    <n v="3333527"/>
    <m/>
    <n v="-2508612"/>
    <s v="F29"/>
  </r>
  <r>
    <s v="Dep.cheq.otros Bancos N° 4501192"/>
    <x v="3"/>
    <m/>
    <x v="0"/>
    <n v="824915"/>
    <n v="39600000"/>
    <m/>
    <s v="Venta A19 + C18"/>
  </r>
  <r>
    <s v="Recaudacion Y Pagos De Servicios *"/>
    <x v="7"/>
    <m/>
    <x v="0"/>
    <n v="40424915"/>
    <m/>
    <n v="-37700000"/>
    <m/>
  </r>
  <r>
    <s v="Traspaso A: Felipe Hiriart"/>
    <x v="1"/>
    <m/>
    <x v="0"/>
    <n v="2724915"/>
    <m/>
    <n v="-1038218"/>
    <s v="Rendicion 6"/>
  </r>
  <r>
    <s v="Traspaso De: Juan Gonzalo Arias"/>
    <x v="3"/>
    <m/>
    <x v="0"/>
    <n v="1686697"/>
    <n v="4600000"/>
    <m/>
    <s v="A4+D11"/>
  </r>
  <r>
    <s v="Traspaso A: Sebastian Sada Aznar"/>
    <x v="4"/>
    <m/>
    <x v="8"/>
    <n v="6286697"/>
    <m/>
    <n v="-450000"/>
    <s v="Promesa  "/>
  </r>
  <r>
    <s v="Traspaso A: Jorge Ignacio Troncoso Vidal"/>
    <x v="1"/>
    <m/>
    <x v="8"/>
    <n v="5836697"/>
    <m/>
    <n v="-37000"/>
    <s v="Gastos Osorno Jorge Troncoso"/>
  </r>
  <r>
    <s v="Traspaso A: Jorge Ignacio Troncoso Vidal"/>
    <x v="1"/>
    <m/>
    <x v="8"/>
    <n v="5799697"/>
    <m/>
    <n v="-50000"/>
    <s v="Firma de promesa"/>
  </r>
  <r>
    <s v="Traspaso De: Roberto Antonio Farias"/>
    <x v="3"/>
    <m/>
    <x v="0"/>
    <n v="5749697"/>
    <n v="200000"/>
    <m/>
    <s v="Reserva C5 Maria Elena"/>
  </r>
  <r>
    <s v="Traspaso A: Benjamin Lecaros"/>
    <x v="1"/>
    <m/>
    <x v="5"/>
    <n v="5949697"/>
    <m/>
    <n v="-3420000"/>
    <s v="Asesoria venta A4, A19, C18, D11"/>
  </r>
  <r>
    <s v="Traspaso A: German Marquez"/>
    <x v="1"/>
    <m/>
    <x v="8"/>
    <n v="2529697"/>
    <m/>
    <n v="-1000000"/>
    <s v="Topografia German Marquez"/>
  </r>
  <r>
    <s v="Dep.cheq.otros Bancos N° 4791038"/>
    <x v="3"/>
    <m/>
    <x v="0"/>
    <n v="1529697"/>
    <n v="41300000"/>
    <m/>
    <s v="Lotes C13 y C10"/>
  </r>
  <r>
    <s v="Pago: Inversiones 0965712208"/>
    <x v="7"/>
    <m/>
    <x v="0"/>
    <n v="42829697"/>
    <n v="1000000"/>
    <m/>
    <m/>
  </r>
  <r>
    <s v="Traspaso De: Katherinne Andrea Orellana Saez"/>
    <x v="3"/>
    <m/>
    <x v="0"/>
    <n v="43829697"/>
    <n v="7000000"/>
    <m/>
    <s v="Parcela A10"/>
  </r>
  <r>
    <s v="Traspaso A: German Marquez"/>
    <x v="1"/>
    <m/>
    <x v="8"/>
    <n v="50829697"/>
    <m/>
    <n v="-1745950"/>
    <s v="Topografia German Marquez"/>
  </r>
  <r>
    <s v="Recaudacion Y Pagos De Servicios *"/>
    <x v="7"/>
    <m/>
    <x v="0"/>
    <n v="49083747"/>
    <m/>
    <n v="-48000000"/>
    <m/>
  </r>
  <r>
    <s v="Traspaso A: Juan Nicolas Espinoza"/>
    <x v="1"/>
    <m/>
    <x v="0"/>
    <n v="1083747"/>
    <m/>
    <n v="-50000"/>
    <s v="Firma Los Angeles"/>
  </r>
  <r>
    <s v="Traspaso De: Katherinne Andrea Orellana Saez"/>
    <x v="3"/>
    <m/>
    <x v="0"/>
    <n v="1033747"/>
    <n v="4300000"/>
    <m/>
    <s v="Parcela A10"/>
  </r>
  <r>
    <s v="Recaudacion Y Pagos De Servicios *"/>
    <x v="7"/>
    <m/>
    <x v="0"/>
    <n v="5333747"/>
    <m/>
    <n v="-4500000"/>
    <m/>
  </r>
  <r>
    <s v="Traspaso A: Tesoreria Municipal Puerto Octay"/>
    <x v="1"/>
    <m/>
    <x v="8"/>
    <n v="833747"/>
    <m/>
    <n v="-13784"/>
    <s v="Certificado DOM"/>
  </r>
  <r>
    <s v="Traspaso De: Lisssette Patricia Riquelme Riquelme"/>
    <x v="3"/>
    <m/>
    <x v="0"/>
    <n v="819963"/>
    <n v="5000000"/>
    <m/>
    <s v="Adelanta pago parcela B7"/>
  </r>
  <r>
    <s v="Deposito En Efectivo N° 4789770"/>
    <x v="3"/>
    <m/>
    <x v="0"/>
    <n v="5819963"/>
    <n v="55000001"/>
    <m/>
    <s v="Lotes A16, A17, A18 y C7"/>
  </r>
  <r>
    <s v="Dep.cheq.otros Bancos N° 4789767"/>
    <x v="3"/>
    <m/>
    <x v="0"/>
    <n v="60819964"/>
    <n v="33700001"/>
    <m/>
    <s v="Lotes A16, A17, A18 y C7"/>
  </r>
  <r>
    <s v="Pago: Inversiones 0965712208"/>
    <x v="7"/>
    <m/>
    <x v="0"/>
    <n v="94519965"/>
    <n v="262430812"/>
    <m/>
    <m/>
  </r>
  <r>
    <s v="Traspaso A: Inversiones Lonquen Limitada"/>
    <x v="2"/>
    <m/>
    <x v="9"/>
    <n v="356950777"/>
    <m/>
    <n v="-267782920"/>
    <m/>
  </r>
  <r>
    <s v="Traspaso A: Pedro Lecaros"/>
    <x v="2"/>
    <m/>
    <x v="1"/>
    <n v="89167857"/>
    <m/>
    <n v="-5000000"/>
    <m/>
  </r>
  <r>
    <s v="Traspaso A: Pedro Lecaros"/>
    <x v="2"/>
    <m/>
    <x v="1"/>
    <n v="84167857"/>
    <m/>
    <n v="-2500000"/>
    <m/>
  </r>
  <r>
    <s v="Traspaso A: Benjamin Lecaros"/>
    <x v="2"/>
    <m/>
    <x v="5"/>
    <n v="81667857"/>
    <m/>
    <n v="-5000000"/>
    <m/>
  </r>
  <r>
    <s v="Traspaso A: Pedro Lecaros"/>
    <x v="2"/>
    <m/>
    <x v="1"/>
    <n v="76667857"/>
    <m/>
    <n v="-5000000"/>
    <m/>
  </r>
  <r>
    <s v="Traspaso A: Pedro Lecaros"/>
    <x v="2"/>
    <m/>
    <x v="1"/>
    <n v="71667857"/>
    <m/>
    <n v="-5000000"/>
    <m/>
  </r>
  <r>
    <s v="Traspaso A: Pedro Lecaros"/>
    <x v="2"/>
    <m/>
    <x v="1"/>
    <n v="66667857"/>
    <m/>
    <n v="-5000000"/>
    <m/>
  </r>
  <r>
    <s v="Traspaso A: Pedro Lecaros"/>
    <x v="2"/>
    <m/>
    <x v="1"/>
    <n v="61667857"/>
    <m/>
    <n v="-5000000"/>
    <m/>
  </r>
  <r>
    <s v="Traspaso A: Pedro Lecaros"/>
    <x v="2"/>
    <m/>
    <x v="1"/>
    <n v="56667857"/>
    <m/>
    <n v="-5000000"/>
    <m/>
  </r>
  <r>
    <s v="Traspaso A: Benjamin Lecaros"/>
    <x v="1"/>
    <m/>
    <x v="5"/>
    <n v="51667857"/>
    <m/>
    <n v="-5130000"/>
    <s v="Asesoria venta A16, A17, A18, C7, C10, C13"/>
  </r>
  <r>
    <s v="Traspaso De: Benjamin Jose Lecaros Sotomayor"/>
    <x v="2"/>
    <m/>
    <x v="5"/>
    <n v="46537857"/>
    <n v="200000"/>
    <m/>
    <s v="Devolucion 1/2 error transferencia"/>
  </r>
  <r>
    <s v="Traspaso A: Pedro Lecaros"/>
    <x v="2"/>
    <m/>
    <x v="1"/>
    <n v="46737857"/>
    <m/>
    <n v="-5000000"/>
    <m/>
  </r>
  <r>
    <s v="Traspaso A: Jose Miguel Parro Fluxa"/>
    <x v="2"/>
    <m/>
    <x v="2"/>
    <n v="41737857"/>
    <m/>
    <n v="-12500000"/>
    <m/>
  </r>
  <r>
    <s v="Traspaso A: Inversiones Jopa Limitada"/>
    <x v="2"/>
    <m/>
    <x v="3"/>
    <n v="29237857"/>
    <m/>
    <n v="-25000000"/>
    <m/>
  </r>
  <r>
    <s v="Traspaso De: Lisssette Patricia Riquelme Martinez"/>
    <x v="3"/>
    <s v="B7 - LISSETTE RIQUELME"/>
    <x v="0"/>
    <n v="4237857"/>
    <n v="5000000"/>
    <m/>
    <s v="Adelanta pago parcela B7"/>
  </r>
  <r>
    <s v="Traspaso De: Benjamin Jose Lecaros"/>
    <x v="2"/>
    <m/>
    <x v="5"/>
    <n v="9237857"/>
    <n v="4800000"/>
    <m/>
    <s v="Devolucion 2/2 error transferencia"/>
  </r>
  <r>
    <s v="Traspaso De: Rodolfo Andres Ramirez Ortiz"/>
    <x v="3"/>
    <s v="C11 - RODOLFO RAMÍREZ"/>
    <x v="0"/>
    <n v="14037857"/>
    <n v="5000000"/>
    <m/>
    <s v="Adelanta pago parcela C11"/>
  </r>
  <r>
    <s v="Recaudacion Y Pagos De Servicios *"/>
    <x v="7"/>
    <m/>
    <x v="0"/>
    <n v="19037857"/>
    <m/>
    <n v="-18000000"/>
    <m/>
  </r>
  <r>
    <s v="Traspaso A: Benjamin Lecaros"/>
    <x v="1"/>
    <m/>
    <x v="8"/>
    <n v="1037857"/>
    <m/>
    <n v="-6856"/>
    <s v="Escaneo plano tekkrom"/>
  </r>
  <r>
    <s v="Traspaso A: Andres Rieutord"/>
    <x v="4"/>
    <m/>
    <x v="0"/>
    <n v="1031001"/>
    <m/>
    <n v="-60000"/>
    <s v="Mandato C6"/>
  </r>
  <r>
    <s v="Traspaso A: Andres Rieutord"/>
    <x v="4"/>
    <m/>
    <x v="0"/>
    <n v="971001"/>
    <m/>
    <n v="-60000"/>
    <s v="Mandato"/>
  </r>
  <r>
    <s v="Traspaso De: Rodolfo Andres Ramirez Ortiz"/>
    <x v="3"/>
    <m/>
    <x v="0"/>
    <n v="911001"/>
    <n v="5000000"/>
    <m/>
    <s v="Adelanta pago parcela C11"/>
  </r>
  <r>
    <s v="Recaudacion Y Pagos De Servicios *"/>
    <x v="7"/>
    <m/>
    <x v="0"/>
    <n v="5911001"/>
    <m/>
    <n v="-5000000"/>
    <m/>
  </r>
  <r>
    <s v="Traspaso A: Daniel Gebauer"/>
    <x v="1"/>
    <m/>
    <x v="8"/>
    <n v="911001"/>
    <m/>
    <n v="-38400"/>
    <s v="Reembolsa gasto CBR"/>
  </r>
  <r>
    <s v="Traspaso De: Rodolfo Andres Ramirez Ortiz"/>
    <x v="3"/>
    <m/>
    <x v="0"/>
    <n v="872601"/>
    <n v="5000000"/>
    <m/>
    <s v="Adelanta pago parcela C11"/>
  </r>
  <r>
    <s v="Traspaso De: Juan Esteban Sanchez Bascur"/>
    <x v="3"/>
    <s v="C9 - JUAN ESTEBAN SANCHEZ"/>
    <x v="0"/>
    <n v="5872601"/>
    <n v="611111"/>
    <m/>
    <s v="Cuota 1/36"/>
  </r>
  <r>
    <s v="Deposito En Efectivo N° 2946967"/>
    <x v="3"/>
    <m/>
    <x v="0"/>
    <n v="6483712"/>
    <n v="6500000"/>
    <m/>
    <s v="Katherine Orellana A10"/>
  </r>
  <r>
    <s v="Traspaso De: Katherinne Andrea Orellana Saez"/>
    <x v="3"/>
    <m/>
    <x v="0"/>
    <n v="12983712"/>
    <n v="2000000"/>
    <m/>
    <s v="Katherine Orellana A10"/>
  </r>
  <r>
    <s v="Recaudacion Y Pagos De Servicios *"/>
    <x v="7"/>
    <m/>
    <x v="0"/>
    <n v="14983712"/>
    <m/>
    <n v="-9000000"/>
    <m/>
  </r>
  <r>
    <s v="Traspaso A: La Nube Fotografia Ltda."/>
    <x v="1"/>
    <m/>
    <x v="8"/>
    <n v="5983712"/>
    <m/>
    <n v="-535500"/>
    <s v="Nube Puerto Octay"/>
  </r>
  <r>
    <s v="Traspaso De: Rodolfo Alexis Utreras"/>
    <x v="3"/>
    <s v="B9 - RODOLFO UTRERAS"/>
    <x v="0"/>
    <n v="5448212"/>
    <n v="378803"/>
    <m/>
    <m/>
  </r>
  <r>
    <s v="Traspaso A: Asesorias Ecox Spa"/>
    <x v="1"/>
    <m/>
    <x v="0"/>
    <n v="5827015"/>
    <m/>
    <n v="-4000000"/>
    <m/>
  </r>
  <r>
    <s v="Traspaso De: Valentina Michelle Aranda Espinoza"/>
    <x v="3"/>
    <s v="A5 - VALENTINA ARANDA"/>
    <x v="0"/>
    <n v="1827015"/>
    <n v="1144664"/>
    <m/>
    <m/>
  </r>
  <r>
    <s v="Traspaso De: Evelyn Paola Galarce Gonzalez"/>
    <x v="3"/>
    <s v="C4 - EVELYN PAOLA GALARCE"/>
    <x v="0"/>
    <n v="2971679"/>
    <n v="716667"/>
    <m/>
    <s v="Cuota 1/24"/>
  </r>
  <r>
    <s v="Traspaso De: Lisssette Patricia Riquelme Martinez"/>
    <x v="3"/>
    <s v="B7 - LISSETTE RIQUELME"/>
    <x v="0"/>
    <n v="3688346"/>
    <n v="3693898"/>
    <m/>
    <s v="Termina pago B7"/>
  </r>
  <r>
    <s v="Aporte A Fondo Mutuo"/>
    <x v="7"/>
    <m/>
    <x v="0"/>
    <n v="7382244"/>
    <m/>
    <n v="-5000000"/>
    <m/>
  </r>
  <r>
    <s v="Traspaso A: Hector Varela"/>
    <x v="1"/>
    <m/>
    <x v="0"/>
    <n v="2382244"/>
    <m/>
    <n v="-183101"/>
    <s v="Reembolsa gastos bencina"/>
  </r>
  <r>
    <s v="Traspaso A: Benjamin Lecaros"/>
    <x v="1"/>
    <m/>
    <x v="5"/>
    <n v="2199143"/>
    <m/>
    <n v="-85204"/>
    <s v="Planos"/>
  </r>
  <r>
    <s v="Traspaso A: Asesorias Ecox Spa"/>
    <x v="1"/>
    <m/>
    <x v="0"/>
    <n v="2113939"/>
    <m/>
    <n v="-100000"/>
    <s v="contabilidad"/>
  </r>
  <r>
    <s v="Traspaso A: Rios Y Compania Abogados Limitada"/>
    <x v="1"/>
    <m/>
    <x v="0"/>
    <n v="2013939"/>
    <m/>
    <n v="-587685"/>
    <m/>
  </r>
  <r>
    <s v="Pago Automatico Tarjeta De Credito"/>
    <x v="1"/>
    <m/>
    <x v="0"/>
    <n v="1426254"/>
    <m/>
    <n v="-49264"/>
    <s v="publicidad"/>
  </r>
  <r>
    <s v="Traspaso A: Felipe Hiriart"/>
    <x v="1"/>
    <m/>
    <x v="0"/>
    <n v="1376990"/>
    <m/>
    <n v="-570236"/>
    <s v="Rendicion 7"/>
  </r>
  <r>
    <s v="Pago: Inversiones 0965712208"/>
    <x v="7"/>
    <m/>
    <x v="0"/>
    <n v="806754"/>
    <n v="2200000"/>
    <m/>
    <m/>
  </r>
  <r>
    <s v="Pago En Sii.cl*"/>
    <x v="5"/>
    <m/>
    <x v="0"/>
    <n v="3006754"/>
    <m/>
    <n v="-2222647"/>
    <s v="F29"/>
  </r>
  <r>
    <s v="Traspaso A: Benjamin Lecaros"/>
    <x v="1"/>
    <m/>
    <x v="5"/>
    <n v="784107"/>
    <m/>
    <n v="-76160"/>
    <s v="Reembolso Tekkrom"/>
  </r>
  <r>
    <s v="Traspaso A: Andres Rieutord"/>
    <x v="4"/>
    <m/>
    <x v="0"/>
    <n v="707947"/>
    <m/>
    <n v="-40000"/>
    <m/>
  </r>
  <r>
    <s v="Traspaso De: Katherinne Andrea Orellana Saez"/>
    <x v="3"/>
    <m/>
    <x v="0"/>
    <n v="667947"/>
    <n v="2000000"/>
    <m/>
    <s v="Parcela A10 - Katherine"/>
  </r>
  <r>
    <s v="Aporte A Fondo Mutuo"/>
    <x v="7"/>
    <m/>
    <x v="0"/>
    <n v="2667947"/>
    <m/>
    <n v="-2000000"/>
    <m/>
  </r>
  <r>
    <s v="Traspaso A: Conrad Pablo Zlch Parra"/>
    <x v="1"/>
    <m/>
    <x v="0"/>
    <n v="667947"/>
    <m/>
    <n v="-31000"/>
    <s v="Alzamiento C11"/>
  </r>
  <r>
    <s v="Traspaso A: Benjamin Lecaros"/>
    <x v="1"/>
    <m/>
    <x v="5"/>
    <n v="636947"/>
    <m/>
    <n v="-9674"/>
    <m/>
  </r>
  <r>
    <s v="Traspaso De: Galarce Gonzalez Evelyn Paola"/>
    <x v="3"/>
    <s v="C4 - EVELYN PAOLA GALARCE"/>
    <x v="0"/>
    <n v="627273"/>
    <n v="300000"/>
    <m/>
    <s v="Prepaga parcela C4"/>
  </r>
  <r>
    <s v="Traspaso De: Evelyn Paola Galarce Gonzalez"/>
    <x v="3"/>
    <s v="C4 - EVELYN PAOLA GALARCE"/>
    <x v="0"/>
    <n v="927273"/>
    <n v="5000000"/>
    <m/>
    <s v="Prepaga parcela C4"/>
  </r>
  <r>
    <s v="Traspaso A: Felipe Hiriart"/>
    <x v="1"/>
    <m/>
    <x v="0"/>
    <n v="5927273"/>
    <m/>
    <n v="-598208"/>
    <s v="Rendicion 8"/>
  </r>
  <r>
    <s v="Traspaso A: Pedro Lecaros"/>
    <x v="1"/>
    <m/>
    <x v="0"/>
    <n v="5329065"/>
    <m/>
    <n v="-1204109"/>
    <s v="Rendicion 9"/>
  </r>
  <r>
    <s v="Dep.cheq.otros Bancos N° 7841124"/>
    <x v="3"/>
    <m/>
    <x v="0"/>
    <n v="4124956"/>
    <n v="17800000"/>
    <m/>
    <s v="Parcela C-14"/>
  </r>
  <r>
    <s v="Traspaso De: Galarce Gonzalez Evelyn Paola"/>
    <x v="3"/>
    <s v="C4 - EVELYN PAOLA GALARCE"/>
    <x v="0"/>
    <n v="21924956"/>
    <n v="5000000"/>
    <m/>
    <s v="Prepaga parcela C4"/>
  </r>
  <r>
    <s v="Traspaso A: Benjamin Lecaros"/>
    <x v="1"/>
    <m/>
    <x v="5"/>
    <n v="26924956"/>
    <m/>
    <n v="-855000"/>
    <s v="Asesoria venta C14"/>
  </r>
  <r>
    <s v="Traspaso A: Hernan Pizarro"/>
    <x v="1"/>
    <m/>
    <x v="0"/>
    <n v="26069956"/>
    <m/>
    <n v="-344739"/>
    <s v="Arquitectura"/>
  </r>
  <r>
    <s v="Aporte A Fondo Mutuo"/>
    <x v="7"/>
    <m/>
    <x v="0"/>
    <n v="25725217"/>
    <m/>
    <n v="-7500000"/>
    <m/>
  </r>
  <r>
    <s v="Traspaso De: Galarce Gonzalez Evelyn Paola"/>
    <x v="3"/>
    <s v="C4 - EVELYN PAOLA GALARCE"/>
    <x v="0"/>
    <n v="18225217"/>
    <n v="5000000"/>
    <m/>
    <s v="Prepaga parcela C4"/>
  </r>
  <r>
    <s v="Traspaso De: Evelyn Paola Galarce Gonzalez"/>
    <x v="3"/>
    <s v="C4 - EVELYN PAOLA GALARCE"/>
    <x v="0"/>
    <n v="23225217"/>
    <n v="1783333"/>
    <m/>
    <s v="Prepaga parcela C4"/>
  </r>
  <r>
    <s v="Aporte A Fondo Mutuo"/>
    <x v="7"/>
    <m/>
    <x v="0"/>
    <n v="25008550"/>
    <m/>
    <n v="-20000000"/>
    <m/>
  </r>
  <r>
    <s v="Traspaso De: Valentina Michelle Aranda Espinoza"/>
    <x v="3"/>
    <s v="A5 - VALENTINA ARANDA"/>
    <x v="0"/>
    <n v="5008550"/>
    <n v="1150099"/>
    <m/>
    <m/>
  </r>
  <r>
    <s v="Traspaso A: Asesorias Ecox Spa"/>
    <x v="1"/>
    <m/>
    <x v="0"/>
    <n v="6158649"/>
    <m/>
    <n v="-4000000"/>
    <s v="Servicio de gestion"/>
  </r>
  <r>
    <s v="Transferencia De Otro Banco Via Spav"/>
    <x v="3"/>
    <m/>
    <x v="0"/>
    <n v="2158649"/>
    <n v="20146327"/>
    <m/>
    <s v="Parcela A-14"/>
  </r>
  <r>
    <s v="Traspaso De: Lissette Patricia Riquelme Martinez"/>
    <x v="1"/>
    <m/>
    <x v="0"/>
    <n v="22304976"/>
    <n v="155500"/>
    <m/>
    <m/>
  </r>
  <r>
    <s v="Traspaso A: Hector Varela"/>
    <x v="1"/>
    <m/>
    <x v="0"/>
    <n v="22460476"/>
    <m/>
    <n v="-188729"/>
    <s v="Reembolsa gastos"/>
  </r>
  <r>
    <s v="Traspaso A: Conrad Pablo Zlch Parra"/>
    <x v="1"/>
    <m/>
    <x v="0"/>
    <n v="22271747"/>
    <m/>
    <n v="-155500"/>
    <m/>
  </r>
  <r>
    <s v="Traspaso A: Benjamin Lecaros"/>
    <x v="1"/>
    <m/>
    <x v="5"/>
    <n v="22116247"/>
    <m/>
    <n v="-4132500"/>
    <s v="Reembolsa gastos durante el año CBR Rendicion 10"/>
  </r>
  <r>
    <s v="Traspaso De: Juan Esteban Sanchez Bascur"/>
    <x v="3"/>
    <s v="C9 - JUAN ESTEBAN SANCHEZ"/>
    <x v="0"/>
    <n v="17983747"/>
    <n v="614940"/>
    <m/>
    <m/>
  </r>
  <r>
    <s v="Traspaso De: Evelyn Paola Galarce Gonzalez"/>
    <x v="1"/>
    <m/>
    <x v="0"/>
    <n v="18598687"/>
    <n v="164500"/>
    <m/>
    <m/>
  </r>
  <r>
    <s v="Traspaso A: Conrad Pablo Zlch Parra"/>
    <x v="1"/>
    <m/>
    <x v="0"/>
    <n v="18763187"/>
    <m/>
    <n v="-164500"/>
    <m/>
  </r>
  <r>
    <s v="Traspaso De: Rodolfo Alexis Utreras"/>
    <x v="3"/>
    <s v="B9 - RODOLFO UTRERAS"/>
    <x v="0"/>
    <n v="18598687"/>
    <n v="381056"/>
    <m/>
    <m/>
  </r>
  <r>
    <s v="Pago: Inversiones 0965712208"/>
    <x v="7"/>
    <m/>
    <x v="0"/>
    <n v="18979743"/>
    <n v="4000000"/>
    <m/>
    <m/>
  </r>
  <r>
    <s v="Pago: Inversiones 0965712208"/>
    <x v="7"/>
    <m/>
    <x v="0"/>
    <n v="22979743"/>
    <n v="8500001"/>
    <m/>
    <m/>
  </r>
  <r>
    <s v="Traspaso A: Pedro Lecaros"/>
    <x v="2"/>
    <m/>
    <x v="1"/>
    <n v="31479744"/>
    <m/>
    <n v="-5000000"/>
    <m/>
  </r>
  <r>
    <s v="Traspaso A: Inversiones Jopa Limitada"/>
    <x v="2"/>
    <m/>
    <x v="3"/>
    <n v="26479744"/>
    <m/>
    <n v="-10000000"/>
    <m/>
  </r>
  <r>
    <s v="Traspaso A: Pedro Lecaros"/>
    <x v="2"/>
    <m/>
    <x v="1"/>
    <n v="16479744"/>
    <m/>
    <n v="-5000000"/>
    <m/>
  </r>
  <r>
    <s v="Traspaso A: Jose Miguel Parro Fluxa"/>
    <x v="2"/>
    <m/>
    <x v="2"/>
    <n v="11479744"/>
    <m/>
    <n v="-5000000"/>
    <m/>
  </r>
  <r>
    <s v="Traspaso A: Pedro Lecaros"/>
    <x v="2"/>
    <m/>
    <x v="1"/>
    <n v="6479744"/>
    <m/>
    <n v="-5000000"/>
    <m/>
  </r>
  <r>
    <m/>
    <x v="0"/>
    <m/>
    <x v="0"/>
    <n v="1479744"/>
    <m/>
    <m/>
    <m/>
  </r>
  <r>
    <m/>
    <x v="0"/>
    <m/>
    <x v="0"/>
    <n v="1479744"/>
    <m/>
    <m/>
    <m/>
  </r>
  <r>
    <m/>
    <x v="0"/>
    <m/>
    <x v="0"/>
    <n v="1479744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1">
  <r>
    <x v="0"/>
    <s v="SALDO ANTERIOR"/>
    <x v="0"/>
    <m/>
    <m/>
    <n v="702601"/>
    <m/>
    <m/>
    <m/>
  </r>
  <r>
    <x v="1"/>
    <s v="Traspaso A: Construcciones Del Ranco Spa"/>
    <x v="1"/>
    <m/>
    <m/>
    <n v="702601"/>
    <m/>
    <n v="-700000"/>
    <m/>
  </r>
  <r>
    <x v="2"/>
    <s v="Traspaso De: Pedro Jose Lecaros Sotomayor"/>
    <x v="2"/>
    <m/>
    <s v="PLS"/>
    <n v="2601"/>
    <n v="5000000"/>
    <m/>
    <m/>
  </r>
  <r>
    <x v="2"/>
    <s v="Traspaso A: Construcciones Del Ranco Spa"/>
    <x v="1"/>
    <m/>
    <m/>
    <n v="5002601"/>
    <m/>
    <n v="-1627022"/>
    <s v="Porton completa estado de pago 1"/>
  </r>
  <r>
    <x v="2"/>
    <s v="Traspaso A: Construcciones Del Ranco Spa"/>
    <x v="1"/>
    <m/>
    <m/>
    <n v="3375579"/>
    <m/>
    <n v="-1351157"/>
    <s v="Completa pago 30 porciento inicial, tranqueras"/>
  </r>
  <r>
    <x v="2"/>
    <s v="Traspaso A: La Nube Fotografia Ltda."/>
    <x v="1"/>
    <m/>
    <m/>
    <n v="2024422"/>
    <m/>
    <n v="-1309000"/>
    <s v="Pago la nube"/>
  </r>
  <r>
    <x v="3"/>
    <s v="Traspaso De: Jose Miguel Parro"/>
    <x v="2"/>
    <m/>
    <s v="JMP"/>
    <n v="715422"/>
    <n v="350000"/>
    <m/>
    <m/>
  </r>
  <r>
    <x v="3"/>
    <s v="Traspaso De: Pedro Jose Lecaros Sotomayor"/>
    <x v="2"/>
    <m/>
    <s v="PLS"/>
    <n v="1065422"/>
    <n v="2500000"/>
    <m/>
    <m/>
  </r>
  <r>
    <x v="3"/>
    <s v="Traspaso De: Jose Miguel Parro"/>
    <x v="2"/>
    <m/>
    <s v="JMP"/>
    <n v="3565422"/>
    <n v="2150000"/>
    <m/>
    <m/>
  </r>
  <r>
    <x v="4"/>
    <s v="Traspaso De: Carlos Alberto Cespedes Lopez"/>
    <x v="3"/>
    <m/>
    <m/>
    <n v="5715422"/>
    <n v="200000"/>
    <m/>
    <s v="Reserva C-18"/>
  </r>
  <r>
    <x v="4"/>
    <s v="Traspaso A: Conrad Pablo Zlch Parra"/>
    <x v="4"/>
    <m/>
    <m/>
    <n v="5915422"/>
    <m/>
    <n v="-177000"/>
    <s v="inscripcion servidumbre caminos"/>
  </r>
  <r>
    <x v="4"/>
    <s v="Traspaso A: Conrad Pablo Zlch Parra"/>
    <x v="4"/>
    <m/>
    <m/>
    <n v="5738422"/>
    <m/>
    <n v="-177000"/>
    <s v="inscripcion servidumbre caminos E1"/>
  </r>
  <r>
    <x v="4"/>
    <s v="Traspaso A: Asesorias Ecox Spa"/>
    <x v="1"/>
    <m/>
    <m/>
    <n v="5561422"/>
    <m/>
    <n v="-100000"/>
    <s v="Servicio contable"/>
  </r>
  <r>
    <x v="4"/>
    <s v="Traspaso A: Andres Rieutord"/>
    <x v="4"/>
    <m/>
    <m/>
    <n v="5461422"/>
    <m/>
    <n v="-80000"/>
    <m/>
  </r>
  <r>
    <x v="5"/>
    <s v="Traspaso De: Inversiones Jopa Limitada"/>
    <x v="2"/>
    <m/>
    <s v="JOPA"/>
    <n v="5381422"/>
    <n v="5000000"/>
    <m/>
    <m/>
  </r>
  <r>
    <x v="5"/>
    <s v="Traspaso A: Geotim Ltda"/>
    <x v="1"/>
    <m/>
    <m/>
    <n v="10381422"/>
    <m/>
    <n v="-5000000"/>
    <s v="Abono parcial a primer 50 por ciento caminos"/>
  </r>
  <r>
    <x v="6"/>
    <s v="Traspaso De: Luis Eduardo Salas Ojeda"/>
    <x v="3"/>
    <m/>
    <m/>
    <n v="5381422"/>
    <n v="200000"/>
    <m/>
    <s v="Reserva A15"/>
  </r>
  <r>
    <x v="6"/>
    <s v="Traspaso De: Katherinne Andrea Orellana Saez"/>
    <x v="3"/>
    <m/>
    <m/>
    <n v="5581422"/>
    <n v="200000"/>
    <m/>
    <s v="Reserva A10"/>
  </r>
  <r>
    <x v="7"/>
    <s v="Traspaso A: Geotim Ltda"/>
    <x v="1"/>
    <m/>
    <m/>
    <n v="5781422"/>
    <m/>
    <n v="-5000000"/>
    <s v="Abono primera mitad caminos"/>
  </r>
  <r>
    <x v="7"/>
    <s v="Traspaso De: Marco Sebast?iacute?an"/>
    <x v="3"/>
    <m/>
    <m/>
    <n v="781422"/>
    <n v="200000"/>
    <m/>
    <s v="Reserva A14"/>
  </r>
  <r>
    <x v="8"/>
    <s v="Traspaso De: Pedro Jose Lecaros Sotomayor"/>
    <x v="2"/>
    <m/>
    <s v="PLS"/>
    <n v="981422"/>
    <n v="5000000"/>
    <m/>
    <m/>
  </r>
  <r>
    <x v="8"/>
    <s v="Traspaso A: Construcciones Del Ranco Spa"/>
    <x v="1"/>
    <m/>
    <m/>
    <n v="5981422"/>
    <m/>
    <n v="-2159683"/>
    <s v="Estado de Pago 1 Tranqueras Los Chilcos"/>
  </r>
  <r>
    <x v="8"/>
    <s v="Traspaso A: Construcciones Del Ranco Spa"/>
    <x v="1"/>
    <m/>
    <m/>
    <n v="3821739"/>
    <m/>
    <n v="-3610318"/>
    <s v="Estado de pago 2 Acceso Chilcos"/>
  </r>
  <r>
    <x v="8"/>
    <s v="Traspaso De: Jose Miguel Parro"/>
    <x v="2"/>
    <m/>
    <s v="JMP"/>
    <n v="211421"/>
    <n v="2500000"/>
    <m/>
    <m/>
  </r>
  <r>
    <x v="8"/>
    <s v="App-traspaso De: Inversiones Jopa Limitada"/>
    <x v="2"/>
    <m/>
    <s v="JOPA"/>
    <n v="2711421"/>
    <n v="5000000"/>
    <m/>
    <m/>
  </r>
  <r>
    <x v="9"/>
    <s v="Traspaso A: Andres Rieutord"/>
    <x v="4"/>
    <m/>
    <m/>
    <n v="7711421"/>
    <m/>
    <n v="-70000"/>
    <s v="Reglamento"/>
  </r>
  <r>
    <x v="9"/>
    <s v="Traspaso De: Pedro Jose Lecaros Sotomayor"/>
    <x v="2"/>
    <m/>
    <s v="PLS"/>
    <n v="7641421"/>
    <n v="2500000"/>
    <m/>
    <m/>
  </r>
  <r>
    <x v="10"/>
    <s v="Traspaso De: Nicole Odette Rojas Bahamondes"/>
    <x v="3"/>
    <m/>
    <m/>
    <n v="10141421"/>
    <n v="200000"/>
    <m/>
    <s v="Reserva B-11"/>
  </r>
  <r>
    <x v="11"/>
    <s v="Traspaso De: Pedro Jose Lecaros Sotomayor"/>
    <x v="2"/>
    <m/>
    <s v="PLS"/>
    <n v="10341421"/>
    <n v="5000000"/>
    <m/>
    <m/>
  </r>
  <r>
    <x v="11"/>
    <s v="Traspaso De: Camila Stefany Diaz Duran"/>
    <x v="3"/>
    <m/>
    <m/>
    <n v="15341421"/>
    <n v="200000"/>
    <m/>
    <s v="Reserva C-14"/>
  </r>
  <r>
    <x v="11"/>
    <s v="Traspaso A: Sinergia Austral Spa"/>
    <x v="1"/>
    <m/>
    <m/>
    <n v="15541421"/>
    <m/>
    <n v="-695436"/>
    <s v="Tubo Corrugado HDPE 600 mm Agricola Los Chilcos"/>
  </r>
  <r>
    <x v="11"/>
    <s v="Traspaso De: Pedro Jose Lecaros Sotomayor"/>
    <x v="2"/>
    <m/>
    <s v="PLS"/>
    <n v="14845985"/>
    <n v="5000000"/>
    <m/>
    <m/>
  </r>
  <r>
    <x v="12"/>
    <s v="Traspaso De: Pedro Jose Lecaros Sotomayor"/>
    <x v="2"/>
    <m/>
    <s v="PLS"/>
    <n v="19845985"/>
    <n v="5000000"/>
    <m/>
    <m/>
  </r>
  <r>
    <x v="13"/>
    <s v="Traspaso A: Hernan Pizarro"/>
    <x v="1"/>
    <m/>
    <m/>
    <n v="24845985"/>
    <m/>
    <n v="-574395"/>
    <m/>
  </r>
  <r>
    <x v="14"/>
    <s v="Traspaso De: Pedro Jose Lecaros Sotomayor"/>
    <x v="2"/>
    <m/>
    <s v="PLS"/>
    <n v="24271590"/>
    <n v="5000000"/>
    <m/>
    <m/>
  </r>
  <r>
    <x v="14"/>
    <s v="Traspaso De: Servicios Psicologicos Integrales Spa"/>
    <x v="3"/>
    <m/>
    <m/>
    <n v="29271590"/>
    <n v="200000"/>
    <m/>
    <s v="Reserva A-10"/>
  </r>
  <r>
    <x v="14"/>
    <s v="Traspaso De: Cristian Andres Vera Gutierrez"/>
    <x v="3"/>
    <m/>
    <m/>
    <n v="29471590"/>
    <n v="250000"/>
    <m/>
    <s v="Parte 1 reserva A16/17/18"/>
  </r>
  <r>
    <x v="14"/>
    <s v="Traspaso De: Pedro Jose Lecaros Sotomayor"/>
    <x v="2"/>
    <m/>
    <s v="PLS"/>
    <n v="29721590"/>
    <n v="5000000"/>
    <m/>
    <m/>
  </r>
  <r>
    <x v="14"/>
    <s v="Traspaso A: Construcciones Del Ranco Spa"/>
    <x v="1"/>
    <m/>
    <m/>
    <n v="34721590"/>
    <m/>
    <n v="-3552557"/>
    <s v="Estado de pago 3"/>
  </r>
  <r>
    <x v="14"/>
    <s v="Traspaso De: Inversiones Jopa Limitada"/>
    <x v="2"/>
    <m/>
    <s v="JOPA"/>
    <n v="31169033"/>
    <n v="16000000"/>
    <m/>
    <m/>
  </r>
  <r>
    <x v="15"/>
    <s v="Traspaso De: Jose Miguel Parro Fluxa"/>
    <x v="2"/>
    <m/>
    <s v="JMP"/>
    <n v="47169033"/>
    <n v="5000000"/>
    <m/>
    <m/>
  </r>
  <r>
    <x v="15"/>
    <s v="Traspaso De: Jose Miguel Parro"/>
    <x v="2"/>
    <m/>
    <s v="JMP"/>
    <n v="52169033"/>
    <n v="5000000"/>
    <m/>
    <m/>
  </r>
  <r>
    <x v="15"/>
    <s v="Traspaso De: Cristian Andres Vera Gutierrez"/>
    <x v="3"/>
    <m/>
    <m/>
    <n v="57169033"/>
    <n v="350000"/>
    <m/>
    <s v="Parte 2 reserva A16/17/18"/>
  </r>
  <r>
    <x v="15"/>
    <s v="Traspaso De: Pedro Jose Lecaros Sotomayor"/>
    <x v="2"/>
    <m/>
    <s v="PLS"/>
    <n v="57519033"/>
    <n v="5000000"/>
    <m/>
    <m/>
  </r>
  <r>
    <x v="15"/>
    <s v="Traspaso De: Mauricio Ignacio Fuentes Rodriguez"/>
    <x v="3"/>
    <m/>
    <m/>
    <n v="62519033"/>
    <n v="200000"/>
    <m/>
    <m/>
  </r>
  <r>
    <x v="15"/>
    <s v="Traspaso A: Camila Stefany Diaz Duran"/>
    <x v="3"/>
    <m/>
    <m/>
    <n v="62719033"/>
    <m/>
    <n v="-200000"/>
    <s v="Devolucion reserva C14"/>
  </r>
  <r>
    <x v="15"/>
    <s v="Traspaso De: Jose Miguel Parro"/>
    <x v="2"/>
    <m/>
    <s v="JMP"/>
    <n v="62519033"/>
    <n v="4000000"/>
    <m/>
    <m/>
  </r>
  <r>
    <x v="15"/>
    <s v="Traspaso A: Geotim Ltda"/>
    <x v="1"/>
    <m/>
    <m/>
    <n v="66519033"/>
    <m/>
    <n v="-11061"/>
    <s v="Reembolsa envio planos Stgo"/>
  </r>
  <r>
    <x v="16"/>
    <s v="Traspaso De: Felipe Leopoldo Pardo Vasquez"/>
    <x v="3"/>
    <m/>
    <m/>
    <n v="66507972"/>
    <n v="200000"/>
    <m/>
    <s v="Reserva B-14"/>
  </r>
  <r>
    <x v="16"/>
    <s v="Cargo Por Aplicacion De Dividendo"/>
    <x v="2"/>
    <m/>
    <s v="BANCO DE CHILE"/>
    <n v="66707972"/>
    <m/>
    <n v="-59739613"/>
    <s v="Prepaga prestamo hipotecario Banco de Chile"/>
  </r>
  <r>
    <x v="16"/>
    <s v="Pago Automatico Tarjeta De Credito"/>
    <x v="1"/>
    <m/>
    <m/>
    <n v="6968359"/>
    <m/>
    <n v="-19859"/>
    <m/>
  </r>
  <r>
    <x v="17"/>
    <s v="Traspaso De: Claudio Andr?eacute?s"/>
    <x v="3"/>
    <m/>
    <m/>
    <n v="6948500"/>
    <n v="200000"/>
    <m/>
    <s v="Reserva B-12"/>
  </r>
  <r>
    <x v="18"/>
    <s v="Traspaso De: Molina Saavedra Alberto Ricardo"/>
    <x v="3"/>
    <m/>
    <m/>
    <n v="7148500"/>
    <n v="200000"/>
    <m/>
    <s v="Reserva B-8"/>
  </r>
  <r>
    <x v="18"/>
    <s v="Traspaso De: Lisssette Patricia Riquelme Martinez"/>
    <x v="3"/>
    <m/>
    <m/>
    <n v="7348500"/>
    <n v="200000"/>
    <m/>
    <s v="Reserva B-8"/>
  </r>
  <r>
    <x v="18"/>
    <s v="Traspaso De: Rodolfo Alexis Utreras"/>
    <x v="3"/>
    <s v="B9 - RODOLFO UTRERAS"/>
    <m/>
    <n v="7548500"/>
    <n v="200000"/>
    <m/>
    <s v="Reserva B-9"/>
  </r>
  <r>
    <x v="18"/>
    <s v="Traspaso A: Lissette Riquelme"/>
    <x v="3"/>
    <m/>
    <m/>
    <n v="7748500"/>
    <m/>
    <n v="-200000"/>
    <s v="Reembolso reserva B-8"/>
  </r>
  <r>
    <x v="18"/>
    <s v="Traspaso De: Mauricio Ignacio Fuentes Rodriguez"/>
    <x v="3"/>
    <m/>
    <m/>
    <n v="7548500"/>
    <n v="200000"/>
    <m/>
    <s v="Reserva C-18"/>
  </r>
  <r>
    <x v="18"/>
    <s v="Traspaso De: Edelmira Zulema Reyes Urbina"/>
    <x v="3"/>
    <m/>
    <m/>
    <n v="7748500"/>
    <n v="200000"/>
    <m/>
    <s v="Reserva B-6"/>
  </r>
  <r>
    <x v="19"/>
    <s v="Traspaso De: Lisssette Patricia Riquelme Martinez"/>
    <x v="3"/>
    <m/>
    <m/>
    <n v="7948500"/>
    <n v="200000"/>
    <m/>
    <s v="Reserva B-7"/>
  </r>
  <r>
    <x v="19"/>
    <s v="Traspaso De: San Martin Vargas Carlos Eduardo"/>
    <x v="3"/>
    <m/>
    <m/>
    <n v="8148500"/>
    <n v="200000"/>
    <m/>
    <s v="Reserva B-13"/>
  </r>
  <r>
    <x v="20"/>
    <s v="Traspaso A: Asesorias Ecox Spa"/>
    <x v="1"/>
    <m/>
    <m/>
    <n v="8348500"/>
    <m/>
    <n v="-100000"/>
    <s v="Servicio contable"/>
  </r>
  <r>
    <x v="20"/>
    <s v="Traspaso De: Hector Bernardo Maldonado Munoz"/>
    <x v="3"/>
    <m/>
    <m/>
    <n v="8248500"/>
    <n v="200000"/>
    <m/>
    <s v="Reserva B-16"/>
  </r>
  <r>
    <x v="20"/>
    <s v="Traspaso De: Lizzette Guajardo Vargas"/>
    <x v="3"/>
    <m/>
    <m/>
    <n v="8448500"/>
    <n v="200000"/>
    <m/>
    <s v="Reserva A-9"/>
  </r>
  <r>
    <x v="20"/>
    <s v="Traspaso De: Johanns Edward Agurto Rozas"/>
    <x v="3"/>
    <m/>
    <m/>
    <n v="8648500"/>
    <n v="200000"/>
    <m/>
    <s v="Reserva C-17"/>
  </r>
  <r>
    <x v="21"/>
    <s v="Traspaso A: Conrad Pablo Zlch Parra"/>
    <x v="4"/>
    <m/>
    <m/>
    <n v="8848500"/>
    <m/>
    <n v="-40000"/>
    <s v="Copia plano inscrito"/>
  </r>
  <r>
    <x v="21"/>
    <s v="Pago En Sii.cl*"/>
    <x v="5"/>
    <m/>
    <m/>
    <n v="8808500"/>
    <m/>
    <n v="-102492"/>
    <m/>
  </r>
  <r>
    <x v="22"/>
    <s v="Traspaso A: Construcciones Del Ranco Spa"/>
    <x v="1"/>
    <m/>
    <m/>
    <n v="8706008"/>
    <m/>
    <n v="-1322892"/>
    <m/>
  </r>
  <r>
    <x v="22"/>
    <s v="Traspaso A: Construcciones Del Ranco Spa"/>
    <x v="1"/>
    <m/>
    <m/>
    <n v="7383116"/>
    <m/>
    <n v="-2159683"/>
    <m/>
  </r>
  <r>
    <x v="22"/>
    <s v="Traspaso A: Construcciones Del Ranco Spa"/>
    <x v="1"/>
    <m/>
    <m/>
    <n v="5223433"/>
    <m/>
    <n v="-70545"/>
    <m/>
  </r>
  <r>
    <x v="23"/>
    <s v="Traspaso A: Benjamin Lecaros"/>
    <x v="1"/>
    <m/>
    <s v="BLS"/>
    <n v="5152888"/>
    <m/>
    <n v="-113639"/>
    <m/>
  </r>
  <r>
    <x v="24"/>
    <s v="Deposito En Efectivo N° 2941600"/>
    <x v="3"/>
    <m/>
    <m/>
    <n v="5039249"/>
    <n v="3500000"/>
    <m/>
    <s v="Promesa Katherine A-10"/>
  </r>
  <r>
    <x v="25"/>
    <s v="Comision Anual Linea De Credito Automatica"/>
    <x v="6"/>
    <m/>
    <m/>
    <n v="8539249"/>
    <m/>
    <n v="-103638"/>
    <m/>
  </r>
  <r>
    <x v="26"/>
    <s v="Traspaso De: Valentina Michelle Aranda Espinoza"/>
    <x v="3"/>
    <s v="A5 - VALENTINA ARANDA"/>
    <m/>
    <n v="8435611"/>
    <n v="200000"/>
    <m/>
    <s v="Reserva A-5"/>
  </r>
  <r>
    <x v="27"/>
    <s v="Traspaso A: La Nube Fotografia Ltda."/>
    <x v="1"/>
    <m/>
    <m/>
    <n v="8635611"/>
    <m/>
    <n v="-178500"/>
    <m/>
  </r>
  <r>
    <x v="27"/>
    <s v="Traspaso A: Geotim Ltda"/>
    <x v="1"/>
    <m/>
    <m/>
    <n v="8457111"/>
    <m/>
    <n v="-946050"/>
    <s v="instalacion alcantarill"/>
  </r>
  <r>
    <x v="28"/>
    <s v="Traspaso A: Servicios Psicologicos Integrales"/>
    <x v="3"/>
    <m/>
    <m/>
    <n v="7511061"/>
    <m/>
    <n v="-200000"/>
    <s v="Reembolso reserva A-13"/>
  </r>
  <r>
    <x v="28"/>
    <s v="Traspaso A: Benjamin Lecaros"/>
    <x v="1"/>
    <m/>
    <s v="BLS"/>
    <n v="7311061"/>
    <m/>
    <n v="-19909"/>
    <s v="Tekkrom"/>
  </r>
  <r>
    <x v="29"/>
    <s v="Dep.cheq.otros Bancos N° 4485178"/>
    <x v="2"/>
    <m/>
    <s v="FHB"/>
    <n v="7291152"/>
    <n v="42000000"/>
    <m/>
    <s v="Prestamos Felipe Hiriart"/>
  </r>
  <r>
    <x v="29"/>
    <s v="Deposito Con Cheque Mismo Banco N° 3956722"/>
    <x v="2"/>
    <m/>
    <s v="DOMI"/>
    <n v="49291152"/>
    <n v="260000000"/>
    <m/>
    <s v="Prestamos Dominique Hiriat"/>
  </r>
  <r>
    <x v="30"/>
    <s v="Traspaso De: Valentina Michelle Aranda Espinoza"/>
    <x v="3"/>
    <s v="A5 - VALENTINA ARANDA"/>
    <m/>
    <n v="309291152"/>
    <n v="4800000"/>
    <m/>
    <s v="Pie parcela A-5"/>
  </r>
  <r>
    <x v="30"/>
    <s v="Traspaso De: Miguel Jesus Torres Agreda"/>
    <x v="3"/>
    <m/>
    <m/>
    <n v="314091152"/>
    <n v="200000"/>
    <m/>
    <s v="Reserva B-5"/>
  </r>
  <r>
    <x v="30"/>
    <s v="Traspaso A: Asesorias Ecox Spa"/>
    <x v="1"/>
    <m/>
    <m/>
    <n v="314291152"/>
    <m/>
    <n v="-100000"/>
    <s v="Servicio contable"/>
  </r>
  <r>
    <x v="30"/>
    <s v="Traspaso A: Benjamin Lecaros"/>
    <x v="1"/>
    <m/>
    <s v="BLS"/>
    <n v="314191152"/>
    <m/>
    <n v="-9674"/>
    <s v="Envio chilexpress"/>
  </r>
  <r>
    <x v="31"/>
    <s v="Traspaso A: Conrad Pablo Zlch Parra"/>
    <x v="4"/>
    <m/>
    <m/>
    <n v="314181478"/>
    <m/>
    <n v="-27500"/>
    <s v="Set documentos"/>
  </r>
  <r>
    <x v="31"/>
    <s v="Traspaso De: Manuel Alejandro Jeldres Stuardo"/>
    <x v="3"/>
    <m/>
    <m/>
    <n v="314153978"/>
    <n v="200000"/>
    <m/>
    <s v="Reserva A-3"/>
  </r>
  <r>
    <x v="32"/>
    <s v="Traspaso A: Andres Rieutord"/>
    <x v="4"/>
    <m/>
    <m/>
    <n v="314353978"/>
    <m/>
    <n v="-10000"/>
    <m/>
  </r>
  <r>
    <x v="33"/>
    <s v="Cargo Por Aplicacion De Dividendo"/>
    <x v="2"/>
    <m/>
    <s v="BANCO DE CHILE"/>
    <n v="314343978"/>
    <m/>
    <n v="-300775861"/>
    <m/>
  </r>
  <r>
    <x v="33"/>
    <s v="Traspaso A: Benjamin Lecaros"/>
    <x v="1"/>
    <m/>
    <s v="BLS"/>
    <n v="13568117"/>
    <m/>
    <n v="-140949"/>
    <s v="Reembolsa gastos viaje"/>
  </r>
  <r>
    <x v="34"/>
    <s v="Pago En Sii.cl*"/>
    <x v="1"/>
    <m/>
    <m/>
    <n v="13427168"/>
    <m/>
    <n v="-7563"/>
    <m/>
  </r>
  <r>
    <x v="34"/>
    <s v="Traspaso De: Distribuidora El Turco Limitada"/>
    <x v="3"/>
    <m/>
    <m/>
    <n v="13419605"/>
    <n v="1000000"/>
    <m/>
    <s v="Reserva 5 lotes Jorge Berna"/>
  </r>
  <r>
    <x v="34"/>
    <s v="Traspaso De: Carlos Alberto Cespedes Lopez"/>
    <x v="3"/>
    <m/>
    <m/>
    <n v="14419605"/>
    <n v="6600000"/>
    <m/>
    <s v="Pago cuota 1/3"/>
  </r>
  <r>
    <x v="34"/>
    <s v="Traspaso De: Rodolfo Andres Ramirez Ortiz"/>
    <x v="3"/>
    <s v="C11 - RODOLFO RAMÍREZ"/>
    <m/>
    <n v="21019605"/>
    <n v="200000"/>
    <m/>
    <s v="Reserva lote C-11"/>
  </r>
  <r>
    <x v="34"/>
    <s v="Pago Automatico Tarjeta De Credito"/>
    <x v="1"/>
    <m/>
    <m/>
    <n v="21219605"/>
    <m/>
    <n v="-901592"/>
    <m/>
  </r>
  <r>
    <x v="35"/>
    <s v="Traspaso A: Andres Rieutord"/>
    <x v="4"/>
    <m/>
    <m/>
    <n v="20318013"/>
    <m/>
    <n v="-60000"/>
    <m/>
  </r>
  <r>
    <x v="35"/>
    <s v="Traspaso De: Miguel Jesus Torres Agreda"/>
    <x v="3"/>
    <m/>
    <m/>
    <n v="20258013"/>
    <n v="200000"/>
    <m/>
    <s v="Reserva lote B3"/>
  </r>
  <r>
    <x v="36"/>
    <s v="Recaudacion Y Pagos De Servicios *"/>
    <x v="7"/>
    <m/>
    <m/>
    <n v="20458013"/>
    <m/>
    <n v="-20000000"/>
    <m/>
  </r>
  <r>
    <x v="37"/>
    <s v="Traspaso De: Maria Paz Martinez"/>
    <x v="3"/>
    <m/>
    <m/>
    <n v="458013"/>
    <n v="200000"/>
    <m/>
    <s v="Reserva B15"/>
  </r>
  <r>
    <x v="37"/>
    <s v="Traspaso De: Pamela De Lourdes Ruiz Garces"/>
    <x v="3"/>
    <m/>
    <m/>
    <n v="658013"/>
    <n v="200000"/>
    <m/>
    <s v="Reserva C7"/>
  </r>
  <r>
    <x v="37"/>
    <s v="Traspaso De: Karen Mabel Mardones Leiva"/>
    <x v="3"/>
    <m/>
    <m/>
    <n v="858013"/>
    <n v="200000"/>
    <m/>
    <s v="Reserva B4"/>
  </r>
  <r>
    <x v="38"/>
    <s v="Traspaso De: Blanca Del Pilar Rojas Bahamondes"/>
    <x v="3"/>
    <m/>
    <m/>
    <n v="1058013"/>
    <n v="200000"/>
    <m/>
    <s v="Reserva A12"/>
  </r>
  <r>
    <x v="38"/>
    <s v="Traspaso A: Benjamin Lecaros"/>
    <x v="1"/>
    <m/>
    <s v="BLS"/>
    <n v="1258013"/>
    <m/>
    <n v="-20000"/>
    <m/>
  </r>
  <r>
    <x v="38"/>
    <s v="Traspaso A: Benjamin Lecaros"/>
    <x v="1"/>
    <m/>
    <s v="BLS"/>
    <n v="1238013"/>
    <m/>
    <n v="-9691"/>
    <m/>
  </r>
  <r>
    <x v="39"/>
    <s v="Traspaso A: Benjamin Lecaros"/>
    <x v="1"/>
    <m/>
    <s v="BLS"/>
    <n v="1228322"/>
    <m/>
    <n v="-36069"/>
    <m/>
  </r>
  <r>
    <x v="39"/>
    <s v="Traspaso A: Benjamin Lecaros"/>
    <x v="1"/>
    <m/>
    <s v="BLS"/>
    <n v="1192253"/>
    <m/>
    <n v="-9528"/>
    <m/>
  </r>
  <r>
    <x v="40"/>
    <s v="Traspaso A: Andres Rieutord"/>
    <x v="4"/>
    <m/>
    <m/>
    <n v="1182725"/>
    <m/>
    <n v="-120000"/>
    <m/>
  </r>
  <r>
    <x v="41"/>
    <s v="Traspaso A: Felipe Chavez Torres"/>
    <x v="1"/>
    <m/>
    <m/>
    <n v="1062725"/>
    <m/>
    <n v="-259074"/>
    <m/>
  </r>
  <r>
    <x v="41"/>
    <s v="Traspaso A: Felipe Chavez Torres"/>
    <x v="1"/>
    <m/>
    <m/>
    <n v="803651"/>
    <m/>
    <n v="-260000"/>
    <m/>
  </r>
  <r>
    <x v="41"/>
    <s v="Traspaso A: Andres Rieutord"/>
    <x v="4"/>
    <m/>
    <m/>
    <n v="543651"/>
    <m/>
    <n v="-50000"/>
    <m/>
  </r>
  <r>
    <x v="41"/>
    <s v="Traspaso De: Francisco Javier Flore"/>
    <x v="3"/>
    <m/>
    <m/>
    <n v="493651"/>
    <n v="200000"/>
    <m/>
    <s v="Reserva B2 Francisco"/>
  </r>
  <r>
    <x v="42"/>
    <s v="Traspaso De: Roberto Andres Traslavina Lopez"/>
    <x v="3"/>
    <m/>
    <m/>
    <n v="693651"/>
    <n v="200000"/>
    <m/>
    <s v="Reserva C-14 Roberto"/>
  </r>
  <r>
    <x v="43"/>
    <s v="Traspaso De: Cristina Adela Ochoa Adamas"/>
    <x v="3"/>
    <m/>
    <m/>
    <n v="893651"/>
    <n v="200000"/>
    <m/>
    <s v="Reserva C-1 Cristina"/>
  </r>
  <r>
    <x v="43"/>
    <s v="Pago: Inversiones 0965712208"/>
    <x v="7"/>
    <m/>
    <m/>
    <n v="1093651"/>
    <n v="5000001"/>
    <m/>
    <m/>
  </r>
  <r>
    <x v="44"/>
    <s v="Traspaso De: Cifuentes Ortiz Natalia Andrea"/>
    <x v="3"/>
    <m/>
    <m/>
    <n v="6093652"/>
    <n v="200000"/>
    <m/>
    <s v="Reserva C-12 Natalia"/>
  </r>
  <r>
    <x v="44"/>
    <s v="Traspaso A: Geotim Ltda"/>
    <x v="1"/>
    <m/>
    <m/>
    <n v="6293652"/>
    <m/>
    <n v="-5000000"/>
    <s v="Caminos"/>
  </r>
  <r>
    <x v="44"/>
    <s v="Traspaso A: Geotim Ltda"/>
    <x v="1"/>
    <m/>
    <m/>
    <n v="1293652"/>
    <m/>
    <n v="-950000"/>
    <s v="Caminos"/>
  </r>
  <r>
    <x v="44"/>
    <s v="Traspaso A: Andres Rieutord"/>
    <x v="4"/>
    <m/>
    <m/>
    <n v="343652"/>
    <m/>
    <n v="-120000"/>
    <m/>
  </r>
  <r>
    <x v="44"/>
    <s v="Traspaso A: Conrad Pablo Zlch Parra"/>
    <x v="4"/>
    <m/>
    <m/>
    <n v="223652"/>
    <m/>
    <n v="-27500"/>
    <m/>
  </r>
  <r>
    <x v="44"/>
    <s v="Traspaso A: Asesorias Ecox Spa"/>
    <x v="1"/>
    <m/>
    <m/>
    <n v="196152"/>
    <m/>
    <n v="-100000"/>
    <m/>
  </r>
  <r>
    <x v="45"/>
    <s v="Pago: Inversiones 0965712208"/>
    <x v="7"/>
    <m/>
    <m/>
    <n v="96152"/>
    <n v="6000001"/>
    <m/>
    <m/>
  </r>
  <r>
    <x v="45"/>
    <s v="Deposito En Efectivo N° 5584602"/>
    <x v="3"/>
    <s v="B9 - RODOLFO UTRERAS"/>
    <m/>
    <n v="6096153"/>
    <n v="7000000"/>
    <m/>
    <s v="Pie parcela B-9 Rodolfo"/>
  </r>
  <r>
    <x v="45"/>
    <s v="Traspaso A: Asesorias Ecox Spa"/>
    <x v="1"/>
    <m/>
    <m/>
    <n v="13096153"/>
    <m/>
    <n v="-4000000"/>
    <m/>
  </r>
  <r>
    <x v="45"/>
    <s v="Traspaso A: Geotim Ltda"/>
    <x v="1"/>
    <m/>
    <m/>
    <n v="9096153"/>
    <m/>
    <n v="-1900000"/>
    <s v="Caminos"/>
  </r>
  <r>
    <x v="45"/>
    <s v="Recaudacion Y Pagos De Servicios *"/>
    <x v="7"/>
    <m/>
    <m/>
    <n v="7196153"/>
    <m/>
    <n v="-7000000"/>
    <m/>
  </r>
  <r>
    <x v="46"/>
    <s v="Traspaso De: Lisssette Patricia Riquelme Martinez"/>
    <x v="3"/>
    <m/>
    <m/>
    <n v="196153"/>
    <n v="4800000"/>
    <m/>
    <s v="Pie parcela B7"/>
  </r>
  <r>
    <x v="47"/>
    <s v="Traspaso De: Francisca Fernanda San Martin Peralta"/>
    <x v="3"/>
    <m/>
    <m/>
    <n v="4996153"/>
    <n v="200000"/>
    <m/>
    <s v="Reserva B10"/>
  </r>
  <r>
    <x v="47"/>
    <s v="Traspaso A: Benjamin Lecaros"/>
    <x v="1"/>
    <m/>
    <s v="BLS"/>
    <n v="5196153"/>
    <m/>
    <n v="-1710000"/>
    <m/>
  </r>
  <r>
    <x v="47"/>
    <s v="Recaudacion Y Pagos De Servicios *"/>
    <x v="7"/>
    <m/>
    <m/>
    <n v="3486153"/>
    <m/>
    <n v="-3300000"/>
    <m/>
  </r>
  <r>
    <x v="47"/>
    <s v="Pago Automatico Tarjeta De Credito"/>
    <x v="1"/>
    <m/>
    <m/>
    <n v="186153"/>
    <m/>
    <n v="-1175879"/>
    <m/>
  </r>
  <r>
    <x v="47"/>
    <s v="Transferencia Desde Linea De Credito"/>
    <x v="6"/>
    <m/>
    <m/>
    <n v="-989726"/>
    <n v="989726"/>
    <m/>
    <m/>
  </r>
  <r>
    <x v="48"/>
    <s v="Traspaso De: Francisco Javier Flore"/>
    <x v="3"/>
    <m/>
    <m/>
    <n v="0"/>
    <n v="200000"/>
    <m/>
    <m/>
  </r>
  <r>
    <x v="48"/>
    <s v="Traspaso A: Andres Rieutord"/>
    <x v="4"/>
    <m/>
    <m/>
    <n v="200000"/>
    <m/>
    <n v="-50000"/>
    <m/>
  </r>
  <r>
    <x v="48"/>
    <s v="Traspaso A: Andres Rieutord"/>
    <x v="4"/>
    <m/>
    <m/>
    <n v="150000"/>
    <m/>
    <n v="-60000"/>
    <m/>
  </r>
  <r>
    <x v="48"/>
    <s v="Traspaso De: Carlos Alberto Cespedes Lopez"/>
    <x v="3"/>
    <m/>
    <m/>
    <n v="90000"/>
    <n v="6600000"/>
    <m/>
    <m/>
  </r>
  <r>
    <x v="48"/>
    <s v="Recaudacion Y Pagos De Servicios *"/>
    <x v="7"/>
    <m/>
    <m/>
    <n v="6690000"/>
    <m/>
    <n v="-4600000"/>
    <m/>
  </r>
  <r>
    <x v="48"/>
    <s v="Amortizacion A Linea De Credito"/>
    <x v="6"/>
    <m/>
    <m/>
    <n v="2090000"/>
    <m/>
    <n v="-989726"/>
    <m/>
  </r>
  <r>
    <x v="49"/>
    <s v="Pago En Tesoreria.cl*"/>
    <x v="5"/>
    <m/>
    <m/>
    <n v="1100274"/>
    <m/>
    <n v="-351268"/>
    <s v="Contribuciones cuota 1"/>
  </r>
  <r>
    <x v="50"/>
    <s v="Pago En Sii.cl*"/>
    <x v="5"/>
    <m/>
    <m/>
    <n v="749006"/>
    <m/>
    <n v="-439844"/>
    <m/>
  </r>
  <r>
    <x v="51"/>
    <s v="Traspaso De: Maritza Marcela Leiva Vera"/>
    <x v="3"/>
    <m/>
    <m/>
    <n v="309162"/>
    <n v="200000"/>
    <m/>
    <m/>
  </r>
  <r>
    <x v="51"/>
    <s v="Abono Por Reversa De Dividendo"/>
    <x v="2"/>
    <m/>
    <s v="BANCO DE CHILE"/>
    <n v="509162"/>
    <n v="17570170"/>
    <m/>
    <m/>
  </r>
  <r>
    <x v="52"/>
    <s v="Recaudacion Y Pagos De Servicios *"/>
    <x v="7"/>
    <m/>
    <m/>
    <n v="18079332"/>
    <m/>
    <n v="-16000000"/>
    <m/>
  </r>
  <r>
    <x v="53"/>
    <s v="Traspaso A: Geotim Ltda"/>
    <x v="1"/>
    <m/>
    <m/>
    <n v="2079332"/>
    <m/>
    <n v="-1309000"/>
    <s v="ADELANTO REPLANTEO"/>
  </r>
  <r>
    <x v="53"/>
    <s v="Traspaso De: Cecilia Adelaida Villagra Villagra"/>
    <x v="3"/>
    <m/>
    <m/>
    <n v="770332"/>
    <n v="200000"/>
    <m/>
    <s v="Reserva C10"/>
  </r>
  <r>
    <x v="54"/>
    <s v="Traspaso De: Juan Esteban Sanchez Bascur"/>
    <x v="3"/>
    <m/>
    <m/>
    <n v="970332"/>
    <n v="200000"/>
    <m/>
    <s v="Reserva C9"/>
  </r>
  <r>
    <x v="55"/>
    <s v="Traspaso A: Conrad Pablo Zlch Parra"/>
    <x v="4"/>
    <m/>
    <m/>
    <n v="1170332"/>
    <m/>
    <n v="-177500"/>
    <m/>
  </r>
  <r>
    <x v="56"/>
    <s v="Traspaso A: Andres Rieutord"/>
    <x v="4"/>
    <m/>
    <m/>
    <n v="992832"/>
    <m/>
    <n v="-90000"/>
    <m/>
  </r>
  <r>
    <x v="56"/>
    <s v="Traspaso A: Conrad Pablo Zlch Parra"/>
    <x v="4"/>
    <m/>
    <m/>
    <n v="902832"/>
    <m/>
    <n v="-35500"/>
    <m/>
  </r>
  <r>
    <x v="57"/>
    <s v="Deposito En Efectivo N° 8860669"/>
    <x v="3"/>
    <m/>
    <m/>
    <n v="867332"/>
    <n v="19800000"/>
    <m/>
    <s v="B12 claudio Quezada"/>
  </r>
  <r>
    <x v="57"/>
    <s v="Dep.cheq.otros Bancos N° 4543970"/>
    <x v="3"/>
    <m/>
    <m/>
    <n v="20667332"/>
    <n v="84200000"/>
    <m/>
    <s v="B6, B16, A15, A9"/>
  </r>
  <r>
    <x v="58"/>
    <s v="Traspaso De: Manzano Ruiz Cristian Osvaldo"/>
    <x v="3"/>
    <m/>
    <m/>
    <n v="104867332"/>
    <n v="200000"/>
    <m/>
    <s v="Reserva parcela C8"/>
  </r>
  <r>
    <x v="58"/>
    <s v="Dep.cheq.otros Bancos N° 4543994"/>
    <x v="3"/>
    <m/>
    <m/>
    <n v="105067332"/>
    <n v="19800000"/>
    <m/>
    <s v="B13 Carlos San Martin"/>
  </r>
  <r>
    <x v="59"/>
    <s v="Traspaso A: Benjamin Lecaros"/>
    <x v="1"/>
    <m/>
    <s v="BLS"/>
    <n v="124867332"/>
    <m/>
    <n v="-3420000"/>
    <s v="Asesoria venta A9 B12 B13 B16"/>
  </r>
  <r>
    <x v="59"/>
    <s v="Traspaso De: Valentina Michelle Aranda Espinoza"/>
    <x v="3"/>
    <s v="A5 - VALENTINA ARANDA"/>
    <m/>
    <n v="121447332"/>
    <n v="1125465"/>
    <m/>
    <s v="Cuota 1/24"/>
  </r>
  <r>
    <x v="59"/>
    <s v="Pago: Inversiones 0965712208"/>
    <x v="7"/>
    <m/>
    <m/>
    <n v="122572797"/>
    <n v="40028395"/>
    <m/>
    <m/>
  </r>
  <r>
    <x v="59"/>
    <s v="Traspaso A: Dominique Hiriart"/>
    <x v="2"/>
    <m/>
    <s v="DOMI"/>
    <n v="162601192"/>
    <m/>
    <n v="-5000000"/>
    <m/>
  </r>
  <r>
    <x v="59"/>
    <s v="Traspaso A: Dominique Hiriart"/>
    <x v="2"/>
    <m/>
    <s v="DOMI"/>
    <n v="157601192"/>
    <m/>
    <n v="-5000000"/>
    <m/>
  </r>
  <r>
    <x v="59"/>
    <s v="Traspaso A: Dominique Hiriart"/>
    <x v="2"/>
    <m/>
    <s v="DOMI"/>
    <n v="152601192"/>
    <m/>
    <n v="-5000000"/>
    <m/>
  </r>
  <r>
    <x v="59"/>
    <s v="Traspaso A: Dominique Hiriart"/>
    <x v="2"/>
    <m/>
    <s v="DOMI"/>
    <n v="147601192"/>
    <m/>
    <n v="-5000000"/>
    <m/>
  </r>
  <r>
    <x v="59"/>
    <s v="Traspaso A: Dominique Hiriart"/>
    <x v="2"/>
    <m/>
    <s v="DOMI"/>
    <n v="142601192"/>
    <m/>
    <n v="-5000000"/>
    <m/>
  </r>
  <r>
    <x v="59"/>
    <s v="Traspaso A: Dominique Hiriart"/>
    <x v="2"/>
    <m/>
    <s v="DOMI"/>
    <n v="137601192"/>
    <m/>
    <n v="-5000000"/>
    <m/>
  </r>
  <r>
    <x v="59"/>
    <s v="Traspaso A: Dominique Hiriart"/>
    <x v="2"/>
    <m/>
    <s v="DOMI"/>
    <n v="132601192"/>
    <m/>
    <n v="-5000000"/>
    <m/>
  </r>
  <r>
    <x v="59"/>
    <s v="Traspaso A: Dominique Hiriart"/>
    <x v="2"/>
    <m/>
    <s v="DOMI"/>
    <n v="127601192"/>
    <m/>
    <n v="-5000000"/>
    <m/>
  </r>
  <r>
    <x v="59"/>
    <s v="Traspaso A: Dominique Hiriart"/>
    <x v="2"/>
    <m/>
    <s v="DOMI"/>
    <n v="122601192"/>
    <m/>
    <n v="-5000000"/>
    <m/>
  </r>
  <r>
    <x v="59"/>
    <s v="Traspaso A: Dominique Hiriart"/>
    <x v="2"/>
    <m/>
    <s v="DOMI"/>
    <n v="117601192"/>
    <m/>
    <n v="-5000000"/>
    <m/>
  </r>
  <r>
    <x v="59"/>
    <s v="Traspaso A: Dominique Hiriart"/>
    <x v="2"/>
    <m/>
    <s v="DOMI"/>
    <n v="112601192"/>
    <m/>
    <n v="-5000000"/>
    <m/>
  </r>
  <r>
    <x v="59"/>
    <s v="Traspaso A: Dominique Hiriart"/>
    <x v="2"/>
    <m/>
    <s v="DOMI"/>
    <n v="107601192"/>
    <m/>
    <n v="-5000000"/>
    <m/>
  </r>
  <r>
    <x v="59"/>
    <s v="Traspaso A: Dominique Hiriart"/>
    <x v="2"/>
    <m/>
    <s v="DOMI"/>
    <n v="102601192"/>
    <m/>
    <n v="-5000000"/>
    <m/>
  </r>
  <r>
    <x v="59"/>
    <s v="Traspaso A: Dominique Hiriart"/>
    <x v="2"/>
    <m/>
    <s v="DOMI"/>
    <n v="97601192"/>
    <m/>
    <n v="-5000000"/>
    <m/>
  </r>
  <r>
    <x v="59"/>
    <s v="Traspaso A: Dominique Hiriart"/>
    <x v="2"/>
    <m/>
    <s v="DOMI"/>
    <n v="92601192"/>
    <m/>
    <n v="-5000000"/>
    <m/>
  </r>
  <r>
    <x v="59"/>
    <s v="Traspaso A: Dominique Hiriart"/>
    <x v="2"/>
    <m/>
    <s v="DOMI"/>
    <n v="87601192"/>
    <m/>
    <n v="-5000000"/>
    <m/>
  </r>
  <r>
    <x v="59"/>
    <s v="Traspaso A: Dominique Hiriart"/>
    <x v="2"/>
    <m/>
    <s v="DOMI"/>
    <n v="82601192"/>
    <m/>
    <n v="-5000000"/>
    <m/>
  </r>
  <r>
    <x v="59"/>
    <s v="Traspaso A: Dominique Hiriart"/>
    <x v="2"/>
    <m/>
    <s v="DOMI"/>
    <n v="77601192"/>
    <m/>
    <n v="-5000000"/>
    <m/>
  </r>
  <r>
    <x v="59"/>
    <s v="Traspaso A: Dominique Hiriart"/>
    <x v="2"/>
    <m/>
    <s v="DOMI"/>
    <n v="72601192"/>
    <m/>
    <n v="-5000000"/>
    <m/>
  </r>
  <r>
    <x v="59"/>
    <s v="Traspaso A: Dominique Hiriart"/>
    <x v="2"/>
    <m/>
    <s v="DOMI"/>
    <n v="67601192"/>
    <m/>
    <n v="-5000000"/>
    <m/>
  </r>
  <r>
    <x v="59"/>
    <s v="Traspaso A: Dominique Hiriart"/>
    <x v="2"/>
    <m/>
    <s v="DOMI"/>
    <n v="62601192"/>
    <m/>
    <n v="-5000000"/>
    <m/>
  </r>
  <r>
    <x v="59"/>
    <s v="Traspaso A: Dominique Hiriart"/>
    <x v="2"/>
    <m/>
    <s v="DOMI"/>
    <n v="57601192"/>
    <m/>
    <n v="-5000000"/>
    <m/>
  </r>
  <r>
    <x v="59"/>
    <s v="Traspaso A: Dominique Hiriart"/>
    <x v="2"/>
    <m/>
    <s v="DOMI"/>
    <n v="52601192"/>
    <m/>
    <n v="-5000000"/>
    <m/>
  </r>
  <r>
    <x v="59"/>
    <s v="Traspaso A: Dominique Hiriart"/>
    <x v="2"/>
    <m/>
    <s v="DOMI"/>
    <n v="47601192"/>
    <m/>
    <n v="-5000000"/>
    <m/>
  </r>
  <r>
    <x v="59"/>
    <s v="Traspaso A: Dominique Hiriart"/>
    <x v="2"/>
    <m/>
    <s v="DOMI"/>
    <n v="42601192"/>
    <m/>
    <n v="-5000000"/>
    <m/>
  </r>
  <r>
    <x v="59"/>
    <s v="Traspaso A: Dominique Hiriart"/>
    <x v="2"/>
    <m/>
    <s v="DOMI"/>
    <n v="37601192"/>
    <m/>
    <n v="-5000000"/>
    <m/>
  </r>
  <r>
    <x v="59"/>
    <s v="Traspaso A: Dominique Hiriart"/>
    <x v="2"/>
    <m/>
    <s v="DOMI"/>
    <n v="32601192"/>
    <m/>
    <n v="-5000000"/>
    <m/>
  </r>
  <r>
    <x v="59"/>
    <s v="Traspaso A: Dominique Hiriart"/>
    <x v="2"/>
    <m/>
    <s v="DOMI"/>
    <n v="27601192"/>
    <m/>
    <n v="-5000000"/>
    <m/>
  </r>
  <r>
    <x v="59"/>
    <s v="Traspaso A: Dominique Hiriart"/>
    <x v="2"/>
    <m/>
    <s v="DOMI"/>
    <n v="22601192"/>
    <m/>
    <n v="-5000000"/>
    <m/>
  </r>
  <r>
    <x v="59"/>
    <s v="Traspaso A: Dominique Hiriart"/>
    <x v="2"/>
    <m/>
    <s v="DOMI"/>
    <n v="17601192"/>
    <m/>
    <n v="-5000000"/>
    <m/>
  </r>
  <r>
    <x v="60"/>
    <s v="Traspaso A: Carlos Ciuffardi"/>
    <x v="1"/>
    <m/>
    <m/>
    <n v="12601192"/>
    <m/>
    <n v="-1068750"/>
    <s v="Comision venta A15"/>
  </r>
  <r>
    <x v="60"/>
    <s v="Traspaso A: La Nube Fotografia Ltda."/>
    <x v="1"/>
    <m/>
    <m/>
    <n v="11532442"/>
    <m/>
    <n v="-178500"/>
    <s v="actualizacion nube"/>
  </r>
  <r>
    <x v="60"/>
    <s v="Traspaso De: Rodolfo Alexis Utreras"/>
    <x v="3"/>
    <s v="B9 - RODOLFO UTRERAS"/>
    <m/>
    <n v="11353942"/>
    <n v="175000"/>
    <m/>
    <s v="Cuota 1/48"/>
  </r>
  <r>
    <x v="61"/>
    <s v="Traspaso A: Geotim Ltda"/>
    <x v="1"/>
    <m/>
    <m/>
    <n v="11528942"/>
    <m/>
    <n v="-800000"/>
    <s v="Comision venta B6"/>
  </r>
  <r>
    <x v="61"/>
    <s v="Traspaso A: Asesorias Ecox Spa"/>
    <x v="1"/>
    <m/>
    <m/>
    <n v="10728942"/>
    <m/>
    <n v="-4000000"/>
    <m/>
  </r>
  <r>
    <x v="61"/>
    <s v="Traspaso A: Asesorias Ecox Spa"/>
    <x v="1"/>
    <m/>
    <m/>
    <n v="6728942"/>
    <m/>
    <n v="-100000"/>
    <s v="Servicio contable"/>
  </r>
  <r>
    <x v="61"/>
    <s v="Impuesto Linea De Credito"/>
    <x v="6"/>
    <m/>
    <m/>
    <n v="6628942"/>
    <m/>
    <n v="-653"/>
    <m/>
  </r>
  <r>
    <x v="61"/>
    <s v="Intereses Linea De Credito"/>
    <x v="6"/>
    <m/>
    <m/>
    <n v="6628289"/>
    <m/>
    <n v="-473"/>
    <m/>
  </r>
  <r>
    <x v="62"/>
    <s v="Traspaso A: Benjamin Lecaros"/>
    <x v="1"/>
    <m/>
    <s v="BLS"/>
    <n v="6627816"/>
    <m/>
    <n v="-2565000"/>
    <s v="Asesoria venta A5 A10 C15"/>
  </r>
  <r>
    <x v="62"/>
    <s v="Traspaso A: Hector Varela"/>
    <x v="1"/>
    <m/>
    <m/>
    <n v="4062816"/>
    <m/>
    <n v="-141152"/>
    <s v="Reembolsa gastos bencina"/>
  </r>
  <r>
    <x v="63"/>
    <s v="Traspaso A: Conrad Pablo Zlch Parra"/>
    <x v="4"/>
    <m/>
    <m/>
    <n v="3921664"/>
    <m/>
    <n v="-155500"/>
    <m/>
  </r>
  <r>
    <x v="64"/>
    <s v="Traspaso A: Andres Rieutord"/>
    <x v="4"/>
    <m/>
    <m/>
    <n v="3766164"/>
    <m/>
    <n v="-60000"/>
    <m/>
  </r>
  <r>
    <x v="64"/>
    <s v="Traspaso A: Pamela Ruiz"/>
    <x v="3"/>
    <m/>
    <m/>
    <n v="3706164"/>
    <m/>
    <n v="-200000"/>
    <s v="Reembolso reserva C7"/>
  </r>
  <r>
    <x v="64"/>
    <s v="Pago Automatico Tarjeta De Credito"/>
    <x v="1"/>
    <m/>
    <m/>
    <n v="3506164"/>
    <m/>
    <n v="-1334208"/>
    <m/>
  </r>
  <r>
    <x v="65"/>
    <s v="Traspaso De: Carlos Alberto Cespedes Lopez"/>
    <x v="3"/>
    <m/>
    <m/>
    <n v="2171956"/>
    <n v="6600000"/>
    <m/>
    <m/>
  </r>
  <r>
    <x v="66"/>
    <s v="Recaudacion Y Pagos De Servicios *"/>
    <x v="7"/>
    <m/>
    <m/>
    <n v="8771956"/>
    <m/>
    <n v="-7500000"/>
    <m/>
  </r>
  <r>
    <x v="66"/>
    <s v="Traspaso A: Jorge Ignacio Troncoso Vidal"/>
    <x v="1"/>
    <m/>
    <m/>
    <n v="1271956"/>
    <m/>
    <n v="-50000"/>
    <s v="Firma en valdivia"/>
  </r>
  <r>
    <x v="67"/>
    <s v="Pago En Sii.cl*"/>
    <x v="5"/>
    <m/>
    <m/>
    <n v="1221956"/>
    <m/>
    <n v="-1232157"/>
    <m/>
  </r>
  <r>
    <x v="67"/>
    <s v="Transferencia Desde Linea De Credito"/>
    <x v="6"/>
    <m/>
    <m/>
    <n v="-10201"/>
    <n v="10201"/>
    <m/>
    <m/>
  </r>
  <r>
    <x v="68"/>
    <s v="Traspaso De: Molina Saavedra Alberto Ricardo"/>
    <x v="3"/>
    <m/>
    <m/>
    <n v="0"/>
    <n v="200000"/>
    <m/>
    <s v="Reserva B-11"/>
  </r>
  <r>
    <x v="68"/>
    <s v="Pago Linea De Cred: 018870277108"/>
    <x v="6"/>
    <m/>
    <m/>
    <n v="200000"/>
    <m/>
    <n v="-10201"/>
    <m/>
  </r>
  <r>
    <x v="68"/>
    <s v="Traspaso A: Jorge Ignacio Troncoso Vidal"/>
    <x v="1"/>
    <m/>
    <m/>
    <n v="189799"/>
    <m/>
    <n v="-50000"/>
    <s v="Firma en valdivia"/>
  </r>
  <r>
    <x v="69"/>
    <s v="Traspaso De: Ximena Paz Ormazabal Canelo"/>
    <x v="3"/>
    <m/>
    <m/>
    <n v="139799"/>
    <n v="200000"/>
    <m/>
    <s v="Reserva C-14"/>
  </r>
  <r>
    <x v="70"/>
    <s v="Traspaso A: Rodrigo Rojas Castillo"/>
    <x v="4"/>
    <m/>
    <m/>
    <n v="339799"/>
    <m/>
    <n v="-133500"/>
    <s v="notaria San pedro de la paz"/>
  </r>
  <r>
    <x v="70"/>
    <s v="Traspaso De: Distribuidora El Turco Limitada"/>
    <x v="3"/>
    <m/>
    <m/>
    <n v="206299"/>
    <n v="7000000"/>
    <m/>
    <s v="Pago 1 de 4 Pie 4 lotes"/>
  </r>
  <r>
    <x v="70"/>
    <s v="Traspaso De: Distribuidora El Turco Limitada"/>
    <x v="3"/>
    <m/>
    <m/>
    <n v="7206299"/>
    <n v="3000000"/>
    <m/>
    <s v="Pago 2 de 4 Pie 4 lotes"/>
  </r>
  <r>
    <x v="70"/>
    <s v="Traspaso A: Jorge Ignacio Troncoso Vidal"/>
    <x v="1"/>
    <m/>
    <m/>
    <n v="10206299"/>
    <m/>
    <n v="-50000"/>
    <s v="Firma en Osorno"/>
  </r>
  <r>
    <x v="70"/>
    <s v="Traspaso A: Jorge Ignacio Troncoso Vidal"/>
    <x v="1"/>
    <m/>
    <m/>
    <n v="10156299"/>
    <m/>
    <n v="-47000"/>
    <s v="Reembolsa gastos a Osorno"/>
  </r>
  <r>
    <x v="71"/>
    <s v="Traspaso De: Miguel Bernales Bernales"/>
    <x v="3"/>
    <m/>
    <m/>
    <n v="10109299"/>
    <n v="200000"/>
    <m/>
    <s v="Reserva C-1"/>
  </r>
  <r>
    <x v="72"/>
    <s v="Traspaso De: Evelyn Paola Galarce Gonzalez"/>
    <x v="3"/>
    <m/>
    <m/>
    <n v="10309299"/>
    <n v="200000"/>
    <m/>
    <s v="Reserva C-4"/>
  </r>
  <r>
    <x v="72"/>
    <s v="Recaudacion Y Pagos De Servicios *"/>
    <x v="7"/>
    <m/>
    <m/>
    <n v="10509299"/>
    <m/>
    <n v="-10000000"/>
    <m/>
  </r>
  <r>
    <x v="72"/>
    <s v="Traspaso De: Rodolfo Andres Ramirez Ortiz"/>
    <x v="3"/>
    <s v="C11 - RODOLFO RAMÍREZ"/>
    <m/>
    <n v="509299"/>
    <n v="4800000"/>
    <m/>
    <s v="Pie parcela C-11"/>
  </r>
  <r>
    <x v="73"/>
    <s v="Traspaso A: Felipe Hiriart"/>
    <x v="1"/>
    <m/>
    <m/>
    <n v="5309299"/>
    <m/>
    <n v="-149376"/>
    <s v="Rendición pasaje Lan a Osorno"/>
  </r>
  <r>
    <x v="73"/>
    <s v="Traspaso A: Felipe Hiriart"/>
    <x v="1"/>
    <m/>
    <m/>
    <n v="5159923"/>
    <m/>
    <n v="-133816"/>
    <s v="Rendición pasaje Lan a Stgo"/>
  </r>
  <r>
    <x v="73"/>
    <s v="Traspaso A: Felipe Hiriart"/>
    <x v="1"/>
    <m/>
    <m/>
    <n v="5026107"/>
    <m/>
    <n v="-152656"/>
    <s v="Arriendo auto Osorno"/>
  </r>
  <r>
    <x v="74"/>
    <s v="Traspaso De: Miguel Angel Cortes Grego"/>
    <x v="3"/>
    <m/>
    <m/>
    <n v="4873451"/>
    <n v="200000"/>
    <m/>
    <s v="Reserva C-13"/>
  </r>
  <r>
    <x v="74"/>
    <s v="Traspaso De: Bernales Vergara Miguel Eduardo"/>
    <x v="3"/>
    <m/>
    <m/>
    <n v="5073451"/>
    <n v="21800000"/>
    <m/>
    <s v="Pago parcela C-1"/>
  </r>
  <r>
    <x v="75"/>
    <s v="Recaudacion Y Pagos De Servicios *"/>
    <x v="7"/>
    <m/>
    <m/>
    <n v="26873451"/>
    <m/>
    <n v="-25000000"/>
    <m/>
  </r>
  <r>
    <x v="75"/>
    <s v="Traspaso De: Moncada Sandoval Pedro Simon"/>
    <x v="3"/>
    <m/>
    <m/>
    <n v="1873451"/>
    <n v="300000"/>
    <m/>
    <s v="Pie parcela C8"/>
  </r>
  <r>
    <x v="76"/>
    <s v="Traspaso A: Brayans Stegmayer"/>
    <x v="1"/>
    <m/>
    <m/>
    <n v="2173451"/>
    <m/>
    <n v="-500000"/>
    <m/>
  </r>
  <r>
    <x v="76"/>
    <s v="Traspaso A: Felipe Hiriart"/>
    <x v="1"/>
    <m/>
    <m/>
    <n v="1673451"/>
    <m/>
    <n v="-590166"/>
    <s v="gastos viaje"/>
  </r>
  <r>
    <x v="76"/>
    <s v="Traspaso A: Pedro Lecaros"/>
    <x v="1"/>
    <m/>
    <m/>
    <n v="1083285"/>
    <m/>
    <n v="-50990"/>
    <s v="viaje"/>
  </r>
  <r>
    <x v="76"/>
    <s v="Traspaso De: Moncada Sandoval Pedro Simon"/>
    <x v="3"/>
    <m/>
    <m/>
    <n v="1032295"/>
    <n v="4500000"/>
    <m/>
    <s v="Pie parcela C8"/>
  </r>
  <r>
    <x v="77"/>
    <s v="Traspaso A: Carlos Ciuffardi"/>
    <x v="1"/>
    <m/>
    <m/>
    <n v="5532295"/>
    <m/>
    <n v="-940500"/>
    <s v="Comision B-5"/>
  </r>
  <r>
    <x v="78"/>
    <s v="Traspaso A: Jorge Ignacio Troncoso Vidal"/>
    <x v="1"/>
    <m/>
    <m/>
    <n v="4591795"/>
    <m/>
    <n v="-50000"/>
    <s v="Firma en Valdivia"/>
  </r>
  <r>
    <x v="78"/>
    <s v="Traspaso De: Rodolfo Andres Ramirez Ortiz"/>
    <x v="1"/>
    <s v="C11 - RODOLFO RAMÍREZ"/>
    <m/>
    <n v="4541795"/>
    <n v="313500"/>
    <m/>
    <s v="Transfiere para pago CBR"/>
  </r>
  <r>
    <x v="78"/>
    <s v="Traspaso De: Rodolfo Andres Ramirez Ortiz"/>
    <x v="1"/>
    <s v="C11 - RODOLFO RAMÍREZ"/>
    <m/>
    <n v="4855295"/>
    <n v="1000"/>
    <m/>
    <m/>
  </r>
  <r>
    <x v="78"/>
    <s v="Traspaso A: Felipe Hiriart"/>
    <x v="1"/>
    <m/>
    <m/>
    <n v="4856295"/>
    <m/>
    <n v="-499026"/>
    <s v="Rendicion 3 viaje a Osorno 29 mayo 25"/>
  </r>
  <r>
    <x v="78"/>
    <s v="Traspaso A: Conrad Pablo Zlch Parra"/>
    <x v="1"/>
    <m/>
    <m/>
    <n v="4357269"/>
    <m/>
    <n v="-313500"/>
    <s v="Pago inscripcion lote C11"/>
  </r>
  <r>
    <x v="78"/>
    <s v="Dep.cheq.otros Bancos N° 3456941"/>
    <x v="3"/>
    <m/>
    <m/>
    <n v="4043769"/>
    <n v="21300000"/>
    <m/>
    <s v="B5"/>
  </r>
  <r>
    <x v="79"/>
    <s v="Traspaso De: Maria Salome Ramos"/>
    <x v="3"/>
    <m/>
    <m/>
    <n v="25343769"/>
    <n v="200000"/>
    <m/>
    <s v="Reserva C7"/>
  </r>
  <r>
    <x v="79"/>
    <s v="Traspaso De: Valentina Michelle Aranda Espinoza"/>
    <x v="3"/>
    <s v="A5 - VALENTINA ARANDA"/>
    <m/>
    <n v="25543769"/>
    <n v="1125465"/>
    <m/>
    <s v="Cuota 2/24"/>
  </r>
  <r>
    <x v="79"/>
    <s v="Traspaso A: Asesorias Ecox Spa"/>
    <x v="1"/>
    <m/>
    <m/>
    <n v="26669234"/>
    <m/>
    <n v="-100000"/>
    <s v="Servicio contable"/>
  </r>
  <r>
    <x v="79"/>
    <s v="Traspaso A: Asesorias Ecox Spa"/>
    <x v="1"/>
    <m/>
    <m/>
    <n v="26569234"/>
    <m/>
    <n v="-4000000"/>
    <m/>
  </r>
  <r>
    <x v="80"/>
    <s v="Traspaso De: Molina Saavedra Alberto Ricardo"/>
    <x v="3"/>
    <m/>
    <m/>
    <n v="22569234"/>
    <n v="4500000"/>
    <m/>
    <s v="Pago 1 de 5 parcela B11"/>
  </r>
  <r>
    <x v="80"/>
    <s v="Traspaso A: Sindy Danaee Sandoval Vega"/>
    <x v="1"/>
    <m/>
    <m/>
    <n v="27069234"/>
    <m/>
    <n v="-752400"/>
    <s v="Comision venta C1"/>
  </r>
  <r>
    <x v="80"/>
    <s v="Traspaso A: Geotim Ltda"/>
    <x v="1"/>
    <m/>
    <m/>
    <n v="26316834"/>
    <m/>
    <n v="-3234800"/>
    <s v="Caminos"/>
  </r>
  <r>
    <x v="80"/>
    <s v="Traspaso A: Geotim Ltda"/>
    <x v="1"/>
    <m/>
    <m/>
    <n v="23082034"/>
    <m/>
    <n v="-1406580"/>
    <s v="Estacas replanteo"/>
  </r>
  <r>
    <x v="80"/>
    <s v="Traspaso A: Geotim Ltda"/>
    <x v="1"/>
    <m/>
    <m/>
    <n v="21675454"/>
    <m/>
    <n v="-5000000"/>
    <s v="Caminos"/>
  </r>
  <r>
    <x v="80"/>
    <s v="Traspaso A: Brayans Stegmayer"/>
    <x v="1"/>
    <m/>
    <m/>
    <n v="16675454"/>
    <m/>
    <n v="-500000"/>
    <m/>
  </r>
  <r>
    <x v="80"/>
    <s v="Traspaso De: Molina Saavedra Alberto Ricardo"/>
    <x v="3"/>
    <m/>
    <m/>
    <n v="16175454"/>
    <n v="4500000"/>
    <m/>
    <s v="Pago 2 de 5 parcela B11"/>
  </r>
  <r>
    <x v="80"/>
    <s v="Traspaso A: Carlos Ciuffardi"/>
    <x v="1"/>
    <m/>
    <m/>
    <n v="20675454"/>
    <m/>
    <n v="-919125"/>
    <s v="Comision A3"/>
  </r>
  <r>
    <x v="80"/>
    <s v="Traspaso A: Benjamin Lecaros"/>
    <x v="1"/>
    <m/>
    <s v="BLS"/>
    <n v="19756329"/>
    <m/>
    <n v="-855000"/>
    <m/>
  </r>
  <r>
    <x v="80"/>
    <s v="Impuesto Linea De Credito"/>
    <x v="6"/>
    <m/>
    <m/>
    <n v="18901329"/>
    <m/>
    <n v="-7"/>
    <m/>
  </r>
  <r>
    <x v="80"/>
    <s v="Intereses Linea De Credito"/>
    <x v="6"/>
    <m/>
    <m/>
    <n v="18901322"/>
    <m/>
    <n v="-5"/>
    <m/>
  </r>
  <r>
    <x v="81"/>
    <s v="Traspaso A: Hector Varela"/>
    <x v="1"/>
    <m/>
    <m/>
    <n v="18901317"/>
    <m/>
    <n v="-216140"/>
    <s v="Reembolsa gastos"/>
  </r>
  <r>
    <x v="81"/>
    <s v="Recaudacion Y Pagos De Servicios *"/>
    <x v="7"/>
    <m/>
    <m/>
    <n v="18685177"/>
    <m/>
    <n v="-18000000"/>
    <m/>
  </r>
  <r>
    <x v="81"/>
    <s v="Traspaso De: Rodolfo Alexis Utreras"/>
    <x v="3"/>
    <s v="B9 - RODOLFO UTRERAS"/>
    <m/>
    <n v="685177"/>
    <n v="375000"/>
    <m/>
    <s v="Cuota 2/48"/>
  </r>
  <r>
    <x v="81"/>
    <s v="Deposito En Efectivo N° 8024900"/>
    <x v="3"/>
    <m/>
    <m/>
    <n v="1060177"/>
    <n v="20000000"/>
    <m/>
    <s v="B15"/>
  </r>
  <r>
    <x v="81"/>
    <s v="Traspaso A: Maria Martinez"/>
    <x v="3"/>
    <m/>
    <m/>
    <n v="21060177"/>
    <m/>
    <n v="-44500"/>
    <s v="Reembolsa saldo a favor parcela B-15"/>
  </r>
  <r>
    <x v="81"/>
    <s v="Dep.cheq.otros Bancos N° 8024899"/>
    <x v="3"/>
    <m/>
    <m/>
    <n v="21015677"/>
    <n v="41100000"/>
    <m/>
    <s v="B3 y B14"/>
  </r>
  <r>
    <x v="81"/>
    <s v="Dep.cheq.otros Bancos N° 6576926"/>
    <x v="3"/>
    <m/>
    <m/>
    <n v="62115677"/>
    <n v="21800000"/>
    <m/>
    <s v="A3"/>
  </r>
  <r>
    <x v="82"/>
    <s v="Traspaso A: Denis Marcelo Bustos Fuentealba"/>
    <x v="1"/>
    <m/>
    <m/>
    <n v="83915677"/>
    <m/>
    <n v="-75000"/>
    <s v="Firma Temuco"/>
  </r>
  <r>
    <x v="82"/>
    <s v="Traspaso De: Molina Saavedra Alberto Ricardo"/>
    <x v="3"/>
    <m/>
    <m/>
    <n v="83840677"/>
    <n v="4500000"/>
    <m/>
    <s v="Pago 3 de 5 parcela B11"/>
  </r>
  <r>
    <x v="82"/>
    <s v="Pago: Inversiones 0965712208"/>
    <x v="7"/>
    <m/>
    <m/>
    <n v="88340677"/>
    <n v="18000000"/>
    <m/>
    <m/>
  </r>
  <r>
    <x v="82"/>
    <s v="Pago: Inversiones 0965712208"/>
    <x v="7"/>
    <m/>
    <m/>
    <n v="106340677"/>
    <n v="23000001"/>
    <m/>
    <m/>
  </r>
  <r>
    <x v="82"/>
    <s v="Traspaso De: Cifuentes Ortiz Natalia Andrea"/>
    <x v="1"/>
    <m/>
    <m/>
    <n v="129340678"/>
    <n v="155500"/>
    <m/>
    <s v="Deposita para pagar a CBR Paillaco"/>
  </r>
  <r>
    <x v="83"/>
    <s v="Traspaso De: Molina Saavedra Alberto Ricardo"/>
    <x v="3"/>
    <m/>
    <m/>
    <n v="129496178"/>
    <n v="4500000"/>
    <m/>
    <m/>
  </r>
  <r>
    <x v="83"/>
    <s v="Traspaso A: Maria Paz Amenabar"/>
    <x v="1"/>
    <m/>
    <m/>
    <n v="133996178"/>
    <m/>
    <n v="-200000"/>
    <m/>
  </r>
  <r>
    <x v="83"/>
    <s v="Traspaso A: Conrad Pablo Zlch Parra"/>
    <x v="1"/>
    <m/>
    <m/>
    <n v="133796178"/>
    <m/>
    <n v="-155500"/>
    <s v="Pago inscripcion lote C12"/>
  </r>
  <r>
    <x v="83"/>
    <s v="Traspaso A: Andres Rieutord"/>
    <x v="3"/>
    <m/>
    <m/>
    <n v="133640678"/>
    <m/>
    <n v="-160000"/>
    <s v="Usa monto de saldo a favor de parcela C-13 para pago notaría"/>
  </r>
  <r>
    <x v="83"/>
    <s v="Traspaso A: Miguel Cortes"/>
    <x v="3"/>
    <m/>
    <m/>
    <n v="133480678"/>
    <m/>
    <n v="-40000"/>
    <s v="Reembolsa saldo a favor parcela C-13"/>
  </r>
  <r>
    <x v="83"/>
    <s v="Traspaso De: Lisssette Patricia Riquelme Martinez"/>
    <x v="3"/>
    <s v="B7 - LISSETTE RIQUELME"/>
    <m/>
    <n v="133440678"/>
    <n v="844174"/>
    <m/>
    <m/>
  </r>
  <r>
    <x v="83"/>
    <s v="Traspaso De: Molina Saavedra Alberto Ricardo"/>
    <x v="3"/>
    <m/>
    <m/>
    <n v="134284852"/>
    <n v="1800000"/>
    <m/>
    <m/>
  </r>
  <r>
    <x v="83"/>
    <s v="Traspaso A: Dominique Hiriart"/>
    <x v="2"/>
    <m/>
    <s v="DOMI"/>
    <n v="136084852"/>
    <m/>
    <n v="-118348443"/>
    <s v="Paga deuda"/>
  </r>
  <r>
    <x v="83"/>
    <s v="Traspaso De: Juan Esteban Sanchez Bascur"/>
    <x v="3"/>
    <m/>
    <m/>
    <n v="17736409"/>
    <n v="4800000"/>
    <m/>
    <s v="Pie parcela C9"/>
  </r>
  <r>
    <x v="84"/>
    <s v="Traspaso A: Benjamin Lecaros"/>
    <x v="1"/>
    <m/>
    <s v="BLS"/>
    <n v="22536409"/>
    <m/>
    <n v="-2565000"/>
    <m/>
  </r>
  <r>
    <x v="84"/>
    <s v="Traspaso A: Carlos Ciuffardi"/>
    <x v="1"/>
    <m/>
    <m/>
    <n v="19971409"/>
    <m/>
    <n v="-1859625"/>
    <m/>
  </r>
  <r>
    <x v="84"/>
    <s v="Traspaso A: Martin Gouet"/>
    <x v="1"/>
    <m/>
    <m/>
    <n v="18111784"/>
    <m/>
    <n v="-50000"/>
    <s v="Firma de Puerto Montt"/>
  </r>
  <r>
    <x v="84"/>
    <s v="Recaudacion Y Pagos De Servicios *"/>
    <x v="7"/>
    <m/>
    <m/>
    <n v="18061784"/>
    <m/>
    <n v="-16000000"/>
    <m/>
  </r>
  <r>
    <x v="84"/>
    <s v="Pago Automatico Tarjeta De Credito"/>
    <x v="1"/>
    <m/>
    <m/>
    <n v="2061784"/>
    <m/>
    <n v="-498867"/>
    <m/>
  </r>
  <r>
    <x v="85"/>
    <s v="Traspaso A: Juan Nicolas Espinoza"/>
    <x v="1"/>
    <m/>
    <m/>
    <n v="1562917"/>
    <m/>
    <n v="-100035"/>
    <s v="Firma + retiro VV en Los Angeles"/>
  </r>
  <r>
    <x v="85"/>
    <s v="Pago: Inversiones 0965712208"/>
    <x v="7"/>
    <m/>
    <m/>
    <n v="1462882"/>
    <n v="16000000"/>
    <m/>
    <m/>
  </r>
  <r>
    <x v="85"/>
    <s v="Pago: Inversiones 0965712208"/>
    <x v="7"/>
    <m/>
    <m/>
    <n v="17462882"/>
    <n v="19569256"/>
    <m/>
    <m/>
  </r>
  <r>
    <x v="85"/>
    <s v="Pago En Sii.cl*"/>
    <x v="5"/>
    <m/>
    <m/>
    <n v="37032138"/>
    <m/>
    <n v="-894739"/>
    <s v="F29"/>
  </r>
  <r>
    <x v="85"/>
    <s v="Dep.cheq.otros Bancos N° 8025625"/>
    <x v="3"/>
    <m/>
    <m/>
    <n v="36137399"/>
    <n v="19800000"/>
    <m/>
    <s v="B8"/>
  </r>
  <r>
    <x v="86"/>
    <s v="Pago En Tesoreria.cl*"/>
    <x v="5"/>
    <m/>
    <m/>
    <n v="55937399"/>
    <m/>
    <n v="-351268"/>
    <s v="Contribuciones  "/>
  </r>
  <r>
    <x v="86"/>
    <s v="Traspaso De: Juan Gonzalo Arias"/>
    <x v="3"/>
    <m/>
    <m/>
    <n v="55586131"/>
    <n v="300000"/>
    <m/>
    <s v="Reserva A4 + D11"/>
  </r>
  <r>
    <x v="86"/>
    <s v="Traspaso A: Felipe Hiriart"/>
    <x v="2"/>
    <m/>
    <s v="FHB"/>
    <n v="55886131"/>
    <m/>
    <n v="-5000000"/>
    <m/>
  </r>
  <r>
    <x v="86"/>
    <s v="Traspaso A: Felipe Hiriart"/>
    <x v="2"/>
    <m/>
    <s v="FHB"/>
    <n v="50886131"/>
    <m/>
    <n v="-3751403"/>
    <m/>
  </r>
  <r>
    <x v="86"/>
    <s v="Traspaso A: Felipe Hiriart"/>
    <x v="2"/>
    <m/>
    <s v="FHB"/>
    <n v="47134728"/>
    <m/>
    <n v="-5000000"/>
    <m/>
  </r>
  <r>
    <x v="86"/>
    <s v="Traspaso A: Felipe Hiriart"/>
    <x v="2"/>
    <m/>
    <s v="FHB"/>
    <n v="42134728"/>
    <m/>
    <n v="-5000000"/>
    <m/>
  </r>
  <r>
    <x v="86"/>
    <s v="Traspaso A: Felipe Hiriart"/>
    <x v="2"/>
    <m/>
    <s v="FHB"/>
    <n v="37134728"/>
    <m/>
    <n v="-5000000"/>
    <m/>
  </r>
  <r>
    <x v="86"/>
    <s v="Traspaso A: Felipe Hiriart"/>
    <x v="2"/>
    <m/>
    <s v="FHB"/>
    <n v="32134728"/>
    <m/>
    <n v="-5000000"/>
    <m/>
  </r>
  <r>
    <x v="86"/>
    <s v="Traspaso A: Felipe Hiriart"/>
    <x v="2"/>
    <m/>
    <s v="FHB"/>
    <n v="27134728"/>
    <m/>
    <n v="-5000000"/>
    <m/>
  </r>
  <r>
    <x v="86"/>
    <s v="Traspaso A: Felipe Hiriart"/>
    <x v="2"/>
    <m/>
    <s v="FHB"/>
    <n v="22134728"/>
    <m/>
    <n v="-5000000"/>
    <m/>
  </r>
  <r>
    <x v="86"/>
    <s v="Traspaso A: Felipe Hiriart"/>
    <x v="2"/>
    <m/>
    <s v="FHB"/>
    <n v="17134728"/>
    <m/>
    <n v="-5000000"/>
    <m/>
  </r>
  <r>
    <x v="86"/>
    <s v="Recaudacion Y Pagos De Servicios *"/>
    <x v="7"/>
    <m/>
    <m/>
    <n v="12134728"/>
    <m/>
    <n v="-11000000"/>
    <m/>
  </r>
  <r>
    <x v="87"/>
    <s v="Traspaso De: Juan Gonzalo Arias"/>
    <x v="3"/>
    <m/>
    <m/>
    <n v="1134728"/>
    <n v="100000"/>
    <m/>
    <s v="Reserva A4 + D11"/>
  </r>
  <r>
    <x v="87"/>
    <s v="Dep.cheq.otros Bancos N° 4542919"/>
    <x v="3"/>
    <m/>
    <m/>
    <n v="1234728"/>
    <n v="19800000"/>
    <m/>
    <s v="C17"/>
  </r>
  <r>
    <x v="88"/>
    <s v="Traspaso De: Juan Gonzalo Arias"/>
    <x v="3"/>
    <m/>
    <m/>
    <n v="21034728"/>
    <n v="5000000"/>
    <m/>
    <s v="A4 + D11"/>
  </r>
  <r>
    <x v="88"/>
    <s v="Traspaso De: Juan Gonzalo Arias"/>
    <x v="3"/>
    <m/>
    <m/>
    <n v="26034728"/>
    <n v="5000000"/>
    <m/>
    <s v="A4 + D11"/>
  </r>
  <r>
    <x v="88"/>
    <s v="Traspaso A: Benjamin Lecaros"/>
    <x v="1"/>
    <m/>
    <s v="BLS"/>
    <n v="31034728"/>
    <m/>
    <n v="-855000"/>
    <m/>
  </r>
  <r>
    <x v="89"/>
    <s v="Recaudacion Y Pagos De Servicios *"/>
    <x v="7"/>
    <m/>
    <m/>
    <n v="30179728"/>
    <m/>
    <n v="-29000000"/>
    <m/>
  </r>
  <r>
    <x v="89"/>
    <s v="Traspaso De: Juan Gonzalo Arias"/>
    <x v="3"/>
    <m/>
    <m/>
    <n v="1179728"/>
    <n v="5000000"/>
    <m/>
    <s v="A4 + D11"/>
  </r>
  <r>
    <x v="89"/>
    <s v="Traspaso De: Juan Gonzalo Arias"/>
    <x v="3"/>
    <m/>
    <m/>
    <n v="6179728"/>
    <n v="5000000"/>
    <m/>
    <s v="A4 + D11"/>
  </r>
  <r>
    <x v="89"/>
    <s v="Recaudacion Y Pagos De Servicios *"/>
    <x v="7"/>
    <m/>
    <m/>
    <n v="11179728"/>
    <m/>
    <n v="-9000000"/>
    <m/>
  </r>
  <r>
    <x v="89"/>
    <s v="Traspaso A: Benjamin Lecaros"/>
    <x v="1"/>
    <m/>
    <s v="BLS"/>
    <n v="2179728"/>
    <m/>
    <n v="-855000"/>
    <s v="Asesoria Venta B8"/>
  </r>
  <r>
    <x v="90"/>
    <s v="Traspaso A: Andres Rieutord"/>
    <x v="4"/>
    <m/>
    <m/>
    <n v="1324728"/>
    <m/>
    <n v="-60000"/>
    <s v="Promesa C9"/>
  </r>
  <r>
    <x v="90"/>
    <s v="Traspaso A: Andres Rieutord"/>
    <x v="4"/>
    <m/>
    <m/>
    <n v="1264728"/>
    <m/>
    <n v="-120000"/>
    <s v="Escritura B11"/>
  </r>
  <r>
    <x v="90"/>
    <s v="Traspaso A: Andres Rieutord"/>
    <x v="4"/>
    <m/>
    <m/>
    <n v="1144728"/>
    <m/>
    <n v="-35000"/>
    <m/>
  </r>
  <r>
    <x v="90"/>
    <s v="Traspaso De: Juan Gonzalo Arias"/>
    <x v="3"/>
    <m/>
    <m/>
    <n v="1109728"/>
    <n v="5000000"/>
    <m/>
    <s v="A4 + D11"/>
  </r>
  <r>
    <x v="90"/>
    <s v="Traspaso De: Juan Gonzalo Arias"/>
    <x v="3"/>
    <m/>
    <m/>
    <n v="6109728"/>
    <n v="5000000"/>
    <m/>
    <s v="A4 + D11"/>
  </r>
  <r>
    <x v="90"/>
    <s v="Recaudacion Y Pagos De Servicios *"/>
    <x v="7"/>
    <m/>
    <m/>
    <n v="11109728"/>
    <m/>
    <n v="-10000000"/>
    <m/>
  </r>
  <r>
    <x v="90"/>
    <s v="Traspaso A: Conrad Pablo Zlch Parra"/>
    <x v="4"/>
    <m/>
    <m/>
    <n v="1109728"/>
    <m/>
    <n v="-155500"/>
    <s v="Inscripcion B11"/>
  </r>
  <r>
    <x v="91"/>
    <s v="Deposito En Efectivo N° 6443695"/>
    <x v="3"/>
    <m/>
    <m/>
    <n v="954228"/>
    <n v="21800000"/>
    <m/>
    <s v="B4"/>
  </r>
  <r>
    <x v="91"/>
    <s v="Recaudacion Y Pagos De Servicios *"/>
    <x v="7"/>
    <m/>
    <m/>
    <n v="22754228"/>
    <m/>
    <n v="-20000000"/>
    <m/>
  </r>
  <r>
    <x v="91"/>
    <s v="Traspaso A: Jorge Ignacio Troncoso Vidal"/>
    <x v="1"/>
    <m/>
    <m/>
    <n v="2754228"/>
    <m/>
    <n v="-50000"/>
    <m/>
  </r>
  <r>
    <x v="91"/>
    <s v="Dep.cheq.otros Bancos N° 6443696"/>
    <x v="3"/>
    <m/>
    <m/>
    <n v="2704228"/>
    <n v="21800000"/>
    <m/>
    <s v="A2"/>
  </r>
  <r>
    <x v="92"/>
    <s v="Traspaso A: Pedro Lecaros"/>
    <x v="1"/>
    <m/>
    <m/>
    <n v="24504228"/>
    <m/>
    <n v="-20000"/>
    <m/>
  </r>
  <r>
    <x v="92"/>
    <s v="Traspaso A: Benjamin Lecaros"/>
    <x v="1"/>
    <m/>
    <s v="BLS"/>
    <n v="24484228"/>
    <m/>
    <n v="-1710000"/>
    <m/>
  </r>
  <r>
    <x v="92"/>
    <s v="Traspaso A: Benjamin Lecaros"/>
    <x v="1"/>
    <m/>
    <s v="BLS"/>
    <n v="22774228"/>
    <m/>
    <n v="-855000"/>
    <m/>
  </r>
  <r>
    <x v="92"/>
    <s v="Dep.cheq.otros Bancos N° 3445795"/>
    <x v="3"/>
    <m/>
    <m/>
    <n v="21919228"/>
    <n v="19800000"/>
    <m/>
    <s v="C16"/>
  </r>
  <r>
    <x v="93"/>
    <s v="Recaudacion Y Pagos De Servicios *"/>
    <x v="7"/>
    <m/>
    <m/>
    <n v="41719228"/>
    <m/>
    <n v="-21000000"/>
    <m/>
  </r>
  <r>
    <x v="93"/>
    <s v="Traspaso De: Juan Gonzalo Arias"/>
    <x v="3"/>
    <m/>
    <m/>
    <n v="20719228"/>
    <n v="5000000"/>
    <m/>
    <s v="A4 + D11"/>
  </r>
  <r>
    <x v="93"/>
    <s v="Recaudacion Y Pagos De Servicios *"/>
    <x v="7"/>
    <m/>
    <m/>
    <n v="25719228"/>
    <m/>
    <n v="-5000000"/>
    <m/>
  </r>
  <r>
    <x v="94"/>
    <s v="Traspaso A: Denis Marcelo Bustos Fuentealba"/>
    <x v="1"/>
    <m/>
    <m/>
    <n v="20719228"/>
    <m/>
    <n v="-75000"/>
    <m/>
  </r>
  <r>
    <x v="94"/>
    <s v="Traspaso A: Benjamin Lecaros"/>
    <x v="1"/>
    <m/>
    <s v="BLS"/>
    <n v="20644228"/>
    <m/>
    <n v="-1710000"/>
    <m/>
  </r>
  <r>
    <x v="94"/>
    <s v="Recaudacion Y Pagos De Servicios *"/>
    <x v="7"/>
    <m/>
    <m/>
    <n v="18934228"/>
    <m/>
    <n v="-18000000"/>
    <m/>
  </r>
  <r>
    <x v="94"/>
    <s v="Dep.cheq.otros Bancos N° 2296642"/>
    <x v="3"/>
    <m/>
    <m/>
    <n v="934228"/>
    <n v="19800000"/>
    <m/>
    <s v="C12"/>
  </r>
  <r>
    <x v="95"/>
    <s v="Recaudacion Y Pagos De Servicios *"/>
    <x v="7"/>
    <m/>
    <m/>
    <n v="20734228"/>
    <m/>
    <n v="-20000000"/>
    <m/>
  </r>
  <r>
    <x v="96"/>
    <s v="Traspaso De: Juan Gonzalo Arias"/>
    <x v="3"/>
    <m/>
    <m/>
    <n v="734228"/>
    <n v="5000000"/>
    <m/>
    <m/>
  </r>
  <r>
    <x v="96"/>
    <s v="Recaudacion Y Pagos De Servicios *"/>
    <x v="7"/>
    <m/>
    <m/>
    <n v="5734228"/>
    <m/>
    <n v="-5000000"/>
    <m/>
  </r>
  <r>
    <x v="96"/>
    <s v="Dep.cheq.otros Bancos N° 3081647"/>
    <x v="3"/>
    <m/>
    <m/>
    <n v="734228"/>
    <n v="21800000"/>
    <m/>
    <s v="A1"/>
  </r>
  <r>
    <x v="97"/>
    <s v="Traspaso De: Teresa Andrea Sanhueza"/>
    <x v="3"/>
    <m/>
    <m/>
    <n v="22534228"/>
    <n v="250000"/>
    <m/>
    <s v="Reserva C6"/>
  </r>
  <r>
    <x v="97"/>
    <s v="Traspaso De: Doris Del Pilar Silva"/>
    <x v="3"/>
    <m/>
    <m/>
    <n v="22784228"/>
    <n v="200000"/>
    <m/>
    <s v="Reserva C2"/>
  </r>
  <r>
    <x v="97"/>
    <s v="Recaudacion Y Pagos De Servicios *"/>
    <x v="7"/>
    <m/>
    <m/>
    <n v="22984228"/>
    <m/>
    <n v="-15600000"/>
    <m/>
  </r>
  <r>
    <x v="97"/>
    <s v="Traspaso A: Benjamin Lecaros"/>
    <x v="1"/>
    <m/>
    <s v="BLS"/>
    <n v="7384228"/>
    <m/>
    <n v="-855000"/>
    <m/>
  </r>
  <r>
    <x v="98"/>
    <s v="Traspaso A: Felipe Hiriart"/>
    <x v="1"/>
    <m/>
    <m/>
    <n v="6529228"/>
    <m/>
    <n v="-1334539"/>
    <s v="Rendicion 4"/>
  </r>
  <r>
    <x v="98"/>
    <s v="Traspaso A: Jorge Ignacio Troncoso Vidal"/>
    <x v="1"/>
    <m/>
    <m/>
    <n v="5194689"/>
    <m/>
    <n v="-37000"/>
    <s v="Rendicion 5, viaje a Osorno"/>
  </r>
  <r>
    <x v="98"/>
    <s v="Traspaso A: Jorge Ignacio Troncoso Vidal"/>
    <x v="1"/>
    <m/>
    <m/>
    <n v="5157689"/>
    <m/>
    <n v="-50000"/>
    <s v="Retiro VV Osorno"/>
  </r>
  <r>
    <x v="98"/>
    <s v="Deposito En Efectivo N° 6443688"/>
    <x v="3"/>
    <m/>
    <m/>
    <n v="5107689"/>
    <n v="4800000"/>
    <m/>
    <s v="Pago pie A14"/>
  </r>
  <r>
    <x v="98"/>
    <s v="Recaudacion Y Pagos De Servicios *"/>
    <x v="7"/>
    <m/>
    <m/>
    <n v="9907689"/>
    <m/>
    <n v="-4000000"/>
    <m/>
  </r>
  <r>
    <x v="98"/>
    <s v="Traspaso A: Jorge Ignacio Troncoso Vidal"/>
    <x v="1"/>
    <m/>
    <m/>
    <n v="5907689"/>
    <m/>
    <n v="-50000"/>
    <m/>
  </r>
  <r>
    <x v="99"/>
    <s v="Traspaso A: Asesorias Ecox Spa"/>
    <x v="1"/>
    <m/>
    <m/>
    <n v="5857689"/>
    <m/>
    <n v="-4000000"/>
    <m/>
  </r>
  <r>
    <x v="99"/>
    <s v="Traspaso A: Asesorias Ecox Spa"/>
    <x v="1"/>
    <m/>
    <m/>
    <n v="1857689"/>
    <m/>
    <n v="-100000"/>
    <s v="Servicio contable"/>
  </r>
  <r>
    <x v="99"/>
    <s v="Traspaso De: Evelyn Paola Galarce Gonzalez"/>
    <x v="3"/>
    <m/>
    <m/>
    <n v="1757689"/>
    <n v="5000000"/>
    <m/>
    <s v="Pie C4"/>
  </r>
  <r>
    <x v="100"/>
    <s v="Traspaso A: Hector Varela"/>
    <x v="1"/>
    <m/>
    <m/>
    <n v="6757689"/>
    <m/>
    <n v="-168871"/>
    <s v="Reembolsa gastos"/>
  </r>
  <r>
    <x v="100"/>
    <s v="Traspaso A: Benjamin Lecaros"/>
    <x v="1"/>
    <m/>
    <s v="BLS"/>
    <n v="6588818"/>
    <m/>
    <n v="-1710000"/>
    <s v="Asesoria venta A14 C4"/>
  </r>
  <r>
    <x v="100"/>
    <s v="Recaudacion Y Pagos De Servicios *"/>
    <x v="7"/>
    <m/>
    <m/>
    <n v="4878818"/>
    <m/>
    <n v="-4000000"/>
    <m/>
  </r>
  <r>
    <x v="101"/>
    <s v="Traspaso De: Villota Gallegos Francisco Gabriel"/>
    <x v="3"/>
    <m/>
    <m/>
    <n v="878818"/>
    <n v="200000"/>
    <m/>
    <s v="Reserva C3"/>
  </r>
  <r>
    <x v="101"/>
    <s v="Traspaso De: Rodolfo Alexis Utreras"/>
    <x v="3"/>
    <s v="B9 - RODOLFO UTRERAS"/>
    <m/>
    <n v="1078818"/>
    <n v="379760"/>
    <m/>
    <m/>
  </r>
  <r>
    <x v="101"/>
    <s v="Traspaso De: Valentina Michelle Aranda Espinoza"/>
    <x v="3"/>
    <s v="A5 - VALENTINA ARANDA"/>
    <m/>
    <n v="1458578"/>
    <n v="1125465"/>
    <m/>
    <m/>
  </r>
  <r>
    <x v="101"/>
    <s v="Traspaso A: Jose Manuel Astorga Lanas"/>
    <x v="1"/>
    <m/>
    <s v="PUERTO OCTAY"/>
    <n v="2584043"/>
    <m/>
    <n v="-250476"/>
    <s v="Reembolsa gastos"/>
  </r>
  <r>
    <x v="102"/>
    <s v="Traspaso A: Andres Rieutord"/>
    <x v="4"/>
    <m/>
    <m/>
    <n v="2333567"/>
    <m/>
    <n v="-60000"/>
    <m/>
  </r>
  <r>
    <x v="102"/>
    <s v="Traspaso De: Lisssette Patricia Riquelme Martinez"/>
    <x v="3"/>
    <m/>
    <m/>
    <n v="2273567"/>
    <n v="846000"/>
    <m/>
    <m/>
  </r>
  <r>
    <x v="103"/>
    <s v="Recaudacion Y Pagos De Servicios *"/>
    <x v="7"/>
    <m/>
    <m/>
    <n v="3119567"/>
    <m/>
    <n v="-2000000"/>
    <m/>
  </r>
  <r>
    <x v="104"/>
    <s v="Traspaso De: Ximena Paz Ormazabal Canelo"/>
    <x v="3"/>
    <m/>
    <m/>
    <n v="1119567"/>
    <n v="2000000"/>
    <m/>
    <s v="C14, paga diferencia que faltaba en el vale vista"/>
  </r>
  <r>
    <x v="104"/>
    <s v="Pago Automatico Tarjeta De Credito"/>
    <x v="1"/>
    <m/>
    <m/>
    <n v="3119567"/>
    <m/>
    <n v="-786040"/>
    <s v="Cargo tarjeta de credito, publicidad"/>
  </r>
  <r>
    <x v="105"/>
    <s v="Pago: Inversiones 0965712208"/>
    <x v="7"/>
    <m/>
    <m/>
    <n v="2333527"/>
    <n v="1000000"/>
    <m/>
    <m/>
  </r>
  <r>
    <x v="105"/>
    <s v="Pago En Sii.cl*"/>
    <x v="5"/>
    <m/>
    <m/>
    <n v="3333527"/>
    <m/>
    <n v="-2508612"/>
    <s v="F29"/>
  </r>
  <r>
    <x v="106"/>
    <s v="Dep.cheq.otros Bancos N° 4501192"/>
    <x v="3"/>
    <m/>
    <m/>
    <n v="824915"/>
    <n v="39600000"/>
    <m/>
    <s v="Venta A19 + C18"/>
  </r>
  <r>
    <x v="107"/>
    <s v="Recaudacion Y Pagos De Servicios *"/>
    <x v="7"/>
    <m/>
    <m/>
    <n v="40424915"/>
    <m/>
    <n v="-37700000"/>
    <m/>
  </r>
  <r>
    <x v="107"/>
    <s v="Traspaso A: Felipe Hiriart"/>
    <x v="1"/>
    <m/>
    <m/>
    <n v="2724915"/>
    <m/>
    <n v="-1038218"/>
    <s v="Rendicion 6"/>
  </r>
  <r>
    <x v="107"/>
    <s v="Traspaso De: Juan Gonzalo Arias"/>
    <x v="3"/>
    <m/>
    <m/>
    <n v="1686697"/>
    <n v="4600000"/>
    <m/>
    <s v="A4+D11"/>
  </r>
  <r>
    <x v="108"/>
    <s v="Traspaso A: Sebastian Sada Aznar"/>
    <x v="4"/>
    <m/>
    <s v="PUERTO OCTAY"/>
    <n v="6286697"/>
    <m/>
    <n v="-450000"/>
    <s v="Promesa  "/>
  </r>
  <r>
    <x v="108"/>
    <s v="Traspaso A: Jorge Ignacio Troncoso Vidal"/>
    <x v="1"/>
    <m/>
    <s v="PUERTO OCTAY"/>
    <n v="5836697"/>
    <m/>
    <n v="-37000"/>
    <s v="Gastos Osorno Jorge Troncoso"/>
  </r>
  <r>
    <x v="108"/>
    <s v="Traspaso A: Jorge Ignacio Troncoso Vidal"/>
    <x v="1"/>
    <m/>
    <s v="PUERTO OCTAY"/>
    <n v="5799697"/>
    <m/>
    <n v="-50000"/>
    <s v="Firma de promesa"/>
  </r>
  <r>
    <x v="109"/>
    <s v="Traspaso De: Roberto Antonio Farias"/>
    <x v="3"/>
    <m/>
    <m/>
    <n v="5749697"/>
    <n v="200000"/>
    <m/>
    <s v="Reserva C5 Maria Elena"/>
  </r>
  <r>
    <x v="109"/>
    <s v="Traspaso A: Benjamin Lecaros"/>
    <x v="1"/>
    <m/>
    <s v="BLS"/>
    <n v="5949697"/>
    <m/>
    <n v="-3420000"/>
    <s v="Asesoria venta A4, A19, C18, D11"/>
  </r>
  <r>
    <x v="109"/>
    <s v="Traspaso A: German Marquez"/>
    <x v="1"/>
    <m/>
    <s v="PUERTO OCTAY"/>
    <n v="2529697"/>
    <m/>
    <n v="-1000000"/>
    <s v="Topografia German Marquez"/>
  </r>
  <r>
    <x v="109"/>
    <s v="Dep.cheq.otros Bancos N° 4791038"/>
    <x v="3"/>
    <m/>
    <m/>
    <n v="1529697"/>
    <n v="41300000"/>
    <m/>
    <s v="Lotes C13 y C10"/>
  </r>
  <r>
    <x v="110"/>
    <s v="Pago: Inversiones 0965712208"/>
    <x v="7"/>
    <m/>
    <m/>
    <n v="42829697"/>
    <n v="1000000"/>
    <m/>
    <m/>
  </r>
  <r>
    <x v="110"/>
    <s v="Traspaso De: Katherinne Andrea Orellana Saez"/>
    <x v="3"/>
    <m/>
    <m/>
    <n v="43829697"/>
    <n v="7000000"/>
    <m/>
    <s v="Parcela A10"/>
  </r>
  <r>
    <x v="110"/>
    <s v="Traspaso A: German Marquez"/>
    <x v="1"/>
    <m/>
    <s v="PUERTO OCTAY"/>
    <n v="50829697"/>
    <m/>
    <n v="-1745950"/>
    <s v="Topografia German Marquez"/>
  </r>
  <r>
    <x v="111"/>
    <s v="Recaudacion Y Pagos De Servicios *"/>
    <x v="7"/>
    <m/>
    <m/>
    <n v="49083747"/>
    <m/>
    <n v="-48000000"/>
    <m/>
  </r>
  <r>
    <x v="111"/>
    <s v="Traspaso A: Juan Nicolas Espinoza"/>
    <x v="1"/>
    <m/>
    <m/>
    <n v="1083747"/>
    <m/>
    <n v="-50000"/>
    <s v="Firma Los Angeles"/>
  </r>
  <r>
    <x v="112"/>
    <s v="Traspaso De: Katherinne Andrea Orellana Saez"/>
    <x v="3"/>
    <m/>
    <m/>
    <n v="1033747"/>
    <n v="4300000"/>
    <m/>
    <s v="Parcela A10"/>
  </r>
  <r>
    <x v="112"/>
    <s v="Recaudacion Y Pagos De Servicios *"/>
    <x v="7"/>
    <m/>
    <m/>
    <n v="5333747"/>
    <m/>
    <n v="-4500000"/>
    <m/>
  </r>
  <r>
    <x v="113"/>
    <s v="Traspaso A: Tesoreria Municipal Puerto Octay"/>
    <x v="1"/>
    <m/>
    <s v="PUERTO OCTAY"/>
    <n v="833747"/>
    <m/>
    <n v="-13784"/>
    <s v="Certificado DOM"/>
  </r>
  <r>
    <x v="113"/>
    <s v="Traspaso De: Lisssette Patricia Riquelme Riquelme"/>
    <x v="3"/>
    <m/>
    <m/>
    <n v="819963"/>
    <n v="5000000"/>
    <m/>
    <s v="Adelanta pago parcela B7"/>
  </r>
  <r>
    <x v="113"/>
    <s v="Deposito En Efectivo N° 4789770"/>
    <x v="3"/>
    <m/>
    <m/>
    <n v="5819963"/>
    <n v="55000001"/>
    <m/>
    <s v="Lotes A16, A17, A18 y C7"/>
  </r>
  <r>
    <x v="113"/>
    <s v="Dep.cheq.otros Bancos N° 4789767"/>
    <x v="3"/>
    <m/>
    <m/>
    <n v="60819964"/>
    <n v="33700001"/>
    <m/>
    <s v="Lotes A16, A17, A18 y C7"/>
  </r>
  <r>
    <x v="114"/>
    <s v="Pago: Inversiones 0965712208"/>
    <x v="7"/>
    <m/>
    <m/>
    <n v="94519965"/>
    <n v="262430812"/>
    <m/>
    <m/>
  </r>
  <r>
    <x v="114"/>
    <s v="Traspaso A: Inversiones Lonquen Limitada"/>
    <x v="2"/>
    <m/>
    <s v="LONQUEN"/>
    <n v="356950777"/>
    <m/>
    <n v="-267782920"/>
    <m/>
  </r>
  <r>
    <x v="114"/>
    <s v="Traspaso A: Pedro Lecaros"/>
    <x v="2"/>
    <m/>
    <s v="PLS"/>
    <n v="89167857"/>
    <m/>
    <n v="-5000000"/>
    <m/>
  </r>
  <r>
    <x v="114"/>
    <s v="Traspaso A: Pedro Lecaros"/>
    <x v="2"/>
    <m/>
    <s v="PLS"/>
    <n v="84167857"/>
    <m/>
    <n v="-2500000"/>
    <m/>
  </r>
  <r>
    <x v="114"/>
    <s v="Traspaso A: Benjamin Lecaros"/>
    <x v="2"/>
    <m/>
    <s v="BLS"/>
    <n v="81667857"/>
    <m/>
    <n v="-5000000"/>
    <m/>
  </r>
  <r>
    <x v="114"/>
    <s v="Traspaso A: Pedro Lecaros"/>
    <x v="2"/>
    <m/>
    <s v="PLS"/>
    <n v="76667857"/>
    <m/>
    <n v="-5000000"/>
    <m/>
  </r>
  <r>
    <x v="114"/>
    <s v="Traspaso A: Pedro Lecaros"/>
    <x v="2"/>
    <m/>
    <s v="PLS"/>
    <n v="71667857"/>
    <m/>
    <n v="-5000000"/>
    <m/>
  </r>
  <r>
    <x v="114"/>
    <s v="Traspaso A: Pedro Lecaros"/>
    <x v="2"/>
    <m/>
    <s v="PLS"/>
    <n v="66667857"/>
    <m/>
    <n v="-5000000"/>
    <m/>
  </r>
  <r>
    <x v="114"/>
    <s v="Traspaso A: Pedro Lecaros"/>
    <x v="2"/>
    <m/>
    <s v="PLS"/>
    <n v="61667857"/>
    <m/>
    <n v="-5000000"/>
    <m/>
  </r>
  <r>
    <x v="114"/>
    <s v="Traspaso A: Pedro Lecaros"/>
    <x v="2"/>
    <m/>
    <s v="PLS"/>
    <n v="56667857"/>
    <m/>
    <n v="-5000000"/>
    <m/>
  </r>
  <r>
    <x v="114"/>
    <s v="Traspaso A: Benjamin Lecaros"/>
    <x v="1"/>
    <m/>
    <s v="BLS"/>
    <n v="51667857"/>
    <m/>
    <n v="-5130000"/>
    <s v="Asesoria venta A16, A17, A18, C7, C10, C13"/>
  </r>
  <r>
    <x v="114"/>
    <s v="Traspaso De: Benjamin Jose Lecaros Sotomayor"/>
    <x v="2"/>
    <m/>
    <s v="BLS"/>
    <n v="46537857"/>
    <n v="200000"/>
    <m/>
    <s v="Devolucion 1/2 error transferencia"/>
  </r>
  <r>
    <x v="114"/>
    <s v="Traspaso A: Pedro Lecaros"/>
    <x v="2"/>
    <m/>
    <s v="PLS"/>
    <n v="46737857"/>
    <m/>
    <n v="-5000000"/>
    <m/>
  </r>
  <r>
    <x v="115"/>
    <s v="Traspaso A: Jose Miguel Parro Fluxa"/>
    <x v="2"/>
    <m/>
    <s v="JMP"/>
    <n v="41737857"/>
    <m/>
    <n v="-12500000"/>
    <m/>
  </r>
  <r>
    <x v="115"/>
    <s v="Traspaso A: Inversiones Jopa Limitada"/>
    <x v="2"/>
    <m/>
    <s v="JOPA"/>
    <n v="29237857"/>
    <m/>
    <n v="-25000000"/>
    <m/>
  </r>
  <r>
    <x v="115"/>
    <s v="Traspaso De: Lisssette Patricia Riquelme Martinez"/>
    <x v="3"/>
    <s v="B7 - LISSETTE RIQUELME"/>
    <m/>
    <n v="4237857"/>
    <n v="5000000"/>
    <m/>
    <s v="Adelanta pago parcela B7"/>
  </r>
  <r>
    <x v="115"/>
    <s v="Traspaso De: Benjamin Jose Lecaros"/>
    <x v="2"/>
    <m/>
    <s v="BLS"/>
    <n v="9237857"/>
    <n v="4800000"/>
    <m/>
    <s v="Devolucion 2/2 error transferencia"/>
  </r>
  <r>
    <x v="115"/>
    <s v="Traspaso De: Rodolfo Andres Ramirez Ortiz"/>
    <x v="3"/>
    <s v="C11 - RODOLFO RAMÍREZ"/>
    <m/>
    <n v="14037857"/>
    <n v="5000000"/>
    <m/>
    <s v="Adelanta pago parcela C11"/>
  </r>
  <r>
    <x v="115"/>
    <s v="Recaudacion Y Pagos De Servicios *"/>
    <x v="7"/>
    <m/>
    <m/>
    <n v="19037857"/>
    <m/>
    <n v="-18000000"/>
    <m/>
  </r>
  <r>
    <x v="115"/>
    <s v="Traspaso A: Benjamin Lecaros"/>
    <x v="1"/>
    <m/>
    <s v="PUERTO OCTAY"/>
    <n v="1037857"/>
    <m/>
    <n v="-6856"/>
    <s v="Escaneo plano tekkrom"/>
  </r>
  <r>
    <x v="115"/>
    <s v="Traspaso A: Andres Rieutord"/>
    <x v="4"/>
    <m/>
    <m/>
    <n v="1031001"/>
    <m/>
    <n v="-60000"/>
    <s v="Mandato C6"/>
  </r>
  <r>
    <x v="115"/>
    <s v="Traspaso A: Andres Rieutord"/>
    <x v="4"/>
    <m/>
    <m/>
    <n v="971001"/>
    <m/>
    <n v="-60000"/>
    <s v="Mandato"/>
  </r>
  <r>
    <x v="116"/>
    <s v="Traspaso De: Rodolfo Andres Ramirez Ortiz"/>
    <x v="3"/>
    <m/>
    <m/>
    <n v="911001"/>
    <n v="5000000"/>
    <m/>
    <s v="Adelanta pago parcela C11"/>
  </r>
  <r>
    <x v="116"/>
    <s v="Recaudacion Y Pagos De Servicios *"/>
    <x v="7"/>
    <m/>
    <m/>
    <n v="5911001"/>
    <m/>
    <n v="-5000000"/>
    <m/>
  </r>
  <r>
    <x v="116"/>
    <s v="Traspaso A: Daniel Gebauer"/>
    <x v="1"/>
    <m/>
    <s v="PUERTO OCTAY"/>
    <n v="911001"/>
    <m/>
    <n v="-38400"/>
    <s v="Reembolsa gasto CBR"/>
  </r>
  <r>
    <x v="117"/>
    <s v="Traspaso De: Rodolfo Andres Ramirez Ortiz"/>
    <x v="3"/>
    <m/>
    <m/>
    <n v="872601"/>
    <n v="5000000"/>
    <m/>
    <s v="Adelanta pago parcela C11"/>
  </r>
  <r>
    <x v="118"/>
    <s v="Traspaso De: Juan Esteban Sanchez Bascur"/>
    <x v="3"/>
    <s v="C9 - JUAN ESTEBAN SANCHEZ"/>
    <m/>
    <n v="5872601"/>
    <n v="611111"/>
    <m/>
    <s v="Cuota 1/36"/>
  </r>
  <r>
    <x v="118"/>
    <s v="Deposito En Efectivo N° 2946967"/>
    <x v="3"/>
    <m/>
    <m/>
    <n v="6483712"/>
    <n v="6500000"/>
    <m/>
    <s v="Katherine Orellana A10"/>
  </r>
  <r>
    <x v="118"/>
    <s v="Traspaso De: Katherinne Andrea Orellana Saez"/>
    <x v="3"/>
    <m/>
    <m/>
    <n v="12983712"/>
    <n v="2000000"/>
    <m/>
    <s v="Katherine Orellana A10"/>
  </r>
  <r>
    <x v="118"/>
    <s v="Recaudacion Y Pagos De Servicios *"/>
    <x v="7"/>
    <m/>
    <m/>
    <n v="14983712"/>
    <m/>
    <n v="-9000000"/>
    <m/>
  </r>
  <r>
    <x v="119"/>
    <s v="Traspaso A: La Nube Fotografia Ltda."/>
    <x v="1"/>
    <m/>
    <s v="PUERTO OCTAY"/>
    <n v="5983712"/>
    <m/>
    <n v="-535500"/>
    <s v="Nube Puerto Octay"/>
  </r>
  <r>
    <x v="119"/>
    <s v="Traspaso De: Rodolfo Alexis Utreras"/>
    <x v="3"/>
    <s v="B9 - RODOLFO UTRERAS"/>
    <m/>
    <n v="5448212"/>
    <n v="378803"/>
    <m/>
    <m/>
  </r>
  <r>
    <x v="119"/>
    <s v="Traspaso A: Asesorias Ecox Spa"/>
    <x v="1"/>
    <m/>
    <m/>
    <n v="5827015"/>
    <m/>
    <n v="-4000000"/>
    <m/>
  </r>
  <r>
    <x v="119"/>
    <s v="Traspaso De: Valentina Michelle Aranda Espinoza"/>
    <x v="3"/>
    <s v="A5 - VALENTINA ARANDA"/>
    <m/>
    <n v="1827015"/>
    <n v="1144664"/>
    <m/>
    <m/>
  </r>
  <r>
    <x v="120"/>
    <s v="Traspaso De: Evelyn Paola Galarce Gonzalez"/>
    <x v="3"/>
    <s v="C4 - EVELYN PAOLA GALARCE"/>
    <m/>
    <n v="2971679"/>
    <n v="716667"/>
    <m/>
    <s v="Cuota 1/24"/>
  </r>
  <r>
    <x v="120"/>
    <s v="Traspaso De: Lisssette Patricia Riquelme Martinez"/>
    <x v="3"/>
    <s v="B7 - LISSETTE RIQUELME"/>
    <m/>
    <n v="3688346"/>
    <n v="3693898"/>
    <m/>
    <s v="Termina pago B7"/>
  </r>
  <r>
    <x v="120"/>
    <s v="Aporte A Fondo Mutuo"/>
    <x v="7"/>
    <m/>
    <m/>
    <n v="7382244"/>
    <m/>
    <n v="-5000000"/>
    <m/>
  </r>
  <r>
    <x v="121"/>
    <s v="Traspaso A: Hector Varela"/>
    <x v="1"/>
    <m/>
    <m/>
    <n v="2382244"/>
    <m/>
    <n v="-183101"/>
    <s v="Reembolsa gastos bencina"/>
  </r>
  <r>
    <x v="121"/>
    <s v="Traspaso A: Benjamin Lecaros"/>
    <x v="1"/>
    <m/>
    <s v="BLS"/>
    <n v="2199143"/>
    <m/>
    <n v="-85204"/>
    <s v="Planos"/>
  </r>
  <r>
    <x v="121"/>
    <s v="Traspaso A: Asesorias Ecox Spa"/>
    <x v="1"/>
    <m/>
    <m/>
    <n v="2113939"/>
    <m/>
    <n v="-100000"/>
    <s v="contabilidad"/>
  </r>
  <r>
    <x v="122"/>
    <s v="Traspaso A: Rios Y Compania Abogados Limitada"/>
    <x v="1"/>
    <m/>
    <m/>
    <n v="2013939"/>
    <m/>
    <n v="-587685"/>
    <m/>
  </r>
  <r>
    <x v="123"/>
    <s v="Pago Automatico Tarjeta De Credito"/>
    <x v="1"/>
    <m/>
    <m/>
    <n v="1426254"/>
    <m/>
    <n v="-49264"/>
    <s v="publicidad"/>
  </r>
  <r>
    <x v="124"/>
    <s v="Traspaso A: Felipe Hiriart"/>
    <x v="1"/>
    <m/>
    <m/>
    <n v="1376990"/>
    <m/>
    <n v="-570236"/>
    <s v="Rendicion 7"/>
  </r>
  <r>
    <x v="125"/>
    <s v="Pago: Inversiones 0965712208"/>
    <x v="7"/>
    <m/>
    <m/>
    <n v="806754"/>
    <n v="2200000"/>
    <m/>
    <m/>
  </r>
  <r>
    <x v="125"/>
    <s v="Pago En Sii.cl*"/>
    <x v="5"/>
    <m/>
    <m/>
    <n v="3006754"/>
    <m/>
    <n v="-2222647"/>
    <s v="F29"/>
  </r>
  <r>
    <x v="126"/>
    <s v="Traspaso A: Benjamin Lecaros"/>
    <x v="1"/>
    <m/>
    <s v="BLS"/>
    <n v="784107"/>
    <m/>
    <n v="-76160"/>
    <s v="Reembolso Tekkrom"/>
  </r>
  <r>
    <x v="126"/>
    <s v="Traspaso A: Andres Rieutord"/>
    <x v="4"/>
    <m/>
    <m/>
    <n v="707947"/>
    <m/>
    <n v="-40000"/>
    <m/>
  </r>
  <r>
    <x v="127"/>
    <s v="Traspaso De: Katherinne Andrea Orellana Saez"/>
    <x v="3"/>
    <m/>
    <m/>
    <n v="667947"/>
    <n v="2000000"/>
    <m/>
    <s v="Parcela A10 - Katherine"/>
  </r>
  <r>
    <x v="127"/>
    <s v="Aporte A Fondo Mutuo"/>
    <x v="7"/>
    <m/>
    <m/>
    <n v="2667947"/>
    <m/>
    <n v="-2000000"/>
    <m/>
  </r>
  <r>
    <x v="128"/>
    <s v="Traspaso A: Conrad Pablo Zlch Parra"/>
    <x v="1"/>
    <m/>
    <m/>
    <n v="667947"/>
    <m/>
    <n v="-31000"/>
    <s v="Alzamiento C11"/>
  </r>
  <r>
    <x v="129"/>
    <s v="Traspaso A: Benjamin Lecaros"/>
    <x v="1"/>
    <m/>
    <s v="BLS"/>
    <n v="636947"/>
    <m/>
    <n v="-9674"/>
    <m/>
  </r>
  <r>
    <x v="129"/>
    <s v="Traspaso De: Galarce Gonzalez Evelyn Paola"/>
    <x v="3"/>
    <s v="C4 - EVELYN PAOLA GALARCE"/>
    <m/>
    <n v="627273"/>
    <n v="300000"/>
    <m/>
    <s v="Prepaga parcela C4"/>
  </r>
  <r>
    <x v="129"/>
    <s v="Traspaso De: Evelyn Paola Galarce Gonzalez"/>
    <x v="3"/>
    <s v="C4 - EVELYN PAOLA GALARCE"/>
    <m/>
    <n v="927273"/>
    <n v="5000000"/>
    <m/>
    <s v="Prepaga parcela C4"/>
  </r>
  <r>
    <x v="129"/>
    <s v="Traspaso A: Felipe Hiriart"/>
    <x v="1"/>
    <m/>
    <m/>
    <n v="5927273"/>
    <m/>
    <n v="-598208"/>
    <s v="Rendicion 8"/>
  </r>
  <r>
    <x v="129"/>
    <s v="Traspaso A: Pedro Lecaros"/>
    <x v="1"/>
    <m/>
    <m/>
    <n v="5329065"/>
    <m/>
    <n v="-1204109"/>
    <s v="Rendicion 9"/>
  </r>
  <r>
    <x v="129"/>
    <s v="Dep.cheq.otros Bancos N° 7841124"/>
    <x v="3"/>
    <m/>
    <m/>
    <n v="4124956"/>
    <n v="17800000"/>
    <m/>
    <s v="Parcela C-14"/>
  </r>
  <r>
    <x v="130"/>
    <s v="Traspaso De: Galarce Gonzalez Evelyn Paola"/>
    <x v="3"/>
    <s v="C4 - EVELYN PAOLA GALARCE"/>
    <m/>
    <n v="21924956"/>
    <n v="5000000"/>
    <m/>
    <s v="Prepaga parcela C4"/>
  </r>
  <r>
    <x v="130"/>
    <s v="Traspaso A: Benjamin Lecaros"/>
    <x v="1"/>
    <m/>
    <s v="BLS"/>
    <n v="26924956"/>
    <m/>
    <n v="-855000"/>
    <s v="Asesoria venta C14"/>
  </r>
  <r>
    <x v="130"/>
    <s v="Traspaso A: Hernan Pizarro"/>
    <x v="1"/>
    <m/>
    <m/>
    <n v="26069956"/>
    <m/>
    <n v="-344739"/>
    <s v="Arquitectura"/>
  </r>
  <r>
    <x v="130"/>
    <s v="Aporte A Fondo Mutuo"/>
    <x v="7"/>
    <m/>
    <m/>
    <n v="25725217"/>
    <m/>
    <n v="-7500000"/>
    <m/>
  </r>
  <r>
    <x v="130"/>
    <s v="Traspaso De: Galarce Gonzalez Evelyn Paola"/>
    <x v="3"/>
    <s v="C4 - EVELYN PAOLA GALARCE"/>
    <m/>
    <n v="18225217"/>
    <n v="5000000"/>
    <m/>
    <s v="Prepaga parcela C4"/>
  </r>
  <r>
    <x v="130"/>
    <s v="Traspaso De: Evelyn Paola Galarce Gonzalez"/>
    <x v="3"/>
    <s v="C4 - EVELYN PAOLA GALARCE"/>
    <m/>
    <n v="23225217"/>
    <n v="1783333"/>
    <m/>
    <s v="Prepaga parcela C4"/>
  </r>
  <r>
    <x v="131"/>
    <s v="Aporte A Fondo Mutuo"/>
    <x v="7"/>
    <m/>
    <m/>
    <n v="25008550"/>
    <m/>
    <n v="-20000000"/>
    <m/>
  </r>
  <r>
    <x v="132"/>
    <s v="Traspaso De: Valentina Michelle Aranda Espinoza"/>
    <x v="3"/>
    <s v="A5 - VALENTINA ARANDA"/>
    <m/>
    <n v="5008550"/>
    <n v="1150099"/>
    <m/>
    <m/>
  </r>
  <r>
    <x v="132"/>
    <s v="Traspaso A: Asesorias Ecox Spa"/>
    <x v="1"/>
    <m/>
    <m/>
    <n v="6158649"/>
    <m/>
    <n v="-4000000"/>
    <s v="Servicio de gestion"/>
  </r>
  <r>
    <x v="132"/>
    <s v="Transferencia De Otro Banco Via Spav"/>
    <x v="3"/>
    <m/>
    <m/>
    <n v="2158649"/>
    <n v="20146327"/>
    <m/>
    <s v="Parcela A-14"/>
  </r>
  <r>
    <x v="133"/>
    <s v="Traspaso De: Lissette Patricia Riquelme Martinez"/>
    <x v="1"/>
    <m/>
    <m/>
    <n v="22304976"/>
    <n v="155500"/>
    <m/>
    <m/>
  </r>
  <r>
    <x v="133"/>
    <s v="Traspaso A: Hector Varela"/>
    <x v="1"/>
    <m/>
    <m/>
    <n v="22460476"/>
    <m/>
    <n v="-188729"/>
    <s v="Reembolsa gastos"/>
  </r>
  <r>
    <x v="133"/>
    <s v="Traspaso A: Conrad Pablo Zlch Parra"/>
    <x v="1"/>
    <m/>
    <m/>
    <n v="22271747"/>
    <m/>
    <n v="-155500"/>
    <m/>
  </r>
  <r>
    <x v="133"/>
    <s v="Traspaso A: Benjamin Lecaros"/>
    <x v="1"/>
    <m/>
    <s v="BLS"/>
    <n v="22116247"/>
    <m/>
    <n v="-4132500"/>
    <s v="Reembolsa gastos durante el año CBR Rendicion 10"/>
  </r>
  <r>
    <x v="133"/>
    <s v="Traspaso De: Juan Esteban Sanchez Bascur"/>
    <x v="3"/>
    <s v="C9 - JUAN ESTEBAN SANCHEZ"/>
    <m/>
    <n v="17983747"/>
    <n v="614940"/>
    <m/>
    <m/>
  </r>
  <r>
    <x v="133"/>
    <s v="Traspaso De: Evelyn Paola Galarce Gonzalez"/>
    <x v="1"/>
    <m/>
    <m/>
    <n v="18598687"/>
    <n v="164500"/>
    <m/>
    <m/>
  </r>
  <r>
    <x v="134"/>
    <s v="Traspaso A: Conrad Pablo Zlch Parra"/>
    <x v="1"/>
    <m/>
    <m/>
    <n v="18763187"/>
    <m/>
    <n v="-164500"/>
    <m/>
  </r>
  <r>
    <x v="134"/>
    <s v="Traspaso De: Rodolfo Alexis Utreras"/>
    <x v="3"/>
    <s v="B9 - RODOLFO UTRERAS"/>
    <m/>
    <n v="18598687"/>
    <n v="381056"/>
    <m/>
    <m/>
  </r>
  <r>
    <x v="134"/>
    <s v="Pago: Inversiones 0965712208"/>
    <x v="7"/>
    <m/>
    <m/>
    <n v="18979743"/>
    <n v="4000000"/>
    <m/>
    <m/>
  </r>
  <r>
    <x v="134"/>
    <s v="Pago: Inversiones 0965712208"/>
    <x v="7"/>
    <m/>
    <m/>
    <n v="22979743"/>
    <n v="8500001"/>
    <m/>
    <m/>
  </r>
  <r>
    <x v="134"/>
    <s v="Traspaso A: Pedro Lecaros"/>
    <x v="2"/>
    <m/>
    <s v="PLS"/>
    <n v="31479744"/>
    <m/>
    <n v="-5000000"/>
    <m/>
  </r>
  <r>
    <x v="134"/>
    <s v="Traspaso A: Inversiones Jopa Limitada"/>
    <x v="2"/>
    <m/>
    <s v="JOPA"/>
    <n v="26479744"/>
    <m/>
    <n v="-10000000"/>
    <m/>
  </r>
  <r>
    <x v="134"/>
    <s v="Traspaso A: Pedro Lecaros"/>
    <x v="2"/>
    <m/>
    <s v="PLS"/>
    <n v="16479744"/>
    <m/>
    <n v="-5000000"/>
    <m/>
  </r>
  <r>
    <x v="134"/>
    <s v="Traspaso A: Jose Miguel Parro Fluxa"/>
    <x v="2"/>
    <m/>
    <s v="JMP"/>
    <n v="11479744"/>
    <m/>
    <n v="-5000000"/>
    <m/>
  </r>
  <r>
    <x v="134"/>
    <s v="Traspaso A: Pedro Lecaros"/>
    <x v="2"/>
    <m/>
    <s v="PLS"/>
    <n v="6479744"/>
    <m/>
    <n v="-5000000"/>
    <m/>
  </r>
  <r>
    <x v="135"/>
    <m/>
    <x v="0"/>
    <m/>
    <m/>
    <n v="1479744"/>
    <m/>
    <m/>
    <m/>
  </r>
  <r>
    <x v="135"/>
    <m/>
    <x v="0"/>
    <m/>
    <m/>
    <n v="1479744"/>
    <m/>
    <m/>
    <m/>
  </r>
  <r>
    <x v="135"/>
    <m/>
    <x v="0"/>
    <m/>
    <m/>
    <n v="1479744"/>
    <m/>
    <m/>
    <m/>
  </r>
  <r>
    <x v="135"/>
    <m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B0B01-4712-4F10-A235-DF2AF76B344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 rowPageCount="1" colPageCount="1"/>
  <pivotFields count="8">
    <pivotField showAll="0"/>
    <pivotField axis="axisPage" showAll="0">
      <items count="9">
        <item x="7"/>
        <item x="1"/>
        <item x="5"/>
        <item x="6"/>
        <item x="4"/>
        <item x="2"/>
        <item x="3"/>
        <item x="0"/>
        <item t="default"/>
      </items>
    </pivotField>
    <pivotField showAll="0"/>
    <pivotField axis="axisRow" showAll="0">
      <items count="11">
        <item x="4"/>
        <item x="7"/>
        <item x="6"/>
        <item x="8"/>
        <item x="0"/>
        <item x="1"/>
        <item x="2"/>
        <item x="3"/>
        <item x="5"/>
        <item x="9"/>
        <item t="default"/>
      </items>
    </pivotField>
    <pivotField showAll="0"/>
    <pivotField dataField="1" showAll="0"/>
    <pivotField dataField="1" showAll="0"/>
    <pivotField showAll="0"/>
  </pivotFields>
  <rowFields count="1">
    <field x="3"/>
  </rowFields>
  <rowItems count="9">
    <i>
      <x/>
    </i>
    <i>
      <x v="1"/>
    </i>
    <i>
      <x v="2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5" hier="-1"/>
  </pageFields>
  <dataFields count="2">
    <dataField name="Sum of DEPOSITO" fld="5" baseField="0" baseItem="0"/>
    <dataField name="Sum of GIROS" fld="6" baseField="0" baseItem="0"/>
  </dataFields>
  <formats count="2">
    <format dxfId="9">
      <pivotArea outline="0" collapsedLevelsAreSubtotals="1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9F2F8-DD47-4908-A119-A07526329E4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C31" firstHeaderRow="0" firstDataRow="1" firstDataCol="1"/>
  <pivotFields count="9">
    <pivotField showAll="0"/>
    <pivotField showAll="0"/>
    <pivotField axis="axisRow" showAll="0">
      <items count="9">
        <item x="7"/>
        <item x="1"/>
        <item x="5"/>
        <item x="6"/>
        <item x="4"/>
        <item x="2"/>
        <item x="3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POSITO" fld="6" baseField="0" baseItem="0"/>
    <dataField name="Sum of GIROS" fld="7" baseField="0" baseItem="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FB7AAF-4797-4195-9DCB-8C7F9FCED38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:C45" firstHeaderRow="0" firstDataRow="1" firstDataCol="1" rowPageCount="1" colPageCount="1"/>
  <pivotFields count="9">
    <pivotField axis="axisPage" multipleItemSelectionAllowed="1" showAll="0">
      <items count="13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t="default"/>
      </items>
    </pivotField>
    <pivotField showAll="0"/>
    <pivotField axis="axisRow" showAll="0">
      <items count="9">
        <item x="7"/>
        <item x="1"/>
        <item x="5"/>
        <item x="6"/>
        <item x="4"/>
        <item x="2"/>
        <item x="3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DEPOSITO" fld="6" baseField="0" baseItem="0"/>
    <dataField name="Sum of GIROS" fld="7" baseField="0" baseItem="0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6635AD-4D89-4A82-8E7A-AFE55DCCAEA7}" name="Table3" displayName="Table3" ref="B1:I242" totalsRowShown="0" headerRowDxfId="7" dataDxfId="5" headerRowBorderDxfId="6" tableBorderDxfId="4">
  <autoFilter ref="B1:I242" xr:uid="{256635AD-4D89-4A82-8E7A-AFE55DCCAEA7}"/>
  <tableColumns count="8">
    <tableColumn id="1" xr3:uid="{296D9FD2-F009-40EC-978F-C84F48A6D63C}" name="DETALLE"/>
    <tableColumn id="2" xr3:uid="{219A8E98-5627-4806-9660-C8801E88AE3F}" name="CATEGORIA"/>
    <tableColumn id="3" xr3:uid="{1186E174-699B-409A-BE6A-F6CCDF01D1C6}" name="PARCELA"/>
    <tableColumn id="4" xr3:uid="{D0FB856E-756B-41E2-83DE-E999BD9EBA92}" name="SUB"/>
    <tableColumn id="5" xr3:uid="{A584078E-5488-4E1F-977F-D5D8A6FAD45F}" name="SALDO" dataDxfId="3"/>
    <tableColumn id="6" xr3:uid="{7D55C17B-ADE1-4638-9787-FE8DF81B47C9}" name="DEPOSITO" dataDxfId="2"/>
    <tableColumn id="7" xr3:uid="{D44C0AD2-D7FA-494B-A7C8-D417C8683636}" name="GIROS" dataDxfId="1"/>
    <tableColumn id="8" xr3:uid="{AE09D32B-3A31-4380-A140-5D8E06AFEFA2}" name="COMENTAR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7AE28-2375-48C7-A656-DEEB93D52957}" name="Table1" displayName="Table1" ref="A1:A13" totalsRowShown="0">
  <autoFilter ref="A1:A13" xr:uid="{BAD7AE28-2375-48C7-A656-DEEB93D52957}"/>
  <tableColumns count="1">
    <tableColumn id="1" xr3:uid="{FEF01675-AE39-4947-90B4-FF4A152ABEB8}" name="CATEGOR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B82FD5-B412-4E0D-B077-4C640B1E542E}" name="Table2" displayName="Table2" ref="B1:C22" totalsRowShown="0">
  <autoFilter ref="B1:C22" xr:uid="{2BB82FD5-B412-4E0D-B077-4C640B1E542E}"/>
  <tableColumns count="2">
    <tableColumn id="1" xr3:uid="{C4DCE3EE-B2B2-48E4-94C9-F8A181717A95}" name="SUB"/>
    <tableColumn id="2" xr3:uid="{B684D150-AA69-4CF3-A887-6E815744E520}" name="PARCE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2983-4EAA-4C88-A2F8-DB571790E363}">
  <dimension ref="A1:J45"/>
  <sheetViews>
    <sheetView topLeftCell="A25" workbookViewId="0">
      <selection activeCell="A37" sqref="A37"/>
    </sheetView>
  </sheetViews>
  <sheetFormatPr baseColWidth="10" defaultColWidth="9.140625" defaultRowHeight="15"/>
  <cols>
    <col min="1" max="1" width="23.42578125" bestFit="1" customWidth="1"/>
    <col min="2" max="2" width="16.28515625" bestFit="1" customWidth="1"/>
    <col min="3" max="3" width="16.7109375" bestFit="1" customWidth="1"/>
    <col min="4" max="4" width="16" bestFit="1" customWidth="1"/>
    <col min="5" max="9" width="9.7109375" bestFit="1" customWidth="1"/>
    <col min="10" max="10" width="13.28515625" bestFit="1" customWidth="1"/>
    <col min="11" max="17" width="9.7109375" bestFit="1" customWidth="1"/>
    <col min="18" max="53" width="8.7109375" bestFit="1" customWidth="1"/>
    <col min="54" max="102" width="7.7109375" bestFit="1" customWidth="1"/>
    <col min="103" max="130" width="6.7109375" bestFit="1" customWidth="1"/>
    <col min="131" max="135" width="5.7109375" bestFit="1" customWidth="1"/>
    <col min="136" max="137" width="4.7109375" bestFit="1" customWidth="1"/>
    <col min="138" max="139" width="2.7109375" bestFit="1" customWidth="1"/>
    <col min="140" max="140" width="11" bestFit="1" customWidth="1"/>
    <col min="141" max="141" width="11.28515625" bestFit="1" customWidth="1"/>
  </cols>
  <sheetData>
    <row r="1" spans="1:10">
      <c r="A1" s="11" t="s">
        <v>1</v>
      </c>
      <c r="B1" t="s">
        <v>20</v>
      </c>
    </row>
    <row r="3" spans="1:10">
      <c r="A3" s="11" t="s">
        <v>66</v>
      </c>
      <c r="B3" s="13" t="s">
        <v>67</v>
      </c>
      <c r="C3" s="13" t="s">
        <v>68</v>
      </c>
      <c r="D3" s="15"/>
    </row>
    <row r="4" spans="1:10">
      <c r="A4" s="12" t="s">
        <v>41</v>
      </c>
      <c r="B4" s="13">
        <v>17570170</v>
      </c>
      <c r="C4" s="13">
        <v>-360515474</v>
      </c>
      <c r="D4" s="15" t="e">
        <f>+GETPIVOTDATA("Sum of DEPOSITO",$A$3,"CATEGORIA","FONDOS MUTUOS")-GETPIVOTDATA("Sum of GIROS",$A$3,"CATEGORIA","FONDOS MUTUOS")</f>
        <v>#REF!</v>
      </c>
    </row>
    <row r="5" spans="1:10">
      <c r="A5" s="12" t="s">
        <v>72</v>
      </c>
      <c r="B5" s="13">
        <v>260000000</v>
      </c>
      <c r="C5" s="13">
        <v>-268348443</v>
      </c>
      <c r="D5" s="15" t="e">
        <f>+GETPIVOTDATA("Sum of DEPOSITO",$A$3,"CATEGORIA","GASTOS GENERALES")+GETPIVOTDATA("Sum of GIROS",$A$3,"CATEGORIA","GASTOS GENERALES")</f>
        <v>#REF!</v>
      </c>
    </row>
    <row r="6" spans="1:10">
      <c r="A6" s="12" t="s">
        <v>24</v>
      </c>
      <c r="B6" s="13">
        <v>42000000</v>
      </c>
      <c r="C6" s="13">
        <v>-43751403</v>
      </c>
      <c r="D6" s="15" t="e">
        <f>+GETPIVOTDATA("Sum of DEPOSITO",$A$3,"CATEGORIA","IMPUESTOS")+GETPIVOTDATA("Sum of GIROS",$A$3,"CATEGORIA","IMPUESTOS")</f>
        <v>#REF!</v>
      </c>
    </row>
    <row r="7" spans="1:10">
      <c r="A7" s="12" t="s">
        <v>23</v>
      </c>
      <c r="B7" s="13">
        <v>45000000</v>
      </c>
      <c r="C7" s="13">
        <v>-52500000</v>
      </c>
      <c r="D7" s="15" t="e">
        <f>+GETPIVOTDATA("Sum of DEPOSITO",$A$3,"CATEGORIA","LINEA DE CREDITO")+GETPIVOTDATA("Sum of GIROS",$A$3,"CATEGORIA","LINEA DE CREDITO")</f>
        <v>#REF!</v>
      </c>
    </row>
    <row r="8" spans="1:10">
      <c r="A8" s="12" t="s">
        <v>69</v>
      </c>
      <c r="B8" s="13">
        <v>19000000</v>
      </c>
      <c r="C8" s="13">
        <v>-17500000</v>
      </c>
      <c r="D8" s="15" t="e">
        <f>+GETPIVOTDATA("Sum of DEPOSITO",$A$3,"CATEGORIA","NOTARIA Y CONSERVADOR")+GETPIVOTDATA("Sum of GIROS",$A$3,"CATEGORIA","NOTARIA Y CONSERVADOR")</f>
        <v>#REF!</v>
      </c>
    </row>
    <row r="9" spans="1:10">
      <c r="A9" s="12" t="s">
        <v>71</v>
      </c>
      <c r="B9" s="13">
        <v>26000000</v>
      </c>
      <c r="C9" s="13">
        <v>-35000000</v>
      </c>
      <c r="D9" s="15">
        <f>+GETPIVOTDATA("Sum of DEPOSITO",$A$3,"CATEGORIA","PRESTAMO")+GETPIVOTDATA("Sum of GIROS",$A$3,"CATEGORIA","PRESTAMO")</f>
        <v>-635828070</v>
      </c>
    </row>
    <row r="10" spans="1:10">
      <c r="A10" s="12" t="s">
        <v>70</v>
      </c>
      <c r="B10" s="13">
        <v>5000000</v>
      </c>
      <c r="C10" s="13">
        <v>-5000000</v>
      </c>
      <c r="D10" s="15" t="e">
        <f>+GETPIVOTDATA("Sum of DEPOSITO",$A$3,"CATEGORIA","VENTA")+GETPIVOTDATA("Sum of GIROS",$A$3,"CATEGORIA","VENTA")</f>
        <v>#REF!</v>
      </c>
    </row>
    <row r="11" spans="1:10">
      <c r="A11" s="12" t="s">
        <v>73</v>
      </c>
      <c r="B11" s="13"/>
      <c r="C11" s="13">
        <v>-267782920</v>
      </c>
      <c r="D11" s="15"/>
      <c r="J11" s="14"/>
    </row>
    <row r="12" spans="1:10">
      <c r="A12" s="12" t="s">
        <v>65</v>
      </c>
      <c r="B12" s="13">
        <v>414570170</v>
      </c>
      <c r="C12" s="13">
        <v>-1050398240</v>
      </c>
      <c r="D12" s="15">
        <f>+GETPIVOTDATA("Sum of DEPOSITO",$A$3)+GETPIVOTDATA("Sum of GIROS",$A$3)</f>
        <v>-635828070</v>
      </c>
    </row>
    <row r="22" spans="1:3">
      <c r="A22" s="11" t="s">
        <v>66</v>
      </c>
      <c r="B22" t="s">
        <v>67</v>
      </c>
      <c r="C22" t="s">
        <v>68</v>
      </c>
    </row>
    <row r="23" spans="1:3">
      <c r="A23" s="12" t="s">
        <v>16</v>
      </c>
      <c r="B23" s="16">
        <v>406728467</v>
      </c>
      <c r="C23" s="16">
        <v>-457700000</v>
      </c>
    </row>
    <row r="24" spans="1:3">
      <c r="A24" s="12" t="s">
        <v>9</v>
      </c>
      <c r="B24" s="16">
        <v>790000</v>
      </c>
      <c r="C24" s="16">
        <v>-134066680</v>
      </c>
    </row>
    <row r="25" spans="1:3">
      <c r="A25" s="12" t="s">
        <v>14</v>
      </c>
      <c r="B25" s="16"/>
      <c r="C25" s="16">
        <v>-8103027</v>
      </c>
    </row>
    <row r="26" spans="1:3">
      <c r="A26" s="12" t="s">
        <v>18</v>
      </c>
      <c r="B26" s="16">
        <v>999927</v>
      </c>
      <c r="C26" s="16">
        <v>-1104703</v>
      </c>
    </row>
    <row r="27" spans="1:3">
      <c r="A27" s="12" t="s">
        <v>10</v>
      </c>
      <c r="B27" s="16"/>
      <c r="C27" s="16">
        <v>-2761500</v>
      </c>
    </row>
    <row r="28" spans="1:3">
      <c r="A28" s="12" t="s">
        <v>20</v>
      </c>
      <c r="B28" s="16">
        <v>414570170</v>
      </c>
      <c r="C28" s="16">
        <v>-1050398240</v>
      </c>
    </row>
    <row r="29" spans="1:3">
      <c r="A29" s="12" t="s">
        <v>12</v>
      </c>
      <c r="B29" s="16">
        <v>832867229</v>
      </c>
      <c r="C29" s="16">
        <v>-1044500</v>
      </c>
    </row>
    <row r="30" spans="1:3">
      <c r="A30" s="12" t="s">
        <v>64</v>
      </c>
      <c r="B30" s="16"/>
      <c r="C30" s="16"/>
    </row>
    <row r="31" spans="1:3">
      <c r="A31" s="12" t="s">
        <v>65</v>
      </c>
      <c r="B31" s="16">
        <v>1655955793</v>
      </c>
      <c r="C31" s="16">
        <v>-1655178650</v>
      </c>
    </row>
    <row r="35" spans="1:3">
      <c r="A35" s="11" t="s">
        <v>7</v>
      </c>
      <c r="B35" t="s">
        <v>74</v>
      </c>
    </row>
    <row r="37" spans="1:3">
      <c r="A37" s="11" t="s">
        <v>66</v>
      </c>
      <c r="B37" t="s">
        <v>67</v>
      </c>
      <c r="C37" t="s">
        <v>68</v>
      </c>
    </row>
    <row r="38" spans="1:3">
      <c r="A38" s="12" t="s">
        <v>16</v>
      </c>
      <c r="B38" s="16">
        <v>76569257</v>
      </c>
      <c r="C38" s="16">
        <v>-201600000</v>
      </c>
    </row>
    <row r="39" spans="1:3">
      <c r="A39" s="12" t="s">
        <v>9</v>
      </c>
      <c r="B39" s="16">
        <v>155500</v>
      </c>
      <c r="C39" s="16">
        <v>-30944611</v>
      </c>
    </row>
    <row r="40" spans="1:3">
      <c r="A40" s="12" t="s">
        <v>14</v>
      </c>
      <c r="B40" s="16"/>
      <c r="C40" s="16">
        <v>-1246007</v>
      </c>
    </row>
    <row r="41" spans="1:3">
      <c r="A41" s="12" t="s">
        <v>18</v>
      </c>
      <c r="B41" s="16"/>
      <c r="C41" s="16">
        <v>-12</v>
      </c>
    </row>
    <row r="42" spans="1:3">
      <c r="A42" s="12" t="s">
        <v>10</v>
      </c>
      <c r="B42" s="16"/>
      <c r="C42" s="16">
        <v>-370500</v>
      </c>
    </row>
    <row r="43" spans="1:3">
      <c r="A43" s="12" t="s">
        <v>20</v>
      </c>
      <c r="B43" s="16"/>
      <c r="C43" s="16">
        <v>-162099846</v>
      </c>
    </row>
    <row r="44" spans="1:3">
      <c r="A44" s="12" t="s">
        <v>12</v>
      </c>
      <c r="B44" s="16">
        <v>300294639</v>
      </c>
      <c r="C44" s="16">
        <v>-244500</v>
      </c>
    </row>
    <row r="45" spans="1:3">
      <c r="A45" s="12" t="s">
        <v>65</v>
      </c>
      <c r="B45" s="16">
        <v>377019396</v>
      </c>
      <c r="C45" s="16">
        <v>-396505476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42"/>
  <sheetViews>
    <sheetView topLeftCell="A212" workbookViewId="0">
      <selection activeCell="B224" sqref="B224"/>
    </sheetView>
  </sheetViews>
  <sheetFormatPr baseColWidth="10" defaultColWidth="9.140625" defaultRowHeight="15"/>
  <cols>
    <col min="1" max="1" width="12" style="2" customWidth="1"/>
    <col min="2" max="2" width="43.85546875" bestFit="1" customWidth="1"/>
    <col min="3" max="3" width="18.28515625" bestFit="1" customWidth="1"/>
    <col min="4" max="4" width="18.28515625" customWidth="1"/>
    <col min="5" max="5" width="17.28515625" customWidth="1"/>
    <col min="6" max="8" width="17.28515625" style="1" customWidth="1"/>
    <col min="9" max="9" width="56.7109375" customWidth="1"/>
  </cols>
  <sheetData>
    <row r="1" spans="1:28" s="10" customFormat="1" ht="15.75" thickBot="1">
      <c r="A1" s="6" t="s">
        <v>7</v>
      </c>
      <c r="B1" s="7" t="s">
        <v>0</v>
      </c>
      <c r="C1" s="7" t="s">
        <v>1</v>
      </c>
      <c r="D1" s="7" t="s">
        <v>44</v>
      </c>
      <c r="E1" s="7" t="s">
        <v>2</v>
      </c>
      <c r="F1" s="8" t="s">
        <v>3</v>
      </c>
      <c r="G1" s="8" t="s">
        <v>4</v>
      </c>
      <c r="H1" s="8" t="s">
        <v>5</v>
      </c>
      <c r="I1" s="7" t="s">
        <v>6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>
      <c r="A2" s="2">
        <v>46023</v>
      </c>
      <c r="B2" t="s">
        <v>8</v>
      </c>
      <c r="F2" s="1">
        <v>497352</v>
      </c>
    </row>
    <row r="3" spans="1:28">
      <c r="A3" s="2">
        <v>46024</v>
      </c>
      <c r="B3" t="s">
        <v>40</v>
      </c>
      <c r="C3" t="s">
        <v>12</v>
      </c>
      <c r="D3" t="s">
        <v>49</v>
      </c>
      <c r="F3" s="1">
        <f>+F2+G2+H2</f>
        <v>497352</v>
      </c>
      <c r="G3" s="1">
        <v>1160735</v>
      </c>
      <c r="I3" t="s">
        <v>87</v>
      </c>
    </row>
    <row r="4" spans="1:28">
      <c r="A4" s="2">
        <v>46024</v>
      </c>
      <c r="B4" t="s">
        <v>39</v>
      </c>
      <c r="C4" t="s">
        <v>9</v>
      </c>
      <c r="F4" s="1">
        <f t="shared" ref="F4:F25" si="0">+F3+G3+H3</f>
        <v>1658087</v>
      </c>
      <c r="H4" s="1">
        <v>-655000</v>
      </c>
      <c r="I4" t="s">
        <v>90</v>
      </c>
    </row>
    <row r="5" spans="1:28">
      <c r="A5" s="2">
        <v>46024</v>
      </c>
      <c r="B5" t="s">
        <v>36</v>
      </c>
      <c r="C5" t="s">
        <v>10</v>
      </c>
      <c r="F5" s="1">
        <f t="shared" si="0"/>
        <v>1003087</v>
      </c>
      <c r="H5" s="1">
        <v>-180000</v>
      </c>
    </row>
    <row r="6" spans="1:28">
      <c r="A6" s="2">
        <v>46024</v>
      </c>
      <c r="B6" t="s">
        <v>42</v>
      </c>
      <c r="C6" t="s">
        <v>16</v>
      </c>
      <c r="F6" s="1">
        <f t="shared" si="0"/>
        <v>823087</v>
      </c>
      <c r="G6" s="1">
        <v>4500000</v>
      </c>
    </row>
    <row r="7" spans="1:28">
      <c r="A7" s="2">
        <v>46024</v>
      </c>
      <c r="B7" t="s">
        <v>77</v>
      </c>
      <c r="C7" t="s">
        <v>12</v>
      </c>
      <c r="D7" t="s">
        <v>81</v>
      </c>
      <c r="F7" s="1">
        <f t="shared" si="0"/>
        <v>5323087</v>
      </c>
      <c r="G7" s="1">
        <v>300000</v>
      </c>
      <c r="I7" t="s">
        <v>82</v>
      </c>
    </row>
    <row r="8" spans="1:28">
      <c r="A8" s="2">
        <v>46027</v>
      </c>
      <c r="B8" t="s">
        <v>77</v>
      </c>
      <c r="C8" t="s">
        <v>12</v>
      </c>
      <c r="D8" t="s">
        <v>81</v>
      </c>
      <c r="F8" s="1">
        <f t="shared" si="0"/>
        <v>5623087</v>
      </c>
      <c r="G8" s="1">
        <v>4000000</v>
      </c>
      <c r="I8" t="s">
        <v>82</v>
      </c>
    </row>
    <row r="9" spans="1:28">
      <c r="A9" s="2">
        <v>46027</v>
      </c>
      <c r="B9" t="s">
        <v>78</v>
      </c>
      <c r="C9" t="s">
        <v>12</v>
      </c>
      <c r="F9" s="1">
        <f t="shared" si="0"/>
        <v>9623087</v>
      </c>
      <c r="G9" s="1">
        <v>200000</v>
      </c>
      <c r="I9" t="s">
        <v>60</v>
      </c>
    </row>
    <row r="10" spans="1:28">
      <c r="A10" s="2">
        <v>46027</v>
      </c>
      <c r="B10" t="s">
        <v>77</v>
      </c>
      <c r="C10" t="s">
        <v>12</v>
      </c>
      <c r="D10" t="s">
        <v>81</v>
      </c>
      <c r="F10" s="1">
        <f t="shared" si="0"/>
        <v>9823087</v>
      </c>
      <c r="G10" s="1">
        <v>4000000</v>
      </c>
      <c r="I10" t="s">
        <v>82</v>
      </c>
    </row>
    <row r="11" spans="1:28">
      <c r="A11" s="2">
        <v>46027</v>
      </c>
      <c r="B11" t="s">
        <v>35</v>
      </c>
      <c r="C11" t="s">
        <v>9</v>
      </c>
      <c r="F11" s="1">
        <f t="shared" si="0"/>
        <v>13823087</v>
      </c>
      <c r="H11" s="1">
        <v>-4000000</v>
      </c>
      <c r="I11" t="s">
        <v>83</v>
      </c>
    </row>
    <row r="12" spans="1:28">
      <c r="A12" s="2">
        <v>46027</v>
      </c>
      <c r="B12" t="s">
        <v>35</v>
      </c>
      <c r="C12" t="s">
        <v>9</v>
      </c>
      <c r="F12" s="1">
        <f t="shared" si="0"/>
        <v>9823087</v>
      </c>
      <c r="H12" s="1">
        <v>-100000</v>
      </c>
      <c r="I12" t="s">
        <v>84</v>
      </c>
    </row>
    <row r="13" spans="1:28">
      <c r="A13" s="2">
        <v>46027</v>
      </c>
      <c r="B13" t="s">
        <v>39</v>
      </c>
      <c r="C13" t="s">
        <v>9</v>
      </c>
      <c r="F13" s="1">
        <f t="shared" si="0"/>
        <v>9723087</v>
      </c>
      <c r="H13" s="1">
        <v>-456407</v>
      </c>
      <c r="I13" t="s">
        <v>86</v>
      </c>
    </row>
    <row r="14" spans="1:28">
      <c r="A14" s="2">
        <v>46027</v>
      </c>
      <c r="B14" t="s">
        <v>75</v>
      </c>
      <c r="C14" t="s">
        <v>9</v>
      </c>
      <c r="E14" t="s">
        <v>61</v>
      </c>
      <c r="F14" s="1">
        <f t="shared" si="0"/>
        <v>9266680</v>
      </c>
      <c r="H14" s="1">
        <v>-80000</v>
      </c>
    </row>
    <row r="15" spans="1:28">
      <c r="A15" s="2">
        <v>46027</v>
      </c>
      <c r="B15" t="s">
        <v>38</v>
      </c>
      <c r="C15" t="s">
        <v>12</v>
      </c>
      <c r="D15" t="s">
        <v>51</v>
      </c>
      <c r="F15" s="1">
        <f t="shared" si="0"/>
        <v>9186680</v>
      </c>
      <c r="G15" s="1">
        <v>384353</v>
      </c>
      <c r="I15" t="s">
        <v>88</v>
      </c>
    </row>
    <row r="16" spans="1:28">
      <c r="A16" s="2">
        <v>46027</v>
      </c>
      <c r="B16" t="s">
        <v>62</v>
      </c>
      <c r="C16" t="s">
        <v>16</v>
      </c>
      <c r="F16" s="1">
        <f t="shared" si="0"/>
        <v>9571033</v>
      </c>
      <c r="H16" s="1">
        <v>-8500000</v>
      </c>
    </row>
    <row r="17" spans="1:9">
      <c r="A17" s="2">
        <v>46027</v>
      </c>
      <c r="B17" t="s">
        <v>47</v>
      </c>
      <c r="C17" t="s">
        <v>9</v>
      </c>
      <c r="F17" s="1">
        <f t="shared" si="0"/>
        <v>1071033</v>
      </c>
      <c r="H17" s="1">
        <v>-200564</v>
      </c>
      <c r="I17" t="s">
        <v>59</v>
      </c>
    </row>
    <row r="18" spans="1:9">
      <c r="A18" s="2">
        <v>46027</v>
      </c>
      <c r="B18" t="s">
        <v>46</v>
      </c>
      <c r="C18" t="s">
        <v>18</v>
      </c>
      <c r="F18" s="1">
        <f t="shared" si="0"/>
        <v>870469</v>
      </c>
      <c r="H18" s="1">
        <v>-620</v>
      </c>
    </row>
    <row r="19" spans="1:9">
      <c r="A19" s="2">
        <v>46027</v>
      </c>
      <c r="B19" t="s">
        <v>48</v>
      </c>
      <c r="C19" t="s">
        <v>18</v>
      </c>
      <c r="F19" s="1">
        <f t="shared" si="0"/>
        <v>869849</v>
      </c>
      <c r="H19" s="1">
        <v>-878</v>
      </c>
    </row>
    <row r="20" spans="1:9">
      <c r="A20" s="2">
        <v>46028</v>
      </c>
      <c r="B20" t="s">
        <v>77</v>
      </c>
      <c r="C20" t="s">
        <v>12</v>
      </c>
      <c r="D20" t="s">
        <v>81</v>
      </c>
      <c r="F20" s="1">
        <f t="shared" si="0"/>
        <v>868971</v>
      </c>
      <c r="G20" s="1">
        <v>4000000</v>
      </c>
      <c r="I20" t="s">
        <v>82</v>
      </c>
    </row>
    <row r="21" spans="1:9">
      <c r="A21" s="2">
        <v>46028</v>
      </c>
      <c r="B21" t="s">
        <v>45</v>
      </c>
      <c r="C21" t="s">
        <v>12</v>
      </c>
      <c r="D21" t="s">
        <v>52</v>
      </c>
      <c r="F21" s="1">
        <f t="shared" si="0"/>
        <v>4868971</v>
      </c>
      <c r="G21" s="1">
        <v>620513</v>
      </c>
      <c r="I21" t="s">
        <v>89</v>
      </c>
    </row>
    <row r="22" spans="1:9">
      <c r="A22" s="2">
        <v>46028</v>
      </c>
      <c r="B22" t="s">
        <v>77</v>
      </c>
      <c r="C22" t="s">
        <v>12</v>
      </c>
      <c r="D22" t="s">
        <v>81</v>
      </c>
      <c r="F22" s="1">
        <f t="shared" si="0"/>
        <v>5489484</v>
      </c>
      <c r="G22" s="1">
        <v>3450000</v>
      </c>
      <c r="I22" t="s">
        <v>82</v>
      </c>
    </row>
    <row r="23" spans="1:9">
      <c r="A23" s="2">
        <v>46028</v>
      </c>
      <c r="B23" t="s">
        <v>62</v>
      </c>
      <c r="C23" t="s">
        <v>16</v>
      </c>
      <c r="F23" s="1">
        <f t="shared" si="0"/>
        <v>8939484</v>
      </c>
      <c r="H23" s="1">
        <v>-7000000</v>
      </c>
    </row>
    <row r="24" spans="1:9">
      <c r="A24" s="2">
        <v>46028</v>
      </c>
      <c r="B24" t="s">
        <v>39</v>
      </c>
      <c r="C24" t="s">
        <v>9</v>
      </c>
      <c r="F24" s="1">
        <f t="shared" si="0"/>
        <v>1939484</v>
      </c>
      <c r="H24" s="1">
        <v>-847500</v>
      </c>
      <c r="I24" t="s">
        <v>85</v>
      </c>
    </row>
    <row r="25" spans="1:9">
      <c r="A25" s="2">
        <v>46029</v>
      </c>
      <c r="B25" t="s">
        <v>37</v>
      </c>
      <c r="C25" t="s">
        <v>9</v>
      </c>
      <c r="F25" s="1">
        <f t="shared" si="0"/>
        <v>1091984</v>
      </c>
      <c r="H25" s="1">
        <v>-1548957</v>
      </c>
      <c r="I25" t="s">
        <v>79</v>
      </c>
    </row>
    <row r="26" spans="1:9">
      <c r="A26" s="2">
        <v>46029</v>
      </c>
      <c r="B26" t="s">
        <v>43</v>
      </c>
      <c r="C26" t="s">
        <v>18</v>
      </c>
      <c r="F26" s="1">
        <f t="shared" ref="F26:F89" si="1">+F25+G25+H25</f>
        <v>-456973</v>
      </c>
      <c r="G26" s="1">
        <v>456973</v>
      </c>
    </row>
    <row r="27" spans="1:9">
      <c r="A27" s="2">
        <v>46031</v>
      </c>
      <c r="B27" t="s">
        <v>42</v>
      </c>
      <c r="C27" t="s">
        <v>16</v>
      </c>
      <c r="F27" s="1">
        <f t="shared" si="1"/>
        <v>0</v>
      </c>
      <c r="G27" s="1">
        <v>1500000</v>
      </c>
    </row>
    <row r="28" spans="1:9">
      <c r="A28" s="2">
        <v>46031</v>
      </c>
      <c r="B28" t="s">
        <v>91</v>
      </c>
      <c r="C28" t="s">
        <v>9</v>
      </c>
      <c r="F28" s="1">
        <f t="shared" si="1"/>
        <v>1500000</v>
      </c>
      <c r="H28" s="1">
        <v>-376945</v>
      </c>
      <c r="I28" t="s">
        <v>104</v>
      </c>
    </row>
    <row r="29" spans="1:9">
      <c r="A29" s="2">
        <v>46031</v>
      </c>
      <c r="B29" t="s">
        <v>92</v>
      </c>
      <c r="C29" t="s">
        <v>18</v>
      </c>
      <c r="F29" s="1">
        <f t="shared" si="1"/>
        <v>1123055</v>
      </c>
      <c r="H29" s="1">
        <v>-456973</v>
      </c>
    </row>
    <row r="30" spans="1:9">
      <c r="A30" s="2">
        <v>46034</v>
      </c>
      <c r="B30" t="s">
        <v>93</v>
      </c>
      <c r="C30" t="s">
        <v>18</v>
      </c>
      <c r="F30" s="1">
        <f t="shared" si="1"/>
        <v>666082</v>
      </c>
      <c r="H30" s="1">
        <v>-456973</v>
      </c>
    </row>
    <row r="31" spans="1:9">
      <c r="A31" s="2">
        <v>46034</v>
      </c>
      <c r="B31" t="s">
        <v>43</v>
      </c>
      <c r="C31" t="s">
        <v>18</v>
      </c>
      <c r="F31" s="1">
        <f t="shared" si="1"/>
        <v>209109</v>
      </c>
      <c r="G31" s="1">
        <v>456973</v>
      </c>
    </row>
    <row r="32" spans="1:9">
      <c r="A32" s="2">
        <v>46036</v>
      </c>
      <c r="B32" t="s">
        <v>42</v>
      </c>
      <c r="C32" t="s">
        <v>16</v>
      </c>
      <c r="F32" s="1">
        <f t="shared" si="1"/>
        <v>666082</v>
      </c>
      <c r="G32" s="1">
        <v>1000000</v>
      </c>
    </row>
    <row r="33" spans="1:9">
      <c r="A33" s="2">
        <v>46037</v>
      </c>
      <c r="B33" t="s">
        <v>47</v>
      </c>
      <c r="C33" t="s">
        <v>9</v>
      </c>
      <c r="F33" s="1">
        <f t="shared" si="1"/>
        <v>1666082</v>
      </c>
      <c r="H33" s="1">
        <v>-968002</v>
      </c>
      <c r="I33" t="s">
        <v>118</v>
      </c>
    </row>
    <row r="34" spans="1:9">
      <c r="A34" s="2">
        <v>46037</v>
      </c>
      <c r="B34" t="s">
        <v>94</v>
      </c>
      <c r="C34" t="s">
        <v>9</v>
      </c>
      <c r="F34" s="1">
        <f t="shared" si="1"/>
        <v>698080</v>
      </c>
      <c r="H34" s="1">
        <v>-75000</v>
      </c>
      <c r="I34" t="s">
        <v>105</v>
      </c>
    </row>
    <row r="35" spans="1:9">
      <c r="A35" s="2">
        <v>46037</v>
      </c>
      <c r="B35" t="s">
        <v>95</v>
      </c>
      <c r="C35" t="s">
        <v>12</v>
      </c>
      <c r="F35" s="1">
        <f t="shared" si="1"/>
        <v>623080</v>
      </c>
      <c r="G35" s="1">
        <v>23800000</v>
      </c>
      <c r="I35" t="s">
        <v>106</v>
      </c>
    </row>
    <row r="36" spans="1:9">
      <c r="A36" s="2">
        <v>46038</v>
      </c>
      <c r="B36" t="s">
        <v>39</v>
      </c>
      <c r="C36" t="s">
        <v>9</v>
      </c>
      <c r="F36" s="1">
        <f t="shared" si="1"/>
        <v>24423080</v>
      </c>
      <c r="H36" s="1">
        <v>-254250</v>
      </c>
      <c r="I36" t="s">
        <v>107</v>
      </c>
    </row>
    <row r="37" spans="1:9">
      <c r="A37" s="2">
        <v>46038</v>
      </c>
      <c r="B37" t="s">
        <v>96</v>
      </c>
      <c r="C37" t="s">
        <v>20</v>
      </c>
      <c r="E37" t="s">
        <v>69</v>
      </c>
      <c r="F37" s="1">
        <f t="shared" si="1"/>
        <v>24168830</v>
      </c>
      <c r="H37" s="1">
        <v>-1310775</v>
      </c>
      <c r="I37" t="s">
        <v>108</v>
      </c>
    </row>
    <row r="38" spans="1:9">
      <c r="A38" s="2">
        <v>46038</v>
      </c>
      <c r="B38" t="s">
        <v>97</v>
      </c>
      <c r="C38" t="s">
        <v>20</v>
      </c>
      <c r="E38" t="s">
        <v>71</v>
      </c>
      <c r="F38" s="1">
        <f t="shared" si="1"/>
        <v>22858055</v>
      </c>
      <c r="H38" s="1">
        <v>-10689225</v>
      </c>
      <c r="I38" t="s">
        <v>108</v>
      </c>
    </row>
    <row r="39" spans="1:9">
      <c r="A39" s="2">
        <v>46041</v>
      </c>
      <c r="B39" t="s">
        <v>98</v>
      </c>
      <c r="C39" t="s">
        <v>20</v>
      </c>
      <c r="E39" t="s">
        <v>23</v>
      </c>
      <c r="F39" s="1">
        <f t="shared" si="1"/>
        <v>12168830</v>
      </c>
      <c r="H39" s="1">
        <v>-5000000</v>
      </c>
      <c r="I39" t="s">
        <v>108</v>
      </c>
    </row>
    <row r="40" spans="1:9">
      <c r="A40" s="2">
        <v>46041</v>
      </c>
      <c r="B40" t="s">
        <v>98</v>
      </c>
      <c r="C40" t="s">
        <v>20</v>
      </c>
      <c r="E40" t="s">
        <v>23</v>
      </c>
      <c r="F40" s="1">
        <f t="shared" si="1"/>
        <v>7168830</v>
      </c>
      <c r="H40" s="1">
        <v>-2000000</v>
      </c>
      <c r="I40" t="s">
        <v>108</v>
      </c>
    </row>
    <row r="41" spans="1:9">
      <c r="A41" s="2">
        <v>46041</v>
      </c>
      <c r="B41" t="s">
        <v>98</v>
      </c>
      <c r="C41" t="s">
        <v>20</v>
      </c>
      <c r="E41" t="s">
        <v>23</v>
      </c>
      <c r="F41" s="1">
        <f t="shared" si="1"/>
        <v>5168830</v>
      </c>
      <c r="H41" s="1">
        <v>-5000000</v>
      </c>
      <c r="I41" t="s">
        <v>108</v>
      </c>
    </row>
    <row r="42" spans="1:9">
      <c r="A42" s="2">
        <v>46044</v>
      </c>
      <c r="B42" t="s">
        <v>99</v>
      </c>
      <c r="C42" t="s">
        <v>12</v>
      </c>
      <c r="F42" s="1">
        <f t="shared" si="1"/>
        <v>168830</v>
      </c>
      <c r="G42" s="1">
        <v>200000</v>
      </c>
      <c r="I42" t="s">
        <v>109</v>
      </c>
    </row>
    <row r="43" spans="1:9">
      <c r="A43" s="2">
        <v>46044</v>
      </c>
      <c r="B43" t="s">
        <v>100</v>
      </c>
      <c r="C43" t="s">
        <v>12</v>
      </c>
      <c r="F43" s="1">
        <f t="shared" si="1"/>
        <v>368830</v>
      </c>
      <c r="G43" s="1">
        <v>200000</v>
      </c>
      <c r="I43" t="s">
        <v>110</v>
      </c>
    </row>
    <row r="44" spans="1:9">
      <c r="A44" s="2">
        <v>46044</v>
      </c>
      <c r="B44" t="s">
        <v>101</v>
      </c>
      <c r="C44" t="s">
        <v>12</v>
      </c>
      <c r="F44" s="1">
        <f t="shared" si="1"/>
        <v>568830</v>
      </c>
      <c r="G44" s="1">
        <v>200000</v>
      </c>
      <c r="I44" t="s">
        <v>111</v>
      </c>
    </row>
    <row r="45" spans="1:9">
      <c r="A45" s="2">
        <v>46045</v>
      </c>
      <c r="B45" t="s">
        <v>75</v>
      </c>
      <c r="C45" t="s">
        <v>9</v>
      </c>
      <c r="E45" t="s">
        <v>61</v>
      </c>
      <c r="F45" s="1">
        <f t="shared" si="1"/>
        <v>768830</v>
      </c>
      <c r="H45" s="1">
        <v>-160000</v>
      </c>
      <c r="I45" t="s">
        <v>112</v>
      </c>
    </row>
    <row r="46" spans="1:9">
      <c r="A46" s="2">
        <v>46050</v>
      </c>
      <c r="B46" t="s">
        <v>42</v>
      </c>
      <c r="C46" t="s">
        <v>16</v>
      </c>
      <c r="F46" s="1">
        <f t="shared" si="1"/>
        <v>608830</v>
      </c>
      <c r="G46" s="1">
        <v>600001</v>
      </c>
    </row>
    <row r="47" spans="1:9">
      <c r="A47" s="2">
        <v>46050</v>
      </c>
      <c r="B47" t="s">
        <v>102</v>
      </c>
      <c r="C47" t="s">
        <v>9</v>
      </c>
      <c r="F47" s="1">
        <f t="shared" si="1"/>
        <v>1208831</v>
      </c>
      <c r="H47" s="1">
        <v>-713574</v>
      </c>
      <c r="I47" t="s">
        <v>113</v>
      </c>
    </row>
    <row r="48" spans="1:9">
      <c r="A48" s="2">
        <v>46052</v>
      </c>
      <c r="B48" t="s">
        <v>40</v>
      </c>
      <c r="C48" t="s">
        <v>12</v>
      </c>
      <c r="D48" t="s">
        <v>49</v>
      </c>
      <c r="F48" s="1">
        <f t="shared" si="1"/>
        <v>495257</v>
      </c>
      <c r="G48" s="1">
        <v>1160296</v>
      </c>
      <c r="I48" t="s">
        <v>117</v>
      </c>
    </row>
    <row r="49" spans="1:9">
      <c r="A49" s="2">
        <v>46052</v>
      </c>
      <c r="B49" t="s">
        <v>38</v>
      </c>
      <c r="C49" t="s">
        <v>12</v>
      </c>
      <c r="D49" t="s">
        <v>51</v>
      </c>
      <c r="F49" s="1">
        <f t="shared" si="1"/>
        <v>1655553</v>
      </c>
      <c r="G49" s="1">
        <v>383986</v>
      </c>
      <c r="I49" t="s">
        <v>116</v>
      </c>
    </row>
    <row r="50" spans="1:9">
      <c r="A50" s="2">
        <v>46055</v>
      </c>
      <c r="B50" t="s">
        <v>45</v>
      </c>
      <c r="C50" t="s">
        <v>12</v>
      </c>
      <c r="D50" t="s">
        <v>52</v>
      </c>
      <c r="F50" s="1">
        <f t="shared" si="1"/>
        <v>2039539</v>
      </c>
      <c r="G50" s="1">
        <v>619811</v>
      </c>
      <c r="I50" t="s">
        <v>115</v>
      </c>
    </row>
    <row r="51" spans="1:9">
      <c r="A51" s="2">
        <v>46056</v>
      </c>
      <c r="B51" t="s">
        <v>103</v>
      </c>
      <c r="C51" t="s">
        <v>12</v>
      </c>
      <c r="D51" t="s">
        <v>76</v>
      </c>
      <c r="F51" s="1">
        <f t="shared" si="1"/>
        <v>2659350</v>
      </c>
      <c r="G51" s="1">
        <v>500596</v>
      </c>
      <c r="I51" t="s">
        <v>114</v>
      </c>
    </row>
    <row r="52" spans="1:9">
      <c r="A52" s="2">
        <v>46056</v>
      </c>
      <c r="B52" t="s">
        <v>42</v>
      </c>
      <c r="C52" t="s">
        <v>16</v>
      </c>
      <c r="F52" s="1">
        <f t="shared" si="1"/>
        <v>3159946</v>
      </c>
      <c r="G52" s="1">
        <v>2000000</v>
      </c>
    </row>
    <row r="53" spans="1:9">
      <c r="A53" s="2">
        <v>46056</v>
      </c>
      <c r="B53" t="s">
        <v>35</v>
      </c>
      <c r="C53" t="s">
        <v>9</v>
      </c>
      <c r="F53" s="1">
        <f t="shared" si="1"/>
        <v>5159946</v>
      </c>
      <c r="H53" s="1">
        <v>-4000000</v>
      </c>
      <c r="I53" t="s">
        <v>83</v>
      </c>
    </row>
    <row r="54" spans="1:9">
      <c r="A54" s="2">
        <v>46056</v>
      </c>
      <c r="B54" t="s">
        <v>46</v>
      </c>
      <c r="C54" t="s">
        <v>18</v>
      </c>
      <c r="F54" s="1">
        <f t="shared" si="1"/>
        <v>1159946</v>
      </c>
      <c r="H54" s="1">
        <v>-302</v>
      </c>
    </row>
    <row r="55" spans="1:9">
      <c r="A55" s="2">
        <v>46056</v>
      </c>
      <c r="B55" t="s">
        <v>48</v>
      </c>
      <c r="C55" t="s">
        <v>18</v>
      </c>
      <c r="F55" s="1">
        <f t="shared" si="1"/>
        <v>1159644</v>
      </c>
      <c r="H55" s="1">
        <v>-424</v>
      </c>
    </row>
    <row r="56" spans="1:9">
      <c r="A56" s="2">
        <v>46058</v>
      </c>
      <c r="B56" t="s">
        <v>42</v>
      </c>
      <c r="C56" t="s">
        <v>16</v>
      </c>
      <c r="F56" s="1">
        <f t="shared" si="1"/>
        <v>1159220</v>
      </c>
      <c r="G56" s="1">
        <v>18000000</v>
      </c>
    </row>
    <row r="57" spans="1:9">
      <c r="A57" s="2">
        <v>46058</v>
      </c>
      <c r="B57" t="s">
        <v>119</v>
      </c>
      <c r="C57" t="s">
        <v>9</v>
      </c>
      <c r="F57" s="1">
        <f t="shared" si="1"/>
        <v>19159220</v>
      </c>
      <c r="H57" s="1">
        <v>-17850000</v>
      </c>
      <c r="I57" t="s">
        <v>129</v>
      </c>
    </row>
    <row r="58" spans="1:9">
      <c r="A58" s="2">
        <v>46058</v>
      </c>
      <c r="B58" t="s">
        <v>35</v>
      </c>
      <c r="C58" t="s">
        <v>9</v>
      </c>
      <c r="F58" s="1">
        <f t="shared" si="1"/>
        <v>1309220</v>
      </c>
      <c r="H58" s="1">
        <v>-100000</v>
      </c>
      <c r="I58" t="s">
        <v>84</v>
      </c>
    </row>
    <row r="59" spans="1:9">
      <c r="A59" s="2">
        <v>46058</v>
      </c>
      <c r="B59" t="s">
        <v>120</v>
      </c>
      <c r="C59" t="s">
        <v>9</v>
      </c>
      <c r="F59" s="1">
        <f t="shared" si="1"/>
        <v>1209220</v>
      </c>
      <c r="H59" s="1">
        <v>-200002</v>
      </c>
      <c r="I59" t="s">
        <v>79</v>
      </c>
    </row>
    <row r="60" spans="1:9">
      <c r="A60" s="2">
        <v>46058</v>
      </c>
      <c r="B60" t="s">
        <v>47</v>
      </c>
      <c r="C60" t="s">
        <v>9</v>
      </c>
      <c r="F60" s="1">
        <f t="shared" si="1"/>
        <v>1009218</v>
      </c>
      <c r="H60" s="1">
        <v>-171329</v>
      </c>
      <c r="I60" t="s">
        <v>130</v>
      </c>
    </row>
    <row r="61" spans="1:9">
      <c r="A61" s="2">
        <v>46059</v>
      </c>
      <c r="B61" t="s">
        <v>91</v>
      </c>
      <c r="C61" t="s">
        <v>9</v>
      </c>
      <c r="F61" s="1">
        <f t="shared" si="1"/>
        <v>837889</v>
      </c>
      <c r="H61" s="1">
        <v>-296510</v>
      </c>
      <c r="I61" t="s">
        <v>104</v>
      </c>
    </row>
    <row r="62" spans="1:9">
      <c r="A62" s="2">
        <v>46062</v>
      </c>
      <c r="B62" t="s">
        <v>37</v>
      </c>
      <c r="C62" t="s">
        <v>9</v>
      </c>
      <c r="F62" s="1">
        <f t="shared" si="1"/>
        <v>541379</v>
      </c>
      <c r="H62" s="1">
        <v>-1481705</v>
      </c>
      <c r="I62" t="s">
        <v>79</v>
      </c>
    </row>
    <row r="63" spans="1:9">
      <c r="A63" s="2">
        <v>46062</v>
      </c>
      <c r="B63" t="s">
        <v>43</v>
      </c>
      <c r="C63" t="s">
        <v>18</v>
      </c>
      <c r="F63" s="1">
        <f t="shared" si="1"/>
        <v>-940326</v>
      </c>
      <c r="G63" s="1">
        <v>940326</v>
      </c>
    </row>
    <row r="64" spans="1:9">
      <c r="A64" s="2">
        <v>46063</v>
      </c>
      <c r="B64" t="s">
        <v>121</v>
      </c>
      <c r="C64" t="s">
        <v>12</v>
      </c>
      <c r="F64" s="1">
        <f t="shared" si="1"/>
        <v>0</v>
      </c>
      <c r="G64" s="1">
        <v>5000000</v>
      </c>
      <c r="I64" t="s">
        <v>131</v>
      </c>
    </row>
    <row r="65" spans="1:9">
      <c r="A65" s="2">
        <v>46063</v>
      </c>
      <c r="B65" t="s">
        <v>122</v>
      </c>
      <c r="C65" t="s">
        <v>12</v>
      </c>
      <c r="D65" t="s">
        <v>80</v>
      </c>
      <c r="F65" s="1">
        <f t="shared" si="1"/>
        <v>5000000</v>
      </c>
      <c r="G65" s="1">
        <v>3486384</v>
      </c>
      <c r="I65" t="s">
        <v>179</v>
      </c>
    </row>
    <row r="66" spans="1:9">
      <c r="A66" s="2">
        <v>46063</v>
      </c>
      <c r="B66" t="s">
        <v>121</v>
      </c>
      <c r="C66" t="s">
        <v>12</v>
      </c>
      <c r="F66" s="1">
        <f t="shared" si="1"/>
        <v>8486384</v>
      </c>
      <c r="G66" s="1">
        <v>5000000</v>
      </c>
      <c r="I66" t="s">
        <v>131</v>
      </c>
    </row>
    <row r="67" spans="1:9">
      <c r="A67" s="2">
        <v>46063</v>
      </c>
      <c r="B67" t="s">
        <v>39</v>
      </c>
      <c r="C67" t="s">
        <v>9</v>
      </c>
      <c r="F67" s="1">
        <f t="shared" si="1"/>
        <v>13486384</v>
      </c>
      <c r="H67" s="1">
        <v>-631433</v>
      </c>
      <c r="I67" t="s">
        <v>132</v>
      </c>
    </row>
    <row r="68" spans="1:9">
      <c r="A68" s="2">
        <v>46063</v>
      </c>
      <c r="B68" t="s">
        <v>62</v>
      </c>
      <c r="C68" t="s">
        <v>16</v>
      </c>
      <c r="F68" s="1">
        <f t="shared" si="1"/>
        <v>12854951</v>
      </c>
      <c r="H68" s="1">
        <v>-12000000</v>
      </c>
    </row>
    <row r="69" spans="1:9">
      <c r="A69" s="2">
        <v>46063</v>
      </c>
      <c r="B69" t="s">
        <v>39</v>
      </c>
      <c r="C69" t="s">
        <v>9</v>
      </c>
      <c r="E69" t="s">
        <v>61</v>
      </c>
      <c r="F69" s="1">
        <f t="shared" si="1"/>
        <v>854951</v>
      </c>
      <c r="H69" s="1">
        <v>-25000</v>
      </c>
      <c r="I69" t="s">
        <v>136</v>
      </c>
    </row>
    <row r="70" spans="1:9">
      <c r="A70" s="2">
        <v>46063</v>
      </c>
      <c r="B70" t="s">
        <v>92</v>
      </c>
      <c r="C70" t="s">
        <v>18</v>
      </c>
      <c r="F70" s="1">
        <f t="shared" si="1"/>
        <v>829951</v>
      </c>
      <c r="H70" s="1">
        <v>-829951</v>
      </c>
    </row>
    <row r="71" spans="1:9">
      <c r="A71" s="2">
        <v>46064</v>
      </c>
      <c r="B71" t="s">
        <v>121</v>
      </c>
      <c r="C71" t="s">
        <v>12</v>
      </c>
      <c r="F71" s="1">
        <f t="shared" si="1"/>
        <v>0</v>
      </c>
      <c r="G71" s="1">
        <v>5000000</v>
      </c>
      <c r="I71" t="s">
        <v>131</v>
      </c>
    </row>
    <row r="72" spans="1:9">
      <c r="A72" s="2">
        <v>46064</v>
      </c>
      <c r="B72" t="s">
        <v>92</v>
      </c>
      <c r="C72" t="s">
        <v>18</v>
      </c>
      <c r="F72" s="1">
        <f t="shared" si="1"/>
        <v>5000000</v>
      </c>
      <c r="H72" s="1">
        <v>-110375</v>
      </c>
    </row>
    <row r="73" spans="1:9">
      <c r="A73" s="2">
        <v>46065</v>
      </c>
      <c r="B73" t="s">
        <v>93</v>
      </c>
      <c r="C73" t="s">
        <v>18</v>
      </c>
      <c r="F73" s="1">
        <f t="shared" si="1"/>
        <v>4889625</v>
      </c>
      <c r="H73" s="1">
        <v>-110375</v>
      </c>
    </row>
    <row r="74" spans="1:9">
      <c r="A74" s="2">
        <v>46065</v>
      </c>
      <c r="B74" t="s">
        <v>43</v>
      </c>
      <c r="C74" t="s">
        <v>18</v>
      </c>
      <c r="F74" s="1">
        <f t="shared" si="1"/>
        <v>4779250</v>
      </c>
      <c r="G74" s="1">
        <v>110375</v>
      </c>
    </row>
    <row r="75" spans="1:9">
      <c r="A75" s="2">
        <v>46065</v>
      </c>
      <c r="B75" t="s">
        <v>121</v>
      </c>
      <c r="C75" t="s">
        <v>12</v>
      </c>
      <c r="F75" s="1">
        <f t="shared" si="1"/>
        <v>4889625</v>
      </c>
      <c r="G75" s="1">
        <v>5000000</v>
      </c>
      <c r="I75" t="s">
        <v>131</v>
      </c>
    </row>
    <row r="76" spans="1:9">
      <c r="A76" s="2">
        <v>46066</v>
      </c>
      <c r="B76" t="s">
        <v>75</v>
      </c>
      <c r="C76" t="s">
        <v>9</v>
      </c>
      <c r="E76" t="s">
        <v>61</v>
      </c>
      <c r="F76" s="1">
        <f t="shared" si="1"/>
        <v>9889625</v>
      </c>
      <c r="H76" s="1">
        <v>-80000</v>
      </c>
    </row>
    <row r="77" spans="1:9">
      <c r="A77" s="2">
        <v>46066</v>
      </c>
      <c r="B77" t="s">
        <v>62</v>
      </c>
      <c r="C77" t="s">
        <v>16</v>
      </c>
      <c r="F77" s="1">
        <f t="shared" si="1"/>
        <v>9809625</v>
      </c>
      <c r="H77" s="1">
        <v>-9000000</v>
      </c>
    </row>
    <row r="78" spans="1:9">
      <c r="A78" s="2">
        <v>46066</v>
      </c>
      <c r="B78" t="s">
        <v>121</v>
      </c>
      <c r="C78" t="s">
        <v>12</v>
      </c>
      <c r="F78" s="1">
        <f t="shared" si="1"/>
        <v>809625</v>
      </c>
      <c r="G78" s="1">
        <v>3300000</v>
      </c>
      <c r="I78" t="s">
        <v>131</v>
      </c>
    </row>
    <row r="79" spans="1:9">
      <c r="A79" s="2">
        <v>46069</v>
      </c>
      <c r="B79" t="s">
        <v>62</v>
      </c>
      <c r="C79" t="s">
        <v>16</v>
      </c>
      <c r="F79" s="1">
        <f t="shared" si="1"/>
        <v>4109625</v>
      </c>
      <c r="H79" s="1">
        <v>-3000000</v>
      </c>
    </row>
    <row r="80" spans="1:9">
      <c r="A80" s="2">
        <v>46069</v>
      </c>
      <c r="B80" t="s">
        <v>75</v>
      </c>
      <c r="C80" t="s">
        <v>9</v>
      </c>
      <c r="E80" t="s">
        <v>61</v>
      </c>
      <c r="F80" s="1">
        <f t="shared" si="1"/>
        <v>1109625</v>
      </c>
      <c r="H80" s="1">
        <v>-80000</v>
      </c>
    </row>
    <row r="81" spans="1:9">
      <c r="A81" s="2">
        <v>46072</v>
      </c>
      <c r="B81" t="s">
        <v>75</v>
      </c>
      <c r="C81" t="s">
        <v>9</v>
      </c>
      <c r="E81" t="s">
        <v>61</v>
      </c>
      <c r="F81" s="1">
        <f t="shared" si="1"/>
        <v>1029625</v>
      </c>
      <c r="H81" s="1">
        <v>-80000</v>
      </c>
    </row>
    <row r="82" spans="1:9">
      <c r="A82" s="2">
        <v>46073</v>
      </c>
      <c r="B82" t="s">
        <v>39</v>
      </c>
      <c r="C82" t="s">
        <v>9</v>
      </c>
      <c r="F82" s="1">
        <f t="shared" si="1"/>
        <v>949625</v>
      </c>
      <c r="H82" s="1">
        <v>-4012</v>
      </c>
    </row>
    <row r="83" spans="1:9">
      <c r="A83" s="2">
        <v>46076</v>
      </c>
      <c r="B83" t="s">
        <v>123</v>
      </c>
      <c r="C83" t="s">
        <v>18</v>
      </c>
      <c r="F83" s="1">
        <f t="shared" si="1"/>
        <v>945613</v>
      </c>
      <c r="H83" s="1">
        <v>-107213</v>
      </c>
    </row>
    <row r="84" spans="1:9">
      <c r="A84" s="2">
        <v>46076</v>
      </c>
      <c r="B84" t="s">
        <v>39</v>
      </c>
      <c r="C84" t="s">
        <v>9</v>
      </c>
      <c r="F84" s="1">
        <f t="shared" si="1"/>
        <v>838400</v>
      </c>
      <c r="H84" s="1">
        <v>-254250</v>
      </c>
      <c r="I84" t="s">
        <v>128</v>
      </c>
    </row>
    <row r="85" spans="1:9">
      <c r="A85" s="2">
        <v>46077</v>
      </c>
      <c r="B85" t="s">
        <v>124</v>
      </c>
      <c r="C85" t="s">
        <v>12</v>
      </c>
      <c r="F85" s="1">
        <f t="shared" si="1"/>
        <v>584150</v>
      </c>
      <c r="G85" s="1">
        <v>200000</v>
      </c>
      <c r="I85" t="s">
        <v>133</v>
      </c>
    </row>
    <row r="86" spans="1:9">
      <c r="A86" s="2">
        <v>46079</v>
      </c>
      <c r="B86" t="s">
        <v>39</v>
      </c>
      <c r="C86" t="s">
        <v>9</v>
      </c>
      <c r="F86" s="1">
        <f t="shared" si="1"/>
        <v>784150</v>
      </c>
      <c r="H86" s="1">
        <v>-662435</v>
      </c>
      <c r="I86" t="s">
        <v>132</v>
      </c>
    </row>
    <row r="87" spans="1:9">
      <c r="A87" s="2">
        <v>46080</v>
      </c>
      <c r="B87" t="s">
        <v>125</v>
      </c>
      <c r="C87" t="s">
        <v>12</v>
      </c>
      <c r="F87" s="1">
        <f t="shared" si="1"/>
        <v>121715</v>
      </c>
      <c r="G87" s="1">
        <v>23800000</v>
      </c>
      <c r="I87" t="s">
        <v>134</v>
      </c>
    </row>
    <row r="88" spans="1:9">
      <c r="A88" s="2">
        <v>46083</v>
      </c>
      <c r="B88" t="s">
        <v>126</v>
      </c>
      <c r="C88" t="s">
        <v>12</v>
      </c>
      <c r="F88" s="1">
        <f t="shared" si="1"/>
        <v>23921715</v>
      </c>
      <c r="G88" s="1">
        <v>200000</v>
      </c>
      <c r="I88" t="s">
        <v>135</v>
      </c>
    </row>
    <row r="89" spans="1:9">
      <c r="A89" s="2">
        <v>46083</v>
      </c>
      <c r="B89" t="s">
        <v>40</v>
      </c>
      <c r="C89" t="s">
        <v>12</v>
      </c>
      <c r="D89" t="s">
        <v>49</v>
      </c>
      <c r="F89" s="1">
        <f t="shared" si="1"/>
        <v>24121715</v>
      </c>
      <c r="G89" s="1">
        <v>1162518</v>
      </c>
      <c r="I89" t="s">
        <v>177</v>
      </c>
    </row>
    <row r="90" spans="1:9">
      <c r="A90" s="2">
        <v>46083</v>
      </c>
      <c r="B90" t="s">
        <v>35</v>
      </c>
      <c r="C90" t="s">
        <v>9</v>
      </c>
      <c r="F90" s="1">
        <f t="shared" ref="F90:F153" si="2">+F89+G89+H89</f>
        <v>25284233</v>
      </c>
      <c r="H90" s="1">
        <v>-4000000</v>
      </c>
      <c r="I90" t="s">
        <v>83</v>
      </c>
    </row>
    <row r="91" spans="1:9">
      <c r="A91" s="2">
        <v>46083</v>
      </c>
      <c r="B91" t="s">
        <v>39</v>
      </c>
      <c r="C91" t="s">
        <v>9</v>
      </c>
      <c r="F91" s="1">
        <f t="shared" si="2"/>
        <v>21284233</v>
      </c>
      <c r="H91" s="1">
        <v>-31715</v>
      </c>
    </row>
    <row r="92" spans="1:9">
      <c r="A92" s="2">
        <v>46083</v>
      </c>
      <c r="B92" t="s">
        <v>39</v>
      </c>
      <c r="C92" t="s">
        <v>9</v>
      </c>
      <c r="F92" s="1">
        <f t="shared" si="2"/>
        <v>21252518</v>
      </c>
      <c r="H92" s="1">
        <v>-22000</v>
      </c>
    </row>
    <row r="93" spans="1:9">
      <c r="A93" s="2">
        <v>46083</v>
      </c>
      <c r="B93" t="s">
        <v>39</v>
      </c>
      <c r="C93" t="s">
        <v>9</v>
      </c>
      <c r="F93" s="1">
        <f t="shared" si="2"/>
        <v>21230518</v>
      </c>
      <c r="H93" s="1">
        <v>-254250</v>
      </c>
      <c r="I93" t="s">
        <v>127</v>
      </c>
    </row>
    <row r="94" spans="1:9">
      <c r="A94" s="2">
        <v>46083</v>
      </c>
      <c r="B94" t="s">
        <v>38</v>
      </c>
      <c r="C94" t="s">
        <v>12</v>
      </c>
      <c r="D94" t="s">
        <v>51</v>
      </c>
      <c r="F94" s="1">
        <f t="shared" si="2"/>
        <v>20976268</v>
      </c>
      <c r="G94" s="1">
        <v>384885</v>
      </c>
      <c r="I94" t="s">
        <v>180</v>
      </c>
    </row>
    <row r="95" spans="1:9">
      <c r="A95" s="2">
        <v>46084</v>
      </c>
      <c r="B95" t="s">
        <v>36</v>
      </c>
      <c r="C95" t="s">
        <v>10</v>
      </c>
      <c r="F95" s="1">
        <f t="shared" si="2"/>
        <v>21361153</v>
      </c>
      <c r="H95" s="1">
        <v>-60000</v>
      </c>
      <c r="I95" t="s">
        <v>166</v>
      </c>
    </row>
    <row r="96" spans="1:9">
      <c r="A96" s="2">
        <v>46084</v>
      </c>
      <c r="B96" t="s">
        <v>98</v>
      </c>
      <c r="C96" t="s">
        <v>20</v>
      </c>
      <c r="E96" t="s">
        <v>23</v>
      </c>
      <c r="F96" s="1">
        <f t="shared" si="2"/>
        <v>21301153</v>
      </c>
      <c r="H96" s="1">
        <v>-2500000</v>
      </c>
      <c r="I96" t="s">
        <v>108</v>
      </c>
    </row>
    <row r="97" spans="1:9">
      <c r="A97" s="2">
        <v>46084</v>
      </c>
      <c r="B97" t="s">
        <v>98</v>
      </c>
      <c r="C97" t="s">
        <v>20</v>
      </c>
      <c r="E97" t="s">
        <v>23</v>
      </c>
      <c r="F97" s="1">
        <f t="shared" si="2"/>
        <v>18801153</v>
      </c>
      <c r="H97" s="1">
        <v>-5000000</v>
      </c>
      <c r="I97" t="s">
        <v>108</v>
      </c>
    </row>
    <row r="98" spans="1:9">
      <c r="A98" s="2">
        <v>46084</v>
      </c>
      <c r="B98" t="s">
        <v>97</v>
      </c>
      <c r="C98" t="s">
        <v>20</v>
      </c>
      <c r="E98" t="s">
        <v>71</v>
      </c>
      <c r="F98" s="1">
        <f t="shared" si="2"/>
        <v>13801153</v>
      </c>
      <c r="H98" s="1">
        <v>-7500000</v>
      </c>
      <c r="I98" t="s">
        <v>108</v>
      </c>
    </row>
    <row r="99" spans="1:9">
      <c r="A99" s="2">
        <v>46084</v>
      </c>
      <c r="B99" t="s">
        <v>39</v>
      </c>
      <c r="C99" t="s">
        <v>9</v>
      </c>
      <c r="F99" s="1">
        <f t="shared" si="2"/>
        <v>6301153</v>
      </c>
      <c r="H99" s="1">
        <v>-4800</v>
      </c>
    </row>
    <row r="100" spans="1:9">
      <c r="A100" s="2">
        <v>46084</v>
      </c>
      <c r="B100" t="s">
        <v>62</v>
      </c>
      <c r="C100" t="s">
        <v>16</v>
      </c>
      <c r="F100" s="1">
        <f t="shared" si="2"/>
        <v>6296353</v>
      </c>
      <c r="H100" s="1">
        <v>-5000000</v>
      </c>
    </row>
    <row r="101" spans="1:9">
      <c r="A101" s="2">
        <v>46084</v>
      </c>
      <c r="B101" t="s">
        <v>46</v>
      </c>
      <c r="C101" t="s">
        <v>18</v>
      </c>
      <c r="F101" s="1">
        <f t="shared" si="2"/>
        <v>1296353</v>
      </c>
      <c r="H101" s="1">
        <v>-347</v>
      </c>
    </row>
    <row r="102" spans="1:9">
      <c r="A102" s="2">
        <v>46084</v>
      </c>
      <c r="B102" t="s">
        <v>48</v>
      </c>
      <c r="C102" t="s">
        <v>18</v>
      </c>
      <c r="F102" s="1">
        <f t="shared" si="2"/>
        <v>1296006</v>
      </c>
      <c r="H102" s="1">
        <v>-487</v>
      </c>
    </row>
    <row r="103" spans="1:9">
      <c r="A103" s="2">
        <v>46085</v>
      </c>
      <c r="B103" t="s">
        <v>146</v>
      </c>
      <c r="C103" t="s">
        <v>12</v>
      </c>
      <c r="F103" s="1">
        <f t="shared" si="2"/>
        <v>1295519</v>
      </c>
      <c r="G103" s="1">
        <v>200000</v>
      </c>
      <c r="I103" t="s">
        <v>167</v>
      </c>
    </row>
    <row r="104" spans="1:9">
      <c r="A104" s="2">
        <v>46085</v>
      </c>
      <c r="B104" t="s">
        <v>39</v>
      </c>
      <c r="C104" t="s">
        <v>9</v>
      </c>
      <c r="F104" s="1">
        <f t="shared" si="2"/>
        <v>1495519</v>
      </c>
      <c r="H104" s="1">
        <v>-9674</v>
      </c>
    </row>
    <row r="105" spans="1:9">
      <c r="A105" s="2">
        <v>46085</v>
      </c>
      <c r="B105" t="s">
        <v>39</v>
      </c>
      <c r="C105" t="s">
        <v>9</v>
      </c>
      <c r="F105" s="1">
        <f t="shared" si="2"/>
        <v>1485845</v>
      </c>
      <c r="H105" s="1">
        <v>-31715</v>
      </c>
    </row>
    <row r="106" spans="1:9">
      <c r="A106" s="2">
        <v>46086</v>
      </c>
      <c r="B106" t="s">
        <v>47</v>
      </c>
      <c r="C106" t="s">
        <v>9</v>
      </c>
      <c r="F106" s="1">
        <f t="shared" si="2"/>
        <v>1454130</v>
      </c>
      <c r="H106" s="1">
        <v>-245839</v>
      </c>
      <c r="I106" t="s">
        <v>168</v>
      </c>
    </row>
    <row r="107" spans="1:9">
      <c r="A107" s="2">
        <v>46087</v>
      </c>
      <c r="B107" t="s">
        <v>35</v>
      </c>
      <c r="C107" t="s">
        <v>9</v>
      </c>
      <c r="F107" s="1">
        <f t="shared" si="2"/>
        <v>1208291</v>
      </c>
      <c r="H107" s="1">
        <v>-100000</v>
      </c>
      <c r="I107" t="s">
        <v>84</v>
      </c>
    </row>
    <row r="108" spans="1:9">
      <c r="A108" s="2">
        <v>46087</v>
      </c>
      <c r="B108" t="s">
        <v>36</v>
      </c>
      <c r="C108" t="s">
        <v>10</v>
      </c>
      <c r="F108" s="1">
        <f t="shared" si="2"/>
        <v>1108291</v>
      </c>
      <c r="H108" s="1">
        <v>-60000</v>
      </c>
      <c r="I108" t="s">
        <v>166</v>
      </c>
    </row>
    <row r="109" spans="1:9">
      <c r="A109" s="2">
        <v>46090</v>
      </c>
      <c r="B109" t="s">
        <v>91</v>
      </c>
      <c r="C109" t="s">
        <v>9</v>
      </c>
      <c r="F109" s="1">
        <f t="shared" si="2"/>
        <v>1048291</v>
      </c>
      <c r="H109" s="1">
        <v>-189806</v>
      </c>
      <c r="I109" t="s">
        <v>104</v>
      </c>
    </row>
    <row r="110" spans="1:9">
      <c r="A110" s="2">
        <v>46090</v>
      </c>
      <c r="B110" t="s">
        <v>45</v>
      </c>
      <c r="C110" t="s">
        <v>12</v>
      </c>
      <c r="D110" t="s">
        <v>52</v>
      </c>
      <c r="F110" s="1">
        <f t="shared" si="2"/>
        <v>858485</v>
      </c>
      <c r="G110" s="1">
        <v>621653</v>
      </c>
      <c r="I110" t="s">
        <v>182</v>
      </c>
    </row>
    <row r="111" spans="1:9">
      <c r="A111" s="2">
        <v>46090</v>
      </c>
      <c r="B111" t="s">
        <v>37</v>
      </c>
      <c r="C111" t="s">
        <v>9</v>
      </c>
      <c r="F111" s="1">
        <f t="shared" si="2"/>
        <v>1480138</v>
      </c>
      <c r="H111" s="1">
        <v>-987121</v>
      </c>
      <c r="I111" t="s">
        <v>162</v>
      </c>
    </row>
    <row r="112" spans="1:9">
      <c r="A112" s="2">
        <v>46098</v>
      </c>
      <c r="B112" t="s">
        <v>147</v>
      </c>
      <c r="C112" t="s">
        <v>12</v>
      </c>
      <c r="D112" t="s">
        <v>164</v>
      </c>
      <c r="F112" s="1">
        <f t="shared" si="2"/>
        <v>493017</v>
      </c>
      <c r="G112" s="1">
        <v>200000</v>
      </c>
      <c r="I112" t="s">
        <v>170</v>
      </c>
    </row>
    <row r="113" spans="1:9">
      <c r="A113" s="2">
        <v>46100</v>
      </c>
      <c r="B113" t="s">
        <v>148</v>
      </c>
      <c r="C113" t="s">
        <v>12</v>
      </c>
      <c r="F113" s="1">
        <f t="shared" si="2"/>
        <v>693017</v>
      </c>
      <c r="H113" s="1">
        <v>-200000</v>
      </c>
      <c r="I113" t="s">
        <v>171</v>
      </c>
    </row>
    <row r="114" spans="1:9">
      <c r="A114" s="2">
        <v>46100</v>
      </c>
      <c r="B114" t="s">
        <v>149</v>
      </c>
      <c r="C114" t="s">
        <v>9</v>
      </c>
      <c r="F114" s="1">
        <f t="shared" si="2"/>
        <v>493017</v>
      </c>
      <c r="G114" s="1">
        <v>235988</v>
      </c>
      <c r="I114" t="s">
        <v>165</v>
      </c>
    </row>
    <row r="115" spans="1:9">
      <c r="A115" s="2">
        <v>46101</v>
      </c>
      <c r="B115" t="s">
        <v>150</v>
      </c>
      <c r="C115" t="s">
        <v>9</v>
      </c>
      <c r="F115" s="1">
        <f t="shared" si="2"/>
        <v>729005</v>
      </c>
      <c r="H115" s="1">
        <v>-50000</v>
      </c>
      <c r="I115" t="s">
        <v>172</v>
      </c>
    </row>
    <row r="116" spans="1:9">
      <c r="A116" s="2">
        <v>46101</v>
      </c>
      <c r="B116" t="s">
        <v>42</v>
      </c>
      <c r="C116" t="s">
        <v>16</v>
      </c>
      <c r="F116" s="1">
        <f t="shared" si="2"/>
        <v>679005</v>
      </c>
      <c r="G116" s="1">
        <v>24000000</v>
      </c>
    </row>
    <row r="117" spans="1:9">
      <c r="A117" s="2">
        <v>46101</v>
      </c>
      <c r="B117" t="s">
        <v>119</v>
      </c>
      <c r="C117" t="s">
        <v>9</v>
      </c>
      <c r="F117" s="1">
        <f t="shared" si="2"/>
        <v>24679005</v>
      </c>
      <c r="H117" s="1">
        <v>-23800000</v>
      </c>
      <c r="I117" t="s">
        <v>129</v>
      </c>
    </row>
    <row r="118" spans="1:9">
      <c r="A118" s="2">
        <v>46101</v>
      </c>
      <c r="B118" t="s">
        <v>151</v>
      </c>
      <c r="C118" t="s">
        <v>9</v>
      </c>
      <c r="F118" s="1">
        <f t="shared" si="2"/>
        <v>879005</v>
      </c>
      <c r="H118" s="1">
        <v>-235988</v>
      </c>
      <c r="I118" t="s">
        <v>165</v>
      </c>
    </row>
    <row r="119" spans="1:9">
      <c r="A119" s="2">
        <v>46104</v>
      </c>
      <c r="B119" t="s">
        <v>152</v>
      </c>
      <c r="C119" t="s">
        <v>12</v>
      </c>
      <c r="F119" s="1">
        <f t="shared" si="2"/>
        <v>643017</v>
      </c>
      <c r="G119" s="1">
        <v>200000</v>
      </c>
      <c r="I119" t="s">
        <v>60</v>
      </c>
    </row>
    <row r="120" spans="1:9">
      <c r="A120" s="2">
        <v>46105</v>
      </c>
      <c r="B120" t="s">
        <v>153</v>
      </c>
      <c r="C120" t="s">
        <v>12</v>
      </c>
      <c r="F120" s="1">
        <f t="shared" si="2"/>
        <v>843017</v>
      </c>
      <c r="H120" s="1">
        <v>-12000</v>
      </c>
      <c r="I120" t="s">
        <v>173</v>
      </c>
    </row>
    <row r="121" spans="1:9">
      <c r="A121" s="2">
        <v>46105</v>
      </c>
      <c r="B121" t="s">
        <v>154</v>
      </c>
      <c r="C121" t="s">
        <v>10</v>
      </c>
      <c r="F121" s="1">
        <f t="shared" si="2"/>
        <v>831017</v>
      </c>
      <c r="H121" s="1">
        <v>-27500</v>
      </c>
    </row>
    <row r="122" spans="1:9">
      <c r="A122" s="2">
        <v>46107</v>
      </c>
      <c r="B122" t="s">
        <v>147</v>
      </c>
      <c r="C122" t="s">
        <v>12</v>
      </c>
      <c r="D122" t="s">
        <v>164</v>
      </c>
      <c r="F122" s="1">
        <f t="shared" si="2"/>
        <v>803517</v>
      </c>
      <c r="G122" s="1">
        <v>2000000</v>
      </c>
      <c r="I122" t="s">
        <v>175</v>
      </c>
    </row>
    <row r="123" spans="1:9">
      <c r="A123" s="2">
        <v>46107</v>
      </c>
      <c r="B123" t="s">
        <v>147</v>
      </c>
      <c r="C123" t="s">
        <v>12</v>
      </c>
      <c r="D123" t="s">
        <v>164</v>
      </c>
      <c r="F123" s="1">
        <f t="shared" si="2"/>
        <v>2803517</v>
      </c>
      <c r="G123" s="1">
        <v>2000000</v>
      </c>
      <c r="I123" t="s">
        <v>175</v>
      </c>
    </row>
    <row r="124" spans="1:9">
      <c r="A124" s="2">
        <v>46107</v>
      </c>
      <c r="B124" t="s">
        <v>147</v>
      </c>
      <c r="C124" t="s">
        <v>12</v>
      </c>
      <c r="D124" t="s">
        <v>164</v>
      </c>
      <c r="F124" s="1">
        <f t="shared" si="2"/>
        <v>4803517</v>
      </c>
      <c r="G124" s="1">
        <v>1800000</v>
      </c>
      <c r="I124" t="s">
        <v>175</v>
      </c>
    </row>
    <row r="125" spans="1:9">
      <c r="A125" s="2">
        <v>46107</v>
      </c>
      <c r="B125" t="s">
        <v>39</v>
      </c>
      <c r="C125" t="s">
        <v>9</v>
      </c>
      <c r="F125" s="1">
        <f t="shared" si="2"/>
        <v>6603517</v>
      </c>
      <c r="H125" s="1">
        <v>-195572</v>
      </c>
      <c r="I125" t="s">
        <v>163</v>
      </c>
    </row>
    <row r="126" spans="1:9">
      <c r="A126" s="2">
        <v>46107</v>
      </c>
      <c r="B126" t="s">
        <v>39</v>
      </c>
      <c r="C126" t="s">
        <v>9</v>
      </c>
      <c r="F126" s="1">
        <f t="shared" si="2"/>
        <v>6407945</v>
      </c>
      <c r="H126" s="1">
        <v>-300000</v>
      </c>
      <c r="I126" t="s">
        <v>174</v>
      </c>
    </row>
    <row r="127" spans="1:9">
      <c r="A127" s="2">
        <v>46108</v>
      </c>
      <c r="B127" t="s">
        <v>155</v>
      </c>
      <c r="C127" t="s">
        <v>9</v>
      </c>
      <c r="F127" s="1">
        <f t="shared" si="2"/>
        <v>6107945</v>
      </c>
      <c r="H127" s="1">
        <v>-987121</v>
      </c>
      <c r="I127" t="s">
        <v>162</v>
      </c>
    </row>
    <row r="128" spans="1:9">
      <c r="A128" s="2">
        <v>46108</v>
      </c>
      <c r="B128" t="s">
        <v>62</v>
      </c>
      <c r="C128" t="s">
        <v>16</v>
      </c>
      <c r="F128" s="1">
        <f t="shared" si="2"/>
        <v>5120824</v>
      </c>
      <c r="H128" s="1">
        <v>-4000000</v>
      </c>
    </row>
    <row r="129" spans="1:9">
      <c r="A129" s="2">
        <v>46111</v>
      </c>
      <c r="B129" t="s">
        <v>152</v>
      </c>
      <c r="C129" t="s">
        <v>12</v>
      </c>
      <c r="F129" s="1">
        <f t="shared" si="2"/>
        <v>1120824</v>
      </c>
      <c r="G129" s="1">
        <v>4800000</v>
      </c>
      <c r="I129" t="s">
        <v>161</v>
      </c>
    </row>
    <row r="130" spans="1:9">
      <c r="A130" s="2">
        <v>46112</v>
      </c>
      <c r="B130" t="s">
        <v>103</v>
      </c>
      <c r="C130" t="s">
        <v>12</v>
      </c>
      <c r="D130" t="s">
        <v>76</v>
      </c>
      <c r="F130" s="1">
        <f t="shared" si="2"/>
        <v>5920824</v>
      </c>
      <c r="G130" s="1">
        <v>502404</v>
      </c>
      <c r="I130" t="s">
        <v>176</v>
      </c>
    </row>
    <row r="131" spans="1:9">
      <c r="A131" s="2">
        <v>46112</v>
      </c>
      <c r="B131" t="s">
        <v>38</v>
      </c>
      <c r="C131" t="s">
        <v>12</v>
      </c>
      <c r="D131" t="s">
        <v>51</v>
      </c>
      <c r="F131" s="1">
        <f t="shared" si="2"/>
        <v>6423228</v>
      </c>
      <c r="G131" s="1">
        <v>385272</v>
      </c>
      <c r="I131" t="s">
        <v>181</v>
      </c>
    </row>
    <row r="132" spans="1:9">
      <c r="A132" s="2">
        <v>46112</v>
      </c>
      <c r="B132" t="s">
        <v>156</v>
      </c>
      <c r="C132" t="s">
        <v>9</v>
      </c>
      <c r="E132" t="s">
        <v>61</v>
      </c>
      <c r="F132" s="1">
        <f t="shared" si="2"/>
        <v>6808500</v>
      </c>
      <c r="H132" s="1">
        <v>-476000</v>
      </c>
      <c r="I132" t="s">
        <v>160</v>
      </c>
    </row>
    <row r="133" spans="1:9">
      <c r="A133" s="2">
        <v>46112</v>
      </c>
      <c r="B133" t="s">
        <v>77</v>
      </c>
      <c r="C133" t="s">
        <v>12</v>
      </c>
      <c r="D133" t="s">
        <v>81</v>
      </c>
      <c r="F133" s="1">
        <f t="shared" si="2"/>
        <v>6332500</v>
      </c>
      <c r="G133" s="1">
        <v>1000000</v>
      </c>
      <c r="I133" t="s">
        <v>159</v>
      </c>
    </row>
    <row r="134" spans="1:9">
      <c r="A134" s="2">
        <v>46113</v>
      </c>
      <c r="B134" t="s">
        <v>40</v>
      </c>
      <c r="C134" t="s">
        <v>12</v>
      </c>
      <c r="D134" t="s">
        <v>49</v>
      </c>
      <c r="F134" s="1">
        <f t="shared" si="2"/>
        <v>7332500</v>
      </c>
      <c r="G134" s="1">
        <v>1164183</v>
      </c>
      <c r="I134" t="s">
        <v>178</v>
      </c>
    </row>
    <row r="135" spans="1:9">
      <c r="A135" s="2">
        <v>46113</v>
      </c>
      <c r="B135" t="s">
        <v>35</v>
      </c>
      <c r="C135" t="s">
        <v>9</v>
      </c>
      <c r="F135" s="1">
        <f t="shared" si="2"/>
        <v>8496683</v>
      </c>
      <c r="H135" s="1">
        <v>-4000000</v>
      </c>
      <c r="I135" t="s">
        <v>83</v>
      </c>
    </row>
    <row r="136" spans="1:9">
      <c r="A136" s="2">
        <v>46113</v>
      </c>
      <c r="B136" t="s">
        <v>157</v>
      </c>
      <c r="C136" t="s">
        <v>9</v>
      </c>
      <c r="F136" s="1">
        <f t="shared" si="2"/>
        <v>4496683</v>
      </c>
      <c r="H136" s="1">
        <v>-468170</v>
      </c>
      <c r="I136" t="s">
        <v>158</v>
      </c>
    </row>
    <row r="137" spans="1:9">
      <c r="A137" s="2">
        <v>46114</v>
      </c>
      <c r="B137" t="s">
        <v>35</v>
      </c>
      <c r="C137" t="s">
        <v>9</v>
      </c>
      <c r="F137" s="1">
        <f t="shared" si="2"/>
        <v>4028513</v>
      </c>
      <c r="H137" s="1">
        <v>-100000</v>
      </c>
      <c r="I137" t="s">
        <v>84</v>
      </c>
    </row>
    <row r="138" spans="1:9">
      <c r="A138" s="2">
        <v>46114</v>
      </c>
      <c r="B138" t="s">
        <v>197</v>
      </c>
      <c r="C138" t="s">
        <v>9</v>
      </c>
      <c r="E138" t="s">
        <v>61</v>
      </c>
      <c r="F138" s="1">
        <f t="shared" si="2"/>
        <v>3928513</v>
      </c>
      <c r="H138" s="1">
        <v>-2607641</v>
      </c>
      <c r="I138" t="s">
        <v>208</v>
      </c>
    </row>
    <row r="139" spans="1:9">
      <c r="A139" s="2">
        <v>46118</v>
      </c>
      <c r="B139" t="s">
        <v>47</v>
      </c>
      <c r="C139" t="s">
        <v>9</v>
      </c>
      <c r="F139" s="1">
        <f t="shared" si="2"/>
        <v>1320872</v>
      </c>
      <c r="H139" s="1">
        <v>-190353</v>
      </c>
    </row>
    <row r="140" spans="1:9">
      <c r="A140" s="2">
        <v>46119</v>
      </c>
      <c r="B140" t="s">
        <v>152</v>
      </c>
      <c r="C140" t="s">
        <v>12</v>
      </c>
      <c r="F140" s="1">
        <f t="shared" si="2"/>
        <v>1130519</v>
      </c>
      <c r="G140" s="1">
        <v>5000000</v>
      </c>
      <c r="I140" t="s">
        <v>206</v>
      </c>
    </row>
    <row r="141" spans="1:9">
      <c r="A141" s="2">
        <v>46119</v>
      </c>
      <c r="B141" t="s">
        <v>62</v>
      </c>
      <c r="C141" t="s">
        <v>16</v>
      </c>
      <c r="F141" s="1">
        <f t="shared" si="2"/>
        <v>6130519</v>
      </c>
      <c r="H141" s="1">
        <v>-4000000</v>
      </c>
    </row>
    <row r="142" spans="1:9">
      <c r="A142" s="2">
        <v>46119</v>
      </c>
      <c r="B142" t="s">
        <v>91</v>
      </c>
      <c r="C142" t="s">
        <v>9</v>
      </c>
      <c r="F142" s="1">
        <f t="shared" si="2"/>
        <v>2130519</v>
      </c>
      <c r="H142" s="1">
        <v>-127785</v>
      </c>
      <c r="I142" t="s">
        <v>104</v>
      </c>
    </row>
    <row r="143" spans="1:9">
      <c r="A143" s="2">
        <v>46119</v>
      </c>
      <c r="B143" t="s">
        <v>198</v>
      </c>
      <c r="C143" t="s">
        <v>12</v>
      </c>
      <c r="D143" t="s">
        <v>227</v>
      </c>
      <c r="F143" s="1">
        <f t="shared" si="2"/>
        <v>2002734</v>
      </c>
      <c r="G143" s="1">
        <v>200000</v>
      </c>
      <c r="I143" t="s">
        <v>230</v>
      </c>
    </row>
    <row r="144" spans="1:9">
      <c r="A144" s="2">
        <v>46119</v>
      </c>
      <c r="B144" t="s">
        <v>37</v>
      </c>
      <c r="C144" t="s">
        <v>9</v>
      </c>
      <c r="F144" s="1">
        <f t="shared" si="2"/>
        <v>2202734</v>
      </c>
      <c r="H144" s="1">
        <v>-770392</v>
      </c>
    </row>
    <row r="145" spans="1:9">
      <c r="A145" s="2">
        <v>46119</v>
      </c>
      <c r="B145" t="s">
        <v>199</v>
      </c>
      <c r="C145" t="s">
        <v>12</v>
      </c>
      <c r="F145" s="1">
        <f t="shared" si="2"/>
        <v>1432342</v>
      </c>
      <c r="G145" s="1">
        <v>22800000</v>
      </c>
      <c r="I145" t="s">
        <v>231</v>
      </c>
    </row>
    <row r="146" spans="1:9">
      <c r="A146" s="2">
        <v>46120</v>
      </c>
      <c r="B146" t="s">
        <v>121</v>
      </c>
      <c r="C146" t="s">
        <v>12</v>
      </c>
      <c r="F146" s="1">
        <f t="shared" si="2"/>
        <v>24232342</v>
      </c>
      <c r="G146" s="1">
        <v>3500000</v>
      </c>
      <c r="I146" t="s">
        <v>207</v>
      </c>
    </row>
    <row r="147" spans="1:9">
      <c r="A147" s="2">
        <v>46120</v>
      </c>
      <c r="B147" t="s">
        <v>45</v>
      </c>
      <c r="C147" t="s">
        <v>12</v>
      </c>
      <c r="D147" t="s">
        <v>52</v>
      </c>
      <c r="F147" s="1">
        <f t="shared" si="2"/>
        <v>27732342</v>
      </c>
      <c r="G147" s="1">
        <v>621929</v>
      </c>
      <c r="I147">
        <v>1</v>
      </c>
    </row>
    <row r="148" spans="1:9">
      <c r="A148" s="2">
        <v>46120</v>
      </c>
      <c r="B148" t="s">
        <v>62</v>
      </c>
      <c r="C148" t="s">
        <v>16</v>
      </c>
      <c r="F148" s="1">
        <f t="shared" si="2"/>
        <v>28354271</v>
      </c>
      <c r="H148" s="1">
        <v>-4500000</v>
      </c>
    </row>
    <row r="149" spans="1:9">
      <c r="A149" s="2">
        <v>46120</v>
      </c>
      <c r="B149" t="s">
        <v>152</v>
      </c>
      <c r="C149" t="s">
        <v>12</v>
      </c>
      <c r="F149" s="1">
        <f t="shared" si="2"/>
        <v>23854271</v>
      </c>
      <c r="G149" s="1">
        <v>5000000</v>
      </c>
      <c r="I149" t="s">
        <v>206</v>
      </c>
    </row>
    <row r="150" spans="1:9">
      <c r="A150" s="2">
        <v>46120</v>
      </c>
      <c r="B150" t="s">
        <v>121</v>
      </c>
      <c r="C150" t="s">
        <v>12</v>
      </c>
      <c r="F150" s="1">
        <f t="shared" si="2"/>
        <v>28854271</v>
      </c>
      <c r="G150" s="1">
        <v>5000000</v>
      </c>
      <c r="I150" t="s">
        <v>207</v>
      </c>
    </row>
    <row r="151" spans="1:9">
      <c r="A151" s="2">
        <v>46120</v>
      </c>
      <c r="B151" t="s">
        <v>62</v>
      </c>
      <c r="C151" t="s">
        <v>16</v>
      </c>
      <c r="F151" s="1">
        <f t="shared" si="2"/>
        <v>33854271</v>
      </c>
      <c r="H151" s="1">
        <v>-32500000</v>
      </c>
    </row>
    <row r="152" spans="1:9">
      <c r="A152" s="2">
        <v>46121</v>
      </c>
      <c r="B152" t="s">
        <v>39</v>
      </c>
      <c r="C152" t="s">
        <v>9</v>
      </c>
      <c r="E152" t="s">
        <v>61</v>
      </c>
      <c r="F152" s="1">
        <f t="shared" si="2"/>
        <v>1354271</v>
      </c>
      <c r="H152" s="1">
        <v>-3800</v>
      </c>
    </row>
    <row r="153" spans="1:9">
      <c r="A153" s="2">
        <v>46121</v>
      </c>
      <c r="B153" t="s">
        <v>39</v>
      </c>
      <c r="C153" t="s">
        <v>9</v>
      </c>
      <c r="E153" t="s">
        <v>61</v>
      </c>
      <c r="F153" s="1">
        <f t="shared" si="2"/>
        <v>1350471</v>
      </c>
      <c r="H153" s="1">
        <v>-11400</v>
      </c>
    </row>
    <row r="154" spans="1:9">
      <c r="A154" s="2">
        <v>46121</v>
      </c>
      <c r="B154" t="s">
        <v>121</v>
      </c>
      <c r="C154" t="s">
        <v>12</v>
      </c>
      <c r="F154" s="1">
        <f t="shared" ref="F154:F217" si="3">+F153+G153+H153</f>
        <v>1339071</v>
      </c>
      <c r="G154" s="1">
        <v>5000000</v>
      </c>
      <c r="I154" t="s">
        <v>207</v>
      </c>
    </row>
    <row r="155" spans="1:9">
      <c r="A155" s="2">
        <v>46121</v>
      </c>
      <c r="B155" t="s">
        <v>39</v>
      </c>
      <c r="C155" t="s">
        <v>9</v>
      </c>
      <c r="F155" s="1">
        <f t="shared" si="3"/>
        <v>6339071</v>
      </c>
      <c r="H155" s="1">
        <v>-300000</v>
      </c>
      <c r="I155" t="s">
        <v>225</v>
      </c>
    </row>
    <row r="156" spans="1:9">
      <c r="A156" s="2">
        <v>46121</v>
      </c>
      <c r="B156" t="s">
        <v>200</v>
      </c>
      <c r="C156" t="s">
        <v>12</v>
      </c>
      <c r="F156" s="1">
        <f t="shared" si="3"/>
        <v>6039071</v>
      </c>
      <c r="G156" s="1">
        <v>200000</v>
      </c>
      <c r="I156" t="s">
        <v>135</v>
      </c>
    </row>
    <row r="157" spans="1:9">
      <c r="A157" s="2">
        <v>46121</v>
      </c>
      <c r="B157" t="s">
        <v>62</v>
      </c>
      <c r="C157" t="s">
        <v>16</v>
      </c>
      <c r="F157" s="1">
        <f t="shared" si="3"/>
        <v>6239071</v>
      </c>
      <c r="H157" s="1">
        <v>-5000000</v>
      </c>
    </row>
    <row r="158" spans="1:9">
      <c r="A158" s="2">
        <v>46122</v>
      </c>
      <c r="B158" t="s">
        <v>201</v>
      </c>
      <c r="C158" t="s">
        <v>10</v>
      </c>
      <c r="E158" t="s">
        <v>61</v>
      </c>
      <c r="F158" s="1">
        <f t="shared" si="3"/>
        <v>1239071</v>
      </c>
      <c r="H158" s="1">
        <v>-56000</v>
      </c>
    </row>
    <row r="159" spans="1:9">
      <c r="A159" s="2">
        <v>46122</v>
      </c>
      <c r="B159" t="s">
        <v>202</v>
      </c>
      <c r="C159" t="s">
        <v>10</v>
      </c>
      <c r="E159" t="s">
        <v>61</v>
      </c>
      <c r="F159" s="1">
        <f t="shared" si="3"/>
        <v>1183071</v>
      </c>
      <c r="H159" s="1">
        <v>-78000</v>
      </c>
    </row>
    <row r="160" spans="1:9">
      <c r="A160" s="2">
        <v>46122</v>
      </c>
      <c r="B160" t="s">
        <v>121</v>
      </c>
      <c r="C160" t="s">
        <v>12</v>
      </c>
      <c r="F160" s="1">
        <f t="shared" si="3"/>
        <v>1105071</v>
      </c>
      <c r="G160" s="1">
        <v>5000000</v>
      </c>
      <c r="I160" t="s">
        <v>207</v>
      </c>
    </row>
    <row r="161" spans="1:9">
      <c r="A161" s="2">
        <v>46122</v>
      </c>
      <c r="B161" t="s">
        <v>203</v>
      </c>
      <c r="C161" t="s">
        <v>9</v>
      </c>
      <c r="F161" s="1">
        <f t="shared" si="3"/>
        <v>6105071</v>
      </c>
      <c r="H161" s="1">
        <v>-20000</v>
      </c>
    </row>
    <row r="162" spans="1:9">
      <c r="A162" s="2">
        <v>46122</v>
      </c>
      <c r="B162" t="s">
        <v>152</v>
      </c>
      <c r="C162" t="s">
        <v>12</v>
      </c>
      <c r="F162" s="1">
        <f t="shared" si="3"/>
        <v>6085071</v>
      </c>
      <c r="G162" s="1">
        <v>5000000</v>
      </c>
      <c r="I162" t="s">
        <v>206</v>
      </c>
    </row>
    <row r="163" spans="1:9">
      <c r="A163" s="2">
        <v>46122</v>
      </c>
      <c r="B163" t="s">
        <v>204</v>
      </c>
      <c r="C163" t="s">
        <v>9</v>
      </c>
      <c r="E163" t="s">
        <v>61</v>
      </c>
      <c r="F163" s="1">
        <f t="shared" si="3"/>
        <v>11085071</v>
      </c>
      <c r="H163" s="1">
        <v>-9200</v>
      </c>
    </row>
    <row r="164" spans="1:9">
      <c r="A164" s="2">
        <v>46122</v>
      </c>
      <c r="B164" t="s">
        <v>201</v>
      </c>
      <c r="C164" t="s">
        <v>10</v>
      </c>
      <c r="E164" t="s">
        <v>61</v>
      </c>
      <c r="F164" s="1">
        <f t="shared" si="3"/>
        <v>11075871</v>
      </c>
      <c r="H164" s="1">
        <v>-11400</v>
      </c>
    </row>
    <row r="165" spans="1:9">
      <c r="A165" s="2">
        <v>46122</v>
      </c>
      <c r="B165" t="s">
        <v>62</v>
      </c>
      <c r="C165" t="s">
        <v>16</v>
      </c>
      <c r="F165" s="1">
        <f t="shared" si="3"/>
        <v>11064471</v>
      </c>
      <c r="H165" s="1">
        <v>-10000000</v>
      </c>
    </row>
    <row r="166" spans="1:9">
      <c r="A166" s="2">
        <v>46125</v>
      </c>
      <c r="B166" t="s">
        <v>205</v>
      </c>
      <c r="C166" t="s">
        <v>10</v>
      </c>
      <c r="E166" t="s">
        <v>61</v>
      </c>
      <c r="F166" s="1">
        <f t="shared" si="3"/>
        <v>1064471</v>
      </c>
      <c r="H166" s="1">
        <v>-56000</v>
      </c>
    </row>
    <row r="167" spans="1:9">
      <c r="A167" s="2">
        <v>46125</v>
      </c>
      <c r="B167" t="s">
        <v>121</v>
      </c>
      <c r="C167" t="s">
        <v>12</v>
      </c>
      <c r="F167" s="1">
        <f t="shared" si="3"/>
        <v>1008471</v>
      </c>
      <c r="G167" s="1">
        <v>5000000</v>
      </c>
      <c r="I167" t="s">
        <v>207</v>
      </c>
    </row>
    <row r="168" spans="1:9">
      <c r="A168" s="2">
        <v>46125</v>
      </c>
      <c r="B168" t="s">
        <v>152</v>
      </c>
      <c r="C168" t="s">
        <v>12</v>
      </c>
      <c r="F168" s="1">
        <f t="shared" si="3"/>
        <v>6008471</v>
      </c>
      <c r="G168" s="1">
        <v>5000000</v>
      </c>
      <c r="I168" t="s">
        <v>206</v>
      </c>
    </row>
    <row r="169" spans="1:9">
      <c r="A169" s="2">
        <v>46125</v>
      </c>
      <c r="B169" t="s">
        <v>153</v>
      </c>
      <c r="C169" t="s">
        <v>12</v>
      </c>
      <c r="F169" s="1">
        <f t="shared" si="3"/>
        <v>11008471</v>
      </c>
      <c r="H169" s="1">
        <v>-200000</v>
      </c>
      <c r="I169" t="s">
        <v>224</v>
      </c>
    </row>
    <row r="170" spans="1:9">
      <c r="A170" s="2">
        <v>46125</v>
      </c>
      <c r="B170" t="s">
        <v>39</v>
      </c>
      <c r="C170" t="s">
        <v>9</v>
      </c>
      <c r="F170" s="1">
        <f t="shared" si="3"/>
        <v>10808471</v>
      </c>
      <c r="H170" s="1">
        <v>-254250</v>
      </c>
      <c r="I170" t="s">
        <v>232</v>
      </c>
    </row>
    <row r="171" spans="1:9">
      <c r="A171" s="2">
        <v>46125</v>
      </c>
      <c r="B171" t="s">
        <v>39</v>
      </c>
      <c r="C171" t="s">
        <v>9</v>
      </c>
      <c r="F171" s="1">
        <f t="shared" si="3"/>
        <v>10554221</v>
      </c>
      <c r="H171" s="1">
        <v>-300000</v>
      </c>
      <c r="I171" t="s">
        <v>233</v>
      </c>
    </row>
    <row r="172" spans="1:9">
      <c r="A172" s="2">
        <v>46125</v>
      </c>
      <c r="B172" t="s">
        <v>155</v>
      </c>
      <c r="C172" t="s">
        <v>9</v>
      </c>
      <c r="F172" s="1">
        <f t="shared" si="3"/>
        <v>10254221</v>
      </c>
      <c r="H172" s="1">
        <v>-1000000</v>
      </c>
    </row>
    <row r="173" spans="1:9">
      <c r="A173" s="2">
        <v>46125</v>
      </c>
      <c r="B173" t="s">
        <v>62</v>
      </c>
      <c r="C173" t="s">
        <v>16</v>
      </c>
      <c r="F173" s="1">
        <f t="shared" si="3"/>
        <v>9254221</v>
      </c>
      <c r="H173" s="1">
        <v>-8000000</v>
      </c>
    </row>
    <row r="174" spans="1:9">
      <c r="A174" s="2">
        <v>46126</v>
      </c>
      <c r="B174" t="s">
        <v>39</v>
      </c>
      <c r="C174" t="s">
        <v>9</v>
      </c>
      <c r="E174" t="s">
        <v>61</v>
      </c>
      <c r="F174" s="1">
        <f t="shared" si="3"/>
        <v>1254221</v>
      </c>
      <c r="H174" s="1">
        <v>-19200</v>
      </c>
      <c r="I174" t="s">
        <v>234</v>
      </c>
    </row>
    <row r="175" spans="1:9">
      <c r="A175" s="2">
        <v>46126</v>
      </c>
      <c r="B175" t="s">
        <v>198</v>
      </c>
      <c r="C175" t="s">
        <v>12</v>
      </c>
      <c r="D175" t="s">
        <v>227</v>
      </c>
      <c r="F175" s="1">
        <f t="shared" si="3"/>
        <v>1235021</v>
      </c>
      <c r="G175" s="1">
        <v>4000000</v>
      </c>
      <c r="I175" t="s">
        <v>226</v>
      </c>
    </row>
    <row r="176" spans="1:9">
      <c r="A176" s="2">
        <v>46126</v>
      </c>
      <c r="B176" t="s">
        <v>209</v>
      </c>
      <c r="C176" t="s">
        <v>12</v>
      </c>
      <c r="D176" t="s">
        <v>227</v>
      </c>
      <c r="F176" s="1">
        <f t="shared" si="3"/>
        <v>5235021</v>
      </c>
      <c r="G176" s="1">
        <v>999</v>
      </c>
      <c r="I176" t="s">
        <v>226</v>
      </c>
    </row>
    <row r="177" spans="1:9">
      <c r="A177" s="2">
        <v>46126</v>
      </c>
      <c r="B177" t="s">
        <v>62</v>
      </c>
      <c r="C177" t="s">
        <v>16</v>
      </c>
      <c r="F177" s="1">
        <f t="shared" si="3"/>
        <v>5236020</v>
      </c>
      <c r="H177" s="1">
        <v>-4000000</v>
      </c>
    </row>
    <row r="178" spans="1:9">
      <c r="A178" s="2">
        <v>46127</v>
      </c>
      <c r="B178" t="s">
        <v>210</v>
      </c>
      <c r="C178" t="s">
        <v>10</v>
      </c>
      <c r="E178" t="s">
        <v>61</v>
      </c>
      <c r="F178" s="1">
        <f t="shared" si="3"/>
        <v>1236020</v>
      </c>
      <c r="H178" s="1">
        <v>-210000</v>
      </c>
      <c r="I178" t="s">
        <v>228</v>
      </c>
    </row>
    <row r="179" spans="1:9">
      <c r="A179" s="2">
        <v>46127</v>
      </c>
      <c r="B179" t="s">
        <v>122</v>
      </c>
      <c r="C179" t="s">
        <v>12</v>
      </c>
      <c r="D179" t="s">
        <v>80</v>
      </c>
      <c r="F179" s="1">
        <f t="shared" si="3"/>
        <v>1026020</v>
      </c>
      <c r="G179" s="1">
        <v>6895804</v>
      </c>
    </row>
    <row r="180" spans="1:9">
      <c r="A180" s="2">
        <v>46127</v>
      </c>
      <c r="B180" t="s">
        <v>211</v>
      </c>
      <c r="C180" t="s">
        <v>9</v>
      </c>
      <c r="E180" t="s">
        <v>61</v>
      </c>
      <c r="F180" s="1">
        <f t="shared" si="3"/>
        <v>7921824</v>
      </c>
      <c r="H180" s="1">
        <v>-730000</v>
      </c>
    </row>
    <row r="181" spans="1:9">
      <c r="A181" s="2">
        <v>46127</v>
      </c>
      <c r="B181" t="s">
        <v>62</v>
      </c>
      <c r="C181" t="s">
        <v>16</v>
      </c>
      <c r="F181" s="1">
        <f t="shared" si="3"/>
        <v>7191824</v>
      </c>
      <c r="H181" s="1">
        <v>-6000000</v>
      </c>
    </row>
    <row r="182" spans="1:9">
      <c r="A182" s="2">
        <v>46127</v>
      </c>
      <c r="B182" t="s">
        <v>198</v>
      </c>
      <c r="C182" t="s">
        <v>12</v>
      </c>
      <c r="D182" t="s">
        <v>227</v>
      </c>
      <c r="F182" s="1">
        <f t="shared" si="3"/>
        <v>1191824</v>
      </c>
      <c r="G182" s="1">
        <v>4000000</v>
      </c>
      <c r="I182" t="s">
        <v>226</v>
      </c>
    </row>
    <row r="183" spans="1:9">
      <c r="A183" s="2">
        <v>46127</v>
      </c>
      <c r="B183" t="s">
        <v>62</v>
      </c>
      <c r="C183" t="s">
        <v>16</v>
      </c>
      <c r="F183" s="1">
        <f t="shared" si="3"/>
        <v>5191824</v>
      </c>
      <c r="H183" s="1">
        <v>-4000000</v>
      </c>
    </row>
    <row r="184" spans="1:9">
      <c r="A184" s="2">
        <v>46128</v>
      </c>
      <c r="B184" t="s">
        <v>198</v>
      </c>
      <c r="C184" t="s">
        <v>12</v>
      </c>
      <c r="D184" t="s">
        <v>227</v>
      </c>
      <c r="F184" s="1">
        <f t="shared" si="3"/>
        <v>1191824</v>
      </c>
      <c r="G184" s="1">
        <v>4550000</v>
      </c>
      <c r="I184" t="s">
        <v>226</v>
      </c>
    </row>
    <row r="185" spans="1:9">
      <c r="A185" s="2">
        <v>46128</v>
      </c>
      <c r="B185" t="s">
        <v>212</v>
      </c>
      <c r="C185" t="s">
        <v>9</v>
      </c>
      <c r="F185" s="1">
        <f t="shared" si="3"/>
        <v>5741824</v>
      </c>
      <c r="H185" s="1">
        <v>-1020000</v>
      </c>
      <c r="I185" t="s">
        <v>223</v>
      </c>
    </row>
    <row r="186" spans="1:9">
      <c r="A186" s="2">
        <v>46129</v>
      </c>
      <c r="B186" t="s">
        <v>201</v>
      </c>
      <c r="C186" t="s">
        <v>10</v>
      </c>
      <c r="E186" t="s">
        <v>61</v>
      </c>
      <c r="F186" s="1">
        <f t="shared" si="3"/>
        <v>4721824</v>
      </c>
      <c r="H186" s="1">
        <v>-67100</v>
      </c>
    </row>
    <row r="187" spans="1:9">
      <c r="A187" s="2">
        <v>46132</v>
      </c>
      <c r="B187" t="s">
        <v>213</v>
      </c>
      <c r="C187" t="s">
        <v>12</v>
      </c>
      <c r="F187" s="1">
        <f t="shared" si="3"/>
        <v>4654724</v>
      </c>
      <c r="G187" s="1">
        <v>200000</v>
      </c>
      <c r="I187" t="s">
        <v>220</v>
      </c>
    </row>
    <row r="188" spans="1:9">
      <c r="A188" s="2">
        <v>46132</v>
      </c>
      <c r="B188" t="s">
        <v>203</v>
      </c>
      <c r="C188" t="s">
        <v>9</v>
      </c>
      <c r="F188" s="1">
        <f t="shared" si="3"/>
        <v>4854724</v>
      </c>
      <c r="H188" s="1">
        <v>-440012</v>
      </c>
      <c r="I188" t="s">
        <v>222</v>
      </c>
    </row>
    <row r="189" spans="1:9">
      <c r="A189" s="2">
        <v>46132</v>
      </c>
      <c r="B189" t="s">
        <v>98</v>
      </c>
      <c r="C189" t="s">
        <v>9</v>
      </c>
      <c r="F189" s="1">
        <f t="shared" si="3"/>
        <v>4414712</v>
      </c>
      <c r="H189" s="1">
        <v>-20000</v>
      </c>
    </row>
    <row r="190" spans="1:9">
      <c r="A190" s="2">
        <v>46132</v>
      </c>
      <c r="B190" t="s">
        <v>214</v>
      </c>
      <c r="C190" t="s">
        <v>12</v>
      </c>
      <c r="F190" s="1">
        <f t="shared" si="3"/>
        <v>4394712</v>
      </c>
      <c r="G190" s="1">
        <v>200000</v>
      </c>
      <c r="I190" t="s">
        <v>221</v>
      </c>
    </row>
    <row r="191" spans="1:9">
      <c r="A191" s="2">
        <v>46132</v>
      </c>
      <c r="B191" t="s">
        <v>204</v>
      </c>
      <c r="C191" t="s">
        <v>9</v>
      </c>
      <c r="F191" s="1">
        <f t="shared" si="3"/>
        <v>4594712</v>
      </c>
      <c r="H191" s="1">
        <v>-76370</v>
      </c>
      <c r="I191" t="s">
        <v>229</v>
      </c>
    </row>
    <row r="192" spans="1:9">
      <c r="A192" s="2">
        <v>46132</v>
      </c>
      <c r="B192" t="s">
        <v>39</v>
      </c>
      <c r="C192" t="s">
        <v>9</v>
      </c>
      <c r="F192" s="1">
        <f t="shared" si="3"/>
        <v>4518342</v>
      </c>
      <c r="H192" s="1">
        <v>-145289</v>
      </c>
    </row>
    <row r="193" spans="1:8">
      <c r="A193" s="2">
        <v>46132</v>
      </c>
      <c r="B193" t="s">
        <v>201</v>
      </c>
      <c r="C193" t="s">
        <v>10</v>
      </c>
      <c r="E193" t="s">
        <v>61</v>
      </c>
      <c r="F193" s="1">
        <f t="shared" si="3"/>
        <v>4373053</v>
      </c>
      <c r="H193" s="1">
        <v>-3800</v>
      </c>
    </row>
    <row r="194" spans="1:8">
      <c r="A194" s="2">
        <v>46133</v>
      </c>
      <c r="B194" t="s">
        <v>42</v>
      </c>
      <c r="C194" t="s">
        <v>16</v>
      </c>
      <c r="F194" s="1">
        <f t="shared" si="3"/>
        <v>4369253</v>
      </c>
      <c r="G194" s="1">
        <v>72500001</v>
      </c>
    </row>
    <row r="195" spans="1:8">
      <c r="A195" s="2">
        <v>46133</v>
      </c>
      <c r="B195" t="s">
        <v>98</v>
      </c>
      <c r="C195" t="s">
        <v>20</v>
      </c>
      <c r="E195" t="s">
        <v>23</v>
      </c>
      <c r="F195" s="1">
        <f t="shared" si="3"/>
        <v>76869254</v>
      </c>
      <c r="H195" s="1">
        <v>-1367355</v>
      </c>
    </row>
    <row r="196" spans="1:8">
      <c r="A196" s="2">
        <v>46133</v>
      </c>
      <c r="B196" t="s">
        <v>98</v>
      </c>
      <c r="C196" t="s">
        <v>20</v>
      </c>
      <c r="E196" t="s">
        <v>23</v>
      </c>
      <c r="F196" s="1">
        <f t="shared" si="3"/>
        <v>75501899</v>
      </c>
      <c r="H196" s="1">
        <v>-5000000</v>
      </c>
    </row>
    <row r="197" spans="1:8">
      <c r="A197" s="2">
        <v>46133</v>
      </c>
      <c r="B197" t="s">
        <v>98</v>
      </c>
      <c r="C197" t="s">
        <v>20</v>
      </c>
      <c r="E197" t="s">
        <v>23</v>
      </c>
      <c r="F197" s="1">
        <f t="shared" si="3"/>
        <v>70501899</v>
      </c>
      <c r="H197" s="1">
        <v>-5000000</v>
      </c>
    </row>
    <row r="198" spans="1:8">
      <c r="A198" s="2">
        <v>46133</v>
      </c>
      <c r="B198" t="s">
        <v>98</v>
      </c>
      <c r="C198" t="s">
        <v>20</v>
      </c>
      <c r="E198" t="s">
        <v>23</v>
      </c>
      <c r="F198" s="1">
        <f t="shared" si="3"/>
        <v>65501899</v>
      </c>
      <c r="H198" s="1">
        <v>-5000000</v>
      </c>
    </row>
    <row r="199" spans="1:8">
      <c r="A199" s="2">
        <v>46133</v>
      </c>
      <c r="B199" t="s">
        <v>98</v>
      </c>
      <c r="C199" t="s">
        <v>20</v>
      </c>
      <c r="E199" t="s">
        <v>23</v>
      </c>
      <c r="F199" s="1">
        <f t="shared" si="3"/>
        <v>60501899</v>
      </c>
      <c r="H199" s="1">
        <v>-5000000</v>
      </c>
    </row>
    <row r="200" spans="1:8">
      <c r="A200" s="2">
        <v>46133</v>
      </c>
      <c r="B200" t="s">
        <v>97</v>
      </c>
      <c r="C200" t="s">
        <v>20</v>
      </c>
      <c r="E200" t="s">
        <v>71</v>
      </c>
      <c r="F200" s="1">
        <f t="shared" si="3"/>
        <v>55501899</v>
      </c>
      <c r="H200" s="1">
        <v>-36367355</v>
      </c>
    </row>
    <row r="201" spans="1:8">
      <c r="A201" s="2">
        <v>46133</v>
      </c>
      <c r="B201" t="s">
        <v>98</v>
      </c>
      <c r="C201" t="s">
        <v>20</v>
      </c>
      <c r="E201" t="s">
        <v>23</v>
      </c>
      <c r="F201" s="1">
        <f t="shared" si="3"/>
        <v>19134544</v>
      </c>
      <c r="H201" s="1">
        <v>-5000000</v>
      </c>
    </row>
    <row r="202" spans="1:8">
      <c r="A202" s="2">
        <v>46133</v>
      </c>
      <c r="B202" t="s">
        <v>98</v>
      </c>
      <c r="C202" t="s">
        <v>20</v>
      </c>
      <c r="E202" t="s">
        <v>23</v>
      </c>
      <c r="F202" s="1">
        <f t="shared" si="3"/>
        <v>14134544</v>
      </c>
      <c r="H202" s="1">
        <v>-5000000</v>
      </c>
    </row>
    <row r="203" spans="1:8">
      <c r="A203" s="2">
        <v>46133</v>
      </c>
      <c r="B203" t="s">
        <v>98</v>
      </c>
      <c r="C203" t="s">
        <v>20</v>
      </c>
      <c r="E203" t="s">
        <v>23</v>
      </c>
      <c r="F203" s="1">
        <f t="shared" si="3"/>
        <v>9134544</v>
      </c>
      <c r="H203" s="1">
        <v>-5000000</v>
      </c>
    </row>
    <row r="204" spans="1:8">
      <c r="A204" s="2">
        <v>46133</v>
      </c>
      <c r="B204" t="s">
        <v>203</v>
      </c>
      <c r="C204" t="s">
        <v>9</v>
      </c>
      <c r="F204" s="1">
        <f t="shared" si="3"/>
        <v>4134544</v>
      </c>
      <c r="H204" s="1">
        <v>-129240</v>
      </c>
    </row>
    <row r="205" spans="1:8">
      <c r="A205" s="2">
        <v>46133</v>
      </c>
      <c r="B205" t="s">
        <v>62</v>
      </c>
      <c r="C205" t="s">
        <v>16</v>
      </c>
      <c r="F205" s="1">
        <f t="shared" si="3"/>
        <v>4005304</v>
      </c>
      <c r="H205" s="1">
        <v>-3000000</v>
      </c>
    </row>
    <row r="206" spans="1:8">
      <c r="A206" s="2">
        <v>46135</v>
      </c>
      <c r="B206" t="s">
        <v>42</v>
      </c>
      <c r="C206" t="s">
        <v>16</v>
      </c>
      <c r="F206" s="1">
        <f t="shared" si="3"/>
        <v>1005304</v>
      </c>
      <c r="G206" s="1">
        <v>16500001</v>
      </c>
    </row>
    <row r="207" spans="1:8">
      <c r="A207" s="2">
        <v>46135</v>
      </c>
      <c r="B207" t="s">
        <v>42</v>
      </c>
      <c r="C207" t="s">
        <v>16</v>
      </c>
      <c r="F207" s="1">
        <f t="shared" si="3"/>
        <v>17505305</v>
      </c>
      <c r="G207" s="1">
        <v>31600000</v>
      </c>
    </row>
    <row r="208" spans="1:8">
      <c r="A208" s="2">
        <v>46135</v>
      </c>
      <c r="B208" t="s">
        <v>152</v>
      </c>
      <c r="C208" t="s">
        <v>10</v>
      </c>
      <c r="F208" s="1">
        <f t="shared" si="3"/>
        <v>49105305</v>
      </c>
      <c r="G208" s="1">
        <v>140500</v>
      </c>
    </row>
    <row r="209" spans="1:9">
      <c r="A209" s="2">
        <v>46136</v>
      </c>
      <c r="B209" t="s">
        <v>201</v>
      </c>
      <c r="C209" t="s">
        <v>10</v>
      </c>
      <c r="E209" t="s">
        <v>61</v>
      </c>
      <c r="F209" s="1">
        <f t="shared" si="3"/>
        <v>49245805</v>
      </c>
      <c r="H209" s="1">
        <v>-19800</v>
      </c>
    </row>
    <row r="210" spans="1:9">
      <c r="A210" s="2">
        <v>46136</v>
      </c>
      <c r="B210" t="s">
        <v>154</v>
      </c>
      <c r="C210" t="s">
        <v>10</v>
      </c>
      <c r="F210" s="1">
        <f t="shared" si="3"/>
        <v>49226005</v>
      </c>
      <c r="H210" s="1">
        <v>-140500</v>
      </c>
    </row>
    <row r="211" spans="1:9">
      <c r="A211" s="2">
        <v>46136</v>
      </c>
      <c r="B211" t="s">
        <v>215</v>
      </c>
      <c r="C211" t="s">
        <v>9</v>
      </c>
      <c r="E211" t="s">
        <v>61</v>
      </c>
      <c r="F211" s="1">
        <f t="shared" si="3"/>
        <v>49085505</v>
      </c>
      <c r="H211" s="1">
        <v>-13978</v>
      </c>
      <c r="I211" t="s">
        <v>219</v>
      </c>
    </row>
    <row r="212" spans="1:9">
      <c r="A212" s="2">
        <v>46136</v>
      </c>
      <c r="B212" t="s">
        <v>200</v>
      </c>
      <c r="C212" t="s">
        <v>12</v>
      </c>
      <c r="F212" s="1">
        <f t="shared" si="3"/>
        <v>49071527</v>
      </c>
      <c r="G212" s="1">
        <v>5000000</v>
      </c>
      <c r="I212" t="s">
        <v>218</v>
      </c>
    </row>
    <row r="213" spans="1:9">
      <c r="A213" s="2">
        <v>46136</v>
      </c>
      <c r="B213" t="s">
        <v>119</v>
      </c>
      <c r="C213" t="s">
        <v>9</v>
      </c>
      <c r="F213" s="1">
        <f t="shared" si="3"/>
        <v>54071527</v>
      </c>
      <c r="H213" s="1">
        <v>-31580220</v>
      </c>
      <c r="I213" t="s">
        <v>129</v>
      </c>
    </row>
    <row r="214" spans="1:9">
      <c r="A214" s="2">
        <v>46139</v>
      </c>
      <c r="B214" t="s">
        <v>200</v>
      </c>
      <c r="C214" t="s">
        <v>12</v>
      </c>
      <c r="F214" s="1">
        <f t="shared" si="3"/>
        <v>22491307</v>
      </c>
      <c r="G214" s="1">
        <v>4800000</v>
      </c>
      <c r="I214" t="s">
        <v>218</v>
      </c>
    </row>
    <row r="215" spans="1:9">
      <c r="A215" s="2">
        <v>46139</v>
      </c>
      <c r="B215" t="s">
        <v>216</v>
      </c>
      <c r="C215" t="s">
        <v>9</v>
      </c>
      <c r="E215" t="s">
        <v>61</v>
      </c>
      <c r="F215" s="1">
        <f t="shared" si="3"/>
        <v>27291307</v>
      </c>
      <c r="H215" s="1">
        <v>-69889</v>
      </c>
    </row>
    <row r="216" spans="1:9">
      <c r="A216" s="2">
        <v>46139</v>
      </c>
      <c r="B216" t="s">
        <v>200</v>
      </c>
      <c r="C216" t="s">
        <v>12</v>
      </c>
      <c r="F216" s="1">
        <f t="shared" si="3"/>
        <v>27221418</v>
      </c>
      <c r="G216" s="1">
        <v>5000000</v>
      </c>
      <c r="I216" t="s">
        <v>218</v>
      </c>
    </row>
    <row r="217" spans="1:9">
      <c r="A217" s="2">
        <v>46139</v>
      </c>
      <c r="B217" t="s">
        <v>91</v>
      </c>
      <c r="C217" t="s">
        <v>14</v>
      </c>
      <c r="F217" s="1">
        <f t="shared" si="3"/>
        <v>32221418</v>
      </c>
      <c r="H217" s="1">
        <v>-14550944</v>
      </c>
      <c r="I217" t="s">
        <v>217</v>
      </c>
    </row>
    <row r="218" spans="1:9">
      <c r="A218" s="2">
        <v>46139</v>
      </c>
      <c r="B218" t="s">
        <v>62</v>
      </c>
      <c r="C218" t="s">
        <v>16</v>
      </c>
      <c r="F218" s="1">
        <f t="shared" ref="F218:F242" si="4">+F217+G217+H217</f>
        <v>17670474</v>
      </c>
      <c r="H218" s="1">
        <v>-13000000</v>
      </c>
    </row>
    <row r="219" spans="1:9">
      <c r="A219" s="2">
        <v>46140</v>
      </c>
      <c r="B219" t="s">
        <v>200</v>
      </c>
      <c r="C219" t="s">
        <v>12</v>
      </c>
      <c r="F219" s="1">
        <f t="shared" si="4"/>
        <v>4670474</v>
      </c>
      <c r="G219" s="1">
        <v>5000000</v>
      </c>
      <c r="I219" t="s">
        <v>218</v>
      </c>
    </row>
    <row r="220" spans="1:9">
      <c r="A220" s="2">
        <v>46140</v>
      </c>
      <c r="B220" t="s">
        <v>62</v>
      </c>
      <c r="C220" t="s">
        <v>16</v>
      </c>
      <c r="F220" s="1">
        <f t="shared" si="4"/>
        <v>9670474</v>
      </c>
      <c r="H220" s="1">
        <v>-5000000</v>
      </c>
    </row>
    <row r="221" spans="1:9">
      <c r="A221" s="2">
        <v>46141</v>
      </c>
      <c r="B221" t="s">
        <v>200</v>
      </c>
      <c r="C221" t="s">
        <v>12</v>
      </c>
      <c r="F221" s="1">
        <f t="shared" si="4"/>
        <v>4670474</v>
      </c>
      <c r="G221" s="1">
        <v>5000000</v>
      </c>
      <c r="I221" t="s">
        <v>218</v>
      </c>
    </row>
    <row r="222" spans="1:9">
      <c r="A222" s="2">
        <v>46142</v>
      </c>
      <c r="B222" t="s">
        <v>62</v>
      </c>
      <c r="C222" t="s">
        <v>16</v>
      </c>
      <c r="F222" s="1">
        <f t="shared" si="4"/>
        <v>9670474</v>
      </c>
      <c r="H222" s="1">
        <v>-4000000</v>
      </c>
    </row>
    <row r="223" spans="1:9">
      <c r="A223" s="2">
        <v>46142</v>
      </c>
      <c r="B223" t="s">
        <v>40</v>
      </c>
      <c r="C223" t="s">
        <v>12</v>
      </c>
      <c r="D223" t="s">
        <v>49</v>
      </c>
      <c r="F223" s="1">
        <f t="shared" si="4"/>
        <v>5670474</v>
      </c>
      <c r="G223" s="1">
        <v>1172306</v>
      </c>
    </row>
    <row r="224" spans="1:9">
      <c r="A224" s="2">
        <v>46142</v>
      </c>
      <c r="B224" t="s">
        <v>235</v>
      </c>
      <c r="C224" t="s">
        <v>9</v>
      </c>
      <c r="F224" s="1">
        <f t="shared" si="4"/>
        <v>6842780</v>
      </c>
      <c r="H224" s="1">
        <v>-1059375</v>
      </c>
    </row>
    <row r="225" spans="1:9">
      <c r="A225" s="2">
        <v>46142</v>
      </c>
      <c r="B225" t="s">
        <v>35</v>
      </c>
      <c r="C225" t="s">
        <v>9</v>
      </c>
      <c r="F225" s="1">
        <f t="shared" si="4"/>
        <v>5783405</v>
      </c>
      <c r="H225" s="1">
        <v>-4000000</v>
      </c>
    </row>
    <row r="226" spans="1:9">
      <c r="A226" s="2">
        <v>46146</v>
      </c>
      <c r="B226" t="s">
        <v>35</v>
      </c>
      <c r="C226" t="s">
        <v>9</v>
      </c>
      <c r="F226" s="1">
        <f t="shared" si="4"/>
        <v>1783405</v>
      </c>
      <c r="H226" s="1">
        <v>-100000</v>
      </c>
    </row>
    <row r="227" spans="1:9">
      <c r="A227" s="2">
        <v>46148</v>
      </c>
      <c r="B227" t="s">
        <v>154</v>
      </c>
      <c r="C227" t="s">
        <v>10</v>
      </c>
      <c r="E227" t="s">
        <v>61</v>
      </c>
      <c r="F227" s="1">
        <f t="shared" si="4"/>
        <v>1683405</v>
      </c>
      <c r="H227" s="1">
        <v>-709500</v>
      </c>
    </row>
    <row r="228" spans="1:9">
      <c r="A228" s="2">
        <v>46148</v>
      </c>
      <c r="B228" t="s">
        <v>38</v>
      </c>
      <c r="C228" t="s">
        <v>12</v>
      </c>
      <c r="D228" t="s">
        <v>51</v>
      </c>
      <c r="F228" s="1">
        <f t="shared" si="4"/>
        <v>973905</v>
      </c>
      <c r="G228" s="1">
        <v>388608</v>
      </c>
    </row>
    <row r="229" spans="1:9">
      <c r="A229" s="2">
        <v>46149</v>
      </c>
      <c r="B229" t="s">
        <v>91</v>
      </c>
      <c r="C229" t="s">
        <v>14</v>
      </c>
      <c r="F229" s="1">
        <f t="shared" si="4"/>
        <v>1362513</v>
      </c>
      <c r="H229" s="1">
        <v>-801868</v>
      </c>
      <c r="I229" t="s">
        <v>104</v>
      </c>
    </row>
    <row r="230" spans="1:9">
      <c r="A230" s="2">
        <v>46149</v>
      </c>
      <c r="B230" t="s">
        <v>98</v>
      </c>
      <c r="C230" t="s">
        <v>9</v>
      </c>
      <c r="F230" s="1">
        <f t="shared" si="4"/>
        <v>560645</v>
      </c>
      <c r="H230" s="1">
        <v>-20000</v>
      </c>
    </row>
    <row r="231" spans="1:9">
      <c r="A231" s="2">
        <v>46149</v>
      </c>
      <c r="B231" t="s">
        <v>42</v>
      </c>
      <c r="C231" t="s">
        <v>16</v>
      </c>
      <c r="F231" s="1">
        <f t="shared" si="4"/>
        <v>540645</v>
      </c>
      <c r="G231" s="1">
        <v>1000000</v>
      </c>
    </row>
    <row r="232" spans="1:9">
      <c r="A232" s="2">
        <v>46149</v>
      </c>
      <c r="B232" t="s">
        <v>211</v>
      </c>
      <c r="C232" t="s">
        <v>9</v>
      </c>
      <c r="E232" t="s">
        <v>61</v>
      </c>
      <c r="F232" s="1">
        <f t="shared" si="4"/>
        <v>1540645</v>
      </c>
      <c r="H232" s="1">
        <v>-1500000</v>
      </c>
    </row>
    <row r="233" spans="1:9">
      <c r="F233" s="1">
        <f t="shared" si="4"/>
        <v>40645</v>
      </c>
    </row>
    <row r="234" spans="1:9">
      <c r="F234" s="1">
        <f t="shared" si="4"/>
        <v>40645</v>
      </c>
    </row>
    <row r="235" spans="1:9">
      <c r="F235" s="1">
        <f t="shared" si="4"/>
        <v>40645</v>
      </c>
    </row>
    <row r="236" spans="1:9">
      <c r="F236" s="1">
        <f t="shared" si="4"/>
        <v>40645</v>
      </c>
    </row>
    <row r="237" spans="1:9">
      <c r="F237" s="1">
        <f t="shared" si="4"/>
        <v>40645</v>
      </c>
    </row>
    <row r="238" spans="1:9">
      <c r="F238" s="1">
        <f t="shared" si="4"/>
        <v>40645</v>
      </c>
    </row>
    <row r="239" spans="1:9">
      <c r="F239" s="1">
        <f t="shared" si="4"/>
        <v>40645</v>
      </c>
    </row>
    <row r="240" spans="1:9">
      <c r="F240" s="1">
        <f t="shared" si="4"/>
        <v>40645</v>
      </c>
    </row>
    <row r="241" spans="6:6">
      <c r="F241" s="1">
        <f t="shared" si="4"/>
        <v>40645</v>
      </c>
    </row>
    <row r="242" spans="6:6">
      <c r="F242" s="1">
        <f t="shared" si="4"/>
        <v>40645</v>
      </c>
    </row>
  </sheetData>
  <phoneticPr fontId="1" type="noConversion"/>
  <conditionalFormatting sqref="C1:C1048576">
    <cfRule type="containsBlanks" dxfId="0" priority="1">
      <formula>LEN(TRIM(C1))=0</formula>
    </cfRule>
  </conditionalFormatting>
  <dataValidations count="2">
    <dataValidation type="decimal" operator="greaterThan" allowBlank="1" showInputMessage="1" showErrorMessage="1" sqref="G2:G1048576" xr:uid="{B93CC2DC-B85D-4A9C-96C1-5B8E36862DE2}">
      <formula1>0</formula1>
    </dataValidation>
    <dataValidation type="decimal" operator="lessThan" allowBlank="1" showInputMessage="1" showErrorMessage="1" sqref="H2:H1048576" xr:uid="{D2D4C543-2793-45C3-9DB8-33388037FCF9}">
      <formula1>0</formula1>
    </dataValidation>
  </dataValidations>
  <pageMargins left="0.7" right="0.7" top="0.75" bottom="0.75" header="0.3" footer="0.3"/>
  <pageSetup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0B9F8CF-DBAC-4F42-8D65-4AFA22F72F18}">
          <x14:formula1>
            <xm:f>CATEGORIAS!$B$2:$B$30</xm:f>
          </x14:formula1>
          <xm:sqref>E2:E1048576</xm:sqref>
        </x14:dataValidation>
        <x14:dataValidation type="list" allowBlank="1" showInputMessage="1" showErrorMessage="1" xr:uid="{A1F16C7B-3110-4343-BAD4-CFED7211F3D3}">
          <x14:formula1>
            <xm:f>CATEGORIAS!$A$2:$A$13</xm:f>
          </x14:formula1>
          <xm:sqref>C2:C1048576</xm:sqref>
        </x14:dataValidation>
        <x14:dataValidation type="list" allowBlank="1" showInputMessage="1" showErrorMessage="1" xr:uid="{21498822-A9B9-496C-9B87-DCBB723D986C}">
          <x14:formula1>
            <xm:f>CATEGORIAS!$C$2:$C$15</xm:f>
          </x14:formula1>
          <xm:sqref>D2:D1048576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9E68-493F-491E-9566-7DA17BB5F7E5}">
  <dimension ref="A1:C22"/>
  <sheetViews>
    <sheetView workbookViewId="0">
      <selection activeCell="C8" sqref="C8"/>
    </sheetView>
  </sheetViews>
  <sheetFormatPr baseColWidth="10" defaultColWidth="9.140625" defaultRowHeight="15"/>
  <cols>
    <col min="1" max="1" width="28.5703125" bestFit="1" customWidth="1"/>
    <col min="2" max="2" width="19" customWidth="1"/>
    <col min="3" max="3" width="29.42578125" customWidth="1"/>
  </cols>
  <sheetData>
    <row r="1" spans="1:3">
      <c r="A1" t="s">
        <v>1</v>
      </c>
      <c r="B1" t="s">
        <v>2</v>
      </c>
      <c r="C1" t="s">
        <v>44</v>
      </c>
    </row>
    <row r="2" spans="1:3">
      <c r="A2" t="s">
        <v>19</v>
      </c>
      <c r="B2" t="s">
        <v>28</v>
      </c>
      <c r="C2" t="s">
        <v>49</v>
      </c>
    </row>
    <row r="3" spans="1:3">
      <c r="A3" t="s">
        <v>16</v>
      </c>
      <c r="B3" t="s">
        <v>31</v>
      </c>
      <c r="C3" t="s">
        <v>80</v>
      </c>
    </row>
    <row r="4" spans="1:3">
      <c r="A4" t="s">
        <v>9</v>
      </c>
      <c r="B4" t="s">
        <v>30</v>
      </c>
    </row>
    <row r="5" spans="1:3">
      <c r="A5" t="s">
        <v>14</v>
      </c>
      <c r="B5" t="s">
        <v>26</v>
      </c>
      <c r="C5" t="s">
        <v>50</v>
      </c>
    </row>
    <row r="6" spans="1:3">
      <c r="A6" t="s">
        <v>18</v>
      </c>
      <c r="B6" t="s">
        <v>25</v>
      </c>
      <c r="C6" t="s">
        <v>51</v>
      </c>
    </row>
    <row r="7" spans="1:3">
      <c r="A7" t="s">
        <v>11</v>
      </c>
      <c r="B7" t="s">
        <v>34</v>
      </c>
      <c r="C7" t="s">
        <v>227</v>
      </c>
    </row>
    <row r="8" spans="1:3">
      <c r="A8" t="s">
        <v>10</v>
      </c>
      <c r="B8" t="s">
        <v>24</v>
      </c>
      <c r="C8" t="s">
        <v>164</v>
      </c>
    </row>
    <row r="9" spans="1:3">
      <c r="A9" t="s">
        <v>15</v>
      </c>
      <c r="B9" t="s">
        <v>21</v>
      </c>
      <c r="C9" t="s">
        <v>52</v>
      </c>
    </row>
    <row r="10" spans="1:3">
      <c r="A10" t="s">
        <v>20</v>
      </c>
      <c r="B10" t="s">
        <v>27</v>
      </c>
      <c r="C10" t="s">
        <v>53</v>
      </c>
    </row>
    <row r="11" spans="1:3">
      <c r="A11" t="s">
        <v>17</v>
      </c>
      <c r="B11" t="s">
        <v>33</v>
      </c>
      <c r="C11" t="s">
        <v>54</v>
      </c>
    </row>
    <row r="12" spans="1:3">
      <c r="A12" t="s">
        <v>13</v>
      </c>
      <c r="B12" t="s">
        <v>29</v>
      </c>
      <c r="C12" t="s">
        <v>55</v>
      </c>
    </row>
    <row r="13" spans="1:3">
      <c r="A13" t="s">
        <v>12</v>
      </c>
      <c r="B13" t="s">
        <v>23</v>
      </c>
      <c r="C13" t="s">
        <v>63</v>
      </c>
    </row>
    <row r="14" spans="1:3">
      <c r="B14" t="s">
        <v>32</v>
      </c>
      <c r="C14" t="s">
        <v>76</v>
      </c>
    </row>
    <row r="15" spans="1:3">
      <c r="B15" t="s">
        <v>22</v>
      </c>
      <c r="C15" t="s">
        <v>81</v>
      </c>
    </row>
    <row r="16" spans="1:3">
      <c r="B16" t="s">
        <v>61</v>
      </c>
    </row>
    <row r="17" spans="2:2">
      <c r="B17" t="s">
        <v>69</v>
      </c>
    </row>
    <row r="18" spans="2:2">
      <c r="B18" t="s">
        <v>70</v>
      </c>
    </row>
    <row r="19" spans="2:2">
      <c r="B19" t="s">
        <v>71</v>
      </c>
    </row>
    <row r="20" spans="2:2">
      <c r="B20" t="s">
        <v>41</v>
      </c>
    </row>
    <row r="21" spans="2:2">
      <c r="B21" t="s">
        <v>72</v>
      </c>
    </row>
    <row r="22" spans="2:2">
      <c r="B22" t="s">
        <v>73</v>
      </c>
    </row>
  </sheetData>
  <sortState xmlns:xlrd2="http://schemas.microsoft.com/office/spreadsheetml/2017/richdata2" ref="B2:B15">
    <sortCondition ref="B2:B15"/>
  </sortState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6C4A8-22C4-46FF-8D35-2DB0D123AA66}">
  <dimension ref="A1:E66"/>
  <sheetViews>
    <sheetView tabSelected="1" topLeftCell="A40" workbookViewId="0">
      <selection activeCell="G60" sqref="G60"/>
    </sheetView>
  </sheetViews>
  <sheetFormatPr baseColWidth="10" defaultColWidth="9.140625" defaultRowHeight="15"/>
  <cols>
    <col min="1" max="1" width="13.5703125" customWidth="1"/>
    <col min="2" max="2" width="33.42578125" customWidth="1"/>
    <col min="3" max="3" width="18.28515625" customWidth="1"/>
    <col min="4" max="4" width="14.28515625" bestFit="1" customWidth="1"/>
  </cols>
  <sheetData>
    <row r="1" spans="1:4">
      <c r="A1" s="24" t="s">
        <v>137</v>
      </c>
      <c r="B1" s="25"/>
      <c r="C1" s="3" t="s">
        <v>56</v>
      </c>
      <c r="D1" s="3" t="s">
        <v>57</v>
      </c>
    </row>
    <row r="2" spans="1:4">
      <c r="A2" s="20">
        <v>46105</v>
      </c>
      <c r="B2" s="4" t="s">
        <v>138</v>
      </c>
      <c r="C2" s="4" t="s">
        <v>140</v>
      </c>
      <c r="D2" s="18">
        <v>22000</v>
      </c>
    </row>
    <row r="3" spans="1:4">
      <c r="A3" s="20">
        <v>46106</v>
      </c>
      <c r="B3" s="4" t="s">
        <v>139</v>
      </c>
      <c r="C3" s="4" t="s">
        <v>140</v>
      </c>
      <c r="D3" s="18">
        <v>1790</v>
      </c>
    </row>
    <row r="4" spans="1:4">
      <c r="A4" s="20">
        <v>46107</v>
      </c>
      <c r="B4" s="4" t="s">
        <v>139</v>
      </c>
      <c r="C4" s="4" t="s">
        <v>140</v>
      </c>
      <c r="D4" s="18">
        <v>1790</v>
      </c>
    </row>
    <row r="5" spans="1:4">
      <c r="A5" s="20">
        <v>46105</v>
      </c>
      <c r="B5" s="4" t="s">
        <v>141</v>
      </c>
      <c r="C5" s="4" t="s">
        <v>145</v>
      </c>
      <c r="D5" s="18">
        <v>38566</v>
      </c>
    </row>
    <row r="6" spans="1:4">
      <c r="A6" s="20">
        <v>46107</v>
      </c>
      <c r="B6" s="4" t="s">
        <v>142</v>
      </c>
      <c r="C6" s="4" t="s">
        <v>140</v>
      </c>
      <c r="D6" s="18">
        <v>13295</v>
      </c>
    </row>
    <row r="7" spans="1:4">
      <c r="A7" s="20">
        <v>46107</v>
      </c>
      <c r="B7" s="4" t="s">
        <v>141</v>
      </c>
      <c r="C7" s="4" t="s">
        <v>145</v>
      </c>
      <c r="D7" s="18">
        <v>40096</v>
      </c>
    </row>
    <row r="8" spans="1:4">
      <c r="A8" s="20">
        <v>46106</v>
      </c>
      <c r="B8" s="4" t="s">
        <v>141</v>
      </c>
      <c r="C8" s="4" t="s">
        <v>145</v>
      </c>
      <c r="D8" s="18">
        <v>7069</v>
      </c>
    </row>
    <row r="9" spans="1:4">
      <c r="A9" s="20">
        <v>46106</v>
      </c>
      <c r="B9" s="4" t="s">
        <v>141</v>
      </c>
      <c r="C9" s="4" t="s">
        <v>145</v>
      </c>
      <c r="D9" s="18">
        <v>53696</v>
      </c>
    </row>
    <row r="10" spans="1:4">
      <c r="A10" s="20">
        <v>46105</v>
      </c>
      <c r="B10" s="4" t="s">
        <v>144</v>
      </c>
      <c r="C10" s="4" t="s">
        <v>140</v>
      </c>
      <c r="D10" s="18">
        <v>5790</v>
      </c>
    </row>
    <row r="11" spans="1:4">
      <c r="A11" s="20">
        <v>46105</v>
      </c>
      <c r="B11" s="4" t="s">
        <v>143</v>
      </c>
      <c r="C11" s="4" t="s">
        <v>140</v>
      </c>
      <c r="D11" s="18">
        <v>11480</v>
      </c>
    </row>
    <row r="12" spans="1:4">
      <c r="A12" s="26" t="s">
        <v>58</v>
      </c>
      <c r="B12" s="27"/>
      <c r="C12" s="4"/>
      <c r="D12" s="5">
        <f>+SUM(D2:D11)</f>
        <v>195572</v>
      </c>
    </row>
    <row r="13" spans="1:4">
      <c r="A13" s="17"/>
      <c r="D13" s="19"/>
    </row>
    <row r="14" spans="1:4">
      <c r="A14" s="17"/>
      <c r="D14" s="19"/>
    </row>
    <row r="15" spans="1:4">
      <c r="A15" s="3" t="s">
        <v>183</v>
      </c>
      <c r="B15" s="4"/>
      <c r="C15" s="4"/>
      <c r="D15" s="4"/>
    </row>
    <row r="16" spans="1:4">
      <c r="A16" s="3" t="s">
        <v>184</v>
      </c>
      <c r="B16" s="3" t="s">
        <v>185</v>
      </c>
      <c r="C16" s="3" t="s">
        <v>56</v>
      </c>
      <c r="D16" s="3" t="s">
        <v>57</v>
      </c>
    </row>
    <row r="17" spans="1:4">
      <c r="A17" s="4" t="s">
        <v>186</v>
      </c>
      <c r="B17" s="4" t="s">
        <v>187</v>
      </c>
      <c r="C17" s="4" t="s">
        <v>188</v>
      </c>
      <c r="D17" s="4">
        <v>126978</v>
      </c>
    </row>
    <row r="18" spans="1:4">
      <c r="A18" s="4" t="s">
        <v>186</v>
      </c>
      <c r="B18" s="4" t="s">
        <v>189</v>
      </c>
      <c r="C18" s="4" t="s">
        <v>190</v>
      </c>
      <c r="D18" s="4">
        <v>133430</v>
      </c>
    </row>
    <row r="19" spans="1:4">
      <c r="A19" s="4" t="s">
        <v>186</v>
      </c>
      <c r="B19" s="4" t="s">
        <v>189</v>
      </c>
      <c r="C19" s="4" t="s">
        <v>190</v>
      </c>
      <c r="D19" s="4">
        <v>25800</v>
      </c>
    </row>
    <row r="20" spans="1:4">
      <c r="A20" s="4" t="s">
        <v>186</v>
      </c>
      <c r="B20" s="4" t="s">
        <v>191</v>
      </c>
      <c r="C20" s="4" t="s">
        <v>190</v>
      </c>
      <c r="D20" s="4">
        <v>1100</v>
      </c>
    </row>
    <row r="21" spans="1:4">
      <c r="A21" s="4" t="s">
        <v>192</v>
      </c>
      <c r="B21" s="4" t="s">
        <v>191</v>
      </c>
      <c r="C21" s="4" t="s">
        <v>190</v>
      </c>
      <c r="D21" s="4">
        <v>900</v>
      </c>
    </row>
    <row r="22" spans="1:4">
      <c r="A22" s="4" t="s">
        <v>192</v>
      </c>
      <c r="B22" s="4" t="s">
        <v>191</v>
      </c>
      <c r="C22" s="4" t="s">
        <v>190</v>
      </c>
      <c r="D22" s="4">
        <v>1100</v>
      </c>
    </row>
    <row r="23" spans="1:4">
      <c r="A23" s="4" t="s">
        <v>192</v>
      </c>
      <c r="B23" s="4" t="s">
        <v>191</v>
      </c>
      <c r="C23" s="4" t="s">
        <v>190</v>
      </c>
      <c r="D23" s="4">
        <v>3100</v>
      </c>
    </row>
    <row r="24" spans="1:4">
      <c r="A24" s="4" t="s">
        <v>192</v>
      </c>
      <c r="B24" s="4" t="s">
        <v>191</v>
      </c>
      <c r="C24" s="4" t="s">
        <v>190</v>
      </c>
      <c r="D24" s="4">
        <v>3100</v>
      </c>
    </row>
    <row r="25" spans="1:4">
      <c r="A25" s="4" t="s">
        <v>192</v>
      </c>
      <c r="B25" s="4" t="s">
        <v>191</v>
      </c>
      <c r="C25" s="4" t="s">
        <v>190</v>
      </c>
      <c r="D25" s="4">
        <v>1100</v>
      </c>
    </row>
    <row r="26" spans="1:4">
      <c r="A26" s="4" t="s">
        <v>192</v>
      </c>
      <c r="B26" s="4" t="s">
        <v>191</v>
      </c>
      <c r="C26" s="4" t="s">
        <v>190</v>
      </c>
      <c r="D26" s="4">
        <v>900</v>
      </c>
    </row>
    <row r="27" spans="1:4">
      <c r="A27" s="4" t="s">
        <v>192</v>
      </c>
      <c r="B27" s="4" t="s">
        <v>189</v>
      </c>
      <c r="C27" s="4" t="s">
        <v>190</v>
      </c>
      <c r="D27" s="4">
        <v>50490</v>
      </c>
    </row>
    <row r="28" spans="1:4">
      <c r="A28" s="4" t="s">
        <v>192</v>
      </c>
      <c r="B28" s="4" t="s">
        <v>193</v>
      </c>
      <c r="C28" s="4" t="s">
        <v>190</v>
      </c>
      <c r="D28" s="4">
        <v>3537</v>
      </c>
    </row>
    <row r="29" spans="1:4">
      <c r="A29" s="4" t="s">
        <v>192</v>
      </c>
      <c r="B29" s="4" t="s">
        <v>194</v>
      </c>
      <c r="C29" s="4" t="s">
        <v>190</v>
      </c>
      <c r="D29" s="4">
        <v>55377</v>
      </c>
    </row>
    <row r="30" spans="1:4">
      <c r="A30" s="4" t="s">
        <v>192</v>
      </c>
      <c r="B30" s="4" t="s">
        <v>189</v>
      </c>
      <c r="C30" s="4" t="s">
        <v>190</v>
      </c>
      <c r="D30" s="4">
        <v>7300</v>
      </c>
    </row>
    <row r="31" spans="1:4">
      <c r="A31" s="4" t="s">
        <v>192</v>
      </c>
      <c r="B31" s="4" t="s">
        <v>195</v>
      </c>
      <c r="C31" s="4" t="s">
        <v>190</v>
      </c>
      <c r="D31" s="4">
        <v>25800</v>
      </c>
    </row>
    <row r="32" spans="1:4">
      <c r="A32" s="4"/>
      <c r="B32" s="4"/>
      <c r="C32" s="4"/>
      <c r="D32" s="4"/>
    </row>
    <row r="33" spans="1:4">
      <c r="A33" s="3" t="s">
        <v>169</v>
      </c>
      <c r="B33" s="3"/>
      <c r="C33" s="3"/>
      <c r="D33" s="21">
        <f>+SUM(D17:D31)</f>
        <v>440012</v>
      </c>
    </row>
    <row r="36" spans="1:4">
      <c r="A36" s="3" t="s">
        <v>240</v>
      </c>
      <c r="B36" s="4"/>
      <c r="C36" s="4"/>
      <c r="D36" s="4"/>
    </row>
    <row r="37" spans="1:4">
      <c r="A37" s="3" t="s">
        <v>184</v>
      </c>
      <c r="B37" s="3" t="s">
        <v>185</v>
      </c>
      <c r="C37" s="3" t="s">
        <v>56</v>
      </c>
      <c r="D37" s="3" t="s">
        <v>57</v>
      </c>
    </row>
    <row r="38" spans="1:4">
      <c r="A38" s="4" t="s">
        <v>236</v>
      </c>
      <c r="B38" s="4" t="s">
        <v>187</v>
      </c>
      <c r="C38" s="4" t="s">
        <v>188</v>
      </c>
      <c r="D38" s="4">
        <v>143347</v>
      </c>
    </row>
    <row r="39" spans="1:4">
      <c r="A39" s="4" t="s">
        <v>236</v>
      </c>
      <c r="B39" s="4" t="s">
        <v>189</v>
      </c>
      <c r="C39" s="4" t="s">
        <v>190</v>
      </c>
      <c r="D39" s="4">
        <v>152240</v>
      </c>
    </row>
    <row r="40" spans="1:4">
      <c r="A40" s="4" t="s">
        <v>237</v>
      </c>
      <c r="B40" s="4" t="s">
        <v>238</v>
      </c>
      <c r="C40" s="4" t="s">
        <v>190</v>
      </c>
      <c r="D40" s="4">
        <v>630000</v>
      </c>
    </row>
    <row r="41" spans="1:4">
      <c r="A41" s="4" t="s">
        <v>237</v>
      </c>
      <c r="B41" s="4" t="s">
        <v>239</v>
      </c>
      <c r="C41" s="4" t="s">
        <v>190</v>
      </c>
      <c r="D41" s="4">
        <v>100000</v>
      </c>
    </row>
    <row r="42" spans="1:4">
      <c r="A42" s="4" t="s">
        <v>237</v>
      </c>
      <c r="B42" s="4" t="s">
        <v>189</v>
      </c>
      <c r="C42" s="4" t="s">
        <v>190</v>
      </c>
      <c r="D42" s="4">
        <v>24970</v>
      </c>
    </row>
    <row r="43" spans="1:4">
      <c r="A43" s="4" t="s">
        <v>237</v>
      </c>
      <c r="B43" s="4" t="s">
        <v>194</v>
      </c>
      <c r="C43" s="4" t="s">
        <v>190</v>
      </c>
      <c r="D43" s="4">
        <v>57148</v>
      </c>
    </row>
    <row r="44" spans="1:4">
      <c r="A44" s="4" t="s">
        <v>237</v>
      </c>
      <c r="B44" s="4" t="s">
        <v>195</v>
      </c>
      <c r="C44" s="4" t="s">
        <v>190</v>
      </c>
      <c r="D44" s="4">
        <v>25800</v>
      </c>
    </row>
    <row r="45" spans="1:4">
      <c r="A45" s="4" t="s">
        <v>236</v>
      </c>
      <c r="B45" s="4" t="s">
        <v>191</v>
      </c>
      <c r="C45" s="4" t="s">
        <v>190</v>
      </c>
      <c r="D45" s="4">
        <v>3600</v>
      </c>
    </row>
    <row r="46" spans="1:4">
      <c r="A46" s="4" t="s">
        <v>237</v>
      </c>
      <c r="B46" s="4" t="s">
        <v>191</v>
      </c>
      <c r="C46" s="4" t="s">
        <v>190</v>
      </c>
      <c r="D46" s="4">
        <v>3600</v>
      </c>
    </row>
    <row r="47" spans="1:4">
      <c r="A47" s="4" t="s">
        <v>237</v>
      </c>
      <c r="B47" s="4" t="s">
        <v>191</v>
      </c>
      <c r="C47" s="4" t="s">
        <v>190</v>
      </c>
      <c r="D47" s="4">
        <v>3600</v>
      </c>
    </row>
    <row r="48" spans="1:4">
      <c r="A48" s="3" t="s">
        <v>196</v>
      </c>
      <c r="B48" s="3"/>
      <c r="C48" s="3"/>
      <c r="D48" s="21">
        <f>+SUM(D38:D47)</f>
        <v>1144305</v>
      </c>
    </row>
    <row r="50" spans="1:5">
      <c r="A50" s="3" t="s">
        <v>241</v>
      </c>
      <c r="B50" s="4"/>
      <c r="C50" s="4"/>
      <c r="D50" s="4"/>
    </row>
    <row r="51" spans="1:5">
      <c r="A51" s="3" t="s">
        <v>184</v>
      </c>
      <c r="B51" s="3" t="s">
        <v>185</v>
      </c>
      <c r="C51" s="3" t="s">
        <v>56</v>
      </c>
      <c r="D51" s="3" t="s">
        <v>57</v>
      </c>
    </row>
    <row r="52" spans="1:5">
      <c r="A52" s="22" t="s">
        <v>244</v>
      </c>
      <c r="B52" s="4" t="s">
        <v>242</v>
      </c>
      <c r="C52" s="4" t="s">
        <v>188</v>
      </c>
      <c r="D52" s="28">
        <v>0</v>
      </c>
      <c r="E52" t="s">
        <v>243</v>
      </c>
    </row>
    <row r="53" spans="1:5" ht="30">
      <c r="A53" s="22" t="s">
        <v>244</v>
      </c>
      <c r="B53" s="23" t="s">
        <v>245</v>
      </c>
      <c r="C53" s="4" t="s">
        <v>190</v>
      </c>
      <c r="D53" s="28">
        <v>3780387</v>
      </c>
    </row>
    <row r="54" spans="1:5">
      <c r="A54" s="22" t="s">
        <v>244</v>
      </c>
      <c r="B54" s="23" t="s">
        <v>246</v>
      </c>
      <c r="C54" s="4" t="s">
        <v>188</v>
      </c>
      <c r="D54" s="28">
        <v>156179</v>
      </c>
    </row>
    <row r="55" spans="1:5" ht="30">
      <c r="A55" s="22" t="s">
        <v>248</v>
      </c>
      <c r="B55" s="23" t="s">
        <v>247</v>
      </c>
      <c r="C55" s="4"/>
      <c r="D55" s="28">
        <v>64200</v>
      </c>
    </row>
    <row r="56" spans="1:5">
      <c r="A56" s="22" t="s">
        <v>244</v>
      </c>
      <c r="B56" s="4" t="s">
        <v>187</v>
      </c>
      <c r="C56" s="4" t="s">
        <v>188</v>
      </c>
      <c r="D56" s="28"/>
    </row>
    <row r="57" spans="1:5">
      <c r="A57" s="22" t="s">
        <v>244</v>
      </c>
      <c r="B57" s="4" t="s">
        <v>189</v>
      </c>
      <c r="C57" s="4" t="s">
        <v>190</v>
      </c>
      <c r="D57" s="28"/>
    </row>
    <row r="58" spans="1:5">
      <c r="A58" s="22" t="s">
        <v>244</v>
      </c>
      <c r="B58" s="4" t="s">
        <v>238</v>
      </c>
      <c r="C58" s="4" t="s">
        <v>190</v>
      </c>
      <c r="D58" s="28"/>
    </row>
    <row r="59" spans="1:5">
      <c r="A59" s="22" t="s">
        <v>244</v>
      </c>
      <c r="B59" s="4" t="s">
        <v>239</v>
      </c>
      <c r="C59" s="4" t="s">
        <v>190</v>
      </c>
      <c r="D59" s="28"/>
    </row>
    <row r="60" spans="1:5">
      <c r="A60" s="22" t="s">
        <v>244</v>
      </c>
      <c r="B60" s="4" t="s">
        <v>189</v>
      </c>
      <c r="C60" s="4" t="s">
        <v>190</v>
      </c>
      <c r="D60" s="28"/>
    </row>
    <row r="61" spans="1:5">
      <c r="A61" s="22" t="s">
        <v>244</v>
      </c>
      <c r="B61" s="4" t="s">
        <v>194</v>
      </c>
      <c r="C61" s="4" t="s">
        <v>190</v>
      </c>
      <c r="D61" s="28"/>
    </row>
    <row r="62" spans="1:5">
      <c r="A62" s="22" t="s">
        <v>244</v>
      </c>
      <c r="B62" s="4" t="s">
        <v>195</v>
      </c>
      <c r="C62" s="4" t="s">
        <v>190</v>
      </c>
      <c r="D62" s="28"/>
    </row>
    <row r="63" spans="1:5">
      <c r="A63" s="22" t="s">
        <v>244</v>
      </c>
      <c r="B63" s="4" t="s">
        <v>191</v>
      </c>
      <c r="C63" s="4" t="s">
        <v>190</v>
      </c>
      <c r="D63" s="28"/>
    </row>
    <row r="64" spans="1:5">
      <c r="A64" s="22" t="s">
        <v>244</v>
      </c>
      <c r="B64" s="4" t="s">
        <v>191</v>
      </c>
      <c r="C64" s="4" t="s">
        <v>190</v>
      </c>
      <c r="D64" s="28"/>
    </row>
    <row r="65" spans="1:4">
      <c r="A65" s="22" t="s">
        <v>244</v>
      </c>
      <c r="B65" s="4" t="s">
        <v>191</v>
      </c>
      <c r="C65" s="4" t="s">
        <v>190</v>
      </c>
      <c r="D65" s="28"/>
    </row>
    <row r="66" spans="1:4">
      <c r="A66" s="3" t="s">
        <v>196</v>
      </c>
      <c r="B66" s="3"/>
      <c r="C66" s="3"/>
      <c r="D66" s="21">
        <f>+SUM(D52:D65)</f>
        <v>4000766</v>
      </c>
    </row>
  </sheetData>
  <mergeCells count="2">
    <mergeCell ref="A1:B1"/>
    <mergeCell ref="A12:B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MOVIMIENTOS</vt:lpstr>
      <vt:lpstr>CATEGORIAS</vt:lpstr>
      <vt:lpstr>Rendiciones de 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Lecaros</dc:creator>
  <cp:lastModifiedBy>Felipe Hiriart</cp:lastModifiedBy>
  <dcterms:created xsi:type="dcterms:W3CDTF">2015-06-05T18:17:20Z</dcterms:created>
  <dcterms:modified xsi:type="dcterms:W3CDTF">2026-05-25T15:53:40Z</dcterms:modified>
</cp:coreProperties>
</file>
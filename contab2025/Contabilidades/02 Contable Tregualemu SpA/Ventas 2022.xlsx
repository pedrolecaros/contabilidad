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felipehiriart/Library/CloudStorage/GoogleDrive-fhiriart@lyonmontero.cl/.shortcut-targets-by-id/1z-xPkRvJw4Babhq06Xv-h-xEtqM22pUB/Desarrollos Ecox/Tregualemu SpA/Contable Tregualemu SpA/"/>
    </mc:Choice>
  </mc:AlternateContent>
  <xr:revisionPtr revIDLastSave="0" documentId="13_ncr:1_{C86DE2EA-15CE-E249-B5A8-D99C4A6F0E14}" xr6:coauthVersionLast="47" xr6:coauthVersionMax="47" xr10:uidLastSave="{00000000-0000-0000-0000-000000000000}"/>
  <bookViews>
    <workbookView xWindow="4060" yWindow="960" windowWidth="29040" windowHeight="15840" xr2:uid="{00000000-000D-0000-FFFF-FFFF00000000}"/>
  </bookViews>
  <sheets>
    <sheet name="Ventas 2022" sheetId="1" r:id="rId1"/>
    <sheet name="F29 202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F49" i="1"/>
  <c r="E49" i="1"/>
  <c r="C49" i="1"/>
</calcChain>
</file>

<file path=xl/sharedStrings.xml><?xml version="1.0" encoding="utf-8"?>
<sst xmlns="http://schemas.openxmlformats.org/spreadsheetml/2006/main" count="133" uniqueCount="74">
  <si>
    <t>FECHA</t>
  </si>
  <si>
    <t>BANCO SANTANDER</t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</si>
  <si>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</si>
  <si>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</si>
  <si>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14/07/2022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</si>
  <si>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</si>
  <si>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</si>
  <si>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r>
      <rPr>
        <sz val="10"/>
        <color rgb="FF000000"/>
        <rFont val="Calibri"/>
        <family val="2"/>
      </rPr>
      <t>02/09/2022</t>
    </r>
  </si>
  <si>
    <t>TOTAL</t>
  </si>
  <si>
    <t>MONTO</t>
  </si>
  <si>
    <t>DESCRIPCIÓN MOVIMIENTO</t>
  </si>
  <si>
    <t>016069193K Transf. LEIVA LIBUY NIC</t>
  </si>
  <si>
    <r>
      <rPr>
        <sz val="10"/>
        <color rgb="FF000000"/>
        <rFont val="Calibri"/>
        <family val="2"/>
      </rPr>
      <t>10/01/2022</t>
    </r>
  </si>
  <si>
    <t>Reserva Parcela 20</t>
  </si>
  <si>
    <t>Transf.Internet a 3o mismo Bco</t>
  </si>
  <si>
    <t>Depósito con Vales Vista</t>
  </si>
  <si>
    <r>
      <rPr>
        <sz val="10"/>
        <color rgb="FF000000"/>
        <rFont val="Calibri"/>
        <family val="2"/>
      </rPr>
      <t>27/01/2022</t>
    </r>
  </si>
  <si>
    <t>Ingreso venta parcela 20</t>
  </si>
  <si>
    <t>Ingreso venta parcela 18</t>
  </si>
  <si>
    <t>Ingreso venta parcela 27</t>
  </si>
  <si>
    <t>0767912382 Transf. ANTUMALEN SERVI</t>
  </si>
  <si>
    <r>
      <rPr>
        <sz val="10"/>
        <color rgb="FF000000"/>
        <rFont val="Calibri"/>
        <family val="2"/>
      </rPr>
      <t>21/04/2022</t>
    </r>
  </si>
  <si>
    <t>Reserva lote 28 tregualemu</t>
  </si>
  <si>
    <t>00215570657 Transf. MICHELLE A</t>
  </si>
  <si>
    <t>Reserva lote 22 y 23 tregualemu</t>
  </si>
  <si>
    <r>
      <rPr>
        <sz val="10"/>
        <color rgb="FF000000"/>
        <rFont val="Calibri"/>
        <family val="2"/>
      </rPr>
      <t>22/04/2022</t>
    </r>
  </si>
  <si>
    <t>Transf.Internet a 0162824252</t>
  </si>
  <si>
    <t>Descuento precio venta parcela 18 Tregualemu por tener menos metros</t>
  </si>
  <si>
    <r>
      <rPr>
        <sz val="10"/>
        <color rgb="FF000000"/>
        <rFont val="Calibri"/>
        <family val="2"/>
      </rPr>
      <t>29/04/2022</t>
    </r>
  </si>
  <si>
    <t>Reserva lote 29 tregualemu</t>
  </si>
  <si>
    <t>0191519485 Transf. Esteban Gaston</t>
  </si>
  <si>
    <r>
      <rPr>
        <sz val="10"/>
        <color rgb="FF000000"/>
        <rFont val="Calibri"/>
        <family val="2"/>
      </rPr>
      <t>03/05/2022</t>
    </r>
  </si>
  <si>
    <t>Reserva sitio 33</t>
  </si>
  <si>
    <t>0173562071 Transf. Maximiliano Fel</t>
  </si>
  <si>
    <t>0166574668 Transf. Valentina Paz M</t>
  </si>
  <si>
    <r>
      <rPr>
        <sz val="10"/>
        <color rgb="FF000000"/>
        <rFont val="Calibri"/>
        <family val="2"/>
      </rPr>
      <t>23/05/2022</t>
    </r>
  </si>
  <si>
    <t>Reserva sitio 21</t>
  </si>
  <si>
    <t>0191519485 Transf. Esteban</t>
  </si>
  <si>
    <r>
      <rPr>
        <sz val="10"/>
        <color rgb="FF000000"/>
        <rFont val="Calibri"/>
        <family val="2"/>
      </rPr>
      <t>25/05/2022</t>
    </r>
  </si>
  <si>
    <t>Pago sitio 33</t>
  </si>
  <si>
    <r>
      <rPr>
        <sz val="10"/>
        <color rgb="FF000000"/>
        <rFont val="Calibri"/>
        <family val="2"/>
      </rPr>
      <t>26/05/2022</t>
    </r>
  </si>
  <si>
    <r>
      <rPr>
        <sz val="10"/>
        <color rgb="FF000000"/>
        <rFont val="Calibri"/>
        <family val="2"/>
      </rPr>
      <t>27/05/2022</t>
    </r>
  </si>
  <si>
    <r>
      <rPr>
        <sz val="10"/>
        <color rgb="FF000000"/>
        <rFont val="Calibri"/>
        <family val="2"/>
      </rPr>
      <t>30/05/2022</t>
    </r>
  </si>
  <si>
    <r>
      <rPr>
        <sz val="10"/>
        <color rgb="FF000000"/>
        <rFont val="Calibri"/>
        <family val="2"/>
      </rPr>
      <t>31/05/2022</t>
    </r>
  </si>
  <si>
    <r>
      <rPr>
        <sz val="10"/>
        <color rgb="FF000000"/>
        <rFont val="Calibri"/>
        <family val="2"/>
      </rPr>
      <t>02/06/2022</t>
    </r>
  </si>
  <si>
    <t>Venta Esteban Cross PC 33</t>
  </si>
  <si>
    <r>
      <rPr>
        <sz val="10"/>
        <color rgb="FF000000"/>
        <rFont val="Calibri"/>
        <family val="2"/>
      </rPr>
      <t>22/06/2022</t>
    </r>
  </si>
  <si>
    <t>Venta Pc 2</t>
  </si>
  <si>
    <r>
      <rPr>
        <sz val="10"/>
        <color rgb="FF000000"/>
        <rFont val="Calibri"/>
        <family val="2"/>
      </rPr>
      <t>28/06/2022</t>
    </r>
  </si>
  <si>
    <r>
      <rPr>
        <sz val="10"/>
        <color rgb="FF000000"/>
        <rFont val="Calibri"/>
        <family val="2"/>
      </rPr>
      <t>07/07/2022</t>
    </r>
  </si>
  <si>
    <t>Pc 34 Tregualemu Esteban Cross</t>
  </si>
  <si>
    <t>0073158931 Transf. Orlando Gabriel</t>
  </si>
  <si>
    <r>
      <rPr>
        <sz val="10"/>
        <color rgb="FF000000"/>
        <rFont val="Calibri"/>
        <family val="2"/>
      </rPr>
      <t>12/07/2022</t>
    </r>
  </si>
  <si>
    <t>Reserva Pc 5 Tregualemu</t>
  </si>
  <si>
    <r>
      <rPr>
        <sz val="10"/>
        <color rgb="FF000000"/>
        <rFont val="Calibri"/>
        <family val="2"/>
      </rPr>
      <t>13/07/2022</t>
    </r>
  </si>
  <si>
    <t>Pc28 y Pc29 Tregualemu</t>
  </si>
  <si>
    <r>
      <rPr>
        <sz val="10"/>
        <color rgb="FF000000"/>
        <rFont val="Calibri"/>
        <family val="2"/>
      </rPr>
      <t>27/07/2022</t>
    </r>
  </si>
  <si>
    <r>
      <rPr>
        <sz val="10"/>
        <color rgb="FF000000"/>
        <rFont val="Calibri"/>
        <family val="2"/>
      </rPr>
      <t>01/09/2022</t>
    </r>
  </si>
  <si>
    <t>Precio venta sitio 34</t>
  </si>
  <si>
    <t>0171190827 Transf. Amalia Cross Ga</t>
  </si>
  <si>
    <r>
      <rPr>
        <sz val="10"/>
        <color rgb="FF000000"/>
        <rFont val="Calibri"/>
        <family val="2"/>
      </rPr>
      <t>06/09/2022</t>
    </r>
  </si>
  <si>
    <r>
      <rPr>
        <sz val="10"/>
        <color rgb="FF000000"/>
        <rFont val="Calibri"/>
        <family val="2"/>
      </rPr>
      <t>07/09/2022</t>
    </r>
  </si>
  <si>
    <r>
      <rPr>
        <sz val="10"/>
        <color rgb="FF000000"/>
        <rFont val="Calibri"/>
        <family val="2"/>
      </rPr>
      <t>13/10/2022</t>
    </r>
  </si>
  <si>
    <t>Venta sitio 22 en tregualemu</t>
  </si>
  <si>
    <r>
      <rPr>
        <sz val="10"/>
        <color rgb="FF000000"/>
        <rFont val="Calibri"/>
        <family val="2"/>
      </rPr>
      <t>07/11/2022</t>
    </r>
  </si>
  <si>
    <t>Venta sitio 5 Tregualemu</t>
  </si>
  <si>
    <t>Costo Terreno UF</t>
  </si>
  <si>
    <t>Total Parcelas</t>
  </si>
  <si>
    <t>Costo por parcela UF</t>
  </si>
  <si>
    <t>Cantidad parcellas vendidas 2022</t>
  </si>
  <si>
    <t>Costo UF 2022</t>
  </si>
  <si>
    <t>Costo Pesos 31-12-2022</t>
  </si>
  <si>
    <t>21 y 23 no se vendieron en 2022</t>
  </si>
  <si>
    <t>UF 31-12-2022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</si>
</sst>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164" formatCode="&quot;$&quot;#,##0;[Red]&quot;$&quot;\-#,##0"/>
    <numFmt numFmtId="165" formatCode="&quot;$&quot;#,##0.00;[Red]&quot;$&quot;\-#,##0.00"/>
  </numFmts>
  <fonts count="10" x14ac:knownFonts="1">
    <font>
      <sz val="11"/>
      <color theme="1"/>
      <name val="Arial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ajor"/>
    </font>
    <font>
      <b/>
      <sz val="10"/>
      <color rgb="FF444444"/>
      <name val="Arial"/>
      <family val="2"/>
    </font>
    <font>
      <b/>
      <sz val="14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Border="0"/>
  </cellStyleXfs>
  <cellXfs count="24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15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/>
    <xf numFmtId="165" fontId="4" fillId="0" borderId="1" xfId="0" applyNumberFormat="1" applyFont="1" applyBorder="1" applyAlignment="1">
      <alignment horizontal="right" wrapText="1"/>
    </xf>
    <xf numFmtId="164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6" fillId="0" borderId="2" xfId="0" applyFont="1" applyBorder="1"/>
    <xf numFmtId="0" fontId="2" fillId="0" borderId="0" xfId="0" applyFont="1"/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8" fillId="0" borderId="0" xfId="0" applyFont="1"/>
    <xf numFmtId="3" fontId="5" fillId="2" borderId="4" xfId="0" applyNumberFormat="1" applyFont="1" applyFill="1" applyBorder="1"/>
    <xf numFmtId="0" fontId="5" fillId="2" borderId="3" xfId="0" applyFont="1" applyFill="1" applyBorder="1"/>
    <xf numFmtId="0" fontId="5" fillId="0" borderId="1" xfId="0" applyFont="1" applyBorder="1"/>
    <xf numFmtId="2" fontId="4" fillId="0" borderId="1" xfId="0" applyNumberFormat="1" applyFont="1" applyBorder="1"/>
    <xf numFmtId="0" fontId="4" fillId="2" borderId="1" xfId="0" applyFont="1" applyFill="1" applyBorder="1" applyAlignment="1">
      <alignment wrapText="1"/>
    </xf>
    <xf numFmtId="4" fontId="4" fillId="0" borderId="1" xfId="0" applyNumberFormat="1" applyFont="1" applyBorder="1"/>
    <xf numFmtId="0" fontId="9" fillId="2" borderId="5" xfId="0" applyFont="1" applyFill="1" applyBorder="1"/>
    <xf numFmtId="42" fontId="9" fillId="2" borderId="5" xfId="0" applyNumberFormat="1" applyFont="1" applyFill="1" applyBorder="1"/>
    <xf numFmtId="17" fontId="0" fillId="0" borderId="0" xfId="0" applyNumberFormat="1"/>
    <xf numFmtId="42" fontId="0" fillId="0" borderId="0" xfId="0" applyNumberFormat="1"/>
  </cellXfs>
  <cellStyles count="2">
    <cellStyle name="Normal" xfId="0" builtinId="0"/>
    <cellStyle name="Normal 2" xfId="1" xr:uid="{309944FA-D047-4B84-A852-A9DA8B53B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5"/>
  <sheetViews>
    <sheetView tabSelected="1" zoomScale="93" zoomScaleNormal="93" workbookViewId="0">
      <pane ySplit="1" topLeftCell="A25" activePane="bottomLeft" state="frozen"/>
      <selection pane="bottomLeft" activeCell="A46" sqref="A46"/>
    </sheetView>
  </sheetViews>
  <sheetFormatPr baseColWidth="10" defaultColWidth="12.6640625" defaultRowHeight="15" customHeight="1" x14ac:dyDescent="0.2"/>
  <cols>
    <col min="1" max="1" width="24.1640625" style="1" customWidth="1"/>
    <col min="2" max="2" width="36.83203125" style="1" customWidth="1"/>
    <col min="3" max="3" width="22.6640625" style="1" customWidth="1"/>
    <col min="4" max="4" width="29.5" style="1" customWidth="1"/>
    <col min="5" max="5" width="18.6640625" style="1" customWidth="1"/>
    <col min="6" max="6" width="29.5" style="1" customWidth="1"/>
    <col min="7" max="7" width="11.6640625" style="1" bestFit="1" customWidth="1"/>
    <col min="8" max="9" width="13.6640625" style="1" bestFit="1" customWidth="1"/>
    <col min="10" max="10" width="69.83203125" style="1" bestFit="1" customWidth="1"/>
    <col min="11" max="11" width="15" style="1" bestFit="1" customWidth="1"/>
    <col min="12" max="21" width="10" style="1" customWidth="1"/>
    <col min="22" max="16384" width="12.6640625" style="1"/>
  </cols>
  <sheetData>
    <row r="1" spans="1:21" ht="16" x14ac:dyDescent="0.2">
      <c r="A1" s="2"/>
      <c r="B1" s="3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</row>
    <row r="2" spans="1:21" ht="15.75" customHeight="1" x14ac:dyDescent="0.2">
      <c r="A2" s="4"/>
      <c r="B2" s="2"/>
      <c r="C2" s="7"/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6"/>
      <c r="Q2" s="2"/>
      <c r="R2" s="2"/>
      <c r="S2" s="2"/>
      <c r="T2" s="2"/>
      <c r="U2" s="2"/>
    </row>
    <row r="3" spans="1:21" ht="15.75" customHeight="1" x14ac:dyDescent="0.2">
      <c r="A3" s="9" t="s">
        <v>9</v>
      </c>
      <c r="B3" s="9" t="s">
        <v>10</v>
      </c>
      <c r="C3" s="9" t="s">
        <v>0</v>
      </c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6"/>
      <c r="Q3" s="2"/>
      <c r="R3" s="2"/>
      <c r="S3" s="2"/>
      <c r="T3" s="2"/>
      <c r="U3" s="2"/>
    </row>
    <row r="4" spans="1:21" ht="15.75" customHeight="1" x14ac:dyDescent="0.2">
      <c r="A4" s="11">
        <v>250000</v>
      </c>
      <c r="B4" s="12" t="s">
        <v>11</v>
      </c>
      <c r="C4" s="12" t="s">
        <v>12</v>
      </c>
      <c r="D4" s="10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6"/>
      <c r="Q4" s="2"/>
      <c r="R4" s="2"/>
      <c r="S4" s="2"/>
      <c r="T4" s="2"/>
      <c r="U4" s="2"/>
    </row>
    <row r="5" spans="1:21" ht="15.75" customHeight="1" x14ac:dyDescent="0.2">
      <c r="A5" s="11">
        <v>250000</v>
      </c>
      <c r="B5" s="12" t="s">
        <v>14</v>
      </c>
      <c r="C5" s="12" t="s">
        <v>12</v>
      </c>
      <c r="D5" s="10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6"/>
      <c r="Q5" s="2"/>
      <c r="R5" s="2"/>
      <c r="S5" s="2"/>
      <c r="T5" s="2"/>
      <c r="U5" s="2"/>
    </row>
    <row r="6" spans="1:21" ht="15.75" customHeight="1" x14ac:dyDescent="0.2">
      <c r="A6" s="11">
        <v>18400000</v>
      </c>
      <c r="B6" s="12" t="s">
        <v>15</v>
      </c>
      <c r="C6" s="12" t="s">
        <v>16</v>
      </c>
      <c r="D6" s="10" t="s">
        <v>17</v>
      </c>
      <c r="F6" s="2"/>
      <c r="G6" s="2"/>
      <c r="H6" s="2"/>
      <c r="I6" s="2"/>
      <c r="J6" s="2"/>
      <c r="K6" s="2"/>
      <c r="L6" s="2"/>
      <c r="M6" s="2"/>
      <c r="N6" s="2"/>
      <c r="O6" s="2"/>
      <c r="P6" s="6"/>
      <c r="Q6" s="2"/>
      <c r="R6" s="2"/>
      <c r="S6" s="2"/>
      <c r="T6" s="2"/>
      <c r="U6" s="2"/>
    </row>
    <row r="7" spans="1:21" ht="15.75" customHeight="1" x14ac:dyDescent="0.2">
      <c r="A7" s="11">
        <v>16900000</v>
      </c>
      <c r="B7" s="12" t="s">
        <v>15</v>
      </c>
      <c r="C7" s="12" t="s">
        <v>16</v>
      </c>
      <c r="D7" s="10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6"/>
      <c r="Q7" s="2"/>
      <c r="R7" s="2"/>
      <c r="S7" s="2"/>
      <c r="T7" s="2"/>
      <c r="U7" s="2"/>
    </row>
    <row r="8" spans="1:21" ht="15.75" customHeight="1" x14ac:dyDescent="0.2">
      <c r="A8" s="11">
        <v>15900000</v>
      </c>
      <c r="B8" s="12" t="s">
        <v>15</v>
      </c>
      <c r="C8" s="12" t="s">
        <v>16</v>
      </c>
      <c r="D8" s="10" t="s">
        <v>19</v>
      </c>
      <c r="F8" s="2"/>
      <c r="G8" s="2"/>
      <c r="H8" s="2"/>
      <c r="I8" s="2"/>
      <c r="J8" s="2"/>
      <c r="K8" s="2"/>
      <c r="L8" s="2"/>
      <c r="M8" s="2"/>
      <c r="N8" s="2"/>
      <c r="O8" s="2"/>
      <c r="P8" s="6"/>
      <c r="Q8" s="2"/>
      <c r="R8" s="2"/>
      <c r="S8" s="2"/>
      <c r="T8" s="2"/>
      <c r="U8" s="2"/>
    </row>
    <row r="9" spans="1:21" ht="15.75" customHeight="1" x14ac:dyDescent="0.2">
      <c r="A9" s="11">
        <v>500000</v>
      </c>
      <c r="B9" s="12" t="s">
        <v>20</v>
      </c>
      <c r="C9" s="12" t="s">
        <v>21</v>
      </c>
      <c r="D9" s="10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1" ht="15.75" customHeight="1" x14ac:dyDescent="0.2">
      <c r="A10" s="11">
        <v>250000</v>
      </c>
      <c r="B10" s="12" t="s">
        <v>23</v>
      </c>
      <c r="C10" s="12" t="s">
        <v>21</v>
      </c>
      <c r="D10" s="12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1" ht="15.75" customHeight="1" x14ac:dyDescent="0.2">
      <c r="A11" s="11">
        <v>750000</v>
      </c>
      <c r="B11" s="12" t="s">
        <v>23</v>
      </c>
      <c r="C11" s="12" t="s">
        <v>25</v>
      </c>
      <c r="D11" s="12" t="s">
        <v>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1" ht="15.75" customHeight="1" x14ac:dyDescent="0.2">
      <c r="A12" s="11">
        <v>-431320</v>
      </c>
      <c r="B12" s="12" t="s">
        <v>26</v>
      </c>
      <c r="C12" s="12" t="s">
        <v>25</v>
      </c>
      <c r="D12" s="13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1" ht="15.75" customHeight="1" x14ac:dyDescent="0.2">
      <c r="A13" s="11">
        <v>500000</v>
      </c>
      <c r="B13" s="12" t="s">
        <v>20</v>
      </c>
      <c r="C13" s="12" t="s">
        <v>28</v>
      </c>
      <c r="D13" s="10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1" ht="15.75" customHeight="1" x14ac:dyDescent="0.2">
      <c r="A14" s="11">
        <v>350000</v>
      </c>
      <c r="B14" s="12" t="s">
        <v>30</v>
      </c>
      <c r="C14" s="12" t="s">
        <v>31</v>
      </c>
      <c r="D14" s="10" t="s">
        <v>32</v>
      </c>
      <c r="E14" s="2"/>
      <c r="F14" s="2"/>
      <c r="G14" s="2"/>
      <c r="H14" s="2"/>
      <c r="I14" s="2"/>
      <c r="J14" s="2"/>
      <c r="K14" s="2"/>
    </row>
    <row r="15" spans="1:21" ht="15.75" customHeight="1" x14ac:dyDescent="0.2">
      <c r="A15" s="11">
        <v>150000</v>
      </c>
      <c r="B15" s="12" t="s">
        <v>33</v>
      </c>
      <c r="C15" s="12" t="s">
        <v>31</v>
      </c>
      <c r="D15" s="10" t="s">
        <v>32</v>
      </c>
      <c r="E15" s="2"/>
      <c r="F15" s="2"/>
      <c r="G15" s="2"/>
      <c r="H15" s="2"/>
      <c r="I15" s="2"/>
      <c r="J15" s="2"/>
      <c r="K15" s="2"/>
      <c r="L15" s="2"/>
    </row>
    <row r="16" spans="1:21" ht="15.75" customHeight="1" x14ac:dyDescent="0.2">
      <c r="A16" s="11">
        <v>350000</v>
      </c>
      <c r="B16" s="12" t="s">
        <v>34</v>
      </c>
      <c r="C16" s="12" t="s">
        <v>35</v>
      </c>
      <c r="D16" s="10" t="s">
        <v>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customHeight="1" x14ac:dyDescent="0.2">
      <c r="A17" s="11">
        <v>150000</v>
      </c>
      <c r="B17" s="12" t="s">
        <v>34</v>
      </c>
      <c r="C17" s="12" t="s">
        <v>35</v>
      </c>
      <c r="D17" s="10" t="s">
        <v>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customHeight="1" x14ac:dyDescent="0.2">
      <c r="A18" s="11">
        <v>2000000</v>
      </c>
      <c r="B18" s="12" t="s">
        <v>37</v>
      </c>
      <c r="C18" s="12" t="s">
        <v>38</v>
      </c>
      <c r="D18" s="10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75" customHeight="1" x14ac:dyDescent="0.2">
      <c r="A19" s="11">
        <v>3000000</v>
      </c>
      <c r="B19" s="12" t="s">
        <v>37</v>
      </c>
      <c r="C19" s="12" t="s">
        <v>40</v>
      </c>
      <c r="D19" s="10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75" customHeight="1" x14ac:dyDescent="0.2">
      <c r="A20" s="11">
        <v>3000000</v>
      </c>
      <c r="B20" s="12" t="s">
        <v>37</v>
      </c>
      <c r="C20" s="12" t="s">
        <v>41</v>
      </c>
      <c r="D20" s="10" t="s">
        <v>39</v>
      </c>
      <c r="E20" s="2"/>
      <c r="F20" s="2"/>
      <c r="G20" s="2"/>
      <c r="H20" s="2"/>
      <c r="I20" s="18">
        <v>20</v>
      </c>
      <c r="J20" s="2"/>
      <c r="K20" s="2"/>
      <c r="L20" s="2"/>
      <c r="M20" s="2"/>
      <c r="N20" s="2"/>
      <c r="O20" s="2"/>
      <c r="P20" s="2"/>
    </row>
    <row r="21" spans="1:16" ht="15.75" customHeight="1" x14ac:dyDescent="0.2">
      <c r="A21" s="11">
        <v>2000000</v>
      </c>
      <c r="B21" s="12" t="s">
        <v>37</v>
      </c>
      <c r="C21" s="12" t="s">
        <v>42</v>
      </c>
      <c r="D21" s="10" t="s">
        <v>39</v>
      </c>
      <c r="E21" s="2"/>
      <c r="F21" s="2"/>
      <c r="G21" s="2"/>
      <c r="H21" s="2"/>
      <c r="I21" s="18">
        <v>18</v>
      </c>
      <c r="J21" s="2"/>
      <c r="K21" s="2"/>
      <c r="L21" s="2"/>
      <c r="M21" s="2"/>
      <c r="N21" s="2"/>
      <c r="O21" s="2"/>
      <c r="P21" s="2"/>
    </row>
    <row r="22" spans="1:16" ht="15.75" customHeight="1" x14ac:dyDescent="0.2">
      <c r="A22" s="11">
        <v>2000000</v>
      </c>
      <c r="B22" s="12" t="s">
        <v>37</v>
      </c>
      <c r="C22" s="12" t="s">
        <v>43</v>
      </c>
      <c r="D22" s="10" t="s">
        <v>39</v>
      </c>
      <c r="E22" s="2"/>
      <c r="F22" s="2"/>
      <c r="G22" s="2"/>
      <c r="H22" s="2"/>
      <c r="I22" s="18">
        <v>27</v>
      </c>
      <c r="J22" s="2"/>
      <c r="K22" s="2"/>
      <c r="L22" s="2"/>
      <c r="M22" s="2"/>
      <c r="N22" s="2"/>
      <c r="O22" s="2"/>
      <c r="P22" s="2"/>
    </row>
    <row r="23" spans="1:16" ht="15.75" customHeight="1" x14ac:dyDescent="0.2">
      <c r="A23" s="11">
        <v>500000</v>
      </c>
      <c r="B23" s="12" t="s">
        <v>37</v>
      </c>
      <c r="C23" s="12" t="s">
        <v>43</v>
      </c>
      <c r="D23" s="10" t="s">
        <v>39</v>
      </c>
      <c r="E23" s="2"/>
      <c r="F23" s="2"/>
      <c r="G23" s="2"/>
      <c r="H23" s="2"/>
      <c r="I23" s="18">
        <v>22</v>
      </c>
      <c r="J23" s="2"/>
      <c r="K23" s="2"/>
      <c r="L23" s="2"/>
      <c r="M23" s="2"/>
      <c r="N23" s="2"/>
      <c r="O23" s="2"/>
      <c r="P23" s="2"/>
    </row>
    <row r="24" spans="1:16" ht="15.75" customHeight="1" x14ac:dyDescent="0.2">
      <c r="A24" s="11">
        <v>2000000</v>
      </c>
      <c r="B24" s="12" t="s">
        <v>37</v>
      </c>
      <c r="C24" s="12" t="s">
        <v>44</v>
      </c>
      <c r="D24" s="10" t="s">
        <v>45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5.75" customHeight="1" x14ac:dyDescent="0.2">
      <c r="A25" s="11">
        <v>2400000</v>
      </c>
      <c r="B25" s="12" t="s">
        <v>34</v>
      </c>
      <c r="C25" s="12" t="s">
        <v>46</v>
      </c>
      <c r="D25" s="10" t="s">
        <v>47</v>
      </c>
      <c r="E25" s="2"/>
      <c r="F25" s="2"/>
      <c r="G25" s="2"/>
      <c r="H25" s="2"/>
      <c r="I25" s="18">
        <v>29</v>
      </c>
      <c r="J25" s="2"/>
      <c r="K25" s="2"/>
      <c r="L25" s="2"/>
      <c r="M25" s="2"/>
      <c r="N25" s="2"/>
      <c r="O25" s="2"/>
      <c r="P25" s="2"/>
    </row>
    <row r="26" spans="1:16" ht="15.75" customHeight="1" x14ac:dyDescent="0.2">
      <c r="A26" s="11">
        <v>5000000</v>
      </c>
      <c r="B26" s="12" t="s">
        <v>34</v>
      </c>
      <c r="C26" s="12" t="s">
        <v>2</v>
      </c>
      <c r="D26" s="10" t="s">
        <v>47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5.75" customHeight="1" x14ac:dyDescent="0.2">
      <c r="A27" s="11">
        <v>4700000</v>
      </c>
      <c r="B27" s="12" t="s">
        <v>33</v>
      </c>
      <c r="C27" s="12" t="s">
        <v>2</v>
      </c>
      <c r="D27" s="10" t="s">
        <v>45</v>
      </c>
      <c r="E27" s="2"/>
      <c r="F27" s="2"/>
      <c r="G27" s="2"/>
      <c r="H27" s="2"/>
      <c r="I27" s="18">
        <v>33</v>
      </c>
      <c r="J27" s="2"/>
      <c r="K27" s="2"/>
      <c r="L27" s="2"/>
      <c r="M27" s="2"/>
      <c r="N27" s="2"/>
      <c r="O27" s="2"/>
      <c r="P27" s="2"/>
    </row>
    <row r="28" spans="1:16" ht="15.75" customHeight="1" x14ac:dyDescent="0.2">
      <c r="A28" s="11">
        <v>700000</v>
      </c>
      <c r="B28" s="12" t="s">
        <v>37</v>
      </c>
      <c r="C28" s="12" t="s">
        <v>2</v>
      </c>
      <c r="D28" s="10" t="s">
        <v>45</v>
      </c>
      <c r="E28" s="2"/>
      <c r="F28" s="2"/>
      <c r="G28" s="2"/>
      <c r="H28" s="2"/>
      <c r="I28" s="18">
        <v>2</v>
      </c>
      <c r="J28" s="2"/>
      <c r="K28" s="2"/>
      <c r="L28" s="2"/>
      <c r="M28" s="2"/>
      <c r="N28" s="2"/>
      <c r="O28" s="2"/>
      <c r="P28" s="2"/>
    </row>
    <row r="29" spans="1:16" ht="15.75" customHeight="1" x14ac:dyDescent="0.2">
      <c r="A29" s="11">
        <v>5000000</v>
      </c>
      <c r="B29" s="12" t="s">
        <v>34</v>
      </c>
      <c r="C29" s="12" t="s">
        <v>3</v>
      </c>
      <c r="D29" s="10" t="s">
        <v>47</v>
      </c>
      <c r="E29" s="2"/>
      <c r="F29" s="2"/>
      <c r="G29" s="2"/>
      <c r="H29" s="2"/>
      <c r="I29" s="18">
        <v>34</v>
      </c>
      <c r="J29" s="2"/>
      <c r="K29" s="2"/>
      <c r="L29" s="2"/>
      <c r="M29" s="2"/>
      <c r="N29" s="2"/>
      <c r="O29" s="2"/>
      <c r="P29" s="2"/>
    </row>
    <row r="30" spans="1:16" ht="15.75" customHeight="1" x14ac:dyDescent="0.2">
      <c r="A30" s="11">
        <v>5000000</v>
      </c>
      <c r="B30" s="12" t="s">
        <v>34</v>
      </c>
      <c r="C30" s="12" t="s">
        <v>48</v>
      </c>
      <c r="D30" s="10" t="s">
        <v>47</v>
      </c>
      <c r="E30" s="2"/>
      <c r="F30" s="2"/>
      <c r="G30" s="2"/>
      <c r="H30" s="2"/>
      <c r="I30" s="18">
        <v>5</v>
      </c>
      <c r="J30" s="2"/>
      <c r="K30" s="2"/>
      <c r="L30" s="2"/>
      <c r="M30" s="2"/>
      <c r="N30" s="2"/>
      <c r="O30" s="2"/>
      <c r="P30" s="2"/>
    </row>
    <row r="31" spans="1:16" ht="15.75" customHeight="1" x14ac:dyDescent="0.2">
      <c r="A31" s="11">
        <v>3000000</v>
      </c>
      <c r="B31" s="12" t="s">
        <v>37</v>
      </c>
      <c r="C31" s="12" t="s">
        <v>49</v>
      </c>
      <c r="D31" s="10" t="s">
        <v>50</v>
      </c>
      <c r="E31" s="2"/>
      <c r="F31" s="2"/>
      <c r="G31" s="2"/>
      <c r="H31" s="2"/>
      <c r="I31" s="18">
        <v>28</v>
      </c>
      <c r="J31" s="2"/>
      <c r="K31" s="2"/>
    </row>
    <row r="32" spans="1:16" ht="15.75" customHeight="1" x14ac:dyDescent="0.2">
      <c r="A32" s="11">
        <v>250000</v>
      </c>
      <c r="B32" s="12" t="s">
        <v>51</v>
      </c>
      <c r="C32" s="12" t="s">
        <v>52</v>
      </c>
      <c r="D32" s="10" t="s">
        <v>53</v>
      </c>
      <c r="E32" s="2"/>
      <c r="F32" s="2"/>
      <c r="G32" s="2"/>
      <c r="H32" s="2"/>
      <c r="I32" s="18">
        <v>29</v>
      </c>
      <c r="J32" s="2"/>
      <c r="K32" s="2"/>
      <c r="L32" s="2"/>
      <c r="M32" s="2"/>
      <c r="N32" s="2"/>
      <c r="O32" s="2"/>
      <c r="P32" s="2"/>
    </row>
    <row r="33" spans="1:20" ht="15.75" customHeight="1" x14ac:dyDescent="0.2">
      <c r="A33" s="11">
        <v>29000000</v>
      </c>
      <c r="B33" s="12" t="s">
        <v>15</v>
      </c>
      <c r="C33" s="12" t="s">
        <v>54</v>
      </c>
      <c r="D33" s="10" t="s">
        <v>55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20" ht="15.75" customHeight="1" x14ac:dyDescent="0.2">
      <c r="A34" s="11">
        <v>250000</v>
      </c>
      <c r="B34" s="12" t="s">
        <v>51</v>
      </c>
      <c r="C34" s="12" t="s">
        <v>4</v>
      </c>
      <c r="D34" s="10" t="s">
        <v>53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20" ht="15.75" customHeight="1" x14ac:dyDescent="0.2">
      <c r="A35" s="11">
        <v>3000000</v>
      </c>
      <c r="B35" s="12" t="s">
        <v>37</v>
      </c>
      <c r="C35" s="12" t="s">
        <v>5</v>
      </c>
      <c r="D35" s="10" t="s">
        <v>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20" ht="15.75" customHeight="1" x14ac:dyDescent="0.2">
      <c r="A36" s="11">
        <v>3000000</v>
      </c>
      <c r="B36" s="12" t="s">
        <v>37</v>
      </c>
      <c r="C36" s="12" t="s">
        <v>6</v>
      </c>
      <c r="D36" s="10" t="s">
        <v>50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20" ht="15.75" customHeight="1" x14ac:dyDescent="0.2">
      <c r="A37" s="11">
        <v>2000000</v>
      </c>
      <c r="B37" s="12" t="s">
        <v>37</v>
      </c>
      <c r="C37" s="12" t="s">
        <v>56</v>
      </c>
      <c r="D37" s="10" t="s">
        <v>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20" ht="15.75" customHeight="1" x14ac:dyDescent="0.2">
      <c r="A38" s="11">
        <v>2500000</v>
      </c>
      <c r="B38" s="12" t="s">
        <v>30</v>
      </c>
      <c r="C38" s="12" t="s">
        <v>57</v>
      </c>
      <c r="D38" s="10" t="s">
        <v>58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20" ht="15.75" customHeight="1" x14ac:dyDescent="0.2">
      <c r="A39" s="11">
        <v>350000</v>
      </c>
      <c r="B39" s="12" t="s">
        <v>59</v>
      </c>
      <c r="C39" s="12" t="s">
        <v>7</v>
      </c>
      <c r="D39" s="10" t="s">
        <v>58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20" ht="15.75" customHeight="1" x14ac:dyDescent="0.2">
      <c r="A40" s="11">
        <v>2650000</v>
      </c>
      <c r="B40" s="12" t="s">
        <v>59</v>
      </c>
      <c r="C40" s="12" t="s">
        <v>60</v>
      </c>
      <c r="D40" s="10" t="s">
        <v>58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20" ht="15.75" customHeight="1" x14ac:dyDescent="0.2">
      <c r="A41" s="11">
        <v>900000</v>
      </c>
      <c r="B41" s="12" t="s">
        <v>30</v>
      </c>
      <c r="C41" s="12" t="s">
        <v>61</v>
      </c>
      <c r="D41" s="10" t="s">
        <v>58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20" ht="15.75" customHeight="1" x14ac:dyDescent="0.2">
      <c r="A42" s="11">
        <v>21900000</v>
      </c>
      <c r="B42" s="12" t="s">
        <v>15</v>
      </c>
      <c r="C42" s="12" t="s">
        <v>62</v>
      </c>
      <c r="D42" s="10" t="s">
        <v>63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">
      <c r="A43" s="11">
        <v>23400000</v>
      </c>
      <c r="B43" s="12" t="s">
        <v>15</v>
      </c>
      <c r="C43" s="12" t="s">
        <v>64</v>
      </c>
      <c r="D43" s="10" t="s">
        <v>65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20" ht="15.75" customHeight="1" thickBot="1" x14ac:dyDescent="0.25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20" ht="15.75" customHeight="1" thickBot="1" x14ac:dyDescent="0.25">
      <c r="A45" s="14">
        <f>SUM(A4:A44)</f>
        <v>183768680</v>
      </c>
      <c r="B45" s="15" t="s">
        <v>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20" ht="15.75" customHeight="1" x14ac:dyDescent="0.2">
      <c r="H46" s="1" t="s">
        <v>73</v>
      </c>
      <c r="I46" s="19">
        <v>35110.980000000003</v>
      </c>
    </row>
    <row r="47" spans="1:20" x14ac:dyDescent="0.2"/>
    <row r="48" spans="1:20" ht="19" x14ac:dyDescent="0.25">
      <c r="A48" s="16" t="s">
        <v>66</v>
      </c>
      <c r="B48" s="16" t="s">
        <v>67</v>
      </c>
      <c r="C48" s="16" t="s">
        <v>68</v>
      </c>
      <c r="D48" s="16" t="s">
        <v>69</v>
      </c>
      <c r="E48" s="16" t="s">
        <v>70</v>
      </c>
      <c r="F48" s="20" t="s">
        <v>71</v>
      </c>
    </row>
    <row r="49" spans="1:6" ht="19" customHeight="1" x14ac:dyDescent="0.25">
      <c r="A49" s="1">
        <v>3486.48</v>
      </c>
      <c r="B49" s="1">
        <v>49</v>
      </c>
      <c r="C49" s="17">
        <f>A49/B49</f>
        <v>71.152653061224484</v>
      </c>
      <c r="D49" s="1">
        <v>11</v>
      </c>
      <c r="E49" s="17">
        <f>C49*D49</f>
        <v>782.67918367346931</v>
      </c>
      <c r="F49" s="21">
        <f>E49*I46</f>
        <v>27480633.16437551</v>
      </c>
    </row>
    <row r="50" spans="1:6" ht="15.75" customHeight="1" x14ac:dyDescent="0.2">
      <c r="D50" s="1" t="s">
        <v>72</v>
      </c>
    </row>
    <row r="51" spans="1:6" ht="15.75" customHeight="1" x14ac:dyDescent="0.2"/>
    <row r="52" spans="1:6" ht="15.75" customHeight="1" x14ac:dyDescent="0.2">
      <c r="C52" s="7"/>
    </row>
    <row r="53" spans="1:6" ht="15.75" customHeight="1" x14ac:dyDescent="0.2">
      <c r="C53" s="7"/>
    </row>
    <row r="54" spans="1:6" ht="15.75" customHeight="1" x14ac:dyDescent="0.2">
      <c r="C54" s="7"/>
    </row>
    <row r="55" spans="1:6" ht="15.75" customHeight="1" x14ac:dyDescent="0.2">
      <c r="C55" s="7"/>
    </row>
    <row r="56" spans="1:6" ht="15.75" customHeight="1" x14ac:dyDescent="0.2">
      <c r="C56" s="7"/>
    </row>
    <row r="57" spans="1:6" ht="15.75" customHeight="1" x14ac:dyDescent="0.2">
      <c r="C57" s="7"/>
    </row>
    <row r="58" spans="1:6" ht="15.75" customHeight="1" x14ac:dyDescent="0.2">
      <c r="C58" s="7"/>
    </row>
    <row r="59" spans="1:6" ht="15.75" customHeight="1" x14ac:dyDescent="0.2">
      <c r="C59" s="7"/>
    </row>
    <row r="60" spans="1:6" ht="15.75" customHeight="1" x14ac:dyDescent="0.2">
      <c r="C60" s="7"/>
    </row>
    <row r="61" spans="1:6" ht="15.75" customHeight="1" x14ac:dyDescent="0.2">
      <c r="C61" s="7"/>
    </row>
    <row r="62" spans="1:6" ht="15.75" customHeight="1" x14ac:dyDescent="0.2">
      <c r="C62" s="7"/>
    </row>
    <row r="63" spans="1:6" ht="15.75" customHeight="1" x14ac:dyDescent="0.2">
      <c r="C63" s="7"/>
    </row>
    <row r="64" spans="1:6" ht="15.75" customHeight="1" x14ac:dyDescent="0.2">
      <c r="C64" s="5"/>
    </row>
    <row r="65" spans="3:3" ht="15.75" customHeight="1" x14ac:dyDescent="0.2">
      <c r="C65" s="5"/>
    </row>
    <row r="66" spans="3:3" ht="15.75" customHeight="1" x14ac:dyDescent="0.2">
      <c r="C66" s="5"/>
    </row>
    <row r="67" spans="3:3" ht="15.75" customHeight="1" x14ac:dyDescent="0.2">
      <c r="C67" s="5"/>
    </row>
    <row r="68" spans="3:3" ht="15.75" customHeight="1" x14ac:dyDescent="0.2">
      <c r="C68" s="5"/>
    </row>
    <row r="69" spans="3:3" ht="15.75" customHeight="1" x14ac:dyDescent="0.2">
      <c r="C69" s="5"/>
    </row>
    <row r="70" spans="3:3" ht="15.75" customHeight="1" x14ac:dyDescent="0.2">
      <c r="C70" s="5"/>
    </row>
    <row r="71" spans="3:3" ht="15.75" customHeight="1" x14ac:dyDescent="0.2">
      <c r="C71" s="5"/>
    </row>
    <row r="72" spans="3:3" ht="15.75" customHeight="1" x14ac:dyDescent="0.2">
      <c r="C72" s="5"/>
    </row>
    <row r="73" spans="3:3" ht="15.75" customHeight="1" x14ac:dyDescent="0.2">
      <c r="C73" s="5"/>
    </row>
    <row r="74" spans="3:3" ht="15.75" customHeight="1" x14ac:dyDescent="0.2">
      <c r="C74" s="5"/>
    </row>
    <row r="75" spans="3:3" ht="15.75" customHeight="1" x14ac:dyDescent="0.2">
      <c r="C75" s="5"/>
    </row>
    <row r="76" spans="3:3" ht="15.75" customHeight="1" x14ac:dyDescent="0.2">
      <c r="C76" s="5"/>
    </row>
    <row r="77" spans="3:3" ht="15.75" customHeight="1" x14ac:dyDescent="0.2">
      <c r="C77" s="5"/>
    </row>
    <row r="78" spans="3:3" ht="15.75" customHeight="1" x14ac:dyDescent="0.2">
      <c r="C78" s="5"/>
    </row>
    <row r="79" spans="3:3" ht="15.75" customHeight="1" x14ac:dyDescent="0.2">
      <c r="C79" s="5"/>
    </row>
    <row r="80" spans="3:3" ht="15.75" customHeight="1" x14ac:dyDescent="0.2">
      <c r="C80" s="5"/>
    </row>
    <row r="81" spans="3:3" ht="15.75" customHeight="1" x14ac:dyDescent="0.2">
      <c r="C81" s="5"/>
    </row>
    <row r="82" spans="3:3" ht="15.75" customHeight="1" x14ac:dyDescent="0.2">
      <c r="C82" s="5"/>
    </row>
    <row r="83" spans="3:3" ht="15.75" customHeight="1" x14ac:dyDescent="0.2">
      <c r="C83" s="5"/>
    </row>
    <row r="84" spans="3:3" ht="15.75" customHeight="1" x14ac:dyDescent="0.2">
      <c r="C84" s="5"/>
    </row>
    <row r="85" spans="3:3" ht="15.75" customHeight="1" x14ac:dyDescent="0.2">
      <c r="C85" s="5"/>
    </row>
    <row r="86" spans="3:3" ht="15.75" customHeight="1" x14ac:dyDescent="0.2">
      <c r="C86" s="5"/>
    </row>
    <row r="87" spans="3:3" ht="15.75" customHeight="1" x14ac:dyDescent="0.2">
      <c r="C87" s="5"/>
    </row>
    <row r="88" spans="3:3" ht="15.75" customHeight="1" x14ac:dyDescent="0.2">
      <c r="C88" s="5"/>
    </row>
    <row r="89" spans="3:3" ht="15.75" customHeight="1" x14ac:dyDescent="0.2">
      <c r="C89" s="5"/>
    </row>
    <row r="90" spans="3:3" ht="15.75" customHeight="1" x14ac:dyDescent="0.2">
      <c r="C90" s="5"/>
    </row>
    <row r="91" spans="3:3" ht="15.75" customHeight="1" x14ac:dyDescent="0.2">
      <c r="C91" s="5"/>
    </row>
    <row r="92" spans="3:3" ht="15.75" customHeight="1" x14ac:dyDescent="0.2">
      <c r="C92" s="5"/>
    </row>
    <row r="93" spans="3:3" ht="15.75" customHeight="1" x14ac:dyDescent="0.2">
      <c r="C93" s="5"/>
    </row>
    <row r="94" spans="3:3" ht="15.75" customHeight="1" x14ac:dyDescent="0.2">
      <c r="C94" s="5"/>
    </row>
    <row r="95" spans="3:3" ht="15.75" customHeight="1" x14ac:dyDescent="0.2">
      <c r="C95" s="5"/>
    </row>
    <row r="96" spans="3:3" ht="15.75" customHeight="1" x14ac:dyDescent="0.2">
      <c r="C96" s="5"/>
    </row>
    <row r="97" spans="3:3" ht="15.75" customHeight="1" x14ac:dyDescent="0.2">
      <c r="C97" s="5"/>
    </row>
    <row r="98" spans="3:3" ht="15.75" customHeight="1" x14ac:dyDescent="0.2">
      <c r="C98" s="5"/>
    </row>
    <row r="99" spans="3:3" ht="15.75" customHeight="1" x14ac:dyDescent="0.2">
      <c r="C99" s="5"/>
    </row>
    <row r="100" spans="3:3" ht="15.75" customHeight="1" x14ac:dyDescent="0.2">
      <c r="C100" s="5"/>
    </row>
    <row r="101" spans="3:3" ht="15.75" customHeight="1" x14ac:dyDescent="0.2">
      <c r="C101" s="5"/>
    </row>
    <row r="102" spans="3:3" ht="15.75" customHeight="1" x14ac:dyDescent="0.2">
      <c r="C102" s="5"/>
    </row>
    <row r="103" spans="3:3" ht="15.75" customHeight="1" x14ac:dyDescent="0.2">
      <c r="C103" s="5"/>
    </row>
    <row r="104" spans="3:3" ht="15.75" customHeight="1" x14ac:dyDescent="0.2">
      <c r="C104" s="5"/>
    </row>
    <row r="105" spans="3:3" ht="15.75" customHeight="1" x14ac:dyDescent="0.2">
      <c r="C105" s="5"/>
    </row>
    <row r="106" spans="3:3" ht="15.75" customHeight="1" x14ac:dyDescent="0.2">
      <c r="C106" s="5"/>
    </row>
    <row r="107" spans="3:3" ht="15.75" customHeight="1" x14ac:dyDescent="0.2">
      <c r="C107" s="5"/>
    </row>
    <row r="108" spans="3:3" ht="15.75" customHeight="1" x14ac:dyDescent="0.2">
      <c r="C108" s="5"/>
    </row>
    <row r="109" spans="3:3" ht="15.75" customHeight="1" x14ac:dyDescent="0.2">
      <c r="C109" s="5"/>
    </row>
    <row r="110" spans="3:3" ht="15.75" customHeight="1" x14ac:dyDescent="0.2">
      <c r="C110" s="5"/>
    </row>
    <row r="111" spans="3:3" ht="15.75" customHeight="1" x14ac:dyDescent="0.2">
      <c r="C111" s="5"/>
    </row>
    <row r="112" spans="3:3" ht="15.75" customHeight="1" x14ac:dyDescent="0.2">
      <c r="C112" s="5"/>
    </row>
    <row r="113" spans="3:3" ht="15.75" customHeight="1" x14ac:dyDescent="0.2">
      <c r="C113" s="5"/>
    </row>
    <row r="114" spans="3:3" ht="15.75" customHeight="1" x14ac:dyDescent="0.2">
      <c r="C114" s="5"/>
    </row>
    <row r="115" spans="3:3" ht="15.75" customHeight="1" x14ac:dyDescent="0.2">
      <c r="C115" s="5"/>
    </row>
    <row r="116" spans="3:3" ht="15.75" customHeight="1" x14ac:dyDescent="0.2">
      <c r="C116" s="5"/>
    </row>
    <row r="117" spans="3:3" ht="15.75" customHeight="1" x14ac:dyDescent="0.2">
      <c r="C117" s="5"/>
    </row>
    <row r="118" spans="3:3" ht="15.75" customHeight="1" x14ac:dyDescent="0.2">
      <c r="C118" s="5"/>
    </row>
    <row r="119" spans="3:3" ht="15.75" customHeight="1" x14ac:dyDescent="0.2">
      <c r="C119" s="5"/>
    </row>
    <row r="120" spans="3:3" ht="15.75" customHeight="1" x14ac:dyDescent="0.2">
      <c r="C120" s="5"/>
    </row>
    <row r="121" spans="3:3" ht="15.75" customHeight="1" x14ac:dyDescent="0.2">
      <c r="C121" s="5"/>
    </row>
    <row r="122" spans="3:3" ht="15.75" customHeight="1" x14ac:dyDescent="0.2">
      <c r="C122" s="5"/>
    </row>
    <row r="123" spans="3:3" ht="15.75" customHeight="1" x14ac:dyDescent="0.2">
      <c r="C123" s="5"/>
    </row>
    <row r="124" spans="3:3" ht="15.75" customHeight="1" x14ac:dyDescent="0.2">
      <c r="C124" s="5"/>
    </row>
    <row r="125" spans="3:3" ht="15.75" customHeight="1" x14ac:dyDescent="0.2">
      <c r="C125" s="5"/>
    </row>
    <row r="126" spans="3:3" ht="15.75" customHeight="1" x14ac:dyDescent="0.2">
      <c r="C126" s="5"/>
    </row>
    <row r="127" spans="3:3" ht="15.75" customHeight="1" x14ac:dyDescent="0.2">
      <c r="C127" s="5"/>
    </row>
    <row r="128" spans="3:3" ht="15.75" customHeight="1" x14ac:dyDescent="0.2">
      <c r="C128" s="5"/>
    </row>
    <row r="129" spans="3:3" ht="15.75" customHeight="1" x14ac:dyDescent="0.2">
      <c r="C129" s="5"/>
    </row>
    <row r="130" spans="3:3" ht="15.75" customHeight="1" x14ac:dyDescent="0.2">
      <c r="C130" s="5"/>
    </row>
    <row r="131" spans="3:3" ht="15.75" customHeight="1" x14ac:dyDescent="0.2">
      <c r="C131" s="5"/>
    </row>
    <row r="132" spans="3:3" ht="15.75" customHeight="1" x14ac:dyDescent="0.2">
      <c r="C132" s="5"/>
    </row>
    <row r="133" spans="3:3" ht="15.75" customHeight="1" x14ac:dyDescent="0.2">
      <c r="C133" s="5"/>
    </row>
    <row r="134" spans="3:3" ht="15.75" customHeight="1" x14ac:dyDescent="0.2">
      <c r="C134" s="5"/>
    </row>
    <row r="135" spans="3:3" ht="15.75" customHeight="1" x14ac:dyDescent="0.2">
      <c r="C135" s="5"/>
    </row>
    <row r="136" spans="3:3" ht="15.75" customHeight="1" x14ac:dyDescent="0.2">
      <c r="C136" s="5"/>
    </row>
    <row r="137" spans="3:3" ht="15.75" customHeight="1" x14ac:dyDescent="0.2">
      <c r="C137" s="5"/>
    </row>
    <row r="138" spans="3:3" ht="15.75" customHeight="1" x14ac:dyDescent="0.2">
      <c r="C138" s="5"/>
    </row>
    <row r="139" spans="3:3" ht="15.75" customHeight="1" x14ac:dyDescent="0.2">
      <c r="C139" s="5"/>
    </row>
    <row r="140" spans="3:3" ht="15.75" customHeight="1" x14ac:dyDescent="0.2">
      <c r="C140" s="5"/>
    </row>
    <row r="141" spans="3:3" ht="15.75" customHeight="1" x14ac:dyDescent="0.2">
      <c r="C141" s="5"/>
    </row>
    <row r="142" spans="3:3" ht="15.75" customHeight="1" x14ac:dyDescent="0.2">
      <c r="C142" s="5"/>
    </row>
    <row r="143" spans="3:3" ht="15.75" customHeight="1" x14ac:dyDescent="0.2">
      <c r="C143" s="5"/>
    </row>
    <row r="144" spans="3:3" ht="15.75" customHeight="1" x14ac:dyDescent="0.2">
      <c r="C144" s="5"/>
    </row>
    <row r="145" spans="3:3" ht="15.75" customHeight="1" x14ac:dyDescent="0.2">
      <c r="C145" s="5"/>
    </row>
    <row r="146" spans="3:3" ht="15.75" customHeight="1" x14ac:dyDescent="0.2">
      <c r="C146" s="5"/>
    </row>
    <row r="147" spans="3:3" ht="15.75" customHeight="1" x14ac:dyDescent="0.2">
      <c r="C147" s="5"/>
    </row>
    <row r="148" spans="3:3" ht="15.75" customHeight="1" x14ac:dyDescent="0.2">
      <c r="C148" s="5"/>
    </row>
    <row r="149" spans="3:3" ht="15.75" customHeight="1" x14ac:dyDescent="0.2">
      <c r="C149" s="5"/>
    </row>
    <row r="150" spans="3:3" ht="15.75" customHeight="1" x14ac:dyDescent="0.2">
      <c r="C150" s="5"/>
    </row>
    <row r="151" spans="3:3" ht="15.75" customHeight="1" x14ac:dyDescent="0.2">
      <c r="C151" s="5"/>
    </row>
    <row r="152" spans="3:3" ht="15.75" customHeight="1" x14ac:dyDescent="0.2">
      <c r="C152" s="5"/>
    </row>
    <row r="153" spans="3:3" ht="15.75" customHeight="1" x14ac:dyDescent="0.2">
      <c r="C153" s="5"/>
    </row>
    <row r="154" spans="3:3" ht="15.75" customHeight="1" x14ac:dyDescent="0.2">
      <c r="C154" s="5"/>
    </row>
    <row r="155" spans="3:3" ht="15.75" customHeight="1" x14ac:dyDescent="0.2">
      <c r="C155" s="5"/>
    </row>
    <row r="156" spans="3:3" ht="15.75" customHeight="1" x14ac:dyDescent="0.2">
      <c r="C156" s="5"/>
    </row>
    <row r="157" spans="3:3" ht="15.75" customHeight="1" x14ac:dyDescent="0.2">
      <c r="C157" s="5"/>
    </row>
    <row r="158" spans="3:3" ht="15.75" customHeight="1" x14ac:dyDescent="0.2">
      <c r="C158" s="5"/>
    </row>
    <row r="159" spans="3:3" ht="15.75" customHeight="1" x14ac:dyDescent="0.2">
      <c r="C159" s="5"/>
    </row>
    <row r="160" spans="3:3" ht="15.75" customHeight="1" x14ac:dyDescent="0.2">
      <c r="C160" s="5"/>
    </row>
    <row r="161" spans="3:3" ht="15.75" customHeight="1" x14ac:dyDescent="0.2">
      <c r="C161" s="5"/>
    </row>
    <row r="162" spans="3:3" ht="15.75" customHeight="1" x14ac:dyDescent="0.2">
      <c r="C162" s="5"/>
    </row>
    <row r="163" spans="3:3" ht="15.75" customHeight="1" x14ac:dyDescent="0.2">
      <c r="C163" s="5"/>
    </row>
    <row r="164" spans="3:3" ht="15.75" customHeight="1" x14ac:dyDescent="0.2">
      <c r="C164" s="5"/>
    </row>
    <row r="165" spans="3:3" ht="15.75" customHeight="1" x14ac:dyDescent="0.2">
      <c r="C165" s="5"/>
    </row>
    <row r="166" spans="3:3" ht="15.75" customHeight="1" x14ac:dyDescent="0.2">
      <c r="C166" s="5"/>
    </row>
    <row r="167" spans="3:3" ht="15.75" customHeight="1" x14ac:dyDescent="0.2">
      <c r="C167" s="5"/>
    </row>
    <row r="168" spans="3:3" ht="15.75" customHeight="1" x14ac:dyDescent="0.2">
      <c r="C168" s="5"/>
    </row>
    <row r="169" spans="3:3" ht="15.75" customHeight="1" x14ac:dyDescent="0.2">
      <c r="C169" s="5"/>
    </row>
    <row r="170" spans="3:3" ht="15.75" customHeight="1" x14ac:dyDescent="0.2">
      <c r="C170" s="5"/>
    </row>
    <row r="171" spans="3:3" ht="15.75" customHeight="1" x14ac:dyDescent="0.2">
      <c r="C171" s="5"/>
    </row>
    <row r="172" spans="3:3" ht="15.75" customHeight="1" x14ac:dyDescent="0.2">
      <c r="C172" s="5"/>
    </row>
    <row r="173" spans="3:3" ht="15.75" customHeight="1" x14ac:dyDescent="0.2">
      <c r="C173" s="5"/>
    </row>
    <row r="174" spans="3:3" ht="15.75" customHeight="1" x14ac:dyDescent="0.2">
      <c r="C174" s="5"/>
    </row>
    <row r="175" spans="3:3" ht="15.75" customHeight="1" x14ac:dyDescent="0.2">
      <c r="C175" s="5"/>
    </row>
    <row r="176" spans="3:3" ht="15.75" customHeight="1" x14ac:dyDescent="0.2">
      <c r="C176" s="5"/>
    </row>
    <row r="177" spans="3:3" ht="15.75" customHeight="1" x14ac:dyDescent="0.2">
      <c r="C177" s="5"/>
    </row>
    <row r="178" spans="3:3" ht="15.75" customHeight="1" x14ac:dyDescent="0.2">
      <c r="C178" s="5"/>
    </row>
    <row r="179" spans="3:3" ht="15.75" customHeight="1" x14ac:dyDescent="0.2">
      <c r="C179" s="5"/>
    </row>
    <row r="180" spans="3:3" ht="15.75" customHeight="1" x14ac:dyDescent="0.2">
      <c r="C180" s="5"/>
    </row>
    <row r="181" spans="3:3" ht="15.75" customHeight="1" x14ac:dyDescent="0.2">
      <c r="C181" s="5"/>
    </row>
    <row r="182" spans="3:3" ht="15.75" customHeight="1" x14ac:dyDescent="0.2">
      <c r="C182" s="5"/>
    </row>
    <row r="183" spans="3:3" ht="15.75" customHeight="1" x14ac:dyDescent="0.2">
      <c r="C183" s="5"/>
    </row>
    <row r="184" spans="3:3" ht="15.75" customHeight="1" x14ac:dyDescent="0.2">
      <c r="C184" s="5"/>
    </row>
    <row r="185" spans="3:3" ht="15.75" customHeight="1" x14ac:dyDescent="0.2">
      <c r="C185" s="5"/>
    </row>
    <row r="186" spans="3:3" ht="15.75" customHeight="1" x14ac:dyDescent="0.2">
      <c r="C186" s="5"/>
    </row>
    <row r="187" spans="3:3" ht="15.75" customHeight="1" x14ac:dyDescent="0.2">
      <c r="C187" s="5"/>
    </row>
    <row r="188" spans="3:3" ht="15.75" customHeight="1" x14ac:dyDescent="0.2">
      <c r="C188" s="5"/>
    </row>
    <row r="189" spans="3:3" ht="15.75" customHeight="1" x14ac:dyDescent="0.2">
      <c r="C189" s="5"/>
    </row>
    <row r="190" spans="3:3" ht="15.75" customHeight="1" x14ac:dyDescent="0.2">
      <c r="C190" s="5"/>
    </row>
    <row r="191" spans="3:3" ht="15.75" customHeight="1" x14ac:dyDescent="0.2">
      <c r="C191" s="5"/>
    </row>
    <row r="192" spans="3:3" ht="15.75" customHeight="1" x14ac:dyDescent="0.2">
      <c r="C192" s="5"/>
    </row>
    <row r="193" spans="3:3" ht="15.75" customHeight="1" x14ac:dyDescent="0.2">
      <c r="C193" s="5"/>
    </row>
    <row r="194" spans="3:3" ht="15.75" customHeight="1" x14ac:dyDescent="0.2">
      <c r="C194" s="5"/>
    </row>
    <row r="195" spans="3:3" ht="15.75" customHeight="1" x14ac:dyDescent="0.2">
      <c r="C195" s="5"/>
    </row>
    <row r="196" spans="3:3" ht="15.75" customHeight="1" x14ac:dyDescent="0.2">
      <c r="C196" s="5"/>
    </row>
    <row r="197" spans="3:3" ht="15.75" customHeight="1" x14ac:dyDescent="0.2">
      <c r="C197" s="5"/>
    </row>
    <row r="198" spans="3:3" ht="15.75" customHeight="1" x14ac:dyDescent="0.2">
      <c r="C198" s="5"/>
    </row>
    <row r="199" spans="3:3" ht="15.75" customHeight="1" x14ac:dyDescent="0.2">
      <c r="C199" s="5"/>
    </row>
    <row r="200" spans="3:3" ht="15.75" customHeight="1" x14ac:dyDescent="0.2">
      <c r="C200" s="5"/>
    </row>
    <row r="201" spans="3:3" ht="15.75" customHeight="1" x14ac:dyDescent="0.2">
      <c r="C201" s="5"/>
    </row>
    <row r="202" spans="3:3" ht="15.75" customHeight="1" x14ac:dyDescent="0.2">
      <c r="C202" s="5"/>
    </row>
    <row r="203" spans="3:3" ht="15.75" customHeight="1" x14ac:dyDescent="0.2">
      <c r="C203" s="5"/>
    </row>
    <row r="204" spans="3:3" ht="15.75" customHeight="1" x14ac:dyDescent="0.2">
      <c r="C204" s="5"/>
    </row>
    <row r="205" spans="3:3" ht="15.75" customHeight="1" x14ac:dyDescent="0.2">
      <c r="C205" s="5"/>
    </row>
    <row r="206" spans="3:3" ht="15.75" customHeight="1" x14ac:dyDescent="0.2">
      <c r="C206" s="5"/>
    </row>
    <row r="207" spans="3:3" ht="15.75" customHeight="1" x14ac:dyDescent="0.2">
      <c r="C207" s="5"/>
    </row>
    <row r="208" spans="3:3" ht="15.75" customHeight="1" x14ac:dyDescent="0.2">
      <c r="C208" s="5"/>
    </row>
    <row r="209" spans="3:3" ht="15.75" customHeight="1" x14ac:dyDescent="0.2">
      <c r="C209" s="5"/>
    </row>
    <row r="210" spans="3:3" ht="15.75" customHeight="1" x14ac:dyDescent="0.2">
      <c r="C210" s="5"/>
    </row>
    <row r="211" spans="3:3" ht="15.75" customHeight="1" x14ac:dyDescent="0.2">
      <c r="C211" s="5"/>
    </row>
    <row r="212" spans="3:3" ht="15.75" customHeight="1" x14ac:dyDescent="0.2">
      <c r="C212" s="5"/>
    </row>
    <row r="213" spans="3:3" ht="15.75" customHeight="1" x14ac:dyDescent="0.2">
      <c r="C213" s="5"/>
    </row>
    <row r="214" spans="3:3" ht="15.75" customHeight="1" x14ac:dyDescent="0.2">
      <c r="C214" s="5"/>
    </row>
    <row r="215" spans="3:3" ht="15.75" customHeight="1" x14ac:dyDescent="0.2">
      <c r="C215" s="5"/>
    </row>
    <row r="216" spans="3:3" ht="15.75" customHeight="1" x14ac:dyDescent="0.2">
      <c r="C216" s="5"/>
    </row>
    <row r="217" spans="3:3" ht="15.75" customHeight="1" x14ac:dyDescent="0.2">
      <c r="C217" s="5"/>
    </row>
    <row r="218" spans="3:3" ht="15.75" customHeight="1" x14ac:dyDescent="0.2">
      <c r="C218" s="5"/>
    </row>
    <row r="219" spans="3:3" ht="15.75" customHeight="1" x14ac:dyDescent="0.2">
      <c r="C219" s="5"/>
    </row>
    <row r="220" spans="3:3" ht="15.75" customHeight="1" x14ac:dyDescent="0.2">
      <c r="C220" s="5"/>
    </row>
    <row r="221" spans="3:3" ht="15.75" customHeight="1" x14ac:dyDescent="0.2">
      <c r="C221" s="5"/>
    </row>
    <row r="222" spans="3:3" ht="15.75" customHeight="1" x14ac:dyDescent="0.2">
      <c r="C222" s="5"/>
    </row>
    <row r="223" spans="3:3" ht="15.75" customHeight="1" x14ac:dyDescent="0.2">
      <c r="C223" s="5"/>
    </row>
    <row r="224" spans="3:3" ht="15.75" customHeight="1" x14ac:dyDescent="0.2">
      <c r="C224" s="5"/>
    </row>
    <row r="225" spans="3:3" ht="15.75" customHeight="1" x14ac:dyDescent="0.2">
      <c r="C225" s="5"/>
    </row>
    <row r="226" spans="3:3" ht="15.75" customHeight="1" x14ac:dyDescent="0.2">
      <c r="C226" s="5"/>
    </row>
    <row r="227" spans="3:3" ht="15.75" customHeight="1" x14ac:dyDescent="0.2">
      <c r="C227" s="5"/>
    </row>
    <row r="228" spans="3:3" ht="15.75" customHeight="1" x14ac:dyDescent="0.2">
      <c r="C228" s="5"/>
    </row>
    <row r="229" spans="3:3" ht="15.75" customHeight="1" x14ac:dyDescent="0.2">
      <c r="C229" s="5"/>
    </row>
    <row r="230" spans="3:3" ht="15.75" customHeight="1" x14ac:dyDescent="0.2">
      <c r="C230" s="5"/>
    </row>
    <row r="231" spans="3:3" ht="15.75" customHeight="1" x14ac:dyDescent="0.2">
      <c r="C231" s="5"/>
    </row>
    <row r="232" spans="3:3" ht="15.75" customHeight="1" x14ac:dyDescent="0.2">
      <c r="C232" s="5"/>
    </row>
    <row r="233" spans="3:3" ht="15.75" customHeight="1" x14ac:dyDescent="0.2">
      <c r="C233" s="5"/>
    </row>
    <row r="234" spans="3:3" ht="15.75" customHeight="1" x14ac:dyDescent="0.2">
      <c r="C234" s="5"/>
    </row>
    <row r="235" spans="3:3" ht="15.75" customHeight="1" x14ac:dyDescent="0.2">
      <c r="C235" s="5"/>
    </row>
    <row r="236" spans="3:3" ht="15.75" customHeight="1" x14ac:dyDescent="0.2">
      <c r="C236" s="5"/>
    </row>
    <row r="237" spans="3:3" ht="15.75" customHeight="1" x14ac:dyDescent="0.2">
      <c r="C237" s="5"/>
    </row>
    <row r="238" spans="3:3" ht="15.75" customHeight="1" x14ac:dyDescent="0.2">
      <c r="C238" s="5"/>
    </row>
    <row r="239" spans="3:3" ht="15.75" customHeight="1" x14ac:dyDescent="0.2">
      <c r="C239" s="5"/>
    </row>
    <row r="240" spans="3:3" ht="15.75" customHeight="1" x14ac:dyDescent="0.2">
      <c r="C240" s="5"/>
    </row>
    <row r="241" spans="3:3" ht="15.75" customHeight="1" x14ac:dyDescent="0.2">
      <c r="C241" s="5"/>
    </row>
    <row r="242" spans="3:3" ht="15.75" customHeight="1" x14ac:dyDescent="0.2">
      <c r="C242" s="5"/>
    </row>
    <row r="243" spans="3:3" ht="15.75" customHeight="1" x14ac:dyDescent="0.2">
      <c r="C243" s="5"/>
    </row>
    <row r="244" spans="3:3" ht="15.75" customHeight="1" x14ac:dyDescent="0.2">
      <c r="C244" s="5"/>
    </row>
    <row r="245" spans="3:3" ht="15.75" customHeight="1" x14ac:dyDescent="0.2">
      <c r="C245" s="5"/>
    </row>
    <row r="246" spans="3:3" ht="15.75" customHeight="1" x14ac:dyDescent="0.2">
      <c r="C246" s="5"/>
    </row>
    <row r="247" spans="3:3" ht="15.75" customHeight="1" x14ac:dyDescent="0.2">
      <c r="C247" s="5"/>
    </row>
    <row r="248" spans="3:3" ht="15.75" customHeight="1" x14ac:dyDescent="0.2">
      <c r="C248" s="5"/>
    </row>
    <row r="249" spans="3:3" ht="15.75" customHeight="1" x14ac:dyDescent="0.2">
      <c r="C249" s="5"/>
    </row>
    <row r="250" spans="3:3" ht="15.75" customHeight="1" x14ac:dyDescent="0.2">
      <c r="C250" s="5"/>
    </row>
    <row r="251" spans="3:3" ht="15.75" customHeight="1" x14ac:dyDescent="0.2">
      <c r="C251" s="5"/>
    </row>
    <row r="252" spans="3:3" ht="15.75" customHeight="1" x14ac:dyDescent="0.2">
      <c r="C252" s="5"/>
    </row>
    <row r="253" spans="3:3" ht="15.75" customHeight="1" x14ac:dyDescent="0.2">
      <c r="C253" s="5"/>
    </row>
    <row r="254" spans="3:3" ht="15.75" customHeight="1" x14ac:dyDescent="0.2">
      <c r="C254" s="5"/>
    </row>
    <row r="255" spans="3:3" ht="15.75" customHeight="1" x14ac:dyDescent="0.2">
      <c r="C255" s="5"/>
    </row>
    <row r="256" spans="3:3" ht="15.75" customHeight="1" x14ac:dyDescent="0.2">
      <c r="C256" s="5"/>
    </row>
    <row r="257" spans="3:3" ht="15.75" customHeight="1" x14ac:dyDescent="0.2">
      <c r="C257" s="5"/>
    </row>
    <row r="258" spans="3:3" ht="15.75" customHeight="1" x14ac:dyDescent="0.2">
      <c r="C258" s="5"/>
    </row>
    <row r="259" spans="3:3" ht="15.75" customHeight="1" x14ac:dyDescent="0.2">
      <c r="C259" s="5"/>
    </row>
    <row r="260" spans="3:3" ht="15.75" customHeight="1" x14ac:dyDescent="0.2">
      <c r="C260" s="5"/>
    </row>
    <row r="261" spans="3:3" ht="15.75" customHeight="1" x14ac:dyDescent="0.2">
      <c r="C261" s="5"/>
    </row>
    <row r="262" spans="3:3" ht="15.75" customHeight="1" x14ac:dyDescent="0.2">
      <c r="C262" s="5"/>
    </row>
    <row r="263" spans="3:3" ht="15.75" customHeight="1" x14ac:dyDescent="0.2">
      <c r="C263" s="5"/>
    </row>
    <row r="264" spans="3:3" ht="15.75" customHeight="1" x14ac:dyDescent="0.2">
      <c r="C264" s="5"/>
    </row>
    <row r="265" spans="3:3" ht="15.75" customHeight="1" x14ac:dyDescent="0.2">
      <c r="C265" s="5"/>
    </row>
    <row r="266" spans="3:3" ht="15.75" customHeight="1" x14ac:dyDescent="0.2">
      <c r="C266" s="5"/>
    </row>
    <row r="267" spans="3:3" ht="15.75" customHeight="1" x14ac:dyDescent="0.2">
      <c r="C267" s="5"/>
    </row>
    <row r="268" spans="3:3" ht="15.75" customHeight="1" x14ac:dyDescent="0.2">
      <c r="C268" s="5"/>
    </row>
    <row r="269" spans="3:3" ht="15.75" customHeight="1" x14ac:dyDescent="0.2">
      <c r="C269" s="5"/>
    </row>
    <row r="270" spans="3:3" ht="15.75" customHeight="1" x14ac:dyDescent="0.2">
      <c r="C270" s="5"/>
    </row>
    <row r="271" spans="3:3" ht="15.75" customHeight="1" x14ac:dyDescent="0.2">
      <c r="C271" s="5"/>
    </row>
    <row r="272" spans="3:3" ht="15.75" customHeight="1" x14ac:dyDescent="0.2">
      <c r="C272" s="5"/>
    </row>
    <row r="273" spans="3:3" ht="15.75" customHeight="1" x14ac:dyDescent="0.2">
      <c r="C273" s="5"/>
    </row>
    <row r="274" spans="3:3" ht="15.75" customHeight="1" x14ac:dyDescent="0.2">
      <c r="C274" s="5"/>
    </row>
    <row r="275" spans="3:3" ht="15.75" customHeight="1" x14ac:dyDescent="0.2">
      <c r="C275" s="5"/>
    </row>
    <row r="276" spans="3:3" ht="15.75" customHeight="1" x14ac:dyDescent="0.2">
      <c r="C276" s="5"/>
    </row>
    <row r="277" spans="3:3" ht="15.75" customHeight="1" x14ac:dyDescent="0.2">
      <c r="C277" s="5"/>
    </row>
    <row r="278" spans="3:3" ht="15.75" customHeight="1" x14ac:dyDescent="0.2">
      <c r="C278" s="5"/>
    </row>
    <row r="279" spans="3:3" ht="15.75" customHeight="1" x14ac:dyDescent="0.2">
      <c r="C279" s="5"/>
    </row>
    <row r="280" spans="3:3" ht="15.75" customHeight="1" x14ac:dyDescent="0.2">
      <c r="C280" s="5"/>
    </row>
    <row r="281" spans="3:3" ht="15.75" customHeight="1" x14ac:dyDescent="0.2">
      <c r="C281" s="5"/>
    </row>
    <row r="282" spans="3:3" ht="15.75" customHeight="1" x14ac:dyDescent="0.2">
      <c r="C282" s="5"/>
    </row>
    <row r="283" spans="3:3" ht="15.75" customHeight="1" x14ac:dyDescent="0.2">
      <c r="C283" s="5"/>
    </row>
    <row r="284" spans="3:3" ht="15.75" customHeight="1" x14ac:dyDescent="0.2">
      <c r="C284" s="5"/>
    </row>
    <row r="285" spans="3:3" ht="15.75" customHeight="1" x14ac:dyDescent="0.2">
      <c r="C285" s="5"/>
    </row>
    <row r="286" spans="3:3" ht="15.75" customHeight="1" x14ac:dyDescent="0.2">
      <c r="C286" s="5"/>
    </row>
    <row r="287" spans="3:3" ht="15.75" customHeight="1" x14ac:dyDescent="0.2">
      <c r="C287" s="5"/>
    </row>
    <row r="288" spans="3:3" ht="15.75" customHeight="1" x14ac:dyDescent="0.2">
      <c r="C288" s="5"/>
    </row>
    <row r="289" spans="3:3" ht="15.75" customHeight="1" x14ac:dyDescent="0.2">
      <c r="C289" s="5"/>
    </row>
    <row r="290" spans="3:3" ht="15.75" customHeight="1" x14ac:dyDescent="0.2">
      <c r="C290" s="5"/>
    </row>
    <row r="291" spans="3:3" ht="15.75" customHeight="1" x14ac:dyDescent="0.2">
      <c r="C291" s="5"/>
    </row>
    <row r="292" spans="3:3" ht="15.75" customHeight="1" x14ac:dyDescent="0.2">
      <c r="C292" s="5"/>
    </row>
    <row r="293" spans="3:3" ht="15.75" customHeight="1" x14ac:dyDescent="0.2">
      <c r="C293" s="5"/>
    </row>
    <row r="294" spans="3:3" ht="15.75" customHeight="1" x14ac:dyDescent="0.2">
      <c r="C294" s="5"/>
    </row>
    <row r="295" spans="3:3" ht="15.75" customHeight="1" x14ac:dyDescent="0.2">
      <c r="C295" s="5"/>
    </row>
    <row r="296" spans="3:3" ht="15.75" customHeight="1" x14ac:dyDescent="0.2">
      <c r="C296" s="5"/>
    </row>
    <row r="297" spans="3:3" ht="15.75" customHeight="1" x14ac:dyDescent="0.2">
      <c r="C297" s="5"/>
    </row>
    <row r="298" spans="3:3" ht="15.75" customHeight="1" x14ac:dyDescent="0.2">
      <c r="C298" s="5"/>
    </row>
    <row r="299" spans="3:3" ht="15.75" customHeight="1" x14ac:dyDescent="0.2">
      <c r="C299" s="5"/>
    </row>
    <row r="300" spans="3:3" ht="15.75" customHeight="1" x14ac:dyDescent="0.2">
      <c r="C300" s="5"/>
    </row>
    <row r="301" spans="3:3" ht="15.75" customHeight="1" x14ac:dyDescent="0.2">
      <c r="C301" s="5"/>
    </row>
    <row r="302" spans="3:3" ht="15.75" customHeight="1" x14ac:dyDescent="0.2">
      <c r="C302" s="5"/>
    </row>
    <row r="303" spans="3:3" ht="15.75" customHeight="1" x14ac:dyDescent="0.2">
      <c r="C303" s="5"/>
    </row>
    <row r="304" spans="3:3" ht="15.75" customHeight="1" x14ac:dyDescent="0.2">
      <c r="C304" s="5"/>
    </row>
    <row r="305" spans="3:3" ht="15.75" customHeight="1" x14ac:dyDescent="0.2">
      <c r="C305" s="5"/>
    </row>
    <row r="306" spans="3:3" ht="15.75" customHeight="1" x14ac:dyDescent="0.2">
      <c r="C306" s="5"/>
    </row>
    <row r="307" spans="3:3" ht="15.75" customHeight="1" x14ac:dyDescent="0.2">
      <c r="C307" s="5"/>
    </row>
    <row r="308" spans="3:3" ht="15.75" customHeight="1" x14ac:dyDescent="0.2">
      <c r="C308" s="5"/>
    </row>
    <row r="309" spans="3:3" ht="15.75" customHeight="1" x14ac:dyDescent="0.2">
      <c r="C309" s="5"/>
    </row>
    <row r="310" spans="3:3" ht="15.75" customHeight="1" x14ac:dyDescent="0.2">
      <c r="C310" s="5"/>
    </row>
    <row r="311" spans="3:3" ht="15.75" customHeight="1" x14ac:dyDescent="0.2">
      <c r="C311" s="5"/>
    </row>
    <row r="312" spans="3:3" ht="15.75" customHeight="1" x14ac:dyDescent="0.2">
      <c r="C312" s="5"/>
    </row>
    <row r="313" spans="3:3" ht="15.75" customHeight="1" x14ac:dyDescent="0.2">
      <c r="C313" s="5"/>
    </row>
    <row r="314" spans="3:3" ht="15.75" customHeight="1" x14ac:dyDescent="0.2">
      <c r="C314" s="5"/>
    </row>
    <row r="315" spans="3:3" ht="15.75" customHeight="1" x14ac:dyDescent="0.2">
      <c r="C315" s="5"/>
    </row>
    <row r="316" spans="3:3" ht="15.75" customHeight="1" x14ac:dyDescent="0.2">
      <c r="C316" s="5"/>
    </row>
    <row r="317" spans="3:3" ht="15.75" customHeight="1" x14ac:dyDescent="0.2">
      <c r="C317" s="5"/>
    </row>
    <row r="318" spans="3:3" ht="15.75" customHeight="1" x14ac:dyDescent="0.2">
      <c r="C318" s="5"/>
    </row>
    <row r="319" spans="3:3" ht="15.75" customHeight="1" x14ac:dyDescent="0.2">
      <c r="C319" s="5"/>
    </row>
    <row r="320" spans="3:3" ht="15.75" customHeight="1" x14ac:dyDescent="0.2">
      <c r="C320" s="5"/>
    </row>
    <row r="321" spans="3:3" ht="15.75" customHeight="1" x14ac:dyDescent="0.2">
      <c r="C321" s="5"/>
    </row>
    <row r="322" spans="3:3" ht="15.75" customHeight="1" x14ac:dyDescent="0.2">
      <c r="C322" s="5"/>
    </row>
    <row r="323" spans="3:3" ht="15.75" customHeight="1" x14ac:dyDescent="0.2">
      <c r="C323" s="5"/>
    </row>
    <row r="324" spans="3:3" ht="15.75" customHeight="1" x14ac:dyDescent="0.2">
      <c r="C324" s="5"/>
    </row>
    <row r="325" spans="3:3" ht="15.75" customHeight="1" x14ac:dyDescent="0.2">
      <c r="C325" s="5"/>
    </row>
    <row r="326" spans="3:3" ht="15.75" customHeight="1" x14ac:dyDescent="0.2">
      <c r="C326" s="5"/>
    </row>
    <row r="327" spans="3:3" ht="15.75" customHeight="1" x14ac:dyDescent="0.2">
      <c r="C327" s="5"/>
    </row>
    <row r="328" spans="3:3" ht="15.75" customHeight="1" x14ac:dyDescent="0.2">
      <c r="C328" s="5"/>
    </row>
    <row r="329" spans="3:3" ht="15.75" customHeight="1" x14ac:dyDescent="0.2">
      <c r="C329" s="5"/>
    </row>
    <row r="330" spans="3:3" ht="15.75" customHeight="1" x14ac:dyDescent="0.2">
      <c r="C330" s="5"/>
    </row>
    <row r="331" spans="3:3" ht="15.75" customHeight="1" x14ac:dyDescent="0.2">
      <c r="C331" s="5"/>
    </row>
    <row r="332" spans="3:3" ht="15.75" customHeight="1" x14ac:dyDescent="0.2">
      <c r="C332" s="5"/>
    </row>
    <row r="333" spans="3:3" ht="15.75" customHeight="1" x14ac:dyDescent="0.2">
      <c r="C333" s="5"/>
    </row>
    <row r="334" spans="3:3" ht="15.75" customHeight="1" x14ac:dyDescent="0.2">
      <c r="C334" s="5"/>
    </row>
    <row r="335" spans="3:3" ht="15.75" customHeight="1" x14ac:dyDescent="0.2">
      <c r="C335" s="5"/>
    </row>
    <row r="336" spans="3:3" ht="15.75" customHeight="1" x14ac:dyDescent="0.2">
      <c r="C336" s="5"/>
    </row>
    <row r="337" spans="3:3" ht="15.75" customHeight="1" x14ac:dyDescent="0.2">
      <c r="C337" s="5"/>
    </row>
    <row r="338" spans="3:3" ht="15.75" customHeight="1" x14ac:dyDescent="0.2">
      <c r="C338" s="5"/>
    </row>
    <row r="339" spans="3:3" ht="15.75" customHeight="1" x14ac:dyDescent="0.2">
      <c r="C339" s="5"/>
    </row>
    <row r="340" spans="3:3" ht="15.75" customHeight="1" x14ac:dyDescent="0.2">
      <c r="C340" s="5"/>
    </row>
    <row r="341" spans="3:3" ht="15.75" customHeight="1" x14ac:dyDescent="0.2">
      <c r="C341" s="5"/>
    </row>
    <row r="342" spans="3:3" ht="15.75" customHeight="1" x14ac:dyDescent="0.2">
      <c r="C342" s="5"/>
    </row>
    <row r="343" spans="3:3" ht="15.75" customHeight="1" x14ac:dyDescent="0.2">
      <c r="C343" s="5"/>
    </row>
    <row r="344" spans="3:3" ht="15.75" customHeight="1" x14ac:dyDescent="0.2">
      <c r="C344" s="5"/>
    </row>
    <row r="345" spans="3:3" ht="15.75" customHeight="1" x14ac:dyDescent="0.2">
      <c r="C345" s="5"/>
    </row>
    <row r="346" spans="3:3" ht="15.75" customHeight="1" x14ac:dyDescent="0.2">
      <c r="C346" s="5"/>
    </row>
    <row r="347" spans="3:3" ht="15.75" customHeight="1" x14ac:dyDescent="0.2">
      <c r="C347" s="5"/>
    </row>
    <row r="348" spans="3:3" ht="15.75" customHeight="1" x14ac:dyDescent="0.2">
      <c r="C348" s="5"/>
    </row>
    <row r="349" spans="3:3" ht="15.75" customHeight="1" x14ac:dyDescent="0.2">
      <c r="C349" s="5"/>
    </row>
    <row r="350" spans="3:3" ht="15.75" customHeight="1" x14ac:dyDescent="0.2">
      <c r="C350" s="5"/>
    </row>
    <row r="351" spans="3:3" ht="15.75" customHeight="1" x14ac:dyDescent="0.2">
      <c r="C351" s="5"/>
    </row>
    <row r="352" spans="3:3" ht="15.75" customHeight="1" x14ac:dyDescent="0.2">
      <c r="C352" s="5"/>
    </row>
    <row r="353" spans="3:3" ht="15.75" customHeight="1" x14ac:dyDescent="0.2">
      <c r="C353" s="5"/>
    </row>
    <row r="354" spans="3:3" ht="15.75" customHeight="1" x14ac:dyDescent="0.2">
      <c r="C354" s="5"/>
    </row>
    <row r="355" spans="3:3" ht="15.75" customHeight="1" x14ac:dyDescent="0.2">
      <c r="C355" s="5"/>
    </row>
    <row r="356" spans="3:3" ht="15.75" customHeight="1" x14ac:dyDescent="0.2">
      <c r="C356" s="5"/>
    </row>
    <row r="357" spans="3:3" ht="15.75" customHeight="1" x14ac:dyDescent="0.2">
      <c r="C357" s="5"/>
    </row>
    <row r="358" spans="3:3" ht="15.75" customHeight="1" x14ac:dyDescent="0.2">
      <c r="C358" s="5"/>
    </row>
    <row r="359" spans="3:3" ht="15.75" customHeight="1" x14ac:dyDescent="0.2">
      <c r="C359" s="5"/>
    </row>
    <row r="360" spans="3:3" ht="15.75" customHeight="1" x14ac:dyDescent="0.2">
      <c r="C360" s="5"/>
    </row>
    <row r="361" spans="3:3" ht="15.75" customHeight="1" x14ac:dyDescent="0.2">
      <c r="C361" s="5"/>
    </row>
    <row r="362" spans="3:3" ht="15.75" customHeight="1" x14ac:dyDescent="0.2">
      <c r="C362" s="5"/>
    </row>
    <row r="363" spans="3:3" ht="15.75" customHeight="1" x14ac:dyDescent="0.2">
      <c r="C363" s="5"/>
    </row>
    <row r="364" spans="3:3" ht="15.75" customHeight="1" x14ac:dyDescent="0.2">
      <c r="C364" s="5"/>
    </row>
    <row r="365" spans="3:3" ht="15.75" customHeight="1" x14ac:dyDescent="0.2">
      <c r="C365" s="5"/>
    </row>
    <row r="366" spans="3:3" ht="15.75" customHeight="1" x14ac:dyDescent="0.2">
      <c r="C366" s="5"/>
    </row>
    <row r="367" spans="3:3" ht="15.75" customHeight="1" x14ac:dyDescent="0.2">
      <c r="C367" s="5"/>
    </row>
    <row r="368" spans="3:3" ht="15.75" customHeight="1" x14ac:dyDescent="0.2">
      <c r="C368" s="5"/>
    </row>
    <row r="369" spans="3:3" ht="15.75" customHeight="1" x14ac:dyDescent="0.2">
      <c r="C369" s="5"/>
    </row>
    <row r="370" spans="3:3" ht="15.75" customHeight="1" x14ac:dyDescent="0.2">
      <c r="C370" s="5"/>
    </row>
    <row r="371" spans="3:3" ht="15.75" customHeight="1" x14ac:dyDescent="0.2">
      <c r="C371" s="5"/>
    </row>
    <row r="372" spans="3:3" ht="15.75" customHeight="1" x14ac:dyDescent="0.2">
      <c r="C372" s="5"/>
    </row>
    <row r="373" spans="3:3" ht="15.75" customHeight="1" x14ac:dyDescent="0.2">
      <c r="C373" s="5"/>
    </row>
    <row r="374" spans="3:3" ht="15.75" customHeight="1" x14ac:dyDescent="0.2">
      <c r="C374" s="5"/>
    </row>
    <row r="375" spans="3:3" ht="15.75" customHeight="1" x14ac:dyDescent="0.2">
      <c r="C375" s="5"/>
    </row>
    <row r="376" spans="3:3" ht="15.75" customHeight="1" x14ac:dyDescent="0.2">
      <c r="C376" s="5"/>
    </row>
    <row r="377" spans="3:3" ht="15.75" customHeight="1" x14ac:dyDescent="0.2">
      <c r="C377" s="5"/>
    </row>
    <row r="378" spans="3:3" ht="15.75" customHeight="1" x14ac:dyDescent="0.2">
      <c r="C378" s="5"/>
    </row>
    <row r="379" spans="3:3" ht="15.75" customHeight="1" x14ac:dyDescent="0.2">
      <c r="C379" s="5"/>
    </row>
    <row r="380" spans="3:3" ht="15.75" customHeight="1" x14ac:dyDescent="0.2">
      <c r="C380" s="5"/>
    </row>
    <row r="381" spans="3:3" ht="15.75" customHeight="1" x14ac:dyDescent="0.2">
      <c r="C381" s="5"/>
    </row>
    <row r="382" spans="3:3" ht="15.75" customHeight="1" x14ac:dyDescent="0.2">
      <c r="C382" s="5"/>
    </row>
    <row r="383" spans="3:3" ht="15.75" customHeight="1" x14ac:dyDescent="0.2">
      <c r="C383" s="5"/>
    </row>
    <row r="384" spans="3:3" ht="15.75" customHeight="1" x14ac:dyDescent="0.2">
      <c r="C384" s="5"/>
    </row>
    <row r="385" spans="3:3" ht="15.75" customHeight="1" x14ac:dyDescent="0.2">
      <c r="C385" s="5"/>
    </row>
    <row r="386" spans="3:3" ht="15.75" customHeight="1" x14ac:dyDescent="0.2">
      <c r="C386" s="5"/>
    </row>
    <row r="387" spans="3:3" ht="15.75" customHeight="1" x14ac:dyDescent="0.2">
      <c r="C387" s="5"/>
    </row>
    <row r="388" spans="3:3" ht="15.75" customHeight="1" x14ac:dyDescent="0.2">
      <c r="C388" s="5"/>
    </row>
    <row r="389" spans="3:3" ht="15.75" customHeight="1" x14ac:dyDescent="0.2">
      <c r="C389" s="5"/>
    </row>
    <row r="390" spans="3:3" ht="15.75" customHeight="1" x14ac:dyDescent="0.2">
      <c r="C390" s="5"/>
    </row>
    <row r="391" spans="3:3" ht="15.75" customHeight="1" x14ac:dyDescent="0.2">
      <c r="C391" s="5"/>
    </row>
    <row r="392" spans="3:3" ht="15.75" customHeight="1" x14ac:dyDescent="0.2">
      <c r="C392" s="5"/>
    </row>
    <row r="393" spans="3:3" ht="15.75" customHeight="1" x14ac:dyDescent="0.2">
      <c r="C393" s="5"/>
    </row>
    <row r="394" spans="3:3" ht="15.75" customHeight="1" x14ac:dyDescent="0.2">
      <c r="C394" s="5"/>
    </row>
    <row r="395" spans="3:3" ht="15.75" customHeight="1" x14ac:dyDescent="0.2">
      <c r="C395" s="5"/>
    </row>
    <row r="396" spans="3:3" ht="15.75" customHeight="1" x14ac:dyDescent="0.2">
      <c r="C396" s="5"/>
    </row>
    <row r="397" spans="3:3" ht="15.75" customHeight="1" x14ac:dyDescent="0.2">
      <c r="C397" s="5"/>
    </row>
    <row r="398" spans="3:3" ht="15.75" customHeight="1" x14ac:dyDescent="0.2">
      <c r="C398" s="5"/>
    </row>
    <row r="399" spans="3:3" ht="15.75" customHeight="1" x14ac:dyDescent="0.2">
      <c r="C399" s="5"/>
    </row>
    <row r="400" spans="3:3" ht="15.75" customHeight="1" x14ac:dyDescent="0.2">
      <c r="C400" s="5"/>
    </row>
    <row r="401" spans="3:3" ht="15.75" customHeight="1" x14ac:dyDescent="0.2">
      <c r="C401" s="5"/>
    </row>
    <row r="402" spans="3:3" ht="15.75" customHeight="1" x14ac:dyDescent="0.2">
      <c r="C402" s="5"/>
    </row>
    <row r="403" spans="3:3" ht="15.75" customHeight="1" x14ac:dyDescent="0.2">
      <c r="C403" s="5"/>
    </row>
    <row r="404" spans="3:3" ht="15.75" customHeight="1" x14ac:dyDescent="0.2">
      <c r="C404" s="5"/>
    </row>
    <row r="405" spans="3:3" ht="15.75" customHeight="1" x14ac:dyDescent="0.2">
      <c r="C405" s="5"/>
    </row>
    <row r="406" spans="3:3" ht="15.75" customHeight="1" x14ac:dyDescent="0.2">
      <c r="C406" s="5"/>
    </row>
    <row r="407" spans="3:3" ht="15.75" customHeight="1" x14ac:dyDescent="0.2">
      <c r="C407" s="5"/>
    </row>
    <row r="408" spans="3:3" ht="15.75" customHeight="1" x14ac:dyDescent="0.2">
      <c r="C408" s="5"/>
    </row>
    <row r="409" spans="3:3" ht="15.75" customHeight="1" x14ac:dyDescent="0.2">
      <c r="C409" s="5"/>
    </row>
    <row r="410" spans="3:3" ht="15.75" customHeight="1" x14ac:dyDescent="0.2">
      <c r="C410" s="5"/>
    </row>
    <row r="411" spans="3:3" ht="15.75" customHeight="1" x14ac:dyDescent="0.2">
      <c r="C411" s="5"/>
    </row>
    <row r="412" spans="3:3" ht="15.75" customHeight="1" x14ac:dyDescent="0.2">
      <c r="C412" s="5"/>
    </row>
    <row r="413" spans="3:3" ht="15.75" customHeight="1" x14ac:dyDescent="0.2">
      <c r="C413" s="5"/>
    </row>
    <row r="414" spans="3:3" ht="15.75" customHeight="1" x14ac:dyDescent="0.2">
      <c r="C414" s="5"/>
    </row>
    <row r="415" spans="3:3" ht="15.75" customHeight="1" x14ac:dyDescent="0.2">
      <c r="C415" s="5"/>
    </row>
    <row r="416" spans="3:3" ht="15.75" customHeight="1" x14ac:dyDescent="0.2">
      <c r="C416" s="5"/>
    </row>
    <row r="417" spans="3:3" ht="15.75" customHeight="1" x14ac:dyDescent="0.2">
      <c r="C417" s="5"/>
    </row>
    <row r="418" spans="3:3" ht="15.75" customHeight="1" x14ac:dyDescent="0.2">
      <c r="C418" s="5"/>
    </row>
    <row r="419" spans="3:3" ht="15.75" customHeight="1" x14ac:dyDescent="0.2">
      <c r="C419" s="5"/>
    </row>
    <row r="420" spans="3:3" ht="15.75" customHeight="1" x14ac:dyDescent="0.2">
      <c r="C420" s="5"/>
    </row>
    <row r="421" spans="3:3" ht="15.75" customHeight="1" x14ac:dyDescent="0.2">
      <c r="C421" s="5"/>
    </row>
    <row r="422" spans="3:3" ht="15.75" customHeight="1" x14ac:dyDescent="0.2">
      <c r="C422" s="5"/>
    </row>
    <row r="423" spans="3:3" ht="15.75" customHeight="1" x14ac:dyDescent="0.2">
      <c r="C423" s="5"/>
    </row>
    <row r="424" spans="3:3" ht="15.75" customHeight="1" x14ac:dyDescent="0.2">
      <c r="C424" s="5"/>
    </row>
    <row r="425" spans="3:3" ht="15.75" customHeight="1" x14ac:dyDescent="0.2">
      <c r="C425" s="5"/>
    </row>
    <row r="426" spans="3:3" ht="15.75" customHeight="1" x14ac:dyDescent="0.2">
      <c r="C426" s="5"/>
    </row>
    <row r="427" spans="3:3" ht="15.75" customHeight="1" x14ac:dyDescent="0.2">
      <c r="C427" s="5"/>
    </row>
    <row r="428" spans="3:3" ht="15.75" customHeight="1" x14ac:dyDescent="0.2">
      <c r="C428" s="5"/>
    </row>
    <row r="429" spans="3:3" ht="15.75" customHeight="1" x14ac:dyDescent="0.2">
      <c r="C429" s="5"/>
    </row>
    <row r="430" spans="3:3" ht="15.75" customHeight="1" x14ac:dyDescent="0.2">
      <c r="C430" s="5"/>
    </row>
    <row r="431" spans="3:3" ht="15.75" customHeight="1" x14ac:dyDescent="0.2">
      <c r="C431" s="5"/>
    </row>
    <row r="432" spans="3:3" ht="15.75" customHeight="1" x14ac:dyDescent="0.2">
      <c r="C432" s="5"/>
    </row>
    <row r="433" spans="3:3" ht="15.75" customHeight="1" x14ac:dyDescent="0.2">
      <c r="C433" s="5"/>
    </row>
    <row r="434" spans="3:3" ht="15.75" customHeight="1" x14ac:dyDescent="0.2">
      <c r="C434" s="5"/>
    </row>
    <row r="435" spans="3:3" ht="15.75" customHeight="1" x14ac:dyDescent="0.2">
      <c r="C435" s="5"/>
    </row>
    <row r="436" spans="3:3" ht="15.75" customHeight="1" x14ac:dyDescent="0.2">
      <c r="C436" s="5"/>
    </row>
    <row r="437" spans="3:3" ht="15.75" customHeight="1" x14ac:dyDescent="0.2">
      <c r="C437" s="5"/>
    </row>
    <row r="438" spans="3:3" ht="15.75" customHeight="1" x14ac:dyDescent="0.2">
      <c r="C438" s="5"/>
    </row>
    <row r="439" spans="3:3" ht="15.75" customHeight="1" x14ac:dyDescent="0.2">
      <c r="C439" s="5"/>
    </row>
    <row r="440" spans="3:3" ht="15.75" customHeight="1" x14ac:dyDescent="0.2">
      <c r="C440" s="5"/>
    </row>
    <row r="441" spans="3:3" ht="15.75" customHeight="1" x14ac:dyDescent="0.2">
      <c r="C441" s="5"/>
    </row>
    <row r="442" spans="3:3" ht="15.75" customHeight="1" x14ac:dyDescent="0.2">
      <c r="C442" s="5"/>
    </row>
    <row r="443" spans="3:3" ht="15.75" customHeight="1" x14ac:dyDescent="0.2">
      <c r="C443" s="5"/>
    </row>
    <row r="444" spans="3:3" ht="15.75" customHeight="1" x14ac:dyDescent="0.2">
      <c r="C444" s="5"/>
    </row>
    <row r="445" spans="3:3" ht="15.75" customHeight="1" x14ac:dyDescent="0.2">
      <c r="C445" s="5"/>
    </row>
    <row r="446" spans="3:3" ht="15.75" customHeight="1" x14ac:dyDescent="0.2">
      <c r="C446" s="5"/>
    </row>
    <row r="447" spans="3:3" ht="15.75" customHeight="1" x14ac:dyDescent="0.2">
      <c r="C447" s="5"/>
    </row>
    <row r="448" spans="3:3" ht="15.75" customHeight="1" x14ac:dyDescent="0.2">
      <c r="C448" s="5"/>
    </row>
    <row r="449" spans="3:3" ht="15.75" customHeight="1" x14ac:dyDescent="0.2">
      <c r="C449" s="5"/>
    </row>
    <row r="450" spans="3:3" ht="15.75" customHeight="1" x14ac:dyDescent="0.2">
      <c r="C450" s="5"/>
    </row>
    <row r="451" spans="3:3" ht="15.75" customHeight="1" x14ac:dyDescent="0.2">
      <c r="C451" s="5"/>
    </row>
    <row r="452" spans="3:3" ht="15.75" customHeight="1" x14ac:dyDescent="0.2">
      <c r="C452" s="5"/>
    </row>
    <row r="453" spans="3:3" ht="15.75" customHeight="1" x14ac:dyDescent="0.2">
      <c r="C453" s="5"/>
    </row>
    <row r="454" spans="3:3" ht="15.75" customHeight="1" x14ac:dyDescent="0.2">
      <c r="C454" s="5"/>
    </row>
    <row r="455" spans="3:3" ht="15.75" customHeight="1" x14ac:dyDescent="0.2">
      <c r="C455" s="5"/>
    </row>
    <row r="456" spans="3:3" ht="15.75" customHeight="1" x14ac:dyDescent="0.2">
      <c r="C456" s="5"/>
    </row>
    <row r="457" spans="3:3" ht="15.75" customHeight="1" x14ac:dyDescent="0.2">
      <c r="C457" s="5"/>
    </row>
    <row r="458" spans="3:3" ht="15.75" customHeight="1" x14ac:dyDescent="0.2">
      <c r="C458" s="5"/>
    </row>
    <row r="459" spans="3:3" ht="15.75" customHeight="1" x14ac:dyDescent="0.2">
      <c r="C459" s="5"/>
    </row>
    <row r="460" spans="3:3" ht="15.75" customHeight="1" x14ac:dyDescent="0.2">
      <c r="C460" s="5"/>
    </row>
    <row r="461" spans="3:3" ht="15.75" customHeight="1" x14ac:dyDescent="0.2">
      <c r="C461" s="5"/>
    </row>
    <row r="462" spans="3:3" ht="15.75" customHeight="1" x14ac:dyDescent="0.2">
      <c r="C462" s="5"/>
    </row>
    <row r="463" spans="3:3" ht="15.75" customHeight="1" x14ac:dyDescent="0.2">
      <c r="C463" s="5"/>
    </row>
    <row r="464" spans="3:3" ht="15.75" customHeight="1" x14ac:dyDescent="0.2">
      <c r="C464" s="5"/>
    </row>
    <row r="465" spans="3:3" ht="15.75" customHeight="1" x14ac:dyDescent="0.2">
      <c r="C465" s="5"/>
    </row>
    <row r="466" spans="3:3" ht="15.75" customHeight="1" x14ac:dyDescent="0.2">
      <c r="C466" s="5"/>
    </row>
    <row r="467" spans="3:3" ht="15.75" customHeight="1" x14ac:dyDescent="0.2">
      <c r="C467" s="5"/>
    </row>
    <row r="468" spans="3:3" ht="15.75" customHeight="1" x14ac:dyDescent="0.2">
      <c r="C468" s="5"/>
    </row>
    <row r="469" spans="3:3" ht="15.75" customHeight="1" x14ac:dyDescent="0.2">
      <c r="C469" s="5"/>
    </row>
    <row r="470" spans="3:3" ht="15.75" customHeight="1" x14ac:dyDescent="0.2">
      <c r="C470" s="5"/>
    </row>
    <row r="471" spans="3:3" ht="15.75" customHeight="1" x14ac:dyDescent="0.2">
      <c r="C471" s="5"/>
    </row>
    <row r="472" spans="3:3" ht="15.75" customHeight="1" x14ac:dyDescent="0.2">
      <c r="C472" s="5"/>
    </row>
    <row r="473" spans="3:3" ht="15.75" customHeight="1" x14ac:dyDescent="0.2">
      <c r="C473" s="5"/>
    </row>
    <row r="474" spans="3:3" ht="15.75" customHeight="1" x14ac:dyDescent="0.2">
      <c r="C474" s="5"/>
    </row>
    <row r="475" spans="3:3" ht="15.75" customHeight="1" x14ac:dyDescent="0.2">
      <c r="C475" s="5"/>
    </row>
    <row r="476" spans="3:3" ht="15.75" customHeight="1" x14ac:dyDescent="0.2">
      <c r="C476" s="5"/>
    </row>
    <row r="477" spans="3:3" ht="15.75" customHeight="1" x14ac:dyDescent="0.2">
      <c r="C477" s="5"/>
    </row>
    <row r="478" spans="3:3" ht="15.75" customHeight="1" x14ac:dyDescent="0.2">
      <c r="C478" s="5"/>
    </row>
    <row r="479" spans="3:3" ht="15.75" customHeight="1" x14ac:dyDescent="0.2">
      <c r="C479" s="5"/>
    </row>
    <row r="480" spans="3:3" ht="15.75" customHeight="1" x14ac:dyDescent="0.2">
      <c r="C480" s="5"/>
    </row>
    <row r="481" spans="3:3" ht="15.75" customHeight="1" x14ac:dyDescent="0.2">
      <c r="C481" s="5"/>
    </row>
    <row r="482" spans="3:3" ht="15.75" customHeight="1" x14ac:dyDescent="0.2">
      <c r="C482" s="5"/>
    </row>
    <row r="483" spans="3:3" ht="15.75" customHeight="1" x14ac:dyDescent="0.2">
      <c r="C483" s="5"/>
    </row>
    <row r="484" spans="3:3" ht="15.75" customHeight="1" x14ac:dyDescent="0.2">
      <c r="C484" s="5"/>
    </row>
    <row r="485" spans="3:3" ht="15.75" customHeight="1" x14ac:dyDescent="0.2">
      <c r="C485" s="5"/>
    </row>
    <row r="486" spans="3:3" ht="15.75" customHeight="1" x14ac:dyDescent="0.2">
      <c r="C486" s="5"/>
    </row>
    <row r="487" spans="3:3" ht="15.75" customHeight="1" x14ac:dyDescent="0.2">
      <c r="C487" s="5"/>
    </row>
    <row r="488" spans="3:3" ht="15.75" customHeight="1" x14ac:dyDescent="0.2">
      <c r="C488" s="5"/>
    </row>
    <row r="489" spans="3:3" ht="15.75" customHeight="1" x14ac:dyDescent="0.2">
      <c r="C489" s="5"/>
    </row>
    <row r="490" spans="3:3" ht="15.75" customHeight="1" x14ac:dyDescent="0.2">
      <c r="C490" s="5"/>
    </row>
    <row r="491" spans="3:3" ht="15.75" customHeight="1" x14ac:dyDescent="0.2">
      <c r="C491" s="5"/>
    </row>
    <row r="492" spans="3:3" ht="15.75" customHeight="1" x14ac:dyDescent="0.2">
      <c r="C492" s="5"/>
    </row>
    <row r="493" spans="3:3" ht="15.75" customHeight="1" x14ac:dyDescent="0.2">
      <c r="C493" s="5"/>
    </row>
    <row r="494" spans="3:3" ht="15.75" customHeight="1" x14ac:dyDescent="0.2">
      <c r="C494" s="5"/>
    </row>
    <row r="495" spans="3:3" ht="15.75" customHeight="1" x14ac:dyDescent="0.2">
      <c r="C495" s="5"/>
    </row>
    <row r="496" spans="3:3" ht="15.75" customHeight="1" x14ac:dyDescent="0.2">
      <c r="C496" s="5"/>
    </row>
    <row r="497" spans="3:3" ht="15.75" customHeight="1" x14ac:dyDescent="0.2">
      <c r="C497" s="5"/>
    </row>
    <row r="498" spans="3:3" ht="15.75" customHeight="1" x14ac:dyDescent="0.2">
      <c r="C498" s="5"/>
    </row>
    <row r="499" spans="3:3" ht="15.75" customHeight="1" x14ac:dyDescent="0.2">
      <c r="C499" s="5"/>
    </row>
    <row r="500" spans="3:3" ht="15.75" customHeight="1" x14ac:dyDescent="0.2">
      <c r="C500" s="5"/>
    </row>
    <row r="501" spans="3:3" ht="15.75" customHeight="1" x14ac:dyDescent="0.2">
      <c r="C501" s="5"/>
    </row>
    <row r="502" spans="3:3" ht="15.75" customHeight="1" x14ac:dyDescent="0.2">
      <c r="C502" s="5"/>
    </row>
    <row r="503" spans="3:3" ht="15.75" customHeight="1" x14ac:dyDescent="0.2">
      <c r="C503" s="5"/>
    </row>
    <row r="504" spans="3:3" ht="15.75" customHeight="1" x14ac:dyDescent="0.2">
      <c r="C504" s="5"/>
    </row>
    <row r="505" spans="3:3" ht="15.75" customHeight="1" x14ac:dyDescent="0.2">
      <c r="C505" s="5"/>
    </row>
    <row r="506" spans="3:3" ht="15.75" customHeight="1" x14ac:dyDescent="0.2">
      <c r="C506" s="5"/>
    </row>
    <row r="507" spans="3:3" ht="15.75" customHeight="1" x14ac:dyDescent="0.2">
      <c r="C507" s="5"/>
    </row>
    <row r="508" spans="3:3" ht="15.75" customHeight="1" x14ac:dyDescent="0.2">
      <c r="C508" s="5"/>
    </row>
    <row r="509" spans="3:3" ht="15.75" customHeight="1" x14ac:dyDescent="0.2">
      <c r="C509" s="5"/>
    </row>
    <row r="510" spans="3:3" ht="15.75" customHeight="1" x14ac:dyDescent="0.2">
      <c r="C510" s="5"/>
    </row>
    <row r="511" spans="3:3" ht="15.75" customHeight="1" x14ac:dyDescent="0.2">
      <c r="C511" s="5"/>
    </row>
    <row r="512" spans="3:3" ht="15.75" customHeight="1" x14ac:dyDescent="0.2">
      <c r="C512" s="5"/>
    </row>
    <row r="513" spans="3:3" ht="15.75" customHeight="1" x14ac:dyDescent="0.2">
      <c r="C513" s="5"/>
    </row>
    <row r="514" spans="3:3" ht="15.75" customHeight="1" x14ac:dyDescent="0.2">
      <c r="C514" s="5"/>
    </row>
    <row r="515" spans="3:3" ht="15.75" customHeight="1" x14ac:dyDescent="0.2">
      <c r="C515" s="5"/>
    </row>
    <row r="516" spans="3:3" ht="15.75" customHeight="1" x14ac:dyDescent="0.2">
      <c r="C516" s="5"/>
    </row>
    <row r="517" spans="3:3" ht="15.75" customHeight="1" x14ac:dyDescent="0.2">
      <c r="C517" s="5"/>
    </row>
    <row r="518" spans="3:3" ht="15.75" customHeight="1" x14ac:dyDescent="0.2">
      <c r="C518" s="5"/>
    </row>
    <row r="519" spans="3:3" ht="15.75" customHeight="1" x14ac:dyDescent="0.2">
      <c r="C519" s="5"/>
    </row>
    <row r="520" spans="3:3" ht="15.75" customHeight="1" x14ac:dyDescent="0.2">
      <c r="C520" s="5"/>
    </row>
    <row r="521" spans="3:3" ht="15.75" customHeight="1" x14ac:dyDescent="0.2">
      <c r="C521" s="5"/>
    </row>
    <row r="522" spans="3:3" ht="15.75" customHeight="1" x14ac:dyDescent="0.2">
      <c r="C522" s="5"/>
    </row>
    <row r="523" spans="3:3" ht="15.75" customHeight="1" x14ac:dyDescent="0.2">
      <c r="C523" s="5"/>
    </row>
    <row r="524" spans="3:3" ht="15.75" customHeight="1" x14ac:dyDescent="0.2">
      <c r="C524" s="5"/>
    </row>
    <row r="525" spans="3:3" ht="15.75" customHeight="1" x14ac:dyDescent="0.2">
      <c r="C525" s="5"/>
    </row>
    <row r="526" spans="3:3" ht="15.75" customHeight="1" x14ac:dyDescent="0.2">
      <c r="C526" s="5"/>
    </row>
    <row r="527" spans="3:3" ht="15.75" customHeight="1" x14ac:dyDescent="0.2">
      <c r="C527" s="5"/>
    </row>
    <row r="528" spans="3:3" ht="15.75" customHeight="1" x14ac:dyDescent="0.2">
      <c r="C528" s="5"/>
    </row>
    <row r="529" spans="3:3" ht="15.75" customHeight="1" x14ac:dyDescent="0.2">
      <c r="C529" s="5"/>
    </row>
    <row r="530" spans="3:3" ht="15.75" customHeight="1" x14ac:dyDescent="0.2">
      <c r="C530" s="5"/>
    </row>
    <row r="531" spans="3:3" ht="15.75" customHeight="1" x14ac:dyDescent="0.2">
      <c r="C531" s="5"/>
    </row>
    <row r="532" spans="3:3" ht="15.75" customHeight="1" x14ac:dyDescent="0.2">
      <c r="C532" s="5"/>
    </row>
    <row r="533" spans="3:3" ht="15.75" customHeight="1" x14ac:dyDescent="0.2">
      <c r="C533" s="5"/>
    </row>
    <row r="534" spans="3:3" ht="15.75" customHeight="1" x14ac:dyDescent="0.2">
      <c r="C534" s="5"/>
    </row>
    <row r="535" spans="3:3" ht="15.75" customHeight="1" x14ac:dyDescent="0.2">
      <c r="C535" s="5"/>
    </row>
    <row r="536" spans="3:3" ht="15.75" customHeight="1" x14ac:dyDescent="0.2">
      <c r="C536" s="5"/>
    </row>
    <row r="537" spans="3:3" ht="15.75" customHeight="1" x14ac:dyDescent="0.2">
      <c r="C537" s="5"/>
    </row>
    <row r="538" spans="3:3" ht="15.75" customHeight="1" x14ac:dyDescent="0.2">
      <c r="C538" s="5"/>
    </row>
    <row r="539" spans="3:3" ht="15.75" customHeight="1" x14ac:dyDescent="0.2">
      <c r="C539" s="5"/>
    </row>
    <row r="540" spans="3:3" ht="15.75" customHeight="1" x14ac:dyDescent="0.2">
      <c r="C540" s="5"/>
    </row>
    <row r="541" spans="3:3" ht="15.75" customHeight="1" x14ac:dyDescent="0.2">
      <c r="C541" s="5"/>
    </row>
    <row r="542" spans="3:3" ht="15.75" customHeight="1" x14ac:dyDescent="0.2">
      <c r="C542" s="5"/>
    </row>
    <row r="543" spans="3:3" ht="15.75" customHeight="1" x14ac:dyDescent="0.2">
      <c r="C543" s="5"/>
    </row>
    <row r="544" spans="3:3" ht="15.75" customHeight="1" x14ac:dyDescent="0.2">
      <c r="C544" s="5"/>
    </row>
    <row r="545" spans="3:3" ht="15.75" customHeight="1" x14ac:dyDescent="0.2">
      <c r="C545" s="5"/>
    </row>
    <row r="546" spans="3:3" ht="15.75" customHeight="1" x14ac:dyDescent="0.2">
      <c r="C546" s="5"/>
    </row>
    <row r="547" spans="3:3" ht="15.75" customHeight="1" x14ac:dyDescent="0.2">
      <c r="C547" s="5"/>
    </row>
    <row r="548" spans="3:3" ht="15.75" customHeight="1" x14ac:dyDescent="0.2">
      <c r="C548" s="5"/>
    </row>
    <row r="549" spans="3:3" ht="15.75" customHeight="1" x14ac:dyDescent="0.2">
      <c r="C549" s="5"/>
    </row>
    <row r="550" spans="3:3" ht="15.75" customHeight="1" x14ac:dyDescent="0.2">
      <c r="C550" s="5"/>
    </row>
    <row r="551" spans="3:3" ht="15.75" customHeight="1" x14ac:dyDescent="0.2">
      <c r="C551" s="5"/>
    </row>
    <row r="552" spans="3:3" ht="15.75" customHeight="1" x14ac:dyDescent="0.2">
      <c r="C552" s="5"/>
    </row>
    <row r="553" spans="3:3" ht="15.75" customHeight="1" x14ac:dyDescent="0.2">
      <c r="C553" s="5"/>
    </row>
    <row r="554" spans="3:3" ht="15.75" customHeight="1" x14ac:dyDescent="0.2">
      <c r="C554" s="5"/>
    </row>
    <row r="555" spans="3:3" ht="15.75" customHeight="1" x14ac:dyDescent="0.2">
      <c r="C555" s="5"/>
    </row>
    <row r="556" spans="3:3" ht="15.75" customHeight="1" x14ac:dyDescent="0.2">
      <c r="C556" s="5"/>
    </row>
    <row r="557" spans="3:3" ht="15.75" customHeight="1" x14ac:dyDescent="0.2">
      <c r="C557" s="5"/>
    </row>
    <row r="558" spans="3:3" ht="15.75" customHeight="1" x14ac:dyDescent="0.2">
      <c r="C558" s="5"/>
    </row>
    <row r="559" spans="3:3" ht="15.75" customHeight="1" x14ac:dyDescent="0.2">
      <c r="C559" s="5"/>
    </row>
    <row r="560" spans="3:3" ht="15.75" customHeight="1" x14ac:dyDescent="0.2">
      <c r="C560" s="5"/>
    </row>
    <row r="561" spans="3:3" ht="15.75" customHeight="1" x14ac:dyDescent="0.2">
      <c r="C561" s="5"/>
    </row>
    <row r="562" spans="3:3" ht="15.75" customHeight="1" x14ac:dyDescent="0.2">
      <c r="C562" s="5"/>
    </row>
    <row r="563" spans="3:3" ht="15.75" customHeight="1" x14ac:dyDescent="0.2">
      <c r="C563" s="5"/>
    </row>
    <row r="564" spans="3:3" ht="15.75" customHeight="1" x14ac:dyDescent="0.2">
      <c r="C564" s="5"/>
    </row>
    <row r="565" spans="3:3" ht="15.75" customHeight="1" x14ac:dyDescent="0.2">
      <c r="C565" s="5"/>
    </row>
    <row r="566" spans="3:3" ht="15.75" customHeight="1" x14ac:dyDescent="0.2">
      <c r="C566" s="5"/>
    </row>
    <row r="567" spans="3:3" ht="15.75" customHeight="1" x14ac:dyDescent="0.2">
      <c r="C567" s="5"/>
    </row>
    <row r="568" spans="3:3" ht="15.75" customHeight="1" x14ac:dyDescent="0.2">
      <c r="C568" s="5"/>
    </row>
    <row r="569" spans="3:3" ht="15.75" customHeight="1" x14ac:dyDescent="0.2">
      <c r="C569" s="5"/>
    </row>
    <row r="570" spans="3:3" ht="15.75" customHeight="1" x14ac:dyDescent="0.2">
      <c r="C570" s="5"/>
    </row>
    <row r="571" spans="3:3" ht="15.75" customHeight="1" x14ac:dyDescent="0.2">
      <c r="C571" s="5"/>
    </row>
    <row r="572" spans="3:3" ht="15.75" customHeight="1" x14ac:dyDescent="0.2">
      <c r="C572" s="5"/>
    </row>
    <row r="573" spans="3:3" ht="15.75" customHeight="1" x14ac:dyDescent="0.2">
      <c r="C573" s="5"/>
    </row>
    <row r="574" spans="3:3" ht="15.75" customHeight="1" x14ac:dyDescent="0.2">
      <c r="C574" s="5"/>
    </row>
    <row r="575" spans="3:3" ht="15.75" customHeight="1" x14ac:dyDescent="0.2">
      <c r="C575" s="5"/>
    </row>
    <row r="576" spans="3:3" ht="15.75" customHeight="1" x14ac:dyDescent="0.2">
      <c r="C576" s="5"/>
    </row>
    <row r="577" spans="3:3" ht="15.75" customHeight="1" x14ac:dyDescent="0.2">
      <c r="C577" s="5"/>
    </row>
    <row r="578" spans="3:3" ht="15.75" customHeight="1" x14ac:dyDescent="0.2">
      <c r="C578" s="5"/>
    </row>
    <row r="579" spans="3:3" ht="15.75" customHeight="1" x14ac:dyDescent="0.2">
      <c r="C579" s="5"/>
    </row>
    <row r="580" spans="3:3" ht="15.75" customHeight="1" x14ac:dyDescent="0.2">
      <c r="C580" s="5"/>
    </row>
    <row r="581" spans="3:3" ht="15.75" customHeight="1" x14ac:dyDescent="0.2">
      <c r="C581" s="5"/>
    </row>
    <row r="582" spans="3:3" ht="15.75" customHeight="1" x14ac:dyDescent="0.2">
      <c r="C582" s="5"/>
    </row>
    <row r="583" spans="3:3" ht="15.75" customHeight="1" x14ac:dyDescent="0.2">
      <c r="C583" s="5"/>
    </row>
    <row r="584" spans="3:3" ht="15.75" customHeight="1" x14ac:dyDescent="0.2">
      <c r="C584" s="5"/>
    </row>
    <row r="585" spans="3:3" ht="15.75" customHeight="1" x14ac:dyDescent="0.2">
      <c r="C585" s="5"/>
    </row>
    <row r="586" spans="3:3" ht="15.75" customHeight="1" x14ac:dyDescent="0.2">
      <c r="C586" s="5"/>
    </row>
    <row r="587" spans="3:3" ht="15.75" customHeight="1" x14ac:dyDescent="0.2">
      <c r="C587" s="5"/>
    </row>
    <row r="588" spans="3:3" ht="15.75" customHeight="1" x14ac:dyDescent="0.2">
      <c r="C588" s="5"/>
    </row>
    <row r="589" spans="3:3" ht="15.75" customHeight="1" x14ac:dyDescent="0.2">
      <c r="C589" s="5"/>
    </row>
    <row r="590" spans="3:3" ht="15.75" customHeight="1" x14ac:dyDescent="0.2">
      <c r="C590" s="5"/>
    </row>
    <row r="591" spans="3:3" ht="15.75" customHeight="1" x14ac:dyDescent="0.2">
      <c r="C591" s="5"/>
    </row>
    <row r="592" spans="3:3" ht="15.75" customHeight="1" x14ac:dyDescent="0.2">
      <c r="C592" s="5"/>
    </row>
    <row r="593" spans="3:3" ht="15.75" customHeight="1" x14ac:dyDescent="0.2">
      <c r="C593" s="5"/>
    </row>
    <row r="594" spans="3:3" ht="15.75" customHeight="1" x14ac:dyDescent="0.2">
      <c r="C594" s="5"/>
    </row>
    <row r="595" spans="3:3" ht="15.75" customHeight="1" x14ac:dyDescent="0.2">
      <c r="C595" s="5"/>
    </row>
    <row r="596" spans="3:3" ht="15.75" customHeight="1" x14ac:dyDescent="0.2">
      <c r="C596" s="5"/>
    </row>
    <row r="597" spans="3:3" ht="15.75" customHeight="1" x14ac:dyDescent="0.2">
      <c r="C597" s="5"/>
    </row>
    <row r="598" spans="3:3" ht="15.75" customHeight="1" x14ac:dyDescent="0.2">
      <c r="C598" s="5"/>
    </row>
    <row r="599" spans="3:3" ht="15.75" customHeight="1" x14ac:dyDescent="0.2">
      <c r="C599" s="5"/>
    </row>
    <row r="600" spans="3:3" ht="15.75" customHeight="1" x14ac:dyDescent="0.2">
      <c r="C600" s="5"/>
    </row>
    <row r="601" spans="3:3" ht="15.75" customHeight="1" x14ac:dyDescent="0.2">
      <c r="C601" s="5"/>
    </row>
    <row r="602" spans="3:3" ht="15.75" customHeight="1" x14ac:dyDescent="0.2">
      <c r="C602" s="5"/>
    </row>
    <row r="603" spans="3:3" ht="15.75" customHeight="1" x14ac:dyDescent="0.2">
      <c r="C603" s="5"/>
    </row>
    <row r="604" spans="3:3" ht="15.75" customHeight="1" x14ac:dyDescent="0.2">
      <c r="C604" s="5"/>
    </row>
    <row r="605" spans="3:3" ht="15.75" customHeight="1" x14ac:dyDescent="0.2">
      <c r="C605" s="5"/>
    </row>
    <row r="606" spans="3:3" ht="15.75" customHeight="1" x14ac:dyDescent="0.2">
      <c r="C606" s="5"/>
    </row>
    <row r="607" spans="3:3" ht="15.75" customHeight="1" x14ac:dyDescent="0.2">
      <c r="C607" s="5"/>
    </row>
    <row r="608" spans="3:3" ht="15.75" customHeight="1" x14ac:dyDescent="0.2">
      <c r="C608" s="5"/>
    </row>
    <row r="609" spans="3:3" ht="15.75" customHeight="1" x14ac:dyDescent="0.2">
      <c r="C609" s="5"/>
    </row>
    <row r="610" spans="3:3" ht="15.75" customHeight="1" x14ac:dyDescent="0.2">
      <c r="C610" s="5"/>
    </row>
    <row r="611" spans="3:3" ht="15.75" customHeight="1" x14ac:dyDescent="0.2">
      <c r="C611" s="5"/>
    </row>
    <row r="612" spans="3:3" ht="15.75" customHeight="1" x14ac:dyDescent="0.2">
      <c r="C612" s="5"/>
    </row>
    <row r="613" spans="3:3" ht="15.75" customHeight="1" x14ac:dyDescent="0.2">
      <c r="C613" s="5"/>
    </row>
    <row r="614" spans="3:3" ht="15.75" customHeight="1" x14ac:dyDescent="0.2">
      <c r="C614" s="5"/>
    </row>
    <row r="615" spans="3:3" ht="15.75" customHeight="1" x14ac:dyDescent="0.2">
      <c r="C615" s="5"/>
    </row>
    <row r="616" spans="3:3" ht="15.75" customHeight="1" x14ac:dyDescent="0.2">
      <c r="C616" s="5"/>
    </row>
    <row r="617" spans="3:3" ht="15.75" customHeight="1" x14ac:dyDescent="0.2">
      <c r="C617" s="5"/>
    </row>
    <row r="618" spans="3:3" ht="15.75" customHeight="1" x14ac:dyDescent="0.2">
      <c r="C618" s="5"/>
    </row>
    <row r="619" spans="3:3" ht="15.75" customHeight="1" x14ac:dyDescent="0.2">
      <c r="C619" s="5"/>
    </row>
    <row r="620" spans="3:3" ht="15.75" customHeight="1" x14ac:dyDescent="0.2">
      <c r="C620" s="5"/>
    </row>
    <row r="621" spans="3:3" ht="15.75" customHeight="1" x14ac:dyDescent="0.2">
      <c r="C621" s="5"/>
    </row>
    <row r="622" spans="3:3" ht="15.75" customHeight="1" x14ac:dyDescent="0.2">
      <c r="C622" s="5"/>
    </row>
    <row r="623" spans="3:3" ht="15.75" customHeight="1" x14ac:dyDescent="0.2">
      <c r="C623" s="5"/>
    </row>
    <row r="624" spans="3:3" ht="15.75" customHeight="1" x14ac:dyDescent="0.2">
      <c r="C624" s="5"/>
    </row>
    <row r="625" spans="3:3" ht="15.75" customHeight="1" x14ac:dyDescent="0.2">
      <c r="C625" s="5"/>
    </row>
    <row r="626" spans="3:3" ht="15.75" customHeight="1" x14ac:dyDescent="0.2">
      <c r="C626" s="5"/>
    </row>
    <row r="627" spans="3:3" ht="15.75" customHeight="1" x14ac:dyDescent="0.2">
      <c r="C627" s="5"/>
    </row>
    <row r="628" spans="3:3" ht="15.75" customHeight="1" x14ac:dyDescent="0.2">
      <c r="C628" s="5"/>
    </row>
    <row r="629" spans="3:3" ht="15.75" customHeight="1" x14ac:dyDescent="0.2">
      <c r="C629" s="5"/>
    </row>
    <row r="630" spans="3:3" ht="15.75" customHeight="1" x14ac:dyDescent="0.2">
      <c r="C630" s="5"/>
    </row>
    <row r="631" spans="3:3" ht="15.75" customHeight="1" x14ac:dyDescent="0.2">
      <c r="C631" s="5"/>
    </row>
    <row r="632" spans="3:3" ht="15.75" customHeight="1" x14ac:dyDescent="0.2">
      <c r="C632" s="5"/>
    </row>
    <row r="633" spans="3:3" ht="15.75" customHeight="1" x14ac:dyDescent="0.2">
      <c r="C633" s="5"/>
    </row>
    <row r="634" spans="3:3" ht="15.75" customHeight="1" x14ac:dyDescent="0.2">
      <c r="C634" s="5"/>
    </row>
    <row r="635" spans="3:3" ht="15.75" customHeight="1" x14ac:dyDescent="0.2">
      <c r="C635" s="5"/>
    </row>
    <row r="636" spans="3:3" ht="15.75" customHeight="1" x14ac:dyDescent="0.2">
      <c r="C636" s="5"/>
    </row>
    <row r="637" spans="3:3" ht="15.75" customHeight="1" x14ac:dyDescent="0.2">
      <c r="C637" s="5"/>
    </row>
    <row r="638" spans="3:3" ht="15.75" customHeight="1" x14ac:dyDescent="0.2">
      <c r="C638" s="5"/>
    </row>
    <row r="639" spans="3:3" ht="15.75" customHeight="1" x14ac:dyDescent="0.2">
      <c r="C639" s="5"/>
    </row>
    <row r="640" spans="3:3" ht="15.75" customHeight="1" x14ac:dyDescent="0.2">
      <c r="C640" s="5"/>
    </row>
    <row r="641" spans="3:3" ht="15.75" customHeight="1" x14ac:dyDescent="0.2">
      <c r="C641" s="5"/>
    </row>
    <row r="642" spans="3:3" ht="15.75" customHeight="1" x14ac:dyDescent="0.2">
      <c r="C642" s="5"/>
    </row>
    <row r="643" spans="3:3" ht="15.75" customHeight="1" x14ac:dyDescent="0.2">
      <c r="C643" s="5"/>
    </row>
    <row r="644" spans="3:3" ht="15.75" customHeight="1" x14ac:dyDescent="0.2">
      <c r="C644" s="5"/>
    </row>
    <row r="645" spans="3:3" ht="15.75" customHeight="1" x14ac:dyDescent="0.2">
      <c r="C645" s="5"/>
    </row>
    <row r="646" spans="3:3" ht="15.75" customHeight="1" x14ac:dyDescent="0.2">
      <c r="C646" s="5"/>
    </row>
    <row r="647" spans="3:3" ht="15.75" customHeight="1" x14ac:dyDescent="0.2">
      <c r="C647" s="5"/>
    </row>
    <row r="648" spans="3:3" ht="15.75" customHeight="1" x14ac:dyDescent="0.2">
      <c r="C648" s="5"/>
    </row>
    <row r="649" spans="3:3" ht="15.75" customHeight="1" x14ac:dyDescent="0.2"/>
    <row r="650" spans="3:3" ht="15.75" customHeight="1" x14ac:dyDescent="0.2"/>
    <row r="651" spans="3:3" ht="15.75" customHeight="1" x14ac:dyDescent="0.2"/>
    <row r="652" spans="3:3" ht="15.75" customHeight="1" x14ac:dyDescent="0.2"/>
    <row r="653" spans="3:3" ht="15.75" customHeight="1" x14ac:dyDescent="0.2"/>
    <row r="654" spans="3:3" ht="15.75" customHeight="1" x14ac:dyDescent="0.2"/>
    <row r="655" spans="3:3" ht="15.75" customHeight="1" x14ac:dyDescent="0.2"/>
    <row r="656" spans="3:3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x14ac:dyDescent="0.2"/>
  </sheetData>
  <phoneticPr fontId="3" type="noConversion"/>
  <pageMargins left="0.70866141732283472" right="0.70866141732283472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BFEC-96E1-D94A-93EA-BD7A4E60400F}">
  <dimension ref="A1:B12"/>
  <sheetViews>
    <sheetView workbookViewId="0">
      <selection activeCell="B10" sqref="B10:B11"/>
    </sheetView>
  </sheetViews>
  <sheetFormatPr baseColWidth="10" defaultRowHeight="14" x14ac:dyDescent="0.15"/>
  <cols>
    <col min="2" max="2" width="12.5" style="23" bestFit="1" customWidth="1"/>
  </cols>
  <sheetData>
    <row r="1" spans="1:2" x14ac:dyDescent="0.15">
      <c r="A1" s="22">
        <v>44562</v>
      </c>
      <c r="B1" s="23">
        <v>18900000</v>
      </c>
    </row>
    <row r="2" spans="1:2" x14ac:dyDescent="0.15">
      <c r="A2" s="22">
        <v>44593</v>
      </c>
    </row>
    <row r="3" spans="1:2" x14ac:dyDescent="0.15">
      <c r="A3" s="22">
        <v>44621</v>
      </c>
    </row>
    <row r="4" spans="1:2" x14ac:dyDescent="0.15">
      <c r="A4" s="22">
        <v>44652</v>
      </c>
    </row>
    <row r="5" spans="1:2" x14ac:dyDescent="0.15">
      <c r="A5" s="22">
        <v>44682</v>
      </c>
    </row>
    <row r="6" spans="1:2" x14ac:dyDescent="0.15">
      <c r="A6" s="22">
        <v>44713</v>
      </c>
      <c r="B6" s="23">
        <v>37800000</v>
      </c>
    </row>
    <row r="7" spans="1:2" x14ac:dyDescent="0.15">
      <c r="A7" s="22">
        <v>44743</v>
      </c>
      <c r="B7" s="23">
        <v>52900000</v>
      </c>
    </row>
    <row r="8" spans="1:2" x14ac:dyDescent="0.15">
      <c r="A8" s="22">
        <v>44774</v>
      </c>
      <c r="B8" s="23">
        <v>23900000</v>
      </c>
    </row>
    <row r="9" spans="1:2" x14ac:dyDescent="0.15">
      <c r="A9" s="22">
        <v>44805</v>
      </c>
    </row>
    <row r="10" spans="1:2" x14ac:dyDescent="0.15">
      <c r="A10" s="22">
        <v>44835</v>
      </c>
    </row>
    <row r="11" spans="1:2" x14ac:dyDescent="0.15">
      <c r="A11" s="22">
        <v>44866</v>
      </c>
    </row>
    <row r="12" spans="1:2" x14ac:dyDescent="0.15">
      <c r="A12" s="22">
        <v>44896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2022</vt:lpstr>
      <vt:lpstr>F29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Salvatierra</dc:creator>
  <cp:lastModifiedBy>Felipe Hiriart</cp:lastModifiedBy>
  <dcterms:created xsi:type="dcterms:W3CDTF">2017-06-22T16:26:47Z</dcterms:created>
  <dcterms:modified xsi:type="dcterms:W3CDTF">2023-04-17T20:44:25Z</dcterms:modified>
</cp:coreProperties>
</file>
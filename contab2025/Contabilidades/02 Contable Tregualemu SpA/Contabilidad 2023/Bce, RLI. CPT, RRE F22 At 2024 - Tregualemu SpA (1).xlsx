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7.xml"/>
  <Override ContentType="application/vnd.openxmlformats-officedocument.spreadsheetml.externalLink+xml" PartName="/xl/externalLinks/externalLink2.xml"/>
  <Override ContentType="application/vnd.openxmlformats-officedocument.spreadsheetml.externalLink+xml" PartName="/xl/externalLinks/externalLink12.xml"/>
  <Override ContentType="application/vnd.openxmlformats-officedocument.spreadsheetml.externalLink+xml" PartName="/xl/externalLinks/externalLink20.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externalLink+xml" PartName="/xl/externalLinks/externalLink10.xml"/>
  <Override ContentType="application/vnd.openxmlformats-officedocument.spreadsheetml.externalLink+xml" PartName="/xl/externalLinks/externalLink9.xml"/>
  <Override ContentType="application/vnd.openxmlformats-officedocument.spreadsheetml.externalLink+xml" PartName="/xl/externalLinks/externalLink14.xml"/>
  <Override ContentType="application/vnd.openxmlformats-officedocument.spreadsheetml.externalLink+xml" PartName="/xl/externalLinks/externalLink16.xml"/>
  <Override ContentType="application/vnd.openxmlformats-officedocument.spreadsheetml.externalLink+xml" PartName="/xl/externalLinks/externalLink1.xml"/>
  <Override ContentType="application/vnd.openxmlformats-officedocument.spreadsheetml.externalLink+xml" PartName="/xl/externalLinks/externalLink18.xml"/>
  <Override ContentType="application/vnd.openxmlformats-officedocument.spreadsheetml.externalLink+xml" PartName="/xl/externalLinks/externalLink13.xml"/>
  <Override ContentType="application/vnd.openxmlformats-officedocument.spreadsheetml.externalLink+xml" PartName="/xl/externalLinks/externalLink8.xml"/>
  <Override ContentType="application/vnd.openxmlformats-officedocument.spreadsheetml.externalLink+xml" PartName="/xl/externalLinks/externalLink11.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15.xml"/>
  <Override ContentType="application/vnd.openxmlformats-officedocument.spreadsheetml.externalLink+xml" PartName="/xl/externalLinks/externalLink19.xml"/>
  <Override ContentType="application/vnd.openxmlformats-officedocument.spreadsheetml.externalLink+xml" PartName="/xl/externalLinks/externalLink17.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1948 2023" sheetId="1" r:id="rId4"/>
    <sheet state="visible" name="Retiros" sheetId="2" r:id="rId5"/>
    <sheet state="visible" name="RRE 2023" sheetId="3" r:id="rId6"/>
    <sheet state="visible" name="CPT 2023" sheetId="4" r:id="rId7"/>
    <sheet state="visible" name="RLI 2023" sheetId="5" r:id="rId8"/>
    <sheet state="visible" name="Balance 2023" sheetId="6" r:id="rId9"/>
    <sheet state="visible" name="F-22" sheetId="7" r:id="rId10"/>
    <sheet state="visible" name="Mayor 2023" sheetId="8"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_Fill">[1]cotiz1!#REF!</definedName>
    <definedName name="_Order1">255</definedName>
    <definedName name="_Order2">255</definedName>
    <definedName name="A">[2]ALMAGRO!#REF!</definedName>
    <definedName localSheetId="3" name="AAA">{#N/A,#N/A,FALSE,"Aging Summary";#N/A,#N/A,FALSE,"Ratio Analysis";#N/A,#N/A,FALSE,"Test 120 Day Accts";#N/A,#N/A,FALSE,"Tickmarks"}</definedName>
    <definedName localSheetId="2" name="AAA">{#N/A,#N/A,FALSE,"Aging Summary";#N/A,#N/A,FALSE,"Ratio Analysis";#N/A,#N/A,FALSE,"Test 120 Day Accts";#N/A,#N/A,FALSE,"Tickmarks"}</definedName>
    <definedName name="AAA">{#N/A,#N/A,FALSE,"Aging Summary";#N/A,#N/A,FALSE,"Ratio Analysis";#N/A,#N/A,FALSE,"Test 120 Day Accts";#N/A,#N/A,FALSE,"Tickmarks"}</definedName>
    <definedName name="abr_14">[3]TablaCM!$B$23:$N$23</definedName>
    <definedName localSheetId="3" name="ac">{#N/A,#N/A,FALSE,"1209004";#N/A,#N/A,FALSE,"1209004"}</definedName>
    <definedName localSheetId="0" name="ac">{#N/A,#N/A,FALSE,"1209004";#N/A,#N/A,FALSE,"1209004"}</definedName>
    <definedName localSheetId="6" name="ac">{#N/A,#N/A,FALSE,"1209004";#N/A,#N/A,FALSE,"1209004"}</definedName>
    <definedName localSheetId="2" name="ac">{#N/A,#N/A,FALSE,"1209004";#N/A,#N/A,FALSE,"1209004"}</definedName>
    <definedName name="ac">{#N/A,#N/A,FALSE,"1209004";#N/A,#N/A,FALSE,"1209004"}</definedName>
    <definedName name="Ago_14">[3]TablaCM!$B$27:$N$27</definedName>
    <definedName localSheetId="3" name="AP">{#N/A,#N/A,FALSE,"Aging Summary";#N/A,#N/A,FALSE,"Ratio Analysis";#N/A,#N/A,FALSE,"Test 120 Day Accts";#N/A,#N/A,FALSE,"Tickmarks"}</definedName>
    <definedName localSheetId="0" name="AP">{#N/A,#N/A,FALSE,"Aging Summary";#N/A,#N/A,FALSE,"Ratio Analysis";#N/A,#N/A,FALSE,"Test 120 Day Accts";#N/A,#N/A,FALSE,"Tickmarks"}</definedName>
    <definedName localSheetId="6" name="AP">{#N/A,#N/A,FALSE,"Aging Summary";#N/A,#N/A,FALSE,"Ratio Analysis";#N/A,#N/A,FALSE,"Test 120 Day Accts";#N/A,#N/A,FALSE,"Tickmarks"}</definedName>
    <definedName localSheetId="2" name="AP">{#N/A,#N/A,FALSE,"Aging Summary";#N/A,#N/A,FALSE,"Ratio Analysis";#N/A,#N/A,FALSE,"Test 120 Day Accts";#N/A,#N/A,FALSE,"Tickmarks"}</definedName>
    <definedName name="AP">{#N/A,#N/A,FALSE,"Aging Summary";#N/A,#N/A,FALSE,"Ratio Analysis";#N/A,#N/A,FALSE,"Test 120 Day Accts";#N/A,#N/A,FALSE,"Tickmarks"}</definedName>
    <definedName name="AS2DocOpenMode">"AS2DocumentEdit"</definedName>
    <definedName name="B">[2]ALMAGRO!#REF!</definedName>
    <definedName name="CIStgoCosa">[4]C24_22!$A$1:$L$49</definedName>
    <definedName name="Ctapers">[5]CtaVrs24!#REF!</definedName>
    <definedName name="CTAPPAG">'[6]21-05'!#REF!</definedName>
    <definedName localSheetId="3" name="dd">{#N/A,#N/A,FALSE,"Aging Summary";#N/A,#N/A,FALSE,"Ratio Analysis";#N/A,#N/A,FALSE,"Test 120 Day Accts";#N/A,#N/A,FALSE,"Tickmarks"}</definedName>
    <definedName localSheetId="0" name="dd">{#N/A,#N/A,FALSE,"Aging Summary";#N/A,#N/A,FALSE,"Ratio Analysis";#N/A,#N/A,FALSE,"Test 120 Day Accts";#N/A,#N/A,FALSE,"Tickmarks"}</definedName>
    <definedName localSheetId="6" name="dd">{#N/A,#N/A,FALSE,"Aging Summary";#N/A,#N/A,FALSE,"Ratio Analysis";#N/A,#N/A,FALSE,"Test 120 Day Accts";#N/A,#N/A,FALSE,"Tickmarks"}</definedName>
    <definedName localSheetId="2" name="dd">{#N/A,#N/A,FALSE,"Aging Summary";#N/A,#N/A,FALSE,"Ratio Analysis";#N/A,#N/A,FALSE,"Test 120 Day Accts";#N/A,#N/A,FALSE,"Tickmarks"}</definedName>
    <definedName name="dd">{#N/A,#N/A,FALSE,"Aging Summary";#N/A,#N/A,FALSE,"Ratio Analysis";#N/A,#N/A,FALSE,"Test 120 Day Accts";#N/A,#N/A,FALSE,"Tickmarks"}</definedName>
    <definedName name="Dic_14">[3]TablaCM!$B$31:$N$31</definedName>
    <definedName localSheetId="3" name="DiciembreIFRS2008">{#N/A,#N/A,FALSE,"Aging Summary";#N/A,#N/A,FALSE,"Ratio Analysis";#N/A,#N/A,FALSE,"Test 120 Day Accts";#N/A,#N/A,FALSE,"Tickmarks"}</definedName>
    <definedName localSheetId="0" name="DiciembreIFRS2008">{#N/A,#N/A,FALSE,"Aging Summary";#N/A,#N/A,FALSE,"Ratio Analysis";#N/A,#N/A,FALSE,"Test 120 Day Accts";#N/A,#N/A,FALSE,"Tickmarks"}</definedName>
    <definedName localSheetId="6" name="DiciembreIFRS2008">{#N/A,#N/A,FALSE,"Aging Summary";#N/A,#N/A,FALSE,"Ratio Analysis";#N/A,#N/A,FALSE,"Test 120 Day Accts";#N/A,#N/A,FALSE,"Tickmarks"}</definedName>
    <definedName localSheetId="2" name="DiciembreIFRS2008">{#N/A,#N/A,FALSE,"Aging Summary";#N/A,#N/A,FALSE,"Ratio Analysis";#N/A,#N/A,FALSE,"Test 120 Day Accts";#N/A,#N/A,FALSE,"Tickmarks"}</definedName>
    <definedName name="DiciembreIFRS2008">{#N/A,#N/A,FALSE,"Aging Summary";#N/A,#N/A,FALSE,"Ratio Analysis";#N/A,#N/A,FALSE,"Test 120 Day Accts";#N/A,#N/A,FALSE,"Tickmarks"}</definedName>
    <definedName localSheetId="3" name="dsar">{#N/A,#N/A,FALSE,"Aging Summary";#N/A,#N/A,FALSE,"Ratio Analysis";#N/A,#N/A,FALSE,"Test 120 Day Accts";#N/A,#N/A,FALSE,"Tickmarks"}</definedName>
    <definedName localSheetId="0" name="dsar">{#N/A,#N/A,FALSE,"Aging Summary";#N/A,#N/A,FALSE,"Ratio Analysis";#N/A,#N/A,FALSE,"Test 120 Day Accts";#N/A,#N/A,FALSE,"Tickmarks"}</definedName>
    <definedName localSheetId="6" name="dsar">{#N/A,#N/A,FALSE,"Aging Summary";#N/A,#N/A,FALSE,"Ratio Analysis";#N/A,#N/A,FALSE,"Test 120 Day Accts";#N/A,#N/A,FALSE,"Tickmarks"}</definedName>
    <definedName localSheetId="2" name="dsar">{#N/A,#N/A,FALSE,"Aging Summary";#N/A,#N/A,FALSE,"Ratio Analysis";#N/A,#N/A,FALSE,"Test 120 Day Accts";#N/A,#N/A,FALSE,"Tickmarks"}</definedName>
    <definedName name="dsar">{#N/A,#N/A,FALSE,"Aging Summary";#N/A,#N/A,FALSE,"Ratio Analysis";#N/A,#N/A,FALSE,"Test 120 Day Accts";#N/A,#N/A,FALSE,"Tickmarks"}</definedName>
    <definedName name="e">[7]Drivers!$B$14</definedName>
    <definedName localSheetId="3" name="ergdagd">{#N/A,#N/A,FALSE,"Aging Summary";#N/A,#N/A,FALSE,"Ratio Analysis";#N/A,#N/A,FALSE,"Test 120 Day Accts";#N/A,#N/A,FALSE,"Tickmarks"}</definedName>
    <definedName localSheetId="0" name="ergdagd">{#N/A,#N/A,FALSE,"Aging Summary";#N/A,#N/A,FALSE,"Ratio Analysis";#N/A,#N/A,FALSE,"Test 120 Day Accts";#N/A,#N/A,FALSE,"Tickmarks"}</definedName>
    <definedName localSheetId="6" name="ergdagd">{#N/A,#N/A,FALSE,"Aging Summary";#N/A,#N/A,FALSE,"Ratio Analysis";#N/A,#N/A,FALSE,"Test 120 Day Accts";#N/A,#N/A,FALSE,"Tickmarks"}</definedName>
    <definedName localSheetId="2" name="ergdagd">{#N/A,#N/A,FALSE,"Aging Summary";#N/A,#N/A,FALSE,"Ratio Analysis";#N/A,#N/A,FALSE,"Test 120 Day Accts";#N/A,#N/A,FALSE,"Tickmarks"}</definedName>
    <definedName name="ergdagd">{#N/A,#N/A,FALSE,"Aging Summary";#N/A,#N/A,FALSE,"Ratio Analysis";#N/A,#N/A,FALSE,"Test 120 Day Accts";#N/A,#N/A,FALSE,"Tickmarks"}</definedName>
    <definedName localSheetId="3" name="erwrr">{#N/A,#N/A,FALSE,"Aging Summary";#N/A,#N/A,FALSE,"Ratio Analysis";#N/A,#N/A,FALSE,"Test 120 Day Accts";#N/A,#N/A,FALSE,"Tickmarks"}</definedName>
    <definedName localSheetId="0" name="erwrr">{#N/A,#N/A,FALSE,"Aging Summary";#N/A,#N/A,FALSE,"Ratio Analysis";#N/A,#N/A,FALSE,"Test 120 Day Accts";#N/A,#N/A,FALSE,"Tickmarks"}</definedName>
    <definedName localSheetId="6" name="erwrr">{#N/A,#N/A,FALSE,"Aging Summary";#N/A,#N/A,FALSE,"Ratio Analysis";#N/A,#N/A,FALSE,"Test 120 Day Accts";#N/A,#N/A,FALSE,"Tickmarks"}</definedName>
    <definedName localSheetId="2" name="erwrr">{#N/A,#N/A,FALSE,"Aging Summary";#N/A,#N/A,FALSE,"Ratio Analysis";#N/A,#N/A,FALSE,"Test 120 Day Accts";#N/A,#N/A,FALSE,"Tickmarks"}</definedName>
    <definedName name="erwrr">{#N/A,#N/A,FALSE,"Aging Summary";#N/A,#N/A,FALSE,"Ratio Analysis";#N/A,#N/A,FALSE,"Test 120 Day Accts";#N/A,#N/A,FALSE,"Tickmarks"}</definedName>
    <definedName name="FactorAbril">[8]TABLA!$E$23</definedName>
    <definedName name="FactorJunio">[8]TABLA!$E$25</definedName>
    <definedName name="FactorNoviembre">[8]TABLA!$E$30</definedName>
    <definedName name="FactorSeptiembre">[8]TABLA!$E$28</definedName>
    <definedName localSheetId="3" name="fg">{#N/A,#N/A,FALSE,"1209004";#N/A,#N/A,FALSE,"1209004"}</definedName>
    <definedName localSheetId="0" name="fg">{#N/A,#N/A,FALSE,"1209004";#N/A,#N/A,FALSE,"1209004"}</definedName>
    <definedName localSheetId="6" name="fg">{#N/A,#N/A,FALSE,"1209004";#N/A,#N/A,FALSE,"1209004"}</definedName>
    <definedName localSheetId="2" name="fg">{#N/A,#N/A,FALSE,"1209004";#N/A,#N/A,FALSE,"1209004"}</definedName>
    <definedName name="fg">{#N/A,#N/A,FALSE,"1209004";#N/A,#N/A,FALSE,"1209004"}</definedName>
    <definedName localSheetId="3" name="fsdfdsf">{#N/A,#N/A,FALSE,"Aging Summary";#N/A,#N/A,FALSE,"Ratio Analysis";#N/A,#N/A,FALSE,"Test 120 Day Accts";#N/A,#N/A,FALSE,"Tickmarks"}</definedName>
    <definedName localSheetId="0" name="fsdfdsf">{#N/A,#N/A,FALSE,"Aging Summary";#N/A,#N/A,FALSE,"Ratio Analysis";#N/A,#N/A,FALSE,"Test 120 Day Accts";#N/A,#N/A,FALSE,"Tickmarks"}</definedName>
    <definedName localSheetId="6" name="fsdfdsf">{#N/A,#N/A,FALSE,"Aging Summary";#N/A,#N/A,FALSE,"Ratio Analysis";#N/A,#N/A,FALSE,"Test 120 Day Accts";#N/A,#N/A,FALSE,"Tickmarks"}</definedName>
    <definedName localSheetId="2" name="fsdfdsf">{#N/A,#N/A,FALSE,"Aging Summary";#N/A,#N/A,FALSE,"Ratio Analysis";#N/A,#N/A,FALSE,"Test 120 Day Accts";#N/A,#N/A,FALSE,"Tickmarks"}</definedName>
    <definedName name="fsdfdsf">{#N/A,#N/A,FALSE,"Aging Summary";#N/A,#N/A,FALSE,"Ratio Analysis";#N/A,#N/A,FALSE,"Test 120 Day Accts";#N/A,#N/A,FALSE,"Tickmarks"}</definedName>
    <definedName localSheetId="3" name="gg">{#N/A,#N/A,FALSE,"1209004";#N/A,#N/A,FALSE,"1209004"}</definedName>
    <definedName localSheetId="0" name="gg">{#N/A,#N/A,FALSE,"1209004";#N/A,#N/A,FALSE,"1209004"}</definedName>
    <definedName localSheetId="6" name="gg">{#N/A,#N/A,FALSE,"1209004";#N/A,#N/A,FALSE,"1209004"}</definedName>
    <definedName localSheetId="2" name="gg">{#N/A,#N/A,FALSE,"1209004";#N/A,#N/A,FALSE,"1209004"}</definedName>
    <definedName name="gg">{#N/A,#N/A,FALSE,"1209004";#N/A,#N/A,FALSE,"1209004"}</definedName>
    <definedName name="grp_WalkMeArrows">"shp_ArrowCurved,txt_WalkMeArrows,shp_ArrowStraight"</definedName>
    <definedName name="grp_WalkMeBrace">"shp_BraceBottom,txt_WalkMeBrace,shp_BraceLeft"</definedName>
    <definedName name="GVKey">""</definedName>
    <definedName localSheetId="3" name="hhjhj">{#N/A,#N/A,FALSE,"1209004";#N/A,#N/A,FALSE,"1209004"}</definedName>
    <definedName localSheetId="0" name="hhjhj">{#N/A,#N/A,FALSE,"1209004";#N/A,#N/A,FALSE,"1209004"}</definedName>
    <definedName localSheetId="6" name="hhjhj">{#N/A,#N/A,FALSE,"1209004";#N/A,#N/A,FALSE,"1209004"}</definedName>
    <definedName localSheetId="2" name="hhjhj">{#N/A,#N/A,FALSE,"1209004";#N/A,#N/A,FALSE,"1209004"}</definedName>
    <definedName name="hhjhj">{#N/A,#N/A,FALSE,"1209004";#N/A,#N/A,FALSE,"1209004"}</definedName>
    <definedName localSheetId="3" name="hj">{#N/A,#N/A,FALSE,"1209004";#N/A,#N/A,FALSE,"1209004"}</definedName>
    <definedName localSheetId="0" name="hj">{#N/A,#N/A,FALSE,"1209004";#N/A,#N/A,FALSE,"1209004"}</definedName>
    <definedName localSheetId="6" name="hj">{#N/A,#N/A,FALSE,"1209004";#N/A,#N/A,FALSE,"1209004"}</definedName>
    <definedName localSheetId="2" name="hj">{#N/A,#N/A,FALSE,"1209004";#N/A,#N/A,FALSE,"1209004"}</definedName>
    <definedName name="hj">{#N/A,#N/A,FALSE,"1209004";#N/A,#N/A,FALSE,"1209004"}</definedName>
    <definedName name="HOY">'[9]INFO LAGOS'!$B$1</definedName>
    <definedName localSheetId="3" name="jj">{#N/A,#N/A,FALSE,"1209004";#N/A,#N/A,FALSE,"1209004"}</definedName>
    <definedName localSheetId="0" name="jj">{#N/A,#N/A,FALSE,"1209004";#N/A,#N/A,FALSE,"1209004"}</definedName>
    <definedName localSheetId="6" name="jj">{#N/A,#N/A,FALSE,"1209004";#N/A,#N/A,FALSE,"1209004"}</definedName>
    <definedName localSheetId="2" name="jj">{#N/A,#N/A,FALSE,"1209004";#N/A,#N/A,FALSE,"1209004"}</definedName>
    <definedName name="jj">{#N/A,#N/A,FALSE,"1209004";#N/A,#N/A,FALSE,"1209004"}</definedName>
    <definedName localSheetId="3" name="JKJJ">{#N/A,#N/A,FALSE,"Aging Summary";#N/A,#N/A,FALSE,"Ratio Analysis";#N/A,#N/A,FALSE,"Test 120 Day Accts";#N/A,#N/A,FALSE,"Tickmarks"}</definedName>
    <definedName localSheetId="0" name="JKJJ">{#N/A,#N/A,FALSE,"Aging Summary";#N/A,#N/A,FALSE,"Ratio Analysis";#N/A,#N/A,FALSE,"Test 120 Day Accts";#N/A,#N/A,FALSE,"Tickmarks"}</definedName>
    <definedName localSheetId="6" name="JKJJ">{#N/A,#N/A,FALSE,"Aging Summary";#N/A,#N/A,FALSE,"Ratio Analysis";#N/A,#N/A,FALSE,"Test 120 Day Accts";#N/A,#N/A,FALSE,"Tickmarks"}</definedName>
    <definedName localSheetId="2" name="JKJJ">{#N/A,#N/A,FALSE,"Aging Summary";#N/A,#N/A,FALSE,"Ratio Analysis";#N/A,#N/A,FALSE,"Test 120 Day Accts";#N/A,#N/A,FALSE,"Tickmarks"}</definedName>
    <definedName name="JKJJ">{#N/A,#N/A,FALSE,"Aging Summary";#N/A,#N/A,FALSE,"Ratio Analysis";#N/A,#N/A,FALSE,"Test 120 Day Accts";#N/A,#N/A,FALSE,"Tickmarks"}</definedName>
    <definedName name="jul_14">[3]TablaCM!$B$26:$N$26</definedName>
    <definedName name="jun_14">[3]TablaCM!$B$25:$N$25</definedName>
    <definedName localSheetId="3" name="kjk">{#N/A,#N/A,FALSE,"1209004";#N/A,#N/A,FALSE,"1209004"}</definedName>
    <definedName localSheetId="0" name="kjk">{#N/A,#N/A,FALSE,"1209004";#N/A,#N/A,FALSE,"1209004"}</definedName>
    <definedName localSheetId="6" name="kjk">{#N/A,#N/A,FALSE,"1209004";#N/A,#N/A,FALSE,"1209004"}</definedName>
    <definedName localSheetId="2" name="kjk">{#N/A,#N/A,FALSE,"1209004";#N/A,#N/A,FALSE,"1209004"}</definedName>
    <definedName name="kjk">{#N/A,#N/A,FALSE,"1209004";#N/A,#N/A,FALSE,"1209004"}</definedName>
    <definedName localSheetId="3" name="ll">{#N/A,#N/A,FALSE,"1209004";#N/A,#N/A,FALSE,"1209004"}</definedName>
    <definedName localSheetId="0" name="ll">{#N/A,#N/A,FALSE,"1209004";#N/A,#N/A,FALSE,"1209004"}</definedName>
    <definedName localSheetId="6" name="ll">{#N/A,#N/A,FALSE,"1209004";#N/A,#N/A,FALSE,"1209004"}</definedName>
    <definedName localSheetId="2" name="ll">{#N/A,#N/A,FALSE,"1209004";#N/A,#N/A,FALSE,"1209004"}</definedName>
    <definedName name="ll">{#N/A,#N/A,FALSE,"1209004";#N/A,#N/A,FALSE,"1209004"}</definedName>
    <definedName name="mar_14">[3]TablaCM!$B$22:$N$22</definedName>
    <definedName name="may_14">[3]TablaCM!$B$24:$N$24</definedName>
    <definedName localSheetId="3" name="N.29">{#N/A,#N/A,FALSE,"Aging Summary";#N/A,#N/A,FALSE,"Ratio Analysis";#N/A,#N/A,FALSE,"Test 120 Day Accts";#N/A,#N/A,FALSE,"Tickmarks"}</definedName>
    <definedName localSheetId="0" name="N.29">{#N/A,#N/A,FALSE,"Aging Summary";#N/A,#N/A,FALSE,"Ratio Analysis";#N/A,#N/A,FALSE,"Test 120 Day Accts";#N/A,#N/A,FALSE,"Tickmarks"}</definedName>
    <definedName localSheetId="6" name="N.29">{#N/A,#N/A,FALSE,"Aging Summary";#N/A,#N/A,FALSE,"Ratio Analysis";#N/A,#N/A,FALSE,"Test 120 Day Accts";#N/A,#N/A,FALSE,"Tickmarks"}</definedName>
    <definedName localSheetId="2" name="N.29">{#N/A,#N/A,FALSE,"Aging Summary";#N/A,#N/A,FALSE,"Ratio Analysis";#N/A,#N/A,FALSE,"Test 120 Day Accts";#N/A,#N/A,FALSE,"Tickmarks"}</definedName>
    <definedName name="N.29">{#N/A,#N/A,FALSE,"Aging Summary";#N/A,#N/A,FALSE,"Ratio Analysis";#N/A,#N/A,FALSE,"Test 120 Day Accts";#N/A,#N/A,FALSE,"Tickmarks"}</definedName>
    <definedName localSheetId="3" name="N.30">{#N/A,#N/A,FALSE,"Aging Summary";#N/A,#N/A,FALSE,"Ratio Analysis";#N/A,#N/A,FALSE,"Test 120 Day Accts";#N/A,#N/A,FALSE,"Tickmarks"}</definedName>
    <definedName localSheetId="0" name="N.30">{#N/A,#N/A,FALSE,"Aging Summary";#N/A,#N/A,FALSE,"Ratio Analysis";#N/A,#N/A,FALSE,"Test 120 Day Accts";#N/A,#N/A,FALSE,"Tickmarks"}</definedName>
    <definedName localSheetId="6" name="N.30">{#N/A,#N/A,FALSE,"Aging Summary";#N/A,#N/A,FALSE,"Ratio Analysis";#N/A,#N/A,FALSE,"Test 120 Day Accts";#N/A,#N/A,FALSE,"Tickmarks"}</definedName>
    <definedName localSheetId="2" name="N.30">{#N/A,#N/A,FALSE,"Aging Summary";#N/A,#N/A,FALSE,"Ratio Analysis";#N/A,#N/A,FALSE,"Test 120 Day Accts";#N/A,#N/A,FALSE,"Tickmarks"}</definedName>
    <definedName name="N.30">{#N/A,#N/A,FALSE,"Aging Summary";#N/A,#N/A,FALSE,"Ratio Analysis";#N/A,#N/A,FALSE,"Test 120 Day Accts";#N/A,#N/A,FALSE,"Tickmarks"}</definedName>
    <definedName localSheetId="3" name="NOVIEMBRE">{#N/A,#N/A,FALSE,"Estado de Resultado por Empresa"}</definedName>
    <definedName localSheetId="0" name="NOVIEMBRE">{#N/A,#N/A,FALSE,"Estado de Resultado por Empresa"}</definedName>
    <definedName localSheetId="6" name="NOVIEMBRE">{#N/A,#N/A,FALSE,"Estado de Resultado por Empresa"}</definedName>
    <definedName localSheetId="2" name="NOVIEMBRE">{#N/A,#N/A,FALSE,"Estado de Resultado por Empresa"}</definedName>
    <definedName name="NOVIEMBRE">{#N/A,#N/A,FALSE,"Estado de Resultado por Empresa"}</definedName>
    <definedName name="O">[10]Drivers!$A$1</definedName>
    <definedName name="Oct_14">[3]TablaCM!$B$29:$N$29</definedName>
    <definedName name="pie">[11]Productos!$D$21</definedName>
    <definedName name="PROY">[12]Drivers!$A$1</definedName>
    <definedName name="puntaolivos">[13]Drivers!$A$1</definedName>
    <definedName localSheetId="3" name="QW">{#N/A,#N/A,FALSE,"1209004";#N/A,#N/A,FALSE,"1209004"}</definedName>
    <definedName localSheetId="0" name="QW">{#N/A,#N/A,FALSE,"1209004";#N/A,#N/A,FALSE,"1209004"}</definedName>
    <definedName localSheetId="6" name="QW">{#N/A,#N/A,FALSE,"1209004";#N/A,#N/A,FALSE,"1209004"}</definedName>
    <definedName localSheetId="2" name="QW">{#N/A,#N/A,FALSE,"1209004";#N/A,#N/A,FALSE,"1209004"}</definedName>
    <definedName name="QW">{#N/A,#N/A,FALSE,"1209004";#N/A,#N/A,FALSE,"1209004"}</definedName>
    <definedName localSheetId="3" name="RETENCIONES">{#N/A,#N/A,FALSE,"Aging Summary";#N/A,#N/A,FALSE,"Ratio Analysis";#N/A,#N/A,FALSE,"Test 120 Day Accts";#N/A,#N/A,FALSE,"Tickmarks"}</definedName>
    <definedName localSheetId="0" name="RETENCIONES">{#N/A,#N/A,FALSE,"Aging Summary";#N/A,#N/A,FALSE,"Ratio Analysis";#N/A,#N/A,FALSE,"Test 120 Day Accts";#N/A,#N/A,FALSE,"Tickmarks"}</definedName>
    <definedName localSheetId="6" name="RETENCIONES">{#N/A,#N/A,FALSE,"Aging Summary";#N/A,#N/A,FALSE,"Ratio Analysis";#N/A,#N/A,FALSE,"Test 120 Day Accts";#N/A,#N/A,FALSE,"Tickmarks"}</definedName>
    <definedName localSheetId="2" name="RETENCIONES">{#N/A,#N/A,FALSE,"Aging Summary";#N/A,#N/A,FALSE,"Ratio Analysis";#N/A,#N/A,FALSE,"Test 120 Day Accts";#N/A,#N/A,FALSE,"Tickmarks"}</definedName>
    <definedName name="RETENCIONES">{#N/A,#N/A,FALSE,"Aging Summary";#N/A,#N/A,FALSE,"Ratio Analysis";#N/A,#N/A,FALSE,"Test 120 Day Accts";#N/A,#N/A,FALSE,"Tickmarks"}</definedName>
    <definedName localSheetId="3" name="RETENCIOONES_2">{#N/A,#N/A,FALSE,"Aging Summary";#N/A,#N/A,FALSE,"Ratio Analysis";#N/A,#N/A,FALSE,"Test 120 Day Accts";#N/A,#N/A,FALSE,"Tickmarks"}</definedName>
    <definedName localSheetId="0" name="RETENCIOONES_2">{#N/A,#N/A,FALSE,"Aging Summary";#N/A,#N/A,FALSE,"Ratio Analysis";#N/A,#N/A,FALSE,"Test 120 Day Accts";#N/A,#N/A,FALSE,"Tickmarks"}</definedName>
    <definedName localSheetId="6" name="RETENCIOONES_2">{#N/A,#N/A,FALSE,"Aging Summary";#N/A,#N/A,FALSE,"Ratio Analysis";#N/A,#N/A,FALSE,"Test 120 Day Accts";#N/A,#N/A,FALSE,"Tickmarks"}</definedName>
    <definedName localSheetId="2" name="RETENCIOONES_2">{#N/A,#N/A,FALSE,"Aging Summary";#N/A,#N/A,FALSE,"Ratio Analysis";#N/A,#N/A,FALSE,"Test 120 Day Accts";#N/A,#N/A,FALSE,"Tickmarks"}</definedName>
    <definedName name="RETENCIOONES_2">{#N/A,#N/A,FALSE,"Aging Summary";#N/A,#N/A,FALSE,"Ratio Analysis";#N/A,#N/A,FALSE,"Test 120 Day Accts";#N/A,#N/A,FALSE,"Tickmarks"}</definedName>
    <definedName name="RM">[14]Drivers!#REF!</definedName>
    <definedName name="RMb">[14]Drivers!$B$25</definedName>
    <definedName name="RMc">[14]Drivers!$B$29</definedName>
    <definedName name="RMd">[14]Drivers!$B$33</definedName>
    <definedName name="RMe">[14]Drivers!$B$37</definedName>
    <definedName localSheetId="3" name="RRRRR">{#N/A,#N/A,FALSE,"Aging Summary";#N/A,#N/A,FALSE,"Ratio Analysis";#N/A,#N/A,FALSE,"Test 120 Day Accts";#N/A,#N/A,FALSE,"Tickmarks"}</definedName>
    <definedName localSheetId="0" name="RRRRR">{#N/A,#N/A,FALSE,"Aging Summary";#N/A,#N/A,FALSE,"Ratio Analysis";#N/A,#N/A,FALSE,"Test 120 Day Accts";#N/A,#N/A,FALSE,"Tickmarks"}</definedName>
    <definedName localSheetId="6" name="RRRRR">{#N/A,#N/A,FALSE,"Aging Summary";#N/A,#N/A,FALSE,"Ratio Analysis";#N/A,#N/A,FALSE,"Test 120 Day Accts";#N/A,#N/A,FALSE,"Tickmarks"}</definedName>
    <definedName localSheetId="2" name="RRRRR">{#N/A,#N/A,FALSE,"Aging Summary";#N/A,#N/A,FALSE,"Ratio Analysis";#N/A,#N/A,FALSE,"Test 120 Day Accts";#N/A,#N/A,FALSE,"Tickmarks"}</definedName>
    <definedName name="RRRRR">{#N/A,#N/A,FALSE,"Aging Summary";#N/A,#N/A,FALSE,"Ratio Analysis";#N/A,#N/A,FALSE,"Test 120 Day Accts";#N/A,#N/A,FALSE,"Tickmarks"}</definedName>
    <definedName localSheetId="3" name="ryryyyw">{#N/A,#N/A,FALSE,"Aging Summary";#N/A,#N/A,FALSE,"Ratio Analysis";#N/A,#N/A,FALSE,"Test 120 Day Accts";#N/A,#N/A,FALSE,"Tickmarks"}</definedName>
    <definedName localSheetId="0" name="ryryyyw">{#N/A,#N/A,FALSE,"Aging Summary";#N/A,#N/A,FALSE,"Ratio Analysis";#N/A,#N/A,FALSE,"Test 120 Day Accts";#N/A,#N/A,FALSE,"Tickmarks"}</definedName>
    <definedName localSheetId="6" name="ryryyyw">{#N/A,#N/A,FALSE,"Aging Summary";#N/A,#N/A,FALSE,"Ratio Analysis";#N/A,#N/A,FALSE,"Test 120 Day Accts";#N/A,#N/A,FALSE,"Tickmarks"}</definedName>
    <definedName localSheetId="2" name="ryryyyw">{#N/A,#N/A,FALSE,"Aging Summary";#N/A,#N/A,FALSE,"Ratio Analysis";#N/A,#N/A,FALSE,"Test 120 Day Accts";#N/A,#N/A,FALSE,"Tickmarks"}</definedName>
    <definedName name="ryryyyw">{#N/A,#N/A,FALSE,"Aging Summary";#N/A,#N/A,FALSE,"Ratio Analysis";#N/A,#N/A,FALSE,"Test 120 Day Accts";#N/A,#N/A,FALSE,"Tickmarks"}</definedName>
    <definedName name="saldo">[11]Productos!$D$22</definedName>
    <definedName name="SalesTax">0.0825</definedName>
    <definedName localSheetId="3" name="sdsdsd">{#N/A,#N/A,FALSE,"Aging Summary";#N/A,#N/A,FALSE,"Ratio Analysis";#N/A,#N/A,FALSE,"Test 120 Day Accts";#N/A,#N/A,FALSE,"Tickmarks"}</definedName>
    <definedName localSheetId="0" name="sdsdsd">{#N/A,#N/A,FALSE,"Aging Summary";#N/A,#N/A,FALSE,"Ratio Analysis";#N/A,#N/A,FALSE,"Test 120 Day Accts";#N/A,#N/A,FALSE,"Tickmarks"}</definedName>
    <definedName localSheetId="6" name="sdsdsd">{#N/A,#N/A,FALSE,"Aging Summary";#N/A,#N/A,FALSE,"Ratio Analysis";#N/A,#N/A,FALSE,"Test 120 Day Accts";#N/A,#N/A,FALSE,"Tickmarks"}</definedName>
    <definedName localSheetId="2" name="sdsdsd">{#N/A,#N/A,FALSE,"Aging Summary";#N/A,#N/A,FALSE,"Ratio Analysis";#N/A,#N/A,FALSE,"Test 120 Day Accts";#N/A,#N/A,FALSE,"Tickmarks"}</definedName>
    <definedName name="sdsdsd">{#N/A,#N/A,FALSE,"Aging Summary";#N/A,#N/A,FALSE,"Ratio Analysis";#N/A,#N/A,FALSE,"Test 120 Day Accts";#N/A,#N/A,FALSE,"Tickmarks"}</definedName>
    <definedName name="Sep_14">[3]TablaCM!$B$28:$N$28</definedName>
    <definedName name="Shipping">1.25</definedName>
    <definedName name="SPSet">"current"</definedName>
    <definedName name="SPWS_WBID">""</definedName>
    <definedName localSheetId="3" name="sub">{#N/A,#N/A,FALSE,"Aging Summary";#N/A,#N/A,FALSE,"Ratio Analysis";#N/A,#N/A,FALSE,"Test 120 Day Accts";#N/A,#N/A,FALSE,"Tickmarks"}</definedName>
    <definedName localSheetId="0" name="sub">{#N/A,#N/A,FALSE,"Aging Summary";#N/A,#N/A,FALSE,"Ratio Analysis";#N/A,#N/A,FALSE,"Test 120 Day Accts";#N/A,#N/A,FALSE,"Tickmarks"}</definedName>
    <definedName localSheetId="6" name="sub">{#N/A,#N/A,FALSE,"Aging Summary";#N/A,#N/A,FALSE,"Ratio Analysis";#N/A,#N/A,FALSE,"Test 120 Day Accts";#N/A,#N/A,FALSE,"Tickmarks"}</definedName>
    <definedName localSheetId="2" name="sub">{#N/A,#N/A,FALSE,"Aging Summary";#N/A,#N/A,FALSE,"Ratio Analysis";#N/A,#N/A,FALSE,"Test 120 Day Accts";#N/A,#N/A,FALSE,"Tickmarks"}</definedName>
    <definedName name="sub">{#N/A,#N/A,FALSE,"Aging Summary";#N/A,#N/A,FALSE,"Ratio Analysis";#N/A,#N/A,FALSE,"Test 120 Day Accts";#N/A,#N/A,FALSE,"Tickmarks"}</definedName>
    <definedName name="TERR">[14]Drivers!$B$14</definedName>
    <definedName name="terreno">[13]Drivers!$B$14</definedName>
    <definedName name="terrenos">[13]Drivers!$B$14</definedName>
    <definedName name="TextRefCopyRangeCount">40</definedName>
    <definedName name="TvivA">[14]Mix!$C$15</definedName>
    <definedName name="TvivB">[14]Mix!$C$27</definedName>
    <definedName name="TvivC">[14]Mix!$C$39</definedName>
    <definedName name="TvivD">[14]Mix!$C$51</definedName>
    <definedName name="TvivE">[14]Mix!$C$63</definedName>
    <definedName localSheetId="0" name="v">'[20]Registrar F.22 AT.2013'!$A$2:$B$182</definedName>
    <definedName name="v">'[15]Registrar '!$A$2:$B$182</definedName>
    <definedName name="vivienda">[16]Evaluacion!$C$17</definedName>
    <definedName localSheetId="3" name="wrn.ACT.">{#N/A,#N/A,FALSE,"1209004";#N/A,#N/A,FALSE,"1209004"}</definedName>
    <definedName localSheetId="0" name="wrn.ACT.">{#N/A,#N/A,FALSE,"1209004";#N/A,#N/A,FALSE,"1209004"}</definedName>
    <definedName localSheetId="6" name="wrn.ACT.">{#N/A,#N/A,FALSE,"1209004";#N/A,#N/A,FALSE,"1209004"}</definedName>
    <definedName localSheetId="2" name="wrn.ACT.">{#N/A,#N/A,FALSE,"1209004";#N/A,#N/A,FALSE,"1209004"}</definedName>
    <definedName name="wrn.ACT.">{#N/A,#N/A,FALSE,"1209004";#N/A,#N/A,FALSE,"1209004"}</definedName>
    <definedName localSheetId="3" name="wrn.Aging._.and._.Trend._.Analysis.">{#N/A,#N/A,FALSE,"Aging Summary";#N/A,#N/A,FALSE,"Ratio Analysis";#N/A,#N/A,FALSE,"Test 120 Day Accts";#N/A,#N/A,FALSE,"Tickmarks"}</definedName>
    <definedName localSheetId="0" name="wrn.Aging._.and._.Trend._.Analysis.">{#N/A,#N/A,FALSE,"Aging Summary";#N/A,#N/A,FALSE,"Ratio Analysis";#N/A,#N/A,FALSE,"Test 120 Day Accts";#N/A,#N/A,FALSE,"Tickmarks"}</definedName>
    <definedName localSheetId="6" name="wrn.Aging._.and._.Trend._.Analysis.">{#N/A,#N/A,FALSE,"Aging Summary";#N/A,#N/A,FALSE,"Ratio Analysis";#N/A,#N/A,FALSE,"Test 120 Day Accts";#N/A,#N/A,FALSE,"Tickmarks"}</definedName>
    <definedName localSheetId="2" name="wrn.Aging._.and._.Trend._.Analysis.">{#N/A,#N/A,FALSE,"Aging Summary";#N/A,#N/A,FALSE,"Ratio Analysis";#N/A,#N/A,FALSE,"Test 120 Day Accts";#N/A,#N/A,FALSE,"Tickmarks"}</definedName>
    <definedName name="wrn.Aging._.and._.Trend._.Analysis.">{#N/A,#N/A,FALSE,"Aging Summary";#N/A,#N/A,FALSE,"Ratio Analysis";#N/A,#N/A,FALSE,"Test 120 Day Accts";#N/A,#N/A,FALSE,"Tickmarks"}</definedName>
    <definedName localSheetId="3" name="wrn.Almagro.">{#N/A,#N/A,FALSE,"Estado de Resultado por Empresa"}</definedName>
    <definedName localSheetId="0" name="wrn.Almagro.">{#N/A,#N/A,FALSE,"Estado de Resultado por Empresa"}</definedName>
    <definedName localSheetId="6" name="wrn.Almagro.">{#N/A,#N/A,FALSE,"Estado de Resultado por Empresa"}</definedName>
    <definedName localSheetId="2" name="wrn.Almagro.">{#N/A,#N/A,FALSE,"Estado de Resultado por Empresa"}</definedName>
    <definedName name="wrn.Almagro.">{#N/A,#N/A,FALSE,"Estado de Resultado por Empresa"}</definedName>
    <definedName localSheetId="3" name="wrn.Consolidado.">{"Consolidado",#N/A,FALSE,"Consolidado"}</definedName>
    <definedName localSheetId="0" name="wrn.Consolidado.">{"Consolidado",#N/A,FALSE,"Consolidado"}</definedName>
    <definedName localSheetId="6" name="wrn.Consolidado.">{"Consolidado",#N/A,FALSE,"Consolidado"}</definedName>
    <definedName localSheetId="2" name="wrn.Consolidado.">{"Consolidado",#N/A,FALSE,"Consolidado"}</definedName>
    <definedName name="wrn.Consolidado.">{"Consolidado",#N/A,FALSE,"Consolidado"}</definedName>
    <definedName localSheetId="3" name="wrn.Constructora._.Almagro.">{"Constructora_Almagro",#N/A,FALSE,"Estado de Resultado por Empresa"}</definedName>
    <definedName localSheetId="0" name="wrn.Constructora._.Almagro.">{"Constructora_Almagro",#N/A,FALSE,"Estado de Resultado por Empresa"}</definedName>
    <definedName localSheetId="6" name="wrn.Constructora._.Almagro.">{"Constructora_Almagro",#N/A,FALSE,"Estado de Resultado por Empresa"}</definedName>
    <definedName localSheetId="2" name="wrn.Constructora._.Almagro.">{"Constructora_Almagro",#N/A,FALSE,"Estado de Resultado por Empresa"}</definedName>
    <definedName name="wrn.Constructora._.Almagro.">{"Constructora_Almagro",#N/A,FALSE,"Estado de Resultado por Empresa"}</definedName>
    <definedName localSheetId="3" name="wrn.Cosechas.">{"Cosechas",#N/A,FALSE,"Estado de Resultado por Empresa"}</definedName>
    <definedName localSheetId="0" name="wrn.Cosechas.">{"Cosechas",#N/A,FALSE,"Estado de Resultado por Empresa"}</definedName>
    <definedName localSheetId="6" name="wrn.Cosechas.">{"Cosechas",#N/A,FALSE,"Estado de Resultado por Empresa"}</definedName>
    <definedName localSheetId="2" name="wrn.Cosechas.">{"Cosechas",#N/A,FALSE,"Estado de Resultado por Empresa"}</definedName>
    <definedName name="wrn.Cosechas.">{"Cosechas",#N/A,FALSE,"Estado de Resultado por Empresa"}</definedName>
    <definedName localSheetId="3" name="wrn.Imarangatú.">{"Estado_Imarangatú",#N/A,FALSE,"Estado de Resultado por Empresa"}</definedName>
    <definedName localSheetId="0" name="wrn.Imarangatú.">{"Estado_Imarangatú",#N/A,FALSE,"Estado de Resultado por Empresa"}</definedName>
    <definedName localSheetId="6" name="wrn.Imarangatú.">{"Estado_Imarangatú",#N/A,FALSE,"Estado de Resultado por Empresa"}</definedName>
    <definedName localSheetId="2" name="wrn.Imarangatú.">{"Estado_Imarangatú",#N/A,FALSE,"Estado de Resultado por Empresa"}</definedName>
    <definedName name="wrn.Imarangatú.">{"Estado_Imarangatú",#N/A,FALSE,"Estado de Resultado por Empresa"}</definedName>
    <definedName localSheetId="3" name="wrn.PROMESAS.">{"PROMESAS",#N/A,FALSE,"VALLE ALEGRE"}</definedName>
    <definedName localSheetId="0" name="wrn.PROMESAS.">{"PROMESAS",#N/A,FALSE,"VALLE ALEGRE"}</definedName>
    <definedName localSheetId="6" name="wrn.PROMESAS.">{"PROMESAS",#N/A,FALSE,"VALLE ALEGRE"}</definedName>
    <definedName localSheetId="2" name="wrn.PROMESAS.">{"PROMESAS",#N/A,FALSE,"VALLE ALEGRE"}</definedName>
    <definedName name="wrn.PROMESAS.">{"PROMESAS",#N/A,FALSE,"VALLE ALEGRE"}</definedName>
    <definedName localSheetId="3" name="wrn.Sta_Elvira.">{#N/A,#N/A,FALSE,"Estado de Resultado por Empresa"}</definedName>
    <definedName localSheetId="0" name="wrn.Sta_Elvira.">{#N/A,#N/A,FALSE,"Estado de Resultado por Empresa"}</definedName>
    <definedName localSheetId="6" name="wrn.Sta_Elvira.">{#N/A,#N/A,FALSE,"Estado de Resultado por Empresa"}</definedName>
    <definedName localSheetId="2" name="wrn.Sta_Elvira.">{#N/A,#N/A,FALSE,"Estado de Resultado por Empresa"}</definedName>
    <definedName name="wrn.Sta_Elvira.">{#N/A,#N/A,FALSE,"Estado de Resultado por Empresa"}</definedName>
    <definedName localSheetId="0" name="x">'[17]Registrar  AT.-1'!$A:$B</definedName>
    <definedName name="x">'[17]Registrar  AT.-1'!$A:$B</definedName>
    <definedName name="z">[18]CtaVrs24!#REF!</definedName>
    <definedName name="Fecha">#REF!</definedName>
    <definedName localSheetId="6" name="operacion">#REF!</definedName>
    <definedName localSheetId="0" name="cliente">#REF!</definedName>
    <definedName name="Lemons">#REF!</definedName>
    <definedName name="cliente">#REF!</definedName>
    <definedName localSheetId="0" name="INVERSION">#REF!</definedName>
    <definedName name="__SUP1">#REF!</definedName>
    <definedName localSheetId="6" name="FUT">#REF!</definedName>
    <definedName localSheetId="0" name="AReaAF">#REF!</definedName>
    <definedName name="SegmentaciónDeDatos_Cta">#REF!</definedName>
    <definedName name="IMPRIME">#REF!</definedName>
    <definedName name="UF">#REF!</definedName>
    <definedName name="nomb_sucursal">#REF!</definedName>
    <definedName localSheetId="0" name="OPERACION1">#REF!</definedName>
    <definedName localSheetId="0" name="saldo_final">#REF!</definedName>
    <definedName localSheetId="2" name="OPERACION1">#REF!</definedName>
    <definedName localSheetId="0" name="UF">#REF!</definedName>
    <definedName name="TextRefCopy35">#REF!</definedName>
    <definedName localSheetId="0" name="Clientes">#REF!</definedName>
    <definedName name="vpp">#REF!</definedName>
    <definedName localSheetId="6" name="Sino">#REF!</definedName>
    <definedName name="fecha_hasta">#REF!</definedName>
    <definedName name="Exsitn">#REF!</definedName>
    <definedName name="_____Set99">#REF!</definedName>
    <definedName name="pert">#REF!</definedName>
    <definedName name="XPRINT">#REF!</definedName>
    <definedName name="leasing">#REF!</definedName>
    <definedName localSheetId="6" name="INVERSION">#REF!</definedName>
    <definedName name="Existn">#REF!</definedName>
    <definedName name="DFDSFDF">#REF!</definedName>
    <definedName name="COMBINA">#REF!</definedName>
    <definedName localSheetId="0" name="Protest">#REF!</definedName>
    <definedName localSheetId="0" name="Base1">#REF!</definedName>
    <definedName name="EstadoPagare">#REF!</definedName>
    <definedName localSheetId="6" name="TextRefCopy21">#REF!</definedName>
    <definedName localSheetId="0" name="Bananas">#REF!</definedName>
    <definedName name="PatrimRut">#REF!</definedName>
    <definedName name="OPIPO">#REF!</definedName>
    <definedName name="BORRA">#REF!</definedName>
    <definedName name="MENU">#REF!</definedName>
    <definedName localSheetId="0" name="PPPPPP">#REF!</definedName>
    <definedName name="ImprAFjo">#REF!</definedName>
    <definedName name="_tot4">#REF!</definedName>
    <definedName name="UFPagadas">#REF!</definedName>
    <definedName localSheetId="6" name="Resultado">#REF!</definedName>
    <definedName name="_SUP1">#REF!</definedName>
    <definedName name="_cta1">#REF!</definedName>
    <definedName name="aa">#REF!</definedName>
    <definedName localSheetId="0" name="UF_DIA">#REF!</definedName>
    <definedName name="_tot2">#REF!</definedName>
    <definedName name="Sino">#REF!</definedName>
    <definedName name="INDICES">#REF!</definedName>
    <definedName name="RETENC_CLTES">#REF!</definedName>
    <definedName localSheetId="0" name="vpp">#REF!</definedName>
    <definedName localSheetId="0" name="area_actual">#REF!</definedName>
    <definedName name="CInar_Socosa">#REF!</definedName>
    <definedName name="saldo_inicial">#REF!</definedName>
    <definedName name="Centro_de_Costo">#REF!</definedName>
    <definedName name="Cltes_VVarias">#REF!</definedName>
    <definedName name="Tviv">#REF!</definedName>
    <definedName localSheetId="6" name="TextRefCopy35">#REF!</definedName>
    <definedName name="_tot1">#REF!</definedName>
    <definedName localSheetId="0" name="Obra2000">#REF!</definedName>
    <definedName name="PPciónACcs">#REF!</definedName>
    <definedName name="Utilno">#REF!</definedName>
    <definedName name="T_DESDE_2014">#REF!</definedName>
    <definedName name="Base1">#REF!</definedName>
    <definedName name="Oranges">#REF!</definedName>
    <definedName localSheetId="6" name="TextRefCopy6">#REF!</definedName>
    <definedName name="Ldeduc">#REF!</definedName>
    <definedName localSheetId="6" name="TextRefCopy15">#REF!</definedName>
    <definedName name="UF_DIA">#REF!</definedName>
    <definedName name="letras">#REF!</definedName>
    <definedName name="sdghf">#REF!</definedName>
    <definedName name="saldo_final">#REF!</definedName>
    <definedName name="feffef">#REF!</definedName>
    <definedName name="Obrej22">#REF!</definedName>
    <definedName name="_SUP2">#REF!</definedName>
    <definedName localSheetId="6" name="TIPO">#REF!</definedName>
    <definedName name="__SUP2">#REF!</definedName>
    <definedName name="TextRefCopy5">#REF!</definedName>
    <definedName name="TextRefCopy33">#REF!</definedName>
    <definedName name="TextRefCopy28">#REF!</definedName>
    <definedName name="CInarCosa">#REF!</definedName>
    <definedName localSheetId="6" name="TextRefCopy28">#REF!</definedName>
    <definedName localSheetId="0" name="IMPRIME">#REF!</definedName>
    <definedName name="UU">#REF!</definedName>
    <definedName localSheetId="0" name="PPciónACcs">#REF!</definedName>
    <definedName localSheetId="0" name="fecha_desde">#REF!</definedName>
    <definedName localSheetId="0" name="XPRINT">#REF!</definedName>
    <definedName name="CCte15_24">#REF!</definedName>
    <definedName name="rwerrwer">#REF!</definedName>
    <definedName name="clna">#REF!</definedName>
    <definedName localSheetId="0" name="cub">#REF!</definedName>
    <definedName localSheetId="6" name="TextRefCopy24">#REF!</definedName>
    <definedName localSheetId="6" name="TextRefCopy34">#REF!</definedName>
    <definedName name="m">#REF!</definedName>
    <definedName name="TABLE_4">#REF!</definedName>
    <definedName localSheetId="6" name="TextRefCopy1">#REF!</definedName>
    <definedName name="TextRefCopy21">#REF!</definedName>
    <definedName name="BORRA2">#REF!</definedName>
    <definedName name="g">#REF!</definedName>
    <definedName localSheetId="0" name="Proyectos">#REF!</definedName>
    <definedName name="CCTEREL">#REF!</definedName>
    <definedName name="DFSFRFWE">#REF!</definedName>
    <definedName name="area_actual">#REF!</definedName>
    <definedName localSheetId="2" name="INVERSION">#REF!</definedName>
    <definedName name="BORRA1">#REF!</definedName>
    <definedName localSheetId="0" name="lst_Fruit">#REF!</definedName>
    <definedName localSheetId="6" name="UF">#REF!</definedName>
    <definedName name="CCRELPAS">#REF!</definedName>
    <definedName name="ewrewrr">#REF!</definedName>
    <definedName name="RECUP">#REF!</definedName>
    <definedName name="Obra2000">#REF!</definedName>
    <definedName localSheetId="6" name="Ldeduc">#REF!</definedName>
    <definedName localSheetId="6" name="INDICES">#REF!</definedName>
    <definedName localSheetId="0" name="TextRefCopy1">#REF!</definedName>
    <definedName name="TextRefCopy22">#REF!</definedName>
    <definedName localSheetId="0" name="saldo_inicial">#REF!</definedName>
    <definedName localSheetId="0" name="cuenta">#REF!</definedName>
    <definedName name="Docrela">#REF!</definedName>
    <definedName name="Apples">#REF!</definedName>
    <definedName name="AReaAF">#REF!</definedName>
    <definedName localSheetId="0" name="ImprAFjo">#REF!</definedName>
    <definedName name="mois">#REF!</definedName>
    <definedName name="Patrim">#REF!</definedName>
    <definedName name="FFDFF">#REF!</definedName>
    <definedName name="total_cargos">#REF!</definedName>
    <definedName name="PPPPPP">#REF!</definedName>
    <definedName name="observaciones">#REF!</definedName>
    <definedName localSheetId="6" name="T_ANTES_2014">#REF!</definedName>
    <definedName localSheetId="0" name="Obrej22">#REF!</definedName>
    <definedName name="TABLE">#REF!</definedName>
    <definedName localSheetId="0" name="z">#REF!</definedName>
    <definedName name="TextRefCopy39">#REF!</definedName>
    <definedName name="FUT">#REF!</definedName>
    <definedName name="TextRefCopy14">#REF!</definedName>
    <definedName name="TextRefCopy38">#REF!</definedName>
    <definedName name="Codigo">#REF!</definedName>
    <definedName name="Proyectos">#REF!</definedName>
    <definedName localSheetId="6" name="MO">#REF!</definedName>
    <definedName name="ANTICCL">#REF!</definedName>
    <definedName localSheetId="6" name="TextRefCopy5">#REF!</definedName>
    <definedName name="lst_Fruit">#REF!</definedName>
    <definedName name="fech_cartola">#REF!</definedName>
    <definedName name="Clientes">#REF!</definedName>
    <definedName name="mmm">#REF!</definedName>
    <definedName name="T_ANTES_2014">#REF!</definedName>
    <definedName localSheetId="0" name="operacion">#REF!</definedName>
    <definedName name="operacion">#REF!</definedName>
    <definedName localSheetId="0" name="TerrnLP">#REF!</definedName>
    <definedName name="CERTIFICADO">#REF!</definedName>
    <definedName name="TextRefCopy3">#REF!</definedName>
    <definedName name="total_abonos">#REF!</definedName>
    <definedName name="Bananas">#REF!</definedName>
    <definedName name="__cta1">#REF!</definedName>
    <definedName localSheetId="6" name="TextRefCopy11">#REF!</definedName>
    <definedName name="Obras2001">#REF!</definedName>
    <definedName name="PRINTPLUS">#REF!</definedName>
    <definedName localSheetId="0" name="lst_FruitType">#REF!</definedName>
    <definedName localSheetId="0" name="_______Set99">#REF!</definedName>
    <definedName name="Protest">#REF!</definedName>
    <definedName name="cub">#REF!</definedName>
    <definedName name="OPERACION1">#REF!</definedName>
    <definedName name="TextRefCopy15">#REF!</definedName>
    <definedName localSheetId="6" name="TextRefCopy8">#REF!</definedName>
    <definedName name="TIPO">#REF!</definedName>
    <definedName name="ACUM">#REF!</definedName>
    <definedName name="______Set99">#REF!</definedName>
    <definedName localSheetId="6" name="OPERACION1">#REF!</definedName>
    <definedName name="HOJA">#REF!</definedName>
    <definedName name="TABLE_2">#REF!</definedName>
    <definedName name="fecha_desde">#REF!</definedName>
    <definedName name="monto_sobregiro">#REF!</definedName>
    <definedName name="TextRefCopy4">#REF!</definedName>
    <definedName localSheetId="6" name="TextRefCopy3">#REF!</definedName>
    <definedName name="sfwff">#REF!</definedName>
    <definedName name="TerrnLP">#REF!</definedName>
    <definedName name="CInarPesa">#REF!</definedName>
    <definedName localSheetId="6" name="TextRefCopy14">#REF!</definedName>
    <definedName name="caja">#REF!</definedName>
    <definedName name="INVERSION">#REF!</definedName>
    <definedName localSheetId="6" name="TextRefCopy4">#REF!</definedName>
    <definedName localSheetId="6" name="v">#REF!</definedName>
    <definedName name="ssss">#REF!</definedName>
    <definedName name="casa">#REF!</definedName>
    <definedName name="TextRefCopy34">#REF!</definedName>
    <definedName localSheetId="6" name="TextRefCopy39">#REF!</definedName>
    <definedName name="GIVA">#REF!</definedName>
    <definedName name="Junio99">#REF!</definedName>
    <definedName name="ANTICCLTES">#REF!</definedName>
    <definedName localSheetId="6" name="AYUDA">#REF!</definedName>
    <definedName name="Hoja1">#REF!</definedName>
    <definedName name="_______Set99">#REF!</definedName>
    <definedName name="AYUDA">#REF!</definedName>
    <definedName name="TextRefCopy24">#REF!</definedName>
    <definedName localSheetId="0" name="Oranges">#REF!</definedName>
    <definedName name="RANGO">#REF!</definedName>
    <definedName name="MO">#REF!</definedName>
    <definedName localSheetId="6" name="T_DESDE_2014">#REF!</definedName>
    <definedName localSheetId="0" name="arial">#REF!</definedName>
    <definedName localSheetId="6" name="TextRefCopy10">#REF!</definedName>
    <definedName name="rete_ultimo">#REF!</definedName>
    <definedName localSheetId="0" name="Codigo">#REF!</definedName>
    <definedName name="TextRefCopy1">#REF!</definedName>
    <definedName localSheetId="0" name="Obras2001">#REF!</definedName>
    <definedName name="CCosanIlan">#REF!</definedName>
    <definedName name="mmmmmmmmm">#REF!</definedName>
    <definedName name="TOTAL">#REF!</definedName>
    <definedName name="___Set99">#REF!</definedName>
    <definedName localSheetId="0" name="m">#REF!</definedName>
    <definedName localSheetId="0" name="Fecha">#REF!</definedName>
    <definedName name="Cheques">#REF!</definedName>
    <definedName name="TextRefCopy11">#REF!</definedName>
    <definedName name="mail_ejecutivo">#REF!</definedName>
    <definedName name="___cta1">#REF!</definedName>
    <definedName name="TABLE_3">#REF!</definedName>
    <definedName name="DISPONIBLE">#REF!</definedName>
    <definedName localSheetId="0" name="aaa">#REF!</definedName>
    <definedName localSheetId="2" name="operacion">#REF!</definedName>
    <definedName name="__Set99">#REF!</definedName>
    <definedName name="TextRefCopy8">#REF!</definedName>
    <definedName name="MontoPagare">#REF!</definedName>
    <definedName name="TRYHTRSY">#REF!</definedName>
    <definedName name="Frendir">#REF!</definedName>
    <definedName name="TextRefCopy10">#REF!</definedName>
    <definedName name="cuenta">#REF!</definedName>
    <definedName name="AfijosC">#REF!</definedName>
    <definedName localSheetId="0" name="fech_cartola">#REF!</definedName>
    <definedName name="FU">#REF!</definedName>
    <definedName localSheetId="6" name="aaa">#REF!</definedName>
    <definedName localSheetId="6" name="TextRefCopy33">#REF!</definedName>
    <definedName localSheetId="6" name="mois">#REF!</definedName>
    <definedName localSheetId="6" name="a">#REF!</definedName>
    <definedName name="TextRefCopy6">#REF!</definedName>
    <definedName name="CLIENTS_DOCPCOB">#REF!</definedName>
    <definedName name="HOJA2">#REF!</definedName>
    <definedName localSheetId="0" name="Apples">#REF!</definedName>
    <definedName name="MUL">#REF!</definedName>
    <definedName localSheetId="0" name="Lemons">#REF!</definedName>
    <definedName name="CCtepers">#REF!</definedName>
    <definedName name="_Set99">#REF!</definedName>
    <definedName localSheetId="0" name="ClieNac">#REF!</definedName>
    <definedName name="Todo">#REF!</definedName>
    <definedName name="arial">#REF!</definedName>
    <definedName localSheetId="6" name="TextRefCopy22">#REF!</definedName>
    <definedName name="Resultado">#REF!</definedName>
    <definedName localSheetId="6" name="TextRefCopy38">#REF!</definedName>
    <definedName name="ClieNac">#REF!</definedName>
    <definedName localSheetId="6" name="AAAA">#REF!</definedName>
    <definedName name="lst_FruitType">#REF!</definedName>
    <definedName name="operacion4">#REF!</definedName>
    <definedName name="_tot3">#REF!</definedName>
    <definedName name="aaaa">#REF!</definedName>
    <definedName localSheetId="0" name="CERTIFICADO">#REF!</definedName>
    <definedName name="DSSFDSF">#REF!</definedName>
    <definedName name="mmmmmm">#REF!</definedName>
    <definedName name="DSFDF">#REF!</definedName>
    <definedName hidden="1" localSheetId="7" name="Z_8D64F89B_161D_4737_840C_E0294EA642D5_.wvu.FilterData">'Mayor 2023'!$A$9:$I$205</definedName>
    <definedName name="SlicerCache_Table_2_Col_1">#N/A</definedName>
  </definedNames>
  <calcPr/>
  <customWorkbookViews>
    <customWorkbookView activeSheetId="0" maximized="1" windowHeight="0" windowWidth="0" guid="{8D64F89B-161D-4737-840C-E0294EA642D5}" name="Filtro 1"/>
  </customWorkbookViews>
  <extLst>
    <ext uri="GoogleSheetsCustomDataVersion2">
      <go:sheetsCustomData xmlns:go="http://customooxmlschemas.google.com/" r:id="rId33" roundtripDataChecksum="9W44IrEiVOcvKlM20pou9GhyPQLXcXaq+tNWQVV8jkE="/>
    </ext>
    <ext uri="{46BE6895-7355-4a93-B00E-2C351335B9C9}">
      <x15:slicerCaches>
        <x14:slicerCache r:id="rId32"/>
      </x15:slicerCaches>
    </ext>
  </extLst>
</workbook>
</file>

<file path=xl/sharedStrings.xml><?xml version="1.0" encoding="utf-8"?>
<sst xmlns="http://schemas.openxmlformats.org/spreadsheetml/2006/main" count="2171" uniqueCount="933">
  <si>
    <t>Declaración Jurada anual sobre retiros, remesas y/o dividendos distribuidos,  o cantidades distribuidas a cualquier título  y créditos correspondientes, efectuados por contribuyentes sujetos al régimen de la letra A) y al número 3 de la letra D) del artículo 14 de la LIR,  y sobre saldo de retiros en exceso pendientes de imputación.</t>
  </si>
  <si>
    <t>F1948</t>
  </si>
  <si>
    <t>Sección A: IDENTIFICACIÓN DEL DECLARANTE</t>
  </si>
  <si>
    <t>FOLIO</t>
  </si>
  <si>
    <t>ROL ÚNICO TRIBUTARIO</t>
  </si>
  <si>
    <t>NOMBRE O RAZÓN SOCIAL</t>
  </si>
  <si>
    <t xml:space="preserve">DOMICILIO </t>
  </si>
  <si>
    <t>COMUNA</t>
  </si>
  <si>
    <t xml:space="preserve">CORREO ELECTRÓNICO </t>
  </si>
  <si>
    <t>TELÉFONO</t>
  </si>
  <si>
    <t xml:space="preserve">Sección B: </t>
  </si>
  <si>
    <t>ANTECEDENTES DE LOS INFORMADOS (Receptor de los retiros, remesas o dividendos. Persona natural o jurídica)</t>
  </si>
  <si>
    <t>Fecha del retiro, remesa y/o dividendo distribuido</t>
  </si>
  <si>
    <t>RUT del Pleno Propietario  o Usufructuario  receptor del retiro, remesa y/o dividendo distribuido</t>
  </si>
  <si>
    <t>Usfructuario beneficiario del retiro, remesa y/o dividendo distribuido</t>
  </si>
  <si>
    <t>Cantidad de acciones al 31/12</t>
  </si>
  <si>
    <t>MONTOS DE RETIROS, REMESAS O DIVIDENDOS REAJUSTADOS ($)</t>
  </si>
  <si>
    <t>CRÉDITOS PARA IMPUESTO GLOBAL COMPLEMENTARIO O ADICIONAL</t>
  </si>
  <si>
    <t>Devolución de capital Art.17 N° 7 LIR.</t>
  </si>
  <si>
    <t>Número de Certificado</t>
  </si>
  <si>
    <t>Afectos a los Impuestos Global Complementario y/o Impuesto Adicional</t>
  </si>
  <si>
    <t>Rentas Exentas e Ingresos No Constitutivos de Renta (REX)</t>
  </si>
  <si>
    <t>Acumulados a Contar del 01.01.2017</t>
  </si>
  <si>
    <t>Acumulados Hasta el 31.12.2016</t>
  </si>
  <si>
    <t>Crédito por impuesto tasa adicional, Ex. Art. 21  LIR.</t>
  </si>
  <si>
    <t>Rentas Con Tributación Cumplida</t>
  </si>
  <si>
    <t xml:space="preserve">Rentas Exentas </t>
  </si>
  <si>
    <t>Ingresos No Constitutivos de  Renta</t>
  </si>
  <si>
    <t>Asociados a Rentas Afectas</t>
  </si>
  <si>
    <t>Asociados a Rentas Exentas</t>
  </si>
  <si>
    <t xml:space="preserve">Crédito por IPE </t>
  </si>
  <si>
    <t>Asociados a Rentas Exentas (artículo 11, Ley 18.401)</t>
  </si>
  <si>
    <t>Rentas provenientes del registro RAP y Diferencia Inicial de sociedad acogida al ex Art. 14 TER A) LIR</t>
  </si>
  <si>
    <t>Otras rentas percibidas Sin Prioridad en su orden de imputación</t>
  </si>
  <si>
    <t>Exceso Distribuciones Desproporcionadas 
(N°9 Art.14 A)</t>
  </si>
  <si>
    <t>Utilidades afectadas con impuesto sustitutivo al FUT (ISFUT) Ley N°20.780</t>
  </si>
  <si>
    <t>Rentas generadas hasta el 31.12.1983 y/o utilidades afectadas con impuesto sustitutivo al FUT (ISFUT) LEY N°21.210</t>
  </si>
  <si>
    <t>Rentas Exentas de Impuesto Global Complementario (IGC) (Artículo 11, Ley 18.401), Afectas a Impuesto Adicional</t>
  </si>
  <si>
    <t>Rentas Exentas de Impuesto Global Complementario (IGC) y/o Impuesto Adicional (IA)</t>
  </si>
  <si>
    <t>No Sujetos a Restitución generados Hasta el 31.12.2019</t>
  </si>
  <si>
    <t>No Sujetos a Restitución generados a contar del 01.01.2020</t>
  </si>
  <si>
    <t>Sujetos a Restitución</t>
  </si>
  <si>
    <t>Sin derecho a devolución</t>
  </si>
  <si>
    <t>Con derecho a devolución</t>
  </si>
  <si>
    <t>GERARDO ARTURO ESCUDERO TOLEDO</t>
  </si>
  <si>
    <t>Con crédito por IDPC generados a contar del 01.01.2017</t>
  </si>
  <si>
    <t>Con crédito por IDPC acumulados  hasta el 31.12.2016</t>
  </si>
  <si>
    <t>Con  derecho a crédito por pago de IDPC voluntario</t>
  </si>
  <si>
    <t>Sin derecho a crédito</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</si>
  <si>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</si>
  <si>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</si>
  <si>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</si>
  <si>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</si>
  <si>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</si>
  <si>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</si>
  <si>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</si>
  <si>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</si>
  <si>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</si>
  <si>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</si>
  <si>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</si>
  <si>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</si>
  <si>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</si>
  <si>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</si>
  <si>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</si>
  <si>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</si>
  <si>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</si>
  <si>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</si>
  <si>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</si>
  <si>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</si>
  <si>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</si>
  <si>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</si>
  <si>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</si>
  <si>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</si>
  <si>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</si>
  <si>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</si>
  <si>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</si>
  <si>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</si>
  <si>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</si>
  <si>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</si>
  <si>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</si>
  <si>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</si>
  <si>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</si>
  <si>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 xml:space="preserve">Sección C: </t>
  </si>
  <si>
    <t>ANTECEDENTES DE RETIROS EN EXCESO (Detalle de saldos pendientes de imputación)</t>
  </si>
  <si>
    <t>RUT del beneficiario del retiro (titular o cesionario)</t>
  </si>
  <si>
    <t xml:space="preserve">Montos de retiros en exceso, reajustados ($)
</t>
  </si>
  <si>
    <t>C34</t>
  </si>
  <si>
    <t>C35</t>
  </si>
  <si>
    <t>CUADRO RESUMEN FINAL DE LA DECLARACION</t>
  </si>
  <si>
    <t xml:space="preserve">Total de casos Informados </t>
  </si>
  <si>
    <t>Rentas Exentas e Ingresos No Contitutivos de Renta (REX)</t>
  </si>
  <si>
    <t>Exentos de impuesto global complementario (IGC) y/o impuesto adicional (IA)</t>
  </si>
  <si>
    <r>
      <rPr>
        <rFont val="Calibri"/>
        <color theme="1"/>
        <sz val="11.0"/>
      </rPr>
      <t>Asociados a Rentas Exentas</t>
    </r>
    <r>
      <rPr>
        <rFont val="Calibri"/>
        <b/>
        <color theme="1"/>
        <sz val="11.0"/>
      </rPr>
      <t xml:space="preserve"> </t>
    </r>
    <r>
      <rPr>
        <rFont val="Calibri"/>
        <color theme="1"/>
        <sz val="11.0"/>
      </rPr>
      <t>(artículo 11, Ley 18.401)</t>
    </r>
  </si>
  <si>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</si>
  <si>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</si>
  <si>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</si>
  <si>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</si>
  <si>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</si>
  <si>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</si>
  <si>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</si>
  <si>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</si>
  <si>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</si>
  <si>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</si>
  <si>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</si>
  <si>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</si>
  <si>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</si>
  <si>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</si>
  <si>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</si>
  <si>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</si>
  <si>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</si>
  <si>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</si>
  <si>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</si>
  <si>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</si>
  <si>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</si>
  <si>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</si>
  <si>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</si>
  <si>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</si>
  <si>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</si>
  <si>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</si>
  <si>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</si>
  <si>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</si>
  <si>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</si>
  <si>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</si>
  <si>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</si>
  <si>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DECLARO BAJO JURAMENTO QUE LOS DATOS CONTENIDOS EN EL PRESENTE DOCUMENTO SON LA EXPRESION FIEL DE LA VERDAD, POR LO QUE ASUMO LA RESPONSABILIDAD CORRESPONDIENTE</t>
  </si>
  <si>
    <t>RUT REPRESENTANTE LEGAL</t>
  </si>
  <si>
    <t xml:space="preserve"> RUT DEL RESPONSABLE DE LA CONFECCIÓN DEL REGISTRO</t>
  </si>
  <si>
    <t>15640744-5</t>
  </si>
  <si>
    <t>Retiro socio felipe andres hiriart blome</t>
  </si>
  <si>
    <t>16367300-2</t>
  </si>
  <si>
    <t>Retiro socio pedro jose lecaros sotomayor</t>
  </si>
  <si>
    <t>15376982-6</t>
  </si>
  <si>
    <t>Retiro socio jorge alberto hiriart blome</t>
  </si>
  <si>
    <t>REX (INR)</t>
  </si>
  <si>
    <t>Detalle</t>
  </si>
  <si>
    <t>Control</t>
  </si>
  <si>
    <t>Rentas Afectas a Impuesto (RAI)</t>
  </si>
  <si>
    <t>Rentas con tributacion Cumplida RAP</t>
  </si>
  <si>
    <t>REX por rentas que pagaron el IUS LEY 20.780</t>
  </si>
  <si>
    <t>Saldo Acumulado de Créditos (SAC)
(4)</t>
  </si>
  <si>
    <t xml:space="preserve">Saldo total de utilidades tributarias (STUT)
</t>
  </si>
  <si>
    <t>Acumulados a contar del 01.01.2017</t>
  </si>
  <si>
    <t>Acumulados hasta el 31.12.2016</t>
  </si>
  <si>
    <t>Tasa de crédito vigente 10%</t>
  </si>
  <si>
    <t>CTD contra impuestos finales (Arts. 41 A) y 41 C) de la LIR)</t>
  </si>
  <si>
    <t>Tasa Efectiva</t>
  </si>
  <si>
    <t>No Sujetos a Restitución</t>
  </si>
  <si>
    <t>Código DJ 1939</t>
  </si>
  <si>
    <t>Sin Derecho a Devolución</t>
  </si>
  <si>
    <t>Con Derecho a Devolución</t>
  </si>
  <si>
    <t>Saldos de aperturas nuevos registros al 01.01.2023</t>
  </si>
  <si>
    <t>Remanente anterior reajustado…</t>
  </si>
  <si>
    <t>Si saldo de RAI es positivo reversar</t>
  </si>
  <si>
    <t>Nuevo RAI al 31.12.2023</t>
  </si>
  <si>
    <t>Nuevo DDAN</t>
  </si>
  <si>
    <t>Nuevo REX:</t>
  </si>
  <si>
    <t>Crédito 1era Categoría RLI determinada año 2023</t>
  </si>
  <si>
    <t>SALDO ANTES DE IMPUTACIONES DE RETIROS</t>
  </si>
  <si>
    <t>RETIROS SOCIOS</t>
  </si>
  <si>
    <t>Crédito inc 1° artí. 21 no afectados con 40%  (reajust)</t>
  </si>
  <si>
    <t>Credito inc 2° arí. 21. (gasto reajustado)</t>
  </si>
  <si>
    <t>Saldos al 31.12.2023</t>
  </si>
  <si>
    <t>Calculo del RAI Final</t>
  </si>
  <si>
    <t>CPT  al  31.12.2023</t>
  </si>
  <si>
    <t>Más:</t>
  </si>
  <si>
    <t>Dividendos pagados historicos</t>
  </si>
  <si>
    <t>Menos:</t>
  </si>
  <si>
    <t>REX</t>
  </si>
  <si>
    <t>Capital</t>
  </si>
  <si>
    <t>RAI al  31.12.2023</t>
  </si>
  <si>
    <t>CAPITAL SOCIAL INICIAL</t>
  </si>
  <si>
    <t>ConstitucionSoc.</t>
  </si>
  <si>
    <t>CERTIFICADO DE CAPITAL PROPIO INICIAL</t>
  </si>
  <si>
    <t>TREGUALEMU SPA</t>
  </si>
  <si>
    <t>RUT: 77.213.284-0</t>
  </si>
  <si>
    <t>TOTAL ACTIVO</t>
  </si>
  <si>
    <t>Menos</t>
  </si>
  <si>
    <t>Dividendos Distribuidos</t>
  </si>
  <si>
    <t>TOTAL ACTIVO DEPURADO</t>
  </si>
  <si>
    <t>PASIVO EXIGIBLE</t>
  </si>
  <si>
    <t>Total Pasivo</t>
  </si>
  <si>
    <t>Capital Pagado</t>
  </si>
  <si>
    <t>Utilidad acumulada</t>
  </si>
  <si>
    <t>CAPITAL PROPIO INICIAL AL 01 DE ENERO DE 2024</t>
  </si>
  <si>
    <t>RAZONABILIDAD DEL PATRIMONIO</t>
  </si>
  <si>
    <t>según CLIENTE</t>
  </si>
  <si>
    <t>CPT INICIAL F22 AT 2023</t>
  </si>
  <si>
    <t>Multas</t>
  </si>
  <si>
    <t>IMPTO PAGADO</t>
  </si>
  <si>
    <t>Reajuste art 72</t>
  </si>
  <si>
    <t>RLI</t>
  </si>
  <si>
    <t>Pérdida de arrastre</t>
  </si>
  <si>
    <t>50% RLI reinvertida</t>
  </si>
  <si>
    <t>Retiros</t>
  </si>
  <si>
    <t>Otros ajustes año anterior</t>
  </si>
  <si>
    <t>TOTAL</t>
  </si>
  <si>
    <t>DIFF</t>
  </si>
  <si>
    <t>CM CAPITAL</t>
  </si>
  <si>
    <t>IPC</t>
  </si>
  <si>
    <t>CM</t>
  </si>
  <si>
    <t>ACTUALIZADO</t>
  </si>
  <si>
    <t>14 D 3</t>
  </si>
  <si>
    <t>DETERMINACIÓN DEL RESULTADO TRIBUTARIO DE PRIMERA CATEGORÍA AL 31 DE DICIEMBRE DE 2023</t>
  </si>
  <si>
    <t>$</t>
  </si>
  <si>
    <t>Resultado Financiero al 31.12.2023</t>
  </si>
  <si>
    <t>Se agrega:</t>
  </si>
  <si>
    <t>Ajuste tributario FFMM</t>
  </si>
  <si>
    <t>Multa SII</t>
  </si>
  <si>
    <t xml:space="preserve">Impuesto de Primera Categoría </t>
  </si>
  <si>
    <t>Reajuste Art 72</t>
  </si>
  <si>
    <t>Se deduce:</t>
  </si>
  <si>
    <t>Ajuste financiero FFMM</t>
  </si>
  <si>
    <t xml:space="preserve">Pérdida Tributaria $ </t>
  </si>
  <si>
    <t>Se desagrega:</t>
  </si>
  <si>
    <t>Gastos Rechazados afectos al artículo 21 (actualizados)</t>
  </si>
  <si>
    <t>RENTA LIQUIDA O (PERDIDA TRIBUTARIA) AL 31.12.2023</t>
  </si>
  <si>
    <t>Rebaja RLI 14 E)</t>
  </si>
  <si>
    <t>CALCULO 14 E)</t>
  </si>
  <si>
    <t xml:space="preserve">RLI </t>
  </si>
  <si>
    <t>Nueva RLI</t>
  </si>
  <si>
    <t>RETIROS</t>
  </si>
  <si>
    <t>IDPC</t>
  </si>
  <si>
    <t>Impuesto a la renta 1° categoría  determinado 10%</t>
  </si>
  <si>
    <t>RLI REINVERTIDA</t>
  </si>
  <si>
    <t>Impuesto Unico artículo 21 inciso 3, sobre gastos rechazados afectos</t>
  </si>
  <si>
    <t>PPM Actualizados</t>
  </si>
  <si>
    <t>Total impuesto a pagar (devolución)</t>
  </si>
  <si>
    <t>A pagar</t>
  </si>
  <si>
    <t>BALANCE DESDE 01-01-2023 A 31-12-2023</t>
  </si>
  <si>
    <t>77.213.284-0 TREGUALEMU SPA</t>
  </si>
  <si>
    <t>SUMAS</t>
  </si>
  <si>
    <t>SALDOS</t>
  </si>
  <si>
    <t>INVENTARIO</t>
  </si>
  <si>
    <t>RESULTADO</t>
  </si>
  <si>
    <t>Cuenta</t>
  </si>
  <si>
    <t>Debitos</t>
  </si>
  <si>
    <t>Creditos</t>
  </si>
  <si>
    <t>Deudor</t>
  </si>
  <si>
    <t>Acreedor</t>
  </si>
  <si>
    <t>Activo</t>
  </si>
  <si>
    <t>Pasivo</t>
  </si>
  <si>
    <t>Perdidas</t>
  </si>
  <si>
    <t>Ganancias</t>
  </si>
  <si>
    <t>1101-01 CUENTA CAJA</t>
  </si>
  <si>
    <t>1101-04 BANCO SANTANDER</t>
  </si>
  <si>
    <t xml:space="preserve">1103-02 ACCIONES POR SUSCRIBIR </t>
  </si>
  <si>
    <t>1106-02-0001 CUENTA POR COBRAR JORGE ALBERTO HIRIART BLOME</t>
  </si>
  <si>
    <t>1106-02-0004 CTA CTE ECOX  SPA</t>
  </si>
  <si>
    <t>1106-02-0009 CTA CTE INVERSIONES AYSEN SPA</t>
  </si>
  <si>
    <t>1108-01 PAGOS PROVISIONALES</t>
  </si>
  <si>
    <t>1108-02 IVA CREDITO FISCAL</t>
  </si>
  <si>
    <t>1111-04 DIVIDENDOS DISTRIBUIDOS</t>
  </si>
  <si>
    <t>2105-04 HONORARIOS POR PAGAR</t>
  </si>
  <si>
    <t>2112-01-0004 CTA CTE ECOX SPA</t>
  </si>
  <si>
    <t>2112-01-0005 CTA CTE FELIPE ANDRES HIRIART BLOME</t>
  </si>
  <si>
    <t>2116-01 FACTURAS POR PAGAR</t>
  </si>
  <si>
    <t>2301-01 C A P I T A L</t>
  </si>
  <si>
    <t>2305-05 UTILIDAD (PERDIDA) EJERC.</t>
  </si>
  <si>
    <t>2305-06 UTILIDADES ACUMULADAS</t>
  </si>
  <si>
    <t>4101-07 SERVICIOS PAGADOS</t>
  </si>
  <si>
    <t>4101-13 GASTOS OPERACIONALES</t>
  </si>
  <si>
    <t>4201-02 HONORARIOS PROFESIONALES</t>
  </si>
  <si>
    <t>4201-10 GASTOS BANCARIOS</t>
  </si>
  <si>
    <t>4201-11 INTERESES Y MULTAS</t>
  </si>
  <si>
    <t xml:space="preserve">4201-73 IVA NO RECUPERABLE </t>
  </si>
  <si>
    <t>4701-01 IMPTO PRIMERA CATEGORIA</t>
  </si>
  <si>
    <t>4701-02 REAJUSTE IMPUESTO PRIMERA CAT</t>
  </si>
  <si>
    <t>Sumas</t>
  </si>
  <si>
    <t>Totales</t>
  </si>
  <si>
    <t>Oandana</t>
  </si>
  <si>
    <t xml:space="preserve">AÑO TRIBUTARIO 2024
IMPUESTOS ANUALES A LA RENTA
</t>
  </si>
  <si>
    <t>Instrucciones:</t>
  </si>
  <si>
    <t>https://www.sii.cl/servicios_online/renta/2024/rentaform.html</t>
  </si>
  <si>
    <t>TIPOS DE RENTAS Y REBAJAS</t>
  </si>
  <si>
    <t>CRÉDITO POR IMPUESTO DE PRIMERA CATEGORÍA</t>
  </si>
  <si>
    <t>RENTAS Y REBAJAS</t>
  </si>
  <si>
    <t>CON OBLIGACIÓN DE RESTITUCIÓN</t>
  </si>
  <si>
    <t>SIN OBLIGACIÓN DE RESTITUCIÓN</t>
  </si>
  <si>
    <t>Rentas brutas afectas</t>
  </si>
  <si>
    <t>Rentas afectas de fuente nacional o extranjera</t>
  </si>
  <si>
    <t>Retiros o remesas afectos al IGC o IA, según art. 14 letras A) y/o D) N° 3 LIR</t>
  </si>
  <si>
    <t>+</t>
  </si>
  <si>
    <t>Dividendos afectos al IGC o IA, según art.14 letras A) y/o D) N° 3 LIR</t>
  </si>
  <si>
    <t>Gastos rechazados y otras partidas referidos en el art. 21 inc. 3° LIR</t>
  </si>
  <si>
    <t>Rentas presuntas propias y/o de terceros, según art. 14 letra B) N° 2 y art. 34 LIR</t>
  </si>
  <si>
    <t>Rentas propias y/o de terceros, provenientes de empresas que determinan su renta efectiva sinCcontabilidad completa, según art. 14 letra B) N° 1 LIR</t>
  </si>
  <si>
    <t>a) Rentas del arrendamiento, subarrendamiento, usufructo o cesión de cualquier otra forma del uso o goce temporal de bienes raíces agrícolas y no agrícolas, determinadas mediante el respectivo contrato</t>
  </si>
  <si>
    <t>b) Rentas por participaciones o cuotas de comunidad obtenidas por la empresa que determina su renta efectiva sin contabilidad completa</t>
  </si>
  <si>
    <t>c) Rentas por participaciones o cuotas de comunidad obtenida por la empresa que determinan su renta efectiva sin contabilidad completa, provenientes de otras empresas en las que participa</t>
  </si>
  <si>
    <t>d) Rentas efectivas de terceros obtenidas por empresas acogidas al régimen de renta presunta</t>
  </si>
  <si>
    <t>e) Rentas esporádicas</t>
  </si>
  <si>
    <t>f) Otras rentas propias y/o de terceros</t>
  </si>
  <si>
    <t>Rentas asignada propias y/o de terceros, provenientes de empresas sujetas al art. 14 letra D) N° 8 LIR</t>
  </si>
  <si>
    <t>Rentas percibidas de los arts. 42 Nº 2 (honorarios) y 48 (rem. directores S.A.) LIR, según Recuadro N° 1</t>
  </si>
  <si>
    <t>Rentas de capitales mobiliarios (art. 20 N° 2 LIR), mayor valor en la enajenación o rescate de cuotas fondos mutuos y fondos de inversión y enajenación de acciones y derechos sociales (art. 17 N° 8 LIR) y retiros de ELD (arts. 42 ter y quáter LIR)</t>
  </si>
  <si>
    <t>a) Rentas de capitales mobiliarios (art. 20 N° 2 LIR)</t>
  </si>
  <si>
    <t>b) Mayor valor obtenido en la enajenación o rescate de cuotas fondos mutuos y fondos de inversión y en la enajenación de acciones y derechos sociales (art. 17 N° 8 LIR)</t>
  </si>
  <si>
    <t>c) Retiros de ELD (arts. 42 ter y quáter LIR)</t>
  </si>
  <si>
    <t>Rentas exentas del IGC, según art. 54 N° 3 LIR</t>
  </si>
  <si>
    <t>a) Rentas de FCH provenientes de capitales mobiliarios, que no excedan los límites de 20 o 30 UTM, según corresponda.</t>
  </si>
  <si>
    <t>b) Retiros y/o dividendos informados por las empresas y sociedades administradoras de FI y FM</t>
  </si>
  <si>
    <t>c) Retiros de ELD del art. 42 ter LIR efectuados durante el año 2023, que no excedan los límites exentos de impuesto de 200 u 800 UTM</t>
  </si>
  <si>
    <t xml:space="preserve">d) Otras Rentas exentas del IGC, según art. 54 N° 3 LIR             </t>
  </si>
  <si>
    <t>Otras rentas de fuente chilena afectas al IGC o IA (según instrucciones)</t>
  </si>
  <si>
    <t>Mayor valor en la enajenación de bienes raíces situados en Chile</t>
  </si>
  <si>
    <t>Otras rentas de fuente extranjera afectas al IGC o IA (según instrucciones)</t>
  </si>
  <si>
    <t>Sueldos, pensiones y otras rentas similares de fuente nacional</t>
  </si>
  <si>
    <t>Sueldos, pensiones y otras rentas similares de fuente extranjera</t>
  </si>
  <si>
    <t>Incremento por IDPC, según arts. 54 N° 1 y 62 LIR</t>
  </si>
  <si>
    <t>Incremento por impuestos soportados en el exterior, según arts. 41 A LIR</t>
  </si>
  <si>
    <t>Rebajas a la renta</t>
  </si>
  <si>
    <t>Impuesto Territorial pagado en el año 2023, según art. 55 letra a) LIR</t>
  </si>
  <si>
    <t>-</t>
  </si>
  <si>
    <t>Donaciones, según art. 7° Ley N° 16.282 y D.L. N° 45 de 1973</t>
  </si>
  <si>
    <t>Pérdida en operaciones de capitales mobiliarios y ganancias de capital según códigos 105, 155,152 ,1032, 1891, y 1104 (arts. 54 N° 1 y 62 LIR)</t>
  </si>
  <si>
    <t>Rebaja por donaciones a entidades sin fines de lucro según nuevo Título VIII bis D.L. N° 3.063 de 1979 (incorporado por Ley N° 21.440), efectuadas por contribuyentes del IUSC, IGC o IA</t>
  </si>
  <si>
    <t>SUB TOTAL (Si declara IA trasladar a código 133 o  32)</t>
  </si>
  <si>
    <t>=</t>
  </si>
  <si>
    <t>Cotizaciones previsionales correspondientes al empresario o socio, según art. 55 letra b) LIR</t>
  </si>
  <si>
    <t>Intereses pagados por créditos con garantía hipotecaria, según art. 55 bis LIR</t>
  </si>
  <si>
    <t>Dividendos hipotecarios pagados por viviendas nuevas acogidas al D.F.L. N° 2 de 1959, según Ley N° 19.622</t>
  </si>
  <si>
    <t>20% cuotas fondos de inversión adquiridas antes del 04.06.93, según art. 6 Transitorio Ley N° 19.247</t>
  </si>
  <si>
    <t>Ahorro previsional, según art. 42 bis inc. 1° LIR</t>
  </si>
  <si>
    <t>BASE IMPONIBLE ANUAL DE IUSC o IGC</t>
  </si>
  <si>
    <t>IUSC o IGC</t>
  </si>
  <si>
    <t>IUSC o IGC, y débitos fiscales</t>
  </si>
  <si>
    <t>IGC o IUSC, según tabla (arts. 47, 52 o 52 bis LIR)</t>
  </si>
  <si>
    <t>IGC sobre intereses y otros rendimientos, según art. 54 bis LIR</t>
  </si>
  <si>
    <t>Reliquidación IGC por ganancias de capital, según art. 17 N° 8 letras a) literal v) y b) LIR</t>
  </si>
  <si>
    <t>Débito fiscal por ahorro neto negativo (Recuadro N° 3), según art. 3° transitorio numeral VI) Ley N° 20.780 (ex. art. 57 bis LIR)</t>
  </si>
  <si>
    <t>Débito fiscal por restitución crédito por IDPC, según art. 56 N° 3 inc. final LIR</t>
  </si>
  <si>
    <t>Tasa adicional de 10% de IGC, sobre cantidades declaradas en código 106, según art. 21 inc. 3° LIR</t>
  </si>
  <si>
    <t>Créditos al impuesto</t>
  </si>
  <si>
    <t>Crédito al IGC, según art. 52 bis LIR</t>
  </si>
  <si>
    <t>Crédito por asignaciones por causa de muerte Ley N° 16.271, según art. 17 N° 8 letra b) literal vi) LIR</t>
  </si>
  <si>
    <t>Crédito al IGC por fomento forestal, según D.L. N° 701 de 1974</t>
  </si>
  <si>
    <t>Crédito proporcional al IGC por rentas exentas declaradas en código 152, según art. 56 N° 2 LIR</t>
  </si>
  <si>
    <t>Crédito al IGC por Impuesto Tasa Adicional, según ex. art. 21 LIR</t>
  </si>
  <si>
    <t>Crédito al IGC por donaciones para fines deportivos, según art. 62 y sgtes. Ley N° 19.712</t>
  </si>
  <si>
    <t>Crédito al IGC por IDPC sin derecho a devolución, según arts. 20 N° 1 letra a), 41 A N° 4 letra A) letra a) y 56 N° 3 LIR</t>
  </si>
  <si>
    <t>Crédito al IGC del 5% sobre total de retiros o dividendos que excedan de 310 UTA que tengan derecho a crédito por IDPC con obligación de restitución, según art. 56 N° 4 LIR</t>
  </si>
  <si>
    <t>Crédito al IGC por Impuesto Territorial pagado por explotación de bienes raíces no agrícolas, según art. 56 N° 5 LIR</t>
  </si>
  <si>
    <t>Crédito al IGC por art. 33 bis LIR, según art. 14 letra D) N°8 letra a) numeral (v) LIR</t>
  </si>
  <si>
    <t>Crédito al IGC o IUSC por gastos en educación, según art. 55 ter LIR</t>
  </si>
  <si>
    <t>Crédito al IGC o IUSC por donaciones para fines sociales, según art. 1° bis Ley N° 19.885</t>
  </si>
  <si>
    <t>Crédito al IGC por donaciones a universidades, institutos profesionales y centros de formación técnica, según art. 69 Ley N° 18.681</t>
  </si>
  <si>
    <t>Crédito al IGC por ingreso diferido, según art. 14 letra D) N°8 letra d) numeral (ii) LIR</t>
  </si>
  <si>
    <t>Crédito al IUSC  o IGC por impuestos soportados en el exterior, según arts. 41 A N°4 letra B) o N° 5 LIR</t>
  </si>
  <si>
    <t>Crédito al IGC o IUSC por IUSC, según art. 56 N° 2 LIR</t>
  </si>
  <si>
    <t>Crédito al IGC o IUSC por ahorro neto positivo (Recuadro N° 3), según art. 3° transitorio numeral VI) Ley N° 20.780 (ex. art. 57 bis LIR)</t>
  </si>
  <si>
    <t>Crédito al IGC o IUSC por IDPC con derecho a devolución, según art. 56 N° 3 LIR</t>
  </si>
  <si>
    <t>Crédito al IGC por impuestos soportados en el exterior, según art. 41 A N° 4 letra A) letra b) LIR</t>
  </si>
  <si>
    <t>Crédito al IGC por donaciones al Fondo Nacional de Reconstrucción, según arts. 5 y 9 Ley N° 20.444</t>
  </si>
  <si>
    <t>Crédito al IGC o IUSC por donaciones para fines culturales, según art. 8 Ley N° 18.985</t>
  </si>
  <si>
    <t>IGC O IUSC, DÉBITO FISCAL Y/O TASA ADICIONAL DETERMINADO</t>
  </si>
  <si>
    <t>Impuestos anuales a la renta</t>
  </si>
  <si>
    <t>Impuestos determinados</t>
  </si>
  <si>
    <t>IMPUESTOS</t>
  </si>
  <si>
    <t>BASE IMPONIBLE</t>
  </si>
  <si>
    <t>REBAJAS A IMPUESTO</t>
  </si>
  <si>
    <t>IDPC de empresas acogidas al régimen Pro Pyme, según art. 14 letra D) N° 3 LIR</t>
  </si>
  <si>
    <t>IDPC de empresas acogidas al régimen de imputación parcial de créditos, según art. 14 letra A) LIR</t>
  </si>
  <si>
    <t>IDPC contribuyentes  o entidades sin vínculo directo o indirecto con propietarios afectos a IGC o IA, según art. 14
letra G) LIR</t>
  </si>
  <si>
    <t>IDPC sobre rentas presuntas, según art. 34 LIR</t>
  </si>
  <si>
    <t>IDPC sobre rentas efectivas determinadas sin contabilidad completa</t>
  </si>
  <si>
    <t>a) Rentas del arrendamiento, subarrendamiento, usufructo o cesión de cualquier otra forma de uso o goce
temporal de bienes raíces agrícolas y no agrícolas</t>
  </si>
  <si>
    <t>b) Mayor valor en la enajenación de bienes raíces situados en Chile</t>
  </si>
  <si>
    <t>c) Rentas obtenidas por contribuyentes con contabilidad simplificada</t>
  </si>
  <si>
    <t>d) Otras rentas efectivas afectas a lDPC e impuestos finales</t>
  </si>
  <si>
    <t>e) Otras rentas de fuente extranjera afectas</t>
  </si>
  <si>
    <t>Impuesto de 40% empresas del Estado, según art. 2º D.L. N° 2.398 de 1978</t>
  </si>
  <si>
    <t>Pago voluntario a título de IDPC, según art. 14 letra A) N° 6 LIR</t>
  </si>
  <si>
    <t>Diferencia de créditos por IDPC otorgados en forma indebida o en exceso, según art. 14 letra A) N° 7 LIR</t>
  </si>
  <si>
    <t>Impuesto específico a la actividad minera, según art. 64 bis LIR</t>
  </si>
  <si>
    <t>Impuesto único de 10% por enajenación de bienes raíces, según art. 17 N° 8 letra b) LIR y/o art. 4 Ley N° 21.078</t>
  </si>
  <si>
    <t>Impuesto único de 40% sobre gastos rechazados y otras partidas, según art. 21 inc. 1°, art. 14 letra A) N° 9 LIR</t>
  </si>
  <si>
    <t>Impuesto único de 10% por enajenación o rescate de acciones de S.A. con presencia bursátil, de cuotas de
fondos de inversión y fondos mutuos, según art. 107 LIR</t>
  </si>
  <si>
    <t>Contribución para el desarrollo regional según art. 32 Ley N° 21.210</t>
  </si>
  <si>
    <t>IA en carácter de único (activos subyacentes), según art. 58 N° 3 LIR</t>
  </si>
  <si>
    <t>Impuesto único de 10%, según art. 82 del art. 1° Ley N° 20.712</t>
  </si>
  <si>
    <t>Impuesto único por exceso de endeudamiento, según art. 41 F LIR</t>
  </si>
  <si>
    <t>IA según ex D.L. N° 600 de 1974</t>
  </si>
  <si>
    <t>IA según arts. 58 N° 1 y 2 y 60 inc. 1° LIR</t>
  </si>
  <si>
    <t>Impuesto único tasa 25% por distribuciones desproporcionadas, según art. 39° transitorio Ley N° 21.210</t>
  </si>
  <si>
    <t>Diferencia de IA por crédito indebido por IDPC o por crédito indebido del art. 41 A en caso de empresas acogidas al régimen del art. 14 letras A) y D) N° 3, según art. 74 N° 4 LIR</t>
  </si>
  <si>
    <t>Tasa adicional de 10% de IA, sobre cantidades declaradas en código 106, según art. 21 inc 3° LIR</t>
  </si>
  <si>
    <t>Retención de impuesto sobre gastos rechazados y otras partidas (tasa 45%), según art. 74 N° 4 LIR</t>
  </si>
  <si>
    <t>Retención de IA en carácter de único (activos subyacentes) (tasa 20% y/o 35%), según art. 74 N° 4 LIR</t>
  </si>
  <si>
    <t>Retención del IA sobre rentas asignadas empresas acogidas al régimen de los arts. 14 letra B) N° 1 , 2 y/o 14 letra D) N° 8, según art. 74 N° 4 LIR</t>
  </si>
  <si>
    <t>Débito fiscal por restitución crédito por IDPC, según art. 63 inc. final LIR</t>
  </si>
  <si>
    <t>Impuesto único talleres artesanales</t>
  </si>
  <si>
    <t>Impuesto único pescadores artesanales</t>
  </si>
  <si>
    <t>Impuesto único por retiros de ahorro previsional, según art. 42 bis inc. 1° N° 3 LIR</t>
  </si>
  <si>
    <t>Restitución crédito por gastos de capacitación excesivo, según  art. 6° Ley N° 20.326</t>
  </si>
  <si>
    <t>Deducciones a los impuestos</t>
  </si>
  <si>
    <t>Reliquidación IGC por término de giro de empresa acogida al régimen del art. 14 letras A) y D) N° 3 y 8, según art. 38 bis N° 3 LIR</t>
  </si>
  <si>
    <t>PPM y remanente del IEAM</t>
  </si>
  <si>
    <t>a) PPM arts. 84 letras a), c) , e), y h) y 14 D N° 3 letra (k) LIR</t>
  </si>
  <si>
    <t>b) PPM de segunda categoría art. 84 letra b) LIR</t>
  </si>
  <si>
    <t>c) PPM Voluntario, según art. 88 incs. 1° y 2° LIR</t>
  </si>
  <si>
    <t>d) Remanente del IEAM anotado en el código 829 del recuadro N° 8</t>
  </si>
  <si>
    <t>Crédito fiscal AFP, según art. 23 D.L. N° 3.500 de 1980</t>
  </si>
  <si>
    <t>Crédito por gastos de capacitación, según Ley N° 19.518</t>
  </si>
  <si>
    <t>Crédito por desembolsos directos por trazabilidad (art. 60 quinquies Código Tributario)</t>
  </si>
  <si>
    <t>Crédito empresas constructoras</t>
  </si>
  <si>
    <t>Crédito por reintegro de peajes, según art. 1° Ley N° 19.764</t>
  </si>
  <si>
    <t>Retenciones por rentas declaradas en código 110 (Recuadro N°1)</t>
  </si>
  <si>
    <t>Mayor retención por sueldos, pensiones y otras rentas similares declaradas en código 1098, según art. 88 inc. final LIR</t>
  </si>
  <si>
    <t>Retenciones efectuadas por instituciones autorizadas con tasa 15%, sobre los retiros de ahorro previsional, según art. 42 bis N° 3 incs. 2° y 3° LIR</t>
  </si>
  <si>
    <t>Retenciones por retiros de seguros de vida con ahorro y seguros dotales, y retenciones efectuadas sobre las rentas de capitales mobiliarios</t>
  </si>
  <si>
    <t>Retenciones por rentas declaradas en códigos 104, 106, 108, 955, 1632, 155, 1032, 1891, 908, 951, 32 y 1829</t>
  </si>
  <si>
    <t>Retenciones por actividades mineras según el N° 6 del art. 74 LIR</t>
  </si>
  <si>
    <t>PPUA sin derecho a devolución, según art. 27° transitorio de la Ley N°
21.210</t>
  </si>
  <si>
    <t>PPUA con derecho a devolución, según art. 27° transitorio de la Ley N°</t>
  </si>
  <si>
    <t>Remanente de crédito por reliquidación del IUSC y/o por ahorro neto positivo, proveniente de códigos 162 y/o 174</t>
  </si>
  <si>
    <t>Remanente de crédito por IDPC proveniente de códigos 1638 y/o</t>
  </si>
  <si>
    <t>Créditos puestos a disposición de los socios por la sociedad respectiva, según instrucciones</t>
  </si>
  <si>
    <t>Crédito por sistemas solares térmicos, según Ley N° 20.365</t>
  </si>
  <si>
    <t>PPM puestos a disposición de los propietarios de empresas del régimen de transparencia tributaria del art. 14 letra D) N° 8 LIR</t>
  </si>
  <si>
    <t>Pago provisional exportadores, según ex-art. 13 Ley N° 18.768</t>
  </si>
  <si>
    <t>Retenciones sobre intereses, según art. 74 N° 7 y 8 LIR</t>
  </si>
  <si>
    <t>Impuestos declarados y pagados en conformidad al art. 69 N° 4 LIR</t>
  </si>
  <si>
    <t>Excedente crédito por IDPC del código 76</t>
  </si>
  <si>
    <t>Deducción de impuesto por tasas rebajadas en virtud de convenios para evitar la doble tributación</t>
  </si>
  <si>
    <t>Crédito por la compra de viviendas nuevas adquiridas con créditos con garantía hipotecaria, según Ley N° 21.631</t>
  </si>
  <si>
    <t>Otros cargos</t>
  </si>
  <si>
    <t>Cargo por cotizaciones previsionales, según arts. 89 y sgtes. D.L. N° 3.500 de 1980</t>
  </si>
  <si>
    <t>Monto a pagar cuota(s) préstamo(s) tasa 0% (préstamos solidarios del Estado)</t>
  </si>
  <si>
    <t>Monto a pagar cuota anticipo solidario para pago de cotizaciones, según art. 21 inc. 1° y 3° Ley N° 21.354</t>
  </si>
  <si>
    <t>RESULTADO LIQUIDACIÓN ANUAL IMPUESTO A LA RENTA   (si el resultado es negativo o cero, deberá declarar por Internet)</t>
  </si>
  <si>
    <t>PRIMER APELLIDO O RAZÓN SOCIAL</t>
  </si>
  <si>
    <t>03</t>
  </si>
  <si>
    <t>01</t>
  </si>
  <si>
    <t>Remanente de crédito</t>
  </si>
  <si>
    <t>SALDO A FAVOR</t>
  </si>
  <si>
    <t>Impuesto a pagar</t>
  </si>
  <si>
    <t>Impuesto adeudado</t>
  </si>
  <si>
    <t>Menos: saldo puesto a disposición de los socios</t>
  </si>
  <si>
    <t>Reajuste art.72 LIR, código 305</t>
  </si>
  <si>
    <t>DEVOLUCIÓN SOLICITADA</t>
  </si>
  <si>
    <t>TOTAL A PAGAR (códigos 90 + 39)</t>
  </si>
  <si>
    <t>Monto</t>
  </si>
  <si>
    <t>RECARGOS POR DECLARACIÓN FUERA DE PLAZO</t>
  </si>
  <si>
    <t>SOLICITO DEPOSITAR REMANENTE EN CUENTA CORRIENTE O DE AHORRO BANCARIA</t>
  </si>
  <si>
    <t>MÁS: reajustes declaración fuera de plazo</t>
  </si>
  <si>
    <t>Nombre institución bancaria</t>
  </si>
  <si>
    <t>MÁS: intereses y multas declaración fuera de plazo</t>
  </si>
  <si>
    <t>Número de cuenta</t>
  </si>
  <si>
    <t>TOTAL A PAGAR (códigos 91 + 92 + 93)</t>
  </si>
  <si>
    <t>Tipo de cuenta</t>
  </si>
  <si>
    <t xml:space="preserve">Cuenta corriente </t>
  </si>
  <si>
    <r>
      <rPr>
        <rFont val="Arial"/>
        <b/>
        <color rgb="FF000000"/>
        <sz val="7.0"/>
      </rPr>
      <t>NOTA:</t>
    </r>
    <r>
      <rPr>
        <rFont val="Arial"/>
        <color rgb="FF000000"/>
        <sz val="7.0"/>
      </rPr>
      <t xml:space="preserve"> El Rol Único Tributario, nombre o razón social, resultado liquidación anual impuesto a la renta, domicilio, comuna, región y el resto de los datos de identificación son obligatorios.</t>
    </r>
  </si>
  <si>
    <t>Cuenta vista</t>
  </si>
  <si>
    <t>Cuenta RUT</t>
  </si>
  <si>
    <t xml:space="preserve">Cuenta de ahorro </t>
  </si>
  <si>
    <t>Sin tipo de cuenta</t>
  </si>
  <si>
    <t xml:space="preserve">EVITESE PROBLEMAS, DECLARE POR INTERNET www.sii.cl </t>
  </si>
  <si>
    <t>RECUADRO N° 1:  HONORARIOS</t>
  </si>
  <si>
    <t>Rentas de 2ª Categoría</t>
  </si>
  <si>
    <t>Renta actualizada</t>
  </si>
  <si>
    <t>Impuesto retenido actualizado</t>
  </si>
  <si>
    <t>Honorarios anuales con retención</t>
  </si>
  <si>
    <t>Honorarios anuales sin retención</t>
  </si>
  <si>
    <t>Honorarios líquidos percibidos de fuente extranjera</t>
  </si>
  <si>
    <t>Incremento por impuestos soportados en el extranjero</t>
  </si>
  <si>
    <t>Total ingresos brutos</t>
  </si>
  <si>
    <t>Participación en sociedades de profesionales de 2ª Categoría</t>
  </si>
  <si>
    <t>Monto ahorro previsional, según art. 42 bis inc. 1° LIR</t>
  </si>
  <si>
    <t>Gastos por donaciones para fines sociales, según art. 1° bis Ley N° 19.885, y gasto por donaciones de bienes inmuebles en apoyo al plan de emergencia habitacional, art. 26 Ley N° 21.450</t>
  </si>
  <si>
    <t>Gastos efectivos (solo rebajables del código 547)</t>
  </si>
  <si>
    <t>Gastos presuntos: 30% sobre el código 547, con tope de 15 UTA</t>
  </si>
  <si>
    <t>Rebaja por presunción de asignación de zona  D.L. N° 889 de 1975</t>
  </si>
  <si>
    <t>Total honorarios</t>
  </si>
  <si>
    <t>Total remuneraciones directores S.A.</t>
  </si>
  <si>
    <t>Total rentas y retenciones</t>
  </si>
  <si>
    <t>Participaciones en ingresos brutos sociedades de profesionales de 2ª Categoría</t>
  </si>
  <si>
    <t>RECUADRO N° 2: DETERMINACIÓN MAYOR O MENOR VALOR OBTENIDO POR PERSONAS NATURALES EN LAS ENAJENACIONES DE BIENES RAÍCES SITUADOS EN CHILE, NO ASIGNADOS A SU EMPRESA INDIVIDUAL</t>
  </si>
  <si>
    <t>Precios de enajenaciones del conjunto de los bienes raíces situados en Chile</t>
  </si>
  <si>
    <r>
      <rPr>
        <rFont val="Arial"/>
        <color theme="1"/>
        <sz val="6.0"/>
        <u/>
      </rPr>
      <t>Menos:</t>
    </r>
    <r>
      <rPr>
        <rFont val="Arial"/>
        <color theme="1"/>
        <sz val="7.0"/>
      </rPr>
      <t xml:space="preserve"> valor de adquisición de los bienes raíces reajustados</t>
    </r>
  </si>
  <si>
    <r>
      <rPr>
        <rFont val="Arial"/>
        <color theme="1"/>
        <sz val="6.0"/>
        <u/>
      </rPr>
      <t>Menos:</t>
    </r>
    <r>
      <rPr>
        <rFont val="Arial"/>
        <color theme="1"/>
        <sz val="7.0"/>
      </rPr>
      <t xml:space="preserve"> mejoras que hayan aumentado el valor de los bienes raíces reajustadas</t>
    </r>
  </si>
  <si>
    <t>Mayor o menor valor percibido o devengado</t>
  </si>
  <si>
    <r>
      <rPr>
        <rFont val="Arial"/>
        <color theme="1"/>
        <sz val="6.0"/>
        <u/>
      </rPr>
      <t>Menos:</t>
    </r>
    <r>
      <rPr>
        <rFont val="Arial"/>
        <color theme="1"/>
        <sz val="7.0"/>
      </rPr>
      <t xml:space="preserve"> ingreso no renta equivalente a 8.000 UF o saldo del ejercicio anterior</t>
    </r>
  </si>
  <si>
    <t>Mayor valor percibido o devengado afecto a impuesto</t>
  </si>
  <si>
    <t>Saldo de ingreso no renta a utilizar en los ejercicios siguientes</t>
  </si>
  <si>
    <t>Mayor valor percibido en enajenaciones efectuadas en el ejercicio</t>
  </si>
  <si>
    <t>Mayor valor devengado a declarar en el año tributario actual</t>
  </si>
  <si>
    <t>Mayor valor devengado a declarar en los años tributarios siguientes</t>
  </si>
  <si>
    <t>Mayor valor percibido en el ejercicio por enajenaciones efectuadas en el ejercicio anterior</t>
  </si>
  <si>
    <t>Régimen de tributación</t>
  </si>
  <si>
    <t>Mayor valor percibido según códigos 1099 y 1114 anteriores afecto al IGC o IA, a trasladar a código 1891</t>
  </si>
  <si>
    <t>Mayor valor devengado según código 1847 anterior afecto a IGC a reliquidar, según instrucciones código 1033</t>
  </si>
  <si>
    <t>Mayor valor percibido según códigos 1099 y 1114 anteriores afecto al impuesto único y sustitutivo con tasa 10%, a trasladar a código 1043</t>
  </si>
  <si>
    <t>RECUADRO N° 3: DATOS SOBRE INSTRUMENTOS DE AHORRO ACOGIDOS AL EX ART. 57 BIS LIR (ART. 3° TRANSITORIO NUMERAL VI) LEY N° 20.780)</t>
  </si>
  <si>
    <t>Total ahorro neto positivo del ejercicio</t>
  </si>
  <si>
    <t>Ahorro neto positivo utitlizado en el ejercicio</t>
  </si>
  <si>
    <t>Remanente ahorro neto positivo del ejercicio siguiente</t>
  </si>
  <si>
    <t>Total ahorro neto negativo del ejercicio</t>
  </si>
  <si>
    <t>Cuota exenta 10 UTA</t>
  </si>
  <si>
    <t>Base para débito fiscal del ejercicio a registrar en código 201</t>
  </si>
  <si>
    <t>RECUADRO N° 4: ENAJENACIÓN DE ACCIONES, DERECHOS SOCIALES, CUOTAS DE FONDOS MUTUOS Y/O DE INVERSIÓN</t>
  </si>
  <si>
    <t>Acciones</t>
  </si>
  <si>
    <t>Régimen  tributario de la LIR</t>
  </si>
  <si>
    <t>Mayor o menor valor</t>
  </si>
  <si>
    <t>IGC o IA sobre rentas percibidas, según código 1869</t>
  </si>
  <si>
    <t>Opción a reliquidar el IGC sobre renta devengada, según código 1033</t>
  </si>
  <si>
    <t>Derechos</t>
  </si>
  <si>
    <t>Fondos</t>
  </si>
  <si>
    <t>Instrumentos 107 LIR</t>
  </si>
  <si>
    <t>Instrumentos enajenados o rescatados</t>
  </si>
  <si>
    <t>Cuotas de fondos mutuos y/o fondos de inversión</t>
  </si>
  <si>
    <t>Resultado neto de las operaciones del ejercicio</t>
  </si>
  <si>
    <t>Pérdida de arrastre del ejercicio anterior actualizada</t>
  </si>
  <si>
    <t>Base imponible o pérdida del ejercicio</t>
  </si>
  <si>
    <t>RECUADRO N° 5: CRÉDITO POR INGRESO DIFERIDO PROPIETARIOS DE EMPRESAS RÉGIMEN TRANSPARENCIA TRIBUTARIA, ART. 14 LETRA D) N°8 LIR</t>
  </si>
  <si>
    <t>Remanente ejercicio anterior</t>
  </si>
  <si>
    <t>Crédito recibido en el ejercicio</t>
  </si>
  <si>
    <t>Crédito imputado en el ejercicio</t>
  </si>
  <si>
    <t>Remanente para ejercicio siguiente</t>
  </si>
  <si>
    <t>RECUADRO N° 6: DATOS INFORMATIVOS</t>
  </si>
  <si>
    <t>Operaciones internacionales</t>
  </si>
  <si>
    <t>Préstamos efectuados a propietarios, socios o accionistas en el ejercicio</t>
  </si>
  <si>
    <t>Total de cantidades adeudadas, pagadas, abonadas en cuenta o puestas a disposición de relacionados en el exterior (arts. 31 inc. 3° y 59 LIR)</t>
  </si>
  <si>
    <t>Cantidades adeudadas, pagadas, abonadas en cuenta o puestas a disposición de relacionados en el exterior, cuyo IA no ha sido enterado (arts. 31 inc.  3° y 59 LIR)</t>
  </si>
  <si>
    <t>Total pasivos contraídos en Chile</t>
  </si>
  <si>
    <t>Beneficio antes de gastos financieros (EBITDA)</t>
  </si>
  <si>
    <t>Renta imponible extranjera (art. 41 A  N° 3 LIR)</t>
  </si>
  <si>
    <t>Datos de balance</t>
  </si>
  <si>
    <t>Total del activo</t>
  </si>
  <si>
    <t>Total del pasivo</t>
  </si>
  <si>
    <t>Saldo de caja (sólo dinero en efectivo y documentos al día, según arqueo)</t>
  </si>
  <si>
    <t>Capital efectivo</t>
  </si>
  <si>
    <t>Saldo cuenta corriente bancaria según, conciliación</t>
  </si>
  <si>
    <t>Existencia final</t>
  </si>
  <si>
    <t>Bienes adquiridos contrato leasing</t>
  </si>
  <si>
    <t>Activo inmovilizado</t>
  </si>
  <si>
    <t>Activo gasto diferido goodwill tributario</t>
  </si>
  <si>
    <t>Activo intangible goodwill tributario (Ley N° 20.780)</t>
  </si>
  <si>
    <t>Patrimonio financiero</t>
  </si>
  <si>
    <t>Otros antecedentes</t>
  </si>
  <si>
    <t>Utilidades financieras capitalizadas</t>
  </si>
  <si>
    <t>Gastos adeudados o pagados por cuotas de bienes en leasing</t>
  </si>
  <si>
    <t>Monto del capital directa o indirectamente financiado por partes relacionadas</t>
  </si>
  <si>
    <t>TEX</t>
  </si>
  <si>
    <t>TEF</t>
  </si>
  <si>
    <t>Retiros, remesas o distribuciones afectos a IGC o IA, no Imputados a los RTRE</t>
  </si>
  <si>
    <t>Retiros, remesas o distribuciones afectos a IGC o IA, imputados a las utilidades de balance en exceso de las tributables (UBET)</t>
  </si>
  <si>
    <t>Depreciación acelerada vehículos eléctricos o híbridos con recarga eléctrica exterior u otros calificados como cero emisiones por resolución fundada del Ministerio de Energía (art. 8 Ley N° 21.305)</t>
  </si>
  <si>
    <t>Depreciación normal vehículos eléctricos o híbridos con recarga eléctrica exterior u otros calificados como cero emisiones por resolución fundada del Ministerio de Energía (art. 8 Ley N° 21.305)</t>
  </si>
  <si>
    <t xml:space="preserve">Saldos </t>
  </si>
  <si>
    <t>Saldo total de rentas exentas de IGC (art. 11 Ley N° 18.401, rentas del capitalismo popular)</t>
  </si>
  <si>
    <t>Saldo exceso de retiros de 2014, determinados al 31 de diciembre para ejercicios siguientes</t>
  </si>
  <si>
    <t>Saldo de crédito por IDPC no sujetos a restitución generados hasta el 31.12.2019</t>
  </si>
  <si>
    <t>Saldo de crédito por IDPC no sujetos a restitución generados a contar del 01.01.2020</t>
  </si>
  <si>
    <t>Saldo crédito Impuesto Tasa Adicional ex art. 21 LIR</t>
  </si>
  <si>
    <t>Saldo de excedente base imponible IDPC voluntario a imputar ejercicio siguientes</t>
  </si>
  <si>
    <t>Cuentas en participación y demás encargos fiduciarios</t>
  </si>
  <si>
    <t>Saldo o aporte inicial del ejercicio de la asociación o cuentas en participación o del encargo fiduciario a informar por el gestor</t>
  </si>
  <si>
    <t>Saldo final del ejercicio de la asociación o cuentas en participación o del encargo fiduciario a informar por el gestor</t>
  </si>
  <si>
    <t>Credito por IDPC asignado en el ejercicio a los partícipes o beneficiarios de la asociación o cuentas en participación o del encargo fiduciario</t>
  </si>
  <si>
    <t>Crédito IPE asignado en el ejercicio a los partícipes o beneficiarios de la asociación o cuentas en participación o del encargo fiduciario</t>
  </si>
  <si>
    <t>RECUADRO N° 7: INGRESO DIFERIDO Y SALDOS PENDIENTES DE AMORTIZACIÓN</t>
  </si>
  <si>
    <t>Saldo de rentas tributables acumuladas</t>
  </si>
  <si>
    <t xml:space="preserve">
Incremento 
</t>
  </si>
  <si>
    <t xml:space="preserve">Crédito </t>
  </si>
  <si>
    <t>No Sujeto a Restitución</t>
  </si>
  <si>
    <t xml:space="preserve"> Sujeto a Restitución</t>
  </si>
  <si>
    <t>Saldo de ingreso diferido pendiente de tributación de acuerdo al art. 14 letra D) N°8, letra (d) de la LIR, art. 40° transitorio  de la Ley N° 21.210 y Circular N° 62
de 2020</t>
  </si>
  <si>
    <t>Ingreso diferido a imputar en el ejercicio</t>
  </si>
  <si>
    <t>Saldo de ingreso diferido pendiente de tributación de acuerdo al art. 15° transitorio de la Ley N° 21.210</t>
  </si>
  <si>
    <t>TOTAL saldo ingreso diferido a imputar en los ejercicios siguientes</t>
  </si>
  <si>
    <t>RECUADRO N° 8:  INFORMACIÓN SOBRE DONACIONES Y CRÉDITOS O REBAJAS IMPUTABLES AL IDPC</t>
  </si>
  <si>
    <t>Créditos cuyos remanentes no dan derecho a imputación en los ejercicios siguientes ni a devolución</t>
  </si>
  <si>
    <t>Total gasto</t>
  </si>
  <si>
    <t>Gasto no aceptado</t>
  </si>
  <si>
    <t>Crédito</t>
  </si>
  <si>
    <t>Donaciones al FNR, según arts. 4° y 9° Ley N° 20.444 (no afectas al LGA)</t>
  </si>
  <si>
    <t>Donaciones para fines culturales, según art. 8° Ley N° 18.985 (afectas al LGA)</t>
  </si>
  <si>
    <t>Donaciones para fines educacionales, según art. 3° Ley N° 19.247 (afectas al LGA)</t>
  </si>
  <si>
    <t>Donaciones para fines deportivos, según art. 62 y sgtes. Ley N° 19.712 (afecta al LGA)</t>
  </si>
  <si>
    <t>Donaciones para fines sociales, según art. 1° y sgtes. Ley N° 19.885 (afecta al LGA)</t>
  </si>
  <si>
    <t>Crédito por impuesto territorial (contribuciones de bienes raíces)</t>
  </si>
  <si>
    <t>Crédito por bienes físicos del activo inmovilizado del ejercicio</t>
  </si>
  <si>
    <t>Crédito por rentas de zonas francas</t>
  </si>
  <si>
    <t>Crédito por ingreso diferido</t>
  </si>
  <si>
    <t>Otras rebajas especiales</t>
  </si>
  <si>
    <t>Créditos cuyos remanentes dan solo derecho a imputación en los ejercicios siguientes</t>
  </si>
  <si>
    <t>Remanente de crédito por bienes físicos del activo inmovilizado proveniente de inversiones AT 1999 - 2002</t>
  </si>
  <si>
    <t>Donaciones a universidades, institutos profesionales y centros de formación técnica, según art. 69 Ley N° 18.681 (afectas al</t>
  </si>
  <si>
    <t>Monto inversión Ley Arica</t>
  </si>
  <si>
    <t>Monto inversión  Ley Austral</t>
  </si>
  <si>
    <t>Crédito por impuestos soportados en el extranjero, según art. 41 A LIR</t>
  </si>
  <si>
    <t>Crédito por inversión privada en actividades de investigación y desarrollo Ley N° 20.241</t>
  </si>
  <si>
    <t>Crédito cuyo remanente da derecho a devolución</t>
  </si>
  <si>
    <t>Crédito IEAM del ejercicio</t>
  </si>
  <si>
    <t>Crédito IEAM utilizado en el ejercicio</t>
  </si>
  <si>
    <t>Remanente crédito IEAM a devolver a través de código 36</t>
  </si>
  <si>
    <t>Otras donaciones</t>
  </si>
  <si>
    <t>Otras donaciones, según art. 10 Ley N° 19.885 (afecta al LGA)</t>
  </si>
  <si>
    <t>Donaciones, según art. 7° Ley N° 16.282 (no afectas al LGA)</t>
  </si>
  <si>
    <t>Donaciones, según art. 37 D.L. N° 1.939 de 1977 (no afectas al LGA) y según art. 68 Ley N° 19.300 (no afectas al LGA)</t>
  </si>
  <si>
    <t>Donaciones, según Ley N° 21.015 (no afectas al LGA)</t>
  </si>
  <si>
    <t>Donaciones, según Título VIII bis D.L. N° 3.063 de 1979 (no afectas al LGA)</t>
  </si>
  <si>
    <t>Donaciones, según art. 18° Ley N° 21.258 (no afecta al LGA)</t>
  </si>
  <si>
    <t>Donaciones de bienes inmuebles en apoyo al plan de emergencia habitacional, art. 26 Ley N° 21.450</t>
  </si>
  <si>
    <t>Donaciones para fines culturales según art. 8° Ley N° 18.985</t>
  </si>
  <si>
    <t>Remanente año anterior</t>
  </si>
  <si>
    <t>Imputado en el ejercicio</t>
  </si>
  <si>
    <t>RECUADRO N° 9: REGISTRO FUR</t>
  </si>
  <si>
    <t>Remanente FUR ejercicio anterior debidamente reajustado</t>
  </si>
  <si>
    <t>Rebaja FUR por devolución de capital, enajenación de acciones o derechos sociales y reorganización empresarial, debidamente reajustados</t>
  </si>
  <si>
    <t>Rebaja FUR acogido a IS por devolución de capital, enajenación de acciones o derechos sociales y reorganización empresarial, debidamente reajustados</t>
  </si>
  <si>
    <t>Aumento FUR por reorganización empresarial debidamente reajustado</t>
  </si>
  <si>
    <t>Remanente para el ejercicio siguiente de rentas afectadas con IS</t>
  </si>
  <si>
    <t>Remanente FUR para el ejercicio siguiente afectos a impuestos finales</t>
  </si>
  <si>
    <t>Remanente FUR para el ejercicio siguiente exentos e INR</t>
  </si>
  <si>
    <t>Remanente crédito IDPC ejercicio anterior debidamente reajustado</t>
  </si>
  <si>
    <t>Crédito por IDPC utilizado en el ejercicio</t>
  </si>
  <si>
    <t>Crédito por IDPC recibido en el ejercicio</t>
  </si>
  <si>
    <t>Remanente crédito por IDPC para el ejercicio siguiente</t>
  </si>
  <si>
    <t>RECUADRO N° 10: DEPRECIACIÓN</t>
  </si>
  <si>
    <t>Cantidad de bienes del activo inmovilizado</t>
  </si>
  <si>
    <t>Depreciación acelerada en 1/3  vida útil, del ejercicio (art. 31 N° 5 LIR)</t>
  </si>
  <si>
    <t>Depreciación acelerada en 1/10 vida útil, del ejercicio (art. 31 N° 5 bis LIR)</t>
  </si>
  <si>
    <t>Total depreciación normal de los bienes con depreciación acelerada informada en los códigos 938, 949</t>
  </si>
  <si>
    <t>Diferencia entre depreciaciones aceleradas y normales del ejercicio, anteriores</t>
  </si>
  <si>
    <t>RECUADRO N° 11: ROYALTY MINERO</t>
  </si>
  <si>
    <t>Agregados a la RLI (o pérdida tributaria) de primera categoría, según art. 64 ter LIR</t>
  </si>
  <si>
    <t>Deducciones a la RLI (o pérdida tributaria) de primera categoría, según art. 64 ter LIR</t>
  </si>
  <si>
    <t>Ventas expresadas en toneladas métricas de cobre fino, según art. 64 bis LIR</t>
  </si>
  <si>
    <t>Ventas de relacionados expresadas en toneladas métricas de cobre fino, según art. 64 bis LIR</t>
  </si>
  <si>
    <t>Margen operacional minero según art. 64 bis LIR</t>
  </si>
  <si>
    <t>RECUADRO N° 12: BASE IMPONIBLE DE PRIMERA CATEGORÍA (ART. 14 LETRAS  A) O G) LIR)</t>
  </si>
  <si>
    <t>Resultado financiero</t>
  </si>
  <si>
    <t>Ingresos del giro percibidos o devengados</t>
  </si>
  <si>
    <t>Rentas de fuente extranjera</t>
  </si>
  <si>
    <t>Intereses percibidos o devengados</t>
  </si>
  <si>
    <t>Otros ingresos percibidos o devengados</t>
  </si>
  <si>
    <t>Costo directo de los bienes y servicios</t>
  </si>
  <si>
    <t>Remuneraciones</t>
  </si>
  <si>
    <t>Arriendos</t>
  </si>
  <si>
    <t>Depreciación financiera del ejercicio</t>
  </si>
  <si>
    <t>Intereses pagados o adeudados</t>
  </si>
  <si>
    <t>Gastos por donaciones</t>
  </si>
  <si>
    <t>Otros gastos financieros</t>
  </si>
  <si>
    <t>Gastos por inversión privada en investigación y desarrollo certificados por CORFO</t>
  </si>
  <si>
    <t>Gastos por inversión privada en Investigación y desarrollo no certificados por CORFO</t>
  </si>
  <si>
    <t>Gastos por exigencias medio ambientales</t>
  </si>
  <si>
    <t>Gasto por indemnización o compensación a clientes o usuarios</t>
  </si>
  <si>
    <t>Costos y gastos necesarios para producir las rentas de fuente extranjera</t>
  </si>
  <si>
    <t>Gastos por impuesto renta e impuesto diferido</t>
  </si>
  <si>
    <t>Otros gastos deducidos de los ingresos brutos</t>
  </si>
  <si>
    <t>Ajustes al resultado financiero</t>
  </si>
  <si>
    <t>Corrección monetaria saldo deudor (art. 32 N° 1 LIR)</t>
  </si>
  <si>
    <t>Corrección monetaria saldo acreedor (art. 32 N° 2 LIR)</t>
  </si>
  <si>
    <t>Partidas del inc. 1° no afectas al IU de tasa 40% y del inc. 2° del art. 21 LIR, reajustados</t>
  </si>
  <si>
    <t>Estimación y/o castigos de deudas incobrables, según criterios financieros</t>
  </si>
  <si>
    <t>Rentas tributables no reconocidas financieramente</t>
  </si>
  <si>
    <t>Gastos agregados por donaciones</t>
  </si>
  <si>
    <t>Gastos que se deben agregar a la RLI según el art. 33 N° 1 LIR</t>
  </si>
  <si>
    <t>Ingreso diferido por cambio de régimen</t>
  </si>
  <si>
    <t>Costos y gastos asociados a  ingresos no renta (art. 17 LIR), generados</t>
  </si>
  <si>
    <t>Proporcionalidad gastos imputados a ingresos no renta y/o rentas exentas</t>
  </si>
  <si>
    <t>Intereses devengados por inversiones en bonos del art. 104 LIR</t>
  </si>
  <si>
    <t>Ingresos devengados por cambio de régimen</t>
  </si>
  <si>
    <t>Gastos adeudados por cambio de régimen</t>
  </si>
  <si>
    <t>Castigo de deudas incobrables, según art. 31 inc. 4° N° 4 LIR</t>
  </si>
  <si>
    <t>Depreciación tributaria del ejercicio</t>
  </si>
  <si>
    <t>Gasto goodwill tributario del ejercicio</t>
  </si>
  <si>
    <t>Impuesto específico a la actividad minera</t>
  </si>
  <si>
    <t>Gastos rechazados afectos a la tributación del art. 21 inc. 1°  LIR</t>
  </si>
  <si>
    <t>Gastos rechazados afectos a la tributación del art. 21 inc. 3° LIR</t>
  </si>
  <si>
    <t>Otras partidas</t>
  </si>
  <si>
    <t>Rentas exentas IDPC (art. 33 N°2 LIR )</t>
  </si>
  <si>
    <t>Dividendos y/o utilidades sociales percibidos o devengados (art. 33 N° 2 LIR)</t>
  </si>
  <si>
    <t>Dividendos y/o utilidades sociales percibidas o devengadas (art. 33 N° 2 LIR), ingresos no renta</t>
  </si>
  <si>
    <t>Gastos aceptados por donaciones</t>
  </si>
  <si>
    <t>Ingresos no renta, generados (art. 17 LIR)</t>
  </si>
  <si>
    <t>Pérdidas de ejercicios anteriores (art. 31 N° 3 LIR)</t>
  </si>
  <si>
    <t>Renta líquida imponible antes de rebaja por incentivo al ahorro (art. 14 letra E) LIR) y/o por pago de IDPC voluntario (art. 14 letra A) N°6 LIR y art. 42° transitorio Ley N° 21.210) o
pérdida tributaria</t>
  </si>
  <si>
    <t>Incentivo al ahorro según art. 14 letra E) LIR</t>
  </si>
  <si>
    <t>Base del IDPC voluntario según  art. 14 letra A) N°  6 LIR y art. 42° transitorio Ley N° 21.210</t>
  </si>
  <si>
    <t>Renta líquida imponible afecta a IDPC (o pérdida tributaria antes de imputar dividendos o retiros percibidos) del ejercicio</t>
  </si>
  <si>
    <t>Imputaciones a la pérdida tributaria del ejercicio</t>
  </si>
  <si>
    <t>Dividendos o retiros percibidos afectos a impuestos finales, que absorben la pérdida tributaria</t>
  </si>
  <si>
    <t>Incremento por IDPC de los dividendos o retiros percibidos afectos a impuestos finales, que absorben la pérdida tributaria</t>
  </si>
  <si>
    <t>Pérdida tributaria del ejercicio al 31 de diciembre</t>
  </si>
  <si>
    <t>RECUADRO N° 13: DETERMINACIÓN DEL RAI (ART. 14 LETRA A) LIR)</t>
  </si>
  <si>
    <t>CPT positivo final (recuadro N° 14)</t>
  </si>
  <si>
    <t>CPT negativo final (recuadro N° 14)</t>
  </si>
  <si>
    <t>Saldo negativo del registro REX al término del ejercicio</t>
  </si>
  <si>
    <t>Remesas, retiros o dividendos repartidos en el ejercicio, reajustados</t>
  </si>
  <si>
    <t>Subtotal</t>
  </si>
  <si>
    <t>Saldo positivo del registro REX al término del ejercicio, antes de imputaciones</t>
  </si>
  <si>
    <t>Capital aportado debidamente reajustado (incluye aumentos y disminuciones efectivas)</t>
  </si>
  <si>
    <t>Saldo FUR  (cuando no haya sido considerado dentro del valor del capital aportado a la empresa)</t>
  </si>
  <si>
    <t>Sobreprecio obtenido en la colocación de acciones de propia emisión, debidamente reajustado</t>
  </si>
  <si>
    <t>Rentas afectas a IGC o IA (RAI) del ejercicio</t>
  </si>
  <si>
    <t>RECUADRO N° 14:  RAZONABILIDAD CAPITAL PROPIO TRIBUTARIO (ART. 14 LETRA A) O G) LIR)</t>
  </si>
  <si>
    <t>CPT positivo inicial</t>
  </si>
  <si>
    <t>CPT negativo inicial</t>
  </si>
  <si>
    <t>Corrección monetaria capital propio tributario inicial</t>
  </si>
  <si>
    <t>Aumentos (efectivos) de capital del ejercicio, actualizados</t>
  </si>
  <si>
    <t>Disminuciones (efectivas) de capital del ejercicio, actualizadas</t>
  </si>
  <si>
    <t>Renta líquida imponible afecta a IDPC del ejercicio</t>
  </si>
  <si>
    <t>Rentas exentas del IDPC e ingresos no renta (positivo), generados por la empresa en el ejercicio</t>
  </si>
  <si>
    <t>Pérdida por rentas exentas del IDPC e ingresos no renta del ejercicio</t>
  </si>
  <si>
    <t>Retiros o dividendos percibidos en el ejercicio por participaciones en otras empresas</t>
  </si>
  <si>
    <t>Utilidades percibidas afectas a impuestos finales imputadas a la pérdida tributaria del ejercicio</t>
  </si>
  <si>
    <t>Aumentos del ejercicio (por reorganizaciones)</t>
  </si>
  <si>
    <t>Disminuciones del ejercicio (por reorganizaciones)</t>
  </si>
  <si>
    <t>Crédito total disponible imputable contra impuestos finales (IPE), del ejercicio</t>
  </si>
  <si>
    <t>Base del IDPC voluntario según  art. 14 letra A) N°  6 LIR</t>
  </si>
  <si>
    <t>Otras partidas a agregar</t>
  </si>
  <si>
    <t>Otras partidas a deducir</t>
  </si>
  <si>
    <t>CPT positivo final</t>
  </si>
  <si>
    <t>CPT negativo final</t>
  </si>
  <si>
    <t>RECUADRO N° 15: REGISTRO TRIBUTARIO DE RENTAS EMPRESARIALES Y MOVIMIENTO STUT (ART. 14 LETRA A) LIR)</t>
  </si>
  <si>
    <t>RAI</t>
  </si>
  <si>
    <t>DDAN</t>
  </si>
  <si>
    <t>STUT</t>
  </si>
  <si>
    <t>Rentas con tributación cumplida</t>
  </si>
  <si>
    <t>Rentas exentas</t>
  </si>
  <si>
    <t>INR</t>
  </si>
  <si>
    <t>RAP y diferencia inicial ex art. 14 ter a)</t>
  </si>
  <si>
    <t>ISFUT</t>
  </si>
  <si>
    <t>Otras</t>
  </si>
  <si>
    <t>Remanente ejercicio anterior o saldo inicial reajustado (saldo positivo)</t>
  </si>
  <si>
    <t>Remanente ejercicio anterior o saldo inicial reajustado (saldo negativo)</t>
  </si>
  <si>
    <t>Reversos y/o disminuciones del ejercicio (propios)</t>
  </si>
  <si>
    <t>Aumentos del ejercicio (propios)</t>
  </si>
  <si>
    <t>Otros aumentos del ejercicio</t>
  </si>
  <si>
    <t>Otras disminuciones del ejercicio</t>
  </si>
  <si>
    <t>Remesas, retiros o dividendos imputados a los RTRE, reajustados</t>
  </si>
  <si>
    <t>Retiros en exceso y devoluciones de capital imputados en el ejercicio, reajustados</t>
  </si>
  <si>
    <t>Remanente ejercicio siguiente (saldo positivo)</t>
  </si>
  <si>
    <t>Remanente ejercicio siguiente (saldo negativo)</t>
  </si>
  <si>
    <t>RECUADRO N° 16: REGISTRO SAC (ART. 14 LETRA A) LIR)</t>
  </si>
  <si>
    <t>Acumulados a contar desde el 01.01.2017</t>
  </si>
  <si>
    <t>Sujeto a Restitución</t>
  </si>
  <si>
    <t>IPE</t>
  </si>
  <si>
    <t>Sin D° Devolución</t>
  </si>
  <si>
    <t>Con D° Devolución</t>
  </si>
  <si>
    <t>Con derechoa a devolucion</t>
  </si>
  <si>
    <t>Con derecho a devolucion</t>
  </si>
  <si>
    <t>Remanente ejercicio anterior o saldo inicial (saldo positivo)</t>
  </si>
  <si>
    <t>Remanente ejercicio anterior o saldo inicial (saldo negativo)</t>
  </si>
  <si>
    <t>IDPC e IPE RLI generada en el ejercicio</t>
  </si>
  <si>
    <t>IDPC e IPE retiros o dividendos percibidos</t>
  </si>
  <si>
    <t>Asignado a remesas, retiros o dividendos efectuados en el ejercicio, reajustados</t>
  </si>
  <si>
    <t>Asignado a retiros en exceso y devoluciones de capital efectuados en el ejercicio, reajustados</t>
  </si>
  <si>
    <t>IDPC e IPE asignado a gastos rechazados del art. 21 inc. 1° no afectos a IU 40% y del inc. 2° LIR</t>
  </si>
  <si>
    <t>RECUADRO N° 17: BASE IMPONIBLE RÉGIMEN PRO PYME (ART. 14 LETRA D) N° 3 LIR)</t>
  </si>
  <si>
    <t>Percibido o pagado</t>
  </si>
  <si>
    <t>Ingresos del giro percibidos</t>
  </si>
  <si>
    <t>Ingresos del giro devengados en ejercicios anteriores y percibidos en el ejercicio actual</t>
  </si>
  <si>
    <t>Rentas de fuente extranjera percibidas</t>
  </si>
  <si>
    <t>Intereses y reajustes percibidos por préstamos y otros</t>
  </si>
  <si>
    <t>Mayor valor percibido por rescate o enajenación de inversiones o bienes no depreciables</t>
  </si>
  <si>
    <t>Ingresos percibidos o devengados por operaciones con empresas relacionadas del art. 14 letra A) LIR</t>
  </si>
  <si>
    <t>Ingreso diferido imputado en el ejercicio, debidamente incrementado y reajustado cuando corresponda</t>
  </si>
  <si>
    <t>Crédito sobre activos fijos adquiridos en el ejercicio (art. 33 bis LIR)</t>
  </si>
  <si>
    <t>Total de ingresos anuales</t>
  </si>
  <si>
    <t>Gasto por saldo inicial de existencias o insumos del negocio en cambio de régimen, pagados</t>
  </si>
  <si>
    <t>Gasto por saldo inicial de activos fijos depreciables en cambio de régimen, pagados</t>
  </si>
  <si>
    <t>Gasto por pérdida tributaria en cambio de régimen</t>
  </si>
  <si>
    <t>Existencias, insumos y servicios del negocio, pagados</t>
  </si>
  <si>
    <t>Existencias, insumos y servicios del negocio adeudados en ejercicios anteriores y pagados en el ejercicio actual</t>
  </si>
  <si>
    <t>Gastos de rentas de fuente extranjera, pagados</t>
  </si>
  <si>
    <t>Remuneraciones pagadas</t>
  </si>
  <si>
    <t>Honorarios pagados</t>
  </si>
  <si>
    <t>Adquisición de bienes del activo fijo, pagados</t>
  </si>
  <si>
    <t>Arriendos pagados</t>
  </si>
  <si>
    <t>Gastos por exigencias medio ambientales, pagados</t>
  </si>
  <si>
    <t>Gastos por inversión privada en investigación y desarrollo no certificados por CORFO</t>
  </si>
  <si>
    <t>Intereses y reajustes pagados por préstamos y otros</t>
  </si>
  <si>
    <t>Partidas del art. 21 inc. 1° y 3° LIR pagados</t>
  </si>
  <si>
    <t>Partidas del art. 21 inc. 1° no afectados con IU 40% y del inc. 2° LIR pagados</t>
  </si>
  <si>
    <t>Pérdida en rescate o enajenación de inversiones o bienes no depreciables</t>
  </si>
  <si>
    <t>Otros gastos deducibles de los ingresos</t>
  </si>
  <si>
    <t>Gastos o egresos pagados o adeudados por operaciones con empresas relacionadas del art. 14 letra A) LIR</t>
  </si>
  <si>
    <t>Pérdidas tributarias de ejercicios anteriores</t>
  </si>
  <si>
    <t>Créditos incobrables castigados en el ejercicio (reconocidos sobre ingresos devengados)</t>
  </si>
  <si>
    <t>Total de egresos anuales</t>
  </si>
  <si>
    <t>Partidas del inc. 1° no afectas al IU de tasa 40% y del inc. 2° del art. 21 LIR (históricos), incluidos en el total de egresos</t>
  </si>
  <si>
    <t>Base imponible antes de rebaja por incentivo al ahorro (art. 14 letra E) LIR) y/o por pago de IDPC voluntario (art. 14 letra A) N°6 LIR y art. 42° transitorio Ley N° 21.210) o pérdida tributaria</t>
  </si>
  <si>
    <t>Base Imponible afecta a IDPC (o pérdida tributaria antes de imputar dividendos o retiros percibidos) del ejercicio</t>
  </si>
  <si>
    <t>RECUADRO N° 18 DETERMINACIÓN DEL RAI (ART. 14 LETRA D) N° 3 LIR)</t>
  </si>
  <si>
    <t>CPTS positivo final (recuadro N° 19)</t>
  </si>
  <si>
    <t>CPTS negativo final (recuadro N° 19)</t>
  </si>
  <si>
    <t>Remesas, retiros o dividendos repartidos en el ejercicio, históricos</t>
  </si>
  <si>
    <t>Capital aportado, histórico (incluye aumentos y disminuciones efectivas)</t>
  </si>
  <si>
    <t>Sobreprecio obtenido en la colocación de acciones de propia emisión, histórico</t>
  </si>
  <si>
    <t>RECUADRO N° 19: CPTS RÉGIMEN PRO PYME (ART. 14 LETRA D) N° 3 LIR)
(art. 14 letra D) N° 3 LIR)</t>
  </si>
  <si>
    <t>CPT o CPTS positivo inicial</t>
  </si>
  <si>
    <t>CPT o CPTS negativo inicial</t>
  </si>
  <si>
    <t>Capital aportado empresas que inician actividades en el año comercial que corresponda a esta declaración</t>
  </si>
  <si>
    <t>Aumentos (efectivos) de capital del ejercicio</t>
  </si>
  <si>
    <t>Disminuciones (efectivas) de capital del ejercicio</t>
  </si>
  <si>
    <t>Base imponible afecta a IDPC del ejercicio</t>
  </si>
  <si>
    <t>Rentas exentas e ingresos no renta (positivo), generados por la empresa en el ejercicio</t>
  </si>
  <si>
    <t>Pérdida por rentas exentas e ingresos no renta del ejercicio</t>
  </si>
  <si>
    <t>Remesas, retiros o dividendos repartidos en el ejercicio</t>
  </si>
  <si>
    <t>Partidas del inc. 1° no afectas al IU de tasa 40% y del inc. 2° del art. 21 LIR</t>
  </si>
  <si>
    <t>Base del IDPC voluntario según art. 14 letra A) N° 6 LIR</t>
  </si>
  <si>
    <t>CPTS positivo final</t>
  </si>
  <si>
    <t>CPTS negativo final</t>
  </si>
  <si>
    <t>RECUADRO N° 20: REGISTRO TRIBUTARIO DE RENTAS EMPRESARIALES Y MOVIMIENTO STUT (ART. 14 LETRA D) N° 3 LIR)</t>
  </si>
  <si>
    <t>Retiros, dividendos o remesas imputados a los RTRE</t>
  </si>
  <si>
    <t>Retiros en exceso y devoluciones de capital imputados en el ejercicio</t>
  </si>
  <si>
    <t>RECUADRO N° 21: REGISTRO SAC (ART. 14 LETRA D) N° 3 LIR)</t>
  </si>
  <si>
    <t>IDPC e IPE base imponible generada en el ejercicio</t>
  </si>
  <si>
    <t>Asignado a remesas, retiros o dividendos efectuados en el ejercicio</t>
  </si>
  <si>
    <t>Asignado a retiros en exceso y devoluciones de capital efectuados en el ejercicio</t>
  </si>
  <si>
    <t>IDPC e IPE asignado a gastos rechazados del art. 21 inc. 1° no afectos a IU 40% y del inc.</t>
  </si>
  <si>
    <t>RECUADRO N° 22: BASE IMPONIBLE RÉGIMEN DE TRANSPARENCIA TRIBUTARIA (ART. 14 LETRA D) N° 8 LIR)</t>
  </si>
  <si>
    <t>Dividendos o retiros percibidos en el ejercicio, por participaciones en otras empresas</t>
  </si>
  <si>
    <t>Incremento por IDPC</t>
  </si>
  <si>
    <t>Ingreso diferido imputado en el ejercicio, debidamente incrementado y reajustado, cuando corresponda</t>
  </si>
  <si>
    <t>Crédito por activos fijos adquiridos en el ejercicio (art. 33 bis LIR)</t>
  </si>
  <si>
    <t>Base imponible a asignar a propietarios que son contribuyentes de impuestos finales, o pérdida tributaria del ejercicio</t>
  </si>
  <si>
    <t>RECUADRO N° 23: CPTS RÉGIMEN DE TRANSPARENCIA TRIBUTARIA (ART. 14 LETRA D) N° 8 LIR)</t>
  </si>
  <si>
    <t>Base imponible del ejercicio, asignable a los propietarios</t>
  </si>
  <si>
    <t>Partidas de gastos no aceptados</t>
  </si>
  <si>
    <t>Crédito por IDPC, por participaciones en otras empresas que incrementaron la BI del ejercicio.</t>
  </si>
  <si>
    <t>RECUADRO N° 24: PAGO PRÉSTAMOS TASA 0% PERCIBIDOS EN EL AÑO COMERCIAL 2020 Y/O 2021 (PRÉSTAMOS SOLIDARIOS DEL ESTADO)</t>
  </si>
  <si>
    <t>5% de las rentas que forman parte de la declaración anual de impuestos a la renta según art. 65 LIR (calculado sobre el código 170)</t>
  </si>
  <si>
    <t>Determinación cuota anual</t>
  </si>
  <si>
    <t>Préstamo AC 2020</t>
  </si>
  <si>
    <t>Préstamo AC 2021</t>
  </si>
  <si>
    <t>Cuota anual (30% del monto del préstamo tasa 0%), según art. 6 (art. primero) Ley N° 21.242 y/o art. 7 (art. primero) Ley N° 21.252 o art. 11 inc. 1° Ley N° 21.323</t>
  </si>
  <si>
    <t>Saldo pendiente cuota año anterior</t>
  </si>
  <si>
    <t>Monto a pagar de la(s) cuota(s)</t>
  </si>
  <si>
    <t>Anticipos</t>
  </si>
  <si>
    <t>Pago anticipado por reintegro del préstamo tasa 0% (F-50, F-10 o códigos 1797 o 1842 del F-22 AT 2023), según el art. 6 (art. primero) Ley N° 21.242 y/o art. 7 (art. primero) Ley N° 21.252 o art. 11 inc. 3° Ley N° 21.323</t>
  </si>
  <si>
    <t>Monto a pagar de la(s) cuota(s) después de anticipos</t>
  </si>
  <si>
    <t>Retenciones adicionales y PPMA</t>
  </si>
  <si>
    <t>Retención adicional sobre rentas del art. 42 N° 1 LIR con tasa del 3%, por reintegro del préstamo tasa 0%, según  art. 9 letra a) (art. primero) Ley N° 21.252 (retención a trabajadores dependientes) o art. 11 letra a) Ley N° 21.323</t>
  </si>
  <si>
    <t>Retención adicional sobre rentas del art. 42 N° 2 LIR con tasa del 3%, por reintegro del préstamo tasa 0%, según art. 7 (art. primero) Ley N° 21.242 y art. 9 letra b) (art. primero) Ley N° 21.252 (retención a trabajadores independientes) o art. 11 letra b) Ley N° 21.323</t>
  </si>
  <si>
    <t>PPMA Primera Categoría art. 84 letra a) y 14 letra D) N° 3 letra (k) y N° 8 letra (a) numeral (viii) LIR, con tasa 3%, por reintegro de préstamo tasa 0%, según art. 9 letra c) (art. primero) Ley N° 21.252 (EI)  o art. 11 letra c) Ley N° 21.323</t>
  </si>
  <si>
    <t>PPMA Segunda Categoría art. 84 letra b) LIR, con tasa 3%, por reintegro de préstamo  tasa 0%, según art. 7 (art. primero) Ley N° 21.242 y art. 9 letra b) (art. primero) Ley N° 21.252 (trabajadores independientes)  o art. 11 letra b) Ley N° 21.323</t>
  </si>
  <si>
    <t>Total retenciones adicionales y PPMA</t>
  </si>
  <si>
    <t>Reliquidación</t>
  </si>
  <si>
    <t>Monto a pagar de la(s) cuota(s) después de retenciones adicionales y PPMA</t>
  </si>
  <si>
    <t>Saldo a devolver por retenciones adicionales y PPMA en exceso</t>
  </si>
  <si>
    <t>Monto del código 1795 destinado voluntariamente a pagar el saldo pendiente de los préstamos tasa 0% o futuras cuotas de dichos préstamos</t>
  </si>
  <si>
    <t>LIBRO MAYOR DESDE 01-01-2023 A 31-12-2023</t>
  </si>
  <si>
    <t>Comprobante</t>
  </si>
  <si>
    <t>$ Monto</t>
  </si>
  <si>
    <t>Cta</t>
  </si>
  <si>
    <t>Fecha</t>
  </si>
  <si>
    <t>Tipo</t>
  </si>
  <si>
    <t>N</t>
  </si>
  <si>
    <t>S</t>
  </si>
  <si>
    <t>Glosa</t>
  </si>
  <si>
    <t>Debe</t>
  </si>
  <si>
    <t>Haber</t>
  </si>
  <si>
    <t>Saldo</t>
  </si>
  <si>
    <t>Traspaso</t>
  </si>
  <si>
    <t>Reapertura comercial año 2023</t>
  </si>
  <si>
    <t>Ingreso</t>
  </si>
  <si>
    <t>Cancela acciones por suscribir</t>
  </si>
  <si>
    <t>Egreso</t>
  </si>
  <si>
    <t>Ecox paga el impuesto a la renta de tregualemu</t>
  </si>
  <si>
    <t>Centralización compras enero 2023 - iva crédito fiscal</t>
  </si>
  <si>
    <t>Centralización compras febrero 2023 - iva crédito fiscal</t>
  </si>
  <si>
    <t>Centralización compras marzo 2023 - iva crédito fiscal</t>
  </si>
  <si>
    <t>Centralización compras abril 2023 - iva crédito fiscal</t>
  </si>
  <si>
    <t>Centralización compras mayo 2023 - iva crédito fiscal</t>
  </si>
  <si>
    <t>Centralización compras junio 2023 - iva crédito fiscal</t>
  </si>
  <si>
    <t>Centralización compras julio 2023 - iva crédito fiscal</t>
  </si>
  <si>
    <t>Centralización compras agosto 2023 - iva crédito fiscal</t>
  </si>
  <si>
    <t>Centralización compras septiembre 2023 - iva crédito fiscal</t>
  </si>
  <si>
    <t>Centralización compras octubre 2023 - iva crédito fiscal</t>
  </si>
  <si>
    <t>Centralización compras noviembre 2023 - iva crédito fiscal</t>
  </si>
  <si>
    <t>Centralización compras diciembre 2023 - iva crédito fiscal</t>
  </si>
  <si>
    <t>Iva no recuperable</t>
  </si>
  <si>
    <t>Pago honorarios</t>
  </si>
  <si>
    <t>Centralización honorarios septiembre 2023 - monto líquido</t>
  </si>
  <si>
    <t>Centralización pagos enero 2023</t>
  </si>
  <si>
    <t>Centralización compras enero 2023 - valor total</t>
  </si>
  <si>
    <t>Centralización pagos febrero 2023</t>
  </si>
  <si>
    <t>Centralización compras febrero 2023 - valor total</t>
  </si>
  <si>
    <t>Centralización pagos marzo 2023</t>
  </si>
  <si>
    <t>Centralización compras marzo 2023 - valor total</t>
  </si>
  <si>
    <t>Centralización pagos abril 2023</t>
  </si>
  <si>
    <t>Centralización compras abril 2023 - valor total</t>
  </si>
  <si>
    <t>Centralización pagos mayo 2023</t>
  </si>
  <si>
    <t>Centralización compras mayo 2023 - valor total</t>
  </si>
  <si>
    <t>Centralización pagos junio 2023</t>
  </si>
  <si>
    <t>Centralización compras junio 2023 - valor total</t>
  </si>
  <si>
    <t>Centralización pagos julio 2023</t>
  </si>
  <si>
    <t>Centralización compras julio 2023 - valor total</t>
  </si>
  <si>
    <t>Centralización pagos agosto 2023</t>
  </si>
  <si>
    <t>Centralización compras agosto 2023 - valor total</t>
  </si>
  <si>
    <t>Centralización pagos septiembre 2023</t>
  </si>
  <si>
    <t>Centralización compras septiembre 2023 - valor total</t>
  </si>
  <si>
    <t>Centralización pagos octubre 2023</t>
  </si>
  <si>
    <t>Centralización compras octubre 2023 - valor total</t>
  </si>
  <si>
    <t>Centralización pagos noviembre 2023</t>
  </si>
  <si>
    <t>Centralización compras noviembre 2023 - valor total</t>
  </si>
  <si>
    <t>Centralización pagos diciembre 2023</t>
  </si>
  <si>
    <t>Centralización compras diciembre 2023 - valor total</t>
  </si>
  <si>
    <t>Distribucion de la utilidad</t>
  </si>
  <si>
    <t>Centralización compras abril 2023 - valor neto</t>
  </si>
  <si>
    <t>Gastos generales -</t>
  </si>
  <si>
    <t>Centralización honorarios septiembre 2023 - monto bruto</t>
  </si>
  <si>
    <t>Centralización compras enero 2023 - valor neto</t>
  </si>
  <si>
    <t>Centralización compras febrero 2023 - valor neto</t>
  </si>
  <si>
    <t>Centralización compras marzo 2023 - valor neto</t>
  </si>
  <si>
    <t>Centralización compras mayo 2023 - valor neto</t>
  </si>
  <si>
    <t>Centralización compras junio 2023 - valor neto</t>
  </si>
  <si>
    <t>Centralización compras julio 2023 - valor neto</t>
  </si>
  <si>
    <t>Centralización compras agosto 2023 - valor neto</t>
  </si>
  <si>
    <t>Centralización compras septiembre 2023 - valor neto</t>
  </si>
  <si>
    <t>Centralización compras octubre 2023 - valor neto</t>
  </si>
  <si>
    <t>Centralización compras noviembre 2023 - valor neto</t>
  </si>
  <si>
    <t>Centralización compras diciembre 2023 - valor neto</t>
  </si>
  <si>
    <t>Prestamo ecox</t>
  </si>
  <si>
    <t>Gastos generales - reembolsa a ecox pago porton a don enrique</t>
  </si>
  <si>
    <t>Centralización pagos enero 2023 - #1</t>
  </si>
  <si>
    <t>Prestamo - prestamo a ecox</t>
  </si>
  <si>
    <t>Centralización pagos febrero 2023 - #2</t>
  </si>
  <si>
    <t>Centralización pagos marzo 2023 - #3</t>
  </si>
  <si>
    <t>Centralización pagos abril 2023 - #4; 5</t>
  </si>
  <si>
    <t>Reembolso pago de impuestos</t>
  </si>
  <si>
    <t>Centralización pagos mayo 2023 - #6</t>
  </si>
  <si>
    <t>Centralización pagos junio 2023 - #7</t>
  </si>
  <si>
    <t>Centralización pagos julio 2023 - #8</t>
  </si>
  <si>
    <t>Centralización pagos agosto 2023 - #9</t>
  </si>
  <si>
    <t>Centralización pagos septiembre 2023 - #10</t>
  </si>
  <si>
    <t>Centralización pagos octubre 2023 - #11</t>
  </si>
  <si>
    <t>Centralización pagos noviembre 2023 - #12</t>
  </si>
  <si>
    <t>Centralización pagos diciembre 2023 - #13</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</si>
</sst>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0;\(#,##0\)"/>
    <numFmt numFmtId="165" formatCode="dd\/mm\/yyyy"/>
    <numFmt numFmtId="166" formatCode="_ * #,##0_ ;_ * \-#,##0_ ;_ * &quot;-&quot;_ ;_ @_ "/>
    <numFmt numFmtId="167" formatCode="#,##0.000;[Red]\(\-#,##0.000\)"/>
    <numFmt numFmtId="168" formatCode="#,##0;[Red]\(\-#,##0\)"/>
    <numFmt numFmtId="169" formatCode="0.0%"/>
    <numFmt numFmtId="170" formatCode="_ * #,##0.000000_ ;_ * \-#,##0.000000_ ;_ * &quot;-&quot;_ ;_ @_ "/>
    <numFmt numFmtId="171" formatCode="_-* #,##0_-;\-* #,##0_-;_-* &quot;-&quot;??_-;_-@"/>
    <numFmt numFmtId="172" formatCode="_-* #,##0_-;\-* #,##0_-;_-* &quot;-&quot;_-;_-@"/>
    <numFmt numFmtId="173" formatCode="_ * #,##0_ ;_ * \-#,##0_ ;_ * &quot;-&quot;??????_ ;_ @_ "/>
    <numFmt numFmtId="174" formatCode="_-* #,##0\ _€_-;\-* #,##0\ _€_-;_-* &quot;-&quot;\ _€_-;_-@"/>
    <numFmt numFmtId="175" formatCode="_(* #,##0_);_(* \(#,##0\);_(* &quot;-&quot;??_);_(@_)"/>
    <numFmt numFmtId="176" formatCode="_-* #,##0\ _€_-;\-* #,##0\ _€_-;_-* &quot;-&quot;??\ _€_-;_-@"/>
    <numFmt numFmtId="177" formatCode="#,##0_);\(#,##0\)"/>
    <numFmt numFmtId="178" formatCode="_ * #,##0_ ;_ * \-#,##0_ ;_ * &quot;-&quot;??_ ;_ @_ "/>
    <numFmt numFmtId="179" formatCode="00"/>
    <numFmt numFmtId="180" formatCode="0#,##0"/>
    <numFmt numFmtId="181" formatCode="#,##0_);\(#,##0\);&quot;-&quot;_)"/>
  </numFmts>
  <fonts count="57">
    <font>
      <sz val="11.0"/>
      <color theme="1"/>
      <name val="Calibri"/>
      <scheme val="minor"/>
    </font>
    <font>
      <sz val="11.0"/>
      <color theme="1"/>
      <name val="Calibri"/>
    </font>
    <font>
      <b/>
      <sz val="14.0"/>
      <color theme="1"/>
      <name val="Calibri"/>
    </font>
    <font>
      <sz val="16.0"/>
      <color theme="1"/>
      <name val="Calibri"/>
    </font>
    <font>
      <sz val="14.0"/>
      <color theme="1"/>
      <name val="Arial"/>
    </font>
    <font>
      <sz val="10.0"/>
      <color theme="1"/>
      <name val="Arial"/>
    </font>
    <font>
      <sz val="12.0"/>
      <color theme="1"/>
      <name val="Arial"/>
    </font>
    <font/>
    <font>
      <sz val="12.0"/>
      <color theme="1"/>
      <name val="Calibri"/>
    </font>
    <font>
      <sz val="14.0"/>
      <color theme="1"/>
      <name val="Calibri"/>
    </font>
    <font>
      <u/>
      <sz val="10.0"/>
      <color theme="1"/>
      <name val="Arial"/>
    </font>
    <font>
      <sz val="8.0"/>
      <color theme="1"/>
      <name val="Arial"/>
    </font>
    <font>
      <sz val="10.0"/>
      <color theme="1"/>
      <name val="Calibri"/>
    </font>
    <font>
      <sz val="10.0"/>
      <color theme="1"/>
      <name val="Roboto"/>
    </font>
    <font>
      <b/>
      <sz val="10.0"/>
      <color theme="0"/>
      <name val="Arial"/>
    </font>
    <font>
      <b/>
      <sz val="8.0"/>
      <color theme="1"/>
      <name val="Times New Roman"/>
    </font>
    <font>
      <sz val="8.0"/>
      <color theme="1"/>
      <name val="Times New Roman"/>
    </font>
    <font>
      <sz val="10.0"/>
      <color theme="1"/>
      <name val="Times New Roman"/>
    </font>
    <font>
      <b/>
      <sz val="10.0"/>
      <color theme="0"/>
      <name val="Times New Roman"/>
    </font>
    <font>
      <b/>
      <sz val="10.0"/>
      <color theme="1"/>
      <name val="Times New Roman"/>
    </font>
    <font>
      <sz val="11.0"/>
      <color theme="1"/>
      <name val="Times New Roman"/>
    </font>
    <font>
      <b/>
      <sz val="10.0"/>
      <color theme="1"/>
      <name val="Arial"/>
    </font>
    <font>
      <b/>
      <u/>
      <sz val="10.0"/>
      <color theme="1"/>
      <name val="Arial"/>
    </font>
    <font>
      <b/>
      <u/>
      <sz val="10.0"/>
      <color theme="1"/>
      <name val="Arial"/>
    </font>
    <font>
      <sz val="9.0"/>
      <color rgb="FF333333"/>
      <name val="Arial"/>
    </font>
    <font>
      <sz val="9.0"/>
      <color rgb="FF000000"/>
      <name val="Times New Roman"/>
    </font>
    <font>
      <sz val="14.0"/>
      <color theme="1"/>
      <name val="Book Antiqua"/>
    </font>
    <font>
      <b/>
      <sz val="16.0"/>
      <color theme="1"/>
      <name val="Book Antiqua"/>
    </font>
    <font>
      <b/>
      <sz val="16.0"/>
      <color rgb="FF000000"/>
      <name val="Times New Roman"/>
    </font>
    <font>
      <b/>
      <sz val="14.0"/>
      <color theme="1"/>
      <name val="Book Antiqua"/>
    </font>
    <font>
      <b/>
      <sz val="14.0"/>
      <color rgb="FF000000"/>
      <name val="Book Antiqua"/>
    </font>
    <font>
      <sz val="14.0"/>
      <color rgb="FFFF0000"/>
      <name val="Book Antiqua"/>
    </font>
    <font>
      <b/>
      <sz val="14.0"/>
      <color rgb="FF000000"/>
      <name val="Times New Roman"/>
    </font>
    <font>
      <sz val="12.0"/>
      <color rgb="FF000000"/>
      <name val="Times New Roman"/>
    </font>
    <font>
      <b/>
      <sz val="12.0"/>
      <color rgb="FFFF0000"/>
      <name val="Times New Roman"/>
    </font>
    <font>
      <sz val="10.0"/>
      <color rgb="FF000000"/>
      <name val="Times New Roman"/>
    </font>
    <font>
      <b/>
      <sz val="12.0"/>
      <color theme="1"/>
      <name val="Times New Roman"/>
    </font>
    <font>
      <b/>
      <sz val="12.0"/>
      <color rgb="FF000000"/>
      <name val="Times New Roman"/>
    </font>
    <font>
      <sz val="12.0"/>
      <color theme="1"/>
      <name val="Times New Roman"/>
    </font>
    <font>
      <sz val="8.0"/>
      <color theme="1"/>
      <name val="Roboto"/>
    </font>
    <font>
      <b/>
      <sz val="11.0"/>
      <color theme="1"/>
      <name val="Roboto"/>
    </font>
    <font>
      <sz val="8.0"/>
      <color theme="0"/>
      <name val="Roboto"/>
    </font>
    <font>
      <b/>
      <sz val="8.0"/>
      <color theme="1"/>
      <name val="Roboto"/>
    </font>
    <font>
      <sz val="8.0"/>
      <color rgb="FF000000"/>
      <name val="Roboto"/>
    </font>
    <font>
      <sz val="9.0"/>
      <color theme="1"/>
      <name val="Arial"/>
    </font>
    <font>
      <b/>
      <sz val="11.0"/>
      <color theme="1"/>
      <name val="Arial"/>
    </font>
    <font>
      <u/>
      <sz val="9.0"/>
      <color theme="10"/>
      <name val="Arial"/>
    </font>
    <font>
      <b/>
      <sz val="7.0"/>
      <color theme="1"/>
      <name val="Arial"/>
    </font>
    <font>
      <sz val="7.0"/>
      <color theme="1"/>
      <name val="Arial"/>
    </font>
    <font>
      <sz val="11.0"/>
      <color theme="1"/>
      <name val="Arial"/>
    </font>
    <font>
      <b/>
      <sz val="8.0"/>
      <color theme="1"/>
      <name val="Arial"/>
    </font>
    <font>
      <b/>
      <sz val="6.0"/>
      <color theme="1"/>
      <name val="Arial"/>
    </font>
    <font>
      <sz val="10.0"/>
      <color rgb="FFFF0000"/>
      <name val="Arial"/>
    </font>
    <font>
      <sz val="7.0"/>
      <color rgb="FF000000"/>
      <name val="Arial"/>
    </font>
    <font>
      <b/>
      <sz val="10.0"/>
      <color rgb="FF000000"/>
      <name val="Arial"/>
    </font>
    <font>
      <b/>
      <sz val="8.0"/>
      <color rgb="FFFF0000"/>
      <name val="Arial"/>
    </font>
    <font>
      <b/>
      <sz val="9.0"/>
      <color theme="1"/>
      <name val="Roboto"/>
    </font>
  </fonts>
  <fills count="10">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FEF2CB"/>
        <bgColor rgb="FFFEF2CB"/>
      </patternFill>
    </fill>
    <fill>
      <patternFill patternType="solid">
        <fgColor rgb="FFDEEAF6"/>
        <bgColor rgb="FFDEEAF6"/>
      </patternFill>
    </fill>
    <fill>
      <patternFill patternType="solid">
        <fgColor rgb="FF9CC2E5"/>
        <bgColor rgb="FF9CC2E5"/>
      </patternFill>
    </fill>
    <fill>
      <patternFill patternType="solid">
        <fgColor rgb="FFFFC000"/>
        <bgColor rgb="FFFFC000"/>
      </patternFill>
    </fill>
    <fill>
      <patternFill patternType="solid">
        <fgColor rgb="FFD6DCE4"/>
        <bgColor rgb="FFD6DCE4"/>
      </patternFill>
    </fill>
    <fill>
      <patternFill patternType="solid">
        <fgColor rgb="FFF7F7F7"/>
        <bgColor rgb="FFF7F7F7"/>
      </patternFill>
    </fill>
  </fills>
  <borders count="86">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left/>
      <right/>
      <top style="thin">
        <color rgb="FF000000"/>
      </top>
      <bottom style="double">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top style="medium">
        <color rgb="FF000000"/>
      </top>
      <bottom style="medium">
        <color rgb="FF000000"/>
      </bottom>
    </border>
    <border>
      <left style="medium">
        <color rgb="FF000000"/>
      </left>
      <right style="medium">
        <color rgb="FF000000"/>
      </right>
      <top style="medium">
        <color rgb="FF000000"/>
      </top>
    </border>
    <border>
      <left style="medium">
        <color rgb="FF000000"/>
      </left>
    </border>
    <border>
      <left style="thin">
        <color rgb="FF000000"/>
      </left>
      <right style="medium">
        <color rgb="FF000000"/>
      </right>
    </border>
    <border>
      <left style="medium">
        <color rgb="FF000000"/>
      </left>
      <right style="medium">
        <color rgb="FF000000"/>
      </right>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bottom style="thin">
        <color rgb="FF000000"/>
      </bottom>
    </border>
    <border>
      <left/>
      <right style="thin">
        <color rgb="FF000000"/>
      </right>
      <top/>
      <bottom/>
    </border>
    <border>
      <left style="thin">
        <color rgb="FF000000"/>
      </left>
      <right style="medium">
        <color rgb="FF000000"/>
      </right>
      <bottom style="thin">
        <color rgb="FF000000"/>
      </bottom>
    </border>
    <border>
      <left style="medium">
        <color rgb="FF000000"/>
      </left>
      <top style="thin">
        <color rgb="FF000000"/>
      </top>
      <bottom style="thin">
        <color rgb="FF000000"/>
      </bottom>
    </border>
    <border>
      <left style="medium">
        <color rgb="FF000000"/>
      </left>
      <bottom style="thin">
        <color rgb="FF000000"/>
      </bottom>
    </border>
    <border>
      <left style="thin">
        <color rgb="FF000000"/>
      </left>
      <right style="medium">
        <color rgb="FF000000"/>
      </right>
      <top style="thin">
        <color rgb="FF000000"/>
      </top>
    </border>
    <border>
      <left style="medium">
        <color rgb="FF000000"/>
      </left>
      <bottom style="medium">
        <color rgb="FF000000"/>
      </bottom>
    </border>
    <border>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medium">
        <color rgb="FF000000"/>
      </right>
      <bottom style="medium">
        <color rgb="FF000000"/>
      </bottom>
    </border>
    <border>
      <top style="thin">
        <color rgb="FF000000"/>
      </top>
      <bottom style="double">
        <color rgb="FF000000"/>
      </bottom>
    </border>
    <border>
      <right style="medium">
        <color rgb="FF000000"/>
      </right>
      <top style="medium">
        <color rgb="FF000000"/>
      </top>
    </border>
    <border>
      <right style="medium">
        <color rgb="FF000000"/>
      </right>
    </border>
    <border>
      <left style="medium">
        <color rgb="FF000000"/>
      </left>
      <top style="thin">
        <color rgb="FF000000"/>
      </top>
      <bottom style="double">
        <color rgb="FF000000"/>
      </bottom>
    </border>
    <border>
      <right style="medium">
        <color rgb="FF000000"/>
      </right>
      <top style="thin">
        <color rgb="FF000000"/>
      </top>
      <bottom style="double">
        <color rgb="FF000000"/>
      </bottom>
    </border>
    <border>
      <right style="medium">
        <color rgb="FF000000"/>
      </right>
      <bottom style="medium">
        <color rgb="FF000000"/>
      </bottom>
    </border>
    <border>
      <left/>
      <top/>
      <bottom/>
    </border>
    <border>
      <top/>
      <bottom/>
    </border>
    <border>
      <right/>
      <top/>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right/>
      <top/>
      <bottom style="thin">
        <color rgb="FF000000"/>
      </bottom>
    </border>
    <border>
      <left/>
      <right/>
      <top style="thin">
        <color rgb="FF000000"/>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right/>
      <top style="thin">
        <color rgb="FF000000"/>
      </top>
      <bottom style="double">
        <color rgb="FF000000"/>
      </bottom>
    </border>
    <border>
      <left/>
      <right style="medium">
        <color rgb="FF000000"/>
      </right>
      <top style="thin">
        <color rgb="FF000000"/>
      </top>
      <bottom style="double">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top/>
      <bottom style="thin">
        <color rgb="FF000000"/>
      </bottom>
    </border>
    <border>
      <right/>
      <top/>
      <bottom style="thin">
        <color rgb="FF000000"/>
      </bottom>
    </border>
    <border>
      <left style="thin">
        <color rgb="FF000000"/>
      </left>
      <right/>
      <top/>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style="thin">
        <color rgb="FF000000"/>
      </left>
      <bottom/>
    </border>
    <border>
      <bottom/>
    </border>
    <border>
      <right style="thin">
        <color rgb="FF000000"/>
      </right>
      <bottom/>
    </border>
    <border>
      <left style="thin">
        <color rgb="FF000000"/>
      </left>
      <right/>
      <top/>
      <bottom/>
    </border>
    <border>
      <left style="thin">
        <color rgb="FF000000"/>
      </left>
      <right style="thin">
        <color rgb="FF000000"/>
      </right>
      <top/>
      <bottom/>
    </border>
    <border>
      <right/>
      <top style="thin">
        <color rgb="FF000000"/>
      </top>
      <bottom style="thin">
        <color rgb="FF000000"/>
      </bottom>
    </border>
    <border>
      <top/>
      <bottom style="thin">
        <color rgb="FF000000"/>
      </bottom>
    </border>
  </borders>
  <cellStyleXfs count="1">
    <xf borderId="0" fillId="0" fontId="0" numFmtId="0" applyAlignment="1" applyFont="1"/>
  </cellStyleXfs>
  <cellXfs count="455">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vertical="center" wrapText="1"/>
    </xf>
    <xf borderId="0" fillId="0" fontId="2" numFmtId="0" xfId="0" applyFont="1"/>
    <xf borderId="0" fillId="0" fontId="3" numFmtId="0" xfId="0" applyFont="1"/>
    <xf borderId="0" fillId="0" fontId="4" numFmtId="0" xfId="0" applyFont="1"/>
    <xf borderId="0" fillId="0" fontId="5" numFmtId="0" xfId="0" applyFont="1"/>
    <xf quotePrefix="1" borderId="1" fillId="0" fontId="6" numFmtId="0" xfId="0" applyAlignment="1" applyBorder="1" applyFont="1">
      <alignment horizontal="center"/>
    </xf>
    <xf quotePrefix="1" borderId="0" fillId="0" fontId="1" numFmtId="0" xfId="0" applyAlignment="1" applyFont="1">
      <alignment horizontal="left"/>
    </xf>
    <xf borderId="0" fillId="0" fontId="5" numFmtId="0" xfId="0" applyAlignment="1" applyFont="1">
      <alignment horizontal="right"/>
    </xf>
    <xf borderId="0" fillId="0" fontId="5" numFmtId="0" xfId="0" applyAlignment="1" applyFont="1">
      <alignment horizontal="center"/>
    </xf>
    <xf borderId="2" fillId="0" fontId="5" numFmtId="0" xfId="0" applyBorder="1" applyFont="1"/>
    <xf borderId="3" fillId="0" fontId="1" numFmtId="0" xfId="0" applyBorder="1" applyFont="1"/>
    <xf borderId="4" fillId="0" fontId="1" numFmtId="0" xfId="0" applyBorder="1" applyFont="1"/>
    <xf borderId="3" fillId="0" fontId="1" numFmtId="0" xfId="0" applyAlignment="1" applyBorder="1" applyFont="1">
      <alignment horizontal="center"/>
    </xf>
    <xf borderId="5" fillId="0" fontId="7" numFmtId="0" xfId="0" applyBorder="1" applyFont="1"/>
    <xf borderId="4" fillId="0" fontId="7" numFmtId="0" xfId="0" applyBorder="1" applyFont="1"/>
    <xf borderId="5" fillId="0" fontId="1" numFmtId="0" xfId="0" applyBorder="1" applyFont="1"/>
    <xf borderId="6" fillId="0" fontId="1" numFmtId="164" xfId="0" applyAlignment="1" applyBorder="1" applyFont="1" applyNumberFormat="1">
      <alignment horizontal="center" shrinkToFit="0" vertical="center" wrapText="1"/>
    </xf>
    <xf borderId="3" fillId="0" fontId="1" numFmtId="164" xfId="0" applyAlignment="1" applyBorder="1" applyFont="1" applyNumberFormat="1">
      <alignment horizontal="center" shrinkToFit="0" vertical="center" wrapText="1"/>
    </xf>
    <xf borderId="7" fillId="0" fontId="7" numFmtId="0" xfId="0" applyBorder="1" applyFont="1"/>
    <xf borderId="8" fillId="0" fontId="1" numFmtId="164" xfId="0" applyAlignment="1" applyBorder="1" applyFont="1" applyNumberFormat="1">
      <alignment horizontal="center" shrinkToFit="0" vertical="center" wrapText="1"/>
    </xf>
    <xf borderId="9" fillId="0" fontId="7" numFmtId="0" xfId="0" applyBorder="1" applyFont="1"/>
    <xf borderId="10" fillId="0" fontId="7" numFmtId="0" xfId="0" applyBorder="1" applyFont="1"/>
    <xf borderId="5" fillId="0" fontId="1" numFmtId="164" xfId="0" applyAlignment="1" applyBorder="1" applyFont="1" applyNumberFormat="1">
      <alignment shrinkToFit="0" vertical="center" wrapText="1"/>
    </xf>
    <xf borderId="11" fillId="0" fontId="7" numFmtId="0" xfId="0" applyBorder="1" applyFont="1"/>
    <xf borderId="12" fillId="0" fontId="7" numFmtId="0" xfId="0" applyBorder="1" applyFont="1"/>
    <xf borderId="3" fillId="0" fontId="1" numFmtId="164" xfId="0" applyAlignment="1" applyBorder="1" applyFont="1" applyNumberFormat="1">
      <alignment horizontal="center" vertical="center"/>
    </xf>
    <xf borderId="13" fillId="0" fontId="7" numFmtId="0" xfId="0" applyBorder="1" applyFont="1"/>
    <xf borderId="1" fillId="0" fontId="7" numFmtId="0" xfId="0" applyBorder="1" applyFont="1"/>
    <xf borderId="14" fillId="0" fontId="7" numFmtId="0" xfId="0" applyBorder="1" applyFont="1"/>
    <xf borderId="10" fillId="0" fontId="1" numFmtId="164" xfId="0" applyAlignment="1" applyBorder="1" applyFont="1" applyNumberFormat="1">
      <alignment horizontal="center" shrinkToFit="0" vertical="center" wrapText="1"/>
    </xf>
    <xf borderId="6" fillId="2" fontId="1" numFmtId="164" xfId="0" applyAlignment="1" applyBorder="1" applyFill="1" applyFont="1" applyNumberFormat="1">
      <alignment horizontal="center" shrinkToFit="0" vertical="center" wrapText="1"/>
    </xf>
    <xf borderId="6" fillId="3" fontId="1" numFmtId="164" xfId="0" applyAlignment="1" applyBorder="1" applyFill="1" applyFont="1" applyNumberFormat="1">
      <alignment horizontal="center" shrinkToFit="0" vertical="center" wrapText="1"/>
    </xf>
    <xf borderId="15" fillId="0" fontId="7" numFmtId="0" xfId="0" applyBorder="1" applyFont="1"/>
    <xf borderId="2" fillId="0" fontId="1" numFmtId="0" xfId="0" applyAlignment="1" applyBorder="1" applyFont="1">
      <alignment horizontal="center" vertical="center"/>
    </xf>
    <xf borderId="15" fillId="0" fontId="1" numFmtId="0" xfId="0" applyAlignment="1" applyBorder="1" applyFont="1">
      <alignment horizontal="center" vertical="center"/>
    </xf>
    <xf borderId="0" fillId="0" fontId="8" numFmtId="0" xfId="0" applyFont="1"/>
    <xf borderId="16" fillId="2" fontId="8" numFmtId="165" xfId="0" applyAlignment="1" applyBorder="1" applyFont="1" applyNumberFormat="1">
      <alignment vertical="center"/>
    </xf>
    <xf borderId="0" fillId="0" fontId="8" numFmtId="0" xfId="0" applyAlignment="1" applyFont="1">
      <alignment horizontal="center" vertical="center"/>
    </xf>
    <xf borderId="0" fillId="0" fontId="8" numFmtId="166" xfId="0" applyAlignment="1" applyFont="1" applyNumberFormat="1">
      <alignment horizontal="center" vertical="center"/>
    </xf>
    <xf borderId="0" fillId="0" fontId="8" numFmtId="166" xfId="0" applyAlignment="1" applyFont="1" applyNumberFormat="1">
      <alignment horizontal="left" vertical="center"/>
    </xf>
    <xf borderId="16" fillId="2" fontId="9" numFmtId="165" xfId="0" applyAlignment="1" applyBorder="1" applyFont="1" applyNumberFormat="1">
      <alignment vertical="center"/>
    </xf>
    <xf borderId="0" fillId="0" fontId="1" numFmtId="0" xfId="0" applyAlignment="1" applyFont="1">
      <alignment horizontal="center" vertical="center"/>
    </xf>
    <xf borderId="0" fillId="0" fontId="1" numFmtId="166" xfId="0" applyAlignment="1" applyFont="1" applyNumberFormat="1">
      <alignment horizontal="center" vertical="center"/>
    </xf>
    <xf borderId="0" fillId="0" fontId="1" numFmtId="166" xfId="0" applyFont="1" applyNumberFormat="1"/>
    <xf borderId="0" fillId="0" fontId="1" numFmtId="166" xfId="0" applyAlignment="1" applyFont="1" applyNumberFormat="1">
      <alignment horizontal="left" vertical="center"/>
    </xf>
    <xf borderId="0" fillId="0" fontId="1" numFmtId="164" xfId="0" applyAlignment="1" applyFont="1" applyNumberFormat="1">
      <alignment horizontal="center" shrinkToFit="0" vertical="center" wrapText="1"/>
    </xf>
    <xf borderId="0" fillId="0" fontId="10" numFmtId="0" xfId="0" applyFont="1"/>
    <xf borderId="0" fillId="0" fontId="1" numFmtId="3" xfId="0" applyFont="1" applyNumberFormat="1"/>
    <xf borderId="3" fillId="0" fontId="1" numFmtId="0" xfId="0" applyAlignment="1" applyBorder="1" applyFont="1">
      <alignment horizontal="center" vertical="center"/>
    </xf>
    <xf borderId="6" fillId="0" fontId="1" numFmtId="0" xfId="0" applyAlignment="1" applyBorder="1" applyFont="1">
      <alignment horizontal="center" shrinkToFit="0" vertical="center" wrapText="1"/>
    </xf>
    <xf borderId="0" fillId="0" fontId="11" numFmtId="49" xfId="0" applyAlignment="1" applyFont="1" applyNumberFormat="1">
      <alignment horizontal="left" vertical="center"/>
    </xf>
    <xf borderId="3" fillId="0" fontId="11" numFmtId="0" xfId="0" applyAlignment="1" applyBorder="1" applyFont="1">
      <alignment horizontal="center"/>
    </xf>
    <xf borderId="0" fillId="0" fontId="11" numFmtId="0" xfId="0" applyAlignment="1" applyFont="1">
      <alignment horizontal="center"/>
    </xf>
    <xf borderId="3" fillId="0" fontId="11" numFmtId="0" xfId="0" applyAlignment="1" applyBorder="1" applyFont="1">
      <alignment vertical="center"/>
    </xf>
    <xf borderId="4" fillId="0" fontId="11" numFmtId="0" xfId="0" applyAlignment="1" applyBorder="1" applyFont="1">
      <alignment vertical="center"/>
    </xf>
    <xf borderId="0" fillId="0" fontId="11" numFmtId="0" xfId="0" applyAlignment="1" applyFont="1">
      <alignment vertical="center"/>
    </xf>
    <xf borderId="5" fillId="0" fontId="11" numFmtId="0" xfId="0" applyAlignment="1" applyBorder="1" applyFont="1">
      <alignment vertical="center"/>
    </xf>
    <xf borderId="16" fillId="2" fontId="12" numFmtId="0" xfId="0" applyBorder="1" applyFont="1"/>
    <xf borderId="16" fillId="2" fontId="12" numFmtId="0" xfId="0" applyAlignment="1" applyBorder="1" applyFont="1">
      <alignment horizontal="left"/>
    </xf>
    <xf borderId="16" fillId="2" fontId="13" numFmtId="167" xfId="0" applyAlignment="1" applyBorder="1" applyFont="1" applyNumberFormat="1">
      <alignment horizontal="right" vertical="center"/>
    </xf>
    <xf borderId="16" fillId="2" fontId="13" numFmtId="14" xfId="0" applyAlignment="1" applyBorder="1" applyFont="1" applyNumberFormat="1">
      <alignment horizontal="center" vertical="center"/>
    </xf>
    <xf borderId="16" fillId="2" fontId="13" numFmtId="0" xfId="0" applyAlignment="1" applyBorder="1" applyFont="1">
      <alignment horizontal="left" vertical="center"/>
    </xf>
    <xf borderId="16" fillId="2" fontId="13" numFmtId="168" xfId="0" applyAlignment="1" applyBorder="1" applyFont="1" applyNumberFormat="1">
      <alignment horizontal="right" vertical="center"/>
    </xf>
    <xf borderId="16" fillId="2" fontId="12" numFmtId="166" xfId="0" applyBorder="1" applyFont="1" applyNumberFormat="1"/>
    <xf borderId="17" fillId="2" fontId="12" numFmtId="168" xfId="0" applyBorder="1" applyFont="1" applyNumberFormat="1"/>
    <xf borderId="17" fillId="2" fontId="13" numFmtId="167" xfId="0" applyAlignment="1" applyBorder="1" applyFont="1" applyNumberFormat="1">
      <alignment horizontal="right" vertical="center"/>
    </xf>
    <xf borderId="16" fillId="2" fontId="12" numFmtId="168" xfId="0" applyBorder="1" applyFont="1" applyNumberFormat="1"/>
    <xf borderId="16" fillId="3" fontId="12" numFmtId="0" xfId="0" applyBorder="1" applyFont="1"/>
    <xf borderId="16" fillId="3" fontId="1" numFmtId="0" xfId="0" applyBorder="1" applyFont="1"/>
    <xf borderId="16" fillId="3" fontId="12" numFmtId="14" xfId="0" applyBorder="1" applyFont="1" applyNumberFormat="1"/>
    <xf borderId="16" fillId="3" fontId="13" numFmtId="0" xfId="0" applyAlignment="1" applyBorder="1" applyFont="1">
      <alignment horizontal="left" vertical="center"/>
    </xf>
    <xf borderId="16" fillId="3" fontId="12" numFmtId="166" xfId="0" applyBorder="1" applyFont="1" applyNumberFormat="1"/>
    <xf borderId="16" fillId="3" fontId="13" numFmtId="167" xfId="0" applyAlignment="1" applyBorder="1" applyFont="1" applyNumberFormat="1">
      <alignment horizontal="right" vertical="center"/>
    </xf>
    <xf borderId="16" fillId="3" fontId="12" numFmtId="0" xfId="0" applyAlignment="1" applyBorder="1" applyFont="1">
      <alignment horizontal="left"/>
    </xf>
    <xf borderId="16" fillId="4" fontId="14" numFmtId="0" xfId="0" applyAlignment="1" applyBorder="1" applyFill="1" applyFont="1">
      <alignment horizontal="center"/>
    </xf>
    <xf borderId="0" fillId="0" fontId="5" numFmtId="169" xfId="0" applyFont="1" applyNumberFormat="1"/>
    <xf borderId="18" fillId="3" fontId="5" numFmtId="0" xfId="0" applyAlignment="1" applyBorder="1" applyFont="1">
      <alignment horizontal="center"/>
    </xf>
    <xf borderId="19" fillId="0" fontId="7" numFmtId="0" xfId="0" applyBorder="1" applyFont="1"/>
    <xf borderId="20" fillId="0" fontId="15" numFmtId="0" xfId="0" applyAlignment="1" applyBorder="1" applyFont="1">
      <alignment horizontal="center" vertical="center"/>
    </xf>
    <xf borderId="21" fillId="0" fontId="7" numFmtId="0" xfId="0" applyBorder="1" applyFont="1"/>
    <xf borderId="22" fillId="0" fontId="15" numFmtId="0" xfId="0" applyAlignment="1" applyBorder="1" applyFont="1">
      <alignment horizontal="center" vertical="center"/>
    </xf>
    <xf borderId="22" fillId="0" fontId="16" numFmtId="0" xfId="0" applyAlignment="1" applyBorder="1" applyFont="1">
      <alignment horizontal="center" shrinkToFit="0" vertical="center" wrapText="1"/>
    </xf>
    <xf borderId="23" fillId="0" fontId="16" numFmtId="0" xfId="0" applyAlignment="1" applyBorder="1" applyFont="1">
      <alignment horizontal="center" shrinkToFit="0" vertical="center" wrapText="1"/>
    </xf>
    <xf borderId="0" fillId="0" fontId="16" numFmtId="0" xfId="0" applyFont="1"/>
    <xf borderId="18" fillId="0" fontId="16" numFmtId="0" xfId="0" applyAlignment="1" applyBorder="1" applyFont="1">
      <alignment horizontal="center"/>
    </xf>
    <xf borderId="24" fillId="0" fontId="7" numFmtId="0" xfId="0" applyBorder="1" applyFont="1"/>
    <xf borderId="25" fillId="0" fontId="16" numFmtId="0" xfId="0" applyAlignment="1" applyBorder="1" applyFont="1">
      <alignment horizontal="center" shrinkToFit="0" wrapText="1"/>
    </xf>
    <xf borderId="26" fillId="0" fontId="7" numFmtId="0" xfId="0" applyBorder="1" applyFont="1"/>
    <xf borderId="27" fillId="0" fontId="7" numFmtId="0" xfId="0" applyBorder="1" applyFont="1"/>
    <xf borderId="18" fillId="5" fontId="16" numFmtId="0" xfId="0" applyAlignment="1" applyBorder="1" applyFill="1" applyFont="1">
      <alignment horizontal="center"/>
    </xf>
    <xf borderId="18" fillId="6" fontId="16" numFmtId="0" xfId="0" applyAlignment="1" applyBorder="1" applyFill="1" applyFont="1">
      <alignment horizontal="center"/>
    </xf>
    <xf borderId="28" fillId="0" fontId="7" numFmtId="0" xfId="0" applyBorder="1" applyFont="1"/>
    <xf borderId="29" fillId="0" fontId="16" numFmtId="0" xfId="0" applyAlignment="1" applyBorder="1" applyFont="1">
      <alignment horizontal="center"/>
    </xf>
    <xf borderId="30" fillId="0" fontId="7" numFmtId="0" xfId="0" applyBorder="1" applyFont="1"/>
    <xf borderId="31" fillId="0" fontId="7" numFmtId="0" xfId="0" applyBorder="1" applyFont="1"/>
    <xf borderId="32" fillId="3" fontId="16" numFmtId="170" xfId="0" applyBorder="1" applyFont="1" applyNumberFormat="1"/>
    <xf borderId="27" fillId="0" fontId="16" numFmtId="0" xfId="0" applyAlignment="1" applyBorder="1" applyFont="1">
      <alignment horizontal="center" shrinkToFit="0" wrapText="1"/>
    </xf>
    <xf borderId="26" fillId="0" fontId="16" numFmtId="0" xfId="0" applyBorder="1" applyFont="1"/>
    <xf borderId="33" fillId="3" fontId="16" numFmtId="170" xfId="0" applyBorder="1" applyFont="1" applyNumberFormat="1"/>
    <xf borderId="34" fillId="0" fontId="16" numFmtId="9" xfId="0" applyBorder="1" applyFont="1" applyNumberFormat="1"/>
    <xf borderId="35" fillId="0" fontId="16" numFmtId="0" xfId="0" applyAlignment="1" applyBorder="1" applyFont="1">
      <alignment horizontal="center"/>
    </xf>
    <xf borderId="3" fillId="0" fontId="16" numFmtId="0" xfId="0" applyAlignment="1" applyBorder="1" applyFont="1">
      <alignment horizontal="center"/>
    </xf>
    <xf borderId="36" fillId="0" fontId="16" numFmtId="0" xfId="0" applyBorder="1" applyFont="1"/>
    <xf borderId="1" fillId="0" fontId="16" numFmtId="10" xfId="0" applyBorder="1" applyFont="1" applyNumberFormat="1"/>
    <xf borderId="37" fillId="0" fontId="16" numFmtId="0" xfId="0" applyAlignment="1" applyBorder="1" applyFont="1">
      <alignment horizontal="center" shrinkToFit="0" wrapText="1"/>
    </xf>
    <xf borderId="16" fillId="4" fontId="14" numFmtId="0" xfId="0" applyAlignment="1" applyBorder="1" applyFont="1">
      <alignment horizontal="center" shrinkToFit="0" wrapText="1"/>
    </xf>
    <xf borderId="38" fillId="0" fontId="7" numFmtId="0" xfId="0" applyBorder="1" applyFont="1"/>
    <xf borderId="39" fillId="0" fontId="7" numFmtId="0" xfId="0" applyBorder="1" applyFont="1"/>
    <xf borderId="40" fillId="0" fontId="7" numFmtId="0" xfId="0" applyBorder="1" applyFont="1"/>
    <xf borderId="41" fillId="0" fontId="7" numFmtId="0" xfId="0" applyBorder="1" applyFont="1"/>
    <xf borderId="42" fillId="0" fontId="16" numFmtId="0" xfId="0" applyAlignment="1" applyBorder="1" applyFont="1">
      <alignment horizontal="center" shrinkToFit="0" wrapText="1"/>
    </xf>
    <xf borderId="43" fillId="0" fontId="16" numFmtId="0" xfId="0" applyAlignment="1" applyBorder="1" applyFont="1">
      <alignment horizontal="center" shrinkToFit="0" wrapText="1"/>
    </xf>
    <xf borderId="43" fillId="0" fontId="16" numFmtId="0" xfId="0" applyAlignment="1" applyBorder="1" applyFont="1">
      <alignment horizontal="center" shrinkToFit="0" vertical="center" wrapText="1"/>
    </xf>
    <xf borderId="42" fillId="0" fontId="16" numFmtId="0" xfId="0" applyAlignment="1" applyBorder="1" applyFont="1">
      <alignment shrinkToFit="0" wrapText="1"/>
    </xf>
    <xf borderId="43" fillId="0" fontId="16" numFmtId="0" xfId="0" applyAlignment="1" applyBorder="1" applyFont="1">
      <alignment shrinkToFit="0" wrapText="1"/>
    </xf>
    <xf borderId="44" fillId="0" fontId="7" numFmtId="0" xfId="0" applyBorder="1" applyFont="1"/>
    <xf borderId="0" fillId="0" fontId="17" numFmtId="0" xfId="0" applyFont="1"/>
    <xf borderId="0" fillId="0" fontId="17" numFmtId="169" xfId="0" applyFont="1" applyNumberFormat="1"/>
    <xf borderId="16" fillId="4" fontId="18" numFmtId="164" xfId="0" applyAlignment="1" applyBorder="1" applyFont="1" applyNumberFormat="1">
      <alignment horizontal="center"/>
    </xf>
    <xf borderId="0" fillId="0" fontId="17" numFmtId="171" xfId="0" applyFont="1" applyNumberFormat="1"/>
    <xf borderId="0" fillId="0" fontId="17" numFmtId="166" xfId="0" applyFont="1" applyNumberFormat="1"/>
    <xf borderId="3" fillId="0" fontId="17" numFmtId="0" xfId="0" applyBorder="1" applyFont="1"/>
    <xf borderId="5" fillId="0" fontId="17" numFmtId="169" xfId="0" applyBorder="1" applyFont="1" applyNumberFormat="1"/>
    <xf borderId="5" fillId="0" fontId="19" numFmtId="164" xfId="0" applyBorder="1" applyFont="1" applyNumberFormat="1"/>
    <xf borderId="16" fillId="4" fontId="18" numFmtId="0" xfId="0" applyBorder="1" applyFont="1"/>
    <xf borderId="0" fillId="0" fontId="17" numFmtId="10" xfId="0" applyFont="1" applyNumberFormat="1"/>
    <xf borderId="0" fillId="0" fontId="17" numFmtId="164" xfId="0" applyFont="1" applyNumberFormat="1"/>
    <xf borderId="0" fillId="0" fontId="17" numFmtId="172" xfId="0" applyFont="1" applyNumberFormat="1"/>
    <xf borderId="3" fillId="0" fontId="19" numFmtId="0" xfId="0" applyBorder="1" applyFont="1"/>
    <xf borderId="5" fillId="0" fontId="19" numFmtId="10" xfId="0" applyBorder="1" applyFont="1" applyNumberFormat="1"/>
    <xf borderId="0" fillId="0" fontId="19" numFmtId="0" xfId="0" applyFont="1"/>
    <xf borderId="0" fillId="0" fontId="20" numFmtId="0" xfId="0" applyFont="1"/>
    <xf borderId="45" fillId="0" fontId="19" numFmtId="0" xfId="0" applyBorder="1" applyFont="1"/>
    <xf borderId="45" fillId="0" fontId="19" numFmtId="169" xfId="0" applyBorder="1" applyFont="1" applyNumberFormat="1"/>
    <xf borderId="45" fillId="0" fontId="19" numFmtId="164" xfId="0" applyBorder="1" applyFont="1" applyNumberFormat="1"/>
    <xf borderId="20" fillId="0" fontId="5" numFmtId="0" xfId="0" applyBorder="1" applyFont="1"/>
    <xf borderId="21" fillId="0" fontId="5" numFmtId="0" xfId="0" applyBorder="1" applyFont="1"/>
    <xf borderId="46" fillId="0" fontId="5" numFmtId="0" xfId="0" applyBorder="1" applyFont="1"/>
    <xf borderId="0" fillId="0" fontId="5" numFmtId="173" xfId="0" applyFont="1" applyNumberFormat="1"/>
    <xf borderId="26" fillId="0" fontId="21" numFmtId="0" xfId="0" applyBorder="1" applyFont="1"/>
    <xf borderId="47" fillId="0" fontId="21" numFmtId="0" xfId="0" applyBorder="1" applyFont="1"/>
    <xf borderId="0" fillId="0" fontId="5" numFmtId="164" xfId="0" applyFont="1" applyNumberFormat="1"/>
    <xf borderId="26" fillId="0" fontId="5" numFmtId="0" xfId="0" applyBorder="1" applyFont="1"/>
    <xf borderId="47" fillId="0" fontId="5" numFmtId="164" xfId="0" applyBorder="1" applyFont="1" applyNumberFormat="1"/>
    <xf borderId="26" fillId="0" fontId="5" numFmtId="166" xfId="0" applyBorder="1" applyFont="1" applyNumberFormat="1"/>
    <xf borderId="48" fillId="0" fontId="21" numFmtId="166" xfId="0" applyBorder="1" applyFont="1" applyNumberFormat="1"/>
    <xf borderId="45" fillId="0" fontId="5" numFmtId="169" xfId="0" applyBorder="1" applyFont="1" applyNumberFormat="1"/>
    <xf borderId="49" fillId="0" fontId="5" numFmtId="164" xfId="0" applyBorder="1" applyFont="1" applyNumberFormat="1"/>
    <xf borderId="0" fillId="0" fontId="5" numFmtId="174" xfId="0" applyFont="1" applyNumberFormat="1"/>
    <xf borderId="0" fillId="0" fontId="5" numFmtId="166" xfId="0" applyFont="1" applyNumberFormat="1"/>
    <xf borderId="47" fillId="0" fontId="5" numFmtId="0" xfId="0" applyBorder="1" applyFont="1"/>
    <xf borderId="38" fillId="0" fontId="5" numFmtId="0" xfId="0" applyBorder="1" applyFont="1"/>
    <xf borderId="39" fillId="0" fontId="5" numFmtId="0" xfId="0" applyBorder="1" applyFont="1"/>
    <xf borderId="50" fillId="0" fontId="5" numFmtId="0" xfId="0" applyBorder="1" applyFont="1"/>
    <xf borderId="0" fillId="0" fontId="22" numFmtId="0" xfId="0" applyFont="1"/>
    <xf borderId="0" fillId="0" fontId="23" numFmtId="169" xfId="0" applyFont="1" applyNumberFormat="1"/>
    <xf borderId="0" fillId="0" fontId="24" numFmtId="14" xfId="0" applyFont="1" applyNumberFormat="1"/>
    <xf borderId="0" fillId="0" fontId="5" numFmtId="10" xfId="0" applyFont="1" applyNumberFormat="1"/>
    <xf borderId="0" fillId="0" fontId="25" numFmtId="0" xfId="0" applyAlignment="1" applyFont="1">
      <alignment vertical="center"/>
    </xf>
    <xf borderId="0" fillId="0" fontId="5" numFmtId="0" xfId="0" applyAlignment="1" applyFont="1">
      <alignment horizontal="right" vertical="center"/>
    </xf>
    <xf borderId="16" fillId="2" fontId="26" numFmtId="0" xfId="0" applyBorder="1" applyFont="1"/>
    <xf borderId="51" fillId="2" fontId="27" numFmtId="0" xfId="0" applyAlignment="1" applyBorder="1" applyFont="1">
      <alignment horizontal="center"/>
    </xf>
    <xf borderId="52" fillId="0" fontId="7" numFmtId="0" xfId="0" applyBorder="1" applyFont="1"/>
    <xf borderId="53" fillId="0" fontId="7" numFmtId="0" xfId="0" applyBorder="1" applyFont="1"/>
    <xf borderId="16" fillId="2" fontId="26" numFmtId="175" xfId="0" applyBorder="1" applyFont="1" applyNumberFormat="1"/>
    <xf borderId="16" fillId="2" fontId="28" numFmtId="0" xfId="0" applyAlignment="1" applyBorder="1" applyFont="1">
      <alignment vertical="top"/>
    </xf>
    <xf borderId="16" fillId="2" fontId="29" numFmtId="0" xfId="0" applyBorder="1" applyFont="1"/>
    <xf borderId="54" fillId="2" fontId="29" numFmtId="0" xfId="0" applyBorder="1" applyFont="1"/>
    <xf borderId="55" fillId="2" fontId="26" numFmtId="0" xfId="0" applyBorder="1" applyFont="1"/>
    <xf borderId="55" fillId="2" fontId="26" numFmtId="175" xfId="0" applyBorder="1" applyFont="1" applyNumberFormat="1"/>
    <xf borderId="56" fillId="2" fontId="29" numFmtId="175" xfId="0" applyBorder="1" applyFont="1" applyNumberFormat="1"/>
    <xf borderId="16" fillId="2" fontId="29" numFmtId="175" xfId="0" applyBorder="1" applyFont="1" applyNumberFormat="1"/>
    <xf borderId="57" fillId="2" fontId="26" numFmtId="175" xfId="0" applyBorder="1" applyFont="1" applyNumberFormat="1"/>
    <xf borderId="58" fillId="2" fontId="29" numFmtId="0" xfId="0" applyBorder="1" applyFont="1"/>
    <xf borderId="58" fillId="2" fontId="29" numFmtId="175" xfId="0" applyBorder="1" applyFont="1" applyNumberFormat="1"/>
    <xf borderId="16" fillId="2" fontId="4" numFmtId="0" xfId="0" applyBorder="1" applyFont="1"/>
    <xf borderId="54" fillId="2" fontId="30" numFmtId="0" xfId="0" applyBorder="1" applyFont="1"/>
    <xf borderId="55" fillId="2" fontId="29" numFmtId="0" xfId="0" applyBorder="1" applyFont="1"/>
    <xf borderId="55" fillId="2" fontId="29" numFmtId="175" xfId="0" applyBorder="1" applyFont="1" applyNumberFormat="1"/>
    <xf borderId="16" fillId="2" fontId="31" numFmtId="176" xfId="0" applyBorder="1" applyFont="1" applyNumberFormat="1"/>
    <xf borderId="16" fillId="2" fontId="26" numFmtId="176" xfId="0" applyBorder="1" applyFont="1" applyNumberFormat="1"/>
    <xf borderId="16" fillId="2" fontId="26" numFmtId="0" xfId="0" applyAlignment="1" applyBorder="1" applyFont="1">
      <alignment horizontal="center"/>
    </xf>
    <xf borderId="59" fillId="2" fontId="26" numFmtId="0" xfId="0" applyBorder="1" applyFont="1"/>
    <xf borderId="60" fillId="2" fontId="26" numFmtId="0" xfId="0" applyAlignment="1" applyBorder="1" applyFont="1">
      <alignment horizontal="center"/>
    </xf>
    <xf borderId="61" fillId="2" fontId="26" numFmtId="0" xfId="0" applyBorder="1" applyFont="1"/>
    <xf borderId="62" fillId="2" fontId="26" numFmtId="0" xfId="0" applyBorder="1" applyFont="1"/>
    <xf borderId="63" fillId="2" fontId="26" numFmtId="175" xfId="0" applyBorder="1" applyFont="1" applyNumberFormat="1"/>
    <xf borderId="16" fillId="2" fontId="31" numFmtId="175" xfId="0" applyBorder="1" applyFont="1" applyNumberFormat="1"/>
    <xf borderId="62" fillId="3" fontId="26" numFmtId="0" xfId="0" applyBorder="1" applyFont="1"/>
    <xf borderId="16" fillId="3" fontId="26" numFmtId="0" xfId="0" applyAlignment="1" applyBorder="1" applyFont="1">
      <alignment horizontal="center"/>
    </xf>
    <xf borderId="63" fillId="3" fontId="26" numFmtId="175" xfId="0" applyBorder="1" applyFont="1" applyNumberFormat="1"/>
    <xf borderId="64" fillId="2" fontId="26" numFmtId="0" xfId="0" applyBorder="1" applyFont="1"/>
    <xf borderId="17" fillId="2" fontId="26" numFmtId="0" xfId="0" applyAlignment="1" applyBorder="1" applyFont="1">
      <alignment horizontal="center"/>
    </xf>
    <xf borderId="65" fillId="2" fontId="26" numFmtId="175" xfId="0" applyBorder="1" applyFont="1" applyNumberFormat="1"/>
    <xf borderId="63" fillId="2" fontId="26" numFmtId="174" xfId="0" applyBorder="1" applyFont="1" applyNumberFormat="1"/>
    <xf borderId="66" fillId="2" fontId="26" numFmtId="0" xfId="0" applyBorder="1" applyFont="1"/>
    <xf borderId="67" fillId="2" fontId="26" numFmtId="0" xfId="0" applyAlignment="1" applyBorder="1" applyFont="1">
      <alignment horizontal="center"/>
    </xf>
    <xf borderId="68" fillId="2" fontId="26" numFmtId="174" xfId="0" applyBorder="1" applyFont="1" applyNumberFormat="1"/>
    <xf borderId="16" fillId="2" fontId="26" numFmtId="174" xfId="0" applyBorder="1" applyFont="1" applyNumberFormat="1"/>
    <xf borderId="16" fillId="2" fontId="26" numFmtId="14" xfId="0" applyBorder="1" applyFont="1" applyNumberFormat="1"/>
    <xf borderId="16" fillId="2" fontId="26" numFmtId="10" xfId="0" applyBorder="1" applyFont="1" applyNumberFormat="1"/>
    <xf borderId="16" fillId="2" fontId="5" numFmtId="0" xfId="0" applyBorder="1" applyFont="1"/>
    <xf borderId="16" fillId="2" fontId="32" numFmtId="0" xfId="0" applyAlignment="1" applyBorder="1" applyFont="1">
      <alignment vertical="top"/>
    </xf>
    <xf borderId="16" fillId="2" fontId="33" numFmtId="0" xfId="0" applyAlignment="1" applyBorder="1" applyFont="1">
      <alignment vertical="top"/>
    </xf>
    <xf borderId="16" fillId="2" fontId="34" numFmtId="164" xfId="0" applyAlignment="1" applyBorder="1" applyFont="1" applyNumberFormat="1">
      <alignment horizontal="right"/>
    </xf>
    <xf borderId="16" fillId="2" fontId="33" numFmtId="164" xfId="0" applyAlignment="1" applyBorder="1" applyFont="1" applyNumberFormat="1">
      <alignment vertical="top"/>
    </xf>
    <xf borderId="16" fillId="2" fontId="35" numFmtId="0" xfId="0" applyAlignment="1" applyBorder="1" applyFont="1">
      <alignment vertical="top"/>
    </xf>
    <xf borderId="57" fillId="2" fontId="36" numFmtId="164" xfId="0" applyBorder="1" applyFont="1" applyNumberFormat="1"/>
    <xf borderId="57" fillId="2" fontId="33" numFmtId="0" xfId="0" applyAlignment="1" applyBorder="1" applyFont="1">
      <alignment vertical="top"/>
    </xf>
    <xf borderId="57" fillId="2" fontId="33" numFmtId="164" xfId="0" applyAlignment="1" applyBorder="1" applyFont="1" applyNumberFormat="1">
      <alignment vertical="top"/>
    </xf>
    <xf borderId="16" fillId="2" fontId="33" numFmtId="164" xfId="0" applyAlignment="1" applyBorder="1" applyFont="1" applyNumberFormat="1">
      <alignment horizontal="center" vertical="top"/>
    </xf>
    <xf borderId="16" fillId="2" fontId="37" numFmtId="0" xfId="0" applyAlignment="1" applyBorder="1" applyFont="1">
      <alignment vertical="top"/>
    </xf>
    <xf borderId="16" fillId="2" fontId="37" numFmtId="164" xfId="0" applyAlignment="1" applyBorder="1" applyFont="1" applyNumberFormat="1">
      <alignment vertical="top"/>
    </xf>
    <xf borderId="16" fillId="2" fontId="38" numFmtId="0" xfId="0" applyAlignment="1" applyBorder="1" applyFont="1">
      <alignment vertical="top"/>
    </xf>
    <xf borderId="16" fillId="2" fontId="38" numFmtId="164" xfId="0" applyBorder="1" applyFont="1" applyNumberFormat="1"/>
    <xf borderId="16" fillId="2" fontId="36" numFmtId="164" xfId="0" applyBorder="1" applyFont="1" applyNumberFormat="1"/>
    <xf borderId="16" fillId="2" fontId="37" numFmtId="0" xfId="0" applyBorder="1" applyFont="1"/>
    <xf borderId="16" fillId="2" fontId="38" numFmtId="177" xfId="0" applyBorder="1" applyFont="1" applyNumberFormat="1"/>
    <xf borderId="16" fillId="2" fontId="37" numFmtId="177" xfId="0" applyBorder="1" applyFont="1" applyNumberFormat="1"/>
    <xf borderId="16" fillId="2" fontId="33" numFmtId="0" xfId="0" applyBorder="1" applyFont="1"/>
    <xf borderId="57" fillId="2" fontId="38" numFmtId="177" xfId="0" applyBorder="1" applyFont="1" applyNumberFormat="1"/>
    <xf borderId="16" fillId="2" fontId="5" numFmtId="174" xfId="0" applyBorder="1" applyFont="1" applyNumberFormat="1"/>
    <xf borderId="69" fillId="2" fontId="37" numFmtId="0" xfId="0" applyBorder="1" applyFont="1"/>
    <xf borderId="70" fillId="2" fontId="36" numFmtId="177" xfId="0" applyBorder="1" applyFont="1" applyNumberFormat="1"/>
    <xf borderId="16" fillId="2" fontId="5" numFmtId="164" xfId="0" applyBorder="1" applyFont="1" applyNumberFormat="1"/>
    <xf borderId="16" fillId="2" fontId="36" numFmtId="177" xfId="0" applyBorder="1" applyFont="1" applyNumberFormat="1"/>
    <xf borderId="16" fillId="7" fontId="5" numFmtId="0" xfId="0" applyBorder="1" applyFill="1" applyFont="1"/>
    <xf borderId="16" fillId="2" fontId="5" numFmtId="177" xfId="0" applyBorder="1" applyFont="1" applyNumberFormat="1"/>
    <xf borderId="17" fillId="3" fontId="33" numFmtId="0" xfId="0" applyAlignment="1" applyBorder="1" applyFont="1">
      <alignment vertical="top"/>
    </xf>
    <xf borderId="17" fillId="3" fontId="33" numFmtId="164" xfId="0" applyAlignment="1" applyBorder="1" applyFont="1" applyNumberFormat="1">
      <alignment vertical="top"/>
    </xf>
    <xf borderId="16" fillId="2" fontId="5" numFmtId="166" xfId="0" applyBorder="1" applyFont="1" applyNumberFormat="1"/>
    <xf borderId="69" fillId="2" fontId="5" numFmtId="0" xfId="0" applyBorder="1" applyFont="1"/>
    <xf borderId="69" fillId="2" fontId="5" numFmtId="177" xfId="0" applyBorder="1" applyFont="1" applyNumberFormat="1"/>
    <xf borderId="16" fillId="2" fontId="33" numFmtId="178" xfId="0" applyBorder="1" applyFont="1" applyNumberFormat="1"/>
    <xf borderId="17" fillId="2" fontId="5" numFmtId="9" xfId="0" applyBorder="1" applyFont="1" applyNumberFormat="1"/>
    <xf borderId="17" fillId="2" fontId="5" numFmtId="177" xfId="0" applyBorder="1" applyFont="1" applyNumberFormat="1"/>
    <xf borderId="54" fillId="2" fontId="37" numFmtId="0" xfId="0" applyAlignment="1" applyBorder="1" applyFont="1">
      <alignment vertical="top"/>
    </xf>
    <xf borderId="55" fillId="2" fontId="37" numFmtId="0" xfId="0" applyAlignment="1" applyBorder="1" applyFont="1">
      <alignment vertical="top"/>
    </xf>
    <xf borderId="56" fillId="2" fontId="37" numFmtId="164" xfId="0" applyAlignment="1" applyBorder="1" applyFont="1" applyNumberFormat="1">
      <alignment vertical="top"/>
    </xf>
    <xf borderId="17" fillId="2" fontId="37" numFmtId="0" xfId="0" applyAlignment="1" applyBorder="1" applyFont="1">
      <alignment vertical="top"/>
    </xf>
    <xf borderId="17" fillId="2" fontId="37" numFmtId="164" xfId="0" applyAlignment="1" applyBorder="1" applyFont="1" applyNumberFormat="1">
      <alignment vertical="top"/>
    </xf>
    <xf borderId="16" fillId="2" fontId="35" numFmtId="164" xfId="0" applyAlignment="1" applyBorder="1" applyFont="1" applyNumberFormat="1">
      <alignment vertical="top"/>
    </xf>
    <xf borderId="16" fillId="2" fontId="39" numFmtId="0" xfId="0" applyAlignment="1" applyBorder="1" applyFont="1">
      <alignment vertical="center"/>
    </xf>
    <xf borderId="51" fillId="2" fontId="40" numFmtId="0" xfId="0" applyAlignment="1" applyBorder="1" applyFont="1">
      <alignment horizontal="center" vertical="center"/>
    </xf>
    <xf borderId="51" fillId="2" fontId="15" numFmtId="0" xfId="0" applyAlignment="1" applyBorder="1" applyFont="1">
      <alignment horizontal="center" shrinkToFit="0" vertical="center" wrapText="1"/>
    </xf>
    <xf borderId="16" fillId="2" fontId="41" numFmtId="0" xfId="0" applyAlignment="1" applyBorder="1" applyFont="1">
      <alignment vertical="center"/>
    </xf>
    <xf borderId="16" fillId="2" fontId="42" numFmtId="0" xfId="0" applyAlignment="1" applyBorder="1" applyFont="1">
      <alignment horizontal="center" vertical="center"/>
    </xf>
    <xf borderId="71" fillId="2" fontId="42" numFmtId="0" xfId="0" applyAlignment="1" applyBorder="1" applyFont="1">
      <alignment horizontal="center" vertical="center"/>
    </xf>
    <xf borderId="72" fillId="0" fontId="7" numFmtId="0" xfId="0" applyBorder="1" applyFont="1"/>
    <xf borderId="57" fillId="2" fontId="42" numFmtId="0" xfId="0" applyAlignment="1" applyBorder="1" applyFont="1">
      <alignment horizontal="center" vertical="center"/>
    </xf>
    <xf borderId="57" fillId="2" fontId="42" numFmtId="0" xfId="0" applyAlignment="1" applyBorder="1" applyFont="1">
      <alignment horizontal="center" vertical="center"/>
    </xf>
    <xf borderId="58" fillId="2" fontId="43" numFmtId="0" xfId="0" applyAlignment="1" applyBorder="1" applyFont="1">
      <alignment horizontal="left" readingOrder="1" shrinkToFit="0" vertical="center" wrapText="1"/>
    </xf>
    <xf borderId="58" fillId="2" fontId="43" numFmtId="3" xfId="0" applyAlignment="1" applyBorder="1" applyFont="1" applyNumberFormat="1">
      <alignment horizontal="left" readingOrder="1" shrinkToFit="0" vertical="center" wrapText="1"/>
    </xf>
    <xf borderId="16" fillId="2" fontId="43" numFmtId="0" xfId="0" applyAlignment="1" applyBorder="1" applyFont="1">
      <alignment horizontal="left" readingOrder="1" shrinkToFit="0" vertical="center" wrapText="1"/>
    </xf>
    <xf borderId="16" fillId="2" fontId="43" numFmtId="3" xfId="0" applyAlignment="1" applyBorder="1" applyFont="1" applyNumberFormat="1">
      <alignment horizontal="left" readingOrder="1" shrinkToFit="0" vertical="center" wrapText="1"/>
    </xf>
    <xf borderId="16" fillId="8" fontId="43" numFmtId="0" xfId="0" applyAlignment="1" applyBorder="1" applyFill="1" applyFont="1">
      <alignment horizontal="left" readingOrder="1" shrinkToFit="0" vertical="center" wrapText="1"/>
    </xf>
    <xf borderId="16" fillId="8" fontId="43" numFmtId="3" xfId="0" applyAlignment="1" applyBorder="1" applyFont="1" applyNumberFormat="1">
      <alignment horizontal="left" readingOrder="1" shrinkToFit="0" vertical="center" wrapText="1"/>
    </xf>
    <xf borderId="16" fillId="2" fontId="39" numFmtId="3" xfId="0" applyAlignment="1" applyBorder="1" applyFont="1" applyNumberFormat="1">
      <alignment vertical="center"/>
    </xf>
    <xf borderId="16" fillId="3" fontId="43" numFmtId="0" xfId="0" applyAlignment="1" applyBorder="1" applyFont="1">
      <alignment horizontal="left" readingOrder="1" shrinkToFit="0" vertical="center" wrapText="1"/>
    </xf>
    <xf borderId="16" fillId="3" fontId="43" numFmtId="3" xfId="0" applyAlignment="1" applyBorder="1" applyFont="1" applyNumberFormat="1">
      <alignment horizontal="left" readingOrder="1" shrinkToFit="0" vertical="center" wrapText="1"/>
    </xf>
    <xf borderId="16" fillId="2" fontId="42" numFmtId="0" xfId="0" applyAlignment="1" applyBorder="1" applyFont="1">
      <alignment vertical="center"/>
    </xf>
    <xf borderId="16" fillId="2" fontId="42" numFmtId="168" xfId="0" applyAlignment="1" applyBorder="1" applyFont="1" applyNumberFormat="1">
      <alignment horizontal="right" vertical="center"/>
    </xf>
    <xf borderId="57" fillId="2" fontId="39" numFmtId="0" xfId="0" applyAlignment="1" applyBorder="1" applyFont="1">
      <alignment vertical="center"/>
    </xf>
    <xf borderId="57" fillId="2" fontId="39" numFmtId="168" xfId="0" applyAlignment="1" applyBorder="1" applyFont="1" applyNumberFormat="1">
      <alignment horizontal="right" vertical="center"/>
    </xf>
    <xf borderId="16" fillId="2" fontId="39" numFmtId="0" xfId="0" applyAlignment="1" applyBorder="1" applyFont="1">
      <alignment horizontal="right" vertical="center"/>
    </xf>
    <xf borderId="0" fillId="0" fontId="5" numFmtId="0" xfId="0" applyAlignment="1" applyFont="1">
      <alignment vertical="center"/>
    </xf>
    <xf borderId="0" fillId="0" fontId="44" numFmtId="0" xfId="0" applyAlignment="1" applyFont="1">
      <alignment horizontal="right"/>
    </xf>
    <xf borderId="0" fillId="0" fontId="5" numFmtId="0" xfId="0" applyAlignment="1" applyFont="1">
      <alignment horizontal="center" vertical="center"/>
    </xf>
    <xf borderId="0" fillId="0" fontId="21" numFmtId="0" xfId="0" applyAlignment="1" applyFont="1">
      <alignment vertical="center"/>
    </xf>
    <xf borderId="0" fillId="0" fontId="21" numFmtId="0" xfId="0" applyAlignment="1" applyFont="1">
      <alignment vertical="top"/>
    </xf>
    <xf borderId="0" fillId="0" fontId="45" numFmtId="0" xfId="0" applyAlignment="1" applyFont="1">
      <alignment horizontal="center" shrinkToFit="0" vertical="top" wrapText="1"/>
    </xf>
    <xf borderId="0" fillId="0" fontId="44" numFmtId="0" xfId="0" applyFont="1"/>
    <xf borderId="0" fillId="0" fontId="46" numFmtId="0" xfId="0" applyAlignment="1" applyFont="1">
      <alignment vertical="center"/>
    </xf>
    <xf borderId="16" fillId="2" fontId="5" numFmtId="0" xfId="0" applyAlignment="1" applyBorder="1" applyFont="1">
      <alignment horizontal="center" vertical="center"/>
    </xf>
    <xf borderId="8" fillId="9" fontId="47" numFmtId="179" xfId="0" applyAlignment="1" applyBorder="1" applyFill="1" applyFont="1" applyNumberFormat="1">
      <alignment horizontal="center" shrinkToFit="0" vertical="center" wrapText="1"/>
    </xf>
    <xf borderId="3" fillId="9" fontId="47" numFmtId="179" xfId="0" applyAlignment="1" applyBorder="1" applyFont="1" applyNumberFormat="1">
      <alignment horizontal="center" shrinkToFit="0" vertical="center" wrapText="1"/>
    </xf>
    <xf borderId="8" fillId="9" fontId="47" numFmtId="180" xfId="0" applyAlignment="1" applyBorder="1" applyFont="1" applyNumberFormat="1">
      <alignment horizontal="center" shrinkToFit="0" vertical="center" wrapText="1"/>
    </xf>
    <xf borderId="0" fillId="0" fontId="48" numFmtId="0" xfId="0" applyFont="1"/>
    <xf borderId="3" fillId="9" fontId="47" numFmtId="179" xfId="0" applyAlignment="1" applyBorder="1" applyFont="1" applyNumberFormat="1">
      <alignment horizontal="center" vertical="center"/>
    </xf>
    <xf borderId="3" fillId="9" fontId="47" numFmtId="0" xfId="0" applyAlignment="1" applyBorder="1" applyFont="1">
      <alignment horizontal="center" shrinkToFit="0" vertical="center" wrapText="1"/>
    </xf>
    <xf borderId="6" fillId="0" fontId="47" numFmtId="0" xfId="0" applyAlignment="1" applyBorder="1" applyFont="1">
      <alignment horizontal="center" shrinkToFit="0" textRotation="90" vertical="center" wrapText="1"/>
    </xf>
    <xf borderId="6" fillId="0" fontId="47" numFmtId="179" xfId="0" applyAlignment="1" applyBorder="1" applyFont="1" applyNumberFormat="1">
      <alignment horizontal="center" textRotation="90" vertical="center"/>
    </xf>
    <xf borderId="2" fillId="0" fontId="48" numFmtId="0" xfId="0" applyAlignment="1" applyBorder="1" applyFont="1">
      <alignment horizontal="center" vertical="center"/>
    </xf>
    <xf borderId="3" fillId="0" fontId="48" numFmtId="0" xfId="0" applyAlignment="1" applyBorder="1" applyFont="1">
      <alignment vertical="center"/>
    </xf>
    <xf borderId="5" fillId="0" fontId="48" numFmtId="0" xfId="0" applyAlignment="1" applyBorder="1" applyFont="1">
      <alignment vertical="center"/>
    </xf>
    <xf borderId="4" fillId="0" fontId="48" numFmtId="0" xfId="0" applyAlignment="1" applyBorder="1" applyFont="1">
      <alignment vertical="center"/>
    </xf>
    <xf borderId="15" fillId="0" fontId="47" numFmtId="0" xfId="0" applyAlignment="1" applyBorder="1" applyFont="1">
      <alignment horizontal="center" vertical="center"/>
    </xf>
    <xf borderId="3" fillId="0" fontId="49" numFmtId="181" xfId="0" applyAlignment="1" applyBorder="1" applyFont="1" applyNumberFormat="1">
      <alignment horizontal="right" shrinkToFit="0" wrapText="1"/>
    </xf>
    <xf borderId="2" fillId="0" fontId="47" numFmtId="0" xfId="0" applyAlignment="1" applyBorder="1" applyFont="1">
      <alignment horizontal="center" vertical="center"/>
    </xf>
    <xf quotePrefix="1" borderId="2" fillId="0" fontId="50" numFmtId="0" xfId="0" applyAlignment="1" applyBorder="1" applyFont="1">
      <alignment horizontal="center" vertical="center"/>
    </xf>
    <xf borderId="5" fillId="0" fontId="5" numFmtId="0" xfId="0" applyBorder="1" applyFont="1"/>
    <xf borderId="6" fillId="4" fontId="48" numFmtId="0" xfId="0" applyAlignment="1" applyBorder="1" applyFont="1">
      <alignment horizontal="center" shrinkToFit="0" vertical="center" wrapText="1"/>
    </xf>
    <xf borderId="15" fillId="0" fontId="48" numFmtId="0" xfId="0" applyAlignment="1" applyBorder="1" applyFont="1">
      <alignment vertical="center"/>
    </xf>
    <xf quotePrefix="1" borderId="6" fillId="0" fontId="50" numFmtId="0" xfId="0" applyAlignment="1" applyBorder="1" applyFont="1">
      <alignment horizontal="center" vertical="center"/>
    </xf>
    <xf borderId="2" fillId="4" fontId="48" numFmtId="0" xfId="0" applyAlignment="1" applyBorder="1" applyFont="1">
      <alignment vertical="center"/>
    </xf>
    <xf borderId="69" fillId="4" fontId="5" numFmtId="0" xfId="0" applyBorder="1" applyFont="1"/>
    <xf borderId="2" fillId="4" fontId="5" numFmtId="0" xfId="0" applyBorder="1" applyFont="1"/>
    <xf borderId="2" fillId="4" fontId="47" numFmtId="0" xfId="0" applyAlignment="1" applyBorder="1" applyFont="1">
      <alignment horizontal="center" vertical="center"/>
    </xf>
    <xf borderId="3" fillId="4" fontId="49" numFmtId="181" xfId="0" applyAlignment="1" applyBorder="1" applyFont="1" applyNumberFormat="1">
      <alignment horizontal="right" shrinkToFit="0" wrapText="1"/>
    </xf>
    <xf borderId="7" fillId="0" fontId="50" numFmtId="0" xfId="0" applyAlignment="1" applyBorder="1" applyFont="1">
      <alignment horizontal="center" vertical="center"/>
    </xf>
    <xf borderId="73" fillId="4" fontId="48" numFmtId="0" xfId="0" applyAlignment="1" applyBorder="1" applyFont="1">
      <alignment vertical="center"/>
    </xf>
    <xf borderId="57" fillId="4" fontId="48" numFmtId="0" xfId="0" applyAlignment="1" applyBorder="1" applyFont="1">
      <alignment vertical="center"/>
    </xf>
    <xf borderId="16" fillId="4" fontId="5" numFmtId="0" xfId="0" applyBorder="1" applyFont="1"/>
    <xf borderId="74" fillId="4" fontId="48" numFmtId="0" xfId="0" applyAlignment="1" applyBorder="1" applyFont="1">
      <alignment vertical="center"/>
    </xf>
    <xf borderId="2" fillId="4" fontId="48" numFmtId="0" xfId="0" applyAlignment="1" applyBorder="1" applyFont="1">
      <alignment horizontal="left" vertical="center"/>
    </xf>
    <xf borderId="75" fillId="4" fontId="48" numFmtId="0" xfId="0" applyAlignment="1" applyBorder="1" applyFont="1">
      <alignment vertical="center"/>
    </xf>
    <xf borderId="69" fillId="4" fontId="48" numFmtId="0" xfId="0" applyAlignment="1" applyBorder="1" applyFont="1">
      <alignment vertical="center"/>
    </xf>
    <xf borderId="70" fillId="4" fontId="48" numFmtId="0" xfId="0" applyAlignment="1" applyBorder="1" applyFont="1">
      <alignment vertical="center"/>
    </xf>
    <xf borderId="15" fillId="0" fontId="50" numFmtId="0" xfId="0" applyAlignment="1" applyBorder="1" applyFont="1">
      <alignment horizontal="center" vertical="center"/>
    </xf>
    <xf borderId="6" fillId="4" fontId="48" numFmtId="0" xfId="0" applyAlignment="1" applyBorder="1" applyFont="1">
      <alignment horizontal="center" vertical="center"/>
    </xf>
    <xf borderId="2" fillId="0" fontId="48" numFmtId="0" xfId="0" applyAlignment="1" applyBorder="1" applyFont="1">
      <alignment vertical="center"/>
    </xf>
    <xf borderId="2" fillId="0" fontId="49" numFmtId="0" xfId="0" applyAlignment="1" applyBorder="1" applyFont="1">
      <alignment vertical="center"/>
    </xf>
    <xf borderId="13" fillId="0" fontId="48" numFmtId="0" xfId="0" applyAlignment="1" applyBorder="1" applyFont="1">
      <alignment vertical="center"/>
    </xf>
    <xf borderId="1" fillId="0" fontId="48" numFmtId="0" xfId="0" applyAlignment="1" applyBorder="1" applyFont="1">
      <alignment vertical="center"/>
    </xf>
    <xf borderId="14" fillId="0" fontId="48" numFmtId="0" xfId="0" applyAlignment="1" applyBorder="1" applyFont="1">
      <alignment vertical="center"/>
    </xf>
    <xf borderId="76" fillId="4" fontId="48" numFmtId="0" xfId="0" applyAlignment="1" applyBorder="1" applyFont="1">
      <alignment vertical="center"/>
    </xf>
    <xf borderId="76" fillId="4" fontId="47" numFmtId="0" xfId="0" applyAlignment="1" applyBorder="1" applyFont="1">
      <alignment horizontal="center" vertical="center"/>
    </xf>
    <xf borderId="32" fillId="4" fontId="47" numFmtId="0" xfId="0" applyAlignment="1" applyBorder="1" applyFont="1">
      <alignment horizontal="center" vertical="center"/>
    </xf>
    <xf quotePrefix="1" borderId="15" fillId="0" fontId="50" numFmtId="0" xfId="0" applyAlignment="1" applyBorder="1" applyFont="1">
      <alignment horizontal="center" vertical="center"/>
    </xf>
    <xf borderId="2" fillId="4" fontId="48" numFmtId="0" xfId="0" applyAlignment="1" applyBorder="1" applyFont="1">
      <alignment horizontal="center" vertical="center"/>
    </xf>
    <xf borderId="77" fillId="4" fontId="48" numFmtId="0" xfId="0" applyAlignment="1" applyBorder="1" applyFont="1">
      <alignment vertical="center"/>
    </xf>
    <xf borderId="58" fillId="4" fontId="48" numFmtId="0" xfId="0" applyAlignment="1" applyBorder="1" applyFont="1">
      <alignment vertical="center"/>
    </xf>
    <xf borderId="78" fillId="4" fontId="48" numFmtId="0" xfId="0" applyAlignment="1" applyBorder="1" applyFont="1">
      <alignment vertical="center"/>
    </xf>
    <xf borderId="8" fillId="0" fontId="48" numFmtId="0" xfId="0" applyAlignment="1" applyBorder="1" applyFont="1">
      <alignment vertical="center"/>
    </xf>
    <xf borderId="9" fillId="0" fontId="48" numFmtId="0" xfId="0" applyAlignment="1" applyBorder="1" applyFont="1">
      <alignment vertical="center"/>
    </xf>
    <xf borderId="10" fillId="0" fontId="48" numFmtId="0" xfId="0" applyAlignment="1" applyBorder="1" applyFont="1">
      <alignment vertical="center"/>
    </xf>
    <xf borderId="4" fillId="0" fontId="5" numFmtId="0" xfId="0" applyBorder="1" applyFont="1"/>
    <xf borderId="2" fillId="0" fontId="49" numFmtId="181" xfId="0" applyAlignment="1" applyBorder="1" applyFont="1" applyNumberFormat="1">
      <alignment vertical="center"/>
    </xf>
    <xf borderId="6" fillId="0" fontId="47" numFmtId="0" xfId="0" applyAlignment="1" applyBorder="1" applyFont="1">
      <alignment horizontal="center" textRotation="90" vertical="center"/>
    </xf>
    <xf borderId="0" fillId="0" fontId="21" numFmtId="0" xfId="0" applyAlignment="1" applyFont="1">
      <alignment horizontal="center" vertical="center"/>
    </xf>
    <xf borderId="3" fillId="0" fontId="47" numFmtId="0" xfId="0" applyAlignment="1" applyBorder="1" applyFont="1">
      <alignment vertical="center"/>
    </xf>
    <xf borderId="5" fillId="0" fontId="47" numFmtId="0" xfId="0" applyAlignment="1" applyBorder="1" applyFont="1">
      <alignment vertical="center"/>
    </xf>
    <xf borderId="5" fillId="0" fontId="21" numFmtId="0" xfId="0" applyBorder="1" applyFont="1"/>
    <xf borderId="4" fillId="0" fontId="47" numFmtId="0" xfId="0" applyAlignment="1" applyBorder="1" applyFont="1">
      <alignment vertical="center"/>
    </xf>
    <xf borderId="3" fillId="0" fontId="45" numFmtId="181" xfId="0" applyAlignment="1" applyBorder="1" applyFont="1" applyNumberFormat="1">
      <alignment horizontal="right" shrinkToFit="0" wrapText="1"/>
    </xf>
    <xf borderId="0" fillId="0" fontId="47" numFmtId="0" xfId="0" applyFont="1"/>
    <xf borderId="2" fillId="0" fontId="50" numFmtId="0" xfId="0" applyAlignment="1" applyBorder="1" applyFont="1">
      <alignment horizontal="center" vertical="center"/>
    </xf>
    <xf borderId="15" fillId="0" fontId="5" numFmtId="181" xfId="0" applyAlignment="1" applyBorder="1" applyFont="1" applyNumberFormat="1">
      <alignment vertical="center"/>
    </xf>
    <xf borderId="3" fillId="0" fontId="47" numFmtId="0" xfId="0" applyAlignment="1" applyBorder="1" applyFont="1">
      <alignment shrinkToFit="0" textRotation="90" vertical="center" wrapText="1"/>
    </xf>
    <xf borderId="4" fillId="0" fontId="47" numFmtId="0" xfId="0" applyAlignment="1" applyBorder="1" applyFont="1">
      <alignment shrinkToFit="0" textRotation="90" vertical="center" wrapText="1"/>
    </xf>
    <xf borderId="8" fillId="0" fontId="47" numFmtId="0" xfId="0" applyAlignment="1" applyBorder="1" applyFont="1">
      <alignment vertical="center"/>
    </xf>
    <xf borderId="9" fillId="0" fontId="47" numFmtId="0" xfId="0" applyAlignment="1" applyBorder="1" applyFont="1">
      <alignment vertical="center"/>
    </xf>
    <xf borderId="10" fillId="0" fontId="47" numFmtId="0" xfId="0" applyAlignment="1" applyBorder="1" applyFont="1">
      <alignment vertical="center"/>
    </xf>
    <xf borderId="2" fillId="0" fontId="47" numFmtId="0" xfId="0" applyAlignment="1" applyBorder="1" applyFont="1">
      <alignment textRotation="90" vertical="center"/>
    </xf>
    <xf quotePrefix="1" borderId="2" fillId="0" fontId="50" numFmtId="0" xfId="0" applyAlignment="1" applyBorder="1" applyFont="1">
      <alignment horizontal="center" shrinkToFit="0" vertical="center" wrapText="1"/>
    </xf>
    <xf borderId="3" fillId="0" fontId="47" numFmtId="0" xfId="0" applyAlignment="1" applyBorder="1" applyFont="1">
      <alignment horizontal="center" vertical="center"/>
    </xf>
    <xf borderId="3" fillId="0" fontId="47" numFmtId="0" xfId="0" applyAlignment="1" applyBorder="1" applyFont="1">
      <alignment horizontal="center" shrinkToFit="0" vertical="center" wrapText="1"/>
    </xf>
    <xf borderId="3" fillId="0" fontId="51" numFmtId="0" xfId="0" applyAlignment="1" applyBorder="1" applyFont="1">
      <alignment horizontal="center" shrinkToFit="0" vertical="center" wrapText="1"/>
    </xf>
    <xf borderId="2" fillId="0" fontId="47" numFmtId="0" xfId="0" applyAlignment="1" applyBorder="1" applyFont="1">
      <alignment horizontal="center" shrinkToFit="0" vertical="center" wrapText="1"/>
    </xf>
    <xf borderId="3" fillId="3" fontId="49" numFmtId="181" xfId="0" applyAlignment="1" applyBorder="1" applyFont="1" applyNumberFormat="1">
      <alignment horizontal="right" shrinkToFit="0" wrapText="1"/>
    </xf>
    <xf borderId="0" fillId="0" fontId="52" numFmtId="0" xfId="0" applyAlignment="1" applyFont="1">
      <alignment horizontal="center" vertical="center"/>
    </xf>
    <xf borderId="2" fillId="4" fontId="47" numFmtId="0" xfId="0" applyAlignment="1" applyBorder="1" applyFont="1">
      <alignment horizontal="center" shrinkToFit="0" vertical="center" wrapText="1"/>
    </xf>
    <xf borderId="6" fillId="0" fontId="50" numFmtId="0" xfId="0" applyAlignment="1" applyBorder="1" applyFont="1">
      <alignment horizontal="center" vertical="center"/>
    </xf>
    <xf borderId="2" fillId="0" fontId="50" numFmtId="181" xfId="0" applyAlignment="1" applyBorder="1" applyFont="1" applyNumberFormat="1">
      <alignment horizontal="center" vertical="center"/>
    </xf>
    <xf quotePrefix="1" borderId="2" fillId="0" fontId="47" numFmtId="0" xfId="0" applyAlignment="1" applyBorder="1" applyFont="1">
      <alignment horizontal="center" vertical="center"/>
    </xf>
    <xf borderId="3" fillId="0" fontId="49" numFmtId="181" xfId="0" applyAlignment="1" applyBorder="1" applyFont="1" applyNumberFormat="1">
      <alignment horizontal="center" shrinkToFit="0" wrapText="1"/>
    </xf>
    <xf borderId="5" fillId="0" fontId="48" numFmtId="0" xfId="0" applyAlignment="1" applyBorder="1" applyFont="1">
      <alignment shrinkToFit="0" vertical="center" wrapText="1"/>
    </xf>
    <xf borderId="4" fillId="0" fontId="48" numFmtId="0" xfId="0" applyAlignment="1" applyBorder="1" applyFont="1">
      <alignment shrinkToFit="0" vertical="center" wrapText="1"/>
    </xf>
    <xf borderId="11" fillId="0" fontId="48" numFmtId="0" xfId="0" applyAlignment="1" applyBorder="1" applyFont="1">
      <alignment vertical="center"/>
    </xf>
    <xf borderId="0" fillId="0" fontId="48" numFmtId="0" xfId="0" applyAlignment="1" applyFont="1">
      <alignment vertical="center"/>
    </xf>
    <xf borderId="15" fillId="0" fontId="48" numFmtId="169" xfId="0" applyAlignment="1" applyBorder="1" applyFont="1" applyNumberFormat="1">
      <alignment horizontal="center" shrinkToFit="0" vertical="center" wrapText="1"/>
    </xf>
    <xf borderId="3" fillId="0" fontId="49" numFmtId="181" xfId="0" applyBorder="1" applyFont="1" applyNumberFormat="1"/>
    <xf borderId="5" fillId="0" fontId="49" numFmtId="181" xfId="0" applyBorder="1" applyFont="1" applyNumberFormat="1"/>
    <xf borderId="4" fillId="0" fontId="49" numFmtId="181" xfId="0" applyBorder="1" applyFont="1" applyNumberFormat="1"/>
    <xf borderId="6" fillId="0" fontId="48" numFmtId="0" xfId="0" applyAlignment="1" applyBorder="1" applyFont="1">
      <alignment horizontal="center" vertical="center"/>
    </xf>
    <xf borderId="8" fillId="0" fontId="48" numFmtId="0" xfId="0" applyAlignment="1" applyBorder="1" applyFont="1">
      <alignment horizontal="left" vertical="center"/>
    </xf>
    <xf borderId="8" fillId="0" fontId="53" numFmtId="0" xfId="0" applyAlignment="1" applyBorder="1" applyFont="1">
      <alignment horizontal="center" shrinkToFit="0" vertical="center" wrapText="1"/>
    </xf>
    <xf borderId="3" fillId="0" fontId="54" numFmtId="0" xfId="0" applyAlignment="1" applyBorder="1" applyFont="1">
      <alignment horizontal="center" shrinkToFit="0" vertical="center" wrapText="1"/>
    </xf>
    <xf borderId="8" fillId="9" fontId="47" numFmtId="0" xfId="0" applyAlignment="1" applyBorder="1" applyFont="1">
      <alignment horizontal="center" vertical="center"/>
    </xf>
    <xf borderId="2" fillId="0" fontId="47" numFmtId="0" xfId="0" applyAlignment="1" applyBorder="1" applyFont="1">
      <alignment vertical="center"/>
    </xf>
    <xf borderId="3" fillId="0" fontId="45" numFmtId="0" xfId="0" applyAlignment="1" applyBorder="1" applyFont="1">
      <alignment vertical="center"/>
    </xf>
    <xf borderId="5" fillId="0" fontId="45" numFmtId="0" xfId="0" applyAlignment="1" applyBorder="1" applyFont="1">
      <alignment vertical="center"/>
    </xf>
    <xf borderId="4" fillId="0" fontId="45" numFmtId="0" xfId="0" applyAlignment="1" applyBorder="1" applyFont="1">
      <alignment vertical="center"/>
    </xf>
    <xf borderId="2" fillId="0" fontId="50" numFmtId="0" xfId="0" applyAlignment="1" applyBorder="1" applyFont="1">
      <alignment vertical="center"/>
    </xf>
    <xf borderId="2" fillId="0" fontId="50" numFmtId="49" xfId="0" applyAlignment="1" applyBorder="1" applyFont="1" applyNumberFormat="1">
      <alignment horizontal="center" vertical="center"/>
    </xf>
    <xf borderId="3" fillId="0" fontId="49" numFmtId="0" xfId="0" applyAlignment="1" applyBorder="1" applyFont="1">
      <alignment vertical="center"/>
    </xf>
    <xf borderId="5" fillId="0" fontId="49" numFmtId="0" xfId="0" applyAlignment="1" applyBorder="1" applyFont="1">
      <alignment vertical="center"/>
    </xf>
    <xf borderId="4" fillId="0" fontId="49" numFmtId="0" xfId="0" applyAlignment="1" applyBorder="1" applyFont="1">
      <alignment vertical="center"/>
    </xf>
    <xf borderId="2" fillId="0" fontId="47" numFmtId="181" xfId="0" applyAlignment="1" applyBorder="1" applyFont="1" applyNumberFormat="1">
      <alignment horizontal="center" vertical="center"/>
    </xf>
    <xf borderId="3" fillId="0" fontId="49" numFmtId="181" xfId="0" applyAlignment="1" applyBorder="1" applyFont="1" applyNumberFormat="1">
      <alignment vertical="center"/>
    </xf>
    <xf borderId="5" fillId="0" fontId="49" numFmtId="181" xfId="0" applyAlignment="1" applyBorder="1" applyFont="1" applyNumberFormat="1">
      <alignment vertical="center"/>
    </xf>
    <xf borderId="4" fillId="0" fontId="49" numFmtId="181" xfId="0" applyAlignment="1" applyBorder="1" applyFont="1" applyNumberFormat="1">
      <alignment vertical="center"/>
    </xf>
    <xf borderId="3" fillId="0" fontId="48" numFmtId="0" xfId="0" applyBorder="1" applyFont="1"/>
    <xf borderId="5" fillId="0" fontId="48" numFmtId="0" xfId="0" applyBorder="1" applyFont="1"/>
    <xf borderId="4" fillId="0" fontId="48" numFmtId="0" xfId="0" applyBorder="1" applyFont="1"/>
    <xf borderId="16" fillId="2" fontId="48" numFmtId="0" xfId="0" applyBorder="1" applyFont="1"/>
    <xf borderId="8" fillId="9" fontId="47" numFmtId="0" xfId="0" applyAlignment="1" applyBorder="1" applyFont="1">
      <alignment horizontal="center" shrinkToFit="0" vertical="center" wrapText="1"/>
    </xf>
    <xf borderId="2" fillId="0" fontId="55" numFmtId="0" xfId="0" applyAlignment="1" applyBorder="1" applyFont="1">
      <alignment horizontal="center" vertical="center"/>
    </xf>
    <xf borderId="79" fillId="0" fontId="7" numFmtId="0" xfId="0" applyBorder="1" applyFont="1"/>
    <xf borderId="80" fillId="0" fontId="7" numFmtId="0" xfId="0" applyBorder="1" applyFont="1"/>
    <xf borderId="81" fillId="0" fontId="7" numFmtId="0" xfId="0" applyBorder="1" applyFont="1"/>
    <xf borderId="16" fillId="2" fontId="48" numFmtId="0" xfId="0" applyAlignment="1" applyBorder="1" applyFont="1">
      <alignment vertical="center"/>
    </xf>
    <xf borderId="8" fillId="0" fontId="47" numFmtId="0" xfId="0" applyAlignment="1" applyBorder="1" applyFont="1">
      <alignment horizontal="center" shrinkToFit="0" vertical="center" wrapText="1"/>
    </xf>
    <xf borderId="2" fillId="0" fontId="47" numFmtId="0" xfId="0" applyAlignment="1" applyBorder="1" applyFont="1">
      <alignment horizontal="center" shrinkToFit="0" textRotation="90" vertical="center" wrapText="1"/>
    </xf>
    <xf borderId="6" fillId="4" fontId="47" numFmtId="0" xfId="0" applyAlignment="1" applyBorder="1" applyFont="1">
      <alignment horizontal="center" shrinkToFit="0" textRotation="90" vertical="center" wrapText="1"/>
    </xf>
    <xf borderId="8" fillId="0" fontId="48" numFmtId="0" xfId="0" applyAlignment="1" applyBorder="1" applyFont="1">
      <alignment shrinkToFit="0" vertical="center" wrapText="1"/>
    </xf>
    <xf borderId="2" fillId="0" fontId="45" numFmtId="181" xfId="0" applyAlignment="1" applyBorder="1" applyFont="1" applyNumberFormat="1">
      <alignment vertical="center"/>
    </xf>
    <xf borderId="2" fillId="0" fontId="47" numFmtId="3" xfId="0" applyAlignment="1" applyBorder="1" applyFont="1" applyNumberFormat="1">
      <alignment horizontal="center" vertical="center"/>
    </xf>
    <xf borderId="2" fillId="0" fontId="48" numFmtId="0" xfId="0" applyBorder="1" applyFont="1"/>
    <xf borderId="7" fillId="0" fontId="47" numFmtId="0" xfId="0" applyAlignment="1" applyBorder="1" applyFont="1">
      <alignment horizontal="center" textRotation="90" vertical="center"/>
    </xf>
    <xf borderId="15" fillId="0" fontId="50" numFmtId="181" xfId="0" applyAlignment="1" applyBorder="1" applyFont="1" applyNumberFormat="1">
      <alignment horizontal="center" vertical="center"/>
    </xf>
    <xf borderId="77" fillId="2" fontId="48" numFmtId="0" xfId="0" applyAlignment="1" applyBorder="1" applyFont="1">
      <alignment vertical="center"/>
    </xf>
    <xf borderId="58" fillId="2" fontId="48" numFmtId="0" xfId="0" applyAlignment="1" applyBorder="1" applyFont="1">
      <alignment vertical="center"/>
    </xf>
    <xf borderId="78" fillId="2" fontId="48" numFmtId="0" xfId="0" applyAlignment="1" applyBorder="1" applyFont="1">
      <alignment vertical="center"/>
    </xf>
    <xf borderId="2" fillId="2" fontId="47" numFmtId="0" xfId="0" applyAlignment="1" applyBorder="1" applyFont="1">
      <alignment horizontal="center" vertical="center"/>
    </xf>
    <xf borderId="3" fillId="2" fontId="49" numFmtId="181" xfId="0" applyAlignment="1" applyBorder="1" applyFont="1" applyNumberFormat="1">
      <alignment horizontal="right" shrinkToFit="0" wrapText="1"/>
    </xf>
    <xf borderId="2" fillId="2" fontId="50" numFmtId="181" xfId="0" applyAlignment="1" applyBorder="1" applyFont="1" applyNumberFormat="1">
      <alignment horizontal="center" vertical="center"/>
    </xf>
    <xf borderId="16" fillId="2" fontId="11" numFmtId="0" xfId="0" applyBorder="1" applyFont="1"/>
    <xf borderId="3" fillId="2" fontId="47" numFmtId="0" xfId="0" applyAlignment="1" applyBorder="1" applyFont="1">
      <alignment horizontal="center" shrinkToFit="0" vertical="center" wrapText="1"/>
    </xf>
    <xf borderId="75" fillId="2" fontId="48" numFmtId="0" xfId="0" applyAlignment="1" applyBorder="1" applyFont="1">
      <alignment vertical="center"/>
    </xf>
    <xf borderId="69" fillId="2" fontId="48" numFmtId="0" xfId="0" applyAlignment="1" applyBorder="1" applyFont="1">
      <alignment vertical="center"/>
    </xf>
    <xf borderId="70" fillId="2" fontId="48" numFmtId="0" xfId="0" applyAlignment="1" applyBorder="1" applyFont="1">
      <alignment vertical="center"/>
    </xf>
    <xf borderId="77" fillId="9" fontId="47" numFmtId="0" xfId="0" applyAlignment="1" applyBorder="1" applyFont="1">
      <alignment vertical="center"/>
    </xf>
    <xf borderId="58" fillId="9" fontId="47" numFmtId="0" xfId="0" applyAlignment="1" applyBorder="1" applyFont="1">
      <alignment vertical="center"/>
    </xf>
    <xf borderId="78" fillId="9" fontId="47" numFmtId="0" xfId="0" applyAlignment="1" applyBorder="1" applyFont="1">
      <alignment vertical="center"/>
    </xf>
    <xf borderId="76" fillId="9" fontId="47" numFmtId="0" xfId="0" applyAlignment="1" applyBorder="1" applyFont="1">
      <alignment vertical="center"/>
    </xf>
    <xf borderId="82" fillId="9" fontId="47" numFmtId="0" xfId="0" applyAlignment="1" applyBorder="1" applyFont="1">
      <alignment vertical="center"/>
    </xf>
    <xf borderId="16" fillId="9" fontId="47" numFmtId="0" xfId="0" applyAlignment="1" applyBorder="1" applyFont="1">
      <alignment vertical="center"/>
    </xf>
    <xf borderId="33" fillId="9" fontId="47" numFmtId="0" xfId="0" applyAlignment="1" applyBorder="1" applyFont="1">
      <alignment vertical="center"/>
    </xf>
    <xf borderId="83" fillId="9" fontId="47" numFmtId="0" xfId="0" applyAlignment="1" applyBorder="1" applyFont="1">
      <alignment vertical="center"/>
    </xf>
    <xf borderId="73" fillId="9" fontId="47" numFmtId="0" xfId="0" applyAlignment="1" applyBorder="1" applyFont="1">
      <alignment vertical="center"/>
    </xf>
    <xf borderId="57" fillId="9" fontId="47" numFmtId="0" xfId="0" applyAlignment="1" applyBorder="1" applyFont="1">
      <alignment vertical="center"/>
    </xf>
    <xf borderId="74" fillId="9" fontId="47" numFmtId="0" xfId="0" applyAlignment="1" applyBorder="1" applyFont="1">
      <alignment vertical="center"/>
    </xf>
    <xf borderId="3" fillId="9" fontId="47" numFmtId="0" xfId="0" applyAlignment="1" applyBorder="1" applyFont="1">
      <alignment horizontal="center" shrinkToFit="0" vertical="top" wrapText="1"/>
    </xf>
    <xf borderId="32" fillId="9" fontId="47" numFmtId="0" xfId="0" applyAlignment="1" applyBorder="1" applyFont="1">
      <alignment vertical="center"/>
    </xf>
    <xf borderId="84" fillId="0" fontId="7" numFmtId="0" xfId="0" applyBorder="1" applyFont="1"/>
    <xf borderId="3" fillId="0" fontId="47" numFmtId="181" xfId="0" applyAlignment="1" applyBorder="1" applyFont="1" applyNumberFormat="1">
      <alignment horizontal="center" shrinkToFit="0" vertical="center" wrapText="1"/>
    </xf>
    <xf borderId="3" fillId="0" fontId="48" numFmtId="0" xfId="0" applyAlignment="1" applyBorder="1" applyFont="1">
      <alignment horizontal="center" shrinkToFit="0" vertical="center" wrapText="1"/>
    </xf>
    <xf borderId="2" fillId="0" fontId="50" numFmtId="166" xfId="0" applyAlignment="1" applyBorder="1" applyFont="1" applyNumberFormat="1">
      <alignment horizontal="center" vertical="center"/>
    </xf>
    <xf borderId="69" fillId="3" fontId="47" numFmtId="0" xfId="0" applyAlignment="1" applyBorder="1" applyFont="1">
      <alignment vertical="center"/>
    </xf>
    <xf borderId="70" fillId="3" fontId="47" numFmtId="0" xfId="0" applyAlignment="1" applyBorder="1" applyFont="1">
      <alignment vertical="center"/>
    </xf>
    <xf borderId="2" fillId="0" fontId="47" numFmtId="0" xfId="0" applyBorder="1" applyFont="1"/>
    <xf borderId="0" fillId="0" fontId="5" numFmtId="0" xfId="0" applyAlignment="1" applyFont="1">
      <alignment horizontal="center" shrinkToFit="0" vertical="center" wrapText="1"/>
    </xf>
    <xf borderId="2" fillId="0" fontId="50" numFmtId="0" xfId="0" applyAlignment="1" applyBorder="1" applyFont="1">
      <alignment horizontal="center" shrinkToFit="0" vertical="center" wrapText="1"/>
    </xf>
    <xf borderId="3" fillId="0" fontId="48" numFmtId="0" xfId="0" applyAlignment="1" applyBorder="1" applyFont="1">
      <alignment horizontal="left" vertical="center"/>
    </xf>
    <xf borderId="5" fillId="0" fontId="48" numFmtId="0" xfId="0" applyAlignment="1" applyBorder="1" applyFont="1">
      <alignment horizontal="center" vertical="center"/>
    </xf>
    <xf borderId="16" fillId="2" fontId="39" numFmtId="0" xfId="0" applyAlignment="1" applyBorder="1" applyFont="1">
      <alignment horizontal="center" vertical="center"/>
    </xf>
    <xf borderId="16" fillId="2" fontId="39" numFmtId="0" xfId="0" applyAlignment="1" applyBorder="1" applyFont="1">
      <alignment horizontal="center" shrinkToFit="0" vertical="center" wrapText="1"/>
    </xf>
    <xf borderId="16" fillId="2" fontId="40" numFmtId="0" xfId="0" applyAlignment="1" applyBorder="1" applyFont="1">
      <alignment vertical="center"/>
    </xf>
    <xf borderId="16" fillId="2" fontId="15" numFmtId="0" xfId="0" applyAlignment="1" applyBorder="1" applyFont="1">
      <alignment vertical="center"/>
    </xf>
    <xf borderId="57" fillId="2" fontId="39" numFmtId="0" xfId="0" applyAlignment="1" applyBorder="1" applyFont="1">
      <alignment horizontal="center" vertical="center"/>
    </xf>
    <xf borderId="57" fillId="2" fontId="56" numFmtId="0" xfId="0" applyAlignment="1" applyBorder="1" applyFont="1">
      <alignment horizontal="center" vertical="center"/>
    </xf>
    <xf borderId="71" fillId="2" fontId="39" numFmtId="0" xfId="0" applyAlignment="1" applyBorder="1" applyFont="1">
      <alignment horizontal="center" vertical="center"/>
    </xf>
    <xf borderId="85" fillId="0" fontId="7" numFmtId="0" xfId="0" applyBorder="1" applyFont="1"/>
    <xf borderId="51" fillId="2" fontId="39" numFmtId="0" xfId="0" applyAlignment="1" applyBorder="1" applyFont="1">
      <alignment horizontal="center" vertical="center"/>
    </xf>
    <xf borderId="57" fillId="2" fontId="41" numFmtId="0" xfId="0" applyAlignment="1" applyBorder="1" applyFont="1">
      <alignment horizontal="center" vertical="center"/>
    </xf>
    <xf borderId="57" fillId="2" fontId="39" numFmtId="0" xfId="0" applyAlignment="1" applyBorder="1" applyFont="1">
      <alignment horizontal="center" vertical="center"/>
    </xf>
    <xf borderId="69" fillId="2" fontId="39" numFmtId="0" xfId="0" applyAlignment="1" applyBorder="1" applyFont="1">
      <alignment horizontal="center" vertical="center"/>
    </xf>
    <xf borderId="16" fillId="2" fontId="41" numFmtId="0" xfId="0" applyAlignment="1" applyBorder="1" applyFont="1">
      <alignment horizontal="center" vertical="center"/>
    </xf>
    <xf borderId="0" fillId="0" fontId="39" numFmtId="14" xfId="0" applyAlignment="1" applyFont="1" applyNumberFormat="1">
      <alignment horizontal="center" vertical="center"/>
    </xf>
    <xf borderId="0" fillId="0" fontId="39" numFmtId="0" xfId="0" applyAlignment="1" applyFont="1">
      <alignment horizontal="center" vertical="center"/>
    </xf>
    <xf borderId="0" fillId="0" fontId="39" numFmtId="168" xfId="0" applyAlignment="1" applyFont="1" applyNumberFormat="1">
      <alignment horizontal="right" vertical="center"/>
    </xf>
    <xf borderId="16" fillId="2" fontId="39" numFmtId="168" xfId="0" applyAlignment="1" applyBorder="1" applyFont="1" applyNumberFormat="1">
      <alignment horizontal="center" vertical="center"/>
    </xf>
  </cellXfs>
  <cellStyles count="1">
    <cellStyle xfId="0" name="Normal" builtinId="0"/>
  </cellStyles>
  <dxfs count="6">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BDD6EE"/>
          <bgColor rgb="FFBDD6EE"/>
        </patternFill>
      </fill>
      <border/>
    </dxf>
    <dxf>
      <font/>
      <fill>
        <patternFill patternType="solid">
          <fgColor rgb="FFFBE4D5"/>
          <bgColor rgb="FFFBE4D5"/>
        </patternFill>
      </fill>
      <border/>
    </dxf>
    <dxf>
      <font/>
      <fill>
        <patternFill patternType="solid">
          <fgColor theme="8"/>
          <bgColor theme="8"/>
        </patternFill>
      </fill>
      <border/>
    </dxf>
  </dxfs>
  <tableStyles count="2">
    <tableStyle count="3" pivot="0" name="Balance 2023-style">
      <tableStyleElement dxfId="1" type="headerRow"/>
      <tableStyleElement dxfId="2" type="firstRowStripe"/>
      <tableStyleElement dxfId="3" type="secondRowStripe"/>
    </tableStyle>
    <tableStyle count="4" pivot="0" name="Mayor 2023-style">
      <tableStyleElement type="headerRow"/>
      <tableStyleElement dxfId="2" type="firstRowStripe"/>
      <tableStyleElement type="secondRowStripe"/>
      <tableStyleElement type="totalRow"/>
    </tableStyle>
  </tableStyles>
</styleSheet>
</file>

<file path=xl/_rels/workbook.xml.rels><?xml version="1.0" encoding="UTF-8" standalone="yes"?><Relationships xmlns="http://schemas.openxmlformats.org/package/2006/relationships"><Relationship Id="rId20" Type="http://schemas.openxmlformats.org/officeDocument/2006/relationships/externalLink" Target="externalLinks/externalLink9.xml"/><Relationship Id="rId22" Type="http://schemas.openxmlformats.org/officeDocument/2006/relationships/externalLink" Target="externalLinks/externalLink11.xml"/><Relationship Id="rId21" Type="http://schemas.openxmlformats.org/officeDocument/2006/relationships/externalLink" Target="externalLinks/externalLink10.xml"/><Relationship Id="rId24" Type="http://schemas.openxmlformats.org/officeDocument/2006/relationships/externalLink" Target="externalLinks/externalLink13.xml"/><Relationship Id="rId23" Type="http://schemas.openxmlformats.org/officeDocument/2006/relationships/externalLink" Target="externalLinks/externalLink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externalLink" Target="externalLinks/externalLink15.xml"/><Relationship Id="rId25" Type="http://schemas.openxmlformats.org/officeDocument/2006/relationships/externalLink" Target="externalLinks/externalLink14.xml"/><Relationship Id="rId28" Type="http://schemas.openxmlformats.org/officeDocument/2006/relationships/externalLink" Target="externalLinks/externalLink17.xml"/><Relationship Id="rId27" Type="http://schemas.openxmlformats.org/officeDocument/2006/relationships/externalLink" Target="externalLinks/externalLink16.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externalLink" Target="externalLinks/externalLink18.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externalLink" Target="externalLinks/externalLink20.xml"/><Relationship Id="rId30" Type="http://schemas.openxmlformats.org/officeDocument/2006/relationships/externalLink" Target="externalLinks/externalLink19.xml"/><Relationship Id="rId11" Type="http://schemas.openxmlformats.org/officeDocument/2006/relationships/worksheet" Target="worksheets/sheet8.xml"/><Relationship Id="rId33" Type="http://customschemas.google.com/relationships/workbookmetadata" Target="metadata"/><Relationship Id="rId10" Type="http://schemas.openxmlformats.org/officeDocument/2006/relationships/worksheet" Target="worksheets/sheet7.xml"/><Relationship Id="rId32" Type="http://schemas.microsoft.com/office/2007/relationships/slicerCache" Target="slicerCaches/slicerCache1.xml"/><Relationship Id="rId13" Type="http://schemas.openxmlformats.org/officeDocument/2006/relationships/externalLink" Target="externalLinks/externalLink2.xml"/><Relationship Id="rId12" Type="http://schemas.openxmlformats.org/officeDocument/2006/relationships/externalLink" Target="externalLinks/externalLink1.xml"/><Relationship Id="rId15" Type="http://schemas.openxmlformats.org/officeDocument/2006/relationships/externalLink" Target="externalLinks/externalLink4.xml"/><Relationship Id="rId14" Type="http://schemas.openxmlformats.org/officeDocument/2006/relationships/externalLink" Target="externalLinks/externalLink3.xml"/><Relationship Id="rId17" Type="http://schemas.openxmlformats.org/officeDocument/2006/relationships/externalLink" Target="externalLinks/externalLink6.xml"/><Relationship Id="rId16" Type="http://schemas.openxmlformats.org/officeDocument/2006/relationships/externalLink" Target="externalLinks/externalLink5.xml"/><Relationship Id="rId19" Type="http://schemas.openxmlformats.org/officeDocument/2006/relationships/externalLink" Target="externalLinks/externalLink8.xml"/><Relationship Id="rId18"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152400</xdr:rowOff>
    </xdr:from>
    <xdr:ext cx="143827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152400</xdr:rowOff>
    </xdr:from>
    <xdr:ext cx="143827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0</xdr:row>
      <xdr:rowOff>57150</xdr:rowOff>
    </xdr:from>
    <xdr:ext cx="1438275" cy="523875"/>
    <xdr:pic>
      <xdr:nvPicPr>
        <xdr:cNvPr descr="logo_sii"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1104900</xdr:colOff>
      <xdr:row>0</xdr:row>
      <xdr:rowOff>0</xdr:rowOff>
    </xdr:from>
    <xdr:ext cx="7143750" cy="2857500"/>
    <mc:AlternateContent>
      <mc:Choice Requires="sle15">
        <xdr:graphicFrame>
          <xdr:nvGraphicFramePr>
            <xdr:cNvPr id="1" name="Cta_1"/>
            <xdr:cNvGraphicFramePr/>
          </xdr:nvGraphicFramePr>
          <xdr:xfrm>
            <a:off x="0" y="0"/>
            <a:ext cx="0" cy="0"/>
          </xdr:xfrm>
          <a:graphic>
            <a:graphicData uri="http://schemas.microsoft.com/office/drawing/2010/slicer">
              <x3Unk:slicer name="Cta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respaldo%20Personal\Contabilidades%20ROME\El%20Haya%20Ltda\El%20Haya%202014\USUARIOS\EDIAZ\FAX.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2.20\Almagro\USUARIOS\CONTAB\VARIOS\FLUJO\Bce-09-20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DOCU\EXCEL\Auditores%20%20RLI-Diferidos%2012%202015\Almagro_RLI_Diferidos_12.2015%20(FECU).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endata\CCTEREL_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Anacta2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AnaCta1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polo\planificaci&#243;ndesarrollo\planificaci&#243;ndesarrollo\Evaluaciones\Piedra%20Roja\EV%20-%20Piedra%20Roja%2010042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Wguevara\socoicsa\Documents%20and%20Settings\laguayo\Mis%20documentos\ESTADOS%20FINALES%20ICSA%202008\BALANCE-ANALISIS%20MENSUAL%202008%20ICSA\F22_AT2009%20ICS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apuga\AppData\Roaming\Microsoft\Excel\1200%20OBLIG%20BCOS%2005-201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contabilidad\planificaci&#243;ndesarrollo\Evaluaciones\Piedra%20Roja\EV%20-%20Piedra%20Roja%20101026%20ETAPA%20I%20(40%20VIVD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varela\doc\Documents%20and%20Settings\mvarela\Mis%20documentos\MVarela\SOCOVESA\Nuevos%20Negocios\INMOBILIARIO\CDUC-MANQUEHUE\Escenario%203%20-%20V6%20-%20Presentaci&#243;n%20UC.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contabilidad\planificaci&#243;ndesarrollo\Evaluaciones\Valle%20Norte%20-%20Santa%20Luz%20I\EV%20-%20Santa%20Luz%20(38%20vivds)%2010112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polo\planificaci&#243;ndesarrollo\Evaluaciones\Huechuraba\EV%20-%20Punta%20Olivos%20II%2010112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polo\planificaci&#243;ndesarrollo\Evaluaciones\VI%20Regi&#243;n\RANCAGUA\EV%20-%20Sta.%20Clara%20%2010110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TEMP\Archivos%20temporales%20de%20Internet\Content.Outlook\Q2W04AWC\F22%20%202017.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Content.Outlook\2ADIAPEM\Cierre%20Contable%20H72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gerardo.escudero\Mis%20documentos\SBDF\Reforma%20Tributaria\Renta%20Atribuida\Prototipo\F22%20%202015%20Jose%20Luis%20Capdevil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vendata\Anacta2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i%20unidad/Antecedentes%20generales/17.-%20JEM%20&amp;%20Otras%20Emp.%20(Felipe%20Hiriart)/Parque%20Sur%20SpA/Bce,%20RLI,%20CPT,%20RRE,%20F22%20At%202024%20-%20Parque%20Sur%20Sp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gerardo.escudero\Mis%20documentos\Escritorio\Great\Hoja%20de%20Trabajo\Cuadratura\Cuadratura%20DDJJ%20DGC%20V2%20Cuenta%20AT%202013.xlsb"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tiz1"/>
      <sheetName val="cotiz1 (2)"/>
      <sheetName val="cotiz1 (3)"/>
      <sheetName val="cotiz2"/>
      <sheetName val="cotiz3"/>
      <sheetName val="cotiz4"/>
      <sheetName val="seguros"/>
      <sheetName val="aetna"/>
      <sheetName val="seguros (3)"/>
      <sheetName val="cotiz2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YO1997"/>
      <sheetName val="ALMAGRO"/>
      <sheetName val="ALMAR"/>
      <sheetName val="VIVIENDAS"/>
      <sheetName val="CALSA"/>
      <sheetName val="ASIN"/>
      <sheetName val="IASADOS"/>
      <sheetName val="OTRAS"/>
      <sheetName val="IMARAN"/>
      <sheetName val="SEL"/>
      <sheetName val="PPORA"/>
      <sheetName val="UFC"/>
      <sheetName val="COSECHAS"/>
      <sheetName val="ALBA"/>
      <sheetName val="ACTIVO"/>
      <sheetName val="PASIVO"/>
      <sheetName val="RESULTADO "/>
      <sheetName val="RESULTADO  (2)"/>
      <sheetName val="VPP_0997"/>
      <sheetName val="FECU ALMAGRO"/>
      <sheetName val="FECU VISA"/>
      <sheetName val="FECU CALSA"/>
      <sheetName val="FECU SEL"/>
      <sheetName val="FECU IMARAN"/>
      <sheetName val="FECU IASADOS"/>
      <sheetName val="FECU PPORA"/>
      <sheetName val="FECU ASIN"/>
      <sheetName val="FECU UFC"/>
      <sheetName val="FECU COSECHAS"/>
      <sheetName val="FECU ALMAR"/>
      <sheetName val="FECU ALBA"/>
      <sheetName val="FECU CONSOLIDADA"/>
      <sheetName val="FECU CONSOLIDADA (3)"/>
      <sheetName val="SINVENTAS"/>
      <sheetName val="FECU CONSOLIDADA (2)"/>
      <sheetName val="Hoja1"/>
      <sheetName val="Hoja2"/>
      <sheetName val="EERR"/>
      <sheetName val="Est_Res_Almagro y Filiales"/>
      <sheetName val="Tabular S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enu_Anexos"/>
      <sheetName val="Definiciones"/>
      <sheetName val="01_RLI"/>
      <sheetName val="CM"/>
      <sheetName val="02_Diferidos"/>
      <sheetName val="02_Diferidos_Tasa_21%"/>
      <sheetName val="02B_Mvto_Diferido"/>
      <sheetName val="03_Conciliación_Tasa_NIC12"/>
      <sheetName val="CapitalPropio"/>
      <sheetName val="Tabular_2013"/>
      <sheetName val="Diferidos_presentación"/>
      <sheetName val="CPI"/>
      <sheetName val="Inversiones_"/>
      <sheetName val="VPP"/>
      <sheetName val="10_Castigos_Provisiones"/>
      <sheetName val="ViviendasNuevas 2014"/>
      <sheetName val="ViviendasPPP 2014"/>
      <sheetName val="Terrenos_Almar"/>
      <sheetName val="13_Activo_fijo"/>
      <sheetName val="Existencia_Obra_2015"/>
      <sheetName val="C.M. Viviendas nuevas 2015"/>
      <sheetName val="OBRA MARCELA"/>
      <sheetName val="CM OBRA CALSA HASTA NOV 2015"/>
      <sheetName val="CM TERRENOS ALMAGRO 2015"/>
      <sheetName val="CM TERRENO ALMAGRO HASTA NOV_15"/>
      <sheetName val="Op_Compra_Leasing_S2012"/>
      <sheetName val="C.M. Viviendas PPP 2015"/>
      <sheetName val="OBRA CALSA 2015"/>
      <sheetName val="Obra_Calsa"/>
      <sheetName val="TablaCM"/>
      <sheetName val="Existencia_Obra_2014"/>
      <sheetName val="Obra_Almagro"/>
      <sheetName val="11_Costo_VIV((F-T)"/>
      <sheetName val="NIC12_Cargo_Impto_renta(JRS)"/>
      <sheetName val="VUtilSII"/>
      <sheetName val="Terrenos_II"/>
      <sheetName val="Derivados"/>
      <sheetName val="DeudaAlmagro"/>
      <sheetName val="13_Activo_fijo_2013"/>
      <sheetName val="RLI_Almagro_SII"/>
      <sheetName val="RLI OGM"/>
      <sheetName val="134_Terreno"/>
      <sheetName val="Plandecuentas"/>
      <sheetName val="Provision Vacaciones Calsa"/>
      <sheetName val="Calsa2009"/>
      <sheetName val="OGM_Venta Terreno Almar"/>
      <sheetName val="Almar_Terrno_082012"/>
      <sheetName val="RLI_OGM"/>
      <sheetName val="CM_Diferido_AFijo"/>
      <sheetName val="Terreno_I.I."/>
      <sheetName val="Balance 12_20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11_34"/>
      <sheetName val="C11_32"/>
      <sheetName val="C11_13"/>
      <sheetName val="C15_11"/>
      <sheetName val="C22_11"/>
      <sheetName val="C24_11"/>
      <sheetName val="C13_24"/>
      <sheetName val="C24_22"/>
      <sheetName val="C36_11"/>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nlss"/>
      <sheetName val="Cltes24"/>
      <sheetName val="Dctspcob24"/>
      <sheetName val="CCtePers"/>
      <sheetName val="CtaVrs24"/>
      <sheetName val="Ppm24"/>
      <sheetName val="C24_11"/>
      <sheetName val="C13_24"/>
      <sheetName val="C24_22"/>
      <sheetName val="GtíaReem"/>
      <sheetName val="Ctappag"/>
      <sheetName val="Retnc24"/>
      <sheetName val="Ptrim24"/>
      <sheetName val="dIVD"/>
      <sheetName val="Libre"/>
      <sheetName val="Ccte24_15"/>
      <sheetName val="Hoja1"/>
      <sheetName v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11-01"/>
      <sheetName val="11-03"/>
      <sheetName val="CuadClientes"/>
      <sheetName val="11-05"/>
      <sheetName val="11-06"/>
      <sheetName val="11-07"/>
      <sheetName val="11-08"/>
      <sheetName val="Hoja1"/>
      <sheetName val="11-09"/>
      <sheetName val="13-01"/>
      <sheetName val="13-04"/>
      <sheetName val="15-05"/>
      <sheetName val="21-01"/>
      <sheetName val="21-01 (2)"/>
      <sheetName val="21-05"/>
      <sheetName val="21-08"/>
      <sheetName val="21-09"/>
      <sheetName val="31-04"/>
      <sheetName val="Patrimonio"/>
      <sheetName val="11-02"/>
      <sheetName val="11-04"/>
      <sheetName val="11-10"/>
      <sheetName val="14-02"/>
      <sheetName val="21-05-06"/>
      <sheetName val="21-07"/>
      <sheetName val="21-10"/>
      <sheetName val="11-15"/>
      <sheetName val="14-02 (1)"/>
      <sheetName val="Audit.RF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refreshError="1"/>
      <sheetData sheetId="27"/>
      <sheetData sheetId="28"/>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rivers"/>
      <sheetName val="Mix"/>
      <sheetName val="Pconstr"/>
      <sheetName val="Pinmob"/>
      <sheetName val="Flujo"/>
      <sheetName val="EEFF"/>
      <sheetName val="Indic"/>
      <sheetName val="Gráfico"/>
      <sheetName val="Resumen WORD"/>
      <sheetName val="Hoja1"/>
      <sheetName val="Resumen_WORD3"/>
      <sheetName val="Resumen_WORD"/>
      <sheetName val="Resumen_WORD1"/>
      <sheetName val="Resumen_WORD2"/>
      <sheetName val="Productos"/>
      <sheetName val="Evaluacion"/>
      <sheetName val="Resumen_WORD4"/>
      <sheetName val="Resumen_WORD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I"/>
      <sheetName val="RECUADRO_01"/>
      <sheetName val="RECUADRO_02"/>
      <sheetName val="RECUADRO_03"/>
      <sheetName val="RECUADRO_04"/>
      <sheetName val="RECUADRO_05"/>
      <sheetName val="RECUADRO_06"/>
      <sheetName val="RECUADRO_07"/>
      <sheetName val="RECUADRO_08"/>
      <sheetName val="RECUADRO_09"/>
      <sheetName val="RECUADRO_10"/>
      <sheetName val="RECUADRO_11"/>
      <sheetName val="RECUADRO_12"/>
      <sheetName val="rentaspresuntas"/>
      <sheetName val="rentaspresuntas_Transportes"/>
      <sheetName val="Participaciones"/>
      <sheetName val="TABLA"/>
      <sheetName val="F22_ANVERSO"/>
      <sheetName val="F22_REVERSO"/>
      <sheetName val="Balance Trib 2008 ICSA"/>
      <sheetName val="KPT 2009"/>
      <sheetName val="PATRIMONIO"/>
      <sheetName val="RLI AT-2009 ICSA"/>
      <sheetName val="F.U.T. AT-2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sheetData sheetId="21" refreshError="1"/>
      <sheetData sheetId="22" refreshError="1"/>
      <sheetData sheetId="23" refreshError="1"/>
    </sheetDataSet>
  </externalBook>
</externalLink>
</file>

<file path=xl/externalLinks/externalLink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ice CP"/>
      <sheetName val="LAC"/>
      <sheetName val="BCI"/>
      <sheetName val="BBVA"/>
      <sheetName val="BICE"/>
      <sheetName val="Chile"/>
      <sheetName val="Estado"/>
      <sheetName val="SANTANDER STGO"/>
      <sheetName val="Corpbanca"/>
      <sheetName val="SCOTIABANK"/>
      <sheetName val="CONSORCIO"/>
      <sheetName val="FACTORING BCI"/>
      <sheetName val="resumen"/>
      <sheetName val="INFO LAGOS"/>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rivers"/>
      <sheetName val="Mix"/>
      <sheetName val="Pconstr"/>
      <sheetName val="Pinmob"/>
      <sheetName val="Flujo"/>
      <sheetName val="EEFF"/>
      <sheetName val="Indic"/>
      <sheetName val="Costeo Viv."/>
      <sheetName val="Cierre Contable"/>
      <sheetName val="Gráfico"/>
      <sheetName val="Resumen WORD"/>
      <sheetName val="Hoja2"/>
      <sheetName val="Lista de Precios 15.10.10"/>
      <sheetName val="Hoja6"/>
      <sheetName val="Lista de Precios "/>
      <sheetName val="Cuadro Superficies al 26.10.10"/>
      <sheetName val="Hoja1"/>
      <sheetName val="Eficiencia"/>
      <sheetName val="11-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ductos"/>
      <sheetName val="Desarrollo Venta"/>
      <sheetName val="Superficies"/>
      <sheetName val="Parámetros"/>
      <sheetName val="Flujo_desagr"/>
      <sheetName val="Flujo_agr"/>
      <sheetName val="Desarrollo_Venta"/>
    </sheetNames>
    <sheetDataSet>
      <sheetData sheetId="0"/>
      <sheetData sheetId="1"/>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rivers"/>
      <sheetName val="Mix"/>
      <sheetName val="Pconstr"/>
      <sheetName val="Pinmob"/>
      <sheetName val="Flujo"/>
      <sheetName val="EEFF"/>
      <sheetName val="Indic"/>
      <sheetName val="Gráfico"/>
      <sheetName val="Resumen WORD"/>
      <sheetName val="Ppto Final "/>
      <sheetName val="Cuadro Superficies "/>
      <sheetName val="Costeo Viv."/>
      <sheetName val="Cierre Con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rivers"/>
      <sheetName val="Mix"/>
      <sheetName val="Pconstr"/>
      <sheetName val="Pinmob"/>
      <sheetName val="Flujo"/>
      <sheetName val="EEFF"/>
      <sheetName val="Indic"/>
      <sheetName val="Gráfico"/>
      <sheetName val="Resumen WORD"/>
      <sheetName val="CUADRO SUP ARQUITECTURA"/>
      <sheetName val="PPTO CONSTRUCCIÓN"/>
      <sheetName val="Lista de Precios "/>
      <sheetName val="Resumen_WORD"/>
      <sheetName val="CUADRO_SUP_ARQUITECTURA"/>
      <sheetName val="PPTO_CONSTRUCCIÓN"/>
      <sheetName val="Lista_de_Precios_"/>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Set>
  </externalBook>
</externalLink>
</file>

<file path=xl/externalLinks/externalLink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rivers"/>
      <sheetName val="Mix"/>
      <sheetName val="Pconstr"/>
      <sheetName val="Pinmob"/>
      <sheetName val="Flujo"/>
      <sheetName val="EEFF"/>
      <sheetName val="Indic"/>
      <sheetName val="Gráfico"/>
      <sheetName val="Resumen WORD"/>
      <sheetName val="Costeo Viv."/>
      <sheetName val="Lotes"/>
      <sheetName val="Coejecutadas Futuras Etapas"/>
      <sheetName val="Proyección de vtas"/>
      <sheetName val="Cuadro Lotes sta clara"/>
      <sheetName val="Resumen_WORD"/>
      <sheetName val="Costeo_Viv_"/>
      <sheetName val="Coejecutadas_Futuras_Etapas"/>
      <sheetName val="Proyección_de_vtas"/>
      <sheetName val="Cuadro_Lotes_sta_clar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nversoCon"/>
      <sheetName val="ReversoCon"/>
      <sheetName val="Registrar "/>
      <sheetName val="AnversoAud"/>
      <sheetName val="ReversoAud"/>
      <sheetName val="Hoja1"/>
      <sheetName val="RUT"/>
      <sheetName val="depósitos Coruña"/>
      <sheetName val="Donaciones A-I.9"/>
      <sheetName val="2.1-RLI"/>
      <sheetName val="2.RLI"/>
      <sheetName val="Anverso"/>
      <sheetName val="Reverso"/>
      <sheetName val="Bce 2012"/>
      <sheetName val="EBITDA"/>
      <sheetName val="RAI"/>
      <sheetName val="I C&amp;S SpA 2017"/>
      <sheetName val="Cta.-F22"/>
      <sheetName val="Renta Imponible y Art. 21"/>
      <sheetName val="CPT"/>
      <sheetName val="Impto.Diferido"/>
      <sheetName val="FUT"/>
      <sheetName val="1. Patrimonio"/>
      <sheetName val="6.2 Ajuste Efecto A.A."/>
      <sheetName val="3. Inversiones"/>
      <sheetName val="Renta Imponible y Art. 21 SII"/>
      <sheetName val="Factor CM"/>
      <sheetName val="Contabilizacion"/>
      <sheetName val="Bce 2013"/>
      <sheetName val="Anverso F22"/>
      <sheetName val="Reverso F22"/>
      <sheetName val="GEII 2015"/>
      <sheetName val="GEII 2016"/>
      <sheetName val="GEII 2017"/>
      <sheetName val="EBITA"/>
      <sheetName val="CPT (2)"/>
      <sheetName val="Impto.Diferido (2)"/>
      <sheetName val="2.b Activo Fjo Tributario"/>
      <sheetName val="2. Activo Fijo"/>
      <sheetName val="3. Activo en Leasing"/>
      <sheetName val="3.a Cuotas Pagadas"/>
      <sheetName val="4. Existencias"/>
      <sheetName val="7. Impuestos"/>
      <sheetName val="21. PPM"/>
      <sheetName val="6. Intangible"/>
      <sheetName val="8. Deudores Incobrables"/>
      <sheetName val="9. Reserva Obsolescencia"/>
      <sheetName val="10. Provision Vacaciones"/>
      <sheetName val="11. Provision Bonos e Incentivo"/>
      <sheetName val="12. Reservas Garantias"/>
      <sheetName val="13. Reserva Aplicaciones"/>
      <sheetName val="14. Reservas Concesiones"/>
      <sheetName val="15. Reservas Non Inventory"/>
      <sheetName val="17. Reconocimiento Ingresos"/>
      <sheetName val="19. Costo Anticipado"/>
      <sheetName val="18. IAS"/>
      <sheetName val="16. Provisiones Cierre"/>
      <sheetName val="2.a Activo Fjo Financiero"/>
      <sheetName val="2.c Analisis Bajas"/>
      <sheetName val="20. Gastos Rechazados"/>
      <sheetName val="22-Pasivos Vinculados"/>
      <sheetName val="Observaciones"/>
      <sheetName val="Bce 2014"/>
      <sheetName val="Bce 2015"/>
      <sheetName val="Bce 2016"/>
      <sheetName val="Bce 2017"/>
      <sheetName val="EEFF"/>
      <sheetName val="RLI Comparativa"/>
      <sheetName val="3. Existencia"/>
      <sheetName val="Libro Mayor"/>
      <sheetName val="F22 Anverso"/>
      <sheetName val="F22 Revers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sheetDataSet>
  </externalBook>
</externalLink>
</file>

<file path=xl/externalLinks/externalLink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Provision"/>
      <sheetName val="Honorarios"/>
      <sheetName val="Permisos"/>
      <sheetName val="Gasto por cuentas"/>
      <sheetName val="Ingresos al Cierre"/>
      <sheetName val="Pconstr"/>
      <sheetName val="Evaluacion"/>
      <sheetName val="Resumen"/>
      <sheetName val="Costeo viv."/>
      <sheetName val="Gasto_por_cuentas"/>
      <sheetName val="Ingresos_al_Cierre"/>
      <sheetName val="Costeo_viv_"/>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nversoCon"/>
      <sheetName val="ReversoCon"/>
      <sheetName val="Supuestos"/>
      <sheetName val="DDJJ FUT "/>
      <sheetName val="DDJJ Capital"/>
      <sheetName val="Registros"/>
      <sheetName val="Antecedentes"/>
      <sheetName val="Enero de 2017"/>
      <sheetName val="Registrar  AT.-1"/>
      <sheetName val="Febrero 2017"/>
      <sheetName val="Reproceso RLI"/>
      <sheetName val="Reproceso IGC"/>
      <sheetName val="Registrar  AT.Actual"/>
      <sheetName val="AnversoAud"/>
      <sheetName val="ReversoAud"/>
      <sheetName val="R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nlss"/>
      <sheetName val="Cltes24"/>
      <sheetName val="Dctspcob24"/>
      <sheetName val="CCtePers"/>
      <sheetName val="CtaVrs24"/>
      <sheetName val="Ppm24"/>
      <sheetName val="C24_11"/>
      <sheetName val="C13_24"/>
      <sheetName val="C24_22"/>
      <sheetName val="GtíaReem"/>
      <sheetName val="Ctappag"/>
      <sheetName val="Retnc24"/>
      <sheetName val="Ptrim24"/>
      <sheetName val="dIVD"/>
      <sheetName val="Libre"/>
      <sheetName val="Ccte24_15"/>
      <sheetName val="Hoja1"/>
      <sheetName v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1948 2023"/>
      <sheetName val="RRE 2023"/>
      <sheetName val="CPT 2023"/>
      <sheetName val="RLI 2023"/>
      <sheetName val="Balance 2023"/>
      <sheetName val="SII"/>
      <sheetName val="F-22"/>
      <sheetName val="Mayor 202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nversoCon"/>
      <sheetName val="ReversoCon"/>
      <sheetName val="Instrucciones"/>
      <sheetName val="Registrar F.22 AT.2013"/>
      <sheetName val="Registrar F.22 AT.2012"/>
      <sheetName val="Registrar DDJJ 1872"/>
      <sheetName val="1846 Res.Balance"/>
      <sheetName val="1846 Base Imponible"/>
      <sheetName val="Datos 1847"/>
      <sheetName val="Hoja de Trabajo"/>
      <sheetName val="Anexo HT Corr.Mon."/>
      <sheetName val="Comprobacion Analitica"/>
      <sheetName val="Factor Corr.Mon."/>
      <sheetName val="Anexo 1 AT.2013"/>
      <sheetName val="Anexo 2 AT.2013"/>
      <sheetName val="F1846 (AT.2013)"/>
      <sheetName val="F1847 (AT.2013)"/>
      <sheetName val="F1872 (AT.2013)"/>
      <sheetName val="Anexo (AT.2011)"/>
      <sheetName val="Anexo 2 (AT.201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ta">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ta_1" cache="SlicerCache_Table_2_Col_1" caption="Cta" rowHeight="247650"/>
</x14:slicers>
</file>

<file path=xl/tables/table1.xml><?xml version="1.0" encoding="utf-8"?>
<table xmlns="http://schemas.openxmlformats.org/spreadsheetml/2006/main" ref="B5:J29" displayName="Table_1" name="Table_1" id="1">
  <tableColumns count="9">
    <tableColumn name="Cuenta" id="1"/>
    <tableColumn name="Debitos" id="2"/>
    <tableColumn name="Creditos" id="3"/>
    <tableColumn name="Deudor" id="4"/>
    <tableColumn name="Acreedor" id="5"/>
    <tableColumn name="Activo" id="6"/>
    <tableColumn name="Pasivo" id="7"/>
    <tableColumn name="Perdidas" id="8"/>
    <tableColumn name="Ganancias" id="9"/>
  </tableColumns>
  <tableStyleInfo name="Balance 2023-style" showColumnStripes="0" showFirstColumn="1" showLastColumn="1" showRowStripes="1"/>
</table>
</file>

<file path=xl/tables/table2.xml><?xml version="1.0" encoding="utf-8"?>
<table xmlns="http://schemas.openxmlformats.org/spreadsheetml/2006/main" ref="A9:I205" displayName="Table_5" name="Table_5" id="2">
  <autoFilter ref="$A$9:$I$205">
    <filterColumn colId="0">
      <filters>
        <filter val="4201-11 INTERESES Y MULTAS"/>
      </filters>
    </filterColumn>
  </autoFilter>
  <tableColumns count="9">
    <tableColumn name="Cta" id="1"/>
    <tableColumn name="Fecha" id="2"/>
    <tableColumn name="Tipo" id="3"/>
    <tableColumn name="N" id="4"/>
    <tableColumn name="S" id="5"/>
    <tableColumn name="Glosa" id="6"/>
    <tableColumn name="Debe" id="7"/>
    <tableColumn name="Haber" id="8"/>
    <tableColumn name="Saldo" id="9"/>
  </tableColumns>
  <tableStyleInfo name="Mayor 202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sii.cl/servicios_online/renta/2024/rentaform.html"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86"/>
    <col customWidth="1" min="2" max="2" width="16.14"/>
    <col customWidth="1" min="3" max="4" width="16.71"/>
    <col customWidth="1" min="5" max="5" width="13.29"/>
    <col customWidth="1" min="6" max="6" width="12.86"/>
    <col customWidth="1" min="7" max="7" width="15.86"/>
    <col customWidth="1" min="8" max="9" width="11.14"/>
    <col customWidth="1" min="10" max="10" width="18.0"/>
    <col customWidth="1" min="11" max="11" width="10.43"/>
    <col customWidth="1" min="12" max="17" width="5.14"/>
    <col customWidth="1" min="18" max="18" width="7.86"/>
    <col customWidth="1" min="19" max="19" width="14.71"/>
    <col customWidth="1" min="20" max="20" width="9.71"/>
    <col customWidth="1" min="21" max="21" width="15.29"/>
    <col customWidth="1" min="22" max="26" width="15.0"/>
    <col customWidth="1" min="27" max="27" width="16.57"/>
    <col customWidth="1" min="28" max="31" width="13.57"/>
    <col customWidth="1" min="32" max="32" width="17.29"/>
    <col customWidth="1" min="33" max="33" width="12.57"/>
    <col customWidth="1" min="34" max="34" width="13.29"/>
    <col customWidth="1" min="35" max="35" width="11.57"/>
    <col customWidth="1" min="36" max="36" width="12.29"/>
    <col customWidth="1" min="37" max="37" width="14.43"/>
    <col customWidth="1" min="38" max="47" width="11.43"/>
    <col customWidth="1" min="48" max="48" width="13.0"/>
    <col customWidth="1" min="49" max="195" width="11.4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row>
    <row r="2" ht="18.75" customHeight="1">
      <c r="A2" s="1"/>
      <c r="B2" s="1"/>
      <c r="C2" s="1"/>
      <c r="D2" s="2"/>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row>
    <row r="3" ht="23.25" customHeight="1">
      <c r="A3" s="1"/>
      <c r="B3" s="1"/>
      <c r="C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row>
    <row r="4">
      <c r="A4" s="1"/>
      <c r="B4" s="1"/>
      <c r="C4" s="1"/>
      <c r="D4" s="3"/>
      <c r="E4" s="4"/>
      <c r="F4" s="4"/>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row>
    <row r="5" ht="16.5" customHeight="1">
      <c r="A5" s="1"/>
      <c r="B5" s="5" t="s">
        <v>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row>
    <row r="6">
      <c r="A6" s="1"/>
      <c r="B6" s="1"/>
      <c r="C6" s="1"/>
      <c r="D6" s="1"/>
      <c r="E6" s="1"/>
      <c r="F6" s="1"/>
      <c r="G6" s="1"/>
      <c r="H6" s="1"/>
      <c r="I6" s="1"/>
      <c r="J6" s="1"/>
      <c r="K6" s="1"/>
      <c r="L6" s="1"/>
      <c r="M6" s="1"/>
      <c r="N6" s="1"/>
      <c r="O6" s="1"/>
      <c r="P6" s="1"/>
      <c r="Q6" s="1"/>
      <c r="R6" s="6"/>
      <c r="S6" s="6"/>
      <c r="T6" s="6"/>
      <c r="U6" s="6"/>
      <c r="V6" s="1"/>
      <c r="W6" s="1"/>
      <c r="X6" s="1"/>
      <c r="Y6" s="1"/>
      <c r="Z6" s="1"/>
      <c r="AA6" s="1"/>
      <c r="AB6" s="1"/>
      <c r="AC6" s="1"/>
      <c r="AD6" s="1"/>
      <c r="AE6" s="1"/>
      <c r="AF6" s="1"/>
      <c r="AG6" s="1"/>
      <c r="AH6" s="7" t="s">
        <v>1</v>
      </c>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row>
    <row r="7">
      <c r="A7" s="1"/>
      <c r="B7" s="8" t="s">
        <v>2</v>
      </c>
      <c r="C7" s="1"/>
      <c r="D7" s="1"/>
      <c r="E7" s="1"/>
      <c r="F7" s="1"/>
      <c r="G7" s="1"/>
      <c r="H7" s="1"/>
      <c r="I7" s="1"/>
      <c r="J7" s="1"/>
      <c r="K7" s="1"/>
      <c r="L7" s="1"/>
      <c r="M7" s="1"/>
      <c r="N7" s="1"/>
      <c r="O7" s="1"/>
      <c r="P7" s="1"/>
      <c r="Q7" s="1"/>
      <c r="R7" s="1"/>
      <c r="S7" s="1"/>
      <c r="T7" s="1"/>
      <c r="U7" s="1"/>
      <c r="V7" s="1"/>
      <c r="W7" s="1"/>
      <c r="X7" s="1"/>
      <c r="Y7" s="1"/>
      <c r="Z7" s="1"/>
      <c r="AA7" s="1"/>
      <c r="AB7" s="1"/>
      <c r="AC7" s="1"/>
      <c r="AD7" s="1"/>
      <c r="AE7" s="9"/>
      <c r="AF7" s="1"/>
      <c r="AG7" s="10" t="s">
        <v>3</v>
      </c>
      <c r="AH7" s="1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row>
    <row r="9" ht="15.0" customHeight="1">
      <c r="A9" s="1"/>
      <c r="B9" s="12" t="s">
        <v>4</v>
      </c>
      <c r="C9" s="13"/>
      <c r="D9" s="14" t="s">
        <v>5</v>
      </c>
      <c r="E9" s="15"/>
      <c r="F9" s="16"/>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row>
    <row r="10">
      <c r="A10" s="1"/>
      <c r="B10" s="12"/>
      <c r="C10" s="13"/>
      <c r="D10" s="12"/>
      <c r="E10" s="17"/>
      <c r="F10" s="13"/>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row>
    <row r="11" ht="15.0" customHeight="1">
      <c r="A11" s="1"/>
      <c r="B11" s="12" t="s">
        <v>6</v>
      </c>
      <c r="C11" s="13"/>
      <c r="D11" s="14" t="s">
        <v>7</v>
      </c>
      <c r="E11" s="15"/>
      <c r="F11" s="16"/>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row>
    <row r="12">
      <c r="A12" s="1"/>
      <c r="B12" s="12"/>
      <c r="C12" s="13"/>
      <c r="D12" s="12"/>
      <c r="E12" s="17"/>
      <c r="F12" s="13"/>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row>
    <row r="13">
      <c r="A13" s="1"/>
      <c r="B13" s="12" t="s">
        <v>8</v>
      </c>
      <c r="C13" s="13"/>
      <c r="D13" s="14" t="s">
        <v>9</v>
      </c>
      <c r="E13" s="15"/>
      <c r="F13" s="16"/>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row>
    <row r="14">
      <c r="A14" s="1"/>
      <c r="B14" s="12"/>
      <c r="C14" s="13"/>
      <c r="D14" s="14"/>
      <c r="E14" s="15"/>
      <c r="F14" s="16"/>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row>
    <row r="17">
      <c r="A17" s="1"/>
      <c r="B17" s="1" t="s">
        <v>10</v>
      </c>
      <c r="C17" s="1" t="s">
        <v>11</v>
      </c>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row>
    <row r="18" ht="21.75" customHeight="1">
      <c r="A18" s="1"/>
      <c r="B18" s="18" t="s">
        <v>12</v>
      </c>
      <c r="C18" s="18" t="s">
        <v>13</v>
      </c>
      <c r="D18" s="18" t="s">
        <v>14</v>
      </c>
      <c r="E18" s="18" t="s">
        <v>15</v>
      </c>
      <c r="F18" s="14" t="s">
        <v>16</v>
      </c>
      <c r="G18" s="15"/>
      <c r="H18" s="15"/>
      <c r="I18" s="15"/>
      <c r="J18" s="15"/>
      <c r="K18" s="15"/>
      <c r="L18" s="15"/>
      <c r="M18" s="15"/>
      <c r="N18" s="15"/>
      <c r="O18" s="15"/>
      <c r="P18" s="15"/>
      <c r="Q18" s="16"/>
      <c r="R18" s="19" t="s">
        <v>17</v>
      </c>
      <c r="S18" s="15"/>
      <c r="T18" s="15"/>
      <c r="U18" s="15"/>
      <c r="V18" s="15"/>
      <c r="W18" s="15"/>
      <c r="X18" s="15"/>
      <c r="Y18" s="15"/>
      <c r="Z18" s="15"/>
      <c r="AA18" s="15"/>
      <c r="AB18" s="15"/>
      <c r="AC18" s="15"/>
      <c r="AD18" s="15"/>
      <c r="AE18" s="15"/>
      <c r="AF18" s="16"/>
      <c r="AG18" s="18" t="s">
        <v>18</v>
      </c>
      <c r="AH18" s="18" t="s">
        <v>19</v>
      </c>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row>
    <row r="19" ht="27.0" customHeight="1">
      <c r="A19" s="1"/>
      <c r="B19" s="20"/>
      <c r="C19" s="20"/>
      <c r="D19" s="20"/>
      <c r="E19" s="20"/>
      <c r="F19" s="21" t="s">
        <v>20</v>
      </c>
      <c r="G19" s="22"/>
      <c r="H19" s="22"/>
      <c r="I19" s="23"/>
      <c r="J19" s="19" t="s">
        <v>21</v>
      </c>
      <c r="K19" s="15"/>
      <c r="L19" s="15"/>
      <c r="M19" s="15"/>
      <c r="N19" s="15"/>
      <c r="O19" s="24"/>
      <c r="P19" s="24"/>
      <c r="Q19" s="24"/>
      <c r="R19" s="19" t="s">
        <v>22</v>
      </c>
      <c r="S19" s="15"/>
      <c r="T19" s="15"/>
      <c r="U19" s="15"/>
      <c r="V19" s="15"/>
      <c r="W19" s="15"/>
      <c r="X19" s="15"/>
      <c r="Y19" s="15"/>
      <c r="Z19" s="16"/>
      <c r="AA19" s="19" t="s">
        <v>23</v>
      </c>
      <c r="AB19" s="15"/>
      <c r="AC19" s="15"/>
      <c r="AD19" s="15"/>
      <c r="AE19" s="16"/>
      <c r="AF19" s="18" t="s">
        <v>24</v>
      </c>
      <c r="AG19" s="20"/>
      <c r="AH19" s="20"/>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row>
    <row r="20" ht="55.5" customHeight="1">
      <c r="A20" s="1"/>
      <c r="B20" s="20"/>
      <c r="C20" s="20"/>
      <c r="D20" s="20"/>
      <c r="E20" s="20"/>
      <c r="F20" s="25"/>
      <c r="I20" s="26"/>
      <c r="J20" s="27" t="s">
        <v>25</v>
      </c>
      <c r="K20" s="15"/>
      <c r="L20" s="15"/>
      <c r="M20" s="15"/>
      <c r="N20" s="15"/>
      <c r="O20" s="21" t="s">
        <v>26</v>
      </c>
      <c r="P20" s="23"/>
      <c r="Q20" s="18" t="s">
        <v>27</v>
      </c>
      <c r="R20" s="19" t="s">
        <v>28</v>
      </c>
      <c r="S20" s="15"/>
      <c r="T20" s="15"/>
      <c r="U20" s="15"/>
      <c r="V20" s="15"/>
      <c r="W20" s="16"/>
      <c r="X20" s="21" t="s">
        <v>29</v>
      </c>
      <c r="Y20" s="23"/>
      <c r="Z20" s="18" t="s">
        <v>30</v>
      </c>
      <c r="AA20" s="19" t="s">
        <v>28</v>
      </c>
      <c r="AB20" s="16"/>
      <c r="AC20" s="19" t="s">
        <v>31</v>
      </c>
      <c r="AD20" s="16"/>
      <c r="AE20" s="18" t="s">
        <v>30</v>
      </c>
      <c r="AF20" s="20"/>
      <c r="AG20" s="20"/>
      <c r="AH20" s="20"/>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row>
    <row r="21" ht="56.25" customHeight="1">
      <c r="A21" s="1"/>
      <c r="B21" s="20"/>
      <c r="C21" s="20"/>
      <c r="D21" s="20"/>
      <c r="E21" s="20"/>
      <c r="F21" s="28"/>
      <c r="G21" s="29"/>
      <c r="H21" s="29"/>
      <c r="I21" s="30"/>
      <c r="J21" s="18" t="s">
        <v>32</v>
      </c>
      <c r="K21" s="31" t="s">
        <v>33</v>
      </c>
      <c r="L21" s="18" t="s">
        <v>34</v>
      </c>
      <c r="M21" s="18" t="s">
        <v>35</v>
      </c>
      <c r="N21" s="32" t="s">
        <v>36</v>
      </c>
      <c r="O21" s="21" t="s">
        <v>37</v>
      </c>
      <c r="P21" s="18" t="s">
        <v>38</v>
      </c>
      <c r="Q21" s="20"/>
      <c r="R21" s="19" t="s">
        <v>39</v>
      </c>
      <c r="S21" s="16"/>
      <c r="T21" s="19" t="s">
        <v>40</v>
      </c>
      <c r="U21" s="16"/>
      <c r="V21" s="19" t="s">
        <v>41</v>
      </c>
      <c r="W21" s="16"/>
      <c r="X21" s="19" t="s">
        <v>41</v>
      </c>
      <c r="Y21" s="16"/>
      <c r="Z21" s="20"/>
      <c r="AA21" s="18" t="s">
        <v>42</v>
      </c>
      <c r="AB21" s="18" t="s">
        <v>43</v>
      </c>
      <c r="AC21" s="18" t="s">
        <v>42</v>
      </c>
      <c r="AD21" s="18" t="s">
        <v>43</v>
      </c>
      <c r="AE21" s="20"/>
      <c r="AF21" s="20"/>
      <c r="AG21" s="20"/>
      <c r="AH21" s="20"/>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t="s">
        <v>44</v>
      </c>
    </row>
    <row r="22" ht="44.25" customHeight="1">
      <c r="A22" s="1"/>
      <c r="B22" s="20"/>
      <c r="C22" s="20"/>
      <c r="D22" s="20"/>
      <c r="E22" s="20"/>
      <c r="F22" s="33" t="s">
        <v>45</v>
      </c>
      <c r="G22" s="18" t="s">
        <v>46</v>
      </c>
      <c r="H22" s="18" t="s">
        <v>47</v>
      </c>
      <c r="I22" s="18" t="s">
        <v>48</v>
      </c>
      <c r="J22" s="20"/>
      <c r="K22" s="26"/>
      <c r="L22" s="20"/>
      <c r="M22" s="20"/>
      <c r="N22" s="20"/>
      <c r="O22" s="25"/>
      <c r="P22" s="20"/>
      <c r="Q22" s="20"/>
      <c r="R22" s="18" t="s">
        <v>42</v>
      </c>
      <c r="S22" s="33" t="s">
        <v>43</v>
      </c>
      <c r="T22" s="18" t="s">
        <v>42</v>
      </c>
      <c r="U22" s="32" t="s">
        <v>43</v>
      </c>
      <c r="V22" s="18" t="s">
        <v>42</v>
      </c>
      <c r="W22" s="32" t="s">
        <v>43</v>
      </c>
      <c r="X22" s="18" t="s">
        <v>42</v>
      </c>
      <c r="Y22" s="18" t="s">
        <v>43</v>
      </c>
      <c r="Z22" s="20"/>
      <c r="AA22" s="20"/>
      <c r="AB22" s="20"/>
      <c r="AC22" s="20"/>
      <c r="AD22" s="20"/>
      <c r="AE22" s="20"/>
      <c r="AF22" s="20"/>
      <c r="AG22" s="20"/>
      <c r="AH22" s="20"/>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row>
    <row r="23" ht="67.5" customHeight="1">
      <c r="A23" s="1"/>
      <c r="B23" s="34"/>
      <c r="C23" s="34"/>
      <c r="D23" s="34"/>
      <c r="E23" s="34"/>
      <c r="F23" s="34"/>
      <c r="G23" s="34"/>
      <c r="H23" s="34"/>
      <c r="I23" s="34"/>
      <c r="J23" s="34"/>
      <c r="K23" s="30"/>
      <c r="L23" s="34"/>
      <c r="M23" s="34"/>
      <c r="N23" s="34"/>
      <c r="O23" s="28"/>
      <c r="P23" s="34"/>
      <c r="Q23" s="34"/>
      <c r="R23" s="34"/>
      <c r="S23" s="34"/>
      <c r="T23" s="34"/>
      <c r="U23" s="34"/>
      <c r="V23" s="34"/>
      <c r="W23" s="34"/>
      <c r="X23" s="34"/>
      <c r="Y23" s="34"/>
      <c r="Z23" s="34"/>
      <c r="AA23" s="34"/>
      <c r="AB23" s="34"/>
      <c r="AC23" s="34"/>
      <c r="AD23" s="34"/>
      <c r="AE23" s="34"/>
      <c r="AF23" s="34"/>
      <c r="AG23" s="34"/>
      <c r="AH23" s="34"/>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row>
    <row r="24" ht="15.75" customHeight="1">
      <c r="A24" s="1"/>
      <c r="B24" s="35" t="s">
        <v>49</v>
      </c>
      <c r="C24" s="36" t="s">
        <v>50</v>
      </c>
      <c r="D24" s="36" t="s">
        <v>51</v>
      </c>
      <c r="E24" s="36" t="s">
        <v>52</v>
      </c>
      <c r="F24" s="36" t="s">
        <v>53</v>
      </c>
      <c r="G24" s="36" t="s">
        <v>54</v>
      </c>
      <c r="H24" s="36" t="s">
        <v>55</v>
      </c>
      <c r="I24" s="36" t="s">
        <v>56</v>
      </c>
      <c r="J24" s="36" t="s">
        <v>57</v>
      </c>
      <c r="K24" s="36" t="s">
        <v>58</v>
      </c>
      <c r="L24" s="36" t="s">
        <v>59</v>
      </c>
      <c r="M24" s="36" t="s">
        <v>60</v>
      </c>
      <c r="N24" s="36" t="s">
        <v>61</v>
      </c>
      <c r="O24" s="36" t="s">
        <v>62</v>
      </c>
      <c r="P24" s="36" t="s">
        <v>63</v>
      </c>
      <c r="Q24" s="36" t="s">
        <v>64</v>
      </c>
      <c r="R24" s="36" t="s">
        <v>65</v>
      </c>
      <c r="S24" s="36" t="s">
        <v>66</v>
      </c>
      <c r="T24" s="36" t="s">
        <v>67</v>
      </c>
      <c r="U24" s="36" t="s">
        <v>68</v>
      </c>
      <c r="V24" s="36" t="s">
        <v>69</v>
      </c>
      <c r="W24" s="36" t="s">
        <v>70</v>
      </c>
      <c r="X24" s="36" t="s">
        <v>71</v>
      </c>
      <c r="Y24" s="36" t="s">
        <v>72</v>
      </c>
      <c r="Z24" s="36" t="s">
        <v>73</v>
      </c>
      <c r="AA24" s="36" t="s">
        <v>74</v>
      </c>
      <c r="AB24" s="36" t="s">
        <v>75</v>
      </c>
      <c r="AC24" s="36" t="s">
        <v>76</v>
      </c>
      <c r="AD24" s="36" t="s">
        <v>77</v>
      </c>
      <c r="AE24" s="36" t="s">
        <v>78</v>
      </c>
      <c r="AF24" s="36" t="s">
        <v>79</v>
      </c>
      <c r="AG24" s="36" t="s">
        <v>80</v>
      </c>
      <c r="AH24" s="36" t="s">
        <v>81</v>
      </c>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row>
    <row r="25" ht="15.75" customHeight="1">
      <c r="A25" s="37"/>
      <c r="B25" s="38">
        <f>+Retiros!C41</f>
        <v>45291</v>
      </c>
      <c r="C25" s="39" t="str">
        <f>+Retiros!D41</f>
        <v>15640744-5</v>
      </c>
      <c r="D25" s="39"/>
      <c r="E25" s="39">
        <f>+Retiros!E41</f>
        <v>400</v>
      </c>
      <c r="F25" s="40">
        <f>+Retiros!G41</f>
        <v>33034606</v>
      </c>
      <c r="G25" s="40"/>
      <c r="H25" s="40"/>
      <c r="I25" s="40"/>
      <c r="J25" s="40"/>
      <c r="K25" s="40"/>
      <c r="L25" s="40"/>
      <c r="M25" s="40"/>
      <c r="N25" s="41"/>
      <c r="O25" s="40"/>
      <c r="P25" s="40"/>
      <c r="Q25" s="40"/>
      <c r="R25" s="40"/>
      <c r="S25" s="40">
        <f t="shared" ref="S25:S27" si="1">ROUND(F25*0.111111,0)</f>
        <v>3670508</v>
      </c>
      <c r="T25" s="40"/>
      <c r="U25" s="40"/>
      <c r="V25" s="39"/>
      <c r="W25" s="39"/>
      <c r="X25" s="39"/>
      <c r="Y25" s="39"/>
      <c r="Z25" s="39"/>
      <c r="AA25" s="39"/>
      <c r="AB25" s="39"/>
      <c r="AC25" s="39"/>
      <c r="AD25" s="39"/>
      <c r="AE25" s="39"/>
      <c r="AF25" s="39"/>
      <c r="AG25" s="39"/>
      <c r="AH25" s="39"/>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37"/>
      <c r="DU25" s="37"/>
      <c r="DV25" s="37"/>
      <c r="DW25" s="37"/>
      <c r="DX25" s="37"/>
      <c r="DY25" s="37"/>
      <c r="DZ25" s="37"/>
      <c r="EA25" s="37"/>
      <c r="EB25" s="37"/>
      <c r="EC25" s="37"/>
      <c r="ED25" s="37"/>
      <c r="EE25" s="37"/>
      <c r="EF25" s="37"/>
      <c r="EG25" s="37"/>
      <c r="EH25" s="37"/>
      <c r="EI25" s="37"/>
      <c r="EJ25" s="37"/>
      <c r="EK25" s="37"/>
      <c r="EL25" s="37"/>
      <c r="EM25" s="37"/>
      <c r="EN25" s="37"/>
      <c r="EO25" s="37"/>
      <c r="EP25" s="37"/>
      <c r="EQ25" s="37"/>
      <c r="ER25" s="37"/>
      <c r="ES25" s="37"/>
      <c r="ET25" s="37"/>
      <c r="EU25" s="37"/>
      <c r="EV25" s="37"/>
      <c r="EW25" s="37"/>
      <c r="EX25" s="37"/>
      <c r="EY25" s="37"/>
      <c r="EZ25" s="37"/>
      <c r="FA25" s="37"/>
      <c r="FB25" s="37"/>
      <c r="FC25" s="37"/>
      <c r="FD25" s="37"/>
      <c r="FE25" s="37"/>
      <c r="FF25" s="37"/>
      <c r="FG25" s="37"/>
      <c r="FH25" s="37"/>
      <c r="FI25" s="37"/>
      <c r="FJ25" s="37"/>
      <c r="FK25" s="37"/>
      <c r="FL25" s="37"/>
      <c r="FM25" s="37"/>
      <c r="FN25" s="37"/>
      <c r="FO25" s="37"/>
      <c r="FP25" s="37"/>
      <c r="FQ25" s="37"/>
      <c r="FR25" s="37"/>
      <c r="FS25" s="37"/>
      <c r="FT25" s="37"/>
      <c r="FU25" s="37"/>
      <c r="FV25" s="37"/>
      <c r="FW25" s="37"/>
      <c r="FX25" s="37"/>
      <c r="FY25" s="37"/>
      <c r="FZ25" s="37"/>
      <c r="GA25" s="37"/>
      <c r="GB25" s="37"/>
      <c r="GC25" s="37"/>
      <c r="GD25" s="37"/>
      <c r="GE25" s="37"/>
      <c r="GF25" s="37"/>
      <c r="GG25" s="37"/>
      <c r="GH25" s="37"/>
      <c r="GI25" s="37"/>
      <c r="GJ25" s="37"/>
      <c r="GK25" s="37"/>
      <c r="GL25" s="37"/>
      <c r="GM25" s="37"/>
    </row>
    <row r="26" ht="15.75" customHeight="1">
      <c r="A26" s="37"/>
      <c r="B26" s="38">
        <f>+Retiros!C42</f>
        <v>45291</v>
      </c>
      <c r="C26" s="39" t="str">
        <f>+Retiros!D42</f>
        <v>16367300-2</v>
      </c>
      <c r="D26" s="39"/>
      <c r="E26" s="39">
        <f>+Retiros!E42</f>
        <v>400</v>
      </c>
      <c r="F26" s="40">
        <f>+Retiros!G42</f>
        <v>33034606</v>
      </c>
      <c r="G26" s="40"/>
      <c r="H26" s="40"/>
      <c r="I26" s="40"/>
      <c r="J26" s="40"/>
      <c r="K26" s="40"/>
      <c r="L26" s="40"/>
      <c r="M26" s="40"/>
      <c r="N26" s="41"/>
      <c r="O26" s="40"/>
      <c r="P26" s="40"/>
      <c r="Q26" s="40"/>
      <c r="R26" s="40"/>
      <c r="S26" s="40">
        <f t="shared" si="1"/>
        <v>3670508</v>
      </c>
      <c r="T26" s="40"/>
      <c r="U26" s="40"/>
      <c r="V26" s="39"/>
      <c r="W26" s="39"/>
      <c r="X26" s="39"/>
      <c r="Y26" s="39"/>
      <c r="Z26" s="39"/>
      <c r="AA26" s="39"/>
      <c r="AB26" s="39"/>
      <c r="AC26" s="39"/>
      <c r="AD26" s="39"/>
      <c r="AE26" s="39"/>
      <c r="AF26" s="39"/>
      <c r="AG26" s="39"/>
      <c r="AH26" s="39"/>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7"/>
      <c r="DT26" s="37"/>
      <c r="DU26" s="37"/>
      <c r="DV26" s="37"/>
      <c r="DW26" s="37"/>
      <c r="DX26" s="37"/>
      <c r="DY26" s="37"/>
      <c r="DZ26" s="37"/>
      <c r="EA26" s="37"/>
      <c r="EB26" s="37"/>
      <c r="EC26" s="37"/>
      <c r="ED26" s="37"/>
      <c r="EE26" s="37"/>
      <c r="EF26" s="37"/>
      <c r="EG26" s="37"/>
      <c r="EH26" s="37"/>
      <c r="EI26" s="37"/>
      <c r="EJ26" s="37"/>
      <c r="EK26" s="37"/>
      <c r="EL26" s="37"/>
      <c r="EM26" s="37"/>
      <c r="EN26" s="37"/>
      <c r="EO26" s="37"/>
      <c r="EP26" s="37"/>
      <c r="EQ26" s="37"/>
      <c r="ER26" s="37"/>
      <c r="ES26" s="37"/>
      <c r="ET26" s="37"/>
      <c r="EU26" s="37"/>
      <c r="EV26" s="37"/>
      <c r="EW26" s="37"/>
      <c r="EX26" s="37"/>
      <c r="EY26" s="37"/>
      <c r="EZ26" s="37"/>
      <c r="FA26" s="37"/>
      <c r="FB26" s="37"/>
      <c r="FC26" s="37"/>
      <c r="FD26" s="37"/>
      <c r="FE26" s="37"/>
      <c r="FF26" s="37"/>
      <c r="FG26" s="37"/>
      <c r="FH26" s="37"/>
      <c r="FI26" s="37"/>
      <c r="FJ26" s="37"/>
      <c r="FK26" s="37"/>
      <c r="FL26" s="37"/>
      <c r="FM26" s="37"/>
      <c r="FN26" s="37"/>
      <c r="FO26" s="37"/>
      <c r="FP26" s="37"/>
      <c r="FQ26" s="37"/>
      <c r="FR26" s="37"/>
      <c r="FS26" s="37"/>
      <c r="FT26" s="37"/>
      <c r="FU26" s="37"/>
      <c r="FV26" s="37"/>
      <c r="FW26" s="37"/>
      <c r="FX26" s="37"/>
      <c r="FY26" s="37"/>
      <c r="FZ26" s="37"/>
      <c r="GA26" s="37"/>
      <c r="GB26" s="37"/>
      <c r="GC26" s="37"/>
      <c r="GD26" s="37"/>
      <c r="GE26" s="37"/>
      <c r="GF26" s="37"/>
      <c r="GG26" s="37"/>
      <c r="GH26" s="37"/>
      <c r="GI26" s="37"/>
      <c r="GJ26" s="37"/>
      <c r="GK26" s="37"/>
      <c r="GL26" s="37"/>
      <c r="GM26" s="37"/>
    </row>
    <row r="27" ht="15.75" customHeight="1">
      <c r="A27" s="37"/>
      <c r="B27" s="38">
        <f>+Retiros!C43</f>
        <v>45291</v>
      </c>
      <c r="C27" s="39" t="str">
        <f>+Retiros!D43</f>
        <v>15376982-6</v>
      </c>
      <c r="D27" s="39"/>
      <c r="E27" s="39">
        <f>+Retiros!E43</f>
        <v>200</v>
      </c>
      <c r="F27" s="40">
        <f>+Retiros!G43</f>
        <v>16517303</v>
      </c>
      <c r="G27" s="40"/>
      <c r="H27" s="40"/>
      <c r="I27" s="40"/>
      <c r="J27" s="40"/>
      <c r="K27" s="40"/>
      <c r="L27" s="40"/>
      <c r="M27" s="40"/>
      <c r="N27" s="41"/>
      <c r="O27" s="40"/>
      <c r="P27" s="40"/>
      <c r="Q27" s="40"/>
      <c r="R27" s="40"/>
      <c r="S27" s="40">
        <f t="shared" si="1"/>
        <v>1835254</v>
      </c>
      <c r="T27" s="40"/>
      <c r="U27" s="40"/>
      <c r="V27" s="39"/>
      <c r="W27" s="39"/>
      <c r="X27" s="39"/>
      <c r="Y27" s="39"/>
      <c r="Z27" s="39"/>
      <c r="AA27" s="39"/>
      <c r="AB27" s="39"/>
      <c r="AC27" s="39"/>
      <c r="AD27" s="39"/>
      <c r="AE27" s="39"/>
      <c r="AF27" s="39"/>
      <c r="AG27" s="39"/>
      <c r="AH27" s="39"/>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7"/>
      <c r="DT27" s="37"/>
      <c r="DU27" s="37"/>
      <c r="DV27" s="37"/>
      <c r="DW27" s="37"/>
      <c r="DX27" s="37"/>
      <c r="DY27" s="37"/>
      <c r="DZ27" s="37"/>
      <c r="EA27" s="37"/>
      <c r="EB27" s="37"/>
      <c r="EC27" s="37"/>
      <c r="ED27" s="37"/>
      <c r="EE27" s="37"/>
      <c r="EF27" s="37"/>
      <c r="EG27" s="37"/>
      <c r="EH27" s="37"/>
      <c r="EI27" s="37"/>
      <c r="EJ27" s="37"/>
      <c r="EK27" s="37"/>
      <c r="EL27" s="37"/>
      <c r="EM27" s="37"/>
      <c r="EN27" s="37"/>
      <c r="EO27" s="37"/>
      <c r="EP27" s="37"/>
      <c r="EQ27" s="37"/>
      <c r="ER27" s="37"/>
      <c r="ES27" s="37"/>
      <c r="ET27" s="37"/>
      <c r="EU27" s="37"/>
      <c r="EV27" s="37"/>
      <c r="EW27" s="37"/>
      <c r="EX27" s="37"/>
      <c r="EY27" s="37"/>
      <c r="EZ27" s="37"/>
      <c r="FA27" s="37"/>
      <c r="FB27" s="37"/>
      <c r="FC27" s="37"/>
      <c r="FD27" s="37"/>
      <c r="FE27" s="37"/>
      <c r="FF27" s="37"/>
      <c r="FG27" s="37"/>
      <c r="FH27" s="37"/>
      <c r="FI27" s="37"/>
      <c r="FJ27" s="37"/>
      <c r="FK27" s="37"/>
      <c r="FL27" s="37"/>
      <c r="FM27" s="37"/>
      <c r="FN27" s="37"/>
      <c r="FO27" s="37"/>
      <c r="FP27" s="37"/>
      <c r="FQ27" s="37"/>
      <c r="FR27" s="37"/>
      <c r="FS27" s="37"/>
      <c r="FT27" s="37"/>
      <c r="FU27" s="37"/>
      <c r="FV27" s="37"/>
      <c r="FW27" s="37"/>
      <c r="FX27" s="37"/>
      <c r="FY27" s="37"/>
      <c r="FZ27" s="37"/>
      <c r="GA27" s="37"/>
      <c r="GB27" s="37"/>
      <c r="GC27" s="37"/>
      <c r="GD27" s="37"/>
      <c r="GE27" s="37"/>
      <c r="GF27" s="37"/>
      <c r="GG27" s="37"/>
      <c r="GH27" s="37"/>
      <c r="GI27" s="37"/>
      <c r="GJ27" s="37"/>
      <c r="GK27" s="37"/>
      <c r="GL27" s="37"/>
      <c r="GM27" s="37"/>
    </row>
    <row r="28" ht="15.75" customHeight="1">
      <c r="A28" s="37"/>
      <c r="B28" s="38"/>
      <c r="C28" s="39"/>
      <c r="D28" s="39"/>
      <c r="E28" s="39"/>
      <c r="F28" s="40"/>
      <c r="G28" s="40"/>
      <c r="H28" s="40"/>
      <c r="I28" s="40"/>
      <c r="J28" s="40"/>
      <c r="K28" s="40"/>
      <c r="L28" s="40"/>
      <c r="M28" s="40"/>
      <c r="N28" s="41"/>
      <c r="O28" s="40"/>
      <c r="P28" s="40"/>
      <c r="Q28" s="40"/>
      <c r="R28" s="40"/>
      <c r="S28" s="40"/>
      <c r="T28" s="40"/>
      <c r="U28" s="40"/>
      <c r="V28" s="39"/>
      <c r="W28" s="39"/>
      <c r="X28" s="39"/>
      <c r="Y28" s="39"/>
      <c r="Z28" s="39"/>
      <c r="AA28" s="39"/>
      <c r="AB28" s="39"/>
      <c r="AC28" s="39"/>
      <c r="AD28" s="39"/>
      <c r="AE28" s="39"/>
      <c r="AF28" s="39"/>
      <c r="AG28" s="39"/>
      <c r="AH28" s="39"/>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7"/>
      <c r="DS28" s="37"/>
      <c r="DT28" s="37"/>
      <c r="DU28" s="37"/>
      <c r="DV28" s="37"/>
      <c r="DW28" s="37"/>
      <c r="DX28" s="37"/>
      <c r="DY28" s="37"/>
      <c r="DZ28" s="37"/>
      <c r="EA28" s="37"/>
      <c r="EB28" s="37"/>
      <c r="EC28" s="37"/>
      <c r="ED28" s="37"/>
      <c r="EE28" s="37"/>
      <c r="EF28" s="37"/>
      <c r="EG28" s="37"/>
      <c r="EH28" s="37"/>
      <c r="EI28" s="37"/>
      <c r="EJ28" s="37"/>
      <c r="EK28" s="37"/>
      <c r="EL28" s="37"/>
      <c r="EM28" s="37"/>
      <c r="EN28" s="37"/>
      <c r="EO28" s="37"/>
      <c r="EP28" s="37"/>
      <c r="EQ28" s="37"/>
      <c r="ER28" s="37"/>
      <c r="ES28" s="37"/>
      <c r="ET28" s="37"/>
      <c r="EU28" s="37"/>
      <c r="EV28" s="37"/>
      <c r="EW28" s="37"/>
      <c r="EX28" s="37"/>
      <c r="EY28" s="37"/>
      <c r="EZ28" s="37"/>
      <c r="FA28" s="37"/>
      <c r="FB28" s="37"/>
      <c r="FC28" s="37"/>
      <c r="FD28" s="37"/>
      <c r="FE28" s="37"/>
      <c r="FF28" s="37"/>
      <c r="FG28" s="37"/>
      <c r="FH28" s="37"/>
      <c r="FI28" s="37"/>
      <c r="FJ28" s="37"/>
      <c r="FK28" s="37"/>
      <c r="FL28" s="37"/>
      <c r="FM28" s="37"/>
      <c r="FN28" s="37"/>
      <c r="FO28" s="37"/>
      <c r="FP28" s="37"/>
      <c r="FQ28" s="37"/>
      <c r="FR28" s="37"/>
      <c r="FS28" s="37"/>
      <c r="FT28" s="37"/>
      <c r="FU28" s="37"/>
      <c r="FV28" s="37"/>
      <c r="FW28" s="37"/>
      <c r="FX28" s="37"/>
      <c r="FY28" s="37"/>
      <c r="FZ28" s="37"/>
      <c r="GA28" s="37"/>
      <c r="GB28" s="37"/>
      <c r="GC28" s="37"/>
      <c r="GD28" s="37"/>
      <c r="GE28" s="37"/>
      <c r="GF28" s="37"/>
      <c r="GG28" s="37"/>
      <c r="GH28" s="37"/>
      <c r="GI28" s="37"/>
      <c r="GJ28" s="37"/>
      <c r="GK28" s="37"/>
      <c r="GL28" s="37"/>
      <c r="GM28" s="37"/>
    </row>
    <row r="29" ht="15.75" customHeight="1">
      <c r="A29" s="1"/>
      <c r="B29" s="42"/>
      <c r="C29" s="43"/>
      <c r="D29" s="43"/>
      <c r="E29" s="43"/>
      <c r="F29" s="44"/>
      <c r="G29" s="44"/>
      <c r="H29" s="44"/>
      <c r="I29" s="44"/>
      <c r="J29" s="44"/>
      <c r="K29" s="44"/>
      <c r="L29" s="44"/>
      <c r="M29" s="44"/>
      <c r="N29" s="45"/>
      <c r="O29" s="44"/>
      <c r="P29" s="44"/>
      <c r="Q29" s="44"/>
      <c r="R29" s="44"/>
      <c r="S29" s="44"/>
      <c r="T29" s="44"/>
      <c r="U29" s="40"/>
      <c r="V29" s="43"/>
      <c r="W29" s="43"/>
      <c r="X29" s="43"/>
      <c r="Y29" s="43"/>
      <c r="Z29" s="43"/>
      <c r="AA29" s="43"/>
      <c r="AB29" s="43"/>
      <c r="AC29" s="43"/>
      <c r="AD29" s="43"/>
      <c r="AE29" s="43"/>
      <c r="AF29" s="43"/>
      <c r="AG29" s="43"/>
      <c r="AH29" s="43"/>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row>
    <row r="30" ht="15.75" customHeight="1">
      <c r="A30" s="1"/>
      <c r="B30" s="1"/>
      <c r="C30" s="1"/>
      <c r="D30" s="1"/>
      <c r="E30" s="1"/>
      <c r="F30" s="45"/>
      <c r="G30" s="45"/>
      <c r="H30" s="45"/>
      <c r="I30" s="45"/>
      <c r="J30" s="45"/>
      <c r="K30" s="45"/>
      <c r="L30" s="45"/>
      <c r="M30" s="45"/>
      <c r="N30" s="46"/>
      <c r="O30" s="45"/>
      <c r="P30" s="45"/>
      <c r="Q30" s="45"/>
      <c r="R30" s="45"/>
      <c r="S30" s="45"/>
      <c r="T30" s="45"/>
      <c r="U30" s="45"/>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row>
    <row r="31" ht="15.75" customHeight="1">
      <c r="A31" s="1"/>
      <c r="B31" s="1" t="s">
        <v>82</v>
      </c>
      <c r="C31" s="1" t="s">
        <v>83</v>
      </c>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row>
    <row r="32" ht="15.0" customHeight="1">
      <c r="A32" s="1"/>
      <c r="B32" s="18" t="s">
        <v>84</v>
      </c>
      <c r="C32" s="18" t="s">
        <v>85</v>
      </c>
      <c r="D32" s="47"/>
      <c r="E32" s="1"/>
      <c r="F32" s="48"/>
      <c r="G32" s="48"/>
      <c r="H32" s="48"/>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row>
    <row r="33" ht="15.0" customHeight="1">
      <c r="A33" s="1"/>
      <c r="B33" s="20"/>
      <c r="C33" s="20"/>
      <c r="D33" s="47"/>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row>
    <row r="34" ht="15.0" customHeight="1">
      <c r="A34" s="1"/>
      <c r="B34" s="20"/>
      <c r="C34" s="20"/>
      <c r="D34" s="47"/>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row>
    <row r="35" ht="15.75" customHeight="1">
      <c r="A35" s="1"/>
      <c r="B35" s="20"/>
      <c r="C35" s="20"/>
      <c r="D35" s="47"/>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row>
    <row r="36" ht="15.75" customHeight="1">
      <c r="A36" s="1"/>
      <c r="B36" s="34"/>
      <c r="C36" s="34"/>
      <c r="D36" s="47"/>
      <c r="E36" s="1"/>
      <c r="F36" s="1"/>
      <c r="G36" s="1"/>
      <c r="H36" s="1"/>
      <c r="I36" s="1"/>
      <c r="J36" s="1"/>
      <c r="K36" s="1"/>
      <c r="L36" s="1"/>
      <c r="M36" s="1"/>
      <c r="N36" s="1"/>
      <c r="O36" s="1"/>
      <c r="P36" s="1"/>
      <c r="Q36" s="1"/>
      <c r="R36" s="49"/>
      <c r="S36" s="1"/>
      <c r="T36" s="49"/>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row>
    <row r="37" ht="15.75" customHeight="1">
      <c r="A37" s="1"/>
      <c r="B37" s="35" t="s">
        <v>86</v>
      </c>
      <c r="C37" s="35" t="s">
        <v>87</v>
      </c>
      <c r="D37" s="43"/>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row>
    <row r="39" ht="15.75" customHeight="1">
      <c r="A39" s="1"/>
      <c r="B39" s="50" t="s">
        <v>88</v>
      </c>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6"/>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row>
    <row r="40" ht="36.0" customHeight="1">
      <c r="A40" s="1"/>
      <c r="B40" s="18" t="s">
        <v>15</v>
      </c>
      <c r="C40" s="14" t="s">
        <v>16</v>
      </c>
      <c r="D40" s="15"/>
      <c r="E40" s="15"/>
      <c r="F40" s="15"/>
      <c r="G40" s="15"/>
      <c r="H40" s="15"/>
      <c r="I40" s="15"/>
      <c r="J40" s="15"/>
      <c r="K40" s="15"/>
      <c r="L40" s="15"/>
      <c r="M40" s="15"/>
      <c r="N40" s="16"/>
      <c r="O40" s="19" t="s">
        <v>17</v>
      </c>
      <c r="P40" s="15"/>
      <c r="Q40" s="15"/>
      <c r="R40" s="15"/>
      <c r="S40" s="15"/>
      <c r="T40" s="15"/>
      <c r="U40" s="15"/>
      <c r="V40" s="15"/>
      <c r="W40" s="15"/>
      <c r="X40" s="15"/>
      <c r="Y40" s="15"/>
      <c r="Z40" s="15"/>
      <c r="AA40" s="15"/>
      <c r="AB40" s="15"/>
      <c r="AC40" s="16"/>
      <c r="AD40" s="18" t="s">
        <v>18</v>
      </c>
      <c r="AE40" s="18" t="s">
        <v>85</v>
      </c>
      <c r="AF40" s="51" t="s">
        <v>89</v>
      </c>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row>
    <row r="41" ht="28.5" customHeight="1">
      <c r="A41" s="1"/>
      <c r="B41" s="20"/>
      <c r="C41" s="21" t="s">
        <v>20</v>
      </c>
      <c r="D41" s="22"/>
      <c r="E41" s="22"/>
      <c r="F41" s="23"/>
      <c r="G41" s="19" t="s">
        <v>90</v>
      </c>
      <c r="H41" s="15"/>
      <c r="I41" s="15"/>
      <c r="J41" s="15"/>
      <c r="K41" s="15"/>
      <c r="L41" s="24"/>
      <c r="M41" s="24"/>
      <c r="N41" s="24"/>
      <c r="O41" s="19" t="s">
        <v>22</v>
      </c>
      <c r="P41" s="15"/>
      <c r="Q41" s="15"/>
      <c r="R41" s="15"/>
      <c r="S41" s="15"/>
      <c r="T41" s="15"/>
      <c r="U41" s="15"/>
      <c r="V41" s="15"/>
      <c r="W41" s="16"/>
      <c r="X41" s="19" t="s">
        <v>23</v>
      </c>
      <c r="Y41" s="15"/>
      <c r="Z41" s="15"/>
      <c r="AA41" s="15"/>
      <c r="AB41" s="16"/>
      <c r="AC41" s="18" t="s">
        <v>24</v>
      </c>
      <c r="AD41" s="20"/>
      <c r="AE41" s="20"/>
      <c r="AF41" s="20"/>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row>
    <row r="42" ht="54.0" customHeight="1">
      <c r="A42" s="1"/>
      <c r="B42" s="20"/>
      <c r="C42" s="25"/>
      <c r="F42" s="26"/>
      <c r="G42" s="27" t="s">
        <v>25</v>
      </c>
      <c r="H42" s="15"/>
      <c r="I42" s="15"/>
      <c r="J42" s="15"/>
      <c r="K42" s="15"/>
      <c r="L42" s="21" t="s">
        <v>91</v>
      </c>
      <c r="M42" s="23"/>
      <c r="N42" s="18" t="s">
        <v>27</v>
      </c>
      <c r="O42" s="19" t="s">
        <v>28</v>
      </c>
      <c r="P42" s="15"/>
      <c r="Q42" s="15"/>
      <c r="R42" s="15"/>
      <c r="S42" s="15"/>
      <c r="T42" s="16"/>
      <c r="U42" s="21" t="s">
        <v>29</v>
      </c>
      <c r="V42" s="23"/>
      <c r="W42" s="18" t="s">
        <v>30</v>
      </c>
      <c r="X42" s="19" t="s">
        <v>28</v>
      </c>
      <c r="Y42" s="16"/>
      <c r="Z42" s="19" t="s">
        <v>92</v>
      </c>
      <c r="AA42" s="16"/>
      <c r="AB42" s="18" t="s">
        <v>30</v>
      </c>
      <c r="AC42" s="20"/>
      <c r="AD42" s="20"/>
      <c r="AE42" s="20"/>
      <c r="AF42" s="20"/>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row>
    <row r="43" ht="38.25" customHeight="1">
      <c r="A43" s="1"/>
      <c r="B43" s="20"/>
      <c r="C43" s="28"/>
      <c r="D43" s="29"/>
      <c r="E43" s="29"/>
      <c r="F43" s="30"/>
      <c r="G43" s="18" t="s">
        <v>32</v>
      </c>
      <c r="H43" s="31" t="s">
        <v>33</v>
      </c>
      <c r="I43" s="18" t="s">
        <v>34</v>
      </c>
      <c r="J43" s="18" t="s">
        <v>35</v>
      </c>
      <c r="K43" s="18" t="s">
        <v>36</v>
      </c>
      <c r="L43" s="21" t="s">
        <v>37</v>
      </c>
      <c r="M43" s="18" t="s">
        <v>38</v>
      </c>
      <c r="N43" s="20"/>
      <c r="O43" s="19" t="s">
        <v>39</v>
      </c>
      <c r="P43" s="16"/>
      <c r="Q43" s="19" t="s">
        <v>40</v>
      </c>
      <c r="R43" s="16"/>
      <c r="S43" s="19" t="s">
        <v>41</v>
      </c>
      <c r="T43" s="16"/>
      <c r="U43" s="19" t="s">
        <v>41</v>
      </c>
      <c r="V43" s="16"/>
      <c r="W43" s="20"/>
      <c r="X43" s="18" t="s">
        <v>42</v>
      </c>
      <c r="Y43" s="18" t="s">
        <v>43</v>
      </c>
      <c r="Z43" s="18" t="s">
        <v>42</v>
      </c>
      <c r="AA43" s="18" t="s">
        <v>43</v>
      </c>
      <c r="AB43" s="20"/>
      <c r="AC43" s="20"/>
      <c r="AD43" s="20"/>
      <c r="AE43" s="20"/>
      <c r="AF43" s="20"/>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row>
    <row r="44" ht="15.75" customHeight="1">
      <c r="A44" s="1"/>
      <c r="B44" s="20"/>
      <c r="C44" s="18" t="s">
        <v>45</v>
      </c>
      <c r="D44" s="18" t="s">
        <v>46</v>
      </c>
      <c r="E44" s="18" t="s">
        <v>47</v>
      </c>
      <c r="F44" s="18" t="s">
        <v>48</v>
      </c>
      <c r="G44" s="20"/>
      <c r="H44" s="26"/>
      <c r="I44" s="20"/>
      <c r="J44" s="20"/>
      <c r="K44" s="20"/>
      <c r="L44" s="25"/>
      <c r="M44" s="20"/>
      <c r="N44" s="20"/>
      <c r="O44" s="18" t="s">
        <v>42</v>
      </c>
      <c r="P44" s="18" t="s">
        <v>43</v>
      </c>
      <c r="Q44" s="18" t="s">
        <v>42</v>
      </c>
      <c r="R44" s="18" t="s">
        <v>43</v>
      </c>
      <c r="S44" s="18" t="s">
        <v>42</v>
      </c>
      <c r="T44" s="18" t="s">
        <v>43</v>
      </c>
      <c r="U44" s="18" t="s">
        <v>42</v>
      </c>
      <c r="V44" s="18" t="s">
        <v>43</v>
      </c>
      <c r="W44" s="20"/>
      <c r="X44" s="20"/>
      <c r="Y44" s="20"/>
      <c r="Z44" s="20"/>
      <c r="AA44" s="20"/>
      <c r="AB44" s="20"/>
      <c r="AC44" s="20"/>
      <c r="AD44" s="20"/>
      <c r="AE44" s="20"/>
      <c r="AF44" s="20"/>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row>
    <row r="45" ht="89.25" customHeight="1">
      <c r="A45" s="1"/>
      <c r="B45" s="34"/>
      <c r="C45" s="34"/>
      <c r="D45" s="34"/>
      <c r="E45" s="34"/>
      <c r="F45" s="34"/>
      <c r="G45" s="34"/>
      <c r="H45" s="30"/>
      <c r="I45" s="34"/>
      <c r="J45" s="34"/>
      <c r="K45" s="34"/>
      <c r="L45" s="28"/>
      <c r="M45" s="34"/>
      <c r="N45" s="34"/>
      <c r="O45" s="34"/>
      <c r="P45" s="34"/>
      <c r="Q45" s="34"/>
      <c r="R45" s="34"/>
      <c r="S45" s="34"/>
      <c r="T45" s="34"/>
      <c r="U45" s="34"/>
      <c r="V45" s="34"/>
      <c r="W45" s="34"/>
      <c r="X45" s="34"/>
      <c r="Y45" s="34"/>
      <c r="Z45" s="34"/>
      <c r="AA45" s="34"/>
      <c r="AB45" s="34"/>
      <c r="AC45" s="34"/>
      <c r="AD45" s="34"/>
      <c r="AE45" s="34"/>
      <c r="AF45" s="34"/>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row>
    <row r="46" ht="15.75" customHeight="1">
      <c r="A46" s="1"/>
      <c r="B46" s="36" t="s">
        <v>93</v>
      </c>
      <c r="C46" s="36" t="s">
        <v>94</v>
      </c>
      <c r="D46" s="36" t="s">
        <v>95</v>
      </c>
      <c r="E46" s="36" t="s">
        <v>96</v>
      </c>
      <c r="F46" s="36" t="s">
        <v>97</v>
      </c>
      <c r="G46" s="36" t="s">
        <v>98</v>
      </c>
      <c r="H46" s="36" t="s">
        <v>99</v>
      </c>
      <c r="I46" s="36" t="s">
        <v>100</v>
      </c>
      <c r="J46" s="36" t="s">
        <v>101</v>
      </c>
      <c r="K46" s="36" t="s">
        <v>102</v>
      </c>
      <c r="L46" s="36" t="s">
        <v>103</v>
      </c>
      <c r="M46" s="36" t="s">
        <v>104</v>
      </c>
      <c r="N46" s="36" t="s">
        <v>105</v>
      </c>
      <c r="O46" s="36" t="s">
        <v>106</v>
      </c>
      <c r="P46" s="36" t="s">
        <v>107</v>
      </c>
      <c r="Q46" s="36" t="s">
        <v>108</v>
      </c>
      <c r="R46" s="36" t="s">
        <v>109</v>
      </c>
      <c r="S46" s="36" t="s">
        <v>110</v>
      </c>
      <c r="T46" s="36" t="s">
        <v>111</v>
      </c>
      <c r="U46" s="36" t="s">
        <v>112</v>
      </c>
      <c r="V46" s="36" t="s">
        <v>113</v>
      </c>
      <c r="W46" s="36" t="s">
        <v>114</v>
      </c>
      <c r="X46" s="36" t="s">
        <v>115</v>
      </c>
      <c r="Y46" s="36" t="s">
        <v>116</v>
      </c>
      <c r="Z46" s="36" t="s">
        <v>117</v>
      </c>
      <c r="AA46" s="36" t="s">
        <v>118</v>
      </c>
      <c r="AB46" s="36" t="s">
        <v>119</v>
      </c>
      <c r="AC46" s="36" t="s">
        <v>120</v>
      </c>
      <c r="AD46" s="36" t="s">
        <v>121</v>
      </c>
      <c r="AE46" s="36" t="s">
        <v>122</v>
      </c>
      <c r="AF46" s="36" t="s">
        <v>123</v>
      </c>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row>
    <row r="49" ht="15.75" customHeight="1">
      <c r="A49" s="1"/>
      <c r="B49" s="52" t="s">
        <v>124</v>
      </c>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row>
    <row r="51" ht="15.75" customHeight="1">
      <c r="A51" s="1"/>
      <c r="B51" s="53" t="s">
        <v>125</v>
      </c>
      <c r="C51" s="16"/>
      <c r="D51" s="54"/>
      <c r="E51" s="1"/>
      <c r="F51" s="53" t="s">
        <v>126</v>
      </c>
      <c r="G51" s="15"/>
      <c r="H51" s="15"/>
      <c r="I51" s="16"/>
      <c r="J51" s="54"/>
      <c r="K51" s="54"/>
      <c r="L51" s="54"/>
      <c r="M51" s="54"/>
      <c r="N51" s="54"/>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row>
    <row r="52" ht="15.75" customHeight="1">
      <c r="A52" s="1"/>
      <c r="B52" s="55"/>
      <c r="C52" s="56"/>
      <c r="D52" s="57"/>
      <c r="E52" s="1"/>
      <c r="F52" s="55"/>
      <c r="G52" s="58"/>
      <c r="H52" s="58"/>
      <c r="I52" s="56"/>
      <c r="J52" s="57"/>
      <c r="K52" s="57"/>
      <c r="L52" s="57"/>
      <c r="M52" s="57"/>
      <c r="N52" s="57"/>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row>
  </sheetData>
  <mergeCells count="107">
    <mergeCell ref="J19:N19"/>
    <mergeCell ref="R19:Z19"/>
    <mergeCell ref="AG18:AG23"/>
    <mergeCell ref="AF19:AF23"/>
    <mergeCell ref="J20:N20"/>
    <mergeCell ref="O20:P20"/>
    <mergeCell ref="AH18:AH23"/>
    <mergeCell ref="AE20:AE23"/>
    <mergeCell ref="J21:J23"/>
    <mergeCell ref="K21:K23"/>
    <mergeCell ref="D2:M3"/>
    <mergeCell ref="D9:F9"/>
    <mergeCell ref="D11:F11"/>
    <mergeCell ref="D13:F13"/>
    <mergeCell ref="D14:F14"/>
    <mergeCell ref="B18:B23"/>
    <mergeCell ref="C18:C23"/>
    <mergeCell ref="I22:I23"/>
    <mergeCell ref="W22:W23"/>
    <mergeCell ref="X22:X23"/>
    <mergeCell ref="Y22:Y23"/>
    <mergeCell ref="L21:L23"/>
    <mergeCell ref="M21:M23"/>
    <mergeCell ref="R22:R23"/>
    <mergeCell ref="S22:S23"/>
    <mergeCell ref="T22:T23"/>
    <mergeCell ref="U22:U23"/>
    <mergeCell ref="V22:V23"/>
    <mergeCell ref="AA19:AE19"/>
    <mergeCell ref="R20:W20"/>
    <mergeCell ref="X20:Y20"/>
    <mergeCell ref="AA20:AB20"/>
    <mergeCell ref="AC20:AD20"/>
    <mergeCell ref="D18:D23"/>
    <mergeCell ref="F18:Q18"/>
    <mergeCell ref="R18:AF18"/>
    <mergeCell ref="F19:I21"/>
    <mergeCell ref="P21:P23"/>
    <mergeCell ref="X21:Y21"/>
    <mergeCell ref="AD21:AD23"/>
    <mergeCell ref="N21:N23"/>
    <mergeCell ref="O21:O23"/>
    <mergeCell ref="Q20:Q23"/>
    <mergeCell ref="R21:S21"/>
    <mergeCell ref="T21:U21"/>
    <mergeCell ref="V21:W21"/>
    <mergeCell ref="Z20:Z23"/>
    <mergeCell ref="AA21:AA23"/>
    <mergeCell ref="AB21:AB23"/>
    <mergeCell ref="AC21:AC23"/>
    <mergeCell ref="AD40:AD45"/>
    <mergeCell ref="AE40:AE45"/>
    <mergeCell ref="AF40:AF45"/>
    <mergeCell ref="AC41:AC45"/>
    <mergeCell ref="AB42:AB45"/>
    <mergeCell ref="G22:G23"/>
    <mergeCell ref="H22:H23"/>
    <mergeCell ref="B39:AF39"/>
    <mergeCell ref="C40:N40"/>
    <mergeCell ref="O40:AC40"/>
    <mergeCell ref="O41:W41"/>
    <mergeCell ref="X41:AB41"/>
    <mergeCell ref="D44:D45"/>
    <mergeCell ref="E44:E45"/>
    <mergeCell ref="S44:S45"/>
    <mergeCell ref="T44:T45"/>
    <mergeCell ref="U44:U45"/>
    <mergeCell ref="V44:V45"/>
    <mergeCell ref="E18:E23"/>
    <mergeCell ref="F22:F23"/>
    <mergeCell ref="B32:B36"/>
    <mergeCell ref="C32:C36"/>
    <mergeCell ref="B40:B45"/>
    <mergeCell ref="C41:F43"/>
    <mergeCell ref="C44:C45"/>
    <mergeCell ref="F44:F45"/>
    <mergeCell ref="O42:T42"/>
    <mergeCell ref="O43:P43"/>
    <mergeCell ref="Q43:R43"/>
    <mergeCell ref="S43:T43"/>
    <mergeCell ref="B49:V49"/>
    <mergeCell ref="B51:C51"/>
    <mergeCell ref="F51:I51"/>
    <mergeCell ref="G41:K41"/>
    <mergeCell ref="G42:K42"/>
    <mergeCell ref="L42:M42"/>
    <mergeCell ref="N42:N45"/>
    <mergeCell ref="U42:V42"/>
    <mergeCell ref="M43:M45"/>
    <mergeCell ref="U43:V43"/>
    <mergeCell ref="X42:Y42"/>
    <mergeCell ref="Z42:AA42"/>
    <mergeCell ref="G43:G45"/>
    <mergeCell ref="H43:H45"/>
    <mergeCell ref="I43:I45"/>
    <mergeCell ref="J43:J45"/>
    <mergeCell ref="K43:K45"/>
    <mergeCell ref="L43:L45"/>
    <mergeCell ref="W42:W45"/>
    <mergeCell ref="X43:X45"/>
    <mergeCell ref="Y43:Y45"/>
    <mergeCell ref="Z43:Z45"/>
    <mergeCell ref="AA43:AA45"/>
    <mergeCell ref="O44:O45"/>
    <mergeCell ref="P44:P45"/>
    <mergeCell ref="Q44:Q45"/>
    <mergeCell ref="R44:R45"/>
  </mergeCells>
  <printOptions/>
  <pageMargins bottom="0.75" footer="0.0" header="0.0" left="0.7" right="0.7" top="0.75"/>
  <pageSetup orientation="portrait"/>
  <colBreaks count="1" manualBreakCount="1">
    <brk id="17"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10.71"/>
    <col customWidth="1" min="3" max="3" width="12.71"/>
    <col customWidth="1" min="4" max="5" width="11.43"/>
    <col customWidth="1" min="6" max="6" width="39.14"/>
    <col customWidth="1" min="7" max="7" width="13.14"/>
    <col customWidth="1" min="8" max="8" width="11.57"/>
    <col customWidth="1" min="9" max="10" width="11.43"/>
    <col customWidth="1" min="11" max="11" width="5.0"/>
    <col customWidth="1" min="12" max="13" width="11.43"/>
    <col customWidth="1" min="14" max="26" width="10.71"/>
  </cols>
  <sheetData>
    <row r="1">
      <c r="A1" s="59"/>
      <c r="C1" s="59"/>
      <c r="D1" s="59"/>
      <c r="E1" s="59"/>
      <c r="F1" s="60"/>
      <c r="G1" s="59"/>
      <c r="H1" s="61"/>
      <c r="I1" s="59"/>
      <c r="J1" s="59"/>
      <c r="K1" s="59"/>
      <c r="L1" s="59"/>
      <c r="M1" s="59"/>
      <c r="N1" s="59"/>
      <c r="O1" s="59"/>
      <c r="P1" s="59"/>
      <c r="Q1" s="59"/>
      <c r="R1" s="59"/>
      <c r="S1" s="59"/>
      <c r="T1" s="59"/>
      <c r="U1" s="59"/>
      <c r="V1" s="59"/>
      <c r="W1" s="59"/>
      <c r="X1" s="59"/>
      <c r="Y1" s="59"/>
      <c r="Z1" s="59"/>
    </row>
    <row r="2">
      <c r="A2" s="59"/>
      <c r="C2" s="62">
        <v>44938.0</v>
      </c>
      <c r="D2" s="59" t="s">
        <v>127</v>
      </c>
      <c r="E2" s="59">
        <v>400.0</v>
      </c>
      <c r="F2" s="63" t="s">
        <v>128</v>
      </c>
      <c r="G2" s="64">
        <v>2276374.0</v>
      </c>
      <c r="H2" s="61">
        <v>1.045</v>
      </c>
      <c r="I2" s="64">
        <f t="shared" ref="I2:I37" si="1">+J2-G2</f>
        <v>102436.83</v>
      </c>
      <c r="J2" s="64">
        <f t="shared" ref="J2:J37" si="2">+G2*H2</f>
        <v>2378810.83</v>
      </c>
      <c r="K2" s="64"/>
      <c r="L2" s="65">
        <f t="shared" ref="L2:L37" si="3">+G2*0.111111</f>
        <v>252930.1915</v>
      </c>
      <c r="M2" s="65">
        <f t="shared" ref="M2:M37" si="4">+J2*0.111111</f>
        <v>264312.0501</v>
      </c>
      <c r="N2" s="59"/>
      <c r="O2" s="59"/>
      <c r="P2" s="59"/>
      <c r="Q2" s="59"/>
      <c r="R2" s="59"/>
      <c r="S2" s="59"/>
      <c r="T2" s="59"/>
      <c r="U2" s="59"/>
      <c r="V2" s="59"/>
      <c r="W2" s="59"/>
      <c r="X2" s="59"/>
      <c r="Y2" s="59"/>
      <c r="Z2" s="59"/>
    </row>
    <row r="3">
      <c r="A3" s="59"/>
      <c r="C3" s="62">
        <v>44938.0</v>
      </c>
      <c r="D3" s="59" t="s">
        <v>129</v>
      </c>
      <c r="E3" s="59">
        <v>400.0</v>
      </c>
      <c r="F3" s="63" t="s">
        <v>130</v>
      </c>
      <c r="G3" s="64">
        <v>2276374.0</v>
      </c>
      <c r="H3" s="61">
        <v>1.045</v>
      </c>
      <c r="I3" s="64">
        <f t="shared" si="1"/>
        <v>102436.83</v>
      </c>
      <c r="J3" s="64">
        <f t="shared" si="2"/>
        <v>2378810.83</v>
      </c>
      <c r="K3" s="64"/>
      <c r="L3" s="65">
        <f t="shared" si="3"/>
        <v>252930.1915</v>
      </c>
      <c r="M3" s="65">
        <f t="shared" si="4"/>
        <v>264312.0501</v>
      </c>
      <c r="N3" s="59"/>
      <c r="O3" s="59"/>
      <c r="P3" s="59"/>
      <c r="Q3" s="59"/>
      <c r="R3" s="59"/>
      <c r="S3" s="59"/>
      <c r="T3" s="59"/>
      <c r="U3" s="59"/>
      <c r="V3" s="59"/>
      <c r="W3" s="59"/>
      <c r="X3" s="59"/>
      <c r="Y3" s="59"/>
      <c r="Z3" s="59"/>
    </row>
    <row r="4">
      <c r="A4" s="59"/>
      <c r="C4" s="62">
        <v>44938.0</v>
      </c>
      <c r="D4" s="59" t="s">
        <v>131</v>
      </c>
      <c r="E4" s="59">
        <v>200.0</v>
      </c>
      <c r="F4" s="63" t="s">
        <v>132</v>
      </c>
      <c r="G4" s="64">
        <v>1138187.0</v>
      </c>
      <c r="H4" s="61">
        <v>1.045</v>
      </c>
      <c r="I4" s="64">
        <f t="shared" si="1"/>
        <v>51218.415</v>
      </c>
      <c r="J4" s="64">
        <f t="shared" si="2"/>
        <v>1189405.415</v>
      </c>
      <c r="K4" s="64"/>
      <c r="L4" s="65">
        <f t="shared" si="3"/>
        <v>126465.0958</v>
      </c>
      <c r="M4" s="65">
        <f t="shared" si="4"/>
        <v>132156.0251</v>
      </c>
      <c r="N4" s="59"/>
      <c r="O4" s="59"/>
      <c r="P4" s="59"/>
      <c r="Q4" s="59"/>
      <c r="R4" s="59"/>
      <c r="S4" s="59"/>
      <c r="T4" s="59"/>
      <c r="U4" s="59"/>
      <c r="V4" s="59"/>
      <c r="W4" s="59"/>
      <c r="X4" s="59"/>
      <c r="Y4" s="59"/>
      <c r="Z4" s="59"/>
    </row>
    <row r="5">
      <c r="A5" s="59"/>
      <c r="C5" s="62">
        <v>44971.0</v>
      </c>
      <c r="D5" s="59" t="s">
        <v>127</v>
      </c>
      <c r="E5" s="59">
        <v>400.0</v>
      </c>
      <c r="F5" s="63" t="s">
        <v>130</v>
      </c>
      <c r="G5" s="64">
        <v>258232.0</v>
      </c>
      <c r="H5" s="61">
        <v>1.037</v>
      </c>
      <c r="I5" s="64">
        <f t="shared" si="1"/>
        <v>9554.584</v>
      </c>
      <c r="J5" s="64">
        <f t="shared" si="2"/>
        <v>267786.584</v>
      </c>
      <c r="K5" s="64"/>
      <c r="L5" s="65">
        <f t="shared" si="3"/>
        <v>28692.41575</v>
      </c>
      <c r="M5" s="65">
        <f t="shared" si="4"/>
        <v>29754.03513</v>
      </c>
      <c r="N5" s="59"/>
      <c r="O5" s="59"/>
      <c r="P5" s="59"/>
      <c r="Q5" s="59"/>
      <c r="R5" s="59"/>
      <c r="S5" s="59"/>
      <c r="T5" s="59"/>
      <c r="U5" s="59"/>
      <c r="V5" s="59"/>
      <c r="W5" s="59"/>
      <c r="X5" s="59"/>
      <c r="Y5" s="59"/>
      <c r="Z5" s="59"/>
    </row>
    <row r="6">
      <c r="A6" s="59"/>
      <c r="C6" s="62">
        <v>44971.0</v>
      </c>
      <c r="D6" s="59" t="s">
        <v>129</v>
      </c>
      <c r="E6" s="59">
        <v>400.0</v>
      </c>
      <c r="F6" s="63" t="s">
        <v>128</v>
      </c>
      <c r="G6" s="64">
        <v>258232.0</v>
      </c>
      <c r="H6" s="61">
        <v>1.037</v>
      </c>
      <c r="I6" s="64">
        <f t="shared" si="1"/>
        <v>9554.584</v>
      </c>
      <c r="J6" s="64">
        <f t="shared" si="2"/>
        <v>267786.584</v>
      </c>
      <c r="K6" s="64"/>
      <c r="L6" s="65">
        <f t="shared" si="3"/>
        <v>28692.41575</v>
      </c>
      <c r="M6" s="65">
        <f t="shared" si="4"/>
        <v>29754.03513</v>
      </c>
      <c r="N6" s="59"/>
      <c r="O6" s="59"/>
      <c r="P6" s="59"/>
      <c r="Q6" s="59"/>
      <c r="R6" s="59"/>
      <c r="S6" s="59"/>
      <c r="T6" s="59"/>
      <c r="U6" s="59"/>
      <c r="V6" s="59"/>
      <c r="W6" s="59"/>
      <c r="X6" s="59"/>
      <c r="Y6" s="59"/>
      <c r="Z6" s="59"/>
    </row>
    <row r="7">
      <c r="A7" s="59"/>
      <c r="C7" s="62">
        <v>44971.0</v>
      </c>
      <c r="D7" s="59" t="s">
        <v>131</v>
      </c>
      <c r="E7" s="59">
        <v>200.0</v>
      </c>
      <c r="F7" s="63" t="s">
        <v>132</v>
      </c>
      <c r="G7" s="64">
        <v>129116.0</v>
      </c>
      <c r="H7" s="61">
        <v>1.037</v>
      </c>
      <c r="I7" s="64">
        <f t="shared" si="1"/>
        <v>4777.292</v>
      </c>
      <c r="J7" s="64">
        <f t="shared" si="2"/>
        <v>133893.292</v>
      </c>
      <c r="K7" s="64"/>
      <c r="L7" s="65">
        <f t="shared" si="3"/>
        <v>14346.20788</v>
      </c>
      <c r="M7" s="65">
        <f t="shared" si="4"/>
        <v>14877.01757</v>
      </c>
      <c r="N7" s="59"/>
      <c r="O7" s="59"/>
      <c r="P7" s="59"/>
      <c r="Q7" s="59"/>
      <c r="R7" s="59"/>
      <c r="S7" s="59"/>
      <c r="T7" s="59"/>
      <c r="U7" s="59"/>
      <c r="V7" s="59"/>
      <c r="W7" s="59"/>
      <c r="X7" s="59"/>
      <c r="Y7" s="59"/>
      <c r="Z7" s="59"/>
    </row>
    <row r="8">
      <c r="A8" s="59"/>
      <c r="C8" s="62">
        <v>45054.0</v>
      </c>
      <c r="D8" s="59" t="s">
        <v>127</v>
      </c>
      <c r="E8" s="59">
        <v>400.0</v>
      </c>
      <c r="F8" s="63" t="s">
        <v>130</v>
      </c>
      <c r="G8" s="64">
        <v>4000000.0</v>
      </c>
      <c r="H8" s="61">
        <v>1.023</v>
      </c>
      <c r="I8" s="64">
        <f t="shared" si="1"/>
        <v>92000</v>
      </c>
      <c r="J8" s="64">
        <f t="shared" si="2"/>
        <v>4092000</v>
      </c>
      <c r="K8" s="64"/>
      <c r="L8" s="65">
        <f t="shared" si="3"/>
        <v>444444</v>
      </c>
      <c r="M8" s="65">
        <f t="shared" si="4"/>
        <v>454666.212</v>
      </c>
      <c r="N8" s="59"/>
      <c r="O8" s="59"/>
      <c r="P8" s="59"/>
      <c r="Q8" s="59"/>
      <c r="R8" s="59"/>
      <c r="S8" s="59"/>
      <c r="T8" s="59"/>
      <c r="U8" s="59"/>
      <c r="V8" s="59"/>
      <c r="W8" s="59"/>
      <c r="X8" s="59"/>
      <c r="Y8" s="59"/>
      <c r="Z8" s="59"/>
    </row>
    <row r="9">
      <c r="A9" s="59"/>
      <c r="C9" s="62">
        <v>45054.0</v>
      </c>
      <c r="D9" s="59" t="s">
        <v>129</v>
      </c>
      <c r="E9" s="59">
        <v>400.0</v>
      </c>
      <c r="F9" s="63" t="s">
        <v>128</v>
      </c>
      <c r="G9" s="64">
        <v>4000000.0</v>
      </c>
      <c r="H9" s="61">
        <v>1.023</v>
      </c>
      <c r="I9" s="64">
        <f t="shared" si="1"/>
        <v>92000</v>
      </c>
      <c r="J9" s="64">
        <f t="shared" si="2"/>
        <v>4092000</v>
      </c>
      <c r="K9" s="64"/>
      <c r="L9" s="65">
        <f t="shared" si="3"/>
        <v>444444</v>
      </c>
      <c r="M9" s="65">
        <f t="shared" si="4"/>
        <v>454666.212</v>
      </c>
      <c r="N9" s="59"/>
      <c r="O9" s="59"/>
      <c r="P9" s="59"/>
      <c r="Q9" s="59"/>
      <c r="R9" s="59"/>
      <c r="S9" s="59"/>
      <c r="T9" s="59"/>
      <c r="U9" s="59"/>
      <c r="V9" s="59"/>
      <c r="W9" s="59"/>
      <c r="X9" s="59"/>
      <c r="Y9" s="59"/>
      <c r="Z9" s="59"/>
    </row>
    <row r="10">
      <c r="A10" s="59"/>
      <c r="C10" s="62">
        <v>45054.0</v>
      </c>
      <c r="D10" s="59" t="s">
        <v>131</v>
      </c>
      <c r="E10" s="59">
        <v>200.0</v>
      </c>
      <c r="F10" s="63" t="s">
        <v>132</v>
      </c>
      <c r="G10" s="64">
        <v>2000000.0</v>
      </c>
      <c r="H10" s="61">
        <v>1.023</v>
      </c>
      <c r="I10" s="64">
        <f t="shared" si="1"/>
        <v>46000</v>
      </c>
      <c r="J10" s="64">
        <f t="shared" si="2"/>
        <v>2046000</v>
      </c>
      <c r="K10" s="64"/>
      <c r="L10" s="65">
        <f t="shared" si="3"/>
        <v>222222</v>
      </c>
      <c r="M10" s="65">
        <f t="shared" si="4"/>
        <v>227333.106</v>
      </c>
      <c r="N10" s="59"/>
      <c r="O10" s="59"/>
      <c r="P10" s="59"/>
      <c r="Q10" s="59"/>
      <c r="R10" s="59"/>
      <c r="S10" s="59"/>
      <c r="T10" s="59"/>
      <c r="U10" s="59"/>
      <c r="V10" s="59"/>
      <c r="W10" s="59"/>
      <c r="X10" s="59"/>
      <c r="Y10" s="59"/>
      <c r="Z10" s="59"/>
    </row>
    <row r="11">
      <c r="A11" s="59"/>
      <c r="C11" s="62">
        <v>45055.0</v>
      </c>
      <c r="D11" s="59" t="s">
        <v>127</v>
      </c>
      <c r="E11" s="59">
        <v>400.0</v>
      </c>
      <c r="F11" s="63" t="s">
        <v>130</v>
      </c>
      <c r="G11" s="64">
        <v>1000000.0</v>
      </c>
      <c r="H11" s="61">
        <v>1.023</v>
      </c>
      <c r="I11" s="64">
        <f t="shared" si="1"/>
        <v>23000</v>
      </c>
      <c r="J11" s="64">
        <f t="shared" si="2"/>
        <v>1023000</v>
      </c>
      <c r="K11" s="64"/>
      <c r="L11" s="65">
        <f t="shared" si="3"/>
        <v>111111</v>
      </c>
      <c r="M11" s="65">
        <f t="shared" si="4"/>
        <v>113666.553</v>
      </c>
      <c r="N11" s="59"/>
      <c r="O11" s="59"/>
      <c r="P11" s="59"/>
      <c r="Q11" s="59"/>
      <c r="R11" s="59"/>
      <c r="S11" s="59"/>
      <c r="T11" s="59"/>
      <c r="U11" s="59"/>
      <c r="V11" s="59"/>
      <c r="W11" s="59"/>
      <c r="X11" s="59"/>
      <c r="Y11" s="59"/>
      <c r="Z11" s="59"/>
    </row>
    <row r="12">
      <c r="A12" s="59"/>
      <c r="C12" s="62">
        <v>45055.0</v>
      </c>
      <c r="D12" s="59" t="s">
        <v>129</v>
      </c>
      <c r="E12" s="59">
        <v>400.0</v>
      </c>
      <c r="F12" s="63" t="s">
        <v>128</v>
      </c>
      <c r="G12" s="64">
        <v>1000000.0</v>
      </c>
      <c r="H12" s="61">
        <v>1.023</v>
      </c>
      <c r="I12" s="64">
        <f t="shared" si="1"/>
        <v>23000</v>
      </c>
      <c r="J12" s="64">
        <f t="shared" si="2"/>
        <v>1023000</v>
      </c>
      <c r="K12" s="64"/>
      <c r="L12" s="65">
        <f t="shared" si="3"/>
        <v>111111</v>
      </c>
      <c r="M12" s="65">
        <f t="shared" si="4"/>
        <v>113666.553</v>
      </c>
      <c r="N12" s="59"/>
      <c r="O12" s="59"/>
      <c r="P12" s="59"/>
      <c r="Q12" s="59"/>
      <c r="R12" s="59"/>
      <c r="S12" s="59"/>
      <c r="T12" s="59"/>
      <c r="U12" s="59"/>
      <c r="V12" s="59"/>
      <c r="W12" s="59"/>
      <c r="X12" s="59"/>
      <c r="Y12" s="59"/>
      <c r="Z12" s="59"/>
    </row>
    <row r="13">
      <c r="A13" s="59"/>
      <c r="C13" s="62">
        <v>45055.0</v>
      </c>
      <c r="D13" s="59" t="s">
        <v>131</v>
      </c>
      <c r="E13" s="59">
        <v>200.0</v>
      </c>
      <c r="F13" s="63" t="s">
        <v>132</v>
      </c>
      <c r="G13" s="64">
        <v>500000.0</v>
      </c>
      <c r="H13" s="61">
        <v>1.023</v>
      </c>
      <c r="I13" s="64">
        <f t="shared" si="1"/>
        <v>11500</v>
      </c>
      <c r="J13" s="64">
        <f t="shared" si="2"/>
        <v>511500</v>
      </c>
      <c r="K13" s="64"/>
      <c r="L13" s="65">
        <f t="shared" si="3"/>
        <v>55555.5</v>
      </c>
      <c r="M13" s="65">
        <f t="shared" si="4"/>
        <v>56833.2765</v>
      </c>
      <c r="N13" s="59"/>
      <c r="O13" s="59"/>
      <c r="P13" s="59"/>
      <c r="Q13" s="59"/>
      <c r="R13" s="59"/>
      <c r="S13" s="59"/>
      <c r="T13" s="59"/>
      <c r="U13" s="59"/>
      <c r="V13" s="59"/>
      <c r="W13" s="59"/>
      <c r="X13" s="59"/>
      <c r="Y13" s="59"/>
      <c r="Z13" s="59"/>
    </row>
    <row r="14">
      <c r="A14" s="59"/>
      <c r="C14" s="62">
        <v>45082.0</v>
      </c>
      <c r="D14" s="59" t="s">
        <v>127</v>
      </c>
      <c r="E14" s="59">
        <v>400.0</v>
      </c>
      <c r="F14" s="63" t="s">
        <v>128</v>
      </c>
      <c r="G14" s="64">
        <v>4000000.0</v>
      </c>
      <c r="H14" s="61">
        <v>1.022</v>
      </c>
      <c r="I14" s="64">
        <f t="shared" si="1"/>
        <v>88000</v>
      </c>
      <c r="J14" s="64">
        <f t="shared" si="2"/>
        <v>4088000</v>
      </c>
      <c r="K14" s="64"/>
      <c r="L14" s="65">
        <f t="shared" si="3"/>
        <v>444444</v>
      </c>
      <c r="M14" s="65">
        <f t="shared" si="4"/>
        <v>454221.768</v>
      </c>
      <c r="N14" s="59"/>
      <c r="O14" s="59"/>
      <c r="P14" s="59"/>
      <c r="Q14" s="59"/>
      <c r="R14" s="59"/>
      <c r="S14" s="59"/>
      <c r="T14" s="59"/>
      <c r="U14" s="59"/>
      <c r="V14" s="59"/>
      <c r="W14" s="59"/>
      <c r="X14" s="59"/>
      <c r="Y14" s="59"/>
      <c r="Z14" s="59"/>
    </row>
    <row r="15">
      <c r="A15" s="59"/>
      <c r="C15" s="62">
        <v>45082.0</v>
      </c>
      <c r="D15" s="59" t="s">
        <v>129</v>
      </c>
      <c r="E15" s="59">
        <v>400.0</v>
      </c>
      <c r="F15" s="63" t="s">
        <v>130</v>
      </c>
      <c r="G15" s="64">
        <v>4000000.0</v>
      </c>
      <c r="H15" s="61">
        <v>1.022</v>
      </c>
      <c r="I15" s="64">
        <f t="shared" si="1"/>
        <v>88000</v>
      </c>
      <c r="J15" s="64">
        <f t="shared" si="2"/>
        <v>4088000</v>
      </c>
      <c r="K15" s="64"/>
      <c r="L15" s="65">
        <f t="shared" si="3"/>
        <v>444444</v>
      </c>
      <c r="M15" s="65">
        <f t="shared" si="4"/>
        <v>454221.768</v>
      </c>
      <c r="N15" s="59"/>
      <c r="O15" s="59"/>
      <c r="P15" s="59"/>
      <c r="Q15" s="59"/>
      <c r="R15" s="59"/>
      <c r="S15" s="59"/>
      <c r="T15" s="59"/>
      <c r="U15" s="59"/>
      <c r="V15" s="59"/>
      <c r="W15" s="59"/>
      <c r="X15" s="59"/>
      <c r="Y15" s="59"/>
      <c r="Z15" s="59"/>
    </row>
    <row r="16">
      <c r="A16" s="59"/>
      <c r="C16" s="62">
        <v>45082.0</v>
      </c>
      <c r="D16" s="59" t="s">
        <v>131</v>
      </c>
      <c r="E16" s="59">
        <v>200.0</v>
      </c>
      <c r="F16" s="63" t="s">
        <v>132</v>
      </c>
      <c r="G16" s="64">
        <v>2000000.0</v>
      </c>
      <c r="H16" s="61">
        <v>1.022</v>
      </c>
      <c r="I16" s="64">
        <f t="shared" si="1"/>
        <v>44000</v>
      </c>
      <c r="J16" s="64">
        <f t="shared" si="2"/>
        <v>2044000</v>
      </c>
      <c r="K16" s="64"/>
      <c r="L16" s="65">
        <f t="shared" si="3"/>
        <v>222222</v>
      </c>
      <c r="M16" s="65">
        <f t="shared" si="4"/>
        <v>227110.884</v>
      </c>
      <c r="N16" s="59"/>
      <c r="O16" s="59"/>
      <c r="P16" s="59"/>
      <c r="Q16" s="59"/>
      <c r="R16" s="59"/>
      <c r="S16" s="59"/>
      <c r="T16" s="59"/>
      <c r="U16" s="59"/>
      <c r="V16" s="59"/>
      <c r="W16" s="59"/>
      <c r="X16" s="59"/>
      <c r="Y16" s="59"/>
      <c r="Z16" s="59"/>
    </row>
    <row r="17">
      <c r="A17" s="59"/>
      <c r="C17" s="62">
        <v>45110.0</v>
      </c>
      <c r="D17" s="59" t="s">
        <v>127</v>
      </c>
      <c r="E17" s="59">
        <v>400.0</v>
      </c>
      <c r="F17" s="63" t="s">
        <v>130</v>
      </c>
      <c r="G17" s="64">
        <v>3000000.0</v>
      </c>
      <c r="H17" s="61">
        <v>1.023</v>
      </c>
      <c r="I17" s="64">
        <f t="shared" si="1"/>
        <v>69000</v>
      </c>
      <c r="J17" s="64">
        <f t="shared" si="2"/>
        <v>3069000</v>
      </c>
      <c r="K17" s="64"/>
      <c r="L17" s="65">
        <f t="shared" si="3"/>
        <v>333333</v>
      </c>
      <c r="M17" s="65">
        <f t="shared" si="4"/>
        <v>340999.659</v>
      </c>
      <c r="N17" s="59"/>
      <c r="O17" s="59"/>
      <c r="P17" s="59"/>
      <c r="Q17" s="59"/>
      <c r="R17" s="59"/>
      <c r="S17" s="59"/>
      <c r="T17" s="59"/>
      <c r="U17" s="59"/>
      <c r="V17" s="59"/>
      <c r="W17" s="59"/>
      <c r="X17" s="59"/>
      <c r="Y17" s="59"/>
      <c r="Z17" s="59"/>
    </row>
    <row r="18">
      <c r="A18" s="59"/>
      <c r="C18" s="62">
        <v>45110.0</v>
      </c>
      <c r="D18" s="59" t="s">
        <v>129</v>
      </c>
      <c r="E18" s="59">
        <v>400.0</v>
      </c>
      <c r="F18" s="63" t="s">
        <v>128</v>
      </c>
      <c r="G18" s="64">
        <v>3000000.0</v>
      </c>
      <c r="H18" s="61">
        <v>1.023</v>
      </c>
      <c r="I18" s="64">
        <f t="shared" si="1"/>
        <v>69000</v>
      </c>
      <c r="J18" s="64">
        <f t="shared" si="2"/>
        <v>3069000</v>
      </c>
      <c r="K18" s="64"/>
      <c r="L18" s="65">
        <f t="shared" si="3"/>
        <v>333333</v>
      </c>
      <c r="M18" s="65">
        <f t="shared" si="4"/>
        <v>340999.659</v>
      </c>
      <c r="N18" s="59"/>
      <c r="O18" s="59"/>
      <c r="P18" s="59"/>
      <c r="Q18" s="59"/>
      <c r="R18" s="59"/>
      <c r="S18" s="59"/>
      <c r="T18" s="59"/>
      <c r="U18" s="59"/>
      <c r="V18" s="59"/>
      <c r="W18" s="59"/>
      <c r="X18" s="59"/>
      <c r="Y18" s="59"/>
      <c r="Z18" s="59"/>
    </row>
    <row r="19">
      <c r="A19" s="59"/>
      <c r="C19" s="62">
        <v>45110.0</v>
      </c>
      <c r="D19" s="59" t="s">
        <v>131</v>
      </c>
      <c r="E19" s="59">
        <v>200.0</v>
      </c>
      <c r="F19" s="63" t="s">
        <v>132</v>
      </c>
      <c r="G19" s="64">
        <v>1500000.0</v>
      </c>
      <c r="H19" s="61">
        <v>1.023</v>
      </c>
      <c r="I19" s="64">
        <f t="shared" si="1"/>
        <v>34500</v>
      </c>
      <c r="J19" s="64">
        <f t="shared" si="2"/>
        <v>1534500</v>
      </c>
      <c r="K19" s="64"/>
      <c r="L19" s="65">
        <f t="shared" si="3"/>
        <v>166666.5</v>
      </c>
      <c r="M19" s="65">
        <f t="shared" si="4"/>
        <v>170499.8295</v>
      </c>
      <c r="N19" s="59"/>
      <c r="O19" s="59"/>
      <c r="P19" s="59"/>
      <c r="Q19" s="59"/>
      <c r="R19" s="59"/>
      <c r="S19" s="59"/>
      <c r="T19" s="59"/>
      <c r="U19" s="59"/>
      <c r="V19" s="59"/>
      <c r="W19" s="59"/>
      <c r="X19" s="59"/>
      <c r="Y19" s="59"/>
      <c r="Z19" s="59"/>
    </row>
    <row r="20">
      <c r="A20" s="59"/>
      <c r="C20" s="62">
        <v>45141.0</v>
      </c>
      <c r="D20" s="59" t="s">
        <v>127</v>
      </c>
      <c r="E20" s="59">
        <v>400.0</v>
      </c>
      <c r="F20" s="63" t="s">
        <v>130</v>
      </c>
      <c r="G20" s="64">
        <v>4000000.0</v>
      </c>
      <c r="H20" s="61">
        <v>1.02</v>
      </c>
      <c r="I20" s="64">
        <f t="shared" si="1"/>
        <v>80000</v>
      </c>
      <c r="J20" s="64">
        <f t="shared" si="2"/>
        <v>4080000</v>
      </c>
      <c r="K20" s="64"/>
      <c r="L20" s="65">
        <f t="shared" si="3"/>
        <v>444444</v>
      </c>
      <c r="M20" s="65">
        <f t="shared" si="4"/>
        <v>453332.88</v>
      </c>
      <c r="N20" s="59"/>
      <c r="O20" s="59"/>
      <c r="P20" s="59"/>
      <c r="Q20" s="59"/>
      <c r="R20" s="59"/>
      <c r="S20" s="59"/>
      <c r="T20" s="59"/>
      <c r="U20" s="59"/>
      <c r="V20" s="59"/>
      <c r="W20" s="59"/>
      <c r="X20" s="59"/>
      <c r="Y20" s="59"/>
      <c r="Z20" s="59"/>
    </row>
    <row r="21" ht="15.75" customHeight="1">
      <c r="A21" s="59"/>
      <c r="C21" s="62">
        <v>45141.0</v>
      </c>
      <c r="D21" s="59" t="s">
        <v>129</v>
      </c>
      <c r="E21" s="59">
        <v>400.0</v>
      </c>
      <c r="F21" s="63" t="s">
        <v>128</v>
      </c>
      <c r="G21" s="64">
        <v>4000000.0</v>
      </c>
      <c r="H21" s="61">
        <v>1.02</v>
      </c>
      <c r="I21" s="64">
        <f t="shared" si="1"/>
        <v>80000</v>
      </c>
      <c r="J21" s="64">
        <f t="shared" si="2"/>
        <v>4080000</v>
      </c>
      <c r="K21" s="64"/>
      <c r="L21" s="65">
        <f t="shared" si="3"/>
        <v>444444</v>
      </c>
      <c r="M21" s="65">
        <f t="shared" si="4"/>
        <v>453332.88</v>
      </c>
      <c r="N21" s="59"/>
      <c r="O21" s="59"/>
      <c r="P21" s="59"/>
      <c r="Q21" s="59"/>
      <c r="R21" s="59"/>
      <c r="S21" s="59"/>
      <c r="T21" s="59"/>
      <c r="U21" s="59"/>
      <c r="V21" s="59"/>
      <c r="W21" s="59"/>
      <c r="X21" s="59"/>
      <c r="Y21" s="59"/>
      <c r="Z21" s="59"/>
    </row>
    <row r="22" ht="15.75" customHeight="1">
      <c r="A22" s="59"/>
      <c r="C22" s="62">
        <v>45141.0</v>
      </c>
      <c r="D22" s="59" t="s">
        <v>131</v>
      </c>
      <c r="E22" s="59">
        <v>200.0</v>
      </c>
      <c r="F22" s="63" t="s">
        <v>132</v>
      </c>
      <c r="G22" s="64">
        <v>2000000.0</v>
      </c>
      <c r="H22" s="61">
        <v>1.02</v>
      </c>
      <c r="I22" s="64">
        <f t="shared" si="1"/>
        <v>40000</v>
      </c>
      <c r="J22" s="64">
        <f t="shared" si="2"/>
        <v>2040000</v>
      </c>
      <c r="K22" s="64"/>
      <c r="L22" s="65">
        <f t="shared" si="3"/>
        <v>222222</v>
      </c>
      <c r="M22" s="65">
        <f t="shared" si="4"/>
        <v>226666.44</v>
      </c>
      <c r="N22" s="59"/>
      <c r="O22" s="59"/>
      <c r="P22" s="59"/>
      <c r="Q22" s="59"/>
      <c r="R22" s="59"/>
      <c r="S22" s="59"/>
      <c r="T22" s="59"/>
      <c r="U22" s="59"/>
      <c r="V22" s="59"/>
      <c r="W22" s="59"/>
      <c r="X22" s="59"/>
      <c r="Y22" s="59"/>
      <c r="Z22" s="59"/>
    </row>
    <row r="23" ht="15.75" customHeight="1">
      <c r="A23" s="59"/>
      <c r="C23" s="62">
        <v>45155.0</v>
      </c>
      <c r="D23" s="59" t="s">
        <v>127</v>
      </c>
      <c r="E23" s="59">
        <v>400.0</v>
      </c>
      <c r="F23" s="63" t="s">
        <v>130</v>
      </c>
      <c r="G23" s="64">
        <v>1000000.0</v>
      </c>
      <c r="H23" s="61">
        <v>1.02</v>
      </c>
      <c r="I23" s="64">
        <f t="shared" si="1"/>
        <v>20000</v>
      </c>
      <c r="J23" s="64">
        <f t="shared" si="2"/>
        <v>1020000</v>
      </c>
      <c r="K23" s="64"/>
      <c r="L23" s="65">
        <f t="shared" si="3"/>
        <v>111111</v>
      </c>
      <c r="M23" s="65">
        <f t="shared" si="4"/>
        <v>113333.22</v>
      </c>
      <c r="N23" s="59"/>
      <c r="O23" s="59"/>
      <c r="P23" s="59"/>
      <c r="Q23" s="59"/>
      <c r="R23" s="59"/>
      <c r="S23" s="59"/>
      <c r="T23" s="59"/>
      <c r="U23" s="59"/>
      <c r="V23" s="59"/>
      <c r="W23" s="59"/>
      <c r="X23" s="59"/>
      <c r="Y23" s="59"/>
      <c r="Z23" s="59"/>
    </row>
    <row r="24" ht="15.75" customHeight="1">
      <c r="A24" s="59"/>
      <c r="C24" s="62">
        <v>45155.0</v>
      </c>
      <c r="D24" s="59" t="s">
        <v>129</v>
      </c>
      <c r="E24" s="59">
        <v>400.0</v>
      </c>
      <c r="F24" s="63" t="s">
        <v>128</v>
      </c>
      <c r="G24" s="64">
        <v>1000000.0</v>
      </c>
      <c r="H24" s="61">
        <v>1.02</v>
      </c>
      <c r="I24" s="64">
        <f t="shared" si="1"/>
        <v>20000</v>
      </c>
      <c r="J24" s="64">
        <f t="shared" si="2"/>
        <v>1020000</v>
      </c>
      <c r="K24" s="64"/>
      <c r="L24" s="65">
        <f t="shared" si="3"/>
        <v>111111</v>
      </c>
      <c r="M24" s="65">
        <f t="shared" si="4"/>
        <v>113333.22</v>
      </c>
      <c r="N24" s="59"/>
      <c r="O24" s="59"/>
      <c r="P24" s="59"/>
      <c r="Q24" s="59"/>
      <c r="R24" s="59"/>
      <c r="S24" s="59"/>
      <c r="T24" s="59"/>
      <c r="U24" s="59"/>
      <c r="V24" s="59"/>
      <c r="W24" s="59"/>
      <c r="X24" s="59"/>
      <c r="Y24" s="59"/>
      <c r="Z24" s="59"/>
    </row>
    <row r="25" ht="15.75" customHeight="1">
      <c r="A25" s="59"/>
      <c r="C25" s="62">
        <v>45155.0</v>
      </c>
      <c r="D25" s="59" t="s">
        <v>131</v>
      </c>
      <c r="E25" s="59">
        <v>200.0</v>
      </c>
      <c r="F25" s="63" t="s">
        <v>132</v>
      </c>
      <c r="G25" s="64">
        <v>500000.0</v>
      </c>
      <c r="H25" s="61">
        <v>1.02</v>
      </c>
      <c r="I25" s="64">
        <f t="shared" si="1"/>
        <v>10000</v>
      </c>
      <c r="J25" s="64">
        <f t="shared" si="2"/>
        <v>510000</v>
      </c>
      <c r="K25" s="64"/>
      <c r="L25" s="65">
        <f t="shared" si="3"/>
        <v>55555.5</v>
      </c>
      <c r="M25" s="65">
        <f t="shared" si="4"/>
        <v>56666.61</v>
      </c>
      <c r="N25" s="59"/>
      <c r="O25" s="59"/>
      <c r="P25" s="59"/>
      <c r="Q25" s="59"/>
      <c r="R25" s="59"/>
      <c r="S25" s="59"/>
      <c r="T25" s="59"/>
      <c r="U25" s="59"/>
      <c r="V25" s="59"/>
      <c r="W25" s="59"/>
      <c r="X25" s="59"/>
      <c r="Y25" s="59"/>
      <c r="Z25" s="59"/>
    </row>
    <row r="26" ht="15.75" customHeight="1">
      <c r="A26" s="59"/>
      <c r="C26" s="62">
        <v>45174.0</v>
      </c>
      <c r="D26" s="59" t="s">
        <v>127</v>
      </c>
      <c r="E26" s="59">
        <v>400.0</v>
      </c>
      <c r="F26" s="63" t="s">
        <v>130</v>
      </c>
      <c r="G26" s="64">
        <v>4000000.0</v>
      </c>
      <c r="H26" s="61">
        <v>1.019</v>
      </c>
      <c r="I26" s="64">
        <f t="shared" si="1"/>
        <v>76000</v>
      </c>
      <c r="J26" s="64">
        <f t="shared" si="2"/>
        <v>4076000</v>
      </c>
      <c r="K26" s="64"/>
      <c r="L26" s="65">
        <f t="shared" si="3"/>
        <v>444444</v>
      </c>
      <c r="M26" s="65">
        <f t="shared" si="4"/>
        <v>452888.436</v>
      </c>
      <c r="N26" s="59"/>
      <c r="O26" s="59"/>
      <c r="P26" s="59"/>
      <c r="Q26" s="59"/>
      <c r="R26" s="59"/>
      <c r="S26" s="59"/>
      <c r="T26" s="59"/>
      <c r="U26" s="59"/>
      <c r="V26" s="59"/>
      <c r="W26" s="59"/>
      <c r="X26" s="59"/>
      <c r="Y26" s="59"/>
      <c r="Z26" s="59"/>
    </row>
    <row r="27" ht="15.75" customHeight="1">
      <c r="A27" s="59"/>
      <c r="C27" s="62">
        <v>45174.0</v>
      </c>
      <c r="D27" s="59" t="s">
        <v>129</v>
      </c>
      <c r="E27" s="59">
        <v>400.0</v>
      </c>
      <c r="F27" s="63" t="s">
        <v>128</v>
      </c>
      <c r="G27" s="64">
        <v>4000000.0</v>
      </c>
      <c r="H27" s="61">
        <v>1.019</v>
      </c>
      <c r="I27" s="64">
        <f t="shared" si="1"/>
        <v>76000</v>
      </c>
      <c r="J27" s="64">
        <f t="shared" si="2"/>
        <v>4076000</v>
      </c>
      <c r="K27" s="64"/>
      <c r="L27" s="65">
        <f t="shared" si="3"/>
        <v>444444</v>
      </c>
      <c r="M27" s="65">
        <f t="shared" si="4"/>
        <v>452888.436</v>
      </c>
      <c r="N27" s="59"/>
      <c r="O27" s="59"/>
      <c r="P27" s="59"/>
      <c r="Q27" s="59"/>
      <c r="R27" s="59"/>
      <c r="S27" s="59"/>
      <c r="T27" s="59"/>
      <c r="U27" s="59"/>
      <c r="V27" s="59"/>
      <c r="W27" s="59"/>
      <c r="X27" s="59"/>
      <c r="Y27" s="59"/>
      <c r="Z27" s="59"/>
    </row>
    <row r="28" ht="15.75" customHeight="1">
      <c r="A28" s="59"/>
      <c r="C28" s="62">
        <v>45174.0</v>
      </c>
      <c r="D28" s="59" t="s">
        <v>131</v>
      </c>
      <c r="E28" s="59">
        <v>200.0</v>
      </c>
      <c r="F28" s="63" t="s">
        <v>132</v>
      </c>
      <c r="G28" s="64">
        <v>2000000.0</v>
      </c>
      <c r="H28" s="61">
        <v>1.019</v>
      </c>
      <c r="I28" s="64">
        <f t="shared" si="1"/>
        <v>38000</v>
      </c>
      <c r="J28" s="64">
        <f t="shared" si="2"/>
        <v>2038000</v>
      </c>
      <c r="K28" s="64"/>
      <c r="L28" s="65">
        <f t="shared" si="3"/>
        <v>222222</v>
      </c>
      <c r="M28" s="65">
        <f t="shared" si="4"/>
        <v>226444.218</v>
      </c>
      <c r="N28" s="59"/>
      <c r="O28" s="59"/>
      <c r="P28" s="59"/>
      <c r="Q28" s="59"/>
      <c r="R28" s="59"/>
      <c r="S28" s="59"/>
      <c r="T28" s="59"/>
      <c r="U28" s="59"/>
      <c r="V28" s="59"/>
      <c r="W28" s="59"/>
      <c r="X28" s="59"/>
      <c r="Y28" s="59"/>
      <c r="Z28" s="59"/>
    </row>
    <row r="29" ht="15.75" customHeight="1">
      <c r="A29" s="59"/>
      <c r="C29" s="62">
        <v>45177.0</v>
      </c>
      <c r="D29" s="59" t="s">
        <v>127</v>
      </c>
      <c r="E29" s="59">
        <v>400.0</v>
      </c>
      <c r="F29" s="63" t="s">
        <v>130</v>
      </c>
      <c r="G29" s="64">
        <v>500000.0</v>
      </c>
      <c r="H29" s="61">
        <v>1.019</v>
      </c>
      <c r="I29" s="64">
        <f t="shared" si="1"/>
        <v>9500</v>
      </c>
      <c r="J29" s="64">
        <f t="shared" si="2"/>
        <v>509500</v>
      </c>
      <c r="K29" s="64"/>
      <c r="L29" s="65">
        <f t="shared" si="3"/>
        <v>55555.5</v>
      </c>
      <c r="M29" s="65">
        <f t="shared" si="4"/>
        <v>56611.0545</v>
      </c>
      <c r="N29" s="59"/>
      <c r="O29" s="59"/>
      <c r="P29" s="59"/>
      <c r="Q29" s="59"/>
      <c r="R29" s="59"/>
      <c r="S29" s="59"/>
      <c r="T29" s="59"/>
      <c r="U29" s="59"/>
      <c r="V29" s="59"/>
      <c r="W29" s="59"/>
      <c r="X29" s="59"/>
      <c r="Y29" s="59"/>
      <c r="Z29" s="59"/>
    </row>
    <row r="30" ht="15.75" customHeight="1">
      <c r="A30" s="59"/>
      <c r="C30" s="62">
        <v>45177.0</v>
      </c>
      <c r="D30" s="59" t="s">
        <v>129</v>
      </c>
      <c r="E30" s="59">
        <v>400.0</v>
      </c>
      <c r="F30" s="63" t="s">
        <v>128</v>
      </c>
      <c r="G30" s="64">
        <v>500000.0</v>
      </c>
      <c r="H30" s="61">
        <v>1.019</v>
      </c>
      <c r="I30" s="64">
        <f t="shared" si="1"/>
        <v>9500</v>
      </c>
      <c r="J30" s="64">
        <f t="shared" si="2"/>
        <v>509500</v>
      </c>
      <c r="K30" s="64"/>
      <c r="L30" s="65">
        <f t="shared" si="3"/>
        <v>55555.5</v>
      </c>
      <c r="M30" s="65">
        <f t="shared" si="4"/>
        <v>56611.0545</v>
      </c>
      <c r="N30" s="59"/>
      <c r="O30" s="59"/>
      <c r="P30" s="59"/>
      <c r="Q30" s="59"/>
      <c r="R30" s="59"/>
      <c r="S30" s="59"/>
      <c r="T30" s="59"/>
      <c r="U30" s="59"/>
      <c r="V30" s="59"/>
      <c r="W30" s="59"/>
      <c r="X30" s="59"/>
      <c r="Y30" s="59"/>
      <c r="Z30" s="59"/>
    </row>
    <row r="31" ht="15.75" customHeight="1">
      <c r="A31" s="59"/>
      <c r="C31" s="62">
        <v>45177.0</v>
      </c>
      <c r="D31" s="59" t="s">
        <v>131</v>
      </c>
      <c r="E31" s="59">
        <v>200.0</v>
      </c>
      <c r="F31" s="63" t="s">
        <v>132</v>
      </c>
      <c r="G31" s="64">
        <v>250000.0</v>
      </c>
      <c r="H31" s="61">
        <v>1.019</v>
      </c>
      <c r="I31" s="64">
        <f t="shared" si="1"/>
        <v>4750</v>
      </c>
      <c r="J31" s="64">
        <f t="shared" si="2"/>
        <v>254750</v>
      </c>
      <c r="K31" s="64"/>
      <c r="L31" s="65">
        <f t="shared" si="3"/>
        <v>27777.75</v>
      </c>
      <c r="M31" s="65">
        <f t="shared" si="4"/>
        <v>28305.52725</v>
      </c>
      <c r="N31" s="59"/>
      <c r="O31" s="59"/>
      <c r="P31" s="59"/>
      <c r="Q31" s="59"/>
      <c r="R31" s="59"/>
      <c r="S31" s="59"/>
      <c r="T31" s="59"/>
      <c r="U31" s="59"/>
      <c r="V31" s="59"/>
      <c r="W31" s="59"/>
      <c r="X31" s="59"/>
      <c r="Y31" s="59"/>
      <c r="Z31" s="59"/>
    </row>
    <row r="32" ht="15.75" customHeight="1">
      <c r="A32" s="59"/>
      <c r="C32" s="62">
        <v>45202.0</v>
      </c>
      <c r="D32" s="59" t="s">
        <v>127</v>
      </c>
      <c r="E32" s="59">
        <v>400.0</v>
      </c>
      <c r="F32" s="63" t="s">
        <v>130</v>
      </c>
      <c r="G32" s="64">
        <v>4500000.0</v>
      </c>
      <c r="H32" s="61">
        <v>1.012</v>
      </c>
      <c r="I32" s="64">
        <f t="shared" si="1"/>
        <v>54000</v>
      </c>
      <c r="J32" s="64">
        <f t="shared" si="2"/>
        <v>4554000</v>
      </c>
      <c r="K32" s="64"/>
      <c r="L32" s="65">
        <f t="shared" si="3"/>
        <v>499999.5</v>
      </c>
      <c r="M32" s="65">
        <f t="shared" si="4"/>
        <v>505999.494</v>
      </c>
      <c r="N32" s="59"/>
      <c r="O32" s="59"/>
      <c r="P32" s="59"/>
      <c r="Q32" s="59"/>
      <c r="R32" s="59"/>
      <c r="S32" s="59"/>
      <c r="T32" s="59"/>
      <c r="U32" s="59"/>
      <c r="V32" s="59"/>
      <c r="W32" s="59"/>
      <c r="X32" s="59"/>
      <c r="Y32" s="59"/>
      <c r="Z32" s="59"/>
    </row>
    <row r="33" ht="15.75" customHeight="1">
      <c r="A33" s="59"/>
      <c r="C33" s="62">
        <v>45202.0</v>
      </c>
      <c r="D33" s="59" t="s">
        <v>129</v>
      </c>
      <c r="E33" s="59">
        <v>400.0</v>
      </c>
      <c r="F33" s="63" t="s">
        <v>128</v>
      </c>
      <c r="G33" s="64">
        <v>4500000.0</v>
      </c>
      <c r="H33" s="61">
        <v>1.012</v>
      </c>
      <c r="I33" s="64">
        <f t="shared" si="1"/>
        <v>54000</v>
      </c>
      <c r="J33" s="64">
        <f t="shared" si="2"/>
        <v>4554000</v>
      </c>
      <c r="K33" s="64"/>
      <c r="L33" s="65">
        <f t="shared" si="3"/>
        <v>499999.5</v>
      </c>
      <c r="M33" s="65">
        <f t="shared" si="4"/>
        <v>505999.494</v>
      </c>
      <c r="N33" s="59"/>
      <c r="O33" s="59"/>
      <c r="P33" s="59"/>
      <c r="Q33" s="59"/>
      <c r="R33" s="59"/>
      <c r="S33" s="59"/>
      <c r="T33" s="59"/>
      <c r="U33" s="59"/>
      <c r="V33" s="59"/>
      <c r="W33" s="59"/>
      <c r="X33" s="59"/>
      <c r="Y33" s="59"/>
      <c r="Z33" s="59"/>
    </row>
    <row r="34" ht="15.75" customHeight="1">
      <c r="A34" s="59"/>
      <c r="C34" s="62">
        <v>45202.0</v>
      </c>
      <c r="D34" s="59" t="s">
        <v>131</v>
      </c>
      <c r="E34" s="59">
        <v>200.0</v>
      </c>
      <c r="F34" s="63" t="s">
        <v>132</v>
      </c>
      <c r="G34" s="64">
        <v>2250000.0</v>
      </c>
      <c r="H34" s="61">
        <v>1.012</v>
      </c>
      <c r="I34" s="64">
        <f t="shared" si="1"/>
        <v>27000</v>
      </c>
      <c r="J34" s="64">
        <f t="shared" si="2"/>
        <v>2277000</v>
      </c>
      <c r="K34" s="64"/>
      <c r="L34" s="65">
        <f t="shared" si="3"/>
        <v>249999.75</v>
      </c>
      <c r="M34" s="65">
        <f t="shared" si="4"/>
        <v>252999.747</v>
      </c>
      <c r="N34" s="59"/>
      <c r="O34" s="59"/>
      <c r="P34" s="59"/>
      <c r="Q34" s="59"/>
      <c r="R34" s="59"/>
      <c r="S34" s="59"/>
      <c r="T34" s="59"/>
      <c r="U34" s="59"/>
      <c r="V34" s="59"/>
      <c r="W34" s="59"/>
      <c r="X34" s="59"/>
      <c r="Y34" s="59"/>
      <c r="Z34" s="59"/>
    </row>
    <row r="35" ht="15.75" customHeight="1">
      <c r="A35" s="59"/>
      <c r="C35" s="62">
        <v>45264.0</v>
      </c>
      <c r="D35" s="59"/>
      <c r="E35" s="59"/>
      <c r="F35" s="63" t="s">
        <v>130</v>
      </c>
      <c r="G35" s="64">
        <v>4500000.0</v>
      </c>
      <c r="H35" s="61">
        <v>1.0</v>
      </c>
      <c r="I35" s="64">
        <f t="shared" si="1"/>
        <v>0</v>
      </c>
      <c r="J35" s="64">
        <f t="shared" si="2"/>
        <v>4500000</v>
      </c>
      <c r="K35" s="64"/>
      <c r="L35" s="65">
        <f t="shared" si="3"/>
        <v>499999.5</v>
      </c>
      <c r="M35" s="65">
        <f t="shared" si="4"/>
        <v>499999.5</v>
      </c>
      <c r="N35" s="59"/>
      <c r="O35" s="59"/>
      <c r="P35" s="59"/>
      <c r="Q35" s="59"/>
      <c r="R35" s="59"/>
      <c r="S35" s="59"/>
      <c r="T35" s="59"/>
      <c r="U35" s="59"/>
      <c r="V35" s="59"/>
      <c r="W35" s="59"/>
      <c r="X35" s="59"/>
      <c r="Y35" s="59"/>
      <c r="Z35" s="59"/>
    </row>
    <row r="36" ht="15.75" customHeight="1">
      <c r="A36" s="59"/>
      <c r="C36" s="62">
        <v>45264.0</v>
      </c>
      <c r="D36" s="59"/>
      <c r="E36" s="59"/>
      <c r="F36" s="63" t="s">
        <v>128</v>
      </c>
      <c r="G36" s="64">
        <v>4500000.0</v>
      </c>
      <c r="H36" s="61">
        <v>1.0</v>
      </c>
      <c r="I36" s="64">
        <f t="shared" si="1"/>
        <v>0</v>
      </c>
      <c r="J36" s="64">
        <f t="shared" si="2"/>
        <v>4500000</v>
      </c>
      <c r="K36" s="64"/>
      <c r="L36" s="65">
        <f t="shared" si="3"/>
        <v>499999.5</v>
      </c>
      <c r="M36" s="65">
        <f t="shared" si="4"/>
        <v>499999.5</v>
      </c>
      <c r="N36" s="59"/>
      <c r="O36" s="59"/>
      <c r="P36" s="59"/>
      <c r="Q36" s="59"/>
      <c r="R36" s="59"/>
      <c r="S36" s="59"/>
      <c r="T36" s="59"/>
      <c r="U36" s="59"/>
      <c r="V36" s="59"/>
      <c r="W36" s="59"/>
      <c r="X36" s="59"/>
      <c r="Y36" s="59"/>
      <c r="Z36" s="59"/>
    </row>
    <row r="37" ht="15.75" customHeight="1">
      <c r="A37" s="59"/>
      <c r="C37" s="62">
        <v>45264.0</v>
      </c>
      <c r="D37" s="59"/>
      <c r="E37" s="59"/>
      <c r="F37" s="63" t="s">
        <v>132</v>
      </c>
      <c r="G37" s="64">
        <v>2250000.0</v>
      </c>
      <c r="H37" s="61">
        <v>1.0</v>
      </c>
      <c r="I37" s="64">
        <f t="shared" si="1"/>
        <v>0</v>
      </c>
      <c r="J37" s="64">
        <f t="shared" si="2"/>
        <v>2250000</v>
      </c>
      <c r="K37" s="64"/>
      <c r="L37" s="65">
        <f t="shared" si="3"/>
        <v>249999.75</v>
      </c>
      <c r="M37" s="65">
        <f t="shared" si="4"/>
        <v>249999.75</v>
      </c>
      <c r="N37" s="59"/>
      <c r="O37" s="59"/>
      <c r="P37" s="59"/>
      <c r="Q37" s="59"/>
      <c r="R37" s="59"/>
      <c r="S37" s="59"/>
      <c r="T37" s="59"/>
      <c r="U37" s="59"/>
      <c r="V37" s="59"/>
      <c r="W37" s="59"/>
      <c r="X37" s="59"/>
      <c r="Y37" s="59"/>
      <c r="Z37" s="59"/>
    </row>
    <row r="38" ht="15.75" customHeight="1">
      <c r="A38" s="59"/>
      <c r="C38" s="59"/>
      <c r="D38" s="59"/>
      <c r="E38" s="59"/>
      <c r="F38" s="60"/>
      <c r="G38" s="66">
        <f>SUM(G2:G37)</f>
        <v>82586515</v>
      </c>
      <c r="H38" s="67"/>
      <c r="I38" s="66">
        <f t="shared" ref="I38:J38" si="5">SUM(I2:I37)</f>
        <v>1558728.535</v>
      </c>
      <c r="J38" s="66">
        <f t="shared" si="5"/>
        <v>84145243.54</v>
      </c>
      <c r="K38" s="68"/>
      <c r="L38" s="66">
        <f t="shared" ref="L38:M38" si="6">SUM(L2:L37)</f>
        <v>9176270.268</v>
      </c>
      <c r="M38" s="66">
        <f t="shared" si="6"/>
        <v>9349462.154</v>
      </c>
      <c r="N38" s="59"/>
      <c r="O38" s="59"/>
      <c r="P38" s="59"/>
      <c r="Q38" s="59"/>
      <c r="R38" s="59"/>
      <c r="S38" s="59"/>
      <c r="T38" s="59"/>
      <c r="U38" s="59"/>
      <c r="V38" s="59"/>
      <c r="W38" s="59"/>
      <c r="X38" s="59"/>
      <c r="Y38" s="59"/>
      <c r="Z38" s="59"/>
    </row>
    <row r="39" ht="15.75" customHeight="1">
      <c r="A39" s="59"/>
      <c r="C39" s="59"/>
      <c r="D39" s="59"/>
      <c r="E39" s="59"/>
      <c r="F39" s="60"/>
      <c r="G39" s="59"/>
      <c r="H39" s="61"/>
      <c r="I39" s="59"/>
      <c r="J39" s="59"/>
      <c r="K39" s="59"/>
      <c r="L39" s="59"/>
      <c r="M39" s="59"/>
      <c r="N39" s="59"/>
      <c r="O39" s="59"/>
      <c r="P39" s="59"/>
      <c r="Q39" s="59"/>
      <c r="R39" s="59"/>
      <c r="S39" s="59"/>
      <c r="T39" s="59"/>
      <c r="U39" s="59"/>
      <c r="V39" s="59"/>
      <c r="W39" s="59"/>
      <c r="X39" s="59"/>
      <c r="Y39" s="59"/>
      <c r="Z39" s="59"/>
    </row>
    <row r="40" ht="15.75" customHeight="1">
      <c r="A40" s="59"/>
      <c r="C40" s="59"/>
      <c r="D40" s="59"/>
      <c r="E40" s="59"/>
      <c r="F40" s="60"/>
      <c r="G40" s="59"/>
      <c r="H40" s="61"/>
      <c r="I40" s="59"/>
      <c r="J40" s="59"/>
      <c r="K40" s="59"/>
      <c r="L40" s="59"/>
      <c r="M40" s="59"/>
      <c r="N40" s="59"/>
      <c r="O40" s="59"/>
      <c r="P40" s="59"/>
      <c r="Q40" s="59"/>
      <c r="R40" s="59"/>
      <c r="S40" s="59"/>
      <c r="T40" s="59"/>
      <c r="U40" s="59"/>
      <c r="V40" s="59"/>
      <c r="W40" s="59"/>
      <c r="X40" s="59"/>
      <c r="Y40" s="59"/>
      <c r="Z40" s="59"/>
    </row>
    <row r="41" ht="15.75" customHeight="1">
      <c r="A41" s="69"/>
      <c r="B41" s="70"/>
      <c r="C41" s="71">
        <v>45291.0</v>
      </c>
      <c r="D41" s="69" t="s">
        <v>127</v>
      </c>
      <c r="E41" s="69">
        <v>400.0</v>
      </c>
      <c r="F41" s="72" t="s">
        <v>130</v>
      </c>
      <c r="G41" s="73">
        <f>+G38*40%</f>
        <v>33034606</v>
      </c>
      <c r="H41" s="74"/>
      <c r="I41" s="69"/>
      <c r="J41" s="69"/>
      <c r="K41" s="69"/>
      <c r="L41" s="65">
        <f t="shared" ref="L41:L43" si="7">+G41*0.111111</f>
        <v>3670508.107</v>
      </c>
      <c r="M41" s="69"/>
      <c r="N41" s="69"/>
      <c r="O41" s="69"/>
      <c r="P41" s="69"/>
      <c r="Q41" s="69"/>
      <c r="R41" s="69"/>
      <c r="S41" s="69"/>
      <c r="T41" s="69"/>
      <c r="U41" s="69"/>
      <c r="V41" s="69"/>
      <c r="W41" s="69"/>
      <c r="X41" s="69"/>
      <c r="Y41" s="69"/>
      <c r="Z41" s="69"/>
    </row>
    <row r="42" ht="15.75" customHeight="1">
      <c r="A42" s="69"/>
      <c r="B42" s="70"/>
      <c r="C42" s="71">
        <v>45291.0</v>
      </c>
      <c r="D42" s="69" t="s">
        <v>129</v>
      </c>
      <c r="E42" s="69">
        <v>400.0</v>
      </c>
      <c r="F42" s="72" t="s">
        <v>128</v>
      </c>
      <c r="G42" s="73">
        <f>+G41</f>
        <v>33034606</v>
      </c>
      <c r="H42" s="74"/>
      <c r="I42" s="69"/>
      <c r="J42" s="69"/>
      <c r="K42" s="69"/>
      <c r="L42" s="65">
        <f t="shared" si="7"/>
        <v>3670508.107</v>
      </c>
      <c r="M42" s="69"/>
      <c r="N42" s="69"/>
      <c r="O42" s="69"/>
      <c r="P42" s="69"/>
      <c r="Q42" s="69"/>
      <c r="R42" s="69"/>
      <c r="S42" s="69"/>
      <c r="T42" s="69"/>
      <c r="U42" s="69"/>
      <c r="V42" s="69"/>
      <c r="W42" s="69"/>
      <c r="X42" s="69"/>
      <c r="Y42" s="69"/>
      <c r="Z42" s="69"/>
    </row>
    <row r="43" ht="15.75" customHeight="1">
      <c r="A43" s="69"/>
      <c r="B43" s="70"/>
      <c r="C43" s="71">
        <v>45291.0</v>
      </c>
      <c r="D43" s="69" t="s">
        <v>131</v>
      </c>
      <c r="E43" s="69">
        <v>200.0</v>
      </c>
      <c r="F43" s="72" t="s">
        <v>132</v>
      </c>
      <c r="G43" s="73">
        <f>+G38-G41-G42</f>
        <v>16517303</v>
      </c>
      <c r="H43" s="74"/>
      <c r="I43" s="69"/>
      <c r="J43" s="69"/>
      <c r="K43" s="69"/>
      <c r="L43" s="65">
        <f t="shared" si="7"/>
        <v>1835254.054</v>
      </c>
      <c r="M43" s="69"/>
      <c r="N43" s="69"/>
      <c r="O43" s="69"/>
      <c r="P43" s="69"/>
      <c r="Q43" s="69"/>
      <c r="R43" s="69"/>
      <c r="S43" s="69"/>
      <c r="T43" s="69"/>
      <c r="U43" s="69"/>
      <c r="V43" s="69"/>
      <c r="W43" s="69"/>
      <c r="X43" s="69"/>
      <c r="Y43" s="69"/>
      <c r="Z43" s="69"/>
    </row>
    <row r="44" ht="15.75" customHeight="1">
      <c r="A44" s="69"/>
      <c r="B44" s="70"/>
      <c r="C44" s="69"/>
      <c r="D44" s="69"/>
      <c r="E44" s="69"/>
      <c r="F44" s="75"/>
      <c r="G44" s="69"/>
      <c r="H44" s="74"/>
      <c r="I44" s="69"/>
      <c r="J44" s="69"/>
      <c r="K44" s="69"/>
      <c r="L44" s="69"/>
      <c r="M44" s="69"/>
      <c r="N44" s="69"/>
      <c r="O44" s="69"/>
      <c r="P44" s="69"/>
      <c r="Q44" s="69"/>
      <c r="R44" s="69"/>
      <c r="S44" s="69"/>
      <c r="T44" s="69"/>
      <c r="U44" s="69"/>
      <c r="V44" s="69"/>
      <c r="W44" s="69"/>
      <c r="X44" s="69"/>
      <c r="Y44" s="69"/>
      <c r="Z44" s="69"/>
    </row>
    <row r="45" ht="15.75" customHeight="1">
      <c r="A45" s="59"/>
      <c r="C45" s="59"/>
      <c r="D45" s="59"/>
      <c r="E45" s="59"/>
      <c r="F45" s="60"/>
      <c r="G45" s="59"/>
      <c r="H45" s="61"/>
      <c r="I45" s="59"/>
      <c r="J45" s="59"/>
      <c r="K45" s="59"/>
      <c r="L45" s="59"/>
      <c r="M45" s="59"/>
      <c r="N45" s="59"/>
      <c r="O45" s="59"/>
      <c r="P45" s="59"/>
      <c r="Q45" s="59"/>
      <c r="R45" s="59"/>
      <c r="S45" s="59"/>
      <c r="T45" s="59"/>
      <c r="U45" s="59"/>
      <c r="V45" s="59"/>
      <c r="W45" s="59"/>
      <c r="X45" s="59"/>
      <c r="Y45" s="59"/>
      <c r="Z45" s="59"/>
    </row>
    <row r="46" ht="15.75" customHeight="1">
      <c r="A46" s="59"/>
      <c r="C46" s="59"/>
      <c r="D46" s="59"/>
      <c r="E46" s="59"/>
      <c r="F46" s="60"/>
      <c r="G46" s="59"/>
      <c r="H46" s="61"/>
      <c r="I46" s="59"/>
      <c r="J46" s="59"/>
      <c r="K46" s="59"/>
      <c r="L46" s="59"/>
      <c r="M46" s="59"/>
      <c r="N46" s="59"/>
      <c r="O46" s="59"/>
      <c r="P46" s="59"/>
      <c r="Q46" s="59"/>
      <c r="R46" s="59"/>
      <c r="S46" s="59"/>
      <c r="T46" s="59"/>
      <c r="U46" s="59"/>
      <c r="V46" s="59"/>
      <c r="W46" s="59"/>
      <c r="X46" s="59"/>
      <c r="Y46" s="59"/>
      <c r="Z46" s="59"/>
    </row>
    <row r="47" ht="15.75" customHeight="1">
      <c r="A47" s="59"/>
      <c r="C47" s="59"/>
      <c r="D47" s="59"/>
      <c r="E47" s="59"/>
      <c r="F47" s="60"/>
      <c r="G47" s="59"/>
      <c r="H47" s="61"/>
      <c r="I47" s="59"/>
      <c r="J47" s="59"/>
      <c r="K47" s="59"/>
      <c r="L47" s="59"/>
      <c r="M47" s="59"/>
      <c r="N47" s="59"/>
      <c r="O47" s="59"/>
      <c r="P47" s="59"/>
      <c r="Q47" s="59"/>
      <c r="R47" s="59"/>
      <c r="S47" s="59"/>
      <c r="T47" s="59"/>
      <c r="U47" s="59"/>
      <c r="V47" s="59"/>
      <c r="W47" s="59"/>
      <c r="X47" s="59"/>
      <c r="Y47" s="59"/>
      <c r="Z47" s="59"/>
    </row>
    <row r="48" ht="15.75" customHeight="1">
      <c r="A48" s="59"/>
      <c r="C48" s="59"/>
      <c r="D48" s="59"/>
      <c r="E48" s="59"/>
      <c r="F48" s="60"/>
      <c r="G48" s="59"/>
      <c r="H48" s="61"/>
      <c r="I48" s="59"/>
      <c r="J48" s="59"/>
      <c r="K48" s="59"/>
      <c r="L48" s="59"/>
      <c r="M48" s="59"/>
      <c r="N48" s="59"/>
      <c r="O48" s="59"/>
      <c r="P48" s="59"/>
      <c r="Q48" s="59"/>
      <c r="R48" s="59"/>
      <c r="S48" s="59"/>
      <c r="T48" s="59"/>
      <c r="U48" s="59"/>
      <c r="V48" s="59"/>
      <c r="W48" s="59"/>
      <c r="X48" s="59"/>
      <c r="Y48" s="59"/>
      <c r="Z48" s="59"/>
    </row>
    <row r="49" ht="15.75" customHeight="1">
      <c r="A49" s="59"/>
      <c r="C49" s="59"/>
      <c r="D49" s="59"/>
      <c r="E49" s="59"/>
      <c r="F49" s="60"/>
      <c r="G49" s="59"/>
      <c r="H49" s="61"/>
      <c r="I49" s="59"/>
      <c r="J49" s="59"/>
      <c r="K49" s="59"/>
      <c r="L49" s="59"/>
      <c r="M49" s="59"/>
      <c r="N49" s="59"/>
      <c r="O49" s="59"/>
      <c r="P49" s="59"/>
      <c r="Q49" s="59"/>
      <c r="R49" s="59"/>
      <c r="S49" s="59"/>
      <c r="T49" s="59"/>
      <c r="U49" s="59"/>
      <c r="V49" s="59"/>
      <c r="W49" s="59"/>
      <c r="X49" s="59"/>
      <c r="Y49" s="59"/>
      <c r="Z49" s="59"/>
    </row>
    <row r="50" ht="15.75" customHeight="1">
      <c r="A50" s="59"/>
      <c r="C50" s="59"/>
      <c r="D50" s="59"/>
      <c r="E50" s="59"/>
      <c r="F50" s="60"/>
      <c r="G50" s="59"/>
      <c r="H50" s="61"/>
      <c r="I50" s="59"/>
      <c r="J50" s="59"/>
      <c r="K50" s="59"/>
      <c r="L50" s="59"/>
      <c r="M50" s="59"/>
      <c r="N50" s="59"/>
      <c r="O50" s="59"/>
      <c r="P50" s="59"/>
      <c r="Q50" s="59"/>
      <c r="R50" s="59"/>
      <c r="S50" s="59"/>
      <c r="T50" s="59"/>
      <c r="U50" s="59"/>
      <c r="V50" s="59"/>
      <c r="W50" s="59"/>
      <c r="X50" s="59"/>
      <c r="Y50" s="59"/>
      <c r="Z50" s="59"/>
    </row>
    <row r="51" ht="15.75" customHeight="1">
      <c r="A51" s="59"/>
      <c r="C51" s="59"/>
      <c r="D51" s="59"/>
      <c r="E51" s="59"/>
      <c r="F51" s="60"/>
      <c r="G51" s="59"/>
      <c r="H51" s="61"/>
      <c r="I51" s="59"/>
      <c r="J51" s="59"/>
      <c r="K51" s="59"/>
      <c r="L51" s="59"/>
      <c r="M51" s="59"/>
      <c r="N51" s="59"/>
      <c r="O51" s="59"/>
      <c r="P51" s="59"/>
      <c r="Q51" s="59"/>
      <c r="R51" s="59"/>
      <c r="S51" s="59"/>
      <c r="T51" s="59"/>
      <c r="U51" s="59"/>
      <c r="V51" s="59"/>
      <c r="W51" s="59"/>
      <c r="X51" s="59"/>
      <c r="Y51" s="59"/>
      <c r="Z51" s="59"/>
    </row>
    <row r="52" ht="15.75" customHeight="1">
      <c r="A52" s="59"/>
      <c r="C52" s="59"/>
      <c r="D52" s="59"/>
      <c r="E52" s="59"/>
      <c r="F52" s="60"/>
      <c r="G52" s="59"/>
      <c r="H52" s="61"/>
      <c r="I52" s="59"/>
      <c r="J52" s="59"/>
      <c r="K52" s="59"/>
      <c r="L52" s="59"/>
      <c r="M52" s="59"/>
      <c r="N52" s="59"/>
      <c r="O52" s="59"/>
      <c r="P52" s="59"/>
      <c r="Q52" s="59"/>
      <c r="R52" s="59"/>
      <c r="S52" s="59"/>
      <c r="T52" s="59"/>
      <c r="U52" s="59"/>
      <c r="V52" s="59"/>
      <c r="W52" s="59"/>
      <c r="X52" s="59"/>
      <c r="Y52" s="59"/>
      <c r="Z52" s="59"/>
    </row>
    <row r="53" ht="15.75" customHeight="1">
      <c r="A53" s="59"/>
      <c r="C53" s="59"/>
      <c r="D53" s="59"/>
      <c r="E53" s="59"/>
      <c r="F53" s="60"/>
      <c r="G53" s="59"/>
      <c r="H53" s="61"/>
      <c r="I53" s="59"/>
      <c r="J53" s="59"/>
      <c r="K53" s="59"/>
      <c r="L53" s="59"/>
      <c r="M53" s="59"/>
      <c r="N53" s="59"/>
      <c r="O53" s="59"/>
      <c r="P53" s="59"/>
      <c r="Q53" s="59"/>
      <c r="R53" s="59"/>
      <c r="S53" s="59"/>
      <c r="T53" s="59"/>
      <c r="U53" s="59"/>
      <c r="V53" s="59"/>
      <c r="W53" s="59"/>
      <c r="X53" s="59"/>
      <c r="Y53" s="59"/>
      <c r="Z53" s="59"/>
    </row>
    <row r="54" ht="15.75" customHeight="1">
      <c r="A54" s="59"/>
      <c r="C54" s="59"/>
      <c r="D54" s="59"/>
      <c r="E54" s="59"/>
      <c r="F54" s="60"/>
      <c r="G54" s="59"/>
      <c r="H54" s="61"/>
      <c r="I54" s="59"/>
      <c r="J54" s="59"/>
      <c r="K54" s="59"/>
      <c r="L54" s="59"/>
      <c r="M54" s="59"/>
      <c r="N54" s="59"/>
      <c r="O54" s="59"/>
      <c r="P54" s="59"/>
      <c r="Q54" s="59"/>
      <c r="R54" s="59"/>
      <c r="S54" s="59"/>
      <c r="T54" s="59"/>
      <c r="U54" s="59"/>
      <c r="V54" s="59"/>
      <c r="W54" s="59"/>
      <c r="X54" s="59"/>
      <c r="Y54" s="59"/>
      <c r="Z54" s="59"/>
    </row>
    <row r="55" ht="15.75" customHeight="1">
      <c r="A55" s="59"/>
      <c r="C55" s="59"/>
      <c r="D55" s="59"/>
      <c r="E55" s="59"/>
      <c r="F55" s="60"/>
      <c r="G55" s="59"/>
      <c r="H55" s="61"/>
      <c r="I55" s="59"/>
      <c r="J55" s="59"/>
      <c r="K55" s="59"/>
      <c r="L55" s="59"/>
      <c r="M55" s="59"/>
      <c r="N55" s="59"/>
      <c r="O55" s="59"/>
      <c r="P55" s="59"/>
      <c r="Q55" s="59"/>
      <c r="R55" s="59"/>
      <c r="S55" s="59"/>
      <c r="T55" s="59"/>
      <c r="U55" s="59"/>
      <c r="V55" s="59"/>
      <c r="W55" s="59"/>
      <c r="X55" s="59"/>
      <c r="Y55" s="59"/>
      <c r="Z55" s="59"/>
    </row>
    <row r="56" ht="15.75" customHeight="1">
      <c r="A56" s="59"/>
      <c r="C56" s="59"/>
      <c r="D56" s="59"/>
      <c r="E56" s="59"/>
      <c r="F56" s="60"/>
      <c r="G56" s="59"/>
      <c r="H56" s="61"/>
      <c r="I56" s="59"/>
      <c r="J56" s="59"/>
      <c r="K56" s="59"/>
      <c r="L56" s="59"/>
      <c r="M56" s="59"/>
      <c r="N56" s="59"/>
      <c r="O56" s="59"/>
      <c r="P56" s="59"/>
      <c r="Q56" s="59"/>
      <c r="R56" s="59"/>
      <c r="S56" s="59"/>
      <c r="T56" s="59"/>
      <c r="U56" s="59"/>
      <c r="V56" s="59"/>
      <c r="W56" s="59"/>
      <c r="X56" s="59"/>
      <c r="Y56" s="59"/>
      <c r="Z56" s="59"/>
    </row>
    <row r="57" ht="15.75" customHeight="1">
      <c r="A57" s="59"/>
      <c r="C57" s="59"/>
      <c r="D57" s="59"/>
      <c r="E57" s="59"/>
      <c r="F57" s="60"/>
      <c r="G57" s="59"/>
      <c r="H57" s="61"/>
      <c r="I57" s="59"/>
      <c r="J57" s="59"/>
      <c r="K57" s="59"/>
      <c r="L57" s="59"/>
      <c r="M57" s="59"/>
      <c r="N57" s="59"/>
      <c r="O57" s="59"/>
      <c r="P57" s="59"/>
      <c r="Q57" s="59"/>
      <c r="R57" s="59"/>
      <c r="S57" s="59"/>
      <c r="T57" s="59"/>
      <c r="U57" s="59"/>
      <c r="V57" s="59"/>
      <c r="W57" s="59"/>
      <c r="X57" s="59"/>
      <c r="Y57" s="59"/>
      <c r="Z57" s="59"/>
    </row>
    <row r="58" ht="15.75" customHeight="1">
      <c r="A58" s="59"/>
      <c r="C58" s="59"/>
      <c r="D58" s="59"/>
      <c r="E58" s="59"/>
      <c r="F58" s="60"/>
      <c r="G58" s="59"/>
      <c r="H58" s="61"/>
      <c r="I58" s="59"/>
      <c r="J58" s="59"/>
      <c r="K58" s="59"/>
      <c r="L58" s="59"/>
      <c r="M58" s="59"/>
      <c r="N58" s="59"/>
      <c r="O58" s="59"/>
      <c r="P58" s="59"/>
      <c r="Q58" s="59"/>
      <c r="R58" s="59"/>
      <c r="S58" s="59"/>
      <c r="T58" s="59"/>
      <c r="U58" s="59"/>
      <c r="V58" s="59"/>
      <c r="W58" s="59"/>
      <c r="X58" s="59"/>
      <c r="Y58" s="59"/>
      <c r="Z58" s="59"/>
    </row>
    <row r="59" ht="15.75" customHeight="1">
      <c r="A59" s="59"/>
      <c r="C59" s="59"/>
      <c r="D59" s="59"/>
      <c r="E59" s="59"/>
      <c r="F59" s="60"/>
      <c r="G59" s="59"/>
      <c r="H59" s="61"/>
      <c r="I59" s="59"/>
      <c r="J59" s="59"/>
      <c r="K59" s="59"/>
      <c r="L59" s="59"/>
      <c r="M59" s="59"/>
      <c r="N59" s="59"/>
      <c r="O59" s="59"/>
      <c r="P59" s="59"/>
      <c r="Q59" s="59"/>
      <c r="R59" s="59"/>
      <c r="S59" s="59"/>
      <c r="T59" s="59"/>
      <c r="U59" s="59"/>
      <c r="V59" s="59"/>
      <c r="W59" s="59"/>
      <c r="X59" s="59"/>
      <c r="Y59" s="59"/>
      <c r="Z59" s="59"/>
    </row>
    <row r="60" ht="15.75" customHeight="1">
      <c r="A60" s="59"/>
      <c r="C60" s="59"/>
      <c r="D60" s="59"/>
      <c r="E60" s="59"/>
      <c r="F60" s="60"/>
      <c r="G60" s="59"/>
      <c r="H60" s="61"/>
      <c r="I60" s="59"/>
      <c r="J60" s="59"/>
      <c r="K60" s="59"/>
      <c r="L60" s="59"/>
      <c r="M60" s="59"/>
      <c r="N60" s="59"/>
      <c r="O60" s="59"/>
      <c r="P60" s="59"/>
      <c r="Q60" s="59"/>
      <c r="R60" s="59"/>
      <c r="S60" s="59"/>
      <c r="T60" s="59"/>
      <c r="U60" s="59"/>
      <c r="V60" s="59"/>
      <c r="W60" s="59"/>
      <c r="X60" s="59"/>
      <c r="Y60" s="59"/>
      <c r="Z60" s="59"/>
    </row>
    <row r="61" ht="15.75" customHeight="1">
      <c r="A61" s="59"/>
      <c r="C61" s="59"/>
      <c r="D61" s="59"/>
      <c r="E61" s="59"/>
      <c r="F61" s="60"/>
      <c r="G61" s="59"/>
      <c r="H61" s="61"/>
      <c r="I61" s="59"/>
      <c r="J61" s="59"/>
      <c r="K61" s="59"/>
      <c r="L61" s="59"/>
      <c r="M61" s="59"/>
      <c r="N61" s="59"/>
      <c r="O61" s="59"/>
      <c r="P61" s="59"/>
      <c r="Q61" s="59"/>
      <c r="R61" s="59"/>
      <c r="S61" s="59"/>
      <c r="T61" s="59"/>
      <c r="U61" s="59"/>
      <c r="V61" s="59"/>
      <c r="W61" s="59"/>
      <c r="X61" s="59"/>
      <c r="Y61" s="59"/>
      <c r="Z61" s="59"/>
    </row>
    <row r="62" ht="15.75" customHeight="1">
      <c r="A62" s="59"/>
      <c r="C62" s="59"/>
      <c r="D62" s="59"/>
      <c r="E62" s="59"/>
      <c r="F62" s="60"/>
      <c r="G62" s="59"/>
      <c r="H62" s="61"/>
      <c r="I62" s="59"/>
      <c r="J62" s="59"/>
      <c r="K62" s="59"/>
      <c r="L62" s="59"/>
      <c r="M62" s="59"/>
      <c r="N62" s="59"/>
      <c r="O62" s="59"/>
      <c r="P62" s="59"/>
      <c r="Q62" s="59"/>
      <c r="R62" s="59"/>
      <c r="S62" s="59"/>
      <c r="T62" s="59"/>
      <c r="U62" s="59"/>
      <c r="V62" s="59"/>
      <c r="W62" s="59"/>
      <c r="X62" s="59"/>
      <c r="Y62" s="59"/>
      <c r="Z62" s="59"/>
    </row>
    <row r="63" ht="15.75" customHeight="1">
      <c r="A63" s="59"/>
      <c r="C63" s="59"/>
      <c r="D63" s="59"/>
      <c r="E63" s="59"/>
      <c r="F63" s="60"/>
      <c r="G63" s="59"/>
      <c r="H63" s="61"/>
      <c r="I63" s="59"/>
      <c r="J63" s="59"/>
      <c r="K63" s="59"/>
      <c r="L63" s="59"/>
      <c r="M63" s="59"/>
      <c r="N63" s="59"/>
      <c r="O63" s="59"/>
      <c r="P63" s="59"/>
      <c r="Q63" s="59"/>
      <c r="R63" s="59"/>
      <c r="S63" s="59"/>
      <c r="T63" s="59"/>
      <c r="U63" s="59"/>
      <c r="V63" s="59"/>
      <c r="W63" s="59"/>
      <c r="X63" s="59"/>
      <c r="Y63" s="59"/>
      <c r="Z63" s="59"/>
    </row>
    <row r="64" ht="15.75" customHeight="1">
      <c r="A64" s="59"/>
      <c r="C64" s="59"/>
      <c r="D64" s="59"/>
      <c r="E64" s="59"/>
      <c r="F64" s="60"/>
      <c r="G64" s="59"/>
      <c r="H64" s="61"/>
      <c r="I64" s="59"/>
      <c r="J64" s="59"/>
      <c r="K64" s="59"/>
      <c r="L64" s="59"/>
      <c r="M64" s="59"/>
      <c r="N64" s="59"/>
      <c r="O64" s="59"/>
      <c r="P64" s="59"/>
      <c r="Q64" s="59"/>
      <c r="R64" s="59"/>
      <c r="S64" s="59"/>
      <c r="T64" s="59"/>
      <c r="U64" s="59"/>
      <c r="V64" s="59"/>
      <c r="W64" s="59"/>
      <c r="X64" s="59"/>
      <c r="Y64" s="59"/>
      <c r="Z64" s="59"/>
    </row>
    <row r="65" ht="15.75" customHeight="1">
      <c r="A65" s="59"/>
      <c r="C65" s="59"/>
      <c r="D65" s="59"/>
      <c r="E65" s="59"/>
      <c r="F65" s="60"/>
      <c r="G65" s="59"/>
      <c r="H65" s="61"/>
      <c r="I65" s="59"/>
      <c r="J65" s="59"/>
      <c r="K65" s="59"/>
      <c r="L65" s="59"/>
      <c r="M65" s="59"/>
      <c r="N65" s="59"/>
      <c r="O65" s="59"/>
      <c r="P65" s="59"/>
      <c r="Q65" s="59"/>
      <c r="R65" s="59"/>
      <c r="S65" s="59"/>
      <c r="T65" s="59"/>
      <c r="U65" s="59"/>
      <c r="V65" s="59"/>
      <c r="W65" s="59"/>
      <c r="X65" s="59"/>
      <c r="Y65" s="59"/>
      <c r="Z65" s="59"/>
    </row>
    <row r="66" ht="15.75" customHeight="1">
      <c r="A66" s="59"/>
      <c r="C66" s="59"/>
      <c r="D66" s="59"/>
      <c r="E66" s="59"/>
      <c r="F66" s="60"/>
      <c r="G66" s="59"/>
      <c r="H66" s="61"/>
      <c r="I66" s="59"/>
      <c r="J66" s="59"/>
      <c r="K66" s="59"/>
      <c r="L66" s="59"/>
      <c r="M66" s="59"/>
      <c r="N66" s="59"/>
      <c r="O66" s="59"/>
      <c r="P66" s="59"/>
      <c r="Q66" s="59"/>
      <c r="R66" s="59"/>
      <c r="S66" s="59"/>
      <c r="T66" s="59"/>
      <c r="U66" s="59"/>
      <c r="V66" s="59"/>
      <c r="W66" s="59"/>
      <c r="X66" s="59"/>
      <c r="Y66" s="59"/>
      <c r="Z66" s="59"/>
    </row>
    <row r="67" ht="15.75" customHeight="1">
      <c r="A67" s="59"/>
      <c r="C67" s="59"/>
      <c r="D67" s="59"/>
      <c r="E67" s="59"/>
      <c r="F67" s="60"/>
      <c r="G67" s="59"/>
      <c r="H67" s="61"/>
      <c r="I67" s="59"/>
      <c r="J67" s="59"/>
      <c r="K67" s="59"/>
      <c r="L67" s="59"/>
      <c r="M67" s="59"/>
      <c r="N67" s="59"/>
      <c r="O67" s="59"/>
      <c r="P67" s="59"/>
      <c r="Q67" s="59"/>
      <c r="R67" s="59"/>
      <c r="S67" s="59"/>
      <c r="T67" s="59"/>
      <c r="U67" s="59"/>
      <c r="V67" s="59"/>
      <c r="W67" s="59"/>
      <c r="X67" s="59"/>
      <c r="Y67" s="59"/>
      <c r="Z67" s="59"/>
    </row>
    <row r="68" ht="15.75" customHeight="1">
      <c r="A68" s="59"/>
      <c r="C68" s="59"/>
      <c r="D68" s="59"/>
      <c r="E68" s="59"/>
      <c r="F68" s="60"/>
      <c r="G68" s="59"/>
      <c r="H68" s="61"/>
      <c r="I68" s="59"/>
      <c r="J68" s="59"/>
      <c r="K68" s="59"/>
      <c r="L68" s="59"/>
      <c r="M68" s="59"/>
      <c r="N68" s="59"/>
      <c r="O68" s="59"/>
      <c r="P68" s="59"/>
      <c r="Q68" s="59"/>
      <c r="R68" s="59"/>
      <c r="S68" s="59"/>
      <c r="T68" s="59"/>
      <c r="U68" s="59"/>
      <c r="V68" s="59"/>
      <c r="W68" s="59"/>
      <c r="X68" s="59"/>
      <c r="Y68" s="59"/>
      <c r="Z68" s="59"/>
    </row>
    <row r="69" ht="15.75" customHeight="1">
      <c r="A69" s="59"/>
      <c r="C69" s="59"/>
      <c r="D69" s="59"/>
      <c r="E69" s="59"/>
      <c r="F69" s="60"/>
      <c r="G69" s="59"/>
      <c r="H69" s="61"/>
      <c r="I69" s="59"/>
      <c r="J69" s="59"/>
      <c r="K69" s="59"/>
      <c r="L69" s="59"/>
      <c r="M69" s="59"/>
      <c r="N69" s="59"/>
      <c r="O69" s="59"/>
      <c r="P69" s="59"/>
      <c r="Q69" s="59"/>
      <c r="R69" s="59"/>
      <c r="S69" s="59"/>
      <c r="T69" s="59"/>
      <c r="U69" s="59"/>
      <c r="V69" s="59"/>
      <c r="W69" s="59"/>
      <c r="X69" s="59"/>
      <c r="Y69" s="59"/>
      <c r="Z69" s="59"/>
    </row>
    <row r="70" ht="15.75" customHeight="1">
      <c r="A70" s="59"/>
      <c r="C70" s="59"/>
      <c r="D70" s="59"/>
      <c r="E70" s="59"/>
      <c r="F70" s="60"/>
      <c r="G70" s="59"/>
      <c r="H70" s="61"/>
      <c r="I70" s="59"/>
      <c r="J70" s="59"/>
      <c r="K70" s="59"/>
      <c r="L70" s="59"/>
      <c r="M70" s="59"/>
      <c r="N70" s="59"/>
      <c r="O70" s="59"/>
      <c r="P70" s="59"/>
      <c r="Q70" s="59"/>
      <c r="R70" s="59"/>
      <c r="S70" s="59"/>
      <c r="T70" s="59"/>
      <c r="U70" s="59"/>
      <c r="V70" s="59"/>
      <c r="W70" s="59"/>
      <c r="X70" s="59"/>
      <c r="Y70" s="59"/>
      <c r="Z70" s="59"/>
    </row>
    <row r="71" ht="15.75" customHeight="1">
      <c r="A71" s="59"/>
      <c r="C71" s="59"/>
      <c r="D71" s="59"/>
      <c r="E71" s="59"/>
      <c r="F71" s="60"/>
      <c r="G71" s="59"/>
      <c r="H71" s="61"/>
      <c r="I71" s="59"/>
      <c r="J71" s="59"/>
      <c r="K71" s="59"/>
      <c r="L71" s="59"/>
      <c r="M71" s="59"/>
      <c r="N71" s="59"/>
      <c r="O71" s="59"/>
      <c r="P71" s="59"/>
      <c r="Q71" s="59"/>
      <c r="R71" s="59"/>
      <c r="S71" s="59"/>
      <c r="T71" s="59"/>
      <c r="U71" s="59"/>
      <c r="V71" s="59"/>
      <c r="W71" s="59"/>
      <c r="X71" s="59"/>
      <c r="Y71" s="59"/>
      <c r="Z71" s="59"/>
    </row>
    <row r="72" ht="15.75" customHeight="1">
      <c r="A72" s="59"/>
      <c r="C72" s="59"/>
      <c r="D72" s="59"/>
      <c r="E72" s="59"/>
      <c r="F72" s="60"/>
      <c r="G72" s="59"/>
      <c r="H72" s="61"/>
      <c r="I72" s="59"/>
      <c r="J72" s="59"/>
      <c r="K72" s="59"/>
      <c r="L72" s="59"/>
      <c r="M72" s="59"/>
      <c r="N72" s="59"/>
      <c r="O72" s="59"/>
      <c r="P72" s="59"/>
      <c r="Q72" s="59"/>
      <c r="R72" s="59"/>
      <c r="S72" s="59"/>
      <c r="T72" s="59"/>
      <c r="U72" s="59"/>
      <c r="V72" s="59"/>
      <c r="W72" s="59"/>
      <c r="X72" s="59"/>
      <c r="Y72" s="59"/>
      <c r="Z72" s="59"/>
    </row>
    <row r="73" ht="15.75" customHeight="1">
      <c r="A73" s="59"/>
      <c r="C73" s="59"/>
      <c r="D73" s="59"/>
      <c r="E73" s="59"/>
      <c r="F73" s="60"/>
      <c r="G73" s="59"/>
      <c r="H73" s="61"/>
      <c r="I73" s="59"/>
      <c r="J73" s="59"/>
      <c r="K73" s="59"/>
      <c r="L73" s="59"/>
      <c r="M73" s="59"/>
      <c r="N73" s="59"/>
      <c r="O73" s="59"/>
      <c r="P73" s="59"/>
      <c r="Q73" s="59"/>
      <c r="R73" s="59"/>
      <c r="S73" s="59"/>
      <c r="T73" s="59"/>
      <c r="U73" s="59"/>
      <c r="V73" s="59"/>
      <c r="W73" s="59"/>
      <c r="X73" s="59"/>
      <c r="Y73" s="59"/>
      <c r="Z73" s="59"/>
    </row>
    <row r="74" ht="15.75" customHeight="1">
      <c r="A74" s="59"/>
      <c r="C74" s="59"/>
      <c r="D74" s="59"/>
      <c r="E74" s="59"/>
      <c r="F74" s="60"/>
      <c r="G74" s="59"/>
      <c r="H74" s="61"/>
      <c r="I74" s="59"/>
      <c r="J74" s="59"/>
      <c r="K74" s="59"/>
      <c r="L74" s="59"/>
      <c r="M74" s="59"/>
      <c r="N74" s="59"/>
      <c r="O74" s="59"/>
      <c r="P74" s="59"/>
      <c r="Q74" s="59"/>
      <c r="R74" s="59"/>
      <c r="S74" s="59"/>
      <c r="T74" s="59"/>
      <c r="U74" s="59"/>
      <c r="V74" s="59"/>
      <c r="W74" s="59"/>
      <c r="X74" s="59"/>
      <c r="Y74" s="59"/>
      <c r="Z74" s="59"/>
    </row>
    <row r="75" ht="15.75" customHeight="1">
      <c r="A75" s="59"/>
      <c r="C75" s="59"/>
      <c r="D75" s="59"/>
      <c r="E75" s="59"/>
      <c r="F75" s="60"/>
      <c r="G75" s="59"/>
      <c r="H75" s="61"/>
      <c r="I75" s="59"/>
      <c r="J75" s="59"/>
      <c r="K75" s="59"/>
      <c r="L75" s="59"/>
      <c r="M75" s="59"/>
      <c r="N75" s="59"/>
      <c r="O75" s="59"/>
      <c r="P75" s="59"/>
      <c r="Q75" s="59"/>
      <c r="R75" s="59"/>
      <c r="S75" s="59"/>
      <c r="T75" s="59"/>
      <c r="U75" s="59"/>
      <c r="V75" s="59"/>
      <c r="W75" s="59"/>
      <c r="X75" s="59"/>
      <c r="Y75" s="59"/>
      <c r="Z75" s="59"/>
    </row>
    <row r="76" ht="15.75" customHeight="1">
      <c r="A76" s="59"/>
      <c r="C76" s="59"/>
      <c r="D76" s="59"/>
      <c r="E76" s="59"/>
      <c r="F76" s="60"/>
      <c r="G76" s="59"/>
      <c r="H76" s="61"/>
      <c r="I76" s="59"/>
      <c r="J76" s="59"/>
      <c r="K76" s="59"/>
      <c r="L76" s="59"/>
      <c r="M76" s="59"/>
      <c r="N76" s="59"/>
      <c r="O76" s="59"/>
      <c r="P76" s="59"/>
      <c r="Q76" s="59"/>
      <c r="R76" s="59"/>
      <c r="S76" s="59"/>
      <c r="T76" s="59"/>
      <c r="U76" s="59"/>
      <c r="V76" s="59"/>
      <c r="W76" s="59"/>
      <c r="X76" s="59"/>
      <c r="Y76" s="59"/>
      <c r="Z76" s="59"/>
    </row>
    <row r="77" ht="15.75" customHeight="1">
      <c r="A77" s="59"/>
      <c r="C77" s="59"/>
      <c r="D77" s="59"/>
      <c r="E77" s="59"/>
      <c r="F77" s="60"/>
      <c r="G77" s="59"/>
      <c r="H77" s="61"/>
      <c r="I77" s="59"/>
      <c r="J77" s="59"/>
      <c r="K77" s="59"/>
      <c r="L77" s="59"/>
      <c r="M77" s="59"/>
      <c r="N77" s="59"/>
      <c r="O77" s="59"/>
      <c r="P77" s="59"/>
      <c r="Q77" s="59"/>
      <c r="R77" s="59"/>
      <c r="S77" s="59"/>
      <c r="T77" s="59"/>
      <c r="U77" s="59"/>
      <c r="V77" s="59"/>
      <c r="W77" s="59"/>
      <c r="X77" s="59"/>
      <c r="Y77" s="59"/>
      <c r="Z77" s="59"/>
    </row>
    <row r="78" ht="15.75" customHeight="1">
      <c r="A78" s="59"/>
      <c r="C78" s="59"/>
      <c r="D78" s="59"/>
      <c r="E78" s="59"/>
      <c r="F78" s="60"/>
      <c r="G78" s="59"/>
      <c r="H78" s="61"/>
      <c r="I78" s="59"/>
      <c r="J78" s="59"/>
      <c r="K78" s="59"/>
      <c r="L78" s="59"/>
      <c r="M78" s="59"/>
      <c r="N78" s="59"/>
      <c r="O78" s="59"/>
      <c r="P78" s="59"/>
      <c r="Q78" s="59"/>
      <c r="R78" s="59"/>
      <c r="S78" s="59"/>
      <c r="T78" s="59"/>
      <c r="U78" s="59"/>
      <c r="V78" s="59"/>
      <c r="W78" s="59"/>
      <c r="X78" s="59"/>
      <c r="Y78" s="59"/>
      <c r="Z78" s="59"/>
    </row>
    <row r="79" ht="15.75" customHeight="1">
      <c r="A79" s="59"/>
      <c r="C79" s="59"/>
      <c r="D79" s="59"/>
      <c r="E79" s="59"/>
      <c r="F79" s="60"/>
      <c r="G79" s="59"/>
      <c r="H79" s="61"/>
      <c r="I79" s="59"/>
      <c r="J79" s="59"/>
      <c r="K79" s="59"/>
      <c r="L79" s="59"/>
      <c r="M79" s="59"/>
      <c r="N79" s="59"/>
      <c r="O79" s="59"/>
      <c r="P79" s="59"/>
      <c r="Q79" s="59"/>
      <c r="R79" s="59"/>
      <c r="S79" s="59"/>
      <c r="T79" s="59"/>
      <c r="U79" s="59"/>
      <c r="V79" s="59"/>
      <c r="W79" s="59"/>
      <c r="X79" s="59"/>
      <c r="Y79" s="59"/>
      <c r="Z79" s="59"/>
    </row>
    <row r="80" ht="15.75" customHeight="1">
      <c r="A80" s="59"/>
      <c r="C80" s="59"/>
      <c r="D80" s="59"/>
      <c r="E80" s="59"/>
      <c r="F80" s="60"/>
      <c r="G80" s="59"/>
      <c r="H80" s="61"/>
      <c r="I80" s="59"/>
      <c r="J80" s="59"/>
      <c r="K80" s="59"/>
      <c r="L80" s="59"/>
      <c r="M80" s="59"/>
      <c r="N80" s="59"/>
      <c r="O80" s="59"/>
      <c r="P80" s="59"/>
      <c r="Q80" s="59"/>
      <c r="R80" s="59"/>
      <c r="S80" s="59"/>
      <c r="T80" s="59"/>
      <c r="U80" s="59"/>
      <c r="V80" s="59"/>
      <c r="W80" s="59"/>
      <c r="X80" s="59"/>
      <c r="Y80" s="59"/>
      <c r="Z80" s="59"/>
    </row>
    <row r="81" ht="15.75" customHeight="1">
      <c r="A81" s="59"/>
      <c r="C81" s="59"/>
      <c r="D81" s="59"/>
      <c r="E81" s="59"/>
      <c r="F81" s="60"/>
      <c r="G81" s="59"/>
      <c r="H81" s="61"/>
      <c r="I81" s="59"/>
      <c r="J81" s="59"/>
      <c r="K81" s="59"/>
      <c r="L81" s="59"/>
      <c r="M81" s="59"/>
      <c r="N81" s="59"/>
      <c r="O81" s="59"/>
      <c r="P81" s="59"/>
      <c r="Q81" s="59"/>
      <c r="R81" s="59"/>
      <c r="S81" s="59"/>
      <c r="T81" s="59"/>
      <c r="U81" s="59"/>
      <c r="V81" s="59"/>
      <c r="W81" s="59"/>
      <c r="X81" s="59"/>
      <c r="Y81" s="59"/>
      <c r="Z81" s="59"/>
    </row>
    <row r="82" ht="15.75" customHeight="1">
      <c r="A82" s="59"/>
      <c r="C82" s="59"/>
      <c r="D82" s="59"/>
      <c r="E82" s="59"/>
      <c r="F82" s="60"/>
      <c r="G82" s="59"/>
      <c r="H82" s="61"/>
      <c r="I82" s="59"/>
      <c r="J82" s="59"/>
      <c r="K82" s="59"/>
      <c r="L82" s="59"/>
      <c r="M82" s="59"/>
      <c r="N82" s="59"/>
      <c r="O82" s="59"/>
      <c r="P82" s="59"/>
      <c r="Q82" s="59"/>
      <c r="R82" s="59"/>
      <c r="S82" s="59"/>
      <c r="T82" s="59"/>
      <c r="U82" s="59"/>
      <c r="V82" s="59"/>
      <c r="W82" s="59"/>
      <c r="X82" s="59"/>
      <c r="Y82" s="59"/>
      <c r="Z82" s="59"/>
    </row>
    <row r="83" ht="15.75" customHeight="1">
      <c r="A83" s="59"/>
      <c r="C83" s="59"/>
      <c r="D83" s="59"/>
      <c r="E83" s="59"/>
      <c r="F83" s="60"/>
      <c r="G83" s="59"/>
      <c r="H83" s="61"/>
      <c r="I83" s="59"/>
      <c r="J83" s="59"/>
      <c r="K83" s="59"/>
      <c r="L83" s="59"/>
      <c r="M83" s="59"/>
      <c r="N83" s="59"/>
      <c r="O83" s="59"/>
      <c r="P83" s="59"/>
      <c r="Q83" s="59"/>
      <c r="R83" s="59"/>
      <c r="S83" s="59"/>
      <c r="T83" s="59"/>
      <c r="U83" s="59"/>
      <c r="V83" s="59"/>
      <c r="W83" s="59"/>
      <c r="X83" s="59"/>
      <c r="Y83" s="59"/>
      <c r="Z83" s="59"/>
    </row>
    <row r="84" ht="15.75" customHeight="1">
      <c r="A84" s="59"/>
      <c r="C84" s="59"/>
      <c r="D84" s="59"/>
      <c r="E84" s="59"/>
      <c r="F84" s="60"/>
      <c r="G84" s="59"/>
      <c r="H84" s="61"/>
      <c r="I84" s="59"/>
      <c r="J84" s="59"/>
      <c r="K84" s="59"/>
      <c r="L84" s="59"/>
      <c r="M84" s="59"/>
      <c r="N84" s="59"/>
      <c r="O84" s="59"/>
      <c r="P84" s="59"/>
      <c r="Q84" s="59"/>
      <c r="R84" s="59"/>
      <c r="S84" s="59"/>
      <c r="T84" s="59"/>
      <c r="U84" s="59"/>
      <c r="V84" s="59"/>
      <c r="W84" s="59"/>
      <c r="X84" s="59"/>
      <c r="Y84" s="59"/>
      <c r="Z84" s="59"/>
    </row>
    <row r="85" ht="15.75" customHeight="1">
      <c r="A85" s="59"/>
      <c r="C85" s="59"/>
      <c r="D85" s="59"/>
      <c r="E85" s="59"/>
      <c r="F85" s="60"/>
      <c r="G85" s="59"/>
      <c r="H85" s="61"/>
      <c r="I85" s="59"/>
      <c r="J85" s="59"/>
      <c r="K85" s="59"/>
      <c r="L85" s="59"/>
      <c r="M85" s="59"/>
      <c r="N85" s="59"/>
      <c r="O85" s="59"/>
      <c r="P85" s="59"/>
      <c r="Q85" s="59"/>
      <c r="R85" s="59"/>
      <c r="S85" s="59"/>
      <c r="T85" s="59"/>
      <c r="U85" s="59"/>
      <c r="V85" s="59"/>
      <c r="W85" s="59"/>
      <c r="X85" s="59"/>
      <c r="Y85" s="59"/>
      <c r="Z85" s="59"/>
    </row>
    <row r="86" ht="15.75" customHeight="1">
      <c r="A86" s="59"/>
      <c r="C86" s="59"/>
      <c r="D86" s="59"/>
      <c r="E86" s="59"/>
      <c r="F86" s="60"/>
      <c r="G86" s="59"/>
      <c r="H86" s="61"/>
      <c r="I86" s="59"/>
      <c r="J86" s="59"/>
      <c r="K86" s="59"/>
      <c r="L86" s="59"/>
      <c r="M86" s="59"/>
      <c r="N86" s="59"/>
      <c r="O86" s="59"/>
      <c r="P86" s="59"/>
      <c r="Q86" s="59"/>
      <c r="R86" s="59"/>
      <c r="S86" s="59"/>
      <c r="T86" s="59"/>
      <c r="U86" s="59"/>
      <c r="V86" s="59"/>
      <c r="W86" s="59"/>
      <c r="X86" s="59"/>
      <c r="Y86" s="59"/>
      <c r="Z86" s="59"/>
    </row>
    <row r="87" ht="15.75" customHeight="1">
      <c r="A87" s="59"/>
      <c r="C87" s="59"/>
      <c r="D87" s="59"/>
      <c r="E87" s="59"/>
      <c r="F87" s="60"/>
      <c r="G87" s="59"/>
      <c r="H87" s="61"/>
      <c r="I87" s="59"/>
      <c r="J87" s="59"/>
      <c r="K87" s="59"/>
      <c r="L87" s="59"/>
      <c r="M87" s="59"/>
      <c r="N87" s="59"/>
      <c r="O87" s="59"/>
      <c r="P87" s="59"/>
      <c r="Q87" s="59"/>
      <c r="R87" s="59"/>
      <c r="S87" s="59"/>
      <c r="T87" s="59"/>
      <c r="U87" s="59"/>
      <c r="V87" s="59"/>
      <c r="W87" s="59"/>
      <c r="X87" s="59"/>
      <c r="Y87" s="59"/>
      <c r="Z87" s="59"/>
    </row>
    <row r="88" ht="15.75" customHeight="1">
      <c r="A88" s="59"/>
      <c r="C88" s="59"/>
      <c r="D88" s="59"/>
      <c r="E88" s="59"/>
      <c r="F88" s="60"/>
      <c r="G88" s="59"/>
      <c r="H88" s="61"/>
      <c r="I88" s="59"/>
      <c r="J88" s="59"/>
      <c r="K88" s="59"/>
      <c r="L88" s="59"/>
      <c r="M88" s="59"/>
      <c r="N88" s="59"/>
      <c r="O88" s="59"/>
      <c r="P88" s="59"/>
      <c r="Q88" s="59"/>
      <c r="R88" s="59"/>
      <c r="S88" s="59"/>
      <c r="T88" s="59"/>
      <c r="U88" s="59"/>
      <c r="V88" s="59"/>
      <c r="W88" s="59"/>
      <c r="X88" s="59"/>
      <c r="Y88" s="59"/>
      <c r="Z88" s="59"/>
    </row>
    <row r="89" ht="15.75" customHeight="1">
      <c r="A89" s="59"/>
      <c r="C89" s="59"/>
      <c r="D89" s="59"/>
      <c r="E89" s="59"/>
      <c r="F89" s="60"/>
      <c r="G89" s="59"/>
      <c r="H89" s="61"/>
      <c r="I89" s="59"/>
      <c r="J89" s="59"/>
      <c r="K89" s="59"/>
      <c r="L89" s="59"/>
      <c r="M89" s="59"/>
      <c r="N89" s="59"/>
      <c r="O89" s="59"/>
      <c r="P89" s="59"/>
      <c r="Q89" s="59"/>
      <c r="R89" s="59"/>
      <c r="S89" s="59"/>
      <c r="T89" s="59"/>
      <c r="U89" s="59"/>
      <c r="V89" s="59"/>
      <c r="W89" s="59"/>
      <c r="X89" s="59"/>
      <c r="Y89" s="59"/>
      <c r="Z89" s="59"/>
    </row>
    <row r="90" ht="15.75" customHeight="1">
      <c r="A90" s="59"/>
      <c r="C90" s="59"/>
      <c r="D90" s="59"/>
      <c r="E90" s="59"/>
      <c r="F90" s="60"/>
      <c r="G90" s="59"/>
      <c r="H90" s="61"/>
      <c r="I90" s="59"/>
      <c r="J90" s="59"/>
      <c r="K90" s="59"/>
      <c r="L90" s="59"/>
      <c r="M90" s="59"/>
      <c r="N90" s="59"/>
      <c r="O90" s="59"/>
      <c r="P90" s="59"/>
      <c r="Q90" s="59"/>
      <c r="R90" s="59"/>
      <c r="S90" s="59"/>
      <c r="T90" s="59"/>
      <c r="U90" s="59"/>
      <c r="V90" s="59"/>
      <c r="W90" s="59"/>
      <c r="X90" s="59"/>
      <c r="Y90" s="59"/>
      <c r="Z90" s="59"/>
    </row>
    <row r="91" ht="15.75" customHeight="1">
      <c r="A91" s="59"/>
      <c r="C91" s="59"/>
      <c r="D91" s="59"/>
      <c r="E91" s="59"/>
      <c r="F91" s="60"/>
      <c r="G91" s="59"/>
      <c r="H91" s="61"/>
      <c r="I91" s="59"/>
      <c r="J91" s="59"/>
      <c r="K91" s="59"/>
      <c r="L91" s="59"/>
      <c r="M91" s="59"/>
      <c r="N91" s="59"/>
      <c r="O91" s="59"/>
      <c r="P91" s="59"/>
      <c r="Q91" s="59"/>
      <c r="R91" s="59"/>
      <c r="S91" s="59"/>
      <c r="T91" s="59"/>
      <c r="U91" s="59"/>
      <c r="V91" s="59"/>
      <c r="W91" s="59"/>
      <c r="X91" s="59"/>
      <c r="Y91" s="59"/>
      <c r="Z91" s="59"/>
    </row>
    <row r="92" ht="15.75" customHeight="1">
      <c r="A92" s="59"/>
      <c r="C92" s="59"/>
      <c r="D92" s="59"/>
      <c r="E92" s="59"/>
      <c r="F92" s="60"/>
      <c r="G92" s="59"/>
      <c r="H92" s="61"/>
      <c r="I92" s="59"/>
      <c r="J92" s="59"/>
      <c r="K92" s="59"/>
      <c r="L92" s="59"/>
      <c r="M92" s="59"/>
      <c r="N92" s="59"/>
      <c r="O92" s="59"/>
      <c r="P92" s="59"/>
      <c r="Q92" s="59"/>
      <c r="R92" s="59"/>
      <c r="S92" s="59"/>
      <c r="T92" s="59"/>
      <c r="U92" s="59"/>
      <c r="V92" s="59"/>
      <c r="W92" s="59"/>
      <c r="X92" s="59"/>
      <c r="Y92" s="59"/>
      <c r="Z92" s="59"/>
    </row>
    <row r="93" ht="15.75" customHeight="1">
      <c r="A93" s="59"/>
      <c r="C93" s="59"/>
      <c r="D93" s="59"/>
      <c r="E93" s="59"/>
      <c r="F93" s="60"/>
      <c r="G93" s="59"/>
      <c r="H93" s="61"/>
      <c r="I93" s="59"/>
      <c r="J93" s="59"/>
      <c r="K93" s="59"/>
      <c r="L93" s="59"/>
      <c r="M93" s="59"/>
      <c r="N93" s="59"/>
      <c r="O93" s="59"/>
      <c r="P93" s="59"/>
      <c r="Q93" s="59"/>
      <c r="R93" s="59"/>
      <c r="S93" s="59"/>
      <c r="T93" s="59"/>
      <c r="U93" s="59"/>
      <c r="V93" s="59"/>
      <c r="W93" s="59"/>
      <c r="X93" s="59"/>
      <c r="Y93" s="59"/>
      <c r="Z93" s="59"/>
    </row>
    <row r="94" ht="15.75" customHeight="1">
      <c r="A94" s="59"/>
      <c r="C94" s="59"/>
      <c r="D94" s="59"/>
      <c r="E94" s="59"/>
      <c r="F94" s="60"/>
      <c r="G94" s="59"/>
      <c r="H94" s="61"/>
      <c r="I94" s="59"/>
      <c r="J94" s="59"/>
      <c r="K94" s="59"/>
      <c r="L94" s="59"/>
      <c r="M94" s="59"/>
      <c r="N94" s="59"/>
      <c r="O94" s="59"/>
      <c r="P94" s="59"/>
      <c r="Q94" s="59"/>
      <c r="R94" s="59"/>
      <c r="S94" s="59"/>
      <c r="T94" s="59"/>
      <c r="U94" s="59"/>
      <c r="V94" s="59"/>
      <c r="W94" s="59"/>
      <c r="X94" s="59"/>
      <c r="Y94" s="59"/>
      <c r="Z94" s="59"/>
    </row>
    <row r="95" ht="15.75" customHeight="1">
      <c r="A95" s="59"/>
      <c r="C95" s="59"/>
      <c r="D95" s="59"/>
      <c r="E95" s="59"/>
      <c r="F95" s="60"/>
      <c r="G95" s="59"/>
      <c r="H95" s="61"/>
      <c r="I95" s="59"/>
      <c r="J95" s="59"/>
      <c r="K95" s="59"/>
      <c r="L95" s="59"/>
      <c r="M95" s="59"/>
      <c r="N95" s="59"/>
      <c r="O95" s="59"/>
      <c r="P95" s="59"/>
      <c r="Q95" s="59"/>
      <c r="R95" s="59"/>
      <c r="S95" s="59"/>
      <c r="T95" s="59"/>
      <c r="U95" s="59"/>
      <c r="V95" s="59"/>
      <c r="W95" s="59"/>
      <c r="X95" s="59"/>
      <c r="Y95" s="59"/>
      <c r="Z95" s="59"/>
    </row>
    <row r="96" ht="15.75" customHeight="1">
      <c r="A96" s="59"/>
      <c r="C96" s="59"/>
      <c r="D96" s="59"/>
      <c r="E96" s="59"/>
      <c r="F96" s="60"/>
      <c r="G96" s="59"/>
      <c r="H96" s="61"/>
      <c r="I96" s="59"/>
      <c r="J96" s="59"/>
      <c r="K96" s="59"/>
      <c r="L96" s="59"/>
      <c r="M96" s="59"/>
      <c r="N96" s="59"/>
      <c r="O96" s="59"/>
      <c r="P96" s="59"/>
      <c r="Q96" s="59"/>
      <c r="R96" s="59"/>
      <c r="S96" s="59"/>
      <c r="T96" s="59"/>
      <c r="U96" s="59"/>
      <c r="V96" s="59"/>
      <c r="W96" s="59"/>
      <c r="X96" s="59"/>
      <c r="Y96" s="59"/>
      <c r="Z96" s="59"/>
    </row>
    <row r="97" ht="15.75" customHeight="1">
      <c r="A97" s="59"/>
      <c r="C97" s="59"/>
      <c r="D97" s="59"/>
      <c r="E97" s="59"/>
      <c r="F97" s="60"/>
      <c r="G97" s="59"/>
      <c r="H97" s="61"/>
      <c r="I97" s="59"/>
      <c r="J97" s="59"/>
      <c r="K97" s="59"/>
      <c r="L97" s="59"/>
      <c r="M97" s="59"/>
      <c r="N97" s="59"/>
      <c r="O97" s="59"/>
      <c r="P97" s="59"/>
      <c r="Q97" s="59"/>
      <c r="R97" s="59"/>
      <c r="S97" s="59"/>
      <c r="T97" s="59"/>
      <c r="U97" s="59"/>
      <c r="V97" s="59"/>
      <c r="W97" s="59"/>
      <c r="X97" s="59"/>
      <c r="Y97" s="59"/>
      <c r="Z97" s="59"/>
    </row>
    <row r="98" ht="15.75" customHeight="1">
      <c r="A98" s="59"/>
      <c r="C98" s="59"/>
      <c r="D98" s="59"/>
      <c r="E98" s="59"/>
      <c r="F98" s="60"/>
      <c r="G98" s="59"/>
      <c r="H98" s="61"/>
      <c r="I98" s="59"/>
      <c r="J98" s="59"/>
      <c r="K98" s="59"/>
      <c r="L98" s="59"/>
      <c r="M98" s="59"/>
      <c r="N98" s="59"/>
      <c r="O98" s="59"/>
      <c r="P98" s="59"/>
      <c r="Q98" s="59"/>
      <c r="R98" s="59"/>
      <c r="S98" s="59"/>
      <c r="T98" s="59"/>
      <c r="U98" s="59"/>
      <c r="V98" s="59"/>
      <c r="W98" s="59"/>
      <c r="X98" s="59"/>
      <c r="Y98" s="59"/>
      <c r="Z98" s="59"/>
    </row>
    <row r="99" ht="15.75" customHeight="1">
      <c r="A99" s="59"/>
      <c r="C99" s="59"/>
      <c r="D99" s="59"/>
      <c r="E99" s="59"/>
      <c r="F99" s="60"/>
      <c r="G99" s="59"/>
      <c r="H99" s="61"/>
      <c r="I99" s="59"/>
      <c r="J99" s="59"/>
      <c r="K99" s="59"/>
      <c r="L99" s="59"/>
      <c r="M99" s="59"/>
      <c r="N99" s="59"/>
      <c r="O99" s="59"/>
      <c r="P99" s="59"/>
      <c r="Q99" s="59"/>
      <c r="R99" s="59"/>
      <c r="S99" s="59"/>
      <c r="T99" s="59"/>
      <c r="U99" s="59"/>
      <c r="V99" s="59"/>
      <c r="W99" s="59"/>
      <c r="X99" s="59"/>
      <c r="Y99" s="59"/>
      <c r="Z99" s="59"/>
    </row>
    <row r="100" ht="15.75" customHeight="1">
      <c r="A100" s="59"/>
      <c r="C100" s="59"/>
      <c r="D100" s="59"/>
      <c r="E100" s="59"/>
      <c r="F100" s="60"/>
      <c r="G100" s="59"/>
      <c r="H100" s="61"/>
      <c r="I100" s="59"/>
      <c r="J100" s="59"/>
      <c r="K100" s="59"/>
      <c r="L100" s="59"/>
      <c r="M100" s="59"/>
      <c r="N100" s="59"/>
      <c r="O100" s="59"/>
      <c r="P100" s="59"/>
      <c r="Q100" s="59"/>
      <c r="R100" s="59"/>
      <c r="S100" s="59"/>
      <c r="T100" s="59"/>
      <c r="U100" s="59"/>
      <c r="V100" s="59"/>
      <c r="W100" s="59"/>
      <c r="X100" s="59"/>
      <c r="Y100" s="59"/>
      <c r="Z100" s="59"/>
    </row>
    <row r="101" ht="15.75" customHeight="1">
      <c r="A101" s="59"/>
      <c r="C101" s="59"/>
      <c r="D101" s="59"/>
      <c r="E101" s="59"/>
      <c r="F101" s="60"/>
      <c r="G101" s="59"/>
      <c r="H101" s="61"/>
      <c r="I101" s="59"/>
      <c r="J101" s="59"/>
      <c r="K101" s="59"/>
      <c r="L101" s="59"/>
      <c r="M101" s="59"/>
      <c r="N101" s="59"/>
      <c r="O101" s="59"/>
      <c r="P101" s="59"/>
      <c r="Q101" s="59"/>
      <c r="R101" s="59"/>
      <c r="S101" s="59"/>
      <c r="T101" s="59"/>
      <c r="U101" s="59"/>
      <c r="V101" s="59"/>
      <c r="W101" s="59"/>
      <c r="X101" s="59"/>
      <c r="Y101" s="59"/>
      <c r="Z101" s="59"/>
    </row>
    <row r="102" ht="15.75" customHeight="1">
      <c r="A102" s="59"/>
      <c r="C102" s="59"/>
      <c r="D102" s="59"/>
      <c r="E102" s="59"/>
      <c r="F102" s="60"/>
      <c r="G102" s="59"/>
      <c r="H102" s="61"/>
      <c r="I102" s="59"/>
      <c r="J102" s="59"/>
      <c r="K102" s="59"/>
      <c r="L102" s="59"/>
      <c r="M102" s="59"/>
      <c r="N102" s="59"/>
      <c r="O102" s="59"/>
      <c r="P102" s="59"/>
      <c r="Q102" s="59"/>
      <c r="R102" s="59"/>
      <c r="S102" s="59"/>
      <c r="T102" s="59"/>
      <c r="U102" s="59"/>
      <c r="V102" s="59"/>
      <c r="W102" s="59"/>
      <c r="X102" s="59"/>
      <c r="Y102" s="59"/>
      <c r="Z102" s="59"/>
    </row>
    <row r="103" ht="15.75" customHeight="1">
      <c r="A103" s="59"/>
      <c r="C103" s="59"/>
      <c r="D103" s="59"/>
      <c r="E103" s="59"/>
      <c r="F103" s="60"/>
      <c r="G103" s="59"/>
      <c r="H103" s="61"/>
      <c r="I103" s="59"/>
      <c r="J103" s="59"/>
      <c r="K103" s="59"/>
      <c r="L103" s="59"/>
      <c r="M103" s="59"/>
      <c r="N103" s="59"/>
      <c r="O103" s="59"/>
      <c r="P103" s="59"/>
      <c r="Q103" s="59"/>
      <c r="R103" s="59"/>
      <c r="S103" s="59"/>
      <c r="T103" s="59"/>
      <c r="U103" s="59"/>
      <c r="V103" s="59"/>
      <c r="W103" s="59"/>
      <c r="X103" s="59"/>
      <c r="Y103" s="59"/>
      <c r="Z103" s="59"/>
    </row>
    <row r="104" ht="15.75" customHeight="1">
      <c r="A104" s="59"/>
      <c r="C104" s="59"/>
      <c r="D104" s="59"/>
      <c r="E104" s="59"/>
      <c r="F104" s="60"/>
      <c r="G104" s="59"/>
      <c r="H104" s="61"/>
      <c r="I104" s="59"/>
      <c r="J104" s="59"/>
      <c r="K104" s="59"/>
      <c r="L104" s="59"/>
      <c r="M104" s="59"/>
      <c r="N104" s="59"/>
      <c r="O104" s="59"/>
      <c r="P104" s="59"/>
      <c r="Q104" s="59"/>
      <c r="R104" s="59"/>
      <c r="S104" s="59"/>
      <c r="T104" s="59"/>
      <c r="U104" s="59"/>
      <c r="V104" s="59"/>
      <c r="W104" s="59"/>
      <c r="X104" s="59"/>
      <c r="Y104" s="59"/>
      <c r="Z104" s="59"/>
    </row>
    <row r="105" ht="15.75" customHeight="1">
      <c r="A105" s="59"/>
      <c r="C105" s="59"/>
      <c r="D105" s="59"/>
      <c r="E105" s="59"/>
      <c r="F105" s="60"/>
      <c r="G105" s="59"/>
      <c r="H105" s="61"/>
      <c r="I105" s="59"/>
      <c r="J105" s="59"/>
      <c r="K105" s="59"/>
      <c r="L105" s="59"/>
      <c r="M105" s="59"/>
      <c r="N105" s="59"/>
      <c r="O105" s="59"/>
      <c r="P105" s="59"/>
      <c r="Q105" s="59"/>
      <c r="R105" s="59"/>
      <c r="S105" s="59"/>
      <c r="T105" s="59"/>
      <c r="U105" s="59"/>
      <c r="V105" s="59"/>
      <c r="W105" s="59"/>
      <c r="X105" s="59"/>
      <c r="Y105" s="59"/>
      <c r="Z105" s="59"/>
    </row>
    <row r="106" ht="15.75" customHeight="1">
      <c r="A106" s="59"/>
      <c r="C106" s="59"/>
      <c r="D106" s="59"/>
      <c r="E106" s="59"/>
      <c r="F106" s="60"/>
      <c r="G106" s="59"/>
      <c r="H106" s="61"/>
      <c r="I106" s="59"/>
      <c r="J106" s="59"/>
      <c r="K106" s="59"/>
      <c r="L106" s="59"/>
      <c r="M106" s="59"/>
      <c r="N106" s="59"/>
      <c r="O106" s="59"/>
      <c r="P106" s="59"/>
      <c r="Q106" s="59"/>
      <c r="R106" s="59"/>
      <c r="S106" s="59"/>
      <c r="T106" s="59"/>
      <c r="U106" s="59"/>
      <c r="V106" s="59"/>
      <c r="W106" s="59"/>
      <c r="X106" s="59"/>
      <c r="Y106" s="59"/>
      <c r="Z106" s="59"/>
    </row>
    <row r="107" ht="15.75" customHeight="1">
      <c r="A107" s="59"/>
      <c r="C107" s="59"/>
      <c r="D107" s="59"/>
      <c r="E107" s="59"/>
      <c r="F107" s="60"/>
      <c r="G107" s="59"/>
      <c r="H107" s="61"/>
      <c r="I107" s="59"/>
      <c r="J107" s="59"/>
      <c r="K107" s="59"/>
      <c r="L107" s="59"/>
      <c r="M107" s="59"/>
      <c r="N107" s="59"/>
      <c r="O107" s="59"/>
      <c r="P107" s="59"/>
      <c r="Q107" s="59"/>
      <c r="R107" s="59"/>
      <c r="S107" s="59"/>
      <c r="T107" s="59"/>
      <c r="U107" s="59"/>
      <c r="V107" s="59"/>
      <c r="W107" s="59"/>
      <c r="X107" s="59"/>
      <c r="Y107" s="59"/>
      <c r="Z107" s="59"/>
    </row>
    <row r="108" ht="15.75" customHeight="1">
      <c r="A108" s="59"/>
      <c r="C108" s="59"/>
      <c r="D108" s="59"/>
      <c r="E108" s="59"/>
      <c r="F108" s="60"/>
      <c r="G108" s="59"/>
      <c r="H108" s="61"/>
      <c r="I108" s="59"/>
      <c r="J108" s="59"/>
      <c r="K108" s="59"/>
      <c r="L108" s="59"/>
      <c r="M108" s="59"/>
      <c r="N108" s="59"/>
      <c r="O108" s="59"/>
      <c r="P108" s="59"/>
      <c r="Q108" s="59"/>
      <c r="R108" s="59"/>
      <c r="S108" s="59"/>
      <c r="T108" s="59"/>
      <c r="U108" s="59"/>
      <c r="V108" s="59"/>
      <c r="W108" s="59"/>
      <c r="X108" s="59"/>
      <c r="Y108" s="59"/>
      <c r="Z108" s="59"/>
    </row>
    <row r="109" ht="15.75" customHeight="1">
      <c r="A109" s="59"/>
      <c r="C109" s="59"/>
      <c r="D109" s="59"/>
      <c r="E109" s="59"/>
      <c r="F109" s="60"/>
      <c r="G109" s="59"/>
      <c r="H109" s="61"/>
      <c r="I109" s="59"/>
      <c r="J109" s="59"/>
      <c r="K109" s="59"/>
      <c r="L109" s="59"/>
      <c r="M109" s="59"/>
      <c r="N109" s="59"/>
      <c r="O109" s="59"/>
      <c r="P109" s="59"/>
      <c r="Q109" s="59"/>
      <c r="R109" s="59"/>
      <c r="S109" s="59"/>
      <c r="T109" s="59"/>
      <c r="U109" s="59"/>
      <c r="V109" s="59"/>
      <c r="W109" s="59"/>
      <c r="X109" s="59"/>
      <c r="Y109" s="59"/>
      <c r="Z109" s="59"/>
    </row>
    <row r="110" ht="15.75" customHeight="1">
      <c r="A110" s="59"/>
      <c r="C110" s="59"/>
      <c r="D110" s="59"/>
      <c r="E110" s="59"/>
      <c r="F110" s="60"/>
      <c r="G110" s="59"/>
      <c r="H110" s="61"/>
      <c r="I110" s="59"/>
      <c r="J110" s="59"/>
      <c r="K110" s="59"/>
      <c r="L110" s="59"/>
      <c r="M110" s="59"/>
      <c r="N110" s="59"/>
      <c r="O110" s="59"/>
      <c r="P110" s="59"/>
      <c r="Q110" s="59"/>
      <c r="R110" s="59"/>
      <c r="S110" s="59"/>
      <c r="T110" s="59"/>
      <c r="U110" s="59"/>
      <c r="V110" s="59"/>
      <c r="W110" s="59"/>
      <c r="X110" s="59"/>
      <c r="Y110" s="59"/>
      <c r="Z110" s="59"/>
    </row>
    <row r="111" ht="15.75" customHeight="1">
      <c r="A111" s="59"/>
      <c r="C111" s="59"/>
      <c r="D111" s="59"/>
      <c r="E111" s="59"/>
      <c r="F111" s="60"/>
      <c r="G111" s="59"/>
      <c r="H111" s="61"/>
      <c r="I111" s="59"/>
      <c r="J111" s="59"/>
      <c r="K111" s="59"/>
      <c r="L111" s="59"/>
      <c r="M111" s="59"/>
      <c r="N111" s="59"/>
      <c r="O111" s="59"/>
      <c r="P111" s="59"/>
      <c r="Q111" s="59"/>
      <c r="R111" s="59"/>
      <c r="S111" s="59"/>
      <c r="T111" s="59"/>
      <c r="U111" s="59"/>
      <c r="V111" s="59"/>
      <c r="W111" s="59"/>
      <c r="X111" s="59"/>
      <c r="Y111" s="59"/>
      <c r="Z111" s="59"/>
    </row>
    <row r="112" ht="15.75" customHeight="1">
      <c r="A112" s="59"/>
      <c r="C112" s="59"/>
      <c r="D112" s="59"/>
      <c r="E112" s="59"/>
      <c r="F112" s="60"/>
      <c r="G112" s="59"/>
      <c r="H112" s="61"/>
      <c r="I112" s="59"/>
      <c r="J112" s="59"/>
      <c r="K112" s="59"/>
      <c r="L112" s="59"/>
      <c r="M112" s="59"/>
      <c r="N112" s="59"/>
      <c r="O112" s="59"/>
      <c r="P112" s="59"/>
      <c r="Q112" s="59"/>
      <c r="R112" s="59"/>
      <c r="S112" s="59"/>
      <c r="T112" s="59"/>
      <c r="U112" s="59"/>
      <c r="V112" s="59"/>
      <c r="W112" s="59"/>
      <c r="X112" s="59"/>
      <c r="Y112" s="59"/>
      <c r="Z112" s="59"/>
    </row>
    <row r="113" ht="15.75" customHeight="1">
      <c r="A113" s="59"/>
      <c r="C113" s="59"/>
      <c r="D113" s="59"/>
      <c r="E113" s="59"/>
      <c r="F113" s="60"/>
      <c r="G113" s="59"/>
      <c r="H113" s="61"/>
      <c r="I113" s="59"/>
      <c r="J113" s="59"/>
      <c r="K113" s="59"/>
      <c r="L113" s="59"/>
      <c r="M113" s="59"/>
      <c r="N113" s="59"/>
      <c r="O113" s="59"/>
      <c r="P113" s="59"/>
      <c r="Q113" s="59"/>
      <c r="R113" s="59"/>
      <c r="S113" s="59"/>
      <c r="T113" s="59"/>
      <c r="U113" s="59"/>
      <c r="V113" s="59"/>
      <c r="W113" s="59"/>
      <c r="X113" s="59"/>
      <c r="Y113" s="59"/>
      <c r="Z113" s="59"/>
    </row>
    <row r="114" ht="15.75" customHeight="1">
      <c r="A114" s="59"/>
      <c r="C114" s="59"/>
      <c r="D114" s="59"/>
      <c r="E114" s="59"/>
      <c r="F114" s="60"/>
      <c r="G114" s="59"/>
      <c r="H114" s="61"/>
      <c r="I114" s="59"/>
      <c r="J114" s="59"/>
      <c r="K114" s="59"/>
      <c r="L114" s="59"/>
      <c r="M114" s="59"/>
      <c r="N114" s="59"/>
      <c r="O114" s="59"/>
      <c r="P114" s="59"/>
      <c r="Q114" s="59"/>
      <c r="R114" s="59"/>
      <c r="S114" s="59"/>
      <c r="T114" s="59"/>
      <c r="U114" s="59"/>
      <c r="V114" s="59"/>
      <c r="W114" s="59"/>
      <c r="X114" s="59"/>
      <c r="Y114" s="59"/>
      <c r="Z114" s="59"/>
    </row>
    <row r="115" ht="15.75" customHeight="1">
      <c r="A115" s="59"/>
      <c r="C115" s="59"/>
      <c r="D115" s="59"/>
      <c r="E115" s="59"/>
      <c r="F115" s="60"/>
      <c r="G115" s="59"/>
      <c r="H115" s="61"/>
      <c r="I115" s="59"/>
      <c r="J115" s="59"/>
      <c r="K115" s="59"/>
      <c r="L115" s="59"/>
      <c r="M115" s="59"/>
      <c r="N115" s="59"/>
      <c r="O115" s="59"/>
      <c r="P115" s="59"/>
      <c r="Q115" s="59"/>
      <c r="R115" s="59"/>
      <c r="S115" s="59"/>
      <c r="T115" s="59"/>
      <c r="U115" s="59"/>
      <c r="V115" s="59"/>
      <c r="W115" s="59"/>
      <c r="X115" s="59"/>
      <c r="Y115" s="59"/>
      <c r="Z115" s="59"/>
    </row>
    <row r="116" ht="15.75" customHeight="1">
      <c r="A116" s="59"/>
      <c r="C116" s="59"/>
      <c r="D116" s="59"/>
      <c r="E116" s="59"/>
      <c r="F116" s="60"/>
      <c r="G116" s="59"/>
      <c r="H116" s="61"/>
      <c r="I116" s="59"/>
      <c r="J116" s="59"/>
      <c r="K116" s="59"/>
      <c r="L116" s="59"/>
      <c r="M116" s="59"/>
      <c r="N116" s="59"/>
      <c r="O116" s="59"/>
      <c r="P116" s="59"/>
      <c r="Q116" s="59"/>
      <c r="R116" s="59"/>
      <c r="S116" s="59"/>
      <c r="T116" s="59"/>
      <c r="U116" s="59"/>
      <c r="V116" s="59"/>
      <c r="W116" s="59"/>
      <c r="X116" s="59"/>
      <c r="Y116" s="59"/>
      <c r="Z116" s="59"/>
    </row>
    <row r="117" ht="15.75" customHeight="1">
      <c r="A117" s="59"/>
      <c r="C117" s="59"/>
      <c r="D117" s="59"/>
      <c r="E117" s="59"/>
      <c r="F117" s="60"/>
      <c r="G117" s="59"/>
      <c r="H117" s="61"/>
      <c r="I117" s="59"/>
      <c r="J117" s="59"/>
      <c r="K117" s="59"/>
      <c r="L117" s="59"/>
      <c r="M117" s="59"/>
      <c r="N117" s="59"/>
      <c r="O117" s="59"/>
      <c r="P117" s="59"/>
      <c r="Q117" s="59"/>
      <c r="R117" s="59"/>
      <c r="S117" s="59"/>
      <c r="T117" s="59"/>
      <c r="U117" s="59"/>
      <c r="V117" s="59"/>
      <c r="W117" s="59"/>
      <c r="X117" s="59"/>
      <c r="Y117" s="59"/>
      <c r="Z117" s="59"/>
    </row>
    <row r="118" ht="15.75" customHeight="1">
      <c r="A118" s="59"/>
      <c r="C118" s="59"/>
      <c r="D118" s="59"/>
      <c r="E118" s="59"/>
      <c r="F118" s="60"/>
      <c r="G118" s="59"/>
      <c r="H118" s="61"/>
      <c r="I118" s="59"/>
      <c r="J118" s="59"/>
      <c r="K118" s="59"/>
      <c r="L118" s="59"/>
      <c r="M118" s="59"/>
      <c r="N118" s="59"/>
      <c r="O118" s="59"/>
      <c r="P118" s="59"/>
      <c r="Q118" s="59"/>
      <c r="R118" s="59"/>
      <c r="S118" s="59"/>
      <c r="T118" s="59"/>
      <c r="U118" s="59"/>
      <c r="V118" s="59"/>
      <c r="W118" s="59"/>
      <c r="X118" s="59"/>
      <c r="Y118" s="59"/>
      <c r="Z118" s="59"/>
    </row>
    <row r="119" ht="15.75" customHeight="1">
      <c r="A119" s="59"/>
      <c r="C119" s="59"/>
      <c r="D119" s="59"/>
      <c r="E119" s="59"/>
      <c r="F119" s="60"/>
      <c r="G119" s="59"/>
      <c r="H119" s="61"/>
      <c r="I119" s="59"/>
      <c r="J119" s="59"/>
      <c r="K119" s="59"/>
      <c r="L119" s="59"/>
      <c r="M119" s="59"/>
      <c r="N119" s="59"/>
      <c r="O119" s="59"/>
      <c r="P119" s="59"/>
      <c r="Q119" s="59"/>
      <c r="R119" s="59"/>
      <c r="S119" s="59"/>
      <c r="T119" s="59"/>
      <c r="U119" s="59"/>
      <c r="V119" s="59"/>
      <c r="W119" s="59"/>
      <c r="X119" s="59"/>
      <c r="Y119" s="59"/>
      <c r="Z119" s="59"/>
    </row>
    <row r="120" ht="15.75" customHeight="1">
      <c r="A120" s="59"/>
      <c r="C120" s="59"/>
      <c r="D120" s="59"/>
      <c r="E120" s="59"/>
      <c r="F120" s="60"/>
      <c r="G120" s="59"/>
      <c r="H120" s="61"/>
      <c r="I120" s="59"/>
      <c r="J120" s="59"/>
      <c r="K120" s="59"/>
      <c r="L120" s="59"/>
      <c r="M120" s="59"/>
      <c r="N120" s="59"/>
      <c r="O120" s="59"/>
      <c r="P120" s="59"/>
      <c r="Q120" s="59"/>
      <c r="R120" s="59"/>
      <c r="S120" s="59"/>
      <c r="T120" s="59"/>
      <c r="U120" s="59"/>
      <c r="V120" s="59"/>
      <c r="W120" s="59"/>
      <c r="X120" s="59"/>
      <c r="Y120" s="59"/>
      <c r="Z120" s="59"/>
    </row>
    <row r="121" ht="15.75" customHeight="1">
      <c r="A121" s="59"/>
      <c r="C121" s="59"/>
      <c r="D121" s="59"/>
      <c r="E121" s="59"/>
      <c r="F121" s="60"/>
      <c r="G121" s="59"/>
      <c r="H121" s="61"/>
      <c r="I121" s="59"/>
      <c r="J121" s="59"/>
      <c r="K121" s="59"/>
      <c r="L121" s="59"/>
      <c r="M121" s="59"/>
      <c r="N121" s="59"/>
      <c r="O121" s="59"/>
      <c r="P121" s="59"/>
      <c r="Q121" s="59"/>
      <c r="R121" s="59"/>
      <c r="S121" s="59"/>
      <c r="T121" s="59"/>
      <c r="U121" s="59"/>
      <c r="V121" s="59"/>
      <c r="W121" s="59"/>
      <c r="X121" s="59"/>
      <c r="Y121" s="59"/>
      <c r="Z121" s="59"/>
    </row>
    <row r="122" ht="15.75" customHeight="1">
      <c r="A122" s="59"/>
      <c r="C122" s="59"/>
      <c r="D122" s="59"/>
      <c r="E122" s="59"/>
      <c r="F122" s="60"/>
      <c r="G122" s="59"/>
      <c r="H122" s="61"/>
      <c r="I122" s="59"/>
      <c r="J122" s="59"/>
      <c r="K122" s="59"/>
      <c r="L122" s="59"/>
      <c r="M122" s="59"/>
      <c r="N122" s="59"/>
      <c r="O122" s="59"/>
      <c r="P122" s="59"/>
      <c r="Q122" s="59"/>
      <c r="R122" s="59"/>
      <c r="S122" s="59"/>
      <c r="T122" s="59"/>
      <c r="U122" s="59"/>
      <c r="V122" s="59"/>
      <c r="W122" s="59"/>
      <c r="X122" s="59"/>
      <c r="Y122" s="59"/>
      <c r="Z122" s="59"/>
    </row>
    <row r="123" ht="15.75" customHeight="1">
      <c r="A123" s="59"/>
      <c r="C123" s="59"/>
      <c r="D123" s="59"/>
      <c r="E123" s="59"/>
      <c r="F123" s="60"/>
      <c r="G123" s="59"/>
      <c r="H123" s="61"/>
      <c r="I123" s="59"/>
      <c r="J123" s="59"/>
      <c r="K123" s="59"/>
      <c r="L123" s="59"/>
      <c r="M123" s="59"/>
      <c r="N123" s="59"/>
      <c r="O123" s="59"/>
      <c r="P123" s="59"/>
      <c r="Q123" s="59"/>
      <c r="R123" s="59"/>
      <c r="S123" s="59"/>
      <c r="T123" s="59"/>
      <c r="U123" s="59"/>
      <c r="V123" s="59"/>
      <c r="W123" s="59"/>
      <c r="X123" s="59"/>
      <c r="Y123" s="59"/>
      <c r="Z123" s="59"/>
    </row>
    <row r="124" ht="15.75" customHeight="1">
      <c r="A124" s="59"/>
      <c r="C124" s="59"/>
      <c r="D124" s="59"/>
      <c r="E124" s="59"/>
      <c r="F124" s="60"/>
      <c r="G124" s="59"/>
      <c r="H124" s="61"/>
      <c r="I124" s="59"/>
      <c r="J124" s="59"/>
      <c r="K124" s="59"/>
      <c r="L124" s="59"/>
      <c r="M124" s="59"/>
      <c r="N124" s="59"/>
      <c r="O124" s="59"/>
      <c r="P124" s="59"/>
      <c r="Q124" s="59"/>
      <c r="R124" s="59"/>
      <c r="S124" s="59"/>
      <c r="T124" s="59"/>
      <c r="U124" s="59"/>
      <c r="V124" s="59"/>
      <c r="W124" s="59"/>
      <c r="X124" s="59"/>
      <c r="Y124" s="59"/>
      <c r="Z124" s="59"/>
    </row>
    <row r="125" ht="15.75" customHeight="1">
      <c r="A125" s="59"/>
      <c r="C125" s="59"/>
      <c r="D125" s="59"/>
      <c r="E125" s="59"/>
      <c r="F125" s="60"/>
      <c r="G125" s="59"/>
      <c r="H125" s="61"/>
      <c r="I125" s="59"/>
      <c r="J125" s="59"/>
      <c r="K125" s="59"/>
      <c r="L125" s="59"/>
      <c r="M125" s="59"/>
      <c r="N125" s="59"/>
      <c r="O125" s="59"/>
      <c r="P125" s="59"/>
      <c r="Q125" s="59"/>
      <c r="R125" s="59"/>
      <c r="S125" s="59"/>
      <c r="T125" s="59"/>
      <c r="U125" s="59"/>
      <c r="V125" s="59"/>
      <c r="W125" s="59"/>
      <c r="X125" s="59"/>
      <c r="Y125" s="59"/>
      <c r="Z125" s="59"/>
    </row>
    <row r="126" ht="15.75" customHeight="1">
      <c r="A126" s="59"/>
      <c r="C126" s="59"/>
      <c r="D126" s="59"/>
      <c r="E126" s="59"/>
      <c r="F126" s="60"/>
      <c r="G126" s="59"/>
      <c r="H126" s="61"/>
      <c r="I126" s="59"/>
      <c r="J126" s="59"/>
      <c r="K126" s="59"/>
      <c r="L126" s="59"/>
      <c r="M126" s="59"/>
      <c r="N126" s="59"/>
      <c r="O126" s="59"/>
      <c r="P126" s="59"/>
      <c r="Q126" s="59"/>
      <c r="R126" s="59"/>
      <c r="S126" s="59"/>
      <c r="T126" s="59"/>
      <c r="U126" s="59"/>
      <c r="V126" s="59"/>
      <c r="W126" s="59"/>
      <c r="X126" s="59"/>
      <c r="Y126" s="59"/>
      <c r="Z126" s="59"/>
    </row>
    <row r="127" ht="15.75" customHeight="1">
      <c r="A127" s="59"/>
      <c r="C127" s="59"/>
      <c r="D127" s="59"/>
      <c r="E127" s="59"/>
      <c r="F127" s="60"/>
      <c r="G127" s="59"/>
      <c r="H127" s="61"/>
      <c r="I127" s="59"/>
      <c r="J127" s="59"/>
      <c r="K127" s="59"/>
      <c r="L127" s="59"/>
      <c r="M127" s="59"/>
      <c r="N127" s="59"/>
      <c r="O127" s="59"/>
      <c r="P127" s="59"/>
      <c r="Q127" s="59"/>
      <c r="R127" s="59"/>
      <c r="S127" s="59"/>
      <c r="T127" s="59"/>
      <c r="U127" s="59"/>
      <c r="V127" s="59"/>
      <c r="W127" s="59"/>
      <c r="X127" s="59"/>
      <c r="Y127" s="59"/>
      <c r="Z127" s="59"/>
    </row>
    <row r="128" ht="15.75" customHeight="1">
      <c r="A128" s="59"/>
      <c r="C128" s="59"/>
      <c r="D128" s="59"/>
      <c r="E128" s="59"/>
      <c r="F128" s="60"/>
      <c r="G128" s="59"/>
      <c r="H128" s="61"/>
      <c r="I128" s="59"/>
      <c r="J128" s="59"/>
      <c r="K128" s="59"/>
      <c r="L128" s="59"/>
      <c r="M128" s="59"/>
      <c r="N128" s="59"/>
      <c r="O128" s="59"/>
      <c r="P128" s="59"/>
      <c r="Q128" s="59"/>
      <c r="R128" s="59"/>
      <c r="S128" s="59"/>
      <c r="T128" s="59"/>
      <c r="U128" s="59"/>
      <c r="V128" s="59"/>
      <c r="W128" s="59"/>
      <c r="X128" s="59"/>
      <c r="Y128" s="59"/>
      <c r="Z128" s="59"/>
    </row>
    <row r="129" ht="15.75" customHeight="1">
      <c r="A129" s="59"/>
      <c r="C129" s="59"/>
      <c r="D129" s="59"/>
      <c r="E129" s="59"/>
      <c r="F129" s="60"/>
      <c r="G129" s="59"/>
      <c r="H129" s="61"/>
      <c r="I129" s="59"/>
      <c r="J129" s="59"/>
      <c r="K129" s="59"/>
      <c r="L129" s="59"/>
      <c r="M129" s="59"/>
      <c r="N129" s="59"/>
      <c r="O129" s="59"/>
      <c r="P129" s="59"/>
      <c r="Q129" s="59"/>
      <c r="R129" s="59"/>
      <c r="S129" s="59"/>
      <c r="T129" s="59"/>
      <c r="U129" s="59"/>
      <c r="V129" s="59"/>
      <c r="W129" s="59"/>
      <c r="X129" s="59"/>
      <c r="Y129" s="59"/>
      <c r="Z129" s="59"/>
    </row>
    <row r="130" ht="15.75" customHeight="1">
      <c r="A130" s="59"/>
      <c r="C130" s="59"/>
      <c r="D130" s="59"/>
      <c r="E130" s="59"/>
      <c r="F130" s="60"/>
      <c r="G130" s="59"/>
      <c r="H130" s="61"/>
      <c r="I130" s="59"/>
      <c r="J130" s="59"/>
      <c r="K130" s="59"/>
      <c r="L130" s="59"/>
      <c r="M130" s="59"/>
      <c r="N130" s="59"/>
      <c r="O130" s="59"/>
      <c r="P130" s="59"/>
      <c r="Q130" s="59"/>
      <c r="R130" s="59"/>
      <c r="S130" s="59"/>
      <c r="T130" s="59"/>
      <c r="U130" s="59"/>
      <c r="V130" s="59"/>
      <c r="W130" s="59"/>
      <c r="X130" s="59"/>
      <c r="Y130" s="59"/>
      <c r="Z130" s="59"/>
    </row>
    <row r="131" ht="15.75" customHeight="1">
      <c r="A131" s="59"/>
      <c r="C131" s="59"/>
      <c r="D131" s="59"/>
      <c r="E131" s="59"/>
      <c r="F131" s="60"/>
      <c r="G131" s="59"/>
      <c r="H131" s="61"/>
      <c r="I131" s="59"/>
      <c r="J131" s="59"/>
      <c r="K131" s="59"/>
      <c r="L131" s="59"/>
      <c r="M131" s="59"/>
      <c r="N131" s="59"/>
      <c r="O131" s="59"/>
      <c r="P131" s="59"/>
      <c r="Q131" s="59"/>
      <c r="R131" s="59"/>
      <c r="S131" s="59"/>
      <c r="T131" s="59"/>
      <c r="U131" s="59"/>
      <c r="V131" s="59"/>
      <c r="W131" s="59"/>
      <c r="X131" s="59"/>
      <c r="Y131" s="59"/>
      <c r="Z131" s="59"/>
    </row>
    <row r="132" ht="15.75" customHeight="1">
      <c r="A132" s="59"/>
      <c r="C132" s="59"/>
      <c r="D132" s="59"/>
      <c r="E132" s="59"/>
      <c r="F132" s="60"/>
      <c r="G132" s="59"/>
      <c r="H132" s="61"/>
      <c r="I132" s="59"/>
      <c r="J132" s="59"/>
      <c r="K132" s="59"/>
      <c r="L132" s="59"/>
      <c r="M132" s="59"/>
      <c r="N132" s="59"/>
      <c r="O132" s="59"/>
      <c r="P132" s="59"/>
      <c r="Q132" s="59"/>
      <c r="R132" s="59"/>
      <c r="S132" s="59"/>
      <c r="T132" s="59"/>
      <c r="U132" s="59"/>
      <c r="V132" s="59"/>
      <c r="W132" s="59"/>
      <c r="X132" s="59"/>
      <c r="Y132" s="59"/>
      <c r="Z132" s="59"/>
    </row>
    <row r="133" ht="15.75" customHeight="1">
      <c r="A133" s="59"/>
      <c r="C133" s="59"/>
      <c r="D133" s="59"/>
      <c r="E133" s="59"/>
      <c r="F133" s="60"/>
      <c r="G133" s="59"/>
      <c r="H133" s="61"/>
      <c r="I133" s="59"/>
      <c r="J133" s="59"/>
      <c r="K133" s="59"/>
      <c r="L133" s="59"/>
      <c r="M133" s="59"/>
      <c r="N133" s="59"/>
      <c r="O133" s="59"/>
      <c r="P133" s="59"/>
      <c r="Q133" s="59"/>
      <c r="R133" s="59"/>
      <c r="S133" s="59"/>
      <c r="T133" s="59"/>
      <c r="U133" s="59"/>
      <c r="V133" s="59"/>
      <c r="W133" s="59"/>
      <c r="X133" s="59"/>
      <c r="Y133" s="59"/>
      <c r="Z133" s="59"/>
    </row>
    <row r="134" ht="15.75" customHeight="1">
      <c r="A134" s="59"/>
      <c r="C134" s="59"/>
      <c r="D134" s="59"/>
      <c r="E134" s="59"/>
      <c r="F134" s="60"/>
      <c r="G134" s="59"/>
      <c r="H134" s="61"/>
      <c r="I134" s="59"/>
      <c r="J134" s="59"/>
      <c r="K134" s="59"/>
      <c r="L134" s="59"/>
      <c r="M134" s="59"/>
      <c r="N134" s="59"/>
      <c r="O134" s="59"/>
      <c r="P134" s="59"/>
      <c r="Q134" s="59"/>
      <c r="R134" s="59"/>
      <c r="S134" s="59"/>
      <c r="T134" s="59"/>
      <c r="U134" s="59"/>
      <c r="V134" s="59"/>
      <c r="W134" s="59"/>
      <c r="X134" s="59"/>
      <c r="Y134" s="59"/>
      <c r="Z134" s="59"/>
    </row>
    <row r="135" ht="15.75" customHeight="1">
      <c r="A135" s="59"/>
      <c r="C135" s="59"/>
      <c r="D135" s="59"/>
      <c r="E135" s="59"/>
      <c r="F135" s="60"/>
      <c r="G135" s="59"/>
      <c r="H135" s="61"/>
      <c r="I135" s="59"/>
      <c r="J135" s="59"/>
      <c r="K135" s="59"/>
      <c r="L135" s="59"/>
      <c r="M135" s="59"/>
      <c r="N135" s="59"/>
      <c r="O135" s="59"/>
      <c r="P135" s="59"/>
      <c r="Q135" s="59"/>
      <c r="R135" s="59"/>
      <c r="S135" s="59"/>
      <c r="T135" s="59"/>
      <c r="U135" s="59"/>
      <c r="V135" s="59"/>
      <c r="W135" s="59"/>
      <c r="X135" s="59"/>
      <c r="Y135" s="59"/>
      <c r="Z135" s="59"/>
    </row>
    <row r="136" ht="15.75" customHeight="1">
      <c r="A136" s="59"/>
      <c r="C136" s="59"/>
      <c r="D136" s="59"/>
      <c r="E136" s="59"/>
      <c r="F136" s="60"/>
      <c r="G136" s="59"/>
      <c r="H136" s="61"/>
      <c r="I136" s="59"/>
      <c r="J136" s="59"/>
      <c r="K136" s="59"/>
      <c r="L136" s="59"/>
      <c r="M136" s="59"/>
      <c r="N136" s="59"/>
      <c r="O136" s="59"/>
      <c r="P136" s="59"/>
      <c r="Q136" s="59"/>
      <c r="R136" s="59"/>
      <c r="S136" s="59"/>
      <c r="T136" s="59"/>
      <c r="U136" s="59"/>
      <c r="V136" s="59"/>
      <c r="W136" s="59"/>
      <c r="X136" s="59"/>
      <c r="Y136" s="59"/>
      <c r="Z136" s="59"/>
    </row>
    <row r="137" ht="15.75" customHeight="1">
      <c r="A137" s="59"/>
      <c r="C137" s="59"/>
      <c r="D137" s="59"/>
      <c r="E137" s="59"/>
      <c r="F137" s="60"/>
      <c r="G137" s="59"/>
      <c r="H137" s="61"/>
      <c r="I137" s="59"/>
      <c r="J137" s="59"/>
      <c r="K137" s="59"/>
      <c r="L137" s="59"/>
      <c r="M137" s="59"/>
      <c r="N137" s="59"/>
      <c r="O137" s="59"/>
      <c r="P137" s="59"/>
      <c r="Q137" s="59"/>
      <c r="R137" s="59"/>
      <c r="S137" s="59"/>
      <c r="T137" s="59"/>
      <c r="U137" s="59"/>
      <c r="V137" s="59"/>
      <c r="W137" s="59"/>
      <c r="X137" s="59"/>
      <c r="Y137" s="59"/>
      <c r="Z137" s="59"/>
    </row>
    <row r="138" ht="15.75" customHeight="1">
      <c r="A138" s="59"/>
      <c r="C138" s="59"/>
      <c r="D138" s="59"/>
      <c r="E138" s="59"/>
      <c r="F138" s="60"/>
      <c r="G138" s="59"/>
      <c r="H138" s="61"/>
      <c r="I138" s="59"/>
      <c r="J138" s="59"/>
      <c r="K138" s="59"/>
      <c r="L138" s="59"/>
      <c r="M138" s="59"/>
      <c r="N138" s="59"/>
      <c r="O138" s="59"/>
      <c r="P138" s="59"/>
      <c r="Q138" s="59"/>
      <c r="R138" s="59"/>
      <c r="S138" s="59"/>
      <c r="T138" s="59"/>
      <c r="U138" s="59"/>
      <c r="V138" s="59"/>
      <c r="W138" s="59"/>
      <c r="X138" s="59"/>
      <c r="Y138" s="59"/>
      <c r="Z138" s="59"/>
    </row>
    <row r="139" ht="15.75" customHeight="1">
      <c r="A139" s="59"/>
      <c r="C139" s="59"/>
      <c r="D139" s="59"/>
      <c r="E139" s="59"/>
      <c r="F139" s="60"/>
      <c r="G139" s="59"/>
      <c r="H139" s="61"/>
      <c r="I139" s="59"/>
      <c r="J139" s="59"/>
      <c r="K139" s="59"/>
      <c r="L139" s="59"/>
      <c r="M139" s="59"/>
      <c r="N139" s="59"/>
      <c r="O139" s="59"/>
      <c r="P139" s="59"/>
      <c r="Q139" s="59"/>
      <c r="R139" s="59"/>
      <c r="S139" s="59"/>
      <c r="T139" s="59"/>
      <c r="U139" s="59"/>
      <c r="V139" s="59"/>
      <c r="W139" s="59"/>
      <c r="X139" s="59"/>
      <c r="Y139" s="59"/>
      <c r="Z139" s="59"/>
    </row>
    <row r="140" ht="15.75" customHeight="1">
      <c r="A140" s="59"/>
      <c r="C140" s="59"/>
      <c r="D140" s="59"/>
      <c r="E140" s="59"/>
      <c r="F140" s="60"/>
      <c r="G140" s="59"/>
      <c r="H140" s="61"/>
      <c r="I140" s="59"/>
      <c r="J140" s="59"/>
      <c r="K140" s="59"/>
      <c r="L140" s="59"/>
      <c r="M140" s="59"/>
      <c r="N140" s="59"/>
      <c r="O140" s="59"/>
      <c r="P140" s="59"/>
      <c r="Q140" s="59"/>
      <c r="R140" s="59"/>
      <c r="S140" s="59"/>
      <c r="T140" s="59"/>
      <c r="U140" s="59"/>
      <c r="V140" s="59"/>
      <c r="W140" s="59"/>
      <c r="X140" s="59"/>
      <c r="Y140" s="59"/>
      <c r="Z140" s="59"/>
    </row>
    <row r="141" ht="15.75" customHeight="1">
      <c r="A141" s="59"/>
      <c r="C141" s="59"/>
      <c r="D141" s="59"/>
      <c r="E141" s="59"/>
      <c r="F141" s="60"/>
      <c r="G141" s="59"/>
      <c r="H141" s="61"/>
      <c r="I141" s="59"/>
      <c r="J141" s="59"/>
      <c r="K141" s="59"/>
      <c r="L141" s="59"/>
      <c r="M141" s="59"/>
      <c r="N141" s="59"/>
      <c r="O141" s="59"/>
      <c r="P141" s="59"/>
      <c r="Q141" s="59"/>
      <c r="R141" s="59"/>
      <c r="S141" s="59"/>
      <c r="T141" s="59"/>
      <c r="U141" s="59"/>
      <c r="V141" s="59"/>
      <c r="W141" s="59"/>
      <c r="X141" s="59"/>
      <c r="Y141" s="59"/>
      <c r="Z141" s="59"/>
    </row>
    <row r="142" ht="15.75" customHeight="1">
      <c r="A142" s="59"/>
      <c r="C142" s="59"/>
      <c r="D142" s="59"/>
      <c r="E142" s="59"/>
      <c r="F142" s="60"/>
      <c r="G142" s="59"/>
      <c r="H142" s="61"/>
      <c r="I142" s="59"/>
      <c r="J142" s="59"/>
      <c r="K142" s="59"/>
      <c r="L142" s="59"/>
      <c r="M142" s="59"/>
      <c r="N142" s="59"/>
      <c r="O142" s="59"/>
      <c r="P142" s="59"/>
      <c r="Q142" s="59"/>
      <c r="R142" s="59"/>
      <c r="S142" s="59"/>
      <c r="T142" s="59"/>
      <c r="U142" s="59"/>
      <c r="V142" s="59"/>
      <c r="W142" s="59"/>
      <c r="X142" s="59"/>
      <c r="Y142" s="59"/>
      <c r="Z142" s="59"/>
    </row>
    <row r="143" ht="15.75" customHeight="1">
      <c r="A143" s="59"/>
      <c r="C143" s="59"/>
      <c r="D143" s="59"/>
      <c r="E143" s="59"/>
      <c r="F143" s="60"/>
      <c r="G143" s="59"/>
      <c r="H143" s="61"/>
      <c r="I143" s="59"/>
      <c r="J143" s="59"/>
      <c r="K143" s="59"/>
      <c r="L143" s="59"/>
      <c r="M143" s="59"/>
      <c r="N143" s="59"/>
      <c r="O143" s="59"/>
      <c r="P143" s="59"/>
      <c r="Q143" s="59"/>
      <c r="R143" s="59"/>
      <c r="S143" s="59"/>
      <c r="T143" s="59"/>
      <c r="U143" s="59"/>
      <c r="V143" s="59"/>
      <c r="W143" s="59"/>
      <c r="X143" s="59"/>
      <c r="Y143" s="59"/>
      <c r="Z143" s="59"/>
    </row>
    <row r="144" ht="15.75" customHeight="1">
      <c r="A144" s="59"/>
      <c r="C144" s="59"/>
      <c r="D144" s="59"/>
      <c r="E144" s="59"/>
      <c r="F144" s="60"/>
      <c r="G144" s="59"/>
      <c r="H144" s="61"/>
      <c r="I144" s="59"/>
      <c r="J144" s="59"/>
      <c r="K144" s="59"/>
      <c r="L144" s="59"/>
      <c r="M144" s="59"/>
      <c r="N144" s="59"/>
      <c r="O144" s="59"/>
      <c r="P144" s="59"/>
      <c r="Q144" s="59"/>
      <c r="R144" s="59"/>
      <c r="S144" s="59"/>
      <c r="T144" s="59"/>
      <c r="U144" s="59"/>
      <c r="V144" s="59"/>
      <c r="W144" s="59"/>
      <c r="X144" s="59"/>
      <c r="Y144" s="59"/>
      <c r="Z144" s="59"/>
    </row>
    <row r="145" ht="15.75" customHeight="1">
      <c r="A145" s="59"/>
      <c r="C145" s="59"/>
      <c r="D145" s="59"/>
      <c r="E145" s="59"/>
      <c r="F145" s="60"/>
      <c r="G145" s="59"/>
      <c r="H145" s="61"/>
      <c r="I145" s="59"/>
      <c r="J145" s="59"/>
      <c r="K145" s="59"/>
      <c r="L145" s="59"/>
      <c r="M145" s="59"/>
      <c r="N145" s="59"/>
      <c r="O145" s="59"/>
      <c r="P145" s="59"/>
      <c r="Q145" s="59"/>
      <c r="R145" s="59"/>
      <c r="S145" s="59"/>
      <c r="T145" s="59"/>
      <c r="U145" s="59"/>
      <c r="V145" s="59"/>
      <c r="W145" s="59"/>
      <c r="X145" s="59"/>
      <c r="Y145" s="59"/>
      <c r="Z145" s="59"/>
    </row>
    <row r="146" ht="15.75" customHeight="1">
      <c r="A146" s="59"/>
      <c r="C146" s="59"/>
      <c r="D146" s="59"/>
      <c r="E146" s="59"/>
      <c r="F146" s="60"/>
      <c r="G146" s="59"/>
      <c r="H146" s="61"/>
      <c r="I146" s="59"/>
      <c r="J146" s="59"/>
      <c r="K146" s="59"/>
      <c r="L146" s="59"/>
      <c r="M146" s="59"/>
      <c r="N146" s="59"/>
      <c r="O146" s="59"/>
      <c r="P146" s="59"/>
      <c r="Q146" s="59"/>
      <c r="R146" s="59"/>
      <c r="S146" s="59"/>
      <c r="T146" s="59"/>
      <c r="U146" s="59"/>
      <c r="V146" s="59"/>
      <c r="W146" s="59"/>
      <c r="X146" s="59"/>
      <c r="Y146" s="59"/>
      <c r="Z146" s="59"/>
    </row>
    <row r="147" ht="15.75" customHeight="1">
      <c r="A147" s="59"/>
      <c r="C147" s="59"/>
      <c r="D147" s="59"/>
      <c r="E147" s="59"/>
      <c r="F147" s="60"/>
      <c r="G147" s="59"/>
      <c r="H147" s="61"/>
      <c r="I147" s="59"/>
      <c r="J147" s="59"/>
      <c r="K147" s="59"/>
      <c r="L147" s="59"/>
      <c r="M147" s="59"/>
      <c r="N147" s="59"/>
      <c r="O147" s="59"/>
      <c r="P147" s="59"/>
      <c r="Q147" s="59"/>
      <c r="R147" s="59"/>
      <c r="S147" s="59"/>
      <c r="T147" s="59"/>
      <c r="U147" s="59"/>
      <c r="V147" s="59"/>
      <c r="W147" s="59"/>
      <c r="X147" s="59"/>
      <c r="Y147" s="59"/>
      <c r="Z147" s="59"/>
    </row>
    <row r="148" ht="15.75" customHeight="1">
      <c r="A148" s="59"/>
      <c r="C148" s="59"/>
      <c r="D148" s="59"/>
      <c r="E148" s="59"/>
      <c r="F148" s="60"/>
      <c r="G148" s="59"/>
      <c r="H148" s="61"/>
      <c r="I148" s="59"/>
      <c r="J148" s="59"/>
      <c r="K148" s="59"/>
      <c r="L148" s="59"/>
      <c r="M148" s="59"/>
      <c r="N148" s="59"/>
      <c r="O148" s="59"/>
      <c r="P148" s="59"/>
      <c r="Q148" s="59"/>
      <c r="R148" s="59"/>
      <c r="S148" s="59"/>
      <c r="T148" s="59"/>
      <c r="U148" s="59"/>
      <c r="V148" s="59"/>
      <c r="W148" s="59"/>
      <c r="X148" s="59"/>
      <c r="Y148" s="59"/>
      <c r="Z148" s="59"/>
    </row>
    <row r="149" ht="15.75" customHeight="1">
      <c r="A149" s="59"/>
      <c r="C149" s="59"/>
      <c r="D149" s="59"/>
      <c r="E149" s="59"/>
      <c r="F149" s="60"/>
      <c r="G149" s="59"/>
      <c r="H149" s="61"/>
      <c r="I149" s="59"/>
      <c r="J149" s="59"/>
      <c r="K149" s="59"/>
      <c r="L149" s="59"/>
      <c r="M149" s="59"/>
      <c r="N149" s="59"/>
      <c r="O149" s="59"/>
      <c r="P149" s="59"/>
      <c r="Q149" s="59"/>
      <c r="R149" s="59"/>
      <c r="S149" s="59"/>
      <c r="T149" s="59"/>
      <c r="U149" s="59"/>
      <c r="V149" s="59"/>
      <c r="W149" s="59"/>
      <c r="X149" s="59"/>
      <c r="Y149" s="59"/>
      <c r="Z149" s="59"/>
    </row>
    <row r="150" ht="15.75" customHeight="1">
      <c r="A150" s="59"/>
      <c r="C150" s="59"/>
      <c r="D150" s="59"/>
      <c r="E150" s="59"/>
      <c r="F150" s="60"/>
      <c r="G150" s="59"/>
      <c r="H150" s="61"/>
      <c r="I150" s="59"/>
      <c r="J150" s="59"/>
      <c r="K150" s="59"/>
      <c r="L150" s="59"/>
      <c r="M150" s="59"/>
      <c r="N150" s="59"/>
      <c r="O150" s="59"/>
      <c r="P150" s="59"/>
      <c r="Q150" s="59"/>
      <c r="R150" s="59"/>
      <c r="S150" s="59"/>
      <c r="T150" s="59"/>
      <c r="U150" s="59"/>
      <c r="V150" s="59"/>
      <c r="W150" s="59"/>
      <c r="X150" s="59"/>
      <c r="Y150" s="59"/>
      <c r="Z150" s="59"/>
    </row>
    <row r="151" ht="15.75" customHeight="1">
      <c r="A151" s="59"/>
      <c r="C151" s="59"/>
      <c r="D151" s="59"/>
      <c r="E151" s="59"/>
      <c r="F151" s="60"/>
      <c r="G151" s="59"/>
      <c r="H151" s="61"/>
      <c r="I151" s="59"/>
      <c r="J151" s="59"/>
      <c r="K151" s="59"/>
      <c r="L151" s="59"/>
      <c r="M151" s="59"/>
      <c r="N151" s="59"/>
      <c r="O151" s="59"/>
      <c r="P151" s="59"/>
      <c r="Q151" s="59"/>
      <c r="R151" s="59"/>
      <c r="S151" s="59"/>
      <c r="T151" s="59"/>
      <c r="U151" s="59"/>
      <c r="V151" s="59"/>
      <c r="W151" s="59"/>
      <c r="X151" s="59"/>
      <c r="Y151" s="59"/>
      <c r="Z151" s="59"/>
    </row>
    <row r="152" ht="15.75" customHeight="1">
      <c r="A152" s="59"/>
      <c r="C152" s="59"/>
      <c r="D152" s="59"/>
      <c r="E152" s="59"/>
      <c r="F152" s="60"/>
      <c r="G152" s="59"/>
      <c r="H152" s="61"/>
      <c r="I152" s="59"/>
      <c r="J152" s="59"/>
      <c r="K152" s="59"/>
      <c r="L152" s="59"/>
      <c r="M152" s="59"/>
      <c r="N152" s="59"/>
      <c r="O152" s="59"/>
      <c r="P152" s="59"/>
      <c r="Q152" s="59"/>
      <c r="R152" s="59"/>
      <c r="S152" s="59"/>
      <c r="T152" s="59"/>
      <c r="U152" s="59"/>
      <c r="V152" s="59"/>
      <c r="W152" s="59"/>
      <c r="X152" s="59"/>
      <c r="Y152" s="59"/>
      <c r="Z152" s="59"/>
    </row>
    <row r="153" ht="15.75" customHeight="1">
      <c r="A153" s="59"/>
      <c r="C153" s="59"/>
      <c r="D153" s="59"/>
      <c r="E153" s="59"/>
      <c r="F153" s="60"/>
      <c r="G153" s="59"/>
      <c r="H153" s="61"/>
      <c r="I153" s="59"/>
      <c r="J153" s="59"/>
      <c r="K153" s="59"/>
      <c r="L153" s="59"/>
      <c r="M153" s="59"/>
      <c r="N153" s="59"/>
      <c r="O153" s="59"/>
      <c r="P153" s="59"/>
      <c r="Q153" s="59"/>
      <c r="R153" s="59"/>
      <c r="S153" s="59"/>
      <c r="T153" s="59"/>
      <c r="U153" s="59"/>
      <c r="V153" s="59"/>
      <c r="W153" s="59"/>
      <c r="X153" s="59"/>
      <c r="Y153" s="59"/>
      <c r="Z153" s="59"/>
    </row>
    <row r="154" ht="15.75" customHeight="1">
      <c r="A154" s="59"/>
      <c r="C154" s="59"/>
      <c r="D154" s="59"/>
      <c r="E154" s="59"/>
      <c r="F154" s="60"/>
      <c r="G154" s="59"/>
      <c r="H154" s="61"/>
      <c r="I154" s="59"/>
      <c r="J154" s="59"/>
      <c r="K154" s="59"/>
      <c r="L154" s="59"/>
      <c r="M154" s="59"/>
      <c r="N154" s="59"/>
      <c r="O154" s="59"/>
      <c r="P154" s="59"/>
      <c r="Q154" s="59"/>
      <c r="R154" s="59"/>
      <c r="S154" s="59"/>
      <c r="T154" s="59"/>
      <c r="U154" s="59"/>
      <c r="V154" s="59"/>
      <c r="W154" s="59"/>
      <c r="X154" s="59"/>
      <c r="Y154" s="59"/>
      <c r="Z154" s="59"/>
    </row>
    <row r="155" ht="15.75" customHeight="1">
      <c r="A155" s="59"/>
      <c r="C155" s="59"/>
      <c r="D155" s="59"/>
      <c r="E155" s="59"/>
      <c r="F155" s="60"/>
      <c r="G155" s="59"/>
      <c r="H155" s="61"/>
      <c r="I155" s="59"/>
      <c r="J155" s="59"/>
      <c r="K155" s="59"/>
      <c r="L155" s="59"/>
      <c r="M155" s="59"/>
      <c r="N155" s="59"/>
      <c r="O155" s="59"/>
      <c r="P155" s="59"/>
      <c r="Q155" s="59"/>
      <c r="R155" s="59"/>
      <c r="S155" s="59"/>
      <c r="T155" s="59"/>
      <c r="U155" s="59"/>
      <c r="V155" s="59"/>
      <c r="W155" s="59"/>
      <c r="X155" s="59"/>
      <c r="Y155" s="59"/>
      <c r="Z155" s="59"/>
    </row>
    <row r="156" ht="15.75" customHeight="1">
      <c r="A156" s="59"/>
      <c r="C156" s="59"/>
      <c r="D156" s="59"/>
      <c r="E156" s="59"/>
      <c r="F156" s="60"/>
      <c r="G156" s="59"/>
      <c r="H156" s="61"/>
      <c r="I156" s="59"/>
      <c r="J156" s="59"/>
      <c r="K156" s="59"/>
      <c r="L156" s="59"/>
      <c r="M156" s="59"/>
      <c r="N156" s="59"/>
      <c r="O156" s="59"/>
      <c r="P156" s="59"/>
      <c r="Q156" s="59"/>
      <c r="R156" s="59"/>
      <c r="S156" s="59"/>
      <c r="T156" s="59"/>
      <c r="U156" s="59"/>
      <c r="V156" s="59"/>
      <c r="W156" s="59"/>
      <c r="X156" s="59"/>
      <c r="Y156" s="59"/>
      <c r="Z156" s="59"/>
    </row>
    <row r="157" ht="15.75" customHeight="1">
      <c r="A157" s="59"/>
      <c r="C157" s="59"/>
      <c r="D157" s="59"/>
      <c r="E157" s="59"/>
      <c r="F157" s="60"/>
      <c r="G157" s="59"/>
      <c r="H157" s="61"/>
      <c r="I157" s="59"/>
      <c r="J157" s="59"/>
      <c r="K157" s="59"/>
      <c r="L157" s="59"/>
      <c r="M157" s="59"/>
      <c r="N157" s="59"/>
      <c r="O157" s="59"/>
      <c r="P157" s="59"/>
      <c r="Q157" s="59"/>
      <c r="R157" s="59"/>
      <c r="S157" s="59"/>
      <c r="T157" s="59"/>
      <c r="U157" s="59"/>
      <c r="V157" s="59"/>
      <c r="W157" s="59"/>
      <c r="X157" s="59"/>
      <c r="Y157" s="59"/>
      <c r="Z157" s="59"/>
    </row>
    <row r="158" ht="15.75" customHeight="1">
      <c r="A158" s="59"/>
      <c r="C158" s="59"/>
      <c r="D158" s="59"/>
      <c r="E158" s="59"/>
      <c r="F158" s="60"/>
      <c r="G158" s="59"/>
      <c r="H158" s="61"/>
      <c r="I158" s="59"/>
      <c r="J158" s="59"/>
      <c r="K158" s="59"/>
      <c r="L158" s="59"/>
      <c r="M158" s="59"/>
      <c r="N158" s="59"/>
      <c r="O158" s="59"/>
      <c r="P158" s="59"/>
      <c r="Q158" s="59"/>
      <c r="R158" s="59"/>
      <c r="S158" s="59"/>
      <c r="T158" s="59"/>
      <c r="U158" s="59"/>
      <c r="V158" s="59"/>
      <c r="W158" s="59"/>
      <c r="X158" s="59"/>
      <c r="Y158" s="59"/>
      <c r="Z158" s="59"/>
    </row>
    <row r="159" ht="15.75" customHeight="1">
      <c r="A159" s="59"/>
      <c r="C159" s="59"/>
      <c r="D159" s="59"/>
      <c r="E159" s="59"/>
      <c r="F159" s="60"/>
      <c r="G159" s="59"/>
      <c r="H159" s="61"/>
      <c r="I159" s="59"/>
      <c r="J159" s="59"/>
      <c r="K159" s="59"/>
      <c r="L159" s="59"/>
      <c r="M159" s="59"/>
      <c r="N159" s="59"/>
      <c r="O159" s="59"/>
      <c r="P159" s="59"/>
      <c r="Q159" s="59"/>
      <c r="R159" s="59"/>
      <c r="S159" s="59"/>
      <c r="T159" s="59"/>
      <c r="U159" s="59"/>
      <c r="V159" s="59"/>
      <c r="W159" s="59"/>
      <c r="X159" s="59"/>
      <c r="Y159" s="59"/>
      <c r="Z159" s="59"/>
    </row>
    <row r="160" ht="15.75" customHeight="1">
      <c r="A160" s="59"/>
      <c r="C160" s="59"/>
      <c r="D160" s="59"/>
      <c r="E160" s="59"/>
      <c r="F160" s="60"/>
      <c r="G160" s="59"/>
      <c r="H160" s="61"/>
      <c r="I160" s="59"/>
      <c r="J160" s="59"/>
      <c r="K160" s="59"/>
      <c r="L160" s="59"/>
      <c r="M160" s="59"/>
      <c r="N160" s="59"/>
      <c r="O160" s="59"/>
      <c r="P160" s="59"/>
      <c r="Q160" s="59"/>
      <c r="R160" s="59"/>
      <c r="S160" s="59"/>
      <c r="T160" s="59"/>
      <c r="U160" s="59"/>
      <c r="V160" s="59"/>
      <c r="W160" s="59"/>
      <c r="X160" s="59"/>
      <c r="Y160" s="59"/>
      <c r="Z160" s="59"/>
    </row>
    <row r="161" ht="15.75" customHeight="1">
      <c r="A161" s="59"/>
      <c r="C161" s="59"/>
      <c r="D161" s="59"/>
      <c r="E161" s="59"/>
      <c r="F161" s="60"/>
      <c r="G161" s="59"/>
      <c r="H161" s="61"/>
      <c r="I161" s="59"/>
      <c r="J161" s="59"/>
      <c r="K161" s="59"/>
      <c r="L161" s="59"/>
      <c r="M161" s="59"/>
      <c r="N161" s="59"/>
      <c r="O161" s="59"/>
      <c r="P161" s="59"/>
      <c r="Q161" s="59"/>
      <c r="R161" s="59"/>
      <c r="S161" s="59"/>
      <c r="T161" s="59"/>
      <c r="U161" s="59"/>
      <c r="V161" s="59"/>
      <c r="W161" s="59"/>
      <c r="X161" s="59"/>
      <c r="Y161" s="59"/>
      <c r="Z161" s="59"/>
    </row>
    <row r="162" ht="15.75" customHeight="1">
      <c r="A162" s="59"/>
      <c r="C162" s="59"/>
      <c r="D162" s="59"/>
      <c r="E162" s="59"/>
      <c r="F162" s="60"/>
      <c r="G162" s="59"/>
      <c r="H162" s="61"/>
      <c r="I162" s="59"/>
      <c r="J162" s="59"/>
      <c r="K162" s="59"/>
      <c r="L162" s="59"/>
      <c r="M162" s="59"/>
      <c r="N162" s="59"/>
      <c r="O162" s="59"/>
      <c r="P162" s="59"/>
      <c r="Q162" s="59"/>
      <c r="R162" s="59"/>
      <c r="S162" s="59"/>
      <c r="T162" s="59"/>
      <c r="U162" s="59"/>
      <c r="V162" s="59"/>
      <c r="W162" s="59"/>
      <c r="X162" s="59"/>
      <c r="Y162" s="59"/>
      <c r="Z162" s="59"/>
    </row>
    <row r="163" ht="15.75" customHeight="1">
      <c r="A163" s="59"/>
      <c r="C163" s="59"/>
      <c r="D163" s="59"/>
      <c r="E163" s="59"/>
      <c r="F163" s="60"/>
      <c r="G163" s="59"/>
      <c r="H163" s="61"/>
      <c r="I163" s="59"/>
      <c r="J163" s="59"/>
      <c r="K163" s="59"/>
      <c r="L163" s="59"/>
      <c r="M163" s="59"/>
      <c r="N163" s="59"/>
      <c r="O163" s="59"/>
      <c r="P163" s="59"/>
      <c r="Q163" s="59"/>
      <c r="R163" s="59"/>
      <c r="S163" s="59"/>
      <c r="T163" s="59"/>
      <c r="U163" s="59"/>
      <c r="V163" s="59"/>
      <c r="W163" s="59"/>
      <c r="X163" s="59"/>
      <c r="Y163" s="59"/>
      <c r="Z163" s="59"/>
    </row>
    <row r="164" ht="15.75" customHeight="1">
      <c r="A164" s="59"/>
      <c r="C164" s="59"/>
      <c r="D164" s="59"/>
      <c r="E164" s="59"/>
      <c r="F164" s="60"/>
      <c r="G164" s="59"/>
      <c r="H164" s="61"/>
      <c r="I164" s="59"/>
      <c r="J164" s="59"/>
      <c r="K164" s="59"/>
      <c r="L164" s="59"/>
      <c r="M164" s="59"/>
      <c r="N164" s="59"/>
      <c r="O164" s="59"/>
      <c r="P164" s="59"/>
      <c r="Q164" s="59"/>
      <c r="R164" s="59"/>
      <c r="S164" s="59"/>
      <c r="T164" s="59"/>
      <c r="U164" s="59"/>
      <c r="V164" s="59"/>
      <c r="W164" s="59"/>
      <c r="X164" s="59"/>
      <c r="Y164" s="59"/>
      <c r="Z164" s="59"/>
    </row>
    <row r="165" ht="15.75" customHeight="1">
      <c r="A165" s="59"/>
      <c r="C165" s="59"/>
      <c r="D165" s="59"/>
      <c r="E165" s="59"/>
      <c r="F165" s="60"/>
      <c r="G165" s="59"/>
      <c r="H165" s="61"/>
      <c r="I165" s="59"/>
      <c r="J165" s="59"/>
      <c r="K165" s="59"/>
      <c r="L165" s="59"/>
      <c r="M165" s="59"/>
      <c r="N165" s="59"/>
      <c r="O165" s="59"/>
      <c r="P165" s="59"/>
      <c r="Q165" s="59"/>
      <c r="R165" s="59"/>
      <c r="S165" s="59"/>
      <c r="T165" s="59"/>
      <c r="U165" s="59"/>
      <c r="V165" s="59"/>
      <c r="W165" s="59"/>
      <c r="X165" s="59"/>
      <c r="Y165" s="59"/>
      <c r="Z165" s="59"/>
    </row>
    <row r="166" ht="15.75" customHeight="1">
      <c r="A166" s="59"/>
      <c r="C166" s="59"/>
      <c r="D166" s="59"/>
      <c r="E166" s="59"/>
      <c r="F166" s="60"/>
      <c r="G166" s="59"/>
      <c r="H166" s="61"/>
      <c r="I166" s="59"/>
      <c r="J166" s="59"/>
      <c r="K166" s="59"/>
      <c r="L166" s="59"/>
      <c r="M166" s="59"/>
      <c r="N166" s="59"/>
      <c r="O166" s="59"/>
      <c r="P166" s="59"/>
      <c r="Q166" s="59"/>
      <c r="R166" s="59"/>
      <c r="S166" s="59"/>
      <c r="T166" s="59"/>
      <c r="U166" s="59"/>
      <c r="V166" s="59"/>
      <c r="W166" s="59"/>
      <c r="X166" s="59"/>
      <c r="Y166" s="59"/>
      <c r="Z166" s="59"/>
    </row>
    <row r="167" ht="15.75" customHeight="1">
      <c r="A167" s="59"/>
      <c r="C167" s="59"/>
      <c r="D167" s="59"/>
      <c r="E167" s="59"/>
      <c r="F167" s="60"/>
      <c r="G167" s="59"/>
      <c r="H167" s="61"/>
      <c r="I167" s="59"/>
      <c r="J167" s="59"/>
      <c r="K167" s="59"/>
      <c r="L167" s="59"/>
      <c r="M167" s="59"/>
      <c r="N167" s="59"/>
      <c r="O167" s="59"/>
      <c r="P167" s="59"/>
      <c r="Q167" s="59"/>
      <c r="R167" s="59"/>
      <c r="S167" s="59"/>
      <c r="T167" s="59"/>
      <c r="U167" s="59"/>
      <c r="V167" s="59"/>
      <c r="W167" s="59"/>
      <c r="X167" s="59"/>
      <c r="Y167" s="59"/>
      <c r="Z167" s="59"/>
    </row>
    <row r="168" ht="15.75" customHeight="1">
      <c r="A168" s="59"/>
      <c r="C168" s="59"/>
      <c r="D168" s="59"/>
      <c r="E168" s="59"/>
      <c r="F168" s="60"/>
      <c r="G168" s="59"/>
      <c r="H168" s="61"/>
      <c r="I168" s="59"/>
      <c r="J168" s="59"/>
      <c r="K168" s="59"/>
      <c r="L168" s="59"/>
      <c r="M168" s="59"/>
      <c r="N168" s="59"/>
      <c r="O168" s="59"/>
      <c r="P168" s="59"/>
      <c r="Q168" s="59"/>
      <c r="R168" s="59"/>
      <c r="S168" s="59"/>
      <c r="T168" s="59"/>
      <c r="U168" s="59"/>
      <c r="V168" s="59"/>
      <c r="W168" s="59"/>
      <c r="X168" s="59"/>
      <c r="Y168" s="59"/>
      <c r="Z168" s="59"/>
    </row>
    <row r="169" ht="15.75" customHeight="1">
      <c r="A169" s="59"/>
      <c r="C169" s="59"/>
      <c r="D169" s="59"/>
      <c r="E169" s="59"/>
      <c r="F169" s="60"/>
      <c r="G169" s="59"/>
      <c r="H169" s="61"/>
      <c r="I169" s="59"/>
      <c r="J169" s="59"/>
      <c r="K169" s="59"/>
      <c r="L169" s="59"/>
      <c r="M169" s="59"/>
      <c r="N169" s="59"/>
      <c r="O169" s="59"/>
      <c r="P169" s="59"/>
      <c r="Q169" s="59"/>
      <c r="R169" s="59"/>
      <c r="S169" s="59"/>
      <c r="T169" s="59"/>
      <c r="U169" s="59"/>
      <c r="V169" s="59"/>
      <c r="W169" s="59"/>
      <c r="X169" s="59"/>
      <c r="Y169" s="59"/>
      <c r="Z169" s="59"/>
    </row>
    <row r="170" ht="15.75" customHeight="1">
      <c r="A170" s="59"/>
      <c r="C170" s="59"/>
      <c r="D170" s="59"/>
      <c r="E170" s="59"/>
      <c r="F170" s="60"/>
      <c r="G170" s="59"/>
      <c r="H170" s="61"/>
      <c r="I170" s="59"/>
      <c r="J170" s="59"/>
      <c r="K170" s="59"/>
      <c r="L170" s="59"/>
      <c r="M170" s="59"/>
      <c r="N170" s="59"/>
      <c r="O170" s="59"/>
      <c r="P170" s="59"/>
      <c r="Q170" s="59"/>
      <c r="R170" s="59"/>
      <c r="S170" s="59"/>
      <c r="T170" s="59"/>
      <c r="U170" s="59"/>
      <c r="V170" s="59"/>
      <c r="W170" s="59"/>
      <c r="X170" s="59"/>
      <c r="Y170" s="59"/>
      <c r="Z170" s="59"/>
    </row>
    <row r="171" ht="15.75" customHeight="1">
      <c r="A171" s="59"/>
      <c r="C171" s="59"/>
      <c r="D171" s="59"/>
      <c r="E171" s="59"/>
      <c r="F171" s="60"/>
      <c r="G171" s="59"/>
      <c r="H171" s="61"/>
      <c r="I171" s="59"/>
      <c r="J171" s="59"/>
      <c r="K171" s="59"/>
      <c r="L171" s="59"/>
      <c r="M171" s="59"/>
      <c r="N171" s="59"/>
      <c r="O171" s="59"/>
      <c r="P171" s="59"/>
      <c r="Q171" s="59"/>
      <c r="R171" s="59"/>
      <c r="S171" s="59"/>
      <c r="T171" s="59"/>
      <c r="U171" s="59"/>
      <c r="V171" s="59"/>
      <c r="W171" s="59"/>
      <c r="X171" s="59"/>
      <c r="Y171" s="59"/>
      <c r="Z171" s="59"/>
    </row>
    <row r="172" ht="15.75" customHeight="1">
      <c r="A172" s="59"/>
      <c r="C172" s="59"/>
      <c r="D172" s="59"/>
      <c r="E172" s="59"/>
      <c r="F172" s="60"/>
      <c r="G172" s="59"/>
      <c r="H172" s="61"/>
      <c r="I172" s="59"/>
      <c r="J172" s="59"/>
      <c r="K172" s="59"/>
      <c r="L172" s="59"/>
      <c r="M172" s="59"/>
      <c r="N172" s="59"/>
      <c r="O172" s="59"/>
      <c r="P172" s="59"/>
      <c r="Q172" s="59"/>
      <c r="R172" s="59"/>
      <c r="S172" s="59"/>
      <c r="T172" s="59"/>
      <c r="U172" s="59"/>
      <c r="V172" s="59"/>
      <c r="W172" s="59"/>
      <c r="X172" s="59"/>
      <c r="Y172" s="59"/>
      <c r="Z172" s="59"/>
    </row>
    <row r="173" ht="15.75" customHeight="1">
      <c r="A173" s="59"/>
      <c r="C173" s="59"/>
      <c r="D173" s="59"/>
      <c r="E173" s="59"/>
      <c r="F173" s="60"/>
      <c r="G173" s="59"/>
      <c r="H173" s="61"/>
      <c r="I173" s="59"/>
      <c r="J173" s="59"/>
      <c r="K173" s="59"/>
      <c r="L173" s="59"/>
      <c r="M173" s="59"/>
      <c r="N173" s="59"/>
      <c r="O173" s="59"/>
      <c r="P173" s="59"/>
      <c r="Q173" s="59"/>
      <c r="R173" s="59"/>
      <c r="S173" s="59"/>
      <c r="T173" s="59"/>
      <c r="U173" s="59"/>
      <c r="V173" s="59"/>
      <c r="W173" s="59"/>
      <c r="X173" s="59"/>
      <c r="Y173" s="59"/>
      <c r="Z173" s="59"/>
    </row>
    <row r="174" ht="15.75" customHeight="1">
      <c r="A174" s="59"/>
      <c r="C174" s="59"/>
      <c r="D174" s="59"/>
      <c r="E174" s="59"/>
      <c r="F174" s="60"/>
      <c r="G174" s="59"/>
      <c r="H174" s="61"/>
      <c r="I174" s="59"/>
      <c r="J174" s="59"/>
      <c r="K174" s="59"/>
      <c r="L174" s="59"/>
      <c r="M174" s="59"/>
      <c r="N174" s="59"/>
      <c r="O174" s="59"/>
      <c r="P174" s="59"/>
      <c r="Q174" s="59"/>
      <c r="R174" s="59"/>
      <c r="S174" s="59"/>
      <c r="T174" s="59"/>
      <c r="U174" s="59"/>
      <c r="V174" s="59"/>
      <c r="W174" s="59"/>
      <c r="X174" s="59"/>
      <c r="Y174" s="59"/>
      <c r="Z174" s="59"/>
    </row>
    <row r="175" ht="15.75" customHeight="1">
      <c r="A175" s="59"/>
      <c r="C175" s="59"/>
      <c r="D175" s="59"/>
      <c r="E175" s="59"/>
      <c r="F175" s="60"/>
      <c r="G175" s="59"/>
      <c r="H175" s="61"/>
      <c r="I175" s="59"/>
      <c r="J175" s="59"/>
      <c r="K175" s="59"/>
      <c r="L175" s="59"/>
      <c r="M175" s="59"/>
      <c r="N175" s="59"/>
      <c r="O175" s="59"/>
      <c r="P175" s="59"/>
      <c r="Q175" s="59"/>
      <c r="R175" s="59"/>
      <c r="S175" s="59"/>
      <c r="T175" s="59"/>
      <c r="U175" s="59"/>
      <c r="V175" s="59"/>
      <c r="W175" s="59"/>
      <c r="X175" s="59"/>
      <c r="Y175" s="59"/>
      <c r="Z175" s="59"/>
    </row>
    <row r="176" ht="15.75" customHeight="1">
      <c r="A176" s="59"/>
      <c r="C176" s="59"/>
      <c r="D176" s="59"/>
      <c r="E176" s="59"/>
      <c r="F176" s="60"/>
      <c r="G176" s="59"/>
      <c r="H176" s="61"/>
      <c r="I176" s="59"/>
      <c r="J176" s="59"/>
      <c r="K176" s="59"/>
      <c r="L176" s="59"/>
      <c r="M176" s="59"/>
      <c r="N176" s="59"/>
      <c r="O176" s="59"/>
      <c r="P176" s="59"/>
      <c r="Q176" s="59"/>
      <c r="R176" s="59"/>
      <c r="S176" s="59"/>
      <c r="T176" s="59"/>
      <c r="U176" s="59"/>
      <c r="V176" s="59"/>
      <c r="W176" s="59"/>
      <c r="X176" s="59"/>
      <c r="Y176" s="59"/>
      <c r="Z176" s="59"/>
    </row>
    <row r="177" ht="15.75" customHeight="1">
      <c r="A177" s="59"/>
      <c r="C177" s="59"/>
      <c r="D177" s="59"/>
      <c r="E177" s="59"/>
      <c r="F177" s="60"/>
      <c r="G177" s="59"/>
      <c r="H177" s="61"/>
      <c r="I177" s="59"/>
      <c r="J177" s="59"/>
      <c r="K177" s="59"/>
      <c r="L177" s="59"/>
      <c r="M177" s="59"/>
      <c r="N177" s="59"/>
      <c r="O177" s="59"/>
      <c r="P177" s="59"/>
      <c r="Q177" s="59"/>
      <c r="R177" s="59"/>
      <c r="S177" s="59"/>
      <c r="T177" s="59"/>
      <c r="U177" s="59"/>
      <c r="V177" s="59"/>
      <c r="W177" s="59"/>
      <c r="X177" s="59"/>
      <c r="Y177" s="59"/>
      <c r="Z177" s="59"/>
    </row>
    <row r="178" ht="15.75" customHeight="1">
      <c r="A178" s="59"/>
      <c r="C178" s="59"/>
      <c r="D178" s="59"/>
      <c r="E178" s="59"/>
      <c r="F178" s="60"/>
      <c r="G178" s="59"/>
      <c r="H178" s="61"/>
      <c r="I178" s="59"/>
      <c r="J178" s="59"/>
      <c r="K178" s="59"/>
      <c r="L178" s="59"/>
      <c r="M178" s="59"/>
      <c r="N178" s="59"/>
      <c r="O178" s="59"/>
      <c r="P178" s="59"/>
      <c r="Q178" s="59"/>
      <c r="R178" s="59"/>
      <c r="S178" s="59"/>
      <c r="T178" s="59"/>
      <c r="U178" s="59"/>
      <c r="V178" s="59"/>
      <c r="W178" s="59"/>
      <c r="X178" s="59"/>
      <c r="Y178" s="59"/>
      <c r="Z178" s="59"/>
    </row>
    <row r="179" ht="15.75" customHeight="1">
      <c r="A179" s="59"/>
      <c r="C179" s="59"/>
      <c r="D179" s="59"/>
      <c r="E179" s="59"/>
      <c r="F179" s="60"/>
      <c r="G179" s="59"/>
      <c r="H179" s="61"/>
      <c r="I179" s="59"/>
      <c r="J179" s="59"/>
      <c r="K179" s="59"/>
      <c r="L179" s="59"/>
      <c r="M179" s="59"/>
      <c r="N179" s="59"/>
      <c r="O179" s="59"/>
      <c r="P179" s="59"/>
      <c r="Q179" s="59"/>
      <c r="R179" s="59"/>
      <c r="S179" s="59"/>
      <c r="T179" s="59"/>
      <c r="U179" s="59"/>
      <c r="V179" s="59"/>
      <c r="W179" s="59"/>
      <c r="X179" s="59"/>
      <c r="Y179" s="59"/>
      <c r="Z179" s="59"/>
    </row>
    <row r="180" ht="15.75" customHeight="1">
      <c r="A180" s="59"/>
      <c r="C180" s="59"/>
      <c r="D180" s="59"/>
      <c r="E180" s="59"/>
      <c r="F180" s="60"/>
      <c r="G180" s="59"/>
      <c r="H180" s="61"/>
      <c r="I180" s="59"/>
      <c r="J180" s="59"/>
      <c r="K180" s="59"/>
      <c r="L180" s="59"/>
      <c r="M180" s="59"/>
      <c r="N180" s="59"/>
      <c r="O180" s="59"/>
      <c r="P180" s="59"/>
      <c r="Q180" s="59"/>
      <c r="R180" s="59"/>
      <c r="S180" s="59"/>
      <c r="T180" s="59"/>
      <c r="U180" s="59"/>
      <c r="V180" s="59"/>
      <c r="W180" s="59"/>
      <c r="X180" s="59"/>
      <c r="Y180" s="59"/>
      <c r="Z180" s="59"/>
    </row>
    <row r="181" ht="15.75" customHeight="1">
      <c r="A181" s="59"/>
      <c r="C181" s="59"/>
      <c r="D181" s="59"/>
      <c r="E181" s="59"/>
      <c r="F181" s="60"/>
      <c r="G181" s="59"/>
      <c r="H181" s="61"/>
      <c r="I181" s="59"/>
      <c r="J181" s="59"/>
      <c r="K181" s="59"/>
      <c r="L181" s="59"/>
      <c r="M181" s="59"/>
      <c r="N181" s="59"/>
      <c r="O181" s="59"/>
      <c r="P181" s="59"/>
      <c r="Q181" s="59"/>
      <c r="R181" s="59"/>
      <c r="S181" s="59"/>
      <c r="T181" s="59"/>
      <c r="U181" s="59"/>
      <c r="V181" s="59"/>
      <c r="W181" s="59"/>
      <c r="X181" s="59"/>
      <c r="Y181" s="59"/>
      <c r="Z181" s="59"/>
    </row>
    <row r="182" ht="15.75" customHeight="1">
      <c r="A182" s="59"/>
      <c r="C182" s="59"/>
      <c r="D182" s="59"/>
      <c r="E182" s="59"/>
      <c r="F182" s="60"/>
      <c r="G182" s="59"/>
      <c r="H182" s="61"/>
      <c r="I182" s="59"/>
      <c r="J182" s="59"/>
      <c r="K182" s="59"/>
      <c r="L182" s="59"/>
      <c r="M182" s="59"/>
      <c r="N182" s="59"/>
      <c r="O182" s="59"/>
      <c r="P182" s="59"/>
      <c r="Q182" s="59"/>
      <c r="R182" s="59"/>
      <c r="S182" s="59"/>
      <c r="T182" s="59"/>
      <c r="U182" s="59"/>
      <c r="V182" s="59"/>
      <c r="W182" s="59"/>
      <c r="X182" s="59"/>
      <c r="Y182" s="59"/>
      <c r="Z182" s="59"/>
    </row>
    <row r="183" ht="15.75" customHeight="1">
      <c r="A183" s="59"/>
      <c r="C183" s="59"/>
      <c r="D183" s="59"/>
      <c r="E183" s="59"/>
      <c r="F183" s="60"/>
      <c r="G183" s="59"/>
      <c r="H183" s="61"/>
      <c r="I183" s="59"/>
      <c r="J183" s="59"/>
      <c r="K183" s="59"/>
      <c r="L183" s="59"/>
      <c r="M183" s="59"/>
      <c r="N183" s="59"/>
      <c r="O183" s="59"/>
      <c r="P183" s="59"/>
      <c r="Q183" s="59"/>
      <c r="R183" s="59"/>
      <c r="S183" s="59"/>
      <c r="T183" s="59"/>
      <c r="U183" s="59"/>
      <c r="V183" s="59"/>
      <c r="W183" s="59"/>
      <c r="X183" s="59"/>
      <c r="Y183" s="59"/>
      <c r="Z183" s="59"/>
    </row>
    <row r="184" ht="15.75" customHeight="1">
      <c r="A184" s="59"/>
      <c r="C184" s="59"/>
      <c r="D184" s="59"/>
      <c r="E184" s="59"/>
      <c r="F184" s="60"/>
      <c r="G184" s="59"/>
      <c r="H184" s="61"/>
      <c r="I184" s="59"/>
      <c r="J184" s="59"/>
      <c r="K184" s="59"/>
      <c r="L184" s="59"/>
      <c r="M184" s="59"/>
      <c r="N184" s="59"/>
      <c r="O184" s="59"/>
      <c r="P184" s="59"/>
      <c r="Q184" s="59"/>
      <c r="R184" s="59"/>
      <c r="S184" s="59"/>
      <c r="T184" s="59"/>
      <c r="U184" s="59"/>
      <c r="V184" s="59"/>
      <c r="W184" s="59"/>
      <c r="X184" s="59"/>
      <c r="Y184" s="59"/>
      <c r="Z184" s="59"/>
    </row>
    <row r="185" ht="15.75" customHeight="1">
      <c r="A185" s="59"/>
      <c r="C185" s="59"/>
      <c r="D185" s="59"/>
      <c r="E185" s="59"/>
      <c r="F185" s="60"/>
      <c r="G185" s="59"/>
      <c r="H185" s="61"/>
      <c r="I185" s="59"/>
      <c r="J185" s="59"/>
      <c r="K185" s="59"/>
      <c r="L185" s="59"/>
      <c r="M185" s="59"/>
      <c r="N185" s="59"/>
      <c r="O185" s="59"/>
      <c r="P185" s="59"/>
      <c r="Q185" s="59"/>
      <c r="R185" s="59"/>
      <c r="S185" s="59"/>
      <c r="T185" s="59"/>
      <c r="U185" s="59"/>
      <c r="V185" s="59"/>
      <c r="W185" s="59"/>
      <c r="X185" s="59"/>
      <c r="Y185" s="59"/>
      <c r="Z185" s="59"/>
    </row>
    <row r="186" ht="15.75" customHeight="1">
      <c r="A186" s="59"/>
      <c r="C186" s="59"/>
      <c r="D186" s="59"/>
      <c r="E186" s="59"/>
      <c r="F186" s="60"/>
      <c r="G186" s="59"/>
      <c r="H186" s="61"/>
      <c r="I186" s="59"/>
      <c r="J186" s="59"/>
      <c r="K186" s="59"/>
      <c r="L186" s="59"/>
      <c r="M186" s="59"/>
      <c r="N186" s="59"/>
      <c r="O186" s="59"/>
      <c r="P186" s="59"/>
      <c r="Q186" s="59"/>
      <c r="R186" s="59"/>
      <c r="S186" s="59"/>
      <c r="T186" s="59"/>
      <c r="U186" s="59"/>
      <c r="V186" s="59"/>
      <c r="W186" s="59"/>
      <c r="X186" s="59"/>
      <c r="Y186" s="59"/>
      <c r="Z186" s="59"/>
    </row>
    <row r="187" ht="15.75" customHeight="1">
      <c r="A187" s="59"/>
      <c r="C187" s="59"/>
      <c r="D187" s="59"/>
      <c r="E187" s="59"/>
      <c r="F187" s="60"/>
      <c r="G187" s="59"/>
      <c r="H187" s="61"/>
      <c r="I187" s="59"/>
      <c r="J187" s="59"/>
      <c r="K187" s="59"/>
      <c r="L187" s="59"/>
      <c r="M187" s="59"/>
      <c r="N187" s="59"/>
      <c r="O187" s="59"/>
      <c r="P187" s="59"/>
      <c r="Q187" s="59"/>
      <c r="R187" s="59"/>
      <c r="S187" s="59"/>
      <c r="T187" s="59"/>
      <c r="U187" s="59"/>
      <c r="V187" s="59"/>
      <c r="W187" s="59"/>
      <c r="X187" s="59"/>
      <c r="Y187" s="59"/>
      <c r="Z187" s="59"/>
    </row>
    <row r="188" ht="15.75" customHeight="1">
      <c r="A188" s="59"/>
      <c r="C188" s="59"/>
      <c r="D188" s="59"/>
      <c r="E188" s="59"/>
      <c r="F188" s="60"/>
      <c r="G188" s="59"/>
      <c r="H188" s="61"/>
      <c r="I188" s="59"/>
      <c r="J188" s="59"/>
      <c r="K188" s="59"/>
      <c r="L188" s="59"/>
      <c r="M188" s="59"/>
      <c r="N188" s="59"/>
      <c r="O188" s="59"/>
      <c r="P188" s="59"/>
      <c r="Q188" s="59"/>
      <c r="R188" s="59"/>
      <c r="S188" s="59"/>
      <c r="T188" s="59"/>
      <c r="U188" s="59"/>
      <c r="V188" s="59"/>
      <c r="W188" s="59"/>
      <c r="X188" s="59"/>
      <c r="Y188" s="59"/>
      <c r="Z188" s="59"/>
    </row>
    <row r="189" ht="15.75" customHeight="1">
      <c r="A189" s="59"/>
      <c r="C189" s="59"/>
      <c r="D189" s="59"/>
      <c r="E189" s="59"/>
      <c r="F189" s="60"/>
      <c r="G189" s="59"/>
      <c r="H189" s="61"/>
      <c r="I189" s="59"/>
      <c r="J189" s="59"/>
      <c r="K189" s="59"/>
      <c r="L189" s="59"/>
      <c r="M189" s="59"/>
      <c r="N189" s="59"/>
      <c r="O189" s="59"/>
      <c r="P189" s="59"/>
      <c r="Q189" s="59"/>
      <c r="R189" s="59"/>
      <c r="S189" s="59"/>
      <c r="T189" s="59"/>
      <c r="U189" s="59"/>
      <c r="V189" s="59"/>
      <c r="W189" s="59"/>
      <c r="X189" s="59"/>
      <c r="Y189" s="59"/>
      <c r="Z189" s="59"/>
    </row>
    <row r="190" ht="15.75" customHeight="1">
      <c r="A190" s="59"/>
      <c r="C190" s="59"/>
      <c r="D190" s="59"/>
      <c r="E190" s="59"/>
      <c r="F190" s="60"/>
      <c r="G190" s="59"/>
      <c r="H190" s="61"/>
      <c r="I190" s="59"/>
      <c r="J190" s="59"/>
      <c r="K190" s="59"/>
      <c r="L190" s="59"/>
      <c r="M190" s="59"/>
      <c r="N190" s="59"/>
      <c r="O190" s="59"/>
      <c r="P190" s="59"/>
      <c r="Q190" s="59"/>
      <c r="R190" s="59"/>
      <c r="S190" s="59"/>
      <c r="T190" s="59"/>
      <c r="U190" s="59"/>
      <c r="V190" s="59"/>
      <c r="W190" s="59"/>
      <c r="X190" s="59"/>
      <c r="Y190" s="59"/>
      <c r="Z190" s="59"/>
    </row>
    <row r="191" ht="15.75" customHeight="1">
      <c r="A191" s="59"/>
      <c r="C191" s="59"/>
      <c r="D191" s="59"/>
      <c r="E191" s="59"/>
      <c r="F191" s="60"/>
      <c r="G191" s="59"/>
      <c r="H191" s="61"/>
      <c r="I191" s="59"/>
      <c r="J191" s="59"/>
      <c r="K191" s="59"/>
      <c r="L191" s="59"/>
      <c r="M191" s="59"/>
      <c r="N191" s="59"/>
      <c r="O191" s="59"/>
      <c r="P191" s="59"/>
      <c r="Q191" s="59"/>
      <c r="R191" s="59"/>
      <c r="S191" s="59"/>
      <c r="T191" s="59"/>
      <c r="U191" s="59"/>
      <c r="V191" s="59"/>
      <c r="W191" s="59"/>
      <c r="X191" s="59"/>
      <c r="Y191" s="59"/>
      <c r="Z191" s="59"/>
    </row>
    <row r="192" ht="15.75" customHeight="1">
      <c r="A192" s="59"/>
      <c r="C192" s="59"/>
      <c r="D192" s="59"/>
      <c r="E192" s="59"/>
      <c r="F192" s="60"/>
      <c r="G192" s="59"/>
      <c r="H192" s="61"/>
      <c r="I192" s="59"/>
      <c r="J192" s="59"/>
      <c r="K192" s="59"/>
      <c r="L192" s="59"/>
      <c r="M192" s="59"/>
      <c r="N192" s="59"/>
      <c r="O192" s="59"/>
      <c r="P192" s="59"/>
      <c r="Q192" s="59"/>
      <c r="R192" s="59"/>
      <c r="S192" s="59"/>
      <c r="T192" s="59"/>
      <c r="U192" s="59"/>
      <c r="V192" s="59"/>
      <c r="W192" s="59"/>
      <c r="X192" s="59"/>
      <c r="Y192" s="59"/>
      <c r="Z192" s="59"/>
    </row>
    <row r="193" ht="15.75" customHeight="1">
      <c r="A193" s="59"/>
      <c r="C193" s="59"/>
      <c r="D193" s="59"/>
      <c r="E193" s="59"/>
      <c r="F193" s="60"/>
      <c r="G193" s="59"/>
      <c r="H193" s="61"/>
      <c r="I193" s="59"/>
      <c r="J193" s="59"/>
      <c r="K193" s="59"/>
      <c r="L193" s="59"/>
      <c r="M193" s="59"/>
      <c r="N193" s="59"/>
      <c r="O193" s="59"/>
      <c r="P193" s="59"/>
      <c r="Q193" s="59"/>
      <c r="R193" s="59"/>
      <c r="S193" s="59"/>
      <c r="T193" s="59"/>
      <c r="U193" s="59"/>
      <c r="V193" s="59"/>
      <c r="W193" s="59"/>
      <c r="X193" s="59"/>
      <c r="Y193" s="59"/>
      <c r="Z193" s="59"/>
    </row>
    <row r="194" ht="15.75" customHeight="1">
      <c r="A194" s="59"/>
      <c r="C194" s="59"/>
      <c r="D194" s="59"/>
      <c r="E194" s="59"/>
      <c r="F194" s="60"/>
      <c r="G194" s="59"/>
      <c r="H194" s="61"/>
      <c r="I194" s="59"/>
      <c r="J194" s="59"/>
      <c r="K194" s="59"/>
      <c r="L194" s="59"/>
      <c r="M194" s="59"/>
      <c r="N194" s="59"/>
      <c r="O194" s="59"/>
      <c r="P194" s="59"/>
      <c r="Q194" s="59"/>
      <c r="R194" s="59"/>
      <c r="S194" s="59"/>
      <c r="T194" s="59"/>
      <c r="U194" s="59"/>
      <c r="V194" s="59"/>
      <c r="W194" s="59"/>
      <c r="X194" s="59"/>
      <c r="Y194" s="59"/>
      <c r="Z194" s="59"/>
    </row>
    <row r="195" ht="15.75" customHeight="1">
      <c r="A195" s="59"/>
      <c r="C195" s="59"/>
      <c r="D195" s="59"/>
      <c r="E195" s="59"/>
      <c r="F195" s="60"/>
      <c r="G195" s="59"/>
      <c r="H195" s="61"/>
      <c r="I195" s="59"/>
      <c r="J195" s="59"/>
      <c r="K195" s="59"/>
      <c r="L195" s="59"/>
      <c r="M195" s="59"/>
      <c r="N195" s="59"/>
      <c r="O195" s="59"/>
      <c r="P195" s="59"/>
      <c r="Q195" s="59"/>
      <c r="R195" s="59"/>
      <c r="S195" s="59"/>
      <c r="T195" s="59"/>
      <c r="U195" s="59"/>
      <c r="V195" s="59"/>
      <c r="W195" s="59"/>
      <c r="X195" s="59"/>
      <c r="Y195" s="59"/>
      <c r="Z195" s="59"/>
    </row>
    <row r="196" ht="15.75" customHeight="1">
      <c r="A196" s="59"/>
      <c r="C196" s="59"/>
      <c r="D196" s="59"/>
      <c r="E196" s="59"/>
      <c r="F196" s="60"/>
      <c r="G196" s="59"/>
      <c r="H196" s="61"/>
      <c r="I196" s="59"/>
      <c r="J196" s="59"/>
      <c r="K196" s="59"/>
      <c r="L196" s="59"/>
      <c r="M196" s="59"/>
      <c r="N196" s="59"/>
      <c r="O196" s="59"/>
      <c r="P196" s="59"/>
      <c r="Q196" s="59"/>
      <c r="R196" s="59"/>
      <c r="S196" s="59"/>
      <c r="T196" s="59"/>
      <c r="U196" s="59"/>
      <c r="V196" s="59"/>
      <c r="W196" s="59"/>
      <c r="X196" s="59"/>
      <c r="Y196" s="59"/>
      <c r="Z196" s="59"/>
    </row>
    <row r="197" ht="15.75" customHeight="1">
      <c r="A197" s="59"/>
      <c r="C197" s="59"/>
      <c r="D197" s="59"/>
      <c r="E197" s="59"/>
      <c r="F197" s="60"/>
      <c r="G197" s="59"/>
      <c r="H197" s="61"/>
      <c r="I197" s="59"/>
      <c r="J197" s="59"/>
      <c r="K197" s="59"/>
      <c r="L197" s="59"/>
      <c r="M197" s="59"/>
      <c r="N197" s="59"/>
      <c r="O197" s="59"/>
      <c r="P197" s="59"/>
      <c r="Q197" s="59"/>
      <c r="R197" s="59"/>
      <c r="S197" s="59"/>
      <c r="T197" s="59"/>
      <c r="U197" s="59"/>
      <c r="V197" s="59"/>
      <c r="W197" s="59"/>
      <c r="X197" s="59"/>
      <c r="Y197" s="59"/>
      <c r="Z197" s="59"/>
    </row>
    <row r="198" ht="15.75" customHeight="1">
      <c r="A198" s="59"/>
      <c r="C198" s="59"/>
      <c r="D198" s="59"/>
      <c r="E198" s="59"/>
      <c r="F198" s="60"/>
      <c r="G198" s="59"/>
      <c r="H198" s="61"/>
      <c r="I198" s="59"/>
      <c r="J198" s="59"/>
      <c r="K198" s="59"/>
      <c r="L198" s="59"/>
      <c r="M198" s="59"/>
      <c r="N198" s="59"/>
      <c r="O198" s="59"/>
      <c r="P198" s="59"/>
      <c r="Q198" s="59"/>
      <c r="R198" s="59"/>
      <c r="S198" s="59"/>
      <c r="T198" s="59"/>
      <c r="U198" s="59"/>
      <c r="V198" s="59"/>
      <c r="W198" s="59"/>
      <c r="X198" s="59"/>
      <c r="Y198" s="59"/>
      <c r="Z198" s="59"/>
    </row>
    <row r="199" ht="15.75" customHeight="1">
      <c r="A199" s="59"/>
      <c r="C199" s="59"/>
      <c r="D199" s="59"/>
      <c r="E199" s="59"/>
      <c r="F199" s="60"/>
      <c r="G199" s="59"/>
      <c r="H199" s="61"/>
      <c r="I199" s="59"/>
      <c r="J199" s="59"/>
      <c r="K199" s="59"/>
      <c r="L199" s="59"/>
      <c r="M199" s="59"/>
      <c r="N199" s="59"/>
      <c r="O199" s="59"/>
      <c r="P199" s="59"/>
      <c r="Q199" s="59"/>
      <c r="R199" s="59"/>
      <c r="S199" s="59"/>
      <c r="T199" s="59"/>
      <c r="U199" s="59"/>
      <c r="V199" s="59"/>
      <c r="W199" s="59"/>
      <c r="X199" s="59"/>
      <c r="Y199" s="59"/>
      <c r="Z199" s="59"/>
    </row>
    <row r="200" ht="15.75" customHeight="1">
      <c r="A200" s="59"/>
      <c r="C200" s="59"/>
      <c r="D200" s="59"/>
      <c r="E200" s="59"/>
      <c r="F200" s="60"/>
      <c r="G200" s="59"/>
      <c r="H200" s="61"/>
      <c r="I200" s="59"/>
      <c r="J200" s="59"/>
      <c r="K200" s="59"/>
      <c r="L200" s="59"/>
      <c r="M200" s="59"/>
      <c r="N200" s="59"/>
      <c r="O200" s="59"/>
      <c r="P200" s="59"/>
      <c r="Q200" s="59"/>
      <c r="R200" s="59"/>
      <c r="S200" s="59"/>
      <c r="T200" s="59"/>
      <c r="U200" s="59"/>
      <c r="V200" s="59"/>
      <c r="W200" s="59"/>
      <c r="X200" s="59"/>
      <c r="Y200" s="59"/>
      <c r="Z200" s="59"/>
    </row>
    <row r="201" ht="15.75" customHeight="1">
      <c r="A201" s="59"/>
      <c r="C201" s="59"/>
      <c r="D201" s="59"/>
      <c r="E201" s="59"/>
      <c r="F201" s="60"/>
      <c r="G201" s="59"/>
      <c r="H201" s="61"/>
      <c r="I201" s="59"/>
      <c r="J201" s="59"/>
      <c r="K201" s="59"/>
      <c r="L201" s="59"/>
      <c r="M201" s="59"/>
      <c r="N201" s="59"/>
      <c r="O201" s="59"/>
      <c r="P201" s="59"/>
      <c r="Q201" s="59"/>
      <c r="R201" s="59"/>
      <c r="S201" s="59"/>
      <c r="T201" s="59"/>
      <c r="U201" s="59"/>
      <c r="V201" s="59"/>
      <c r="W201" s="59"/>
      <c r="X201" s="59"/>
      <c r="Y201" s="59"/>
      <c r="Z201" s="59"/>
    </row>
    <row r="202" ht="15.75" customHeight="1">
      <c r="A202" s="59"/>
      <c r="C202" s="59"/>
      <c r="D202" s="59"/>
      <c r="E202" s="59"/>
      <c r="F202" s="60"/>
      <c r="G202" s="59"/>
      <c r="H202" s="61"/>
      <c r="I202" s="59"/>
      <c r="J202" s="59"/>
      <c r="K202" s="59"/>
      <c r="L202" s="59"/>
      <c r="M202" s="59"/>
      <c r="N202" s="59"/>
      <c r="O202" s="59"/>
      <c r="P202" s="59"/>
      <c r="Q202" s="59"/>
      <c r="R202" s="59"/>
      <c r="S202" s="59"/>
      <c r="T202" s="59"/>
      <c r="U202" s="59"/>
      <c r="V202" s="59"/>
      <c r="W202" s="59"/>
      <c r="X202" s="59"/>
      <c r="Y202" s="59"/>
      <c r="Z202" s="59"/>
    </row>
    <row r="203" ht="15.75" customHeight="1">
      <c r="A203" s="59"/>
      <c r="C203" s="59"/>
      <c r="D203" s="59"/>
      <c r="E203" s="59"/>
      <c r="F203" s="60"/>
      <c r="G203" s="59"/>
      <c r="H203" s="61"/>
      <c r="I203" s="59"/>
      <c r="J203" s="59"/>
      <c r="K203" s="59"/>
      <c r="L203" s="59"/>
      <c r="M203" s="59"/>
      <c r="N203" s="59"/>
      <c r="O203" s="59"/>
      <c r="P203" s="59"/>
      <c r="Q203" s="59"/>
      <c r="R203" s="59"/>
      <c r="S203" s="59"/>
      <c r="T203" s="59"/>
      <c r="U203" s="59"/>
      <c r="V203" s="59"/>
      <c r="W203" s="59"/>
      <c r="X203" s="59"/>
      <c r="Y203" s="59"/>
      <c r="Z203" s="59"/>
    </row>
    <row r="204" ht="15.75" customHeight="1">
      <c r="A204" s="59"/>
      <c r="C204" s="59"/>
      <c r="D204" s="59"/>
      <c r="E204" s="59"/>
      <c r="F204" s="60"/>
      <c r="G204" s="59"/>
      <c r="H204" s="61"/>
      <c r="I204" s="59"/>
      <c r="J204" s="59"/>
      <c r="K204" s="59"/>
      <c r="L204" s="59"/>
      <c r="M204" s="59"/>
      <c r="N204" s="59"/>
      <c r="O204" s="59"/>
      <c r="P204" s="59"/>
      <c r="Q204" s="59"/>
      <c r="R204" s="59"/>
      <c r="S204" s="59"/>
      <c r="T204" s="59"/>
      <c r="U204" s="59"/>
      <c r="V204" s="59"/>
      <c r="W204" s="59"/>
      <c r="X204" s="59"/>
      <c r="Y204" s="59"/>
      <c r="Z204" s="59"/>
    </row>
    <row r="205" ht="15.75" customHeight="1">
      <c r="A205" s="59"/>
      <c r="C205" s="59"/>
      <c r="D205" s="59"/>
      <c r="E205" s="59"/>
      <c r="F205" s="60"/>
      <c r="G205" s="59"/>
      <c r="H205" s="61"/>
      <c r="I205" s="59"/>
      <c r="J205" s="59"/>
      <c r="K205" s="59"/>
      <c r="L205" s="59"/>
      <c r="M205" s="59"/>
      <c r="N205" s="59"/>
      <c r="O205" s="59"/>
      <c r="P205" s="59"/>
      <c r="Q205" s="59"/>
      <c r="R205" s="59"/>
      <c r="S205" s="59"/>
      <c r="T205" s="59"/>
      <c r="U205" s="59"/>
      <c r="V205" s="59"/>
      <c r="W205" s="59"/>
      <c r="X205" s="59"/>
      <c r="Y205" s="59"/>
      <c r="Z205" s="59"/>
    </row>
    <row r="206" ht="15.75" customHeight="1">
      <c r="A206" s="59"/>
      <c r="C206" s="59"/>
      <c r="D206" s="59"/>
      <c r="E206" s="59"/>
      <c r="F206" s="60"/>
      <c r="G206" s="59"/>
      <c r="H206" s="61"/>
      <c r="I206" s="59"/>
      <c r="J206" s="59"/>
      <c r="K206" s="59"/>
      <c r="L206" s="59"/>
      <c r="M206" s="59"/>
      <c r="N206" s="59"/>
      <c r="O206" s="59"/>
      <c r="P206" s="59"/>
      <c r="Q206" s="59"/>
      <c r="R206" s="59"/>
      <c r="S206" s="59"/>
      <c r="T206" s="59"/>
      <c r="U206" s="59"/>
      <c r="V206" s="59"/>
      <c r="W206" s="59"/>
      <c r="X206" s="59"/>
      <c r="Y206" s="59"/>
      <c r="Z206" s="59"/>
    </row>
    <row r="207" ht="15.75" customHeight="1">
      <c r="A207" s="59"/>
      <c r="C207" s="59"/>
      <c r="D207" s="59"/>
      <c r="E207" s="59"/>
      <c r="F207" s="60"/>
      <c r="G207" s="59"/>
      <c r="H207" s="61"/>
      <c r="I207" s="59"/>
      <c r="J207" s="59"/>
      <c r="K207" s="59"/>
      <c r="L207" s="59"/>
      <c r="M207" s="59"/>
      <c r="N207" s="59"/>
      <c r="O207" s="59"/>
      <c r="P207" s="59"/>
      <c r="Q207" s="59"/>
      <c r="R207" s="59"/>
      <c r="S207" s="59"/>
      <c r="T207" s="59"/>
      <c r="U207" s="59"/>
      <c r="V207" s="59"/>
      <c r="W207" s="59"/>
      <c r="X207" s="59"/>
      <c r="Y207" s="59"/>
      <c r="Z207" s="59"/>
    </row>
    <row r="208" ht="15.75" customHeight="1">
      <c r="A208" s="59"/>
      <c r="C208" s="59"/>
      <c r="D208" s="59"/>
      <c r="E208" s="59"/>
      <c r="F208" s="60"/>
      <c r="G208" s="59"/>
      <c r="H208" s="61"/>
      <c r="I208" s="59"/>
      <c r="J208" s="59"/>
      <c r="K208" s="59"/>
      <c r="L208" s="59"/>
      <c r="M208" s="59"/>
      <c r="N208" s="59"/>
      <c r="O208" s="59"/>
      <c r="P208" s="59"/>
      <c r="Q208" s="59"/>
      <c r="R208" s="59"/>
      <c r="S208" s="59"/>
      <c r="T208" s="59"/>
      <c r="U208" s="59"/>
      <c r="V208" s="59"/>
      <c r="W208" s="59"/>
      <c r="X208" s="59"/>
      <c r="Y208" s="59"/>
      <c r="Z208" s="59"/>
    </row>
    <row r="209" ht="15.75" customHeight="1">
      <c r="A209" s="59"/>
      <c r="C209" s="59"/>
      <c r="D209" s="59"/>
      <c r="E209" s="59"/>
      <c r="F209" s="60"/>
      <c r="G209" s="59"/>
      <c r="H209" s="61"/>
      <c r="I209" s="59"/>
      <c r="J209" s="59"/>
      <c r="K209" s="59"/>
      <c r="L209" s="59"/>
      <c r="M209" s="59"/>
      <c r="N209" s="59"/>
      <c r="O209" s="59"/>
      <c r="P209" s="59"/>
      <c r="Q209" s="59"/>
      <c r="R209" s="59"/>
      <c r="S209" s="59"/>
      <c r="T209" s="59"/>
      <c r="U209" s="59"/>
      <c r="V209" s="59"/>
      <c r="W209" s="59"/>
      <c r="X209" s="59"/>
      <c r="Y209" s="59"/>
      <c r="Z209" s="59"/>
    </row>
    <row r="210" ht="15.75" customHeight="1">
      <c r="A210" s="59"/>
      <c r="C210" s="59"/>
      <c r="D210" s="59"/>
      <c r="E210" s="59"/>
      <c r="F210" s="60"/>
      <c r="G210" s="59"/>
      <c r="H210" s="61"/>
      <c r="I210" s="59"/>
      <c r="J210" s="59"/>
      <c r="K210" s="59"/>
      <c r="L210" s="59"/>
      <c r="M210" s="59"/>
      <c r="N210" s="59"/>
      <c r="O210" s="59"/>
      <c r="P210" s="59"/>
      <c r="Q210" s="59"/>
      <c r="R210" s="59"/>
      <c r="S210" s="59"/>
      <c r="T210" s="59"/>
      <c r="U210" s="59"/>
      <c r="V210" s="59"/>
      <c r="W210" s="59"/>
      <c r="X210" s="59"/>
      <c r="Y210" s="59"/>
      <c r="Z210" s="59"/>
    </row>
    <row r="211" ht="15.75" customHeight="1">
      <c r="A211" s="59"/>
      <c r="C211" s="59"/>
      <c r="D211" s="59"/>
      <c r="E211" s="59"/>
      <c r="F211" s="60"/>
      <c r="G211" s="59"/>
      <c r="H211" s="61"/>
      <c r="I211" s="59"/>
      <c r="J211" s="59"/>
      <c r="K211" s="59"/>
      <c r="L211" s="59"/>
      <c r="M211" s="59"/>
      <c r="N211" s="59"/>
      <c r="O211" s="59"/>
      <c r="P211" s="59"/>
      <c r="Q211" s="59"/>
      <c r="R211" s="59"/>
      <c r="S211" s="59"/>
      <c r="T211" s="59"/>
      <c r="U211" s="59"/>
      <c r="V211" s="59"/>
      <c r="W211" s="59"/>
      <c r="X211" s="59"/>
      <c r="Y211" s="59"/>
      <c r="Z211" s="59"/>
    </row>
    <row r="212" ht="15.75" customHeight="1">
      <c r="A212" s="59"/>
      <c r="C212" s="59"/>
      <c r="D212" s="59"/>
      <c r="E212" s="59"/>
      <c r="F212" s="60"/>
      <c r="G212" s="59"/>
      <c r="H212" s="61"/>
      <c r="I212" s="59"/>
      <c r="J212" s="59"/>
      <c r="K212" s="59"/>
      <c r="L212" s="59"/>
      <c r="M212" s="59"/>
      <c r="N212" s="59"/>
      <c r="O212" s="59"/>
      <c r="P212" s="59"/>
      <c r="Q212" s="59"/>
      <c r="R212" s="59"/>
      <c r="S212" s="59"/>
      <c r="T212" s="59"/>
      <c r="U212" s="59"/>
      <c r="V212" s="59"/>
      <c r="W212" s="59"/>
      <c r="X212" s="59"/>
      <c r="Y212" s="59"/>
      <c r="Z212" s="59"/>
    </row>
    <row r="213" ht="15.75" customHeight="1">
      <c r="A213" s="59"/>
      <c r="C213" s="59"/>
      <c r="D213" s="59"/>
      <c r="E213" s="59"/>
      <c r="F213" s="60"/>
      <c r="G213" s="59"/>
      <c r="H213" s="61"/>
      <c r="I213" s="59"/>
      <c r="J213" s="59"/>
      <c r="K213" s="59"/>
      <c r="L213" s="59"/>
      <c r="M213" s="59"/>
      <c r="N213" s="59"/>
      <c r="O213" s="59"/>
      <c r="P213" s="59"/>
      <c r="Q213" s="59"/>
      <c r="R213" s="59"/>
      <c r="S213" s="59"/>
      <c r="T213" s="59"/>
      <c r="U213" s="59"/>
      <c r="V213" s="59"/>
      <c r="W213" s="59"/>
      <c r="X213" s="59"/>
      <c r="Y213" s="59"/>
      <c r="Z213" s="59"/>
    </row>
    <row r="214" ht="15.75" customHeight="1">
      <c r="A214" s="59"/>
      <c r="C214" s="59"/>
      <c r="D214" s="59"/>
      <c r="E214" s="59"/>
      <c r="F214" s="60"/>
      <c r="G214" s="59"/>
      <c r="H214" s="61"/>
      <c r="I214" s="59"/>
      <c r="J214" s="59"/>
      <c r="K214" s="59"/>
      <c r="L214" s="59"/>
      <c r="M214" s="59"/>
      <c r="N214" s="59"/>
      <c r="O214" s="59"/>
      <c r="P214" s="59"/>
      <c r="Q214" s="59"/>
      <c r="R214" s="59"/>
      <c r="S214" s="59"/>
      <c r="T214" s="59"/>
      <c r="U214" s="59"/>
      <c r="V214" s="59"/>
      <c r="W214" s="59"/>
      <c r="X214" s="59"/>
      <c r="Y214" s="59"/>
      <c r="Z214" s="59"/>
    </row>
    <row r="215" ht="15.75" customHeight="1">
      <c r="A215" s="59"/>
      <c r="C215" s="59"/>
      <c r="D215" s="59"/>
      <c r="E215" s="59"/>
      <c r="F215" s="60"/>
      <c r="G215" s="59"/>
      <c r="H215" s="61"/>
      <c r="I215" s="59"/>
      <c r="J215" s="59"/>
      <c r="K215" s="59"/>
      <c r="L215" s="59"/>
      <c r="M215" s="59"/>
      <c r="N215" s="59"/>
      <c r="O215" s="59"/>
      <c r="P215" s="59"/>
      <c r="Q215" s="59"/>
      <c r="R215" s="59"/>
      <c r="S215" s="59"/>
      <c r="T215" s="59"/>
      <c r="U215" s="59"/>
      <c r="V215" s="59"/>
      <c r="W215" s="59"/>
      <c r="X215" s="59"/>
      <c r="Y215" s="59"/>
      <c r="Z215" s="59"/>
    </row>
    <row r="216" ht="15.75" customHeight="1">
      <c r="A216" s="59"/>
      <c r="C216" s="59"/>
      <c r="D216" s="59"/>
      <c r="E216" s="59"/>
      <c r="F216" s="60"/>
      <c r="G216" s="59"/>
      <c r="H216" s="61"/>
      <c r="I216" s="59"/>
      <c r="J216" s="59"/>
      <c r="K216" s="59"/>
      <c r="L216" s="59"/>
      <c r="M216" s="59"/>
      <c r="N216" s="59"/>
      <c r="O216" s="59"/>
      <c r="P216" s="59"/>
      <c r="Q216" s="59"/>
      <c r="R216" s="59"/>
      <c r="S216" s="59"/>
      <c r="T216" s="59"/>
      <c r="U216" s="59"/>
      <c r="V216" s="59"/>
      <c r="W216" s="59"/>
      <c r="X216" s="59"/>
      <c r="Y216" s="59"/>
      <c r="Z216" s="59"/>
    </row>
    <row r="217" ht="15.75" customHeight="1">
      <c r="A217" s="59"/>
      <c r="C217" s="59"/>
      <c r="D217" s="59"/>
      <c r="E217" s="59"/>
      <c r="F217" s="60"/>
      <c r="G217" s="59"/>
      <c r="H217" s="61"/>
      <c r="I217" s="59"/>
      <c r="J217" s="59"/>
      <c r="K217" s="59"/>
      <c r="L217" s="59"/>
      <c r="M217" s="59"/>
      <c r="N217" s="59"/>
      <c r="O217" s="59"/>
      <c r="P217" s="59"/>
      <c r="Q217" s="59"/>
      <c r="R217" s="59"/>
      <c r="S217" s="59"/>
      <c r="T217" s="59"/>
      <c r="U217" s="59"/>
      <c r="V217" s="59"/>
      <c r="W217" s="59"/>
      <c r="X217" s="59"/>
      <c r="Y217" s="59"/>
      <c r="Z217" s="59"/>
    </row>
    <row r="218" ht="15.75" customHeight="1">
      <c r="A218" s="59"/>
      <c r="C218" s="59"/>
      <c r="D218" s="59"/>
      <c r="E218" s="59"/>
      <c r="F218" s="60"/>
      <c r="G218" s="59"/>
      <c r="H218" s="61"/>
      <c r="I218" s="59"/>
      <c r="J218" s="59"/>
      <c r="K218" s="59"/>
      <c r="L218" s="59"/>
      <c r="M218" s="59"/>
      <c r="N218" s="59"/>
      <c r="O218" s="59"/>
      <c r="P218" s="59"/>
      <c r="Q218" s="59"/>
      <c r="R218" s="59"/>
      <c r="S218" s="59"/>
      <c r="T218" s="59"/>
      <c r="U218" s="59"/>
      <c r="V218" s="59"/>
      <c r="W218" s="59"/>
      <c r="X218" s="59"/>
      <c r="Y218" s="59"/>
      <c r="Z218" s="59"/>
    </row>
    <row r="219" ht="15.75" customHeight="1">
      <c r="A219" s="59"/>
      <c r="C219" s="59"/>
      <c r="D219" s="59"/>
      <c r="E219" s="59"/>
      <c r="F219" s="60"/>
      <c r="G219" s="59"/>
      <c r="H219" s="61"/>
      <c r="I219" s="59"/>
      <c r="J219" s="59"/>
      <c r="K219" s="59"/>
      <c r="L219" s="59"/>
      <c r="M219" s="59"/>
      <c r="N219" s="59"/>
      <c r="O219" s="59"/>
      <c r="P219" s="59"/>
      <c r="Q219" s="59"/>
      <c r="R219" s="59"/>
      <c r="S219" s="59"/>
      <c r="T219" s="59"/>
      <c r="U219" s="59"/>
      <c r="V219" s="59"/>
      <c r="W219" s="59"/>
      <c r="X219" s="59"/>
      <c r="Y219" s="59"/>
      <c r="Z219" s="59"/>
    </row>
    <row r="220" ht="15.75" customHeight="1">
      <c r="A220" s="59"/>
      <c r="C220" s="59"/>
      <c r="D220" s="59"/>
      <c r="E220" s="59"/>
      <c r="F220" s="60"/>
      <c r="G220" s="59"/>
      <c r="H220" s="61"/>
      <c r="I220" s="59"/>
      <c r="J220" s="59"/>
      <c r="K220" s="59"/>
      <c r="L220" s="59"/>
      <c r="M220" s="59"/>
      <c r="N220" s="59"/>
      <c r="O220" s="59"/>
      <c r="P220" s="59"/>
      <c r="Q220" s="59"/>
      <c r="R220" s="59"/>
      <c r="S220" s="59"/>
      <c r="T220" s="59"/>
      <c r="U220" s="59"/>
      <c r="V220" s="59"/>
      <c r="W220" s="59"/>
      <c r="X220" s="59"/>
      <c r="Y220" s="59"/>
      <c r="Z220" s="59"/>
    </row>
    <row r="221" ht="15.75" customHeight="1">
      <c r="A221" s="59"/>
      <c r="C221" s="59"/>
      <c r="D221" s="59"/>
      <c r="E221" s="59"/>
      <c r="F221" s="60"/>
      <c r="G221" s="59"/>
      <c r="H221" s="61"/>
      <c r="I221" s="59"/>
      <c r="J221" s="59"/>
      <c r="K221" s="59"/>
      <c r="L221" s="59"/>
      <c r="M221" s="59"/>
      <c r="N221" s="59"/>
      <c r="O221" s="59"/>
      <c r="P221" s="59"/>
      <c r="Q221" s="59"/>
      <c r="R221" s="59"/>
      <c r="S221" s="59"/>
      <c r="T221" s="59"/>
      <c r="U221" s="59"/>
      <c r="V221" s="59"/>
      <c r="W221" s="59"/>
      <c r="X221" s="59"/>
      <c r="Y221" s="59"/>
      <c r="Z221" s="59"/>
    </row>
    <row r="222" ht="15.75" customHeight="1">
      <c r="A222" s="59"/>
      <c r="C222" s="59"/>
      <c r="D222" s="59"/>
      <c r="E222" s="59"/>
      <c r="F222" s="60"/>
      <c r="G222" s="59"/>
      <c r="H222" s="61"/>
      <c r="I222" s="59"/>
      <c r="J222" s="59"/>
      <c r="K222" s="59"/>
      <c r="L222" s="59"/>
      <c r="M222" s="59"/>
      <c r="N222" s="59"/>
      <c r="O222" s="59"/>
      <c r="P222" s="59"/>
      <c r="Q222" s="59"/>
      <c r="R222" s="59"/>
      <c r="S222" s="59"/>
      <c r="T222" s="59"/>
      <c r="U222" s="59"/>
      <c r="V222" s="59"/>
      <c r="W222" s="59"/>
      <c r="X222" s="59"/>
      <c r="Y222" s="59"/>
      <c r="Z222" s="59"/>
    </row>
    <row r="223" ht="15.75" customHeight="1">
      <c r="A223" s="59"/>
      <c r="C223" s="59"/>
      <c r="D223" s="59"/>
      <c r="E223" s="59"/>
      <c r="F223" s="60"/>
      <c r="G223" s="59"/>
      <c r="H223" s="61"/>
      <c r="I223" s="59"/>
      <c r="J223" s="59"/>
      <c r="K223" s="59"/>
      <c r="L223" s="59"/>
      <c r="M223" s="59"/>
      <c r="N223" s="59"/>
      <c r="O223" s="59"/>
      <c r="P223" s="59"/>
      <c r="Q223" s="59"/>
      <c r="R223" s="59"/>
      <c r="S223" s="59"/>
      <c r="T223" s="59"/>
      <c r="U223" s="59"/>
      <c r="V223" s="59"/>
      <c r="W223" s="59"/>
      <c r="X223" s="59"/>
      <c r="Y223" s="59"/>
      <c r="Z223" s="59"/>
    </row>
    <row r="224" ht="15.75" customHeight="1">
      <c r="A224" s="59"/>
      <c r="C224" s="59"/>
      <c r="D224" s="59"/>
      <c r="E224" s="59"/>
      <c r="F224" s="60"/>
      <c r="G224" s="59"/>
      <c r="H224" s="61"/>
      <c r="I224" s="59"/>
      <c r="J224" s="59"/>
      <c r="K224" s="59"/>
      <c r="L224" s="59"/>
      <c r="M224" s="59"/>
      <c r="N224" s="59"/>
      <c r="O224" s="59"/>
      <c r="P224" s="59"/>
      <c r="Q224" s="59"/>
      <c r="R224" s="59"/>
      <c r="S224" s="59"/>
      <c r="T224" s="59"/>
      <c r="U224" s="59"/>
      <c r="V224" s="59"/>
      <c r="W224" s="59"/>
      <c r="X224" s="59"/>
      <c r="Y224" s="59"/>
      <c r="Z224" s="59"/>
    </row>
    <row r="225" ht="15.75" customHeight="1">
      <c r="A225" s="59"/>
      <c r="C225" s="59"/>
      <c r="D225" s="59"/>
      <c r="E225" s="59"/>
      <c r="F225" s="60"/>
      <c r="G225" s="59"/>
      <c r="H225" s="61"/>
      <c r="I225" s="59"/>
      <c r="J225" s="59"/>
      <c r="K225" s="59"/>
      <c r="L225" s="59"/>
      <c r="M225" s="59"/>
      <c r="N225" s="59"/>
      <c r="O225" s="59"/>
      <c r="P225" s="59"/>
      <c r="Q225" s="59"/>
      <c r="R225" s="59"/>
      <c r="S225" s="59"/>
      <c r="T225" s="59"/>
      <c r="U225" s="59"/>
      <c r="V225" s="59"/>
      <c r="W225" s="59"/>
      <c r="X225" s="59"/>
      <c r="Y225" s="59"/>
      <c r="Z225" s="59"/>
    </row>
    <row r="226" ht="15.75" customHeight="1">
      <c r="A226" s="59"/>
      <c r="C226" s="59"/>
      <c r="D226" s="59"/>
      <c r="E226" s="59"/>
      <c r="F226" s="60"/>
      <c r="G226" s="59"/>
      <c r="H226" s="61"/>
      <c r="I226" s="59"/>
      <c r="J226" s="59"/>
      <c r="K226" s="59"/>
      <c r="L226" s="59"/>
      <c r="M226" s="59"/>
      <c r="N226" s="59"/>
      <c r="O226" s="59"/>
      <c r="P226" s="59"/>
      <c r="Q226" s="59"/>
      <c r="R226" s="59"/>
      <c r="S226" s="59"/>
      <c r="T226" s="59"/>
      <c r="U226" s="59"/>
      <c r="V226" s="59"/>
      <c r="W226" s="59"/>
      <c r="X226" s="59"/>
      <c r="Y226" s="59"/>
      <c r="Z226" s="59"/>
    </row>
    <row r="227" ht="15.75" customHeight="1">
      <c r="A227" s="59"/>
      <c r="C227" s="59"/>
      <c r="D227" s="59"/>
      <c r="E227" s="59"/>
      <c r="F227" s="60"/>
      <c r="G227" s="59"/>
      <c r="H227" s="61"/>
      <c r="I227" s="59"/>
      <c r="J227" s="59"/>
      <c r="K227" s="59"/>
      <c r="L227" s="59"/>
      <c r="M227" s="59"/>
      <c r="N227" s="59"/>
      <c r="O227" s="59"/>
      <c r="P227" s="59"/>
      <c r="Q227" s="59"/>
      <c r="R227" s="59"/>
      <c r="S227" s="59"/>
      <c r="T227" s="59"/>
      <c r="U227" s="59"/>
      <c r="V227" s="59"/>
      <c r="W227" s="59"/>
      <c r="X227" s="59"/>
      <c r="Y227" s="59"/>
      <c r="Z227" s="59"/>
    </row>
    <row r="228" ht="15.75" customHeight="1">
      <c r="A228" s="59"/>
      <c r="C228" s="59"/>
      <c r="D228" s="59"/>
      <c r="E228" s="59"/>
      <c r="F228" s="60"/>
      <c r="G228" s="59"/>
      <c r="H228" s="61"/>
      <c r="I228" s="59"/>
      <c r="J228" s="59"/>
      <c r="K228" s="59"/>
      <c r="L228" s="59"/>
      <c r="M228" s="59"/>
      <c r="N228" s="59"/>
      <c r="O228" s="59"/>
      <c r="P228" s="59"/>
      <c r="Q228" s="59"/>
      <c r="R228" s="59"/>
      <c r="S228" s="59"/>
      <c r="T228" s="59"/>
      <c r="U228" s="59"/>
      <c r="V228" s="59"/>
      <c r="W228" s="59"/>
      <c r="X228" s="59"/>
      <c r="Y228" s="59"/>
      <c r="Z228" s="59"/>
    </row>
    <row r="229" ht="15.75" customHeight="1">
      <c r="A229" s="59"/>
      <c r="C229" s="59"/>
      <c r="D229" s="59"/>
      <c r="E229" s="59"/>
      <c r="F229" s="60"/>
      <c r="G229" s="59"/>
      <c r="H229" s="61"/>
      <c r="I229" s="59"/>
      <c r="J229" s="59"/>
      <c r="K229" s="59"/>
      <c r="L229" s="59"/>
      <c r="M229" s="59"/>
      <c r="N229" s="59"/>
      <c r="O229" s="59"/>
      <c r="P229" s="59"/>
      <c r="Q229" s="59"/>
      <c r="R229" s="59"/>
      <c r="S229" s="59"/>
      <c r="T229" s="59"/>
      <c r="U229" s="59"/>
      <c r="V229" s="59"/>
      <c r="W229" s="59"/>
      <c r="X229" s="59"/>
      <c r="Y229" s="59"/>
      <c r="Z229" s="59"/>
    </row>
    <row r="230" ht="15.75" customHeight="1">
      <c r="A230" s="59"/>
      <c r="C230" s="59"/>
      <c r="D230" s="59"/>
      <c r="E230" s="59"/>
      <c r="F230" s="60"/>
      <c r="G230" s="59"/>
      <c r="H230" s="61"/>
      <c r="I230" s="59"/>
      <c r="J230" s="59"/>
      <c r="K230" s="59"/>
      <c r="L230" s="59"/>
      <c r="M230" s="59"/>
      <c r="N230" s="59"/>
      <c r="O230" s="59"/>
      <c r="P230" s="59"/>
      <c r="Q230" s="59"/>
      <c r="R230" s="59"/>
      <c r="S230" s="59"/>
      <c r="T230" s="59"/>
      <c r="U230" s="59"/>
      <c r="V230" s="59"/>
      <c r="W230" s="59"/>
      <c r="X230" s="59"/>
      <c r="Y230" s="59"/>
      <c r="Z230" s="59"/>
    </row>
    <row r="231" ht="15.75" customHeight="1">
      <c r="A231" s="59"/>
      <c r="C231" s="59"/>
      <c r="D231" s="59"/>
      <c r="E231" s="59"/>
      <c r="F231" s="60"/>
      <c r="G231" s="59"/>
      <c r="H231" s="61"/>
      <c r="I231" s="59"/>
      <c r="J231" s="59"/>
      <c r="K231" s="59"/>
      <c r="L231" s="59"/>
      <c r="M231" s="59"/>
      <c r="N231" s="59"/>
      <c r="O231" s="59"/>
      <c r="P231" s="59"/>
      <c r="Q231" s="59"/>
      <c r="R231" s="59"/>
      <c r="S231" s="59"/>
      <c r="T231" s="59"/>
      <c r="U231" s="59"/>
      <c r="V231" s="59"/>
      <c r="W231" s="59"/>
      <c r="X231" s="59"/>
      <c r="Y231" s="59"/>
      <c r="Z231" s="59"/>
    </row>
    <row r="232" ht="15.75" customHeight="1">
      <c r="A232" s="59"/>
      <c r="C232" s="59"/>
      <c r="D232" s="59"/>
      <c r="E232" s="59"/>
      <c r="F232" s="60"/>
      <c r="G232" s="59"/>
      <c r="H232" s="61"/>
      <c r="I232" s="59"/>
      <c r="J232" s="59"/>
      <c r="K232" s="59"/>
      <c r="L232" s="59"/>
      <c r="M232" s="59"/>
      <c r="N232" s="59"/>
      <c r="O232" s="59"/>
      <c r="P232" s="59"/>
      <c r="Q232" s="59"/>
      <c r="R232" s="59"/>
      <c r="S232" s="59"/>
      <c r="T232" s="59"/>
      <c r="U232" s="59"/>
      <c r="V232" s="59"/>
      <c r="W232" s="59"/>
      <c r="X232" s="59"/>
      <c r="Y232" s="59"/>
      <c r="Z232" s="59"/>
    </row>
    <row r="233" ht="15.75" customHeight="1">
      <c r="A233" s="59"/>
      <c r="C233" s="59"/>
      <c r="D233" s="59"/>
      <c r="E233" s="59"/>
      <c r="F233" s="60"/>
      <c r="G233" s="59"/>
      <c r="H233" s="61"/>
      <c r="I233" s="59"/>
      <c r="J233" s="59"/>
      <c r="K233" s="59"/>
      <c r="L233" s="59"/>
      <c r="M233" s="59"/>
      <c r="N233" s="59"/>
      <c r="O233" s="59"/>
      <c r="P233" s="59"/>
      <c r="Q233" s="59"/>
      <c r="R233" s="59"/>
      <c r="S233" s="59"/>
      <c r="T233" s="59"/>
      <c r="U233" s="59"/>
      <c r="V233" s="59"/>
      <c r="W233" s="59"/>
      <c r="X233" s="59"/>
      <c r="Y233" s="59"/>
      <c r="Z233" s="59"/>
    </row>
    <row r="234" ht="15.75" customHeight="1">
      <c r="A234" s="59"/>
      <c r="C234" s="59"/>
      <c r="D234" s="59"/>
      <c r="E234" s="59"/>
      <c r="F234" s="60"/>
      <c r="G234" s="59"/>
      <c r="H234" s="61"/>
      <c r="I234" s="59"/>
      <c r="J234" s="59"/>
      <c r="K234" s="59"/>
      <c r="L234" s="59"/>
      <c r="M234" s="59"/>
      <c r="N234" s="59"/>
      <c r="O234" s="59"/>
      <c r="P234" s="59"/>
      <c r="Q234" s="59"/>
      <c r="R234" s="59"/>
      <c r="S234" s="59"/>
      <c r="T234" s="59"/>
      <c r="U234" s="59"/>
      <c r="V234" s="59"/>
      <c r="W234" s="59"/>
      <c r="X234" s="59"/>
      <c r="Y234" s="59"/>
      <c r="Z234" s="59"/>
    </row>
    <row r="235" ht="15.75" customHeight="1">
      <c r="A235" s="59"/>
      <c r="C235" s="59"/>
      <c r="D235" s="59"/>
      <c r="E235" s="59"/>
      <c r="F235" s="60"/>
      <c r="G235" s="59"/>
      <c r="H235" s="61"/>
      <c r="I235" s="59"/>
      <c r="J235" s="59"/>
      <c r="K235" s="59"/>
      <c r="L235" s="59"/>
      <c r="M235" s="59"/>
      <c r="N235" s="59"/>
      <c r="O235" s="59"/>
      <c r="P235" s="59"/>
      <c r="Q235" s="59"/>
      <c r="R235" s="59"/>
      <c r="S235" s="59"/>
      <c r="T235" s="59"/>
      <c r="U235" s="59"/>
      <c r="V235" s="59"/>
      <c r="W235" s="59"/>
      <c r="X235" s="59"/>
      <c r="Y235" s="59"/>
      <c r="Z235" s="59"/>
    </row>
    <row r="236" ht="15.75" customHeight="1">
      <c r="A236" s="59"/>
      <c r="C236" s="59"/>
      <c r="D236" s="59"/>
      <c r="E236" s="59"/>
      <c r="F236" s="60"/>
      <c r="G236" s="59"/>
      <c r="H236" s="61"/>
      <c r="I236" s="59"/>
      <c r="J236" s="59"/>
      <c r="K236" s="59"/>
      <c r="L236" s="59"/>
      <c r="M236" s="59"/>
      <c r="N236" s="59"/>
      <c r="O236" s="59"/>
      <c r="P236" s="59"/>
      <c r="Q236" s="59"/>
      <c r="R236" s="59"/>
      <c r="S236" s="59"/>
      <c r="T236" s="59"/>
      <c r="U236" s="59"/>
      <c r="V236" s="59"/>
      <c r="W236" s="59"/>
      <c r="X236" s="59"/>
      <c r="Y236" s="59"/>
      <c r="Z236" s="59"/>
    </row>
    <row r="237" ht="15.75" customHeight="1">
      <c r="A237" s="59"/>
      <c r="C237" s="59"/>
      <c r="D237" s="59"/>
      <c r="E237" s="59"/>
      <c r="F237" s="60"/>
      <c r="G237" s="59"/>
      <c r="H237" s="61"/>
      <c r="I237" s="59"/>
      <c r="J237" s="59"/>
      <c r="K237" s="59"/>
      <c r="L237" s="59"/>
      <c r="M237" s="59"/>
      <c r="N237" s="59"/>
      <c r="O237" s="59"/>
      <c r="P237" s="59"/>
      <c r="Q237" s="59"/>
      <c r="R237" s="59"/>
      <c r="S237" s="59"/>
      <c r="T237" s="59"/>
      <c r="U237" s="59"/>
      <c r="V237" s="59"/>
      <c r="W237" s="59"/>
      <c r="X237" s="59"/>
      <c r="Y237" s="59"/>
      <c r="Z237" s="59"/>
    </row>
    <row r="238" ht="15.75" customHeight="1">
      <c r="A238" s="59"/>
      <c r="C238" s="59"/>
      <c r="D238" s="59"/>
      <c r="E238" s="59"/>
      <c r="F238" s="60"/>
      <c r="G238" s="59"/>
      <c r="H238" s="61"/>
      <c r="I238" s="59"/>
      <c r="J238" s="59"/>
      <c r="K238" s="59"/>
      <c r="L238" s="59"/>
      <c r="M238" s="59"/>
      <c r="N238" s="59"/>
      <c r="O238" s="59"/>
      <c r="P238" s="59"/>
      <c r="Q238" s="59"/>
      <c r="R238" s="59"/>
      <c r="S238" s="59"/>
      <c r="T238" s="59"/>
      <c r="U238" s="59"/>
      <c r="V238" s="59"/>
      <c r="W238" s="59"/>
      <c r="X238" s="59"/>
      <c r="Y238" s="59"/>
      <c r="Z238" s="59"/>
    </row>
    <row r="239" ht="15.75" customHeight="1">
      <c r="A239" s="59"/>
      <c r="C239" s="59"/>
      <c r="D239" s="59"/>
      <c r="E239" s="59"/>
      <c r="F239" s="60"/>
      <c r="G239" s="59"/>
      <c r="H239" s="61"/>
      <c r="I239" s="59"/>
      <c r="J239" s="59"/>
      <c r="K239" s="59"/>
      <c r="L239" s="59"/>
      <c r="M239" s="59"/>
      <c r="N239" s="59"/>
      <c r="O239" s="59"/>
      <c r="P239" s="59"/>
      <c r="Q239" s="59"/>
      <c r="R239" s="59"/>
      <c r="S239" s="59"/>
      <c r="T239" s="59"/>
      <c r="U239" s="59"/>
      <c r="V239" s="59"/>
      <c r="W239" s="59"/>
      <c r="X239" s="59"/>
      <c r="Y239" s="59"/>
      <c r="Z239" s="59"/>
    </row>
    <row r="240" ht="15.75" customHeight="1">
      <c r="A240" s="59"/>
      <c r="C240" s="59"/>
      <c r="D240" s="59"/>
      <c r="E240" s="59"/>
      <c r="F240" s="60"/>
      <c r="G240" s="59"/>
      <c r="H240" s="61"/>
      <c r="I240" s="59"/>
      <c r="J240" s="59"/>
      <c r="K240" s="59"/>
      <c r="L240" s="59"/>
      <c r="M240" s="59"/>
      <c r="N240" s="59"/>
      <c r="O240" s="59"/>
      <c r="P240" s="59"/>
      <c r="Q240" s="59"/>
      <c r="R240" s="59"/>
      <c r="S240" s="59"/>
      <c r="T240" s="59"/>
      <c r="U240" s="59"/>
      <c r="V240" s="59"/>
      <c r="W240" s="59"/>
      <c r="X240" s="59"/>
      <c r="Y240" s="59"/>
      <c r="Z240" s="59"/>
    </row>
    <row r="241" ht="15.75" customHeight="1">
      <c r="A241" s="59"/>
      <c r="C241" s="59"/>
      <c r="D241" s="59"/>
      <c r="E241" s="59"/>
      <c r="F241" s="60"/>
      <c r="G241" s="59"/>
      <c r="H241" s="61"/>
      <c r="I241" s="59"/>
      <c r="J241" s="59"/>
      <c r="K241" s="59"/>
      <c r="L241" s="59"/>
      <c r="M241" s="59"/>
      <c r="N241" s="59"/>
      <c r="O241" s="59"/>
      <c r="P241" s="59"/>
      <c r="Q241" s="59"/>
      <c r="R241" s="59"/>
      <c r="S241" s="59"/>
      <c r="T241" s="59"/>
      <c r="U241" s="59"/>
      <c r="V241" s="59"/>
      <c r="W241" s="59"/>
      <c r="X241" s="59"/>
      <c r="Y241" s="59"/>
      <c r="Z241" s="59"/>
    </row>
    <row r="242" ht="15.75" customHeight="1">
      <c r="A242" s="59"/>
      <c r="C242" s="59"/>
      <c r="D242" s="59"/>
      <c r="E242" s="59"/>
      <c r="F242" s="60"/>
      <c r="G242" s="59"/>
      <c r="H242" s="61"/>
      <c r="I242" s="59"/>
      <c r="J242" s="59"/>
      <c r="K242" s="59"/>
      <c r="L242" s="59"/>
      <c r="M242" s="59"/>
      <c r="N242" s="59"/>
      <c r="O242" s="59"/>
      <c r="P242" s="59"/>
      <c r="Q242" s="59"/>
      <c r="R242" s="59"/>
      <c r="S242" s="59"/>
      <c r="T242" s="59"/>
      <c r="U242" s="59"/>
      <c r="V242" s="59"/>
      <c r="W242" s="59"/>
      <c r="X242" s="59"/>
      <c r="Y242" s="59"/>
      <c r="Z242" s="59"/>
    </row>
    <row r="243" ht="15.75" customHeight="1">
      <c r="A243" s="59"/>
      <c r="C243" s="59"/>
      <c r="D243" s="59"/>
      <c r="E243" s="59"/>
      <c r="F243" s="60"/>
      <c r="G243" s="59"/>
      <c r="H243" s="61"/>
      <c r="I243" s="59"/>
      <c r="J243" s="59"/>
      <c r="K243" s="59"/>
      <c r="L243" s="59"/>
      <c r="M243" s="59"/>
      <c r="N243" s="59"/>
      <c r="O243" s="59"/>
      <c r="P243" s="59"/>
      <c r="Q243" s="59"/>
      <c r="R243" s="59"/>
      <c r="S243" s="59"/>
      <c r="T243" s="59"/>
      <c r="U243" s="59"/>
      <c r="V243" s="59"/>
      <c r="W243" s="59"/>
      <c r="X243" s="59"/>
      <c r="Y243" s="59"/>
      <c r="Z243" s="59"/>
    </row>
    <row r="244" ht="15.75" customHeight="1">
      <c r="A244" s="59"/>
      <c r="C244" s="59"/>
      <c r="D244" s="59"/>
      <c r="E244" s="59"/>
      <c r="F244" s="60"/>
      <c r="G244" s="59"/>
      <c r="H244" s="61"/>
      <c r="I244" s="59"/>
      <c r="J244" s="59"/>
      <c r="K244" s="59"/>
      <c r="L244" s="59"/>
      <c r="M244" s="59"/>
      <c r="N244" s="59"/>
      <c r="O244" s="59"/>
      <c r="P244" s="59"/>
      <c r="Q244" s="59"/>
      <c r="R244" s="59"/>
      <c r="S244" s="59"/>
      <c r="T244" s="59"/>
      <c r="U244" s="59"/>
      <c r="V244" s="59"/>
      <c r="W244" s="59"/>
      <c r="X244" s="59"/>
      <c r="Y244" s="59"/>
      <c r="Z244" s="59"/>
    </row>
    <row r="245" ht="15.75" customHeight="1">
      <c r="A245" s="59"/>
      <c r="C245" s="59"/>
      <c r="D245" s="59"/>
      <c r="E245" s="59"/>
      <c r="F245" s="60"/>
      <c r="G245" s="59"/>
      <c r="H245" s="61"/>
      <c r="I245" s="59"/>
      <c r="J245" s="59"/>
      <c r="K245" s="59"/>
      <c r="L245" s="59"/>
      <c r="M245" s="59"/>
      <c r="N245" s="59"/>
      <c r="O245" s="59"/>
      <c r="P245" s="59"/>
      <c r="Q245" s="59"/>
      <c r="R245" s="59"/>
      <c r="S245" s="59"/>
      <c r="T245" s="59"/>
      <c r="U245" s="59"/>
      <c r="V245" s="59"/>
      <c r="W245" s="59"/>
      <c r="X245" s="59"/>
      <c r="Y245" s="59"/>
      <c r="Z245" s="59"/>
    </row>
    <row r="246" ht="15.75" customHeight="1">
      <c r="A246" s="59"/>
      <c r="C246" s="59"/>
      <c r="D246" s="59"/>
      <c r="E246" s="59"/>
      <c r="F246" s="60"/>
      <c r="G246" s="59"/>
      <c r="H246" s="61"/>
      <c r="I246" s="59"/>
      <c r="J246" s="59"/>
      <c r="K246" s="59"/>
      <c r="L246" s="59"/>
      <c r="M246" s="59"/>
      <c r="N246" s="59"/>
      <c r="O246" s="59"/>
      <c r="P246" s="59"/>
      <c r="Q246" s="59"/>
      <c r="R246" s="59"/>
      <c r="S246" s="59"/>
      <c r="T246" s="59"/>
      <c r="U246" s="59"/>
      <c r="V246" s="59"/>
      <c r="W246" s="59"/>
      <c r="X246" s="59"/>
      <c r="Y246" s="59"/>
      <c r="Z246" s="59"/>
    </row>
    <row r="247" ht="15.75" customHeight="1">
      <c r="A247" s="59"/>
      <c r="C247" s="59"/>
      <c r="D247" s="59"/>
      <c r="E247" s="59"/>
      <c r="F247" s="60"/>
      <c r="G247" s="59"/>
      <c r="H247" s="61"/>
      <c r="I247" s="59"/>
      <c r="J247" s="59"/>
      <c r="K247" s="59"/>
      <c r="L247" s="59"/>
      <c r="M247" s="59"/>
      <c r="N247" s="59"/>
      <c r="O247" s="59"/>
      <c r="P247" s="59"/>
      <c r="Q247" s="59"/>
      <c r="R247" s="59"/>
      <c r="S247" s="59"/>
      <c r="T247" s="59"/>
      <c r="U247" s="59"/>
      <c r="V247" s="59"/>
      <c r="W247" s="59"/>
      <c r="X247" s="59"/>
      <c r="Y247" s="59"/>
      <c r="Z247" s="59"/>
    </row>
    <row r="248" ht="15.75" customHeight="1">
      <c r="A248" s="59"/>
      <c r="C248" s="59"/>
      <c r="D248" s="59"/>
      <c r="E248" s="59"/>
      <c r="F248" s="60"/>
      <c r="G248" s="59"/>
      <c r="H248" s="61"/>
      <c r="I248" s="59"/>
      <c r="J248" s="59"/>
      <c r="K248" s="59"/>
      <c r="L248" s="59"/>
      <c r="M248" s="59"/>
      <c r="N248" s="59"/>
      <c r="O248" s="59"/>
      <c r="P248" s="59"/>
      <c r="Q248" s="59"/>
      <c r="R248" s="59"/>
      <c r="S248" s="59"/>
      <c r="T248" s="59"/>
      <c r="U248" s="59"/>
      <c r="V248" s="59"/>
      <c r="W248" s="59"/>
      <c r="X248" s="59"/>
      <c r="Y248" s="59"/>
      <c r="Z248" s="59"/>
    </row>
    <row r="249" ht="15.75" customHeight="1">
      <c r="A249" s="59"/>
      <c r="C249" s="59"/>
      <c r="D249" s="59"/>
      <c r="E249" s="59"/>
      <c r="F249" s="60"/>
      <c r="G249" s="59"/>
      <c r="H249" s="61"/>
      <c r="I249" s="59"/>
      <c r="J249" s="59"/>
      <c r="K249" s="59"/>
      <c r="L249" s="59"/>
      <c r="M249" s="59"/>
      <c r="N249" s="59"/>
      <c r="O249" s="59"/>
      <c r="P249" s="59"/>
      <c r="Q249" s="59"/>
      <c r="R249" s="59"/>
      <c r="S249" s="59"/>
      <c r="T249" s="59"/>
      <c r="U249" s="59"/>
      <c r="V249" s="59"/>
      <c r="W249" s="59"/>
      <c r="X249" s="59"/>
      <c r="Y249" s="59"/>
      <c r="Z249" s="59"/>
    </row>
    <row r="250" ht="15.75" customHeight="1">
      <c r="A250" s="59"/>
      <c r="C250" s="59"/>
      <c r="D250" s="59"/>
      <c r="E250" s="59"/>
      <c r="F250" s="60"/>
      <c r="G250" s="59"/>
      <c r="H250" s="61"/>
      <c r="I250" s="59"/>
      <c r="J250" s="59"/>
      <c r="K250" s="59"/>
      <c r="L250" s="59"/>
      <c r="M250" s="59"/>
      <c r="N250" s="59"/>
      <c r="O250" s="59"/>
      <c r="P250" s="59"/>
      <c r="Q250" s="59"/>
      <c r="R250" s="59"/>
      <c r="S250" s="59"/>
      <c r="T250" s="59"/>
      <c r="U250" s="59"/>
      <c r="V250" s="59"/>
      <c r="W250" s="59"/>
      <c r="X250" s="59"/>
      <c r="Y250" s="59"/>
      <c r="Z250" s="59"/>
    </row>
    <row r="251" ht="15.75" customHeight="1">
      <c r="A251" s="59"/>
      <c r="C251" s="59"/>
      <c r="D251" s="59"/>
      <c r="E251" s="59"/>
      <c r="F251" s="60"/>
      <c r="G251" s="59"/>
      <c r="H251" s="61"/>
      <c r="I251" s="59"/>
      <c r="J251" s="59"/>
      <c r="K251" s="59"/>
      <c r="L251" s="59"/>
      <c r="M251" s="59"/>
      <c r="N251" s="59"/>
      <c r="O251" s="59"/>
      <c r="P251" s="59"/>
      <c r="Q251" s="59"/>
      <c r="R251" s="59"/>
      <c r="S251" s="59"/>
      <c r="T251" s="59"/>
      <c r="U251" s="59"/>
      <c r="V251" s="59"/>
      <c r="W251" s="59"/>
      <c r="X251" s="59"/>
      <c r="Y251" s="59"/>
      <c r="Z251" s="59"/>
    </row>
    <row r="252" ht="15.75" customHeight="1">
      <c r="A252" s="59"/>
      <c r="C252" s="59"/>
      <c r="D252" s="59"/>
      <c r="E252" s="59"/>
      <c r="F252" s="60"/>
      <c r="G252" s="59"/>
      <c r="H252" s="61"/>
      <c r="I252" s="59"/>
      <c r="J252" s="59"/>
      <c r="K252" s="59"/>
      <c r="L252" s="59"/>
      <c r="M252" s="59"/>
      <c r="N252" s="59"/>
      <c r="O252" s="59"/>
      <c r="P252" s="59"/>
      <c r="Q252" s="59"/>
      <c r="R252" s="59"/>
      <c r="S252" s="59"/>
      <c r="T252" s="59"/>
      <c r="U252" s="59"/>
      <c r="V252" s="59"/>
      <c r="W252" s="59"/>
      <c r="X252" s="59"/>
      <c r="Y252" s="59"/>
      <c r="Z252" s="59"/>
    </row>
    <row r="253" ht="15.75" customHeight="1">
      <c r="A253" s="59"/>
      <c r="C253" s="59"/>
      <c r="D253" s="59"/>
      <c r="E253" s="59"/>
      <c r="F253" s="60"/>
      <c r="G253" s="59"/>
      <c r="H253" s="61"/>
      <c r="I253" s="59"/>
      <c r="J253" s="59"/>
      <c r="K253" s="59"/>
      <c r="L253" s="59"/>
      <c r="M253" s="59"/>
      <c r="N253" s="59"/>
      <c r="O253" s="59"/>
      <c r="P253" s="59"/>
      <c r="Q253" s="59"/>
      <c r="R253" s="59"/>
      <c r="S253" s="59"/>
      <c r="T253" s="59"/>
      <c r="U253" s="59"/>
      <c r="V253" s="59"/>
      <c r="W253" s="59"/>
      <c r="X253" s="59"/>
      <c r="Y253" s="59"/>
      <c r="Z253" s="59"/>
    </row>
    <row r="254" ht="15.75" customHeight="1">
      <c r="A254" s="59"/>
      <c r="C254" s="59"/>
      <c r="D254" s="59"/>
      <c r="E254" s="59"/>
      <c r="F254" s="60"/>
      <c r="G254" s="59"/>
      <c r="H254" s="61"/>
      <c r="I254" s="59"/>
      <c r="J254" s="59"/>
      <c r="K254" s="59"/>
      <c r="L254" s="59"/>
      <c r="M254" s="59"/>
      <c r="N254" s="59"/>
      <c r="O254" s="59"/>
      <c r="P254" s="59"/>
      <c r="Q254" s="59"/>
      <c r="R254" s="59"/>
      <c r="S254" s="59"/>
      <c r="T254" s="59"/>
      <c r="U254" s="59"/>
      <c r="V254" s="59"/>
      <c r="W254" s="59"/>
      <c r="X254" s="59"/>
      <c r="Y254" s="59"/>
      <c r="Z254" s="59"/>
    </row>
    <row r="255" ht="15.75" customHeight="1">
      <c r="A255" s="59"/>
      <c r="C255" s="59"/>
      <c r="D255" s="59"/>
      <c r="E255" s="59"/>
      <c r="F255" s="60"/>
      <c r="G255" s="59"/>
      <c r="H255" s="61"/>
      <c r="I255" s="59"/>
      <c r="J255" s="59"/>
      <c r="K255" s="59"/>
      <c r="L255" s="59"/>
      <c r="M255" s="59"/>
      <c r="N255" s="59"/>
      <c r="O255" s="59"/>
      <c r="P255" s="59"/>
      <c r="Q255" s="59"/>
      <c r="R255" s="59"/>
      <c r="S255" s="59"/>
      <c r="T255" s="59"/>
      <c r="U255" s="59"/>
      <c r="V255" s="59"/>
      <c r="W255" s="59"/>
      <c r="X255" s="59"/>
      <c r="Y255" s="59"/>
      <c r="Z255" s="59"/>
    </row>
    <row r="256" ht="15.75" customHeight="1">
      <c r="A256" s="59"/>
      <c r="C256" s="59"/>
      <c r="D256" s="59"/>
      <c r="E256" s="59"/>
      <c r="F256" s="60"/>
      <c r="G256" s="59"/>
      <c r="H256" s="61"/>
      <c r="I256" s="59"/>
      <c r="J256" s="59"/>
      <c r="K256" s="59"/>
      <c r="L256" s="59"/>
      <c r="M256" s="59"/>
      <c r="N256" s="59"/>
      <c r="O256" s="59"/>
      <c r="P256" s="59"/>
      <c r="Q256" s="59"/>
      <c r="R256" s="59"/>
      <c r="S256" s="59"/>
      <c r="T256" s="59"/>
      <c r="U256" s="59"/>
      <c r="V256" s="59"/>
      <c r="W256" s="59"/>
      <c r="X256" s="59"/>
      <c r="Y256" s="59"/>
      <c r="Z256" s="59"/>
    </row>
    <row r="257" ht="15.75" customHeight="1">
      <c r="A257" s="59"/>
      <c r="C257" s="59"/>
      <c r="D257" s="59"/>
      <c r="E257" s="59"/>
      <c r="F257" s="60"/>
      <c r="G257" s="59"/>
      <c r="H257" s="61"/>
      <c r="I257" s="59"/>
      <c r="J257" s="59"/>
      <c r="K257" s="59"/>
      <c r="L257" s="59"/>
      <c r="M257" s="59"/>
      <c r="N257" s="59"/>
      <c r="O257" s="59"/>
      <c r="P257" s="59"/>
      <c r="Q257" s="59"/>
      <c r="R257" s="59"/>
      <c r="S257" s="59"/>
      <c r="T257" s="59"/>
      <c r="U257" s="59"/>
      <c r="V257" s="59"/>
      <c r="W257" s="59"/>
      <c r="X257" s="59"/>
      <c r="Y257" s="59"/>
      <c r="Z257" s="59"/>
    </row>
    <row r="258" ht="15.75" customHeight="1">
      <c r="A258" s="59"/>
      <c r="C258" s="59"/>
      <c r="D258" s="59"/>
      <c r="E258" s="59"/>
      <c r="F258" s="60"/>
      <c r="G258" s="59"/>
      <c r="H258" s="61"/>
      <c r="I258" s="59"/>
      <c r="J258" s="59"/>
      <c r="K258" s="59"/>
      <c r="L258" s="59"/>
      <c r="M258" s="59"/>
      <c r="N258" s="59"/>
      <c r="O258" s="59"/>
      <c r="P258" s="59"/>
      <c r="Q258" s="59"/>
      <c r="R258" s="59"/>
      <c r="S258" s="59"/>
      <c r="T258" s="59"/>
      <c r="U258" s="59"/>
      <c r="V258" s="59"/>
      <c r="W258" s="59"/>
      <c r="X258" s="59"/>
      <c r="Y258" s="59"/>
      <c r="Z258" s="59"/>
    </row>
    <row r="259" ht="15.75" customHeight="1">
      <c r="A259" s="59"/>
      <c r="C259" s="59"/>
      <c r="D259" s="59"/>
      <c r="E259" s="59"/>
      <c r="F259" s="60"/>
      <c r="G259" s="59"/>
      <c r="H259" s="61"/>
      <c r="I259" s="59"/>
      <c r="J259" s="59"/>
      <c r="K259" s="59"/>
      <c r="L259" s="59"/>
      <c r="M259" s="59"/>
      <c r="N259" s="59"/>
      <c r="O259" s="59"/>
      <c r="P259" s="59"/>
      <c r="Q259" s="59"/>
      <c r="R259" s="59"/>
      <c r="S259" s="59"/>
      <c r="T259" s="59"/>
      <c r="U259" s="59"/>
      <c r="V259" s="59"/>
      <c r="W259" s="59"/>
      <c r="X259" s="59"/>
      <c r="Y259" s="59"/>
      <c r="Z259" s="59"/>
    </row>
    <row r="260" ht="15.75" customHeight="1">
      <c r="A260" s="59"/>
      <c r="C260" s="59"/>
      <c r="D260" s="59"/>
      <c r="E260" s="59"/>
      <c r="F260" s="60"/>
      <c r="G260" s="59"/>
      <c r="H260" s="61"/>
      <c r="I260" s="59"/>
      <c r="J260" s="59"/>
      <c r="K260" s="59"/>
      <c r="L260" s="59"/>
      <c r="M260" s="59"/>
      <c r="N260" s="59"/>
      <c r="O260" s="59"/>
      <c r="P260" s="59"/>
      <c r="Q260" s="59"/>
      <c r="R260" s="59"/>
      <c r="S260" s="59"/>
      <c r="T260" s="59"/>
      <c r="U260" s="59"/>
      <c r="V260" s="59"/>
      <c r="W260" s="59"/>
      <c r="X260" s="59"/>
      <c r="Y260" s="59"/>
      <c r="Z260" s="59"/>
    </row>
    <row r="261" ht="15.75" customHeight="1">
      <c r="A261" s="59"/>
      <c r="C261" s="59"/>
      <c r="D261" s="59"/>
      <c r="E261" s="59"/>
      <c r="F261" s="60"/>
      <c r="G261" s="59"/>
      <c r="H261" s="61"/>
      <c r="I261" s="59"/>
      <c r="J261" s="59"/>
      <c r="K261" s="59"/>
      <c r="L261" s="59"/>
      <c r="M261" s="59"/>
      <c r="N261" s="59"/>
      <c r="O261" s="59"/>
      <c r="P261" s="59"/>
      <c r="Q261" s="59"/>
      <c r="R261" s="59"/>
      <c r="S261" s="59"/>
      <c r="T261" s="59"/>
      <c r="U261" s="59"/>
      <c r="V261" s="59"/>
      <c r="W261" s="59"/>
      <c r="X261" s="59"/>
      <c r="Y261" s="59"/>
      <c r="Z261" s="59"/>
    </row>
    <row r="262" ht="15.75" customHeight="1">
      <c r="A262" s="59"/>
      <c r="C262" s="59"/>
      <c r="D262" s="59"/>
      <c r="E262" s="59"/>
      <c r="F262" s="60"/>
      <c r="G262" s="59"/>
      <c r="H262" s="61"/>
      <c r="I262" s="59"/>
      <c r="J262" s="59"/>
      <c r="K262" s="59"/>
      <c r="L262" s="59"/>
      <c r="M262" s="59"/>
      <c r="N262" s="59"/>
      <c r="O262" s="59"/>
      <c r="P262" s="59"/>
      <c r="Q262" s="59"/>
      <c r="R262" s="59"/>
      <c r="S262" s="59"/>
      <c r="T262" s="59"/>
      <c r="U262" s="59"/>
      <c r="V262" s="59"/>
      <c r="W262" s="59"/>
      <c r="X262" s="59"/>
      <c r="Y262" s="59"/>
      <c r="Z262" s="59"/>
    </row>
    <row r="263" ht="15.75" customHeight="1">
      <c r="A263" s="59"/>
      <c r="C263" s="59"/>
      <c r="D263" s="59"/>
      <c r="E263" s="59"/>
      <c r="F263" s="60"/>
      <c r="G263" s="59"/>
      <c r="H263" s="61"/>
      <c r="I263" s="59"/>
      <c r="J263" s="59"/>
      <c r="K263" s="59"/>
      <c r="L263" s="59"/>
      <c r="M263" s="59"/>
      <c r="N263" s="59"/>
      <c r="O263" s="59"/>
      <c r="P263" s="59"/>
      <c r="Q263" s="59"/>
      <c r="R263" s="59"/>
      <c r="S263" s="59"/>
      <c r="T263" s="59"/>
      <c r="U263" s="59"/>
      <c r="V263" s="59"/>
      <c r="W263" s="59"/>
      <c r="X263" s="59"/>
      <c r="Y263" s="59"/>
      <c r="Z263" s="59"/>
    </row>
    <row r="264" ht="15.75" customHeight="1">
      <c r="A264" s="59"/>
      <c r="C264" s="59"/>
      <c r="D264" s="59"/>
      <c r="E264" s="59"/>
      <c r="F264" s="60"/>
      <c r="G264" s="59"/>
      <c r="H264" s="61"/>
      <c r="I264" s="59"/>
      <c r="J264" s="59"/>
      <c r="K264" s="59"/>
      <c r="L264" s="59"/>
      <c r="M264" s="59"/>
      <c r="N264" s="59"/>
      <c r="O264" s="59"/>
      <c r="P264" s="59"/>
      <c r="Q264" s="59"/>
      <c r="R264" s="59"/>
      <c r="S264" s="59"/>
      <c r="T264" s="59"/>
      <c r="U264" s="59"/>
      <c r="V264" s="59"/>
      <c r="W264" s="59"/>
      <c r="X264" s="59"/>
      <c r="Y264" s="59"/>
      <c r="Z264" s="59"/>
    </row>
    <row r="265" ht="15.75" customHeight="1">
      <c r="A265" s="59"/>
      <c r="C265" s="59"/>
      <c r="D265" s="59"/>
      <c r="E265" s="59"/>
      <c r="F265" s="60"/>
      <c r="G265" s="59"/>
      <c r="H265" s="61"/>
      <c r="I265" s="59"/>
      <c r="J265" s="59"/>
      <c r="K265" s="59"/>
      <c r="L265" s="59"/>
      <c r="M265" s="59"/>
      <c r="N265" s="59"/>
      <c r="O265" s="59"/>
      <c r="P265" s="59"/>
      <c r="Q265" s="59"/>
      <c r="R265" s="59"/>
      <c r="S265" s="59"/>
      <c r="T265" s="59"/>
      <c r="U265" s="59"/>
      <c r="V265" s="59"/>
      <c r="W265" s="59"/>
      <c r="X265" s="59"/>
      <c r="Y265" s="59"/>
      <c r="Z265" s="59"/>
    </row>
    <row r="266" ht="15.75" customHeight="1">
      <c r="A266" s="59"/>
      <c r="C266" s="59"/>
      <c r="D266" s="59"/>
      <c r="E266" s="59"/>
      <c r="F266" s="60"/>
      <c r="G266" s="59"/>
      <c r="H266" s="61"/>
      <c r="I266" s="59"/>
      <c r="J266" s="59"/>
      <c r="K266" s="59"/>
      <c r="L266" s="59"/>
      <c r="M266" s="59"/>
      <c r="N266" s="59"/>
      <c r="O266" s="59"/>
      <c r="P266" s="59"/>
      <c r="Q266" s="59"/>
      <c r="R266" s="59"/>
      <c r="S266" s="59"/>
      <c r="T266" s="59"/>
      <c r="U266" s="59"/>
      <c r="V266" s="59"/>
      <c r="W266" s="59"/>
      <c r="X266" s="59"/>
      <c r="Y266" s="59"/>
      <c r="Z266" s="59"/>
    </row>
    <row r="267" ht="15.75" customHeight="1">
      <c r="A267" s="59"/>
      <c r="C267" s="59"/>
      <c r="D267" s="59"/>
      <c r="E267" s="59"/>
      <c r="F267" s="60"/>
      <c r="G267" s="59"/>
      <c r="H267" s="61"/>
      <c r="I267" s="59"/>
      <c r="J267" s="59"/>
      <c r="K267" s="59"/>
      <c r="L267" s="59"/>
      <c r="M267" s="59"/>
      <c r="N267" s="59"/>
      <c r="O267" s="59"/>
      <c r="P267" s="59"/>
      <c r="Q267" s="59"/>
      <c r="R267" s="59"/>
      <c r="S267" s="59"/>
      <c r="T267" s="59"/>
      <c r="U267" s="59"/>
      <c r="V267" s="59"/>
      <c r="W267" s="59"/>
      <c r="X267" s="59"/>
      <c r="Y267" s="59"/>
      <c r="Z267" s="59"/>
    </row>
    <row r="268" ht="15.75" customHeight="1">
      <c r="A268" s="59"/>
      <c r="C268" s="59"/>
      <c r="D268" s="59"/>
      <c r="E268" s="59"/>
      <c r="F268" s="60"/>
      <c r="G268" s="59"/>
      <c r="H268" s="61"/>
      <c r="I268" s="59"/>
      <c r="J268" s="59"/>
      <c r="K268" s="59"/>
      <c r="L268" s="59"/>
      <c r="M268" s="59"/>
      <c r="N268" s="59"/>
      <c r="O268" s="59"/>
      <c r="P268" s="59"/>
      <c r="Q268" s="59"/>
      <c r="R268" s="59"/>
      <c r="S268" s="59"/>
      <c r="T268" s="59"/>
      <c r="U268" s="59"/>
      <c r="V268" s="59"/>
      <c r="W268" s="59"/>
      <c r="X268" s="59"/>
      <c r="Y268" s="59"/>
      <c r="Z268" s="59"/>
    </row>
    <row r="269" ht="15.75" customHeight="1">
      <c r="A269" s="59"/>
      <c r="C269" s="59"/>
      <c r="D269" s="59"/>
      <c r="E269" s="59"/>
      <c r="F269" s="60"/>
      <c r="G269" s="59"/>
      <c r="H269" s="61"/>
      <c r="I269" s="59"/>
      <c r="J269" s="59"/>
      <c r="K269" s="59"/>
      <c r="L269" s="59"/>
      <c r="M269" s="59"/>
      <c r="N269" s="59"/>
      <c r="O269" s="59"/>
      <c r="P269" s="59"/>
      <c r="Q269" s="59"/>
      <c r="R269" s="59"/>
      <c r="S269" s="59"/>
      <c r="T269" s="59"/>
      <c r="U269" s="59"/>
      <c r="V269" s="59"/>
      <c r="W269" s="59"/>
      <c r="X269" s="59"/>
      <c r="Y269" s="59"/>
      <c r="Z269" s="59"/>
    </row>
    <row r="270" ht="15.75" customHeight="1">
      <c r="A270" s="59"/>
      <c r="C270" s="59"/>
      <c r="D270" s="59"/>
      <c r="E270" s="59"/>
      <c r="F270" s="60"/>
      <c r="G270" s="59"/>
      <c r="H270" s="61"/>
      <c r="I270" s="59"/>
      <c r="J270" s="59"/>
      <c r="K270" s="59"/>
      <c r="L270" s="59"/>
      <c r="M270" s="59"/>
      <c r="N270" s="59"/>
      <c r="O270" s="59"/>
      <c r="P270" s="59"/>
      <c r="Q270" s="59"/>
      <c r="R270" s="59"/>
      <c r="S270" s="59"/>
      <c r="T270" s="59"/>
      <c r="U270" s="59"/>
      <c r="V270" s="59"/>
      <c r="W270" s="59"/>
      <c r="X270" s="59"/>
      <c r="Y270" s="59"/>
      <c r="Z270" s="59"/>
    </row>
    <row r="271" ht="15.75" customHeight="1">
      <c r="A271" s="59"/>
      <c r="C271" s="59"/>
      <c r="D271" s="59"/>
      <c r="E271" s="59"/>
      <c r="F271" s="60"/>
      <c r="G271" s="59"/>
      <c r="H271" s="61"/>
      <c r="I271" s="59"/>
      <c r="J271" s="59"/>
      <c r="K271" s="59"/>
      <c r="L271" s="59"/>
      <c r="M271" s="59"/>
      <c r="N271" s="59"/>
      <c r="O271" s="59"/>
      <c r="P271" s="59"/>
      <c r="Q271" s="59"/>
      <c r="R271" s="59"/>
      <c r="S271" s="59"/>
      <c r="T271" s="59"/>
      <c r="U271" s="59"/>
      <c r="V271" s="59"/>
      <c r="W271" s="59"/>
      <c r="X271" s="59"/>
      <c r="Y271" s="59"/>
      <c r="Z271" s="59"/>
    </row>
    <row r="272" ht="15.75" customHeight="1">
      <c r="A272" s="59"/>
      <c r="C272" s="59"/>
      <c r="D272" s="59"/>
      <c r="E272" s="59"/>
      <c r="F272" s="60"/>
      <c r="G272" s="59"/>
      <c r="H272" s="61"/>
      <c r="I272" s="59"/>
      <c r="J272" s="59"/>
      <c r="K272" s="59"/>
      <c r="L272" s="59"/>
      <c r="M272" s="59"/>
      <c r="N272" s="59"/>
      <c r="O272" s="59"/>
      <c r="P272" s="59"/>
      <c r="Q272" s="59"/>
      <c r="R272" s="59"/>
      <c r="S272" s="59"/>
      <c r="T272" s="59"/>
      <c r="U272" s="59"/>
      <c r="V272" s="59"/>
      <c r="W272" s="59"/>
      <c r="X272" s="59"/>
      <c r="Y272" s="59"/>
      <c r="Z272" s="59"/>
    </row>
    <row r="273" ht="15.75" customHeight="1">
      <c r="A273" s="59"/>
      <c r="C273" s="59"/>
      <c r="D273" s="59"/>
      <c r="E273" s="59"/>
      <c r="F273" s="60"/>
      <c r="G273" s="59"/>
      <c r="H273" s="61"/>
      <c r="I273" s="59"/>
      <c r="J273" s="59"/>
      <c r="K273" s="59"/>
      <c r="L273" s="59"/>
      <c r="M273" s="59"/>
      <c r="N273" s="59"/>
      <c r="O273" s="59"/>
      <c r="P273" s="59"/>
      <c r="Q273" s="59"/>
      <c r="R273" s="59"/>
      <c r="S273" s="59"/>
      <c r="T273" s="59"/>
      <c r="U273" s="59"/>
      <c r="V273" s="59"/>
      <c r="W273" s="59"/>
      <c r="X273" s="59"/>
      <c r="Y273" s="59"/>
      <c r="Z273" s="59"/>
    </row>
    <row r="274" ht="15.75" customHeight="1">
      <c r="A274" s="59"/>
      <c r="C274" s="59"/>
      <c r="D274" s="59"/>
      <c r="E274" s="59"/>
      <c r="F274" s="60"/>
      <c r="G274" s="59"/>
      <c r="H274" s="61"/>
      <c r="I274" s="59"/>
      <c r="J274" s="59"/>
      <c r="K274" s="59"/>
      <c r="L274" s="59"/>
      <c r="M274" s="59"/>
      <c r="N274" s="59"/>
      <c r="O274" s="59"/>
      <c r="P274" s="59"/>
      <c r="Q274" s="59"/>
      <c r="R274" s="59"/>
      <c r="S274" s="59"/>
      <c r="T274" s="59"/>
      <c r="U274" s="59"/>
      <c r="V274" s="59"/>
      <c r="W274" s="59"/>
      <c r="X274" s="59"/>
      <c r="Y274" s="59"/>
      <c r="Z274" s="59"/>
    </row>
    <row r="275" ht="15.75" customHeight="1">
      <c r="A275" s="59"/>
      <c r="C275" s="59"/>
      <c r="D275" s="59"/>
      <c r="E275" s="59"/>
      <c r="F275" s="60"/>
      <c r="G275" s="59"/>
      <c r="H275" s="61"/>
      <c r="I275" s="59"/>
      <c r="J275" s="59"/>
      <c r="K275" s="59"/>
      <c r="L275" s="59"/>
      <c r="M275" s="59"/>
      <c r="N275" s="59"/>
      <c r="O275" s="59"/>
      <c r="P275" s="59"/>
      <c r="Q275" s="59"/>
      <c r="R275" s="59"/>
      <c r="S275" s="59"/>
      <c r="T275" s="59"/>
      <c r="U275" s="59"/>
      <c r="V275" s="59"/>
      <c r="W275" s="59"/>
      <c r="X275" s="59"/>
      <c r="Y275" s="59"/>
      <c r="Z275" s="59"/>
    </row>
    <row r="276" ht="15.75" customHeight="1">
      <c r="A276" s="59"/>
      <c r="C276" s="59"/>
      <c r="D276" s="59"/>
      <c r="E276" s="59"/>
      <c r="F276" s="60"/>
      <c r="G276" s="59"/>
      <c r="H276" s="61"/>
      <c r="I276" s="59"/>
      <c r="J276" s="59"/>
      <c r="K276" s="59"/>
      <c r="L276" s="59"/>
      <c r="M276" s="59"/>
      <c r="N276" s="59"/>
      <c r="O276" s="59"/>
      <c r="P276" s="59"/>
      <c r="Q276" s="59"/>
      <c r="R276" s="59"/>
      <c r="S276" s="59"/>
      <c r="T276" s="59"/>
      <c r="U276" s="59"/>
      <c r="V276" s="59"/>
      <c r="W276" s="59"/>
      <c r="X276" s="59"/>
      <c r="Y276" s="59"/>
      <c r="Z276" s="59"/>
    </row>
    <row r="277" ht="15.75" customHeight="1">
      <c r="A277" s="59"/>
      <c r="C277" s="59"/>
      <c r="D277" s="59"/>
      <c r="E277" s="59"/>
      <c r="F277" s="60"/>
      <c r="G277" s="59"/>
      <c r="H277" s="61"/>
      <c r="I277" s="59"/>
      <c r="J277" s="59"/>
      <c r="K277" s="59"/>
      <c r="L277" s="59"/>
      <c r="M277" s="59"/>
      <c r="N277" s="59"/>
      <c r="O277" s="59"/>
      <c r="P277" s="59"/>
      <c r="Q277" s="59"/>
      <c r="R277" s="59"/>
      <c r="S277" s="59"/>
      <c r="T277" s="59"/>
      <c r="U277" s="59"/>
      <c r="V277" s="59"/>
      <c r="W277" s="59"/>
      <c r="X277" s="59"/>
      <c r="Y277" s="59"/>
      <c r="Z277" s="59"/>
    </row>
    <row r="278" ht="15.75" customHeight="1">
      <c r="A278" s="59"/>
      <c r="C278" s="59"/>
      <c r="D278" s="59"/>
      <c r="E278" s="59"/>
      <c r="F278" s="60"/>
      <c r="G278" s="59"/>
      <c r="H278" s="61"/>
      <c r="I278" s="59"/>
      <c r="J278" s="59"/>
      <c r="K278" s="59"/>
      <c r="L278" s="59"/>
      <c r="M278" s="59"/>
      <c r="N278" s="59"/>
      <c r="O278" s="59"/>
      <c r="P278" s="59"/>
      <c r="Q278" s="59"/>
      <c r="R278" s="59"/>
      <c r="S278" s="59"/>
      <c r="T278" s="59"/>
      <c r="U278" s="59"/>
      <c r="V278" s="59"/>
      <c r="W278" s="59"/>
      <c r="X278" s="59"/>
      <c r="Y278" s="59"/>
      <c r="Z278" s="59"/>
    </row>
    <row r="279" ht="15.75" customHeight="1">
      <c r="A279" s="59"/>
      <c r="C279" s="59"/>
      <c r="D279" s="59"/>
      <c r="E279" s="59"/>
      <c r="F279" s="60"/>
      <c r="G279" s="59"/>
      <c r="H279" s="61"/>
      <c r="I279" s="59"/>
      <c r="J279" s="59"/>
      <c r="K279" s="59"/>
      <c r="L279" s="59"/>
      <c r="M279" s="59"/>
      <c r="N279" s="59"/>
      <c r="O279" s="59"/>
      <c r="P279" s="59"/>
      <c r="Q279" s="59"/>
      <c r="R279" s="59"/>
      <c r="S279" s="59"/>
      <c r="T279" s="59"/>
      <c r="U279" s="59"/>
      <c r="V279" s="59"/>
      <c r="W279" s="59"/>
      <c r="X279" s="59"/>
      <c r="Y279" s="59"/>
      <c r="Z279" s="59"/>
    </row>
    <row r="280" ht="15.75" customHeight="1">
      <c r="A280" s="59"/>
      <c r="C280" s="59"/>
      <c r="D280" s="59"/>
      <c r="E280" s="59"/>
      <c r="F280" s="60"/>
      <c r="G280" s="59"/>
      <c r="H280" s="61"/>
      <c r="I280" s="59"/>
      <c r="J280" s="59"/>
      <c r="K280" s="59"/>
      <c r="L280" s="59"/>
      <c r="M280" s="59"/>
      <c r="N280" s="59"/>
      <c r="O280" s="59"/>
      <c r="P280" s="59"/>
      <c r="Q280" s="59"/>
      <c r="R280" s="59"/>
      <c r="S280" s="59"/>
      <c r="T280" s="59"/>
      <c r="U280" s="59"/>
      <c r="V280" s="59"/>
      <c r="W280" s="59"/>
      <c r="X280" s="59"/>
      <c r="Y280" s="59"/>
      <c r="Z280" s="59"/>
    </row>
    <row r="281" ht="15.75" customHeight="1">
      <c r="A281" s="59"/>
      <c r="C281" s="59"/>
      <c r="D281" s="59"/>
      <c r="E281" s="59"/>
      <c r="F281" s="60"/>
      <c r="G281" s="59"/>
      <c r="H281" s="61"/>
      <c r="I281" s="59"/>
      <c r="J281" s="59"/>
      <c r="K281" s="59"/>
      <c r="L281" s="59"/>
      <c r="M281" s="59"/>
      <c r="N281" s="59"/>
      <c r="O281" s="59"/>
      <c r="P281" s="59"/>
      <c r="Q281" s="59"/>
      <c r="R281" s="59"/>
      <c r="S281" s="59"/>
      <c r="T281" s="59"/>
      <c r="U281" s="59"/>
      <c r="V281" s="59"/>
      <c r="W281" s="59"/>
      <c r="X281" s="59"/>
      <c r="Y281" s="59"/>
      <c r="Z281" s="59"/>
    </row>
    <row r="282" ht="15.75" customHeight="1">
      <c r="A282" s="59"/>
      <c r="C282" s="59"/>
      <c r="D282" s="59"/>
      <c r="E282" s="59"/>
      <c r="F282" s="60"/>
      <c r="G282" s="59"/>
      <c r="H282" s="61"/>
      <c r="I282" s="59"/>
      <c r="J282" s="59"/>
      <c r="K282" s="59"/>
      <c r="L282" s="59"/>
      <c r="M282" s="59"/>
      <c r="N282" s="59"/>
      <c r="O282" s="59"/>
      <c r="P282" s="59"/>
      <c r="Q282" s="59"/>
      <c r="R282" s="59"/>
      <c r="S282" s="59"/>
      <c r="T282" s="59"/>
      <c r="U282" s="59"/>
      <c r="V282" s="59"/>
      <c r="W282" s="59"/>
      <c r="X282" s="59"/>
      <c r="Y282" s="59"/>
      <c r="Z282" s="59"/>
    </row>
    <row r="283" ht="15.75" customHeight="1">
      <c r="A283" s="59"/>
      <c r="C283" s="59"/>
      <c r="D283" s="59"/>
      <c r="E283" s="59"/>
      <c r="F283" s="60"/>
      <c r="G283" s="59"/>
      <c r="H283" s="61"/>
      <c r="I283" s="59"/>
      <c r="J283" s="59"/>
      <c r="K283" s="59"/>
      <c r="L283" s="59"/>
      <c r="M283" s="59"/>
      <c r="N283" s="59"/>
      <c r="O283" s="59"/>
      <c r="P283" s="59"/>
      <c r="Q283" s="59"/>
      <c r="R283" s="59"/>
      <c r="S283" s="59"/>
      <c r="T283" s="59"/>
      <c r="U283" s="59"/>
      <c r="V283" s="59"/>
      <c r="W283" s="59"/>
      <c r="X283" s="59"/>
      <c r="Y283" s="59"/>
      <c r="Z283" s="59"/>
    </row>
    <row r="284" ht="15.75" customHeight="1">
      <c r="A284" s="59"/>
      <c r="C284" s="59"/>
      <c r="D284" s="59"/>
      <c r="E284" s="59"/>
      <c r="F284" s="60"/>
      <c r="G284" s="59"/>
      <c r="H284" s="61"/>
      <c r="I284" s="59"/>
      <c r="J284" s="59"/>
      <c r="K284" s="59"/>
      <c r="L284" s="59"/>
      <c r="M284" s="59"/>
      <c r="N284" s="59"/>
      <c r="O284" s="59"/>
      <c r="P284" s="59"/>
      <c r="Q284" s="59"/>
      <c r="R284" s="59"/>
      <c r="S284" s="59"/>
      <c r="T284" s="59"/>
      <c r="U284" s="59"/>
      <c r="V284" s="59"/>
      <c r="W284" s="59"/>
      <c r="X284" s="59"/>
      <c r="Y284" s="59"/>
      <c r="Z284" s="59"/>
    </row>
    <row r="285" ht="15.75" customHeight="1">
      <c r="A285" s="59"/>
      <c r="C285" s="59"/>
      <c r="D285" s="59"/>
      <c r="E285" s="59"/>
      <c r="F285" s="60"/>
      <c r="G285" s="59"/>
      <c r="H285" s="61"/>
      <c r="I285" s="59"/>
      <c r="J285" s="59"/>
      <c r="K285" s="59"/>
      <c r="L285" s="59"/>
      <c r="M285" s="59"/>
      <c r="N285" s="59"/>
      <c r="O285" s="59"/>
      <c r="P285" s="59"/>
      <c r="Q285" s="59"/>
      <c r="R285" s="59"/>
      <c r="S285" s="59"/>
      <c r="T285" s="59"/>
      <c r="U285" s="59"/>
      <c r="V285" s="59"/>
      <c r="W285" s="59"/>
      <c r="X285" s="59"/>
      <c r="Y285" s="59"/>
      <c r="Z285" s="59"/>
    </row>
    <row r="286" ht="15.75" customHeight="1">
      <c r="A286" s="59"/>
      <c r="C286" s="59"/>
      <c r="D286" s="59"/>
      <c r="E286" s="59"/>
      <c r="F286" s="60"/>
      <c r="G286" s="59"/>
      <c r="H286" s="61"/>
      <c r="I286" s="59"/>
      <c r="J286" s="59"/>
      <c r="K286" s="59"/>
      <c r="L286" s="59"/>
      <c r="M286" s="59"/>
      <c r="N286" s="59"/>
      <c r="O286" s="59"/>
      <c r="P286" s="59"/>
      <c r="Q286" s="59"/>
      <c r="R286" s="59"/>
      <c r="S286" s="59"/>
      <c r="T286" s="59"/>
      <c r="U286" s="59"/>
      <c r="V286" s="59"/>
      <c r="W286" s="59"/>
      <c r="X286" s="59"/>
      <c r="Y286" s="59"/>
      <c r="Z286" s="59"/>
    </row>
    <row r="287" ht="15.75" customHeight="1">
      <c r="A287" s="59"/>
      <c r="C287" s="59"/>
      <c r="D287" s="59"/>
      <c r="E287" s="59"/>
      <c r="F287" s="60"/>
      <c r="G287" s="59"/>
      <c r="H287" s="61"/>
      <c r="I287" s="59"/>
      <c r="J287" s="59"/>
      <c r="K287" s="59"/>
      <c r="L287" s="59"/>
      <c r="M287" s="59"/>
      <c r="N287" s="59"/>
      <c r="O287" s="59"/>
      <c r="P287" s="59"/>
      <c r="Q287" s="59"/>
      <c r="R287" s="59"/>
      <c r="S287" s="59"/>
      <c r="T287" s="59"/>
      <c r="U287" s="59"/>
      <c r="V287" s="59"/>
      <c r="W287" s="59"/>
      <c r="X287" s="59"/>
      <c r="Y287" s="59"/>
      <c r="Z287" s="59"/>
    </row>
    <row r="288" ht="15.75" customHeight="1">
      <c r="A288" s="59"/>
      <c r="C288" s="59"/>
      <c r="D288" s="59"/>
      <c r="E288" s="59"/>
      <c r="F288" s="60"/>
      <c r="G288" s="59"/>
      <c r="H288" s="61"/>
      <c r="I288" s="59"/>
      <c r="J288" s="59"/>
      <c r="K288" s="59"/>
      <c r="L288" s="59"/>
      <c r="M288" s="59"/>
      <c r="N288" s="59"/>
      <c r="O288" s="59"/>
      <c r="P288" s="59"/>
      <c r="Q288" s="59"/>
      <c r="R288" s="59"/>
      <c r="S288" s="59"/>
      <c r="T288" s="59"/>
      <c r="U288" s="59"/>
      <c r="V288" s="59"/>
      <c r="W288" s="59"/>
      <c r="X288" s="59"/>
      <c r="Y288" s="59"/>
      <c r="Z288" s="59"/>
    </row>
    <row r="289" ht="15.75" customHeight="1">
      <c r="A289" s="59"/>
      <c r="C289" s="59"/>
      <c r="D289" s="59"/>
      <c r="E289" s="59"/>
      <c r="F289" s="60"/>
      <c r="G289" s="59"/>
      <c r="H289" s="61"/>
      <c r="I289" s="59"/>
      <c r="J289" s="59"/>
      <c r="K289" s="59"/>
      <c r="L289" s="59"/>
      <c r="M289" s="59"/>
      <c r="N289" s="59"/>
      <c r="O289" s="59"/>
      <c r="P289" s="59"/>
      <c r="Q289" s="59"/>
      <c r="R289" s="59"/>
      <c r="S289" s="59"/>
      <c r="T289" s="59"/>
      <c r="U289" s="59"/>
      <c r="V289" s="59"/>
      <c r="W289" s="59"/>
      <c r="X289" s="59"/>
      <c r="Y289" s="59"/>
      <c r="Z289" s="59"/>
    </row>
    <row r="290" ht="15.75" customHeight="1">
      <c r="A290" s="59"/>
      <c r="C290" s="59"/>
      <c r="D290" s="59"/>
      <c r="E290" s="59"/>
      <c r="F290" s="60"/>
      <c r="G290" s="59"/>
      <c r="H290" s="61"/>
      <c r="I290" s="59"/>
      <c r="J290" s="59"/>
      <c r="K290" s="59"/>
      <c r="L290" s="59"/>
      <c r="M290" s="59"/>
      <c r="N290" s="59"/>
      <c r="O290" s="59"/>
      <c r="P290" s="59"/>
      <c r="Q290" s="59"/>
      <c r="R290" s="59"/>
      <c r="S290" s="59"/>
      <c r="T290" s="59"/>
      <c r="U290" s="59"/>
      <c r="V290" s="59"/>
      <c r="W290" s="59"/>
      <c r="X290" s="59"/>
      <c r="Y290" s="59"/>
      <c r="Z290" s="59"/>
    </row>
    <row r="291" ht="15.75" customHeight="1">
      <c r="A291" s="59"/>
      <c r="C291" s="59"/>
      <c r="D291" s="59"/>
      <c r="E291" s="59"/>
      <c r="F291" s="60"/>
      <c r="G291" s="59"/>
      <c r="H291" s="61"/>
      <c r="I291" s="59"/>
      <c r="J291" s="59"/>
      <c r="K291" s="59"/>
      <c r="L291" s="59"/>
      <c r="M291" s="59"/>
      <c r="N291" s="59"/>
      <c r="O291" s="59"/>
      <c r="P291" s="59"/>
      <c r="Q291" s="59"/>
      <c r="R291" s="59"/>
      <c r="S291" s="59"/>
      <c r="T291" s="59"/>
      <c r="U291" s="59"/>
      <c r="V291" s="59"/>
      <c r="W291" s="59"/>
      <c r="X291" s="59"/>
      <c r="Y291" s="59"/>
      <c r="Z291" s="59"/>
    </row>
    <row r="292" ht="15.75" customHeight="1">
      <c r="A292" s="59"/>
      <c r="C292" s="59"/>
      <c r="D292" s="59"/>
      <c r="E292" s="59"/>
      <c r="F292" s="60"/>
      <c r="G292" s="59"/>
      <c r="H292" s="61"/>
      <c r="I292" s="59"/>
      <c r="J292" s="59"/>
      <c r="K292" s="59"/>
      <c r="L292" s="59"/>
      <c r="M292" s="59"/>
      <c r="N292" s="59"/>
      <c r="O292" s="59"/>
      <c r="P292" s="59"/>
      <c r="Q292" s="59"/>
      <c r="R292" s="59"/>
      <c r="S292" s="59"/>
      <c r="T292" s="59"/>
      <c r="U292" s="59"/>
      <c r="V292" s="59"/>
      <c r="W292" s="59"/>
      <c r="X292" s="59"/>
      <c r="Y292" s="59"/>
      <c r="Z292" s="59"/>
    </row>
    <row r="293" ht="15.75" customHeight="1">
      <c r="A293" s="59"/>
      <c r="C293" s="59"/>
      <c r="D293" s="59"/>
      <c r="E293" s="59"/>
      <c r="F293" s="60"/>
      <c r="G293" s="59"/>
      <c r="H293" s="61"/>
      <c r="I293" s="59"/>
      <c r="J293" s="59"/>
      <c r="K293" s="59"/>
      <c r="L293" s="59"/>
      <c r="M293" s="59"/>
      <c r="N293" s="59"/>
      <c r="O293" s="59"/>
      <c r="P293" s="59"/>
      <c r="Q293" s="59"/>
      <c r="R293" s="59"/>
      <c r="S293" s="59"/>
      <c r="T293" s="59"/>
      <c r="U293" s="59"/>
      <c r="V293" s="59"/>
      <c r="W293" s="59"/>
      <c r="X293" s="59"/>
      <c r="Y293" s="59"/>
      <c r="Z293" s="59"/>
    </row>
    <row r="294" ht="15.75" customHeight="1">
      <c r="A294" s="59"/>
      <c r="C294" s="59"/>
      <c r="D294" s="59"/>
      <c r="E294" s="59"/>
      <c r="F294" s="60"/>
      <c r="G294" s="59"/>
      <c r="H294" s="61"/>
      <c r="I294" s="59"/>
      <c r="J294" s="59"/>
      <c r="K294" s="59"/>
      <c r="L294" s="59"/>
      <c r="M294" s="59"/>
      <c r="N294" s="59"/>
      <c r="O294" s="59"/>
      <c r="P294" s="59"/>
      <c r="Q294" s="59"/>
      <c r="R294" s="59"/>
      <c r="S294" s="59"/>
      <c r="T294" s="59"/>
      <c r="U294" s="59"/>
      <c r="V294" s="59"/>
      <c r="W294" s="59"/>
      <c r="X294" s="59"/>
      <c r="Y294" s="59"/>
      <c r="Z294" s="59"/>
    </row>
    <row r="295" ht="15.75" customHeight="1">
      <c r="A295" s="59"/>
      <c r="C295" s="59"/>
      <c r="D295" s="59"/>
      <c r="E295" s="59"/>
      <c r="F295" s="60"/>
      <c r="G295" s="59"/>
      <c r="H295" s="61"/>
      <c r="I295" s="59"/>
      <c r="J295" s="59"/>
      <c r="K295" s="59"/>
      <c r="L295" s="59"/>
      <c r="M295" s="59"/>
      <c r="N295" s="59"/>
      <c r="O295" s="59"/>
      <c r="P295" s="59"/>
      <c r="Q295" s="59"/>
      <c r="R295" s="59"/>
      <c r="S295" s="59"/>
      <c r="T295" s="59"/>
      <c r="U295" s="59"/>
      <c r="V295" s="59"/>
      <c r="W295" s="59"/>
      <c r="X295" s="59"/>
      <c r="Y295" s="59"/>
      <c r="Z295" s="59"/>
    </row>
    <row r="296" ht="15.75" customHeight="1">
      <c r="A296" s="59"/>
      <c r="C296" s="59"/>
      <c r="D296" s="59"/>
      <c r="E296" s="59"/>
      <c r="F296" s="60"/>
      <c r="G296" s="59"/>
      <c r="H296" s="61"/>
      <c r="I296" s="59"/>
      <c r="J296" s="59"/>
      <c r="K296" s="59"/>
      <c r="L296" s="59"/>
      <c r="M296" s="59"/>
      <c r="N296" s="59"/>
      <c r="O296" s="59"/>
      <c r="P296" s="59"/>
      <c r="Q296" s="59"/>
      <c r="R296" s="59"/>
      <c r="S296" s="59"/>
      <c r="T296" s="59"/>
      <c r="U296" s="59"/>
      <c r="V296" s="59"/>
      <c r="W296" s="59"/>
      <c r="X296" s="59"/>
      <c r="Y296" s="59"/>
      <c r="Z296" s="59"/>
    </row>
    <row r="297" ht="15.75" customHeight="1">
      <c r="A297" s="59"/>
      <c r="C297" s="59"/>
      <c r="D297" s="59"/>
      <c r="E297" s="59"/>
      <c r="F297" s="60"/>
      <c r="G297" s="59"/>
      <c r="H297" s="61"/>
      <c r="I297" s="59"/>
      <c r="J297" s="59"/>
      <c r="K297" s="59"/>
      <c r="L297" s="59"/>
      <c r="M297" s="59"/>
      <c r="N297" s="59"/>
      <c r="O297" s="59"/>
      <c r="P297" s="59"/>
      <c r="Q297" s="59"/>
      <c r="R297" s="59"/>
      <c r="S297" s="59"/>
      <c r="T297" s="59"/>
      <c r="U297" s="59"/>
      <c r="V297" s="59"/>
      <c r="W297" s="59"/>
      <c r="X297" s="59"/>
      <c r="Y297" s="59"/>
      <c r="Z297" s="59"/>
    </row>
    <row r="298" ht="15.75" customHeight="1">
      <c r="A298" s="59"/>
      <c r="C298" s="59"/>
      <c r="D298" s="59"/>
      <c r="E298" s="59"/>
      <c r="F298" s="60"/>
      <c r="G298" s="59"/>
      <c r="H298" s="61"/>
      <c r="I298" s="59"/>
      <c r="J298" s="59"/>
      <c r="K298" s="59"/>
      <c r="L298" s="59"/>
      <c r="M298" s="59"/>
      <c r="N298" s="59"/>
      <c r="O298" s="59"/>
      <c r="P298" s="59"/>
      <c r="Q298" s="59"/>
      <c r="R298" s="59"/>
      <c r="S298" s="59"/>
      <c r="T298" s="59"/>
      <c r="U298" s="59"/>
      <c r="V298" s="59"/>
      <c r="W298" s="59"/>
      <c r="X298" s="59"/>
      <c r="Y298" s="59"/>
      <c r="Z298" s="59"/>
    </row>
    <row r="299" ht="15.75" customHeight="1">
      <c r="A299" s="59"/>
      <c r="C299" s="59"/>
      <c r="D299" s="59"/>
      <c r="E299" s="59"/>
      <c r="F299" s="60"/>
      <c r="G299" s="59"/>
      <c r="H299" s="61"/>
      <c r="I299" s="59"/>
      <c r="J299" s="59"/>
      <c r="K299" s="59"/>
      <c r="L299" s="59"/>
      <c r="M299" s="59"/>
      <c r="N299" s="59"/>
      <c r="O299" s="59"/>
      <c r="P299" s="59"/>
      <c r="Q299" s="59"/>
      <c r="R299" s="59"/>
      <c r="S299" s="59"/>
      <c r="T299" s="59"/>
      <c r="U299" s="59"/>
      <c r="V299" s="59"/>
      <c r="W299" s="59"/>
      <c r="X299" s="59"/>
      <c r="Y299" s="59"/>
      <c r="Z299" s="59"/>
    </row>
    <row r="300" ht="15.75" customHeight="1">
      <c r="A300" s="59"/>
      <c r="C300" s="59"/>
      <c r="D300" s="59"/>
      <c r="E300" s="59"/>
      <c r="F300" s="60"/>
      <c r="G300" s="59"/>
      <c r="H300" s="61"/>
      <c r="I300" s="59"/>
      <c r="J300" s="59"/>
      <c r="K300" s="59"/>
      <c r="L300" s="59"/>
      <c r="M300" s="59"/>
      <c r="N300" s="59"/>
      <c r="O300" s="59"/>
      <c r="P300" s="59"/>
      <c r="Q300" s="59"/>
      <c r="R300" s="59"/>
      <c r="S300" s="59"/>
      <c r="T300" s="59"/>
      <c r="U300" s="59"/>
      <c r="V300" s="59"/>
      <c r="W300" s="59"/>
      <c r="X300" s="59"/>
      <c r="Y300" s="59"/>
      <c r="Z300" s="59"/>
    </row>
    <row r="301" ht="15.75" customHeight="1">
      <c r="A301" s="59"/>
      <c r="C301" s="59"/>
      <c r="D301" s="59"/>
      <c r="E301" s="59"/>
      <c r="F301" s="60"/>
      <c r="G301" s="59"/>
      <c r="H301" s="61"/>
      <c r="I301" s="59"/>
      <c r="J301" s="59"/>
      <c r="K301" s="59"/>
      <c r="L301" s="59"/>
      <c r="M301" s="59"/>
      <c r="N301" s="59"/>
      <c r="O301" s="59"/>
      <c r="P301" s="59"/>
      <c r="Q301" s="59"/>
      <c r="R301" s="59"/>
      <c r="S301" s="59"/>
      <c r="T301" s="59"/>
      <c r="U301" s="59"/>
      <c r="V301" s="59"/>
      <c r="W301" s="59"/>
      <c r="X301" s="59"/>
      <c r="Y301" s="59"/>
      <c r="Z301" s="59"/>
    </row>
    <row r="302" ht="15.75" customHeight="1">
      <c r="A302" s="59"/>
      <c r="C302" s="59"/>
      <c r="D302" s="59"/>
      <c r="E302" s="59"/>
      <c r="F302" s="60"/>
      <c r="G302" s="59"/>
      <c r="H302" s="61"/>
      <c r="I302" s="59"/>
      <c r="J302" s="59"/>
      <c r="K302" s="59"/>
      <c r="L302" s="59"/>
      <c r="M302" s="59"/>
      <c r="N302" s="59"/>
      <c r="O302" s="59"/>
      <c r="P302" s="59"/>
      <c r="Q302" s="59"/>
      <c r="R302" s="59"/>
      <c r="S302" s="59"/>
      <c r="T302" s="59"/>
      <c r="U302" s="59"/>
      <c r="V302" s="59"/>
      <c r="W302" s="59"/>
      <c r="X302" s="59"/>
      <c r="Y302" s="59"/>
      <c r="Z302" s="59"/>
    </row>
    <row r="303" ht="15.75" customHeight="1">
      <c r="A303" s="59"/>
      <c r="C303" s="59"/>
      <c r="D303" s="59"/>
      <c r="E303" s="59"/>
      <c r="F303" s="60"/>
      <c r="G303" s="59"/>
      <c r="H303" s="61"/>
      <c r="I303" s="59"/>
      <c r="J303" s="59"/>
      <c r="K303" s="59"/>
      <c r="L303" s="59"/>
      <c r="M303" s="59"/>
      <c r="N303" s="59"/>
      <c r="O303" s="59"/>
      <c r="P303" s="59"/>
      <c r="Q303" s="59"/>
      <c r="R303" s="59"/>
      <c r="S303" s="59"/>
      <c r="T303" s="59"/>
      <c r="U303" s="59"/>
      <c r="V303" s="59"/>
      <c r="W303" s="59"/>
      <c r="X303" s="59"/>
      <c r="Y303" s="59"/>
      <c r="Z303" s="59"/>
    </row>
    <row r="304" ht="15.75" customHeight="1">
      <c r="A304" s="59"/>
      <c r="C304" s="59"/>
      <c r="D304" s="59"/>
      <c r="E304" s="59"/>
      <c r="F304" s="60"/>
      <c r="G304" s="59"/>
      <c r="H304" s="61"/>
      <c r="I304" s="59"/>
      <c r="J304" s="59"/>
      <c r="K304" s="59"/>
      <c r="L304" s="59"/>
      <c r="M304" s="59"/>
      <c r="N304" s="59"/>
      <c r="O304" s="59"/>
      <c r="P304" s="59"/>
      <c r="Q304" s="59"/>
      <c r="R304" s="59"/>
      <c r="S304" s="59"/>
      <c r="T304" s="59"/>
      <c r="U304" s="59"/>
      <c r="V304" s="59"/>
      <c r="W304" s="59"/>
      <c r="X304" s="59"/>
      <c r="Y304" s="59"/>
      <c r="Z304" s="59"/>
    </row>
    <row r="305" ht="15.75" customHeight="1">
      <c r="A305" s="59"/>
      <c r="C305" s="59"/>
      <c r="D305" s="59"/>
      <c r="E305" s="59"/>
      <c r="F305" s="60"/>
      <c r="G305" s="59"/>
      <c r="H305" s="61"/>
      <c r="I305" s="59"/>
      <c r="J305" s="59"/>
      <c r="K305" s="59"/>
      <c r="L305" s="59"/>
      <c r="M305" s="59"/>
      <c r="N305" s="59"/>
      <c r="O305" s="59"/>
      <c r="P305" s="59"/>
      <c r="Q305" s="59"/>
      <c r="R305" s="59"/>
      <c r="S305" s="59"/>
      <c r="T305" s="59"/>
      <c r="U305" s="59"/>
      <c r="V305" s="59"/>
      <c r="W305" s="59"/>
      <c r="X305" s="59"/>
      <c r="Y305" s="59"/>
      <c r="Z305" s="59"/>
    </row>
    <row r="306" ht="15.75" customHeight="1">
      <c r="A306" s="59"/>
      <c r="C306" s="59"/>
      <c r="D306" s="59"/>
      <c r="E306" s="59"/>
      <c r="F306" s="60"/>
      <c r="G306" s="59"/>
      <c r="H306" s="61"/>
      <c r="I306" s="59"/>
      <c r="J306" s="59"/>
      <c r="K306" s="59"/>
      <c r="L306" s="59"/>
      <c r="M306" s="59"/>
      <c r="N306" s="59"/>
      <c r="O306" s="59"/>
      <c r="P306" s="59"/>
      <c r="Q306" s="59"/>
      <c r="R306" s="59"/>
      <c r="S306" s="59"/>
      <c r="T306" s="59"/>
      <c r="U306" s="59"/>
      <c r="V306" s="59"/>
      <c r="W306" s="59"/>
      <c r="X306" s="59"/>
      <c r="Y306" s="59"/>
      <c r="Z306" s="59"/>
    </row>
    <row r="307" ht="15.75" customHeight="1">
      <c r="A307" s="59"/>
      <c r="C307" s="59"/>
      <c r="D307" s="59"/>
      <c r="E307" s="59"/>
      <c r="F307" s="60"/>
      <c r="G307" s="59"/>
      <c r="H307" s="61"/>
      <c r="I307" s="59"/>
      <c r="J307" s="59"/>
      <c r="K307" s="59"/>
      <c r="L307" s="59"/>
      <c r="M307" s="59"/>
      <c r="N307" s="59"/>
      <c r="O307" s="59"/>
      <c r="P307" s="59"/>
      <c r="Q307" s="59"/>
      <c r="R307" s="59"/>
      <c r="S307" s="59"/>
      <c r="T307" s="59"/>
      <c r="U307" s="59"/>
      <c r="V307" s="59"/>
      <c r="W307" s="59"/>
      <c r="X307" s="59"/>
      <c r="Y307" s="59"/>
      <c r="Z307" s="59"/>
    </row>
    <row r="308" ht="15.75" customHeight="1">
      <c r="A308" s="59"/>
      <c r="C308" s="59"/>
      <c r="D308" s="59"/>
      <c r="E308" s="59"/>
      <c r="F308" s="60"/>
      <c r="G308" s="59"/>
      <c r="H308" s="61"/>
      <c r="I308" s="59"/>
      <c r="J308" s="59"/>
      <c r="K308" s="59"/>
      <c r="L308" s="59"/>
      <c r="M308" s="59"/>
      <c r="N308" s="59"/>
      <c r="O308" s="59"/>
      <c r="P308" s="59"/>
      <c r="Q308" s="59"/>
      <c r="R308" s="59"/>
      <c r="S308" s="59"/>
      <c r="T308" s="59"/>
      <c r="U308" s="59"/>
      <c r="V308" s="59"/>
      <c r="W308" s="59"/>
      <c r="X308" s="59"/>
      <c r="Y308" s="59"/>
      <c r="Z308" s="59"/>
    </row>
    <row r="309" ht="15.75" customHeight="1">
      <c r="A309" s="59"/>
      <c r="C309" s="59"/>
      <c r="D309" s="59"/>
      <c r="E309" s="59"/>
      <c r="F309" s="60"/>
      <c r="G309" s="59"/>
      <c r="H309" s="61"/>
      <c r="I309" s="59"/>
      <c r="J309" s="59"/>
      <c r="K309" s="59"/>
      <c r="L309" s="59"/>
      <c r="M309" s="59"/>
      <c r="N309" s="59"/>
      <c r="O309" s="59"/>
      <c r="P309" s="59"/>
      <c r="Q309" s="59"/>
      <c r="R309" s="59"/>
      <c r="S309" s="59"/>
      <c r="T309" s="59"/>
      <c r="U309" s="59"/>
      <c r="V309" s="59"/>
      <c r="W309" s="59"/>
      <c r="X309" s="59"/>
      <c r="Y309" s="59"/>
      <c r="Z309" s="59"/>
    </row>
    <row r="310" ht="15.75" customHeight="1">
      <c r="A310" s="59"/>
      <c r="C310" s="59"/>
      <c r="D310" s="59"/>
      <c r="E310" s="59"/>
      <c r="F310" s="60"/>
      <c r="G310" s="59"/>
      <c r="H310" s="61"/>
      <c r="I310" s="59"/>
      <c r="J310" s="59"/>
      <c r="K310" s="59"/>
      <c r="L310" s="59"/>
      <c r="M310" s="59"/>
      <c r="N310" s="59"/>
      <c r="O310" s="59"/>
      <c r="P310" s="59"/>
      <c r="Q310" s="59"/>
      <c r="R310" s="59"/>
      <c r="S310" s="59"/>
      <c r="T310" s="59"/>
      <c r="U310" s="59"/>
      <c r="V310" s="59"/>
      <c r="W310" s="59"/>
      <c r="X310" s="59"/>
      <c r="Y310" s="59"/>
      <c r="Z310" s="59"/>
    </row>
    <row r="311" ht="15.75" customHeight="1">
      <c r="A311" s="59"/>
      <c r="C311" s="59"/>
      <c r="D311" s="59"/>
      <c r="E311" s="59"/>
      <c r="F311" s="60"/>
      <c r="G311" s="59"/>
      <c r="H311" s="61"/>
      <c r="I311" s="59"/>
      <c r="J311" s="59"/>
      <c r="K311" s="59"/>
      <c r="L311" s="59"/>
      <c r="M311" s="59"/>
      <c r="N311" s="59"/>
      <c r="O311" s="59"/>
      <c r="P311" s="59"/>
      <c r="Q311" s="59"/>
      <c r="R311" s="59"/>
      <c r="S311" s="59"/>
      <c r="T311" s="59"/>
      <c r="U311" s="59"/>
      <c r="V311" s="59"/>
      <c r="W311" s="59"/>
      <c r="X311" s="59"/>
      <c r="Y311" s="59"/>
      <c r="Z311" s="59"/>
    </row>
    <row r="312" ht="15.75" customHeight="1">
      <c r="A312" s="59"/>
      <c r="C312" s="59"/>
      <c r="D312" s="59"/>
      <c r="E312" s="59"/>
      <c r="F312" s="60"/>
      <c r="G312" s="59"/>
      <c r="H312" s="61"/>
      <c r="I312" s="59"/>
      <c r="J312" s="59"/>
      <c r="K312" s="59"/>
      <c r="L312" s="59"/>
      <c r="M312" s="59"/>
      <c r="N312" s="59"/>
      <c r="O312" s="59"/>
      <c r="P312" s="59"/>
      <c r="Q312" s="59"/>
      <c r="R312" s="59"/>
      <c r="S312" s="59"/>
      <c r="T312" s="59"/>
      <c r="U312" s="59"/>
      <c r="V312" s="59"/>
      <c r="W312" s="59"/>
      <c r="X312" s="59"/>
      <c r="Y312" s="59"/>
      <c r="Z312" s="59"/>
    </row>
    <row r="313" ht="15.75" customHeight="1">
      <c r="A313" s="59"/>
      <c r="C313" s="59"/>
      <c r="D313" s="59"/>
      <c r="E313" s="59"/>
      <c r="F313" s="60"/>
      <c r="G313" s="59"/>
      <c r="H313" s="61"/>
      <c r="I313" s="59"/>
      <c r="J313" s="59"/>
      <c r="K313" s="59"/>
      <c r="L313" s="59"/>
      <c r="M313" s="59"/>
      <c r="N313" s="59"/>
      <c r="O313" s="59"/>
      <c r="P313" s="59"/>
      <c r="Q313" s="59"/>
      <c r="R313" s="59"/>
      <c r="S313" s="59"/>
      <c r="T313" s="59"/>
      <c r="U313" s="59"/>
      <c r="V313" s="59"/>
      <c r="W313" s="59"/>
      <c r="X313" s="59"/>
      <c r="Y313" s="59"/>
      <c r="Z313" s="59"/>
    </row>
    <row r="314" ht="15.75" customHeight="1">
      <c r="A314" s="59"/>
      <c r="C314" s="59"/>
      <c r="D314" s="59"/>
      <c r="E314" s="59"/>
      <c r="F314" s="60"/>
      <c r="G314" s="59"/>
      <c r="H314" s="61"/>
      <c r="I314" s="59"/>
      <c r="J314" s="59"/>
      <c r="K314" s="59"/>
      <c r="L314" s="59"/>
      <c r="M314" s="59"/>
      <c r="N314" s="59"/>
      <c r="O314" s="59"/>
      <c r="P314" s="59"/>
      <c r="Q314" s="59"/>
      <c r="R314" s="59"/>
      <c r="S314" s="59"/>
      <c r="T314" s="59"/>
      <c r="U314" s="59"/>
      <c r="V314" s="59"/>
      <c r="W314" s="59"/>
      <c r="X314" s="59"/>
      <c r="Y314" s="59"/>
      <c r="Z314" s="59"/>
    </row>
    <row r="315" ht="15.75" customHeight="1">
      <c r="A315" s="59"/>
      <c r="C315" s="59"/>
      <c r="D315" s="59"/>
      <c r="E315" s="59"/>
      <c r="F315" s="60"/>
      <c r="G315" s="59"/>
      <c r="H315" s="61"/>
      <c r="I315" s="59"/>
      <c r="J315" s="59"/>
      <c r="K315" s="59"/>
      <c r="L315" s="59"/>
      <c r="M315" s="59"/>
      <c r="N315" s="59"/>
      <c r="O315" s="59"/>
      <c r="P315" s="59"/>
      <c r="Q315" s="59"/>
      <c r="R315" s="59"/>
      <c r="S315" s="59"/>
      <c r="T315" s="59"/>
      <c r="U315" s="59"/>
      <c r="V315" s="59"/>
      <c r="W315" s="59"/>
      <c r="X315" s="59"/>
      <c r="Y315" s="59"/>
      <c r="Z315" s="59"/>
    </row>
    <row r="316" ht="15.75" customHeight="1">
      <c r="A316" s="59"/>
      <c r="C316" s="59"/>
      <c r="D316" s="59"/>
      <c r="E316" s="59"/>
      <c r="F316" s="60"/>
      <c r="G316" s="59"/>
      <c r="H316" s="61"/>
      <c r="I316" s="59"/>
      <c r="J316" s="59"/>
      <c r="K316" s="59"/>
      <c r="L316" s="59"/>
      <c r="M316" s="59"/>
      <c r="N316" s="59"/>
      <c r="O316" s="59"/>
      <c r="P316" s="59"/>
      <c r="Q316" s="59"/>
      <c r="R316" s="59"/>
      <c r="S316" s="59"/>
      <c r="T316" s="59"/>
      <c r="U316" s="59"/>
      <c r="V316" s="59"/>
      <c r="W316" s="59"/>
      <c r="X316" s="59"/>
      <c r="Y316" s="59"/>
      <c r="Z316" s="59"/>
    </row>
    <row r="317" ht="15.75" customHeight="1">
      <c r="A317" s="59"/>
      <c r="C317" s="59"/>
      <c r="D317" s="59"/>
      <c r="E317" s="59"/>
      <c r="F317" s="60"/>
      <c r="G317" s="59"/>
      <c r="H317" s="61"/>
      <c r="I317" s="59"/>
      <c r="J317" s="59"/>
      <c r="K317" s="59"/>
      <c r="L317" s="59"/>
      <c r="M317" s="59"/>
      <c r="N317" s="59"/>
      <c r="O317" s="59"/>
      <c r="P317" s="59"/>
      <c r="Q317" s="59"/>
      <c r="R317" s="59"/>
      <c r="S317" s="59"/>
      <c r="T317" s="59"/>
      <c r="U317" s="59"/>
      <c r="V317" s="59"/>
      <c r="W317" s="59"/>
      <c r="X317" s="59"/>
      <c r="Y317" s="59"/>
      <c r="Z317" s="59"/>
    </row>
    <row r="318" ht="15.75" customHeight="1">
      <c r="A318" s="59"/>
      <c r="C318" s="59"/>
      <c r="D318" s="59"/>
      <c r="E318" s="59"/>
      <c r="F318" s="60"/>
      <c r="G318" s="59"/>
      <c r="H318" s="61"/>
      <c r="I318" s="59"/>
      <c r="J318" s="59"/>
      <c r="K318" s="59"/>
      <c r="L318" s="59"/>
      <c r="M318" s="59"/>
      <c r="N318" s="59"/>
      <c r="O318" s="59"/>
      <c r="P318" s="59"/>
      <c r="Q318" s="59"/>
      <c r="R318" s="59"/>
      <c r="S318" s="59"/>
      <c r="T318" s="59"/>
      <c r="U318" s="59"/>
      <c r="V318" s="59"/>
      <c r="W318" s="59"/>
      <c r="X318" s="59"/>
      <c r="Y318" s="59"/>
      <c r="Z318" s="59"/>
    </row>
    <row r="319" ht="15.75" customHeight="1">
      <c r="A319" s="59"/>
      <c r="C319" s="59"/>
      <c r="D319" s="59"/>
      <c r="E319" s="59"/>
      <c r="F319" s="60"/>
      <c r="G319" s="59"/>
      <c r="H319" s="61"/>
      <c r="I319" s="59"/>
      <c r="J319" s="59"/>
      <c r="K319" s="59"/>
      <c r="L319" s="59"/>
      <c r="M319" s="59"/>
      <c r="N319" s="59"/>
      <c r="O319" s="59"/>
      <c r="P319" s="59"/>
      <c r="Q319" s="59"/>
      <c r="R319" s="59"/>
      <c r="S319" s="59"/>
      <c r="T319" s="59"/>
      <c r="U319" s="59"/>
      <c r="V319" s="59"/>
      <c r="W319" s="59"/>
      <c r="X319" s="59"/>
      <c r="Y319" s="59"/>
      <c r="Z319" s="59"/>
    </row>
    <row r="320" ht="15.75" customHeight="1">
      <c r="A320" s="59"/>
      <c r="C320" s="59"/>
      <c r="D320" s="59"/>
      <c r="E320" s="59"/>
      <c r="F320" s="60"/>
      <c r="G320" s="59"/>
      <c r="H320" s="61"/>
      <c r="I320" s="59"/>
      <c r="J320" s="59"/>
      <c r="K320" s="59"/>
      <c r="L320" s="59"/>
      <c r="M320" s="59"/>
      <c r="N320" s="59"/>
      <c r="O320" s="59"/>
      <c r="P320" s="59"/>
      <c r="Q320" s="59"/>
      <c r="R320" s="59"/>
      <c r="S320" s="59"/>
      <c r="T320" s="59"/>
      <c r="U320" s="59"/>
      <c r="V320" s="59"/>
      <c r="W320" s="59"/>
      <c r="X320" s="59"/>
      <c r="Y320" s="59"/>
      <c r="Z320" s="59"/>
    </row>
    <row r="321" ht="15.75" customHeight="1">
      <c r="A321" s="59"/>
      <c r="C321" s="59"/>
      <c r="D321" s="59"/>
      <c r="E321" s="59"/>
      <c r="F321" s="60"/>
      <c r="G321" s="59"/>
      <c r="H321" s="61"/>
      <c r="I321" s="59"/>
      <c r="J321" s="59"/>
      <c r="K321" s="59"/>
      <c r="L321" s="59"/>
      <c r="M321" s="59"/>
      <c r="N321" s="59"/>
      <c r="O321" s="59"/>
      <c r="P321" s="59"/>
      <c r="Q321" s="59"/>
      <c r="R321" s="59"/>
      <c r="S321" s="59"/>
      <c r="T321" s="59"/>
      <c r="U321" s="59"/>
      <c r="V321" s="59"/>
      <c r="W321" s="59"/>
      <c r="X321" s="59"/>
      <c r="Y321" s="59"/>
      <c r="Z321" s="59"/>
    </row>
    <row r="322" ht="15.75" customHeight="1">
      <c r="A322" s="59"/>
      <c r="C322" s="59"/>
      <c r="D322" s="59"/>
      <c r="E322" s="59"/>
      <c r="F322" s="60"/>
      <c r="G322" s="59"/>
      <c r="H322" s="61"/>
      <c r="I322" s="59"/>
      <c r="J322" s="59"/>
      <c r="K322" s="59"/>
      <c r="L322" s="59"/>
      <c r="M322" s="59"/>
      <c r="N322" s="59"/>
      <c r="O322" s="59"/>
      <c r="P322" s="59"/>
      <c r="Q322" s="59"/>
      <c r="R322" s="59"/>
      <c r="S322" s="59"/>
      <c r="T322" s="59"/>
      <c r="U322" s="59"/>
      <c r="V322" s="59"/>
      <c r="W322" s="59"/>
      <c r="X322" s="59"/>
      <c r="Y322" s="59"/>
      <c r="Z322" s="59"/>
    </row>
    <row r="323" ht="15.75" customHeight="1">
      <c r="A323" s="59"/>
      <c r="C323" s="59"/>
      <c r="D323" s="59"/>
      <c r="E323" s="59"/>
      <c r="F323" s="60"/>
      <c r="G323" s="59"/>
      <c r="H323" s="61"/>
      <c r="I323" s="59"/>
      <c r="J323" s="59"/>
      <c r="K323" s="59"/>
      <c r="L323" s="59"/>
      <c r="M323" s="59"/>
      <c r="N323" s="59"/>
      <c r="O323" s="59"/>
      <c r="P323" s="59"/>
      <c r="Q323" s="59"/>
      <c r="R323" s="59"/>
      <c r="S323" s="59"/>
      <c r="T323" s="59"/>
      <c r="U323" s="59"/>
      <c r="V323" s="59"/>
      <c r="W323" s="59"/>
      <c r="X323" s="59"/>
      <c r="Y323" s="59"/>
      <c r="Z323" s="59"/>
    </row>
    <row r="324" ht="15.75" customHeight="1">
      <c r="A324" s="59"/>
      <c r="C324" s="59"/>
      <c r="D324" s="59"/>
      <c r="E324" s="59"/>
      <c r="F324" s="60"/>
      <c r="G324" s="59"/>
      <c r="H324" s="61"/>
      <c r="I324" s="59"/>
      <c r="J324" s="59"/>
      <c r="K324" s="59"/>
      <c r="L324" s="59"/>
      <c r="M324" s="59"/>
      <c r="N324" s="59"/>
      <c r="O324" s="59"/>
      <c r="P324" s="59"/>
      <c r="Q324" s="59"/>
      <c r="R324" s="59"/>
      <c r="S324" s="59"/>
      <c r="T324" s="59"/>
      <c r="U324" s="59"/>
      <c r="V324" s="59"/>
      <c r="W324" s="59"/>
      <c r="X324" s="59"/>
      <c r="Y324" s="59"/>
      <c r="Z324" s="59"/>
    </row>
    <row r="325" ht="15.75" customHeight="1">
      <c r="A325" s="59"/>
      <c r="C325" s="59"/>
      <c r="D325" s="59"/>
      <c r="E325" s="59"/>
      <c r="F325" s="60"/>
      <c r="G325" s="59"/>
      <c r="H325" s="61"/>
      <c r="I325" s="59"/>
      <c r="J325" s="59"/>
      <c r="K325" s="59"/>
      <c r="L325" s="59"/>
      <c r="M325" s="59"/>
      <c r="N325" s="59"/>
      <c r="O325" s="59"/>
      <c r="P325" s="59"/>
      <c r="Q325" s="59"/>
      <c r="R325" s="59"/>
      <c r="S325" s="59"/>
      <c r="T325" s="59"/>
      <c r="U325" s="59"/>
      <c r="V325" s="59"/>
      <c r="W325" s="59"/>
      <c r="X325" s="59"/>
      <c r="Y325" s="59"/>
      <c r="Z325" s="59"/>
    </row>
    <row r="326" ht="15.75" customHeight="1">
      <c r="A326" s="59"/>
      <c r="C326" s="59"/>
      <c r="D326" s="59"/>
      <c r="E326" s="59"/>
      <c r="F326" s="60"/>
      <c r="G326" s="59"/>
      <c r="H326" s="61"/>
      <c r="I326" s="59"/>
      <c r="J326" s="59"/>
      <c r="K326" s="59"/>
      <c r="L326" s="59"/>
      <c r="M326" s="59"/>
      <c r="N326" s="59"/>
      <c r="O326" s="59"/>
      <c r="P326" s="59"/>
      <c r="Q326" s="59"/>
      <c r="R326" s="59"/>
      <c r="S326" s="59"/>
      <c r="T326" s="59"/>
      <c r="U326" s="59"/>
      <c r="V326" s="59"/>
      <c r="W326" s="59"/>
      <c r="X326" s="59"/>
      <c r="Y326" s="59"/>
      <c r="Z326" s="59"/>
    </row>
    <row r="327" ht="15.75" customHeight="1">
      <c r="A327" s="59"/>
      <c r="C327" s="59"/>
      <c r="D327" s="59"/>
      <c r="E327" s="59"/>
      <c r="F327" s="60"/>
      <c r="G327" s="59"/>
      <c r="H327" s="61"/>
      <c r="I327" s="59"/>
      <c r="J327" s="59"/>
      <c r="K327" s="59"/>
      <c r="L327" s="59"/>
      <c r="M327" s="59"/>
      <c r="N327" s="59"/>
      <c r="O327" s="59"/>
      <c r="P327" s="59"/>
      <c r="Q327" s="59"/>
      <c r="R327" s="59"/>
      <c r="S327" s="59"/>
      <c r="T327" s="59"/>
      <c r="U327" s="59"/>
      <c r="V327" s="59"/>
      <c r="W327" s="59"/>
      <c r="X327" s="59"/>
      <c r="Y327" s="59"/>
      <c r="Z327" s="59"/>
    </row>
    <row r="328" ht="15.75" customHeight="1">
      <c r="A328" s="59"/>
      <c r="C328" s="59"/>
      <c r="D328" s="59"/>
      <c r="E328" s="59"/>
      <c r="F328" s="60"/>
      <c r="G328" s="59"/>
      <c r="H328" s="61"/>
      <c r="I328" s="59"/>
      <c r="J328" s="59"/>
      <c r="K328" s="59"/>
      <c r="L328" s="59"/>
      <c r="M328" s="59"/>
      <c r="N328" s="59"/>
      <c r="O328" s="59"/>
      <c r="P328" s="59"/>
      <c r="Q328" s="59"/>
      <c r="R328" s="59"/>
      <c r="S328" s="59"/>
      <c r="T328" s="59"/>
      <c r="U328" s="59"/>
      <c r="V328" s="59"/>
      <c r="W328" s="59"/>
      <c r="X328" s="59"/>
      <c r="Y328" s="59"/>
      <c r="Z328" s="59"/>
    </row>
    <row r="329" ht="15.75" customHeight="1">
      <c r="A329" s="59"/>
      <c r="C329" s="59"/>
      <c r="D329" s="59"/>
      <c r="E329" s="59"/>
      <c r="F329" s="60"/>
      <c r="G329" s="59"/>
      <c r="H329" s="61"/>
      <c r="I329" s="59"/>
      <c r="J329" s="59"/>
      <c r="K329" s="59"/>
      <c r="L329" s="59"/>
      <c r="M329" s="59"/>
      <c r="N329" s="59"/>
      <c r="O329" s="59"/>
      <c r="P329" s="59"/>
      <c r="Q329" s="59"/>
      <c r="R329" s="59"/>
      <c r="S329" s="59"/>
      <c r="T329" s="59"/>
      <c r="U329" s="59"/>
      <c r="V329" s="59"/>
      <c r="W329" s="59"/>
      <c r="X329" s="59"/>
      <c r="Y329" s="59"/>
      <c r="Z329" s="59"/>
    </row>
    <row r="330" ht="15.75" customHeight="1">
      <c r="A330" s="59"/>
      <c r="C330" s="59"/>
      <c r="D330" s="59"/>
      <c r="E330" s="59"/>
      <c r="F330" s="60"/>
      <c r="G330" s="59"/>
      <c r="H330" s="61"/>
      <c r="I330" s="59"/>
      <c r="J330" s="59"/>
      <c r="K330" s="59"/>
      <c r="L330" s="59"/>
      <c r="M330" s="59"/>
      <c r="N330" s="59"/>
      <c r="O330" s="59"/>
      <c r="P330" s="59"/>
      <c r="Q330" s="59"/>
      <c r="R330" s="59"/>
      <c r="S330" s="59"/>
      <c r="T330" s="59"/>
      <c r="U330" s="59"/>
      <c r="V330" s="59"/>
      <c r="W330" s="59"/>
      <c r="X330" s="59"/>
      <c r="Y330" s="59"/>
      <c r="Z330" s="59"/>
    </row>
    <row r="331" ht="15.75" customHeight="1">
      <c r="A331" s="59"/>
      <c r="C331" s="59"/>
      <c r="D331" s="59"/>
      <c r="E331" s="59"/>
      <c r="F331" s="60"/>
      <c r="G331" s="59"/>
      <c r="H331" s="61"/>
      <c r="I331" s="59"/>
      <c r="J331" s="59"/>
      <c r="K331" s="59"/>
      <c r="L331" s="59"/>
      <c r="M331" s="59"/>
      <c r="N331" s="59"/>
      <c r="O331" s="59"/>
      <c r="P331" s="59"/>
      <c r="Q331" s="59"/>
      <c r="R331" s="59"/>
      <c r="S331" s="59"/>
      <c r="T331" s="59"/>
      <c r="U331" s="59"/>
      <c r="V331" s="59"/>
      <c r="W331" s="59"/>
      <c r="X331" s="59"/>
      <c r="Y331" s="59"/>
      <c r="Z331" s="59"/>
    </row>
    <row r="332" ht="15.75" customHeight="1">
      <c r="A332" s="59"/>
      <c r="C332" s="59"/>
      <c r="D332" s="59"/>
      <c r="E332" s="59"/>
      <c r="F332" s="60"/>
      <c r="G332" s="59"/>
      <c r="H332" s="61"/>
      <c r="I332" s="59"/>
      <c r="J332" s="59"/>
      <c r="K332" s="59"/>
      <c r="L332" s="59"/>
      <c r="M332" s="59"/>
      <c r="N332" s="59"/>
      <c r="O332" s="59"/>
      <c r="P332" s="59"/>
      <c r="Q332" s="59"/>
      <c r="R332" s="59"/>
      <c r="S332" s="59"/>
      <c r="T332" s="59"/>
      <c r="U332" s="59"/>
      <c r="V332" s="59"/>
      <c r="W332" s="59"/>
      <c r="X332" s="59"/>
      <c r="Y332" s="59"/>
      <c r="Z332" s="59"/>
    </row>
    <row r="333" ht="15.75" customHeight="1">
      <c r="A333" s="59"/>
      <c r="C333" s="59"/>
      <c r="D333" s="59"/>
      <c r="E333" s="59"/>
      <c r="F333" s="60"/>
      <c r="G333" s="59"/>
      <c r="H333" s="61"/>
      <c r="I333" s="59"/>
      <c r="J333" s="59"/>
      <c r="K333" s="59"/>
      <c r="L333" s="59"/>
      <c r="M333" s="59"/>
      <c r="N333" s="59"/>
      <c r="O333" s="59"/>
      <c r="P333" s="59"/>
      <c r="Q333" s="59"/>
      <c r="R333" s="59"/>
      <c r="S333" s="59"/>
      <c r="T333" s="59"/>
      <c r="U333" s="59"/>
      <c r="V333" s="59"/>
      <c r="W333" s="59"/>
      <c r="X333" s="59"/>
      <c r="Y333" s="59"/>
      <c r="Z333" s="59"/>
    </row>
    <row r="334" ht="15.75" customHeight="1">
      <c r="A334" s="59"/>
      <c r="C334" s="59"/>
      <c r="D334" s="59"/>
      <c r="E334" s="59"/>
      <c r="F334" s="60"/>
      <c r="G334" s="59"/>
      <c r="H334" s="61"/>
      <c r="I334" s="59"/>
      <c r="J334" s="59"/>
      <c r="K334" s="59"/>
      <c r="L334" s="59"/>
      <c r="M334" s="59"/>
      <c r="N334" s="59"/>
      <c r="O334" s="59"/>
      <c r="P334" s="59"/>
      <c r="Q334" s="59"/>
      <c r="R334" s="59"/>
      <c r="S334" s="59"/>
      <c r="T334" s="59"/>
      <c r="U334" s="59"/>
      <c r="V334" s="59"/>
      <c r="W334" s="59"/>
      <c r="X334" s="59"/>
      <c r="Y334" s="59"/>
      <c r="Z334" s="59"/>
    </row>
    <row r="335" ht="15.75" customHeight="1">
      <c r="A335" s="59"/>
      <c r="C335" s="59"/>
      <c r="D335" s="59"/>
      <c r="E335" s="59"/>
      <c r="F335" s="60"/>
      <c r="G335" s="59"/>
      <c r="H335" s="61"/>
      <c r="I335" s="59"/>
      <c r="J335" s="59"/>
      <c r="K335" s="59"/>
      <c r="L335" s="59"/>
      <c r="M335" s="59"/>
      <c r="N335" s="59"/>
      <c r="O335" s="59"/>
      <c r="P335" s="59"/>
      <c r="Q335" s="59"/>
      <c r="R335" s="59"/>
      <c r="S335" s="59"/>
      <c r="T335" s="59"/>
      <c r="U335" s="59"/>
      <c r="V335" s="59"/>
      <c r="W335" s="59"/>
      <c r="X335" s="59"/>
      <c r="Y335" s="59"/>
      <c r="Z335" s="59"/>
    </row>
    <row r="336" ht="15.75" customHeight="1">
      <c r="A336" s="59"/>
      <c r="C336" s="59"/>
      <c r="D336" s="59"/>
      <c r="E336" s="59"/>
      <c r="F336" s="60"/>
      <c r="G336" s="59"/>
      <c r="H336" s="61"/>
      <c r="I336" s="59"/>
      <c r="J336" s="59"/>
      <c r="K336" s="59"/>
      <c r="L336" s="59"/>
      <c r="M336" s="59"/>
      <c r="N336" s="59"/>
      <c r="O336" s="59"/>
      <c r="P336" s="59"/>
      <c r="Q336" s="59"/>
      <c r="R336" s="59"/>
      <c r="S336" s="59"/>
      <c r="T336" s="59"/>
      <c r="U336" s="59"/>
      <c r="V336" s="59"/>
      <c r="W336" s="59"/>
      <c r="X336" s="59"/>
      <c r="Y336" s="59"/>
      <c r="Z336" s="59"/>
    </row>
    <row r="337" ht="15.75" customHeight="1">
      <c r="A337" s="59"/>
      <c r="C337" s="59"/>
      <c r="D337" s="59"/>
      <c r="E337" s="59"/>
      <c r="F337" s="60"/>
      <c r="G337" s="59"/>
      <c r="H337" s="61"/>
      <c r="I337" s="59"/>
      <c r="J337" s="59"/>
      <c r="K337" s="59"/>
      <c r="L337" s="59"/>
      <c r="M337" s="59"/>
      <c r="N337" s="59"/>
      <c r="O337" s="59"/>
      <c r="P337" s="59"/>
      <c r="Q337" s="59"/>
      <c r="R337" s="59"/>
      <c r="S337" s="59"/>
      <c r="T337" s="59"/>
      <c r="U337" s="59"/>
      <c r="V337" s="59"/>
      <c r="W337" s="59"/>
      <c r="X337" s="59"/>
      <c r="Y337" s="59"/>
      <c r="Z337" s="59"/>
    </row>
    <row r="338" ht="15.75" customHeight="1">
      <c r="A338" s="59"/>
      <c r="C338" s="59"/>
      <c r="D338" s="59"/>
      <c r="E338" s="59"/>
      <c r="F338" s="60"/>
      <c r="G338" s="59"/>
      <c r="H338" s="61"/>
      <c r="I338" s="59"/>
      <c r="J338" s="59"/>
      <c r="K338" s="59"/>
      <c r="L338" s="59"/>
      <c r="M338" s="59"/>
      <c r="N338" s="59"/>
      <c r="O338" s="59"/>
      <c r="P338" s="59"/>
      <c r="Q338" s="59"/>
      <c r="R338" s="59"/>
      <c r="S338" s="59"/>
      <c r="T338" s="59"/>
      <c r="U338" s="59"/>
      <c r="V338" s="59"/>
      <c r="W338" s="59"/>
      <c r="X338" s="59"/>
      <c r="Y338" s="59"/>
      <c r="Z338" s="59"/>
    </row>
    <row r="339" ht="15.75" customHeight="1">
      <c r="A339" s="59"/>
      <c r="C339" s="59"/>
      <c r="D339" s="59"/>
      <c r="E339" s="59"/>
      <c r="F339" s="60"/>
      <c r="G339" s="59"/>
      <c r="H339" s="61"/>
      <c r="I339" s="59"/>
      <c r="J339" s="59"/>
      <c r="K339" s="59"/>
      <c r="L339" s="59"/>
      <c r="M339" s="59"/>
      <c r="N339" s="59"/>
      <c r="O339" s="59"/>
      <c r="P339" s="59"/>
      <c r="Q339" s="59"/>
      <c r="R339" s="59"/>
      <c r="S339" s="59"/>
      <c r="T339" s="59"/>
      <c r="U339" s="59"/>
      <c r="V339" s="59"/>
      <c r="W339" s="59"/>
      <c r="X339" s="59"/>
      <c r="Y339" s="59"/>
      <c r="Z339" s="59"/>
    </row>
    <row r="340" ht="15.75" customHeight="1">
      <c r="A340" s="59"/>
      <c r="C340" s="59"/>
      <c r="D340" s="59"/>
      <c r="E340" s="59"/>
      <c r="F340" s="60"/>
      <c r="G340" s="59"/>
      <c r="H340" s="61"/>
      <c r="I340" s="59"/>
      <c r="J340" s="59"/>
      <c r="K340" s="59"/>
      <c r="L340" s="59"/>
      <c r="M340" s="59"/>
      <c r="N340" s="59"/>
      <c r="O340" s="59"/>
      <c r="P340" s="59"/>
      <c r="Q340" s="59"/>
      <c r="R340" s="59"/>
      <c r="S340" s="59"/>
      <c r="T340" s="59"/>
      <c r="U340" s="59"/>
      <c r="V340" s="59"/>
      <c r="W340" s="59"/>
      <c r="X340" s="59"/>
      <c r="Y340" s="59"/>
      <c r="Z340" s="59"/>
    </row>
    <row r="341" ht="15.75" customHeight="1">
      <c r="A341" s="59"/>
      <c r="C341" s="59"/>
      <c r="D341" s="59"/>
      <c r="E341" s="59"/>
      <c r="F341" s="60"/>
      <c r="G341" s="59"/>
      <c r="H341" s="61"/>
      <c r="I341" s="59"/>
      <c r="J341" s="59"/>
      <c r="K341" s="59"/>
      <c r="L341" s="59"/>
      <c r="M341" s="59"/>
      <c r="N341" s="59"/>
      <c r="O341" s="59"/>
      <c r="P341" s="59"/>
      <c r="Q341" s="59"/>
      <c r="R341" s="59"/>
      <c r="S341" s="59"/>
      <c r="T341" s="59"/>
      <c r="U341" s="59"/>
      <c r="V341" s="59"/>
      <c r="W341" s="59"/>
      <c r="X341" s="59"/>
      <c r="Y341" s="59"/>
      <c r="Z341" s="59"/>
    </row>
    <row r="342" ht="15.75" customHeight="1">
      <c r="A342" s="59"/>
      <c r="C342" s="59"/>
      <c r="D342" s="59"/>
      <c r="E342" s="59"/>
      <c r="F342" s="60"/>
      <c r="G342" s="59"/>
      <c r="H342" s="61"/>
      <c r="I342" s="59"/>
      <c r="J342" s="59"/>
      <c r="K342" s="59"/>
      <c r="L342" s="59"/>
      <c r="M342" s="59"/>
      <c r="N342" s="59"/>
      <c r="O342" s="59"/>
      <c r="P342" s="59"/>
      <c r="Q342" s="59"/>
      <c r="R342" s="59"/>
      <c r="S342" s="59"/>
      <c r="T342" s="59"/>
      <c r="U342" s="59"/>
      <c r="V342" s="59"/>
      <c r="W342" s="59"/>
      <c r="X342" s="59"/>
      <c r="Y342" s="59"/>
      <c r="Z342" s="59"/>
    </row>
    <row r="343" ht="15.75" customHeight="1">
      <c r="A343" s="59"/>
      <c r="C343" s="59"/>
      <c r="D343" s="59"/>
      <c r="E343" s="59"/>
      <c r="F343" s="60"/>
      <c r="G343" s="59"/>
      <c r="H343" s="61"/>
      <c r="I343" s="59"/>
      <c r="J343" s="59"/>
      <c r="K343" s="59"/>
      <c r="L343" s="59"/>
      <c r="M343" s="59"/>
      <c r="N343" s="59"/>
      <c r="O343" s="59"/>
      <c r="P343" s="59"/>
      <c r="Q343" s="59"/>
      <c r="R343" s="59"/>
      <c r="S343" s="59"/>
      <c r="T343" s="59"/>
      <c r="U343" s="59"/>
      <c r="V343" s="59"/>
      <c r="W343" s="59"/>
      <c r="X343" s="59"/>
      <c r="Y343" s="59"/>
      <c r="Z343" s="59"/>
    </row>
    <row r="344" ht="15.75" customHeight="1">
      <c r="A344" s="59"/>
      <c r="C344" s="59"/>
      <c r="D344" s="59"/>
      <c r="E344" s="59"/>
      <c r="F344" s="60"/>
      <c r="G344" s="59"/>
      <c r="H344" s="61"/>
      <c r="I344" s="59"/>
      <c r="J344" s="59"/>
      <c r="K344" s="59"/>
      <c r="L344" s="59"/>
      <c r="M344" s="59"/>
      <c r="N344" s="59"/>
      <c r="O344" s="59"/>
      <c r="P344" s="59"/>
      <c r="Q344" s="59"/>
      <c r="R344" s="59"/>
      <c r="S344" s="59"/>
      <c r="T344" s="59"/>
      <c r="U344" s="59"/>
      <c r="V344" s="59"/>
      <c r="W344" s="59"/>
      <c r="X344" s="59"/>
      <c r="Y344" s="59"/>
      <c r="Z344" s="59"/>
    </row>
    <row r="345" ht="15.75" customHeight="1">
      <c r="A345" s="59"/>
      <c r="C345" s="59"/>
      <c r="D345" s="59"/>
      <c r="E345" s="59"/>
      <c r="F345" s="60"/>
      <c r="G345" s="59"/>
      <c r="H345" s="61"/>
      <c r="I345" s="59"/>
      <c r="J345" s="59"/>
      <c r="K345" s="59"/>
      <c r="L345" s="59"/>
      <c r="M345" s="59"/>
      <c r="N345" s="59"/>
      <c r="O345" s="59"/>
      <c r="P345" s="59"/>
      <c r="Q345" s="59"/>
      <c r="R345" s="59"/>
      <c r="S345" s="59"/>
      <c r="T345" s="59"/>
      <c r="U345" s="59"/>
      <c r="V345" s="59"/>
      <c r="W345" s="59"/>
      <c r="X345" s="59"/>
      <c r="Y345" s="59"/>
      <c r="Z345" s="59"/>
    </row>
    <row r="346" ht="15.75" customHeight="1">
      <c r="A346" s="59"/>
      <c r="C346" s="59"/>
      <c r="D346" s="59"/>
      <c r="E346" s="59"/>
      <c r="F346" s="60"/>
      <c r="G346" s="59"/>
      <c r="H346" s="61"/>
      <c r="I346" s="59"/>
      <c r="J346" s="59"/>
      <c r="K346" s="59"/>
      <c r="L346" s="59"/>
      <c r="M346" s="59"/>
      <c r="N346" s="59"/>
      <c r="O346" s="59"/>
      <c r="P346" s="59"/>
      <c r="Q346" s="59"/>
      <c r="R346" s="59"/>
      <c r="S346" s="59"/>
      <c r="T346" s="59"/>
      <c r="U346" s="59"/>
      <c r="V346" s="59"/>
      <c r="W346" s="59"/>
      <c r="X346" s="59"/>
      <c r="Y346" s="59"/>
      <c r="Z346" s="59"/>
    </row>
    <row r="347" ht="15.75" customHeight="1">
      <c r="A347" s="59"/>
      <c r="C347" s="59"/>
      <c r="D347" s="59"/>
      <c r="E347" s="59"/>
      <c r="F347" s="60"/>
      <c r="G347" s="59"/>
      <c r="H347" s="61"/>
      <c r="I347" s="59"/>
      <c r="J347" s="59"/>
      <c r="K347" s="59"/>
      <c r="L347" s="59"/>
      <c r="M347" s="59"/>
      <c r="N347" s="59"/>
      <c r="O347" s="59"/>
      <c r="P347" s="59"/>
      <c r="Q347" s="59"/>
      <c r="R347" s="59"/>
      <c r="S347" s="59"/>
      <c r="T347" s="59"/>
      <c r="U347" s="59"/>
      <c r="V347" s="59"/>
      <c r="W347" s="59"/>
      <c r="X347" s="59"/>
      <c r="Y347" s="59"/>
      <c r="Z347" s="59"/>
    </row>
    <row r="348" ht="15.75" customHeight="1">
      <c r="A348" s="59"/>
      <c r="C348" s="59"/>
      <c r="D348" s="59"/>
      <c r="E348" s="59"/>
      <c r="F348" s="60"/>
      <c r="G348" s="59"/>
      <c r="H348" s="61"/>
      <c r="I348" s="59"/>
      <c r="J348" s="59"/>
      <c r="K348" s="59"/>
      <c r="L348" s="59"/>
      <c r="M348" s="59"/>
      <c r="N348" s="59"/>
      <c r="O348" s="59"/>
      <c r="P348" s="59"/>
      <c r="Q348" s="59"/>
      <c r="R348" s="59"/>
      <c r="S348" s="59"/>
      <c r="T348" s="59"/>
      <c r="U348" s="59"/>
      <c r="V348" s="59"/>
      <c r="W348" s="59"/>
      <c r="X348" s="59"/>
      <c r="Y348" s="59"/>
      <c r="Z348" s="59"/>
    </row>
    <row r="349" ht="15.75" customHeight="1">
      <c r="A349" s="59"/>
      <c r="C349" s="59"/>
      <c r="D349" s="59"/>
      <c r="E349" s="59"/>
      <c r="F349" s="60"/>
      <c r="G349" s="59"/>
      <c r="H349" s="61"/>
      <c r="I349" s="59"/>
      <c r="J349" s="59"/>
      <c r="K349" s="59"/>
      <c r="L349" s="59"/>
      <c r="M349" s="59"/>
      <c r="N349" s="59"/>
      <c r="O349" s="59"/>
      <c r="P349" s="59"/>
      <c r="Q349" s="59"/>
      <c r="R349" s="59"/>
      <c r="S349" s="59"/>
      <c r="T349" s="59"/>
      <c r="U349" s="59"/>
      <c r="V349" s="59"/>
      <c r="W349" s="59"/>
      <c r="X349" s="59"/>
      <c r="Y349" s="59"/>
      <c r="Z349" s="59"/>
    </row>
    <row r="350" ht="15.75" customHeight="1">
      <c r="A350" s="59"/>
      <c r="C350" s="59"/>
      <c r="D350" s="59"/>
      <c r="E350" s="59"/>
      <c r="F350" s="60"/>
      <c r="G350" s="59"/>
      <c r="H350" s="61"/>
      <c r="I350" s="59"/>
      <c r="J350" s="59"/>
      <c r="K350" s="59"/>
      <c r="L350" s="59"/>
      <c r="M350" s="59"/>
      <c r="N350" s="59"/>
      <c r="O350" s="59"/>
      <c r="P350" s="59"/>
      <c r="Q350" s="59"/>
      <c r="R350" s="59"/>
      <c r="S350" s="59"/>
      <c r="T350" s="59"/>
      <c r="U350" s="59"/>
      <c r="V350" s="59"/>
      <c r="W350" s="59"/>
      <c r="X350" s="59"/>
      <c r="Y350" s="59"/>
      <c r="Z350" s="59"/>
    </row>
    <row r="351" ht="15.75" customHeight="1">
      <c r="A351" s="59"/>
      <c r="C351" s="59"/>
      <c r="D351" s="59"/>
      <c r="E351" s="59"/>
      <c r="F351" s="60"/>
      <c r="G351" s="59"/>
      <c r="H351" s="61"/>
      <c r="I351" s="59"/>
      <c r="J351" s="59"/>
      <c r="K351" s="59"/>
      <c r="L351" s="59"/>
      <c r="M351" s="59"/>
      <c r="N351" s="59"/>
      <c r="O351" s="59"/>
      <c r="P351" s="59"/>
      <c r="Q351" s="59"/>
      <c r="R351" s="59"/>
      <c r="S351" s="59"/>
      <c r="T351" s="59"/>
      <c r="U351" s="59"/>
      <c r="V351" s="59"/>
      <c r="W351" s="59"/>
      <c r="X351" s="59"/>
      <c r="Y351" s="59"/>
      <c r="Z351" s="59"/>
    </row>
    <row r="352" ht="15.75" customHeight="1">
      <c r="A352" s="59"/>
      <c r="C352" s="59"/>
      <c r="D352" s="59"/>
      <c r="E352" s="59"/>
      <c r="F352" s="60"/>
      <c r="G352" s="59"/>
      <c r="H352" s="61"/>
      <c r="I352" s="59"/>
      <c r="J352" s="59"/>
      <c r="K352" s="59"/>
      <c r="L352" s="59"/>
      <c r="M352" s="59"/>
      <c r="N352" s="59"/>
      <c r="O352" s="59"/>
      <c r="P352" s="59"/>
      <c r="Q352" s="59"/>
      <c r="R352" s="59"/>
      <c r="S352" s="59"/>
      <c r="T352" s="59"/>
      <c r="U352" s="59"/>
      <c r="V352" s="59"/>
      <c r="W352" s="59"/>
      <c r="X352" s="59"/>
      <c r="Y352" s="59"/>
      <c r="Z352" s="59"/>
    </row>
    <row r="353" ht="15.75" customHeight="1">
      <c r="A353" s="59"/>
      <c r="C353" s="59"/>
      <c r="D353" s="59"/>
      <c r="E353" s="59"/>
      <c r="F353" s="60"/>
      <c r="G353" s="59"/>
      <c r="H353" s="61"/>
      <c r="I353" s="59"/>
      <c r="J353" s="59"/>
      <c r="K353" s="59"/>
      <c r="L353" s="59"/>
      <c r="M353" s="59"/>
      <c r="N353" s="59"/>
      <c r="O353" s="59"/>
      <c r="P353" s="59"/>
      <c r="Q353" s="59"/>
      <c r="R353" s="59"/>
      <c r="S353" s="59"/>
      <c r="T353" s="59"/>
      <c r="U353" s="59"/>
      <c r="V353" s="59"/>
      <c r="W353" s="59"/>
      <c r="X353" s="59"/>
      <c r="Y353" s="59"/>
      <c r="Z353" s="59"/>
    </row>
    <row r="354" ht="15.75" customHeight="1">
      <c r="A354" s="59"/>
      <c r="C354" s="59"/>
      <c r="D354" s="59"/>
      <c r="E354" s="59"/>
      <c r="F354" s="60"/>
      <c r="G354" s="59"/>
      <c r="H354" s="61"/>
      <c r="I354" s="59"/>
      <c r="J354" s="59"/>
      <c r="K354" s="59"/>
      <c r="L354" s="59"/>
      <c r="M354" s="59"/>
      <c r="N354" s="59"/>
      <c r="O354" s="59"/>
      <c r="P354" s="59"/>
      <c r="Q354" s="59"/>
      <c r="R354" s="59"/>
      <c r="S354" s="59"/>
      <c r="T354" s="59"/>
      <c r="U354" s="59"/>
      <c r="V354" s="59"/>
      <c r="W354" s="59"/>
      <c r="X354" s="59"/>
      <c r="Y354" s="59"/>
      <c r="Z354" s="59"/>
    </row>
    <row r="355" ht="15.75" customHeight="1">
      <c r="A355" s="59"/>
      <c r="C355" s="59"/>
      <c r="D355" s="59"/>
      <c r="E355" s="59"/>
      <c r="F355" s="60"/>
      <c r="G355" s="59"/>
      <c r="H355" s="61"/>
      <c r="I355" s="59"/>
      <c r="J355" s="59"/>
      <c r="K355" s="59"/>
      <c r="L355" s="59"/>
      <c r="M355" s="59"/>
      <c r="N355" s="59"/>
      <c r="O355" s="59"/>
      <c r="P355" s="59"/>
      <c r="Q355" s="59"/>
      <c r="R355" s="59"/>
      <c r="S355" s="59"/>
      <c r="T355" s="59"/>
      <c r="U355" s="59"/>
      <c r="V355" s="59"/>
      <c r="W355" s="59"/>
      <c r="X355" s="59"/>
      <c r="Y355" s="59"/>
      <c r="Z355" s="59"/>
    </row>
    <row r="356" ht="15.75" customHeight="1">
      <c r="A356" s="59"/>
      <c r="C356" s="59"/>
      <c r="D356" s="59"/>
      <c r="E356" s="59"/>
      <c r="F356" s="60"/>
      <c r="G356" s="59"/>
      <c r="H356" s="61"/>
      <c r="I356" s="59"/>
      <c r="J356" s="59"/>
      <c r="K356" s="59"/>
      <c r="L356" s="59"/>
      <c r="M356" s="59"/>
      <c r="N356" s="59"/>
      <c r="O356" s="59"/>
      <c r="P356" s="59"/>
      <c r="Q356" s="59"/>
      <c r="R356" s="59"/>
      <c r="S356" s="59"/>
      <c r="T356" s="59"/>
      <c r="U356" s="59"/>
      <c r="V356" s="59"/>
      <c r="W356" s="59"/>
      <c r="X356" s="59"/>
      <c r="Y356" s="59"/>
      <c r="Z356" s="59"/>
    </row>
    <row r="357" ht="15.75" customHeight="1">
      <c r="A357" s="59"/>
      <c r="C357" s="59"/>
      <c r="D357" s="59"/>
      <c r="E357" s="59"/>
      <c r="F357" s="60"/>
      <c r="G357" s="59"/>
      <c r="H357" s="61"/>
      <c r="I357" s="59"/>
      <c r="J357" s="59"/>
      <c r="K357" s="59"/>
      <c r="L357" s="59"/>
      <c r="M357" s="59"/>
      <c r="N357" s="59"/>
      <c r="O357" s="59"/>
      <c r="P357" s="59"/>
      <c r="Q357" s="59"/>
      <c r="R357" s="59"/>
      <c r="S357" s="59"/>
      <c r="T357" s="59"/>
      <c r="U357" s="59"/>
      <c r="V357" s="59"/>
      <c r="W357" s="59"/>
      <c r="X357" s="59"/>
      <c r="Y357" s="59"/>
      <c r="Z357" s="59"/>
    </row>
    <row r="358" ht="15.75" customHeight="1">
      <c r="A358" s="59"/>
      <c r="C358" s="59"/>
      <c r="D358" s="59"/>
      <c r="E358" s="59"/>
      <c r="F358" s="60"/>
      <c r="G358" s="59"/>
      <c r="H358" s="61"/>
      <c r="I358" s="59"/>
      <c r="J358" s="59"/>
      <c r="K358" s="59"/>
      <c r="L358" s="59"/>
      <c r="M358" s="59"/>
      <c r="N358" s="59"/>
      <c r="O358" s="59"/>
      <c r="P358" s="59"/>
      <c r="Q358" s="59"/>
      <c r="R358" s="59"/>
      <c r="S358" s="59"/>
      <c r="T358" s="59"/>
      <c r="U358" s="59"/>
      <c r="V358" s="59"/>
      <c r="W358" s="59"/>
      <c r="X358" s="59"/>
      <c r="Y358" s="59"/>
      <c r="Z358" s="59"/>
    </row>
    <row r="359" ht="15.75" customHeight="1">
      <c r="A359" s="59"/>
      <c r="C359" s="59"/>
      <c r="D359" s="59"/>
      <c r="E359" s="59"/>
      <c r="F359" s="60"/>
      <c r="G359" s="59"/>
      <c r="H359" s="61"/>
      <c r="I359" s="59"/>
      <c r="J359" s="59"/>
      <c r="K359" s="59"/>
      <c r="L359" s="59"/>
      <c r="M359" s="59"/>
      <c r="N359" s="59"/>
      <c r="O359" s="59"/>
      <c r="P359" s="59"/>
      <c r="Q359" s="59"/>
      <c r="R359" s="59"/>
      <c r="S359" s="59"/>
      <c r="T359" s="59"/>
      <c r="U359" s="59"/>
      <c r="V359" s="59"/>
      <c r="W359" s="59"/>
      <c r="X359" s="59"/>
      <c r="Y359" s="59"/>
      <c r="Z359" s="59"/>
    </row>
    <row r="360" ht="15.75" customHeight="1">
      <c r="A360" s="59"/>
      <c r="C360" s="59"/>
      <c r="D360" s="59"/>
      <c r="E360" s="59"/>
      <c r="F360" s="60"/>
      <c r="G360" s="59"/>
      <c r="H360" s="61"/>
      <c r="I360" s="59"/>
      <c r="J360" s="59"/>
      <c r="K360" s="59"/>
      <c r="L360" s="59"/>
      <c r="M360" s="59"/>
      <c r="N360" s="59"/>
      <c r="O360" s="59"/>
      <c r="P360" s="59"/>
      <c r="Q360" s="59"/>
      <c r="R360" s="59"/>
      <c r="S360" s="59"/>
      <c r="T360" s="59"/>
      <c r="U360" s="59"/>
      <c r="V360" s="59"/>
      <c r="W360" s="59"/>
      <c r="X360" s="59"/>
      <c r="Y360" s="59"/>
      <c r="Z360" s="59"/>
    </row>
    <row r="361" ht="15.75" customHeight="1">
      <c r="A361" s="59"/>
      <c r="C361" s="59"/>
      <c r="D361" s="59"/>
      <c r="E361" s="59"/>
      <c r="F361" s="60"/>
      <c r="G361" s="59"/>
      <c r="H361" s="61"/>
      <c r="I361" s="59"/>
      <c r="J361" s="59"/>
      <c r="K361" s="59"/>
      <c r="L361" s="59"/>
      <c r="M361" s="59"/>
      <c r="N361" s="59"/>
      <c r="O361" s="59"/>
      <c r="P361" s="59"/>
      <c r="Q361" s="59"/>
      <c r="R361" s="59"/>
      <c r="S361" s="59"/>
      <c r="T361" s="59"/>
      <c r="U361" s="59"/>
      <c r="V361" s="59"/>
      <c r="W361" s="59"/>
      <c r="X361" s="59"/>
      <c r="Y361" s="59"/>
      <c r="Z361" s="59"/>
    </row>
    <row r="362" ht="15.75" customHeight="1">
      <c r="A362" s="59"/>
      <c r="C362" s="59"/>
      <c r="D362" s="59"/>
      <c r="E362" s="59"/>
      <c r="F362" s="60"/>
      <c r="G362" s="59"/>
      <c r="H362" s="61"/>
      <c r="I362" s="59"/>
      <c r="J362" s="59"/>
      <c r="K362" s="59"/>
      <c r="L362" s="59"/>
      <c r="M362" s="59"/>
      <c r="N362" s="59"/>
      <c r="O362" s="59"/>
      <c r="P362" s="59"/>
      <c r="Q362" s="59"/>
      <c r="R362" s="59"/>
      <c r="S362" s="59"/>
      <c r="T362" s="59"/>
      <c r="U362" s="59"/>
      <c r="V362" s="59"/>
      <c r="W362" s="59"/>
      <c r="X362" s="59"/>
      <c r="Y362" s="59"/>
      <c r="Z362" s="59"/>
    </row>
    <row r="363" ht="15.75" customHeight="1">
      <c r="A363" s="59"/>
      <c r="C363" s="59"/>
      <c r="D363" s="59"/>
      <c r="E363" s="59"/>
      <c r="F363" s="60"/>
      <c r="G363" s="59"/>
      <c r="H363" s="61"/>
      <c r="I363" s="59"/>
      <c r="J363" s="59"/>
      <c r="K363" s="59"/>
      <c r="L363" s="59"/>
      <c r="M363" s="59"/>
      <c r="N363" s="59"/>
      <c r="O363" s="59"/>
      <c r="P363" s="59"/>
      <c r="Q363" s="59"/>
      <c r="R363" s="59"/>
      <c r="S363" s="59"/>
      <c r="T363" s="59"/>
      <c r="U363" s="59"/>
      <c r="V363" s="59"/>
      <c r="W363" s="59"/>
      <c r="X363" s="59"/>
      <c r="Y363" s="59"/>
      <c r="Z363" s="59"/>
    </row>
    <row r="364" ht="15.75" customHeight="1">
      <c r="A364" s="59"/>
      <c r="C364" s="59"/>
      <c r="D364" s="59"/>
      <c r="E364" s="59"/>
      <c r="F364" s="60"/>
      <c r="G364" s="59"/>
      <c r="H364" s="61"/>
      <c r="I364" s="59"/>
      <c r="J364" s="59"/>
      <c r="K364" s="59"/>
      <c r="L364" s="59"/>
      <c r="M364" s="59"/>
      <c r="N364" s="59"/>
      <c r="O364" s="59"/>
      <c r="P364" s="59"/>
      <c r="Q364" s="59"/>
      <c r="R364" s="59"/>
      <c r="S364" s="59"/>
      <c r="T364" s="59"/>
      <c r="U364" s="59"/>
      <c r="V364" s="59"/>
      <c r="W364" s="59"/>
      <c r="X364" s="59"/>
      <c r="Y364" s="59"/>
      <c r="Z364" s="59"/>
    </row>
    <row r="365" ht="15.75" customHeight="1">
      <c r="A365" s="59"/>
      <c r="C365" s="59"/>
      <c r="D365" s="59"/>
      <c r="E365" s="59"/>
      <c r="F365" s="60"/>
      <c r="G365" s="59"/>
      <c r="H365" s="61"/>
      <c r="I365" s="59"/>
      <c r="J365" s="59"/>
      <c r="K365" s="59"/>
      <c r="L365" s="59"/>
      <c r="M365" s="59"/>
      <c r="N365" s="59"/>
      <c r="O365" s="59"/>
      <c r="P365" s="59"/>
      <c r="Q365" s="59"/>
      <c r="R365" s="59"/>
      <c r="S365" s="59"/>
      <c r="T365" s="59"/>
      <c r="U365" s="59"/>
      <c r="V365" s="59"/>
      <c r="W365" s="59"/>
      <c r="X365" s="59"/>
      <c r="Y365" s="59"/>
      <c r="Z365" s="59"/>
    </row>
    <row r="366" ht="15.75" customHeight="1">
      <c r="A366" s="59"/>
      <c r="C366" s="59"/>
      <c r="D366" s="59"/>
      <c r="E366" s="59"/>
      <c r="F366" s="60"/>
      <c r="G366" s="59"/>
      <c r="H366" s="61"/>
      <c r="I366" s="59"/>
      <c r="J366" s="59"/>
      <c r="K366" s="59"/>
      <c r="L366" s="59"/>
      <c r="M366" s="59"/>
      <c r="N366" s="59"/>
      <c r="O366" s="59"/>
      <c r="P366" s="59"/>
      <c r="Q366" s="59"/>
      <c r="R366" s="59"/>
      <c r="S366" s="59"/>
      <c r="T366" s="59"/>
      <c r="U366" s="59"/>
      <c r="V366" s="59"/>
      <c r="W366" s="59"/>
      <c r="X366" s="59"/>
      <c r="Y366" s="59"/>
      <c r="Z366" s="59"/>
    </row>
    <row r="367" ht="15.75" customHeight="1">
      <c r="A367" s="59"/>
      <c r="C367" s="59"/>
      <c r="D367" s="59"/>
      <c r="E367" s="59"/>
      <c r="F367" s="60"/>
      <c r="G367" s="59"/>
      <c r="H367" s="61"/>
      <c r="I367" s="59"/>
      <c r="J367" s="59"/>
      <c r="K367" s="59"/>
      <c r="L367" s="59"/>
      <c r="M367" s="59"/>
      <c r="N367" s="59"/>
      <c r="O367" s="59"/>
      <c r="P367" s="59"/>
      <c r="Q367" s="59"/>
      <c r="R367" s="59"/>
      <c r="S367" s="59"/>
      <c r="T367" s="59"/>
      <c r="U367" s="59"/>
      <c r="V367" s="59"/>
      <c r="W367" s="59"/>
      <c r="X367" s="59"/>
      <c r="Y367" s="59"/>
      <c r="Z367" s="59"/>
    </row>
    <row r="368" ht="15.75" customHeight="1">
      <c r="A368" s="59"/>
      <c r="C368" s="59"/>
      <c r="D368" s="59"/>
      <c r="E368" s="59"/>
      <c r="F368" s="60"/>
      <c r="G368" s="59"/>
      <c r="H368" s="61"/>
      <c r="I368" s="59"/>
      <c r="J368" s="59"/>
      <c r="K368" s="59"/>
      <c r="L368" s="59"/>
      <c r="M368" s="59"/>
      <c r="N368" s="59"/>
      <c r="O368" s="59"/>
      <c r="P368" s="59"/>
      <c r="Q368" s="59"/>
      <c r="R368" s="59"/>
      <c r="S368" s="59"/>
      <c r="T368" s="59"/>
      <c r="U368" s="59"/>
      <c r="V368" s="59"/>
      <c r="W368" s="59"/>
      <c r="X368" s="59"/>
      <c r="Y368" s="59"/>
      <c r="Z368" s="59"/>
    </row>
    <row r="369" ht="15.75" customHeight="1">
      <c r="A369" s="59"/>
      <c r="C369" s="59"/>
      <c r="D369" s="59"/>
      <c r="E369" s="59"/>
      <c r="F369" s="60"/>
      <c r="G369" s="59"/>
      <c r="H369" s="61"/>
      <c r="I369" s="59"/>
      <c r="J369" s="59"/>
      <c r="K369" s="59"/>
      <c r="L369" s="59"/>
      <c r="M369" s="59"/>
      <c r="N369" s="59"/>
      <c r="O369" s="59"/>
      <c r="P369" s="59"/>
      <c r="Q369" s="59"/>
      <c r="R369" s="59"/>
      <c r="S369" s="59"/>
      <c r="T369" s="59"/>
      <c r="U369" s="59"/>
      <c r="V369" s="59"/>
      <c r="W369" s="59"/>
      <c r="X369" s="59"/>
      <c r="Y369" s="59"/>
      <c r="Z369" s="59"/>
    </row>
    <row r="370" ht="15.75" customHeight="1">
      <c r="A370" s="59"/>
      <c r="C370" s="59"/>
      <c r="D370" s="59"/>
      <c r="E370" s="59"/>
      <c r="F370" s="60"/>
      <c r="G370" s="59"/>
      <c r="H370" s="61"/>
      <c r="I370" s="59"/>
      <c r="J370" s="59"/>
      <c r="K370" s="59"/>
      <c r="L370" s="59"/>
      <c r="M370" s="59"/>
      <c r="N370" s="59"/>
      <c r="O370" s="59"/>
      <c r="P370" s="59"/>
      <c r="Q370" s="59"/>
      <c r="R370" s="59"/>
      <c r="S370" s="59"/>
      <c r="T370" s="59"/>
      <c r="U370" s="59"/>
      <c r="V370" s="59"/>
      <c r="W370" s="59"/>
      <c r="X370" s="59"/>
      <c r="Y370" s="59"/>
      <c r="Z370" s="59"/>
    </row>
    <row r="371" ht="15.75" customHeight="1">
      <c r="A371" s="59"/>
      <c r="C371" s="59"/>
      <c r="D371" s="59"/>
      <c r="E371" s="59"/>
      <c r="F371" s="60"/>
      <c r="G371" s="59"/>
      <c r="H371" s="61"/>
      <c r="I371" s="59"/>
      <c r="J371" s="59"/>
      <c r="K371" s="59"/>
      <c r="L371" s="59"/>
      <c r="M371" s="59"/>
      <c r="N371" s="59"/>
      <c r="O371" s="59"/>
      <c r="P371" s="59"/>
      <c r="Q371" s="59"/>
      <c r="R371" s="59"/>
      <c r="S371" s="59"/>
      <c r="T371" s="59"/>
      <c r="U371" s="59"/>
      <c r="V371" s="59"/>
      <c r="W371" s="59"/>
      <c r="X371" s="59"/>
      <c r="Y371" s="59"/>
      <c r="Z371" s="59"/>
    </row>
    <row r="372" ht="15.75" customHeight="1">
      <c r="A372" s="59"/>
      <c r="C372" s="59"/>
      <c r="D372" s="59"/>
      <c r="E372" s="59"/>
      <c r="F372" s="60"/>
      <c r="G372" s="59"/>
      <c r="H372" s="61"/>
      <c r="I372" s="59"/>
      <c r="J372" s="59"/>
      <c r="K372" s="59"/>
      <c r="L372" s="59"/>
      <c r="M372" s="59"/>
      <c r="N372" s="59"/>
      <c r="O372" s="59"/>
      <c r="P372" s="59"/>
      <c r="Q372" s="59"/>
      <c r="R372" s="59"/>
      <c r="S372" s="59"/>
      <c r="T372" s="59"/>
      <c r="U372" s="59"/>
      <c r="V372" s="59"/>
      <c r="W372" s="59"/>
      <c r="X372" s="59"/>
      <c r="Y372" s="59"/>
      <c r="Z372" s="59"/>
    </row>
    <row r="373" ht="15.75" customHeight="1">
      <c r="A373" s="59"/>
      <c r="C373" s="59"/>
      <c r="D373" s="59"/>
      <c r="E373" s="59"/>
      <c r="F373" s="60"/>
      <c r="G373" s="59"/>
      <c r="H373" s="61"/>
      <c r="I373" s="59"/>
      <c r="J373" s="59"/>
      <c r="K373" s="59"/>
      <c r="L373" s="59"/>
      <c r="M373" s="59"/>
      <c r="N373" s="59"/>
      <c r="O373" s="59"/>
      <c r="P373" s="59"/>
      <c r="Q373" s="59"/>
      <c r="R373" s="59"/>
      <c r="S373" s="59"/>
      <c r="T373" s="59"/>
      <c r="U373" s="59"/>
      <c r="V373" s="59"/>
      <c r="W373" s="59"/>
      <c r="X373" s="59"/>
      <c r="Y373" s="59"/>
      <c r="Z373" s="59"/>
    </row>
    <row r="374" ht="15.75" customHeight="1">
      <c r="A374" s="59"/>
      <c r="C374" s="59"/>
      <c r="D374" s="59"/>
      <c r="E374" s="59"/>
      <c r="F374" s="60"/>
      <c r="G374" s="59"/>
      <c r="H374" s="61"/>
      <c r="I374" s="59"/>
      <c r="J374" s="59"/>
      <c r="K374" s="59"/>
      <c r="L374" s="59"/>
      <c r="M374" s="59"/>
      <c r="N374" s="59"/>
      <c r="O374" s="59"/>
      <c r="P374" s="59"/>
      <c r="Q374" s="59"/>
      <c r="R374" s="59"/>
      <c r="S374" s="59"/>
      <c r="T374" s="59"/>
      <c r="U374" s="59"/>
      <c r="V374" s="59"/>
      <c r="W374" s="59"/>
      <c r="X374" s="59"/>
      <c r="Y374" s="59"/>
      <c r="Z374" s="59"/>
    </row>
    <row r="375" ht="15.75" customHeight="1">
      <c r="A375" s="59"/>
      <c r="C375" s="59"/>
      <c r="D375" s="59"/>
      <c r="E375" s="59"/>
      <c r="F375" s="60"/>
      <c r="G375" s="59"/>
      <c r="H375" s="61"/>
      <c r="I375" s="59"/>
      <c r="J375" s="59"/>
      <c r="K375" s="59"/>
      <c r="L375" s="59"/>
      <c r="M375" s="59"/>
      <c r="N375" s="59"/>
      <c r="O375" s="59"/>
      <c r="P375" s="59"/>
      <c r="Q375" s="59"/>
      <c r="R375" s="59"/>
      <c r="S375" s="59"/>
      <c r="T375" s="59"/>
      <c r="U375" s="59"/>
      <c r="V375" s="59"/>
      <c r="W375" s="59"/>
      <c r="X375" s="59"/>
      <c r="Y375" s="59"/>
      <c r="Z375" s="59"/>
    </row>
    <row r="376" ht="15.75" customHeight="1">
      <c r="A376" s="59"/>
      <c r="C376" s="59"/>
      <c r="D376" s="59"/>
      <c r="E376" s="59"/>
      <c r="F376" s="60"/>
      <c r="G376" s="59"/>
      <c r="H376" s="61"/>
      <c r="I376" s="59"/>
      <c r="J376" s="59"/>
      <c r="K376" s="59"/>
      <c r="L376" s="59"/>
      <c r="M376" s="59"/>
      <c r="N376" s="59"/>
      <c r="O376" s="59"/>
      <c r="P376" s="59"/>
      <c r="Q376" s="59"/>
      <c r="R376" s="59"/>
      <c r="S376" s="59"/>
      <c r="T376" s="59"/>
      <c r="U376" s="59"/>
      <c r="V376" s="59"/>
      <c r="W376" s="59"/>
      <c r="X376" s="59"/>
      <c r="Y376" s="59"/>
      <c r="Z376" s="59"/>
    </row>
    <row r="377" ht="15.75" customHeight="1">
      <c r="A377" s="59"/>
      <c r="C377" s="59"/>
      <c r="D377" s="59"/>
      <c r="E377" s="59"/>
      <c r="F377" s="60"/>
      <c r="G377" s="59"/>
      <c r="H377" s="61"/>
      <c r="I377" s="59"/>
      <c r="J377" s="59"/>
      <c r="K377" s="59"/>
      <c r="L377" s="59"/>
      <c r="M377" s="59"/>
      <c r="N377" s="59"/>
      <c r="O377" s="59"/>
      <c r="P377" s="59"/>
      <c r="Q377" s="59"/>
      <c r="R377" s="59"/>
      <c r="S377" s="59"/>
      <c r="T377" s="59"/>
      <c r="U377" s="59"/>
      <c r="V377" s="59"/>
      <c r="W377" s="59"/>
      <c r="X377" s="59"/>
      <c r="Y377" s="59"/>
      <c r="Z377" s="59"/>
    </row>
    <row r="378" ht="15.75" customHeight="1">
      <c r="A378" s="59"/>
      <c r="C378" s="59"/>
      <c r="D378" s="59"/>
      <c r="E378" s="59"/>
      <c r="F378" s="60"/>
      <c r="G378" s="59"/>
      <c r="H378" s="61"/>
      <c r="I378" s="59"/>
      <c r="J378" s="59"/>
      <c r="K378" s="59"/>
      <c r="L378" s="59"/>
      <c r="M378" s="59"/>
      <c r="N378" s="59"/>
      <c r="O378" s="59"/>
      <c r="P378" s="59"/>
      <c r="Q378" s="59"/>
      <c r="R378" s="59"/>
      <c r="S378" s="59"/>
      <c r="T378" s="59"/>
      <c r="U378" s="59"/>
      <c r="V378" s="59"/>
      <c r="W378" s="59"/>
      <c r="X378" s="59"/>
      <c r="Y378" s="59"/>
      <c r="Z378" s="59"/>
    </row>
    <row r="379" ht="15.75" customHeight="1">
      <c r="A379" s="59"/>
      <c r="C379" s="59"/>
      <c r="D379" s="59"/>
      <c r="E379" s="59"/>
      <c r="F379" s="60"/>
      <c r="G379" s="59"/>
      <c r="H379" s="61"/>
      <c r="I379" s="59"/>
      <c r="J379" s="59"/>
      <c r="K379" s="59"/>
      <c r="L379" s="59"/>
      <c r="M379" s="59"/>
      <c r="N379" s="59"/>
      <c r="O379" s="59"/>
      <c r="P379" s="59"/>
      <c r="Q379" s="59"/>
      <c r="R379" s="59"/>
      <c r="S379" s="59"/>
      <c r="T379" s="59"/>
      <c r="U379" s="59"/>
      <c r="V379" s="59"/>
      <c r="W379" s="59"/>
      <c r="X379" s="59"/>
      <c r="Y379" s="59"/>
      <c r="Z379" s="59"/>
    </row>
    <row r="380" ht="15.75" customHeight="1">
      <c r="A380" s="59"/>
      <c r="C380" s="59"/>
      <c r="D380" s="59"/>
      <c r="E380" s="59"/>
      <c r="F380" s="60"/>
      <c r="G380" s="59"/>
      <c r="H380" s="61"/>
      <c r="I380" s="59"/>
      <c r="J380" s="59"/>
      <c r="K380" s="59"/>
      <c r="L380" s="59"/>
      <c r="M380" s="59"/>
      <c r="N380" s="59"/>
      <c r="O380" s="59"/>
      <c r="P380" s="59"/>
      <c r="Q380" s="59"/>
      <c r="R380" s="59"/>
      <c r="S380" s="59"/>
      <c r="T380" s="59"/>
      <c r="U380" s="59"/>
      <c r="V380" s="59"/>
      <c r="W380" s="59"/>
      <c r="X380" s="59"/>
      <c r="Y380" s="59"/>
      <c r="Z380" s="59"/>
    </row>
    <row r="381" ht="15.75" customHeight="1">
      <c r="A381" s="59"/>
      <c r="C381" s="59"/>
      <c r="D381" s="59"/>
      <c r="E381" s="59"/>
      <c r="F381" s="60"/>
      <c r="G381" s="59"/>
      <c r="H381" s="61"/>
      <c r="I381" s="59"/>
      <c r="J381" s="59"/>
      <c r="K381" s="59"/>
      <c r="L381" s="59"/>
      <c r="M381" s="59"/>
      <c r="N381" s="59"/>
      <c r="O381" s="59"/>
      <c r="P381" s="59"/>
      <c r="Q381" s="59"/>
      <c r="R381" s="59"/>
      <c r="S381" s="59"/>
      <c r="T381" s="59"/>
      <c r="U381" s="59"/>
      <c r="V381" s="59"/>
      <c r="W381" s="59"/>
      <c r="X381" s="59"/>
      <c r="Y381" s="59"/>
      <c r="Z381" s="59"/>
    </row>
    <row r="382" ht="15.75" customHeight="1">
      <c r="A382" s="59"/>
      <c r="C382" s="59"/>
      <c r="D382" s="59"/>
      <c r="E382" s="59"/>
      <c r="F382" s="60"/>
      <c r="G382" s="59"/>
      <c r="H382" s="61"/>
      <c r="I382" s="59"/>
      <c r="J382" s="59"/>
      <c r="K382" s="59"/>
      <c r="L382" s="59"/>
      <c r="M382" s="59"/>
      <c r="N382" s="59"/>
      <c r="O382" s="59"/>
      <c r="P382" s="59"/>
      <c r="Q382" s="59"/>
      <c r="R382" s="59"/>
      <c r="S382" s="59"/>
      <c r="T382" s="59"/>
      <c r="U382" s="59"/>
      <c r="V382" s="59"/>
      <c r="W382" s="59"/>
      <c r="X382" s="59"/>
      <c r="Y382" s="59"/>
      <c r="Z382" s="59"/>
    </row>
    <row r="383" ht="15.75" customHeight="1">
      <c r="A383" s="59"/>
      <c r="C383" s="59"/>
      <c r="D383" s="59"/>
      <c r="E383" s="59"/>
      <c r="F383" s="60"/>
      <c r="G383" s="59"/>
      <c r="H383" s="61"/>
      <c r="I383" s="59"/>
      <c r="J383" s="59"/>
      <c r="K383" s="59"/>
      <c r="L383" s="59"/>
      <c r="M383" s="59"/>
      <c r="N383" s="59"/>
      <c r="O383" s="59"/>
      <c r="P383" s="59"/>
      <c r="Q383" s="59"/>
      <c r="R383" s="59"/>
      <c r="S383" s="59"/>
      <c r="T383" s="59"/>
      <c r="U383" s="59"/>
      <c r="V383" s="59"/>
      <c r="W383" s="59"/>
      <c r="X383" s="59"/>
      <c r="Y383" s="59"/>
      <c r="Z383" s="59"/>
    </row>
    <row r="384" ht="15.75" customHeight="1">
      <c r="A384" s="59"/>
      <c r="C384" s="59"/>
      <c r="D384" s="59"/>
      <c r="E384" s="59"/>
      <c r="F384" s="60"/>
      <c r="G384" s="59"/>
      <c r="H384" s="61"/>
      <c r="I384" s="59"/>
      <c r="J384" s="59"/>
      <c r="K384" s="59"/>
      <c r="L384" s="59"/>
      <c r="M384" s="59"/>
      <c r="N384" s="59"/>
      <c r="O384" s="59"/>
      <c r="P384" s="59"/>
      <c r="Q384" s="59"/>
      <c r="R384" s="59"/>
      <c r="S384" s="59"/>
      <c r="T384" s="59"/>
      <c r="U384" s="59"/>
      <c r="V384" s="59"/>
      <c r="W384" s="59"/>
      <c r="X384" s="59"/>
      <c r="Y384" s="59"/>
      <c r="Z384" s="59"/>
    </row>
    <row r="385" ht="15.75" customHeight="1">
      <c r="A385" s="59"/>
      <c r="C385" s="59"/>
      <c r="D385" s="59"/>
      <c r="E385" s="59"/>
      <c r="F385" s="60"/>
      <c r="G385" s="59"/>
      <c r="H385" s="61"/>
      <c r="I385" s="59"/>
      <c r="J385" s="59"/>
      <c r="K385" s="59"/>
      <c r="L385" s="59"/>
      <c r="M385" s="59"/>
      <c r="N385" s="59"/>
      <c r="O385" s="59"/>
      <c r="P385" s="59"/>
      <c r="Q385" s="59"/>
      <c r="R385" s="59"/>
      <c r="S385" s="59"/>
      <c r="T385" s="59"/>
      <c r="U385" s="59"/>
      <c r="V385" s="59"/>
      <c r="W385" s="59"/>
      <c r="X385" s="59"/>
      <c r="Y385" s="59"/>
      <c r="Z385" s="59"/>
    </row>
    <row r="386" ht="15.75" customHeight="1">
      <c r="A386" s="59"/>
      <c r="C386" s="59"/>
      <c r="D386" s="59"/>
      <c r="E386" s="59"/>
      <c r="F386" s="60"/>
      <c r="G386" s="59"/>
      <c r="H386" s="61"/>
      <c r="I386" s="59"/>
      <c r="J386" s="59"/>
      <c r="K386" s="59"/>
      <c r="L386" s="59"/>
      <c r="M386" s="59"/>
      <c r="N386" s="59"/>
      <c r="O386" s="59"/>
      <c r="P386" s="59"/>
      <c r="Q386" s="59"/>
      <c r="R386" s="59"/>
      <c r="S386" s="59"/>
      <c r="T386" s="59"/>
      <c r="U386" s="59"/>
      <c r="V386" s="59"/>
      <c r="W386" s="59"/>
      <c r="X386" s="59"/>
      <c r="Y386" s="59"/>
      <c r="Z386" s="59"/>
    </row>
    <row r="387" ht="15.75" customHeight="1">
      <c r="A387" s="59"/>
      <c r="C387" s="59"/>
      <c r="D387" s="59"/>
      <c r="E387" s="59"/>
      <c r="F387" s="60"/>
      <c r="G387" s="59"/>
      <c r="H387" s="61"/>
      <c r="I387" s="59"/>
      <c r="J387" s="59"/>
      <c r="K387" s="59"/>
      <c r="L387" s="59"/>
      <c r="M387" s="59"/>
      <c r="N387" s="59"/>
      <c r="O387" s="59"/>
      <c r="P387" s="59"/>
      <c r="Q387" s="59"/>
      <c r="R387" s="59"/>
      <c r="S387" s="59"/>
      <c r="T387" s="59"/>
      <c r="U387" s="59"/>
      <c r="V387" s="59"/>
      <c r="W387" s="59"/>
      <c r="X387" s="59"/>
      <c r="Y387" s="59"/>
      <c r="Z387" s="59"/>
    </row>
    <row r="388" ht="15.75" customHeight="1">
      <c r="A388" s="59"/>
      <c r="C388" s="59"/>
      <c r="D388" s="59"/>
      <c r="E388" s="59"/>
      <c r="F388" s="60"/>
      <c r="G388" s="59"/>
      <c r="H388" s="61"/>
      <c r="I388" s="59"/>
      <c r="J388" s="59"/>
      <c r="K388" s="59"/>
      <c r="L388" s="59"/>
      <c r="M388" s="59"/>
      <c r="N388" s="59"/>
      <c r="O388" s="59"/>
      <c r="P388" s="59"/>
      <c r="Q388" s="59"/>
      <c r="R388" s="59"/>
      <c r="S388" s="59"/>
      <c r="T388" s="59"/>
      <c r="U388" s="59"/>
      <c r="V388" s="59"/>
      <c r="W388" s="59"/>
      <c r="X388" s="59"/>
      <c r="Y388" s="59"/>
      <c r="Z388" s="59"/>
    </row>
    <row r="389" ht="15.75" customHeight="1">
      <c r="A389" s="59"/>
      <c r="C389" s="59"/>
      <c r="D389" s="59"/>
      <c r="E389" s="59"/>
      <c r="F389" s="60"/>
      <c r="G389" s="59"/>
      <c r="H389" s="61"/>
      <c r="I389" s="59"/>
      <c r="J389" s="59"/>
      <c r="K389" s="59"/>
      <c r="L389" s="59"/>
      <c r="M389" s="59"/>
      <c r="N389" s="59"/>
      <c r="O389" s="59"/>
      <c r="P389" s="59"/>
      <c r="Q389" s="59"/>
      <c r="R389" s="59"/>
      <c r="S389" s="59"/>
      <c r="T389" s="59"/>
      <c r="U389" s="59"/>
      <c r="V389" s="59"/>
      <c r="W389" s="59"/>
      <c r="X389" s="59"/>
      <c r="Y389" s="59"/>
      <c r="Z389" s="59"/>
    </row>
    <row r="390" ht="15.75" customHeight="1">
      <c r="A390" s="59"/>
      <c r="C390" s="59"/>
      <c r="D390" s="59"/>
      <c r="E390" s="59"/>
      <c r="F390" s="60"/>
      <c r="G390" s="59"/>
      <c r="H390" s="61"/>
      <c r="I390" s="59"/>
      <c r="J390" s="59"/>
      <c r="K390" s="59"/>
      <c r="L390" s="59"/>
      <c r="M390" s="59"/>
      <c r="N390" s="59"/>
      <c r="O390" s="59"/>
      <c r="P390" s="59"/>
      <c r="Q390" s="59"/>
      <c r="R390" s="59"/>
      <c r="S390" s="59"/>
      <c r="T390" s="59"/>
      <c r="U390" s="59"/>
      <c r="V390" s="59"/>
      <c r="W390" s="59"/>
      <c r="X390" s="59"/>
      <c r="Y390" s="59"/>
      <c r="Z390" s="59"/>
    </row>
    <row r="391" ht="15.75" customHeight="1">
      <c r="A391" s="59"/>
      <c r="C391" s="59"/>
      <c r="D391" s="59"/>
      <c r="E391" s="59"/>
      <c r="F391" s="60"/>
      <c r="G391" s="59"/>
      <c r="H391" s="61"/>
      <c r="I391" s="59"/>
      <c r="J391" s="59"/>
      <c r="K391" s="59"/>
      <c r="L391" s="59"/>
      <c r="M391" s="59"/>
      <c r="N391" s="59"/>
      <c r="O391" s="59"/>
      <c r="P391" s="59"/>
      <c r="Q391" s="59"/>
      <c r="R391" s="59"/>
      <c r="S391" s="59"/>
      <c r="T391" s="59"/>
      <c r="U391" s="59"/>
      <c r="V391" s="59"/>
      <c r="W391" s="59"/>
      <c r="X391" s="59"/>
      <c r="Y391" s="59"/>
      <c r="Z391" s="59"/>
    </row>
    <row r="392" ht="15.75" customHeight="1">
      <c r="A392" s="59"/>
      <c r="C392" s="59"/>
      <c r="D392" s="59"/>
      <c r="E392" s="59"/>
      <c r="F392" s="60"/>
      <c r="G392" s="59"/>
      <c r="H392" s="61"/>
      <c r="I392" s="59"/>
      <c r="J392" s="59"/>
      <c r="K392" s="59"/>
      <c r="L392" s="59"/>
      <c r="M392" s="59"/>
      <c r="N392" s="59"/>
      <c r="O392" s="59"/>
      <c r="P392" s="59"/>
      <c r="Q392" s="59"/>
      <c r="R392" s="59"/>
      <c r="S392" s="59"/>
      <c r="T392" s="59"/>
      <c r="U392" s="59"/>
      <c r="V392" s="59"/>
      <c r="W392" s="59"/>
      <c r="X392" s="59"/>
      <c r="Y392" s="59"/>
      <c r="Z392" s="59"/>
    </row>
    <row r="393" ht="15.75" customHeight="1">
      <c r="A393" s="59"/>
      <c r="C393" s="59"/>
      <c r="D393" s="59"/>
      <c r="E393" s="59"/>
      <c r="F393" s="60"/>
      <c r="G393" s="59"/>
      <c r="H393" s="61"/>
      <c r="I393" s="59"/>
      <c r="J393" s="59"/>
      <c r="K393" s="59"/>
      <c r="L393" s="59"/>
      <c r="M393" s="59"/>
      <c r="N393" s="59"/>
      <c r="O393" s="59"/>
      <c r="P393" s="59"/>
      <c r="Q393" s="59"/>
      <c r="R393" s="59"/>
      <c r="S393" s="59"/>
      <c r="T393" s="59"/>
      <c r="U393" s="59"/>
      <c r="V393" s="59"/>
      <c r="W393" s="59"/>
      <c r="X393" s="59"/>
      <c r="Y393" s="59"/>
      <c r="Z393" s="59"/>
    </row>
    <row r="394" ht="15.75" customHeight="1">
      <c r="A394" s="59"/>
      <c r="C394" s="59"/>
      <c r="D394" s="59"/>
      <c r="E394" s="59"/>
      <c r="F394" s="60"/>
      <c r="G394" s="59"/>
      <c r="H394" s="61"/>
      <c r="I394" s="59"/>
      <c r="J394" s="59"/>
      <c r="K394" s="59"/>
      <c r="L394" s="59"/>
      <c r="M394" s="59"/>
      <c r="N394" s="59"/>
      <c r="O394" s="59"/>
      <c r="P394" s="59"/>
      <c r="Q394" s="59"/>
      <c r="R394" s="59"/>
      <c r="S394" s="59"/>
      <c r="T394" s="59"/>
      <c r="U394" s="59"/>
      <c r="V394" s="59"/>
      <c r="W394" s="59"/>
      <c r="X394" s="59"/>
      <c r="Y394" s="59"/>
      <c r="Z394" s="59"/>
    </row>
    <row r="395" ht="15.75" customHeight="1">
      <c r="A395" s="59"/>
      <c r="C395" s="59"/>
      <c r="D395" s="59"/>
      <c r="E395" s="59"/>
      <c r="F395" s="60"/>
      <c r="G395" s="59"/>
      <c r="H395" s="61"/>
      <c r="I395" s="59"/>
      <c r="J395" s="59"/>
      <c r="K395" s="59"/>
      <c r="L395" s="59"/>
      <c r="M395" s="59"/>
      <c r="N395" s="59"/>
      <c r="O395" s="59"/>
      <c r="P395" s="59"/>
      <c r="Q395" s="59"/>
      <c r="R395" s="59"/>
      <c r="S395" s="59"/>
      <c r="T395" s="59"/>
      <c r="U395" s="59"/>
      <c r="V395" s="59"/>
      <c r="W395" s="59"/>
      <c r="X395" s="59"/>
      <c r="Y395" s="59"/>
      <c r="Z395" s="59"/>
    </row>
    <row r="396" ht="15.75" customHeight="1">
      <c r="A396" s="59"/>
      <c r="C396" s="59"/>
      <c r="D396" s="59"/>
      <c r="E396" s="59"/>
      <c r="F396" s="60"/>
      <c r="G396" s="59"/>
      <c r="H396" s="61"/>
      <c r="I396" s="59"/>
      <c r="J396" s="59"/>
      <c r="K396" s="59"/>
      <c r="L396" s="59"/>
      <c r="M396" s="59"/>
      <c r="N396" s="59"/>
      <c r="O396" s="59"/>
      <c r="P396" s="59"/>
      <c r="Q396" s="59"/>
      <c r="R396" s="59"/>
      <c r="S396" s="59"/>
      <c r="T396" s="59"/>
      <c r="U396" s="59"/>
      <c r="V396" s="59"/>
      <c r="W396" s="59"/>
      <c r="X396" s="59"/>
      <c r="Y396" s="59"/>
      <c r="Z396" s="59"/>
    </row>
    <row r="397" ht="15.75" customHeight="1">
      <c r="A397" s="59"/>
      <c r="C397" s="59"/>
      <c r="D397" s="59"/>
      <c r="E397" s="59"/>
      <c r="F397" s="60"/>
      <c r="G397" s="59"/>
      <c r="H397" s="61"/>
      <c r="I397" s="59"/>
      <c r="J397" s="59"/>
      <c r="K397" s="59"/>
      <c r="L397" s="59"/>
      <c r="M397" s="59"/>
      <c r="N397" s="59"/>
      <c r="O397" s="59"/>
      <c r="P397" s="59"/>
      <c r="Q397" s="59"/>
      <c r="R397" s="59"/>
      <c r="S397" s="59"/>
      <c r="T397" s="59"/>
      <c r="U397" s="59"/>
      <c r="V397" s="59"/>
      <c r="W397" s="59"/>
      <c r="X397" s="59"/>
      <c r="Y397" s="59"/>
      <c r="Z397" s="59"/>
    </row>
    <row r="398" ht="15.75" customHeight="1">
      <c r="A398" s="59"/>
      <c r="C398" s="59"/>
      <c r="D398" s="59"/>
      <c r="E398" s="59"/>
      <c r="F398" s="60"/>
      <c r="G398" s="59"/>
      <c r="H398" s="61"/>
      <c r="I398" s="59"/>
      <c r="J398" s="59"/>
      <c r="K398" s="59"/>
      <c r="L398" s="59"/>
      <c r="M398" s="59"/>
      <c r="N398" s="59"/>
      <c r="O398" s="59"/>
      <c r="P398" s="59"/>
      <c r="Q398" s="59"/>
      <c r="R398" s="59"/>
      <c r="S398" s="59"/>
      <c r="T398" s="59"/>
      <c r="U398" s="59"/>
      <c r="V398" s="59"/>
      <c r="W398" s="59"/>
      <c r="X398" s="59"/>
      <c r="Y398" s="59"/>
      <c r="Z398" s="59"/>
    </row>
    <row r="399" ht="15.75" customHeight="1">
      <c r="A399" s="59"/>
      <c r="C399" s="59"/>
      <c r="D399" s="59"/>
      <c r="E399" s="59"/>
      <c r="F399" s="60"/>
      <c r="G399" s="59"/>
      <c r="H399" s="61"/>
      <c r="I399" s="59"/>
      <c r="J399" s="59"/>
      <c r="K399" s="59"/>
      <c r="L399" s="59"/>
      <c r="M399" s="59"/>
      <c r="N399" s="59"/>
      <c r="O399" s="59"/>
      <c r="P399" s="59"/>
      <c r="Q399" s="59"/>
      <c r="R399" s="59"/>
      <c r="S399" s="59"/>
      <c r="T399" s="59"/>
      <c r="U399" s="59"/>
      <c r="V399" s="59"/>
      <c r="W399" s="59"/>
      <c r="X399" s="59"/>
      <c r="Y399" s="59"/>
      <c r="Z399" s="59"/>
    </row>
    <row r="400" ht="15.75" customHeight="1">
      <c r="A400" s="59"/>
      <c r="C400" s="59"/>
      <c r="D400" s="59"/>
      <c r="E400" s="59"/>
      <c r="F400" s="60"/>
      <c r="G400" s="59"/>
      <c r="H400" s="61"/>
      <c r="I400" s="59"/>
      <c r="J400" s="59"/>
      <c r="K400" s="59"/>
      <c r="L400" s="59"/>
      <c r="M400" s="59"/>
      <c r="N400" s="59"/>
      <c r="O400" s="59"/>
      <c r="P400" s="59"/>
      <c r="Q400" s="59"/>
      <c r="R400" s="59"/>
      <c r="S400" s="59"/>
      <c r="T400" s="59"/>
      <c r="U400" s="59"/>
      <c r="V400" s="59"/>
      <c r="W400" s="59"/>
      <c r="X400" s="59"/>
      <c r="Y400" s="59"/>
      <c r="Z400" s="59"/>
    </row>
    <row r="401" ht="15.75" customHeight="1">
      <c r="A401" s="59"/>
      <c r="C401" s="59"/>
      <c r="D401" s="59"/>
      <c r="E401" s="59"/>
      <c r="F401" s="60"/>
      <c r="G401" s="59"/>
      <c r="H401" s="61"/>
      <c r="I401" s="59"/>
      <c r="J401" s="59"/>
      <c r="K401" s="59"/>
      <c r="L401" s="59"/>
      <c r="M401" s="59"/>
      <c r="N401" s="59"/>
      <c r="O401" s="59"/>
      <c r="P401" s="59"/>
      <c r="Q401" s="59"/>
      <c r="R401" s="59"/>
      <c r="S401" s="59"/>
      <c r="T401" s="59"/>
      <c r="U401" s="59"/>
      <c r="V401" s="59"/>
      <c r="W401" s="59"/>
      <c r="X401" s="59"/>
      <c r="Y401" s="59"/>
      <c r="Z401" s="59"/>
    </row>
    <row r="402" ht="15.75" customHeight="1">
      <c r="A402" s="59"/>
      <c r="C402" s="59"/>
      <c r="D402" s="59"/>
      <c r="E402" s="59"/>
      <c r="F402" s="60"/>
      <c r="G402" s="59"/>
      <c r="H402" s="61"/>
      <c r="I402" s="59"/>
      <c r="J402" s="59"/>
      <c r="K402" s="59"/>
      <c r="L402" s="59"/>
      <c r="M402" s="59"/>
      <c r="N402" s="59"/>
      <c r="O402" s="59"/>
      <c r="P402" s="59"/>
      <c r="Q402" s="59"/>
      <c r="R402" s="59"/>
      <c r="S402" s="59"/>
      <c r="T402" s="59"/>
      <c r="U402" s="59"/>
      <c r="V402" s="59"/>
      <c r="W402" s="59"/>
      <c r="X402" s="59"/>
      <c r="Y402" s="59"/>
      <c r="Z402" s="59"/>
    </row>
    <row r="403" ht="15.75" customHeight="1">
      <c r="A403" s="59"/>
      <c r="C403" s="59"/>
      <c r="D403" s="59"/>
      <c r="E403" s="59"/>
      <c r="F403" s="60"/>
      <c r="G403" s="59"/>
      <c r="H403" s="61"/>
      <c r="I403" s="59"/>
      <c r="J403" s="59"/>
      <c r="K403" s="59"/>
      <c r="L403" s="59"/>
      <c r="M403" s="59"/>
      <c r="N403" s="59"/>
      <c r="O403" s="59"/>
      <c r="P403" s="59"/>
      <c r="Q403" s="59"/>
      <c r="R403" s="59"/>
      <c r="S403" s="59"/>
      <c r="T403" s="59"/>
      <c r="U403" s="59"/>
      <c r="V403" s="59"/>
      <c r="W403" s="59"/>
      <c r="X403" s="59"/>
      <c r="Y403" s="59"/>
      <c r="Z403" s="59"/>
    </row>
    <row r="404" ht="15.75" customHeight="1">
      <c r="A404" s="59"/>
      <c r="C404" s="59"/>
      <c r="D404" s="59"/>
      <c r="E404" s="59"/>
      <c r="F404" s="60"/>
      <c r="G404" s="59"/>
      <c r="H404" s="61"/>
      <c r="I404" s="59"/>
      <c r="J404" s="59"/>
      <c r="K404" s="59"/>
      <c r="L404" s="59"/>
      <c r="M404" s="59"/>
      <c r="N404" s="59"/>
      <c r="O404" s="59"/>
      <c r="P404" s="59"/>
      <c r="Q404" s="59"/>
      <c r="R404" s="59"/>
      <c r="S404" s="59"/>
      <c r="T404" s="59"/>
      <c r="U404" s="59"/>
      <c r="V404" s="59"/>
      <c r="W404" s="59"/>
      <c r="X404" s="59"/>
      <c r="Y404" s="59"/>
      <c r="Z404" s="59"/>
    </row>
    <row r="405" ht="15.75" customHeight="1">
      <c r="A405" s="59"/>
      <c r="C405" s="59"/>
      <c r="D405" s="59"/>
      <c r="E405" s="59"/>
      <c r="F405" s="60"/>
      <c r="G405" s="59"/>
      <c r="H405" s="61"/>
      <c r="I405" s="59"/>
      <c r="J405" s="59"/>
      <c r="K405" s="59"/>
      <c r="L405" s="59"/>
      <c r="M405" s="59"/>
      <c r="N405" s="59"/>
      <c r="O405" s="59"/>
      <c r="P405" s="59"/>
      <c r="Q405" s="59"/>
      <c r="R405" s="59"/>
      <c r="S405" s="59"/>
      <c r="T405" s="59"/>
      <c r="U405" s="59"/>
      <c r="V405" s="59"/>
      <c r="W405" s="59"/>
      <c r="X405" s="59"/>
      <c r="Y405" s="59"/>
      <c r="Z405" s="59"/>
    </row>
    <row r="406" ht="15.75" customHeight="1">
      <c r="A406" s="59"/>
      <c r="C406" s="59"/>
      <c r="D406" s="59"/>
      <c r="E406" s="59"/>
      <c r="F406" s="60"/>
      <c r="G406" s="59"/>
      <c r="H406" s="61"/>
      <c r="I406" s="59"/>
      <c r="J406" s="59"/>
      <c r="K406" s="59"/>
      <c r="L406" s="59"/>
      <c r="M406" s="59"/>
      <c r="N406" s="59"/>
      <c r="O406" s="59"/>
      <c r="P406" s="59"/>
      <c r="Q406" s="59"/>
      <c r="R406" s="59"/>
      <c r="S406" s="59"/>
      <c r="T406" s="59"/>
      <c r="U406" s="59"/>
      <c r="V406" s="59"/>
      <c r="W406" s="59"/>
      <c r="X406" s="59"/>
      <c r="Y406" s="59"/>
      <c r="Z406" s="59"/>
    </row>
    <row r="407" ht="15.75" customHeight="1">
      <c r="A407" s="59"/>
      <c r="C407" s="59"/>
      <c r="D407" s="59"/>
      <c r="E407" s="59"/>
      <c r="F407" s="60"/>
      <c r="G407" s="59"/>
      <c r="H407" s="61"/>
      <c r="I407" s="59"/>
      <c r="J407" s="59"/>
      <c r="K407" s="59"/>
      <c r="L407" s="59"/>
      <c r="M407" s="59"/>
      <c r="N407" s="59"/>
      <c r="O407" s="59"/>
      <c r="P407" s="59"/>
      <c r="Q407" s="59"/>
      <c r="R407" s="59"/>
      <c r="S407" s="59"/>
      <c r="T407" s="59"/>
      <c r="U407" s="59"/>
      <c r="V407" s="59"/>
      <c r="W407" s="59"/>
      <c r="X407" s="59"/>
      <c r="Y407" s="59"/>
      <c r="Z407" s="59"/>
    </row>
    <row r="408" ht="15.75" customHeight="1">
      <c r="A408" s="59"/>
      <c r="C408" s="59"/>
      <c r="D408" s="59"/>
      <c r="E408" s="59"/>
      <c r="F408" s="60"/>
      <c r="G408" s="59"/>
      <c r="H408" s="61"/>
      <c r="I408" s="59"/>
      <c r="J408" s="59"/>
      <c r="K408" s="59"/>
      <c r="L408" s="59"/>
      <c r="M408" s="59"/>
      <c r="N408" s="59"/>
      <c r="O408" s="59"/>
      <c r="P408" s="59"/>
      <c r="Q408" s="59"/>
      <c r="R408" s="59"/>
      <c r="S408" s="59"/>
      <c r="T408" s="59"/>
      <c r="U408" s="59"/>
      <c r="V408" s="59"/>
      <c r="W408" s="59"/>
      <c r="X408" s="59"/>
      <c r="Y408" s="59"/>
      <c r="Z408" s="59"/>
    </row>
    <row r="409" ht="15.75" customHeight="1">
      <c r="A409" s="59"/>
      <c r="C409" s="59"/>
      <c r="D409" s="59"/>
      <c r="E409" s="59"/>
      <c r="F409" s="60"/>
      <c r="G409" s="59"/>
      <c r="H409" s="61"/>
      <c r="I409" s="59"/>
      <c r="J409" s="59"/>
      <c r="K409" s="59"/>
      <c r="L409" s="59"/>
      <c r="M409" s="59"/>
      <c r="N409" s="59"/>
      <c r="O409" s="59"/>
      <c r="P409" s="59"/>
      <c r="Q409" s="59"/>
      <c r="R409" s="59"/>
      <c r="S409" s="59"/>
      <c r="T409" s="59"/>
      <c r="U409" s="59"/>
      <c r="V409" s="59"/>
      <c r="W409" s="59"/>
      <c r="X409" s="59"/>
      <c r="Y409" s="59"/>
      <c r="Z409" s="59"/>
    </row>
    <row r="410" ht="15.75" customHeight="1">
      <c r="A410" s="59"/>
      <c r="C410" s="59"/>
      <c r="D410" s="59"/>
      <c r="E410" s="59"/>
      <c r="F410" s="60"/>
      <c r="G410" s="59"/>
      <c r="H410" s="61"/>
      <c r="I410" s="59"/>
      <c r="J410" s="59"/>
      <c r="K410" s="59"/>
      <c r="L410" s="59"/>
      <c r="M410" s="59"/>
      <c r="N410" s="59"/>
      <c r="O410" s="59"/>
      <c r="P410" s="59"/>
      <c r="Q410" s="59"/>
      <c r="R410" s="59"/>
      <c r="S410" s="59"/>
      <c r="T410" s="59"/>
      <c r="U410" s="59"/>
      <c r="V410" s="59"/>
      <c r="W410" s="59"/>
      <c r="X410" s="59"/>
      <c r="Y410" s="59"/>
      <c r="Z410" s="59"/>
    </row>
    <row r="411" ht="15.75" customHeight="1">
      <c r="A411" s="59"/>
      <c r="C411" s="59"/>
      <c r="D411" s="59"/>
      <c r="E411" s="59"/>
      <c r="F411" s="60"/>
      <c r="G411" s="59"/>
      <c r="H411" s="61"/>
      <c r="I411" s="59"/>
      <c r="J411" s="59"/>
      <c r="K411" s="59"/>
      <c r="L411" s="59"/>
      <c r="M411" s="59"/>
      <c r="N411" s="59"/>
      <c r="O411" s="59"/>
      <c r="P411" s="59"/>
      <c r="Q411" s="59"/>
      <c r="R411" s="59"/>
      <c r="S411" s="59"/>
      <c r="T411" s="59"/>
      <c r="U411" s="59"/>
      <c r="V411" s="59"/>
      <c r="W411" s="59"/>
      <c r="X411" s="59"/>
      <c r="Y411" s="59"/>
      <c r="Z411" s="59"/>
    </row>
    <row r="412" ht="15.75" customHeight="1">
      <c r="A412" s="59"/>
      <c r="C412" s="59"/>
      <c r="D412" s="59"/>
      <c r="E412" s="59"/>
      <c r="F412" s="60"/>
      <c r="G412" s="59"/>
      <c r="H412" s="61"/>
      <c r="I412" s="59"/>
      <c r="J412" s="59"/>
      <c r="K412" s="59"/>
      <c r="L412" s="59"/>
      <c r="M412" s="59"/>
      <c r="N412" s="59"/>
      <c r="O412" s="59"/>
      <c r="P412" s="59"/>
      <c r="Q412" s="59"/>
      <c r="R412" s="59"/>
      <c r="S412" s="59"/>
      <c r="T412" s="59"/>
      <c r="U412" s="59"/>
      <c r="V412" s="59"/>
      <c r="W412" s="59"/>
      <c r="X412" s="59"/>
      <c r="Y412" s="59"/>
      <c r="Z412" s="59"/>
    </row>
    <row r="413" ht="15.75" customHeight="1">
      <c r="A413" s="59"/>
      <c r="C413" s="59"/>
      <c r="D413" s="59"/>
      <c r="E413" s="59"/>
      <c r="F413" s="60"/>
      <c r="G413" s="59"/>
      <c r="H413" s="61"/>
      <c r="I413" s="59"/>
      <c r="J413" s="59"/>
      <c r="K413" s="59"/>
      <c r="L413" s="59"/>
      <c r="M413" s="59"/>
      <c r="N413" s="59"/>
      <c r="O413" s="59"/>
      <c r="P413" s="59"/>
      <c r="Q413" s="59"/>
      <c r="R413" s="59"/>
      <c r="S413" s="59"/>
      <c r="T413" s="59"/>
      <c r="U413" s="59"/>
      <c r="V413" s="59"/>
      <c r="W413" s="59"/>
      <c r="X413" s="59"/>
      <c r="Y413" s="59"/>
      <c r="Z413" s="59"/>
    </row>
    <row r="414" ht="15.75" customHeight="1">
      <c r="A414" s="59"/>
      <c r="C414" s="59"/>
      <c r="D414" s="59"/>
      <c r="E414" s="59"/>
      <c r="F414" s="60"/>
      <c r="G414" s="59"/>
      <c r="H414" s="61"/>
      <c r="I414" s="59"/>
      <c r="J414" s="59"/>
      <c r="K414" s="59"/>
      <c r="L414" s="59"/>
      <c r="M414" s="59"/>
      <c r="N414" s="59"/>
      <c r="O414" s="59"/>
      <c r="P414" s="59"/>
      <c r="Q414" s="59"/>
      <c r="R414" s="59"/>
      <c r="S414" s="59"/>
      <c r="T414" s="59"/>
      <c r="U414" s="59"/>
      <c r="V414" s="59"/>
      <c r="W414" s="59"/>
      <c r="X414" s="59"/>
      <c r="Y414" s="59"/>
      <c r="Z414" s="59"/>
    </row>
    <row r="415" ht="15.75" customHeight="1">
      <c r="A415" s="59"/>
      <c r="C415" s="59"/>
      <c r="D415" s="59"/>
      <c r="E415" s="59"/>
      <c r="F415" s="60"/>
      <c r="G415" s="59"/>
      <c r="H415" s="61"/>
      <c r="I415" s="59"/>
      <c r="J415" s="59"/>
      <c r="K415" s="59"/>
      <c r="L415" s="59"/>
      <c r="M415" s="59"/>
      <c r="N415" s="59"/>
      <c r="O415" s="59"/>
      <c r="P415" s="59"/>
      <c r="Q415" s="59"/>
      <c r="R415" s="59"/>
      <c r="S415" s="59"/>
      <c r="T415" s="59"/>
      <c r="U415" s="59"/>
      <c r="V415" s="59"/>
      <c r="W415" s="59"/>
      <c r="X415" s="59"/>
      <c r="Y415" s="59"/>
      <c r="Z415" s="59"/>
    </row>
    <row r="416" ht="15.75" customHeight="1">
      <c r="A416" s="59"/>
      <c r="C416" s="59"/>
      <c r="D416" s="59"/>
      <c r="E416" s="59"/>
      <c r="F416" s="60"/>
      <c r="G416" s="59"/>
      <c r="H416" s="61"/>
      <c r="I416" s="59"/>
      <c r="J416" s="59"/>
      <c r="K416" s="59"/>
      <c r="L416" s="59"/>
      <c r="M416" s="59"/>
      <c r="N416" s="59"/>
      <c r="O416" s="59"/>
      <c r="P416" s="59"/>
      <c r="Q416" s="59"/>
      <c r="R416" s="59"/>
      <c r="S416" s="59"/>
      <c r="T416" s="59"/>
      <c r="U416" s="59"/>
      <c r="V416" s="59"/>
      <c r="W416" s="59"/>
      <c r="X416" s="59"/>
      <c r="Y416" s="59"/>
      <c r="Z416" s="59"/>
    </row>
    <row r="417" ht="15.75" customHeight="1">
      <c r="A417" s="59"/>
      <c r="C417" s="59"/>
      <c r="D417" s="59"/>
      <c r="E417" s="59"/>
      <c r="F417" s="60"/>
      <c r="G417" s="59"/>
      <c r="H417" s="61"/>
      <c r="I417" s="59"/>
      <c r="J417" s="59"/>
      <c r="K417" s="59"/>
      <c r="L417" s="59"/>
      <c r="M417" s="59"/>
      <c r="N417" s="59"/>
      <c r="O417" s="59"/>
      <c r="P417" s="59"/>
      <c r="Q417" s="59"/>
      <c r="R417" s="59"/>
      <c r="S417" s="59"/>
      <c r="T417" s="59"/>
      <c r="U417" s="59"/>
      <c r="V417" s="59"/>
      <c r="W417" s="59"/>
      <c r="X417" s="59"/>
      <c r="Y417" s="59"/>
      <c r="Z417" s="59"/>
    </row>
    <row r="418" ht="15.75" customHeight="1">
      <c r="A418" s="59"/>
      <c r="C418" s="59"/>
      <c r="D418" s="59"/>
      <c r="E418" s="59"/>
      <c r="F418" s="60"/>
      <c r="G418" s="59"/>
      <c r="H418" s="61"/>
      <c r="I418" s="59"/>
      <c r="J418" s="59"/>
      <c r="K418" s="59"/>
      <c r="L418" s="59"/>
      <c r="M418" s="59"/>
      <c r="N418" s="59"/>
      <c r="O418" s="59"/>
      <c r="P418" s="59"/>
      <c r="Q418" s="59"/>
      <c r="R418" s="59"/>
      <c r="S418" s="59"/>
      <c r="T418" s="59"/>
      <c r="U418" s="59"/>
      <c r="V418" s="59"/>
      <c r="W418" s="59"/>
      <c r="X418" s="59"/>
      <c r="Y418" s="59"/>
      <c r="Z418" s="59"/>
    </row>
    <row r="419" ht="15.75" customHeight="1">
      <c r="A419" s="59"/>
      <c r="C419" s="59"/>
      <c r="D419" s="59"/>
      <c r="E419" s="59"/>
      <c r="F419" s="60"/>
      <c r="G419" s="59"/>
      <c r="H419" s="61"/>
      <c r="I419" s="59"/>
      <c r="J419" s="59"/>
      <c r="K419" s="59"/>
      <c r="L419" s="59"/>
      <c r="M419" s="59"/>
      <c r="N419" s="59"/>
      <c r="O419" s="59"/>
      <c r="P419" s="59"/>
      <c r="Q419" s="59"/>
      <c r="R419" s="59"/>
      <c r="S419" s="59"/>
      <c r="T419" s="59"/>
      <c r="U419" s="59"/>
      <c r="V419" s="59"/>
      <c r="W419" s="59"/>
      <c r="X419" s="59"/>
      <c r="Y419" s="59"/>
      <c r="Z419" s="59"/>
    </row>
    <row r="420" ht="15.75" customHeight="1">
      <c r="A420" s="59"/>
      <c r="C420" s="59"/>
      <c r="D420" s="59"/>
      <c r="E420" s="59"/>
      <c r="F420" s="60"/>
      <c r="G420" s="59"/>
      <c r="H420" s="61"/>
      <c r="I420" s="59"/>
      <c r="J420" s="59"/>
      <c r="K420" s="59"/>
      <c r="L420" s="59"/>
      <c r="M420" s="59"/>
      <c r="N420" s="59"/>
      <c r="O420" s="59"/>
      <c r="P420" s="59"/>
      <c r="Q420" s="59"/>
      <c r="R420" s="59"/>
      <c r="S420" s="59"/>
      <c r="T420" s="59"/>
      <c r="U420" s="59"/>
      <c r="V420" s="59"/>
      <c r="W420" s="59"/>
      <c r="X420" s="59"/>
      <c r="Y420" s="59"/>
      <c r="Z420" s="59"/>
    </row>
    <row r="421" ht="15.75" customHeight="1">
      <c r="A421" s="59"/>
      <c r="C421" s="59"/>
      <c r="D421" s="59"/>
      <c r="E421" s="59"/>
      <c r="F421" s="60"/>
      <c r="G421" s="59"/>
      <c r="H421" s="61"/>
      <c r="I421" s="59"/>
      <c r="J421" s="59"/>
      <c r="K421" s="59"/>
      <c r="L421" s="59"/>
      <c r="M421" s="59"/>
      <c r="N421" s="59"/>
      <c r="O421" s="59"/>
      <c r="P421" s="59"/>
      <c r="Q421" s="59"/>
      <c r="R421" s="59"/>
      <c r="S421" s="59"/>
      <c r="T421" s="59"/>
      <c r="U421" s="59"/>
      <c r="V421" s="59"/>
      <c r="W421" s="59"/>
      <c r="X421" s="59"/>
      <c r="Y421" s="59"/>
      <c r="Z421" s="59"/>
    </row>
    <row r="422" ht="15.75" customHeight="1">
      <c r="A422" s="59"/>
      <c r="C422" s="59"/>
      <c r="D422" s="59"/>
      <c r="E422" s="59"/>
      <c r="F422" s="60"/>
      <c r="G422" s="59"/>
      <c r="H422" s="61"/>
      <c r="I422" s="59"/>
      <c r="J422" s="59"/>
      <c r="K422" s="59"/>
      <c r="L422" s="59"/>
      <c r="M422" s="59"/>
      <c r="N422" s="59"/>
      <c r="O422" s="59"/>
      <c r="P422" s="59"/>
      <c r="Q422" s="59"/>
      <c r="R422" s="59"/>
      <c r="S422" s="59"/>
      <c r="T422" s="59"/>
      <c r="U422" s="59"/>
      <c r="V422" s="59"/>
      <c r="W422" s="59"/>
      <c r="X422" s="59"/>
      <c r="Y422" s="59"/>
      <c r="Z422" s="59"/>
    </row>
    <row r="423" ht="15.75" customHeight="1">
      <c r="A423" s="59"/>
      <c r="C423" s="59"/>
      <c r="D423" s="59"/>
      <c r="E423" s="59"/>
      <c r="F423" s="60"/>
      <c r="G423" s="59"/>
      <c r="H423" s="61"/>
      <c r="I423" s="59"/>
      <c r="J423" s="59"/>
      <c r="K423" s="59"/>
      <c r="L423" s="59"/>
      <c r="M423" s="59"/>
      <c r="N423" s="59"/>
      <c r="O423" s="59"/>
      <c r="P423" s="59"/>
      <c r="Q423" s="59"/>
      <c r="R423" s="59"/>
      <c r="S423" s="59"/>
      <c r="T423" s="59"/>
      <c r="U423" s="59"/>
      <c r="V423" s="59"/>
      <c r="W423" s="59"/>
      <c r="X423" s="59"/>
      <c r="Y423" s="59"/>
      <c r="Z423" s="59"/>
    </row>
    <row r="424" ht="15.75" customHeight="1">
      <c r="A424" s="59"/>
      <c r="C424" s="59"/>
      <c r="D424" s="59"/>
      <c r="E424" s="59"/>
      <c r="F424" s="60"/>
      <c r="G424" s="59"/>
      <c r="H424" s="61"/>
      <c r="I424" s="59"/>
      <c r="J424" s="59"/>
      <c r="K424" s="59"/>
      <c r="L424" s="59"/>
      <c r="M424" s="59"/>
      <c r="N424" s="59"/>
      <c r="O424" s="59"/>
      <c r="P424" s="59"/>
      <c r="Q424" s="59"/>
      <c r="R424" s="59"/>
      <c r="S424" s="59"/>
      <c r="T424" s="59"/>
      <c r="U424" s="59"/>
      <c r="V424" s="59"/>
      <c r="W424" s="59"/>
      <c r="X424" s="59"/>
      <c r="Y424" s="59"/>
      <c r="Z424" s="59"/>
    </row>
    <row r="425" ht="15.75" customHeight="1">
      <c r="A425" s="59"/>
      <c r="C425" s="59"/>
      <c r="D425" s="59"/>
      <c r="E425" s="59"/>
      <c r="F425" s="60"/>
      <c r="G425" s="59"/>
      <c r="H425" s="61"/>
      <c r="I425" s="59"/>
      <c r="J425" s="59"/>
      <c r="K425" s="59"/>
      <c r="L425" s="59"/>
      <c r="M425" s="59"/>
      <c r="N425" s="59"/>
      <c r="O425" s="59"/>
      <c r="P425" s="59"/>
      <c r="Q425" s="59"/>
      <c r="R425" s="59"/>
      <c r="S425" s="59"/>
      <c r="T425" s="59"/>
      <c r="U425" s="59"/>
      <c r="V425" s="59"/>
      <c r="W425" s="59"/>
      <c r="X425" s="59"/>
      <c r="Y425" s="59"/>
      <c r="Z425" s="59"/>
    </row>
    <row r="426" ht="15.75" customHeight="1">
      <c r="A426" s="59"/>
      <c r="C426" s="59"/>
      <c r="D426" s="59"/>
      <c r="E426" s="59"/>
      <c r="F426" s="60"/>
      <c r="G426" s="59"/>
      <c r="H426" s="61"/>
      <c r="I426" s="59"/>
      <c r="J426" s="59"/>
      <c r="K426" s="59"/>
      <c r="L426" s="59"/>
      <c r="M426" s="59"/>
      <c r="N426" s="59"/>
      <c r="O426" s="59"/>
      <c r="P426" s="59"/>
      <c r="Q426" s="59"/>
      <c r="R426" s="59"/>
      <c r="S426" s="59"/>
      <c r="T426" s="59"/>
      <c r="U426" s="59"/>
      <c r="V426" s="59"/>
      <c r="W426" s="59"/>
      <c r="X426" s="59"/>
      <c r="Y426" s="59"/>
      <c r="Z426" s="59"/>
    </row>
    <row r="427" ht="15.75" customHeight="1">
      <c r="A427" s="59"/>
      <c r="C427" s="59"/>
      <c r="D427" s="59"/>
      <c r="E427" s="59"/>
      <c r="F427" s="60"/>
      <c r="G427" s="59"/>
      <c r="H427" s="61"/>
      <c r="I427" s="59"/>
      <c r="J427" s="59"/>
      <c r="K427" s="59"/>
      <c r="L427" s="59"/>
      <c r="M427" s="59"/>
      <c r="N427" s="59"/>
      <c r="O427" s="59"/>
      <c r="P427" s="59"/>
      <c r="Q427" s="59"/>
      <c r="R427" s="59"/>
      <c r="S427" s="59"/>
      <c r="T427" s="59"/>
      <c r="U427" s="59"/>
      <c r="V427" s="59"/>
      <c r="W427" s="59"/>
      <c r="X427" s="59"/>
      <c r="Y427" s="59"/>
      <c r="Z427" s="59"/>
    </row>
    <row r="428" ht="15.75" customHeight="1">
      <c r="A428" s="59"/>
      <c r="C428" s="59"/>
      <c r="D428" s="59"/>
      <c r="E428" s="59"/>
      <c r="F428" s="60"/>
      <c r="G428" s="59"/>
      <c r="H428" s="61"/>
      <c r="I428" s="59"/>
      <c r="J428" s="59"/>
      <c r="K428" s="59"/>
      <c r="L428" s="59"/>
      <c r="M428" s="59"/>
      <c r="N428" s="59"/>
      <c r="O428" s="59"/>
      <c r="P428" s="59"/>
      <c r="Q428" s="59"/>
      <c r="R428" s="59"/>
      <c r="S428" s="59"/>
      <c r="T428" s="59"/>
      <c r="U428" s="59"/>
      <c r="V428" s="59"/>
      <c r="W428" s="59"/>
      <c r="X428" s="59"/>
      <c r="Y428" s="59"/>
      <c r="Z428" s="59"/>
    </row>
    <row r="429" ht="15.75" customHeight="1">
      <c r="A429" s="59"/>
      <c r="C429" s="59"/>
      <c r="D429" s="59"/>
      <c r="E429" s="59"/>
      <c r="F429" s="60"/>
      <c r="G429" s="59"/>
      <c r="H429" s="61"/>
      <c r="I429" s="59"/>
      <c r="J429" s="59"/>
      <c r="K429" s="59"/>
      <c r="L429" s="59"/>
      <c r="M429" s="59"/>
      <c r="N429" s="59"/>
      <c r="O429" s="59"/>
      <c r="P429" s="59"/>
      <c r="Q429" s="59"/>
      <c r="R429" s="59"/>
      <c r="S429" s="59"/>
      <c r="T429" s="59"/>
      <c r="U429" s="59"/>
      <c r="V429" s="59"/>
      <c r="W429" s="59"/>
      <c r="X429" s="59"/>
      <c r="Y429" s="59"/>
      <c r="Z429" s="59"/>
    </row>
    <row r="430" ht="15.75" customHeight="1">
      <c r="A430" s="59"/>
      <c r="C430" s="59"/>
      <c r="D430" s="59"/>
      <c r="E430" s="59"/>
      <c r="F430" s="60"/>
      <c r="G430" s="59"/>
      <c r="H430" s="61"/>
      <c r="I430" s="59"/>
      <c r="J430" s="59"/>
      <c r="K430" s="59"/>
      <c r="L430" s="59"/>
      <c r="M430" s="59"/>
      <c r="N430" s="59"/>
      <c r="O430" s="59"/>
      <c r="P430" s="59"/>
      <c r="Q430" s="59"/>
      <c r="R430" s="59"/>
      <c r="S430" s="59"/>
      <c r="T430" s="59"/>
      <c r="U430" s="59"/>
      <c r="V430" s="59"/>
      <c r="W430" s="59"/>
      <c r="X430" s="59"/>
      <c r="Y430" s="59"/>
      <c r="Z430" s="59"/>
    </row>
    <row r="431" ht="15.75" customHeight="1">
      <c r="A431" s="59"/>
      <c r="C431" s="59"/>
      <c r="D431" s="59"/>
      <c r="E431" s="59"/>
      <c r="F431" s="60"/>
      <c r="G431" s="59"/>
      <c r="H431" s="61"/>
      <c r="I431" s="59"/>
      <c r="J431" s="59"/>
      <c r="K431" s="59"/>
      <c r="L431" s="59"/>
      <c r="M431" s="59"/>
      <c r="N431" s="59"/>
      <c r="O431" s="59"/>
      <c r="P431" s="59"/>
      <c r="Q431" s="59"/>
      <c r="R431" s="59"/>
      <c r="S431" s="59"/>
      <c r="T431" s="59"/>
      <c r="U431" s="59"/>
      <c r="V431" s="59"/>
      <c r="W431" s="59"/>
      <c r="X431" s="59"/>
      <c r="Y431" s="59"/>
      <c r="Z431" s="59"/>
    </row>
    <row r="432" ht="15.75" customHeight="1">
      <c r="A432" s="59"/>
      <c r="C432" s="59"/>
      <c r="D432" s="59"/>
      <c r="E432" s="59"/>
      <c r="F432" s="60"/>
      <c r="G432" s="59"/>
      <c r="H432" s="61"/>
      <c r="I432" s="59"/>
      <c r="J432" s="59"/>
      <c r="K432" s="59"/>
      <c r="L432" s="59"/>
      <c r="M432" s="59"/>
      <c r="N432" s="59"/>
      <c r="O432" s="59"/>
      <c r="P432" s="59"/>
      <c r="Q432" s="59"/>
      <c r="R432" s="59"/>
      <c r="S432" s="59"/>
      <c r="T432" s="59"/>
      <c r="U432" s="59"/>
      <c r="V432" s="59"/>
      <c r="W432" s="59"/>
      <c r="X432" s="59"/>
      <c r="Y432" s="59"/>
      <c r="Z432" s="59"/>
    </row>
    <row r="433" ht="15.75" customHeight="1">
      <c r="A433" s="59"/>
      <c r="C433" s="59"/>
      <c r="D433" s="59"/>
      <c r="E433" s="59"/>
      <c r="F433" s="60"/>
      <c r="G433" s="59"/>
      <c r="H433" s="61"/>
      <c r="I433" s="59"/>
      <c r="J433" s="59"/>
      <c r="K433" s="59"/>
      <c r="L433" s="59"/>
      <c r="M433" s="59"/>
      <c r="N433" s="59"/>
      <c r="O433" s="59"/>
      <c r="P433" s="59"/>
      <c r="Q433" s="59"/>
      <c r="R433" s="59"/>
      <c r="S433" s="59"/>
      <c r="T433" s="59"/>
      <c r="U433" s="59"/>
      <c r="V433" s="59"/>
      <c r="W433" s="59"/>
      <c r="X433" s="59"/>
      <c r="Y433" s="59"/>
      <c r="Z433" s="59"/>
    </row>
    <row r="434" ht="15.75" customHeight="1">
      <c r="A434" s="59"/>
      <c r="C434" s="59"/>
      <c r="D434" s="59"/>
      <c r="E434" s="59"/>
      <c r="F434" s="60"/>
      <c r="G434" s="59"/>
      <c r="H434" s="61"/>
      <c r="I434" s="59"/>
      <c r="J434" s="59"/>
      <c r="K434" s="59"/>
      <c r="L434" s="59"/>
      <c r="M434" s="59"/>
      <c r="N434" s="59"/>
      <c r="O434" s="59"/>
      <c r="P434" s="59"/>
      <c r="Q434" s="59"/>
      <c r="R434" s="59"/>
      <c r="S434" s="59"/>
      <c r="T434" s="59"/>
      <c r="U434" s="59"/>
      <c r="V434" s="59"/>
      <c r="W434" s="59"/>
      <c r="X434" s="59"/>
      <c r="Y434" s="59"/>
      <c r="Z434" s="59"/>
    </row>
    <row r="435" ht="15.75" customHeight="1">
      <c r="A435" s="59"/>
      <c r="C435" s="59"/>
      <c r="D435" s="59"/>
      <c r="E435" s="59"/>
      <c r="F435" s="60"/>
      <c r="G435" s="59"/>
      <c r="H435" s="61"/>
      <c r="I435" s="59"/>
      <c r="J435" s="59"/>
      <c r="K435" s="59"/>
      <c r="L435" s="59"/>
      <c r="M435" s="59"/>
      <c r="N435" s="59"/>
      <c r="O435" s="59"/>
      <c r="P435" s="59"/>
      <c r="Q435" s="59"/>
      <c r="R435" s="59"/>
      <c r="S435" s="59"/>
      <c r="T435" s="59"/>
      <c r="U435" s="59"/>
      <c r="V435" s="59"/>
      <c r="W435" s="59"/>
      <c r="X435" s="59"/>
      <c r="Y435" s="59"/>
      <c r="Z435" s="59"/>
    </row>
    <row r="436" ht="15.75" customHeight="1">
      <c r="A436" s="59"/>
      <c r="C436" s="59"/>
      <c r="D436" s="59"/>
      <c r="E436" s="59"/>
      <c r="F436" s="60"/>
      <c r="G436" s="59"/>
      <c r="H436" s="61"/>
      <c r="I436" s="59"/>
      <c r="J436" s="59"/>
      <c r="K436" s="59"/>
      <c r="L436" s="59"/>
      <c r="M436" s="59"/>
      <c r="N436" s="59"/>
      <c r="O436" s="59"/>
      <c r="P436" s="59"/>
      <c r="Q436" s="59"/>
      <c r="R436" s="59"/>
      <c r="S436" s="59"/>
      <c r="T436" s="59"/>
      <c r="U436" s="59"/>
      <c r="V436" s="59"/>
      <c r="W436" s="59"/>
      <c r="X436" s="59"/>
      <c r="Y436" s="59"/>
      <c r="Z436" s="59"/>
    </row>
    <row r="437" ht="15.75" customHeight="1">
      <c r="A437" s="59"/>
      <c r="C437" s="59"/>
      <c r="D437" s="59"/>
      <c r="E437" s="59"/>
      <c r="F437" s="60"/>
      <c r="G437" s="59"/>
      <c r="H437" s="61"/>
      <c r="I437" s="59"/>
      <c r="J437" s="59"/>
      <c r="K437" s="59"/>
      <c r="L437" s="59"/>
      <c r="M437" s="59"/>
      <c r="N437" s="59"/>
      <c r="O437" s="59"/>
      <c r="P437" s="59"/>
      <c r="Q437" s="59"/>
      <c r="R437" s="59"/>
      <c r="S437" s="59"/>
      <c r="T437" s="59"/>
      <c r="U437" s="59"/>
      <c r="V437" s="59"/>
      <c r="W437" s="59"/>
      <c r="X437" s="59"/>
      <c r="Y437" s="59"/>
      <c r="Z437" s="59"/>
    </row>
    <row r="438" ht="15.75" customHeight="1">
      <c r="A438" s="59"/>
      <c r="C438" s="59"/>
      <c r="D438" s="59"/>
      <c r="E438" s="59"/>
      <c r="F438" s="60"/>
      <c r="G438" s="59"/>
      <c r="H438" s="61"/>
      <c r="I438" s="59"/>
      <c r="J438" s="59"/>
      <c r="K438" s="59"/>
      <c r="L438" s="59"/>
      <c r="M438" s="59"/>
      <c r="N438" s="59"/>
      <c r="O438" s="59"/>
      <c r="P438" s="59"/>
      <c r="Q438" s="59"/>
      <c r="R438" s="59"/>
      <c r="S438" s="59"/>
      <c r="T438" s="59"/>
      <c r="U438" s="59"/>
      <c r="V438" s="59"/>
      <c r="W438" s="59"/>
      <c r="X438" s="59"/>
      <c r="Y438" s="59"/>
      <c r="Z438" s="59"/>
    </row>
    <row r="439" ht="15.75" customHeight="1">
      <c r="A439" s="59"/>
      <c r="C439" s="59"/>
      <c r="D439" s="59"/>
      <c r="E439" s="59"/>
      <c r="F439" s="60"/>
      <c r="G439" s="59"/>
      <c r="H439" s="61"/>
      <c r="I439" s="59"/>
      <c r="J439" s="59"/>
      <c r="K439" s="59"/>
      <c r="L439" s="59"/>
      <c r="M439" s="59"/>
      <c r="N439" s="59"/>
      <c r="O439" s="59"/>
      <c r="P439" s="59"/>
      <c r="Q439" s="59"/>
      <c r="R439" s="59"/>
      <c r="S439" s="59"/>
      <c r="T439" s="59"/>
      <c r="U439" s="59"/>
      <c r="V439" s="59"/>
      <c r="W439" s="59"/>
      <c r="X439" s="59"/>
      <c r="Y439" s="59"/>
      <c r="Z439" s="59"/>
    </row>
    <row r="440" ht="15.75" customHeight="1">
      <c r="A440" s="59"/>
      <c r="C440" s="59"/>
      <c r="D440" s="59"/>
      <c r="E440" s="59"/>
      <c r="F440" s="60"/>
      <c r="G440" s="59"/>
      <c r="H440" s="61"/>
      <c r="I440" s="59"/>
      <c r="J440" s="59"/>
      <c r="K440" s="59"/>
      <c r="L440" s="59"/>
      <c r="M440" s="59"/>
      <c r="N440" s="59"/>
      <c r="O440" s="59"/>
      <c r="P440" s="59"/>
      <c r="Q440" s="59"/>
      <c r="R440" s="59"/>
      <c r="S440" s="59"/>
      <c r="T440" s="59"/>
      <c r="U440" s="59"/>
      <c r="V440" s="59"/>
      <c r="W440" s="59"/>
      <c r="X440" s="59"/>
      <c r="Y440" s="59"/>
      <c r="Z440" s="59"/>
    </row>
    <row r="441" ht="15.75" customHeight="1">
      <c r="A441" s="59"/>
      <c r="C441" s="59"/>
      <c r="D441" s="59"/>
      <c r="E441" s="59"/>
      <c r="F441" s="60"/>
      <c r="G441" s="59"/>
      <c r="H441" s="61"/>
      <c r="I441" s="59"/>
      <c r="J441" s="59"/>
      <c r="K441" s="59"/>
      <c r="L441" s="59"/>
      <c r="M441" s="59"/>
      <c r="N441" s="59"/>
      <c r="O441" s="59"/>
      <c r="P441" s="59"/>
      <c r="Q441" s="59"/>
      <c r="R441" s="59"/>
      <c r="S441" s="59"/>
      <c r="T441" s="59"/>
      <c r="U441" s="59"/>
      <c r="V441" s="59"/>
      <c r="W441" s="59"/>
      <c r="X441" s="59"/>
      <c r="Y441" s="59"/>
      <c r="Z441" s="59"/>
    </row>
    <row r="442" ht="15.75" customHeight="1">
      <c r="A442" s="59"/>
      <c r="C442" s="59"/>
      <c r="D442" s="59"/>
      <c r="E442" s="59"/>
      <c r="F442" s="60"/>
      <c r="G442" s="59"/>
      <c r="H442" s="61"/>
      <c r="I442" s="59"/>
      <c r="J442" s="59"/>
      <c r="K442" s="59"/>
      <c r="L442" s="59"/>
      <c r="M442" s="59"/>
      <c r="N442" s="59"/>
      <c r="O442" s="59"/>
      <c r="P442" s="59"/>
      <c r="Q442" s="59"/>
      <c r="R442" s="59"/>
      <c r="S442" s="59"/>
      <c r="T442" s="59"/>
      <c r="U442" s="59"/>
      <c r="V442" s="59"/>
      <c r="W442" s="59"/>
      <c r="X442" s="59"/>
      <c r="Y442" s="59"/>
      <c r="Z442" s="59"/>
    </row>
    <row r="443" ht="15.75" customHeight="1">
      <c r="A443" s="59"/>
      <c r="C443" s="59"/>
      <c r="D443" s="59"/>
      <c r="E443" s="59"/>
      <c r="F443" s="60"/>
      <c r="G443" s="59"/>
      <c r="H443" s="61"/>
      <c r="I443" s="59"/>
      <c r="J443" s="59"/>
      <c r="K443" s="59"/>
      <c r="L443" s="59"/>
      <c r="M443" s="59"/>
      <c r="N443" s="59"/>
      <c r="O443" s="59"/>
      <c r="P443" s="59"/>
      <c r="Q443" s="59"/>
      <c r="R443" s="59"/>
      <c r="S443" s="59"/>
      <c r="T443" s="59"/>
      <c r="U443" s="59"/>
      <c r="V443" s="59"/>
      <c r="W443" s="59"/>
      <c r="X443" s="59"/>
      <c r="Y443" s="59"/>
      <c r="Z443" s="59"/>
    </row>
    <row r="444" ht="15.75" customHeight="1">
      <c r="A444" s="59"/>
      <c r="C444" s="59"/>
      <c r="D444" s="59"/>
      <c r="E444" s="59"/>
      <c r="F444" s="60"/>
      <c r="G444" s="59"/>
      <c r="H444" s="61"/>
      <c r="I444" s="59"/>
      <c r="J444" s="59"/>
      <c r="K444" s="59"/>
      <c r="L444" s="59"/>
      <c r="M444" s="59"/>
      <c r="N444" s="59"/>
      <c r="O444" s="59"/>
      <c r="P444" s="59"/>
      <c r="Q444" s="59"/>
      <c r="R444" s="59"/>
      <c r="S444" s="59"/>
      <c r="T444" s="59"/>
      <c r="U444" s="59"/>
      <c r="V444" s="59"/>
      <c r="W444" s="59"/>
      <c r="X444" s="59"/>
      <c r="Y444" s="59"/>
      <c r="Z444" s="59"/>
    </row>
    <row r="445" ht="15.75" customHeight="1">
      <c r="A445" s="59"/>
      <c r="C445" s="59"/>
      <c r="D445" s="59"/>
      <c r="E445" s="59"/>
      <c r="F445" s="60"/>
      <c r="G445" s="59"/>
      <c r="H445" s="61"/>
      <c r="I445" s="59"/>
      <c r="J445" s="59"/>
      <c r="K445" s="59"/>
      <c r="L445" s="59"/>
      <c r="M445" s="59"/>
      <c r="N445" s="59"/>
      <c r="O445" s="59"/>
      <c r="P445" s="59"/>
      <c r="Q445" s="59"/>
      <c r="R445" s="59"/>
      <c r="S445" s="59"/>
      <c r="T445" s="59"/>
      <c r="U445" s="59"/>
      <c r="V445" s="59"/>
      <c r="W445" s="59"/>
      <c r="X445" s="59"/>
      <c r="Y445" s="59"/>
      <c r="Z445" s="59"/>
    </row>
    <row r="446" ht="15.75" customHeight="1">
      <c r="A446" s="59"/>
      <c r="C446" s="59"/>
      <c r="D446" s="59"/>
      <c r="E446" s="59"/>
      <c r="F446" s="60"/>
      <c r="G446" s="59"/>
      <c r="H446" s="61"/>
      <c r="I446" s="59"/>
      <c r="J446" s="59"/>
      <c r="K446" s="59"/>
      <c r="L446" s="59"/>
      <c r="M446" s="59"/>
      <c r="N446" s="59"/>
      <c r="O446" s="59"/>
      <c r="P446" s="59"/>
      <c r="Q446" s="59"/>
      <c r="R446" s="59"/>
      <c r="S446" s="59"/>
      <c r="T446" s="59"/>
      <c r="U446" s="59"/>
      <c r="V446" s="59"/>
      <c r="W446" s="59"/>
      <c r="X446" s="59"/>
      <c r="Y446" s="59"/>
      <c r="Z446" s="59"/>
    </row>
    <row r="447" ht="15.75" customHeight="1">
      <c r="A447" s="59"/>
      <c r="C447" s="59"/>
      <c r="D447" s="59"/>
      <c r="E447" s="59"/>
      <c r="F447" s="60"/>
      <c r="G447" s="59"/>
      <c r="H447" s="61"/>
      <c r="I447" s="59"/>
      <c r="J447" s="59"/>
      <c r="K447" s="59"/>
      <c r="L447" s="59"/>
      <c r="M447" s="59"/>
      <c r="N447" s="59"/>
      <c r="O447" s="59"/>
      <c r="P447" s="59"/>
      <c r="Q447" s="59"/>
      <c r="R447" s="59"/>
      <c r="S447" s="59"/>
      <c r="T447" s="59"/>
      <c r="U447" s="59"/>
      <c r="V447" s="59"/>
      <c r="W447" s="59"/>
      <c r="X447" s="59"/>
      <c r="Y447" s="59"/>
      <c r="Z447" s="59"/>
    </row>
    <row r="448" ht="15.75" customHeight="1">
      <c r="A448" s="59"/>
      <c r="C448" s="59"/>
      <c r="D448" s="59"/>
      <c r="E448" s="59"/>
      <c r="F448" s="60"/>
      <c r="G448" s="59"/>
      <c r="H448" s="61"/>
      <c r="I448" s="59"/>
      <c r="J448" s="59"/>
      <c r="K448" s="59"/>
      <c r="L448" s="59"/>
      <c r="M448" s="59"/>
      <c r="N448" s="59"/>
      <c r="O448" s="59"/>
      <c r="P448" s="59"/>
      <c r="Q448" s="59"/>
      <c r="R448" s="59"/>
      <c r="S448" s="59"/>
      <c r="T448" s="59"/>
      <c r="U448" s="59"/>
      <c r="V448" s="59"/>
      <c r="W448" s="59"/>
      <c r="X448" s="59"/>
      <c r="Y448" s="59"/>
      <c r="Z448" s="59"/>
    </row>
    <row r="449" ht="15.75" customHeight="1">
      <c r="A449" s="59"/>
      <c r="C449" s="59"/>
      <c r="D449" s="59"/>
      <c r="E449" s="59"/>
      <c r="F449" s="60"/>
      <c r="G449" s="59"/>
      <c r="H449" s="61"/>
      <c r="I449" s="59"/>
      <c r="J449" s="59"/>
      <c r="K449" s="59"/>
      <c r="L449" s="59"/>
      <c r="M449" s="59"/>
      <c r="N449" s="59"/>
      <c r="O449" s="59"/>
      <c r="P449" s="59"/>
      <c r="Q449" s="59"/>
      <c r="R449" s="59"/>
      <c r="S449" s="59"/>
      <c r="T449" s="59"/>
      <c r="U449" s="59"/>
      <c r="V449" s="59"/>
      <c r="W449" s="59"/>
      <c r="X449" s="59"/>
      <c r="Y449" s="59"/>
      <c r="Z449" s="59"/>
    </row>
    <row r="450" ht="15.75" customHeight="1">
      <c r="A450" s="59"/>
      <c r="C450" s="59"/>
      <c r="D450" s="59"/>
      <c r="E450" s="59"/>
      <c r="F450" s="60"/>
      <c r="G450" s="59"/>
      <c r="H450" s="61"/>
      <c r="I450" s="59"/>
      <c r="J450" s="59"/>
      <c r="K450" s="59"/>
      <c r="L450" s="59"/>
      <c r="M450" s="59"/>
      <c r="N450" s="59"/>
      <c r="O450" s="59"/>
      <c r="P450" s="59"/>
      <c r="Q450" s="59"/>
      <c r="R450" s="59"/>
      <c r="S450" s="59"/>
      <c r="T450" s="59"/>
      <c r="U450" s="59"/>
      <c r="V450" s="59"/>
      <c r="W450" s="59"/>
      <c r="X450" s="59"/>
      <c r="Y450" s="59"/>
      <c r="Z450" s="59"/>
    </row>
    <row r="451" ht="15.75" customHeight="1">
      <c r="A451" s="59"/>
      <c r="C451" s="59"/>
      <c r="D451" s="59"/>
      <c r="E451" s="59"/>
      <c r="F451" s="60"/>
      <c r="G451" s="59"/>
      <c r="H451" s="61"/>
      <c r="I451" s="59"/>
      <c r="J451" s="59"/>
      <c r="K451" s="59"/>
      <c r="L451" s="59"/>
      <c r="M451" s="59"/>
      <c r="N451" s="59"/>
      <c r="O451" s="59"/>
      <c r="P451" s="59"/>
      <c r="Q451" s="59"/>
      <c r="R451" s="59"/>
      <c r="S451" s="59"/>
      <c r="T451" s="59"/>
      <c r="U451" s="59"/>
      <c r="V451" s="59"/>
      <c r="W451" s="59"/>
      <c r="X451" s="59"/>
      <c r="Y451" s="59"/>
      <c r="Z451" s="59"/>
    </row>
    <row r="452" ht="15.75" customHeight="1">
      <c r="A452" s="59"/>
      <c r="C452" s="59"/>
      <c r="D452" s="59"/>
      <c r="E452" s="59"/>
      <c r="F452" s="60"/>
      <c r="G452" s="59"/>
      <c r="H452" s="61"/>
      <c r="I452" s="59"/>
      <c r="J452" s="59"/>
      <c r="K452" s="59"/>
      <c r="L452" s="59"/>
      <c r="M452" s="59"/>
      <c r="N452" s="59"/>
      <c r="O452" s="59"/>
      <c r="P452" s="59"/>
      <c r="Q452" s="59"/>
      <c r="R452" s="59"/>
      <c r="S452" s="59"/>
      <c r="T452" s="59"/>
      <c r="U452" s="59"/>
      <c r="V452" s="59"/>
      <c r="W452" s="59"/>
      <c r="X452" s="59"/>
      <c r="Y452" s="59"/>
      <c r="Z452" s="59"/>
    </row>
    <row r="453" ht="15.75" customHeight="1">
      <c r="A453" s="59"/>
      <c r="C453" s="59"/>
      <c r="D453" s="59"/>
      <c r="E453" s="59"/>
      <c r="F453" s="60"/>
      <c r="G453" s="59"/>
      <c r="H453" s="61"/>
      <c r="I453" s="59"/>
      <c r="J453" s="59"/>
      <c r="K453" s="59"/>
      <c r="L453" s="59"/>
      <c r="M453" s="59"/>
      <c r="N453" s="59"/>
      <c r="O453" s="59"/>
      <c r="P453" s="59"/>
      <c r="Q453" s="59"/>
      <c r="R453" s="59"/>
      <c r="S453" s="59"/>
      <c r="T453" s="59"/>
      <c r="U453" s="59"/>
      <c r="V453" s="59"/>
      <c r="W453" s="59"/>
      <c r="X453" s="59"/>
      <c r="Y453" s="59"/>
      <c r="Z453" s="59"/>
    </row>
    <row r="454" ht="15.75" customHeight="1">
      <c r="A454" s="59"/>
      <c r="C454" s="59"/>
      <c r="D454" s="59"/>
      <c r="E454" s="59"/>
      <c r="F454" s="60"/>
      <c r="G454" s="59"/>
      <c r="H454" s="61"/>
      <c r="I454" s="59"/>
      <c r="J454" s="59"/>
      <c r="K454" s="59"/>
      <c r="L454" s="59"/>
      <c r="M454" s="59"/>
      <c r="N454" s="59"/>
      <c r="O454" s="59"/>
      <c r="P454" s="59"/>
      <c r="Q454" s="59"/>
      <c r="R454" s="59"/>
      <c r="S454" s="59"/>
      <c r="T454" s="59"/>
      <c r="U454" s="59"/>
      <c r="V454" s="59"/>
      <c r="W454" s="59"/>
      <c r="X454" s="59"/>
      <c r="Y454" s="59"/>
      <c r="Z454" s="59"/>
    </row>
    <row r="455" ht="15.75" customHeight="1">
      <c r="A455" s="59"/>
      <c r="C455" s="59"/>
      <c r="D455" s="59"/>
      <c r="E455" s="59"/>
      <c r="F455" s="60"/>
      <c r="G455" s="59"/>
      <c r="H455" s="61"/>
      <c r="I455" s="59"/>
      <c r="J455" s="59"/>
      <c r="K455" s="59"/>
      <c r="L455" s="59"/>
      <c r="M455" s="59"/>
      <c r="N455" s="59"/>
      <c r="O455" s="59"/>
      <c r="P455" s="59"/>
      <c r="Q455" s="59"/>
      <c r="R455" s="59"/>
      <c r="S455" s="59"/>
      <c r="T455" s="59"/>
      <c r="U455" s="59"/>
      <c r="V455" s="59"/>
      <c r="W455" s="59"/>
      <c r="X455" s="59"/>
      <c r="Y455" s="59"/>
      <c r="Z455" s="59"/>
    </row>
    <row r="456" ht="15.75" customHeight="1">
      <c r="A456" s="59"/>
      <c r="C456" s="59"/>
      <c r="D456" s="59"/>
      <c r="E456" s="59"/>
      <c r="F456" s="60"/>
      <c r="G456" s="59"/>
      <c r="H456" s="61"/>
      <c r="I456" s="59"/>
      <c r="J456" s="59"/>
      <c r="K456" s="59"/>
      <c r="L456" s="59"/>
      <c r="M456" s="59"/>
      <c r="N456" s="59"/>
      <c r="O456" s="59"/>
      <c r="P456" s="59"/>
      <c r="Q456" s="59"/>
      <c r="R456" s="59"/>
      <c r="S456" s="59"/>
      <c r="T456" s="59"/>
      <c r="U456" s="59"/>
      <c r="V456" s="59"/>
      <c r="W456" s="59"/>
      <c r="X456" s="59"/>
      <c r="Y456" s="59"/>
      <c r="Z456" s="59"/>
    </row>
    <row r="457" ht="15.75" customHeight="1">
      <c r="A457" s="59"/>
      <c r="C457" s="59"/>
      <c r="D457" s="59"/>
      <c r="E457" s="59"/>
      <c r="F457" s="60"/>
      <c r="G457" s="59"/>
      <c r="H457" s="61"/>
      <c r="I457" s="59"/>
      <c r="J457" s="59"/>
      <c r="K457" s="59"/>
      <c r="L457" s="59"/>
      <c r="M457" s="59"/>
      <c r="N457" s="59"/>
      <c r="O457" s="59"/>
      <c r="P457" s="59"/>
      <c r="Q457" s="59"/>
      <c r="R457" s="59"/>
      <c r="S457" s="59"/>
      <c r="T457" s="59"/>
      <c r="U457" s="59"/>
      <c r="V457" s="59"/>
      <c r="W457" s="59"/>
      <c r="X457" s="59"/>
      <c r="Y457" s="59"/>
      <c r="Z457" s="59"/>
    </row>
    <row r="458" ht="15.75" customHeight="1">
      <c r="A458" s="59"/>
      <c r="C458" s="59"/>
      <c r="D458" s="59"/>
      <c r="E458" s="59"/>
      <c r="F458" s="60"/>
      <c r="G458" s="59"/>
      <c r="H458" s="61"/>
      <c r="I458" s="59"/>
      <c r="J458" s="59"/>
      <c r="K458" s="59"/>
      <c r="L458" s="59"/>
      <c r="M458" s="59"/>
      <c r="N458" s="59"/>
      <c r="O458" s="59"/>
      <c r="P458" s="59"/>
      <c r="Q458" s="59"/>
      <c r="R458" s="59"/>
      <c r="S458" s="59"/>
      <c r="T458" s="59"/>
      <c r="U458" s="59"/>
      <c r="V458" s="59"/>
      <c r="W458" s="59"/>
      <c r="X458" s="59"/>
      <c r="Y458" s="59"/>
      <c r="Z458" s="59"/>
    </row>
    <row r="459" ht="15.75" customHeight="1">
      <c r="A459" s="59"/>
      <c r="C459" s="59"/>
      <c r="D459" s="59"/>
      <c r="E459" s="59"/>
      <c r="F459" s="60"/>
      <c r="G459" s="59"/>
      <c r="H459" s="61"/>
      <c r="I459" s="59"/>
      <c r="J459" s="59"/>
      <c r="K459" s="59"/>
      <c r="L459" s="59"/>
      <c r="M459" s="59"/>
      <c r="N459" s="59"/>
      <c r="O459" s="59"/>
      <c r="P459" s="59"/>
      <c r="Q459" s="59"/>
      <c r="R459" s="59"/>
      <c r="S459" s="59"/>
      <c r="T459" s="59"/>
      <c r="U459" s="59"/>
      <c r="V459" s="59"/>
      <c r="W459" s="59"/>
      <c r="X459" s="59"/>
      <c r="Y459" s="59"/>
      <c r="Z459" s="59"/>
    </row>
    <row r="460" ht="15.75" customHeight="1">
      <c r="A460" s="59"/>
      <c r="C460" s="59"/>
      <c r="D460" s="59"/>
      <c r="E460" s="59"/>
      <c r="F460" s="60"/>
      <c r="G460" s="59"/>
      <c r="H460" s="61"/>
      <c r="I460" s="59"/>
      <c r="J460" s="59"/>
      <c r="K460" s="59"/>
      <c r="L460" s="59"/>
      <c r="M460" s="59"/>
      <c r="N460" s="59"/>
      <c r="O460" s="59"/>
      <c r="P460" s="59"/>
      <c r="Q460" s="59"/>
      <c r="R460" s="59"/>
      <c r="S460" s="59"/>
      <c r="T460" s="59"/>
      <c r="U460" s="59"/>
      <c r="V460" s="59"/>
      <c r="W460" s="59"/>
      <c r="X460" s="59"/>
      <c r="Y460" s="59"/>
      <c r="Z460" s="59"/>
    </row>
    <row r="461" ht="15.75" customHeight="1">
      <c r="A461" s="59"/>
      <c r="C461" s="59"/>
      <c r="D461" s="59"/>
      <c r="E461" s="59"/>
      <c r="F461" s="60"/>
      <c r="G461" s="59"/>
      <c r="H461" s="61"/>
      <c r="I461" s="59"/>
      <c r="J461" s="59"/>
      <c r="K461" s="59"/>
      <c r="L461" s="59"/>
      <c r="M461" s="59"/>
      <c r="N461" s="59"/>
      <c r="O461" s="59"/>
      <c r="P461" s="59"/>
      <c r="Q461" s="59"/>
      <c r="R461" s="59"/>
      <c r="S461" s="59"/>
      <c r="T461" s="59"/>
      <c r="U461" s="59"/>
      <c r="V461" s="59"/>
      <c r="W461" s="59"/>
      <c r="X461" s="59"/>
      <c r="Y461" s="59"/>
      <c r="Z461" s="59"/>
    </row>
    <row r="462" ht="15.75" customHeight="1">
      <c r="A462" s="59"/>
      <c r="C462" s="59"/>
      <c r="D462" s="59"/>
      <c r="E462" s="59"/>
      <c r="F462" s="60"/>
      <c r="G462" s="59"/>
      <c r="H462" s="61"/>
      <c r="I462" s="59"/>
      <c r="J462" s="59"/>
      <c r="K462" s="59"/>
      <c r="L462" s="59"/>
      <c r="M462" s="59"/>
      <c r="N462" s="59"/>
      <c r="O462" s="59"/>
      <c r="P462" s="59"/>
      <c r="Q462" s="59"/>
      <c r="R462" s="59"/>
      <c r="S462" s="59"/>
      <c r="T462" s="59"/>
      <c r="U462" s="59"/>
      <c r="V462" s="59"/>
      <c r="W462" s="59"/>
      <c r="X462" s="59"/>
      <c r="Y462" s="59"/>
      <c r="Z462" s="59"/>
    </row>
    <row r="463" ht="15.75" customHeight="1">
      <c r="A463" s="59"/>
      <c r="C463" s="59"/>
      <c r="D463" s="59"/>
      <c r="E463" s="59"/>
      <c r="F463" s="60"/>
      <c r="G463" s="59"/>
      <c r="H463" s="61"/>
      <c r="I463" s="59"/>
      <c r="J463" s="59"/>
      <c r="K463" s="59"/>
      <c r="L463" s="59"/>
      <c r="M463" s="59"/>
      <c r="N463" s="59"/>
      <c r="O463" s="59"/>
      <c r="P463" s="59"/>
      <c r="Q463" s="59"/>
      <c r="R463" s="59"/>
      <c r="S463" s="59"/>
      <c r="T463" s="59"/>
      <c r="U463" s="59"/>
      <c r="V463" s="59"/>
      <c r="W463" s="59"/>
      <c r="X463" s="59"/>
      <c r="Y463" s="59"/>
      <c r="Z463" s="59"/>
    </row>
    <row r="464" ht="15.75" customHeight="1">
      <c r="A464" s="59"/>
      <c r="C464" s="59"/>
      <c r="D464" s="59"/>
      <c r="E464" s="59"/>
      <c r="F464" s="60"/>
      <c r="G464" s="59"/>
      <c r="H464" s="61"/>
      <c r="I464" s="59"/>
      <c r="J464" s="59"/>
      <c r="K464" s="59"/>
      <c r="L464" s="59"/>
      <c r="M464" s="59"/>
      <c r="N464" s="59"/>
      <c r="O464" s="59"/>
      <c r="P464" s="59"/>
      <c r="Q464" s="59"/>
      <c r="R464" s="59"/>
      <c r="S464" s="59"/>
      <c r="T464" s="59"/>
      <c r="U464" s="59"/>
      <c r="V464" s="59"/>
      <c r="W464" s="59"/>
      <c r="X464" s="59"/>
      <c r="Y464" s="59"/>
      <c r="Z464" s="59"/>
    </row>
    <row r="465" ht="15.75" customHeight="1">
      <c r="A465" s="59"/>
      <c r="C465" s="59"/>
      <c r="D465" s="59"/>
      <c r="E465" s="59"/>
      <c r="F465" s="60"/>
      <c r="G465" s="59"/>
      <c r="H465" s="61"/>
      <c r="I465" s="59"/>
      <c r="J465" s="59"/>
      <c r="K465" s="59"/>
      <c r="L465" s="59"/>
      <c r="M465" s="59"/>
      <c r="N465" s="59"/>
      <c r="O465" s="59"/>
      <c r="P465" s="59"/>
      <c r="Q465" s="59"/>
      <c r="R465" s="59"/>
      <c r="S465" s="59"/>
      <c r="T465" s="59"/>
      <c r="U465" s="59"/>
      <c r="V465" s="59"/>
      <c r="W465" s="59"/>
      <c r="X465" s="59"/>
      <c r="Y465" s="59"/>
      <c r="Z465" s="59"/>
    </row>
    <row r="466" ht="15.75" customHeight="1">
      <c r="A466" s="59"/>
      <c r="C466" s="59"/>
      <c r="D466" s="59"/>
      <c r="E466" s="59"/>
      <c r="F466" s="60"/>
      <c r="G466" s="59"/>
      <c r="H466" s="61"/>
      <c r="I466" s="59"/>
      <c r="J466" s="59"/>
      <c r="K466" s="59"/>
      <c r="L466" s="59"/>
      <c r="M466" s="59"/>
      <c r="N466" s="59"/>
      <c r="O466" s="59"/>
      <c r="P466" s="59"/>
      <c r="Q466" s="59"/>
      <c r="R466" s="59"/>
      <c r="S466" s="59"/>
      <c r="T466" s="59"/>
      <c r="U466" s="59"/>
      <c r="V466" s="59"/>
      <c r="W466" s="59"/>
      <c r="X466" s="59"/>
      <c r="Y466" s="59"/>
      <c r="Z466" s="59"/>
    </row>
    <row r="467" ht="15.75" customHeight="1">
      <c r="A467" s="59"/>
      <c r="C467" s="59"/>
      <c r="D467" s="59"/>
      <c r="E467" s="59"/>
      <c r="F467" s="60"/>
      <c r="G467" s="59"/>
      <c r="H467" s="61"/>
      <c r="I467" s="59"/>
      <c r="J467" s="59"/>
      <c r="K467" s="59"/>
      <c r="L467" s="59"/>
      <c r="M467" s="59"/>
      <c r="N467" s="59"/>
      <c r="O467" s="59"/>
      <c r="P467" s="59"/>
      <c r="Q467" s="59"/>
      <c r="R467" s="59"/>
      <c r="S467" s="59"/>
      <c r="T467" s="59"/>
      <c r="U467" s="59"/>
      <c r="V467" s="59"/>
      <c r="W467" s="59"/>
      <c r="X467" s="59"/>
      <c r="Y467" s="59"/>
      <c r="Z467" s="59"/>
    </row>
    <row r="468" ht="15.75" customHeight="1">
      <c r="A468" s="59"/>
      <c r="C468" s="59"/>
      <c r="D468" s="59"/>
      <c r="E468" s="59"/>
      <c r="F468" s="60"/>
      <c r="G468" s="59"/>
      <c r="H468" s="61"/>
      <c r="I468" s="59"/>
      <c r="J468" s="59"/>
      <c r="K468" s="59"/>
      <c r="L468" s="59"/>
      <c r="M468" s="59"/>
      <c r="N468" s="59"/>
      <c r="O468" s="59"/>
      <c r="P468" s="59"/>
      <c r="Q468" s="59"/>
      <c r="R468" s="59"/>
      <c r="S468" s="59"/>
      <c r="T468" s="59"/>
      <c r="U468" s="59"/>
      <c r="V468" s="59"/>
      <c r="W468" s="59"/>
      <c r="X468" s="59"/>
      <c r="Y468" s="59"/>
      <c r="Z468" s="59"/>
    </row>
    <row r="469" ht="15.75" customHeight="1">
      <c r="A469" s="59"/>
      <c r="C469" s="59"/>
      <c r="D469" s="59"/>
      <c r="E469" s="59"/>
      <c r="F469" s="60"/>
      <c r="G469" s="59"/>
      <c r="H469" s="61"/>
      <c r="I469" s="59"/>
      <c r="J469" s="59"/>
      <c r="K469" s="59"/>
      <c r="L469" s="59"/>
      <c r="M469" s="59"/>
      <c r="N469" s="59"/>
      <c r="O469" s="59"/>
      <c r="P469" s="59"/>
      <c r="Q469" s="59"/>
      <c r="R469" s="59"/>
      <c r="S469" s="59"/>
      <c r="T469" s="59"/>
      <c r="U469" s="59"/>
      <c r="V469" s="59"/>
      <c r="W469" s="59"/>
      <c r="X469" s="59"/>
      <c r="Y469" s="59"/>
      <c r="Z469" s="59"/>
    </row>
    <row r="470" ht="15.75" customHeight="1">
      <c r="A470" s="59"/>
      <c r="C470" s="59"/>
      <c r="D470" s="59"/>
      <c r="E470" s="59"/>
      <c r="F470" s="60"/>
      <c r="G470" s="59"/>
      <c r="H470" s="61"/>
      <c r="I470" s="59"/>
      <c r="J470" s="59"/>
      <c r="K470" s="59"/>
      <c r="L470" s="59"/>
      <c r="M470" s="59"/>
      <c r="N470" s="59"/>
      <c r="O470" s="59"/>
      <c r="P470" s="59"/>
      <c r="Q470" s="59"/>
      <c r="R470" s="59"/>
      <c r="S470" s="59"/>
      <c r="T470" s="59"/>
      <c r="U470" s="59"/>
      <c r="V470" s="59"/>
      <c r="W470" s="59"/>
      <c r="X470" s="59"/>
      <c r="Y470" s="59"/>
      <c r="Z470" s="59"/>
    </row>
    <row r="471" ht="15.75" customHeight="1">
      <c r="A471" s="59"/>
      <c r="C471" s="59"/>
      <c r="D471" s="59"/>
      <c r="E471" s="59"/>
      <c r="F471" s="60"/>
      <c r="G471" s="59"/>
      <c r="H471" s="61"/>
      <c r="I471" s="59"/>
      <c r="J471" s="59"/>
      <c r="K471" s="59"/>
      <c r="L471" s="59"/>
      <c r="M471" s="59"/>
      <c r="N471" s="59"/>
      <c r="O471" s="59"/>
      <c r="P471" s="59"/>
      <c r="Q471" s="59"/>
      <c r="R471" s="59"/>
      <c r="S471" s="59"/>
      <c r="T471" s="59"/>
      <c r="U471" s="59"/>
      <c r="V471" s="59"/>
      <c r="W471" s="59"/>
      <c r="X471" s="59"/>
      <c r="Y471" s="59"/>
      <c r="Z471" s="59"/>
    </row>
    <row r="472" ht="15.75" customHeight="1">
      <c r="A472" s="59"/>
      <c r="C472" s="59"/>
      <c r="D472" s="59"/>
      <c r="E472" s="59"/>
      <c r="F472" s="60"/>
      <c r="G472" s="59"/>
      <c r="H472" s="61"/>
      <c r="I472" s="59"/>
      <c r="J472" s="59"/>
      <c r="K472" s="59"/>
      <c r="L472" s="59"/>
      <c r="M472" s="59"/>
      <c r="N472" s="59"/>
      <c r="O472" s="59"/>
      <c r="P472" s="59"/>
      <c r="Q472" s="59"/>
      <c r="R472" s="59"/>
      <c r="S472" s="59"/>
      <c r="T472" s="59"/>
      <c r="U472" s="59"/>
      <c r="V472" s="59"/>
      <c r="W472" s="59"/>
      <c r="X472" s="59"/>
      <c r="Y472" s="59"/>
      <c r="Z472" s="59"/>
    </row>
    <row r="473" ht="15.75" customHeight="1">
      <c r="A473" s="59"/>
      <c r="C473" s="59"/>
      <c r="D473" s="59"/>
      <c r="E473" s="59"/>
      <c r="F473" s="60"/>
      <c r="G473" s="59"/>
      <c r="H473" s="61"/>
      <c r="I473" s="59"/>
      <c r="J473" s="59"/>
      <c r="K473" s="59"/>
      <c r="L473" s="59"/>
      <c r="M473" s="59"/>
      <c r="N473" s="59"/>
      <c r="O473" s="59"/>
      <c r="P473" s="59"/>
      <c r="Q473" s="59"/>
      <c r="R473" s="59"/>
      <c r="S473" s="59"/>
      <c r="T473" s="59"/>
      <c r="U473" s="59"/>
      <c r="V473" s="59"/>
      <c r="W473" s="59"/>
      <c r="X473" s="59"/>
      <c r="Y473" s="59"/>
      <c r="Z473" s="59"/>
    </row>
    <row r="474" ht="15.75" customHeight="1">
      <c r="A474" s="59"/>
      <c r="C474" s="59"/>
      <c r="D474" s="59"/>
      <c r="E474" s="59"/>
      <c r="F474" s="60"/>
      <c r="G474" s="59"/>
      <c r="H474" s="61"/>
      <c r="I474" s="59"/>
      <c r="J474" s="59"/>
      <c r="K474" s="59"/>
      <c r="L474" s="59"/>
      <c r="M474" s="59"/>
      <c r="N474" s="59"/>
      <c r="O474" s="59"/>
      <c r="P474" s="59"/>
      <c r="Q474" s="59"/>
      <c r="R474" s="59"/>
      <c r="S474" s="59"/>
      <c r="T474" s="59"/>
      <c r="U474" s="59"/>
      <c r="V474" s="59"/>
      <c r="W474" s="59"/>
      <c r="X474" s="59"/>
      <c r="Y474" s="59"/>
      <c r="Z474" s="59"/>
    </row>
    <row r="475" ht="15.75" customHeight="1">
      <c r="A475" s="59"/>
      <c r="C475" s="59"/>
      <c r="D475" s="59"/>
      <c r="E475" s="59"/>
      <c r="F475" s="60"/>
      <c r="G475" s="59"/>
      <c r="H475" s="61"/>
      <c r="I475" s="59"/>
      <c r="J475" s="59"/>
      <c r="K475" s="59"/>
      <c r="L475" s="59"/>
      <c r="M475" s="59"/>
      <c r="N475" s="59"/>
      <c r="O475" s="59"/>
      <c r="P475" s="59"/>
      <c r="Q475" s="59"/>
      <c r="R475" s="59"/>
      <c r="S475" s="59"/>
      <c r="T475" s="59"/>
      <c r="U475" s="59"/>
      <c r="V475" s="59"/>
      <c r="W475" s="59"/>
      <c r="X475" s="59"/>
      <c r="Y475" s="59"/>
      <c r="Z475" s="59"/>
    </row>
    <row r="476" ht="15.75" customHeight="1">
      <c r="A476" s="59"/>
      <c r="C476" s="59"/>
      <c r="D476" s="59"/>
      <c r="E476" s="59"/>
      <c r="F476" s="60"/>
      <c r="G476" s="59"/>
      <c r="H476" s="61"/>
      <c r="I476" s="59"/>
      <c r="J476" s="59"/>
      <c r="K476" s="59"/>
      <c r="L476" s="59"/>
      <c r="M476" s="59"/>
      <c r="N476" s="59"/>
      <c r="O476" s="59"/>
      <c r="P476" s="59"/>
      <c r="Q476" s="59"/>
      <c r="R476" s="59"/>
      <c r="S476" s="59"/>
      <c r="T476" s="59"/>
      <c r="U476" s="59"/>
      <c r="V476" s="59"/>
      <c r="W476" s="59"/>
      <c r="X476" s="59"/>
      <c r="Y476" s="59"/>
      <c r="Z476" s="59"/>
    </row>
    <row r="477" ht="15.75" customHeight="1">
      <c r="A477" s="59"/>
      <c r="C477" s="59"/>
      <c r="D477" s="59"/>
      <c r="E477" s="59"/>
      <c r="F477" s="60"/>
      <c r="G477" s="59"/>
      <c r="H477" s="61"/>
      <c r="I477" s="59"/>
      <c r="J477" s="59"/>
      <c r="K477" s="59"/>
      <c r="L477" s="59"/>
      <c r="M477" s="59"/>
      <c r="N477" s="59"/>
      <c r="O477" s="59"/>
      <c r="P477" s="59"/>
      <c r="Q477" s="59"/>
      <c r="R477" s="59"/>
      <c r="S477" s="59"/>
      <c r="T477" s="59"/>
      <c r="U477" s="59"/>
      <c r="V477" s="59"/>
      <c r="W477" s="59"/>
      <c r="X477" s="59"/>
      <c r="Y477" s="59"/>
      <c r="Z477" s="59"/>
    </row>
    <row r="478" ht="15.75" customHeight="1">
      <c r="A478" s="59"/>
      <c r="C478" s="59"/>
      <c r="D478" s="59"/>
      <c r="E478" s="59"/>
      <c r="F478" s="60"/>
      <c r="G478" s="59"/>
      <c r="H478" s="61"/>
      <c r="I478" s="59"/>
      <c r="J478" s="59"/>
      <c r="K478" s="59"/>
      <c r="L478" s="59"/>
      <c r="M478" s="59"/>
      <c r="N478" s="59"/>
      <c r="O478" s="59"/>
      <c r="P478" s="59"/>
      <c r="Q478" s="59"/>
      <c r="R478" s="59"/>
      <c r="S478" s="59"/>
      <c r="T478" s="59"/>
      <c r="U478" s="59"/>
      <c r="V478" s="59"/>
      <c r="W478" s="59"/>
      <c r="X478" s="59"/>
      <c r="Y478" s="59"/>
      <c r="Z478" s="59"/>
    </row>
    <row r="479" ht="15.75" customHeight="1">
      <c r="A479" s="59"/>
      <c r="C479" s="59"/>
      <c r="D479" s="59"/>
      <c r="E479" s="59"/>
      <c r="F479" s="60"/>
      <c r="G479" s="59"/>
      <c r="H479" s="61"/>
      <c r="I479" s="59"/>
      <c r="J479" s="59"/>
      <c r="K479" s="59"/>
      <c r="L479" s="59"/>
      <c r="M479" s="59"/>
      <c r="N479" s="59"/>
      <c r="O479" s="59"/>
      <c r="P479" s="59"/>
      <c r="Q479" s="59"/>
      <c r="R479" s="59"/>
      <c r="S479" s="59"/>
      <c r="T479" s="59"/>
      <c r="U479" s="59"/>
      <c r="V479" s="59"/>
      <c r="W479" s="59"/>
      <c r="X479" s="59"/>
      <c r="Y479" s="59"/>
      <c r="Z479" s="59"/>
    </row>
    <row r="480" ht="15.75" customHeight="1">
      <c r="A480" s="59"/>
      <c r="C480" s="59"/>
      <c r="D480" s="59"/>
      <c r="E480" s="59"/>
      <c r="F480" s="60"/>
      <c r="G480" s="59"/>
      <c r="H480" s="61"/>
      <c r="I480" s="59"/>
      <c r="J480" s="59"/>
      <c r="K480" s="59"/>
      <c r="L480" s="59"/>
      <c r="M480" s="59"/>
      <c r="N480" s="59"/>
      <c r="O480" s="59"/>
      <c r="P480" s="59"/>
      <c r="Q480" s="59"/>
      <c r="R480" s="59"/>
      <c r="S480" s="59"/>
      <c r="T480" s="59"/>
      <c r="U480" s="59"/>
      <c r="V480" s="59"/>
      <c r="W480" s="59"/>
      <c r="X480" s="59"/>
      <c r="Y480" s="59"/>
      <c r="Z480" s="59"/>
    </row>
    <row r="481" ht="15.75" customHeight="1">
      <c r="A481" s="59"/>
      <c r="C481" s="59"/>
      <c r="D481" s="59"/>
      <c r="E481" s="59"/>
      <c r="F481" s="60"/>
      <c r="G481" s="59"/>
      <c r="H481" s="61"/>
      <c r="I481" s="59"/>
      <c r="J481" s="59"/>
      <c r="K481" s="59"/>
      <c r="L481" s="59"/>
      <c r="M481" s="59"/>
      <c r="N481" s="59"/>
      <c r="O481" s="59"/>
      <c r="P481" s="59"/>
      <c r="Q481" s="59"/>
      <c r="R481" s="59"/>
      <c r="S481" s="59"/>
      <c r="T481" s="59"/>
      <c r="U481" s="59"/>
      <c r="V481" s="59"/>
      <c r="W481" s="59"/>
      <c r="X481" s="59"/>
      <c r="Y481" s="59"/>
      <c r="Z481" s="59"/>
    </row>
    <row r="482" ht="15.75" customHeight="1">
      <c r="A482" s="59"/>
      <c r="C482" s="59"/>
      <c r="D482" s="59"/>
      <c r="E482" s="59"/>
      <c r="F482" s="60"/>
      <c r="G482" s="59"/>
      <c r="H482" s="61"/>
      <c r="I482" s="59"/>
      <c r="J482" s="59"/>
      <c r="K482" s="59"/>
      <c r="L482" s="59"/>
      <c r="M482" s="59"/>
      <c r="N482" s="59"/>
      <c r="O482" s="59"/>
      <c r="P482" s="59"/>
      <c r="Q482" s="59"/>
      <c r="R482" s="59"/>
      <c r="S482" s="59"/>
      <c r="T482" s="59"/>
      <c r="U482" s="59"/>
      <c r="V482" s="59"/>
      <c r="W482" s="59"/>
      <c r="X482" s="59"/>
      <c r="Y482" s="59"/>
      <c r="Z482" s="59"/>
    </row>
    <row r="483" ht="15.75" customHeight="1">
      <c r="A483" s="59"/>
      <c r="C483" s="59"/>
      <c r="D483" s="59"/>
      <c r="E483" s="59"/>
      <c r="F483" s="60"/>
      <c r="G483" s="59"/>
      <c r="H483" s="61"/>
      <c r="I483" s="59"/>
      <c r="J483" s="59"/>
      <c r="K483" s="59"/>
      <c r="L483" s="59"/>
      <c r="M483" s="59"/>
      <c r="N483" s="59"/>
      <c r="O483" s="59"/>
      <c r="P483" s="59"/>
      <c r="Q483" s="59"/>
      <c r="R483" s="59"/>
      <c r="S483" s="59"/>
      <c r="T483" s="59"/>
      <c r="U483" s="59"/>
      <c r="V483" s="59"/>
      <c r="W483" s="59"/>
      <c r="X483" s="59"/>
      <c r="Y483" s="59"/>
      <c r="Z483" s="59"/>
    </row>
    <row r="484" ht="15.75" customHeight="1">
      <c r="A484" s="59"/>
      <c r="C484" s="59"/>
      <c r="D484" s="59"/>
      <c r="E484" s="59"/>
      <c r="F484" s="60"/>
      <c r="G484" s="59"/>
      <c r="H484" s="61"/>
      <c r="I484" s="59"/>
      <c r="J484" s="59"/>
      <c r="K484" s="59"/>
      <c r="L484" s="59"/>
      <c r="M484" s="59"/>
      <c r="N484" s="59"/>
      <c r="O484" s="59"/>
      <c r="P484" s="59"/>
      <c r="Q484" s="59"/>
      <c r="R484" s="59"/>
      <c r="S484" s="59"/>
      <c r="T484" s="59"/>
      <c r="U484" s="59"/>
      <c r="V484" s="59"/>
      <c r="W484" s="59"/>
      <c r="X484" s="59"/>
      <c r="Y484" s="59"/>
      <c r="Z484" s="59"/>
    </row>
    <row r="485" ht="15.75" customHeight="1">
      <c r="A485" s="59"/>
      <c r="C485" s="59"/>
      <c r="D485" s="59"/>
      <c r="E485" s="59"/>
      <c r="F485" s="60"/>
      <c r="G485" s="59"/>
      <c r="H485" s="61"/>
      <c r="I485" s="59"/>
      <c r="J485" s="59"/>
      <c r="K485" s="59"/>
      <c r="L485" s="59"/>
      <c r="M485" s="59"/>
      <c r="N485" s="59"/>
      <c r="O485" s="59"/>
      <c r="P485" s="59"/>
      <c r="Q485" s="59"/>
      <c r="R485" s="59"/>
      <c r="S485" s="59"/>
      <c r="T485" s="59"/>
      <c r="U485" s="59"/>
      <c r="V485" s="59"/>
      <c r="W485" s="59"/>
      <c r="X485" s="59"/>
      <c r="Y485" s="59"/>
      <c r="Z485" s="59"/>
    </row>
    <row r="486" ht="15.75" customHeight="1">
      <c r="A486" s="59"/>
      <c r="C486" s="59"/>
      <c r="D486" s="59"/>
      <c r="E486" s="59"/>
      <c r="F486" s="60"/>
      <c r="G486" s="59"/>
      <c r="H486" s="61"/>
      <c r="I486" s="59"/>
      <c r="J486" s="59"/>
      <c r="K486" s="59"/>
      <c r="L486" s="59"/>
      <c r="M486" s="59"/>
      <c r="N486" s="59"/>
      <c r="O486" s="59"/>
      <c r="P486" s="59"/>
      <c r="Q486" s="59"/>
      <c r="R486" s="59"/>
      <c r="S486" s="59"/>
      <c r="T486" s="59"/>
      <c r="U486" s="59"/>
      <c r="V486" s="59"/>
      <c r="W486" s="59"/>
      <c r="X486" s="59"/>
      <c r="Y486" s="59"/>
      <c r="Z486" s="59"/>
    </row>
    <row r="487" ht="15.75" customHeight="1">
      <c r="A487" s="59"/>
      <c r="C487" s="59"/>
      <c r="D487" s="59"/>
      <c r="E487" s="59"/>
      <c r="F487" s="60"/>
      <c r="G487" s="59"/>
      <c r="H487" s="61"/>
      <c r="I487" s="59"/>
      <c r="J487" s="59"/>
      <c r="K487" s="59"/>
      <c r="L487" s="59"/>
      <c r="M487" s="59"/>
      <c r="N487" s="59"/>
      <c r="O487" s="59"/>
      <c r="P487" s="59"/>
      <c r="Q487" s="59"/>
      <c r="R487" s="59"/>
      <c r="S487" s="59"/>
      <c r="T487" s="59"/>
      <c r="U487" s="59"/>
      <c r="V487" s="59"/>
      <c r="W487" s="59"/>
      <c r="X487" s="59"/>
      <c r="Y487" s="59"/>
      <c r="Z487" s="59"/>
    </row>
    <row r="488" ht="15.75" customHeight="1">
      <c r="A488" s="59"/>
      <c r="C488" s="59"/>
      <c r="D488" s="59"/>
      <c r="E488" s="59"/>
      <c r="F488" s="60"/>
      <c r="G488" s="59"/>
      <c r="H488" s="61"/>
      <c r="I488" s="59"/>
      <c r="J488" s="59"/>
      <c r="K488" s="59"/>
      <c r="L488" s="59"/>
      <c r="M488" s="59"/>
      <c r="N488" s="59"/>
      <c r="O488" s="59"/>
      <c r="P488" s="59"/>
      <c r="Q488" s="59"/>
      <c r="R488" s="59"/>
      <c r="S488" s="59"/>
      <c r="T488" s="59"/>
      <c r="U488" s="59"/>
      <c r="V488" s="59"/>
      <c r="W488" s="59"/>
      <c r="X488" s="59"/>
      <c r="Y488" s="59"/>
      <c r="Z488" s="59"/>
    </row>
    <row r="489" ht="15.75" customHeight="1">
      <c r="A489" s="59"/>
      <c r="C489" s="59"/>
      <c r="D489" s="59"/>
      <c r="E489" s="59"/>
      <c r="F489" s="60"/>
      <c r="G489" s="59"/>
      <c r="H489" s="61"/>
      <c r="I489" s="59"/>
      <c r="J489" s="59"/>
      <c r="K489" s="59"/>
      <c r="L489" s="59"/>
      <c r="M489" s="59"/>
      <c r="N489" s="59"/>
      <c r="O489" s="59"/>
      <c r="P489" s="59"/>
      <c r="Q489" s="59"/>
      <c r="R489" s="59"/>
      <c r="S489" s="59"/>
      <c r="T489" s="59"/>
      <c r="U489" s="59"/>
      <c r="V489" s="59"/>
      <c r="W489" s="59"/>
      <c r="X489" s="59"/>
      <c r="Y489" s="59"/>
      <c r="Z489" s="59"/>
    </row>
    <row r="490" ht="15.75" customHeight="1">
      <c r="A490" s="59"/>
      <c r="C490" s="59"/>
      <c r="D490" s="59"/>
      <c r="E490" s="59"/>
      <c r="F490" s="60"/>
      <c r="G490" s="59"/>
      <c r="H490" s="61"/>
      <c r="I490" s="59"/>
      <c r="J490" s="59"/>
      <c r="K490" s="59"/>
      <c r="L490" s="59"/>
      <c r="M490" s="59"/>
      <c r="N490" s="59"/>
      <c r="O490" s="59"/>
      <c r="P490" s="59"/>
      <c r="Q490" s="59"/>
      <c r="R490" s="59"/>
      <c r="S490" s="59"/>
      <c r="T490" s="59"/>
      <c r="U490" s="59"/>
      <c r="V490" s="59"/>
      <c r="W490" s="59"/>
      <c r="X490" s="59"/>
      <c r="Y490" s="59"/>
      <c r="Z490" s="59"/>
    </row>
    <row r="491" ht="15.75" customHeight="1">
      <c r="A491" s="59"/>
      <c r="C491" s="59"/>
      <c r="D491" s="59"/>
      <c r="E491" s="59"/>
      <c r="F491" s="60"/>
      <c r="G491" s="59"/>
      <c r="H491" s="61"/>
      <c r="I491" s="59"/>
      <c r="J491" s="59"/>
      <c r="K491" s="59"/>
      <c r="L491" s="59"/>
      <c r="M491" s="59"/>
      <c r="N491" s="59"/>
      <c r="O491" s="59"/>
      <c r="P491" s="59"/>
      <c r="Q491" s="59"/>
      <c r="R491" s="59"/>
      <c r="S491" s="59"/>
      <c r="T491" s="59"/>
      <c r="U491" s="59"/>
      <c r="V491" s="59"/>
      <c r="W491" s="59"/>
      <c r="X491" s="59"/>
      <c r="Y491" s="59"/>
      <c r="Z491" s="59"/>
    </row>
    <row r="492" ht="15.75" customHeight="1">
      <c r="A492" s="59"/>
      <c r="C492" s="59"/>
      <c r="D492" s="59"/>
      <c r="E492" s="59"/>
      <c r="F492" s="60"/>
      <c r="G492" s="59"/>
      <c r="H492" s="61"/>
      <c r="I492" s="59"/>
      <c r="J492" s="59"/>
      <c r="K492" s="59"/>
      <c r="L492" s="59"/>
      <c r="M492" s="59"/>
      <c r="N492" s="59"/>
      <c r="O492" s="59"/>
      <c r="P492" s="59"/>
      <c r="Q492" s="59"/>
      <c r="R492" s="59"/>
      <c r="S492" s="59"/>
      <c r="T492" s="59"/>
      <c r="U492" s="59"/>
      <c r="V492" s="59"/>
      <c r="W492" s="59"/>
      <c r="X492" s="59"/>
      <c r="Y492" s="59"/>
      <c r="Z492" s="59"/>
    </row>
    <row r="493" ht="15.75" customHeight="1">
      <c r="A493" s="59"/>
      <c r="C493" s="59"/>
      <c r="D493" s="59"/>
      <c r="E493" s="59"/>
      <c r="F493" s="60"/>
      <c r="G493" s="59"/>
      <c r="H493" s="61"/>
      <c r="I493" s="59"/>
      <c r="J493" s="59"/>
      <c r="K493" s="59"/>
      <c r="L493" s="59"/>
      <c r="M493" s="59"/>
      <c r="N493" s="59"/>
      <c r="O493" s="59"/>
      <c r="P493" s="59"/>
      <c r="Q493" s="59"/>
      <c r="R493" s="59"/>
      <c r="S493" s="59"/>
      <c r="T493" s="59"/>
      <c r="U493" s="59"/>
      <c r="V493" s="59"/>
      <c r="W493" s="59"/>
      <c r="X493" s="59"/>
      <c r="Y493" s="59"/>
      <c r="Z493" s="59"/>
    </row>
    <row r="494" ht="15.75" customHeight="1">
      <c r="A494" s="59"/>
      <c r="C494" s="59"/>
      <c r="D494" s="59"/>
      <c r="E494" s="59"/>
      <c r="F494" s="60"/>
      <c r="G494" s="59"/>
      <c r="H494" s="61"/>
      <c r="I494" s="59"/>
      <c r="J494" s="59"/>
      <c r="K494" s="59"/>
      <c r="L494" s="59"/>
      <c r="M494" s="59"/>
      <c r="N494" s="59"/>
      <c r="O494" s="59"/>
      <c r="P494" s="59"/>
      <c r="Q494" s="59"/>
      <c r="R494" s="59"/>
      <c r="S494" s="59"/>
      <c r="T494" s="59"/>
      <c r="U494" s="59"/>
      <c r="V494" s="59"/>
      <c r="W494" s="59"/>
      <c r="X494" s="59"/>
      <c r="Y494" s="59"/>
      <c r="Z494" s="59"/>
    </row>
    <row r="495" ht="15.75" customHeight="1">
      <c r="A495" s="59"/>
      <c r="C495" s="59"/>
      <c r="D495" s="59"/>
      <c r="E495" s="59"/>
      <c r="F495" s="60"/>
      <c r="G495" s="59"/>
      <c r="H495" s="61"/>
      <c r="I495" s="59"/>
      <c r="J495" s="59"/>
      <c r="K495" s="59"/>
      <c r="L495" s="59"/>
      <c r="M495" s="59"/>
      <c r="N495" s="59"/>
      <c r="O495" s="59"/>
      <c r="P495" s="59"/>
      <c r="Q495" s="59"/>
      <c r="R495" s="59"/>
      <c r="S495" s="59"/>
      <c r="T495" s="59"/>
      <c r="U495" s="59"/>
      <c r="V495" s="59"/>
      <c r="W495" s="59"/>
      <c r="X495" s="59"/>
      <c r="Y495" s="59"/>
      <c r="Z495" s="59"/>
    </row>
    <row r="496" ht="15.75" customHeight="1">
      <c r="A496" s="59"/>
      <c r="C496" s="59"/>
      <c r="D496" s="59"/>
      <c r="E496" s="59"/>
      <c r="F496" s="60"/>
      <c r="G496" s="59"/>
      <c r="H496" s="61"/>
      <c r="I496" s="59"/>
      <c r="J496" s="59"/>
      <c r="K496" s="59"/>
      <c r="L496" s="59"/>
      <c r="M496" s="59"/>
      <c r="N496" s="59"/>
      <c r="O496" s="59"/>
      <c r="P496" s="59"/>
      <c r="Q496" s="59"/>
      <c r="R496" s="59"/>
      <c r="S496" s="59"/>
      <c r="T496" s="59"/>
      <c r="U496" s="59"/>
      <c r="V496" s="59"/>
      <c r="W496" s="59"/>
      <c r="X496" s="59"/>
      <c r="Y496" s="59"/>
      <c r="Z496" s="59"/>
    </row>
    <row r="497" ht="15.75" customHeight="1">
      <c r="A497" s="59"/>
      <c r="C497" s="59"/>
      <c r="D497" s="59"/>
      <c r="E497" s="59"/>
      <c r="F497" s="60"/>
      <c r="G497" s="59"/>
      <c r="H497" s="61"/>
      <c r="I497" s="59"/>
      <c r="J497" s="59"/>
      <c r="K497" s="59"/>
      <c r="L497" s="59"/>
      <c r="M497" s="59"/>
      <c r="N497" s="59"/>
      <c r="O497" s="59"/>
      <c r="P497" s="59"/>
      <c r="Q497" s="59"/>
      <c r="R497" s="59"/>
      <c r="S497" s="59"/>
      <c r="T497" s="59"/>
      <c r="U497" s="59"/>
      <c r="V497" s="59"/>
      <c r="W497" s="59"/>
      <c r="X497" s="59"/>
      <c r="Y497" s="59"/>
      <c r="Z497" s="59"/>
    </row>
    <row r="498" ht="15.75" customHeight="1">
      <c r="A498" s="59"/>
      <c r="C498" s="59"/>
      <c r="D498" s="59"/>
      <c r="E498" s="59"/>
      <c r="F498" s="60"/>
      <c r="G498" s="59"/>
      <c r="H498" s="61"/>
      <c r="I498" s="59"/>
      <c r="J498" s="59"/>
      <c r="K498" s="59"/>
      <c r="L498" s="59"/>
      <c r="M498" s="59"/>
      <c r="N498" s="59"/>
      <c r="O498" s="59"/>
      <c r="P498" s="59"/>
      <c r="Q498" s="59"/>
      <c r="R498" s="59"/>
      <c r="S498" s="59"/>
      <c r="T498" s="59"/>
      <c r="U498" s="59"/>
      <c r="V498" s="59"/>
      <c r="W498" s="59"/>
      <c r="X498" s="59"/>
      <c r="Y498" s="59"/>
      <c r="Z498" s="59"/>
    </row>
    <row r="499" ht="15.75" customHeight="1">
      <c r="A499" s="59"/>
      <c r="C499" s="59"/>
      <c r="D499" s="59"/>
      <c r="E499" s="59"/>
      <c r="F499" s="60"/>
      <c r="G499" s="59"/>
      <c r="H499" s="61"/>
      <c r="I499" s="59"/>
      <c r="J499" s="59"/>
      <c r="K499" s="59"/>
      <c r="L499" s="59"/>
      <c r="M499" s="59"/>
      <c r="N499" s="59"/>
      <c r="O499" s="59"/>
      <c r="P499" s="59"/>
      <c r="Q499" s="59"/>
      <c r="R499" s="59"/>
      <c r="S499" s="59"/>
      <c r="T499" s="59"/>
      <c r="U499" s="59"/>
      <c r="V499" s="59"/>
      <c r="W499" s="59"/>
      <c r="X499" s="59"/>
      <c r="Y499" s="59"/>
      <c r="Z499" s="59"/>
    </row>
    <row r="500" ht="15.75" customHeight="1">
      <c r="A500" s="59"/>
      <c r="C500" s="59"/>
      <c r="D500" s="59"/>
      <c r="E500" s="59"/>
      <c r="F500" s="60"/>
      <c r="G500" s="59"/>
      <c r="H500" s="61"/>
      <c r="I500" s="59"/>
      <c r="J500" s="59"/>
      <c r="K500" s="59"/>
      <c r="L500" s="59"/>
      <c r="M500" s="59"/>
      <c r="N500" s="59"/>
      <c r="O500" s="59"/>
      <c r="P500" s="59"/>
      <c r="Q500" s="59"/>
      <c r="R500" s="59"/>
      <c r="S500" s="59"/>
      <c r="T500" s="59"/>
      <c r="U500" s="59"/>
      <c r="V500" s="59"/>
      <c r="W500" s="59"/>
      <c r="X500" s="59"/>
      <c r="Y500" s="59"/>
      <c r="Z500" s="59"/>
    </row>
    <row r="501" ht="15.75" customHeight="1">
      <c r="A501" s="59"/>
      <c r="C501" s="59"/>
      <c r="D501" s="59"/>
      <c r="E501" s="59"/>
      <c r="F501" s="60"/>
      <c r="G501" s="59"/>
      <c r="H501" s="61"/>
      <c r="I501" s="59"/>
      <c r="J501" s="59"/>
      <c r="K501" s="59"/>
      <c r="L501" s="59"/>
      <c r="M501" s="59"/>
      <c r="N501" s="59"/>
      <c r="O501" s="59"/>
      <c r="P501" s="59"/>
      <c r="Q501" s="59"/>
      <c r="R501" s="59"/>
      <c r="S501" s="59"/>
      <c r="T501" s="59"/>
      <c r="U501" s="59"/>
      <c r="V501" s="59"/>
      <c r="W501" s="59"/>
      <c r="X501" s="59"/>
      <c r="Y501" s="59"/>
      <c r="Z501" s="59"/>
    </row>
    <row r="502" ht="15.75" customHeight="1">
      <c r="A502" s="59"/>
      <c r="C502" s="59"/>
      <c r="D502" s="59"/>
      <c r="E502" s="59"/>
      <c r="F502" s="60"/>
      <c r="G502" s="59"/>
      <c r="H502" s="61"/>
      <c r="I502" s="59"/>
      <c r="J502" s="59"/>
      <c r="K502" s="59"/>
      <c r="L502" s="59"/>
      <c r="M502" s="59"/>
      <c r="N502" s="59"/>
      <c r="O502" s="59"/>
      <c r="P502" s="59"/>
      <c r="Q502" s="59"/>
      <c r="R502" s="59"/>
      <c r="S502" s="59"/>
      <c r="T502" s="59"/>
      <c r="U502" s="59"/>
      <c r="V502" s="59"/>
      <c r="W502" s="59"/>
      <c r="X502" s="59"/>
      <c r="Y502" s="59"/>
      <c r="Z502" s="59"/>
    </row>
    <row r="503" ht="15.75" customHeight="1">
      <c r="A503" s="59"/>
      <c r="C503" s="59"/>
      <c r="D503" s="59"/>
      <c r="E503" s="59"/>
      <c r="F503" s="60"/>
      <c r="G503" s="59"/>
      <c r="H503" s="61"/>
      <c r="I503" s="59"/>
      <c r="J503" s="59"/>
      <c r="K503" s="59"/>
      <c r="L503" s="59"/>
      <c r="M503" s="59"/>
      <c r="N503" s="59"/>
      <c r="O503" s="59"/>
      <c r="P503" s="59"/>
      <c r="Q503" s="59"/>
      <c r="R503" s="59"/>
      <c r="S503" s="59"/>
      <c r="T503" s="59"/>
      <c r="U503" s="59"/>
      <c r="V503" s="59"/>
      <c r="W503" s="59"/>
      <c r="X503" s="59"/>
      <c r="Y503" s="59"/>
      <c r="Z503" s="59"/>
    </row>
    <row r="504" ht="15.75" customHeight="1">
      <c r="A504" s="59"/>
      <c r="C504" s="59"/>
      <c r="D504" s="59"/>
      <c r="E504" s="59"/>
      <c r="F504" s="60"/>
      <c r="G504" s="59"/>
      <c r="H504" s="61"/>
      <c r="I504" s="59"/>
      <c r="J504" s="59"/>
      <c r="K504" s="59"/>
      <c r="L504" s="59"/>
      <c r="M504" s="59"/>
      <c r="N504" s="59"/>
      <c r="O504" s="59"/>
      <c r="P504" s="59"/>
      <c r="Q504" s="59"/>
      <c r="R504" s="59"/>
      <c r="S504" s="59"/>
      <c r="T504" s="59"/>
      <c r="U504" s="59"/>
      <c r="V504" s="59"/>
      <c r="W504" s="59"/>
      <c r="X504" s="59"/>
      <c r="Y504" s="59"/>
      <c r="Z504" s="59"/>
    </row>
    <row r="505" ht="15.75" customHeight="1">
      <c r="A505" s="59"/>
      <c r="C505" s="59"/>
      <c r="D505" s="59"/>
      <c r="E505" s="59"/>
      <c r="F505" s="60"/>
      <c r="G505" s="59"/>
      <c r="H505" s="61"/>
      <c r="I505" s="59"/>
      <c r="J505" s="59"/>
      <c r="K505" s="59"/>
      <c r="L505" s="59"/>
      <c r="M505" s="59"/>
      <c r="N505" s="59"/>
      <c r="O505" s="59"/>
      <c r="P505" s="59"/>
      <c r="Q505" s="59"/>
      <c r="R505" s="59"/>
      <c r="S505" s="59"/>
      <c r="T505" s="59"/>
      <c r="U505" s="59"/>
      <c r="V505" s="59"/>
      <c r="W505" s="59"/>
      <c r="X505" s="59"/>
      <c r="Y505" s="59"/>
      <c r="Z505" s="59"/>
    </row>
    <row r="506" ht="15.75" customHeight="1">
      <c r="A506" s="59"/>
      <c r="C506" s="59"/>
      <c r="D506" s="59"/>
      <c r="E506" s="59"/>
      <c r="F506" s="60"/>
      <c r="G506" s="59"/>
      <c r="H506" s="61"/>
      <c r="I506" s="59"/>
      <c r="J506" s="59"/>
      <c r="K506" s="59"/>
      <c r="L506" s="59"/>
      <c r="M506" s="59"/>
      <c r="N506" s="59"/>
      <c r="O506" s="59"/>
      <c r="P506" s="59"/>
      <c r="Q506" s="59"/>
      <c r="R506" s="59"/>
      <c r="S506" s="59"/>
      <c r="T506" s="59"/>
      <c r="U506" s="59"/>
      <c r="V506" s="59"/>
      <c r="W506" s="59"/>
      <c r="X506" s="59"/>
      <c r="Y506" s="59"/>
      <c r="Z506" s="59"/>
    </row>
    <row r="507" ht="15.75" customHeight="1">
      <c r="A507" s="59"/>
      <c r="C507" s="59"/>
      <c r="D507" s="59"/>
      <c r="E507" s="59"/>
      <c r="F507" s="60"/>
      <c r="G507" s="59"/>
      <c r="H507" s="61"/>
      <c r="I507" s="59"/>
      <c r="J507" s="59"/>
      <c r="K507" s="59"/>
      <c r="L507" s="59"/>
      <c r="M507" s="59"/>
      <c r="N507" s="59"/>
      <c r="O507" s="59"/>
      <c r="P507" s="59"/>
      <c r="Q507" s="59"/>
      <c r="R507" s="59"/>
      <c r="S507" s="59"/>
      <c r="T507" s="59"/>
      <c r="U507" s="59"/>
      <c r="V507" s="59"/>
      <c r="W507" s="59"/>
      <c r="X507" s="59"/>
      <c r="Y507" s="59"/>
      <c r="Z507" s="59"/>
    </row>
    <row r="508" ht="15.75" customHeight="1">
      <c r="A508" s="59"/>
      <c r="C508" s="59"/>
      <c r="D508" s="59"/>
      <c r="E508" s="59"/>
      <c r="F508" s="60"/>
      <c r="G508" s="59"/>
      <c r="H508" s="61"/>
      <c r="I508" s="59"/>
      <c r="J508" s="59"/>
      <c r="K508" s="59"/>
      <c r="L508" s="59"/>
      <c r="M508" s="59"/>
      <c r="N508" s="59"/>
      <c r="O508" s="59"/>
      <c r="P508" s="59"/>
      <c r="Q508" s="59"/>
      <c r="R508" s="59"/>
      <c r="S508" s="59"/>
      <c r="T508" s="59"/>
      <c r="U508" s="59"/>
      <c r="V508" s="59"/>
      <c r="W508" s="59"/>
      <c r="X508" s="59"/>
      <c r="Y508" s="59"/>
      <c r="Z508" s="59"/>
    </row>
    <row r="509" ht="15.75" customHeight="1">
      <c r="A509" s="59"/>
      <c r="C509" s="59"/>
      <c r="D509" s="59"/>
      <c r="E509" s="59"/>
      <c r="F509" s="60"/>
      <c r="G509" s="59"/>
      <c r="H509" s="61"/>
      <c r="I509" s="59"/>
      <c r="J509" s="59"/>
      <c r="K509" s="59"/>
      <c r="L509" s="59"/>
      <c r="M509" s="59"/>
      <c r="N509" s="59"/>
      <c r="O509" s="59"/>
      <c r="P509" s="59"/>
      <c r="Q509" s="59"/>
      <c r="R509" s="59"/>
      <c r="S509" s="59"/>
      <c r="T509" s="59"/>
      <c r="U509" s="59"/>
      <c r="V509" s="59"/>
      <c r="W509" s="59"/>
      <c r="X509" s="59"/>
      <c r="Y509" s="59"/>
      <c r="Z509" s="59"/>
    </row>
    <row r="510" ht="15.75" customHeight="1">
      <c r="A510" s="59"/>
      <c r="C510" s="59"/>
      <c r="D510" s="59"/>
      <c r="E510" s="59"/>
      <c r="F510" s="60"/>
      <c r="G510" s="59"/>
      <c r="H510" s="61"/>
      <c r="I510" s="59"/>
      <c r="J510" s="59"/>
      <c r="K510" s="59"/>
      <c r="L510" s="59"/>
      <c r="M510" s="59"/>
      <c r="N510" s="59"/>
      <c r="O510" s="59"/>
      <c r="P510" s="59"/>
      <c r="Q510" s="59"/>
      <c r="R510" s="59"/>
      <c r="S510" s="59"/>
      <c r="T510" s="59"/>
      <c r="U510" s="59"/>
      <c r="V510" s="59"/>
      <c r="W510" s="59"/>
      <c r="X510" s="59"/>
      <c r="Y510" s="59"/>
      <c r="Z510" s="59"/>
    </row>
    <row r="511" ht="15.75" customHeight="1">
      <c r="A511" s="59"/>
      <c r="C511" s="59"/>
      <c r="D511" s="59"/>
      <c r="E511" s="59"/>
      <c r="F511" s="60"/>
      <c r="G511" s="59"/>
      <c r="H511" s="61"/>
      <c r="I511" s="59"/>
      <c r="J511" s="59"/>
      <c r="K511" s="59"/>
      <c r="L511" s="59"/>
      <c r="M511" s="59"/>
      <c r="N511" s="59"/>
      <c r="O511" s="59"/>
      <c r="P511" s="59"/>
      <c r="Q511" s="59"/>
      <c r="R511" s="59"/>
      <c r="S511" s="59"/>
      <c r="T511" s="59"/>
      <c r="U511" s="59"/>
      <c r="V511" s="59"/>
      <c r="W511" s="59"/>
      <c r="X511" s="59"/>
      <c r="Y511" s="59"/>
      <c r="Z511" s="59"/>
    </row>
    <row r="512" ht="15.75" customHeight="1">
      <c r="A512" s="59"/>
      <c r="C512" s="59"/>
      <c r="D512" s="59"/>
      <c r="E512" s="59"/>
      <c r="F512" s="60"/>
      <c r="G512" s="59"/>
      <c r="H512" s="61"/>
      <c r="I512" s="59"/>
      <c r="J512" s="59"/>
      <c r="K512" s="59"/>
      <c r="L512" s="59"/>
      <c r="M512" s="59"/>
      <c r="N512" s="59"/>
      <c r="O512" s="59"/>
      <c r="P512" s="59"/>
      <c r="Q512" s="59"/>
      <c r="R512" s="59"/>
      <c r="S512" s="59"/>
      <c r="T512" s="59"/>
      <c r="U512" s="59"/>
      <c r="V512" s="59"/>
      <c r="W512" s="59"/>
      <c r="X512" s="59"/>
      <c r="Y512" s="59"/>
      <c r="Z512" s="59"/>
    </row>
    <row r="513" ht="15.75" customHeight="1">
      <c r="A513" s="59"/>
      <c r="C513" s="59"/>
      <c r="D513" s="59"/>
      <c r="E513" s="59"/>
      <c r="F513" s="60"/>
      <c r="G513" s="59"/>
      <c r="H513" s="61"/>
      <c r="I513" s="59"/>
      <c r="J513" s="59"/>
      <c r="K513" s="59"/>
      <c r="L513" s="59"/>
      <c r="M513" s="59"/>
      <c r="N513" s="59"/>
      <c r="O513" s="59"/>
      <c r="P513" s="59"/>
      <c r="Q513" s="59"/>
      <c r="R513" s="59"/>
      <c r="S513" s="59"/>
      <c r="T513" s="59"/>
      <c r="U513" s="59"/>
      <c r="V513" s="59"/>
      <c r="W513" s="59"/>
      <c r="X513" s="59"/>
      <c r="Y513" s="59"/>
      <c r="Z513" s="59"/>
    </row>
    <row r="514" ht="15.75" customHeight="1">
      <c r="A514" s="59"/>
      <c r="C514" s="59"/>
      <c r="D514" s="59"/>
      <c r="E514" s="59"/>
      <c r="F514" s="60"/>
      <c r="G514" s="59"/>
      <c r="H514" s="61"/>
      <c r="I514" s="59"/>
      <c r="J514" s="59"/>
      <c r="K514" s="59"/>
      <c r="L514" s="59"/>
      <c r="M514" s="59"/>
      <c r="N514" s="59"/>
      <c r="O514" s="59"/>
      <c r="P514" s="59"/>
      <c r="Q514" s="59"/>
      <c r="R514" s="59"/>
      <c r="S514" s="59"/>
      <c r="T514" s="59"/>
      <c r="U514" s="59"/>
      <c r="V514" s="59"/>
      <c r="W514" s="59"/>
      <c r="X514" s="59"/>
      <c r="Y514" s="59"/>
      <c r="Z514" s="59"/>
    </row>
    <row r="515" ht="15.75" customHeight="1">
      <c r="A515" s="59"/>
      <c r="C515" s="59"/>
      <c r="D515" s="59"/>
      <c r="E515" s="59"/>
      <c r="F515" s="60"/>
      <c r="G515" s="59"/>
      <c r="H515" s="61"/>
      <c r="I515" s="59"/>
      <c r="J515" s="59"/>
      <c r="K515" s="59"/>
      <c r="L515" s="59"/>
      <c r="M515" s="59"/>
      <c r="N515" s="59"/>
      <c r="O515" s="59"/>
      <c r="P515" s="59"/>
      <c r="Q515" s="59"/>
      <c r="R515" s="59"/>
      <c r="S515" s="59"/>
      <c r="T515" s="59"/>
      <c r="U515" s="59"/>
      <c r="V515" s="59"/>
      <c r="W515" s="59"/>
      <c r="X515" s="59"/>
      <c r="Y515" s="59"/>
      <c r="Z515" s="59"/>
    </row>
    <row r="516" ht="15.75" customHeight="1">
      <c r="A516" s="59"/>
      <c r="C516" s="59"/>
      <c r="D516" s="59"/>
      <c r="E516" s="59"/>
      <c r="F516" s="60"/>
      <c r="G516" s="59"/>
      <c r="H516" s="61"/>
      <c r="I516" s="59"/>
      <c r="J516" s="59"/>
      <c r="K516" s="59"/>
      <c r="L516" s="59"/>
      <c r="M516" s="59"/>
      <c r="N516" s="59"/>
      <c r="O516" s="59"/>
      <c r="P516" s="59"/>
      <c r="Q516" s="59"/>
      <c r="R516" s="59"/>
      <c r="S516" s="59"/>
      <c r="T516" s="59"/>
      <c r="U516" s="59"/>
      <c r="V516" s="59"/>
      <c r="W516" s="59"/>
      <c r="X516" s="59"/>
      <c r="Y516" s="59"/>
      <c r="Z516" s="59"/>
    </row>
    <row r="517" ht="15.75" customHeight="1">
      <c r="A517" s="59"/>
      <c r="C517" s="59"/>
      <c r="D517" s="59"/>
      <c r="E517" s="59"/>
      <c r="F517" s="60"/>
      <c r="G517" s="59"/>
      <c r="H517" s="61"/>
      <c r="I517" s="59"/>
      <c r="J517" s="59"/>
      <c r="K517" s="59"/>
      <c r="L517" s="59"/>
      <c r="M517" s="59"/>
      <c r="N517" s="59"/>
      <c r="O517" s="59"/>
      <c r="P517" s="59"/>
      <c r="Q517" s="59"/>
      <c r="R517" s="59"/>
      <c r="S517" s="59"/>
      <c r="T517" s="59"/>
      <c r="U517" s="59"/>
      <c r="V517" s="59"/>
      <c r="W517" s="59"/>
      <c r="X517" s="59"/>
      <c r="Y517" s="59"/>
      <c r="Z517" s="59"/>
    </row>
    <row r="518" ht="15.75" customHeight="1">
      <c r="A518" s="59"/>
      <c r="C518" s="59"/>
      <c r="D518" s="59"/>
      <c r="E518" s="59"/>
      <c r="F518" s="60"/>
      <c r="G518" s="59"/>
      <c r="H518" s="61"/>
      <c r="I518" s="59"/>
      <c r="J518" s="59"/>
      <c r="K518" s="59"/>
      <c r="L518" s="59"/>
      <c r="M518" s="59"/>
      <c r="N518" s="59"/>
      <c r="O518" s="59"/>
      <c r="P518" s="59"/>
      <c r="Q518" s="59"/>
      <c r="R518" s="59"/>
      <c r="S518" s="59"/>
      <c r="T518" s="59"/>
      <c r="U518" s="59"/>
      <c r="V518" s="59"/>
      <c r="W518" s="59"/>
      <c r="X518" s="59"/>
      <c r="Y518" s="59"/>
      <c r="Z518" s="59"/>
    </row>
    <row r="519" ht="15.75" customHeight="1">
      <c r="A519" s="59"/>
      <c r="C519" s="59"/>
      <c r="D519" s="59"/>
      <c r="E519" s="59"/>
      <c r="F519" s="60"/>
      <c r="G519" s="59"/>
      <c r="H519" s="61"/>
      <c r="I519" s="59"/>
      <c r="J519" s="59"/>
      <c r="K519" s="59"/>
      <c r="L519" s="59"/>
      <c r="M519" s="59"/>
      <c r="N519" s="59"/>
      <c r="O519" s="59"/>
      <c r="P519" s="59"/>
      <c r="Q519" s="59"/>
      <c r="R519" s="59"/>
      <c r="S519" s="59"/>
      <c r="T519" s="59"/>
      <c r="U519" s="59"/>
      <c r="V519" s="59"/>
      <c r="W519" s="59"/>
      <c r="X519" s="59"/>
      <c r="Y519" s="59"/>
      <c r="Z519" s="59"/>
    </row>
    <row r="520" ht="15.75" customHeight="1">
      <c r="A520" s="59"/>
      <c r="C520" s="59"/>
      <c r="D520" s="59"/>
      <c r="E520" s="59"/>
      <c r="F520" s="60"/>
      <c r="G520" s="59"/>
      <c r="H520" s="61"/>
      <c r="I520" s="59"/>
      <c r="J520" s="59"/>
      <c r="K520" s="59"/>
      <c r="L520" s="59"/>
      <c r="M520" s="59"/>
      <c r="N520" s="59"/>
      <c r="O520" s="59"/>
      <c r="P520" s="59"/>
      <c r="Q520" s="59"/>
      <c r="R520" s="59"/>
      <c r="S520" s="59"/>
      <c r="T520" s="59"/>
      <c r="U520" s="59"/>
      <c r="V520" s="59"/>
      <c r="W520" s="59"/>
      <c r="X520" s="59"/>
      <c r="Y520" s="59"/>
      <c r="Z520" s="59"/>
    </row>
    <row r="521" ht="15.75" customHeight="1">
      <c r="A521" s="59"/>
      <c r="C521" s="59"/>
      <c r="D521" s="59"/>
      <c r="E521" s="59"/>
      <c r="F521" s="60"/>
      <c r="G521" s="59"/>
      <c r="H521" s="61"/>
      <c r="I521" s="59"/>
      <c r="J521" s="59"/>
      <c r="K521" s="59"/>
      <c r="L521" s="59"/>
      <c r="M521" s="59"/>
      <c r="N521" s="59"/>
      <c r="O521" s="59"/>
      <c r="P521" s="59"/>
      <c r="Q521" s="59"/>
      <c r="R521" s="59"/>
      <c r="S521" s="59"/>
      <c r="T521" s="59"/>
      <c r="U521" s="59"/>
      <c r="V521" s="59"/>
      <c r="W521" s="59"/>
      <c r="X521" s="59"/>
      <c r="Y521" s="59"/>
      <c r="Z521" s="59"/>
    </row>
    <row r="522" ht="15.75" customHeight="1">
      <c r="A522" s="59"/>
      <c r="C522" s="59"/>
      <c r="D522" s="59"/>
      <c r="E522" s="59"/>
      <c r="F522" s="60"/>
      <c r="G522" s="59"/>
      <c r="H522" s="61"/>
      <c r="I522" s="59"/>
      <c r="J522" s="59"/>
      <c r="K522" s="59"/>
      <c r="L522" s="59"/>
      <c r="M522" s="59"/>
      <c r="N522" s="59"/>
      <c r="O522" s="59"/>
      <c r="P522" s="59"/>
      <c r="Q522" s="59"/>
      <c r="R522" s="59"/>
      <c r="S522" s="59"/>
      <c r="T522" s="59"/>
      <c r="U522" s="59"/>
      <c r="V522" s="59"/>
      <c r="W522" s="59"/>
      <c r="X522" s="59"/>
      <c r="Y522" s="59"/>
      <c r="Z522" s="59"/>
    </row>
    <row r="523" ht="15.75" customHeight="1">
      <c r="A523" s="59"/>
      <c r="C523" s="59"/>
      <c r="D523" s="59"/>
      <c r="E523" s="59"/>
      <c r="F523" s="60"/>
      <c r="G523" s="59"/>
      <c r="H523" s="61"/>
      <c r="I523" s="59"/>
      <c r="J523" s="59"/>
      <c r="K523" s="59"/>
      <c r="L523" s="59"/>
      <c r="M523" s="59"/>
      <c r="N523" s="59"/>
      <c r="O523" s="59"/>
      <c r="P523" s="59"/>
      <c r="Q523" s="59"/>
      <c r="R523" s="59"/>
      <c r="S523" s="59"/>
      <c r="T523" s="59"/>
      <c r="U523" s="59"/>
      <c r="V523" s="59"/>
      <c r="W523" s="59"/>
      <c r="X523" s="59"/>
      <c r="Y523" s="59"/>
      <c r="Z523" s="59"/>
    </row>
    <row r="524" ht="15.75" customHeight="1">
      <c r="A524" s="59"/>
      <c r="C524" s="59"/>
      <c r="D524" s="59"/>
      <c r="E524" s="59"/>
      <c r="F524" s="60"/>
      <c r="G524" s="59"/>
      <c r="H524" s="61"/>
      <c r="I524" s="59"/>
      <c r="J524" s="59"/>
      <c r="K524" s="59"/>
      <c r="L524" s="59"/>
      <c r="M524" s="59"/>
      <c r="N524" s="59"/>
      <c r="O524" s="59"/>
      <c r="P524" s="59"/>
      <c r="Q524" s="59"/>
      <c r="R524" s="59"/>
      <c r="S524" s="59"/>
      <c r="T524" s="59"/>
      <c r="U524" s="59"/>
      <c r="V524" s="59"/>
      <c r="W524" s="59"/>
      <c r="X524" s="59"/>
      <c r="Y524" s="59"/>
      <c r="Z524" s="59"/>
    </row>
    <row r="525" ht="15.75" customHeight="1">
      <c r="A525" s="59"/>
      <c r="C525" s="59"/>
      <c r="D525" s="59"/>
      <c r="E525" s="59"/>
      <c r="F525" s="60"/>
      <c r="G525" s="59"/>
      <c r="H525" s="61"/>
      <c r="I525" s="59"/>
      <c r="J525" s="59"/>
      <c r="K525" s="59"/>
      <c r="L525" s="59"/>
      <c r="M525" s="59"/>
      <c r="N525" s="59"/>
      <c r="O525" s="59"/>
      <c r="P525" s="59"/>
      <c r="Q525" s="59"/>
      <c r="R525" s="59"/>
      <c r="S525" s="59"/>
      <c r="T525" s="59"/>
      <c r="U525" s="59"/>
      <c r="V525" s="59"/>
      <c r="W525" s="59"/>
      <c r="X525" s="59"/>
      <c r="Y525" s="59"/>
      <c r="Z525" s="59"/>
    </row>
    <row r="526" ht="15.75" customHeight="1">
      <c r="A526" s="59"/>
      <c r="C526" s="59"/>
      <c r="D526" s="59"/>
      <c r="E526" s="59"/>
      <c r="F526" s="60"/>
      <c r="G526" s="59"/>
      <c r="H526" s="61"/>
      <c r="I526" s="59"/>
      <c r="J526" s="59"/>
      <c r="K526" s="59"/>
      <c r="L526" s="59"/>
      <c r="M526" s="59"/>
      <c r="N526" s="59"/>
      <c r="O526" s="59"/>
      <c r="P526" s="59"/>
      <c r="Q526" s="59"/>
      <c r="R526" s="59"/>
      <c r="S526" s="59"/>
      <c r="T526" s="59"/>
      <c r="U526" s="59"/>
      <c r="V526" s="59"/>
      <c r="W526" s="59"/>
      <c r="X526" s="59"/>
      <c r="Y526" s="59"/>
      <c r="Z526" s="59"/>
    </row>
    <row r="527" ht="15.75" customHeight="1">
      <c r="A527" s="59"/>
      <c r="C527" s="59"/>
      <c r="D527" s="59"/>
      <c r="E527" s="59"/>
      <c r="F527" s="60"/>
      <c r="G527" s="59"/>
      <c r="H527" s="61"/>
      <c r="I527" s="59"/>
      <c r="J527" s="59"/>
      <c r="K527" s="59"/>
      <c r="L527" s="59"/>
      <c r="M527" s="59"/>
      <c r="N527" s="59"/>
      <c r="O527" s="59"/>
      <c r="P527" s="59"/>
      <c r="Q527" s="59"/>
      <c r="R527" s="59"/>
      <c r="S527" s="59"/>
      <c r="T527" s="59"/>
      <c r="U527" s="59"/>
      <c r="V527" s="59"/>
      <c r="W527" s="59"/>
      <c r="X527" s="59"/>
      <c r="Y527" s="59"/>
      <c r="Z527" s="59"/>
    </row>
    <row r="528" ht="15.75" customHeight="1">
      <c r="A528" s="59"/>
      <c r="C528" s="59"/>
      <c r="D528" s="59"/>
      <c r="E528" s="59"/>
      <c r="F528" s="60"/>
      <c r="G528" s="59"/>
      <c r="H528" s="61"/>
      <c r="I528" s="59"/>
      <c r="J528" s="59"/>
      <c r="K528" s="59"/>
      <c r="L528" s="59"/>
      <c r="M528" s="59"/>
      <c r="N528" s="59"/>
      <c r="O528" s="59"/>
      <c r="P528" s="59"/>
      <c r="Q528" s="59"/>
      <c r="R528" s="59"/>
      <c r="S528" s="59"/>
      <c r="T528" s="59"/>
      <c r="U528" s="59"/>
      <c r="V528" s="59"/>
      <c r="W528" s="59"/>
      <c r="X528" s="59"/>
      <c r="Y528" s="59"/>
      <c r="Z528" s="59"/>
    </row>
    <row r="529" ht="15.75" customHeight="1">
      <c r="A529" s="59"/>
      <c r="C529" s="59"/>
      <c r="D529" s="59"/>
      <c r="E529" s="59"/>
      <c r="F529" s="60"/>
      <c r="G529" s="59"/>
      <c r="H529" s="61"/>
      <c r="I529" s="59"/>
      <c r="J529" s="59"/>
      <c r="K529" s="59"/>
      <c r="L529" s="59"/>
      <c r="M529" s="59"/>
      <c r="N529" s="59"/>
      <c r="O529" s="59"/>
      <c r="P529" s="59"/>
      <c r="Q529" s="59"/>
      <c r="R529" s="59"/>
      <c r="S529" s="59"/>
      <c r="T529" s="59"/>
      <c r="U529" s="59"/>
      <c r="V529" s="59"/>
      <c r="W529" s="59"/>
      <c r="X529" s="59"/>
      <c r="Y529" s="59"/>
      <c r="Z529" s="59"/>
    </row>
    <row r="530" ht="15.75" customHeight="1">
      <c r="A530" s="59"/>
      <c r="C530" s="59"/>
      <c r="D530" s="59"/>
      <c r="E530" s="59"/>
      <c r="F530" s="60"/>
      <c r="G530" s="59"/>
      <c r="H530" s="61"/>
      <c r="I530" s="59"/>
      <c r="J530" s="59"/>
      <c r="K530" s="59"/>
      <c r="L530" s="59"/>
      <c r="M530" s="59"/>
      <c r="N530" s="59"/>
      <c r="O530" s="59"/>
      <c r="P530" s="59"/>
      <c r="Q530" s="59"/>
      <c r="R530" s="59"/>
      <c r="S530" s="59"/>
      <c r="T530" s="59"/>
      <c r="U530" s="59"/>
      <c r="V530" s="59"/>
      <c r="W530" s="59"/>
      <c r="X530" s="59"/>
      <c r="Y530" s="59"/>
      <c r="Z530" s="59"/>
    </row>
    <row r="531" ht="15.75" customHeight="1">
      <c r="A531" s="59"/>
      <c r="C531" s="59"/>
      <c r="D531" s="59"/>
      <c r="E531" s="59"/>
      <c r="F531" s="60"/>
      <c r="G531" s="59"/>
      <c r="H531" s="61"/>
      <c r="I531" s="59"/>
      <c r="J531" s="59"/>
      <c r="K531" s="59"/>
      <c r="L531" s="59"/>
      <c r="M531" s="59"/>
      <c r="N531" s="59"/>
      <c r="O531" s="59"/>
      <c r="P531" s="59"/>
      <c r="Q531" s="59"/>
      <c r="R531" s="59"/>
      <c r="S531" s="59"/>
      <c r="T531" s="59"/>
      <c r="U531" s="59"/>
      <c r="V531" s="59"/>
      <c r="W531" s="59"/>
      <c r="X531" s="59"/>
      <c r="Y531" s="59"/>
      <c r="Z531" s="59"/>
    </row>
    <row r="532" ht="15.75" customHeight="1">
      <c r="A532" s="59"/>
      <c r="C532" s="59"/>
      <c r="D532" s="59"/>
      <c r="E532" s="59"/>
      <c r="F532" s="60"/>
      <c r="G532" s="59"/>
      <c r="H532" s="61"/>
      <c r="I532" s="59"/>
      <c r="J532" s="59"/>
      <c r="K532" s="59"/>
      <c r="L532" s="59"/>
      <c r="M532" s="59"/>
      <c r="N532" s="59"/>
      <c r="O532" s="59"/>
      <c r="P532" s="59"/>
      <c r="Q532" s="59"/>
      <c r="R532" s="59"/>
      <c r="S532" s="59"/>
      <c r="T532" s="59"/>
      <c r="U532" s="59"/>
      <c r="V532" s="59"/>
      <c r="W532" s="59"/>
      <c r="X532" s="59"/>
      <c r="Y532" s="59"/>
      <c r="Z532" s="59"/>
    </row>
    <row r="533" ht="15.75" customHeight="1">
      <c r="A533" s="59"/>
      <c r="C533" s="59"/>
      <c r="D533" s="59"/>
      <c r="E533" s="59"/>
      <c r="F533" s="60"/>
      <c r="G533" s="59"/>
      <c r="H533" s="61"/>
      <c r="I533" s="59"/>
      <c r="J533" s="59"/>
      <c r="K533" s="59"/>
      <c r="L533" s="59"/>
      <c r="M533" s="59"/>
      <c r="N533" s="59"/>
      <c r="O533" s="59"/>
      <c r="P533" s="59"/>
      <c r="Q533" s="59"/>
      <c r="R533" s="59"/>
      <c r="S533" s="59"/>
      <c r="T533" s="59"/>
      <c r="U533" s="59"/>
      <c r="V533" s="59"/>
      <c r="W533" s="59"/>
      <c r="X533" s="59"/>
      <c r="Y533" s="59"/>
      <c r="Z533" s="59"/>
    </row>
    <row r="534" ht="15.75" customHeight="1">
      <c r="A534" s="59"/>
      <c r="C534" s="59"/>
      <c r="D534" s="59"/>
      <c r="E534" s="59"/>
      <c r="F534" s="60"/>
      <c r="G534" s="59"/>
      <c r="H534" s="61"/>
      <c r="I534" s="59"/>
      <c r="J534" s="59"/>
      <c r="K534" s="59"/>
      <c r="L534" s="59"/>
      <c r="M534" s="59"/>
      <c r="N534" s="59"/>
      <c r="O534" s="59"/>
      <c r="P534" s="59"/>
      <c r="Q534" s="59"/>
      <c r="R534" s="59"/>
      <c r="S534" s="59"/>
      <c r="T534" s="59"/>
      <c r="U534" s="59"/>
      <c r="V534" s="59"/>
      <c r="W534" s="59"/>
      <c r="X534" s="59"/>
      <c r="Y534" s="59"/>
      <c r="Z534" s="59"/>
    </row>
    <row r="535" ht="15.75" customHeight="1">
      <c r="A535" s="59"/>
      <c r="C535" s="59"/>
      <c r="D535" s="59"/>
      <c r="E535" s="59"/>
      <c r="F535" s="60"/>
      <c r="G535" s="59"/>
      <c r="H535" s="61"/>
      <c r="I535" s="59"/>
      <c r="J535" s="59"/>
      <c r="K535" s="59"/>
      <c r="L535" s="59"/>
      <c r="M535" s="59"/>
      <c r="N535" s="59"/>
      <c r="O535" s="59"/>
      <c r="P535" s="59"/>
      <c r="Q535" s="59"/>
      <c r="R535" s="59"/>
      <c r="S535" s="59"/>
      <c r="T535" s="59"/>
      <c r="U535" s="59"/>
      <c r="V535" s="59"/>
      <c r="W535" s="59"/>
      <c r="X535" s="59"/>
      <c r="Y535" s="59"/>
      <c r="Z535" s="59"/>
    </row>
    <row r="536" ht="15.75" customHeight="1">
      <c r="A536" s="59"/>
      <c r="C536" s="59"/>
      <c r="D536" s="59"/>
      <c r="E536" s="59"/>
      <c r="F536" s="60"/>
      <c r="G536" s="59"/>
      <c r="H536" s="61"/>
      <c r="I536" s="59"/>
      <c r="J536" s="59"/>
      <c r="K536" s="59"/>
      <c r="L536" s="59"/>
      <c r="M536" s="59"/>
      <c r="N536" s="59"/>
      <c r="O536" s="59"/>
      <c r="P536" s="59"/>
      <c r="Q536" s="59"/>
      <c r="R536" s="59"/>
      <c r="S536" s="59"/>
      <c r="T536" s="59"/>
      <c r="U536" s="59"/>
      <c r="V536" s="59"/>
      <c r="W536" s="59"/>
      <c r="X536" s="59"/>
      <c r="Y536" s="59"/>
      <c r="Z536" s="59"/>
    </row>
    <row r="537" ht="15.75" customHeight="1">
      <c r="A537" s="59"/>
      <c r="C537" s="59"/>
      <c r="D537" s="59"/>
      <c r="E537" s="59"/>
      <c r="F537" s="60"/>
      <c r="G537" s="59"/>
      <c r="H537" s="61"/>
      <c r="I537" s="59"/>
      <c r="J537" s="59"/>
      <c r="K537" s="59"/>
      <c r="L537" s="59"/>
      <c r="M537" s="59"/>
      <c r="N537" s="59"/>
      <c r="O537" s="59"/>
      <c r="P537" s="59"/>
      <c r="Q537" s="59"/>
      <c r="R537" s="59"/>
      <c r="S537" s="59"/>
      <c r="T537" s="59"/>
      <c r="U537" s="59"/>
      <c r="V537" s="59"/>
      <c r="W537" s="59"/>
      <c r="X537" s="59"/>
      <c r="Y537" s="59"/>
      <c r="Z537" s="59"/>
    </row>
    <row r="538" ht="15.75" customHeight="1">
      <c r="A538" s="59"/>
      <c r="C538" s="59"/>
      <c r="D538" s="59"/>
      <c r="E538" s="59"/>
      <c r="F538" s="60"/>
      <c r="G538" s="59"/>
      <c r="H538" s="61"/>
      <c r="I538" s="59"/>
      <c r="J538" s="59"/>
      <c r="K538" s="59"/>
      <c r="L538" s="59"/>
      <c r="M538" s="59"/>
      <c r="N538" s="59"/>
      <c r="O538" s="59"/>
      <c r="P538" s="59"/>
      <c r="Q538" s="59"/>
      <c r="R538" s="59"/>
      <c r="S538" s="59"/>
      <c r="T538" s="59"/>
      <c r="U538" s="59"/>
      <c r="V538" s="59"/>
      <c r="W538" s="59"/>
      <c r="X538" s="59"/>
      <c r="Y538" s="59"/>
      <c r="Z538" s="59"/>
    </row>
    <row r="539" ht="15.75" customHeight="1">
      <c r="A539" s="59"/>
      <c r="C539" s="59"/>
      <c r="D539" s="59"/>
      <c r="E539" s="59"/>
      <c r="F539" s="60"/>
      <c r="G539" s="59"/>
      <c r="H539" s="61"/>
      <c r="I539" s="59"/>
      <c r="J539" s="59"/>
      <c r="K539" s="59"/>
      <c r="L539" s="59"/>
      <c r="M539" s="59"/>
      <c r="N539" s="59"/>
      <c r="O539" s="59"/>
      <c r="P539" s="59"/>
      <c r="Q539" s="59"/>
      <c r="R539" s="59"/>
      <c r="S539" s="59"/>
      <c r="T539" s="59"/>
      <c r="U539" s="59"/>
      <c r="V539" s="59"/>
      <c r="W539" s="59"/>
      <c r="X539" s="59"/>
      <c r="Y539" s="59"/>
      <c r="Z539" s="59"/>
    </row>
    <row r="540" ht="15.75" customHeight="1">
      <c r="A540" s="59"/>
      <c r="C540" s="59"/>
      <c r="D540" s="59"/>
      <c r="E540" s="59"/>
      <c r="F540" s="60"/>
      <c r="G540" s="59"/>
      <c r="H540" s="61"/>
      <c r="I540" s="59"/>
      <c r="J540" s="59"/>
      <c r="K540" s="59"/>
      <c r="L540" s="59"/>
      <c r="M540" s="59"/>
      <c r="N540" s="59"/>
      <c r="O540" s="59"/>
      <c r="P540" s="59"/>
      <c r="Q540" s="59"/>
      <c r="R540" s="59"/>
      <c r="S540" s="59"/>
      <c r="T540" s="59"/>
      <c r="U540" s="59"/>
      <c r="V540" s="59"/>
      <c r="W540" s="59"/>
      <c r="X540" s="59"/>
      <c r="Y540" s="59"/>
      <c r="Z540" s="59"/>
    </row>
    <row r="541" ht="15.75" customHeight="1">
      <c r="A541" s="59"/>
      <c r="C541" s="59"/>
      <c r="D541" s="59"/>
      <c r="E541" s="59"/>
      <c r="F541" s="60"/>
      <c r="G541" s="59"/>
      <c r="H541" s="61"/>
      <c r="I541" s="59"/>
      <c r="J541" s="59"/>
      <c r="K541" s="59"/>
      <c r="L541" s="59"/>
      <c r="M541" s="59"/>
      <c r="N541" s="59"/>
      <c r="O541" s="59"/>
      <c r="P541" s="59"/>
      <c r="Q541" s="59"/>
      <c r="R541" s="59"/>
      <c r="S541" s="59"/>
      <c r="T541" s="59"/>
      <c r="U541" s="59"/>
      <c r="V541" s="59"/>
      <c r="W541" s="59"/>
      <c r="X541" s="59"/>
      <c r="Y541" s="59"/>
      <c r="Z541" s="59"/>
    </row>
    <row r="542" ht="15.75" customHeight="1">
      <c r="A542" s="59"/>
      <c r="C542" s="59"/>
      <c r="D542" s="59"/>
      <c r="E542" s="59"/>
      <c r="F542" s="60"/>
      <c r="G542" s="59"/>
      <c r="H542" s="61"/>
      <c r="I542" s="59"/>
      <c r="J542" s="59"/>
      <c r="K542" s="59"/>
      <c r="L542" s="59"/>
      <c r="M542" s="59"/>
      <c r="N542" s="59"/>
      <c r="O542" s="59"/>
      <c r="P542" s="59"/>
      <c r="Q542" s="59"/>
      <c r="R542" s="59"/>
      <c r="S542" s="59"/>
      <c r="T542" s="59"/>
      <c r="U542" s="59"/>
      <c r="V542" s="59"/>
      <c r="W542" s="59"/>
      <c r="X542" s="59"/>
      <c r="Y542" s="59"/>
      <c r="Z542" s="59"/>
    </row>
    <row r="543" ht="15.75" customHeight="1">
      <c r="A543" s="59"/>
      <c r="C543" s="59"/>
      <c r="D543" s="59"/>
      <c r="E543" s="59"/>
      <c r="F543" s="60"/>
      <c r="G543" s="59"/>
      <c r="H543" s="61"/>
      <c r="I543" s="59"/>
      <c r="J543" s="59"/>
      <c r="K543" s="59"/>
      <c r="L543" s="59"/>
      <c r="M543" s="59"/>
      <c r="N543" s="59"/>
      <c r="O543" s="59"/>
      <c r="P543" s="59"/>
      <c r="Q543" s="59"/>
      <c r="R543" s="59"/>
      <c r="S543" s="59"/>
      <c r="T543" s="59"/>
      <c r="U543" s="59"/>
      <c r="V543" s="59"/>
      <c r="W543" s="59"/>
      <c r="X543" s="59"/>
      <c r="Y543" s="59"/>
      <c r="Z543" s="59"/>
    </row>
    <row r="544" ht="15.75" customHeight="1">
      <c r="A544" s="59"/>
      <c r="C544" s="59"/>
      <c r="D544" s="59"/>
      <c r="E544" s="59"/>
      <c r="F544" s="60"/>
      <c r="G544" s="59"/>
      <c r="H544" s="61"/>
      <c r="I544" s="59"/>
      <c r="J544" s="59"/>
      <c r="K544" s="59"/>
      <c r="L544" s="59"/>
      <c r="M544" s="59"/>
      <c r="N544" s="59"/>
      <c r="O544" s="59"/>
      <c r="P544" s="59"/>
      <c r="Q544" s="59"/>
      <c r="R544" s="59"/>
      <c r="S544" s="59"/>
      <c r="T544" s="59"/>
      <c r="U544" s="59"/>
      <c r="V544" s="59"/>
      <c r="W544" s="59"/>
      <c r="X544" s="59"/>
      <c r="Y544" s="59"/>
      <c r="Z544" s="59"/>
    </row>
    <row r="545" ht="15.75" customHeight="1">
      <c r="A545" s="59"/>
      <c r="C545" s="59"/>
      <c r="D545" s="59"/>
      <c r="E545" s="59"/>
      <c r="F545" s="60"/>
      <c r="G545" s="59"/>
      <c r="H545" s="61"/>
      <c r="I545" s="59"/>
      <c r="J545" s="59"/>
      <c r="K545" s="59"/>
      <c r="L545" s="59"/>
      <c r="M545" s="59"/>
      <c r="N545" s="59"/>
      <c r="O545" s="59"/>
      <c r="P545" s="59"/>
      <c r="Q545" s="59"/>
      <c r="R545" s="59"/>
      <c r="S545" s="59"/>
      <c r="T545" s="59"/>
      <c r="U545" s="59"/>
      <c r="V545" s="59"/>
      <c r="W545" s="59"/>
      <c r="X545" s="59"/>
      <c r="Y545" s="59"/>
      <c r="Z545" s="59"/>
    </row>
    <row r="546" ht="15.75" customHeight="1">
      <c r="A546" s="59"/>
      <c r="C546" s="59"/>
      <c r="D546" s="59"/>
      <c r="E546" s="59"/>
      <c r="F546" s="60"/>
      <c r="G546" s="59"/>
      <c r="H546" s="61"/>
      <c r="I546" s="59"/>
      <c r="J546" s="59"/>
      <c r="K546" s="59"/>
      <c r="L546" s="59"/>
      <c r="M546" s="59"/>
      <c r="N546" s="59"/>
      <c r="O546" s="59"/>
      <c r="P546" s="59"/>
      <c r="Q546" s="59"/>
      <c r="R546" s="59"/>
      <c r="S546" s="59"/>
      <c r="T546" s="59"/>
      <c r="U546" s="59"/>
      <c r="V546" s="59"/>
      <c r="W546" s="59"/>
      <c r="X546" s="59"/>
      <c r="Y546" s="59"/>
      <c r="Z546" s="59"/>
    </row>
    <row r="547" ht="15.75" customHeight="1">
      <c r="A547" s="59"/>
      <c r="C547" s="59"/>
      <c r="D547" s="59"/>
      <c r="E547" s="59"/>
      <c r="F547" s="60"/>
      <c r="G547" s="59"/>
      <c r="H547" s="61"/>
      <c r="I547" s="59"/>
      <c r="J547" s="59"/>
      <c r="K547" s="59"/>
      <c r="L547" s="59"/>
      <c r="M547" s="59"/>
      <c r="N547" s="59"/>
      <c r="O547" s="59"/>
      <c r="P547" s="59"/>
      <c r="Q547" s="59"/>
      <c r="R547" s="59"/>
      <c r="S547" s="59"/>
      <c r="T547" s="59"/>
      <c r="U547" s="59"/>
      <c r="V547" s="59"/>
      <c r="W547" s="59"/>
      <c r="X547" s="59"/>
      <c r="Y547" s="59"/>
      <c r="Z547" s="59"/>
    </row>
    <row r="548" ht="15.75" customHeight="1">
      <c r="A548" s="59"/>
      <c r="C548" s="59"/>
      <c r="D548" s="59"/>
      <c r="E548" s="59"/>
      <c r="F548" s="60"/>
      <c r="G548" s="59"/>
      <c r="H548" s="61"/>
      <c r="I548" s="59"/>
      <c r="J548" s="59"/>
      <c r="K548" s="59"/>
      <c r="L548" s="59"/>
      <c r="M548" s="59"/>
      <c r="N548" s="59"/>
      <c r="O548" s="59"/>
      <c r="P548" s="59"/>
      <c r="Q548" s="59"/>
      <c r="R548" s="59"/>
      <c r="S548" s="59"/>
      <c r="T548" s="59"/>
      <c r="U548" s="59"/>
      <c r="V548" s="59"/>
      <c r="W548" s="59"/>
      <c r="X548" s="59"/>
      <c r="Y548" s="59"/>
      <c r="Z548" s="59"/>
    </row>
    <row r="549" ht="15.75" customHeight="1">
      <c r="A549" s="59"/>
      <c r="C549" s="59"/>
      <c r="D549" s="59"/>
      <c r="E549" s="59"/>
      <c r="F549" s="60"/>
      <c r="G549" s="59"/>
      <c r="H549" s="61"/>
      <c r="I549" s="59"/>
      <c r="J549" s="59"/>
      <c r="K549" s="59"/>
      <c r="L549" s="59"/>
      <c r="M549" s="59"/>
      <c r="N549" s="59"/>
      <c r="O549" s="59"/>
      <c r="P549" s="59"/>
      <c r="Q549" s="59"/>
      <c r="R549" s="59"/>
      <c r="S549" s="59"/>
      <c r="T549" s="59"/>
      <c r="U549" s="59"/>
      <c r="V549" s="59"/>
      <c r="W549" s="59"/>
      <c r="X549" s="59"/>
      <c r="Y549" s="59"/>
      <c r="Z549" s="59"/>
    </row>
    <row r="550" ht="15.75" customHeight="1">
      <c r="A550" s="59"/>
      <c r="C550" s="59"/>
      <c r="D550" s="59"/>
      <c r="E550" s="59"/>
      <c r="F550" s="60"/>
      <c r="G550" s="59"/>
      <c r="H550" s="61"/>
      <c r="I550" s="59"/>
      <c r="J550" s="59"/>
      <c r="K550" s="59"/>
      <c r="L550" s="59"/>
      <c r="M550" s="59"/>
      <c r="N550" s="59"/>
      <c r="O550" s="59"/>
      <c r="P550" s="59"/>
      <c r="Q550" s="59"/>
      <c r="R550" s="59"/>
      <c r="S550" s="59"/>
      <c r="T550" s="59"/>
      <c r="U550" s="59"/>
      <c r="V550" s="59"/>
      <c r="W550" s="59"/>
      <c r="X550" s="59"/>
      <c r="Y550" s="59"/>
      <c r="Z550" s="59"/>
    </row>
    <row r="551" ht="15.75" customHeight="1">
      <c r="A551" s="59"/>
      <c r="C551" s="59"/>
      <c r="D551" s="59"/>
      <c r="E551" s="59"/>
      <c r="F551" s="60"/>
      <c r="G551" s="59"/>
      <c r="H551" s="61"/>
      <c r="I551" s="59"/>
      <c r="J551" s="59"/>
      <c r="K551" s="59"/>
      <c r="L551" s="59"/>
      <c r="M551" s="59"/>
      <c r="N551" s="59"/>
      <c r="O551" s="59"/>
      <c r="P551" s="59"/>
      <c r="Q551" s="59"/>
      <c r="R551" s="59"/>
      <c r="S551" s="59"/>
      <c r="T551" s="59"/>
      <c r="U551" s="59"/>
      <c r="V551" s="59"/>
      <c r="W551" s="59"/>
      <c r="X551" s="59"/>
      <c r="Y551" s="59"/>
      <c r="Z551" s="59"/>
    </row>
    <row r="552" ht="15.75" customHeight="1">
      <c r="A552" s="59"/>
      <c r="C552" s="59"/>
      <c r="D552" s="59"/>
      <c r="E552" s="59"/>
      <c r="F552" s="60"/>
      <c r="G552" s="59"/>
      <c r="H552" s="61"/>
      <c r="I552" s="59"/>
      <c r="J552" s="59"/>
      <c r="K552" s="59"/>
      <c r="L552" s="59"/>
      <c r="M552" s="59"/>
      <c r="N552" s="59"/>
      <c r="O552" s="59"/>
      <c r="P552" s="59"/>
      <c r="Q552" s="59"/>
      <c r="R552" s="59"/>
      <c r="S552" s="59"/>
      <c r="T552" s="59"/>
      <c r="U552" s="59"/>
      <c r="V552" s="59"/>
      <c r="W552" s="59"/>
      <c r="X552" s="59"/>
      <c r="Y552" s="59"/>
      <c r="Z552" s="59"/>
    </row>
    <row r="553" ht="15.75" customHeight="1">
      <c r="A553" s="59"/>
      <c r="C553" s="59"/>
      <c r="D553" s="59"/>
      <c r="E553" s="59"/>
      <c r="F553" s="60"/>
      <c r="G553" s="59"/>
      <c r="H553" s="61"/>
      <c r="I553" s="59"/>
      <c r="J553" s="59"/>
      <c r="K553" s="59"/>
      <c r="L553" s="59"/>
      <c r="M553" s="59"/>
      <c r="N553" s="59"/>
      <c r="O553" s="59"/>
      <c r="P553" s="59"/>
      <c r="Q553" s="59"/>
      <c r="R553" s="59"/>
      <c r="S553" s="59"/>
      <c r="T553" s="59"/>
      <c r="U553" s="59"/>
      <c r="V553" s="59"/>
      <c r="W553" s="59"/>
      <c r="X553" s="59"/>
      <c r="Y553" s="59"/>
      <c r="Z553" s="59"/>
    </row>
    <row r="554" ht="15.75" customHeight="1">
      <c r="A554" s="59"/>
      <c r="C554" s="59"/>
      <c r="D554" s="59"/>
      <c r="E554" s="59"/>
      <c r="F554" s="60"/>
      <c r="G554" s="59"/>
      <c r="H554" s="61"/>
      <c r="I554" s="59"/>
      <c r="J554" s="59"/>
      <c r="K554" s="59"/>
      <c r="L554" s="59"/>
      <c r="M554" s="59"/>
      <c r="N554" s="59"/>
      <c r="O554" s="59"/>
      <c r="P554" s="59"/>
      <c r="Q554" s="59"/>
      <c r="R554" s="59"/>
      <c r="S554" s="59"/>
      <c r="T554" s="59"/>
      <c r="U554" s="59"/>
      <c r="V554" s="59"/>
      <c r="W554" s="59"/>
      <c r="X554" s="59"/>
      <c r="Y554" s="59"/>
      <c r="Z554" s="59"/>
    </row>
    <row r="555" ht="15.75" customHeight="1">
      <c r="A555" s="59"/>
      <c r="C555" s="59"/>
      <c r="D555" s="59"/>
      <c r="E555" s="59"/>
      <c r="F555" s="60"/>
      <c r="G555" s="59"/>
      <c r="H555" s="61"/>
      <c r="I555" s="59"/>
      <c r="J555" s="59"/>
      <c r="K555" s="59"/>
      <c r="L555" s="59"/>
      <c r="M555" s="59"/>
      <c r="N555" s="59"/>
      <c r="O555" s="59"/>
      <c r="P555" s="59"/>
      <c r="Q555" s="59"/>
      <c r="R555" s="59"/>
      <c r="S555" s="59"/>
      <c r="T555" s="59"/>
      <c r="U555" s="59"/>
      <c r="V555" s="59"/>
      <c r="W555" s="59"/>
      <c r="X555" s="59"/>
      <c r="Y555" s="59"/>
      <c r="Z555" s="59"/>
    </row>
    <row r="556" ht="15.75" customHeight="1">
      <c r="A556" s="59"/>
      <c r="C556" s="59"/>
      <c r="D556" s="59"/>
      <c r="E556" s="59"/>
      <c r="F556" s="60"/>
      <c r="G556" s="59"/>
      <c r="H556" s="61"/>
      <c r="I556" s="59"/>
      <c r="J556" s="59"/>
      <c r="K556" s="59"/>
      <c r="L556" s="59"/>
      <c r="M556" s="59"/>
      <c r="N556" s="59"/>
      <c r="O556" s="59"/>
      <c r="P556" s="59"/>
      <c r="Q556" s="59"/>
      <c r="R556" s="59"/>
      <c r="S556" s="59"/>
      <c r="T556" s="59"/>
      <c r="U556" s="59"/>
      <c r="V556" s="59"/>
      <c r="W556" s="59"/>
      <c r="X556" s="59"/>
      <c r="Y556" s="59"/>
      <c r="Z556" s="59"/>
    </row>
    <row r="557" ht="15.75" customHeight="1">
      <c r="A557" s="59"/>
      <c r="C557" s="59"/>
      <c r="D557" s="59"/>
      <c r="E557" s="59"/>
      <c r="F557" s="60"/>
      <c r="G557" s="59"/>
      <c r="H557" s="61"/>
      <c r="I557" s="59"/>
      <c r="J557" s="59"/>
      <c r="K557" s="59"/>
      <c r="L557" s="59"/>
      <c r="M557" s="59"/>
      <c r="N557" s="59"/>
      <c r="O557" s="59"/>
      <c r="P557" s="59"/>
      <c r="Q557" s="59"/>
      <c r="R557" s="59"/>
      <c r="S557" s="59"/>
      <c r="T557" s="59"/>
      <c r="U557" s="59"/>
      <c r="V557" s="59"/>
      <c r="W557" s="59"/>
      <c r="X557" s="59"/>
      <c r="Y557" s="59"/>
      <c r="Z557" s="59"/>
    </row>
    <row r="558" ht="15.75" customHeight="1">
      <c r="A558" s="59"/>
      <c r="C558" s="59"/>
      <c r="D558" s="59"/>
      <c r="E558" s="59"/>
      <c r="F558" s="60"/>
      <c r="G558" s="59"/>
      <c r="H558" s="61"/>
      <c r="I558" s="59"/>
      <c r="J558" s="59"/>
      <c r="K558" s="59"/>
      <c r="L558" s="59"/>
      <c r="M558" s="59"/>
      <c r="N558" s="59"/>
      <c r="O558" s="59"/>
      <c r="P558" s="59"/>
      <c r="Q558" s="59"/>
      <c r="R558" s="59"/>
      <c r="S558" s="59"/>
      <c r="T558" s="59"/>
      <c r="U558" s="59"/>
      <c r="V558" s="59"/>
      <c r="W558" s="59"/>
      <c r="X558" s="59"/>
      <c r="Y558" s="59"/>
      <c r="Z558" s="59"/>
    </row>
    <row r="559" ht="15.75" customHeight="1">
      <c r="A559" s="59"/>
      <c r="C559" s="59"/>
      <c r="D559" s="59"/>
      <c r="E559" s="59"/>
      <c r="F559" s="60"/>
      <c r="G559" s="59"/>
      <c r="H559" s="61"/>
      <c r="I559" s="59"/>
      <c r="J559" s="59"/>
      <c r="K559" s="59"/>
      <c r="L559" s="59"/>
      <c r="M559" s="59"/>
      <c r="N559" s="59"/>
      <c r="O559" s="59"/>
      <c r="P559" s="59"/>
      <c r="Q559" s="59"/>
      <c r="R559" s="59"/>
      <c r="S559" s="59"/>
      <c r="T559" s="59"/>
      <c r="U559" s="59"/>
      <c r="V559" s="59"/>
      <c r="W559" s="59"/>
      <c r="X559" s="59"/>
      <c r="Y559" s="59"/>
      <c r="Z559" s="59"/>
    </row>
    <row r="560" ht="15.75" customHeight="1">
      <c r="A560" s="59"/>
      <c r="C560" s="59"/>
      <c r="D560" s="59"/>
      <c r="E560" s="59"/>
      <c r="F560" s="60"/>
      <c r="G560" s="59"/>
      <c r="H560" s="61"/>
      <c r="I560" s="59"/>
      <c r="J560" s="59"/>
      <c r="K560" s="59"/>
      <c r="L560" s="59"/>
      <c r="M560" s="59"/>
      <c r="N560" s="59"/>
      <c r="O560" s="59"/>
      <c r="P560" s="59"/>
      <c r="Q560" s="59"/>
      <c r="R560" s="59"/>
      <c r="S560" s="59"/>
      <c r="T560" s="59"/>
      <c r="U560" s="59"/>
      <c r="V560" s="59"/>
      <c r="W560" s="59"/>
      <c r="X560" s="59"/>
      <c r="Y560" s="59"/>
      <c r="Z560" s="59"/>
    </row>
    <row r="561" ht="15.75" customHeight="1">
      <c r="A561" s="59"/>
      <c r="C561" s="59"/>
      <c r="D561" s="59"/>
      <c r="E561" s="59"/>
      <c r="F561" s="60"/>
      <c r="G561" s="59"/>
      <c r="H561" s="61"/>
      <c r="I561" s="59"/>
      <c r="J561" s="59"/>
      <c r="K561" s="59"/>
      <c r="L561" s="59"/>
      <c r="M561" s="59"/>
      <c r="N561" s="59"/>
      <c r="O561" s="59"/>
      <c r="P561" s="59"/>
      <c r="Q561" s="59"/>
      <c r="R561" s="59"/>
      <c r="S561" s="59"/>
      <c r="T561" s="59"/>
      <c r="U561" s="59"/>
      <c r="V561" s="59"/>
      <c r="W561" s="59"/>
      <c r="X561" s="59"/>
      <c r="Y561" s="59"/>
      <c r="Z561" s="59"/>
    </row>
    <row r="562" ht="15.75" customHeight="1">
      <c r="A562" s="59"/>
      <c r="C562" s="59"/>
      <c r="D562" s="59"/>
      <c r="E562" s="59"/>
      <c r="F562" s="60"/>
      <c r="G562" s="59"/>
      <c r="H562" s="61"/>
      <c r="I562" s="59"/>
      <c r="J562" s="59"/>
      <c r="K562" s="59"/>
      <c r="L562" s="59"/>
      <c r="M562" s="59"/>
      <c r="N562" s="59"/>
      <c r="O562" s="59"/>
      <c r="P562" s="59"/>
      <c r="Q562" s="59"/>
      <c r="R562" s="59"/>
      <c r="S562" s="59"/>
      <c r="T562" s="59"/>
      <c r="U562" s="59"/>
      <c r="V562" s="59"/>
      <c r="W562" s="59"/>
      <c r="X562" s="59"/>
      <c r="Y562" s="59"/>
      <c r="Z562" s="59"/>
    </row>
    <row r="563" ht="15.75" customHeight="1">
      <c r="A563" s="59"/>
      <c r="C563" s="59"/>
      <c r="D563" s="59"/>
      <c r="E563" s="59"/>
      <c r="F563" s="60"/>
      <c r="G563" s="59"/>
      <c r="H563" s="61"/>
      <c r="I563" s="59"/>
      <c r="J563" s="59"/>
      <c r="K563" s="59"/>
      <c r="L563" s="59"/>
      <c r="M563" s="59"/>
      <c r="N563" s="59"/>
      <c r="O563" s="59"/>
      <c r="P563" s="59"/>
      <c r="Q563" s="59"/>
      <c r="R563" s="59"/>
      <c r="S563" s="59"/>
      <c r="T563" s="59"/>
      <c r="U563" s="59"/>
      <c r="V563" s="59"/>
      <c r="W563" s="59"/>
      <c r="X563" s="59"/>
      <c r="Y563" s="59"/>
      <c r="Z563" s="59"/>
    </row>
    <row r="564" ht="15.75" customHeight="1">
      <c r="A564" s="59"/>
      <c r="C564" s="59"/>
      <c r="D564" s="59"/>
      <c r="E564" s="59"/>
      <c r="F564" s="60"/>
      <c r="G564" s="59"/>
      <c r="H564" s="61"/>
      <c r="I564" s="59"/>
      <c r="J564" s="59"/>
      <c r="K564" s="59"/>
      <c r="L564" s="59"/>
      <c r="M564" s="59"/>
      <c r="N564" s="59"/>
      <c r="O564" s="59"/>
      <c r="P564" s="59"/>
      <c r="Q564" s="59"/>
      <c r="R564" s="59"/>
      <c r="S564" s="59"/>
      <c r="T564" s="59"/>
      <c r="U564" s="59"/>
      <c r="V564" s="59"/>
      <c r="W564" s="59"/>
      <c r="X564" s="59"/>
      <c r="Y564" s="59"/>
      <c r="Z564" s="59"/>
    </row>
    <row r="565" ht="15.75" customHeight="1">
      <c r="A565" s="59"/>
      <c r="C565" s="59"/>
      <c r="D565" s="59"/>
      <c r="E565" s="59"/>
      <c r="F565" s="60"/>
      <c r="G565" s="59"/>
      <c r="H565" s="61"/>
      <c r="I565" s="59"/>
      <c r="J565" s="59"/>
      <c r="K565" s="59"/>
      <c r="L565" s="59"/>
      <c r="M565" s="59"/>
      <c r="N565" s="59"/>
      <c r="O565" s="59"/>
      <c r="P565" s="59"/>
      <c r="Q565" s="59"/>
      <c r="R565" s="59"/>
      <c r="S565" s="59"/>
      <c r="T565" s="59"/>
      <c r="U565" s="59"/>
      <c r="V565" s="59"/>
      <c r="W565" s="59"/>
      <c r="X565" s="59"/>
      <c r="Y565" s="59"/>
      <c r="Z565" s="59"/>
    </row>
    <row r="566" ht="15.75" customHeight="1">
      <c r="A566" s="59"/>
      <c r="C566" s="59"/>
      <c r="D566" s="59"/>
      <c r="E566" s="59"/>
      <c r="F566" s="60"/>
      <c r="G566" s="59"/>
      <c r="H566" s="61"/>
      <c r="I566" s="59"/>
      <c r="J566" s="59"/>
      <c r="K566" s="59"/>
      <c r="L566" s="59"/>
      <c r="M566" s="59"/>
      <c r="N566" s="59"/>
      <c r="O566" s="59"/>
      <c r="P566" s="59"/>
      <c r="Q566" s="59"/>
      <c r="R566" s="59"/>
      <c r="S566" s="59"/>
      <c r="T566" s="59"/>
      <c r="U566" s="59"/>
      <c r="V566" s="59"/>
      <c r="W566" s="59"/>
      <c r="X566" s="59"/>
      <c r="Y566" s="59"/>
      <c r="Z566" s="59"/>
    </row>
    <row r="567" ht="15.75" customHeight="1">
      <c r="A567" s="59"/>
      <c r="C567" s="59"/>
      <c r="D567" s="59"/>
      <c r="E567" s="59"/>
      <c r="F567" s="60"/>
      <c r="G567" s="59"/>
      <c r="H567" s="61"/>
      <c r="I567" s="59"/>
      <c r="J567" s="59"/>
      <c r="K567" s="59"/>
      <c r="L567" s="59"/>
      <c r="M567" s="59"/>
      <c r="N567" s="59"/>
      <c r="O567" s="59"/>
      <c r="P567" s="59"/>
      <c r="Q567" s="59"/>
      <c r="R567" s="59"/>
      <c r="S567" s="59"/>
      <c r="T567" s="59"/>
      <c r="U567" s="59"/>
      <c r="V567" s="59"/>
      <c r="W567" s="59"/>
      <c r="X567" s="59"/>
      <c r="Y567" s="59"/>
      <c r="Z567" s="59"/>
    </row>
    <row r="568" ht="15.75" customHeight="1">
      <c r="A568" s="59"/>
      <c r="C568" s="59"/>
      <c r="D568" s="59"/>
      <c r="E568" s="59"/>
      <c r="F568" s="60"/>
      <c r="G568" s="59"/>
      <c r="H568" s="61"/>
      <c r="I568" s="59"/>
      <c r="J568" s="59"/>
      <c r="K568" s="59"/>
      <c r="L568" s="59"/>
      <c r="M568" s="59"/>
      <c r="N568" s="59"/>
      <c r="O568" s="59"/>
      <c r="P568" s="59"/>
      <c r="Q568" s="59"/>
      <c r="R568" s="59"/>
      <c r="S568" s="59"/>
      <c r="T568" s="59"/>
      <c r="U568" s="59"/>
      <c r="V568" s="59"/>
      <c r="W568" s="59"/>
      <c r="X568" s="59"/>
      <c r="Y568" s="59"/>
      <c r="Z568" s="59"/>
    </row>
    <row r="569" ht="15.75" customHeight="1">
      <c r="A569" s="59"/>
      <c r="C569" s="59"/>
      <c r="D569" s="59"/>
      <c r="E569" s="59"/>
      <c r="F569" s="60"/>
      <c r="G569" s="59"/>
      <c r="H569" s="61"/>
      <c r="I569" s="59"/>
      <c r="J569" s="59"/>
      <c r="K569" s="59"/>
      <c r="L569" s="59"/>
      <c r="M569" s="59"/>
      <c r="N569" s="59"/>
      <c r="O569" s="59"/>
      <c r="P569" s="59"/>
      <c r="Q569" s="59"/>
      <c r="R569" s="59"/>
      <c r="S569" s="59"/>
      <c r="T569" s="59"/>
      <c r="U569" s="59"/>
      <c r="V569" s="59"/>
      <c r="W569" s="59"/>
      <c r="X569" s="59"/>
      <c r="Y569" s="59"/>
      <c r="Z569" s="59"/>
    </row>
    <row r="570" ht="15.75" customHeight="1">
      <c r="A570" s="59"/>
      <c r="C570" s="59"/>
      <c r="D570" s="59"/>
      <c r="E570" s="59"/>
      <c r="F570" s="60"/>
      <c r="G570" s="59"/>
      <c r="H570" s="61"/>
      <c r="I570" s="59"/>
      <c r="J570" s="59"/>
      <c r="K570" s="59"/>
      <c r="L570" s="59"/>
      <c r="M570" s="59"/>
      <c r="N570" s="59"/>
      <c r="O570" s="59"/>
      <c r="P570" s="59"/>
      <c r="Q570" s="59"/>
      <c r="R570" s="59"/>
      <c r="S570" s="59"/>
      <c r="T570" s="59"/>
      <c r="U570" s="59"/>
      <c r="V570" s="59"/>
      <c r="W570" s="59"/>
      <c r="X570" s="59"/>
      <c r="Y570" s="59"/>
      <c r="Z570" s="59"/>
    </row>
    <row r="571" ht="15.75" customHeight="1">
      <c r="A571" s="59"/>
      <c r="C571" s="59"/>
      <c r="D571" s="59"/>
      <c r="E571" s="59"/>
      <c r="F571" s="60"/>
      <c r="G571" s="59"/>
      <c r="H571" s="61"/>
      <c r="I571" s="59"/>
      <c r="J571" s="59"/>
      <c r="K571" s="59"/>
      <c r="L571" s="59"/>
      <c r="M571" s="59"/>
      <c r="N571" s="59"/>
      <c r="O571" s="59"/>
      <c r="P571" s="59"/>
      <c r="Q571" s="59"/>
      <c r="R571" s="59"/>
      <c r="S571" s="59"/>
      <c r="T571" s="59"/>
      <c r="U571" s="59"/>
      <c r="V571" s="59"/>
      <c r="W571" s="59"/>
      <c r="X571" s="59"/>
      <c r="Y571" s="59"/>
      <c r="Z571" s="59"/>
    </row>
    <row r="572" ht="15.75" customHeight="1">
      <c r="A572" s="59"/>
      <c r="C572" s="59"/>
      <c r="D572" s="59"/>
      <c r="E572" s="59"/>
      <c r="F572" s="60"/>
      <c r="G572" s="59"/>
      <c r="H572" s="61"/>
      <c r="I572" s="59"/>
      <c r="J572" s="59"/>
      <c r="K572" s="59"/>
      <c r="L572" s="59"/>
      <c r="M572" s="59"/>
      <c r="N572" s="59"/>
      <c r="O572" s="59"/>
      <c r="P572" s="59"/>
      <c r="Q572" s="59"/>
      <c r="R572" s="59"/>
      <c r="S572" s="59"/>
      <c r="T572" s="59"/>
      <c r="U572" s="59"/>
      <c r="V572" s="59"/>
      <c r="W572" s="59"/>
      <c r="X572" s="59"/>
      <c r="Y572" s="59"/>
      <c r="Z572" s="59"/>
    </row>
    <row r="573" ht="15.75" customHeight="1">
      <c r="A573" s="59"/>
      <c r="C573" s="59"/>
      <c r="D573" s="59"/>
      <c r="E573" s="59"/>
      <c r="F573" s="60"/>
      <c r="G573" s="59"/>
      <c r="H573" s="61"/>
      <c r="I573" s="59"/>
      <c r="J573" s="59"/>
      <c r="K573" s="59"/>
      <c r="L573" s="59"/>
      <c r="M573" s="59"/>
      <c r="N573" s="59"/>
      <c r="O573" s="59"/>
      <c r="P573" s="59"/>
      <c r="Q573" s="59"/>
      <c r="R573" s="59"/>
      <c r="S573" s="59"/>
      <c r="T573" s="59"/>
      <c r="U573" s="59"/>
      <c r="V573" s="59"/>
      <c r="W573" s="59"/>
      <c r="X573" s="59"/>
      <c r="Y573" s="59"/>
      <c r="Z573" s="59"/>
    </row>
    <row r="574" ht="15.75" customHeight="1">
      <c r="A574" s="59"/>
      <c r="C574" s="59"/>
      <c r="D574" s="59"/>
      <c r="E574" s="59"/>
      <c r="F574" s="60"/>
      <c r="G574" s="59"/>
      <c r="H574" s="61"/>
      <c r="I574" s="59"/>
      <c r="J574" s="59"/>
      <c r="K574" s="59"/>
      <c r="L574" s="59"/>
      <c r="M574" s="59"/>
      <c r="N574" s="59"/>
      <c r="O574" s="59"/>
      <c r="P574" s="59"/>
      <c r="Q574" s="59"/>
      <c r="R574" s="59"/>
      <c r="S574" s="59"/>
      <c r="T574" s="59"/>
      <c r="U574" s="59"/>
      <c r="V574" s="59"/>
      <c r="W574" s="59"/>
      <c r="X574" s="59"/>
      <c r="Y574" s="59"/>
      <c r="Z574" s="59"/>
    </row>
    <row r="575" ht="15.75" customHeight="1">
      <c r="A575" s="59"/>
      <c r="C575" s="59"/>
      <c r="D575" s="59"/>
      <c r="E575" s="59"/>
      <c r="F575" s="60"/>
      <c r="G575" s="59"/>
      <c r="H575" s="61"/>
      <c r="I575" s="59"/>
      <c r="J575" s="59"/>
      <c r="K575" s="59"/>
      <c r="L575" s="59"/>
      <c r="M575" s="59"/>
      <c r="N575" s="59"/>
      <c r="O575" s="59"/>
      <c r="P575" s="59"/>
      <c r="Q575" s="59"/>
      <c r="R575" s="59"/>
      <c r="S575" s="59"/>
      <c r="T575" s="59"/>
      <c r="U575" s="59"/>
      <c r="V575" s="59"/>
      <c r="W575" s="59"/>
      <c r="X575" s="59"/>
      <c r="Y575" s="59"/>
      <c r="Z575" s="59"/>
    </row>
    <row r="576" ht="15.75" customHeight="1">
      <c r="A576" s="59"/>
      <c r="C576" s="59"/>
      <c r="D576" s="59"/>
      <c r="E576" s="59"/>
      <c r="F576" s="60"/>
      <c r="G576" s="59"/>
      <c r="H576" s="61"/>
      <c r="I576" s="59"/>
      <c r="J576" s="59"/>
      <c r="K576" s="59"/>
      <c r="L576" s="59"/>
      <c r="M576" s="59"/>
      <c r="N576" s="59"/>
      <c r="O576" s="59"/>
      <c r="P576" s="59"/>
      <c r="Q576" s="59"/>
      <c r="R576" s="59"/>
      <c r="S576" s="59"/>
      <c r="T576" s="59"/>
      <c r="U576" s="59"/>
      <c r="V576" s="59"/>
      <c r="W576" s="59"/>
      <c r="X576" s="59"/>
      <c r="Y576" s="59"/>
      <c r="Z576" s="59"/>
    </row>
    <row r="577" ht="15.75" customHeight="1">
      <c r="A577" s="59"/>
      <c r="C577" s="59"/>
      <c r="D577" s="59"/>
      <c r="E577" s="59"/>
      <c r="F577" s="60"/>
      <c r="G577" s="59"/>
      <c r="H577" s="61"/>
      <c r="I577" s="59"/>
      <c r="J577" s="59"/>
      <c r="K577" s="59"/>
      <c r="L577" s="59"/>
      <c r="M577" s="59"/>
      <c r="N577" s="59"/>
      <c r="O577" s="59"/>
      <c r="P577" s="59"/>
      <c r="Q577" s="59"/>
      <c r="R577" s="59"/>
      <c r="S577" s="59"/>
      <c r="T577" s="59"/>
      <c r="U577" s="59"/>
      <c r="V577" s="59"/>
      <c r="W577" s="59"/>
      <c r="X577" s="59"/>
      <c r="Y577" s="59"/>
      <c r="Z577" s="59"/>
    </row>
    <row r="578" ht="15.75" customHeight="1">
      <c r="A578" s="59"/>
      <c r="C578" s="59"/>
      <c r="D578" s="59"/>
      <c r="E578" s="59"/>
      <c r="F578" s="60"/>
      <c r="G578" s="59"/>
      <c r="H578" s="61"/>
      <c r="I578" s="59"/>
      <c r="J578" s="59"/>
      <c r="K578" s="59"/>
      <c r="L578" s="59"/>
      <c r="M578" s="59"/>
      <c r="N578" s="59"/>
      <c r="O578" s="59"/>
      <c r="P578" s="59"/>
      <c r="Q578" s="59"/>
      <c r="R578" s="59"/>
      <c r="S578" s="59"/>
      <c r="T578" s="59"/>
      <c r="U578" s="59"/>
      <c r="V578" s="59"/>
      <c r="W578" s="59"/>
      <c r="X578" s="59"/>
      <c r="Y578" s="59"/>
      <c r="Z578" s="59"/>
    </row>
    <row r="579" ht="15.75" customHeight="1">
      <c r="A579" s="59"/>
      <c r="C579" s="59"/>
      <c r="D579" s="59"/>
      <c r="E579" s="59"/>
      <c r="F579" s="60"/>
      <c r="G579" s="59"/>
      <c r="H579" s="61"/>
      <c r="I579" s="59"/>
      <c r="J579" s="59"/>
      <c r="K579" s="59"/>
      <c r="L579" s="59"/>
      <c r="M579" s="59"/>
      <c r="N579" s="59"/>
      <c r="O579" s="59"/>
      <c r="P579" s="59"/>
      <c r="Q579" s="59"/>
      <c r="R579" s="59"/>
      <c r="S579" s="59"/>
      <c r="T579" s="59"/>
      <c r="U579" s="59"/>
      <c r="V579" s="59"/>
      <c r="W579" s="59"/>
      <c r="X579" s="59"/>
      <c r="Y579" s="59"/>
      <c r="Z579" s="59"/>
    </row>
    <row r="580" ht="15.75" customHeight="1">
      <c r="A580" s="59"/>
      <c r="C580" s="59"/>
      <c r="D580" s="59"/>
      <c r="E580" s="59"/>
      <c r="F580" s="60"/>
      <c r="G580" s="59"/>
      <c r="H580" s="61"/>
      <c r="I580" s="59"/>
      <c r="J580" s="59"/>
      <c r="K580" s="59"/>
      <c r="L580" s="59"/>
      <c r="M580" s="59"/>
      <c r="N580" s="59"/>
      <c r="O580" s="59"/>
      <c r="P580" s="59"/>
      <c r="Q580" s="59"/>
      <c r="R580" s="59"/>
      <c r="S580" s="59"/>
      <c r="T580" s="59"/>
      <c r="U580" s="59"/>
      <c r="V580" s="59"/>
      <c r="W580" s="59"/>
      <c r="X580" s="59"/>
      <c r="Y580" s="59"/>
      <c r="Z580" s="59"/>
    </row>
    <row r="581" ht="15.75" customHeight="1">
      <c r="A581" s="59"/>
      <c r="C581" s="59"/>
      <c r="D581" s="59"/>
      <c r="E581" s="59"/>
      <c r="F581" s="60"/>
      <c r="G581" s="59"/>
      <c r="H581" s="61"/>
      <c r="I581" s="59"/>
      <c r="J581" s="59"/>
      <c r="K581" s="59"/>
      <c r="L581" s="59"/>
      <c r="M581" s="59"/>
      <c r="N581" s="59"/>
      <c r="O581" s="59"/>
      <c r="P581" s="59"/>
      <c r="Q581" s="59"/>
      <c r="R581" s="59"/>
      <c r="S581" s="59"/>
      <c r="T581" s="59"/>
      <c r="U581" s="59"/>
      <c r="V581" s="59"/>
      <c r="W581" s="59"/>
      <c r="X581" s="59"/>
      <c r="Y581" s="59"/>
      <c r="Z581" s="59"/>
    </row>
    <row r="582" ht="15.75" customHeight="1">
      <c r="A582" s="59"/>
      <c r="C582" s="59"/>
      <c r="D582" s="59"/>
      <c r="E582" s="59"/>
      <c r="F582" s="60"/>
      <c r="G582" s="59"/>
      <c r="H582" s="61"/>
      <c r="I582" s="59"/>
      <c r="J582" s="59"/>
      <c r="K582" s="59"/>
      <c r="L582" s="59"/>
      <c r="M582" s="59"/>
      <c r="N582" s="59"/>
      <c r="O582" s="59"/>
      <c r="P582" s="59"/>
      <c r="Q582" s="59"/>
      <c r="R582" s="59"/>
      <c r="S582" s="59"/>
      <c r="T582" s="59"/>
      <c r="U582" s="59"/>
      <c r="V582" s="59"/>
      <c r="W582" s="59"/>
      <c r="X582" s="59"/>
      <c r="Y582" s="59"/>
      <c r="Z582" s="59"/>
    </row>
    <row r="583" ht="15.75" customHeight="1">
      <c r="A583" s="59"/>
      <c r="C583" s="59"/>
      <c r="D583" s="59"/>
      <c r="E583" s="59"/>
      <c r="F583" s="60"/>
      <c r="G583" s="59"/>
      <c r="H583" s="61"/>
      <c r="I583" s="59"/>
      <c r="J583" s="59"/>
      <c r="K583" s="59"/>
      <c r="L583" s="59"/>
      <c r="M583" s="59"/>
      <c r="N583" s="59"/>
      <c r="O583" s="59"/>
      <c r="P583" s="59"/>
      <c r="Q583" s="59"/>
      <c r="R583" s="59"/>
      <c r="S583" s="59"/>
      <c r="T583" s="59"/>
      <c r="U583" s="59"/>
      <c r="V583" s="59"/>
      <c r="W583" s="59"/>
      <c r="X583" s="59"/>
      <c r="Y583" s="59"/>
      <c r="Z583" s="59"/>
    </row>
    <row r="584" ht="15.75" customHeight="1">
      <c r="A584" s="59"/>
      <c r="C584" s="59"/>
      <c r="D584" s="59"/>
      <c r="E584" s="59"/>
      <c r="F584" s="60"/>
      <c r="G584" s="59"/>
      <c r="H584" s="61"/>
      <c r="I584" s="59"/>
      <c r="J584" s="59"/>
      <c r="K584" s="59"/>
      <c r="L584" s="59"/>
      <c r="M584" s="59"/>
      <c r="N584" s="59"/>
      <c r="O584" s="59"/>
      <c r="P584" s="59"/>
      <c r="Q584" s="59"/>
      <c r="R584" s="59"/>
      <c r="S584" s="59"/>
      <c r="T584" s="59"/>
      <c r="U584" s="59"/>
      <c r="V584" s="59"/>
      <c r="W584" s="59"/>
      <c r="X584" s="59"/>
      <c r="Y584" s="59"/>
      <c r="Z584" s="59"/>
    </row>
    <row r="585" ht="15.75" customHeight="1">
      <c r="A585" s="59"/>
      <c r="C585" s="59"/>
      <c r="D585" s="59"/>
      <c r="E585" s="59"/>
      <c r="F585" s="60"/>
      <c r="G585" s="59"/>
      <c r="H585" s="61"/>
      <c r="I585" s="59"/>
      <c r="J585" s="59"/>
      <c r="K585" s="59"/>
      <c r="L585" s="59"/>
      <c r="M585" s="59"/>
      <c r="N585" s="59"/>
      <c r="O585" s="59"/>
      <c r="P585" s="59"/>
      <c r="Q585" s="59"/>
      <c r="R585" s="59"/>
      <c r="S585" s="59"/>
      <c r="T585" s="59"/>
      <c r="U585" s="59"/>
      <c r="V585" s="59"/>
      <c r="W585" s="59"/>
      <c r="X585" s="59"/>
      <c r="Y585" s="59"/>
      <c r="Z585" s="59"/>
    </row>
    <row r="586" ht="15.75" customHeight="1">
      <c r="A586" s="59"/>
      <c r="C586" s="59"/>
      <c r="D586" s="59"/>
      <c r="E586" s="59"/>
      <c r="F586" s="60"/>
      <c r="G586" s="59"/>
      <c r="H586" s="61"/>
      <c r="I586" s="59"/>
      <c r="J586" s="59"/>
      <c r="K586" s="59"/>
      <c r="L586" s="59"/>
      <c r="M586" s="59"/>
      <c r="N586" s="59"/>
      <c r="O586" s="59"/>
      <c r="P586" s="59"/>
      <c r="Q586" s="59"/>
      <c r="R586" s="59"/>
      <c r="S586" s="59"/>
      <c r="T586" s="59"/>
      <c r="U586" s="59"/>
      <c r="V586" s="59"/>
      <c r="W586" s="59"/>
      <c r="X586" s="59"/>
      <c r="Y586" s="59"/>
      <c r="Z586" s="59"/>
    </row>
    <row r="587" ht="15.75" customHeight="1">
      <c r="A587" s="59"/>
      <c r="C587" s="59"/>
      <c r="D587" s="59"/>
      <c r="E587" s="59"/>
      <c r="F587" s="60"/>
      <c r="G587" s="59"/>
      <c r="H587" s="61"/>
      <c r="I587" s="59"/>
      <c r="J587" s="59"/>
      <c r="K587" s="59"/>
      <c r="L587" s="59"/>
      <c r="M587" s="59"/>
      <c r="N587" s="59"/>
      <c r="O587" s="59"/>
      <c r="P587" s="59"/>
      <c r="Q587" s="59"/>
      <c r="R587" s="59"/>
      <c r="S587" s="59"/>
      <c r="T587" s="59"/>
      <c r="U587" s="59"/>
      <c r="V587" s="59"/>
      <c r="W587" s="59"/>
      <c r="X587" s="59"/>
      <c r="Y587" s="59"/>
      <c r="Z587" s="59"/>
    </row>
    <row r="588" ht="15.75" customHeight="1">
      <c r="A588" s="59"/>
      <c r="C588" s="59"/>
      <c r="D588" s="59"/>
      <c r="E588" s="59"/>
      <c r="F588" s="60"/>
      <c r="G588" s="59"/>
      <c r="H588" s="61"/>
      <c r="I588" s="59"/>
      <c r="J588" s="59"/>
      <c r="K588" s="59"/>
      <c r="L588" s="59"/>
      <c r="M588" s="59"/>
      <c r="N588" s="59"/>
      <c r="O588" s="59"/>
      <c r="P588" s="59"/>
      <c r="Q588" s="59"/>
      <c r="R588" s="59"/>
      <c r="S588" s="59"/>
      <c r="T588" s="59"/>
      <c r="U588" s="59"/>
      <c r="V588" s="59"/>
      <c r="W588" s="59"/>
      <c r="X588" s="59"/>
      <c r="Y588" s="59"/>
      <c r="Z588" s="59"/>
    </row>
    <row r="589" ht="15.75" customHeight="1">
      <c r="A589" s="59"/>
      <c r="C589" s="59"/>
      <c r="D589" s="59"/>
      <c r="E589" s="59"/>
      <c r="F589" s="60"/>
      <c r="G589" s="59"/>
      <c r="H589" s="61"/>
      <c r="I589" s="59"/>
      <c r="J589" s="59"/>
      <c r="K589" s="59"/>
      <c r="L589" s="59"/>
      <c r="M589" s="59"/>
      <c r="N589" s="59"/>
      <c r="O589" s="59"/>
      <c r="P589" s="59"/>
      <c r="Q589" s="59"/>
      <c r="R589" s="59"/>
      <c r="S589" s="59"/>
      <c r="T589" s="59"/>
      <c r="U589" s="59"/>
      <c r="V589" s="59"/>
      <c r="W589" s="59"/>
      <c r="X589" s="59"/>
      <c r="Y589" s="59"/>
      <c r="Z589" s="59"/>
    </row>
    <row r="590" ht="15.75" customHeight="1">
      <c r="A590" s="59"/>
      <c r="C590" s="59"/>
      <c r="D590" s="59"/>
      <c r="E590" s="59"/>
      <c r="F590" s="60"/>
      <c r="G590" s="59"/>
      <c r="H590" s="61"/>
      <c r="I590" s="59"/>
      <c r="J590" s="59"/>
      <c r="K590" s="59"/>
      <c r="L590" s="59"/>
      <c r="M590" s="59"/>
      <c r="N590" s="59"/>
      <c r="O590" s="59"/>
      <c r="P590" s="59"/>
      <c r="Q590" s="59"/>
      <c r="R590" s="59"/>
      <c r="S590" s="59"/>
      <c r="T590" s="59"/>
      <c r="U590" s="59"/>
      <c r="V590" s="59"/>
      <c r="W590" s="59"/>
      <c r="X590" s="59"/>
      <c r="Y590" s="59"/>
      <c r="Z590" s="59"/>
    </row>
    <row r="591" ht="15.75" customHeight="1">
      <c r="A591" s="59"/>
      <c r="C591" s="59"/>
      <c r="D591" s="59"/>
      <c r="E591" s="59"/>
      <c r="F591" s="60"/>
      <c r="G591" s="59"/>
      <c r="H591" s="61"/>
      <c r="I591" s="59"/>
      <c r="J591" s="59"/>
      <c r="K591" s="59"/>
      <c r="L591" s="59"/>
      <c r="M591" s="59"/>
      <c r="N591" s="59"/>
      <c r="O591" s="59"/>
      <c r="P591" s="59"/>
      <c r="Q591" s="59"/>
      <c r="R591" s="59"/>
      <c r="S591" s="59"/>
      <c r="T591" s="59"/>
      <c r="U591" s="59"/>
      <c r="V591" s="59"/>
      <c r="W591" s="59"/>
      <c r="X591" s="59"/>
      <c r="Y591" s="59"/>
      <c r="Z591" s="59"/>
    </row>
    <row r="592" ht="15.75" customHeight="1">
      <c r="A592" s="59"/>
      <c r="C592" s="59"/>
      <c r="D592" s="59"/>
      <c r="E592" s="59"/>
      <c r="F592" s="60"/>
      <c r="G592" s="59"/>
      <c r="H592" s="61"/>
      <c r="I592" s="59"/>
      <c r="J592" s="59"/>
      <c r="K592" s="59"/>
      <c r="L592" s="59"/>
      <c r="M592" s="59"/>
      <c r="N592" s="59"/>
      <c r="O592" s="59"/>
      <c r="P592" s="59"/>
      <c r="Q592" s="59"/>
      <c r="R592" s="59"/>
      <c r="S592" s="59"/>
      <c r="T592" s="59"/>
      <c r="U592" s="59"/>
      <c r="V592" s="59"/>
      <c r="W592" s="59"/>
      <c r="X592" s="59"/>
      <c r="Y592" s="59"/>
      <c r="Z592" s="59"/>
    </row>
    <row r="593" ht="15.75" customHeight="1">
      <c r="A593" s="59"/>
      <c r="C593" s="59"/>
      <c r="D593" s="59"/>
      <c r="E593" s="59"/>
      <c r="F593" s="60"/>
      <c r="G593" s="59"/>
      <c r="H593" s="61"/>
      <c r="I593" s="59"/>
      <c r="J593" s="59"/>
      <c r="K593" s="59"/>
      <c r="L593" s="59"/>
      <c r="M593" s="59"/>
      <c r="N593" s="59"/>
      <c r="O593" s="59"/>
      <c r="P593" s="59"/>
      <c r="Q593" s="59"/>
      <c r="R593" s="59"/>
      <c r="S593" s="59"/>
      <c r="T593" s="59"/>
      <c r="U593" s="59"/>
      <c r="V593" s="59"/>
      <c r="W593" s="59"/>
      <c r="X593" s="59"/>
      <c r="Y593" s="59"/>
      <c r="Z593" s="59"/>
    </row>
    <row r="594" ht="15.75" customHeight="1">
      <c r="A594" s="59"/>
      <c r="C594" s="59"/>
      <c r="D594" s="59"/>
      <c r="E594" s="59"/>
      <c r="F594" s="60"/>
      <c r="G594" s="59"/>
      <c r="H594" s="61"/>
      <c r="I594" s="59"/>
      <c r="J594" s="59"/>
      <c r="K594" s="59"/>
      <c r="L594" s="59"/>
      <c r="M594" s="59"/>
      <c r="N594" s="59"/>
      <c r="O594" s="59"/>
      <c r="P594" s="59"/>
      <c r="Q594" s="59"/>
      <c r="R594" s="59"/>
      <c r="S594" s="59"/>
      <c r="T594" s="59"/>
      <c r="U594" s="59"/>
      <c r="V594" s="59"/>
      <c r="W594" s="59"/>
      <c r="X594" s="59"/>
      <c r="Y594" s="59"/>
      <c r="Z594" s="59"/>
    </row>
    <row r="595" ht="15.75" customHeight="1">
      <c r="A595" s="59"/>
      <c r="C595" s="59"/>
      <c r="D595" s="59"/>
      <c r="E595" s="59"/>
      <c r="F595" s="60"/>
      <c r="G595" s="59"/>
      <c r="H595" s="61"/>
      <c r="I595" s="59"/>
      <c r="J595" s="59"/>
      <c r="K595" s="59"/>
      <c r="L595" s="59"/>
      <c r="M595" s="59"/>
      <c r="N595" s="59"/>
      <c r="O595" s="59"/>
      <c r="P595" s="59"/>
      <c r="Q595" s="59"/>
      <c r="R595" s="59"/>
      <c r="S595" s="59"/>
      <c r="T595" s="59"/>
      <c r="U595" s="59"/>
      <c r="V595" s="59"/>
      <c r="W595" s="59"/>
      <c r="X595" s="59"/>
      <c r="Y595" s="59"/>
      <c r="Z595" s="59"/>
    </row>
    <row r="596" ht="15.75" customHeight="1">
      <c r="A596" s="59"/>
      <c r="C596" s="59"/>
      <c r="D596" s="59"/>
      <c r="E596" s="59"/>
      <c r="F596" s="60"/>
      <c r="G596" s="59"/>
      <c r="H596" s="61"/>
      <c r="I596" s="59"/>
      <c r="J596" s="59"/>
      <c r="K596" s="59"/>
      <c r="L596" s="59"/>
      <c r="M596" s="59"/>
      <c r="N596" s="59"/>
      <c r="O596" s="59"/>
      <c r="P596" s="59"/>
      <c r="Q596" s="59"/>
      <c r="R596" s="59"/>
      <c r="S596" s="59"/>
      <c r="T596" s="59"/>
      <c r="U596" s="59"/>
      <c r="V596" s="59"/>
      <c r="W596" s="59"/>
      <c r="X596" s="59"/>
      <c r="Y596" s="59"/>
      <c r="Z596" s="59"/>
    </row>
    <row r="597" ht="15.75" customHeight="1">
      <c r="A597" s="59"/>
      <c r="C597" s="59"/>
      <c r="D597" s="59"/>
      <c r="E597" s="59"/>
      <c r="F597" s="60"/>
      <c r="G597" s="59"/>
      <c r="H597" s="61"/>
      <c r="I597" s="59"/>
      <c r="J597" s="59"/>
      <c r="K597" s="59"/>
      <c r="L597" s="59"/>
      <c r="M597" s="59"/>
      <c r="N597" s="59"/>
      <c r="O597" s="59"/>
      <c r="P597" s="59"/>
      <c r="Q597" s="59"/>
      <c r="R597" s="59"/>
      <c r="S597" s="59"/>
      <c r="T597" s="59"/>
      <c r="U597" s="59"/>
      <c r="V597" s="59"/>
      <c r="W597" s="59"/>
      <c r="X597" s="59"/>
      <c r="Y597" s="59"/>
      <c r="Z597" s="59"/>
    </row>
    <row r="598" ht="15.75" customHeight="1">
      <c r="A598" s="59"/>
      <c r="C598" s="59"/>
      <c r="D598" s="59"/>
      <c r="E598" s="59"/>
      <c r="F598" s="60"/>
      <c r="G598" s="59"/>
      <c r="H598" s="61"/>
      <c r="I598" s="59"/>
      <c r="J598" s="59"/>
      <c r="K598" s="59"/>
      <c r="L598" s="59"/>
      <c r="M598" s="59"/>
      <c r="N598" s="59"/>
      <c r="O598" s="59"/>
      <c r="P598" s="59"/>
      <c r="Q598" s="59"/>
      <c r="R598" s="59"/>
      <c r="S598" s="59"/>
      <c r="T598" s="59"/>
      <c r="U598" s="59"/>
      <c r="V598" s="59"/>
      <c r="W598" s="59"/>
      <c r="X598" s="59"/>
      <c r="Y598" s="59"/>
      <c r="Z598" s="59"/>
    </row>
    <row r="599" ht="15.75" customHeight="1">
      <c r="A599" s="59"/>
      <c r="C599" s="59"/>
      <c r="D599" s="59"/>
      <c r="E599" s="59"/>
      <c r="F599" s="60"/>
      <c r="G599" s="59"/>
      <c r="H599" s="61"/>
      <c r="I599" s="59"/>
      <c r="J599" s="59"/>
      <c r="K599" s="59"/>
      <c r="L599" s="59"/>
      <c r="M599" s="59"/>
      <c r="N599" s="59"/>
      <c r="O599" s="59"/>
      <c r="P599" s="59"/>
      <c r="Q599" s="59"/>
      <c r="R599" s="59"/>
      <c r="S599" s="59"/>
      <c r="T599" s="59"/>
      <c r="U599" s="59"/>
      <c r="V599" s="59"/>
      <c r="W599" s="59"/>
      <c r="X599" s="59"/>
      <c r="Y599" s="59"/>
      <c r="Z599" s="59"/>
    </row>
    <row r="600" ht="15.75" customHeight="1">
      <c r="A600" s="59"/>
      <c r="C600" s="59"/>
      <c r="D600" s="59"/>
      <c r="E600" s="59"/>
      <c r="F600" s="60"/>
      <c r="G600" s="59"/>
      <c r="H600" s="61"/>
      <c r="I600" s="59"/>
      <c r="J600" s="59"/>
      <c r="K600" s="59"/>
      <c r="L600" s="59"/>
      <c r="M600" s="59"/>
      <c r="N600" s="59"/>
      <c r="O600" s="59"/>
      <c r="P600" s="59"/>
      <c r="Q600" s="59"/>
      <c r="R600" s="59"/>
      <c r="S600" s="59"/>
      <c r="T600" s="59"/>
      <c r="U600" s="59"/>
      <c r="V600" s="59"/>
      <c r="W600" s="59"/>
      <c r="X600" s="59"/>
      <c r="Y600" s="59"/>
      <c r="Z600" s="59"/>
    </row>
    <row r="601" ht="15.75" customHeight="1">
      <c r="A601" s="59"/>
      <c r="C601" s="59"/>
      <c r="D601" s="59"/>
      <c r="E601" s="59"/>
      <c r="F601" s="60"/>
      <c r="G601" s="59"/>
      <c r="H601" s="61"/>
      <c r="I601" s="59"/>
      <c r="J601" s="59"/>
      <c r="K601" s="59"/>
      <c r="L601" s="59"/>
      <c r="M601" s="59"/>
      <c r="N601" s="59"/>
      <c r="O601" s="59"/>
      <c r="P601" s="59"/>
      <c r="Q601" s="59"/>
      <c r="R601" s="59"/>
      <c r="S601" s="59"/>
      <c r="T601" s="59"/>
      <c r="U601" s="59"/>
      <c r="V601" s="59"/>
      <c r="W601" s="59"/>
      <c r="X601" s="59"/>
      <c r="Y601" s="59"/>
      <c r="Z601" s="59"/>
    </row>
    <row r="602" ht="15.75" customHeight="1">
      <c r="A602" s="59"/>
      <c r="C602" s="59"/>
      <c r="D602" s="59"/>
      <c r="E602" s="59"/>
      <c r="F602" s="60"/>
      <c r="G602" s="59"/>
      <c r="H602" s="61"/>
      <c r="I602" s="59"/>
      <c r="J602" s="59"/>
      <c r="K602" s="59"/>
      <c r="L602" s="59"/>
      <c r="M602" s="59"/>
      <c r="N602" s="59"/>
      <c r="O602" s="59"/>
      <c r="P602" s="59"/>
      <c r="Q602" s="59"/>
      <c r="R602" s="59"/>
      <c r="S602" s="59"/>
      <c r="T602" s="59"/>
      <c r="U602" s="59"/>
      <c r="V602" s="59"/>
      <c r="W602" s="59"/>
      <c r="X602" s="59"/>
      <c r="Y602" s="59"/>
      <c r="Z602" s="59"/>
    </row>
    <row r="603" ht="15.75" customHeight="1">
      <c r="A603" s="59"/>
      <c r="C603" s="59"/>
      <c r="D603" s="59"/>
      <c r="E603" s="59"/>
      <c r="F603" s="60"/>
      <c r="G603" s="59"/>
      <c r="H603" s="61"/>
      <c r="I603" s="59"/>
      <c r="J603" s="59"/>
      <c r="K603" s="59"/>
      <c r="L603" s="59"/>
      <c r="M603" s="59"/>
      <c r="N603" s="59"/>
      <c r="O603" s="59"/>
      <c r="P603" s="59"/>
      <c r="Q603" s="59"/>
      <c r="R603" s="59"/>
      <c r="S603" s="59"/>
      <c r="T603" s="59"/>
      <c r="U603" s="59"/>
      <c r="V603" s="59"/>
      <c r="W603" s="59"/>
      <c r="X603" s="59"/>
      <c r="Y603" s="59"/>
      <c r="Z603" s="59"/>
    </row>
    <row r="604" ht="15.75" customHeight="1">
      <c r="A604" s="59"/>
      <c r="C604" s="59"/>
      <c r="D604" s="59"/>
      <c r="E604" s="59"/>
      <c r="F604" s="60"/>
      <c r="G604" s="59"/>
      <c r="H604" s="61"/>
      <c r="I604" s="59"/>
      <c r="J604" s="59"/>
      <c r="K604" s="59"/>
      <c r="L604" s="59"/>
      <c r="M604" s="59"/>
      <c r="N604" s="59"/>
      <c r="O604" s="59"/>
      <c r="P604" s="59"/>
      <c r="Q604" s="59"/>
      <c r="R604" s="59"/>
      <c r="S604" s="59"/>
      <c r="T604" s="59"/>
      <c r="U604" s="59"/>
      <c r="V604" s="59"/>
      <c r="W604" s="59"/>
      <c r="X604" s="59"/>
      <c r="Y604" s="59"/>
      <c r="Z604" s="59"/>
    </row>
    <row r="605" ht="15.75" customHeight="1">
      <c r="A605" s="59"/>
      <c r="C605" s="59"/>
      <c r="D605" s="59"/>
      <c r="E605" s="59"/>
      <c r="F605" s="60"/>
      <c r="G605" s="59"/>
      <c r="H605" s="61"/>
      <c r="I605" s="59"/>
      <c r="J605" s="59"/>
      <c r="K605" s="59"/>
      <c r="L605" s="59"/>
      <c r="M605" s="59"/>
      <c r="N605" s="59"/>
      <c r="O605" s="59"/>
      <c r="P605" s="59"/>
      <c r="Q605" s="59"/>
      <c r="R605" s="59"/>
      <c r="S605" s="59"/>
      <c r="T605" s="59"/>
      <c r="U605" s="59"/>
      <c r="V605" s="59"/>
      <c r="W605" s="59"/>
      <c r="X605" s="59"/>
      <c r="Y605" s="59"/>
      <c r="Z605" s="59"/>
    </row>
    <row r="606" ht="15.75" customHeight="1">
      <c r="A606" s="59"/>
      <c r="C606" s="59"/>
      <c r="D606" s="59"/>
      <c r="E606" s="59"/>
      <c r="F606" s="60"/>
      <c r="G606" s="59"/>
      <c r="H606" s="61"/>
      <c r="I606" s="59"/>
      <c r="J606" s="59"/>
      <c r="K606" s="59"/>
      <c r="L606" s="59"/>
      <c r="M606" s="59"/>
      <c r="N606" s="59"/>
      <c r="O606" s="59"/>
      <c r="P606" s="59"/>
      <c r="Q606" s="59"/>
      <c r="R606" s="59"/>
      <c r="S606" s="59"/>
      <c r="T606" s="59"/>
      <c r="U606" s="59"/>
      <c r="V606" s="59"/>
      <c r="W606" s="59"/>
      <c r="X606" s="59"/>
      <c r="Y606" s="59"/>
      <c r="Z606" s="59"/>
    </row>
    <row r="607" ht="15.75" customHeight="1">
      <c r="A607" s="59"/>
      <c r="C607" s="59"/>
      <c r="D607" s="59"/>
      <c r="E607" s="59"/>
      <c r="F607" s="60"/>
      <c r="G607" s="59"/>
      <c r="H607" s="61"/>
      <c r="I607" s="59"/>
      <c r="J607" s="59"/>
      <c r="K607" s="59"/>
      <c r="L607" s="59"/>
      <c r="M607" s="59"/>
      <c r="N607" s="59"/>
      <c r="O607" s="59"/>
      <c r="P607" s="59"/>
      <c r="Q607" s="59"/>
      <c r="R607" s="59"/>
      <c r="S607" s="59"/>
      <c r="T607" s="59"/>
      <c r="U607" s="59"/>
      <c r="V607" s="59"/>
      <c r="W607" s="59"/>
      <c r="X607" s="59"/>
      <c r="Y607" s="59"/>
      <c r="Z607" s="59"/>
    </row>
    <row r="608" ht="15.75" customHeight="1">
      <c r="A608" s="59"/>
      <c r="C608" s="59"/>
      <c r="D608" s="59"/>
      <c r="E608" s="59"/>
      <c r="F608" s="60"/>
      <c r="G608" s="59"/>
      <c r="H608" s="61"/>
      <c r="I608" s="59"/>
      <c r="J608" s="59"/>
      <c r="K608" s="59"/>
      <c r="L608" s="59"/>
      <c r="M608" s="59"/>
      <c r="N608" s="59"/>
      <c r="O608" s="59"/>
      <c r="P608" s="59"/>
      <c r="Q608" s="59"/>
      <c r="R608" s="59"/>
      <c r="S608" s="59"/>
      <c r="T608" s="59"/>
      <c r="U608" s="59"/>
      <c r="V608" s="59"/>
      <c r="W608" s="59"/>
      <c r="X608" s="59"/>
      <c r="Y608" s="59"/>
      <c r="Z608" s="59"/>
    </row>
    <row r="609" ht="15.75" customHeight="1">
      <c r="A609" s="59"/>
      <c r="C609" s="59"/>
      <c r="D609" s="59"/>
      <c r="E609" s="59"/>
      <c r="F609" s="60"/>
      <c r="G609" s="59"/>
      <c r="H609" s="61"/>
      <c r="I609" s="59"/>
      <c r="J609" s="59"/>
      <c r="K609" s="59"/>
      <c r="L609" s="59"/>
      <c r="M609" s="59"/>
      <c r="N609" s="59"/>
      <c r="O609" s="59"/>
      <c r="P609" s="59"/>
      <c r="Q609" s="59"/>
      <c r="R609" s="59"/>
      <c r="S609" s="59"/>
      <c r="T609" s="59"/>
      <c r="U609" s="59"/>
      <c r="V609" s="59"/>
      <c r="W609" s="59"/>
      <c r="X609" s="59"/>
      <c r="Y609" s="59"/>
      <c r="Z609" s="59"/>
    </row>
    <row r="610" ht="15.75" customHeight="1">
      <c r="A610" s="59"/>
      <c r="C610" s="59"/>
      <c r="D610" s="59"/>
      <c r="E610" s="59"/>
      <c r="F610" s="60"/>
      <c r="G610" s="59"/>
      <c r="H610" s="61"/>
      <c r="I610" s="59"/>
      <c r="J610" s="59"/>
      <c r="K610" s="59"/>
      <c r="L610" s="59"/>
      <c r="M610" s="59"/>
      <c r="N610" s="59"/>
      <c r="O610" s="59"/>
      <c r="P610" s="59"/>
      <c r="Q610" s="59"/>
      <c r="R610" s="59"/>
      <c r="S610" s="59"/>
      <c r="T610" s="59"/>
      <c r="U610" s="59"/>
      <c r="V610" s="59"/>
      <c r="W610" s="59"/>
      <c r="X610" s="59"/>
      <c r="Y610" s="59"/>
      <c r="Z610" s="59"/>
    </row>
    <row r="611" ht="15.75" customHeight="1">
      <c r="A611" s="59"/>
      <c r="C611" s="59"/>
      <c r="D611" s="59"/>
      <c r="E611" s="59"/>
      <c r="F611" s="60"/>
      <c r="G611" s="59"/>
      <c r="H611" s="61"/>
      <c r="I611" s="59"/>
      <c r="J611" s="59"/>
      <c r="K611" s="59"/>
      <c r="L611" s="59"/>
      <c r="M611" s="59"/>
      <c r="N611" s="59"/>
      <c r="O611" s="59"/>
      <c r="P611" s="59"/>
      <c r="Q611" s="59"/>
      <c r="R611" s="59"/>
      <c r="S611" s="59"/>
      <c r="T611" s="59"/>
      <c r="U611" s="59"/>
      <c r="V611" s="59"/>
      <c r="W611" s="59"/>
      <c r="X611" s="59"/>
      <c r="Y611" s="59"/>
      <c r="Z611" s="59"/>
    </row>
    <row r="612" ht="15.75" customHeight="1">
      <c r="A612" s="59"/>
      <c r="C612" s="59"/>
      <c r="D612" s="59"/>
      <c r="E612" s="59"/>
      <c r="F612" s="60"/>
      <c r="G612" s="59"/>
      <c r="H612" s="61"/>
      <c r="I612" s="59"/>
      <c r="J612" s="59"/>
      <c r="K612" s="59"/>
      <c r="L612" s="59"/>
      <c r="M612" s="59"/>
      <c r="N612" s="59"/>
      <c r="O612" s="59"/>
      <c r="P612" s="59"/>
      <c r="Q612" s="59"/>
      <c r="R612" s="59"/>
      <c r="S612" s="59"/>
      <c r="T612" s="59"/>
      <c r="U612" s="59"/>
      <c r="V612" s="59"/>
      <c r="W612" s="59"/>
      <c r="X612" s="59"/>
      <c r="Y612" s="59"/>
      <c r="Z612" s="59"/>
    </row>
    <row r="613" ht="15.75" customHeight="1">
      <c r="A613" s="59"/>
      <c r="C613" s="59"/>
      <c r="D613" s="59"/>
      <c r="E613" s="59"/>
      <c r="F613" s="60"/>
      <c r="G613" s="59"/>
      <c r="H613" s="61"/>
      <c r="I613" s="59"/>
      <c r="J613" s="59"/>
      <c r="K613" s="59"/>
      <c r="L613" s="59"/>
      <c r="M613" s="59"/>
      <c r="N613" s="59"/>
      <c r="O613" s="59"/>
      <c r="P613" s="59"/>
      <c r="Q613" s="59"/>
      <c r="R613" s="59"/>
      <c r="S613" s="59"/>
      <c r="T613" s="59"/>
      <c r="U613" s="59"/>
      <c r="V613" s="59"/>
      <c r="W613" s="59"/>
      <c r="X613" s="59"/>
      <c r="Y613" s="59"/>
      <c r="Z613" s="59"/>
    </row>
    <row r="614" ht="15.75" customHeight="1">
      <c r="A614" s="59"/>
      <c r="C614" s="59"/>
      <c r="D614" s="59"/>
      <c r="E614" s="59"/>
      <c r="F614" s="60"/>
      <c r="G614" s="59"/>
      <c r="H614" s="61"/>
      <c r="I614" s="59"/>
      <c r="J614" s="59"/>
      <c r="K614" s="59"/>
      <c r="L614" s="59"/>
      <c r="M614" s="59"/>
      <c r="N614" s="59"/>
      <c r="O614" s="59"/>
      <c r="P614" s="59"/>
      <c r="Q614" s="59"/>
      <c r="R614" s="59"/>
      <c r="S614" s="59"/>
      <c r="T614" s="59"/>
      <c r="U614" s="59"/>
      <c r="V614" s="59"/>
      <c r="W614" s="59"/>
      <c r="X614" s="59"/>
      <c r="Y614" s="59"/>
      <c r="Z614" s="59"/>
    </row>
    <row r="615" ht="15.75" customHeight="1">
      <c r="A615" s="59"/>
      <c r="C615" s="59"/>
      <c r="D615" s="59"/>
      <c r="E615" s="59"/>
      <c r="F615" s="60"/>
      <c r="G615" s="59"/>
      <c r="H615" s="61"/>
      <c r="I615" s="59"/>
      <c r="J615" s="59"/>
      <c r="K615" s="59"/>
      <c r="L615" s="59"/>
      <c r="M615" s="59"/>
      <c r="N615" s="59"/>
      <c r="O615" s="59"/>
      <c r="P615" s="59"/>
      <c r="Q615" s="59"/>
      <c r="R615" s="59"/>
      <c r="S615" s="59"/>
      <c r="T615" s="59"/>
      <c r="U615" s="59"/>
      <c r="V615" s="59"/>
      <c r="W615" s="59"/>
      <c r="X615" s="59"/>
      <c r="Y615" s="59"/>
      <c r="Z615" s="59"/>
    </row>
    <row r="616" ht="15.75" customHeight="1">
      <c r="A616" s="59"/>
      <c r="C616" s="59"/>
      <c r="D616" s="59"/>
      <c r="E616" s="59"/>
      <c r="F616" s="60"/>
      <c r="G616" s="59"/>
      <c r="H616" s="61"/>
      <c r="I616" s="59"/>
      <c r="J616" s="59"/>
      <c r="K616" s="59"/>
      <c r="L616" s="59"/>
      <c r="M616" s="59"/>
      <c r="N616" s="59"/>
      <c r="O616" s="59"/>
      <c r="P616" s="59"/>
      <c r="Q616" s="59"/>
      <c r="R616" s="59"/>
      <c r="S616" s="59"/>
      <c r="T616" s="59"/>
      <c r="U616" s="59"/>
      <c r="V616" s="59"/>
      <c r="W616" s="59"/>
      <c r="X616" s="59"/>
      <c r="Y616" s="59"/>
      <c r="Z616" s="59"/>
    </row>
    <row r="617" ht="15.75" customHeight="1">
      <c r="A617" s="59"/>
      <c r="C617" s="59"/>
      <c r="D617" s="59"/>
      <c r="E617" s="59"/>
      <c r="F617" s="60"/>
      <c r="G617" s="59"/>
      <c r="H617" s="61"/>
      <c r="I617" s="59"/>
      <c r="J617" s="59"/>
      <c r="K617" s="59"/>
      <c r="L617" s="59"/>
      <c r="M617" s="59"/>
      <c r="N617" s="59"/>
      <c r="O617" s="59"/>
      <c r="P617" s="59"/>
      <c r="Q617" s="59"/>
      <c r="R617" s="59"/>
      <c r="S617" s="59"/>
      <c r="T617" s="59"/>
      <c r="U617" s="59"/>
      <c r="V617" s="59"/>
      <c r="W617" s="59"/>
      <c r="X617" s="59"/>
      <c r="Y617" s="59"/>
      <c r="Z617" s="59"/>
    </row>
    <row r="618" ht="15.75" customHeight="1">
      <c r="A618" s="59"/>
      <c r="C618" s="59"/>
      <c r="D618" s="59"/>
      <c r="E618" s="59"/>
      <c r="F618" s="60"/>
      <c r="G618" s="59"/>
      <c r="H618" s="61"/>
      <c r="I618" s="59"/>
      <c r="J618" s="59"/>
      <c r="K618" s="59"/>
      <c r="L618" s="59"/>
      <c r="M618" s="59"/>
      <c r="N618" s="59"/>
      <c r="O618" s="59"/>
      <c r="P618" s="59"/>
      <c r="Q618" s="59"/>
      <c r="R618" s="59"/>
      <c r="S618" s="59"/>
      <c r="T618" s="59"/>
      <c r="U618" s="59"/>
      <c r="V618" s="59"/>
      <c r="W618" s="59"/>
      <c r="X618" s="59"/>
      <c r="Y618" s="59"/>
      <c r="Z618" s="59"/>
    </row>
    <row r="619" ht="15.75" customHeight="1">
      <c r="A619" s="59"/>
      <c r="C619" s="59"/>
      <c r="D619" s="59"/>
      <c r="E619" s="59"/>
      <c r="F619" s="60"/>
      <c r="G619" s="59"/>
      <c r="H619" s="61"/>
      <c r="I619" s="59"/>
      <c r="J619" s="59"/>
      <c r="K619" s="59"/>
      <c r="L619" s="59"/>
      <c r="M619" s="59"/>
      <c r="N619" s="59"/>
      <c r="O619" s="59"/>
      <c r="P619" s="59"/>
      <c r="Q619" s="59"/>
      <c r="R619" s="59"/>
      <c r="S619" s="59"/>
      <c r="T619" s="59"/>
      <c r="U619" s="59"/>
      <c r="V619" s="59"/>
      <c r="W619" s="59"/>
      <c r="X619" s="59"/>
      <c r="Y619" s="59"/>
      <c r="Z619" s="59"/>
    </row>
    <row r="620" ht="15.75" customHeight="1">
      <c r="A620" s="59"/>
      <c r="C620" s="59"/>
      <c r="D620" s="59"/>
      <c r="E620" s="59"/>
      <c r="F620" s="60"/>
      <c r="G620" s="59"/>
      <c r="H620" s="61"/>
      <c r="I620" s="59"/>
      <c r="J620" s="59"/>
      <c r="K620" s="59"/>
      <c r="L620" s="59"/>
      <c r="M620" s="59"/>
      <c r="N620" s="59"/>
      <c r="O620" s="59"/>
      <c r="P620" s="59"/>
      <c r="Q620" s="59"/>
      <c r="R620" s="59"/>
      <c r="S620" s="59"/>
      <c r="T620" s="59"/>
      <c r="U620" s="59"/>
      <c r="V620" s="59"/>
      <c r="W620" s="59"/>
      <c r="X620" s="59"/>
      <c r="Y620" s="59"/>
      <c r="Z620" s="59"/>
    </row>
    <row r="621" ht="15.75" customHeight="1">
      <c r="A621" s="59"/>
      <c r="C621" s="59"/>
      <c r="D621" s="59"/>
      <c r="E621" s="59"/>
      <c r="F621" s="60"/>
      <c r="G621" s="59"/>
      <c r="H621" s="61"/>
      <c r="I621" s="59"/>
      <c r="J621" s="59"/>
      <c r="K621" s="59"/>
      <c r="L621" s="59"/>
      <c r="M621" s="59"/>
      <c r="N621" s="59"/>
      <c r="O621" s="59"/>
      <c r="P621" s="59"/>
      <c r="Q621" s="59"/>
      <c r="R621" s="59"/>
      <c r="S621" s="59"/>
      <c r="T621" s="59"/>
      <c r="U621" s="59"/>
      <c r="V621" s="59"/>
      <c r="W621" s="59"/>
      <c r="X621" s="59"/>
      <c r="Y621" s="59"/>
      <c r="Z621" s="59"/>
    </row>
    <row r="622" ht="15.75" customHeight="1">
      <c r="A622" s="59"/>
      <c r="C622" s="59"/>
      <c r="D622" s="59"/>
      <c r="E622" s="59"/>
      <c r="F622" s="60"/>
      <c r="G622" s="59"/>
      <c r="H622" s="61"/>
      <c r="I622" s="59"/>
      <c r="J622" s="59"/>
      <c r="K622" s="59"/>
      <c r="L622" s="59"/>
      <c r="M622" s="59"/>
      <c r="N622" s="59"/>
      <c r="O622" s="59"/>
      <c r="P622" s="59"/>
      <c r="Q622" s="59"/>
      <c r="R622" s="59"/>
      <c r="S622" s="59"/>
      <c r="T622" s="59"/>
      <c r="U622" s="59"/>
      <c r="V622" s="59"/>
      <c r="W622" s="59"/>
      <c r="X622" s="59"/>
      <c r="Y622" s="59"/>
      <c r="Z622" s="59"/>
    </row>
    <row r="623" ht="15.75" customHeight="1">
      <c r="A623" s="59"/>
      <c r="C623" s="59"/>
      <c r="D623" s="59"/>
      <c r="E623" s="59"/>
      <c r="F623" s="60"/>
      <c r="G623" s="59"/>
      <c r="H623" s="61"/>
      <c r="I623" s="59"/>
      <c r="J623" s="59"/>
      <c r="K623" s="59"/>
      <c r="L623" s="59"/>
      <c r="M623" s="59"/>
      <c r="N623" s="59"/>
      <c r="O623" s="59"/>
      <c r="P623" s="59"/>
      <c r="Q623" s="59"/>
      <c r="R623" s="59"/>
      <c r="S623" s="59"/>
      <c r="T623" s="59"/>
      <c r="U623" s="59"/>
      <c r="V623" s="59"/>
      <c r="W623" s="59"/>
      <c r="X623" s="59"/>
      <c r="Y623" s="59"/>
      <c r="Z623" s="59"/>
    </row>
    <row r="624" ht="15.75" customHeight="1">
      <c r="A624" s="59"/>
      <c r="C624" s="59"/>
      <c r="D624" s="59"/>
      <c r="E624" s="59"/>
      <c r="F624" s="60"/>
      <c r="G624" s="59"/>
      <c r="H624" s="61"/>
      <c r="I624" s="59"/>
      <c r="J624" s="59"/>
      <c r="K624" s="59"/>
      <c r="L624" s="59"/>
      <c r="M624" s="59"/>
      <c r="N624" s="59"/>
      <c r="O624" s="59"/>
      <c r="P624" s="59"/>
      <c r="Q624" s="59"/>
      <c r="R624" s="59"/>
      <c r="S624" s="59"/>
      <c r="T624" s="59"/>
      <c r="U624" s="59"/>
      <c r="V624" s="59"/>
      <c r="W624" s="59"/>
      <c r="X624" s="59"/>
      <c r="Y624" s="59"/>
      <c r="Z624" s="59"/>
    </row>
    <row r="625" ht="15.75" customHeight="1">
      <c r="A625" s="59"/>
      <c r="C625" s="59"/>
      <c r="D625" s="59"/>
      <c r="E625" s="59"/>
      <c r="F625" s="60"/>
      <c r="G625" s="59"/>
      <c r="H625" s="61"/>
      <c r="I625" s="59"/>
      <c r="J625" s="59"/>
      <c r="K625" s="59"/>
      <c r="L625" s="59"/>
      <c r="M625" s="59"/>
      <c r="N625" s="59"/>
      <c r="O625" s="59"/>
      <c r="P625" s="59"/>
      <c r="Q625" s="59"/>
      <c r="R625" s="59"/>
      <c r="S625" s="59"/>
      <c r="T625" s="59"/>
      <c r="U625" s="59"/>
      <c r="V625" s="59"/>
      <c r="W625" s="59"/>
      <c r="X625" s="59"/>
      <c r="Y625" s="59"/>
      <c r="Z625" s="59"/>
    </row>
    <row r="626" ht="15.75" customHeight="1">
      <c r="A626" s="59"/>
      <c r="C626" s="59"/>
      <c r="D626" s="59"/>
      <c r="E626" s="59"/>
      <c r="F626" s="60"/>
      <c r="G626" s="59"/>
      <c r="H626" s="61"/>
      <c r="I626" s="59"/>
      <c r="J626" s="59"/>
      <c r="K626" s="59"/>
      <c r="L626" s="59"/>
      <c r="M626" s="59"/>
      <c r="N626" s="59"/>
      <c r="O626" s="59"/>
      <c r="P626" s="59"/>
      <c r="Q626" s="59"/>
      <c r="R626" s="59"/>
      <c r="S626" s="59"/>
      <c r="T626" s="59"/>
      <c r="U626" s="59"/>
      <c r="V626" s="59"/>
      <c r="W626" s="59"/>
      <c r="X626" s="59"/>
      <c r="Y626" s="59"/>
      <c r="Z626" s="59"/>
    </row>
    <row r="627" ht="15.75" customHeight="1">
      <c r="A627" s="59"/>
      <c r="C627" s="59"/>
      <c r="D627" s="59"/>
      <c r="E627" s="59"/>
      <c r="F627" s="60"/>
      <c r="G627" s="59"/>
      <c r="H627" s="61"/>
      <c r="I627" s="59"/>
      <c r="J627" s="59"/>
      <c r="K627" s="59"/>
      <c r="L627" s="59"/>
      <c r="M627" s="59"/>
      <c r="N627" s="59"/>
      <c r="O627" s="59"/>
      <c r="P627" s="59"/>
      <c r="Q627" s="59"/>
      <c r="R627" s="59"/>
      <c r="S627" s="59"/>
      <c r="T627" s="59"/>
      <c r="U627" s="59"/>
      <c r="V627" s="59"/>
      <c r="W627" s="59"/>
      <c r="X627" s="59"/>
      <c r="Y627" s="59"/>
      <c r="Z627" s="59"/>
    </row>
    <row r="628" ht="15.75" customHeight="1">
      <c r="A628" s="59"/>
      <c r="C628" s="59"/>
      <c r="D628" s="59"/>
      <c r="E628" s="59"/>
      <c r="F628" s="60"/>
      <c r="G628" s="59"/>
      <c r="H628" s="61"/>
      <c r="I628" s="59"/>
      <c r="J628" s="59"/>
      <c r="K628" s="59"/>
      <c r="L628" s="59"/>
      <c r="M628" s="59"/>
      <c r="N628" s="59"/>
      <c r="O628" s="59"/>
      <c r="P628" s="59"/>
      <c r="Q628" s="59"/>
      <c r="R628" s="59"/>
      <c r="S628" s="59"/>
      <c r="T628" s="59"/>
      <c r="U628" s="59"/>
      <c r="V628" s="59"/>
      <c r="W628" s="59"/>
      <c r="X628" s="59"/>
      <c r="Y628" s="59"/>
      <c r="Z628" s="59"/>
    </row>
    <row r="629" ht="15.75" customHeight="1">
      <c r="A629" s="59"/>
      <c r="C629" s="59"/>
      <c r="D629" s="59"/>
      <c r="E629" s="59"/>
      <c r="F629" s="60"/>
      <c r="G629" s="59"/>
      <c r="H629" s="61"/>
      <c r="I629" s="59"/>
      <c r="J629" s="59"/>
      <c r="K629" s="59"/>
      <c r="L629" s="59"/>
      <c r="M629" s="59"/>
      <c r="N629" s="59"/>
      <c r="O629" s="59"/>
      <c r="P629" s="59"/>
      <c r="Q629" s="59"/>
      <c r="R629" s="59"/>
      <c r="S629" s="59"/>
      <c r="T629" s="59"/>
      <c r="U629" s="59"/>
      <c r="V629" s="59"/>
      <c r="W629" s="59"/>
      <c r="X629" s="59"/>
      <c r="Y629" s="59"/>
      <c r="Z629" s="59"/>
    </row>
    <row r="630" ht="15.75" customHeight="1">
      <c r="A630" s="59"/>
      <c r="C630" s="59"/>
      <c r="D630" s="59"/>
      <c r="E630" s="59"/>
      <c r="F630" s="60"/>
      <c r="G630" s="59"/>
      <c r="H630" s="61"/>
      <c r="I630" s="59"/>
      <c r="J630" s="59"/>
      <c r="K630" s="59"/>
      <c r="L630" s="59"/>
      <c r="M630" s="59"/>
      <c r="N630" s="59"/>
      <c r="O630" s="59"/>
      <c r="P630" s="59"/>
      <c r="Q630" s="59"/>
      <c r="R630" s="59"/>
      <c r="S630" s="59"/>
      <c r="T630" s="59"/>
      <c r="U630" s="59"/>
      <c r="V630" s="59"/>
      <c r="W630" s="59"/>
      <c r="X630" s="59"/>
      <c r="Y630" s="59"/>
      <c r="Z630" s="59"/>
    </row>
    <row r="631" ht="15.75" customHeight="1">
      <c r="A631" s="59"/>
      <c r="C631" s="59"/>
      <c r="D631" s="59"/>
      <c r="E631" s="59"/>
      <c r="F631" s="60"/>
      <c r="G631" s="59"/>
      <c r="H631" s="61"/>
      <c r="I631" s="59"/>
      <c r="J631" s="59"/>
      <c r="K631" s="59"/>
      <c r="L631" s="59"/>
      <c r="M631" s="59"/>
      <c r="N631" s="59"/>
      <c r="O631" s="59"/>
      <c r="P631" s="59"/>
      <c r="Q631" s="59"/>
      <c r="R631" s="59"/>
      <c r="S631" s="59"/>
      <c r="T631" s="59"/>
      <c r="U631" s="59"/>
      <c r="V631" s="59"/>
      <c r="W631" s="59"/>
      <c r="X631" s="59"/>
      <c r="Y631" s="59"/>
      <c r="Z631" s="59"/>
    </row>
    <row r="632" ht="15.75" customHeight="1">
      <c r="A632" s="59"/>
      <c r="C632" s="59"/>
      <c r="D632" s="59"/>
      <c r="E632" s="59"/>
      <c r="F632" s="60"/>
      <c r="G632" s="59"/>
      <c r="H632" s="61"/>
      <c r="I632" s="59"/>
      <c r="J632" s="59"/>
      <c r="K632" s="59"/>
      <c r="L632" s="59"/>
      <c r="M632" s="59"/>
      <c r="N632" s="59"/>
      <c r="O632" s="59"/>
      <c r="P632" s="59"/>
      <c r="Q632" s="59"/>
      <c r="R632" s="59"/>
      <c r="S632" s="59"/>
      <c r="T632" s="59"/>
      <c r="U632" s="59"/>
      <c r="V632" s="59"/>
      <c r="W632" s="59"/>
      <c r="X632" s="59"/>
      <c r="Y632" s="59"/>
      <c r="Z632" s="59"/>
    </row>
    <row r="633" ht="15.75" customHeight="1">
      <c r="A633" s="59"/>
      <c r="C633" s="59"/>
      <c r="D633" s="59"/>
      <c r="E633" s="59"/>
      <c r="F633" s="60"/>
      <c r="G633" s="59"/>
      <c r="H633" s="61"/>
      <c r="I633" s="59"/>
      <c r="J633" s="59"/>
      <c r="K633" s="59"/>
      <c r="L633" s="59"/>
      <c r="M633" s="59"/>
      <c r="N633" s="59"/>
      <c r="O633" s="59"/>
      <c r="P633" s="59"/>
      <c r="Q633" s="59"/>
      <c r="R633" s="59"/>
      <c r="S633" s="59"/>
      <c r="T633" s="59"/>
      <c r="U633" s="59"/>
      <c r="V633" s="59"/>
      <c r="W633" s="59"/>
      <c r="X633" s="59"/>
      <c r="Y633" s="59"/>
      <c r="Z633" s="59"/>
    </row>
    <row r="634" ht="15.75" customHeight="1">
      <c r="A634" s="59"/>
      <c r="C634" s="59"/>
      <c r="D634" s="59"/>
      <c r="E634" s="59"/>
      <c r="F634" s="60"/>
      <c r="G634" s="59"/>
      <c r="H634" s="61"/>
      <c r="I634" s="59"/>
      <c r="J634" s="59"/>
      <c r="K634" s="59"/>
      <c r="L634" s="59"/>
      <c r="M634" s="59"/>
      <c r="N634" s="59"/>
      <c r="O634" s="59"/>
      <c r="P634" s="59"/>
      <c r="Q634" s="59"/>
      <c r="R634" s="59"/>
      <c r="S634" s="59"/>
      <c r="T634" s="59"/>
      <c r="U634" s="59"/>
      <c r="V634" s="59"/>
      <c r="W634" s="59"/>
      <c r="X634" s="59"/>
      <c r="Y634" s="59"/>
      <c r="Z634" s="59"/>
    </row>
    <row r="635" ht="15.75" customHeight="1">
      <c r="A635" s="59"/>
      <c r="C635" s="59"/>
      <c r="D635" s="59"/>
      <c r="E635" s="59"/>
      <c r="F635" s="60"/>
      <c r="G635" s="59"/>
      <c r="H635" s="61"/>
      <c r="I635" s="59"/>
      <c r="J635" s="59"/>
      <c r="K635" s="59"/>
      <c r="L635" s="59"/>
      <c r="M635" s="59"/>
      <c r="N635" s="59"/>
      <c r="O635" s="59"/>
      <c r="P635" s="59"/>
      <c r="Q635" s="59"/>
      <c r="R635" s="59"/>
      <c r="S635" s="59"/>
      <c r="T635" s="59"/>
      <c r="U635" s="59"/>
      <c r="V635" s="59"/>
      <c r="W635" s="59"/>
      <c r="X635" s="59"/>
      <c r="Y635" s="59"/>
      <c r="Z635" s="59"/>
    </row>
    <row r="636" ht="15.75" customHeight="1">
      <c r="A636" s="59"/>
      <c r="C636" s="59"/>
      <c r="D636" s="59"/>
      <c r="E636" s="59"/>
      <c r="F636" s="60"/>
      <c r="G636" s="59"/>
      <c r="H636" s="61"/>
      <c r="I636" s="59"/>
      <c r="J636" s="59"/>
      <c r="K636" s="59"/>
      <c r="L636" s="59"/>
      <c r="M636" s="59"/>
      <c r="N636" s="59"/>
      <c r="O636" s="59"/>
      <c r="P636" s="59"/>
      <c r="Q636" s="59"/>
      <c r="R636" s="59"/>
      <c r="S636" s="59"/>
      <c r="T636" s="59"/>
      <c r="U636" s="59"/>
      <c r="V636" s="59"/>
      <c r="W636" s="59"/>
      <c r="X636" s="59"/>
      <c r="Y636" s="59"/>
      <c r="Z636" s="59"/>
    </row>
    <row r="637" ht="15.75" customHeight="1">
      <c r="A637" s="59"/>
      <c r="C637" s="59"/>
      <c r="D637" s="59"/>
      <c r="E637" s="59"/>
      <c r="F637" s="60"/>
      <c r="G637" s="59"/>
      <c r="H637" s="61"/>
      <c r="I637" s="59"/>
      <c r="J637" s="59"/>
      <c r="K637" s="59"/>
      <c r="L637" s="59"/>
      <c r="M637" s="59"/>
      <c r="N637" s="59"/>
      <c r="O637" s="59"/>
      <c r="P637" s="59"/>
      <c r="Q637" s="59"/>
      <c r="R637" s="59"/>
      <c r="S637" s="59"/>
      <c r="T637" s="59"/>
      <c r="U637" s="59"/>
      <c r="V637" s="59"/>
      <c r="W637" s="59"/>
      <c r="X637" s="59"/>
      <c r="Y637" s="59"/>
      <c r="Z637" s="59"/>
    </row>
    <row r="638" ht="15.75" customHeight="1">
      <c r="A638" s="59"/>
      <c r="C638" s="59"/>
      <c r="D638" s="59"/>
      <c r="E638" s="59"/>
      <c r="F638" s="60"/>
      <c r="G638" s="59"/>
      <c r="H638" s="61"/>
      <c r="I638" s="59"/>
      <c r="J638" s="59"/>
      <c r="K638" s="59"/>
      <c r="L638" s="59"/>
      <c r="M638" s="59"/>
      <c r="N638" s="59"/>
      <c r="O638" s="59"/>
      <c r="P638" s="59"/>
      <c r="Q638" s="59"/>
      <c r="R638" s="59"/>
      <c r="S638" s="59"/>
      <c r="T638" s="59"/>
      <c r="U638" s="59"/>
      <c r="V638" s="59"/>
      <c r="W638" s="59"/>
      <c r="X638" s="59"/>
      <c r="Y638" s="59"/>
      <c r="Z638" s="59"/>
    </row>
    <row r="639" ht="15.75" customHeight="1">
      <c r="A639" s="59"/>
      <c r="C639" s="59"/>
      <c r="D639" s="59"/>
      <c r="E639" s="59"/>
      <c r="F639" s="60"/>
      <c r="G639" s="59"/>
      <c r="H639" s="61"/>
      <c r="I639" s="59"/>
      <c r="J639" s="59"/>
      <c r="K639" s="59"/>
      <c r="L639" s="59"/>
      <c r="M639" s="59"/>
      <c r="N639" s="59"/>
      <c r="O639" s="59"/>
      <c r="P639" s="59"/>
      <c r="Q639" s="59"/>
      <c r="R639" s="59"/>
      <c r="S639" s="59"/>
      <c r="T639" s="59"/>
      <c r="U639" s="59"/>
      <c r="V639" s="59"/>
      <c r="W639" s="59"/>
      <c r="X639" s="59"/>
      <c r="Y639" s="59"/>
      <c r="Z639" s="59"/>
    </row>
    <row r="640" ht="15.75" customHeight="1">
      <c r="A640" s="59"/>
      <c r="C640" s="59"/>
      <c r="D640" s="59"/>
      <c r="E640" s="59"/>
      <c r="F640" s="60"/>
      <c r="G640" s="59"/>
      <c r="H640" s="61"/>
      <c r="I640" s="59"/>
      <c r="J640" s="59"/>
      <c r="K640" s="59"/>
      <c r="L640" s="59"/>
      <c r="M640" s="59"/>
      <c r="N640" s="59"/>
      <c r="O640" s="59"/>
      <c r="P640" s="59"/>
      <c r="Q640" s="59"/>
      <c r="R640" s="59"/>
      <c r="S640" s="59"/>
      <c r="T640" s="59"/>
      <c r="U640" s="59"/>
      <c r="V640" s="59"/>
      <c r="W640" s="59"/>
      <c r="X640" s="59"/>
      <c r="Y640" s="59"/>
      <c r="Z640" s="59"/>
    </row>
    <row r="641" ht="15.75" customHeight="1">
      <c r="A641" s="59"/>
      <c r="C641" s="59"/>
      <c r="D641" s="59"/>
      <c r="E641" s="59"/>
      <c r="F641" s="60"/>
      <c r="G641" s="59"/>
      <c r="H641" s="61"/>
      <c r="I641" s="59"/>
      <c r="J641" s="59"/>
      <c r="K641" s="59"/>
      <c r="L641" s="59"/>
      <c r="M641" s="59"/>
      <c r="N641" s="59"/>
      <c r="O641" s="59"/>
      <c r="P641" s="59"/>
      <c r="Q641" s="59"/>
      <c r="R641" s="59"/>
      <c r="S641" s="59"/>
      <c r="T641" s="59"/>
      <c r="U641" s="59"/>
      <c r="V641" s="59"/>
      <c r="W641" s="59"/>
      <c r="X641" s="59"/>
      <c r="Y641" s="59"/>
      <c r="Z641" s="59"/>
    </row>
    <row r="642" ht="15.75" customHeight="1">
      <c r="A642" s="59"/>
      <c r="C642" s="59"/>
      <c r="D642" s="59"/>
      <c r="E642" s="59"/>
      <c r="F642" s="60"/>
      <c r="G642" s="59"/>
      <c r="H642" s="61"/>
      <c r="I642" s="59"/>
      <c r="J642" s="59"/>
      <c r="K642" s="59"/>
      <c r="L642" s="59"/>
      <c r="M642" s="59"/>
      <c r="N642" s="59"/>
      <c r="O642" s="59"/>
      <c r="P642" s="59"/>
      <c r="Q642" s="59"/>
      <c r="R642" s="59"/>
      <c r="S642" s="59"/>
      <c r="T642" s="59"/>
      <c r="U642" s="59"/>
      <c r="V642" s="59"/>
      <c r="W642" s="59"/>
      <c r="X642" s="59"/>
      <c r="Y642" s="59"/>
      <c r="Z642" s="59"/>
    </row>
    <row r="643" ht="15.75" customHeight="1">
      <c r="A643" s="59"/>
      <c r="C643" s="59"/>
      <c r="D643" s="59"/>
      <c r="E643" s="59"/>
      <c r="F643" s="60"/>
      <c r="G643" s="59"/>
      <c r="H643" s="61"/>
      <c r="I643" s="59"/>
      <c r="J643" s="59"/>
      <c r="K643" s="59"/>
      <c r="L643" s="59"/>
      <c r="M643" s="59"/>
      <c r="N643" s="59"/>
      <c r="O643" s="59"/>
      <c r="P643" s="59"/>
      <c r="Q643" s="59"/>
      <c r="R643" s="59"/>
      <c r="S643" s="59"/>
      <c r="T643" s="59"/>
      <c r="U643" s="59"/>
      <c r="V643" s="59"/>
      <c r="W643" s="59"/>
      <c r="X643" s="59"/>
      <c r="Y643" s="59"/>
      <c r="Z643" s="59"/>
    </row>
    <row r="644" ht="15.75" customHeight="1">
      <c r="A644" s="59"/>
      <c r="C644" s="59"/>
      <c r="D644" s="59"/>
      <c r="E644" s="59"/>
      <c r="F644" s="60"/>
      <c r="G644" s="59"/>
      <c r="H644" s="61"/>
      <c r="I644" s="59"/>
      <c r="J644" s="59"/>
      <c r="K644" s="59"/>
      <c r="L644" s="59"/>
      <c r="M644" s="59"/>
      <c r="N644" s="59"/>
      <c r="O644" s="59"/>
      <c r="P644" s="59"/>
      <c r="Q644" s="59"/>
      <c r="R644" s="59"/>
      <c r="S644" s="59"/>
      <c r="T644" s="59"/>
      <c r="U644" s="59"/>
      <c r="V644" s="59"/>
      <c r="W644" s="59"/>
      <c r="X644" s="59"/>
      <c r="Y644" s="59"/>
      <c r="Z644" s="59"/>
    </row>
    <row r="645" ht="15.75" customHeight="1">
      <c r="A645" s="59"/>
      <c r="C645" s="59"/>
      <c r="D645" s="59"/>
      <c r="E645" s="59"/>
      <c r="F645" s="60"/>
      <c r="G645" s="59"/>
      <c r="H645" s="61"/>
      <c r="I645" s="59"/>
      <c r="J645" s="59"/>
      <c r="K645" s="59"/>
      <c r="L645" s="59"/>
      <c r="M645" s="59"/>
      <c r="N645" s="59"/>
      <c r="O645" s="59"/>
      <c r="P645" s="59"/>
      <c r="Q645" s="59"/>
      <c r="R645" s="59"/>
      <c r="S645" s="59"/>
      <c r="T645" s="59"/>
      <c r="U645" s="59"/>
      <c r="V645" s="59"/>
      <c r="W645" s="59"/>
      <c r="X645" s="59"/>
      <c r="Y645" s="59"/>
      <c r="Z645" s="59"/>
    </row>
    <row r="646" ht="15.75" customHeight="1">
      <c r="A646" s="59"/>
      <c r="C646" s="59"/>
      <c r="D646" s="59"/>
      <c r="E646" s="59"/>
      <c r="F646" s="60"/>
      <c r="G646" s="59"/>
      <c r="H646" s="61"/>
      <c r="I646" s="59"/>
      <c r="J646" s="59"/>
      <c r="K646" s="59"/>
      <c r="L646" s="59"/>
      <c r="M646" s="59"/>
      <c r="N646" s="59"/>
      <c r="O646" s="59"/>
      <c r="P646" s="59"/>
      <c r="Q646" s="59"/>
      <c r="R646" s="59"/>
      <c r="S646" s="59"/>
      <c r="T646" s="59"/>
      <c r="U646" s="59"/>
      <c r="V646" s="59"/>
      <c r="W646" s="59"/>
      <c r="X646" s="59"/>
      <c r="Y646" s="59"/>
      <c r="Z646" s="59"/>
    </row>
    <row r="647" ht="15.75" customHeight="1">
      <c r="A647" s="59"/>
      <c r="C647" s="59"/>
      <c r="D647" s="59"/>
      <c r="E647" s="59"/>
      <c r="F647" s="60"/>
      <c r="G647" s="59"/>
      <c r="H647" s="61"/>
      <c r="I647" s="59"/>
      <c r="J647" s="59"/>
      <c r="K647" s="59"/>
      <c r="L647" s="59"/>
      <c r="M647" s="59"/>
      <c r="N647" s="59"/>
      <c r="O647" s="59"/>
      <c r="P647" s="59"/>
      <c r="Q647" s="59"/>
      <c r="R647" s="59"/>
      <c r="S647" s="59"/>
      <c r="T647" s="59"/>
      <c r="U647" s="59"/>
      <c r="V647" s="59"/>
      <c r="W647" s="59"/>
      <c r="X647" s="59"/>
      <c r="Y647" s="59"/>
      <c r="Z647" s="59"/>
    </row>
    <row r="648" ht="15.75" customHeight="1">
      <c r="A648" s="59"/>
      <c r="C648" s="59"/>
      <c r="D648" s="59"/>
      <c r="E648" s="59"/>
      <c r="F648" s="60"/>
      <c r="G648" s="59"/>
      <c r="H648" s="61"/>
      <c r="I648" s="59"/>
      <c r="J648" s="59"/>
      <c r="K648" s="59"/>
      <c r="L648" s="59"/>
      <c r="M648" s="59"/>
      <c r="N648" s="59"/>
      <c r="O648" s="59"/>
      <c r="P648" s="59"/>
      <c r="Q648" s="59"/>
      <c r="R648" s="59"/>
      <c r="S648" s="59"/>
      <c r="T648" s="59"/>
      <c r="U648" s="59"/>
      <c r="V648" s="59"/>
      <c r="W648" s="59"/>
      <c r="X648" s="59"/>
      <c r="Y648" s="59"/>
      <c r="Z648" s="59"/>
    </row>
    <row r="649" ht="15.75" customHeight="1">
      <c r="A649" s="59"/>
      <c r="C649" s="59"/>
      <c r="D649" s="59"/>
      <c r="E649" s="59"/>
      <c r="F649" s="60"/>
      <c r="G649" s="59"/>
      <c r="H649" s="61"/>
      <c r="I649" s="59"/>
      <c r="J649" s="59"/>
      <c r="K649" s="59"/>
      <c r="L649" s="59"/>
      <c r="M649" s="59"/>
      <c r="N649" s="59"/>
      <c r="O649" s="59"/>
      <c r="P649" s="59"/>
      <c r="Q649" s="59"/>
      <c r="R649" s="59"/>
      <c r="S649" s="59"/>
      <c r="T649" s="59"/>
      <c r="U649" s="59"/>
      <c r="V649" s="59"/>
      <c r="W649" s="59"/>
      <c r="X649" s="59"/>
      <c r="Y649" s="59"/>
      <c r="Z649" s="59"/>
    </row>
    <row r="650" ht="15.75" customHeight="1">
      <c r="A650" s="59"/>
      <c r="C650" s="59"/>
      <c r="D650" s="59"/>
      <c r="E650" s="59"/>
      <c r="F650" s="60"/>
      <c r="G650" s="59"/>
      <c r="H650" s="61"/>
      <c r="I650" s="59"/>
      <c r="J650" s="59"/>
      <c r="K650" s="59"/>
      <c r="L650" s="59"/>
      <c r="M650" s="59"/>
      <c r="N650" s="59"/>
      <c r="O650" s="59"/>
      <c r="P650" s="59"/>
      <c r="Q650" s="59"/>
      <c r="R650" s="59"/>
      <c r="S650" s="59"/>
      <c r="T650" s="59"/>
      <c r="U650" s="59"/>
      <c r="V650" s="59"/>
      <c r="W650" s="59"/>
      <c r="X650" s="59"/>
      <c r="Y650" s="59"/>
      <c r="Z650" s="59"/>
    </row>
    <row r="651" ht="15.75" customHeight="1">
      <c r="A651" s="59"/>
      <c r="C651" s="59"/>
      <c r="D651" s="59"/>
      <c r="E651" s="59"/>
      <c r="F651" s="60"/>
      <c r="G651" s="59"/>
      <c r="H651" s="61"/>
      <c r="I651" s="59"/>
      <c r="J651" s="59"/>
      <c r="K651" s="59"/>
      <c r="L651" s="59"/>
      <c r="M651" s="59"/>
      <c r="N651" s="59"/>
      <c r="O651" s="59"/>
      <c r="P651" s="59"/>
      <c r="Q651" s="59"/>
      <c r="R651" s="59"/>
      <c r="S651" s="59"/>
      <c r="T651" s="59"/>
      <c r="U651" s="59"/>
      <c r="V651" s="59"/>
      <c r="W651" s="59"/>
      <c r="X651" s="59"/>
      <c r="Y651" s="59"/>
      <c r="Z651" s="59"/>
    </row>
    <row r="652" ht="15.75" customHeight="1">
      <c r="A652" s="59"/>
      <c r="C652" s="59"/>
      <c r="D652" s="59"/>
      <c r="E652" s="59"/>
      <c r="F652" s="60"/>
      <c r="G652" s="59"/>
      <c r="H652" s="61"/>
      <c r="I652" s="59"/>
      <c r="J652" s="59"/>
      <c r="K652" s="59"/>
      <c r="L652" s="59"/>
      <c r="M652" s="59"/>
      <c r="N652" s="59"/>
      <c r="O652" s="59"/>
      <c r="P652" s="59"/>
      <c r="Q652" s="59"/>
      <c r="R652" s="59"/>
      <c r="S652" s="59"/>
      <c r="T652" s="59"/>
      <c r="U652" s="59"/>
      <c r="V652" s="59"/>
      <c r="W652" s="59"/>
      <c r="X652" s="59"/>
      <c r="Y652" s="59"/>
      <c r="Z652" s="59"/>
    </row>
    <row r="653" ht="15.75" customHeight="1">
      <c r="A653" s="59"/>
      <c r="C653" s="59"/>
      <c r="D653" s="59"/>
      <c r="E653" s="59"/>
      <c r="F653" s="60"/>
      <c r="G653" s="59"/>
      <c r="H653" s="61"/>
      <c r="I653" s="59"/>
      <c r="J653" s="59"/>
      <c r="K653" s="59"/>
      <c r="L653" s="59"/>
      <c r="M653" s="59"/>
      <c r="N653" s="59"/>
      <c r="O653" s="59"/>
      <c r="P653" s="59"/>
      <c r="Q653" s="59"/>
      <c r="R653" s="59"/>
      <c r="S653" s="59"/>
      <c r="T653" s="59"/>
      <c r="U653" s="59"/>
      <c r="V653" s="59"/>
      <c r="W653" s="59"/>
      <c r="X653" s="59"/>
      <c r="Y653" s="59"/>
      <c r="Z653" s="59"/>
    </row>
    <row r="654" ht="15.75" customHeight="1">
      <c r="A654" s="59"/>
      <c r="C654" s="59"/>
      <c r="D654" s="59"/>
      <c r="E654" s="59"/>
      <c r="F654" s="60"/>
      <c r="G654" s="59"/>
      <c r="H654" s="61"/>
      <c r="I654" s="59"/>
      <c r="J654" s="59"/>
      <c r="K654" s="59"/>
      <c r="L654" s="59"/>
      <c r="M654" s="59"/>
      <c r="N654" s="59"/>
      <c r="O654" s="59"/>
      <c r="P654" s="59"/>
      <c r="Q654" s="59"/>
      <c r="R654" s="59"/>
      <c r="S654" s="59"/>
      <c r="T654" s="59"/>
      <c r="U654" s="59"/>
      <c r="V654" s="59"/>
      <c r="W654" s="59"/>
      <c r="X654" s="59"/>
      <c r="Y654" s="59"/>
      <c r="Z654" s="59"/>
    </row>
    <row r="655" ht="15.75" customHeight="1">
      <c r="A655" s="59"/>
      <c r="C655" s="59"/>
      <c r="D655" s="59"/>
      <c r="E655" s="59"/>
      <c r="F655" s="60"/>
      <c r="G655" s="59"/>
      <c r="H655" s="61"/>
      <c r="I655" s="59"/>
      <c r="J655" s="59"/>
      <c r="K655" s="59"/>
      <c r="L655" s="59"/>
      <c r="M655" s="59"/>
      <c r="N655" s="59"/>
      <c r="O655" s="59"/>
      <c r="P655" s="59"/>
      <c r="Q655" s="59"/>
      <c r="R655" s="59"/>
      <c r="S655" s="59"/>
      <c r="T655" s="59"/>
      <c r="U655" s="59"/>
      <c r="V655" s="59"/>
      <c r="W655" s="59"/>
      <c r="X655" s="59"/>
      <c r="Y655" s="59"/>
      <c r="Z655" s="59"/>
    </row>
    <row r="656" ht="15.75" customHeight="1">
      <c r="A656" s="59"/>
      <c r="C656" s="59"/>
      <c r="D656" s="59"/>
      <c r="E656" s="59"/>
      <c r="F656" s="60"/>
      <c r="G656" s="59"/>
      <c r="H656" s="61"/>
      <c r="I656" s="59"/>
      <c r="J656" s="59"/>
      <c r="K656" s="59"/>
      <c r="L656" s="59"/>
      <c r="M656" s="59"/>
      <c r="N656" s="59"/>
      <c r="O656" s="59"/>
      <c r="P656" s="59"/>
      <c r="Q656" s="59"/>
      <c r="R656" s="59"/>
      <c r="S656" s="59"/>
      <c r="T656" s="59"/>
      <c r="U656" s="59"/>
      <c r="V656" s="59"/>
      <c r="W656" s="59"/>
      <c r="X656" s="59"/>
      <c r="Y656" s="59"/>
      <c r="Z656" s="59"/>
    </row>
    <row r="657" ht="15.75" customHeight="1">
      <c r="A657" s="59"/>
      <c r="C657" s="59"/>
      <c r="D657" s="59"/>
      <c r="E657" s="59"/>
      <c r="F657" s="60"/>
      <c r="G657" s="59"/>
      <c r="H657" s="61"/>
      <c r="I657" s="59"/>
      <c r="J657" s="59"/>
      <c r="K657" s="59"/>
      <c r="L657" s="59"/>
      <c r="M657" s="59"/>
      <c r="N657" s="59"/>
      <c r="O657" s="59"/>
      <c r="P657" s="59"/>
      <c r="Q657" s="59"/>
      <c r="R657" s="59"/>
      <c r="S657" s="59"/>
      <c r="T657" s="59"/>
      <c r="U657" s="59"/>
      <c r="V657" s="59"/>
      <c r="W657" s="59"/>
      <c r="X657" s="59"/>
      <c r="Y657" s="59"/>
      <c r="Z657" s="59"/>
    </row>
    <row r="658" ht="15.75" customHeight="1">
      <c r="A658" s="59"/>
      <c r="C658" s="59"/>
      <c r="D658" s="59"/>
      <c r="E658" s="59"/>
      <c r="F658" s="60"/>
      <c r="G658" s="59"/>
      <c r="H658" s="61"/>
      <c r="I658" s="59"/>
      <c r="J658" s="59"/>
      <c r="K658" s="59"/>
      <c r="L658" s="59"/>
      <c r="M658" s="59"/>
      <c r="N658" s="59"/>
      <c r="O658" s="59"/>
      <c r="P658" s="59"/>
      <c r="Q658" s="59"/>
      <c r="R658" s="59"/>
      <c r="S658" s="59"/>
      <c r="T658" s="59"/>
      <c r="U658" s="59"/>
      <c r="V658" s="59"/>
      <c r="W658" s="59"/>
      <c r="X658" s="59"/>
      <c r="Y658" s="59"/>
      <c r="Z658" s="59"/>
    </row>
    <row r="659" ht="15.75" customHeight="1">
      <c r="A659" s="59"/>
      <c r="C659" s="59"/>
      <c r="D659" s="59"/>
      <c r="E659" s="59"/>
      <c r="F659" s="60"/>
      <c r="G659" s="59"/>
      <c r="H659" s="61"/>
      <c r="I659" s="59"/>
      <c r="J659" s="59"/>
      <c r="K659" s="59"/>
      <c r="L659" s="59"/>
      <c r="M659" s="59"/>
      <c r="N659" s="59"/>
      <c r="O659" s="59"/>
      <c r="P659" s="59"/>
      <c r="Q659" s="59"/>
      <c r="R659" s="59"/>
      <c r="S659" s="59"/>
      <c r="T659" s="59"/>
      <c r="U659" s="59"/>
      <c r="V659" s="59"/>
      <c r="W659" s="59"/>
      <c r="X659" s="59"/>
      <c r="Y659" s="59"/>
      <c r="Z659" s="59"/>
    </row>
    <row r="660" ht="15.75" customHeight="1">
      <c r="A660" s="59"/>
      <c r="C660" s="59"/>
      <c r="D660" s="59"/>
      <c r="E660" s="59"/>
      <c r="F660" s="60"/>
      <c r="G660" s="59"/>
      <c r="H660" s="61"/>
      <c r="I660" s="59"/>
      <c r="J660" s="59"/>
      <c r="K660" s="59"/>
      <c r="L660" s="59"/>
      <c r="M660" s="59"/>
      <c r="N660" s="59"/>
      <c r="O660" s="59"/>
      <c r="P660" s="59"/>
      <c r="Q660" s="59"/>
      <c r="R660" s="59"/>
      <c r="S660" s="59"/>
      <c r="T660" s="59"/>
      <c r="U660" s="59"/>
      <c r="V660" s="59"/>
      <c r="W660" s="59"/>
      <c r="X660" s="59"/>
      <c r="Y660" s="59"/>
      <c r="Z660" s="59"/>
    </row>
    <row r="661" ht="15.75" customHeight="1">
      <c r="A661" s="59"/>
      <c r="C661" s="59"/>
      <c r="D661" s="59"/>
      <c r="E661" s="59"/>
      <c r="F661" s="60"/>
      <c r="G661" s="59"/>
      <c r="H661" s="61"/>
      <c r="I661" s="59"/>
      <c r="J661" s="59"/>
      <c r="K661" s="59"/>
      <c r="L661" s="59"/>
      <c r="M661" s="59"/>
      <c r="N661" s="59"/>
      <c r="O661" s="59"/>
      <c r="P661" s="59"/>
      <c r="Q661" s="59"/>
      <c r="R661" s="59"/>
      <c r="S661" s="59"/>
      <c r="T661" s="59"/>
      <c r="U661" s="59"/>
      <c r="V661" s="59"/>
      <c r="W661" s="59"/>
      <c r="X661" s="59"/>
      <c r="Y661" s="59"/>
      <c r="Z661" s="59"/>
    </row>
    <row r="662" ht="15.75" customHeight="1">
      <c r="A662" s="59"/>
      <c r="C662" s="59"/>
      <c r="D662" s="59"/>
      <c r="E662" s="59"/>
      <c r="F662" s="60"/>
      <c r="G662" s="59"/>
      <c r="H662" s="61"/>
      <c r="I662" s="59"/>
      <c r="J662" s="59"/>
      <c r="K662" s="59"/>
      <c r="L662" s="59"/>
      <c r="M662" s="59"/>
      <c r="N662" s="59"/>
      <c r="O662" s="59"/>
      <c r="P662" s="59"/>
      <c r="Q662" s="59"/>
      <c r="R662" s="59"/>
      <c r="S662" s="59"/>
      <c r="T662" s="59"/>
      <c r="U662" s="59"/>
      <c r="V662" s="59"/>
      <c r="W662" s="59"/>
      <c r="X662" s="59"/>
      <c r="Y662" s="59"/>
      <c r="Z662" s="59"/>
    </row>
    <row r="663" ht="15.75" customHeight="1">
      <c r="A663" s="59"/>
      <c r="C663" s="59"/>
      <c r="D663" s="59"/>
      <c r="E663" s="59"/>
      <c r="F663" s="60"/>
      <c r="G663" s="59"/>
      <c r="H663" s="61"/>
      <c r="I663" s="59"/>
      <c r="J663" s="59"/>
      <c r="K663" s="59"/>
      <c r="L663" s="59"/>
      <c r="M663" s="59"/>
      <c r="N663" s="59"/>
      <c r="O663" s="59"/>
      <c r="P663" s="59"/>
      <c r="Q663" s="59"/>
      <c r="R663" s="59"/>
      <c r="S663" s="59"/>
      <c r="T663" s="59"/>
      <c r="U663" s="59"/>
      <c r="V663" s="59"/>
      <c r="W663" s="59"/>
      <c r="X663" s="59"/>
      <c r="Y663" s="59"/>
      <c r="Z663" s="59"/>
    </row>
    <row r="664" ht="15.75" customHeight="1">
      <c r="A664" s="59"/>
      <c r="C664" s="59"/>
      <c r="D664" s="59"/>
      <c r="E664" s="59"/>
      <c r="F664" s="60"/>
      <c r="G664" s="59"/>
      <c r="H664" s="61"/>
      <c r="I664" s="59"/>
      <c r="J664" s="59"/>
      <c r="K664" s="59"/>
      <c r="L664" s="59"/>
      <c r="M664" s="59"/>
      <c r="N664" s="59"/>
      <c r="O664" s="59"/>
      <c r="P664" s="59"/>
      <c r="Q664" s="59"/>
      <c r="R664" s="59"/>
      <c r="S664" s="59"/>
      <c r="T664" s="59"/>
      <c r="U664" s="59"/>
      <c r="V664" s="59"/>
      <c r="W664" s="59"/>
      <c r="X664" s="59"/>
      <c r="Y664" s="59"/>
      <c r="Z664" s="59"/>
    </row>
    <row r="665" ht="15.75" customHeight="1">
      <c r="A665" s="59"/>
      <c r="C665" s="59"/>
      <c r="D665" s="59"/>
      <c r="E665" s="59"/>
      <c r="F665" s="60"/>
      <c r="G665" s="59"/>
      <c r="H665" s="61"/>
      <c r="I665" s="59"/>
      <c r="J665" s="59"/>
      <c r="K665" s="59"/>
      <c r="L665" s="59"/>
      <c r="M665" s="59"/>
      <c r="N665" s="59"/>
      <c r="O665" s="59"/>
      <c r="P665" s="59"/>
      <c r="Q665" s="59"/>
      <c r="R665" s="59"/>
      <c r="S665" s="59"/>
      <c r="T665" s="59"/>
      <c r="U665" s="59"/>
      <c r="V665" s="59"/>
      <c r="W665" s="59"/>
      <c r="X665" s="59"/>
      <c r="Y665" s="59"/>
      <c r="Z665" s="59"/>
    </row>
    <row r="666" ht="15.75" customHeight="1">
      <c r="A666" s="59"/>
      <c r="C666" s="59"/>
      <c r="D666" s="59"/>
      <c r="E666" s="59"/>
      <c r="F666" s="60"/>
      <c r="G666" s="59"/>
      <c r="H666" s="61"/>
      <c r="I666" s="59"/>
      <c r="J666" s="59"/>
      <c r="K666" s="59"/>
      <c r="L666" s="59"/>
      <c r="M666" s="59"/>
      <c r="N666" s="59"/>
      <c r="O666" s="59"/>
      <c r="P666" s="59"/>
      <c r="Q666" s="59"/>
      <c r="R666" s="59"/>
      <c r="S666" s="59"/>
      <c r="T666" s="59"/>
      <c r="U666" s="59"/>
      <c r="V666" s="59"/>
      <c r="W666" s="59"/>
      <c r="X666" s="59"/>
      <c r="Y666" s="59"/>
      <c r="Z666" s="59"/>
    </row>
    <row r="667" ht="15.75" customHeight="1">
      <c r="A667" s="59"/>
      <c r="C667" s="59"/>
      <c r="D667" s="59"/>
      <c r="E667" s="59"/>
      <c r="F667" s="60"/>
      <c r="G667" s="59"/>
      <c r="H667" s="61"/>
      <c r="I667" s="59"/>
      <c r="J667" s="59"/>
      <c r="K667" s="59"/>
      <c r="L667" s="59"/>
      <c r="M667" s="59"/>
      <c r="N667" s="59"/>
      <c r="O667" s="59"/>
      <c r="P667" s="59"/>
      <c r="Q667" s="59"/>
      <c r="R667" s="59"/>
      <c r="S667" s="59"/>
      <c r="T667" s="59"/>
      <c r="U667" s="59"/>
      <c r="V667" s="59"/>
      <c r="W667" s="59"/>
      <c r="X667" s="59"/>
      <c r="Y667" s="59"/>
      <c r="Z667" s="59"/>
    </row>
    <row r="668" ht="15.75" customHeight="1">
      <c r="A668" s="59"/>
      <c r="C668" s="59"/>
      <c r="D668" s="59"/>
      <c r="E668" s="59"/>
      <c r="F668" s="60"/>
      <c r="G668" s="59"/>
      <c r="H668" s="61"/>
      <c r="I668" s="59"/>
      <c r="J668" s="59"/>
      <c r="K668" s="59"/>
      <c r="L668" s="59"/>
      <c r="M668" s="59"/>
      <c r="N668" s="59"/>
      <c r="O668" s="59"/>
      <c r="P668" s="59"/>
      <c r="Q668" s="59"/>
      <c r="R668" s="59"/>
      <c r="S668" s="59"/>
      <c r="T668" s="59"/>
      <c r="U668" s="59"/>
      <c r="V668" s="59"/>
      <c r="W668" s="59"/>
      <c r="X668" s="59"/>
      <c r="Y668" s="59"/>
      <c r="Z668" s="59"/>
    </row>
    <row r="669" ht="15.75" customHeight="1">
      <c r="A669" s="59"/>
      <c r="C669" s="59"/>
      <c r="D669" s="59"/>
      <c r="E669" s="59"/>
      <c r="F669" s="60"/>
      <c r="G669" s="59"/>
      <c r="H669" s="61"/>
      <c r="I669" s="59"/>
      <c r="J669" s="59"/>
      <c r="K669" s="59"/>
      <c r="L669" s="59"/>
      <c r="M669" s="59"/>
      <c r="N669" s="59"/>
      <c r="O669" s="59"/>
      <c r="P669" s="59"/>
      <c r="Q669" s="59"/>
      <c r="R669" s="59"/>
      <c r="S669" s="59"/>
      <c r="T669" s="59"/>
      <c r="U669" s="59"/>
      <c r="V669" s="59"/>
      <c r="W669" s="59"/>
      <c r="X669" s="59"/>
      <c r="Y669" s="59"/>
      <c r="Z669" s="59"/>
    </row>
    <row r="670" ht="15.75" customHeight="1">
      <c r="A670" s="59"/>
      <c r="C670" s="59"/>
      <c r="D670" s="59"/>
      <c r="E670" s="59"/>
      <c r="F670" s="60"/>
      <c r="G670" s="59"/>
      <c r="H670" s="61"/>
      <c r="I670" s="59"/>
      <c r="J670" s="59"/>
      <c r="K670" s="59"/>
      <c r="L670" s="59"/>
      <c r="M670" s="59"/>
      <c r="N670" s="59"/>
      <c r="O670" s="59"/>
      <c r="P670" s="59"/>
      <c r="Q670" s="59"/>
      <c r="R670" s="59"/>
      <c r="S670" s="59"/>
      <c r="T670" s="59"/>
      <c r="U670" s="59"/>
      <c r="V670" s="59"/>
      <c r="W670" s="59"/>
      <c r="X670" s="59"/>
      <c r="Y670" s="59"/>
      <c r="Z670" s="59"/>
    </row>
    <row r="671" ht="15.75" customHeight="1">
      <c r="A671" s="59"/>
      <c r="C671" s="59"/>
      <c r="D671" s="59"/>
      <c r="E671" s="59"/>
      <c r="F671" s="60"/>
      <c r="G671" s="59"/>
      <c r="H671" s="61"/>
      <c r="I671" s="59"/>
      <c r="J671" s="59"/>
      <c r="K671" s="59"/>
      <c r="L671" s="59"/>
      <c r="M671" s="59"/>
      <c r="N671" s="59"/>
      <c r="O671" s="59"/>
      <c r="P671" s="59"/>
      <c r="Q671" s="59"/>
      <c r="R671" s="59"/>
      <c r="S671" s="59"/>
      <c r="T671" s="59"/>
      <c r="U671" s="59"/>
      <c r="V671" s="59"/>
      <c r="W671" s="59"/>
      <c r="X671" s="59"/>
      <c r="Y671" s="59"/>
      <c r="Z671" s="59"/>
    </row>
    <row r="672" ht="15.75" customHeight="1">
      <c r="A672" s="59"/>
      <c r="C672" s="59"/>
      <c r="D672" s="59"/>
      <c r="E672" s="59"/>
      <c r="F672" s="60"/>
      <c r="G672" s="59"/>
      <c r="H672" s="61"/>
      <c r="I672" s="59"/>
      <c r="J672" s="59"/>
      <c r="K672" s="59"/>
      <c r="L672" s="59"/>
      <c r="M672" s="59"/>
      <c r="N672" s="59"/>
      <c r="O672" s="59"/>
      <c r="P672" s="59"/>
      <c r="Q672" s="59"/>
      <c r="R672" s="59"/>
      <c r="S672" s="59"/>
      <c r="T672" s="59"/>
      <c r="U672" s="59"/>
      <c r="V672" s="59"/>
      <c r="W672" s="59"/>
      <c r="X672" s="59"/>
      <c r="Y672" s="59"/>
      <c r="Z672" s="59"/>
    </row>
    <row r="673" ht="15.75" customHeight="1">
      <c r="A673" s="59"/>
      <c r="C673" s="59"/>
      <c r="D673" s="59"/>
      <c r="E673" s="59"/>
      <c r="F673" s="60"/>
      <c r="G673" s="59"/>
      <c r="H673" s="61"/>
      <c r="I673" s="59"/>
      <c r="J673" s="59"/>
      <c r="K673" s="59"/>
      <c r="L673" s="59"/>
      <c r="M673" s="59"/>
      <c r="N673" s="59"/>
      <c r="O673" s="59"/>
      <c r="P673" s="59"/>
      <c r="Q673" s="59"/>
      <c r="R673" s="59"/>
      <c r="S673" s="59"/>
      <c r="T673" s="59"/>
      <c r="U673" s="59"/>
      <c r="V673" s="59"/>
      <c r="W673" s="59"/>
      <c r="X673" s="59"/>
      <c r="Y673" s="59"/>
      <c r="Z673" s="59"/>
    </row>
    <row r="674" ht="15.75" customHeight="1">
      <c r="A674" s="59"/>
      <c r="C674" s="59"/>
      <c r="D674" s="59"/>
      <c r="E674" s="59"/>
      <c r="F674" s="60"/>
      <c r="G674" s="59"/>
      <c r="H674" s="61"/>
      <c r="I674" s="59"/>
      <c r="J674" s="59"/>
      <c r="K674" s="59"/>
      <c r="L674" s="59"/>
      <c r="M674" s="59"/>
      <c r="N674" s="59"/>
      <c r="O674" s="59"/>
      <c r="P674" s="59"/>
      <c r="Q674" s="59"/>
      <c r="R674" s="59"/>
      <c r="S674" s="59"/>
      <c r="T674" s="59"/>
      <c r="U674" s="59"/>
      <c r="V674" s="59"/>
      <c r="W674" s="59"/>
      <c r="X674" s="59"/>
      <c r="Y674" s="59"/>
      <c r="Z674" s="59"/>
    </row>
    <row r="675" ht="15.75" customHeight="1">
      <c r="A675" s="59"/>
      <c r="C675" s="59"/>
      <c r="D675" s="59"/>
      <c r="E675" s="59"/>
      <c r="F675" s="60"/>
      <c r="G675" s="59"/>
      <c r="H675" s="61"/>
      <c r="I675" s="59"/>
      <c r="J675" s="59"/>
      <c r="K675" s="59"/>
      <c r="L675" s="59"/>
      <c r="M675" s="59"/>
      <c r="N675" s="59"/>
      <c r="O675" s="59"/>
      <c r="P675" s="59"/>
      <c r="Q675" s="59"/>
      <c r="R675" s="59"/>
      <c r="S675" s="59"/>
      <c r="T675" s="59"/>
      <c r="U675" s="59"/>
      <c r="V675" s="59"/>
      <c r="W675" s="59"/>
      <c r="X675" s="59"/>
      <c r="Y675" s="59"/>
      <c r="Z675" s="59"/>
    </row>
    <row r="676" ht="15.75" customHeight="1">
      <c r="A676" s="59"/>
      <c r="C676" s="59"/>
      <c r="D676" s="59"/>
      <c r="E676" s="59"/>
      <c r="F676" s="60"/>
      <c r="G676" s="59"/>
      <c r="H676" s="61"/>
      <c r="I676" s="59"/>
      <c r="J676" s="59"/>
      <c r="K676" s="59"/>
      <c r="L676" s="59"/>
      <c r="M676" s="59"/>
      <c r="N676" s="59"/>
      <c r="O676" s="59"/>
      <c r="P676" s="59"/>
      <c r="Q676" s="59"/>
      <c r="R676" s="59"/>
      <c r="S676" s="59"/>
      <c r="T676" s="59"/>
      <c r="U676" s="59"/>
      <c r="V676" s="59"/>
      <c r="W676" s="59"/>
      <c r="X676" s="59"/>
      <c r="Y676" s="59"/>
      <c r="Z676" s="59"/>
    </row>
    <row r="677" ht="15.75" customHeight="1">
      <c r="A677" s="59"/>
      <c r="C677" s="59"/>
      <c r="D677" s="59"/>
      <c r="E677" s="59"/>
      <c r="F677" s="60"/>
      <c r="G677" s="59"/>
      <c r="H677" s="61"/>
      <c r="I677" s="59"/>
      <c r="J677" s="59"/>
      <c r="K677" s="59"/>
      <c r="L677" s="59"/>
      <c r="M677" s="59"/>
      <c r="N677" s="59"/>
      <c r="O677" s="59"/>
      <c r="P677" s="59"/>
      <c r="Q677" s="59"/>
      <c r="R677" s="59"/>
      <c r="S677" s="59"/>
      <c r="T677" s="59"/>
      <c r="U677" s="59"/>
      <c r="V677" s="59"/>
      <c r="W677" s="59"/>
      <c r="X677" s="59"/>
      <c r="Y677" s="59"/>
      <c r="Z677" s="59"/>
    </row>
    <row r="678" ht="15.75" customHeight="1">
      <c r="A678" s="59"/>
      <c r="C678" s="59"/>
      <c r="D678" s="59"/>
      <c r="E678" s="59"/>
      <c r="F678" s="60"/>
      <c r="G678" s="59"/>
      <c r="H678" s="61"/>
      <c r="I678" s="59"/>
      <c r="J678" s="59"/>
      <c r="K678" s="59"/>
      <c r="L678" s="59"/>
      <c r="M678" s="59"/>
      <c r="N678" s="59"/>
      <c r="O678" s="59"/>
      <c r="P678" s="59"/>
      <c r="Q678" s="59"/>
      <c r="R678" s="59"/>
      <c r="S678" s="59"/>
      <c r="T678" s="59"/>
      <c r="U678" s="59"/>
      <c r="V678" s="59"/>
      <c r="W678" s="59"/>
      <c r="X678" s="59"/>
      <c r="Y678" s="59"/>
      <c r="Z678" s="59"/>
    </row>
    <row r="679" ht="15.75" customHeight="1">
      <c r="A679" s="59"/>
      <c r="C679" s="59"/>
      <c r="D679" s="59"/>
      <c r="E679" s="59"/>
      <c r="F679" s="60"/>
      <c r="G679" s="59"/>
      <c r="H679" s="61"/>
      <c r="I679" s="59"/>
      <c r="J679" s="59"/>
      <c r="K679" s="59"/>
      <c r="L679" s="59"/>
      <c r="M679" s="59"/>
      <c r="N679" s="59"/>
      <c r="O679" s="59"/>
      <c r="P679" s="59"/>
      <c r="Q679" s="59"/>
      <c r="R679" s="59"/>
      <c r="S679" s="59"/>
      <c r="T679" s="59"/>
      <c r="U679" s="59"/>
      <c r="V679" s="59"/>
      <c r="W679" s="59"/>
      <c r="X679" s="59"/>
      <c r="Y679" s="59"/>
      <c r="Z679" s="59"/>
    </row>
    <row r="680" ht="15.75" customHeight="1">
      <c r="A680" s="59"/>
      <c r="C680" s="59"/>
      <c r="D680" s="59"/>
      <c r="E680" s="59"/>
      <c r="F680" s="60"/>
      <c r="G680" s="59"/>
      <c r="H680" s="61"/>
      <c r="I680" s="59"/>
      <c r="J680" s="59"/>
      <c r="K680" s="59"/>
      <c r="L680" s="59"/>
      <c r="M680" s="59"/>
      <c r="N680" s="59"/>
      <c r="O680" s="59"/>
      <c r="P680" s="59"/>
      <c r="Q680" s="59"/>
      <c r="R680" s="59"/>
      <c r="S680" s="59"/>
      <c r="T680" s="59"/>
      <c r="U680" s="59"/>
      <c r="V680" s="59"/>
      <c r="W680" s="59"/>
      <c r="X680" s="59"/>
      <c r="Y680" s="59"/>
      <c r="Z680" s="59"/>
    </row>
    <row r="681" ht="15.75" customHeight="1">
      <c r="A681" s="59"/>
      <c r="C681" s="59"/>
      <c r="D681" s="59"/>
      <c r="E681" s="59"/>
      <c r="F681" s="60"/>
      <c r="G681" s="59"/>
      <c r="H681" s="61"/>
      <c r="I681" s="59"/>
      <c r="J681" s="59"/>
      <c r="K681" s="59"/>
      <c r="L681" s="59"/>
      <c r="M681" s="59"/>
      <c r="N681" s="59"/>
      <c r="O681" s="59"/>
      <c r="P681" s="59"/>
      <c r="Q681" s="59"/>
      <c r="R681" s="59"/>
      <c r="S681" s="59"/>
      <c r="T681" s="59"/>
      <c r="U681" s="59"/>
      <c r="V681" s="59"/>
      <c r="W681" s="59"/>
      <c r="X681" s="59"/>
      <c r="Y681" s="59"/>
      <c r="Z681" s="59"/>
    </row>
    <row r="682" ht="15.75" customHeight="1">
      <c r="A682" s="59"/>
      <c r="C682" s="59"/>
      <c r="D682" s="59"/>
      <c r="E682" s="59"/>
      <c r="F682" s="60"/>
      <c r="G682" s="59"/>
      <c r="H682" s="61"/>
      <c r="I682" s="59"/>
      <c r="J682" s="59"/>
      <c r="K682" s="59"/>
      <c r="L682" s="59"/>
      <c r="M682" s="59"/>
      <c r="N682" s="59"/>
      <c r="O682" s="59"/>
      <c r="P682" s="59"/>
      <c r="Q682" s="59"/>
      <c r="R682" s="59"/>
      <c r="S682" s="59"/>
      <c r="T682" s="59"/>
      <c r="U682" s="59"/>
      <c r="V682" s="59"/>
      <c r="W682" s="59"/>
      <c r="X682" s="59"/>
      <c r="Y682" s="59"/>
      <c r="Z682" s="59"/>
    </row>
    <row r="683" ht="15.75" customHeight="1">
      <c r="A683" s="59"/>
      <c r="C683" s="59"/>
      <c r="D683" s="59"/>
      <c r="E683" s="59"/>
      <c r="F683" s="60"/>
      <c r="G683" s="59"/>
      <c r="H683" s="61"/>
      <c r="I683" s="59"/>
      <c r="J683" s="59"/>
      <c r="K683" s="59"/>
      <c r="L683" s="59"/>
      <c r="M683" s="59"/>
      <c r="N683" s="59"/>
      <c r="O683" s="59"/>
      <c r="P683" s="59"/>
      <c r="Q683" s="59"/>
      <c r="R683" s="59"/>
      <c r="S683" s="59"/>
      <c r="T683" s="59"/>
      <c r="U683" s="59"/>
      <c r="V683" s="59"/>
      <c r="W683" s="59"/>
      <c r="X683" s="59"/>
      <c r="Y683" s="59"/>
      <c r="Z683" s="59"/>
    </row>
    <row r="684" ht="15.75" customHeight="1">
      <c r="A684" s="59"/>
      <c r="C684" s="59"/>
      <c r="D684" s="59"/>
      <c r="E684" s="59"/>
      <c r="F684" s="60"/>
      <c r="G684" s="59"/>
      <c r="H684" s="61"/>
      <c r="I684" s="59"/>
      <c r="J684" s="59"/>
      <c r="K684" s="59"/>
      <c r="L684" s="59"/>
      <c r="M684" s="59"/>
      <c r="N684" s="59"/>
      <c r="O684" s="59"/>
      <c r="P684" s="59"/>
      <c r="Q684" s="59"/>
      <c r="R684" s="59"/>
      <c r="S684" s="59"/>
      <c r="T684" s="59"/>
      <c r="U684" s="59"/>
      <c r="V684" s="59"/>
      <c r="W684" s="59"/>
      <c r="X684" s="59"/>
      <c r="Y684" s="59"/>
      <c r="Z684" s="59"/>
    </row>
    <row r="685" ht="15.75" customHeight="1">
      <c r="A685" s="59"/>
      <c r="C685" s="59"/>
      <c r="D685" s="59"/>
      <c r="E685" s="59"/>
      <c r="F685" s="60"/>
      <c r="G685" s="59"/>
      <c r="H685" s="61"/>
      <c r="I685" s="59"/>
      <c r="J685" s="59"/>
      <c r="K685" s="59"/>
      <c r="L685" s="59"/>
      <c r="M685" s="59"/>
      <c r="N685" s="59"/>
      <c r="O685" s="59"/>
      <c r="P685" s="59"/>
      <c r="Q685" s="59"/>
      <c r="R685" s="59"/>
      <c r="S685" s="59"/>
      <c r="T685" s="59"/>
      <c r="U685" s="59"/>
      <c r="V685" s="59"/>
      <c r="W685" s="59"/>
      <c r="X685" s="59"/>
      <c r="Y685" s="59"/>
      <c r="Z685" s="59"/>
    </row>
    <row r="686" ht="15.75" customHeight="1">
      <c r="A686" s="59"/>
      <c r="C686" s="59"/>
      <c r="D686" s="59"/>
      <c r="E686" s="59"/>
      <c r="F686" s="60"/>
      <c r="G686" s="59"/>
      <c r="H686" s="61"/>
      <c r="I686" s="59"/>
      <c r="J686" s="59"/>
      <c r="K686" s="59"/>
      <c r="L686" s="59"/>
      <c r="M686" s="59"/>
      <c r="N686" s="59"/>
      <c r="O686" s="59"/>
      <c r="P686" s="59"/>
      <c r="Q686" s="59"/>
      <c r="R686" s="59"/>
      <c r="S686" s="59"/>
      <c r="T686" s="59"/>
      <c r="U686" s="59"/>
      <c r="V686" s="59"/>
      <c r="W686" s="59"/>
      <c r="X686" s="59"/>
      <c r="Y686" s="59"/>
      <c r="Z686" s="59"/>
    </row>
    <row r="687" ht="15.75" customHeight="1">
      <c r="A687" s="59"/>
      <c r="C687" s="59"/>
      <c r="D687" s="59"/>
      <c r="E687" s="59"/>
      <c r="F687" s="60"/>
      <c r="G687" s="59"/>
      <c r="H687" s="61"/>
      <c r="I687" s="59"/>
      <c r="J687" s="59"/>
      <c r="K687" s="59"/>
      <c r="L687" s="59"/>
      <c r="M687" s="59"/>
      <c r="N687" s="59"/>
      <c r="O687" s="59"/>
      <c r="P687" s="59"/>
      <c r="Q687" s="59"/>
      <c r="R687" s="59"/>
      <c r="S687" s="59"/>
      <c r="T687" s="59"/>
      <c r="U687" s="59"/>
      <c r="V687" s="59"/>
      <c r="W687" s="59"/>
      <c r="X687" s="59"/>
      <c r="Y687" s="59"/>
      <c r="Z687" s="59"/>
    </row>
    <row r="688" ht="15.75" customHeight="1">
      <c r="A688" s="59"/>
      <c r="C688" s="59"/>
      <c r="D688" s="59"/>
      <c r="E688" s="59"/>
      <c r="F688" s="60"/>
      <c r="G688" s="59"/>
      <c r="H688" s="61"/>
      <c r="I688" s="59"/>
      <c r="J688" s="59"/>
      <c r="K688" s="59"/>
      <c r="L688" s="59"/>
      <c r="M688" s="59"/>
      <c r="N688" s="59"/>
      <c r="O688" s="59"/>
      <c r="P688" s="59"/>
      <c r="Q688" s="59"/>
      <c r="R688" s="59"/>
      <c r="S688" s="59"/>
      <c r="T688" s="59"/>
      <c r="U688" s="59"/>
      <c r="V688" s="59"/>
      <c r="W688" s="59"/>
      <c r="X688" s="59"/>
      <c r="Y688" s="59"/>
      <c r="Z688" s="59"/>
    </row>
    <row r="689" ht="15.75" customHeight="1">
      <c r="A689" s="59"/>
      <c r="C689" s="59"/>
      <c r="D689" s="59"/>
      <c r="E689" s="59"/>
      <c r="F689" s="60"/>
      <c r="G689" s="59"/>
      <c r="H689" s="61"/>
      <c r="I689" s="59"/>
      <c r="J689" s="59"/>
      <c r="K689" s="59"/>
      <c r="L689" s="59"/>
      <c r="M689" s="59"/>
      <c r="N689" s="59"/>
      <c r="O689" s="59"/>
      <c r="P689" s="59"/>
      <c r="Q689" s="59"/>
      <c r="R689" s="59"/>
      <c r="S689" s="59"/>
      <c r="T689" s="59"/>
      <c r="U689" s="59"/>
      <c r="V689" s="59"/>
      <c r="W689" s="59"/>
      <c r="X689" s="59"/>
      <c r="Y689" s="59"/>
      <c r="Z689" s="59"/>
    </row>
    <row r="690" ht="15.75" customHeight="1">
      <c r="A690" s="59"/>
      <c r="C690" s="59"/>
      <c r="D690" s="59"/>
      <c r="E690" s="59"/>
      <c r="F690" s="60"/>
      <c r="G690" s="59"/>
      <c r="H690" s="61"/>
      <c r="I690" s="59"/>
      <c r="J690" s="59"/>
      <c r="K690" s="59"/>
      <c r="L690" s="59"/>
      <c r="M690" s="59"/>
      <c r="N690" s="59"/>
      <c r="O690" s="59"/>
      <c r="P690" s="59"/>
      <c r="Q690" s="59"/>
      <c r="R690" s="59"/>
      <c r="S690" s="59"/>
      <c r="T690" s="59"/>
      <c r="U690" s="59"/>
      <c r="V690" s="59"/>
      <c r="W690" s="59"/>
      <c r="X690" s="59"/>
      <c r="Y690" s="59"/>
      <c r="Z690" s="59"/>
    </row>
    <row r="691" ht="15.75" customHeight="1">
      <c r="A691" s="59"/>
      <c r="C691" s="59"/>
      <c r="D691" s="59"/>
      <c r="E691" s="59"/>
      <c r="F691" s="60"/>
      <c r="G691" s="59"/>
      <c r="H691" s="61"/>
      <c r="I691" s="59"/>
      <c r="J691" s="59"/>
      <c r="K691" s="59"/>
      <c r="L691" s="59"/>
      <c r="M691" s="59"/>
      <c r="N691" s="59"/>
      <c r="O691" s="59"/>
      <c r="P691" s="59"/>
      <c r="Q691" s="59"/>
      <c r="R691" s="59"/>
      <c r="S691" s="59"/>
      <c r="T691" s="59"/>
      <c r="U691" s="59"/>
      <c r="V691" s="59"/>
      <c r="W691" s="59"/>
      <c r="X691" s="59"/>
      <c r="Y691" s="59"/>
      <c r="Z691" s="59"/>
    </row>
    <row r="692" ht="15.75" customHeight="1">
      <c r="A692" s="59"/>
      <c r="C692" s="59"/>
      <c r="D692" s="59"/>
      <c r="E692" s="59"/>
      <c r="F692" s="60"/>
      <c r="G692" s="59"/>
      <c r="H692" s="61"/>
      <c r="I692" s="59"/>
      <c r="J692" s="59"/>
      <c r="K692" s="59"/>
      <c r="L692" s="59"/>
      <c r="M692" s="59"/>
      <c r="N692" s="59"/>
      <c r="O692" s="59"/>
      <c r="P692" s="59"/>
      <c r="Q692" s="59"/>
      <c r="R692" s="59"/>
      <c r="S692" s="59"/>
      <c r="T692" s="59"/>
      <c r="U692" s="59"/>
      <c r="V692" s="59"/>
      <c r="W692" s="59"/>
      <c r="X692" s="59"/>
      <c r="Y692" s="59"/>
      <c r="Z692" s="59"/>
    </row>
    <row r="693" ht="15.75" customHeight="1">
      <c r="A693" s="59"/>
      <c r="C693" s="59"/>
      <c r="D693" s="59"/>
      <c r="E693" s="59"/>
      <c r="F693" s="60"/>
      <c r="G693" s="59"/>
      <c r="H693" s="61"/>
      <c r="I693" s="59"/>
      <c r="J693" s="59"/>
      <c r="K693" s="59"/>
      <c r="L693" s="59"/>
      <c r="M693" s="59"/>
      <c r="N693" s="59"/>
      <c r="O693" s="59"/>
      <c r="P693" s="59"/>
      <c r="Q693" s="59"/>
      <c r="R693" s="59"/>
      <c r="S693" s="59"/>
      <c r="T693" s="59"/>
      <c r="U693" s="59"/>
      <c r="V693" s="59"/>
      <c r="W693" s="59"/>
      <c r="X693" s="59"/>
      <c r="Y693" s="59"/>
      <c r="Z693" s="59"/>
    </row>
    <row r="694" ht="15.75" customHeight="1">
      <c r="A694" s="59"/>
      <c r="C694" s="59"/>
      <c r="D694" s="59"/>
      <c r="E694" s="59"/>
      <c r="F694" s="60"/>
      <c r="G694" s="59"/>
      <c r="H694" s="61"/>
      <c r="I694" s="59"/>
      <c r="J694" s="59"/>
      <c r="K694" s="59"/>
      <c r="L694" s="59"/>
      <c r="M694" s="59"/>
      <c r="N694" s="59"/>
      <c r="O694" s="59"/>
      <c r="P694" s="59"/>
      <c r="Q694" s="59"/>
      <c r="R694" s="59"/>
      <c r="S694" s="59"/>
      <c r="T694" s="59"/>
      <c r="U694" s="59"/>
      <c r="V694" s="59"/>
      <c r="W694" s="59"/>
      <c r="X694" s="59"/>
      <c r="Y694" s="59"/>
      <c r="Z694" s="59"/>
    </row>
    <row r="695" ht="15.75" customHeight="1">
      <c r="A695" s="59"/>
      <c r="C695" s="59"/>
      <c r="D695" s="59"/>
      <c r="E695" s="59"/>
      <c r="F695" s="60"/>
      <c r="G695" s="59"/>
      <c r="H695" s="61"/>
      <c r="I695" s="59"/>
      <c r="J695" s="59"/>
      <c r="K695" s="59"/>
      <c r="L695" s="59"/>
      <c r="M695" s="59"/>
      <c r="N695" s="59"/>
      <c r="O695" s="59"/>
      <c r="P695" s="59"/>
      <c r="Q695" s="59"/>
      <c r="R695" s="59"/>
      <c r="S695" s="59"/>
      <c r="T695" s="59"/>
      <c r="U695" s="59"/>
      <c r="V695" s="59"/>
      <c r="W695" s="59"/>
      <c r="X695" s="59"/>
      <c r="Y695" s="59"/>
      <c r="Z695" s="59"/>
    </row>
    <row r="696" ht="15.75" customHeight="1">
      <c r="A696" s="59"/>
      <c r="C696" s="59"/>
      <c r="D696" s="59"/>
      <c r="E696" s="59"/>
      <c r="F696" s="60"/>
      <c r="G696" s="59"/>
      <c r="H696" s="61"/>
      <c r="I696" s="59"/>
      <c r="J696" s="59"/>
      <c r="K696" s="59"/>
      <c r="L696" s="59"/>
      <c r="M696" s="59"/>
      <c r="N696" s="59"/>
      <c r="O696" s="59"/>
      <c r="P696" s="59"/>
      <c r="Q696" s="59"/>
      <c r="R696" s="59"/>
      <c r="S696" s="59"/>
      <c r="T696" s="59"/>
      <c r="U696" s="59"/>
      <c r="V696" s="59"/>
      <c r="W696" s="59"/>
      <c r="X696" s="59"/>
      <c r="Y696" s="59"/>
      <c r="Z696" s="59"/>
    </row>
    <row r="697" ht="15.75" customHeight="1">
      <c r="A697" s="59"/>
      <c r="C697" s="59"/>
      <c r="D697" s="59"/>
      <c r="E697" s="59"/>
      <c r="F697" s="60"/>
      <c r="G697" s="59"/>
      <c r="H697" s="61"/>
      <c r="I697" s="59"/>
      <c r="J697" s="59"/>
      <c r="K697" s="59"/>
      <c r="L697" s="59"/>
      <c r="M697" s="59"/>
      <c r="N697" s="59"/>
      <c r="O697" s="59"/>
      <c r="P697" s="59"/>
      <c r="Q697" s="59"/>
      <c r="R697" s="59"/>
      <c r="S697" s="59"/>
      <c r="T697" s="59"/>
      <c r="U697" s="59"/>
      <c r="V697" s="59"/>
      <c r="W697" s="59"/>
      <c r="X697" s="59"/>
      <c r="Y697" s="59"/>
      <c r="Z697" s="59"/>
    </row>
    <row r="698" ht="15.75" customHeight="1">
      <c r="A698" s="59"/>
      <c r="C698" s="59"/>
      <c r="D698" s="59"/>
      <c r="E698" s="59"/>
      <c r="F698" s="60"/>
      <c r="G698" s="59"/>
      <c r="H698" s="61"/>
      <c r="I698" s="59"/>
      <c r="J698" s="59"/>
      <c r="K698" s="59"/>
      <c r="L698" s="59"/>
      <c r="M698" s="59"/>
      <c r="N698" s="59"/>
      <c r="O698" s="59"/>
      <c r="P698" s="59"/>
      <c r="Q698" s="59"/>
      <c r="R698" s="59"/>
      <c r="S698" s="59"/>
      <c r="T698" s="59"/>
      <c r="U698" s="59"/>
      <c r="V698" s="59"/>
      <c r="W698" s="59"/>
      <c r="X698" s="59"/>
      <c r="Y698" s="59"/>
      <c r="Z698" s="59"/>
    </row>
    <row r="699" ht="15.75" customHeight="1">
      <c r="A699" s="59"/>
      <c r="C699" s="59"/>
      <c r="D699" s="59"/>
      <c r="E699" s="59"/>
      <c r="F699" s="60"/>
      <c r="G699" s="59"/>
      <c r="H699" s="61"/>
      <c r="I699" s="59"/>
      <c r="J699" s="59"/>
      <c r="K699" s="59"/>
      <c r="L699" s="59"/>
      <c r="M699" s="59"/>
      <c r="N699" s="59"/>
      <c r="O699" s="59"/>
      <c r="P699" s="59"/>
      <c r="Q699" s="59"/>
      <c r="R699" s="59"/>
      <c r="S699" s="59"/>
      <c r="T699" s="59"/>
      <c r="U699" s="59"/>
      <c r="V699" s="59"/>
      <c r="W699" s="59"/>
      <c r="X699" s="59"/>
      <c r="Y699" s="59"/>
      <c r="Z699" s="59"/>
    </row>
    <row r="700" ht="15.75" customHeight="1">
      <c r="A700" s="59"/>
      <c r="C700" s="59"/>
      <c r="D700" s="59"/>
      <c r="E700" s="59"/>
      <c r="F700" s="60"/>
      <c r="G700" s="59"/>
      <c r="H700" s="61"/>
      <c r="I700" s="59"/>
      <c r="J700" s="59"/>
      <c r="K700" s="59"/>
      <c r="L700" s="59"/>
      <c r="M700" s="59"/>
      <c r="N700" s="59"/>
      <c r="O700" s="59"/>
      <c r="P700" s="59"/>
      <c r="Q700" s="59"/>
      <c r="R700" s="59"/>
      <c r="S700" s="59"/>
      <c r="T700" s="59"/>
      <c r="U700" s="59"/>
      <c r="V700" s="59"/>
      <c r="W700" s="59"/>
      <c r="X700" s="59"/>
      <c r="Y700" s="59"/>
      <c r="Z700" s="59"/>
    </row>
    <row r="701" ht="15.75" customHeight="1">
      <c r="A701" s="59"/>
      <c r="C701" s="59"/>
      <c r="D701" s="59"/>
      <c r="E701" s="59"/>
      <c r="F701" s="60"/>
      <c r="G701" s="59"/>
      <c r="H701" s="61"/>
      <c r="I701" s="59"/>
      <c r="J701" s="59"/>
      <c r="K701" s="59"/>
      <c r="L701" s="59"/>
      <c r="M701" s="59"/>
      <c r="N701" s="59"/>
      <c r="O701" s="59"/>
      <c r="P701" s="59"/>
      <c r="Q701" s="59"/>
      <c r="R701" s="59"/>
      <c r="S701" s="59"/>
      <c r="T701" s="59"/>
      <c r="U701" s="59"/>
      <c r="V701" s="59"/>
      <c r="W701" s="59"/>
      <c r="X701" s="59"/>
      <c r="Y701" s="59"/>
      <c r="Z701" s="59"/>
    </row>
    <row r="702" ht="15.75" customHeight="1">
      <c r="A702" s="59"/>
      <c r="C702" s="59"/>
      <c r="D702" s="59"/>
      <c r="E702" s="59"/>
      <c r="F702" s="60"/>
      <c r="G702" s="59"/>
      <c r="H702" s="61"/>
      <c r="I702" s="59"/>
      <c r="J702" s="59"/>
      <c r="K702" s="59"/>
      <c r="L702" s="59"/>
      <c r="M702" s="59"/>
      <c r="N702" s="59"/>
      <c r="O702" s="59"/>
      <c r="P702" s="59"/>
      <c r="Q702" s="59"/>
      <c r="R702" s="59"/>
      <c r="S702" s="59"/>
      <c r="T702" s="59"/>
      <c r="U702" s="59"/>
      <c r="V702" s="59"/>
      <c r="W702" s="59"/>
      <c r="X702" s="59"/>
      <c r="Y702" s="59"/>
      <c r="Z702" s="59"/>
    </row>
    <row r="703" ht="15.75" customHeight="1">
      <c r="A703" s="59"/>
      <c r="C703" s="59"/>
      <c r="D703" s="59"/>
      <c r="E703" s="59"/>
      <c r="F703" s="60"/>
      <c r="G703" s="59"/>
      <c r="H703" s="61"/>
      <c r="I703" s="59"/>
      <c r="J703" s="59"/>
      <c r="K703" s="59"/>
      <c r="L703" s="59"/>
      <c r="M703" s="59"/>
      <c r="N703" s="59"/>
      <c r="O703" s="59"/>
      <c r="P703" s="59"/>
      <c r="Q703" s="59"/>
      <c r="R703" s="59"/>
      <c r="S703" s="59"/>
      <c r="T703" s="59"/>
      <c r="U703" s="59"/>
      <c r="V703" s="59"/>
      <c r="W703" s="59"/>
      <c r="X703" s="59"/>
      <c r="Y703" s="59"/>
      <c r="Z703" s="59"/>
    </row>
    <row r="704" ht="15.75" customHeight="1">
      <c r="A704" s="59"/>
      <c r="C704" s="59"/>
      <c r="D704" s="59"/>
      <c r="E704" s="59"/>
      <c r="F704" s="60"/>
      <c r="G704" s="59"/>
      <c r="H704" s="61"/>
      <c r="I704" s="59"/>
      <c r="J704" s="59"/>
      <c r="K704" s="59"/>
      <c r="L704" s="59"/>
      <c r="M704" s="59"/>
      <c r="N704" s="59"/>
      <c r="O704" s="59"/>
      <c r="P704" s="59"/>
      <c r="Q704" s="59"/>
      <c r="R704" s="59"/>
      <c r="S704" s="59"/>
      <c r="T704" s="59"/>
      <c r="U704" s="59"/>
      <c r="V704" s="59"/>
      <c r="W704" s="59"/>
      <c r="X704" s="59"/>
      <c r="Y704" s="59"/>
      <c r="Z704" s="59"/>
    </row>
    <row r="705" ht="15.75" customHeight="1">
      <c r="A705" s="59"/>
      <c r="C705" s="59"/>
      <c r="D705" s="59"/>
      <c r="E705" s="59"/>
      <c r="F705" s="60"/>
      <c r="G705" s="59"/>
      <c r="H705" s="61"/>
      <c r="I705" s="59"/>
      <c r="J705" s="59"/>
      <c r="K705" s="59"/>
      <c r="L705" s="59"/>
      <c r="M705" s="59"/>
      <c r="N705" s="59"/>
      <c r="O705" s="59"/>
      <c r="P705" s="59"/>
      <c r="Q705" s="59"/>
      <c r="R705" s="59"/>
      <c r="S705" s="59"/>
      <c r="T705" s="59"/>
      <c r="U705" s="59"/>
      <c r="V705" s="59"/>
      <c r="W705" s="59"/>
      <c r="X705" s="59"/>
      <c r="Y705" s="59"/>
      <c r="Z705" s="59"/>
    </row>
    <row r="706" ht="15.75" customHeight="1">
      <c r="A706" s="59"/>
      <c r="C706" s="59"/>
      <c r="D706" s="59"/>
      <c r="E706" s="59"/>
      <c r="F706" s="60"/>
      <c r="G706" s="59"/>
      <c r="H706" s="61"/>
      <c r="I706" s="59"/>
      <c r="J706" s="59"/>
      <c r="K706" s="59"/>
      <c r="L706" s="59"/>
      <c r="M706" s="59"/>
      <c r="N706" s="59"/>
      <c r="O706" s="59"/>
      <c r="P706" s="59"/>
      <c r="Q706" s="59"/>
      <c r="R706" s="59"/>
      <c r="S706" s="59"/>
      <c r="T706" s="59"/>
      <c r="U706" s="59"/>
      <c r="V706" s="59"/>
      <c r="W706" s="59"/>
      <c r="X706" s="59"/>
      <c r="Y706" s="59"/>
      <c r="Z706" s="59"/>
    </row>
    <row r="707" ht="15.75" customHeight="1">
      <c r="A707" s="59"/>
      <c r="C707" s="59"/>
      <c r="D707" s="59"/>
      <c r="E707" s="59"/>
      <c r="F707" s="60"/>
      <c r="G707" s="59"/>
      <c r="H707" s="61"/>
      <c r="I707" s="59"/>
      <c r="J707" s="59"/>
      <c r="K707" s="59"/>
      <c r="L707" s="59"/>
      <c r="M707" s="59"/>
      <c r="N707" s="59"/>
      <c r="O707" s="59"/>
      <c r="P707" s="59"/>
      <c r="Q707" s="59"/>
      <c r="R707" s="59"/>
      <c r="S707" s="59"/>
      <c r="T707" s="59"/>
      <c r="U707" s="59"/>
      <c r="V707" s="59"/>
      <c r="W707" s="59"/>
      <c r="X707" s="59"/>
      <c r="Y707" s="59"/>
      <c r="Z707" s="59"/>
    </row>
    <row r="708" ht="15.75" customHeight="1">
      <c r="A708" s="59"/>
      <c r="C708" s="59"/>
      <c r="D708" s="59"/>
      <c r="E708" s="59"/>
      <c r="F708" s="60"/>
      <c r="G708" s="59"/>
      <c r="H708" s="61"/>
      <c r="I708" s="59"/>
      <c r="J708" s="59"/>
      <c r="K708" s="59"/>
      <c r="L708" s="59"/>
      <c r="M708" s="59"/>
      <c r="N708" s="59"/>
      <c r="O708" s="59"/>
      <c r="P708" s="59"/>
      <c r="Q708" s="59"/>
      <c r="R708" s="59"/>
      <c r="S708" s="59"/>
      <c r="T708" s="59"/>
      <c r="U708" s="59"/>
      <c r="V708" s="59"/>
      <c r="W708" s="59"/>
      <c r="X708" s="59"/>
      <c r="Y708" s="59"/>
      <c r="Z708" s="59"/>
    </row>
    <row r="709" ht="15.75" customHeight="1">
      <c r="A709" s="59"/>
      <c r="C709" s="59"/>
      <c r="D709" s="59"/>
      <c r="E709" s="59"/>
      <c r="F709" s="60"/>
      <c r="G709" s="59"/>
      <c r="H709" s="61"/>
      <c r="I709" s="59"/>
      <c r="J709" s="59"/>
      <c r="K709" s="59"/>
      <c r="L709" s="59"/>
      <c r="M709" s="59"/>
      <c r="N709" s="59"/>
      <c r="O709" s="59"/>
      <c r="P709" s="59"/>
      <c r="Q709" s="59"/>
      <c r="R709" s="59"/>
      <c r="S709" s="59"/>
      <c r="T709" s="59"/>
      <c r="U709" s="59"/>
      <c r="V709" s="59"/>
      <c r="W709" s="59"/>
      <c r="X709" s="59"/>
      <c r="Y709" s="59"/>
      <c r="Z709" s="59"/>
    </row>
    <row r="710" ht="15.75" customHeight="1">
      <c r="A710" s="59"/>
      <c r="C710" s="59"/>
      <c r="D710" s="59"/>
      <c r="E710" s="59"/>
      <c r="F710" s="60"/>
      <c r="G710" s="59"/>
      <c r="H710" s="61"/>
      <c r="I710" s="59"/>
      <c r="J710" s="59"/>
      <c r="K710" s="59"/>
      <c r="L710" s="59"/>
      <c r="M710" s="59"/>
      <c r="N710" s="59"/>
      <c r="O710" s="59"/>
      <c r="P710" s="59"/>
      <c r="Q710" s="59"/>
      <c r="R710" s="59"/>
      <c r="S710" s="59"/>
      <c r="T710" s="59"/>
      <c r="U710" s="59"/>
      <c r="V710" s="59"/>
      <c r="W710" s="59"/>
      <c r="X710" s="59"/>
      <c r="Y710" s="59"/>
      <c r="Z710" s="59"/>
    </row>
    <row r="711" ht="15.75" customHeight="1">
      <c r="A711" s="59"/>
      <c r="C711" s="59"/>
      <c r="D711" s="59"/>
      <c r="E711" s="59"/>
      <c r="F711" s="60"/>
      <c r="G711" s="59"/>
      <c r="H711" s="61"/>
      <c r="I711" s="59"/>
      <c r="J711" s="59"/>
      <c r="K711" s="59"/>
      <c r="L711" s="59"/>
      <c r="M711" s="59"/>
      <c r="N711" s="59"/>
      <c r="O711" s="59"/>
      <c r="P711" s="59"/>
      <c r="Q711" s="59"/>
      <c r="R711" s="59"/>
      <c r="S711" s="59"/>
      <c r="T711" s="59"/>
      <c r="U711" s="59"/>
      <c r="V711" s="59"/>
      <c r="W711" s="59"/>
      <c r="X711" s="59"/>
      <c r="Y711" s="59"/>
      <c r="Z711" s="59"/>
    </row>
    <row r="712" ht="15.75" customHeight="1">
      <c r="A712" s="59"/>
      <c r="C712" s="59"/>
      <c r="D712" s="59"/>
      <c r="E712" s="59"/>
      <c r="F712" s="60"/>
      <c r="G712" s="59"/>
      <c r="H712" s="61"/>
      <c r="I712" s="59"/>
      <c r="J712" s="59"/>
      <c r="K712" s="59"/>
      <c r="L712" s="59"/>
      <c r="M712" s="59"/>
      <c r="N712" s="59"/>
      <c r="O712" s="59"/>
      <c r="P712" s="59"/>
      <c r="Q712" s="59"/>
      <c r="R712" s="59"/>
      <c r="S712" s="59"/>
      <c r="T712" s="59"/>
      <c r="U712" s="59"/>
      <c r="V712" s="59"/>
      <c r="W712" s="59"/>
      <c r="X712" s="59"/>
      <c r="Y712" s="59"/>
      <c r="Z712" s="59"/>
    </row>
    <row r="713" ht="15.75" customHeight="1">
      <c r="A713" s="59"/>
      <c r="C713" s="59"/>
      <c r="D713" s="59"/>
      <c r="E713" s="59"/>
      <c r="F713" s="60"/>
      <c r="G713" s="59"/>
      <c r="H713" s="61"/>
      <c r="I713" s="59"/>
      <c r="J713" s="59"/>
      <c r="K713" s="59"/>
      <c r="L713" s="59"/>
      <c r="M713" s="59"/>
      <c r="N713" s="59"/>
      <c r="O713" s="59"/>
      <c r="P713" s="59"/>
      <c r="Q713" s="59"/>
      <c r="R713" s="59"/>
      <c r="S713" s="59"/>
      <c r="T713" s="59"/>
      <c r="U713" s="59"/>
      <c r="V713" s="59"/>
      <c r="W713" s="59"/>
      <c r="X713" s="59"/>
      <c r="Y713" s="59"/>
      <c r="Z713" s="59"/>
    </row>
    <row r="714" ht="15.75" customHeight="1">
      <c r="A714" s="59"/>
      <c r="C714" s="59"/>
      <c r="D714" s="59"/>
      <c r="E714" s="59"/>
      <c r="F714" s="60"/>
      <c r="G714" s="59"/>
      <c r="H714" s="61"/>
      <c r="I714" s="59"/>
      <c r="J714" s="59"/>
      <c r="K714" s="59"/>
      <c r="L714" s="59"/>
      <c r="M714" s="59"/>
      <c r="N714" s="59"/>
      <c r="O714" s="59"/>
      <c r="P714" s="59"/>
      <c r="Q714" s="59"/>
      <c r="R714" s="59"/>
      <c r="S714" s="59"/>
      <c r="T714" s="59"/>
      <c r="U714" s="59"/>
      <c r="V714" s="59"/>
      <c r="W714" s="59"/>
      <c r="X714" s="59"/>
      <c r="Y714" s="59"/>
      <c r="Z714" s="59"/>
    </row>
    <row r="715" ht="15.75" customHeight="1">
      <c r="A715" s="59"/>
      <c r="C715" s="59"/>
      <c r="D715" s="59"/>
      <c r="E715" s="59"/>
      <c r="F715" s="60"/>
      <c r="G715" s="59"/>
      <c r="H715" s="61"/>
      <c r="I715" s="59"/>
      <c r="J715" s="59"/>
      <c r="K715" s="59"/>
      <c r="L715" s="59"/>
      <c r="M715" s="59"/>
      <c r="N715" s="59"/>
      <c r="O715" s="59"/>
      <c r="P715" s="59"/>
      <c r="Q715" s="59"/>
      <c r="R715" s="59"/>
      <c r="S715" s="59"/>
      <c r="T715" s="59"/>
      <c r="U715" s="59"/>
      <c r="V715" s="59"/>
      <c r="W715" s="59"/>
      <c r="X715" s="59"/>
      <c r="Y715" s="59"/>
      <c r="Z715" s="59"/>
    </row>
    <row r="716" ht="15.75" customHeight="1">
      <c r="A716" s="59"/>
      <c r="C716" s="59"/>
      <c r="D716" s="59"/>
      <c r="E716" s="59"/>
      <c r="F716" s="60"/>
      <c r="G716" s="59"/>
      <c r="H716" s="61"/>
      <c r="I716" s="59"/>
      <c r="J716" s="59"/>
      <c r="K716" s="59"/>
      <c r="L716" s="59"/>
      <c r="M716" s="59"/>
      <c r="N716" s="59"/>
      <c r="O716" s="59"/>
      <c r="P716" s="59"/>
      <c r="Q716" s="59"/>
      <c r="R716" s="59"/>
      <c r="S716" s="59"/>
      <c r="T716" s="59"/>
      <c r="U716" s="59"/>
      <c r="V716" s="59"/>
      <c r="W716" s="59"/>
      <c r="X716" s="59"/>
      <c r="Y716" s="59"/>
      <c r="Z716" s="59"/>
    </row>
    <row r="717" ht="15.75" customHeight="1">
      <c r="A717" s="59"/>
      <c r="C717" s="59"/>
      <c r="D717" s="59"/>
      <c r="E717" s="59"/>
      <c r="F717" s="60"/>
      <c r="G717" s="59"/>
      <c r="H717" s="61"/>
      <c r="I717" s="59"/>
      <c r="J717" s="59"/>
      <c r="K717" s="59"/>
      <c r="L717" s="59"/>
      <c r="M717" s="59"/>
      <c r="N717" s="59"/>
      <c r="O717" s="59"/>
      <c r="P717" s="59"/>
      <c r="Q717" s="59"/>
      <c r="R717" s="59"/>
      <c r="S717" s="59"/>
      <c r="T717" s="59"/>
      <c r="U717" s="59"/>
      <c r="V717" s="59"/>
      <c r="W717" s="59"/>
      <c r="X717" s="59"/>
      <c r="Y717" s="59"/>
      <c r="Z717" s="59"/>
    </row>
    <row r="718" ht="15.75" customHeight="1">
      <c r="A718" s="59"/>
      <c r="C718" s="59"/>
      <c r="D718" s="59"/>
      <c r="E718" s="59"/>
      <c r="F718" s="60"/>
      <c r="G718" s="59"/>
      <c r="H718" s="61"/>
      <c r="I718" s="59"/>
      <c r="J718" s="59"/>
      <c r="K718" s="59"/>
      <c r="L718" s="59"/>
      <c r="M718" s="59"/>
      <c r="N718" s="59"/>
      <c r="O718" s="59"/>
      <c r="P718" s="59"/>
      <c r="Q718" s="59"/>
      <c r="R718" s="59"/>
      <c r="S718" s="59"/>
      <c r="T718" s="59"/>
      <c r="U718" s="59"/>
      <c r="V718" s="59"/>
      <c r="W718" s="59"/>
      <c r="X718" s="59"/>
      <c r="Y718" s="59"/>
      <c r="Z718" s="59"/>
    </row>
    <row r="719" ht="15.75" customHeight="1">
      <c r="A719" s="59"/>
      <c r="C719" s="59"/>
      <c r="D719" s="59"/>
      <c r="E719" s="59"/>
      <c r="F719" s="60"/>
      <c r="G719" s="59"/>
      <c r="H719" s="61"/>
      <c r="I719" s="59"/>
      <c r="J719" s="59"/>
      <c r="K719" s="59"/>
      <c r="L719" s="59"/>
      <c r="M719" s="59"/>
      <c r="N719" s="59"/>
      <c r="O719" s="59"/>
      <c r="P719" s="59"/>
      <c r="Q719" s="59"/>
      <c r="R719" s="59"/>
      <c r="S719" s="59"/>
      <c r="T719" s="59"/>
      <c r="U719" s="59"/>
      <c r="V719" s="59"/>
      <c r="W719" s="59"/>
      <c r="X719" s="59"/>
      <c r="Y719" s="59"/>
      <c r="Z719" s="59"/>
    </row>
    <row r="720" ht="15.75" customHeight="1">
      <c r="A720" s="59"/>
      <c r="C720" s="59"/>
      <c r="D720" s="59"/>
      <c r="E720" s="59"/>
      <c r="F720" s="60"/>
      <c r="G720" s="59"/>
      <c r="H720" s="61"/>
      <c r="I720" s="59"/>
      <c r="J720" s="59"/>
      <c r="K720" s="59"/>
      <c r="L720" s="59"/>
      <c r="M720" s="59"/>
      <c r="N720" s="59"/>
      <c r="O720" s="59"/>
      <c r="P720" s="59"/>
      <c r="Q720" s="59"/>
      <c r="R720" s="59"/>
      <c r="S720" s="59"/>
      <c r="T720" s="59"/>
      <c r="U720" s="59"/>
      <c r="V720" s="59"/>
      <c r="W720" s="59"/>
      <c r="X720" s="59"/>
      <c r="Y720" s="59"/>
      <c r="Z720" s="59"/>
    </row>
    <row r="721" ht="15.75" customHeight="1">
      <c r="A721" s="59"/>
      <c r="C721" s="59"/>
      <c r="D721" s="59"/>
      <c r="E721" s="59"/>
      <c r="F721" s="60"/>
      <c r="G721" s="59"/>
      <c r="H721" s="61"/>
      <c r="I721" s="59"/>
      <c r="J721" s="59"/>
      <c r="K721" s="59"/>
      <c r="L721" s="59"/>
      <c r="M721" s="59"/>
      <c r="N721" s="59"/>
      <c r="O721" s="59"/>
      <c r="P721" s="59"/>
      <c r="Q721" s="59"/>
      <c r="R721" s="59"/>
      <c r="S721" s="59"/>
      <c r="T721" s="59"/>
      <c r="U721" s="59"/>
      <c r="V721" s="59"/>
      <c r="W721" s="59"/>
      <c r="X721" s="59"/>
      <c r="Y721" s="59"/>
      <c r="Z721" s="59"/>
    </row>
    <row r="722" ht="15.75" customHeight="1">
      <c r="A722" s="59"/>
      <c r="C722" s="59"/>
      <c r="D722" s="59"/>
      <c r="E722" s="59"/>
      <c r="F722" s="60"/>
      <c r="G722" s="59"/>
      <c r="H722" s="61"/>
      <c r="I722" s="59"/>
      <c r="J722" s="59"/>
      <c r="K722" s="59"/>
      <c r="L722" s="59"/>
      <c r="M722" s="59"/>
      <c r="N722" s="59"/>
      <c r="O722" s="59"/>
      <c r="P722" s="59"/>
      <c r="Q722" s="59"/>
      <c r="R722" s="59"/>
      <c r="S722" s="59"/>
      <c r="T722" s="59"/>
      <c r="U722" s="59"/>
      <c r="V722" s="59"/>
      <c r="W722" s="59"/>
      <c r="X722" s="59"/>
      <c r="Y722" s="59"/>
      <c r="Z722" s="59"/>
    </row>
    <row r="723" ht="15.75" customHeight="1">
      <c r="A723" s="59"/>
      <c r="C723" s="59"/>
      <c r="D723" s="59"/>
      <c r="E723" s="59"/>
      <c r="F723" s="60"/>
      <c r="G723" s="59"/>
      <c r="H723" s="61"/>
      <c r="I723" s="59"/>
      <c r="J723" s="59"/>
      <c r="K723" s="59"/>
      <c r="L723" s="59"/>
      <c r="M723" s="59"/>
      <c r="N723" s="59"/>
      <c r="O723" s="59"/>
      <c r="P723" s="59"/>
      <c r="Q723" s="59"/>
      <c r="R723" s="59"/>
      <c r="S723" s="59"/>
      <c r="T723" s="59"/>
      <c r="U723" s="59"/>
      <c r="V723" s="59"/>
      <c r="W723" s="59"/>
      <c r="X723" s="59"/>
      <c r="Y723" s="59"/>
      <c r="Z723" s="59"/>
    </row>
    <row r="724" ht="15.75" customHeight="1">
      <c r="A724" s="59"/>
      <c r="C724" s="59"/>
      <c r="D724" s="59"/>
      <c r="E724" s="59"/>
      <c r="F724" s="60"/>
      <c r="G724" s="59"/>
      <c r="H724" s="61"/>
      <c r="I724" s="59"/>
      <c r="J724" s="59"/>
      <c r="K724" s="59"/>
      <c r="L724" s="59"/>
      <c r="M724" s="59"/>
      <c r="N724" s="59"/>
      <c r="O724" s="59"/>
      <c r="P724" s="59"/>
      <c r="Q724" s="59"/>
      <c r="R724" s="59"/>
      <c r="S724" s="59"/>
      <c r="T724" s="59"/>
      <c r="U724" s="59"/>
      <c r="V724" s="59"/>
      <c r="W724" s="59"/>
      <c r="X724" s="59"/>
      <c r="Y724" s="59"/>
      <c r="Z724" s="59"/>
    </row>
    <row r="725" ht="15.75" customHeight="1">
      <c r="A725" s="59"/>
      <c r="C725" s="59"/>
      <c r="D725" s="59"/>
      <c r="E725" s="59"/>
      <c r="F725" s="60"/>
      <c r="G725" s="59"/>
      <c r="H725" s="61"/>
      <c r="I725" s="59"/>
      <c r="J725" s="59"/>
      <c r="K725" s="59"/>
      <c r="L725" s="59"/>
      <c r="M725" s="59"/>
      <c r="N725" s="59"/>
      <c r="O725" s="59"/>
      <c r="P725" s="59"/>
      <c r="Q725" s="59"/>
      <c r="R725" s="59"/>
      <c r="S725" s="59"/>
      <c r="T725" s="59"/>
      <c r="U725" s="59"/>
      <c r="V725" s="59"/>
      <c r="W725" s="59"/>
      <c r="X725" s="59"/>
      <c r="Y725" s="59"/>
      <c r="Z725" s="59"/>
    </row>
    <row r="726" ht="15.75" customHeight="1">
      <c r="A726" s="59"/>
      <c r="C726" s="59"/>
      <c r="D726" s="59"/>
      <c r="E726" s="59"/>
      <c r="F726" s="60"/>
      <c r="G726" s="59"/>
      <c r="H726" s="61"/>
      <c r="I726" s="59"/>
      <c r="J726" s="59"/>
      <c r="K726" s="59"/>
      <c r="L726" s="59"/>
      <c r="M726" s="59"/>
      <c r="N726" s="59"/>
      <c r="O726" s="59"/>
      <c r="P726" s="59"/>
      <c r="Q726" s="59"/>
      <c r="R726" s="59"/>
      <c r="S726" s="59"/>
      <c r="T726" s="59"/>
      <c r="U726" s="59"/>
      <c r="V726" s="59"/>
      <c r="W726" s="59"/>
      <c r="X726" s="59"/>
      <c r="Y726" s="59"/>
      <c r="Z726" s="59"/>
    </row>
    <row r="727" ht="15.75" customHeight="1">
      <c r="A727" s="59"/>
      <c r="C727" s="59"/>
      <c r="D727" s="59"/>
      <c r="E727" s="59"/>
      <c r="F727" s="60"/>
      <c r="G727" s="59"/>
      <c r="H727" s="61"/>
      <c r="I727" s="59"/>
      <c r="J727" s="59"/>
      <c r="K727" s="59"/>
      <c r="L727" s="59"/>
      <c r="M727" s="59"/>
      <c r="N727" s="59"/>
      <c r="O727" s="59"/>
      <c r="P727" s="59"/>
      <c r="Q727" s="59"/>
      <c r="R727" s="59"/>
      <c r="S727" s="59"/>
      <c r="T727" s="59"/>
      <c r="U727" s="59"/>
      <c r="V727" s="59"/>
      <c r="W727" s="59"/>
      <c r="X727" s="59"/>
      <c r="Y727" s="59"/>
      <c r="Z727" s="59"/>
    </row>
    <row r="728" ht="15.75" customHeight="1">
      <c r="A728" s="59"/>
      <c r="C728" s="59"/>
      <c r="D728" s="59"/>
      <c r="E728" s="59"/>
      <c r="F728" s="60"/>
      <c r="G728" s="59"/>
      <c r="H728" s="61"/>
      <c r="I728" s="59"/>
      <c r="J728" s="59"/>
      <c r="K728" s="59"/>
      <c r="L728" s="59"/>
      <c r="M728" s="59"/>
      <c r="N728" s="59"/>
      <c r="O728" s="59"/>
      <c r="P728" s="59"/>
      <c r="Q728" s="59"/>
      <c r="R728" s="59"/>
      <c r="S728" s="59"/>
      <c r="T728" s="59"/>
      <c r="U728" s="59"/>
      <c r="V728" s="59"/>
      <c r="W728" s="59"/>
      <c r="X728" s="59"/>
      <c r="Y728" s="59"/>
      <c r="Z728" s="59"/>
    </row>
    <row r="729" ht="15.75" customHeight="1">
      <c r="A729" s="59"/>
      <c r="C729" s="59"/>
      <c r="D729" s="59"/>
      <c r="E729" s="59"/>
      <c r="F729" s="60"/>
      <c r="G729" s="59"/>
      <c r="H729" s="61"/>
      <c r="I729" s="59"/>
      <c r="J729" s="59"/>
      <c r="K729" s="59"/>
      <c r="L729" s="59"/>
      <c r="M729" s="59"/>
      <c r="N729" s="59"/>
      <c r="O729" s="59"/>
      <c r="P729" s="59"/>
      <c r="Q729" s="59"/>
      <c r="R729" s="59"/>
      <c r="S729" s="59"/>
      <c r="T729" s="59"/>
      <c r="U729" s="59"/>
      <c r="V729" s="59"/>
      <c r="W729" s="59"/>
      <c r="X729" s="59"/>
      <c r="Y729" s="59"/>
      <c r="Z729" s="59"/>
    </row>
    <row r="730" ht="15.75" customHeight="1">
      <c r="A730" s="59"/>
      <c r="C730" s="59"/>
      <c r="D730" s="59"/>
      <c r="E730" s="59"/>
      <c r="F730" s="60"/>
      <c r="G730" s="59"/>
      <c r="H730" s="61"/>
      <c r="I730" s="59"/>
      <c r="J730" s="59"/>
      <c r="K730" s="59"/>
      <c r="L730" s="59"/>
      <c r="M730" s="59"/>
      <c r="N730" s="59"/>
      <c r="O730" s="59"/>
      <c r="P730" s="59"/>
      <c r="Q730" s="59"/>
      <c r="R730" s="59"/>
      <c r="S730" s="59"/>
      <c r="T730" s="59"/>
      <c r="U730" s="59"/>
      <c r="V730" s="59"/>
      <c r="W730" s="59"/>
      <c r="X730" s="59"/>
      <c r="Y730" s="59"/>
      <c r="Z730" s="59"/>
    </row>
    <row r="731" ht="15.75" customHeight="1">
      <c r="A731" s="59"/>
      <c r="C731" s="59"/>
      <c r="D731" s="59"/>
      <c r="E731" s="59"/>
      <c r="F731" s="60"/>
      <c r="G731" s="59"/>
      <c r="H731" s="61"/>
      <c r="I731" s="59"/>
      <c r="J731" s="59"/>
      <c r="K731" s="59"/>
      <c r="L731" s="59"/>
      <c r="M731" s="59"/>
      <c r="N731" s="59"/>
      <c r="O731" s="59"/>
      <c r="P731" s="59"/>
      <c r="Q731" s="59"/>
      <c r="R731" s="59"/>
      <c r="S731" s="59"/>
      <c r="T731" s="59"/>
      <c r="U731" s="59"/>
      <c r="V731" s="59"/>
      <c r="W731" s="59"/>
      <c r="X731" s="59"/>
      <c r="Y731" s="59"/>
      <c r="Z731" s="59"/>
    </row>
    <row r="732" ht="15.75" customHeight="1">
      <c r="A732" s="59"/>
      <c r="C732" s="59"/>
      <c r="D732" s="59"/>
      <c r="E732" s="59"/>
      <c r="F732" s="60"/>
      <c r="G732" s="59"/>
      <c r="H732" s="61"/>
      <c r="I732" s="59"/>
      <c r="J732" s="59"/>
      <c r="K732" s="59"/>
      <c r="L732" s="59"/>
      <c r="M732" s="59"/>
      <c r="N732" s="59"/>
      <c r="O732" s="59"/>
      <c r="P732" s="59"/>
      <c r="Q732" s="59"/>
      <c r="R732" s="59"/>
      <c r="S732" s="59"/>
      <c r="T732" s="59"/>
      <c r="U732" s="59"/>
      <c r="V732" s="59"/>
      <c r="W732" s="59"/>
      <c r="X732" s="59"/>
      <c r="Y732" s="59"/>
      <c r="Z732" s="59"/>
    </row>
    <row r="733" ht="15.75" customHeight="1">
      <c r="A733" s="59"/>
      <c r="C733" s="59"/>
      <c r="D733" s="59"/>
      <c r="E733" s="59"/>
      <c r="F733" s="60"/>
      <c r="G733" s="59"/>
      <c r="H733" s="61"/>
      <c r="I733" s="59"/>
      <c r="J733" s="59"/>
      <c r="K733" s="59"/>
      <c r="L733" s="59"/>
      <c r="M733" s="59"/>
      <c r="N733" s="59"/>
      <c r="O733" s="59"/>
      <c r="P733" s="59"/>
      <c r="Q733" s="59"/>
      <c r="R733" s="59"/>
      <c r="S733" s="59"/>
      <c r="T733" s="59"/>
      <c r="U733" s="59"/>
      <c r="V733" s="59"/>
      <c r="W733" s="59"/>
      <c r="X733" s="59"/>
      <c r="Y733" s="59"/>
      <c r="Z733" s="59"/>
    </row>
    <row r="734" ht="15.75" customHeight="1">
      <c r="A734" s="59"/>
      <c r="C734" s="59"/>
      <c r="D734" s="59"/>
      <c r="E734" s="59"/>
      <c r="F734" s="60"/>
      <c r="G734" s="59"/>
      <c r="H734" s="61"/>
      <c r="I734" s="59"/>
      <c r="J734" s="59"/>
      <c r="K734" s="59"/>
      <c r="L734" s="59"/>
      <c r="M734" s="59"/>
      <c r="N734" s="59"/>
      <c r="O734" s="59"/>
      <c r="P734" s="59"/>
      <c r="Q734" s="59"/>
      <c r="R734" s="59"/>
      <c r="S734" s="59"/>
      <c r="T734" s="59"/>
      <c r="U734" s="59"/>
      <c r="V734" s="59"/>
      <c r="W734" s="59"/>
      <c r="X734" s="59"/>
      <c r="Y734" s="59"/>
      <c r="Z734" s="59"/>
    </row>
    <row r="735" ht="15.75" customHeight="1">
      <c r="A735" s="59"/>
      <c r="C735" s="59"/>
      <c r="D735" s="59"/>
      <c r="E735" s="59"/>
      <c r="F735" s="60"/>
      <c r="G735" s="59"/>
      <c r="H735" s="61"/>
      <c r="I735" s="59"/>
      <c r="J735" s="59"/>
      <c r="K735" s="59"/>
      <c r="L735" s="59"/>
      <c r="M735" s="59"/>
      <c r="N735" s="59"/>
      <c r="O735" s="59"/>
      <c r="P735" s="59"/>
      <c r="Q735" s="59"/>
      <c r="R735" s="59"/>
      <c r="S735" s="59"/>
      <c r="T735" s="59"/>
      <c r="U735" s="59"/>
      <c r="V735" s="59"/>
      <c r="W735" s="59"/>
      <c r="X735" s="59"/>
      <c r="Y735" s="59"/>
      <c r="Z735" s="59"/>
    </row>
    <row r="736" ht="15.75" customHeight="1">
      <c r="A736" s="59"/>
      <c r="C736" s="59"/>
      <c r="D736" s="59"/>
      <c r="E736" s="59"/>
      <c r="F736" s="60"/>
      <c r="G736" s="59"/>
      <c r="H736" s="61"/>
      <c r="I736" s="59"/>
      <c r="J736" s="59"/>
      <c r="K736" s="59"/>
      <c r="L736" s="59"/>
      <c r="M736" s="59"/>
      <c r="N736" s="59"/>
      <c r="O736" s="59"/>
      <c r="P736" s="59"/>
      <c r="Q736" s="59"/>
      <c r="R736" s="59"/>
      <c r="S736" s="59"/>
      <c r="T736" s="59"/>
      <c r="U736" s="59"/>
      <c r="V736" s="59"/>
      <c r="W736" s="59"/>
      <c r="X736" s="59"/>
      <c r="Y736" s="59"/>
      <c r="Z736" s="59"/>
    </row>
    <row r="737" ht="15.75" customHeight="1">
      <c r="A737" s="59"/>
      <c r="C737" s="59"/>
      <c r="D737" s="59"/>
      <c r="E737" s="59"/>
      <c r="F737" s="60"/>
      <c r="G737" s="59"/>
      <c r="H737" s="61"/>
      <c r="I737" s="59"/>
      <c r="J737" s="59"/>
      <c r="K737" s="59"/>
      <c r="L737" s="59"/>
      <c r="M737" s="59"/>
      <c r="N737" s="59"/>
      <c r="O737" s="59"/>
      <c r="P737" s="59"/>
      <c r="Q737" s="59"/>
      <c r="R737" s="59"/>
      <c r="S737" s="59"/>
      <c r="T737" s="59"/>
      <c r="U737" s="59"/>
      <c r="V737" s="59"/>
      <c r="W737" s="59"/>
      <c r="X737" s="59"/>
      <c r="Y737" s="59"/>
      <c r="Z737" s="59"/>
    </row>
    <row r="738" ht="15.75" customHeight="1">
      <c r="A738" s="59"/>
      <c r="C738" s="59"/>
      <c r="D738" s="59"/>
      <c r="E738" s="59"/>
      <c r="F738" s="60"/>
      <c r="G738" s="59"/>
      <c r="H738" s="61"/>
      <c r="I738" s="59"/>
      <c r="J738" s="59"/>
      <c r="K738" s="59"/>
      <c r="L738" s="59"/>
      <c r="M738" s="59"/>
      <c r="N738" s="59"/>
      <c r="O738" s="59"/>
      <c r="P738" s="59"/>
      <c r="Q738" s="59"/>
      <c r="R738" s="59"/>
      <c r="S738" s="59"/>
      <c r="T738" s="59"/>
      <c r="U738" s="59"/>
      <c r="V738" s="59"/>
      <c r="W738" s="59"/>
      <c r="X738" s="59"/>
      <c r="Y738" s="59"/>
      <c r="Z738" s="59"/>
    </row>
    <row r="739" ht="15.75" customHeight="1">
      <c r="A739" s="59"/>
      <c r="C739" s="59"/>
      <c r="D739" s="59"/>
      <c r="E739" s="59"/>
      <c r="F739" s="60"/>
      <c r="G739" s="59"/>
      <c r="H739" s="61"/>
      <c r="I739" s="59"/>
      <c r="J739" s="59"/>
      <c r="K739" s="59"/>
      <c r="L739" s="59"/>
      <c r="M739" s="59"/>
      <c r="N739" s="59"/>
      <c r="O739" s="59"/>
      <c r="P739" s="59"/>
      <c r="Q739" s="59"/>
      <c r="R739" s="59"/>
      <c r="S739" s="59"/>
      <c r="T739" s="59"/>
      <c r="U739" s="59"/>
      <c r="V739" s="59"/>
      <c r="W739" s="59"/>
      <c r="X739" s="59"/>
      <c r="Y739" s="59"/>
      <c r="Z739" s="59"/>
    </row>
    <row r="740" ht="15.75" customHeight="1">
      <c r="A740" s="59"/>
      <c r="C740" s="59"/>
      <c r="D740" s="59"/>
      <c r="E740" s="59"/>
      <c r="F740" s="60"/>
      <c r="G740" s="59"/>
      <c r="H740" s="61"/>
      <c r="I740" s="59"/>
      <c r="J740" s="59"/>
      <c r="K740" s="59"/>
      <c r="L740" s="59"/>
      <c r="M740" s="59"/>
      <c r="N740" s="59"/>
      <c r="O740" s="59"/>
      <c r="P740" s="59"/>
      <c r="Q740" s="59"/>
      <c r="R740" s="59"/>
      <c r="S740" s="59"/>
      <c r="T740" s="59"/>
      <c r="U740" s="59"/>
      <c r="V740" s="59"/>
      <c r="W740" s="59"/>
      <c r="X740" s="59"/>
      <c r="Y740" s="59"/>
      <c r="Z740" s="59"/>
    </row>
    <row r="741" ht="15.75" customHeight="1">
      <c r="A741" s="59"/>
      <c r="C741" s="59"/>
      <c r="D741" s="59"/>
      <c r="E741" s="59"/>
      <c r="F741" s="60"/>
      <c r="G741" s="59"/>
      <c r="H741" s="61"/>
      <c r="I741" s="59"/>
      <c r="J741" s="59"/>
      <c r="K741" s="59"/>
      <c r="L741" s="59"/>
      <c r="M741" s="59"/>
      <c r="N741" s="59"/>
      <c r="O741" s="59"/>
      <c r="P741" s="59"/>
      <c r="Q741" s="59"/>
      <c r="R741" s="59"/>
      <c r="S741" s="59"/>
      <c r="T741" s="59"/>
      <c r="U741" s="59"/>
      <c r="V741" s="59"/>
      <c r="W741" s="59"/>
      <c r="X741" s="59"/>
      <c r="Y741" s="59"/>
      <c r="Z741" s="59"/>
    </row>
    <row r="742" ht="15.75" customHeight="1">
      <c r="A742" s="59"/>
      <c r="C742" s="59"/>
      <c r="D742" s="59"/>
      <c r="E742" s="59"/>
      <c r="F742" s="60"/>
      <c r="G742" s="59"/>
      <c r="H742" s="61"/>
      <c r="I742" s="59"/>
      <c r="J742" s="59"/>
      <c r="K742" s="59"/>
      <c r="L742" s="59"/>
      <c r="M742" s="59"/>
      <c r="N742" s="59"/>
      <c r="O742" s="59"/>
      <c r="P742" s="59"/>
      <c r="Q742" s="59"/>
      <c r="R742" s="59"/>
      <c r="S742" s="59"/>
      <c r="T742" s="59"/>
      <c r="U742" s="59"/>
      <c r="V742" s="59"/>
      <c r="W742" s="59"/>
      <c r="X742" s="59"/>
      <c r="Y742" s="59"/>
      <c r="Z742" s="59"/>
    </row>
    <row r="743" ht="15.75" customHeight="1">
      <c r="A743" s="59"/>
      <c r="C743" s="59"/>
      <c r="D743" s="59"/>
      <c r="E743" s="59"/>
      <c r="F743" s="60"/>
      <c r="G743" s="59"/>
      <c r="H743" s="61"/>
      <c r="I743" s="59"/>
      <c r="J743" s="59"/>
      <c r="K743" s="59"/>
      <c r="L743" s="59"/>
      <c r="M743" s="59"/>
      <c r="N743" s="59"/>
      <c r="O743" s="59"/>
      <c r="P743" s="59"/>
      <c r="Q743" s="59"/>
      <c r="R743" s="59"/>
      <c r="S743" s="59"/>
      <c r="T743" s="59"/>
      <c r="U743" s="59"/>
      <c r="V743" s="59"/>
      <c r="W743" s="59"/>
      <c r="X743" s="59"/>
      <c r="Y743" s="59"/>
      <c r="Z743" s="59"/>
    </row>
    <row r="744" ht="15.75" customHeight="1">
      <c r="A744" s="59"/>
      <c r="C744" s="59"/>
      <c r="D744" s="59"/>
      <c r="E744" s="59"/>
      <c r="F744" s="60"/>
      <c r="G744" s="59"/>
      <c r="H744" s="61"/>
      <c r="I744" s="59"/>
      <c r="J744" s="59"/>
      <c r="K744" s="59"/>
      <c r="L744" s="59"/>
      <c r="M744" s="59"/>
      <c r="N744" s="59"/>
      <c r="O744" s="59"/>
      <c r="P744" s="59"/>
      <c r="Q744" s="59"/>
      <c r="R744" s="59"/>
      <c r="S744" s="59"/>
      <c r="T744" s="59"/>
      <c r="U744" s="59"/>
      <c r="V744" s="59"/>
      <c r="W744" s="59"/>
      <c r="X744" s="59"/>
      <c r="Y744" s="59"/>
      <c r="Z744" s="59"/>
    </row>
    <row r="745" ht="15.75" customHeight="1">
      <c r="A745" s="59"/>
      <c r="C745" s="59"/>
      <c r="D745" s="59"/>
      <c r="E745" s="59"/>
      <c r="F745" s="60"/>
      <c r="G745" s="59"/>
      <c r="H745" s="61"/>
      <c r="I745" s="59"/>
      <c r="J745" s="59"/>
      <c r="K745" s="59"/>
      <c r="L745" s="59"/>
      <c r="M745" s="59"/>
      <c r="N745" s="59"/>
      <c r="O745" s="59"/>
      <c r="P745" s="59"/>
      <c r="Q745" s="59"/>
      <c r="R745" s="59"/>
      <c r="S745" s="59"/>
      <c r="T745" s="59"/>
      <c r="U745" s="59"/>
      <c r="V745" s="59"/>
      <c r="W745" s="59"/>
      <c r="X745" s="59"/>
      <c r="Y745" s="59"/>
      <c r="Z745" s="59"/>
    </row>
    <row r="746" ht="15.75" customHeight="1">
      <c r="A746" s="59"/>
      <c r="C746" s="59"/>
      <c r="D746" s="59"/>
      <c r="E746" s="59"/>
      <c r="F746" s="60"/>
      <c r="G746" s="59"/>
      <c r="H746" s="61"/>
      <c r="I746" s="59"/>
      <c r="J746" s="59"/>
      <c r="K746" s="59"/>
      <c r="L746" s="59"/>
      <c r="M746" s="59"/>
      <c r="N746" s="59"/>
      <c r="O746" s="59"/>
      <c r="P746" s="59"/>
      <c r="Q746" s="59"/>
      <c r="R746" s="59"/>
      <c r="S746" s="59"/>
      <c r="T746" s="59"/>
      <c r="U746" s="59"/>
      <c r="V746" s="59"/>
      <c r="W746" s="59"/>
      <c r="X746" s="59"/>
      <c r="Y746" s="59"/>
      <c r="Z746" s="59"/>
    </row>
    <row r="747" ht="15.75" customHeight="1">
      <c r="A747" s="59"/>
      <c r="C747" s="59"/>
      <c r="D747" s="59"/>
      <c r="E747" s="59"/>
      <c r="F747" s="60"/>
      <c r="G747" s="59"/>
      <c r="H747" s="61"/>
      <c r="I747" s="59"/>
      <c r="J747" s="59"/>
      <c r="K747" s="59"/>
      <c r="L747" s="59"/>
      <c r="M747" s="59"/>
      <c r="N747" s="59"/>
      <c r="O747" s="59"/>
      <c r="P747" s="59"/>
      <c r="Q747" s="59"/>
      <c r="R747" s="59"/>
      <c r="S747" s="59"/>
      <c r="T747" s="59"/>
      <c r="U747" s="59"/>
      <c r="V747" s="59"/>
      <c r="W747" s="59"/>
      <c r="X747" s="59"/>
      <c r="Y747" s="59"/>
      <c r="Z747" s="59"/>
    </row>
    <row r="748" ht="15.75" customHeight="1">
      <c r="A748" s="59"/>
      <c r="C748" s="59"/>
      <c r="D748" s="59"/>
      <c r="E748" s="59"/>
      <c r="F748" s="60"/>
      <c r="G748" s="59"/>
      <c r="H748" s="61"/>
      <c r="I748" s="59"/>
      <c r="J748" s="59"/>
      <c r="K748" s="59"/>
      <c r="L748" s="59"/>
      <c r="M748" s="59"/>
      <c r="N748" s="59"/>
      <c r="O748" s="59"/>
      <c r="P748" s="59"/>
      <c r="Q748" s="59"/>
      <c r="R748" s="59"/>
      <c r="S748" s="59"/>
      <c r="T748" s="59"/>
      <c r="U748" s="59"/>
      <c r="V748" s="59"/>
      <c r="W748" s="59"/>
      <c r="X748" s="59"/>
      <c r="Y748" s="59"/>
      <c r="Z748" s="59"/>
    </row>
    <row r="749" ht="15.75" customHeight="1">
      <c r="A749" s="59"/>
      <c r="C749" s="59"/>
      <c r="D749" s="59"/>
      <c r="E749" s="59"/>
      <c r="F749" s="60"/>
      <c r="G749" s="59"/>
      <c r="H749" s="61"/>
      <c r="I749" s="59"/>
      <c r="J749" s="59"/>
      <c r="K749" s="59"/>
      <c r="L749" s="59"/>
      <c r="M749" s="59"/>
      <c r="N749" s="59"/>
      <c r="O749" s="59"/>
      <c r="P749" s="59"/>
      <c r="Q749" s="59"/>
      <c r="R749" s="59"/>
      <c r="S749" s="59"/>
      <c r="T749" s="59"/>
      <c r="U749" s="59"/>
      <c r="V749" s="59"/>
      <c r="W749" s="59"/>
      <c r="X749" s="59"/>
      <c r="Y749" s="59"/>
      <c r="Z749" s="59"/>
    </row>
    <row r="750" ht="15.75" customHeight="1">
      <c r="A750" s="59"/>
      <c r="C750" s="59"/>
      <c r="D750" s="59"/>
      <c r="E750" s="59"/>
      <c r="F750" s="60"/>
      <c r="G750" s="59"/>
      <c r="H750" s="61"/>
      <c r="I750" s="59"/>
      <c r="J750" s="59"/>
      <c r="K750" s="59"/>
      <c r="L750" s="59"/>
      <c r="M750" s="59"/>
      <c r="N750" s="59"/>
      <c r="O750" s="59"/>
      <c r="P750" s="59"/>
      <c r="Q750" s="59"/>
      <c r="R750" s="59"/>
      <c r="S750" s="59"/>
      <c r="T750" s="59"/>
      <c r="U750" s="59"/>
      <c r="V750" s="59"/>
      <c r="W750" s="59"/>
      <c r="X750" s="59"/>
      <c r="Y750" s="59"/>
      <c r="Z750" s="59"/>
    </row>
    <row r="751" ht="15.75" customHeight="1">
      <c r="A751" s="59"/>
      <c r="C751" s="59"/>
      <c r="D751" s="59"/>
      <c r="E751" s="59"/>
      <c r="F751" s="60"/>
      <c r="G751" s="59"/>
      <c r="H751" s="61"/>
      <c r="I751" s="59"/>
      <c r="J751" s="59"/>
      <c r="K751" s="59"/>
      <c r="L751" s="59"/>
      <c r="M751" s="59"/>
      <c r="N751" s="59"/>
      <c r="O751" s="59"/>
      <c r="P751" s="59"/>
      <c r="Q751" s="59"/>
      <c r="R751" s="59"/>
      <c r="S751" s="59"/>
      <c r="T751" s="59"/>
      <c r="U751" s="59"/>
      <c r="V751" s="59"/>
      <c r="W751" s="59"/>
      <c r="X751" s="59"/>
      <c r="Y751" s="59"/>
      <c r="Z751" s="59"/>
    </row>
    <row r="752" ht="15.75" customHeight="1">
      <c r="A752" s="59"/>
      <c r="C752" s="59"/>
      <c r="D752" s="59"/>
      <c r="E752" s="59"/>
      <c r="F752" s="60"/>
      <c r="G752" s="59"/>
      <c r="H752" s="61"/>
      <c r="I752" s="59"/>
      <c r="J752" s="59"/>
      <c r="K752" s="59"/>
      <c r="L752" s="59"/>
      <c r="M752" s="59"/>
      <c r="N752" s="59"/>
      <c r="O752" s="59"/>
      <c r="P752" s="59"/>
      <c r="Q752" s="59"/>
      <c r="R752" s="59"/>
      <c r="S752" s="59"/>
      <c r="T752" s="59"/>
      <c r="U752" s="59"/>
      <c r="V752" s="59"/>
      <c r="W752" s="59"/>
      <c r="X752" s="59"/>
      <c r="Y752" s="59"/>
      <c r="Z752" s="59"/>
    </row>
    <row r="753" ht="15.75" customHeight="1">
      <c r="A753" s="59"/>
      <c r="C753" s="59"/>
      <c r="D753" s="59"/>
      <c r="E753" s="59"/>
      <c r="F753" s="60"/>
      <c r="G753" s="59"/>
      <c r="H753" s="61"/>
      <c r="I753" s="59"/>
      <c r="J753" s="59"/>
      <c r="K753" s="59"/>
      <c r="L753" s="59"/>
      <c r="M753" s="59"/>
      <c r="N753" s="59"/>
      <c r="O753" s="59"/>
      <c r="P753" s="59"/>
      <c r="Q753" s="59"/>
      <c r="R753" s="59"/>
      <c r="S753" s="59"/>
      <c r="T753" s="59"/>
      <c r="U753" s="59"/>
      <c r="V753" s="59"/>
      <c r="W753" s="59"/>
      <c r="X753" s="59"/>
      <c r="Y753" s="59"/>
      <c r="Z753" s="59"/>
    </row>
    <row r="754" ht="15.75" customHeight="1">
      <c r="A754" s="59"/>
      <c r="C754" s="59"/>
      <c r="D754" s="59"/>
      <c r="E754" s="59"/>
      <c r="F754" s="60"/>
      <c r="G754" s="59"/>
      <c r="H754" s="61"/>
      <c r="I754" s="59"/>
      <c r="J754" s="59"/>
      <c r="K754" s="59"/>
      <c r="L754" s="59"/>
      <c r="M754" s="59"/>
      <c r="N754" s="59"/>
      <c r="O754" s="59"/>
      <c r="P754" s="59"/>
      <c r="Q754" s="59"/>
      <c r="R754" s="59"/>
      <c r="S754" s="59"/>
      <c r="T754" s="59"/>
      <c r="U754" s="59"/>
      <c r="V754" s="59"/>
      <c r="W754" s="59"/>
      <c r="X754" s="59"/>
      <c r="Y754" s="59"/>
      <c r="Z754" s="59"/>
    </row>
    <row r="755" ht="15.75" customHeight="1">
      <c r="A755" s="59"/>
      <c r="C755" s="59"/>
      <c r="D755" s="59"/>
      <c r="E755" s="59"/>
      <c r="F755" s="60"/>
      <c r="G755" s="59"/>
      <c r="H755" s="61"/>
      <c r="I755" s="59"/>
      <c r="J755" s="59"/>
      <c r="K755" s="59"/>
      <c r="L755" s="59"/>
      <c r="M755" s="59"/>
      <c r="N755" s="59"/>
      <c r="O755" s="59"/>
      <c r="P755" s="59"/>
      <c r="Q755" s="59"/>
      <c r="R755" s="59"/>
      <c r="S755" s="59"/>
      <c r="T755" s="59"/>
      <c r="U755" s="59"/>
      <c r="V755" s="59"/>
      <c r="W755" s="59"/>
      <c r="X755" s="59"/>
      <c r="Y755" s="59"/>
      <c r="Z755" s="59"/>
    </row>
    <row r="756" ht="15.75" customHeight="1">
      <c r="A756" s="59"/>
      <c r="C756" s="59"/>
      <c r="D756" s="59"/>
      <c r="E756" s="59"/>
      <c r="F756" s="60"/>
      <c r="G756" s="59"/>
      <c r="H756" s="61"/>
      <c r="I756" s="59"/>
      <c r="J756" s="59"/>
      <c r="K756" s="59"/>
      <c r="L756" s="59"/>
      <c r="M756" s="59"/>
      <c r="N756" s="59"/>
      <c r="O756" s="59"/>
      <c r="P756" s="59"/>
      <c r="Q756" s="59"/>
      <c r="R756" s="59"/>
      <c r="S756" s="59"/>
      <c r="T756" s="59"/>
      <c r="U756" s="59"/>
      <c r="V756" s="59"/>
      <c r="W756" s="59"/>
      <c r="X756" s="59"/>
      <c r="Y756" s="59"/>
      <c r="Z756" s="59"/>
    </row>
    <row r="757" ht="15.75" customHeight="1">
      <c r="A757" s="59"/>
      <c r="C757" s="59"/>
      <c r="D757" s="59"/>
      <c r="E757" s="59"/>
      <c r="F757" s="60"/>
      <c r="G757" s="59"/>
      <c r="H757" s="61"/>
      <c r="I757" s="59"/>
      <c r="J757" s="59"/>
      <c r="K757" s="59"/>
      <c r="L757" s="59"/>
      <c r="M757" s="59"/>
      <c r="N757" s="59"/>
      <c r="O757" s="59"/>
      <c r="P757" s="59"/>
      <c r="Q757" s="59"/>
      <c r="R757" s="59"/>
      <c r="S757" s="59"/>
      <c r="T757" s="59"/>
      <c r="U757" s="59"/>
      <c r="V757" s="59"/>
      <c r="W757" s="59"/>
      <c r="X757" s="59"/>
      <c r="Y757" s="59"/>
      <c r="Z757" s="59"/>
    </row>
    <row r="758" ht="15.75" customHeight="1">
      <c r="A758" s="59"/>
      <c r="C758" s="59"/>
      <c r="D758" s="59"/>
      <c r="E758" s="59"/>
      <c r="F758" s="60"/>
      <c r="G758" s="59"/>
      <c r="H758" s="61"/>
      <c r="I758" s="59"/>
      <c r="J758" s="59"/>
      <c r="K758" s="59"/>
      <c r="L758" s="59"/>
      <c r="M758" s="59"/>
      <c r="N758" s="59"/>
      <c r="O758" s="59"/>
      <c r="P758" s="59"/>
      <c r="Q758" s="59"/>
      <c r="R758" s="59"/>
      <c r="S758" s="59"/>
      <c r="T758" s="59"/>
      <c r="U758" s="59"/>
      <c r="V758" s="59"/>
      <c r="W758" s="59"/>
      <c r="X758" s="59"/>
      <c r="Y758" s="59"/>
      <c r="Z758" s="59"/>
    </row>
    <row r="759" ht="15.75" customHeight="1">
      <c r="A759" s="59"/>
      <c r="C759" s="59"/>
      <c r="D759" s="59"/>
      <c r="E759" s="59"/>
      <c r="F759" s="60"/>
      <c r="G759" s="59"/>
      <c r="H759" s="61"/>
      <c r="I759" s="59"/>
      <c r="J759" s="59"/>
      <c r="K759" s="59"/>
      <c r="L759" s="59"/>
      <c r="M759" s="59"/>
      <c r="N759" s="59"/>
      <c r="O759" s="59"/>
      <c r="P759" s="59"/>
      <c r="Q759" s="59"/>
      <c r="R759" s="59"/>
      <c r="S759" s="59"/>
      <c r="T759" s="59"/>
      <c r="U759" s="59"/>
      <c r="V759" s="59"/>
      <c r="W759" s="59"/>
      <c r="X759" s="59"/>
      <c r="Y759" s="59"/>
      <c r="Z759" s="59"/>
    </row>
    <row r="760" ht="15.75" customHeight="1">
      <c r="A760" s="59"/>
      <c r="C760" s="59"/>
      <c r="D760" s="59"/>
      <c r="E760" s="59"/>
      <c r="F760" s="60"/>
      <c r="G760" s="59"/>
      <c r="H760" s="61"/>
      <c r="I760" s="59"/>
      <c r="J760" s="59"/>
      <c r="K760" s="59"/>
      <c r="L760" s="59"/>
      <c r="M760" s="59"/>
      <c r="N760" s="59"/>
      <c r="O760" s="59"/>
      <c r="P760" s="59"/>
      <c r="Q760" s="59"/>
      <c r="R760" s="59"/>
      <c r="S760" s="59"/>
      <c r="T760" s="59"/>
      <c r="U760" s="59"/>
      <c r="V760" s="59"/>
      <c r="W760" s="59"/>
      <c r="X760" s="59"/>
      <c r="Y760" s="59"/>
      <c r="Z760" s="59"/>
    </row>
    <row r="761" ht="15.75" customHeight="1">
      <c r="A761" s="59"/>
      <c r="C761" s="59"/>
      <c r="D761" s="59"/>
      <c r="E761" s="59"/>
      <c r="F761" s="60"/>
      <c r="G761" s="59"/>
      <c r="H761" s="61"/>
      <c r="I761" s="59"/>
      <c r="J761" s="59"/>
      <c r="K761" s="59"/>
      <c r="L761" s="59"/>
      <c r="M761" s="59"/>
      <c r="N761" s="59"/>
      <c r="O761" s="59"/>
      <c r="P761" s="59"/>
      <c r="Q761" s="59"/>
      <c r="R761" s="59"/>
      <c r="S761" s="59"/>
      <c r="T761" s="59"/>
      <c r="U761" s="59"/>
      <c r="V761" s="59"/>
      <c r="W761" s="59"/>
      <c r="X761" s="59"/>
      <c r="Y761" s="59"/>
      <c r="Z761" s="59"/>
    </row>
    <row r="762" ht="15.75" customHeight="1">
      <c r="A762" s="59"/>
      <c r="C762" s="59"/>
      <c r="D762" s="59"/>
      <c r="E762" s="59"/>
      <c r="F762" s="60"/>
      <c r="G762" s="59"/>
      <c r="H762" s="61"/>
      <c r="I762" s="59"/>
      <c r="J762" s="59"/>
      <c r="K762" s="59"/>
      <c r="L762" s="59"/>
      <c r="M762" s="59"/>
      <c r="N762" s="59"/>
      <c r="O762" s="59"/>
      <c r="P762" s="59"/>
      <c r="Q762" s="59"/>
      <c r="R762" s="59"/>
      <c r="S762" s="59"/>
      <c r="T762" s="59"/>
      <c r="U762" s="59"/>
      <c r="V762" s="59"/>
      <c r="W762" s="59"/>
      <c r="X762" s="59"/>
      <c r="Y762" s="59"/>
      <c r="Z762" s="59"/>
    </row>
    <row r="763" ht="15.75" customHeight="1">
      <c r="A763" s="59"/>
      <c r="C763" s="59"/>
      <c r="D763" s="59"/>
      <c r="E763" s="59"/>
      <c r="F763" s="60"/>
      <c r="G763" s="59"/>
      <c r="H763" s="61"/>
      <c r="I763" s="59"/>
      <c r="J763" s="59"/>
      <c r="K763" s="59"/>
      <c r="L763" s="59"/>
      <c r="M763" s="59"/>
      <c r="N763" s="59"/>
      <c r="O763" s="59"/>
      <c r="P763" s="59"/>
      <c r="Q763" s="59"/>
      <c r="R763" s="59"/>
      <c r="S763" s="59"/>
      <c r="T763" s="59"/>
      <c r="U763" s="59"/>
      <c r="V763" s="59"/>
      <c r="W763" s="59"/>
      <c r="X763" s="59"/>
      <c r="Y763" s="59"/>
      <c r="Z763" s="59"/>
    </row>
    <row r="764" ht="15.75" customHeight="1">
      <c r="A764" s="59"/>
      <c r="C764" s="59"/>
      <c r="D764" s="59"/>
      <c r="E764" s="59"/>
      <c r="F764" s="60"/>
      <c r="G764" s="59"/>
      <c r="H764" s="61"/>
      <c r="I764" s="59"/>
      <c r="J764" s="59"/>
      <c r="K764" s="59"/>
      <c r="L764" s="59"/>
      <c r="M764" s="59"/>
      <c r="N764" s="59"/>
      <c r="O764" s="59"/>
      <c r="P764" s="59"/>
      <c r="Q764" s="59"/>
      <c r="R764" s="59"/>
      <c r="S764" s="59"/>
      <c r="T764" s="59"/>
      <c r="U764" s="59"/>
      <c r="V764" s="59"/>
      <c r="W764" s="59"/>
      <c r="X764" s="59"/>
      <c r="Y764" s="59"/>
      <c r="Z764" s="59"/>
    </row>
    <row r="765" ht="15.75" customHeight="1">
      <c r="A765" s="59"/>
      <c r="C765" s="59"/>
      <c r="D765" s="59"/>
      <c r="E765" s="59"/>
      <c r="F765" s="60"/>
      <c r="G765" s="59"/>
      <c r="H765" s="61"/>
      <c r="I765" s="59"/>
      <c r="J765" s="59"/>
      <c r="K765" s="59"/>
      <c r="L765" s="59"/>
      <c r="M765" s="59"/>
      <c r="N765" s="59"/>
      <c r="O765" s="59"/>
      <c r="P765" s="59"/>
      <c r="Q765" s="59"/>
      <c r="R765" s="59"/>
      <c r="S765" s="59"/>
      <c r="T765" s="59"/>
      <c r="U765" s="59"/>
      <c r="V765" s="59"/>
      <c r="W765" s="59"/>
      <c r="X765" s="59"/>
      <c r="Y765" s="59"/>
      <c r="Z765" s="59"/>
    </row>
    <row r="766" ht="15.75" customHeight="1">
      <c r="A766" s="59"/>
      <c r="C766" s="59"/>
      <c r="D766" s="59"/>
      <c r="E766" s="59"/>
      <c r="F766" s="60"/>
      <c r="G766" s="59"/>
      <c r="H766" s="61"/>
      <c r="I766" s="59"/>
      <c r="J766" s="59"/>
      <c r="K766" s="59"/>
      <c r="L766" s="59"/>
      <c r="M766" s="59"/>
      <c r="N766" s="59"/>
      <c r="O766" s="59"/>
      <c r="P766" s="59"/>
      <c r="Q766" s="59"/>
      <c r="R766" s="59"/>
      <c r="S766" s="59"/>
      <c r="T766" s="59"/>
      <c r="U766" s="59"/>
      <c r="V766" s="59"/>
      <c r="W766" s="59"/>
      <c r="X766" s="59"/>
      <c r="Y766" s="59"/>
      <c r="Z766" s="59"/>
    </row>
    <row r="767" ht="15.75" customHeight="1">
      <c r="A767" s="59"/>
      <c r="C767" s="59"/>
      <c r="D767" s="59"/>
      <c r="E767" s="59"/>
      <c r="F767" s="60"/>
      <c r="G767" s="59"/>
      <c r="H767" s="61"/>
      <c r="I767" s="59"/>
      <c r="J767" s="59"/>
      <c r="K767" s="59"/>
      <c r="L767" s="59"/>
      <c r="M767" s="59"/>
      <c r="N767" s="59"/>
      <c r="O767" s="59"/>
      <c r="P767" s="59"/>
      <c r="Q767" s="59"/>
      <c r="R767" s="59"/>
      <c r="S767" s="59"/>
      <c r="T767" s="59"/>
      <c r="U767" s="59"/>
      <c r="V767" s="59"/>
      <c r="W767" s="59"/>
      <c r="X767" s="59"/>
      <c r="Y767" s="59"/>
      <c r="Z767" s="59"/>
    </row>
    <row r="768" ht="15.75" customHeight="1">
      <c r="A768" s="59"/>
      <c r="C768" s="59"/>
      <c r="D768" s="59"/>
      <c r="E768" s="59"/>
      <c r="F768" s="60"/>
      <c r="G768" s="59"/>
      <c r="H768" s="61"/>
      <c r="I768" s="59"/>
      <c r="J768" s="59"/>
      <c r="K768" s="59"/>
      <c r="L768" s="59"/>
      <c r="M768" s="59"/>
      <c r="N768" s="59"/>
      <c r="O768" s="59"/>
      <c r="P768" s="59"/>
      <c r="Q768" s="59"/>
      <c r="R768" s="59"/>
      <c r="S768" s="59"/>
      <c r="T768" s="59"/>
      <c r="U768" s="59"/>
      <c r="V768" s="59"/>
      <c r="W768" s="59"/>
      <c r="X768" s="59"/>
      <c r="Y768" s="59"/>
      <c r="Z768" s="59"/>
    </row>
    <row r="769" ht="15.75" customHeight="1">
      <c r="A769" s="59"/>
      <c r="C769" s="59"/>
      <c r="D769" s="59"/>
      <c r="E769" s="59"/>
      <c r="F769" s="60"/>
      <c r="G769" s="59"/>
      <c r="H769" s="61"/>
      <c r="I769" s="59"/>
      <c r="J769" s="59"/>
      <c r="K769" s="59"/>
      <c r="L769" s="59"/>
      <c r="M769" s="59"/>
      <c r="N769" s="59"/>
      <c r="O769" s="59"/>
      <c r="P769" s="59"/>
      <c r="Q769" s="59"/>
      <c r="R769" s="59"/>
      <c r="S769" s="59"/>
      <c r="T769" s="59"/>
      <c r="U769" s="59"/>
      <c r="V769" s="59"/>
      <c r="W769" s="59"/>
      <c r="X769" s="59"/>
      <c r="Y769" s="59"/>
      <c r="Z769" s="59"/>
    </row>
    <row r="770" ht="15.75" customHeight="1">
      <c r="A770" s="59"/>
      <c r="C770" s="59"/>
      <c r="D770" s="59"/>
      <c r="E770" s="59"/>
      <c r="F770" s="60"/>
      <c r="G770" s="59"/>
      <c r="H770" s="61"/>
      <c r="I770" s="59"/>
      <c r="J770" s="59"/>
      <c r="K770" s="59"/>
      <c r="L770" s="59"/>
      <c r="M770" s="59"/>
      <c r="N770" s="59"/>
      <c r="O770" s="59"/>
      <c r="P770" s="59"/>
      <c r="Q770" s="59"/>
      <c r="R770" s="59"/>
      <c r="S770" s="59"/>
      <c r="T770" s="59"/>
      <c r="U770" s="59"/>
      <c r="V770" s="59"/>
      <c r="W770" s="59"/>
      <c r="X770" s="59"/>
      <c r="Y770" s="59"/>
      <c r="Z770" s="59"/>
    </row>
    <row r="771" ht="15.75" customHeight="1">
      <c r="A771" s="59"/>
      <c r="C771" s="59"/>
      <c r="D771" s="59"/>
      <c r="E771" s="59"/>
      <c r="F771" s="60"/>
      <c r="G771" s="59"/>
      <c r="H771" s="61"/>
      <c r="I771" s="59"/>
      <c r="J771" s="59"/>
      <c r="K771" s="59"/>
      <c r="L771" s="59"/>
      <c r="M771" s="59"/>
      <c r="N771" s="59"/>
      <c r="O771" s="59"/>
      <c r="P771" s="59"/>
      <c r="Q771" s="59"/>
      <c r="R771" s="59"/>
      <c r="S771" s="59"/>
      <c r="T771" s="59"/>
      <c r="U771" s="59"/>
      <c r="V771" s="59"/>
      <c r="W771" s="59"/>
      <c r="X771" s="59"/>
      <c r="Y771" s="59"/>
      <c r="Z771" s="59"/>
    </row>
    <row r="772" ht="15.75" customHeight="1">
      <c r="A772" s="59"/>
      <c r="C772" s="59"/>
      <c r="D772" s="59"/>
      <c r="E772" s="59"/>
      <c r="F772" s="60"/>
      <c r="G772" s="59"/>
      <c r="H772" s="61"/>
      <c r="I772" s="59"/>
      <c r="J772" s="59"/>
      <c r="K772" s="59"/>
      <c r="L772" s="59"/>
      <c r="M772" s="59"/>
      <c r="N772" s="59"/>
      <c r="O772" s="59"/>
      <c r="P772" s="59"/>
      <c r="Q772" s="59"/>
      <c r="R772" s="59"/>
      <c r="S772" s="59"/>
      <c r="T772" s="59"/>
      <c r="U772" s="59"/>
      <c r="V772" s="59"/>
      <c r="W772" s="59"/>
      <c r="X772" s="59"/>
      <c r="Y772" s="59"/>
      <c r="Z772" s="59"/>
    </row>
    <row r="773" ht="15.75" customHeight="1">
      <c r="A773" s="59"/>
      <c r="C773" s="59"/>
      <c r="D773" s="59"/>
      <c r="E773" s="59"/>
      <c r="F773" s="60"/>
      <c r="G773" s="59"/>
      <c r="H773" s="61"/>
      <c r="I773" s="59"/>
      <c r="J773" s="59"/>
      <c r="K773" s="59"/>
      <c r="L773" s="59"/>
      <c r="M773" s="59"/>
      <c r="N773" s="59"/>
      <c r="O773" s="59"/>
      <c r="P773" s="59"/>
      <c r="Q773" s="59"/>
      <c r="R773" s="59"/>
      <c r="S773" s="59"/>
      <c r="T773" s="59"/>
      <c r="U773" s="59"/>
      <c r="V773" s="59"/>
      <c r="W773" s="59"/>
      <c r="X773" s="59"/>
      <c r="Y773" s="59"/>
      <c r="Z773" s="59"/>
    </row>
    <row r="774" ht="15.75" customHeight="1">
      <c r="A774" s="59"/>
      <c r="C774" s="59"/>
      <c r="D774" s="59"/>
      <c r="E774" s="59"/>
      <c r="F774" s="60"/>
      <c r="G774" s="59"/>
      <c r="H774" s="61"/>
      <c r="I774" s="59"/>
      <c r="J774" s="59"/>
      <c r="K774" s="59"/>
      <c r="L774" s="59"/>
      <c r="M774" s="59"/>
      <c r="N774" s="59"/>
      <c r="O774" s="59"/>
      <c r="P774" s="59"/>
      <c r="Q774" s="59"/>
      <c r="R774" s="59"/>
      <c r="S774" s="59"/>
      <c r="T774" s="59"/>
      <c r="U774" s="59"/>
      <c r="V774" s="59"/>
      <c r="W774" s="59"/>
      <c r="X774" s="59"/>
      <c r="Y774" s="59"/>
      <c r="Z774" s="59"/>
    </row>
    <row r="775" ht="15.75" customHeight="1">
      <c r="A775" s="59"/>
      <c r="C775" s="59"/>
      <c r="D775" s="59"/>
      <c r="E775" s="59"/>
      <c r="F775" s="60"/>
      <c r="G775" s="59"/>
      <c r="H775" s="61"/>
      <c r="I775" s="59"/>
      <c r="J775" s="59"/>
      <c r="K775" s="59"/>
      <c r="L775" s="59"/>
      <c r="M775" s="59"/>
      <c r="N775" s="59"/>
      <c r="O775" s="59"/>
      <c r="P775" s="59"/>
      <c r="Q775" s="59"/>
      <c r="R775" s="59"/>
      <c r="S775" s="59"/>
      <c r="T775" s="59"/>
      <c r="U775" s="59"/>
      <c r="V775" s="59"/>
      <c r="W775" s="59"/>
      <c r="X775" s="59"/>
      <c r="Y775" s="59"/>
      <c r="Z775" s="59"/>
    </row>
    <row r="776" ht="15.75" customHeight="1">
      <c r="A776" s="59"/>
      <c r="C776" s="59"/>
      <c r="D776" s="59"/>
      <c r="E776" s="59"/>
      <c r="F776" s="60"/>
      <c r="G776" s="59"/>
      <c r="H776" s="61"/>
      <c r="I776" s="59"/>
      <c r="J776" s="59"/>
      <c r="K776" s="59"/>
      <c r="L776" s="59"/>
      <c r="M776" s="59"/>
      <c r="N776" s="59"/>
      <c r="O776" s="59"/>
      <c r="P776" s="59"/>
      <c r="Q776" s="59"/>
      <c r="R776" s="59"/>
      <c r="S776" s="59"/>
      <c r="T776" s="59"/>
      <c r="U776" s="59"/>
      <c r="V776" s="59"/>
      <c r="W776" s="59"/>
      <c r="X776" s="59"/>
      <c r="Y776" s="59"/>
      <c r="Z776" s="59"/>
    </row>
    <row r="777" ht="15.75" customHeight="1">
      <c r="A777" s="59"/>
      <c r="C777" s="59"/>
      <c r="D777" s="59"/>
      <c r="E777" s="59"/>
      <c r="F777" s="60"/>
      <c r="G777" s="59"/>
      <c r="H777" s="61"/>
      <c r="I777" s="59"/>
      <c r="J777" s="59"/>
      <c r="K777" s="59"/>
      <c r="L777" s="59"/>
      <c r="M777" s="59"/>
      <c r="N777" s="59"/>
      <c r="O777" s="59"/>
      <c r="P777" s="59"/>
      <c r="Q777" s="59"/>
      <c r="R777" s="59"/>
      <c r="S777" s="59"/>
      <c r="T777" s="59"/>
      <c r="U777" s="59"/>
      <c r="V777" s="59"/>
      <c r="W777" s="59"/>
      <c r="X777" s="59"/>
      <c r="Y777" s="59"/>
      <c r="Z777" s="59"/>
    </row>
    <row r="778" ht="15.75" customHeight="1">
      <c r="A778" s="59"/>
      <c r="C778" s="59"/>
      <c r="D778" s="59"/>
      <c r="E778" s="59"/>
      <c r="F778" s="60"/>
      <c r="G778" s="59"/>
      <c r="H778" s="61"/>
      <c r="I778" s="59"/>
      <c r="J778" s="59"/>
      <c r="K778" s="59"/>
      <c r="L778" s="59"/>
      <c r="M778" s="59"/>
      <c r="N778" s="59"/>
      <c r="O778" s="59"/>
      <c r="P778" s="59"/>
      <c r="Q778" s="59"/>
      <c r="R778" s="59"/>
      <c r="S778" s="59"/>
      <c r="T778" s="59"/>
      <c r="U778" s="59"/>
      <c r="V778" s="59"/>
      <c r="W778" s="59"/>
      <c r="X778" s="59"/>
      <c r="Y778" s="59"/>
      <c r="Z778" s="59"/>
    </row>
    <row r="779" ht="15.75" customHeight="1">
      <c r="A779" s="59"/>
      <c r="C779" s="59"/>
      <c r="D779" s="59"/>
      <c r="E779" s="59"/>
      <c r="F779" s="60"/>
      <c r="G779" s="59"/>
      <c r="H779" s="61"/>
      <c r="I779" s="59"/>
      <c r="J779" s="59"/>
      <c r="K779" s="59"/>
      <c r="L779" s="59"/>
      <c r="M779" s="59"/>
      <c r="N779" s="59"/>
      <c r="O779" s="59"/>
      <c r="P779" s="59"/>
      <c r="Q779" s="59"/>
      <c r="R779" s="59"/>
      <c r="S779" s="59"/>
      <c r="T779" s="59"/>
      <c r="U779" s="59"/>
      <c r="V779" s="59"/>
      <c r="W779" s="59"/>
      <c r="X779" s="59"/>
      <c r="Y779" s="59"/>
      <c r="Z779" s="59"/>
    </row>
    <row r="780" ht="15.75" customHeight="1">
      <c r="A780" s="59"/>
      <c r="C780" s="59"/>
      <c r="D780" s="59"/>
      <c r="E780" s="59"/>
      <c r="F780" s="60"/>
      <c r="G780" s="59"/>
      <c r="H780" s="61"/>
      <c r="I780" s="59"/>
      <c r="J780" s="59"/>
      <c r="K780" s="59"/>
      <c r="L780" s="59"/>
      <c r="M780" s="59"/>
      <c r="N780" s="59"/>
      <c r="O780" s="59"/>
      <c r="P780" s="59"/>
      <c r="Q780" s="59"/>
      <c r="R780" s="59"/>
      <c r="S780" s="59"/>
      <c r="T780" s="59"/>
      <c r="U780" s="59"/>
      <c r="V780" s="59"/>
      <c r="W780" s="59"/>
      <c r="X780" s="59"/>
      <c r="Y780" s="59"/>
      <c r="Z780" s="59"/>
    </row>
    <row r="781" ht="15.75" customHeight="1">
      <c r="A781" s="59"/>
      <c r="C781" s="59"/>
      <c r="D781" s="59"/>
      <c r="E781" s="59"/>
      <c r="F781" s="60"/>
      <c r="G781" s="59"/>
      <c r="H781" s="61"/>
      <c r="I781" s="59"/>
      <c r="J781" s="59"/>
      <c r="K781" s="59"/>
      <c r="L781" s="59"/>
      <c r="M781" s="59"/>
      <c r="N781" s="59"/>
      <c r="O781" s="59"/>
      <c r="P781" s="59"/>
      <c r="Q781" s="59"/>
      <c r="R781" s="59"/>
      <c r="S781" s="59"/>
      <c r="T781" s="59"/>
      <c r="U781" s="59"/>
      <c r="V781" s="59"/>
      <c r="W781" s="59"/>
      <c r="X781" s="59"/>
      <c r="Y781" s="59"/>
      <c r="Z781" s="59"/>
    </row>
    <row r="782" ht="15.75" customHeight="1">
      <c r="A782" s="59"/>
      <c r="C782" s="59"/>
      <c r="D782" s="59"/>
      <c r="E782" s="59"/>
      <c r="F782" s="60"/>
      <c r="G782" s="59"/>
      <c r="H782" s="61"/>
      <c r="I782" s="59"/>
      <c r="J782" s="59"/>
      <c r="K782" s="59"/>
      <c r="L782" s="59"/>
      <c r="M782" s="59"/>
      <c r="N782" s="59"/>
      <c r="O782" s="59"/>
      <c r="P782" s="59"/>
      <c r="Q782" s="59"/>
      <c r="R782" s="59"/>
      <c r="S782" s="59"/>
      <c r="T782" s="59"/>
      <c r="U782" s="59"/>
      <c r="V782" s="59"/>
      <c r="W782" s="59"/>
      <c r="X782" s="59"/>
      <c r="Y782" s="59"/>
      <c r="Z782" s="59"/>
    </row>
    <row r="783" ht="15.75" customHeight="1">
      <c r="A783" s="59"/>
      <c r="C783" s="59"/>
      <c r="D783" s="59"/>
      <c r="E783" s="59"/>
      <c r="F783" s="60"/>
      <c r="G783" s="59"/>
      <c r="H783" s="61"/>
      <c r="I783" s="59"/>
      <c r="J783" s="59"/>
      <c r="K783" s="59"/>
      <c r="L783" s="59"/>
      <c r="M783" s="59"/>
      <c r="N783" s="59"/>
      <c r="O783" s="59"/>
      <c r="P783" s="59"/>
      <c r="Q783" s="59"/>
      <c r="R783" s="59"/>
      <c r="S783" s="59"/>
      <c r="T783" s="59"/>
      <c r="U783" s="59"/>
      <c r="V783" s="59"/>
      <c r="W783" s="59"/>
      <c r="X783" s="59"/>
      <c r="Y783" s="59"/>
      <c r="Z783" s="59"/>
    </row>
    <row r="784" ht="15.75" customHeight="1">
      <c r="A784" s="59"/>
      <c r="C784" s="59"/>
      <c r="D784" s="59"/>
      <c r="E784" s="59"/>
      <c r="F784" s="60"/>
      <c r="G784" s="59"/>
      <c r="H784" s="61"/>
      <c r="I784" s="59"/>
      <c r="J784" s="59"/>
      <c r="K784" s="59"/>
      <c r="L784" s="59"/>
      <c r="M784" s="59"/>
      <c r="N784" s="59"/>
      <c r="O784" s="59"/>
      <c r="P784" s="59"/>
      <c r="Q784" s="59"/>
      <c r="R784" s="59"/>
      <c r="S784" s="59"/>
      <c r="T784" s="59"/>
      <c r="U784" s="59"/>
      <c r="V784" s="59"/>
      <c r="W784" s="59"/>
      <c r="X784" s="59"/>
      <c r="Y784" s="59"/>
      <c r="Z784" s="59"/>
    </row>
    <row r="785" ht="15.75" customHeight="1">
      <c r="A785" s="59"/>
      <c r="C785" s="59"/>
      <c r="D785" s="59"/>
      <c r="E785" s="59"/>
      <c r="F785" s="60"/>
      <c r="G785" s="59"/>
      <c r="H785" s="61"/>
      <c r="I785" s="59"/>
      <c r="J785" s="59"/>
      <c r="K785" s="59"/>
      <c r="L785" s="59"/>
      <c r="M785" s="59"/>
      <c r="N785" s="59"/>
      <c r="O785" s="59"/>
      <c r="P785" s="59"/>
      <c r="Q785" s="59"/>
      <c r="R785" s="59"/>
      <c r="S785" s="59"/>
      <c r="T785" s="59"/>
      <c r="U785" s="59"/>
      <c r="V785" s="59"/>
      <c r="W785" s="59"/>
      <c r="X785" s="59"/>
      <c r="Y785" s="59"/>
      <c r="Z785" s="59"/>
    </row>
    <row r="786" ht="15.75" customHeight="1">
      <c r="A786" s="59"/>
      <c r="C786" s="59"/>
      <c r="D786" s="59"/>
      <c r="E786" s="59"/>
      <c r="F786" s="60"/>
      <c r="G786" s="59"/>
      <c r="H786" s="61"/>
      <c r="I786" s="59"/>
      <c r="J786" s="59"/>
      <c r="K786" s="59"/>
      <c r="L786" s="59"/>
      <c r="M786" s="59"/>
      <c r="N786" s="59"/>
      <c r="O786" s="59"/>
      <c r="P786" s="59"/>
      <c r="Q786" s="59"/>
      <c r="R786" s="59"/>
      <c r="S786" s="59"/>
      <c r="T786" s="59"/>
      <c r="U786" s="59"/>
      <c r="V786" s="59"/>
      <c r="W786" s="59"/>
      <c r="X786" s="59"/>
      <c r="Y786" s="59"/>
      <c r="Z786" s="59"/>
    </row>
    <row r="787" ht="15.75" customHeight="1">
      <c r="A787" s="59"/>
      <c r="C787" s="59"/>
      <c r="D787" s="59"/>
      <c r="E787" s="59"/>
      <c r="F787" s="60"/>
      <c r="G787" s="59"/>
      <c r="H787" s="61"/>
      <c r="I787" s="59"/>
      <c r="J787" s="59"/>
      <c r="K787" s="59"/>
      <c r="L787" s="59"/>
      <c r="M787" s="59"/>
      <c r="N787" s="59"/>
      <c r="O787" s="59"/>
      <c r="P787" s="59"/>
      <c r="Q787" s="59"/>
      <c r="R787" s="59"/>
      <c r="S787" s="59"/>
      <c r="T787" s="59"/>
      <c r="U787" s="59"/>
      <c r="V787" s="59"/>
      <c r="W787" s="59"/>
      <c r="X787" s="59"/>
      <c r="Y787" s="59"/>
      <c r="Z787" s="59"/>
    </row>
    <row r="788" ht="15.75" customHeight="1">
      <c r="A788" s="59"/>
      <c r="C788" s="59"/>
      <c r="D788" s="59"/>
      <c r="E788" s="59"/>
      <c r="F788" s="60"/>
      <c r="G788" s="59"/>
      <c r="H788" s="61"/>
      <c r="I788" s="59"/>
      <c r="J788" s="59"/>
      <c r="K788" s="59"/>
      <c r="L788" s="59"/>
      <c r="M788" s="59"/>
      <c r="N788" s="59"/>
      <c r="O788" s="59"/>
      <c r="P788" s="59"/>
      <c r="Q788" s="59"/>
      <c r="R788" s="59"/>
      <c r="S788" s="59"/>
      <c r="T788" s="59"/>
      <c r="U788" s="59"/>
      <c r="V788" s="59"/>
      <c r="W788" s="59"/>
      <c r="X788" s="59"/>
      <c r="Y788" s="59"/>
      <c r="Z788" s="59"/>
    </row>
    <row r="789" ht="15.75" customHeight="1">
      <c r="A789" s="59"/>
      <c r="C789" s="59"/>
      <c r="D789" s="59"/>
      <c r="E789" s="59"/>
      <c r="F789" s="60"/>
      <c r="G789" s="59"/>
      <c r="H789" s="61"/>
      <c r="I789" s="59"/>
      <c r="J789" s="59"/>
      <c r="K789" s="59"/>
      <c r="L789" s="59"/>
      <c r="M789" s="59"/>
      <c r="N789" s="59"/>
      <c r="O789" s="59"/>
      <c r="P789" s="59"/>
      <c r="Q789" s="59"/>
      <c r="R789" s="59"/>
      <c r="S789" s="59"/>
      <c r="T789" s="59"/>
      <c r="U789" s="59"/>
      <c r="V789" s="59"/>
      <c r="W789" s="59"/>
      <c r="X789" s="59"/>
      <c r="Y789" s="59"/>
      <c r="Z789" s="59"/>
    </row>
    <row r="790" ht="15.75" customHeight="1">
      <c r="A790" s="59"/>
      <c r="C790" s="59"/>
      <c r="D790" s="59"/>
      <c r="E790" s="59"/>
      <c r="F790" s="60"/>
      <c r="G790" s="59"/>
      <c r="H790" s="61"/>
      <c r="I790" s="59"/>
      <c r="J790" s="59"/>
      <c r="K790" s="59"/>
      <c r="L790" s="59"/>
      <c r="M790" s="59"/>
      <c r="N790" s="59"/>
      <c r="O790" s="59"/>
      <c r="P790" s="59"/>
      <c r="Q790" s="59"/>
      <c r="R790" s="59"/>
      <c r="S790" s="59"/>
      <c r="T790" s="59"/>
      <c r="U790" s="59"/>
      <c r="V790" s="59"/>
      <c r="W790" s="59"/>
      <c r="X790" s="59"/>
      <c r="Y790" s="59"/>
      <c r="Z790" s="59"/>
    </row>
    <row r="791" ht="15.75" customHeight="1">
      <c r="A791" s="59"/>
      <c r="C791" s="59"/>
      <c r="D791" s="59"/>
      <c r="E791" s="59"/>
      <c r="F791" s="60"/>
      <c r="G791" s="59"/>
      <c r="H791" s="61"/>
      <c r="I791" s="59"/>
      <c r="J791" s="59"/>
      <c r="K791" s="59"/>
      <c r="L791" s="59"/>
      <c r="M791" s="59"/>
      <c r="N791" s="59"/>
      <c r="O791" s="59"/>
      <c r="P791" s="59"/>
      <c r="Q791" s="59"/>
      <c r="R791" s="59"/>
      <c r="S791" s="59"/>
      <c r="T791" s="59"/>
      <c r="U791" s="59"/>
      <c r="V791" s="59"/>
      <c r="W791" s="59"/>
      <c r="X791" s="59"/>
      <c r="Y791" s="59"/>
      <c r="Z791" s="59"/>
    </row>
    <row r="792" ht="15.75" customHeight="1">
      <c r="A792" s="59"/>
      <c r="C792" s="59"/>
      <c r="D792" s="59"/>
      <c r="E792" s="59"/>
      <c r="F792" s="60"/>
      <c r="G792" s="59"/>
      <c r="H792" s="61"/>
      <c r="I792" s="59"/>
      <c r="J792" s="59"/>
      <c r="K792" s="59"/>
      <c r="L792" s="59"/>
      <c r="M792" s="59"/>
      <c r="N792" s="59"/>
      <c r="O792" s="59"/>
      <c r="P792" s="59"/>
      <c r="Q792" s="59"/>
      <c r="R792" s="59"/>
      <c r="S792" s="59"/>
      <c r="T792" s="59"/>
      <c r="U792" s="59"/>
      <c r="V792" s="59"/>
      <c r="W792" s="59"/>
      <c r="X792" s="59"/>
      <c r="Y792" s="59"/>
      <c r="Z792" s="59"/>
    </row>
    <row r="793" ht="15.75" customHeight="1">
      <c r="A793" s="59"/>
      <c r="C793" s="59"/>
      <c r="D793" s="59"/>
      <c r="E793" s="59"/>
      <c r="F793" s="60"/>
      <c r="G793" s="59"/>
      <c r="H793" s="61"/>
      <c r="I793" s="59"/>
      <c r="J793" s="59"/>
      <c r="K793" s="59"/>
      <c r="L793" s="59"/>
      <c r="M793" s="59"/>
      <c r="N793" s="59"/>
      <c r="O793" s="59"/>
      <c r="P793" s="59"/>
      <c r="Q793" s="59"/>
      <c r="R793" s="59"/>
      <c r="S793" s="59"/>
      <c r="T793" s="59"/>
      <c r="U793" s="59"/>
      <c r="V793" s="59"/>
      <c r="W793" s="59"/>
      <c r="X793" s="59"/>
      <c r="Y793" s="59"/>
      <c r="Z793" s="59"/>
    </row>
    <row r="794" ht="15.75" customHeight="1">
      <c r="A794" s="59"/>
      <c r="C794" s="59"/>
      <c r="D794" s="59"/>
      <c r="E794" s="59"/>
      <c r="F794" s="60"/>
      <c r="G794" s="59"/>
      <c r="H794" s="61"/>
      <c r="I794" s="59"/>
      <c r="J794" s="59"/>
      <c r="K794" s="59"/>
      <c r="L794" s="59"/>
      <c r="M794" s="59"/>
      <c r="N794" s="59"/>
      <c r="O794" s="59"/>
      <c r="P794" s="59"/>
      <c r="Q794" s="59"/>
      <c r="R794" s="59"/>
      <c r="S794" s="59"/>
      <c r="T794" s="59"/>
      <c r="U794" s="59"/>
      <c r="V794" s="59"/>
      <c r="W794" s="59"/>
      <c r="X794" s="59"/>
      <c r="Y794" s="59"/>
      <c r="Z794" s="59"/>
    </row>
    <row r="795" ht="15.75" customHeight="1">
      <c r="A795" s="59"/>
      <c r="C795" s="59"/>
      <c r="D795" s="59"/>
      <c r="E795" s="59"/>
      <c r="F795" s="60"/>
      <c r="G795" s="59"/>
      <c r="H795" s="61"/>
      <c r="I795" s="59"/>
      <c r="J795" s="59"/>
      <c r="K795" s="59"/>
      <c r="L795" s="59"/>
      <c r="M795" s="59"/>
      <c r="N795" s="59"/>
      <c r="O795" s="59"/>
      <c r="P795" s="59"/>
      <c r="Q795" s="59"/>
      <c r="R795" s="59"/>
      <c r="S795" s="59"/>
      <c r="T795" s="59"/>
      <c r="U795" s="59"/>
      <c r="V795" s="59"/>
      <c r="W795" s="59"/>
      <c r="X795" s="59"/>
      <c r="Y795" s="59"/>
      <c r="Z795" s="59"/>
    </row>
    <row r="796" ht="15.75" customHeight="1">
      <c r="A796" s="59"/>
      <c r="C796" s="59"/>
      <c r="D796" s="59"/>
      <c r="E796" s="59"/>
      <c r="F796" s="60"/>
      <c r="G796" s="59"/>
      <c r="H796" s="61"/>
      <c r="I796" s="59"/>
      <c r="J796" s="59"/>
      <c r="K796" s="59"/>
      <c r="L796" s="59"/>
      <c r="M796" s="59"/>
      <c r="N796" s="59"/>
      <c r="O796" s="59"/>
      <c r="P796" s="59"/>
      <c r="Q796" s="59"/>
      <c r="R796" s="59"/>
      <c r="S796" s="59"/>
      <c r="T796" s="59"/>
      <c r="U796" s="59"/>
      <c r="V796" s="59"/>
      <c r="W796" s="59"/>
      <c r="X796" s="59"/>
      <c r="Y796" s="59"/>
      <c r="Z796" s="59"/>
    </row>
    <row r="797" ht="15.75" customHeight="1">
      <c r="A797" s="59"/>
      <c r="C797" s="59"/>
      <c r="D797" s="59"/>
      <c r="E797" s="59"/>
      <c r="F797" s="60"/>
      <c r="G797" s="59"/>
      <c r="H797" s="61"/>
      <c r="I797" s="59"/>
      <c r="J797" s="59"/>
      <c r="K797" s="59"/>
      <c r="L797" s="59"/>
      <c r="M797" s="59"/>
      <c r="N797" s="59"/>
      <c r="O797" s="59"/>
      <c r="P797" s="59"/>
      <c r="Q797" s="59"/>
      <c r="R797" s="59"/>
      <c r="S797" s="59"/>
      <c r="T797" s="59"/>
      <c r="U797" s="59"/>
      <c r="V797" s="59"/>
      <c r="W797" s="59"/>
      <c r="X797" s="59"/>
      <c r="Y797" s="59"/>
      <c r="Z797" s="59"/>
    </row>
    <row r="798" ht="15.75" customHeight="1">
      <c r="A798" s="59"/>
      <c r="C798" s="59"/>
      <c r="D798" s="59"/>
      <c r="E798" s="59"/>
      <c r="F798" s="60"/>
      <c r="G798" s="59"/>
      <c r="H798" s="61"/>
      <c r="I798" s="59"/>
      <c r="J798" s="59"/>
      <c r="K798" s="59"/>
      <c r="L798" s="59"/>
      <c r="M798" s="59"/>
      <c r="N798" s="59"/>
      <c r="O798" s="59"/>
      <c r="P798" s="59"/>
      <c r="Q798" s="59"/>
      <c r="R798" s="59"/>
      <c r="S798" s="59"/>
      <c r="T798" s="59"/>
      <c r="U798" s="59"/>
      <c r="V798" s="59"/>
      <c r="W798" s="59"/>
      <c r="X798" s="59"/>
      <c r="Y798" s="59"/>
      <c r="Z798" s="59"/>
    </row>
    <row r="799" ht="15.75" customHeight="1">
      <c r="A799" s="59"/>
      <c r="C799" s="59"/>
      <c r="D799" s="59"/>
      <c r="E799" s="59"/>
      <c r="F799" s="60"/>
      <c r="G799" s="59"/>
      <c r="H799" s="61"/>
      <c r="I799" s="59"/>
      <c r="J799" s="59"/>
      <c r="K799" s="59"/>
      <c r="L799" s="59"/>
      <c r="M799" s="59"/>
      <c r="N799" s="59"/>
      <c r="O799" s="59"/>
      <c r="P799" s="59"/>
      <c r="Q799" s="59"/>
      <c r="R799" s="59"/>
      <c r="S799" s="59"/>
      <c r="T799" s="59"/>
      <c r="U799" s="59"/>
      <c r="V799" s="59"/>
      <c r="W799" s="59"/>
      <c r="X799" s="59"/>
      <c r="Y799" s="59"/>
      <c r="Z799" s="59"/>
    </row>
    <row r="800" ht="15.75" customHeight="1">
      <c r="A800" s="59"/>
      <c r="C800" s="59"/>
      <c r="D800" s="59"/>
      <c r="E800" s="59"/>
      <c r="F800" s="60"/>
      <c r="G800" s="59"/>
      <c r="H800" s="61"/>
      <c r="I800" s="59"/>
      <c r="J800" s="59"/>
      <c r="K800" s="59"/>
      <c r="L800" s="59"/>
      <c r="M800" s="59"/>
      <c r="N800" s="59"/>
      <c r="O800" s="59"/>
      <c r="P800" s="59"/>
      <c r="Q800" s="59"/>
      <c r="R800" s="59"/>
      <c r="S800" s="59"/>
      <c r="T800" s="59"/>
      <c r="U800" s="59"/>
      <c r="V800" s="59"/>
      <c r="W800" s="59"/>
      <c r="X800" s="59"/>
      <c r="Y800" s="59"/>
      <c r="Z800" s="59"/>
    </row>
    <row r="801" ht="15.75" customHeight="1">
      <c r="A801" s="59"/>
      <c r="C801" s="59"/>
      <c r="D801" s="59"/>
      <c r="E801" s="59"/>
      <c r="F801" s="60"/>
      <c r="G801" s="59"/>
      <c r="H801" s="61"/>
      <c r="I801" s="59"/>
      <c r="J801" s="59"/>
      <c r="K801" s="59"/>
      <c r="L801" s="59"/>
      <c r="M801" s="59"/>
      <c r="N801" s="59"/>
      <c r="O801" s="59"/>
      <c r="P801" s="59"/>
      <c r="Q801" s="59"/>
      <c r="R801" s="59"/>
      <c r="S801" s="59"/>
      <c r="T801" s="59"/>
      <c r="U801" s="59"/>
      <c r="V801" s="59"/>
      <c r="W801" s="59"/>
      <c r="X801" s="59"/>
      <c r="Y801" s="59"/>
      <c r="Z801" s="59"/>
    </row>
    <row r="802" ht="15.75" customHeight="1">
      <c r="A802" s="59"/>
      <c r="C802" s="59"/>
      <c r="D802" s="59"/>
      <c r="E802" s="59"/>
      <c r="F802" s="60"/>
      <c r="G802" s="59"/>
      <c r="H802" s="61"/>
      <c r="I802" s="59"/>
      <c r="J802" s="59"/>
      <c r="K802" s="59"/>
      <c r="L802" s="59"/>
      <c r="M802" s="59"/>
      <c r="N802" s="59"/>
      <c r="O802" s="59"/>
      <c r="P802" s="59"/>
      <c r="Q802" s="59"/>
      <c r="R802" s="59"/>
      <c r="S802" s="59"/>
      <c r="T802" s="59"/>
      <c r="U802" s="59"/>
      <c r="V802" s="59"/>
      <c r="W802" s="59"/>
      <c r="X802" s="59"/>
      <c r="Y802" s="59"/>
      <c r="Z802" s="59"/>
    </row>
    <row r="803" ht="15.75" customHeight="1">
      <c r="A803" s="59"/>
      <c r="C803" s="59"/>
      <c r="D803" s="59"/>
      <c r="E803" s="59"/>
      <c r="F803" s="60"/>
      <c r="G803" s="59"/>
      <c r="H803" s="61"/>
      <c r="I803" s="59"/>
      <c r="J803" s="59"/>
      <c r="K803" s="59"/>
      <c r="L803" s="59"/>
      <c r="M803" s="59"/>
      <c r="N803" s="59"/>
      <c r="O803" s="59"/>
      <c r="P803" s="59"/>
      <c r="Q803" s="59"/>
      <c r="R803" s="59"/>
      <c r="S803" s="59"/>
      <c r="T803" s="59"/>
      <c r="U803" s="59"/>
      <c r="V803" s="59"/>
      <c r="W803" s="59"/>
      <c r="X803" s="59"/>
      <c r="Y803" s="59"/>
      <c r="Z803" s="59"/>
    </row>
    <row r="804" ht="15.75" customHeight="1">
      <c r="A804" s="59"/>
      <c r="C804" s="59"/>
      <c r="D804" s="59"/>
      <c r="E804" s="59"/>
      <c r="F804" s="60"/>
      <c r="G804" s="59"/>
      <c r="H804" s="61"/>
      <c r="I804" s="59"/>
      <c r="J804" s="59"/>
      <c r="K804" s="59"/>
      <c r="L804" s="59"/>
      <c r="M804" s="59"/>
      <c r="N804" s="59"/>
      <c r="O804" s="59"/>
      <c r="P804" s="59"/>
      <c r="Q804" s="59"/>
      <c r="R804" s="59"/>
      <c r="S804" s="59"/>
      <c r="T804" s="59"/>
      <c r="U804" s="59"/>
      <c r="V804" s="59"/>
      <c r="W804" s="59"/>
      <c r="X804" s="59"/>
      <c r="Y804" s="59"/>
      <c r="Z804" s="59"/>
    </row>
    <row r="805" ht="15.75" customHeight="1">
      <c r="A805" s="59"/>
      <c r="C805" s="59"/>
      <c r="D805" s="59"/>
      <c r="E805" s="59"/>
      <c r="F805" s="60"/>
      <c r="G805" s="59"/>
      <c r="H805" s="61"/>
      <c r="I805" s="59"/>
      <c r="J805" s="59"/>
      <c r="K805" s="59"/>
      <c r="L805" s="59"/>
      <c r="M805" s="59"/>
      <c r="N805" s="59"/>
      <c r="O805" s="59"/>
      <c r="P805" s="59"/>
      <c r="Q805" s="59"/>
      <c r="R805" s="59"/>
      <c r="S805" s="59"/>
      <c r="T805" s="59"/>
      <c r="U805" s="59"/>
      <c r="V805" s="59"/>
      <c r="W805" s="59"/>
      <c r="X805" s="59"/>
      <c r="Y805" s="59"/>
      <c r="Z805" s="59"/>
    </row>
    <row r="806" ht="15.75" customHeight="1">
      <c r="A806" s="59"/>
      <c r="C806" s="59"/>
      <c r="D806" s="59"/>
      <c r="E806" s="59"/>
      <c r="F806" s="60"/>
      <c r="G806" s="59"/>
      <c r="H806" s="61"/>
      <c r="I806" s="59"/>
      <c r="J806" s="59"/>
      <c r="K806" s="59"/>
      <c r="L806" s="59"/>
      <c r="M806" s="59"/>
      <c r="N806" s="59"/>
      <c r="O806" s="59"/>
      <c r="P806" s="59"/>
      <c r="Q806" s="59"/>
      <c r="R806" s="59"/>
      <c r="S806" s="59"/>
      <c r="T806" s="59"/>
      <c r="U806" s="59"/>
      <c r="V806" s="59"/>
      <c r="W806" s="59"/>
      <c r="X806" s="59"/>
      <c r="Y806" s="59"/>
      <c r="Z806" s="59"/>
    </row>
    <row r="807" ht="15.75" customHeight="1">
      <c r="A807" s="59"/>
      <c r="C807" s="59"/>
      <c r="D807" s="59"/>
      <c r="E807" s="59"/>
      <c r="F807" s="60"/>
      <c r="G807" s="59"/>
      <c r="H807" s="61"/>
      <c r="I807" s="59"/>
      <c r="J807" s="59"/>
      <c r="K807" s="59"/>
      <c r="L807" s="59"/>
      <c r="M807" s="59"/>
      <c r="N807" s="59"/>
      <c r="O807" s="59"/>
      <c r="P807" s="59"/>
      <c r="Q807" s="59"/>
      <c r="R807" s="59"/>
      <c r="S807" s="59"/>
      <c r="T807" s="59"/>
      <c r="U807" s="59"/>
      <c r="V807" s="59"/>
      <c r="W807" s="59"/>
      <c r="X807" s="59"/>
      <c r="Y807" s="59"/>
      <c r="Z807" s="59"/>
    </row>
    <row r="808" ht="15.75" customHeight="1">
      <c r="A808" s="59"/>
      <c r="C808" s="59"/>
      <c r="D808" s="59"/>
      <c r="E808" s="59"/>
      <c r="F808" s="60"/>
      <c r="G808" s="59"/>
      <c r="H808" s="61"/>
      <c r="I808" s="59"/>
      <c r="J808" s="59"/>
      <c r="K808" s="59"/>
      <c r="L808" s="59"/>
      <c r="M808" s="59"/>
      <c r="N808" s="59"/>
      <c r="O808" s="59"/>
      <c r="P808" s="59"/>
      <c r="Q808" s="59"/>
      <c r="R808" s="59"/>
      <c r="S808" s="59"/>
      <c r="T808" s="59"/>
      <c r="U808" s="59"/>
      <c r="V808" s="59"/>
      <c r="W808" s="59"/>
      <c r="X808" s="59"/>
      <c r="Y808" s="59"/>
      <c r="Z808" s="59"/>
    </row>
    <row r="809" ht="15.75" customHeight="1">
      <c r="A809" s="59"/>
      <c r="C809" s="59"/>
      <c r="D809" s="59"/>
      <c r="E809" s="59"/>
      <c r="F809" s="60"/>
      <c r="G809" s="59"/>
      <c r="H809" s="61"/>
      <c r="I809" s="59"/>
      <c r="J809" s="59"/>
      <c r="K809" s="59"/>
      <c r="L809" s="59"/>
      <c r="M809" s="59"/>
      <c r="N809" s="59"/>
      <c r="O809" s="59"/>
      <c r="P809" s="59"/>
      <c r="Q809" s="59"/>
      <c r="R809" s="59"/>
      <c r="S809" s="59"/>
      <c r="T809" s="59"/>
      <c r="U809" s="59"/>
      <c r="V809" s="59"/>
      <c r="W809" s="59"/>
      <c r="X809" s="59"/>
      <c r="Y809" s="59"/>
      <c r="Z809" s="59"/>
    </row>
    <row r="810" ht="15.75" customHeight="1">
      <c r="A810" s="59"/>
      <c r="C810" s="59"/>
      <c r="D810" s="59"/>
      <c r="E810" s="59"/>
      <c r="F810" s="60"/>
      <c r="G810" s="59"/>
      <c r="H810" s="61"/>
      <c r="I810" s="59"/>
      <c r="J810" s="59"/>
      <c r="K810" s="59"/>
      <c r="L810" s="59"/>
      <c r="M810" s="59"/>
      <c r="N810" s="59"/>
      <c r="O810" s="59"/>
      <c r="P810" s="59"/>
      <c r="Q810" s="59"/>
      <c r="R810" s="59"/>
      <c r="S810" s="59"/>
      <c r="T810" s="59"/>
      <c r="U810" s="59"/>
      <c r="V810" s="59"/>
      <c r="W810" s="59"/>
      <c r="X810" s="59"/>
      <c r="Y810" s="59"/>
      <c r="Z810" s="59"/>
    </row>
    <row r="811" ht="15.75" customHeight="1">
      <c r="A811" s="59"/>
      <c r="C811" s="59"/>
      <c r="D811" s="59"/>
      <c r="E811" s="59"/>
      <c r="F811" s="60"/>
      <c r="G811" s="59"/>
      <c r="H811" s="61"/>
      <c r="I811" s="59"/>
      <c r="J811" s="59"/>
      <c r="K811" s="59"/>
      <c r="L811" s="59"/>
      <c r="M811" s="59"/>
      <c r="N811" s="59"/>
      <c r="O811" s="59"/>
      <c r="P811" s="59"/>
      <c r="Q811" s="59"/>
      <c r="R811" s="59"/>
      <c r="S811" s="59"/>
      <c r="T811" s="59"/>
      <c r="U811" s="59"/>
      <c r="V811" s="59"/>
      <c r="W811" s="59"/>
      <c r="X811" s="59"/>
      <c r="Y811" s="59"/>
      <c r="Z811" s="59"/>
    </row>
    <row r="812" ht="15.75" customHeight="1">
      <c r="A812" s="59"/>
      <c r="C812" s="59"/>
      <c r="D812" s="59"/>
      <c r="E812" s="59"/>
      <c r="F812" s="60"/>
      <c r="G812" s="59"/>
      <c r="H812" s="61"/>
      <c r="I812" s="59"/>
      <c r="J812" s="59"/>
      <c r="K812" s="59"/>
      <c r="L812" s="59"/>
      <c r="M812" s="59"/>
      <c r="N812" s="59"/>
      <c r="O812" s="59"/>
      <c r="P812" s="59"/>
      <c r="Q812" s="59"/>
      <c r="R812" s="59"/>
      <c r="S812" s="59"/>
      <c r="T812" s="59"/>
      <c r="U812" s="59"/>
      <c r="V812" s="59"/>
      <c r="W812" s="59"/>
      <c r="X812" s="59"/>
      <c r="Y812" s="59"/>
      <c r="Z812" s="59"/>
    </row>
    <row r="813" ht="15.75" customHeight="1">
      <c r="A813" s="59"/>
      <c r="C813" s="59"/>
      <c r="D813" s="59"/>
      <c r="E813" s="59"/>
      <c r="F813" s="60"/>
      <c r="G813" s="59"/>
      <c r="H813" s="61"/>
      <c r="I813" s="59"/>
      <c r="J813" s="59"/>
      <c r="K813" s="59"/>
      <c r="L813" s="59"/>
      <c r="M813" s="59"/>
      <c r="N813" s="59"/>
      <c r="O813" s="59"/>
      <c r="P813" s="59"/>
      <c r="Q813" s="59"/>
      <c r="R813" s="59"/>
      <c r="S813" s="59"/>
      <c r="T813" s="59"/>
      <c r="U813" s="59"/>
      <c r="V813" s="59"/>
      <c r="W813" s="59"/>
      <c r="X813" s="59"/>
      <c r="Y813" s="59"/>
      <c r="Z813" s="59"/>
    </row>
    <row r="814" ht="15.75" customHeight="1">
      <c r="A814" s="59"/>
      <c r="C814" s="59"/>
      <c r="D814" s="59"/>
      <c r="E814" s="59"/>
      <c r="F814" s="60"/>
      <c r="G814" s="59"/>
      <c r="H814" s="61"/>
      <c r="I814" s="59"/>
      <c r="J814" s="59"/>
      <c r="K814" s="59"/>
      <c r="L814" s="59"/>
      <c r="M814" s="59"/>
      <c r="N814" s="59"/>
      <c r="O814" s="59"/>
      <c r="P814" s="59"/>
      <c r="Q814" s="59"/>
      <c r="R814" s="59"/>
      <c r="S814" s="59"/>
      <c r="T814" s="59"/>
      <c r="U814" s="59"/>
      <c r="V814" s="59"/>
      <c r="W814" s="59"/>
      <c r="X814" s="59"/>
      <c r="Y814" s="59"/>
      <c r="Z814" s="59"/>
    </row>
    <row r="815" ht="15.75" customHeight="1">
      <c r="A815" s="59"/>
      <c r="C815" s="59"/>
      <c r="D815" s="59"/>
      <c r="E815" s="59"/>
      <c r="F815" s="60"/>
      <c r="G815" s="59"/>
      <c r="H815" s="61"/>
      <c r="I815" s="59"/>
      <c r="J815" s="59"/>
      <c r="K815" s="59"/>
      <c r="L815" s="59"/>
      <c r="M815" s="59"/>
      <c r="N815" s="59"/>
      <c r="O815" s="59"/>
      <c r="P815" s="59"/>
      <c r="Q815" s="59"/>
      <c r="R815" s="59"/>
      <c r="S815" s="59"/>
      <c r="T815" s="59"/>
      <c r="U815" s="59"/>
      <c r="V815" s="59"/>
      <c r="W815" s="59"/>
      <c r="X815" s="59"/>
      <c r="Y815" s="59"/>
      <c r="Z815" s="59"/>
    </row>
    <row r="816" ht="15.75" customHeight="1">
      <c r="A816" s="59"/>
      <c r="C816" s="59"/>
      <c r="D816" s="59"/>
      <c r="E816" s="59"/>
      <c r="F816" s="60"/>
      <c r="G816" s="59"/>
      <c r="H816" s="61"/>
      <c r="I816" s="59"/>
      <c r="J816" s="59"/>
      <c r="K816" s="59"/>
      <c r="L816" s="59"/>
      <c r="M816" s="59"/>
      <c r="N816" s="59"/>
      <c r="O816" s="59"/>
      <c r="P816" s="59"/>
      <c r="Q816" s="59"/>
      <c r="R816" s="59"/>
      <c r="S816" s="59"/>
      <c r="T816" s="59"/>
      <c r="U816" s="59"/>
      <c r="V816" s="59"/>
      <c r="W816" s="59"/>
      <c r="X816" s="59"/>
      <c r="Y816" s="59"/>
      <c r="Z816" s="59"/>
    </row>
    <row r="817" ht="15.75" customHeight="1">
      <c r="A817" s="59"/>
      <c r="C817" s="59"/>
      <c r="D817" s="59"/>
      <c r="E817" s="59"/>
      <c r="F817" s="60"/>
      <c r="G817" s="59"/>
      <c r="H817" s="61"/>
      <c r="I817" s="59"/>
      <c r="J817" s="59"/>
      <c r="K817" s="59"/>
      <c r="L817" s="59"/>
      <c r="M817" s="59"/>
      <c r="N817" s="59"/>
      <c r="O817" s="59"/>
      <c r="P817" s="59"/>
      <c r="Q817" s="59"/>
      <c r="R817" s="59"/>
      <c r="S817" s="59"/>
      <c r="T817" s="59"/>
      <c r="U817" s="59"/>
      <c r="V817" s="59"/>
      <c r="W817" s="59"/>
      <c r="X817" s="59"/>
      <c r="Y817" s="59"/>
      <c r="Z817" s="59"/>
    </row>
    <row r="818" ht="15.75" customHeight="1">
      <c r="A818" s="59"/>
      <c r="C818" s="59"/>
      <c r="D818" s="59"/>
      <c r="E818" s="59"/>
      <c r="F818" s="60"/>
      <c r="G818" s="59"/>
      <c r="H818" s="61"/>
      <c r="I818" s="59"/>
      <c r="J818" s="59"/>
      <c r="K818" s="59"/>
      <c r="L818" s="59"/>
      <c r="M818" s="59"/>
      <c r="N818" s="59"/>
      <c r="O818" s="59"/>
      <c r="P818" s="59"/>
      <c r="Q818" s="59"/>
      <c r="R818" s="59"/>
      <c r="S818" s="59"/>
      <c r="T818" s="59"/>
      <c r="U818" s="59"/>
      <c r="V818" s="59"/>
      <c r="W818" s="59"/>
      <c r="X818" s="59"/>
      <c r="Y818" s="59"/>
      <c r="Z818" s="59"/>
    </row>
    <row r="819" ht="15.75" customHeight="1">
      <c r="A819" s="59"/>
      <c r="C819" s="59"/>
      <c r="D819" s="59"/>
      <c r="E819" s="59"/>
      <c r="F819" s="60"/>
      <c r="G819" s="59"/>
      <c r="H819" s="61"/>
      <c r="I819" s="59"/>
      <c r="J819" s="59"/>
      <c r="K819" s="59"/>
      <c r="L819" s="59"/>
      <c r="M819" s="59"/>
      <c r="N819" s="59"/>
      <c r="O819" s="59"/>
      <c r="P819" s="59"/>
      <c r="Q819" s="59"/>
      <c r="R819" s="59"/>
      <c r="S819" s="59"/>
      <c r="T819" s="59"/>
      <c r="U819" s="59"/>
      <c r="V819" s="59"/>
      <c r="W819" s="59"/>
      <c r="X819" s="59"/>
      <c r="Y819" s="59"/>
      <c r="Z819" s="59"/>
    </row>
    <row r="820" ht="15.75" customHeight="1">
      <c r="A820" s="59"/>
      <c r="C820" s="59"/>
      <c r="D820" s="59"/>
      <c r="E820" s="59"/>
      <c r="F820" s="60"/>
      <c r="G820" s="59"/>
      <c r="H820" s="61"/>
      <c r="I820" s="59"/>
      <c r="J820" s="59"/>
      <c r="K820" s="59"/>
      <c r="L820" s="59"/>
      <c r="M820" s="59"/>
      <c r="N820" s="59"/>
      <c r="O820" s="59"/>
      <c r="P820" s="59"/>
      <c r="Q820" s="59"/>
      <c r="R820" s="59"/>
      <c r="S820" s="59"/>
      <c r="T820" s="59"/>
      <c r="U820" s="59"/>
      <c r="V820" s="59"/>
      <c r="W820" s="59"/>
      <c r="X820" s="59"/>
      <c r="Y820" s="59"/>
      <c r="Z820" s="59"/>
    </row>
    <row r="821" ht="15.75" customHeight="1">
      <c r="A821" s="59"/>
      <c r="C821" s="59"/>
      <c r="D821" s="59"/>
      <c r="E821" s="59"/>
      <c r="F821" s="60"/>
      <c r="G821" s="59"/>
      <c r="H821" s="61"/>
      <c r="I821" s="59"/>
      <c r="J821" s="59"/>
      <c r="K821" s="59"/>
      <c r="L821" s="59"/>
      <c r="M821" s="59"/>
      <c r="N821" s="59"/>
      <c r="O821" s="59"/>
      <c r="P821" s="59"/>
      <c r="Q821" s="59"/>
      <c r="R821" s="59"/>
      <c r="S821" s="59"/>
      <c r="T821" s="59"/>
      <c r="U821" s="59"/>
      <c r="V821" s="59"/>
      <c r="W821" s="59"/>
      <c r="X821" s="59"/>
      <c r="Y821" s="59"/>
      <c r="Z821" s="59"/>
    </row>
    <row r="822" ht="15.75" customHeight="1">
      <c r="A822" s="59"/>
      <c r="C822" s="59"/>
      <c r="D822" s="59"/>
      <c r="E822" s="59"/>
      <c r="F822" s="60"/>
      <c r="G822" s="59"/>
      <c r="H822" s="61"/>
      <c r="I822" s="59"/>
      <c r="J822" s="59"/>
      <c r="K822" s="59"/>
      <c r="L822" s="59"/>
      <c r="M822" s="59"/>
      <c r="N822" s="59"/>
      <c r="O822" s="59"/>
      <c r="P822" s="59"/>
      <c r="Q822" s="59"/>
      <c r="R822" s="59"/>
      <c r="S822" s="59"/>
      <c r="T822" s="59"/>
      <c r="U822" s="59"/>
      <c r="V822" s="59"/>
      <c r="W822" s="59"/>
      <c r="X822" s="59"/>
      <c r="Y822" s="59"/>
      <c r="Z822" s="59"/>
    </row>
    <row r="823" ht="15.75" customHeight="1">
      <c r="A823" s="59"/>
      <c r="C823" s="59"/>
      <c r="D823" s="59"/>
      <c r="E823" s="59"/>
      <c r="F823" s="60"/>
      <c r="G823" s="59"/>
      <c r="H823" s="61"/>
      <c r="I823" s="59"/>
      <c r="J823" s="59"/>
      <c r="K823" s="59"/>
      <c r="L823" s="59"/>
      <c r="M823" s="59"/>
      <c r="N823" s="59"/>
      <c r="O823" s="59"/>
      <c r="P823" s="59"/>
      <c r="Q823" s="59"/>
      <c r="R823" s="59"/>
      <c r="S823" s="59"/>
      <c r="T823" s="59"/>
      <c r="U823" s="59"/>
      <c r="V823" s="59"/>
      <c r="W823" s="59"/>
      <c r="X823" s="59"/>
      <c r="Y823" s="59"/>
      <c r="Z823" s="59"/>
    </row>
    <row r="824" ht="15.75" customHeight="1">
      <c r="A824" s="59"/>
      <c r="C824" s="59"/>
      <c r="D824" s="59"/>
      <c r="E824" s="59"/>
      <c r="F824" s="60"/>
      <c r="G824" s="59"/>
      <c r="H824" s="61"/>
      <c r="I824" s="59"/>
      <c r="J824" s="59"/>
      <c r="K824" s="59"/>
      <c r="L824" s="59"/>
      <c r="M824" s="59"/>
      <c r="N824" s="59"/>
      <c r="O824" s="59"/>
      <c r="P824" s="59"/>
      <c r="Q824" s="59"/>
      <c r="R824" s="59"/>
      <c r="S824" s="59"/>
      <c r="T824" s="59"/>
      <c r="U824" s="59"/>
      <c r="V824" s="59"/>
      <c r="W824" s="59"/>
      <c r="X824" s="59"/>
      <c r="Y824" s="59"/>
      <c r="Z824" s="59"/>
    </row>
    <row r="825" ht="15.75" customHeight="1">
      <c r="A825" s="59"/>
      <c r="C825" s="59"/>
      <c r="D825" s="59"/>
      <c r="E825" s="59"/>
      <c r="F825" s="60"/>
      <c r="G825" s="59"/>
      <c r="H825" s="61"/>
      <c r="I825" s="59"/>
      <c r="J825" s="59"/>
      <c r="K825" s="59"/>
      <c r="L825" s="59"/>
      <c r="M825" s="59"/>
      <c r="N825" s="59"/>
      <c r="O825" s="59"/>
      <c r="P825" s="59"/>
      <c r="Q825" s="59"/>
      <c r="R825" s="59"/>
      <c r="S825" s="59"/>
      <c r="T825" s="59"/>
      <c r="U825" s="59"/>
      <c r="V825" s="59"/>
      <c r="W825" s="59"/>
      <c r="X825" s="59"/>
      <c r="Y825" s="59"/>
      <c r="Z825" s="59"/>
    </row>
    <row r="826" ht="15.75" customHeight="1">
      <c r="A826" s="59"/>
      <c r="C826" s="59"/>
      <c r="D826" s="59"/>
      <c r="E826" s="59"/>
      <c r="F826" s="60"/>
      <c r="G826" s="59"/>
      <c r="H826" s="61"/>
      <c r="I826" s="59"/>
      <c r="J826" s="59"/>
      <c r="K826" s="59"/>
      <c r="L826" s="59"/>
      <c r="M826" s="59"/>
      <c r="N826" s="59"/>
      <c r="O826" s="59"/>
      <c r="P826" s="59"/>
      <c r="Q826" s="59"/>
      <c r="R826" s="59"/>
      <c r="S826" s="59"/>
      <c r="T826" s="59"/>
      <c r="U826" s="59"/>
      <c r="V826" s="59"/>
      <c r="W826" s="59"/>
      <c r="X826" s="59"/>
      <c r="Y826" s="59"/>
      <c r="Z826" s="59"/>
    </row>
    <row r="827" ht="15.75" customHeight="1">
      <c r="A827" s="59"/>
      <c r="C827" s="59"/>
      <c r="D827" s="59"/>
      <c r="E827" s="59"/>
      <c r="F827" s="60"/>
      <c r="G827" s="59"/>
      <c r="H827" s="61"/>
      <c r="I827" s="59"/>
      <c r="J827" s="59"/>
      <c r="K827" s="59"/>
      <c r="L827" s="59"/>
      <c r="M827" s="59"/>
      <c r="N827" s="59"/>
      <c r="O827" s="59"/>
      <c r="P827" s="59"/>
      <c r="Q827" s="59"/>
      <c r="R827" s="59"/>
      <c r="S827" s="59"/>
      <c r="T827" s="59"/>
      <c r="U827" s="59"/>
      <c r="V827" s="59"/>
      <c r="W827" s="59"/>
      <c r="X827" s="59"/>
      <c r="Y827" s="59"/>
      <c r="Z827" s="59"/>
    </row>
    <row r="828" ht="15.75" customHeight="1">
      <c r="A828" s="59"/>
      <c r="C828" s="59"/>
      <c r="D828" s="59"/>
      <c r="E828" s="59"/>
      <c r="F828" s="60"/>
      <c r="G828" s="59"/>
      <c r="H828" s="61"/>
      <c r="I828" s="59"/>
      <c r="J828" s="59"/>
      <c r="K828" s="59"/>
      <c r="L828" s="59"/>
      <c r="M828" s="59"/>
      <c r="N828" s="59"/>
      <c r="O828" s="59"/>
      <c r="P828" s="59"/>
      <c r="Q828" s="59"/>
      <c r="R828" s="59"/>
      <c r="S828" s="59"/>
      <c r="T828" s="59"/>
      <c r="U828" s="59"/>
      <c r="V828" s="59"/>
      <c r="W828" s="59"/>
      <c r="X828" s="59"/>
      <c r="Y828" s="59"/>
      <c r="Z828" s="59"/>
    </row>
    <row r="829" ht="15.75" customHeight="1">
      <c r="A829" s="59"/>
      <c r="C829" s="59"/>
      <c r="D829" s="59"/>
      <c r="E829" s="59"/>
      <c r="F829" s="60"/>
      <c r="G829" s="59"/>
      <c r="H829" s="61"/>
      <c r="I829" s="59"/>
      <c r="J829" s="59"/>
      <c r="K829" s="59"/>
      <c r="L829" s="59"/>
      <c r="M829" s="59"/>
      <c r="N829" s="59"/>
      <c r="O829" s="59"/>
      <c r="P829" s="59"/>
      <c r="Q829" s="59"/>
      <c r="R829" s="59"/>
      <c r="S829" s="59"/>
      <c r="T829" s="59"/>
      <c r="U829" s="59"/>
      <c r="V829" s="59"/>
      <c r="W829" s="59"/>
      <c r="X829" s="59"/>
      <c r="Y829" s="59"/>
      <c r="Z829" s="59"/>
    </row>
    <row r="830" ht="15.75" customHeight="1">
      <c r="A830" s="59"/>
      <c r="C830" s="59"/>
      <c r="D830" s="59"/>
      <c r="E830" s="59"/>
      <c r="F830" s="60"/>
      <c r="G830" s="59"/>
      <c r="H830" s="61"/>
      <c r="I830" s="59"/>
      <c r="J830" s="59"/>
      <c r="K830" s="59"/>
      <c r="L830" s="59"/>
      <c r="M830" s="59"/>
      <c r="N830" s="59"/>
      <c r="O830" s="59"/>
      <c r="P830" s="59"/>
      <c r="Q830" s="59"/>
      <c r="R830" s="59"/>
      <c r="S830" s="59"/>
      <c r="T830" s="59"/>
      <c r="U830" s="59"/>
      <c r="V830" s="59"/>
      <c r="W830" s="59"/>
      <c r="X830" s="59"/>
      <c r="Y830" s="59"/>
      <c r="Z830" s="59"/>
    </row>
    <row r="831" ht="15.75" customHeight="1">
      <c r="A831" s="59"/>
      <c r="C831" s="59"/>
      <c r="D831" s="59"/>
      <c r="E831" s="59"/>
      <c r="F831" s="60"/>
      <c r="G831" s="59"/>
      <c r="H831" s="61"/>
      <c r="I831" s="59"/>
      <c r="J831" s="59"/>
      <c r="K831" s="59"/>
      <c r="L831" s="59"/>
      <c r="M831" s="59"/>
      <c r="N831" s="59"/>
      <c r="O831" s="59"/>
      <c r="P831" s="59"/>
      <c r="Q831" s="59"/>
      <c r="R831" s="59"/>
      <c r="S831" s="59"/>
      <c r="T831" s="59"/>
      <c r="U831" s="59"/>
      <c r="V831" s="59"/>
      <c r="W831" s="59"/>
      <c r="X831" s="59"/>
      <c r="Y831" s="59"/>
      <c r="Z831" s="59"/>
    </row>
    <row r="832" ht="15.75" customHeight="1">
      <c r="A832" s="59"/>
      <c r="C832" s="59"/>
      <c r="D832" s="59"/>
      <c r="E832" s="59"/>
      <c r="F832" s="60"/>
      <c r="G832" s="59"/>
      <c r="H832" s="61"/>
      <c r="I832" s="59"/>
      <c r="J832" s="59"/>
      <c r="K832" s="59"/>
      <c r="L832" s="59"/>
      <c r="M832" s="59"/>
      <c r="N832" s="59"/>
      <c r="O832" s="59"/>
      <c r="P832" s="59"/>
      <c r="Q832" s="59"/>
      <c r="R832" s="59"/>
      <c r="S832" s="59"/>
      <c r="T832" s="59"/>
      <c r="U832" s="59"/>
      <c r="V832" s="59"/>
      <c r="W832" s="59"/>
      <c r="X832" s="59"/>
      <c r="Y832" s="59"/>
      <c r="Z832" s="59"/>
    </row>
    <row r="833" ht="15.75" customHeight="1">
      <c r="A833" s="59"/>
      <c r="C833" s="59"/>
      <c r="D833" s="59"/>
      <c r="E833" s="59"/>
      <c r="F833" s="60"/>
      <c r="G833" s="59"/>
      <c r="H833" s="61"/>
      <c r="I833" s="59"/>
      <c r="J833" s="59"/>
      <c r="K833" s="59"/>
      <c r="L833" s="59"/>
      <c r="M833" s="59"/>
      <c r="N833" s="59"/>
      <c r="O833" s="59"/>
      <c r="P833" s="59"/>
      <c r="Q833" s="59"/>
      <c r="R833" s="59"/>
      <c r="S833" s="59"/>
      <c r="T833" s="59"/>
      <c r="U833" s="59"/>
      <c r="V833" s="59"/>
      <c r="W833" s="59"/>
      <c r="X833" s="59"/>
      <c r="Y833" s="59"/>
      <c r="Z833" s="59"/>
    </row>
    <row r="834" ht="15.75" customHeight="1">
      <c r="A834" s="59"/>
      <c r="C834" s="59"/>
      <c r="D834" s="59"/>
      <c r="E834" s="59"/>
      <c r="F834" s="60"/>
      <c r="G834" s="59"/>
      <c r="H834" s="61"/>
      <c r="I834" s="59"/>
      <c r="J834" s="59"/>
      <c r="K834" s="59"/>
      <c r="L834" s="59"/>
      <c r="M834" s="59"/>
      <c r="N834" s="59"/>
      <c r="O834" s="59"/>
      <c r="P834" s="59"/>
      <c r="Q834" s="59"/>
      <c r="R834" s="59"/>
      <c r="S834" s="59"/>
      <c r="T834" s="59"/>
      <c r="U834" s="59"/>
      <c r="V834" s="59"/>
      <c r="W834" s="59"/>
      <c r="X834" s="59"/>
      <c r="Y834" s="59"/>
      <c r="Z834" s="59"/>
    </row>
    <row r="835" ht="15.75" customHeight="1">
      <c r="A835" s="59"/>
      <c r="C835" s="59"/>
      <c r="D835" s="59"/>
      <c r="E835" s="59"/>
      <c r="F835" s="60"/>
      <c r="G835" s="59"/>
      <c r="H835" s="61"/>
      <c r="I835" s="59"/>
      <c r="J835" s="59"/>
      <c r="K835" s="59"/>
      <c r="L835" s="59"/>
      <c r="M835" s="59"/>
      <c r="N835" s="59"/>
      <c r="O835" s="59"/>
      <c r="P835" s="59"/>
      <c r="Q835" s="59"/>
      <c r="R835" s="59"/>
      <c r="S835" s="59"/>
      <c r="T835" s="59"/>
      <c r="U835" s="59"/>
      <c r="V835" s="59"/>
      <c r="W835" s="59"/>
      <c r="X835" s="59"/>
      <c r="Y835" s="59"/>
      <c r="Z835" s="59"/>
    </row>
    <row r="836" ht="15.75" customHeight="1">
      <c r="A836" s="59"/>
      <c r="C836" s="59"/>
      <c r="D836" s="59"/>
      <c r="E836" s="59"/>
      <c r="F836" s="60"/>
      <c r="G836" s="59"/>
      <c r="H836" s="61"/>
      <c r="I836" s="59"/>
      <c r="J836" s="59"/>
      <c r="K836" s="59"/>
      <c r="L836" s="59"/>
      <c r="M836" s="59"/>
      <c r="N836" s="59"/>
      <c r="O836" s="59"/>
      <c r="P836" s="59"/>
      <c r="Q836" s="59"/>
      <c r="R836" s="59"/>
      <c r="S836" s="59"/>
      <c r="T836" s="59"/>
      <c r="U836" s="59"/>
      <c r="V836" s="59"/>
      <c r="W836" s="59"/>
      <c r="X836" s="59"/>
      <c r="Y836" s="59"/>
      <c r="Z836" s="59"/>
    </row>
    <row r="837" ht="15.75" customHeight="1">
      <c r="A837" s="59"/>
      <c r="C837" s="59"/>
      <c r="D837" s="59"/>
      <c r="E837" s="59"/>
      <c r="F837" s="60"/>
      <c r="G837" s="59"/>
      <c r="H837" s="61"/>
      <c r="I837" s="59"/>
      <c r="J837" s="59"/>
      <c r="K837" s="59"/>
      <c r="L837" s="59"/>
      <c r="M837" s="59"/>
      <c r="N837" s="59"/>
      <c r="O837" s="59"/>
      <c r="P837" s="59"/>
      <c r="Q837" s="59"/>
      <c r="R837" s="59"/>
      <c r="S837" s="59"/>
      <c r="T837" s="59"/>
      <c r="U837" s="59"/>
      <c r="V837" s="59"/>
      <c r="W837" s="59"/>
      <c r="X837" s="59"/>
      <c r="Y837" s="59"/>
      <c r="Z837" s="59"/>
    </row>
    <row r="838" ht="15.75" customHeight="1">
      <c r="A838" s="59"/>
      <c r="C838" s="59"/>
      <c r="D838" s="59"/>
      <c r="E838" s="59"/>
      <c r="F838" s="60"/>
      <c r="G838" s="59"/>
      <c r="H838" s="61"/>
      <c r="I838" s="59"/>
      <c r="J838" s="59"/>
      <c r="K838" s="59"/>
      <c r="L838" s="59"/>
      <c r="M838" s="59"/>
      <c r="N838" s="59"/>
      <c r="O838" s="59"/>
      <c r="P838" s="59"/>
      <c r="Q838" s="59"/>
      <c r="R838" s="59"/>
      <c r="S838" s="59"/>
      <c r="T838" s="59"/>
      <c r="U838" s="59"/>
      <c r="V838" s="59"/>
      <c r="W838" s="59"/>
      <c r="X838" s="59"/>
      <c r="Y838" s="59"/>
      <c r="Z838" s="59"/>
    </row>
    <row r="839" ht="15.75" customHeight="1">
      <c r="A839" s="59"/>
      <c r="C839" s="59"/>
      <c r="D839" s="59"/>
      <c r="E839" s="59"/>
      <c r="F839" s="60"/>
      <c r="G839" s="59"/>
      <c r="H839" s="61"/>
      <c r="I839" s="59"/>
      <c r="J839" s="59"/>
      <c r="K839" s="59"/>
      <c r="L839" s="59"/>
      <c r="M839" s="59"/>
      <c r="N839" s="59"/>
      <c r="O839" s="59"/>
      <c r="P839" s="59"/>
      <c r="Q839" s="59"/>
      <c r="R839" s="59"/>
      <c r="S839" s="59"/>
      <c r="T839" s="59"/>
      <c r="U839" s="59"/>
      <c r="V839" s="59"/>
      <c r="W839" s="59"/>
      <c r="X839" s="59"/>
      <c r="Y839" s="59"/>
      <c r="Z839" s="59"/>
    </row>
    <row r="840" ht="15.75" customHeight="1">
      <c r="A840" s="59"/>
      <c r="C840" s="59"/>
      <c r="D840" s="59"/>
      <c r="E840" s="59"/>
      <c r="F840" s="60"/>
      <c r="G840" s="59"/>
      <c r="H840" s="61"/>
      <c r="I840" s="59"/>
      <c r="J840" s="59"/>
      <c r="K840" s="59"/>
      <c r="L840" s="59"/>
      <c r="M840" s="59"/>
      <c r="N840" s="59"/>
      <c r="O840" s="59"/>
      <c r="P840" s="59"/>
      <c r="Q840" s="59"/>
      <c r="R840" s="59"/>
      <c r="S840" s="59"/>
      <c r="T840" s="59"/>
      <c r="U840" s="59"/>
      <c r="V840" s="59"/>
      <c r="W840" s="59"/>
      <c r="X840" s="59"/>
      <c r="Y840" s="59"/>
      <c r="Z840" s="59"/>
    </row>
    <row r="841" ht="15.75" customHeight="1">
      <c r="A841" s="59"/>
      <c r="C841" s="59"/>
      <c r="D841" s="59"/>
      <c r="E841" s="59"/>
      <c r="F841" s="60"/>
      <c r="G841" s="59"/>
      <c r="H841" s="61"/>
      <c r="I841" s="59"/>
      <c r="J841" s="59"/>
      <c r="K841" s="59"/>
      <c r="L841" s="59"/>
      <c r="M841" s="59"/>
      <c r="N841" s="59"/>
      <c r="O841" s="59"/>
      <c r="P841" s="59"/>
      <c r="Q841" s="59"/>
      <c r="R841" s="59"/>
      <c r="S841" s="59"/>
      <c r="T841" s="59"/>
      <c r="U841" s="59"/>
      <c r="V841" s="59"/>
      <c r="W841" s="59"/>
      <c r="X841" s="59"/>
      <c r="Y841" s="59"/>
      <c r="Z841" s="59"/>
    </row>
    <row r="842" ht="15.75" customHeight="1">
      <c r="A842" s="59"/>
      <c r="C842" s="59"/>
      <c r="D842" s="59"/>
      <c r="E842" s="59"/>
      <c r="F842" s="60"/>
      <c r="G842" s="59"/>
      <c r="H842" s="61"/>
      <c r="I842" s="59"/>
      <c r="J842" s="59"/>
      <c r="K842" s="59"/>
      <c r="L842" s="59"/>
      <c r="M842" s="59"/>
      <c r="N842" s="59"/>
      <c r="O842" s="59"/>
      <c r="P842" s="59"/>
      <c r="Q842" s="59"/>
      <c r="R842" s="59"/>
      <c r="S842" s="59"/>
      <c r="T842" s="59"/>
      <c r="U842" s="59"/>
      <c r="V842" s="59"/>
      <c r="W842" s="59"/>
      <c r="X842" s="59"/>
      <c r="Y842" s="59"/>
      <c r="Z842" s="59"/>
    </row>
    <row r="843" ht="15.75" customHeight="1">
      <c r="A843" s="59"/>
      <c r="C843" s="59"/>
      <c r="D843" s="59"/>
      <c r="E843" s="59"/>
      <c r="F843" s="60"/>
      <c r="G843" s="59"/>
      <c r="H843" s="61"/>
      <c r="I843" s="59"/>
      <c r="J843" s="59"/>
      <c r="K843" s="59"/>
      <c r="L843" s="59"/>
      <c r="M843" s="59"/>
      <c r="N843" s="59"/>
      <c r="O843" s="59"/>
      <c r="P843" s="59"/>
      <c r="Q843" s="59"/>
      <c r="R843" s="59"/>
      <c r="S843" s="59"/>
      <c r="T843" s="59"/>
      <c r="U843" s="59"/>
      <c r="V843" s="59"/>
      <c r="W843" s="59"/>
      <c r="X843" s="59"/>
      <c r="Y843" s="59"/>
      <c r="Z843" s="59"/>
    </row>
    <row r="844" ht="15.75" customHeight="1">
      <c r="A844" s="59"/>
      <c r="C844" s="59"/>
      <c r="D844" s="59"/>
      <c r="E844" s="59"/>
      <c r="F844" s="60"/>
      <c r="G844" s="59"/>
      <c r="H844" s="61"/>
      <c r="I844" s="59"/>
      <c r="J844" s="59"/>
      <c r="K844" s="59"/>
      <c r="L844" s="59"/>
      <c r="M844" s="59"/>
      <c r="N844" s="59"/>
      <c r="O844" s="59"/>
      <c r="P844" s="59"/>
      <c r="Q844" s="59"/>
      <c r="R844" s="59"/>
      <c r="S844" s="59"/>
      <c r="T844" s="59"/>
      <c r="U844" s="59"/>
      <c r="V844" s="59"/>
      <c r="W844" s="59"/>
      <c r="X844" s="59"/>
      <c r="Y844" s="59"/>
      <c r="Z844" s="59"/>
    </row>
    <row r="845" ht="15.75" customHeight="1">
      <c r="A845" s="59"/>
      <c r="C845" s="59"/>
      <c r="D845" s="59"/>
      <c r="E845" s="59"/>
      <c r="F845" s="60"/>
      <c r="G845" s="59"/>
      <c r="H845" s="61"/>
      <c r="I845" s="59"/>
      <c r="J845" s="59"/>
      <c r="K845" s="59"/>
      <c r="L845" s="59"/>
      <c r="M845" s="59"/>
      <c r="N845" s="59"/>
      <c r="O845" s="59"/>
      <c r="P845" s="59"/>
      <c r="Q845" s="59"/>
      <c r="R845" s="59"/>
      <c r="S845" s="59"/>
      <c r="T845" s="59"/>
      <c r="U845" s="59"/>
      <c r="V845" s="59"/>
      <c r="W845" s="59"/>
      <c r="X845" s="59"/>
      <c r="Y845" s="59"/>
      <c r="Z845" s="59"/>
    </row>
    <row r="846" ht="15.75" customHeight="1">
      <c r="A846" s="59"/>
      <c r="C846" s="59"/>
      <c r="D846" s="59"/>
      <c r="E846" s="59"/>
      <c r="F846" s="60"/>
      <c r="G846" s="59"/>
      <c r="H846" s="61"/>
      <c r="I846" s="59"/>
      <c r="J846" s="59"/>
      <c r="K846" s="59"/>
      <c r="L846" s="59"/>
      <c r="M846" s="59"/>
      <c r="N846" s="59"/>
      <c r="O846" s="59"/>
      <c r="P846" s="59"/>
      <c r="Q846" s="59"/>
      <c r="R846" s="59"/>
      <c r="S846" s="59"/>
      <c r="T846" s="59"/>
      <c r="U846" s="59"/>
      <c r="V846" s="59"/>
      <c r="W846" s="59"/>
      <c r="X846" s="59"/>
      <c r="Y846" s="59"/>
      <c r="Z846" s="59"/>
    </row>
    <row r="847" ht="15.75" customHeight="1">
      <c r="A847" s="59"/>
      <c r="C847" s="59"/>
      <c r="D847" s="59"/>
      <c r="E847" s="59"/>
      <c r="F847" s="60"/>
      <c r="G847" s="59"/>
      <c r="H847" s="61"/>
      <c r="I847" s="59"/>
      <c r="J847" s="59"/>
      <c r="K847" s="59"/>
      <c r="L847" s="59"/>
      <c r="M847" s="59"/>
      <c r="N847" s="59"/>
      <c r="O847" s="59"/>
      <c r="P847" s="59"/>
      <c r="Q847" s="59"/>
      <c r="R847" s="59"/>
      <c r="S847" s="59"/>
      <c r="T847" s="59"/>
      <c r="U847" s="59"/>
      <c r="V847" s="59"/>
      <c r="W847" s="59"/>
      <c r="X847" s="59"/>
      <c r="Y847" s="59"/>
      <c r="Z847" s="59"/>
    </row>
    <row r="848" ht="15.75" customHeight="1">
      <c r="A848" s="59"/>
      <c r="C848" s="59"/>
      <c r="D848" s="59"/>
      <c r="E848" s="59"/>
      <c r="F848" s="60"/>
      <c r="G848" s="59"/>
      <c r="H848" s="61"/>
      <c r="I848" s="59"/>
      <c r="J848" s="59"/>
      <c r="K848" s="59"/>
      <c r="L848" s="59"/>
      <c r="M848" s="59"/>
      <c r="N848" s="59"/>
      <c r="O848" s="59"/>
      <c r="P848" s="59"/>
      <c r="Q848" s="59"/>
      <c r="R848" s="59"/>
      <c r="S848" s="59"/>
      <c r="T848" s="59"/>
      <c r="U848" s="59"/>
      <c r="V848" s="59"/>
      <c r="W848" s="59"/>
      <c r="X848" s="59"/>
      <c r="Y848" s="59"/>
      <c r="Z848" s="59"/>
    </row>
    <row r="849" ht="15.75" customHeight="1">
      <c r="A849" s="59"/>
      <c r="C849" s="59"/>
      <c r="D849" s="59"/>
      <c r="E849" s="59"/>
      <c r="F849" s="60"/>
      <c r="G849" s="59"/>
      <c r="H849" s="61"/>
      <c r="I849" s="59"/>
      <c r="J849" s="59"/>
      <c r="K849" s="59"/>
      <c r="L849" s="59"/>
      <c r="M849" s="59"/>
      <c r="N849" s="59"/>
      <c r="O849" s="59"/>
      <c r="P849" s="59"/>
      <c r="Q849" s="59"/>
      <c r="R849" s="59"/>
      <c r="S849" s="59"/>
      <c r="T849" s="59"/>
      <c r="U849" s="59"/>
      <c r="V849" s="59"/>
      <c r="W849" s="59"/>
      <c r="X849" s="59"/>
      <c r="Y849" s="59"/>
      <c r="Z849" s="59"/>
    </row>
    <row r="850" ht="15.75" customHeight="1">
      <c r="A850" s="59"/>
      <c r="C850" s="59"/>
      <c r="D850" s="59"/>
      <c r="E850" s="59"/>
      <c r="F850" s="60"/>
      <c r="G850" s="59"/>
      <c r="H850" s="61"/>
      <c r="I850" s="59"/>
      <c r="J850" s="59"/>
      <c r="K850" s="59"/>
      <c r="L850" s="59"/>
      <c r="M850" s="59"/>
      <c r="N850" s="59"/>
      <c r="O850" s="59"/>
      <c r="P850" s="59"/>
      <c r="Q850" s="59"/>
      <c r="R850" s="59"/>
      <c r="S850" s="59"/>
      <c r="T850" s="59"/>
      <c r="U850" s="59"/>
      <c r="V850" s="59"/>
      <c r="W850" s="59"/>
      <c r="X850" s="59"/>
      <c r="Y850" s="59"/>
      <c r="Z850" s="59"/>
    </row>
    <row r="851" ht="15.75" customHeight="1">
      <c r="A851" s="59"/>
      <c r="C851" s="59"/>
      <c r="D851" s="59"/>
      <c r="E851" s="59"/>
      <c r="F851" s="60"/>
      <c r="G851" s="59"/>
      <c r="H851" s="61"/>
      <c r="I851" s="59"/>
      <c r="J851" s="59"/>
      <c r="K851" s="59"/>
      <c r="L851" s="59"/>
      <c r="M851" s="59"/>
      <c r="N851" s="59"/>
      <c r="O851" s="59"/>
      <c r="P851" s="59"/>
      <c r="Q851" s="59"/>
      <c r="R851" s="59"/>
      <c r="S851" s="59"/>
      <c r="T851" s="59"/>
      <c r="U851" s="59"/>
      <c r="V851" s="59"/>
      <c r="W851" s="59"/>
      <c r="X851" s="59"/>
      <c r="Y851" s="59"/>
      <c r="Z851" s="59"/>
    </row>
    <row r="852" ht="15.75" customHeight="1">
      <c r="A852" s="59"/>
      <c r="C852" s="59"/>
      <c r="D852" s="59"/>
      <c r="E852" s="59"/>
      <c r="F852" s="60"/>
      <c r="G852" s="59"/>
      <c r="H852" s="61"/>
      <c r="I852" s="59"/>
      <c r="J852" s="59"/>
      <c r="K852" s="59"/>
      <c r="L852" s="59"/>
      <c r="M852" s="59"/>
      <c r="N852" s="59"/>
      <c r="O852" s="59"/>
      <c r="P852" s="59"/>
      <c r="Q852" s="59"/>
      <c r="R852" s="59"/>
      <c r="S852" s="59"/>
      <c r="T852" s="59"/>
      <c r="U852" s="59"/>
      <c r="V852" s="59"/>
      <c r="W852" s="59"/>
      <c r="X852" s="59"/>
      <c r="Y852" s="59"/>
      <c r="Z852" s="59"/>
    </row>
    <row r="853" ht="15.75" customHeight="1">
      <c r="A853" s="59"/>
      <c r="C853" s="59"/>
      <c r="D853" s="59"/>
      <c r="E853" s="59"/>
      <c r="F853" s="60"/>
      <c r="G853" s="59"/>
      <c r="H853" s="61"/>
      <c r="I853" s="59"/>
      <c r="J853" s="59"/>
      <c r="K853" s="59"/>
      <c r="L853" s="59"/>
      <c r="M853" s="59"/>
      <c r="N853" s="59"/>
      <c r="O853" s="59"/>
      <c r="P853" s="59"/>
      <c r="Q853" s="59"/>
      <c r="R853" s="59"/>
      <c r="S853" s="59"/>
      <c r="T853" s="59"/>
      <c r="U853" s="59"/>
      <c r="V853" s="59"/>
      <c r="W853" s="59"/>
      <c r="X853" s="59"/>
      <c r="Y853" s="59"/>
      <c r="Z853" s="59"/>
    </row>
    <row r="854" ht="15.75" customHeight="1">
      <c r="A854" s="59"/>
      <c r="C854" s="59"/>
      <c r="D854" s="59"/>
      <c r="E854" s="59"/>
      <c r="F854" s="60"/>
      <c r="G854" s="59"/>
      <c r="H854" s="61"/>
      <c r="I854" s="59"/>
      <c r="J854" s="59"/>
      <c r="K854" s="59"/>
      <c r="L854" s="59"/>
      <c r="M854" s="59"/>
      <c r="N854" s="59"/>
      <c r="O854" s="59"/>
      <c r="P854" s="59"/>
      <c r="Q854" s="59"/>
      <c r="R854" s="59"/>
      <c r="S854" s="59"/>
      <c r="T854" s="59"/>
      <c r="U854" s="59"/>
      <c r="V854" s="59"/>
      <c r="W854" s="59"/>
      <c r="X854" s="59"/>
      <c r="Y854" s="59"/>
      <c r="Z854" s="59"/>
    </row>
    <row r="855" ht="15.75" customHeight="1">
      <c r="A855" s="59"/>
      <c r="C855" s="59"/>
      <c r="D855" s="59"/>
      <c r="E855" s="59"/>
      <c r="F855" s="60"/>
      <c r="G855" s="59"/>
      <c r="H855" s="61"/>
      <c r="I855" s="59"/>
      <c r="J855" s="59"/>
      <c r="K855" s="59"/>
      <c r="L855" s="59"/>
      <c r="M855" s="59"/>
      <c r="N855" s="59"/>
      <c r="O855" s="59"/>
      <c r="P855" s="59"/>
      <c r="Q855" s="59"/>
      <c r="R855" s="59"/>
      <c r="S855" s="59"/>
      <c r="T855" s="59"/>
      <c r="U855" s="59"/>
      <c r="V855" s="59"/>
      <c r="W855" s="59"/>
      <c r="X855" s="59"/>
      <c r="Y855" s="59"/>
      <c r="Z855" s="59"/>
    </row>
    <row r="856" ht="15.75" customHeight="1">
      <c r="A856" s="59"/>
      <c r="C856" s="59"/>
      <c r="D856" s="59"/>
      <c r="E856" s="59"/>
      <c r="F856" s="60"/>
      <c r="G856" s="59"/>
      <c r="H856" s="61"/>
      <c r="I856" s="59"/>
      <c r="J856" s="59"/>
      <c r="K856" s="59"/>
      <c r="L856" s="59"/>
      <c r="M856" s="59"/>
      <c r="N856" s="59"/>
      <c r="O856" s="59"/>
      <c r="P856" s="59"/>
      <c r="Q856" s="59"/>
      <c r="R856" s="59"/>
      <c r="S856" s="59"/>
      <c r="T856" s="59"/>
      <c r="U856" s="59"/>
      <c r="V856" s="59"/>
      <c r="W856" s="59"/>
      <c r="X856" s="59"/>
      <c r="Y856" s="59"/>
      <c r="Z856" s="59"/>
    </row>
    <row r="857" ht="15.75" customHeight="1">
      <c r="A857" s="59"/>
      <c r="C857" s="59"/>
      <c r="D857" s="59"/>
      <c r="E857" s="59"/>
      <c r="F857" s="60"/>
      <c r="G857" s="59"/>
      <c r="H857" s="61"/>
      <c r="I857" s="59"/>
      <c r="J857" s="59"/>
      <c r="K857" s="59"/>
      <c r="L857" s="59"/>
      <c r="M857" s="59"/>
      <c r="N857" s="59"/>
      <c r="O857" s="59"/>
      <c r="P857" s="59"/>
      <c r="Q857" s="59"/>
      <c r="R857" s="59"/>
      <c r="S857" s="59"/>
      <c r="T857" s="59"/>
      <c r="U857" s="59"/>
      <c r="V857" s="59"/>
      <c r="W857" s="59"/>
      <c r="X857" s="59"/>
      <c r="Y857" s="59"/>
      <c r="Z857" s="59"/>
    </row>
    <row r="858" ht="15.75" customHeight="1">
      <c r="A858" s="59"/>
      <c r="C858" s="59"/>
      <c r="D858" s="59"/>
      <c r="E858" s="59"/>
      <c r="F858" s="60"/>
      <c r="G858" s="59"/>
      <c r="H858" s="61"/>
      <c r="I858" s="59"/>
      <c r="J858" s="59"/>
      <c r="K858" s="59"/>
      <c r="L858" s="59"/>
      <c r="M858" s="59"/>
      <c r="N858" s="59"/>
      <c r="O858" s="59"/>
      <c r="P858" s="59"/>
      <c r="Q858" s="59"/>
      <c r="R858" s="59"/>
      <c r="S858" s="59"/>
      <c r="T858" s="59"/>
      <c r="U858" s="59"/>
      <c r="V858" s="59"/>
      <c r="W858" s="59"/>
      <c r="X858" s="59"/>
      <c r="Y858" s="59"/>
      <c r="Z858" s="59"/>
    </row>
    <row r="859" ht="15.75" customHeight="1">
      <c r="A859" s="59"/>
      <c r="C859" s="59"/>
      <c r="D859" s="59"/>
      <c r="E859" s="59"/>
      <c r="F859" s="60"/>
      <c r="G859" s="59"/>
      <c r="H859" s="61"/>
      <c r="I859" s="59"/>
      <c r="J859" s="59"/>
      <c r="K859" s="59"/>
      <c r="L859" s="59"/>
      <c r="M859" s="59"/>
      <c r="N859" s="59"/>
      <c r="O859" s="59"/>
      <c r="P859" s="59"/>
      <c r="Q859" s="59"/>
      <c r="R859" s="59"/>
      <c r="S859" s="59"/>
      <c r="T859" s="59"/>
      <c r="U859" s="59"/>
      <c r="V859" s="59"/>
      <c r="W859" s="59"/>
      <c r="X859" s="59"/>
      <c r="Y859" s="59"/>
      <c r="Z859" s="59"/>
    </row>
    <row r="860" ht="15.75" customHeight="1">
      <c r="A860" s="59"/>
      <c r="C860" s="59"/>
      <c r="D860" s="59"/>
      <c r="E860" s="59"/>
      <c r="F860" s="60"/>
      <c r="G860" s="59"/>
      <c r="H860" s="61"/>
      <c r="I860" s="59"/>
      <c r="J860" s="59"/>
      <c r="K860" s="59"/>
      <c r="L860" s="59"/>
      <c r="M860" s="59"/>
      <c r="N860" s="59"/>
      <c r="O860" s="59"/>
      <c r="P860" s="59"/>
      <c r="Q860" s="59"/>
      <c r="R860" s="59"/>
      <c r="S860" s="59"/>
      <c r="T860" s="59"/>
      <c r="U860" s="59"/>
      <c r="V860" s="59"/>
      <c r="W860" s="59"/>
      <c r="X860" s="59"/>
      <c r="Y860" s="59"/>
      <c r="Z860" s="59"/>
    </row>
    <row r="861" ht="15.75" customHeight="1">
      <c r="A861" s="59"/>
      <c r="C861" s="59"/>
      <c r="D861" s="59"/>
      <c r="E861" s="59"/>
      <c r="F861" s="60"/>
      <c r="G861" s="59"/>
      <c r="H861" s="61"/>
      <c r="I861" s="59"/>
      <c r="J861" s="59"/>
      <c r="K861" s="59"/>
      <c r="L861" s="59"/>
      <c r="M861" s="59"/>
      <c r="N861" s="59"/>
      <c r="O861" s="59"/>
      <c r="P861" s="59"/>
      <c r="Q861" s="59"/>
      <c r="R861" s="59"/>
      <c r="S861" s="59"/>
      <c r="T861" s="59"/>
      <c r="U861" s="59"/>
      <c r="V861" s="59"/>
      <c r="W861" s="59"/>
      <c r="X861" s="59"/>
      <c r="Y861" s="59"/>
      <c r="Z861" s="59"/>
    </row>
    <row r="862" ht="15.75" customHeight="1">
      <c r="A862" s="59"/>
      <c r="C862" s="59"/>
      <c r="D862" s="59"/>
      <c r="E862" s="59"/>
      <c r="F862" s="60"/>
      <c r="G862" s="59"/>
      <c r="H862" s="61"/>
      <c r="I862" s="59"/>
      <c r="J862" s="59"/>
      <c r="K862" s="59"/>
      <c r="L862" s="59"/>
      <c r="M862" s="59"/>
      <c r="N862" s="59"/>
      <c r="O862" s="59"/>
      <c r="P862" s="59"/>
      <c r="Q862" s="59"/>
      <c r="R862" s="59"/>
      <c r="S862" s="59"/>
      <c r="T862" s="59"/>
      <c r="U862" s="59"/>
      <c r="V862" s="59"/>
      <c r="W862" s="59"/>
      <c r="X862" s="59"/>
      <c r="Y862" s="59"/>
      <c r="Z862" s="59"/>
    </row>
    <row r="863" ht="15.75" customHeight="1">
      <c r="A863" s="59"/>
      <c r="C863" s="59"/>
      <c r="D863" s="59"/>
      <c r="E863" s="59"/>
      <c r="F863" s="60"/>
      <c r="G863" s="59"/>
      <c r="H863" s="61"/>
      <c r="I863" s="59"/>
      <c r="J863" s="59"/>
      <c r="K863" s="59"/>
      <c r="L863" s="59"/>
      <c r="M863" s="59"/>
      <c r="N863" s="59"/>
      <c r="O863" s="59"/>
      <c r="P863" s="59"/>
      <c r="Q863" s="59"/>
      <c r="R863" s="59"/>
      <c r="S863" s="59"/>
      <c r="T863" s="59"/>
      <c r="U863" s="59"/>
      <c r="V863" s="59"/>
      <c r="W863" s="59"/>
      <c r="X863" s="59"/>
      <c r="Y863" s="59"/>
      <c r="Z863" s="59"/>
    </row>
    <row r="864" ht="15.75" customHeight="1">
      <c r="A864" s="59"/>
      <c r="C864" s="59"/>
      <c r="D864" s="59"/>
      <c r="E864" s="59"/>
      <c r="F864" s="60"/>
      <c r="G864" s="59"/>
      <c r="H864" s="61"/>
      <c r="I864" s="59"/>
      <c r="J864" s="59"/>
      <c r="K864" s="59"/>
      <c r="L864" s="59"/>
      <c r="M864" s="59"/>
      <c r="N864" s="59"/>
      <c r="O864" s="59"/>
      <c r="P864" s="59"/>
      <c r="Q864" s="59"/>
      <c r="R864" s="59"/>
      <c r="S864" s="59"/>
      <c r="T864" s="59"/>
      <c r="U864" s="59"/>
      <c r="V864" s="59"/>
      <c r="W864" s="59"/>
      <c r="X864" s="59"/>
      <c r="Y864" s="59"/>
      <c r="Z864" s="59"/>
    </row>
    <row r="865" ht="15.75" customHeight="1">
      <c r="A865" s="59"/>
      <c r="C865" s="59"/>
      <c r="D865" s="59"/>
      <c r="E865" s="59"/>
      <c r="F865" s="60"/>
      <c r="G865" s="59"/>
      <c r="H865" s="61"/>
      <c r="I865" s="59"/>
      <c r="J865" s="59"/>
      <c r="K865" s="59"/>
      <c r="L865" s="59"/>
      <c r="M865" s="59"/>
      <c r="N865" s="59"/>
      <c r="O865" s="59"/>
      <c r="P865" s="59"/>
      <c r="Q865" s="59"/>
      <c r="R865" s="59"/>
      <c r="S865" s="59"/>
      <c r="T865" s="59"/>
      <c r="U865" s="59"/>
      <c r="V865" s="59"/>
      <c r="W865" s="59"/>
      <c r="X865" s="59"/>
      <c r="Y865" s="59"/>
      <c r="Z865" s="59"/>
    </row>
    <row r="866" ht="15.75" customHeight="1">
      <c r="A866" s="59"/>
      <c r="C866" s="59"/>
      <c r="D866" s="59"/>
      <c r="E866" s="59"/>
      <c r="F866" s="60"/>
      <c r="G866" s="59"/>
      <c r="H866" s="61"/>
      <c r="I866" s="59"/>
      <c r="J866" s="59"/>
      <c r="K866" s="59"/>
      <c r="L866" s="59"/>
      <c r="M866" s="59"/>
      <c r="N866" s="59"/>
      <c r="O866" s="59"/>
      <c r="P866" s="59"/>
      <c r="Q866" s="59"/>
      <c r="R866" s="59"/>
      <c r="S866" s="59"/>
      <c r="T866" s="59"/>
      <c r="U866" s="59"/>
      <c r="V866" s="59"/>
      <c r="W866" s="59"/>
      <c r="X866" s="59"/>
      <c r="Y866" s="59"/>
      <c r="Z866" s="59"/>
    </row>
    <row r="867" ht="15.75" customHeight="1">
      <c r="A867" s="59"/>
      <c r="C867" s="59"/>
      <c r="D867" s="59"/>
      <c r="E867" s="59"/>
      <c r="F867" s="60"/>
      <c r="G867" s="59"/>
      <c r="H867" s="61"/>
      <c r="I867" s="59"/>
      <c r="J867" s="59"/>
      <c r="K867" s="59"/>
      <c r="L867" s="59"/>
      <c r="M867" s="59"/>
      <c r="N867" s="59"/>
      <c r="O867" s="59"/>
      <c r="P867" s="59"/>
      <c r="Q867" s="59"/>
      <c r="R867" s="59"/>
      <c r="S867" s="59"/>
      <c r="T867" s="59"/>
      <c r="U867" s="59"/>
      <c r="V867" s="59"/>
      <c r="W867" s="59"/>
      <c r="X867" s="59"/>
      <c r="Y867" s="59"/>
      <c r="Z867" s="59"/>
    </row>
    <row r="868" ht="15.75" customHeight="1">
      <c r="A868" s="59"/>
      <c r="C868" s="59"/>
      <c r="D868" s="59"/>
      <c r="E868" s="59"/>
      <c r="F868" s="60"/>
      <c r="G868" s="59"/>
      <c r="H868" s="61"/>
      <c r="I868" s="59"/>
      <c r="J868" s="59"/>
      <c r="K868" s="59"/>
      <c r="L868" s="59"/>
      <c r="M868" s="59"/>
      <c r="N868" s="59"/>
      <c r="O868" s="59"/>
      <c r="P868" s="59"/>
      <c r="Q868" s="59"/>
      <c r="R868" s="59"/>
      <c r="S868" s="59"/>
      <c r="T868" s="59"/>
      <c r="U868" s="59"/>
      <c r="V868" s="59"/>
      <c r="W868" s="59"/>
      <c r="X868" s="59"/>
      <c r="Y868" s="59"/>
      <c r="Z868" s="59"/>
    </row>
    <row r="869" ht="15.75" customHeight="1">
      <c r="A869" s="59"/>
      <c r="C869" s="59"/>
      <c r="D869" s="59"/>
      <c r="E869" s="59"/>
      <c r="F869" s="60"/>
      <c r="G869" s="59"/>
      <c r="H869" s="61"/>
      <c r="I869" s="59"/>
      <c r="J869" s="59"/>
      <c r="K869" s="59"/>
      <c r="L869" s="59"/>
      <c r="M869" s="59"/>
      <c r="N869" s="59"/>
      <c r="O869" s="59"/>
      <c r="P869" s="59"/>
      <c r="Q869" s="59"/>
      <c r="R869" s="59"/>
      <c r="S869" s="59"/>
      <c r="T869" s="59"/>
      <c r="U869" s="59"/>
      <c r="V869" s="59"/>
      <c r="W869" s="59"/>
      <c r="X869" s="59"/>
      <c r="Y869" s="59"/>
      <c r="Z869" s="59"/>
    </row>
    <row r="870" ht="15.75" customHeight="1">
      <c r="A870" s="59"/>
      <c r="C870" s="59"/>
      <c r="D870" s="59"/>
      <c r="E870" s="59"/>
      <c r="F870" s="60"/>
      <c r="G870" s="59"/>
      <c r="H870" s="61"/>
      <c r="I870" s="59"/>
      <c r="J870" s="59"/>
      <c r="K870" s="59"/>
      <c r="L870" s="59"/>
      <c r="M870" s="59"/>
      <c r="N870" s="59"/>
      <c r="O870" s="59"/>
      <c r="P870" s="59"/>
      <c r="Q870" s="59"/>
      <c r="R870" s="59"/>
      <c r="S870" s="59"/>
      <c r="T870" s="59"/>
      <c r="U870" s="59"/>
      <c r="V870" s="59"/>
      <c r="W870" s="59"/>
      <c r="X870" s="59"/>
      <c r="Y870" s="59"/>
      <c r="Z870" s="59"/>
    </row>
    <row r="871" ht="15.75" customHeight="1">
      <c r="A871" s="59"/>
      <c r="C871" s="59"/>
      <c r="D871" s="59"/>
      <c r="E871" s="59"/>
      <c r="F871" s="60"/>
      <c r="G871" s="59"/>
      <c r="H871" s="61"/>
      <c r="I871" s="59"/>
      <c r="J871" s="59"/>
      <c r="K871" s="59"/>
      <c r="L871" s="59"/>
      <c r="M871" s="59"/>
      <c r="N871" s="59"/>
      <c r="O871" s="59"/>
      <c r="P871" s="59"/>
      <c r="Q871" s="59"/>
      <c r="R871" s="59"/>
      <c r="S871" s="59"/>
      <c r="T871" s="59"/>
      <c r="U871" s="59"/>
      <c r="V871" s="59"/>
      <c r="W871" s="59"/>
      <c r="X871" s="59"/>
      <c r="Y871" s="59"/>
      <c r="Z871" s="59"/>
    </row>
    <row r="872" ht="15.75" customHeight="1">
      <c r="A872" s="59"/>
      <c r="C872" s="59"/>
      <c r="D872" s="59"/>
      <c r="E872" s="59"/>
      <c r="F872" s="60"/>
      <c r="G872" s="59"/>
      <c r="H872" s="61"/>
      <c r="I872" s="59"/>
      <c r="J872" s="59"/>
      <c r="K872" s="59"/>
      <c r="L872" s="59"/>
      <c r="M872" s="59"/>
      <c r="N872" s="59"/>
      <c r="O872" s="59"/>
      <c r="P872" s="59"/>
      <c r="Q872" s="59"/>
      <c r="R872" s="59"/>
      <c r="S872" s="59"/>
      <c r="T872" s="59"/>
      <c r="U872" s="59"/>
      <c r="V872" s="59"/>
      <c r="W872" s="59"/>
      <c r="X872" s="59"/>
      <c r="Y872" s="59"/>
      <c r="Z872" s="59"/>
    </row>
    <row r="873" ht="15.75" customHeight="1">
      <c r="A873" s="59"/>
      <c r="C873" s="59"/>
      <c r="D873" s="59"/>
      <c r="E873" s="59"/>
      <c r="F873" s="60"/>
      <c r="G873" s="59"/>
      <c r="H873" s="61"/>
      <c r="I873" s="59"/>
      <c r="J873" s="59"/>
      <c r="K873" s="59"/>
      <c r="L873" s="59"/>
      <c r="M873" s="59"/>
      <c r="N873" s="59"/>
      <c r="O873" s="59"/>
      <c r="P873" s="59"/>
      <c r="Q873" s="59"/>
      <c r="R873" s="59"/>
      <c r="S873" s="59"/>
      <c r="T873" s="59"/>
      <c r="U873" s="59"/>
      <c r="V873" s="59"/>
      <c r="W873" s="59"/>
      <c r="X873" s="59"/>
      <c r="Y873" s="59"/>
      <c r="Z873" s="59"/>
    </row>
    <row r="874" ht="15.75" customHeight="1">
      <c r="A874" s="59"/>
      <c r="C874" s="59"/>
      <c r="D874" s="59"/>
      <c r="E874" s="59"/>
      <c r="F874" s="60"/>
      <c r="G874" s="59"/>
      <c r="H874" s="61"/>
      <c r="I874" s="59"/>
      <c r="J874" s="59"/>
      <c r="K874" s="59"/>
      <c r="L874" s="59"/>
      <c r="M874" s="59"/>
      <c r="N874" s="59"/>
      <c r="O874" s="59"/>
      <c r="P874" s="59"/>
      <c r="Q874" s="59"/>
      <c r="R874" s="59"/>
      <c r="S874" s="59"/>
      <c r="T874" s="59"/>
      <c r="U874" s="59"/>
      <c r="V874" s="59"/>
      <c r="W874" s="59"/>
      <c r="X874" s="59"/>
      <c r="Y874" s="59"/>
      <c r="Z874" s="59"/>
    </row>
    <row r="875" ht="15.75" customHeight="1">
      <c r="A875" s="59"/>
      <c r="C875" s="59"/>
      <c r="D875" s="59"/>
      <c r="E875" s="59"/>
      <c r="F875" s="60"/>
      <c r="G875" s="59"/>
      <c r="H875" s="61"/>
      <c r="I875" s="59"/>
      <c r="J875" s="59"/>
      <c r="K875" s="59"/>
      <c r="L875" s="59"/>
      <c r="M875" s="59"/>
      <c r="N875" s="59"/>
      <c r="O875" s="59"/>
      <c r="P875" s="59"/>
      <c r="Q875" s="59"/>
      <c r="R875" s="59"/>
      <c r="S875" s="59"/>
      <c r="T875" s="59"/>
      <c r="U875" s="59"/>
      <c r="V875" s="59"/>
      <c r="W875" s="59"/>
      <c r="X875" s="59"/>
      <c r="Y875" s="59"/>
      <c r="Z875" s="59"/>
    </row>
    <row r="876" ht="15.75" customHeight="1">
      <c r="A876" s="59"/>
      <c r="C876" s="59"/>
      <c r="D876" s="59"/>
      <c r="E876" s="59"/>
      <c r="F876" s="60"/>
      <c r="G876" s="59"/>
      <c r="H876" s="61"/>
      <c r="I876" s="59"/>
      <c r="J876" s="59"/>
      <c r="K876" s="59"/>
      <c r="L876" s="59"/>
      <c r="M876" s="59"/>
      <c r="N876" s="59"/>
      <c r="O876" s="59"/>
      <c r="P876" s="59"/>
      <c r="Q876" s="59"/>
      <c r="R876" s="59"/>
      <c r="S876" s="59"/>
      <c r="T876" s="59"/>
      <c r="U876" s="59"/>
      <c r="V876" s="59"/>
      <c r="W876" s="59"/>
      <c r="X876" s="59"/>
      <c r="Y876" s="59"/>
      <c r="Z876" s="59"/>
    </row>
    <row r="877" ht="15.75" customHeight="1">
      <c r="A877" s="59"/>
      <c r="C877" s="59"/>
      <c r="D877" s="59"/>
      <c r="E877" s="59"/>
      <c r="F877" s="60"/>
      <c r="G877" s="59"/>
      <c r="H877" s="61"/>
      <c r="I877" s="59"/>
      <c r="J877" s="59"/>
      <c r="K877" s="59"/>
      <c r="L877" s="59"/>
      <c r="M877" s="59"/>
      <c r="N877" s="59"/>
      <c r="O877" s="59"/>
      <c r="P877" s="59"/>
      <c r="Q877" s="59"/>
      <c r="R877" s="59"/>
      <c r="S877" s="59"/>
      <c r="T877" s="59"/>
      <c r="U877" s="59"/>
      <c r="V877" s="59"/>
      <c r="W877" s="59"/>
      <c r="X877" s="59"/>
      <c r="Y877" s="59"/>
      <c r="Z877" s="59"/>
    </row>
    <row r="878" ht="15.75" customHeight="1">
      <c r="A878" s="59"/>
      <c r="C878" s="59"/>
      <c r="D878" s="59"/>
      <c r="E878" s="59"/>
      <c r="F878" s="60"/>
      <c r="G878" s="59"/>
      <c r="H878" s="61"/>
      <c r="I878" s="59"/>
      <c r="J878" s="59"/>
      <c r="K878" s="59"/>
      <c r="L878" s="59"/>
      <c r="M878" s="59"/>
      <c r="N878" s="59"/>
      <c r="O878" s="59"/>
      <c r="P878" s="59"/>
      <c r="Q878" s="59"/>
      <c r="R878" s="59"/>
      <c r="S878" s="59"/>
      <c r="T878" s="59"/>
      <c r="U878" s="59"/>
      <c r="V878" s="59"/>
      <c r="W878" s="59"/>
      <c r="X878" s="59"/>
      <c r="Y878" s="59"/>
      <c r="Z878" s="59"/>
    </row>
    <row r="879" ht="15.75" customHeight="1">
      <c r="A879" s="59"/>
      <c r="C879" s="59"/>
      <c r="D879" s="59"/>
      <c r="E879" s="59"/>
      <c r="F879" s="60"/>
      <c r="G879" s="59"/>
      <c r="H879" s="61"/>
      <c r="I879" s="59"/>
      <c r="J879" s="59"/>
      <c r="K879" s="59"/>
      <c r="L879" s="59"/>
      <c r="M879" s="59"/>
      <c r="N879" s="59"/>
      <c r="O879" s="59"/>
      <c r="P879" s="59"/>
      <c r="Q879" s="59"/>
      <c r="R879" s="59"/>
      <c r="S879" s="59"/>
      <c r="T879" s="59"/>
      <c r="U879" s="59"/>
      <c r="V879" s="59"/>
      <c r="W879" s="59"/>
      <c r="X879" s="59"/>
      <c r="Y879" s="59"/>
      <c r="Z879" s="59"/>
    </row>
    <row r="880" ht="15.75" customHeight="1">
      <c r="A880" s="59"/>
      <c r="C880" s="59"/>
      <c r="D880" s="59"/>
      <c r="E880" s="59"/>
      <c r="F880" s="60"/>
      <c r="G880" s="59"/>
      <c r="H880" s="61"/>
      <c r="I880" s="59"/>
      <c r="J880" s="59"/>
      <c r="K880" s="59"/>
      <c r="L880" s="59"/>
      <c r="M880" s="59"/>
      <c r="N880" s="59"/>
      <c r="O880" s="59"/>
      <c r="P880" s="59"/>
      <c r="Q880" s="59"/>
      <c r="R880" s="59"/>
      <c r="S880" s="59"/>
      <c r="T880" s="59"/>
      <c r="U880" s="59"/>
      <c r="V880" s="59"/>
      <c r="W880" s="59"/>
      <c r="X880" s="59"/>
      <c r="Y880" s="59"/>
      <c r="Z880" s="59"/>
    </row>
    <row r="881" ht="15.75" customHeight="1">
      <c r="A881" s="59"/>
      <c r="C881" s="59"/>
      <c r="D881" s="59"/>
      <c r="E881" s="59"/>
      <c r="F881" s="60"/>
      <c r="G881" s="59"/>
      <c r="H881" s="61"/>
      <c r="I881" s="59"/>
      <c r="J881" s="59"/>
      <c r="K881" s="59"/>
      <c r="L881" s="59"/>
      <c r="M881" s="59"/>
      <c r="N881" s="59"/>
      <c r="O881" s="59"/>
      <c r="P881" s="59"/>
      <c r="Q881" s="59"/>
      <c r="R881" s="59"/>
      <c r="S881" s="59"/>
      <c r="T881" s="59"/>
      <c r="U881" s="59"/>
      <c r="V881" s="59"/>
      <c r="W881" s="59"/>
      <c r="X881" s="59"/>
      <c r="Y881" s="59"/>
      <c r="Z881" s="59"/>
    </row>
    <row r="882" ht="15.75" customHeight="1">
      <c r="A882" s="59"/>
      <c r="C882" s="59"/>
      <c r="D882" s="59"/>
      <c r="E882" s="59"/>
      <c r="F882" s="60"/>
      <c r="G882" s="59"/>
      <c r="H882" s="61"/>
      <c r="I882" s="59"/>
      <c r="J882" s="59"/>
      <c r="K882" s="59"/>
      <c r="L882" s="59"/>
      <c r="M882" s="59"/>
      <c r="N882" s="59"/>
      <c r="O882" s="59"/>
      <c r="P882" s="59"/>
      <c r="Q882" s="59"/>
      <c r="R882" s="59"/>
      <c r="S882" s="59"/>
      <c r="T882" s="59"/>
      <c r="U882" s="59"/>
      <c r="V882" s="59"/>
      <c r="W882" s="59"/>
      <c r="X882" s="59"/>
      <c r="Y882" s="59"/>
      <c r="Z882" s="59"/>
    </row>
    <row r="883" ht="15.75" customHeight="1">
      <c r="A883" s="59"/>
      <c r="C883" s="59"/>
      <c r="D883" s="59"/>
      <c r="E883" s="59"/>
      <c r="F883" s="60"/>
      <c r="G883" s="59"/>
      <c r="H883" s="61"/>
      <c r="I883" s="59"/>
      <c r="J883" s="59"/>
      <c r="K883" s="59"/>
      <c r="L883" s="59"/>
      <c r="M883" s="59"/>
      <c r="N883" s="59"/>
      <c r="O883" s="59"/>
      <c r="P883" s="59"/>
      <c r="Q883" s="59"/>
      <c r="R883" s="59"/>
      <c r="S883" s="59"/>
      <c r="T883" s="59"/>
      <c r="U883" s="59"/>
      <c r="V883" s="59"/>
      <c r="W883" s="59"/>
      <c r="X883" s="59"/>
      <c r="Y883" s="59"/>
      <c r="Z883" s="59"/>
    </row>
    <row r="884" ht="15.75" customHeight="1">
      <c r="A884" s="59"/>
      <c r="C884" s="59"/>
      <c r="D884" s="59"/>
      <c r="E884" s="59"/>
      <c r="F884" s="60"/>
      <c r="G884" s="59"/>
      <c r="H884" s="61"/>
      <c r="I884" s="59"/>
      <c r="J884" s="59"/>
      <c r="K884" s="59"/>
      <c r="L884" s="59"/>
      <c r="M884" s="59"/>
      <c r="N884" s="59"/>
      <c r="O884" s="59"/>
      <c r="P884" s="59"/>
      <c r="Q884" s="59"/>
      <c r="R884" s="59"/>
      <c r="S884" s="59"/>
      <c r="T884" s="59"/>
      <c r="U884" s="59"/>
      <c r="V884" s="59"/>
      <c r="W884" s="59"/>
      <c r="X884" s="59"/>
      <c r="Y884" s="59"/>
      <c r="Z884" s="59"/>
    </row>
    <row r="885" ht="15.75" customHeight="1">
      <c r="A885" s="59"/>
      <c r="C885" s="59"/>
      <c r="D885" s="59"/>
      <c r="E885" s="59"/>
      <c r="F885" s="60"/>
      <c r="G885" s="59"/>
      <c r="H885" s="61"/>
      <c r="I885" s="59"/>
      <c r="J885" s="59"/>
      <c r="K885" s="59"/>
      <c r="L885" s="59"/>
      <c r="M885" s="59"/>
      <c r="N885" s="59"/>
      <c r="O885" s="59"/>
      <c r="P885" s="59"/>
      <c r="Q885" s="59"/>
      <c r="R885" s="59"/>
      <c r="S885" s="59"/>
      <c r="T885" s="59"/>
      <c r="U885" s="59"/>
      <c r="V885" s="59"/>
      <c r="W885" s="59"/>
      <c r="X885" s="59"/>
      <c r="Y885" s="59"/>
      <c r="Z885" s="59"/>
    </row>
    <row r="886" ht="15.75" customHeight="1">
      <c r="A886" s="59"/>
      <c r="C886" s="59"/>
      <c r="D886" s="59"/>
      <c r="E886" s="59"/>
      <c r="F886" s="60"/>
      <c r="G886" s="59"/>
      <c r="H886" s="61"/>
      <c r="I886" s="59"/>
      <c r="J886" s="59"/>
      <c r="K886" s="59"/>
      <c r="L886" s="59"/>
      <c r="M886" s="59"/>
      <c r="N886" s="59"/>
      <c r="O886" s="59"/>
      <c r="P886" s="59"/>
      <c r="Q886" s="59"/>
      <c r="R886" s="59"/>
      <c r="S886" s="59"/>
      <c r="T886" s="59"/>
      <c r="U886" s="59"/>
      <c r="V886" s="59"/>
      <c r="W886" s="59"/>
      <c r="X886" s="59"/>
      <c r="Y886" s="59"/>
      <c r="Z886" s="59"/>
    </row>
    <row r="887" ht="15.75" customHeight="1">
      <c r="A887" s="59"/>
      <c r="C887" s="59"/>
      <c r="D887" s="59"/>
      <c r="E887" s="59"/>
      <c r="F887" s="60"/>
      <c r="G887" s="59"/>
      <c r="H887" s="61"/>
      <c r="I887" s="59"/>
      <c r="J887" s="59"/>
      <c r="K887" s="59"/>
      <c r="L887" s="59"/>
      <c r="M887" s="59"/>
      <c r="N887" s="59"/>
      <c r="O887" s="59"/>
      <c r="P887" s="59"/>
      <c r="Q887" s="59"/>
      <c r="R887" s="59"/>
      <c r="S887" s="59"/>
      <c r="T887" s="59"/>
      <c r="U887" s="59"/>
      <c r="V887" s="59"/>
      <c r="W887" s="59"/>
      <c r="X887" s="59"/>
      <c r="Y887" s="59"/>
      <c r="Z887" s="59"/>
    </row>
    <row r="888" ht="15.75" customHeight="1">
      <c r="A888" s="59"/>
      <c r="C888" s="59"/>
      <c r="D888" s="59"/>
      <c r="E888" s="59"/>
      <c r="F888" s="60"/>
      <c r="G888" s="59"/>
      <c r="H888" s="61"/>
      <c r="I888" s="59"/>
      <c r="J888" s="59"/>
      <c r="K888" s="59"/>
      <c r="L888" s="59"/>
      <c r="M888" s="59"/>
      <c r="N888" s="59"/>
      <c r="O888" s="59"/>
      <c r="P888" s="59"/>
      <c r="Q888" s="59"/>
      <c r="R888" s="59"/>
      <c r="S888" s="59"/>
      <c r="T888" s="59"/>
      <c r="U888" s="59"/>
      <c r="V888" s="59"/>
      <c r="W888" s="59"/>
      <c r="X888" s="59"/>
      <c r="Y888" s="59"/>
      <c r="Z888" s="59"/>
    </row>
    <row r="889" ht="15.75" customHeight="1">
      <c r="A889" s="59"/>
      <c r="C889" s="59"/>
      <c r="D889" s="59"/>
      <c r="E889" s="59"/>
      <c r="F889" s="60"/>
      <c r="G889" s="59"/>
      <c r="H889" s="61"/>
      <c r="I889" s="59"/>
      <c r="J889" s="59"/>
      <c r="K889" s="59"/>
      <c r="L889" s="59"/>
      <c r="M889" s="59"/>
      <c r="N889" s="59"/>
      <c r="O889" s="59"/>
      <c r="P889" s="59"/>
      <c r="Q889" s="59"/>
      <c r="R889" s="59"/>
      <c r="S889" s="59"/>
      <c r="T889" s="59"/>
      <c r="U889" s="59"/>
      <c r="V889" s="59"/>
      <c r="W889" s="59"/>
      <c r="X889" s="59"/>
      <c r="Y889" s="59"/>
      <c r="Z889" s="59"/>
    </row>
    <row r="890" ht="15.75" customHeight="1">
      <c r="A890" s="59"/>
      <c r="C890" s="59"/>
      <c r="D890" s="59"/>
      <c r="E890" s="59"/>
      <c r="F890" s="60"/>
      <c r="G890" s="59"/>
      <c r="H890" s="61"/>
      <c r="I890" s="59"/>
      <c r="J890" s="59"/>
      <c r="K890" s="59"/>
      <c r="L890" s="59"/>
      <c r="M890" s="59"/>
      <c r="N890" s="59"/>
      <c r="O890" s="59"/>
      <c r="P890" s="59"/>
      <c r="Q890" s="59"/>
      <c r="R890" s="59"/>
      <c r="S890" s="59"/>
      <c r="T890" s="59"/>
      <c r="U890" s="59"/>
      <c r="V890" s="59"/>
      <c r="W890" s="59"/>
      <c r="X890" s="59"/>
      <c r="Y890" s="59"/>
      <c r="Z890" s="59"/>
    </row>
    <row r="891" ht="15.75" customHeight="1">
      <c r="A891" s="59"/>
      <c r="C891" s="59"/>
      <c r="D891" s="59"/>
      <c r="E891" s="59"/>
      <c r="F891" s="60"/>
      <c r="G891" s="59"/>
      <c r="H891" s="61"/>
      <c r="I891" s="59"/>
      <c r="J891" s="59"/>
      <c r="K891" s="59"/>
      <c r="L891" s="59"/>
      <c r="M891" s="59"/>
      <c r="N891" s="59"/>
      <c r="O891" s="59"/>
      <c r="P891" s="59"/>
      <c r="Q891" s="59"/>
      <c r="R891" s="59"/>
      <c r="S891" s="59"/>
      <c r="T891" s="59"/>
      <c r="U891" s="59"/>
      <c r="V891" s="59"/>
      <c r="W891" s="59"/>
      <c r="X891" s="59"/>
      <c r="Y891" s="59"/>
      <c r="Z891" s="59"/>
    </row>
    <row r="892" ht="15.75" customHeight="1">
      <c r="A892" s="59"/>
      <c r="C892" s="59"/>
      <c r="D892" s="59"/>
      <c r="E892" s="59"/>
      <c r="F892" s="60"/>
      <c r="G892" s="59"/>
      <c r="H892" s="61"/>
      <c r="I892" s="59"/>
      <c r="J892" s="59"/>
      <c r="K892" s="59"/>
      <c r="L892" s="59"/>
      <c r="M892" s="59"/>
      <c r="N892" s="59"/>
      <c r="O892" s="59"/>
      <c r="P892" s="59"/>
      <c r="Q892" s="59"/>
      <c r="R892" s="59"/>
      <c r="S892" s="59"/>
      <c r="T892" s="59"/>
      <c r="U892" s="59"/>
      <c r="V892" s="59"/>
      <c r="W892" s="59"/>
      <c r="X892" s="59"/>
      <c r="Y892" s="59"/>
      <c r="Z892" s="59"/>
    </row>
    <row r="893" ht="15.75" customHeight="1">
      <c r="A893" s="59"/>
      <c r="C893" s="59"/>
      <c r="D893" s="59"/>
      <c r="E893" s="59"/>
      <c r="F893" s="60"/>
      <c r="G893" s="59"/>
      <c r="H893" s="61"/>
      <c r="I893" s="59"/>
      <c r="J893" s="59"/>
      <c r="K893" s="59"/>
      <c r="L893" s="59"/>
      <c r="M893" s="59"/>
      <c r="N893" s="59"/>
      <c r="O893" s="59"/>
      <c r="P893" s="59"/>
      <c r="Q893" s="59"/>
      <c r="R893" s="59"/>
      <c r="S893" s="59"/>
      <c r="T893" s="59"/>
      <c r="U893" s="59"/>
      <c r="V893" s="59"/>
      <c r="W893" s="59"/>
      <c r="X893" s="59"/>
      <c r="Y893" s="59"/>
      <c r="Z893" s="59"/>
    </row>
    <row r="894" ht="15.75" customHeight="1">
      <c r="A894" s="59"/>
      <c r="C894" s="59"/>
      <c r="D894" s="59"/>
      <c r="E894" s="59"/>
      <c r="F894" s="60"/>
      <c r="G894" s="59"/>
      <c r="H894" s="61"/>
      <c r="I894" s="59"/>
      <c r="J894" s="59"/>
      <c r="K894" s="59"/>
      <c r="L894" s="59"/>
      <c r="M894" s="59"/>
      <c r="N894" s="59"/>
      <c r="O894" s="59"/>
      <c r="P894" s="59"/>
      <c r="Q894" s="59"/>
      <c r="R894" s="59"/>
      <c r="S894" s="59"/>
      <c r="T894" s="59"/>
      <c r="U894" s="59"/>
      <c r="V894" s="59"/>
      <c r="W894" s="59"/>
      <c r="X894" s="59"/>
      <c r="Y894" s="59"/>
      <c r="Z894" s="59"/>
    </row>
    <row r="895" ht="15.75" customHeight="1">
      <c r="A895" s="59"/>
      <c r="C895" s="59"/>
      <c r="D895" s="59"/>
      <c r="E895" s="59"/>
      <c r="F895" s="60"/>
      <c r="G895" s="59"/>
      <c r="H895" s="61"/>
      <c r="I895" s="59"/>
      <c r="J895" s="59"/>
      <c r="K895" s="59"/>
      <c r="L895" s="59"/>
      <c r="M895" s="59"/>
      <c r="N895" s="59"/>
      <c r="O895" s="59"/>
      <c r="P895" s="59"/>
      <c r="Q895" s="59"/>
      <c r="R895" s="59"/>
      <c r="S895" s="59"/>
      <c r="T895" s="59"/>
      <c r="U895" s="59"/>
      <c r="V895" s="59"/>
      <c r="W895" s="59"/>
      <c r="X895" s="59"/>
      <c r="Y895" s="59"/>
      <c r="Z895" s="59"/>
    </row>
    <row r="896" ht="15.75" customHeight="1">
      <c r="A896" s="59"/>
      <c r="C896" s="59"/>
      <c r="D896" s="59"/>
      <c r="E896" s="59"/>
      <c r="F896" s="60"/>
      <c r="G896" s="59"/>
      <c r="H896" s="61"/>
      <c r="I896" s="59"/>
      <c r="J896" s="59"/>
      <c r="K896" s="59"/>
      <c r="L896" s="59"/>
      <c r="M896" s="59"/>
      <c r="N896" s="59"/>
      <c r="O896" s="59"/>
      <c r="P896" s="59"/>
      <c r="Q896" s="59"/>
      <c r="R896" s="59"/>
      <c r="S896" s="59"/>
      <c r="T896" s="59"/>
      <c r="U896" s="59"/>
      <c r="V896" s="59"/>
      <c r="W896" s="59"/>
      <c r="X896" s="59"/>
      <c r="Y896" s="59"/>
      <c r="Z896" s="59"/>
    </row>
    <row r="897" ht="15.75" customHeight="1">
      <c r="A897" s="59"/>
      <c r="C897" s="59"/>
      <c r="D897" s="59"/>
      <c r="E897" s="59"/>
      <c r="F897" s="60"/>
      <c r="G897" s="59"/>
      <c r="H897" s="61"/>
      <c r="I897" s="59"/>
      <c r="J897" s="59"/>
      <c r="K897" s="59"/>
      <c r="L897" s="59"/>
      <c r="M897" s="59"/>
      <c r="N897" s="59"/>
      <c r="O897" s="59"/>
      <c r="P897" s="59"/>
      <c r="Q897" s="59"/>
      <c r="R897" s="59"/>
      <c r="S897" s="59"/>
      <c r="T897" s="59"/>
      <c r="U897" s="59"/>
      <c r="V897" s="59"/>
      <c r="W897" s="59"/>
      <c r="X897" s="59"/>
      <c r="Y897" s="59"/>
      <c r="Z897" s="59"/>
    </row>
    <row r="898" ht="15.75" customHeight="1">
      <c r="A898" s="59"/>
      <c r="C898" s="59"/>
      <c r="D898" s="59"/>
      <c r="E898" s="59"/>
      <c r="F898" s="60"/>
      <c r="G898" s="59"/>
      <c r="H898" s="61"/>
      <c r="I898" s="59"/>
      <c r="J898" s="59"/>
      <c r="K898" s="59"/>
      <c r="L898" s="59"/>
      <c r="M898" s="59"/>
      <c r="N898" s="59"/>
      <c r="O898" s="59"/>
      <c r="P898" s="59"/>
      <c r="Q898" s="59"/>
      <c r="R898" s="59"/>
      <c r="S898" s="59"/>
      <c r="T898" s="59"/>
      <c r="U898" s="59"/>
      <c r="V898" s="59"/>
      <c r="W898" s="59"/>
      <c r="X898" s="59"/>
      <c r="Y898" s="59"/>
      <c r="Z898" s="59"/>
    </row>
    <row r="899" ht="15.75" customHeight="1">
      <c r="A899" s="59"/>
      <c r="C899" s="59"/>
      <c r="D899" s="59"/>
      <c r="E899" s="59"/>
      <c r="F899" s="60"/>
      <c r="G899" s="59"/>
      <c r="H899" s="61"/>
      <c r="I899" s="59"/>
      <c r="J899" s="59"/>
      <c r="K899" s="59"/>
      <c r="L899" s="59"/>
      <c r="M899" s="59"/>
      <c r="N899" s="59"/>
      <c r="O899" s="59"/>
      <c r="P899" s="59"/>
      <c r="Q899" s="59"/>
      <c r="R899" s="59"/>
      <c r="S899" s="59"/>
      <c r="T899" s="59"/>
      <c r="U899" s="59"/>
      <c r="V899" s="59"/>
      <c r="W899" s="59"/>
      <c r="X899" s="59"/>
      <c r="Y899" s="59"/>
      <c r="Z899" s="59"/>
    </row>
    <row r="900" ht="15.75" customHeight="1">
      <c r="A900" s="59"/>
      <c r="C900" s="59"/>
      <c r="D900" s="59"/>
      <c r="E900" s="59"/>
      <c r="F900" s="60"/>
      <c r="G900" s="59"/>
      <c r="H900" s="61"/>
      <c r="I900" s="59"/>
      <c r="J900" s="59"/>
      <c r="K900" s="59"/>
      <c r="L900" s="59"/>
      <c r="M900" s="59"/>
      <c r="N900" s="59"/>
      <c r="O900" s="59"/>
      <c r="P900" s="59"/>
      <c r="Q900" s="59"/>
      <c r="R900" s="59"/>
      <c r="S900" s="59"/>
      <c r="T900" s="59"/>
      <c r="U900" s="59"/>
      <c r="V900" s="59"/>
      <c r="W900" s="59"/>
      <c r="X900" s="59"/>
      <c r="Y900" s="59"/>
      <c r="Z900" s="59"/>
    </row>
    <row r="901" ht="15.75" customHeight="1">
      <c r="A901" s="59"/>
      <c r="C901" s="59"/>
      <c r="D901" s="59"/>
      <c r="E901" s="59"/>
      <c r="F901" s="60"/>
      <c r="G901" s="59"/>
      <c r="H901" s="61"/>
      <c r="I901" s="59"/>
      <c r="J901" s="59"/>
      <c r="K901" s="59"/>
      <c r="L901" s="59"/>
      <c r="M901" s="59"/>
      <c r="N901" s="59"/>
      <c r="O901" s="59"/>
      <c r="P901" s="59"/>
      <c r="Q901" s="59"/>
      <c r="R901" s="59"/>
      <c r="S901" s="59"/>
      <c r="T901" s="59"/>
      <c r="U901" s="59"/>
      <c r="V901" s="59"/>
      <c r="W901" s="59"/>
      <c r="X901" s="59"/>
      <c r="Y901" s="59"/>
      <c r="Z901" s="59"/>
    </row>
    <row r="902" ht="15.75" customHeight="1">
      <c r="A902" s="59"/>
      <c r="C902" s="59"/>
      <c r="D902" s="59"/>
      <c r="E902" s="59"/>
      <c r="F902" s="60"/>
      <c r="G902" s="59"/>
      <c r="H902" s="61"/>
      <c r="I902" s="59"/>
      <c r="J902" s="59"/>
      <c r="K902" s="59"/>
      <c r="L902" s="59"/>
      <c r="M902" s="59"/>
      <c r="N902" s="59"/>
      <c r="O902" s="59"/>
      <c r="P902" s="59"/>
      <c r="Q902" s="59"/>
      <c r="R902" s="59"/>
      <c r="S902" s="59"/>
      <c r="T902" s="59"/>
      <c r="U902" s="59"/>
      <c r="V902" s="59"/>
      <c r="W902" s="59"/>
      <c r="X902" s="59"/>
      <c r="Y902" s="59"/>
      <c r="Z902" s="59"/>
    </row>
    <row r="903" ht="15.75" customHeight="1">
      <c r="A903" s="59"/>
      <c r="C903" s="59"/>
      <c r="D903" s="59"/>
      <c r="E903" s="59"/>
      <c r="F903" s="60"/>
      <c r="G903" s="59"/>
      <c r="H903" s="61"/>
      <c r="I903" s="59"/>
      <c r="J903" s="59"/>
      <c r="K903" s="59"/>
      <c r="L903" s="59"/>
      <c r="M903" s="59"/>
      <c r="N903" s="59"/>
      <c r="O903" s="59"/>
      <c r="P903" s="59"/>
      <c r="Q903" s="59"/>
      <c r="R903" s="59"/>
      <c r="S903" s="59"/>
      <c r="T903" s="59"/>
      <c r="U903" s="59"/>
      <c r="V903" s="59"/>
      <c r="W903" s="59"/>
      <c r="X903" s="59"/>
      <c r="Y903" s="59"/>
      <c r="Z903" s="59"/>
    </row>
    <row r="904" ht="15.75" customHeight="1">
      <c r="A904" s="59"/>
      <c r="C904" s="59"/>
      <c r="D904" s="59"/>
      <c r="E904" s="59"/>
      <c r="F904" s="60"/>
      <c r="G904" s="59"/>
      <c r="H904" s="61"/>
      <c r="I904" s="59"/>
      <c r="J904" s="59"/>
      <c r="K904" s="59"/>
      <c r="L904" s="59"/>
      <c r="M904" s="59"/>
      <c r="N904" s="59"/>
      <c r="O904" s="59"/>
      <c r="P904" s="59"/>
      <c r="Q904" s="59"/>
      <c r="R904" s="59"/>
      <c r="S904" s="59"/>
      <c r="T904" s="59"/>
      <c r="U904" s="59"/>
      <c r="V904" s="59"/>
      <c r="W904" s="59"/>
      <c r="X904" s="59"/>
      <c r="Y904" s="59"/>
      <c r="Z904" s="59"/>
    </row>
    <row r="905" ht="15.75" customHeight="1">
      <c r="A905" s="59"/>
      <c r="C905" s="59"/>
      <c r="D905" s="59"/>
      <c r="E905" s="59"/>
      <c r="F905" s="60"/>
      <c r="G905" s="59"/>
      <c r="H905" s="61"/>
      <c r="I905" s="59"/>
      <c r="J905" s="59"/>
      <c r="K905" s="59"/>
      <c r="L905" s="59"/>
      <c r="M905" s="59"/>
      <c r="N905" s="59"/>
      <c r="O905" s="59"/>
      <c r="P905" s="59"/>
      <c r="Q905" s="59"/>
      <c r="R905" s="59"/>
      <c r="S905" s="59"/>
      <c r="T905" s="59"/>
      <c r="U905" s="59"/>
      <c r="V905" s="59"/>
      <c r="W905" s="59"/>
      <c r="X905" s="59"/>
      <c r="Y905" s="59"/>
      <c r="Z905" s="59"/>
    </row>
    <row r="906" ht="15.75" customHeight="1">
      <c r="A906" s="59"/>
      <c r="C906" s="59"/>
      <c r="D906" s="59"/>
      <c r="E906" s="59"/>
      <c r="F906" s="60"/>
      <c r="G906" s="59"/>
      <c r="H906" s="61"/>
      <c r="I906" s="59"/>
      <c r="J906" s="59"/>
      <c r="K906" s="59"/>
      <c r="L906" s="59"/>
      <c r="M906" s="59"/>
      <c r="N906" s="59"/>
      <c r="O906" s="59"/>
      <c r="P906" s="59"/>
      <c r="Q906" s="59"/>
      <c r="R906" s="59"/>
      <c r="S906" s="59"/>
      <c r="T906" s="59"/>
      <c r="U906" s="59"/>
      <c r="V906" s="59"/>
      <c r="W906" s="59"/>
      <c r="X906" s="59"/>
      <c r="Y906" s="59"/>
      <c r="Z906" s="59"/>
    </row>
    <row r="907" ht="15.75" customHeight="1">
      <c r="A907" s="59"/>
      <c r="C907" s="59"/>
      <c r="D907" s="59"/>
      <c r="E907" s="59"/>
      <c r="F907" s="60"/>
      <c r="G907" s="59"/>
      <c r="H907" s="61"/>
      <c r="I907" s="59"/>
      <c r="J907" s="59"/>
      <c r="K907" s="59"/>
      <c r="L907" s="59"/>
      <c r="M907" s="59"/>
      <c r="N907" s="59"/>
      <c r="O907" s="59"/>
      <c r="P907" s="59"/>
      <c r="Q907" s="59"/>
      <c r="R907" s="59"/>
      <c r="S907" s="59"/>
      <c r="T907" s="59"/>
      <c r="U907" s="59"/>
      <c r="V907" s="59"/>
      <c r="W907" s="59"/>
      <c r="X907" s="59"/>
      <c r="Y907" s="59"/>
      <c r="Z907" s="59"/>
    </row>
    <row r="908" ht="15.75" customHeight="1">
      <c r="A908" s="59"/>
      <c r="C908" s="59"/>
      <c r="D908" s="59"/>
      <c r="E908" s="59"/>
      <c r="F908" s="60"/>
      <c r="G908" s="59"/>
      <c r="H908" s="61"/>
      <c r="I908" s="59"/>
      <c r="J908" s="59"/>
      <c r="K908" s="59"/>
      <c r="L908" s="59"/>
      <c r="M908" s="59"/>
      <c r="N908" s="59"/>
      <c r="O908" s="59"/>
      <c r="P908" s="59"/>
      <c r="Q908" s="59"/>
      <c r="R908" s="59"/>
      <c r="S908" s="59"/>
      <c r="T908" s="59"/>
      <c r="U908" s="59"/>
      <c r="V908" s="59"/>
      <c r="W908" s="59"/>
      <c r="X908" s="59"/>
      <c r="Y908" s="59"/>
      <c r="Z908" s="59"/>
    </row>
    <row r="909" ht="15.75" customHeight="1">
      <c r="A909" s="59"/>
      <c r="C909" s="59"/>
      <c r="D909" s="59"/>
      <c r="E909" s="59"/>
      <c r="F909" s="60"/>
      <c r="G909" s="59"/>
      <c r="H909" s="61"/>
      <c r="I909" s="59"/>
      <c r="J909" s="59"/>
      <c r="K909" s="59"/>
      <c r="L909" s="59"/>
      <c r="M909" s="59"/>
      <c r="N909" s="59"/>
      <c r="O909" s="59"/>
      <c r="P909" s="59"/>
      <c r="Q909" s="59"/>
      <c r="R909" s="59"/>
      <c r="S909" s="59"/>
      <c r="T909" s="59"/>
      <c r="U909" s="59"/>
      <c r="V909" s="59"/>
      <c r="W909" s="59"/>
      <c r="X909" s="59"/>
      <c r="Y909" s="59"/>
      <c r="Z909" s="59"/>
    </row>
    <row r="910" ht="15.75" customHeight="1">
      <c r="A910" s="59"/>
      <c r="C910" s="59"/>
      <c r="D910" s="59"/>
      <c r="E910" s="59"/>
      <c r="F910" s="60"/>
      <c r="G910" s="59"/>
      <c r="H910" s="61"/>
      <c r="I910" s="59"/>
      <c r="J910" s="59"/>
      <c r="K910" s="59"/>
      <c r="L910" s="59"/>
      <c r="M910" s="59"/>
      <c r="N910" s="59"/>
      <c r="O910" s="59"/>
      <c r="P910" s="59"/>
      <c r="Q910" s="59"/>
      <c r="R910" s="59"/>
      <c r="S910" s="59"/>
      <c r="T910" s="59"/>
      <c r="U910" s="59"/>
      <c r="V910" s="59"/>
      <c r="W910" s="59"/>
      <c r="X910" s="59"/>
      <c r="Y910" s="59"/>
      <c r="Z910" s="59"/>
    </row>
    <row r="911" ht="15.75" customHeight="1">
      <c r="A911" s="59"/>
      <c r="C911" s="59"/>
      <c r="D911" s="59"/>
      <c r="E911" s="59"/>
      <c r="F911" s="60"/>
      <c r="G911" s="59"/>
      <c r="H911" s="61"/>
      <c r="I911" s="59"/>
      <c r="J911" s="59"/>
      <c r="K911" s="59"/>
      <c r="L911" s="59"/>
      <c r="M911" s="59"/>
      <c r="N911" s="59"/>
      <c r="O911" s="59"/>
      <c r="P911" s="59"/>
      <c r="Q911" s="59"/>
      <c r="R911" s="59"/>
      <c r="S911" s="59"/>
      <c r="T911" s="59"/>
      <c r="U911" s="59"/>
      <c r="V911" s="59"/>
      <c r="W911" s="59"/>
      <c r="X911" s="59"/>
      <c r="Y911" s="59"/>
      <c r="Z911" s="59"/>
    </row>
    <row r="912" ht="15.75" customHeight="1">
      <c r="A912" s="59"/>
      <c r="C912" s="59"/>
      <c r="D912" s="59"/>
      <c r="E912" s="59"/>
      <c r="F912" s="60"/>
      <c r="G912" s="59"/>
      <c r="H912" s="61"/>
      <c r="I912" s="59"/>
      <c r="J912" s="59"/>
      <c r="K912" s="59"/>
      <c r="L912" s="59"/>
      <c r="M912" s="59"/>
      <c r="N912" s="59"/>
      <c r="O912" s="59"/>
      <c r="P912" s="59"/>
      <c r="Q912" s="59"/>
      <c r="R912" s="59"/>
      <c r="S912" s="59"/>
      <c r="T912" s="59"/>
      <c r="U912" s="59"/>
      <c r="V912" s="59"/>
      <c r="W912" s="59"/>
      <c r="X912" s="59"/>
      <c r="Y912" s="59"/>
      <c r="Z912" s="59"/>
    </row>
    <row r="913" ht="15.75" customHeight="1">
      <c r="A913" s="59"/>
      <c r="C913" s="59"/>
      <c r="D913" s="59"/>
      <c r="E913" s="59"/>
      <c r="F913" s="60"/>
      <c r="G913" s="59"/>
      <c r="H913" s="61"/>
      <c r="I913" s="59"/>
      <c r="J913" s="59"/>
      <c r="K913" s="59"/>
      <c r="L913" s="59"/>
      <c r="M913" s="59"/>
      <c r="N913" s="59"/>
      <c r="O913" s="59"/>
      <c r="P913" s="59"/>
      <c r="Q913" s="59"/>
      <c r="R913" s="59"/>
      <c r="S913" s="59"/>
      <c r="T913" s="59"/>
      <c r="U913" s="59"/>
      <c r="V913" s="59"/>
      <c r="W913" s="59"/>
      <c r="X913" s="59"/>
      <c r="Y913" s="59"/>
      <c r="Z913" s="59"/>
    </row>
    <row r="914" ht="15.75" customHeight="1">
      <c r="A914" s="59"/>
      <c r="C914" s="59"/>
      <c r="D914" s="59"/>
      <c r="E914" s="59"/>
      <c r="F914" s="60"/>
      <c r="G914" s="59"/>
      <c r="H914" s="61"/>
      <c r="I914" s="59"/>
      <c r="J914" s="59"/>
      <c r="K914" s="59"/>
      <c r="L914" s="59"/>
      <c r="M914" s="59"/>
      <c r="N914" s="59"/>
      <c r="O914" s="59"/>
      <c r="P914" s="59"/>
      <c r="Q914" s="59"/>
      <c r="R914" s="59"/>
      <c r="S914" s="59"/>
      <c r="T914" s="59"/>
      <c r="U914" s="59"/>
      <c r="V914" s="59"/>
      <c r="W914" s="59"/>
      <c r="X914" s="59"/>
      <c r="Y914" s="59"/>
      <c r="Z914" s="59"/>
    </row>
    <row r="915" ht="15.75" customHeight="1">
      <c r="A915" s="59"/>
      <c r="C915" s="59"/>
      <c r="D915" s="59"/>
      <c r="E915" s="59"/>
      <c r="F915" s="60"/>
      <c r="G915" s="59"/>
      <c r="H915" s="61"/>
      <c r="I915" s="59"/>
      <c r="J915" s="59"/>
      <c r="K915" s="59"/>
      <c r="L915" s="59"/>
      <c r="M915" s="59"/>
      <c r="N915" s="59"/>
      <c r="O915" s="59"/>
      <c r="P915" s="59"/>
      <c r="Q915" s="59"/>
      <c r="R915" s="59"/>
      <c r="S915" s="59"/>
      <c r="T915" s="59"/>
      <c r="U915" s="59"/>
      <c r="V915" s="59"/>
      <c r="W915" s="59"/>
      <c r="X915" s="59"/>
      <c r="Y915" s="59"/>
      <c r="Z915" s="59"/>
    </row>
    <row r="916" ht="15.75" customHeight="1">
      <c r="A916" s="59"/>
      <c r="C916" s="59"/>
      <c r="D916" s="59"/>
      <c r="E916" s="59"/>
      <c r="F916" s="60"/>
      <c r="G916" s="59"/>
      <c r="H916" s="61"/>
      <c r="I916" s="59"/>
      <c r="J916" s="59"/>
      <c r="K916" s="59"/>
      <c r="L916" s="59"/>
      <c r="M916" s="59"/>
      <c r="N916" s="59"/>
      <c r="O916" s="59"/>
      <c r="P916" s="59"/>
      <c r="Q916" s="59"/>
      <c r="R916" s="59"/>
      <c r="S916" s="59"/>
      <c r="T916" s="59"/>
      <c r="U916" s="59"/>
      <c r="V916" s="59"/>
      <c r="W916" s="59"/>
      <c r="X916" s="59"/>
      <c r="Y916" s="59"/>
      <c r="Z916" s="59"/>
    </row>
    <row r="917" ht="15.75" customHeight="1">
      <c r="A917" s="59"/>
      <c r="C917" s="59"/>
      <c r="D917" s="59"/>
      <c r="E917" s="59"/>
      <c r="F917" s="60"/>
      <c r="G917" s="59"/>
      <c r="H917" s="61"/>
      <c r="I917" s="59"/>
      <c r="J917" s="59"/>
      <c r="K917" s="59"/>
      <c r="L917" s="59"/>
      <c r="M917" s="59"/>
      <c r="N917" s="59"/>
      <c r="O917" s="59"/>
      <c r="P917" s="59"/>
      <c r="Q917" s="59"/>
      <c r="R917" s="59"/>
      <c r="S917" s="59"/>
      <c r="T917" s="59"/>
      <c r="U917" s="59"/>
      <c r="V917" s="59"/>
      <c r="W917" s="59"/>
      <c r="X917" s="59"/>
      <c r="Y917" s="59"/>
      <c r="Z917" s="59"/>
    </row>
    <row r="918" ht="15.75" customHeight="1">
      <c r="A918" s="59"/>
      <c r="C918" s="59"/>
      <c r="D918" s="59"/>
      <c r="E918" s="59"/>
      <c r="F918" s="60"/>
      <c r="G918" s="59"/>
      <c r="H918" s="61"/>
      <c r="I918" s="59"/>
      <c r="J918" s="59"/>
      <c r="K918" s="59"/>
      <c r="L918" s="59"/>
      <c r="M918" s="59"/>
      <c r="N918" s="59"/>
      <c r="O918" s="59"/>
      <c r="P918" s="59"/>
      <c r="Q918" s="59"/>
      <c r="R918" s="59"/>
      <c r="S918" s="59"/>
      <c r="T918" s="59"/>
      <c r="U918" s="59"/>
      <c r="V918" s="59"/>
      <c r="W918" s="59"/>
      <c r="X918" s="59"/>
      <c r="Y918" s="59"/>
      <c r="Z918" s="59"/>
    </row>
    <row r="919" ht="15.75" customHeight="1">
      <c r="A919" s="59"/>
      <c r="C919" s="59"/>
      <c r="D919" s="59"/>
      <c r="E919" s="59"/>
      <c r="F919" s="60"/>
      <c r="G919" s="59"/>
      <c r="H919" s="61"/>
      <c r="I919" s="59"/>
      <c r="J919" s="59"/>
      <c r="K919" s="59"/>
      <c r="L919" s="59"/>
      <c r="M919" s="59"/>
      <c r="N919" s="59"/>
      <c r="O919" s="59"/>
      <c r="P919" s="59"/>
      <c r="Q919" s="59"/>
      <c r="R919" s="59"/>
      <c r="S919" s="59"/>
      <c r="T919" s="59"/>
      <c r="U919" s="59"/>
      <c r="V919" s="59"/>
      <c r="W919" s="59"/>
      <c r="X919" s="59"/>
      <c r="Y919" s="59"/>
      <c r="Z919" s="59"/>
    </row>
    <row r="920" ht="15.75" customHeight="1">
      <c r="A920" s="59"/>
      <c r="C920" s="59"/>
      <c r="D920" s="59"/>
      <c r="E920" s="59"/>
      <c r="F920" s="60"/>
      <c r="G920" s="59"/>
      <c r="H920" s="61"/>
      <c r="I920" s="59"/>
      <c r="J920" s="59"/>
      <c r="K920" s="59"/>
      <c r="L920" s="59"/>
      <c r="M920" s="59"/>
      <c r="N920" s="59"/>
      <c r="O920" s="59"/>
      <c r="P920" s="59"/>
      <c r="Q920" s="59"/>
      <c r="R920" s="59"/>
      <c r="S920" s="59"/>
      <c r="T920" s="59"/>
      <c r="U920" s="59"/>
      <c r="V920" s="59"/>
      <c r="W920" s="59"/>
      <c r="X920" s="59"/>
      <c r="Y920" s="59"/>
      <c r="Z920" s="59"/>
    </row>
    <row r="921" ht="15.75" customHeight="1">
      <c r="A921" s="59"/>
      <c r="C921" s="59"/>
      <c r="D921" s="59"/>
      <c r="E921" s="59"/>
      <c r="F921" s="60"/>
      <c r="G921" s="59"/>
      <c r="H921" s="61"/>
      <c r="I921" s="59"/>
      <c r="J921" s="59"/>
      <c r="K921" s="59"/>
      <c r="L921" s="59"/>
      <c r="M921" s="59"/>
      <c r="N921" s="59"/>
      <c r="O921" s="59"/>
      <c r="P921" s="59"/>
      <c r="Q921" s="59"/>
      <c r="R921" s="59"/>
      <c r="S921" s="59"/>
      <c r="T921" s="59"/>
      <c r="U921" s="59"/>
      <c r="V921" s="59"/>
      <c r="W921" s="59"/>
      <c r="X921" s="59"/>
      <c r="Y921" s="59"/>
      <c r="Z921" s="59"/>
    </row>
    <row r="922" ht="15.75" customHeight="1">
      <c r="A922" s="59"/>
      <c r="C922" s="59"/>
      <c r="D922" s="59"/>
      <c r="E922" s="59"/>
      <c r="F922" s="60"/>
      <c r="G922" s="59"/>
      <c r="H922" s="61"/>
      <c r="I922" s="59"/>
      <c r="J922" s="59"/>
      <c r="K922" s="59"/>
      <c r="L922" s="59"/>
      <c r="M922" s="59"/>
      <c r="N922" s="59"/>
      <c r="O922" s="59"/>
      <c r="P922" s="59"/>
      <c r="Q922" s="59"/>
      <c r="R922" s="59"/>
      <c r="S922" s="59"/>
      <c r="T922" s="59"/>
      <c r="U922" s="59"/>
      <c r="V922" s="59"/>
      <c r="W922" s="59"/>
      <c r="X922" s="59"/>
      <c r="Y922" s="59"/>
      <c r="Z922" s="59"/>
    </row>
    <row r="923" ht="15.75" customHeight="1">
      <c r="A923" s="59"/>
      <c r="C923" s="59"/>
      <c r="D923" s="59"/>
      <c r="E923" s="59"/>
      <c r="F923" s="60"/>
      <c r="G923" s="59"/>
      <c r="H923" s="61"/>
      <c r="I923" s="59"/>
      <c r="J923" s="59"/>
      <c r="K923" s="59"/>
      <c r="L923" s="59"/>
      <c r="M923" s="59"/>
      <c r="N923" s="59"/>
      <c r="O923" s="59"/>
      <c r="P923" s="59"/>
      <c r="Q923" s="59"/>
      <c r="R923" s="59"/>
      <c r="S923" s="59"/>
      <c r="T923" s="59"/>
      <c r="U923" s="59"/>
      <c r="V923" s="59"/>
      <c r="W923" s="59"/>
      <c r="X923" s="59"/>
      <c r="Y923" s="59"/>
      <c r="Z923" s="59"/>
    </row>
    <row r="924" ht="15.75" customHeight="1">
      <c r="A924" s="59"/>
      <c r="C924" s="59"/>
      <c r="D924" s="59"/>
      <c r="E924" s="59"/>
      <c r="F924" s="60"/>
      <c r="G924" s="59"/>
      <c r="H924" s="61"/>
      <c r="I924" s="59"/>
      <c r="J924" s="59"/>
      <c r="K924" s="59"/>
      <c r="L924" s="59"/>
      <c r="M924" s="59"/>
      <c r="N924" s="59"/>
      <c r="O924" s="59"/>
      <c r="P924" s="59"/>
      <c r="Q924" s="59"/>
      <c r="R924" s="59"/>
      <c r="S924" s="59"/>
      <c r="T924" s="59"/>
      <c r="U924" s="59"/>
      <c r="V924" s="59"/>
      <c r="W924" s="59"/>
      <c r="X924" s="59"/>
      <c r="Y924" s="59"/>
      <c r="Z924" s="59"/>
    </row>
    <row r="925" ht="15.75" customHeight="1">
      <c r="A925" s="59"/>
      <c r="C925" s="59"/>
      <c r="D925" s="59"/>
      <c r="E925" s="59"/>
      <c r="F925" s="60"/>
      <c r="G925" s="59"/>
      <c r="H925" s="61"/>
      <c r="I925" s="59"/>
      <c r="J925" s="59"/>
      <c r="K925" s="59"/>
      <c r="L925" s="59"/>
      <c r="M925" s="59"/>
      <c r="N925" s="59"/>
      <c r="O925" s="59"/>
      <c r="P925" s="59"/>
      <c r="Q925" s="59"/>
      <c r="R925" s="59"/>
      <c r="S925" s="59"/>
      <c r="T925" s="59"/>
      <c r="U925" s="59"/>
      <c r="V925" s="59"/>
      <c r="W925" s="59"/>
      <c r="X925" s="59"/>
      <c r="Y925" s="59"/>
      <c r="Z925" s="59"/>
    </row>
    <row r="926" ht="15.75" customHeight="1">
      <c r="A926" s="59"/>
      <c r="C926" s="59"/>
      <c r="D926" s="59"/>
      <c r="E926" s="59"/>
      <c r="F926" s="60"/>
      <c r="G926" s="59"/>
      <c r="H926" s="61"/>
      <c r="I926" s="59"/>
      <c r="J926" s="59"/>
      <c r="K926" s="59"/>
      <c r="L926" s="59"/>
      <c r="M926" s="59"/>
      <c r="N926" s="59"/>
      <c r="O926" s="59"/>
      <c r="P926" s="59"/>
      <c r="Q926" s="59"/>
      <c r="R926" s="59"/>
      <c r="S926" s="59"/>
      <c r="T926" s="59"/>
      <c r="U926" s="59"/>
      <c r="V926" s="59"/>
      <c r="W926" s="59"/>
      <c r="X926" s="59"/>
      <c r="Y926" s="59"/>
      <c r="Z926" s="59"/>
    </row>
    <row r="927" ht="15.75" customHeight="1">
      <c r="A927" s="59"/>
      <c r="C927" s="59"/>
      <c r="D927" s="59"/>
      <c r="E927" s="59"/>
      <c r="F927" s="60"/>
      <c r="G927" s="59"/>
      <c r="H927" s="61"/>
      <c r="I927" s="59"/>
      <c r="J927" s="59"/>
      <c r="K927" s="59"/>
      <c r="L927" s="59"/>
      <c r="M927" s="59"/>
      <c r="N927" s="59"/>
      <c r="O927" s="59"/>
      <c r="P927" s="59"/>
      <c r="Q927" s="59"/>
      <c r="R927" s="59"/>
      <c r="S927" s="59"/>
      <c r="T927" s="59"/>
      <c r="U927" s="59"/>
      <c r="V927" s="59"/>
      <c r="W927" s="59"/>
      <c r="X927" s="59"/>
      <c r="Y927" s="59"/>
      <c r="Z927" s="59"/>
    </row>
    <row r="928" ht="15.75" customHeight="1">
      <c r="A928" s="59"/>
      <c r="C928" s="59"/>
      <c r="D928" s="59"/>
      <c r="E928" s="59"/>
      <c r="F928" s="60"/>
      <c r="G928" s="59"/>
      <c r="H928" s="61"/>
      <c r="I928" s="59"/>
      <c r="J928" s="59"/>
      <c r="K928" s="59"/>
      <c r="L928" s="59"/>
      <c r="M928" s="59"/>
      <c r="N928" s="59"/>
      <c r="O928" s="59"/>
      <c r="P928" s="59"/>
      <c r="Q928" s="59"/>
      <c r="R928" s="59"/>
      <c r="S928" s="59"/>
      <c r="T928" s="59"/>
      <c r="U928" s="59"/>
      <c r="V928" s="59"/>
      <c r="W928" s="59"/>
      <c r="X928" s="59"/>
      <c r="Y928" s="59"/>
      <c r="Z928" s="59"/>
    </row>
    <row r="929" ht="15.75" customHeight="1">
      <c r="A929" s="59"/>
      <c r="C929" s="59"/>
      <c r="D929" s="59"/>
      <c r="E929" s="59"/>
      <c r="F929" s="60"/>
      <c r="G929" s="59"/>
      <c r="H929" s="61"/>
      <c r="I929" s="59"/>
      <c r="J929" s="59"/>
      <c r="K929" s="59"/>
      <c r="L929" s="59"/>
      <c r="M929" s="59"/>
      <c r="N929" s="59"/>
      <c r="O929" s="59"/>
      <c r="P929" s="59"/>
      <c r="Q929" s="59"/>
      <c r="R929" s="59"/>
      <c r="S929" s="59"/>
      <c r="T929" s="59"/>
      <c r="U929" s="59"/>
      <c r="V929" s="59"/>
      <c r="W929" s="59"/>
      <c r="X929" s="59"/>
      <c r="Y929" s="59"/>
      <c r="Z929" s="59"/>
    </row>
    <row r="930" ht="15.75" customHeight="1">
      <c r="A930" s="59"/>
      <c r="C930" s="59"/>
      <c r="D930" s="59"/>
      <c r="E930" s="59"/>
      <c r="F930" s="60"/>
      <c r="G930" s="59"/>
      <c r="H930" s="61"/>
      <c r="I930" s="59"/>
      <c r="J930" s="59"/>
      <c r="K930" s="59"/>
      <c r="L930" s="59"/>
      <c r="M930" s="59"/>
      <c r="N930" s="59"/>
      <c r="O930" s="59"/>
      <c r="P930" s="59"/>
      <c r="Q930" s="59"/>
      <c r="R930" s="59"/>
      <c r="S930" s="59"/>
      <c r="T930" s="59"/>
      <c r="U930" s="59"/>
      <c r="V930" s="59"/>
      <c r="W930" s="59"/>
      <c r="X930" s="59"/>
      <c r="Y930" s="59"/>
      <c r="Z930" s="59"/>
    </row>
    <row r="931" ht="15.75" customHeight="1">
      <c r="A931" s="59"/>
      <c r="C931" s="59"/>
      <c r="D931" s="59"/>
      <c r="E931" s="59"/>
      <c r="F931" s="60"/>
      <c r="G931" s="59"/>
      <c r="H931" s="61"/>
      <c r="I931" s="59"/>
      <c r="J931" s="59"/>
      <c r="K931" s="59"/>
      <c r="L931" s="59"/>
      <c r="M931" s="59"/>
      <c r="N931" s="59"/>
      <c r="O931" s="59"/>
      <c r="P931" s="59"/>
      <c r="Q931" s="59"/>
      <c r="R931" s="59"/>
      <c r="S931" s="59"/>
      <c r="T931" s="59"/>
      <c r="U931" s="59"/>
      <c r="V931" s="59"/>
      <c r="W931" s="59"/>
      <c r="X931" s="59"/>
      <c r="Y931" s="59"/>
      <c r="Z931" s="59"/>
    </row>
    <row r="932" ht="15.75" customHeight="1">
      <c r="A932" s="59"/>
      <c r="C932" s="59"/>
      <c r="D932" s="59"/>
      <c r="E932" s="59"/>
      <c r="F932" s="60"/>
      <c r="G932" s="59"/>
      <c r="H932" s="61"/>
      <c r="I932" s="59"/>
      <c r="J932" s="59"/>
      <c r="K932" s="59"/>
      <c r="L932" s="59"/>
      <c r="M932" s="59"/>
      <c r="N932" s="59"/>
      <c r="O932" s="59"/>
      <c r="P932" s="59"/>
      <c r="Q932" s="59"/>
      <c r="R932" s="59"/>
      <c r="S932" s="59"/>
      <c r="T932" s="59"/>
      <c r="U932" s="59"/>
      <c r="V932" s="59"/>
      <c r="W932" s="59"/>
      <c r="X932" s="59"/>
      <c r="Y932" s="59"/>
      <c r="Z932" s="59"/>
    </row>
    <row r="933" ht="15.75" customHeight="1">
      <c r="A933" s="59"/>
      <c r="C933" s="59"/>
      <c r="D933" s="59"/>
      <c r="E933" s="59"/>
      <c r="F933" s="60"/>
      <c r="G933" s="59"/>
      <c r="H933" s="61"/>
      <c r="I933" s="59"/>
      <c r="J933" s="59"/>
      <c r="K933" s="59"/>
      <c r="L933" s="59"/>
      <c r="M933" s="59"/>
      <c r="N933" s="59"/>
      <c r="O933" s="59"/>
      <c r="P933" s="59"/>
      <c r="Q933" s="59"/>
      <c r="R933" s="59"/>
      <c r="S933" s="59"/>
      <c r="T933" s="59"/>
      <c r="U933" s="59"/>
      <c r="V933" s="59"/>
      <c r="W933" s="59"/>
      <c r="X933" s="59"/>
      <c r="Y933" s="59"/>
      <c r="Z933" s="59"/>
    </row>
    <row r="934" ht="15.75" customHeight="1">
      <c r="A934" s="59"/>
      <c r="C934" s="59"/>
      <c r="D934" s="59"/>
      <c r="E934" s="59"/>
      <c r="F934" s="60"/>
      <c r="G934" s="59"/>
      <c r="H934" s="61"/>
      <c r="I934" s="59"/>
      <c r="J934" s="59"/>
      <c r="K934" s="59"/>
      <c r="L934" s="59"/>
      <c r="M934" s="59"/>
      <c r="N934" s="59"/>
      <c r="O934" s="59"/>
      <c r="P934" s="59"/>
      <c r="Q934" s="59"/>
      <c r="R934" s="59"/>
      <c r="S934" s="59"/>
      <c r="T934" s="59"/>
      <c r="U934" s="59"/>
      <c r="V934" s="59"/>
      <c r="W934" s="59"/>
      <c r="X934" s="59"/>
      <c r="Y934" s="59"/>
      <c r="Z934" s="59"/>
    </row>
    <row r="935" ht="15.75" customHeight="1">
      <c r="A935" s="59"/>
      <c r="C935" s="59"/>
      <c r="D935" s="59"/>
      <c r="E935" s="59"/>
      <c r="F935" s="60"/>
      <c r="G935" s="59"/>
      <c r="H935" s="61"/>
      <c r="I935" s="59"/>
      <c r="J935" s="59"/>
      <c r="K935" s="59"/>
      <c r="L935" s="59"/>
      <c r="M935" s="59"/>
      <c r="N935" s="59"/>
      <c r="O935" s="59"/>
      <c r="P935" s="59"/>
      <c r="Q935" s="59"/>
      <c r="R935" s="59"/>
      <c r="S935" s="59"/>
      <c r="T935" s="59"/>
      <c r="U935" s="59"/>
      <c r="V935" s="59"/>
      <c r="W935" s="59"/>
      <c r="X935" s="59"/>
      <c r="Y935" s="59"/>
      <c r="Z935" s="59"/>
    </row>
    <row r="936" ht="15.75" customHeight="1">
      <c r="A936" s="59"/>
      <c r="C936" s="59"/>
      <c r="D936" s="59"/>
      <c r="E936" s="59"/>
      <c r="F936" s="60"/>
      <c r="G936" s="59"/>
      <c r="H936" s="61"/>
      <c r="I936" s="59"/>
      <c r="J936" s="59"/>
      <c r="K936" s="59"/>
      <c r="L936" s="59"/>
      <c r="M936" s="59"/>
      <c r="N936" s="59"/>
      <c r="O936" s="59"/>
      <c r="P936" s="59"/>
      <c r="Q936" s="59"/>
      <c r="R936" s="59"/>
      <c r="S936" s="59"/>
      <c r="T936" s="59"/>
      <c r="U936" s="59"/>
      <c r="V936" s="59"/>
      <c r="W936" s="59"/>
      <c r="X936" s="59"/>
      <c r="Y936" s="59"/>
      <c r="Z936" s="59"/>
    </row>
    <row r="937" ht="15.75" customHeight="1">
      <c r="A937" s="59"/>
      <c r="C937" s="59"/>
      <c r="D937" s="59"/>
      <c r="E937" s="59"/>
      <c r="F937" s="60"/>
      <c r="G937" s="59"/>
      <c r="H937" s="61"/>
      <c r="I937" s="59"/>
      <c r="J937" s="59"/>
      <c r="K937" s="59"/>
      <c r="L937" s="59"/>
      <c r="M937" s="59"/>
      <c r="N937" s="59"/>
      <c r="O937" s="59"/>
      <c r="P937" s="59"/>
      <c r="Q937" s="59"/>
      <c r="R937" s="59"/>
      <c r="S937" s="59"/>
      <c r="T937" s="59"/>
      <c r="U937" s="59"/>
      <c r="V937" s="59"/>
      <c r="W937" s="59"/>
      <c r="X937" s="59"/>
      <c r="Y937" s="59"/>
      <c r="Z937" s="59"/>
    </row>
    <row r="938" ht="15.75" customHeight="1">
      <c r="A938" s="59"/>
      <c r="C938" s="59"/>
      <c r="D938" s="59"/>
      <c r="E938" s="59"/>
      <c r="F938" s="60"/>
      <c r="G938" s="59"/>
      <c r="H938" s="61"/>
      <c r="I938" s="59"/>
      <c r="J938" s="59"/>
      <c r="K938" s="59"/>
      <c r="L938" s="59"/>
      <c r="M938" s="59"/>
      <c r="N938" s="59"/>
      <c r="O938" s="59"/>
      <c r="P938" s="59"/>
      <c r="Q938" s="59"/>
      <c r="R938" s="59"/>
      <c r="S938" s="59"/>
      <c r="T938" s="59"/>
      <c r="U938" s="59"/>
      <c r="V938" s="59"/>
      <c r="W938" s="59"/>
      <c r="X938" s="59"/>
      <c r="Y938" s="59"/>
      <c r="Z938" s="59"/>
    </row>
    <row r="939" ht="15.75" customHeight="1">
      <c r="A939" s="59"/>
      <c r="C939" s="59"/>
      <c r="D939" s="59"/>
      <c r="E939" s="59"/>
      <c r="F939" s="60"/>
      <c r="G939" s="59"/>
      <c r="H939" s="61"/>
      <c r="I939" s="59"/>
      <c r="J939" s="59"/>
      <c r="K939" s="59"/>
      <c r="L939" s="59"/>
      <c r="M939" s="59"/>
      <c r="N939" s="59"/>
      <c r="O939" s="59"/>
      <c r="P939" s="59"/>
      <c r="Q939" s="59"/>
      <c r="R939" s="59"/>
      <c r="S939" s="59"/>
      <c r="T939" s="59"/>
      <c r="U939" s="59"/>
      <c r="V939" s="59"/>
      <c r="W939" s="59"/>
      <c r="X939" s="59"/>
      <c r="Y939" s="59"/>
      <c r="Z939" s="59"/>
    </row>
    <row r="940" ht="15.75" customHeight="1">
      <c r="A940" s="59"/>
      <c r="C940" s="59"/>
      <c r="D940" s="59"/>
      <c r="E940" s="59"/>
      <c r="F940" s="60"/>
      <c r="G940" s="59"/>
      <c r="H940" s="61"/>
      <c r="I940" s="59"/>
      <c r="J940" s="59"/>
      <c r="K940" s="59"/>
      <c r="L940" s="59"/>
      <c r="M940" s="59"/>
      <c r="N940" s="59"/>
      <c r="O940" s="59"/>
      <c r="P940" s="59"/>
      <c r="Q940" s="59"/>
      <c r="R940" s="59"/>
      <c r="S940" s="59"/>
      <c r="T940" s="59"/>
      <c r="U940" s="59"/>
      <c r="V940" s="59"/>
      <c r="W940" s="59"/>
      <c r="X940" s="59"/>
      <c r="Y940" s="59"/>
      <c r="Z940" s="59"/>
    </row>
    <row r="941" ht="15.75" customHeight="1">
      <c r="A941" s="59"/>
      <c r="C941" s="59"/>
      <c r="D941" s="59"/>
      <c r="E941" s="59"/>
      <c r="F941" s="60"/>
      <c r="G941" s="59"/>
      <c r="H941" s="61"/>
      <c r="I941" s="59"/>
      <c r="J941" s="59"/>
      <c r="K941" s="59"/>
      <c r="L941" s="59"/>
      <c r="M941" s="59"/>
      <c r="N941" s="59"/>
      <c r="O941" s="59"/>
      <c r="P941" s="59"/>
      <c r="Q941" s="59"/>
      <c r="R941" s="59"/>
      <c r="S941" s="59"/>
      <c r="T941" s="59"/>
      <c r="U941" s="59"/>
      <c r="V941" s="59"/>
      <c r="W941" s="59"/>
      <c r="X941" s="59"/>
      <c r="Y941" s="59"/>
      <c r="Z941" s="59"/>
    </row>
    <row r="942" ht="15.75" customHeight="1">
      <c r="A942" s="59"/>
      <c r="C942" s="59"/>
      <c r="D942" s="59"/>
      <c r="E942" s="59"/>
      <c r="F942" s="60"/>
      <c r="G942" s="59"/>
      <c r="H942" s="61"/>
      <c r="I942" s="59"/>
      <c r="J942" s="59"/>
      <c r="K942" s="59"/>
      <c r="L942" s="59"/>
      <c r="M942" s="59"/>
      <c r="N942" s="59"/>
      <c r="O942" s="59"/>
      <c r="P942" s="59"/>
      <c r="Q942" s="59"/>
      <c r="R942" s="59"/>
      <c r="S942" s="59"/>
      <c r="T942" s="59"/>
      <c r="U942" s="59"/>
      <c r="V942" s="59"/>
      <c r="W942" s="59"/>
      <c r="X942" s="59"/>
      <c r="Y942" s="59"/>
      <c r="Z942" s="59"/>
    </row>
    <row r="943" ht="15.75" customHeight="1">
      <c r="A943" s="59"/>
      <c r="C943" s="59"/>
      <c r="D943" s="59"/>
      <c r="E943" s="59"/>
      <c r="F943" s="60"/>
      <c r="G943" s="59"/>
      <c r="H943" s="61"/>
      <c r="I943" s="59"/>
      <c r="J943" s="59"/>
      <c r="K943" s="59"/>
      <c r="L943" s="59"/>
      <c r="M943" s="59"/>
      <c r="N943" s="59"/>
      <c r="O943" s="59"/>
      <c r="P943" s="59"/>
      <c r="Q943" s="59"/>
      <c r="R943" s="59"/>
      <c r="S943" s="59"/>
      <c r="T943" s="59"/>
      <c r="U943" s="59"/>
      <c r="V943" s="59"/>
      <c r="W943" s="59"/>
      <c r="X943" s="59"/>
      <c r="Y943" s="59"/>
      <c r="Z943" s="59"/>
    </row>
    <row r="944" ht="15.75" customHeight="1">
      <c r="A944" s="59"/>
      <c r="C944" s="59"/>
      <c r="D944" s="59"/>
      <c r="E944" s="59"/>
      <c r="F944" s="60"/>
      <c r="G944" s="59"/>
      <c r="H944" s="61"/>
      <c r="I944" s="59"/>
      <c r="J944" s="59"/>
      <c r="K944" s="59"/>
      <c r="L944" s="59"/>
      <c r="M944" s="59"/>
      <c r="N944" s="59"/>
      <c r="O944" s="59"/>
      <c r="P944" s="59"/>
      <c r="Q944" s="59"/>
      <c r="R944" s="59"/>
      <c r="S944" s="59"/>
      <c r="T944" s="59"/>
      <c r="U944" s="59"/>
      <c r="V944" s="59"/>
      <c r="W944" s="59"/>
      <c r="X944" s="59"/>
      <c r="Y944" s="59"/>
      <c r="Z944" s="59"/>
    </row>
    <row r="945" ht="15.75" customHeight="1">
      <c r="A945" s="59"/>
      <c r="C945" s="59"/>
      <c r="D945" s="59"/>
      <c r="E945" s="59"/>
      <c r="F945" s="60"/>
      <c r="G945" s="59"/>
      <c r="H945" s="61"/>
      <c r="I945" s="59"/>
      <c r="J945" s="59"/>
      <c r="K945" s="59"/>
      <c r="L945" s="59"/>
      <c r="M945" s="59"/>
      <c r="N945" s="59"/>
      <c r="O945" s="59"/>
      <c r="P945" s="59"/>
      <c r="Q945" s="59"/>
      <c r="R945" s="59"/>
      <c r="S945" s="59"/>
      <c r="T945" s="59"/>
      <c r="U945" s="59"/>
      <c r="V945" s="59"/>
      <c r="W945" s="59"/>
      <c r="X945" s="59"/>
      <c r="Y945" s="59"/>
      <c r="Z945" s="59"/>
    </row>
    <row r="946" ht="15.75" customHeight="1">
      <c r="A946" s="59"/>
      <c r="C946" s="59"/>
      <c r="D946" s="59"/>
      <c r="E946" s="59"/>
      <c r="F946" s="60"/>
      <c r="G946" s="59"/>
      <c r="H946" s="61"/>
      <c r="I946" s="59"/>
      <c r="J946" s="59"/>
      <c r="K946" s="59"/>
      <c r="L946" s="59"/>
      <c r="M946" s="59"/>
      <c r="N946" s="59"/>
      <c r="O946" s="59"/>
      <c r="P946" s="59"/>
      <c r="Q946" s="59"/>
      <c r="R946" s="59"/>
      <c r="S946" s="59"/>
      <c r="T946" s="59"/>
      <c r="U946" s="59"/>
      <c r="V946" s="59"/>
      <c r="W946" s="59"/>
      <c r="X946" s="59"/>
      <c r="Y946" s="59"/>
      <c r="Z946" s="59"/>
    </row>
    <row r="947" ht="15.75" customHeight="1">
      <c r="A947" s="59"/>
      <c r="C947" s="59"/>
      <c r="D947" s="59"/>
      <c r="E947" s="59"/>
      <c r="F947" s="60"/>
      <c r="G947" s="59"/>
      <c r="H947" s="61"/>
      <c r="I947" s="59"/>
      <c r="J947" s="59"/>
      <c r="K947" s="59"/>
      <c r="L947" s="59"/>
      <c r="M947" s="59"/>
      <c r="N947" s="59"/>
      <c r="O947" s="59"/>
      <c r="P947" s="59"/>
      <c r="Q947" s="59"/>
      <c r="R947" s="59"/>
      <c r="S947" s="59"/>
      <c r="T947" s="59"/>
      <c r="U947" s="59"/>
      <c r="V947" s="59"/>
      <c r="W947" s="59"/>
      <c r="X947" s="59"/>
      <c r="Y947" s="59"/>
      <c r="Z947" s="59"/>
    </row>
    <row r="948" ht="15.75" customHeight="1">
      <c r="A948" s="59"/>
      <c r="C948" s="59"/>
      <c r="D948" s="59"/>
      <c r="E948" s="59"/>
      <c r="F948" s="60"/>
      <c r="G948" s="59"/>
      <c r="H948" s="61"/>
      <c r="I948" s="59"/>
      <c r="J948" s="59"/>
      <c r="K948" s="59"/>
      <c r="L948" s="59"/>
      <c r="M948" s="59"/>
      <c r="N948" s="59"/>
      <c r="O948" s="59"/>
      <c r="P948" s="59"/>
      <c r="Q948" s="59"/>
      <c r="R948" s="59"/>
      <c r="S948" s="59"/>
      <c r="T948" s="59"/>
      <c r="U948" s="59"/>
      <c r="V948" s="59"/>
      <c r="W948" s="59"/>
      <c r="X948" s="59"/>
      <c r="Y948" s="59"/>
      <c r="Z948" s="59"/>
    </row>
    <row r="949" ht="15.75" customHeight="1">
      <c r="A949" s="59"/>
      <c r="C949" s="59"/>
      <c r="D949" s="59"/>
      <c r="E949" s="59"/>
      <c r="F949" s="60"/>
      <c r="G949" s="59"/>
      <c r="H949" s="61"/>
      <c r="I949" s="59"/>
      <c r="J949" s="59"/>
      <c r="K949" s="59"/>
      <c r="L949" s="59"/>
      <c r="M949" s="59"/>
      <c r="N949" s="59"/>
      <c r="O949" s="59"/>
      <c r="P949" s="59"/>
      <c r="Q949" s="59"/>
      <c r="R949" s="59"/>
      <c r="S949" s="59"/>
      <c r="T949" s="59"/>
      <c r="U949" s="59"/>
      <c r="V949" s="59"/>
      <c r="W949" s="59"/>
      <c r="X949" s="59"/>
      <c r="Y949" s="59"/>
      <c r="Z949" s="59"/>
    </row>
    <row r="950" ht="15.75" customHeight="1">
      <c r="A950" s="59"/>
      <c r="C950" s="59"/>
      <c r="D950" s="59"/>
      <c r="E950" s="59"/>
      <c r="F950" s="60"/>
      <c r="G950" s="59"/>
      <c r="H950" s="61"/>
      <c r="I950" s="59"/>
      <c r="J950" s="59"/>
      <c r="K950" s="59"/>
      <c r="L950" s="59"/>
      <c r="M950" s="59"/>
      <c r="N950" s="59"/>
      <c r="O950" s="59"/>
      <c r="P950" s="59"/>
      <c r="Q950" s="59"/>
      <c r="R950" s="59"/>
      <c r="S950" s="59"/>
      <c r="T950" s="59"/>
      <c r="U950" s="59"/>
      <c r="V950" s="59"/>
      <c r="W950" s="59"/>
      <c r="X950" s="59"/>
      <c r="Y950" s="59"/>
      <c r="Z950" s="59"/>
    </row>
    <row r="951" ht="15.75" customHeight="1">
      <c r="A951" s="59"/>
      <c r="C951" s="59"/>
      <c r="D951" s="59"/>
      <c r="E951" s="59"/>
      <c r="F951" s="60"/>
      <c r="G951" s="59"/>
      <c r="H951" s="61"/>
      <c r="I951" s="59"/>
      <c r="J951" s="59"/>
      <c r="K951" s="59"/>
      <c r="L951" s="59"/>
      <c r="M951" s="59"/>
      <c r="N951" s="59"/>
      <c r="O951" s="59"/>
      <c r="P951" s="59"/>
      <c r="Q951" s="59"/>
      <c r="R951" s="59"/>
      <c r="S951" s="59"/>
      <c r="T951" s="59"/>
      <c r="U951" s="59"/>
      <c r="V951" s="59"/>
      <c r="W951" s="59"/>
      <c r="X951" s="59"/>
      <c r="Y951" s="59"/>
      <c r="Z951" s="59"/>
    </row>
    <row r="952" ht="15.75" customHeight="1">
      <c r="A952" s="59"/>
      <c r="C952" s="59"/>
      <c r="D952" s="59"/>
      <c r="E952" s="59"/>
      <c r="F952" s="60"/>
      <c r="G952" s="59"/>
      <c r="H952" s="61"/>
      <c r="I952" s="59"/>
      <c r="J952" s="59"/>
      <c r="K952" s="59"/>
      <c r="L952" s="59"/>
      <c r="M952" s="59"/>
      <c r="N952" s="59"/>
      <c r="O952" s="59"/>
      <c r="P952" s="59"/>
      <c r="Q952" s="59"/>
      <c r="R952" s="59"/>
      <c r="S952" s="59"/>
      <c r="T952" s="59"/>
      <c r="U952" s="59"/>
      <c r="V952" s="59"/>
      <c r="W952" s="59"/>
      <c r="X952" s="59"/>
      <c r="Y952" s="59"/>
      <c r="Z952" s="59"/>
    </row>
    <row r="953" ht="15.75" customHeight="1">
      <c r="A953" s="59"/>
      <c r="C953" s="59"/>
      <c r="D953" s="59"/>
      <c r="E953" s="59"/>
      <c r="F953" s="60"/>
      <c r="G953" s="59"/>
      <c r="H953" s="61"/>
      <c r="I953" s="59"/>
      <c r="J953" s="59"/>
      <c r="K953" s="59"/>
      <c r="L953" s="59"/>
      <c r="M953" s="59"/>
      <c r="N953" s="59"/>
      <c r="O953" s="59"/>
      <c r="P953" s="59"/>
      <c r="Q953" s="59"/>
      <c r="R953" s="59"/>
      <c r="S953" s="59"/>
      <c r="T953" s="59"/>
      <c r="U953" s="59"/>
      <c r="V953" s="59"/>
      <c r="W953" s="59"/>
      <c r="X953" s="59"/>
      <c r="Y953" s="59"/>
      <c r="Z953" s="59"/>
    </row>
    <row r="954" ht="15.75" customHeight="1">
      <c r="A954" s="59"/>
      <c r="C954" s="59"/>
      <c r="D954" s="59"/>
      <c r="E954" s="59"/>
      <c r="F954" s="60"/>
      <c r="G954" s="59"/>
      <c r="H954" s="61"/>
      <c r="I954" s="59"/>
      <c r="J954" s="59"/>
      <c r="K954" s="59"/>
      <c r="L954" s="59"/>
      <c r="M954" s="59"/>
      <c r="N954" s="59"/>
      <c r="O954" s="59"/>
      <c r="P954" s="59"/>
      <c r="Q954" s="59"/>
      <c r="R954" s="59"/>
      <c r="S954" s="59"/>
      <c r="T954" s="59"/>
      <c r="U954" s="59"/>
      <c r="V954" s="59"/>
      <c r="W954" s="59"/>
      <c r="X954" s="59"/>
      <c r="Y954" s="59"/>
      <c r="Z954" s="59"/>
    </row>
    <row r="955" ht="15.75" customHeight="1">
      <c r="A955" s="59"/>
      <c r="C955" s="59"/>
      <c r="D955" s="59"/>
      <c r="E955" s="59"/>
      <c r="F955" s="60"/>
      <c r="G955" s="59"/>
      <c r="H955" s="61"/>
      <c r="I955" s="59"/>
      <c r="J955" s="59"/>
      <c r="K955" s="59"/>
      <c r="L955" s="59"/>
      <c r="M955" s="59"/>
      <c r="N955" s="59"/>
      <c r="O955" s="59"/>
      <c r="P955" s="59"/>
      <c r="Q955" s="59"/>
      <c r="R955" s="59"/>
      <c r="S955" s="59"/>
      <c r="T955" s="59"/>
      <c r="U955" s="59"/>
      <c r="V955" s="59"/>
      <c r="W955" s="59"/>
      <c r="X955" s="59"/>
      <c r="Y955" s="59"/>
      <c r="Z955" s="59"/>
    </row>
    <row r="956" ht="15.75" customHeight="1">
      <c r="A956" s="59"/>
      <c r="C956" s="59"/>
      <c r="D956" s="59"/>
      <c r="E956" s="59"/>
      <c r="F956" s="60"/>
      <c r="G956" s="59"/>
      <c r="H956" s="61"/>
      <c r="I956" s="59"/>
      <c r="J956" s="59"/>
      <c r="K956" s="59"/>
      <c r="L956" s="59"/>
      <c r="M956" s="59"/>
      <c r="N956" s="59"/>
      <c r="O956" s="59"/>
      <c r="P956" s="59"/>
      <c r="Q956" s="59"/>
      <c r="R956" s="59"/>
      <c r="S956" s="59"/>
      <c r="T956" s="59"/>
      <c r="U956" s="59"/>
      <c r="V956" s="59"/>
      <c r="W956" s="59"/>
      <c r="X956" s="59"/>
      <c r="Y956" s="59"/>
      <c r="Z956" s="59"/>
    </row>
    <row r="957" ht="15.75" customHeight="1">
      <c r="A957" s="59"/>
      <c r="C957" s="59"/>
      <c r="D957" s="59"/>
      <c r="E957" s="59"/>
      <c r="F957" s="60"/>
      <c r="G957" s="59"/>
      <c r="H957" s="61"/>
      <c r="I957" s="59"/>
      <c r="J957" s="59"/>
      <c r="K957" s="59"/>
      <c r="L957" s="59"/>
      <c r="M957" s="59"/>
      <c r="N957" s="59"/>
      <c r="O957" s="59"/>
      <c r="P957" s="59"/>
      <c r="Q957" s="59"/>
      <c r="R957" s="59"/>
      <c r="S957" s="59"/>
      <c r="T957" s="59"/>
      <c r="U957" s="59"/>
      <c r="V957" s="59"/>
      <c r="W957" s="59"/>
      <c r="X957" s="59"/>
      <c r="Y957" s="59"/>
      <c r="Z957" s="59"/>
    </row>
    <row r="958" ht="15.75" customHeight="1">
      <c r="A958" s="59"/>
      <c r="C958" s="59"/>
      <c r="D958" s="59"/>
      <c r="E958" s="59"/>
      <c r="F958" s="60"/>
      <c r="G958" s="59"/>
      <c r="H958" s="61"/>
      <c r="I958" s="59"/>
      <c r="J958" s="59"/>
      <c r="K958" s="59"/>
      <c r="L958" s="59"/>
      <c r="M958" s="59"/>
      <c r="N958" s="59"/>
      <c r="O958" s="59"/>
      <c r="P958" s="59"/>
      <c r="Q958" s="59"/>
      <c r="R958" s="59"/>
      <c r="S958" s="59"/>
      <c r="T958" s="59"/>
      <c r="U958" s="59"/>
      <c r="V958" s="59"/>
      <c r="W958" s="59"/>
      <c r="X958" s="59"/>
      <c r="Y958" s="59"/>
      <c r="Z958" s="59"/>
    </row>
    <row r="959" ht="15.75" customHeight="1">
      <c r="A959" s="59"/>
      <c r="C959" s="59"/>
      <c r="D959" s="59"/>
      <c r="E959" s="59"/>
      <c r="F959" s="60"/>
      <c r="G959" s="59"/>
      <c r="H959" s="61"/>
      <c r="I959" s="59"/>
      <c r="J959" s="59"/>
      <c r="K959" s="59"/>
      <c r="L959" s="59"/>
      <c r="M959" s="59"/>
      <c r="N959" s="59"/>
      <c r="O959" s="59"/>
      <c r="P959" s="59"/>
      <c r="Q959" s="59"/>
      <c r="R959" s="59"/>
      <c r="S959" s="59"/>
      <c r="T959" s="59"/>
      <c r="U959" s="59"/>
      <c r="V959" s="59"/>
      <c r="W959" s="59"/>
      <c r="X959" s="59"/>
      <c r="Y959" s="59"/>
      <c r="Z959" s="59"/>
    </row>
    <row r="960" ht="15.75" customHeight="1">
      <c r="A960" s="59"/>
      <c r="C960" s="59"/>
      <c r="D960" s="59"/>
      <c r="E960" s="59"/>
      <c r="F960" s="60"/>
      <c r="G960" s="59"/>
      <c r="H960" s="61"/>
      <c r="I960" s="59"/>
      <c r="J960" s="59"/>
      <c r="K960" s="59"/>
      <c r="L960" s="59"/>
      <c r="M960" s="59"/>
      <c r="N960" s="59"/>
      <c r="O960" s="59"/>
      <c r="P960" s="59"/>
      <c r="Q960" s="59"/>
      <c r="R960" s="59"/>
      <c r="S960" s="59"/>
      <c r="T960" s="59"/>
      <c r="U960" s="59"/>
      <c r="V960" s="59"/>
      <c r="W960" s="59"/>
      <c r="X960" s="59"/>
      <c r="Y960" s="59"/>
      <c r="Z960" s="59"/>
    </row>
    <row r="961" ht="15.75" customHeight="1">
      <c r="A961" s="59"/>
      <c r="C961" s="59"/>
      <c r="D961" s="59"/>
      <c r="E961" s="59"/>
      <c r="F961" s="60"/>
      <c r="G961" s="59"/>
      <c r="H961" s="61"/>
      <c r="I961" s="59"/>
      <c r="J961" s="59"/>
      <c r="K961" s="59"/>
      <c r="L961" s="59"/>
      <c r="M961" s="59"/>
      <c r="N961" s="59"/>
      <c r="O961" s="59"/>
      <c r="P961" s="59"/>
      <c r="Q961" s="59"/>
      <c r="R961" s="59"/>
      <c r="S961" s="59"/>
      <c r="T961" s="59"/>
      <c r="U961" s="59"/>
      <c r="V961" s="59"/>
      <c r="W961" s="59"/>
      <c r="X961" s="59"/>
      <c r="Y961" s="59"/>
      <c r="Z961" s="59"/>
    </row>
    <row r="962" ht="15.75" customHeight="1">
      <c r="A962" s="59"/>
      <c r="C962" s="59"/>
      <c r="D962" s="59"/>
      <c r="E962" s="59"/>
      <c r="F962" s="60"/>
      <c r="G962" s="59"/>
      <c r="H962" s="61"/>
      <c r="I962" s="59"/>
      <c r="J962" s="59"/>
      <c r="K962" s="59"/>
      <c r="L962" s="59"/>
      <c r="M962" s="59"/>
      <c r="N962" s="59"/>
      <c r="O962" s="59"/>
      <c r="P962" s="59"/>
      <c r="Q962" s="59"/>
      <c r="R962" s="59"/>
      <c r="S962" s="59"/>
      <c r="T962" s="59"/>
      <c r="U962" s="59"/>
      <c r="V962" s="59"/>
      <c r="W962" s="59"/>
      <c r="X962" s="59"/>
      <c r="Y962" s="59"/>
      <c r="Z962" s="59"/>
    </row>
    <row r="963" ht="15.75" customHeight="1">
      <c r="A963" s="59"/>
      <c r="C963" s="59"/>
      <c r="D963" s="59"/>
      <c r="E963" s="59"/>
      <c r="F963" s="60"/>
      <c r="G963" s="59"/>
      <c r="H963" s="61"/>
      <c r="I963" s="59"/>
      <c r="J963" s="59"/>
      <c r="K963" s="59"/>
      <c r="L963" s="59"/>
      <c r="M963" s="59"/>
      <c r="N963" s="59"/>
      <c r="O963" s="59"/>
      <c r="P963" s="59"/>
      <c r="Q963" s="59"/>
      <c r="R963" s="59"/>
      <c r="S963" s="59"/>
      <c r="T963" s="59"/>
      <c r="U963" s="59"/>
      <c r="V963" s="59"/>
      <c r="W963" s="59"/>
      <c r="X963" s="59"/>
      <c r="Y963" s="59"/>
      <c r="Z963" s="59"/>
    </row>
    <row r="964" ht="15.75" customHeight="1">
      <c r="A964" s="59"/>
      <c r="C964" s="59"/>
      <c r="D964" s="59"/>
      <c r="E964" s="59"/>
      <c r="F964" s="60"/>
      <c r="G964" s="59"/>
      <c r="H964" s="61"/>
      <c r="I964" s="59"/>
      <c r="J964" s="59"/>
      <c r="K964" s="59"/>
      <c r="L964" s="59"/>
      <c r="M964" s="59"/>
      <c r="N964" s="59"/>
      <c r="O964" s="59"/>
      <c r="P964" s="59"/>
      <c r="Q964" s="59"/>
      <c r="R964" s="59"/>
      <c r="S964" s="59"/>
      <c r="T964" s="59"/>
      <c r="U964" s="59"/>
      <c r="V964" s="59"/>
      <c r="W964" s="59"/>
      <c r="X964" s="59"/>
      <c r="Y964" s="59"/>
      <c r="Z964" s="59"/>
    </row>
    <row r="965" ht="15.75" customHeight="1">
      <c r="A965" s="59"/>
      <c r="C965" s="59"/>
      <c r="D965" s="59"/>
      <c r="E965" s="59"/>
      <c r="F965" s="60"/>
      <c r="G965" s="59"/>
      <c r="H965" s="61"/>
      <c r="I965" s="59"/>
      <c r="J965" s="59"/>
      <c r="K965" s="59"/>
      <c r="L965" s="59"/>
      <c r="M965" s="59"/>
      <c r="N965" s="59"/>
      <c r="O965" s="59"/>
      <c r="P965" s="59"/>
      <c r="Q965" s="59"/>
      <c r="R965" s="59"/>
      <c r="S965" s="59"/>
      <c r="T965" s="59"/>
      <c r="U965" s="59"/>
      <c r="V965" s="59"/>
      <c r="W965" s="59"/>
      <c r="X965" s="59"/>
      <c r="Y965" s="59"/>
      <c r="Z965" s="59"/>
    </row>
    <row r="966" ht="15.75" customHeight="1">
      <c r="A966" s="59"/>
      <c r="C966" s="59"/>
      <c r="D966" s="59"/>
      <c r="E966" s="59"/>
      <c r="F966" s="60"/>
      <c r="G966" s="59"/>
      <c r="H966" s="61"/>
      <c r="I966" s="59"/>
      <c r="J966" s="59"/>
      <c r="K966" s="59"/>
      <c r="L966" s="59"/>
      <c r="M966" s="59"/>
      <c r="N966" s="59"/>
      <c r="O966" s="59"/>
      <c r="P966" s="59"/>
      <c r="Q966" s="59"/>
      <c r="R966" s="59"/>
      <c r="S966" s="59"/>
      <c r="T966" s="59"/>
      <c r="U966" s="59"/>
      <c r="V966" s="59"/>
      <c r="W966" s="59"/>
      <c r="X966" s="59"/>
      <c r="Y966" s="59"/>
      <c r="Z966" s="59"/>
    </row>
    <row r="967" ht="15.75" customHeight="1">
      <c r="A967" s="59"/>
      <c r="C967" s="59"/>
      <c r="D967" s="59"/>
      <c r="E967" s="59"/>
      <c r="F967" s="60"/>
      <c r="G967" s="59"/>
      <c r="H967" s="61"/>
      <c r="I967" s="59"/>
      <c r="J967" s="59"/>
      <c r="K967" s="59"/>
      <c r="L967" s="59"/>
      <c r="M967" s="59"/>
      <c r="N967" s="59"/>
      <c r="O967" s="59"/>
      <c r="P967" s="59"/>
      <c r="Q967" s="59"/>
      <c r="R967" s="59"/>
      <c r="S967" s="59"/>
      <c r="T967" s="59"/>
      <c r="U967" s="59"/>
      <c r="V967" s="59"/>
      <c r="W967" s="59"/>
      <c r="X967" s="59"/>
      <c r="Y967" s="59"/>
      <c r="Z967" s="59"/>
    </row>
    <row r="968" ht="15.75" customHeight="1">
      <c r="A968" s="59"/>
      <c r="C968" s="59"/>
      <c r="D968" s="59"/>
      <c r="E968" s="59"/>
      <c r="F968" s="60"/>
      <c r="G968" s="59"/>
      <c r="H968" s="61"/>
      <c r="I968" s="59"/>
      <c r="J968" s="59"/>
      <c r="K968" s="59"/>
      <c r="L968" s="59"/>
      <c r="M968" s="59"/>
      <c r="N968" s="59"/>
      <c r="O968" s="59"/>
      <c r="P968" s="59"/>
      <c r="Q968" s="59"/>
      <c r="R968" s="59"/>
      <c r="S968" s="59"/>
      <c r="T968" s="59"/>
      <c r="U968" s="59"/>
      <c r="V968" s="59"/>
      <c r="W968" s="59"/>
      <c r="X968" s="59"/>
      <c r="Y968" s="59"/>
      <c r="Z968" s="59"/>
    </row>
    <row r="969" ht="15.75" customHeight="1">
      <c r="A969" s="59"/>
      <c r="C969" s="59"/>
      <c r="D969" s="59"/>
      <c r="E969" s="59"/>
      <c r="F969" s="60"/>
      <c r="G969" s="59"/>
      <c r="H969" s="61"/>
      <c r="I969" s="59"/>
      <c r="J969" s="59"/>
      <c r="K969" s="59"/>
      <c r="L969" s="59"/>
      <c r="M969" s="59"/>
      <c r="N969" s="59"/>
      <c r="O969" s="59"/>
      <c r="P969" s="59"/>
      <c r="Q969" s="59"/>
      <c r="R969" s="59"/>
      <c r="S969" s="59"/>
      <c r="T969" s="59"/>
      <c r="U969" s="59"/>
      <c r="V969" s="59"/>
      <c r="W969" s="59"/>
      <c r="X969" s="59"/>
      <c r="Y969" s="59"/>
      <c r="Z969" s="59"/>
    </row>
    <row r="970" ht="15.75" customHeight="1">
      <c r="A970" s="59"/>
      <c r="C970" s="59"/>
      <c r="D970" s="59"/>
      <c r="E970" s="59"/>
      <c r="F970" s="60"/>
      <c r="G970" s="59"/>
      <c r="H970" s="61"/>
      <c r="I970" s="59"/>
      <c r="J970" s="59"/>
      <c r="K970" s="59"/>
      <c r="L970" s="59"/>
      <c r="M970" s="59"/>
      <c r="N970" s="59"/>
      <c r="O970" s="59"/>
      <c r="P970" s="59"/>
      <c r="Q970" s="59"/>
      <c r="R970" s="59"/>
      <c r="S970" s="59"/>
      <c r="T970" s="59"/>
      <c r="U970" s="59"/>
      <c r="V970" s="59"/>
      <c r="W970" s="59"/>
      <c r="X970" s="59"/>
      <c r="Y970" s="59"/>
      <c r="Z970" s="59"/>
    </row>
    <row r="971" ht="15.75" customHeight="1">
      <c r="A971" s="59"/>
      <c r="C971" s="59"/>
      <c r="D971" s="59"/>
      <c r="E971" s="59"/>
      <c r="F971" s="60"/>
      <c r="G971" s="59"/>
      <c r="H971" s="61"/>
      <c r="I971" s="59"/>
      <c r="J971" s="59"/>
      <c r="K971" s="59"/>
      <c r="L971" s="59"/>
      <c r="M971" s="59"/>
      <c r="N971" s="59"/>
      <c r="O971" s="59"/>
      <c r="P971" s="59"/>
      <c r="Q971" s="59"/>
      <c r="R971" s="59"/>
      <c r="S971" s="59"/>
      <c r="T971" s="59"/>
      <c r="U971" s="59"/>
      <c r="V971" s="59"/>
      <c r="W971" s="59"/>
      <c r="X971" s="59"/>
      <c r="Y971" s="59"/>
      <c r="Z971" s="59"/>
    </row>
    <row r="972" ht="15.75" customHeight="1">
      <c r="A972" s="59"/>
      <c r="C972" s="59"/>
      <c r="D972" s="59"/>
      <c r="E972" s="59"/>
      <c r="F972" s="60"/>
      <c r="G972" s="59"/>
      <c r="H972" s="61"/>
      <c r="I972" s="59"/>
      <c r="J972" s="59"/>
      <c r="K972" s="59"/>
      <c r="L972" s="59"/>
      <c r="M972" s="59"/>
      <c r="N972" s="59"/>
      <c r="O972" s="59"/>
      <c r="P972" s="59"/>
      <c r="Q972" s="59"/>
      <c r="R972" s="59"/>
      <c r="S972" s="59"/>
      <c r="T972" s="59"/>
      <c r="U972" s="59"/>
      <c r="V972" s="59"/>
      <c r="W972" s="59"/>
      <c r="X972" s="59"/>
      <c r="Y972" s="59"/>
      <c r="Z972" s="59"/>
    </row>
    <row r="973" ht="15.75" customHeight="1">
      <c r="A973" s="59"/>
      <c r="C973" s="59"/>
      <c r="D973" s="59"/>
      <c r="E973" s="59"/>
      <c r="F973" s="60"/>
      <c r="G973" s="59"/>
      <c r="H973" s="61"/>
      <c r="I973" s="59"/>
      <c r="J973" s="59"/>
      <c r="K973" s="59"/>
      <c r="L973" s="59"/>
      <c r="M973" s="59"/>
      <c r="N973" s="59"/>
      <c r="O973" s="59"/>
      <c r="P973" s="59"/>
      <c r="Q973" s="59"/>
      <c r="R973" s="59"/>
      <c r="S973" s="59"/>
      <c r="T973" s="59"/>
      <c r="U973" s="59"/>
      <c r="V973" s="59"/>
      <c r="W973" s="59"/>
      <c r="X973" s="59"/>
      <c r="Y973" s="59"/>
      <c r="Z973" s="59"/>
    </row>
    <row r="974" ht="15.75" customHeight="1">
      <c r="A974" s="59"/>
      <c r="C974" s="59"/>
      <c r="D974" s="59"/>
      <c r="E974" s="59"/>
      <c r="F974" s="60"/>
      <c r="G974" s="59"/>
      <c r="H974" s="61"/>
      <c r="I974" s="59"/>
      <c r="J974" s="59"/>
      <c r="K974" s="59"/>
      <c r="L974" s="59"/>
      <c r="M974" s="59"/>
      <c r="N974" s="59"/>
      <c r="O974" s="59"/>
      <c r="P974" s="59"/>
      <c r="Q974" s="59"/>
      <c r="R974" s="59"/>
      <c r="S974" s="59"/>
      <c r="T974" s="59"/>
      <c r="U974" s="59"/>
      <c r="V974" s="59"/>
      <c r="W974" s="59"/>
      <c r="X974" s="59"/>
      <c r="Y974" s="59"/>
      <c r="Z974" s="59"/>
    </row>
    <row r="975" ht="15.75" customHeight="1">
      <c r="A975" s="59"/>
      <c r="C975" s="59"/>
      <c r="D975" s="59"/>
      <c r="E975" s="59"/>
      <c r="F975" s="60"/>
      <c r="G975" s="59"/>
      <c r="H975" s="61"/>
      <c r="I975" s="59"/>
      <c r="J975" s="59"/>
      <c r="K975" s="59"/>
      <c r="L975" s="59"/>
      <c r="M975" s="59"/>
      <c r="N975" s="59"/>
      <c r="O975" s="59"/>
      <c r="P975" s="59"/>
      <c r="Q975" s="59"/>
      <c r="R975" s="59"/>
      <c r="S975" s="59"/>
      <c r="T975" s="59"/>
      <c r="U975" s="59"/>
      <c r="V975" s="59"/>
      <c r="W975" s="59"/>
      <c r="X975" s="59"/>
      <c r="Y975" s="59"/>
      <c r="Z975" s="59"/>
    </row>
    <row r="976" ht="15.75" customHeight="1">
      <c r="A976" s="59"/>
      <c r="C976" s="59"/>
      <c r="D976" s="59"/>
      <c r="E976" s="59"/>
      <c r="F976" s="60"/>
      <c r="G976" s="59"/>
      <c r="H976" s="61"/>
      <c r="I976" s="59"/>
      <c r="J976" s="59"/>
      <c r="K976" s="59"/>
      <c r="L976" s="59"/>
      <c r="M976" s="59"/>
      <c r="N976" s="59"/>
      <c r="O976" s="59"/>
      <c r="P976" s="59"/>
      <c r="Q976" s="59"/>
      <c r="R976" s="59"/>
      <c r="S976" s="59"/>
      <c r="T976" s="59"/>
      <c r="U976" s="59"/>
      <c r="V976" s="59"/>
      <c r="W976" s="59"/>
      <c r="X976" s="59"/>
      <c r="Y976" s="59"/>
      <c r="Z976" s="59"/>
    </row>
    <row r="977" ht="15.75" customHeight="1">
      <c r="A977" s="59"/>
      <c r="C977" s="59"/>
      <c r="D977" s="59"/>
      <c r="E977" s="59"/>
      <c r="F977" s="60"/>
      <c r="G977" s="59"/>
      <c r="H977" s="61"/>
      <c r="I977" s="59"/>
      <c r="J977" s="59"/>
      <c r="K977" s="59"/>
      <c r="L977" s="59"/>
      <c r="M977" s="59"/>
      <c r="N977" s="59"/>
      <c r="O977" s="59"/>
      <c r="P977" s="59"/>
      <c r="Q977" s="59"/>
      <c r="R977" s="59"/>
      <c r="S977" s="59"/>
      <c r="T977" s="59"/>
      <c r="U977" s="59"/>
      <c r="V977" s="59"/>
      <c r="W977" s="59"/>
      <c r="X977" s="59"/>
      <c r="Y977" s="59"/>
      <c r="Z977" s="59"/>
    </row>
    <row r="978" ht="15.75" customHeight="1">
      <c r="A978" s="59"/>
      <c r="C978" s="59"/>
      <c r="D978" s="59"/>
      <c r="E978" s="59"/>
      <c r="F978" s="60"/>
      <c r="G978" s="59"/>
      <c r="H978" s="61"/>
      <c r="I978" s="59"/>
      <c r="J978" s="59"/>
      <c r="K978" s="59"/>
      <c r="L978" s="59"/>
      <c r="M978" s="59"/>
      <c r="N978" s="59"/>
      <c r="O978" s="59"/>
      <c r="P978" s="59"/>
      <c r="Q978" s="59"/>
      <c r="R978" s="59"/>
      <c r="S978" s="59"/>
      <c r="T978" s="59"/>
      <c r="U978" s="59"/>
      <c r="V978" s="59"/>
      <c r="W978" s="59"/>
      <c r="X978" s="59"/>
      <c r="Y978" s="59"/>
      <c r="Z978" s="59"/>
    </row>
    <row r="979" ht="15.75" customHeight="1">
      <c r="A979" s="59"/>
      <c r="C979" s="59"/>
      <c r="D979" s="59"/>
      <c r="E979" s="59"/>
      <c r="F979" s="60"/>
      <c r="G979" s="59"/>
      <c r="H979" s="61"/>
      <c r="I979" s="59"/>
      <c r="J979" s="59"/>
      <c r="K979" s="59"/>
      <c r="L979" s="59"/>
      <c r="M979" s="59"/>
      <c r="N979" s="59"/>
      <c r="O979" s="59"/>
      <c r="P979" s="59"/>
      <c r="Q979" s="59"/>
      <c r="R979" s="59"/>
      <c r="S979" s="59"/>
      <c r="T979" s="59"/>
      <c r="U979" s="59"/>
      <c r="V979" s="59"/>
      <c r="W979" s="59"/>
      <c r="X979" s="59"/>
      <c r="Y979" s="59"/>
      <c r="Z979" s="59"/>
    </row>
    <row r="980" ht="15.75" customHeight="1">
      <c r="A980" s="59"/>
      <c r="C980" s="59"/>
      <c r="D980" s="59"/>
      <c r="E980" s="59"/>
      <c r="F980" s="60"/>
      <c r="G980" s="59"/>
      <c r="H980" s="61"/>
      <c r="I980" s="59"/>
      <c r="J980" s="59"/>
      <c r="K980" s="59"/>
      <c r="L980" s="59"/>
      <c r="M980" s="59"/>
      <c r="N980" s="59"/>
      <c r="O980" s="59"/>
      <c r="P980" s="59"/>
      <c r="Q980" s="59"/>
      <c r="R980" s="59"/>
      <c r="S980" s="59"/>
      <c r="T980" s="59"/>
      <c r="U980" s="59"/>
      <c r="V980" s="59"/>
      <c r="W980" s="59"/>
      <c r="X980" s="59"/>
      <c r="Y980" s="59"/>
      <c r="Z980" s="59"/>
    </row>
    <row r="981" ht="15.75" customHeight="1">
      <c r="A981" s="59"/>
      <c r="C981" s="59"/>
      <c r="D981" s="59"/>
      <c r="E981" s="59"/>
      <c r="F981" s="60"/>
      <c r="G981" s="59"/>
      <c r="H981" s="61"/>
      <c r="I981" s="59"/>
      <c r="J981" s="59"/>
      <c r="K981" s="59"/>
      <c r="L981" s="59"/>
      <c r="M981" s="59"/>
      <c r="N981" s="59"/>
      <c r="O981" s="59"/>
      <c r="P981" s="59"/>
      <c r="Q981" s="59"/>
      <c r="R981" s="59"/>
      <c r="S981" s="59"/>
      <c r="T981" s="59"/>
      <c r="U981" s="59"/>
      <c r="V981" s="59"/>
      <c r="W981" s="59"/>
      <c r="X981" s="59"/>
      <c r="Y981" s="59"/>
      <c r="Z981" s="59"/>
    </row>
    <row r="982" ht="15.75" customHeight="1">
      <c r="A982" s="59"/>
      <c r="C982" s="59"/>
      <c r="D982" s="59"/>
      <c r="E982" s="59"/>
      <c r="F982" s="60"/>
      <c r="G982" s="59"/>
      <c r="H982" s="61"/>
      <c r="I982" s="59"/>
      <c r="J982" s="59"/>
      <c r="K982" s="59"/>
      <c r="L982" s="59"/>
      <c r="M982" s="59"/>
      <c r="N982" s="59"/>
      <c r="O982" s="59"/>
      <c r="P982" s="59"/>
      <c r="Q982" s="59"/>
      <c r="R982" s="59"/>
      <c r="S982" s="59"/>
      <c r="T982" s="59"/>
      <c r="U982" s="59"/>
      <c r="V982" s="59"/>
      <c r="W982" s="59"/>
      <c r="X982" s="59"/>
      <c r="Y982" s="59"/>
      <c r="Z982" s="59"/>
    </row>
    <row r="983" ht="15.75" customHeight="1">
      <c r="A983" s="59"/>
      <c r="C983" s="59"/>
      <c r="D983" s="59"/>
      <c r="E983" s="59"/>
      <c r="F983" s="60"/>
      <c r="G983" s="59"/>
      <c r="H983" s="61"/>
      <c r="I983" s="59"/>
      <c r="J983" s="59"/>
      <c r="K983" s="59"/>
      <c r="L983" s="59"/>
      <c r="M983" s="59"/>
      <c r="N983" s="59"/>
      <c r="O983" s="59"/>
      <c r="P983" s="59"/>
      <c r="Q983" s="59"/>
      <c r="R983" s="59"/>
      <c r="S983" s="59"/>
      <c r="T983" s="59"/>
      <c r="U983" s="59"/>
      <c r="V983" s="59"/>
      <c r="W983" s="59"/>
      <c r="X983" s="59"/>
      <c r="Y983" s="59"/>
      <c r="Z983" s="59"/>
    </row>
    <row r="984" ht="15.75" customHeight="1">
      <c r="A984" s="59"/>
      <c r="C984" s="59"/>
      <c r="D984" s="59"/>
      <c r="E984" s="59"/>
      <c r="F984" s="60"/>
      <c r="G984" s="59"/>
      <c r="H984" s="61"/>
      <c r="I984" s="59"/>
      <c r="J984" s="59"/>
      <c r="K984" s="59"/>
      <c r="L984" s="59"/>
      <c r="M984" s="59"/>
      <c r="N984" s="59"/>
      <c r="O984" s="59"/>
      <c r="P984" s="59"/>
      <c r="Q984" s="59"/>
      <c r="R984" s="59"/>
      <c r="S984" s="59"/>
      <c r="T984" s="59"/>
      <c r="U984" s="59"/>
      <c r="V984" s="59"/>
      <c r="W984" s="59"/>
      <c r="X984" s="59"/>
      <c r="Y984" s="59"/>
      <c r="Z984" s="59"/>
    </row>
    <row r="985" ht="15.75" customHeight="1">
      <c r="A985" s="59"/>
      <c r="C985" s="59"/>
      <c r="D985" s="59"/>
      <c r="E985" s="59"/>
      <c r="F985" s="60"/>
      <c r="G985" s="59"/>
      <c r="H985" s="61"/>
      <c r="I985" s="59"/>
      <c r="J985" s="59"/>
      <c r="K985" s="59"/>
      <c r="L985" s="59"/>
      <c r="M985" s="59"/>
      <c r="N985" s="59"/>
      <c r="O985" s="59"/>
      <c r="P985" s="59"/>
      <c r="Q985" s="59"/>
      <c r="R985" s="59"/>
      <c r="S985" s="59"/>
      <c r="T985" s="59"/>
      <c r="U985" s="59"/>
      <c r="V985" s="59"/>
      <c r="W985" s="59"/>
      <c r="X985" s="59"/>
      <c r="Y985" s="59"/>
      <c r="Z985" s="59"/>
    </row>
    <row r="986" ht="15.75" customHeight="1">
      <c r="A986" s="59"/>
      <c r="C986" s="59"/>
      <c r="D986" s="59"/>
      <c r="E986" s="59"/>
      <c r="F986" s="60"/>
      <c r="G986" s="59"/>
      <c r="H986" s="61"/>
      <c r="I986" s="59"/>
      <c r="J986" s="59"/>
      <c r="K986" s="59"/>
      <c r="L986" s="59"/>
      <c r="M986" s="59"/>
      <c r="N986" s="59"/>
      <c r="O986" s="59"/>
      <c r="P986" s="59"/>
      <c r="Q986" s="59"/>
      <c r="R986" s="59"/>
      <c r="S986" s="59"/>
      <c r="T986" s="59"/>
      <c r="U986" s="59"/>
      <c r="V986" s="59"/>
      <c r="W986" s="59"/>
      <c r="X986" s="59"/>
      <c r="Y986" s="59"/>
      <c r="Z986" s="59"/>
    </row>
    <row r="987" ht="15.75" customHeight="1">
      <c r="A987" s="59"/>
      <c r="C987" s="59"/>
      <c r="D987" s="59"/>
      <c r="E987" s="59"/>
      <c r="F987" s="60"/>
      <c r="G987" s="59"/>
      <c r="H987" s="61"/>
      <c r="I987" s="59"/>
      <c r="J987" s="59"/>
      <c r="K987" s="59"/>
      <c r="L987" s="59"/>
      <c r="M987" s="59"/>
      <c r="N987" s="59"/>
      <c r="O987" s="59"/>
      <c r="P987" s="59"/>
      <c r="Q987" s="59"/>
      <c r="R987" s="59"/>
      <c r="S987" s="59"/>
      <c r="T987" s="59"/>
      <c r="U987" s="59"/>
      <c r="V987" s="59"/>
      <c r="W987" s="59"/>
      <c r="X987" s="59"/>
      <c r="Y987" s="59"/>
      <c r="Z987" s="59"/>
    </row>
    <row r="988" ht="15.75" customHeight="1">
      <c r="A988" s="59"/>
      <c r="C988" s="59"/>
      <c r="D988" s="59"/>
      <c r="E988" s="59"/>
      <c r="F988" s="60"/>
      <c r="G988" s="59"/>
      <c r="H988" s="61"/>
      <c r="I988" s="59"/>
      <c r="J988" s="59"/>
      <c r="K988" s="59"/>
      <c r="L988" s="59"/>
      <c r="M988" s="59"/>
      <c r="N988" s="59"/>
      <c r="O988" s="59"/>
      <c r="P988" s="59"/>
      <c r="Q988" s="59"/>
      <c r="R988" s="59"/>
      <c r="S988" s="59"/>
      <c r="T988" s="59"/>
      <c r="U988" s="59"/>
      <c r="V988" s="59"/>
      <c r="W988" s="59"/>
      <c r="X988" s="59"/>
      <c r="Y988" s="59"/>
      <c r="Z988" s="59"/>
    </row>
    <row r="989" ht="15.75" customHeight="1">
      <c r="A989" s="59"/>
      <c r="C989" s="59"/>
      <c r="D989" s="59"/>
      <c r="E989" s="59"/>
      <c r="F989" s="60"/>
      <c r="G989" s="59"/>
      <c r="H989" s="61"/>
      <c r="I989" s="59"/>
      <c r="J989" s="59"/>
      <c r="K989" s="59"/>
      <c r="L989" s="59"/>
      <c r="M989" s="59"/>
      <c r="N989" s="59"/>
      <c r="O989" s="59"/>
      <c r="P989" s="59"/>
      <c r="Q989" s="59"/>
      <c r="R989" s="59"/>
      <c r="S989" s="59"/>
      <c r="T989" s="59"/>
      <c r="U989" s="59"/>
      <c r="V989" s="59"/>
      <c r="W989" s="59"/>
      <c r="X989" s="59"/>
      <c r="Y989" s="59"/>
      <c r="Z989" s="59"/>
    </row>
    <row r="990" ht="15.75" customHeight="1">
      <c r="A990" s="59"/>
      <c r="C990" s="59"/>
      <c r="D990" s="59"/>
      <c r="E990" s="59"/>
      <c r="F990" s="60"/>
      <c r="G990" s="59"/>
      <c r="H990" s="61"/>
      <c r="I990" s="59"/>
      <c r="J990" s="59"/>
      <c r="K990" s="59"/>
      <c r="L990" s="59"/>
      <c r="M990" s="59"/>
      <c r="N990" s="59"/>
      <c r="O990" s="59"/>
      <c r="P990" s="59"/>
      <c r="Q990" s="59"/>
      <c r="R990" s="59"/>
      <c r="S990" s="59"/>
      <c r="T990" s="59"/>
      <c r="U990" s="59"/>
      <c r="V990" s="59"/>
      <c r="W990" s="59"/>
      <c r="X990" s="59"/>
      <c r="Y990" s="59"/>
      <c r="Z990" s="59"/>
    </row>
    <row r="991" ht="15.75" customHeight="1">
      <c r="A991" s="59"/>
      <c r="C991" s="59"/>
      <c r="D991" s="59"/>
      <c r="E991" s="59"/>
      <c r="F991" s="60"/>
      <c r="G991" s="59"/>
      <c r="H991" s="61"/>
      <c r="I991" s="59"/>
      <c r="J991" s="59"/>
      <c r="K991" s="59"/>
      <c r="L991" s="59"/>
      <c r="M991" s="59"/>
      <c r="N991" s="59"/>
      <c r="O991" s="59"/>
      <c r="P991" s="59"/>
      <c r="Q991" s="59"/>
      <c r="R991" s="59"/>
      <c r="S991" s="59"/>
      <c r="T991" s="59"/>
      <c r="U991" s="59"/>
      <c r="V991" s="59"/>
      <c r="W991" s="59"/>
      <c r="X991" s="59"/>
      <c r="Y991" s="59"/>
      <c r="Z991" s="59"/>
    </row>
    <row r="992" ht="15.75" customHeight="1">
      <c r="A992" s="59"/>
      <c r="C992" s="59"/>
      <c r="D992" s="59"/>
      <c r="E992" s="59"/>
      <c r="F992" s="60"/>
      <c r="G992" s="59"/>
      <c r="H992" s="61"/>
      <c r="I992" s="59"/>
      <c r="J992" s="59"/>
      <c r="K992" s="59"/>
      <c r="L992" s="59"/>
      <c r="M992" s="59"/>
      <c r="N992" s="59"/>
      <c r="O992" s="59"/>
      <c r="P992" s="59"/>
      <c r="Q992" s="59"/>
      <c r="R992" s="59"/>
      <c r="S992" s="59"/>
      <c r="T992" s="59"/>
      <c r="U992" s="59"/>
      <c r="V992" s="59"/>
      <c r="W992" s="59"/>
      <c r="X992" s="59"/>
      <c r="Y992" s="59"/>
      <c r="Z992" s="59"/>
    </row>
    <row r="993" ht="15.75" customHeight="1">
      <c r="A993" s="59"/>
      <c r="C993" s="59"/>
      <c r="D993" s="59"/>
      <c r="E993" s="59"/>
      <c r="F993" s="60"/>
      <c r="G993" s="59"/>
      <c r="H993" s="61"/>
      <c r="I993" s="59"/>
      <c r="J993" s="59"/>
      <c r="K993" s="59"/>
      <c r="L993" s="59"/>
      <c r="M993" s="59"/>
      <c r="N993" s="59"/>
      <c r="O993" s="59"/>
      <c r="P993" s="59"/>
      <c r="Q993" s="59"/>
      <c r="R993" s="59"/>
      <c r="S993" s="59"/>
      <c r="T993" s="59"/>
      <c r="U993" s="59"/>
      <c r="V993" s="59"/>
      <c r="W993" s="59"/>
      <c r="X993" s="59"/>
      <c r="Y993" s="59"/>
      <c r="Z993" s="59"/>
    </row>
    <row r="994" ht="15.75" customHeight="1">
      <c r="A994" s="59"/>
      <c r="C994" s="59"/>
      <c r="D994" s="59"/>
      <c r="E994" s="59"/>
      <c r="F994" s="60"/>
      <c r="G994" s="59"/>
      <c r="H994" s="61"/>
      <c r="I994" s="59"/>
      <c r="J994" s="59"/>
      <c r="K994" s="59"/>
      <c r="L994" s="59"/>
      <c r="M994" s="59"/>
      <c r="N994" s="59"/>
      <c r="O994" s="59"/>
      <c r="P994" s="59"/>
      <c r="Q994" s="59"/>
      <c r="R994" s="59"/>
      <c r="S994" s="59"/>
      <c r="T994" s="59"/>
      <c r="U994" s="59"/>
      <c r="V994" s="59"/>
      <c r="W994" s="59"/>
      <c r="X994" s="59"/>
      <c r="Y994" s="59"/>
      <c r="Z994" s="59"/>
    </row>
    <row r="995" ht="15.75" customHeight="1">
      <c r="A995" s="59"/>
      <c r="C995" s="59"/>
      <c r="D995" s="59"/>
      <c r="E995" s="59"/>
      <c r="F995" s="60"/>
      <c r="G995" s="59"/>
      <c r="H995" s="61"/>
      <c r="I995" s="59"/>
      <c r="J995" s="59"/>
      <c r="K995" s="59"/>
      <c r="L995" s="59"/>
      <c r="M995" s="59"/>
      <c r="N995" s="59"/>
      <c r="O995" s="59"/>
      <c r="P995" s="59"/>
      <c r="Q995" s="59"/>
      <c r="R995" s="59"/>
      <c r="S995" s="59"/>
      <c r="T995" s="59"/>
      <c r="U995" s="59"/>
      <c r="V995" s="59"/>
      <c r="W995" s="59"/>
      <c r="X995" s="59"/>
      <c r="Y995" s="59"/>
      <c r="Z995" s="59"/>
    </row>
    <row r="996" ht="15.75" customHeight="1">
      <c r="A996" s="59"/>
      <c r="C996" s="59"/>
      <c r="D996" s="59"/>
      <c r="E996" s="59"/>
      <c r="F996" s="60"/>
      <c r="G996" s="59"/>
      <c r="H996" s="61"/>
      <c r="I996" s="59"/>
      <c r="J996" s="59"/>
      <c r="K996" s="59"/>
      <c r="L996" s="59"/>
      <c r="M996" s="59"/>
      <c r="N996" s="59"/>
      <c r="O996" s="59"/>
      <c r="P996" s="59"/>
      <c r="Q996" s="59"/>
      <c r="R996" s="59"/>
      <c r="S996" s="59"/>
      <c r="T996" s="59"/>
      <c r="U996" s="59"/>
      <c r="V996" s="59"/>
      <c r="W996" s="59"/>
      <c r="X996" s="59"/>
      <c r="Y996" s="59"/>
      <c r="Z996" s="59"/>
    </row>
    <row r="997" ht="15.75" customHeight="1">
      <c r="A997" s="59"/>
      <c r="C997" s="59"/>
      <c r="D997" s="59"/>
      <c r="E997" s="59"/>
      <c r="F997" s="60"/>
      <c r="G997" s="59"/>
      <c r="H997" s="61"/>
      <c r="I997" s="59"/>
      <c r="J997" s="59"/>
      <c r="K997" s="59"/>
      <c r="L997" s="59"/>
      <c r="M997" s="59"/>
      <c r="N997" s="59"/>
      <c r="O997" s="59"/>
      <c r="P997" s="59"/>
      <c r="Q997" s="59"/>
      <c r="R997" s="59"/>
      <c r="S997" s="59"/>
      <c r="T997" s="59"/>
      <c r="U997" s="59"/>
      <c r="V997" s="59"/>
      <c r="W997" s="59"/>
      <c r="X997" s="59"/>
      <c r="Y997" s="59"/>
      <c r="Z997" s="59"/>
    </row>
    <row r="998" ht="15.75" customHeight="1">
      <c r="A998" s="59"/>
      <c r="C998" s="59"/>
      <c r="D998" s="59"/>
      <c r="E998" s="59"/>
      <c r="F998" s="60"/>
      <c r="G998" s="59"/>
      <c r="H998" s="61"/>
      <c r="I998" s="59"/>
      <c r="J998" s="59"/>
      <c r="K998" s="59"/>
      <c r="L998" s="59"/>
      <c r="M998" s="59"/>
      <c r="N998" s="59"/>
      <c r="O998" s="59"/>
      <c r="P998" s="59"/>
      <c r="Q998" s="59"/>
      <c r="R998" s="59"/>
      <c r="S998" s="59"/>
      <c r="T998" s="59"/>
      <c r="U998" s="59"/>
      <c r="V998" s="59"/>
      <c r="W998" s="59"/>
      <c r="X998" s="59"/>
      <c r="Y998" s="59"/>
      <c r="Z998" s="59"/>
    </row>
    <row r="999" ht="15.75" customHeight="1">
      <c r="A999" s="59"/>
      <c r="C999" s="59"/>
      <c r="D999" s="59"/>
      <c r="E999" s="59"/>
      <c r="F999" s="60"/>
      <c r="G999" s="59"/>
      <c r="H999" s="61"/>
      <c r="I999" s="59"/>
      <c r="J999" s="59"/>
      <c r="K999" s="59"/>
      <c r="L999" s="59"/>
      <c r="M999" s="59"/>
      <c r="N999" s="59"/>
      <c r="O999" s="59"/>
      <c r="P999" s="59"/>
      <c r="Q999" s="59"/>
      <c r="R999" s="59"/>
      <c r="S999" s="59"/>
      <c r="T999" s="59"/>
      <c r="U999" s="59"/>
      <c r="V999" s="59"/>
      <c r="W999" s="59"/>
      <c r="X999" s="59"/>
      <c r="Y999" s="59"/>
      <c r="Z999" s="59"/>
    </row>
    <row r="1000" ht="15.75" customHeight="1">
      <c r="A1000" s="59"/>
      <c r="C1000" s="59"/>
      <c r="D1000" s="59"/>
      <c r="E1000" s="59"/>
      <c r="F1000" s="60"/>
      <c r="G1000" s="59"/>
      <c r="H1000" s="61"/>
      <c r="I1000" s="59"/>
      <c r="J1000" s="59"/>
      <c r="K1000" s="59"/>
      <c r="L1000" s="59"/>
      <c r="M1000" s="59"/>
      <c r="N1000" s="59"/>
      <c r="O1000" s="59"/>
      <c r="P1000" s="59"/>
      <c r="Q1000" s="59"/>
      <c r="R1000" s="59"/>
      <c r="S1000" s="59"/>
      <c r="T1000" s="59"/>
      <c r="U1000" s="59"/>
      <c r="V1000" s="59"/>
      <c r="W1000" s="59"/>
      <c r="X1000" s="59"/>
      <c r="Y1000" s="59"/>
      <c r="Z1000" s="59"/>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2.43"/>
    <col customWidth="1" min="2" max="2" width="39.86"/>
    <col customWidth="1" min="3" max="3" width="10.43"/>
    <col customWidth="1" min="4" max="4" width="15.29"/>
    <col customWidth="1" min="5" max="5" width="14.71"/>
    <col customWidth="1" min="6" max="6" width="13.86"/>
    <col customWidth="1" min="7" max="7" width="12.29"/>
    <col customWidth="1" min="8" max="8" width="3.14"/>
    <col customWidth="1" min="9" max="9" width="11.29"/>
    <col customWidth="1" min="10" max="10" width="14.86"/>
    <col customWidth="1" min="11" max="11" width="6.86"/>
    <col customWidth="1" min="12" max="12" width="11.86"/>
    <col customWidth="1" min="13" max="13" width="6.0"/>
    <col customWidth="1" min="14" max="14" width="11.86"/>
    <col customWidth="1" min="15" max="15" width="9.43"/>
    <col customWidth="1" min="16" max="16" width="5.43"/>
    <col customWidth="1" min="17" max="17" width="2.43"/>
    <col customWidth="1" min="18" max="18" width="12.29"/>
    <col customWidth="1" min="19" max="26" width="10.71"/>
  </cols>
  <sheetData>
    <row r="1" ht="12.75" customHeight="1">
      <c r="A1" s="76"/>
      <c r="B1" s="6"/>
      <c r="C1" s="77"/>
      <c r="D1" s="6"/>
      <c r="E1" s="6"/>
      <c r="F1" s="78" t="s">
        <v>133</v>
      </c>
      <c r="G1" s="79"/>
      <c r="H1" s="6"/>
      <c r="I1" s="6"/>
      <c r="J1" s="6"/>
      <c r="K1" s="6"/>
      <c r="L1" s="6"/>
      <c r="M1" s="6"/>
      <c r="N1" s="6"/>
      <c r="O1" s="6"/>
      <c r="P1" s="6"/>
      <c r="Q1" s="6"/>
      <c r="R1" s="6"/>
      <c r="S1" s="6"/>
      <c r="T1" s="6"/>
      <c r="U1" s="6"/>
      <c r="V1" s="6"/>
      <c r="W1" s="6"/>
      <c r="X1" s="6"/>
      <c r="Y1" s="6"/>
      <c r="Z1" s="6"/>
    </row>
    <row r="2" ht="12.75" customHeight="1">
      <c r="A2" s="76"/>
      <c r="B2" s="80" t="s">
        <v>134</v>
      </c>
      <c r="C2" s="81"/>
      <c r="D2" s="82" t="s">
        <v>135</v>
      </c>
      <c r="E2" s="83" t="s">
        <v>136</v>
      </c>
      <c r="F2" s="83" t="s">
        <v>137</v>
      </c>
      <c r="G2" s="84" t="s">
        <v>138</v>
      </c>
      <c r="H2" s="85"/>
      <c r="I2" s="86" t="s">
        <v>139</v>
      </c>
      <c r="J2" s="87"/>
      <c r="K2" s="87"/>
      <c r="L2" s="87"/>
      <c r="M2" s="87"/>
      <c r="N2" s="87"/>
      <c r="O2" s="87"/>
      <c r="P2" s="79"/>
      <c r="Q2" s="85"/>
      <c r="R2" s="88" t="s">
        <v>140</v>
      </c>
      <c r="S2" s="6"/>
      <c r="T2" s="6"/>
      <c r="U2" s="6"/>
      <c r="V2" s="6"/>
      <c r="W2" s="6"/>
      <c r="X2" s="6"/>
      <c r="Y2" s="6"/>
      <c r="Z2" s="6"/>
    </row>
    <row r="3" ht="12.75" customHeight="1">
      <c r="A3" s="76"/>
      <c r="B3" s="89"/>
      <c r="D3" s="20"/>
      <c r="E3" s="20"/>
      <c r="F3" s="20"/>
      <c r="G3" s="90"/>
      <c r="H3" s="85"/>
      <c r="I3" s="91" t="s">
        <v>141</v>
      </c>
      <c r="J3" s="87"/>
      <c r="K3" s="87"/>
      <c r="L3" s="87"/>
      <c r="M3" s="79"/>
      <c r="N3" s="92" t="s">
        <v>142</v>
      </c>
      <c r="O3" s="87"/>
      <c r="P3" s="79"/>
      <c r="Q3" s="85"/>
      <c r="R3" s="93"/>
      <c r="S3" s="6"/>
      <c r="T3" s="6"/>
      <c r="U3" s="6"/>
      <c r="V3" s="6"/>
      <c r="W3" s="6"/>
      <c r="X3" s="6"/>
      <c r="Y3" s="6"/>
      <c r="Z3" s="6"/>
    </row>
    <row r="4" ht="12.75" customHeight="1">
      <c r="A4" s="76"/>
      <c r="B4" s="89"/>
      <c r="D4" s="20"/>
      <c r="E4" s="20"/>
      <c r="F4" s="20"/>
      <c r="G4" s="90"/>
      <c r="H4" s="85"/>
      <c r="I4" s="94" t="s">
        <v>143</v>
      </c>
      <c r="J4" s="95"/>
      <c r="K4" s="96"/>
      <c r="L4" s="97">
        <v>0.111111</v>
      </c>
      <c r="M4" s="98" t="s">
        <v>144</v>
      </c>
      <c r="N4" s="99" t="s">
        <v>145</v>
      </c>
      <c r="O4" s="100" t="str">
        <f>TRUNC(N8/R8,6)</f>
        <v>#DIV/0!</v>
      </c>
      <c r="P4" s="101">
        <v>0.08</v>
      </c>
      <c r="Q4" s="85"/>
      <c r="R4" s="93"/>
      <c r="S4" s="6"/>
      <c r="T4" s="6"/>
      <c r="U4" s="6"/>
      <c r="V4" s="6"/>
      <c r="W4" s="6"/>
      <c r="X4" s="6"/>
      <c r="Y4" s="6"/>
      <c r="Z4" s="6"/>
    </row>
    <row r="5" ht="12.75" customHeight="1">
      <c r="A5" s="76"/>
      <c r="B5" s="89"/>
      <c r="D5" s="20"/>
      <c r="E5" s="20"/>
      <c r="F5" s="20"/>
      <c r="G5" s="90"/>
      <c r="H5" s="85"/>
      <c r="I5" s="102" t="s">
        <v>146</v>
      </c>
      <c r="J5" s="16"/>
      <c r="K5" s="103" t="s">
        <v>41</v>
      </c>
      <c r="L5" s="16"/>
      <c r="M5" s="90"/>
      <c r="N5" s="104"/>
      <c r="O5" s="105" t="str">
        <f>ROUND(+O4/(1+O4),3)</f>
        <v>#DIV/0!</v>
      </c>
      <c r="P5" s="106" t="s">
        <v>144</v>
      </c>
      <c r="Q5" s="85"/>
      <c r="R5" s="93"/>
      <c r="S5" s="6"/>
      <c r="T5" s="6"/>
      <c r="U5" s="6"/>
      <c r="V5" s="6"/>
      <c r="W5" s="6"/>
      <c r="X5" s="6"/>
      <c r="Y5" s="6"/>
      <c r="Z5" s="6"/>
    </row>
    <row r="6" ht="39.75" customHeight="1">
      <c r="A6" s="107" t="s">
        <v>147</v>
      </c>
      <c r="B6" s="108"/>
      <c r="C6" s="109"/>
      <c r="D6" s="110"/>
      <c r="E6" s="110"/>
      <c r="F6" s="110"/>
      <c r="G6" s="111"/>
      <c r="H6" s="85"/>
      <c r="I6" s="112" t="s">
        <v>148</v>
      </c>
      <c r="J6" s="113" t="s">
        <v>149</v>
      </c>
      <c r="K6" s="113" t="s">
        <v>148</v>
      </c>
      <c r="L6" s="114" t="s">
        <v>149</v>
      </c>
      <c r="M6" s="111"/>
      <c r="N6" s="115" t="s">
        <v>149</v>
      </c>
      <c r="O6" s="116" t="s">
        <v>148</v>
      </c>
      <c r="P6" s="111"/>
      <c r="Q6" s="85"/>
      <c r="R6" s="117"/>
      <c r="S6" s="6"/>
      <c r="T6" s="6"/>
      <c r="U6" s="6"/>
      <c r="V6" s="6"/>
      <c r="W6" s="6"/>
      <c r="X6" s="6"/>
      <c r="Y6" s="6"/>
      <c r="Z6" s="6"/>
    </row>
    <row r="7" ht="7.5" customHeight="1">
      <c r="A7" s="76"/>
      <c r="B7" s="118"/>
      <c r="C7" s="119"/>
      <c r="D7" s="118"/>
      <c r="E7" s="118"/>
      <c r="F7" s="118"/>
      <c r="G7" s="118"/>
      <c r="H7" s="118"/>
      <c r="I7" s="118"/>
      <c r="J7" s="118"/>
      <c r="K7" s="118"/>
      <c r="L7" s="118"/>
      <c r="M7" s="118"/>
      <c r="N7" s="118"/>
      <c r="O7" s="118"/>
      <c r="P7" s="118"/>
      <c r="Q7" s="118"/>
      <c r="R7" s="118"/>
      <c r="S7" s="6"/>
      <c r="T7" s="6"/>
      <c r="U7" s="6"/>
      <c r="V7" s="6"/>
      <c r="W7" s="6"/>
      <c r="X7" s="6"/>
      <c r="Y7" s="6"/>
      <c r="Z7" s="6"/>
    </row>
    <row r="8" ht="12.75" customHeight="1">
      <c r="A8" s="120">
        <v>100.0</v>
      </c>
      <c r="B8" s="118" t="s">
        <v>150</v>
      </c>
      <c r="C8" s="119"/>
      <c r="D8" s="121">
        <f>SUM(E8:G8)</f>
        <v>533941272</v>
      </c>
      <c r="E8" s="121">
        <v>5.33941272E8</v>
      </c>
      <c r="F8" s="121">
        <v>0.0</v>
      </c>
      <c r="G8" s="121">
        <v>0.0</v>
      </c>
      <c r="H8" s="118"/>
      <c r="I8" s="122">
        <v>0.0</v>
      </c>
      <c r="J8" s="122">
        <v>1.5201324E7</v>
      </c>
      <c r="K8" s="122">
        <v>0.0</v>
      </c>
      <c r="L8" s="122">
        <v>0.0</v>
      </c>
      <c r="M8" s="122">
        <v>0.0</v>
      </c>
      <c r="N8" s="122">
        <v>0.0</v>
      </c>
      <c r="O8" s="122">
        <v>0.0</v>
      </c>
      <c r="P8" s="122">
        <v>0.0</v>
      </c>
      <c r="Q8" s="121"/>
      <c r="R8" s="121">
        <v>0.0</v>
      </c>
      <c r="S8" s="6"/>
      <c r="T8" s="6"/>
      <c r="U8" s="6"/>
      <c r="V8" s="6"/>
      <c r="W8" s="6"/>
      <c r="X8" s="6"/>
      <c r="Y8" s="6"/>
      <c r="Z8" s="6"/>
    </row>
    <row r="9" ht="12.75" customHeight="1">
      <c r="A9" s="120">
        <v>101.0</v>
      </c>
      <c r="B9" s="118"/>
      <c r="C9" s="119"/>
      <c r="D9" s="121"/>
      <c r="E9" s="121"/>
      <c r="F9" s="121"/>
      <c r="G9" s="121"/>
      <c r="H9" s="121"/>
      <c r="I9" s="121"/>
      <c r="J9" s="121"/>
      <c r="K9" s="121"/>
      <c r="L9" s="121"/>
      <c r="M9" s="121"/>
      <c r="N9" s="121"/>
      <c r="O9" s="121"/>
      <c r="P9" s="121"/>
      <c r="Q9" s="121"/>
      <c r="R9" s="121"/>
      <c r="S9" s="6"/>
      <c r="T9" s="6"/>
      <c r="U9" s="6"/>
      <c r="V9" s="6"/>
      <c r="W9" s="6"/>
      <c r="X9" s="6"/>
      <c r="Y9" s="6"/>
      <c r="Z9" s="6"/>
    </row>
    <row r="10" ht="12.75" customHeight="1">
      <c r="A10" s="120"/>
      <c r="B10" s="123" t="s">
        <v>151</v>
      </c>
      <c r="C10" s="124"/>
      <c r="D10" s="125">
        <f t="shared" ref="D10:G10" si="1">+D8+D9</f>
        <v>533941272</v>
      </c>
      <c r="E10" s="125">
        <f t="shared" si="1"/>
        <v>533941272</v>
      </c>
      <c r="F10" s="125">
        <f t="shared" si="1"/>
        <v>0</v>
      </c>
      <c r="G10" s="125">
        <f t="shared" si="1"/>
        <v>0</v>
      </c>
      <c r="H10" s="125"/>
      <c r="I10" s="125">
        <f t="shared" ref="I10:P10" si="2">+I8+I9</f>
        <v>0</v>
      </c>
      <c r="J10" s="125">
        <f t="shared" si="2"/>
        <v>15201324</v>
      </c>
      <c r="K10" s="125">
        <f t="shared" si="2"/>
        <v>0</v>
      </c>
      <c r="L10" s="125">
        <f t="shared" si="2"/>
        <v>0</v>
      </c>
      <c r="M10" s="125">
        <f t="shared" si="2"/>
        <v>0</v>
      </c>
      <c r="N10" s="125">
        <f t="shared" si="2"/>
        <v>0</v>
      </c>
      <c r="O10" s="125">
        <f t="shared" si="2"/>
        <v>0</v>
      </c>
      <c r="P10" s="125">
        <f t="shared" si="2"/>
        <v>0</v>
      </c>
      <c r="Q10" s="125"/>
      <c r="R10" s="125">
        <f>+R8+R9</f>
        <v>0</v>
      </c>
      <c r="S10" s="6"/>
      <c r="T10" s="6"/>
      <c r="U10" s="6"/>
      <c r="V10" s="6"/>
      <c r="W10" s="6"/>
      <c r="X10" s="6"/>
      <c r="Y10" s="6"/>
      <c r="Z10" s="6"/>
    </row>
    <row r="11" ht="12.75" customHeight="1">
      <c r="A11" s="120"/>
      <c r="B11" s="118"/>
      <c r="C11" s="119"/>
      <c r="D11" s="118"/>
      <c r="E11" s="118"/>
      <c r="F11" s="118"/>
      <c r="G11" s="118"/>
      <c r="H11" s="118"/>
      <c r="I11" s="118"/>
      <c r="J11" s="118"/>
      <c r="K11" s="118"/>
      <c r="L11" s="118"/>
      <c r="M11" s="118"/>
      <c r="N11" s="118"/>
      <c r="O11" s="118"/>
      <c r="P11" s="118"/>
      <c r="Q11" s="118"/>
      <c r="R11" s="118"/>
      <c r="S11" s="6"/>
      <c r="T11" s="6"/>
      <c r="U11" s="6"/>
      <c r="V11" s="6"/>
      <c r="W11" s="6"/>
      <c r="X11" s="6"/>
      <c r="Y11" s="6"/>
      <c r="Z11" s="6"/>
    </row>
    <row r="12" ht="12.75" customHeight="1">
      <c r="A12" s="126">
        <v>103.0</v>
      </c>
      <c r="B12" s="118" t="s">
        <v>152</v>
      </c>
      <c r="C12" s="127"/>
      <c r="D12" s="128">
        <f>SUM(E12)</f>
        <v>-533941272</v>
      </c>
      <c r="E12" s="128">
        <f>-E10</f>
        <v>-533941272</v>
      </c>
      <c r="F12" s="118"/>
      <c r="G12" s="128"/>
      <c r="H12" s="118"/>
      <c r="I12" s="118"/>
      <c r="J12" s="118"/>
      <c r="K12" s="118"/>
      <c r="L12" s="118"/>
      <c r="M12" s="118"/>
      <c r="N12" s="118"/>
      <c r="O12" s="118"/>
      <c r="P12" s="118"/>
      <c r="Q12" s="118"/>
      <c r="R12" s="118"/>
      <c r="S12" s="118"/>
      <c r="T12" s="118"/>
      <c r="U12" s="118"/>
      <c r="V12" s="118"/>
      <c r="W12" s="118"/>
      <c r="X12" s="118"/>
      <c r="Y12" s="118"/>
      <c r="Z12" s="118"/>
    </row>
    <row r="13" ht="12.75" customHeight="1">
      <c r="A13" s="126"/>
      <c r="B13" s="118"/>
      <c r="C13" s="127"/>
      <c r="D13" s="118"/>
      <c r="E13" s="118"/>
      <c r="F13" s="128"/>
      <c r="G13" s="118"/>
      <c r="H13" s="118"/>
      <c r="I13" s="118"/>
      <c r="J13" s="118"/>
      <c r="K13" s="118"/>
      <c r="L13" s="118"/>
      <c r="M13" s="118"/>
      <c r="N13" s="118"/>
      <c r="O13" s="118"/>
      <c r="P13" s="118"/>
      <c r="Q13" s="118"/>
      <c r="R13" s="118"/>
      <c r="S13" s="118"/>
      <c r="T13" s="118"/>
      <c r="U13" s="118"/>
      <c r="V13" s="118"/>
      <c r="W13" s="118"/>
      <c r="X13" s="118"/>
      <c r="Y13" s="118"/>
      <c r="Z13" s="118"/>
    </row>
    <row r="14" ht="12.75" customHeight="1">
      <c r="A14" s="126">
        <v>105.0</v>
      </c>
      <c r="B14" s="118" t="s">
        <v>153</v>
      </c>
      <c r="C14" s="127"/>
      <c r="D14" s="128">
        <f t="shared" ref="D14:D16" si="3">SUM(E14:G14)</f>
        <v>286828048</v>
      </c>
      <c r="E14" s="128">
        <f>+D40</f>
        <v>286828048</v>
      </c>
      <c r="F14" s="118"/>
      <c r="G14" s="129"/>
      <c r="H14" s="118"/>
      <c r="I14" s="118"/>
      <c r="J14" s="118"/>
      <c r="K14" s="118"/>
      <c r="L14" s="118"/>
      <c r="M14" s="118"/>
      <c r="N14" s="118"/>
      <c r="O14" s="118"/>
      <c r="P14" s="118"/>
      <c r="Q14" s="118"/>
      <c r="R14" s="118"/>
      <c r="S14" s="118"/>
      <c r="T14" s="118"/>
      <c r="U14" s="118"/>
      <c r="V14" s="118"/>
      <c r="W14" s="118"/>
      <c r="X14" s="118"/>
      <c r="Y14" s="118"/>
      <c r="Z14" s="118"/>
    </row>
    <row r="15" ht="12.75" customHeight="1">
      <c r="A15" s="126"/>
      <c r="B15" s="118" t="s">
        <v>154</v>
      </c>
      <c r="C15" s="127"/>
      <c r="D15" s="128">
        <f t="shared" si="3"/>
        <v>0</v>
      </c>
      <c r="E15" s="118"/>
      <c r="F15" s="118"/>
      <c r="G15" s="118"/>
      <c r="H15" s="118"/>
      <c r="I15" s="118"/>
      <c r="J15" s="118"/>
      <c r="K15" s="118"/>
      <c r="L15" s="118"/>
      <c r="M15" s="118"/>
      <c r="N15" s="118"/>
      <c r="O15" s="118"/>
      <c r="P15" s="118"/>
      <c r="Q15" s="118"/>
      <c r="R15" s="118"/>
      <c r="S15" s="118"/>
      <c r="T15" s="118"/>
      <c r="U15" s="118"/>
      <c r="V15" s="118"/>
      <c r="W15" s="118"/>
      <c r="X15" s="118"/>
      <c r="Y15" s="118"/>
      <c r="Z15" s="118"/>
    </row>
    <row r="16" ht="12.75" customHeight="1">
      <c r="A16" s="126"/>
      <c r="B16" s="118" t="s">
        <v>155</v>
      </c>
      <c r="C16" s="127"/>
      <c r="D16" s="128">
        <f t="shared" si="3"/>
        <v>0</v>
      </c>
      <c r="E16" s="118"/>
      <c r="F16" s="118"/>
      <c r="G16" s="118"/>
      <c r="H16" s="118"/>
      <c r="I16" s="118"/>
      <c r="J16" s="118"/>
      <c r="K16" s="118"/>
      <c r="L16" s="118"/>
      <c r="M16" s="118"/>
      <c r="N16" s="118"/>
      <c r="O16" s="118"/>
      <c r="P16" s="118"/>
      <c r="Q16" s="118"/>
      <c r="R16" s="118"/>
      <c r="S16" s="118"/>
      <c r="T16" s="118"/>
      <c r="U16" s="118"/>
      <c r="V16" s="118"/>
      <c r="W16" s="118"/>
      <c r="X16" s="118"/>
      <c r="Y16" s="118"/>
      <c r="Z16" s="118"/>
    </row>
    <row r="17" ht="12.75" customHeight="1">
      <c r="A17" s="126"/>
      <c r="B17" s="118"/>
      <c r="C17" s="127"/>
      <c r="D17" s="128"/>
      <c r="E17" s="118"/>
      <c r="F17" s="118"/>
      <c r="G17" s="118"/>
      <c r="H17" s="118"/>
      <c r="I17" s="118"/>
      <c r="J17" s="118"/>
      <c r="K17" s="118"/>
      <c r="L17" s="118"/>
      <c r="M17" s="118"/>
      <c r="N17" s="118"/>
      <c r="O17" s="118"/>
      <c r="P17" s="118"/>
      <c r="Q17" s="118"/>
      <c r="R17" s="118"/>
      <c r="S17" s="118"/>
      <c r="T17" s="118"/>
      <c r="U17" s="118"/>
      <c r="V17" s="118"/>
      <c r="W17" s="118"/>
      <c r="X17" s="118"/>
      <c r="Y17" s="118"/>
      <c r="Z17" s="118"/>
    </row>
    <row r="18" ht="12.75" customHeight="1">
      <c r="A18" s="126">
        <v>108.0</v>
      </c>
      <c r="B18" s="118" t="s">
        <v>156</v>
      </c>
      <c r="C18" s="127"/>
      <c r="D18" s="128">
        <f>SUM(E18:G18)</f>
        <v>0</v>
      </c>
      <c r="E18" s="118"/>
      <c r="F18" s="118"/>
      <c r="G18" s="118"/>
      <c r="H18" s="118"/>
      <c r="I18" s="118"/>
      <c r="J18" s="128">
        <v>0.0</v>
      </c>
      <c r="K18" s="118"/>
      <c r="L18" s="118"/>
      <c r="M18" s="118"/>
      <c r="N18" s="118"/>
      <c r="O18" s="118"/>
      <c r="P18" s="118"/>
      <c r="Q18" s="118"/>
      <c r="R18" s="118"/>
      <c r="S18" s="118"/>
      <c r="T18" s="118"/>
      <c r="U18" s="118"/>
      <c r="V18" s="118"/>
      <c r="W18" s="118"/>
      <c r="X18" s="118"/>
      <c r="Y18" s="118"/>
      <c r="Z18" s="118"/>
    </row>
    <row r="19" ht="12.75" customHeight="1">
      <c r="A19" s="126"/>
      <c r="B19" s="118"/>
      <c r="C19" s="127"/>
      <c r="D19" s="128"/>
      <c r="E19" s="118"/>
      <c r="F19" s="118"/>
      <c r="G19" s="118"/>
      <c r="H19" s="118"/>
      <c r="I19" s="118"/>
      <c r="J19" s="118"/>
      <c r="K19" s="118"/>
      <c r="L19" s="118"/>
      <c r="M19" s="118"/>
      <c r="N19" s="118"/>
      <c r="O19" s="118"/>
      <c r="P19" s="118"/>
      <c r="Q19" s="118"/>
      <c r="R19" s="118"/>
      <c r="S19" s="118"/>
      <c r="T19" s="118"/>
      <c r="U19" s="118"/>
      <c r="V19" s="118"/>
      <c r="W19" s="118"/>
      <c r="X19" s="118"/>
      <c r="Y19" s="118"/>
      <c r="Z19" s="118"/>
    </row>
    <row r="20" ht="12.75" customHeight="1">
      <c r="A20" s="126"/>
      <c r="B20" s="130" t="s">
        <v>157</v>
      </c>
      <c r="C20" s="131"/>
      <c r="D20" s="125">
        <f t="shared" ref="D20:G20" si="4">SUM(D10:D19)</f>
        <v>286828048</v>
      </c>
      <c r="E20" s="125">
        <f t="shared" si="4"/>
        <v>286828048</v>
      </c>
      <c r="F20" s="125">
        <f t="shared" si="4"/>
        <v>0</v>
      </c>
      <c r="G20" s="125">
        <f t="shared" si="4"/>
        <v>0</v>
      </c>
      <c r="H20" s="125"/>
      <c r="I20" s="125">
        <f t="shared" ref="I20:P20" si="5">SUM(I10:I19)</f>
        <v>0</v>
      </c>
      <c r="J20" s="125">
        <f t="shared" si="5"/>
        <v>15201324</v>
      </c>
      <c r="K20" s="125">
        <f t="shared" si="5"/>
        <v>0</v>
      </c>
      <c r="L20" s="125">
        <f t="shared" si="5"/>
        <v>0</v>
      </c>
      <c r="M20" s="125">
        <f t="shared" si="5"/>
        <v>0</v>
      </c>
      <c r="N20" s="125">
        <f t="shared" si="5"/>
        <v>0</v>
      </c>
      <c r="O20" s="125">
        <f t="shared" si="5"/>
        <v>0</v>
      </c>
      <c r="P20" s="125">
        <f t="shared" si="5"/>
        <v>0</v>
      </c>
      <c r="Q20" s="125"/>
      <c r="R20" s="125">
        <f>SUM(R10:R19)</f>
        <v>0</v>
      </c>
      <c r="S20" s="132"/>
      <c r="T20" s="132"/>
      <c r="U20" s="132"/>
      <c r="V20" s="132"/>
      <c r="W20" s="132"/>
      <c r="X20" s="132"/>
      <c r="Y20" s="132"/>
      <c r="Z20" s="132"/>
    </row>
    <row r="21" ht="12.75" customHeight="1">
      <c r="A21" s="126"/>
      <c r="B21" s="118"/>
      <c r="C21" s="127"/>
      <c r="D21" s="128"/>
      <c r="E21" s="118"/>
      <c r="F21" s="118"/>
      <c r="G21" s="118"/>
      <c r="H21" s="118"/>
      <c r="I21" s="118"/>
      <c r="J21" s="118"/>
      <c r="K21" s="118"/>
      <c r="L21" s="118"/>
      <c r="M21" s="118"/>
      <c r="N21" s="118"/>
      <c r="O21" s="118"/>
      <c r="P21" s="118"/>
      <c r="Q21" s="118"/>
      <c r="R21" s="118"/>
      <c r="S21" s="118"/>
      <c r="T21" s="118"/>
      <c r="U21" s="118"/>
      <c r="V21" s="118"/>
      <c r="W21" s="118"/>
      <c r="X21" s="118"/>
      <c r="Y21" s="118"/>
      <c r="Z21" s="118"/>
    </row>
    <row r="22" ht="12.75" customHeight="1">
      <c r="A22" s="126"/>
      <c r="B22" s="118"/>
      <c r="C22" s="128"/>
      <c r="D22" s="128"/>
      <c r="E22" s="128"/>
      <c r="F22" s="128"/>
      <c r="G22" s="128"/>
      <c r="H22" s="128"/>
      <c r="I22" s="128"/>
      <c r="J22" s="128"/>
      <c r="K22" s="128"/>
      <c r="L22" s="128"/>
      <c r="M22" s="118"/>
      <c r="N22" s="118"/>
      <c r="O22" s="118"/>
      <c r="P22" s="118"/>
      <c r="Q22" s="118"/>
      <c r="R22" s="118"/>
      <c r="S22" s="118"/>
      <c r="T22" s="118"/>
      <c r="U22" s="118"/>
      <c r="V22" s="118"/>
      <c r="W22" s="118"/>
      <c r="X22" s="118"/>
      <c r="Y22" s="118"/>
      <c r="Z22" s="118"/>
    </row>
    <row r="23" ht="12.75" customHeight="1">
      <c r="A23" s="126"/>
      <c r="B23" s="118" t="s">
        <v>158</v>
      </c>
      <c r="C23" s="128"/>
      <c r="D23" s="128">
        <f>SUM(E23:G23)</f>
        <v>-82586515</v>
      </c>
      <c r="E23" s="128">
        <f>-Retiros!G38</f>
        <v>-82586515</v>
      </c>
      <c r="F23" s="128"/>
      <c r="G23" s="128"/>
      <c r="H23" s="128"/>
      <c r="I23" s="128"/>
      <c r="J23" s="128">
        <f>+E23*L4</f>
        <v>-9176270.268</v>
      </c>
      <c r="K23" s="128"/>
      <c r="L23" s="128"/>
      <c r="M23" s="118"/>
      <c r="N23" s="118"/>
      <c r="O23" s="118"/>
      <c r="P23" s="118"/>
      <c r="Q23" s="118"/>
      <c r="R23" s="118"/>
      <c r="S23" s="118"/>
      <c r="T23" s="118"/>
      <c r="U23" s="118"/>
      <c r="V23" s="118"/>
      <c r="W23" s="118"/>
      <c r="X23" s="118"/>
      <c r="Y23" s="118"/>
      <c r="Z23" s="118"/>
    </row>
    <row r="24" ht="12.75" customHeight="1">
      <c r="A24" s="126"/>
      <c r="B24" s="118"/>
      <c r="C24" s="128"/>
      <c r="D24" s="128"/>
      <c r="E24" s="128"/>
      <c r="F24" s="128"/>
      <c r="G24" s="128"/>
      <c r="H24" s="128"/>
      <c r="I24" s="128"/>
      <c r="J24" s="128"/>
      <c r="K24" s="128"/>
      <c r="L24" s="128"/>
      <c r="M24" s="118"/>
      <c r="N24" s="118"/>
      <c r="O24" s="118"/>
      <c r="P24" s="118"/>
      <c r="Q24" s="118"/>
      <c r="R24" s="118"/>
      <c r="S24" s="118"/>
      <c r="T24" s="118"/>
      <c r="U24" s="118"/>
      <c r="V24" s="118"/>
      <c r="W24" s="118"/>
      <c r="X24" s="118"/>
      <c r="Y24" s="118"/>
      <c r="Z24" s="118"/>
    </row>
    <row r="25" ht="12.75" customHeight="1">
      <c r="A25" s="126">
        <v>111.0</v>
      </c>
      <c r="B25" s="118" t="s">
        <v>159</v>
      </c>
      <c r="C25" s="128"/>
      <c r="D25" s="128">
        <f t="shared" ref="D25:D26" si="6">SUM(E25:G25)</f>
        <v>0</v>
      </c>
      <c r="E25" s="128"/>
      <c r="F25" s="128"/>
      <c r="G25" s="128"/>
      <c r="H25" s="128"/>
      <c r="I25" s="128"/>
      <c r="J25" s="128"/>
      <c r="K25" s="128"/>
      <c r="L25" s="128"/>
      <c r="M25" s="118"/>
      <c r="N25" s="118"/>
      <c r="O25" s="118"/>
      <c r="P25" s="118"/>
      <c r="Q25" s="118"/>
      <c r="R25" s="118"/>
      <c r="S25" s="118"/>
      <c r="T25" s="118"/>
      <c r="U25" s="118"/>
      <c r="V25" s="118"/>
      <c r="W25" s="118"/>
      <c r="X25" s="118"/>
      <c r="Y25" s="118"/>
      <c r="Z25" s="118"/>
    </row>
    <row r="26" ht="12.75" customHeight="1">
      <c r="A26" s="126">
        <v>111.0</v>
      </c>
      <c r="B26" s="133" t="s">
        <v>160</v>
      </c>
      <c r="C26" s="128"/>
      <c r="D26" s="128">
        <f t="shared" si="6"/>
        <v>0</v>
      </c>
      <c r="E26" s="118"/>
      <c r="F26" s="118"/>
      <c r="G26" s="118"/>
      <c r="H26" s="118"/>
      <c r="I26" s="118"/>
      <c r="J26" s="128">
        <f>-C26*L4</f>
        <v>0</v>
      </c>
      <c r="K26" s="118"/>
      <c r="L26" s="118"/>
      <c r="M26" s="118"/>
      <c r="N26" s="118"/>
      <c r="O26" s="118"/>
      <c r="P26" s="118"/>
      <c r="Q26" s="118"/>
      <c r="R26" s="118"/>
      <c r="S26" s="118"/>
      <c r="T26" s="118"/>
      <c r="U26" s="118"/>
      <c r="V26" s="118"/>
      <c r="W26" s="118"/>
      <c r="X26" s="118"/>
      <c r="Y26" s="118"/>
      <c r="Z26" s="118"/>
    </row>
    <row r="27" ht="12.75" customHeight="1">
      <c r="A27" s="120"/>
      <c r="B27" s="118"/>
      <c r="C27" s="119"/>
      <c r="D27" s="118"/>
      <c r="E27" s="118"/>
      <c r="F27" s="118"/>
      <c r="G27" s="118"/>
      <c r="H27" s="118"/>
      <c r="I27" s="118"/>
      <c r="J27" s="118"/>
      <c r="K27" s="118"/>
      <c r="L27" s="118"/>
      <c r="M27" s="118"/>
      <c r="N27" s="118"/>
      <c r="O27" s="118"/>
      <c r="P27" s="118"/>
      <c r="Q27" s="118"/>
      <c r="R27" s="118"/>
      <c r="S27" s="6"/>
      <c r="T27" s="6"/>
      <c r="U27" s="6"/>
      <c r="V27" s="6"/>
      <c r="W27" s="6"/>
      <c r="X27" s="6"/>
      <c r="Y27" s="6"/>
      <c r="Z27" s="6"/>
    </row>
    <row r="28" ht="12.75" customHeight="1">
      <c r="A28" s="120"/>
      <c r="B28" s="118"/>
      <c r="C28" s="119"/>
      <c r="D28" s="128"/>
      <c r="E28" s="128"/>
      <c r="F28" s="118"/>
      <c r="G28" s="118"/>
      <c r="H28" s="118"/>
      <c r="I28" s="118"/>
      <c r="J28" s="118"/>
      <c r="K28" s="118"/>
      <c r="L28" s="118"/>
      <c r="M28" s="118"/>
      <c r="N28" s="118"/>
      <c r="O28" s="118"/>
      <c r="P28" s="118"/>
      <c r="Q28" s="118"/>
      <c r="R28" s="128"/>
      <c r="S28" s="6"/>
      <c r="T28" s="6"/>
      <c r="U28" s="6"/>
      <c r="V28" s="6"/>
      <c r="W28" s="6"/>
      <c r="X28" s="6"/>
      <c r="Y28" s="6"/>
      <c r="Z28" s="6"/>
    </row>
    <row r="29" ht="12.75" customHeight="1">
      <c r="A29" s="76"/>
      <c r="B29" s="134" t="s">
        <v>161</v>
      </c>
      <c r="C29" s="135"/>
      <c r="D29" s="136">
        <f t="shared" ref="D29:G29" si="7">SUM(D20:D28)</f>
        <v>204241533</v>
      </c>
      <c r="E29" s="136">
        <f t="shared" si="7"/>
        <v>204241533</v>
      </c>
      <c r="F29" s="136">
        <f t="shared" si="7"/>
        <v>0</v>
      </c>
      <c r="G29" s="136">
        <f t="shared" si="7"/>
        <v>0</v>
      </c>
      <c r="H29" s="136"/>
      <c r="I29" s="136">
        <f t="shared" ref="I29:P29" si="8">SUM(I20:I28)</f>
        <v>0</v>
      </c>
      <c r="J29" s="136">
        <f t="shared" si="8"/>
        <v>6025053.732</v>
      </c>
      <c r="K29" s="136">
        <f t="shared" si="8"/>
        <v>0</v>
      </c>
      <c r="L29" s="136">
        <f t="shared" si="8"/>
        <v>0</v>
      </c>
      <c r="M29" s="136">
        <f t="shared" si="8"/>
        <v>0</v>
      </c>
      <c r="N29" s="136">
        <f t="shared" si="8"/>
        <v>0</v>
      </c>
      <c r="O29" s="136">
        <f t="shared" si="8"/>
        <v>0</v>
      </c>
      <c r="P29" s="136">
        <f t="shared" si="8"/>
        <v>0</v>
      </c>
      <c r="Q29" s="136"/>
      <c r="R29" s="136">
        <f>SUM(R20:R28)</f>
        <v>0</v>
      </c>
      <c r="S29" s="6"/>
      <c r="T29" s="6"/>
      <c r="U29" s="6"/>
      <c r="V29" s="6"/>
      <c r="W29" s="6"/>
      <c r="X29" s="6"/>
      <c r="Y29" s="6"/>
      <c r="Z29" s="6"/>
    </row>
    <row r="30" ht="12.75" customHeight="1">
      <c r="A30" s="76"/>
      <c r="B30" s="6"/>
      <c r="C30" s="77"/>
      <c r="D30" s="6"/>
      <c r="E30" s="6"/>
      <c r="F30" s="6"/>
      <c r="G30" s="6"/>
      <c r="H30" s="6"/>
      <c r="I30" s="6"/>
      <c r="J30" s="6"/>
      <c r="K30" s="6"/>
      <c r="L30" s="6"/>
      <c r="M30" s="6"/>
      <c r="N30" s="6"/>
      <c r="O30" s="6"/>
      <c r="P30" s="6"/>
      <c r="Q30" s="6"/>
      <c r="R30" s="6"/>
      <c r="S30" s="6"/>
      <c r="T30" s="6"/>
      <c r="U30" s="6"/>
      <c r="V30" s="6"/>
      <c r="W30" s="6"/>
      <c r="X30" s="6"/>
      <c r="Y30" s="6"/>
      <c r="Z30" s="6"/>
    </row>
    <row r="31" ht="12.75" customHeight="1">
      <c r="A31" s="76"/>
      <c r="B31" s="137"/>
      <c r="C31" s="138"/>
      <c r="D31" s="139"/>
      <c r="E31" s="6"/>
      <c r="F31" s="6"/>
      <c r="G31" s="6"/>
      <c r="H31" s="6"/>
      <c r="I31" s="140"/>
      <c r="J31" s="140"/>
      <c r="K31" s="140"/>
      <c r="L31" s="140"/>
      <c r="M31" s="140"/>
      <c r="N31" s="128"/>
      <c r="O31" s="6"/>
      <c r="P31" s="6"/>
      <c r="Q31" s="6"/>
      <c r="R31" s="6"/>
      <c r="S31" s="6"/>
      <c r="T31" s="6"/>
      <c r="U31" s="6"/>
      <c r="V31" s="6"/>
      <c r="W31" s="6"/>
      <c r="X31" s="6"/>
      <c r="Y31" s="6"/>
      <c r="Z31" s="6"/>
    </row>
    <row r="32" ht="12.75" customHeight="1">
      <c r="A32" s="76"/>
      <c r="B32" s="141" t="s">
        <v>162</v>
      </c>
      <c r="C32" s="6"/>
      <c r="D32" s="142"/>
      <c r="E32" s="143"/>
      <c r="F32" s="6"/>
      <c r="G32" s="6"/>
      <c r="H32" s="6"/>
      <c r="I32" s="140"/>
      <c r="J32" s="140"/>
      <c r="K32" s="140"/>
      <c r="L32" s="140"/>
      <c r="M32" s="140"/>
      <c r="N32" s="128"/>
      <c r="O32" s="6"/>
      <c r="P32" s="6"/>
      <c r="Q32" s="6"/>
      <c r="R32" s="6"/>
      <c r="S32" s="6"/>
      <c r="T32" s="6"/>
      <c r="U32" s="6"/>
      <c r="V32" s="6"/>
      <c r="W32" s="6"/>
      <c r="X32" s="6"/>
      <c r="Y32" s="6"/>
      <c r="Z32" s="6"/>
    </row>
    <row r="33" ht="12.75" customHeight="1">
      <c r="A33" s="76"/>
      <c r="B33" s="144"/>
      <c r="C33" s="6"/>
      <c r="D33" s="145"/>
      <c r="E33" s="6"/>
      <c r="F33" s="128"/>
      <c r="G33" s="6"/>
      <c r="H33" s="6"/>
      <c r="I33" s="140"/>
      <c r="J33" s="140"/>
      <c r="K33" s="140"/>
      <c r="L33" s="140"/>
      <c r="M33" s="140"/>
      <c r="N33" s="128"/>
      <c r="O33" s="6"/>
      <c r="P33" s="6"/>
      <c r="Q33" s="6"/>
      <c r="R33" s="6"/>
      <c r="S33" s="6"/>
      <c r="T33" s="6"/>
      <c r="U33" s="6"/>
      <c r="V33" s="6"/>
      <c r="W33" s="6"/>
      <c r="X33" s="6"/>
      <c r="Y33" s="6"/>
      <c r="Z33" s="6"/>
    </row>
    <row r="34" ht="12.75" customHeight="1">
      <c r="A34" s="76"/>
      <c r="B34" s="146" t="s">
        <v>163</v>
      </c>
      <c r="C34" s="6"/>
      <c r="D34" s="145">
        <f>+'CPT 2023'!F26</f>
        <v>204341533</v>
      </c>
      <c r="E34" s="6"/>
      <c r="F34" s="128"/>
      <c r="G34" s="6"/>
      <c r="H34" s="6"/>
      <c r="I34" s="140"/>
      <c r="J34" s="140"/>
      <c r="K34" s="140"/>
      <c r="L34" s="140"/>
      <c r="M34" s="140"/>
      <c r="N34" s="128"/>
      <c r="O34" s="6"/>
      <c r="P34" s="6"/>
      <c r="Q34" s="6"/>
      <c r="R34" s="6"/>
      <c r="S34" s="6"/>
      <c r="T34" s="6"/>
      <c r="U34" s="6"/>
      <c r="V34" s="6"/>
      <c r="W34" s="6"/>
      <c r="X34" s="6"/>
      <c r="Y34" s="6"/>
      <c r="Z34" s="6"/>
    </row>
    <row r="35" ht="12.75" customHeight="1">
      <c r="A35" s="76"/>
      <c r="B35" s="144" t="s">
        <v>164</v>
      </c>
      <c r="C35" s="6"/>
      <c r="D35" s="145"/>
      <c r="E35" s="6"/>
      <c r="F35" s="128"/>
      <c r="G35" s="6"/>
      <c r="H35" s="6"/>
      <c r="I35" s="140"/>
      <c r="J35" s="140"/>
      <c r="K35" s="140"/>
      <c r="L35" s="140"/>
      <c r="M35" s="140"/>
      <c r="N35" s="128"/>
      <c r="O35" s="6"/>
      <c r="P35" s="6"/>
      <c r="Q35" s="6"/>
      <c r="R35" s="6"/>
      <c r="S35" s="6"/>
      <c r="T35" s="6"/>
      <c r="U35" s="6"/>
      <c r="V35" s="6"/>
      <c r="W35" s="6"/>
      <c r="X35" s="6"/>
      <c r="Y35" s="6"/>
      <c r="Z35" s="6"/>
    </row>
    <row r="36" ht="12.75" customHeight="1">
      <c r="A36" s="76"/>
      <c r="B36" s="144" t="s">
        <v>165</v>
      </c>
      <c r="C36" s="6"/>
      <c r="D36" s="145">
        <f>+Retiros!G38</f>
        <v>82586515</v>
      </c>
      <c r="E36" s="6"/>
      <c r="F36" s="128"/>
      <c r="G36" s="6"/>
      <c r="H36" s="6"/>
      <c r="I36" s="140"/>
      <c r="J36" s="140"/>
      <c r="K36" s="140"/>
      <c r="L36" s="140"/>
      <c r="M36" s="140"/>
      <c r="N36" s="128"/>
      <c r="O36" s="6"/>
      <c r="P36" s="6"/>
      <c r="Q36" s="6"/>
      <c r="R36" s="6"/>
      <c r="S36" s="6"/>
      <c r="T36" s="6"/>
      <c r="U36" s="6"/>
      <c r="V36" s="6"/>
      <c r="W36" s="6"/>
      <c r="X36" s="6"/>
      <c r="Y36" s="6"/>
      <c r="Z36" s="6"/>
    </row>
    <row r="37" ht="12.75" customHeight="1">
      <c r="A37" s="76"/>
      <c r="B37" s="144" t="s">
        <v>166</v>
      </c>
      <c r="C37" s="6"/>
      <c r="D37" s="145"/>
      <c r="E37" s="6"/>
      <c r="F37" s="128"/>
      <c r="G37" s="6"/>
      <c r="H37" s="6"/>
      <c r="I37" s="140"/>
      <c r="J37" s="140"/>
      <c r="K37" s="140"/>
      <c r="L37" s="140"/>
      <c r="M37" s="140"/>
      <c r="N37" s="128"/>
      <c r="O37" s="6"/>
      <c r="P37" s="6"/>
      <c r="Q37" s="6"/>
      <c r="R37" s="6"/>
      <c r="S37" s="6"/>
      <c r="T37" s="6"/>
      <c r="U37" s="6"/>
      <c r="V37" s="6"/>
      <c r="W37" s="6"/>
      <c r="X37" s="6"/>
      <c r="Y37" s="6"/>
      <c r="Z37" s="6"/>
    </row>
    <row r="38" ht="12.75" customHeight="1">
      <c r="A38" s="76"/>
      <c r="B38" s="144" t="s">
        <v>167</v>
      </c>
      <c r="C38" s="6"/>
      <c r="D38" s="145"/>
      <c r="E38" s="6"/>
      <c r="F38" s="128"/>
      <c r="G38" s="6"/>
      <c r="H38" s="6"/>
      <c r="I38" s="140"/>
      <c r="J38" s="140"/>
      <c r="K38" s="140"/>
      <c r="L38" s="140"/>
      <c r="M38" s="140"/>
      <c r="N38" s="128"/>
      <c r="O38" s="6"/>
      <c r="P38" s="6"/>
      <c r="Q38" s="6"/>
      <c r="R38" s="6"/>
      <c r="S38" s="6"/>
      <c r="T38" s="6"/>
      <c r="U38" s="6"/>
      <c r="V38" s="6"/>
      <c r="W38" s="6"/>
      <c r="X38" s="6"/>
      <c r="Y38" s="6"/>
      <c r="Z38" s="6"/>
    </row>
    <row r="39" ht="12.75" customHeight="1">
      <c r="A39" s="76"/>
      <c r="B39" s="144" t="s">
        <v>168</v>
      </c>
      <c r="C39" s="6"/>
      <c r="D39" s="145">
        <f>-'Balance 2023'!H19</f>
        <v>-100000</v>
      </c>
      <c r="E39" s="6"/>
      <c r="F39" s="128"/>
      <c r="G39" s="6"/>
      <c r="H39" s="6"/>
      <c r="I39" s="140"/>
      <c r="J39" s="140"/>
      <c r="K39" s="140"/>
      <c r="L39" s="140"/>
      <c r="M39" s="140"/>
      <c r="N39" s="128"/>
      <c r="O39" s="6"/>
      <c r="P39" s="6"/>
      <c r="Q39" s="6"/>
      <c r="R39" s="6"/>
      <c r="S39" s="6"/>
      <c r="T39" s="6"/>
      <c r="U39" s="6"/>
      <c r="V39" s="6"/>
      <c r="W39" s="6"/>
      <c r="X39" s="6"/>
      <c r="Y39" s="6"/>
      <c r="Z39" s="6"/>
    </row>
    <row r="40" ht="12.75" customHeight="1">
      <c r="A40" s="76"/>
      <c r="B40" s="147" t="s">
        <v>169</v>
      </c>
      <c r="C40" s="148"/>
      <c r="D40" s="149">
        <f>SUM(D34:D39)</f>
        <v>286828048</v>
      </c>
      <c r="E40" s="6"/>
      <c r="F40" s="128"/>
      <c r="G40" s="6"/>
      <c r="H40" s="6"/>
      <c r="I40" s="6"/>
      <c r="J40" s="140"/>
      <c r="K40" s="6"/>
      <c r="L40" s="6"/>
      <c r="M40" s="6"/>
      <c r="N40" s="150"/>
      <c r="O40" s="6"/>
      <c r="P40" s="6"/>
      <c r="Q40" s="6"/>
      <c r="R40" s="6"/>
      <c r="S40" s="6"/>
      <c r="T40" s="6"/>
      <c r="U40" s="6"/>
      <c r="V40" s="6"/>
      <c r="W40" s="6"/>
      <c r="X40" s="6"/>
      <c r="Y40" s="6"/>
      <c r="Z40" s="6"/>
    </row>
    <row r="41" ht="12.75" customHeight="1">
      <c r="A41" s="76"/>
      <c r="B41" s="146"/>
      <c r="C41" s="151"/>
      <c r="D41" s="152"/>
      <c r="E41" s="6"/>
      <c r="F41" s="128"/>
      <c r="G41" s="6"/>
      <c r="H41" s="6"/>
      <c r="I41" s="6"/>
      <c r="J41" s="140"/>
      <c r="K41" s="6"/>
      <c r="L41" s="6"/>
      <c r="M41" s="6"/>
      <c r="N41" s="150"/>
      <c r="O41" s="6"/>
      <c r="P41" s="6"/>
      <c r="Q41" s="6"/>
      <c r="R41" s="6"/>
      <c r="S41" s="6"/>
      <c r="T41" s="6"/>
      <c r="U41" s="6"/>
      <c r="V41" s="6"/>
      <c r="W41" s="6"/>
      <c r="X41" s="6"/>
      <c r="Y41" s="6"/>
      <c r="Z41" s="6"/>
    </row>
    <row r="42" ht="12.75" customHeight="1">
      <c r="A42" s="76"/>
      <c r="B42" s="153"/>
      <c r="C42" s="154"/>
      <c r="D42" s="155"/>
      <c r="E42" s="6"/>
      <c r="F42" s="128"/>
      <c r="G42" s="6"/>
      <c r="H42" s="6"/>
      <c r="I42" s="6"/>
      <c r="J42" s="140"/>
      <c r="K42" s="6"/>
      <c r="L42" s="6"/>
      <c r="M42" s="6"/>
      <c r="N42" s="6"/>
      <c r="O42" s="6"/>
      <c r="P42" s="6"/>
      <c r="Q42" s="6"/>
      <c r="R42" s="6"/>
      <c r="S42" s="6"/>
      <c r="T42" s="6"/>
      <c r="U42" s="6"/>
      <c r="V42" s="6"/>
      <c r="W42" s="6"/>
      <c r="X42" s="6"/>
      <c r="Y42" s="6"/>
      <c r="Z42" s="6"/>
    </row>
    <row r="43" ht="12.75" customHeight="1">
      <c r="A43" s="76"/>
      <c r="B43" s="6"/>
      <c r="C43" s="77"/>
      <c r="D43" s="6"/>
      <c r="E43" s="6"/>
      <c r="F43" s="128"/>
      <c r="G43" s="6"/>
      <c r="H43" s="6"/>
      <c r="I43" s="6"/>
      <c r="J43" s="140"/>
      <c r="K43" s="6"/>
      <c r="L43" s="6"/>
      <c r="M43" s="6"/>
      <c r="N43" s="6"/>
      <c r="O43" s="6"/>
      <c r="P43" s="6"/>
      <c r="Q43" s="6"/>
      <c r="R43" s="6"/>
      <c r="S43" s="6"/>
      <c r="T43" s="6"/>
      <c r="U43" s="6"/>
      <c r="V43" s="6"/>
      <c r="W43" s="6"/>
      <c r="X43" s="6"/>
      <c r="Y43" s="6"/>
      <c r="Z43" s="6"/>
    </row>
    <row r="44" ht="12.75" customHeight="1">
      <c r="A44" s="76"/>
      <c r="B44" s="6"/>
      <c r="C44" s="77"/>
      <c r="D44" s="6"/>
      <c r="E44" s="6"/>
      <c r="F44" s="128"/>
      <c r="G44" s="6"/>
      <c r="H44" s="6"/>
      <c r="I44" s="6"/>
      <c r="J44" s="140"/>
      <c r="K44" s="6"/>
      <c r="L44" s="6"/>
      <c r="M44" s="6"/>
      <c r="N44" s="6"/>
      <c r="O44" s="6"/>
      <c r="P44" s="6"/>
      <c r="Q44" s="6"/>
      <c r="R44" s="6"/>
      <c r="S44" s="6"/>
      <c r="T44" s="6"/>
      <c r="U44" s="6"/>
      <c r="V44" s="6"/>
      <c r="W44" s="6"/>
      <c r="X44" s="6"/>
      <c r="Y44" s="6"/>
      <c r="Z44" s="6"/>
    </row>
    <row r="45" ht="12.75" customHeight="1">
      <c r="A45" s="76"/>
      <c r="B45" s="6"/>
      <c r="C45" s="77"/>
      <c r="D45" s="6"/>
      <c r="E45" s="6"/>
      <c r="F45" s="143"/>
      <c r="G45" s="6"/>
      <c r="H45" s="6"/>
      <c r="I45" s="6"/>
      <c r="J45" s="140"/>
      <c r="K45" s="6"/>
      <c r="L45" s="6"/>
      <c r="M45" s="6"/>
      <c r="N45" s="6"/>
      <c r="O45" s="6"/>
      <c r="P45" s="6"/>
      <c r="Q45" s="6"/>
      <c r="R45" s="6"/>
      <c r="S45" s="6"/>
      <c r="T45" s="6"/>
      <c r="U45" s="6"/>
      <c r="V45" s="6"/>
      <c r="W45" s="6"/>
      <c r="X45" s="6"/>
      <c r="Y45" s="6"/>
      <c r="Z45" s="6"/>
    </row>
    <row r="46" ht="12.75" customHeight="1">
      <c r="A46" s="76"/>
      <c r="B46" s="156"/>
      <c r="C46" s="157"/>
      <c r="D46" s="156"/>
      <c r="E46" s="156"/>
      <c r="F46" s="156"/>
      <c r="G46" s="6"/>
      <c r="H46" s="6"/>
      <c r="I46" s="6"/>
      <c r="J46" s="140"/>
      <c r="K46" s="6"/>
      <c r="L46" s="6"/>
      <c r="M46" s="6"/>
      <c r="N46" s="6"/>
      <c r="O46" s="6"/>
      <c r="P46" s="6"/>
      <c r="Q46" s="6"/>
      <c r="R46" s="6"/>
      <c r="S46" s="6"/>
      <c r="T46" s="6"/>
      <c r="U46" s="6"/>
      <c r="V46" s="6"/>
      <c r="W46" s="6"/>
      <c r="X46" s="6"/>
      <c r="Y46" s="6"/>
      <c r="Z46" s="6"/>
    </row>
    <row r="47" ht="12.75" customHeight="1">
      <c r="A47" s="76"/>
      <c r="B47" s="156" t="s">
        <v>170</v>
      </c>
      <c r="C47" s="157" t="s">
        <v>171</v>
      </c>
      <c r="D47" s="156"/>
      <c r="E47" s="156"/>
      <c r="F47" s="156"/>
      <c r="G47" s="6"/>
      <c r="H47" s="6"/>
      <c r="I47" s="6"/>
      <c r="J47" s="140"/>
      <c r="K47" s="6"/>
      <c r="L47" s="6"/>
      <c r="M47" s="6"/>
      <c r="N47" s="6"/>
      <c r="O47" s="6"/>
      <c r="P47" s="6"/>
      <c r="Q47" s="6"/>
      <c r="R47" s="6"/>
      <c r="S47" s="6"/>
      <c r="T47" s="6"/>
      <c r="U47" s="6"/>
      <c r="V47" s="6"/>
      <c r="W47" s="6"/>
      <c r="X47" s="6"/>
      <c r="Y47" s="6"/>
      <c r="Z47" s="6"/>
    </row>
    <row r="48" ht="12.75" customHeight="1">
      <c r="A48" s="76"/>
      <c r="B48" s="128">
        <v>100000.0</v>
      </c>
      <c r="C48" s="158">
        <v>44075.0</v>
      </c>
      <c r="D48" s="159"/>
      <c r="E48" s="128"/>
      <c r="F48" s="128"/>
      <c r="G48" s="6"/>
      <c r="H48" s="6"/>
      <c r="I48" s="6"/>
      <c r="J48" s="140"/>
      <c r="K48" s="6"/>
      <c r="L48" s="150"/>
      <c r="M48" s="6"/>
      <c r="N48" s="140"/>
      <c r="O48" s="6"/>
      <c r="P48" s="6"/>
      <c r="Q48" s="6"/>
      <c r="R48" s="6"/>
      <c r="S48" s="6"/>
      <c r="T48" s="6"/>
      <c r="U48" s="6"/>
      <c r="V48" s="6"/>
      <c r="W48" s="6"/>
      <c r="X48" s="6"/>
      <c r="Y48" s="6"/>
      <c r="Z48" s="6"/>
    </row>
    <row r="49" ht="12.75" customHeight="1">
      <c r="A49" s="76"/>
      <c r="B49" s="6"/>
      <c r="C49" s="160"/>
      <c r="D49" s="159"/>
      <c r="E49" s="128"/>
      <c r="F49" s="128"/>
      <c r="G49" s="6"/>
      <c r="H49" s="6"/>
      <c r="I49" s="6"/>
      <c r="J49" s="161"/>
      <c r="K49" s="6"/>
      <c r="L49" s="6"/>
      <c r="M49" s="6"/>
      <c r="N49" s="6"/>
      <c r="O49" s="6"/>
      <c r="P49" s="6"/>
      <c r="Q49" s="6"/>
      <c r="R49" s="6"/>
      <c r="S49" s="6"/>
      <c r="T49" s="6"/>
      <c r="U49" s="6"/>
      <c r="V49" s="6"/>
      <c r="W49" s="6"/>
      <c r="X49" s="6"/>
      <c r="Y49" s="6"/>
      <c r="Z49" s="6"/>
    </row>
    <row r="50" ht="12.75" customHeight="1">
      <c r="A50" s="76"/>
      <c r="B50" s="6"/>
      <c r="C50" s="160"/>
      <c r="D50" s="159"/>
      <c r="E50" s="128"/>
      <c r="F50" s="128"/>
      <c r="G50" s="6"/>
      <c r="H50" s="6"/>
      <c r="I50" s="6"/>
      <c r="J50" s="6"/>
      <c r="K50" s="6"/>
      <c r="L50" s="6"/>
      <c r="M50" s="6"/>
      <c r="N50" s="6"/>
      <c r="O50" s="6"/>
      <c r="P50" s="6"/>
      <c r="Q50" s="6"/>
      <c r="R50" s="6"/>
      <c r="S50" s="6"/>
      <c r="T50" s="6"/>
      <c r="U50" s="6"/>
      <c r="V50" s="6"/>
      <c r="W50" s="6"/>
      <c r="X50" s="6"/>
      <c r="Y50" s="6"/>
      <c r="Z50" s="6"/>
    </row>
    <row r="51" ht="12.75" customHeight="1">
      <c r="A51" s="76"/>
      <c r="B51" s="6"/>
      <c r="C51" s="160"/>
      <c r="D51" s="159"/>
      <c r="E51" s="128"/>
      <c r="F51" s="128"/>
      <c r="G51" s="6"/>
      <c r="H51" s="6"/>
      <c r="I51" s="6"/>
      <c r="J51" s="6"/>
      <c r="K51" s="6"/>
      <c r="L51" s="6"/>
      <c r="M51" s="6"/>
      <c r="N51" s="6"/>
      <c r="O51" s="6"/>
      <c r="P51" s="6"/>
      <c r="Q51" s="6"/>
      <c r="R51" s="6"/>
      <c r="S51" s="6"/>
      <c r="T51" s="6"/>
      <c r="U51" s="6"/>
      <c r="V51" s="6"/>
      <c r="W51" s="6"/>
      <c r="X51" s="6"/>
      <c r="Y51" s="6"/>
      <c r="Z51" s="6"/>
    </row>
    <row r="52" ht="12.75" customHeight="1">
      <c r="A52" s="76"/>
      <c r="B52" s="6"/>
      <c r="C52" s="160"/>
      <c r="D52" s="159"/>
      <c r="E52" s="128"/>
      <c r="F52" s="128"/>
      <c r="G52" s="6"/>
      <c r="H52" s="6"/>
      <c r="I52" s="6"/>
      <c r="J52" s="6"/>
      <c r="K52" s="6"/>
      <c r="L52" s="6"/>
      <c r="M52" s="6"/>
      <c r="N52" s="6"/>
      <c r="O52" s="6"/>
      <c r="P52" s="6"/>
      <c r="Q52" s="6"/>
      <c r="R52" s="6"/>
      <c r="S52" s="6"/>
      <c r="T52" s="6"/>
      <c r="U52" s="6"/>
      <c r="V52" s="6"/>
      <c r="W52" s="6"/>
      <c r="X52" s="6"/>
      <c r="Y52" s="6"/>
      <c r="Z52" s="6"/>
    </row>
    <row r="53" ht="12.75" customHeight="1">
      <c r="A53" s="76"/>
      <c r="B53" s="6"/>
      <c r="C53" s="77"/>
      <c r="D53" s="159"/>
      <c r="E53" s="128"/>
      <c r="F53" s="128"/>
      <c r="G53" s="6"/>
      <c r="H53" s="6"/>
      <c r="I53" s="6"/>
      <c r="J53" s="6"/>
      <c r="K53" s="6"/>
      <c r="L53" s="6"/>
      <c r="M53" s="6"/>
      <c r="N53" s="6"/>
      <c r="O53" s="6"/>
      <c r="P53" s="6"/>
      <c r="Q53" s="6"/>
      <c r="R53" s="6"/>
      <c r="S53" s="6"/>
      <c r="T53" s="6"/>
      <c r="U53" s="6"/>
      <c r="V53" s="6"/>
      <c r="W53" s="6"/>
      <c r="X53" s="6"/>
      <c r="Y53" s="6"/>
      <c r="Z53" s="6"/>
    </row>
    <row r="54" ht="12.75" customHeight="1">
      <c r="A54" s="76"/>
      <c r="B54" s="6"/>
      <c r="C54" s="77"/>
      <c r="D54" s="6"/>
      <c r="E54" s="6"/>
      <c r="F54" s="6"/>
      <c r="G54" s="6"/>
      <c r="H54" s="6"/>
      <c r="I54" s="6"/>
      <c r="J54" s="6"/>
      <c r="K54" s="6"/>
      <c r="L54" s="6"/>
      <c r="M54" s="6"/>
      <c r="N54" s="6"/>
      <c r="O54" s="6"/>
      <c r="P54" s="6"/>
      <c r="Q54" s="6"/>
      <c r="R54" s="6"/>
      <c r="S54" s="6"/>
      <c r="T54" s="6"/>
      <c r="U54" s="6"/>
      <c r="V54" s="6"/>
      <c r="W54" s="6"/>
      <c r="X54" s="6"/>
      <c r="Y54" s="6"/>
      <c r="Z54" s="6"/>
    </row>
    <row r="55" ht="12.75" customHeight="1">
      <c r="A55" s="76"/>
      <c r="B55" s="6"/>
      <c r="C55" s="77"/>
      <c r="D55" s="6"/>
      <c r="E55" s="6"/>
      <c r="F55" s="6"/>
      <c r="G55" s="6"/>
      <c r="H55" s="6"/>
      <c r="I55" s="6"/>
      <c r="J55" s="6"/>
      <c r="K55" s="6"/>
      <c r="L55" s="6"/>
      <c r="M55" s="6"/>
      <c r="N55" s="6"/>
      <c r="O55" s="6"/>
      <c r="P55" s="6"/>
      <c r="Q55" s="6"/>
      <c r="R55" s="6"/>
      <c r="S55" s="6"/>
      <c r="T55" s="6"/>
      <c r="U55" s="6"/>
      <c r="V55" s="6"/>
      <c r="W55" s="6"/>
      <c r="X55" s="6"/>
      <c r="Y55" s="6"/>
      <c r="Z55" s="6"/>
    </row>
    <row r="56" ht="12.75" customHeight="1">
      <c r="A56" s="76"/>
      <c r="B56" s="6"/>
      <c r="C56" s="77"/>
      <c r="D56" s="150"/>
      <c r="E56" s="6"/>
      <c r="F56" s="6"/>
      <c r="G56" s="6"/>
      <c r="H56" s="6"/>
      <c r="I56" s="6"/>
      <c r="J56" s="6"/>
      <c r="K56" s="6"/>
      <c r="L56" s="6"/>
      <c r="M56" s="6"/>
      <c r="N56" s="6"/>
      <c r="O56" s="6"/>
      <c r="P56" s="6"/>
      <c r="Q56" s="6"/>
      <c r="R56" s="6"/>
      <c r="S56" s="6"/>
      <c r="T56" s="6"/>
      <c r="U56" s="6"/>
      <c r="V56" s="6"/>
      <c r="W56" s="6"/>
      <c r="X56" s="6"/>
      <c r="Y56" s="6"/>
      <c r="Z56" s="6"/>
    </row>
    <row r="57" ht="12.75" customHeight="1">
      <c r="A57" s="76"/>
      <c r="B57" s="6"/>
      <c r="C57" s="77"/>
      <c r="D57" s="6"/>
      <c r="E57" s="6"/>
      <c r="F57" s="6"/>
      <c r="G57" s="6"/>
      <c r="H57" s="6"/>
      <c r="I57" s="6"/>
      <c r="J57" s="6"/>
      <c r="K57" s="6"/>
      <c r="L57" s="6"/>
      <c r="M57" s="6"/>
      <c r="N57" s="6"/>
      <c r="O57" s="6"/>
      <c r="P57" s="6"/>
      <c r="Q57" s="6"/>
      <c r="R57" s="6"/>
      <c r="S57" s="6"/>
      <c r="T57" s="6"/>
      <c r="U57" s="6"/>
      <c r="V57" s="6"/>
      <c r="W57" s="6"/>
      <c r="X57" s="6"/>
      <c r="Y57" s="6"/>
      <c r="Z57" s="6"/>
    </row>
    <row r="58" ht="12.75" customHeight="1">
      <c r="A58" s="76"/>
      <c r="B58" s="6"/>
      <c r="C58" s="77"/>
      <c r="D58" s="6"/>
      <c r="E58" s="6"/>
      <c r="F58" s="6"/>
      <c r="G58" s="6"/>
      <c r="H58" s="6"/>
      <c r="I58" s="6"/>
      <c r="J58" s="6"/>
      <c r="K58" s="6"/>
      <c r="L58" s="6"/>
      <c r="M58" s="6"/>
      <c r="N58" s="6"/>
      <c r="O58" s="6"/>
      <c r="P58" s="6"/>
      <c r="Q58" s="6"/>
      <c r="R58" s="6"/>
      <c r="S58" s="6"/>
      <c r="T58" s="6"/>
      <c r="U58" s="6"/>
      <c r="V58" s="6"/>
      <c r="W58" s="6"/>
      <c r="X58" s="6"/>
      <c r="Y58" s="6"/>
      <c r="Z58" s="6"/>
    </row>
    <row r="59" ht="12.75" customHeight="1">
      <c r="A59" s="76"/>
      <c r="B59" s="6"/>
      <c r="C59" s="77"/>
      <c r="D59" s="6"/>
      <c r="E59" s="6"/>
      <c r="F59" s="6"/>
      <c r="G59" s="6"/>
      <c r="H59" s="6"/>
      <c r="I59" s="6"/>
      <c r="J59" s="6"/>
      <c r="K59" s="6"/>
      <c r="L59" s="6"/>
      <c r="M59" s="6"/>
      <c r="N59" s="6"/>
      <c r="O59" s="6"/>
      <c r="P59" s="6"/>
      <c r="Q59" s="6"/>
      <c r="R59" s="6"/>
      <c r="S59" s="6"/>
      <c r="T59" s="6"/>
      <c r="U59" s="6"/>
      <c r="V59" s="6"/>
      <c r="W59" s="6"/>
      <c r="X59" s="6"/>
      <c r="Y59" s="6"/>
      <c r="Z59" s="6"/>
    </row>
    <row r="60" ht="12.75" customHeight="1">
      <c r="A60" s="76"/>
      <c r="B60" s="6"/>
      <c r="C60" s="77"/>
      <c r="D60" s="6"/>
      <c r="E60" s="6"/>
      <c r="F60" s="6"/>
      <c r="G60" s="6"/>
      <c r="H60" s="6"/>
      <c r="I60" s="6"/>
      <c r="J60" s="6"/>
      <c r="K60" s="6"/>
      <c r="L60" s="6"/>
      <c r="M60" s="6"/>
      <c r="N60" s="6"/>
      <c r="O60" s="6"/>
      <c r="P60" s="6"/>
      <c r="Q60" s="6"/>
      <c r="R60" s="6"/>
      <c r="S60" s="6"/>
      <c r="T60" s="6"/>
      <c r="U60" s="6"/>
      <c r="V60" s="6"/>
      <c r="W60" s="6"/>
      <c r="X60" s="6"/>
      <c r="Y60" s="6"/>
      <c r="Z60" s="6"/>
    </row>
    <row r="61" ht="12.75" customHeight="1">
      <c r="A61" s="76"/>
      <c r="B61" s="6"/>
      <c r="C61" s="77"/>
      <c r="D61" s="6"/>
      <c r="E61" s="6"/>
      <c r="F61" s="6"/>
      <c r="G61" s="6"/>
      <c r="H61" s="6"/>
      <c r="I61" s="6"/>
      <c r="J61" s="6"/>
      <c r="K61" s="6"/>
      <c r="L61" s="6"/>
      <c r="M61" s="6"/>
      <c r="N61" s="6"/>
      <c r="O61" s="6"/>
      <c r="P61" s="6"/>
      <c r="Q61" s="6"/>
      <c r="R61" s="6"/>
      <c r="S61" s="6"/>
      <c r="T61" s="6"/>
      <c r="U61" s="6"/>
      <c r="V61" s="6"/>
      <c r="W61" s="6"/>
      <c r="X61" s="6"/>
      <c r="Y61" s="6"/>
      <c r="Z61" s="6"/>
    </row>
    <row r="62" ht="12.75" customHeight="1">
      <c r="A62" s="76"/>
      <c r="B62" s="6"/>
      <c r="C62" s="77"/>
      <c r="D62" s="6"/>
      <c r="E62" s="6"/>
      <c r="F62" s="6"/>
      <c r="G62" s="6"/>
      <c r="H62" s="6"/>
      <c r="I62" s="6"/>
      <c r="J62" s="6"/>
      <c r="K62" s="6"/>
      <c r="L62" s="6"/>
      <c r="M62" s="6"/>
      <c r="N62" s="6"/>
      <c r="O62" s="6"/>
      <c r="P62" s="6"/>
      <c r="Q62" s="6"/>
      <c r="R62" s="6"/>
      <c r="S62" s="6"/>
      <c r="T62" s="6"/>
      <c r="U62" s="6"/>
      <c r="V62" s="6"/>
      <c r="W62" s="6"/>
      <c r="X62" s="6"/>
      <c r="Y62" s="6"/>
      <c r="Z62" s="6"/>
    </row>
    <row r="63" ht="12.75" customHeight="1">
      <c r="A63" s="76"/>
      <c r="B63" s="6"/>
      <c r="C63" s="77"/>
      <c r="D63" s="6"/>
      <c r="E63" s="6"/>
      <c r="F63" s="6"/>
      <c r="G63" s="6"/>
      <c r="H63" s="6"/>
      <c r="I63" s="6"/>
      <c r="J63" s="6"/>
      <c r="K63" s="6"/>
      <c r="L63" s="6"/>
      <c r="M63" s="6"/>
      <c r="N63" s="6"/>
      <c r="O63" s="6"/>
      <c r="P63" s="6"/>
      <c r="Q63" s="6"/>
      <c r="R63" s="6"/>
      <c r="S63" s="6"/>
      <c r="T63" s="6"/>
      <c r="U63" s="6"/>
      <c r="V63" s="6"/>
      <c r="W63" s="6"/>
      <c r="X63" s="6"/>
      <c r="Y63" s="6"/>
      <c r="Z63" s="6"/>
    </row>
    <row r="64" ht="12.75" customHeight="1">
      <c r="A64" s="76"/>
      <c r="B64" s="6"/>
      <c r="C64" s="77"/>
      <c r="D64" s="6"/>
      <c r="E64" s="6"/>
      <c r="F64" s="6"/>
      <c r="G64" s="6"/>
      <c r="H64" s="6"/>
      <c r="I64" s="6"/>
      <c r="J64" s="6"/>
      <c r="K64" s="6"/>
      <c r="L64" s="6"/>
      <c r="M64" s="6"/>
      <c r="N64" s="6"/>
      <c r="O64" s="6"/>
      <c r="P64" s="6"/>
      <c r="Q64" s="6"/>
      <c r="R64" s="6"/>
      <c r="S64" s="6"/>
      <c r="T64" s="6"/>
      <c r="U64" s="6"/>
      <c r="V64" s="6"/>
      <c r="W64" s="6"/>
      <c r="X64" s="6"/>
      <c r="Y64" s="6"/>
      <c r="Z64" s="6"/>
    </row>
    <row r="65" ht="12.75" customHeight="1">
      <c r="A65" s="76"/>
      <c r="B65" s="6"/>
      <c r="C65" s="77"/>
      <c r="D65" s="6"/>
      <c r="E65" s="6"/>
      <c r="F65" s="6"/>
      <c r="G65" s="6"/>
      <c r="H65" s="6"/>
      <c r="I65" s="6"/>
      <c r="J65" s="6"/>
      <c r="K65" s="6"/>
      <c r="L65" s="6"/>
      <c r="M65" s="6"/>
      <c r="N65" s="6"/>
      <c r="O65" s="6"/>
      <c r="P65" s="6"/>
      <c r="Q65" s="6"/>
      <c r="R65" s="6"/>
      <c r="S65" s="6"/>
      <c r="T65" s="6"/>
      <c r="U65" s="6"/>
      <c r="V65" s="6"/>
      <c r="W65" s="6"/>
      <c r="X65" s="6"/>
      <c r="Y65" s="6"/>
      <c r="Z65" s="6"/>
    </row>
    <row r="66" ht="12.75" customHeight="1">
      <c r="A66" s="76"/>
      <c r="B66" s="6"/>
      <c r="C66" s="77"/>
      <c r="D66" s="6"/>
      <c r="E66" s="6"/>
      <c r="F66" s="6"/>
      <c r="G66" s="6"/>
      <c r="H66" s="6"/>
      <c r="I66" s="6"/>
      <c r="J66" s="6"/>
      <c r="K66" s="6"/>
      <c r="L66" s="6"/>
      <c r="M66" s="6"/>
      <c r="N66" s="6"/>
      <c r="O66" s="6"/>
      <c r="P66" s="6"/>
      <c r="Q66" s="6"/>
      <c r="R66" s="6"/>
      <c r="S66" s="6"/>
      <c r="T66" s="6"/>
      <c r="U66" s="6"/>
      <c r="V66" s="6"/>
      <c r="W66" s="6"/>
      <c r="X66" s="6"/>
      <c r="Y66" s="6"/>
      <c r="Z66" s="6"/>
    </row>
    <row r="67" ht="12.75" customHeight="1">
      <c r="A67" s="76"/>
      <c r="B67" s="6"/>
      <c r="C67" s="77"/>
      <c r="D67" s="6"/>
      <c r="E67" s="6"/>
      <c r="F67" s="6"/>
      <c r="G67" s="6"/>
      <c r="H67" s="6"/>
      <c r="I67" s="6"/>
      <c r="J67" s="6"/>
      <c r="K67" s="6"/>
      <c r="L67" s="6"/>
      <c r="M67" s="6"/>
      <c r="N67" s="6"/>
      <c r="O67" s="6"/>
      <c r="P67" s="6"/>
      <c r="Q67" s="6"/>
      <c r="R67" s="6"/>
      <c r="S67" s="6"/>
      <c r="T67" s="6"/>
      <c r="U67" s="6"/>
      <c r="V67" s="6"/>
      <c r="W67" s="6"/>
      <c r="X67" s="6"/>
      <c r="Y67" s="6"/>
      <c r="Z67" s="6"/>
    </row>
    <row r="68" ht="12.75" customHeight="1">
      <c r="A68" s="76"/>
      <c r="B68" s="6"/>
      <c r="C68" s="77"/>
      <c r="D68" s="6"/>
      <c r="E68" s="6"/>
      <c r="F68" s="6"/>
      <c r="G68" s="6"/>
      <c r="H68" s="6"/>
      <c r="I68" s="6"/>
      <c r="J68" s="6"/>
      <c r="K68" s="6"/>
      <c r="L68" s="6"/>
      <c r="M68" s="6"/>
      <c r="N68" s="6"/>
      <c r="O68" s="6"/>
      <c r="P68" s="6"/>
      <c r="Q68" s="6"/>
      <c r="R68" s="6"/>
      <c r="S68" s="6"/>
      <c r="T68" s="6"/>
      <c r="U68" s="6"/>
      <c r="V68" s="6"/>
      <c r="W68" s="6"/>
      <c r="X68" s="6"/>
      <c r="Y68" s="6"/>
      <c r="Z68" s="6"/>
    </row>
    <row r="69" ht="12.75" customHeight="1">
      <c r="A69" s="76"/>
      <c r="B69" s="6"/>
      <c r="C69" s="77"/>
      <c r="D69" s="6"/>
      <c r="E69" s="6"/>
      <c r="F69" s="6"/>
      <c r="G69" s="6"/>
      <c r="H69" s="6"/>
      <c r="I69" s="6"/>
      <c r="J69" s="6"/>
      <c r="K69" s="6"/>
      <c r="L69" s="6"/>
      <c r="M69" s="6"/>
      <c r="N69" s="6"/>
      <c r="O69" s="6"/>
      <c r="P69" s="6"/>
      <c r="Q69" s="6"/>
      <c r="R69" s="6"/>
      <c r="S69" s="6"/>
      <c r="T69" s="6"/>
      <c r="U69" s="6"/>
      <c r="V69" s="6"/>
      <c r="W69" s="6"/>
      <c r="X69" s="6"/>
      <c r="Y69" s="6"/>
      <c r="Z69" s="6"/>
    </row>
    <row r="70" ht="12.75" customHeight="1">
      <c r="A70" s="76"/>
      <c r="B70" s="6"/>
      <c r="C70" s="77"/>
      <c r="D70" s="6"/>
      <c r="E70" s="6"/>
      <c r="F70" s="6"/>
      <c r="G70" s="6"/>
      <c r="H70" s="6"/>
      <c r="I70" s="6"/>
      <c r="J70" s="6"/>
      <c r="K70" s="6"/>
      <c r="L70" s="6"/>
      <c r="M70" s="6"/>
      <c r="N70" s="6"/>
      <c r="O70" s="6"/>
      <c r="P70" s="6"/>
      <c r="Q70" s="6"/>
      <c r="R70" s="6"/>
      <c r="S70" s="6"/>
      <c r="T70" s="6"/>
      <c r="U70" s="6"/>
      <c r="V70" s="6"/>
      <c r="W70" s="6"/>
      <c r="X70" s="6"/>
      <c r="Y70" s="6"/>
      <c r="Z70" s="6"/>
    </row>
    <row r="71" ht="12.75" customHeight="1">
      <c r="A71" s="76"/>
      <c r="B71" s="6"/>
      <c r="C71" s="77"/>
      <c r="D71" s="6"/>
      <c r="E71" s="6"/>
      <c r="F71" s="6"/>
      <c r="G71" s="6"/>
      <c r="H71" s="6"/>
      <c r="I71" s="6"/>
      <c r="J71" s="6"/>
      <c r="K71" s="6"/>
      <c r="L71" s="6"/>
      <c r="M71" s="6"/>
      <c r="N71" s="6"/>
      <c r="O71" s="6"/>
      <c r="P71" s="6"/>
      <c r="Q71" s="6"/>
      <c r="R71" s="6"/>
      <c r="S71" s="6"/>
      <c r="T71" s="6"/>
      <c r="U71" s="6"/>
      <c r="V71" s="6"/>
      <c r="W71" s="6"/>
      <c r="X71" s="6"/>
      <c r="Y71" s="6"/>
      <c r="Z71" s="6"/>
    </row>
    <row r="72" ht="12.75" customHeight="1">
      <c r="A72" s="76"/>
      <c r="B72" s="6"/>
      <c r="C72" s="77"/>
      <c r="D72" s="6"/>
      <c r="E72" s="6"/>
      <c r="F72" s="6"/>
      <c r="G72" s="6"/>
      <c r="H72" s="6"/>
      <c r="I72" s="6"/>
      <c r="J72" s="6"/>
      <c r="K72" s="6"/>
      <c r="L72" s="6"/>
      <c r="M72" s="6"/>
      <c r="N72" s="6"/>
      <c r="O72" s="6"/>
      <c r="P72" s="6"/>
      <c r="Q72" s="6"/>
      <c r="R72" s="6"/>
      <c r="S72" s="6"/>
      <c r="T72" s="6"/>
      <c r="U72" s="6"/>
      <c r="V72" s="6"/>
      <c r="W72" s="6"/>
      <c r="X72" s="6"/>
      <c r="Y72" s="6"/>
      <c r="Z72" s="6"/>
    </row>
    <row r="73" ht="12.75" customHeight="1">
      <c r="A73" s="76"/>
      <c r="B73" s="6"/>
      <c r="C73" s="77"/>
      <c r="D73" s="6"/>
      <c r="E73" s="6"/>
      <c r="F73" s="6"/>
      <c r="G73" s="6"/>
      <c r="H73" s="6"/>
      <c r="I73" s="6"/>
      <c r="J73" s="6"/>
      <c r="K73" s="6"/>
      <c r="L73" s="6"/>
      <c r="M73" s="6"/>
      <c r="N73" s="6"/>
      <c r="O73" s="6"/>
      <c r="P73" s="6"/>
      <c r="Q73" s="6"/>
      <c r="R73" s="6"/>
      <c r="S73" s="6"/>
      <c r="T73" s="6"/>
      <c r="U73" s="6"/>
      <c r="V73" s="6"/>
      <c r="W73" s="6"/>
      <c r="X73" s="6"/>
      <c r="Y73" s="6"/>
      <c r="Z73" s="6"/>
    </row>
    <row r="74" ht="12.75" customHeight="1">
      <c r="A74" s="76"/>
      <c r="B74" s="6"/>
      <c r="C74" s="77"/>
      <c r="D74" s="6"/>
      <c r="E74" s="6"/>
      <c r="F74" s="6"/>
      <c r="G74" s="6"/>
      <c r="H74" s="6"/>
      <c r="I74" s="6"/>
      <c r="J74" s="6"/>
      <c r="K74" s="6"/>
      <c r="L74" s="6"/>
      <c r="M74" s="6"/>
      <c r="N74" s="6"/>
      <c r="O74" s="6"/>
      <c r="P74" s="6"/>
      <c r="Q74" s="6"/>
      <c r="R74" s="6"/>
      <c r="S74" s="6"/>
      <c r="T74" s="6"/>
      <c r="U74" s="6"/>
      <c r="V74" s="6"/>
      <c r="W74" s="6"/>
      <c r="X74" s="6"/>
      <c r="Y74" s="6"/>
      <c r="Z74" s="6"/>
    </row>
    <row r="75" ht="12.75" customHeight="1">
      <c r="A75" s="76"/>
      <c r="B75" s="6"/>
      <c r="C75" s="77"/>
      <c r="D75" s="6"/>
      <c r="E75" s="6"/>
      <c r="F75" s="6"/>
      <c r="G75" s="6"/>
      <c r="H75" s="6"/>
      <c r="I75" s="6"/>
      <c r="J75" s="6"/>
      <c r="K75" s="6"/>
      <c r="L75" s="6"/>
      <c r="M75" s="6"/>
      <c r="N75" s="6"/>
      <c r="O75" s="6"/>
      <c r="P75" s="6"/>
      <c r="Q75" s="6"/>
      <c r="R75" s="6"/>
      <c r="S75" s="6"/>
      <c r="T75" s="6"/>
      <c r="U75" s="6"/>
      <c r="V75" s="6"/>
      <c r="W75" s="6"/>
      <c r="X75" s="6"/>
      <c r="Y75" s="6"/>
      <c r="Z75" s="6"/>
    </row>
    <row r="76" ht="12.75" customHeight="1">
      <c r="A76" s="76"/>
      <c r="B76" s="6"/>
      <c r="C76" s="77"/>
      <c r="D76" s="6"/>
      <c r="E76" s="6"/>
      <c r="F76" s="6"/>
      <c r="G76" s="6"/>
      <c r="H76" s="6"/>
      <c r="I76" s="6"/>
      <c r="J76" s="6"/>
      <c r="K76" s="6"/>
      <c r="L76" s="6"/>
      <c r="M76" s="6"/>
      <c r="N76" s="6"/>
      <c r="O76" s="6"/>
      <c r="P76" s="6"/>
      <c r="Q76" s="6"/>
      <c r="R76" s="6"/>
      <c r="S76" s="6"/>
      <c r="T76" s="6"/>
      <c r="U76" s="6"/>
      <c r="V76" s="6"/>
      <c r="W76" s="6"/>
      <c r="X76" s="6"/>
      <c r="Y76" s="6"/>
      <c r="Z76" s="6"/>
    </row>
    <row r="77" ht="12.75" customHeight="1">
      <c r="A77" s="76"/>
      <c r="B77" s="6"/>
      <c r="C77" s="77"/>
      <c r="D77" s="6"/>
      <c r="E77" s="6"/>
      <c r="F77" s="6"/>
      <c r="G77" s="6"/>
      <c r="H77" s="6"/>
      <c r="I77" s="6"/>
      <c r="J77" s="6"/>
      <c r="K77" s="6"/>
      <c r="L77" s="6"/>
      <c r="M77" s="6"/>
      <c r="N77" s="6"/>
      <c r="O77" s="6"/>
      <c r="P77" s="6"/>
      <c r="Q77" s="6"/>
      <c r="R77" s="6"/>
      <c r="S77" s="6"/>
      <c r="T77" s="6"/>
      <c r="U77" s="6"/>
      <c r="V77" s="6"/>
      <c r="W77" s="6"/>
      <c r="X77" s="6"/>
      <c r="Y77" s="6"/>
      <c r="Z77" s="6"/>
    </row>
    <row r="78" ht="12.75" customHeight="1">
      <c r="A78" s="76"/>
      <c r="B78" s="6"/>
      <c r="C78" s="77"/>
      <c r="D78" s="6"/>
      <c r="E78" s="6"/>
      <c r="F78" s="6"/>
      <c r="G78" s="6"/>
      <c r="H78" s="6"/>
      <c r="I78" s="6"/>
      <c r="J78" s="6"/>
      <c r="K78" s="6"/>
      <c r="L78" s="6"/>
      <c r="M78" s="6"/>
      <c r="N78" s="6"/>
      <c r="O78" s="6"/>
      <c r="P78" s="6"/>
      <c r="Q78" s="6"/>
      <c r="R78" s="6"/>
      <c r="S78" s="6"/>
      <c r="T78" s="6"/>
      <c r="U78" s="6"/>
      <c r="V78" s="6"/>
      <c r="W78" s="6"/>
      <c r="X78" s="6"/>
      <c r="Y78" s="6"/>
      <c r="Z78" s="6"/>
    </row>
    <row r="79" ht="12.75" customHeight="1">
      <c r="A79" s="76"/>
      <c r="B79" s="6"/>
      <c r="C79" s="77"/>
      <c r="D79" s="6"/>
      <c r="E79" s="6"/>
      <c r="F79" s="6"/>
      <c r="G79" s="6"/>
      <c r="H79" s="6"/>
      <c r="I79" s="6"/>
      <c r="J79" s="6"/>
      <c r="K79" s="6"/>
      <c r="L79" s="6"/>
      <c r="M79" s="6"/>
      <c r="N79" s="6"/>
      <c r="O79" s="6"/>
      <c r="P79" s="6"/>
      <c r="Q79" s="6"/>
      <c r="R79" s="6"/>
      <c r="S79" s="6"/>
      <c r="T79" s="6"/>
      <c r="U79" s="6"/>
      <c r="V79" s="6"/>
      <c r="W79" s="6"/>
      <c r="X79" s="6"/>
      <c r="Y79" s="6"/>
      <c r="Z79" s="6"/>
    </row>
    <row r="80" ht="12.75" customHeight="1">
      <c r="A80" s="76"/>
      <c r="B80" s="6"/>
      <c r="C80" s="77"/>
      <c r="D80" s="6"/>
      <c r="E80" s="6"/>
      <c r="F80" s="6"/>
      <c r="G80" s="6"/>
      <c r="H80" s="6"/>
      <c r="I80" s="6"/>
      <c r="J80" s="6"/>
      <c r="K80" s="6"/>
      <c r="L80" s="6"/>
      <c r="M80" s="6"/>
      <c r="N80" s="6"/>
      <c r="O80" s="6"/>
      <c r="P80" s="6"/>
      <c r="Q80" s="6"/>
      <c r="R80" s="6"/>
      <c r="S80" s="6"/>
      <c r="T80" s="6"/>
      <c r="U80" s="6"/>
      <c r="V80" s="6"/>
      <c r="W80" s="6"/>
      <c r="X80" s="6"/>
      <c r="Y80" s="6"/>
      <c r="Z80" s="6"/>
    </row>
    <row r="81" ht="12.75" customHeight="1">
      <c r="A81" s="76"/>
      <c r="B81" s="6"/>
      <c r="C81" s="77"/>
      <c r="D81" s="6"/>
      <c r="E81" s="6"/>
      <c r="F81" s="6"/>
      <c r="G81" s="6"/>
      <c r="H81" s="6"/>
      <c r="I81" s="6"/>
      <c r="J81" s="6"/>
      <c r="K81" s="6"/>
      <c r="L81" s="6"/>
      <c r="M81" s="6"/>
      <c r="N81" s="6"/>
      <c r="O81" s="6"/>
      <c r="P81" s="6"/>
      <c r="Q81" s="6"/>
      <c r="R81" s="6"/>
      <c r="S81" s="6"/>
      <c r="T81" s="6"/>
      <c r="U81" s="6"/>
      <c r="V81" s="6"/>
      <c r="W81" s="6"/>
      <c r="X81" s="6"/>
      <c r="Y81" s="6"/>
      <c r="Z81" s="6"/>
    </row>
    <row r="82" ht="12.75" customHeight="1">
      <c r="A82" s="76"/>
      <c r="B82" s="6"/>
      <c r="C82" s="77"/>
      <c r="D82" s="6"/>
      <c r="E82" s="6"/>
      <c r="F82" s="6"/>
      <c r="G82" s="6"/>
      <c r="H82" s="6"/>
      <c r="I82" s="6"/>
      <c r="J82" s="6"/>
      <c r="K82" s="6"/>
      <c r="L82" s="6"/>
      <c r="M82" s="6"/>
      <c r="N82" s="6"/>
      <c r="O82" s="6"/>
      <c r="P82" s="6"/>
      <c r="Q82" s="6"/>
      <c r="R82" s="6"/>
      <c r="S82" s="6"/>
      <c r="T82" s="6"/>
      <c r="U82" s="6"/>
      <c r="V82" s="6"/>
      <c r="W82" s="6"/>
      <c r="X82" s="6"/>
      <c r="Y82" s="6"/>
      <c r="Z82" s="6"/>
    </row>
    <row r="83" ht="12.75" customHeight="1">
      <c r="A83" s="76"/>
      <c r="B83" s="6"/>
      <c r="C83" s="77"/>
      <c r="D83" s="6"/>
      <c r="E83" s="6"/>
      <c r="F83" s="6"/>
      <c r="G83" s="6"/>
      <c r="H83" s="6"/>
      <c r="I83" s="6"/>
      <c r="J83" s="6"/>
      <c r="K83" s="6"/>
      <c r="L83" s="6"/>
      <c r="M83" s="6"/>
      <c r="N83" s="6"/>
      <c r="O83" s="6"/>
      <c r="P83" s="6"/>
      <c r="Q83" s="6"/>
      <c r="R83" s="6"/>
      <c r="S83" s="6"/>
      <c r="T83" s="6"/>
      <c r="U83" s="6"/>
      <c r="V83" s="6"/>
      <c r="W83" s="6"/>
      <c r="X83" s="6"/>
      <c r="Y83" s="6"/>
      <c r="Z83" s="6"/>
    </row>
    <row r="84" ht="12.75" customHeight="1">
      <c r="A84" s="76"/>
      <c r="B84" s="6"/>
      <c r="C84" s="77"/>
      <c r="D84" s="6"/>
      <c r="E84" s="6"/>
      <c r="F84" s="6"/>
      <c r="G84" s="6"/>
      <c r="H84" s="6"/>
      <c r="I84" s="6"/>
      <c r="J84" s="6"/>
      <c r="K84" s="6"/>
      <c r="L84" s="6"/>
      <c r="M84" s="6"/>
      <c r="N84" s="6"/>
      <c r="O84" s="6"/>
      <c r="P84" s="6"/>
      <c r="Q84" s="6"/>
      <c r="R84" s="6"/>
      <c r="S84" s="6"/>
      <c r="T84" s="6"/>
      <c r="U84" s="6"/>
      <c r="V84" s="6"/>
      <c r="W84" s="6"/>
      <c r="X84" s="6"/>
      <c r="Y84" s="6"/>
      <c r="Z84" s="6"/>
    </row>
    <row r="85" ht="12.75" customHeight="1">
      <c r="A85" s="76"/>
      <c r="B85" s="6"/>
      <c r="C85" s="77"/>
      <c r="D85" s="6"/>
      <c r="E85" s="6"/>
      <c r="F85" s="6"/>
      <c r="G85" s="6"/>
      <c r="H85" s="6"/>
      <c r="I85" s="6"/>
      <c r="J85" s="6"/>
      <c r="K85" s="6"/>
      <c r="L85" s="6"/>
      <c r="M85" s="6"/>
      <c r="N85" s="6"/>
      <c r="O85" s="6"/>
      <c r="P85" s="6"/>
      <c r="Q85" s="6"/>
      <c r="R85" s="6"/>
      <c r="S85" s="6"/>
      <c r="T85" s="6"/>
      <c r="U85" s="6"/>
      <c r="V85" s="6"/>
      <c r="W85" s="6"/>
      <c r="X85" s="6"/>
      <c r="Y85" s="6"/>
      <c r="Z85" s="6"/>
    </row>
    <row r="86" ht="12.75" customHeight="1">
      <c r="A86" s="76"/>
      <c r="B86" s="6"/>
      <c r="C86" s="77"/>
      <c r="D86" s="6"/>
      <c r="E86" s="6"/>
      <c r="F86" s="6"/>
      <c r="G86" s="6"/>
      <c r="H86" s="6"/>
      <c r="I86" s="6"/>
      <c r="J86" s="6"/>
      <c r="K86" s="6"/>
      <c r="L86" s="6"/>
      <c r="M86" s="6"/>
      <c r="N86" s="6"/>
      <c r="O86" s="6"/>
      <c r="P86" s="6"/>
      <c r="Q86" s="6"/>
      <c r="R86" s="6"/>
      <c r="S86" s="6"/>
      <c r="T86" s="6"/>
      <c r="U86" s="6"/>
      <c r="V86" s="6"/>
      <c r="W86" s="6"/>
      <c r="X86" s="6"/>
      <c r="Y86" s="6"/>
      <c r="Z86" s="6"/>
    </row>
    <row r="87" ht="12.75" customHeight="1">
      <c r="A87" s="76"/>
      <c r="B87" s="6"/>
      <c r="C87" s="77"/>
      <c r="D87" s="6"/>
      <c r="E87" s="6"/>
      <c r="F87" s="6"/>
      <c r="G87" s="6"/>
      <c r="H87" s="6"/>
      <c r="I87" s="6"/>
      <c r="J87" s="6"/>
      <c r="K87" s="6"/>
      <c r="L87" s="6"/>
      <c r="M87" s="6"/>
      <c r="N87" s="6"/>
      <c r="O87" s="6"/>
      <c r="P87" s="6"/>
      <c r="Q87" s="6"/>
      <c r="R87" s="6"/>
      <c r="S87" s="6"/>
      <c r="T87" s="6"/>
      <c r="U87" s="6"/>
      <c r="V87" s="6"/>
      <c r="W87" s="6"/>
      <c r="X87" s="6"/>
      <c r="Y87" s="6"/>
      <c r="Z87" s="6"/>
    </row>
    <row r="88" ht="12.75" customHeight="1">
      <c r="A88" s="76"/>
      <c r="B88" s="6"/>
      <c r="C88" s="77"/>
      <c r="D88" s="6"/>
      <c r="E88" s="6"/>
      <c r="F88" s="6"/>
      <c r="G88" s="6"/>
      <c r="H88" s="6"/>
      <c r="I88" s="6"/>
      <c r="J88" s="6"/>
      <c r="K88" s="6"/>
      <c r="L88" s="6"/>
      <c r="M88" s="6"/>
      <c r="N88" s="6"/>
      <c r="O88" s="6"/>
      <c r="P88" s="6"/>
      <c r="Q88" s="6"/>
      <c r="R88" s="6"/>
      <c r="S88" s="6"/>
      <c r="T88" s="6"/>
      <c r="U88" s="6"/>
      <c r="V88" s="6"/>
      <c r="W88" s="6"/>
      <c r="X88" s="6"/>
      <c r="Y88" s="6"/>
      <c r="Z88" s="6"/>
    </row>
    <row r="89" ht="12.75" customHeight="1">
      <c r="A89" s="76"/>
      <c r="B89" s="6"/>
      <c r="C89" s="77"/>
      <c r="D89" s="6"/>
      <c r="E89" s="6"/>
      <c r="F89" s="6"/>
      <c r="G89" s="6"/>
      <c r="H89" s="6"/>
      <c r="I89" s="6"/>
      <c r="J89" s="6"/>
      <c r="K89" s="6"/>
      <c r="L89" s="6"/>
      <c r="M89" s="6"/>
      <c r="N89" s="6"/>
      <c r="O89" s="6"/>
      <c r="P89" s="6"/>
      <c r="Q89" s="6"/>
      <c r="R89" s="6"/>
      <c r="S89" s="6"/>
      <c r="T89" s="6"/>
      <c r="U89" s="6"/>
      <c r="V89" s="6"/>
      <c r="W89" s="6"/>
      <c r="X89" s="6"/>
      <c r="Y89" s="6"/>
      <c r="Z89" s="6"/>
    </row>
    <row r="90" ht="12.75" customHeight="1">
      <c r="A90" s="76"/>
      <c r="B90" s="6"/>
      <c r="C90" s="77"/>
      <c r="D90" s="6"/>
      <c r="E90" s="6"/>
      <c r="F90" s="6"/>
      <c r="G90" s="6"/>
      <c r="H90" s="6"/>
      <c r="I90" s="6"/>
      <c r="J90" s="6"/>
      <c r="K90" s="6"/>
      <c r="L90" s="6"/>
      <c r="M90" s="6"/>
      <c r="N90" s="6"/>
      <c r="O90" s="6"/>
      <c r="P90" s="6"/>
      <c r="Q90" s="6"/>
      <c r="R90" s="6"/>
      <c r="S90" s="6"/>
      <c r="T90" s="6"/>
      <c r="U90" s="6"/>
      <c r="V90" s="6"/>
      <c r="W90" s="6"/>
      <c r="X90" s="6"/>
      <c r="Y90" s="6"/>
      <c r="Z90" s="6"/>
    </row>
    <row r="91" ht="12.75" customHeight="1">
      <c r="A91" s="76"/>
      <c r="B91" s="6"/>
      <c r="C91" s="77"/>
      <c r="D91" s="6"/>
      <c r="E91" s="6"/>
      <c r="F91" s="6"/>
      <c r="G91" s="6"/>
      <c r="H91" s="6"/>
      <c r="I91" s="6"/>
      <c r="J91" s="6"/>
      <c r="K91" s="6"/>
      <c r="L91" s="6"/>
      <c r="M91" s="6"/>
      <c r="N91" s="6"/>
      <c r="O91" s="6"/>
      <c r="P91" s="6"/>
      <c r="Q91" s="6"/>
      <c r="R91" s="6"/>
      <c r="S91" s="6"/>
      <c r="T91" s="6"/>
      <c r="U91" s="6"/>
      <c r="V91" s="6"/>
      <c r="W91" s="6"/>
      <c r="X91" s="6"/>
      <c r="Y91" s="6"/>
      <c r="Z91" s="6"/>
    </row>
    <row r="92" ht="12.75" customHeight="1">
      <c r="A92" s="76"/>
      <c r="B92" s="6"/>
      <c r="C92" s="77"/>
      <c r="D92" s="6"/>
      <c r="E92" s="6"/>
      <c r="F92" s="6"/>
      <c r="G92" s="6"/>
      <c r="H92" s="6"/>
      <c r="I92" s="6"/>
      <c r="J92" s="6"/>
      <c r="K92" s="6"/>
      <c r="L92" s="6"/>
      <c r="M92" s="6"/>
      <c r="N92" s="6"/>
      <c r="O92" s="6"/>
      <c r="P92" s="6"/>
      <c r="Q92" s="6"/>
      <c r="R92" s="6"/>
      <c r="S92" s="6"/>
      <c r="T92" s="6"/>
      <c r="U92" s="6"/>
      <c r="V92" s="6"/>
      <c r="W92" s="6"/>
      <c r="X92" s="6"/>
      <c r="Y92" s="6"/>
      <c r="Z92" s="6"/>
    </row>
    <row r="93" ht="12.75" customHeight="1">
      <c r="A93" s="76"/>
      <c r="B93" s="6"/>
      <c r="C93" s="77"/>
      <c r="D93" s="6"/>
      <c r="E93" s="6"/>
      <c r="F93" s="6"/>
      <c r="G93" s="6"/>
      <c r="H93" s="6"/>
      <c r="I93" s="6"/>
      <c r="J93" s="6"/>
      <c r="K93" s="6"/>
      <c r="L93" s="6"/>
      <c r="M93" s="6"/>
      <c r="N93" s="6"/>
      <c r="O93" s="6"/>
      <c r="P93" s="6"/>
      <c r="Q93" s="6"/>
      <c r="R93" s="6"/>
      <c r="S93" s="6"/>
      <c r="T93" s="6"/>
      <c r="U93" s="6"/>
      <c r="V93" s="6"/>
      <c r="W93" s="6"/>
      <c r="X93" s="6"/>
      <c r="Y93" s="6"/>
      <c r="Z93" s="6"/>
    </row>
    <row r="94" ht="12.75" customHeight="1">
      <c r="A94" s="76"/>
      <c r="B94" s="6"/>
      <c r="C94" s="77"/>
      <c r="D94" s="6"/>
      <c r="E94" s="6"/>
      <c r="F94" s="6"/>
      <c r="G94" s="6"/>
      <c r="H94" s="6"/>
      <c r="I94" s="6"/>
      <c r="J94" s="6"/>
      <c r="K94" s="6"/>
      <c r="L94" s="6"/>
      <c r="M94" s="6"/>
      <c r="N94" s="6"/>
      <c r="O94" s="6"/>
      <c r="P94" s="6"/>
      <c r="Q94" s="6"/>
      <c r="R94" s="6"/>
      <c r="S94" s="6"/>
      <c r="T94" s="6"/>
      <c r="U94" s="6"/>
      <c r="V94" s="6"/>
      <c r="W94" s="6"/>
      <c r="X94" s="6"/>
      <c r="Y94" s="6"/>
      <c r="Z94" s="6"/>
    </row>
    <row r="95" ht="12.75" customHeight="1">
      <c r="A95" s="76"/>
      <c r="B95" s="6"/>
      <c r="C95" s="77"/>
      <c r="D95" s="6"/>
      <c r="E95" s="6"/>
      <c r="F95" s="6"/>
      <c r="G95" s="6"/>
      <c r="H95" s="6"/>
      <c r="I95" s="6"/>
      <c r="J95" s="6"/>
      <c r="K95" s="6"/>
      <c r="L95" s="6"/>
      <c r="M95" s="6"/>
      <c r="N95" s="6"/>
      <c r="O95" s="6"/>
      <c r="P95" s="6"/>
      <c r="Q95" s="6"/>
      <c r="R95" s="6"/>
      <c r="S95" s="6"/>
      <c r="T95" s="6"/>
      <c r="U95" s="6"/>
      <c r="V95" s="6"/>
      <c r="W95" s="6"/>
      <c r="X95" s="6"/>
      <c r="Y95" s="6"/>
      <c r="Z95" s="6"/>
    </row>
    <row r="96" ht="12.75" customHeight="1">
      <c r="A96" s="76"/>
      <c r="B96" s="6"/>
      <c r="C96" s="77"/>
      <c r="D96" s="6"/>
      <c r="E96" s="6"/>
      <c r="F96" s="6"/>
      <c r="G96" s="6"/>
      <c r="H96" s="6"/>
      <c r="I96" s="6"/>
      <c r="J96" s="6"/>
      <c r="K96" s="6"/>
      <c r="L96" s="6"/>
      <c r="M96" s="6"/>
      <c r="N96" s="6"/>
      <c r="O96" s="6"/>
      <c r="P96" s="6"/>
      <c r="Q96" s="6"/>
      <c r="R96" s="6"/>
      <c r="S96" s="6"/>
      <c r="T96" s="6"/>
      <c r="U96" s="6"/>
      <c r="V96" s="6"/>
      <c r="W96" s="6"/>
      <c r="X96" s="6"/>
      <c r="Y96" s="6"/>
      <c r="Z96" s="6"/>
    </row>
    <row r="97" ht="12.75" customHeight="1">
      <c r="A97" s="76"/>
      <c r="B97" s="6"/>
      <c r="C97" s="77"/>
      <c r="D97" s="6"/>
      <c r="E97" s="6"/>
      <c r="F97" s="6"/>
      <c r="G97" s="6"/>
      <c r="H97" s="6"/>
      <c r="I97" s="6"/>
      <c r="J97" s="6"/>
      <c r="K97" s="6"/>
      <c r="L97" s="6"/>
      <c r="M97" s="6"/>
      <c r="N97" s="6"/>
      <c r="O97" s="6"/>
      <c r="P97" s="6"/>
      <c r="Q97" s="6"/>
      <c r="R97" s="6"/>
      <c r="S97" s="6"/>
      <c r="T97" s="6"/>
      <c r="U97" s="6"/>
      <c r="V97" s="6"/>
      <c r="W97" s="6"/>
      <c r="X97" s="6"/>
      <c r="Y97" s="6"/>
      <c r="Z97" s="6"/>
    </row>
    <row r="98" ht="12.75" customHeight="1">
      <c r="A98" s="76"/>
      <c r="B98" s="6"/>
      <c r="C98" s="77"/>
      <c r="D98" s="6"/>
      <c r="E98" s="6"/>
      <c r="F98" s="6"/>
      <c r="G98" s="6"/>
      <c r="H98" s="6"/>
      <c r="I98" s="6"/>
      <c r="J98" s="6"/>
      <c r="K98" s="6"/>
      <c r="L98" s="6"/>
      <c r="M98" s="6"/>
      <c r="N98" s="6"/>
      <c r="O98" s="6"/>
      <c r="P98" s="6"/>
      <c r="Q98" s="6"/>
      <c r="R98" s="6"/>
      <c r="S98" s="6"/>
      <c r="T98" s="6"/>
      <c r="U98" s="6"/>
      <c r="V98" s="6"/>
      <c r="W98" s="6"/>
      <c r="X98" s="6"/>
      <c r="Y98" s="6"/>
      <c r="Z98" s="6"/>
    </row>
    <row r="99" ht="12.75" customHeight="1">
      <c r="A99" s="76"/>
      <c r="B99" s="6"/>
      <c r="C99" s="77"/>
      <c r="D99" s="6"/>
      <c r="E99" s="6"/>
      <c r="F99" s="6"/>
      <c r="G99" s="6"/>
      <c r="H99" s="6"/>
      <c r="I99" s="6"/>
      <c r="J99" s="6"/>
      <c r="K99" s="6"/>
      <c r="L99" s="6"/>
      <c r="M99" s="6"/>
      <c r="N99" s="6"/>
      <c r="O99" s="6"/>
      <c r="P99" s="6"/>
      <c r="Q99" s="6"/>
      <c r="R99" s="6"/>
      <c r="S99" s="6"/>
      <c r="T99" s="6"/>
      <c r="U99" s="6"/>
      <c r="V99" s="6"/>
      <c r="W99" s="6"/>
      <c r="X99" s="6"/>
      <c r="Y99" s="6"/>
      <c r="Z99" s="6"/>
    </row>
    <row r="100" ht="12.75" customHeight="1">
      <c r="A100" s="76"/>
      <c r="B100" s="6"/>
      <c r="C100" s="77"/>
      <c r="D100" s="6"/>
      <c r="E100" s="6"/>
      <c r="F100" s="6"/>
      <c r="G100" s="6"/>
      <c r="H100" s="6"/>
      <c r="I100" s="6"/>
      <c r="J100" s="6"/>
      <c r="K100" s="6"/>
      <c r="L100" s="6"/>
      <c r="M100" s="6"/>
      <c r="N100" s="6"/>
      <c r="O100" s="6"/>
      <c r="P100" s="6"/>
      <c r="Q100" s="6"/>
      <c r="R100" s="6"/>
      <c r="S100" s="6"/>
      <c r="T100" s="6"/>
      <c r="U100" s="6"/>
      <c r="V100" s="6"/>
      <c r="W100" s="6"/>
      <c r="X100" s="6"/>
      <c r="Y100" s="6"/>
      <c r="Z100" s="6"/>
    </row>
    <row r="101" ht="12.75" customHeight="1">
      <c r="A101" s="76"/>
      <c r="B101" s="6"/>
      <c r="C101" s="77"/>
      <c r="D101" s="6"/>
      <c r="E101" s="6"/>
      <c r="F101" s="6"/>
      <c r="G101" s="6"/>
      <c r="H101" s="6"/>
      <c r="I101" s="6"/>
      <c r="J101" s="6"/>
      <c r="K101" s="6"/>
      <c r="L101" s="6"/>
      <c r="M101" s="6"/>
      <c r="N101" s="6"/>
      <c r="O101" s="6"/>
      <c r="P101" s="6"/>
      <c r="Q101" s="6"/>
      <c r="R101" s="6"/>
      <c r="S101" s="6"/>
      <c r="T101" s="6"/>
      <c r="U101" s="6"/>
      <c r="V101" s="6"/>
      <c r="W101" s="6"/>
      <c r="X101" s="6"/>
      <c r="Y101" s="6"/>
      <c r="Z101" s="6"/>
    </row>
    <row r="102" ht="12.75" customHeight="1">
      <c r="A102" s="76"/>
      <c r="B102" s="6"/>
      <c r="C102" s="77"/>
      <c r="D102" s="6"/>
      <c r="E102" s="6"/>
      <c r="F102" s="6"/>
      <c r="G102" s="6"/>
      <c r="H102" s="6"/>
      <c r="I102" s="6"/>
      <c r="J102" s="6"/>
      <c r="K102" s="6"/>
      <c r="L102" s="6"/>
      <c r="M102" s="6"/>
      <c r="N102" s="6"/>
      <c r="O102" s="6"/>
      <c r="P102" s="6"/>
      <c r="Q102" s="6"/>
      <c r="R102" s="6"/>
      <c r="S102" s="6"/>
      <c r="T102" s="6"/>
      <c r="U102" s="6"/>
      <c r="V102" s="6"/>
      <c r="W102" s="6"/>
      <c r="X102" s="6"/>
      <c r="Y102" s="6"/>
      <c r="Z102" s="6"/>
    </row>
    <row r="103" ht="12.75" customHeight="1">
      <c r="A103" s="76"/>
      <c r="B103" s="6"/>
      <c r="C103" s="77"/>
      <c r="D103" s="6"/>
      <c r="E103" s="6"/>
      <c r="F103" s="6"/>
      <c r="G103" s="6"/>
      <c r="H103" s="6"/>
      <c r="I103" s="6"/>
      <c r="J103" s="6"/>
      <c r="K103" s="6"/>
      <c r="L103" s="6"/>
      <c r="M103" s="6"/>
      <c r="N103" s="6"/>
      <c r="O103" s="6"/>
      <c r="P103" s="6"/>
      <c r="Q103" s="6"/>
      <c r="R103" s="6"/>
      <c r="S103" s="6"/>
      <c r="T103" s="6"/>
      <c r="U103" s="6"/>
      <c r="V103" s="6"/>
      <c r="W103" s="6"/>
      <c r="X103" s="6"/>
      <c r="Y103" s="6"/>
      <c r="Z103" s="6"/>
    </row>
    <row r="104" ht="12.75" customHeight="1">
      <c r="A104" s="76"/>
      <c r="B104" s="6"/>
      <c r="C104" s="77"/>
      <c r="D104" s="6"/>
      <c r="E104" s="6"/>
      <c r="F104" s="6"/>
      <c r="G104" s="6"/>
      <c r="H104" s="6"/>
      <c r="I104" s="6"/>
      <c r="J104" s="6"/>
      <c r="K104" s="6"/>
      <c r="L104" s="6"/>
      <c r="M104" s="6"/>
      <c r="N104" s="6"/>
      <c r="O104" s="6"/>
      <c r="P104" s="6"/>
      <c r="Q104" s="6"/>
      <c r="R104" s="6"/>
      <c r="S104" s="6"/>
      <c r="T104" s="6"/>
      <c r="U104" s="6"/>
      <c r="V104" s="6"/>
      <c r="W104" s="6"/>
      <c r="X104" s="6"/>
      <c r="Y104" s="6"/>
      <c r="Z104" s="6"/>
    </row>
    <row r="105" ht="12.75" customHeight="1">
      <c r="A105" s="76"/>
      <c r="B105" s="6"/>
      <c r="C105" s="77"/>
      <c r="D105" s="6"/>
      <c r="E105" s="6"/>
      <c r="F105" s="6"/>
      <c r="G105" s="6"/>
      <c r="H105" s="6"/>
      <c r="I105" s="6"/>
      <c r="J105" s="6"/>
      <c r="K105" s="6"/>
      <c r="L105" s="6"/>
      <c r="M105" s="6"/>
      <c r="N105" s="6"/>
      <c r="O105" s="6"/>
      <c r="P105" s="6"/>
      <c r="Q105" s="6"/>
      <c r="R105" s="6"/>
      <c r="S105" s="6"/>
      <c r="T105" s="6"/>
      <c r="U105" s="6"/>
      <c r="V105" s="6"/>
      <c r="W105" s="6"/>
      <c r="X105" s="6"/>
      <c r="Y105" s="6"/>
      <c r="Z105" s="6"/>
    </row>
    <row r="106" ht="12.75" customHeight="1">
      <c r="A106" s="76"/>
      <c r="B106" s="6"/>
      <c r="C106" s="77"/>
      <c r="D106" s="6"/>
      <c r="E106" s="6"/>
      <c r="F106" s="6"/>
      <c r="G106" s="6"/>
      <c r="H106" s="6"/>
      <c r="I106" s="6"/>
      <c r="J106" s="6"/>
      <c r="K106" s="6"/>
      <c r="L106" s="6"/>
      <c r="M106" s="6"/>
      <c r="N106" s="6"/>
      <c r="O106" s="6"/>
      <c r="P106" s="6"/>
      <c r="Q106" s="6"/>
      <c r="R106" s="6"/>
      <c r="S106" s="6"/>
      <c r="T106" s="6"/>
      <c r="U106" s="6"/>
      <c r="V106" s="6"/>
      <c r="W106" s="6"/>
      <c r="X106" s="6"/>
      <c r="Y106" s="6"/>
      <c r="Z106" s="6"/>
    </row>
    <row r="107" ht="12.75" customHeight="1">
      <c r="A107" s="76"/>
      <c r="B107" s="6"/>
      <c r="C107" s="77"/>
      <c r="D107" s="6"/>
      <c r="E107" s="6"/>
      <c r="F107" s="6"/>
      <c r="G107" s="6"/>
      <c r="H107" s="6"/>
      <c r="I107" s="6"/>
      <c r="J107" s="6"/>
      <c r="K107" s="6"/>
      <c r="L107" s="6"/>
      <c r="M107" s="6"/>
      <c r="N107" s="6"/>
      <c r="O107" s="6"/>
      <c r="P107" s="6"/>
      <c r="Q107" s="6"/>
      <c r="R107" s="6"/>
      <c r="S107" s="6"/>
      <c r="T107" s="6"/>
      <c r="U107" s="6"/>
      <c r="V107" s="6"/>
      <c r="W107" s="6"/>
      <c r="X107" s="6"/>
      <c r="Y107" s="6"/>
      <c r="Z107" s="6"/>
    </row>
    <row r="108" ht="12.75" customHeight="1">
      <c r="A108" s="76"/>
      <c r="B108" s="6"/>
      <c r="C108" s="77"/>
      <c r="D108" s="6"/>
      <c r="E108" s="6"/>
      <c r="F108" s="6"/>
      <c r="G108" s="6"/>
      <c r="H108" s="6"/>
      <c r="I108" s="6"/>
      <c r="J108" s="6"/>
      <c r="K108" s="6"/>
      <c r="L108" s="6"/>
      <c r="M108" s="6"/>
      <c r="N108" s="6"/>
      <c r="O108" s="6"/>
      <c r="P108" s="6"/>
      <c r="Q108" s="6"/>
      <c r="R108" s="6"/>
      <c r="S108" s="6"/>
      <c r="T108" s="6"/>
      <c r="U108" s="6"/>
      <c r="V108" s="6"/>
      <c r="W108" s="6"/>
      <c r="X108" s="6"/>
      <c r="Y108" s="6"/>
      <c r="Z108" s="6"/>
    </row>
    <row r="109" ht="12.75" customHeight="1">
      <c r="A109" s="76"/>
      <c r="B109" s="6"/>
      <c r="C109" s="77"/>
      <c r="D109" s="6"/>
      <c r="E109" s="6"/>
      <c r="F109" s="6"/>
      <c r="G109" s="6"/>
      <c r="H109" s="6"/>
      <c r="I109" s="6"/>
      <c r="J109" s="6"/>
      <c r="K109" s="6"/>
      <c r="L109" s="6"/>
      <c r="M109" s="6"/>
      <c r="N109" s="6"/>
      <c r="O109" s="6"/>
      <c r="P109" s="6"/>
      <c r="Q109" s="6"/>
      <c r="R109" s="6"/>
      <c r="S109" s="6"/>
      <c r="T109" s="6"/>
      <c r="U109" s="6"/>
      <c r="V109" s="6"/>
      <c r="W109" s="6"/>
      <c r="X109" s="6"/>
      <c r="Y109" s="6"/>
      <c r="Z109" s="6"/>
    </row>
    <row r="110" ht="12.75" customHeight="1">
      <c r="A110" s="76"/>
      <c r="B110" s="6"/>
      <c r="C110" s="77"/>
      <c r="D110" s="6"/>
      <c r="E110" s="6"/>
      <c r="F110" s="6"/>
      <c r="G110" s="6"/>
      <c r="H110" s="6"/>
      <c r="I110" s="6"/>
      <c r="J110" s="6"/>
      <c r="K110" s="6"/>
      <c r="L110" s="6"/>
      <c r="M110" s="6"/>
      <c r="N110" s="6"/>
      <c r="O110" s="6"/>
      <c r="P110" s="6"/>
      <c r="Q110" s="6"/>
      <c r="R110" s="6"/>
      <c r="S110" s="6"/>
      <c r="T110" s="6"/>
      <c r="U110" s="6"/>
      <c r="V110" s="6"/>
      <c r="W110" s="6"/>
      <c r="X110" s="6"/>
      <c r="Y110" s="6"/>
      <c r="Z110" s="6"/>
    </row>
    <row r="111" ht="12.75" customHeight="1">
      <c r="A111" s="76"/>
      <c r="B111" s="6"/>
      <c r="C111" s="77"/>
      <c r="D111" s="6"/>
      <c r="E111" s="6"/>
      <c r="F111" s="6"/>
      <c r="G111" s="6"/>
      <c r="H111" s="6"/>
      <c r="I111" s="6"/>
      <c r="J111" s="6"/>
      <c r="K111" s="6"/>
      <c r="L111" s="6"/>
      <c r="M111" s="6"/>
      <c r="N111" s="6"/>
      <c r="O111" s="6"/>
      <c r="P111" s="6"/>
      <c r="Q111" s="6"/>
      <c r="R111" s="6"/>
      <c r="S111" s="6"/>
      <c r="T111" s="6"/>
      <c r="U111" s="6"/>
      <c r="V111" s="6"/>
      <c r="W111" s="6"/>
      <c r="X111" s="6"/>
      <c r="Y111" s="6"/>
      <c r="Z111" s="6"/>
    </row>
    <row r="112" ht="12.75" customHeight="1">
      <c r="A112" s="76"/>
      <c r="B112" s="6"/>
      <c r="C112" s="77"/>
      <c r="D112" s="6"/>
      <c r="E112" s="6"/>
      <c r="F112" s="6"/>
      <c r="G112" s="6"/>
      <c r="H112" s="6"/>
      <c r="I112" s="6"/>
      <c r="J112" s="6"/>
      <c r="K112" s="6"/>
      <c r="L112" s="6"/>
      <c r="M112" s="6"/>
      <c r="N112" s="6"/>
      <c r="O112" s="6"/>
      <c r="P112" s="6"/>
      <c r="Q112" s="6"/>
      <c r="R112" s="6"/>
      <c r="S112" s="6"/>
      <c r="T112" s="6"/>
      <c r="U112" s="6"/>
      <c r="V112" s="6"/>
      <c r="W112" s="6"/>
      <c r="X112" s="6"/>
      <c r="Y112" s="6"/>
      <c r="Z112" s="6"/>
    </row>
    <row r="113" ht="12.75" customHeight="1">
      <c r="A113" s="76"/>
      <c r="B113" s="6"/>
      <c r="C113" s="77"/>
      <c r="D113" s="6"/>
      <c r="E113" s="6"/>
      <c r="F113" s="6"/>
      <c r="G113" s="6"/>
      <c r="H113" s="6"/>
      <c r="I113" s="6"/>
      <c r="J113" s="6"/>
      <c r="K113" s="6"/>
      <c r="L113" s="6"/>
      <c r="M113" s="6"/>
      <c r="N113" s="6"/>
      <c r="O113" s="6"/>
      <c r="P113" s="6"/>
      <c r="Q113" s="6"/>
      <c r="R113" s="6"/>
      <c r="S113" s="6"/>
      <c r="T113" s="6"/>
      <c r="U113" s="6"/>
      <c r="V113" s="6"/>
      <c r="W113" s="6"/>
      <c r="X113" s="6"/>
      <c r="Y113" s="6"/>
      <c r="Z113" s="6"/>
    </row>
    <row r="114" ht="12.75" customHeight="1">
      <c r="A114" s="76"/>
      <c r="B114" s="6"/>
      <c r="C114" s="77"/>
      <c r="D114" s="6"/>
      <c r="E114" s="6"/>
      <c r="F114" s="6"/>
      <c r="G114" s="6"/>
      <c r="H114" s="6"/>
      <c r="I114" s="6"/>
      <c r="J114" s="6"/>
      <c r="K114" s="6"/>
      <c r="L114" s="6"/>
      <c r="M114" s="6"/>
      <c r="N114" s="6"/>
      <c r="O114" s="6"/>
      <c r="P114" s="6"/>
      <c r="Q114" s="6"/>
      <c r="R114" s="6"/>
      <c r="S114" s="6"/>
      <c r="T114" s="6"/>
      <c r="U114" s="6"/>
      <c r="V114" s="6"/>
      <c r="W114" s="6"/>
      <c r="X114" s="6"/>
      <c r="Y114" s="6"/>
      <c r="Z114" s="6"/>
    </row>
    <row r="115" ht="12.75" customHeight="1">
      <c r="A115" s="76"/>
      <c r="B115" s="6"/>
      <c r="C115" s="77"/>
      <c r="D115" s="6"/>
      <c r="E115" s="6"/>
      <c r="F115" s="6"/>
      <c r="G115" s="6"/>
      <c r="H115" s="6"/>
      <c r="I115" s="6"/>
      <c r="J115" s="6"/>
      <c r="K115" s="6"/>
      <c r="L115" s="6"/>
      <c r="M115" s="6"/>
      <c r="N115" s="6"/>
      <c r="O115" s="6"/>
      <c r="P115" s="6"/>
      <c r="Q115" s="6"/>
      <c r="R115" s="6"/>
      <c r="S115" s="6"/>
      <c r="T115" s="6"/>
      <c r="U115" s="6"/>
      <c r="V115" s="6"/>
      <c r="W115" s="6"/>
      <c r="X115" s="6"/>
      <c r="Y115" s="6"/>
      <c r="Z115" s="6"/>
    </row>
    <row r="116" ht="12.75" customHeight="1">
      <c r="A116" s="76"/>
      <c r="B116" s="6"/>
      <c r="C116" s="77"/>
      <c r="D116" s="6"/>
      <c r="E116" s="6"/>
      <c r="F116" s="6"/>
      <c r="G116" s="6"/>
      <c r="H116" s="6"/>
      <c r="I116" s="6"/>
      <c r="J116" s="6"/>
      <c r="K116" s="6"/>
      <c r="L116" s="6"/>
      <c r="M116" s="6"/>
      <c r="N116" s="6"/>
      <c r="O116" s="6"/>
      <c r="P116" s="6"/>
      <c r="Q116" s="6"/>
      <c r="R116" s="6"/>
      <c r="S116" s="6"/>
      <c r="T116" s="6"/>
      <c r="U116" s="6"/>
      <c r="V116" s="6"/>
      <c r="W116" s="6"/>
      <c r="X116" s="6"/>
      <c r="Y116" s="6"/>
      <c r="Z116" s="6"/>
    </row>
    <row r="117" ht="12.75" customHeight="1">
      <c r="A117" s="76"/>
      <c r="B117" s="6"/>
      <c r="C117" s="77"/>
      <c r="D117" s="6"/>
      <c r="E117" s="6"/>
      <c r="F117" s="6"/>
      <c r="G117" s="6"/>
      <c r="H117" s="6"/>
      <c r="I117" s="6"/>
      <c r="J117" s="6"/>
      <c r="K117" s="6"/>
      <c r="L117" s="6"/>
      <c r="M117" s="6"/>
      <c r="N117" s="6"/>
      <c r="O117" s="6"/>
      <c r="P117" s="6"/>
      <c r="Q117" s="6"/>
      <c r="R117" s="6"/>
      <c r="S117" s="6"/>
      <c r="T117" s="6"/>
      <c r="U117" s="6"/>
      <c r="V117" s="6"/>
      <c r="W117" s="6"/>
      <c r="X117" s="6"/>
      <c r="Y117" s="6"/>
      <c r="Z117" s="6"/>
    </row>
    <row r="118" ht="12.75" customHeight="1">
      <c r="A118" s="76"/>
      <c r="B118" s="6"/>
      <c r="C118" s="77"/>
      <c r="D118" s="6"/>
      <c r="E118" s="6"/>
      <c r="F118" s="6"/>
      <c r="G118" s="6"/>
      <c r="H118" s="6"/>
      <c r="I118" s="6"/>
      <c r="J118" s="6"/>
      <c r="K118" s="6"/>
      <c r="L118" s="6"/>
      <c r="M118" s="6"/>
      <c r="N118" s="6"/>
      <c r="O118" s="6"/>
      <c r="P118" s="6"/>
      <c r="Q118" s="6"/>
      <c r="R118" s="6"/>
      <c r="S118" s="6"/>
      <c r="T118" s="6"/>
      <c r="U118" s="6"/>
      <c r="V118" s="6"/>
      <c r="W118" s="6"/>
      <c r="X118" s="6"/>
      <c r="Y118" s="6"/>
      <c r="Z118" s="6"/>
    </row>
    <row r="119" ht="12.75" customHeight="1">
      <c r="A119" s="76"/>
      <c r="B119" s="6"/>
      <c r="C119" s="77"/>
      <c r="D119" s="6"/>
      <c r="E119" s="6"/>
      <c r="F119" s="6"/>
      <c r="G119" s="6"/>
      <c r="H119" s="6"/>
      <c r="I119" s="6"/>
      <c r="J119" s="6"/>
      <c r="K119" s="6"/>
      <c r="L119" s="6"/>
      <c r="M119" s="6"/>
      <c r="N119" s="6"/>
      <c r="O119" s="6"/>
      <c r="P119" s="6"/>
      <c r="Q119" s="6"/>
      <c r="R119" s="6"/>
      <c r="S119" s="6"/>
      <c r="T119" s="6"/>
      <c r="U119" s="6"/>
      <c r="V119" s="6"/>
      <c r="W119" s="6"/>
      <c r="X119" s="6"/>
      <c r="Y119" s="6"/>
      <c r="Z119" s="6"/>
    </row>
    <row r="120" ht="12.75" customHeight="1">
      <c r="A120" s="76"/>
      <c r="B120" s="6"/>
      <c r="C120" s="77"/>
      <c r="D120" s="6"/>
      <c r="E120" s="6"/>
      <c r="F120" s="6"/>
      <c r="G120" s="6"/>
      <c r="H120" s="6"/>
      <c r="I120" s="6"/>
      <c r="J120" s="6"/>
      <c r="K120" s="6"/>
      <c r="L120" s="6"/>
      <c r="M120" s="6"/>
      <c r="N120" s="6"/>
      <c r="O120" s="6"/>
      <c r="P120" s="6"/>
      <c r="Q120" s="6"/>
      <c r="R120" s="6"/>
      <c r="S120" s="6"/>
      <c r="T120" s="6"/>
      <c r="U120" s="6"/>
      <c r="V120" s="6"/>
      <c r="W120" s="6"/>
      <c r="X120" s="6"/>
      <c r="Y120" s="6"/>
      <c r="Z120" s="6"/>
    </row>
    <row r="121" ht="12.75" customHeight="1">
      <c r="A121" s="76"/>
      <c r="B121" s="6"/>
      <c r="C121" s="77"/>
      <c r="D121" s="6"/>
      <c r="E121" s="6"/>
      <c r="F121" s="6"/>
      <c r="G121" s="6"/>
      <c r="H121" s="6"/>
      <c r="I121" s="6"/>
      <c r="J121" s="6"/>
      <c r="K121" s="6"/>
      <c r="L121" s="6"/>
      <c r="M121" s="6"/>
      <c r="N121" s="6"/>
      <c r="O121" s="6"/>
      <c r="P121" s="6"/>
      <c r="Q121" s="6"/>
      <c r="R121" s="6"/>
      <c r="S121" s="6"/>
      <c r="T121" s="6"/>
      <c r="U121" s="6"/>
      <c r="V121" s="6"/>
      <c r="W121" s="6"/>
      <c r="X121" s="6"/>
      <c r="Y121" s="6"/>
      <c r="Z121" s="6"/>
    </row>
    <row r="122" ht="12.75" customHeight="1">
      <c r="A122" s="76"/>
      <c r="B122" s="6"/>
      <c r="C122" s="77"/>
      <c r="D122" s="6"/>
      <c r="E122" s="6"/>
      <c r="F122" s="6"/>
      <c r="G122" s="6"/>
      <c r="H122" s="6"/>
      <c r="I122" s="6"/>
      <c r="J122" s="6"/>
      <c r="K122" s="6"/>
      <c r="L122" s="6"/>
      <c r="M122" s="6"/>
      <c r="N122" s="6"/>
      <c r="O122" s="6"/>
      <c r="P122" s="6"/>
      <c r="Q122" s="6"/>
      <c r="R122" s="6"/>
      <c r="S122" s="6"/>
      <c r="T122" s="6"/>
      <c r="U122" s="6"/>
      <c r="V122" s="6"/>
      <c r="W122" s="6"/>
      <c r="X122" s="6"/>
      <c r="Y122" s="6"/>
      <c r="Z122" s="6"/>
    </row>
    <row r="123" ht="12.75" customHeight="1">
      <c r="A123" s="76"/>
      <c r="B123" s="6"/>
      <c r="C123" s="77"/>
      <c r="D123" s="6"/>
      <c r="E123" s="6"/>
      <c r="F123" s="6"/>
      <c r="G123" s="6"/>
      <c r="H123" s="6"/>
      <c r="I123" s="6"/>
      <c r="J123" s="6"/>
      <c r="K123" s="6"/>
      <c r="L123" s="6"/>
      <c r="M123" s="6"/>
      <c r="N123" s="6"/>
      <c r="O123" s="6"/>
      <c r="P123" s="6"/>
      <c r="Q123" s="6"/>
      <c r="R123" s="6"/>
      <c r="S123" s="6"/>
      <c r="T123" s="6"/>
      <c r="U123" s="6"/>
      <c r="V123" s="6"/>
      <c r="W123" s="6"/>
      <c r="X123" s="6"/>
      <c r="Y123" s="6"/>
      <c r="Z123" s="6"/>
    </row>
    <row r="124" ht="12.75" customHeight="1">
      <c r="A124" s="76"/>
      <c r="B124" s="6"/>
      <c r="C124" s="77"/>
      <c r="D124" s="6"/>
      <c r="E124" s="6"/>
      <c r="F124" s="6"/>
      <c r="G124" s="6"/>
      <c r="H124" s="6"/>
      <c r="I124" s="6"/>
      <c r="J124" s="6"/>
      <c r="K124" s="6"/>
      <c r="L124" s="6"/>
      <c r="M124" s="6"/>
      <c r="N124" s="6"/>
      <c r="O124" s="6"/>
      <c r="P124" s="6"/>
      <c r="Q124" s="6"/>
      <c r="R124" s="6"/>
      <c r="S124" s="6"/>
      <c r="T124" s="6"/>
      <c r="U124" s="6"/>
      <c r="V124" s="6"/>
      <c r="W124" s="6"/>
      <c r="X124" s="6"/>
      <c r="Y124" s="6"/>
      <c r="Z124" s="6"/>
    </row>
    <row r="125" ht="12.75" customHeight="1">
      <c r="A125" s="76"/>
      <c r="B125" s="6"/>
      <c r="C125" s="77"/>
      <c r="D125" s="6"/>
      <c r="E125" s="6"/>
      <c r="F125" s="6"/>
      <c r="G125" s="6"/>
      <c r="H125" s="6"/>
      <c r="I125" s="6"/>
      <c r="J125" s="6"/>
      <c r="K125" s="6"/>
      <c r="L125" s="6"/>
      <c r="M125" s="6"/>
      <c r="N125" s="6"/>
      <c r="O125" s="6"/>
      <c r="P125" s="6"/>
      <c r="Q125" s="6"/>
      <c r="R125" s="6"/>
      <c r="S125" s="6"/>
      <c r="T125" s="6"/>
      <c r="U125" s="6"/>
      <c r="V125" s="6"/>
      <c r="W125" s="6"/>
      <c r="X125" s="6"/>
      <c r="Y125" s="6"/>
      <c r="Z125" s="6"/>
    </row>
    <row r="126" ht="12.75" customHeight="1">
      <c r="A126" s="76"/>
      <c r="B126" s="6"/>
      <c r="C126" s="77"/>
      <c r="D126" s="6"/>
      <c r="E126" s="6"/>
      <c r="F126" s="6"/>
      <c r="G126" s="6"/>
      <c r="H126" s="6"/>
      <c r="I126" s="6"/>
      <c r="J126" s="6"/>
      <c r="K126" s="6"/>
      <c r="L126" s="6"/>
      <c r="M126" s="6"/>
      <c r="N126" s="6"/>
      <c r="O126" s="6"/>
      <c r="P126" s="6"/>
      <c r="Q126" s="6"/>
      <c r="R126" s="6"/>
      <c r="S126" s="6"/>
      <c r="T126" s="6"/>
      <c r="U126" s="6"/>
      <c r="V126" s="6"/>
      <c r="W126" s="6"/>
      <c r="X126" s="6"/>
      <c r="Y126" s="6"/>
      <c r="Z126" s="6"/>
    </row>
    <row r="127" ht="12.75" customHeight="1">
      <c r="A127" s="76"/>
      <c r="B127" s="6"/>
      <c r="C127" s="77"/>
      <c r="D127" s="6"/>
      <c r="E127" s="6"/>
      <c r="F127" s="6"/>
      <c r="G127" s="6"/>
      <c r="H127" s="6"/>
      <c r="I127" s="6"/>
      <c r="J127" s="6"/>
      <c r="K127" s="6"/>
      <c r="L127" s="6"/>
      <c r="M127" s="6"/>
      <c r="N127" s="6"/>
      <c r="O127" s="6"/>
      <c r="P127" s="6"/>
      <c r="Q127" s="6"/>
      <c r="R127" s="6"/>
      <c r="S127" s="6"/>
      <c r="T127" s="6"/>
      <c r="U127" s="6"/>
      <c r="V127" s="6"/>
      <c r="W127" s="6"/>
      <c r="X127" s="6"/>
      <c r="Y127" s="6"/>
      <c r="Z127" s="6"/>
    </row>
    <row r="128" ht="12.75" customHeight="1">
      <c r="A128" s="76"/>
      <c r="B128" s="6"/>
      <c r="C128" s="77"/>
      <c r="D128" s="6"/>
      <c r="E128" s="6"/>
      <c r="F128" s="6"/>
      <c r="G128" s="6"/>
      <c r="H128" s="6"/>
      <c r="I128" s="6"/>
      <c r="J128" s="6"/>
      <c r="K128" s="6"/>
      <c r="L128" s="6"/>
      <c r="M128" s="6"/>
      <c r="N128" s="6"/>
      <c r="O128" s="6"/>
      <c r="P128" s="6"/>
      <c r="Q128" s="6"/>
      <c r="R128" s="6"/>
      <c r="S128" s="6"/>
      <c r="T128" s="6"/>
      <c r="U128" s="6"/>
      <c r="V128" s="6"/>
      <c r="W128" s="6"/>
      <c r="X128" s="6"/>
      <c r="Y128" s="6"/>
      <c r="Z128" s="6"/>
    </row>
    <row r="129" ht="12.75" customHeight="1">
      <c r="A129" s="76"/>
      <c r="B129" s="6"/>
      <c r="C129" s="77"/>
      <c r="D129" s="6"/>
      <c r="E129" s="6"/>
      <c r="F129" s="6"/>
      <c r="G129" s="6"/>
      <c r="H129" s="6"/>
      <c r="I129" s="6"/>
      <c r="J129" s="6"/>
      <c r="K129" s="6"/>
      <c r="L129" s="6"/>
      <c r="M129" s="6"/>
      <c r="N129" s="6"/>
      <c r="O129" s="6"/>
      <c r="P129" s="6"/>
      <c r="Q129" s="6"/>
      <c r="R129" s="6"/>
      <c r="S129" s="6"/>
      <c r="T129" s="6"/>
      <c r="U129" s="6"/>
      <c r="V129" s="6"/>
      <c r="W129" s="6"/>
      <c r="X129" s="6"/>
      <c r="Y129" s="6"/>
      <c r="Z129" s="6"/>
    </row>
    <row r="130" ht="12.75" customHeight="1">
      <c r="A130" s="76"/>
      <c r="B130" s="6"/>
      <c r="C130" s="77"/>
      <c r="D130" s="6"/>
      <c r="E130" s="6"/>
      <c r="F130" s="6"/>
      <c r="G130" s="6"/>
      <c r="H130" s="6"/>
      <c r="I130" s="6"/>
      <c r="J130" s="6"/>
      <c r="K130" s="6"/>
      <c r="L130" s="6"/>
      <c r="M130" s="6"/>
      <c r="N130" s="6"/>
      <c r="O130" s="6"/>
      <c r="P130" s="6"/>
      <c r="Q130" s="6"/>
      <c r="R130" s="6"/>
      <c r="S130" s="6"/>
      <c r="T130" s="6"/>
      <c r="U130" s="6"/>
      <c r="V130" s="6"/>
      <c r="W130" s="6"/>
      <c r="X130" s="6"/>
      <c r="Y130" s="6"/>
      <c r="Z130" s="6"/>
    </row>
    <row r="131" ht="12.75" customHeight="1">
      <c r="A131" s="76"/>
      <c r="B131" s="6"/>
      <c r="C131" s="77"/>
      <c r="D131" s="6"/>
      <c r="E131" s="6"/>
      <c r="F131" s="6"/>
      <c r="G131" s="6"/>
      <c r="H131" s="6"/>
      <c r="I131" s="6"/>
      <c r="J131" s="6"/>
      <c r="K131" s="6"/>
      <c r="L131" s="6"/>
      <c r="M131" s="6"/>
      <c r="N131" s="6"/>
      <c r="O131" s="6"/>
      <c r="P131" s="6"/>
      <c r="Q131" s="6"/>
      <c r="R131" s="6"/>
      <c r="S131" s="6"/>
      <c r="T131" s="6"/>
      <c r="U131" s="6"/>
      <c r="V131" s="6"/>
      <c r="W131" s="6"/>
      <c r="X131" s="6"/>
      <c r="Y131" s="6"/>
      <c r="Z131" s="6"/>
    </row>
    <row r="132" ht="12.75" customHeight="1">
      <c r="A132" s="76"/>
      <c r="B132" s="6"/>
      <c r="C132" s="77"/>
      <c r="D132" s="6"/>
      <c r="E132" s="6"/>
      <c r="F132" s="6"/>
      <c r="G132" s="6"/>
      <c r="H132" s="6"/>
      <c r="I132" s="6"/>
      <c r="J132" s="6"/>
      <c r="K132" s="6"/>
      <c r="L132" s="6"/>
      <c r="M132" s="6"/>
      <c r="N132" s="6"/>
      <c r="O132" s="6"/>
      <c r="P132" s="6"/>
      <c r="Q132" s="6"/>
      <c r="R132" s="6"/>
      <c r="S132" s="6"/>
      <c r="T132" s="6"/>
      <c r="U132" s="6"/>
      <c r="V132" s="6"/>
      <c r="W132" s="6"/>
      <c r="X132" s="6"/>
      <c r="Y132" s="6"/>
      <c r="Z132" s="6"/>
    </row>
    <row r="133" ht="12.75" customHeight="1">
      <c r="A133" s="76"/>
      <c r="B133" s="6"/>
      <c r="C133" s="77"/>
      <c r="D133" s="6"/>
      <c r="E133" s="6"/>
      <c r="F133" s="6"/>
      <c r="G133" s="6"/>
      <c r="H133" s="6"/>
      <c r="I133" s="6"/>
      <c r="J133" s="6"/>
      <c r="K133" s="6"/>
      <c r="L133" s="6"/>
      <c r="M133" s="6"/>
      <c r="N133" s="6"/>
      <c r="O133" s="6"/>
      <c r="P133" s="6"/>
      <c r="Q133" s="6"/>
      <c r="R133" s="6"/>
      <c r="S133" s="6"/>
      <c r="T133" s="6"/>
      <c r="U133" s="6"/>
      <c r="V133" s="6"/>
      <c r="W133" s="6"/>
      <c r="X133" s="6"/>
      <c r="Y133" s="6"/>
      <c r="Z133" s="6"/>
    </row>
    <row r="134" ht="12.75" customHeight="1">
      <c r="A134" s="76"/>
      <c r="B134" s="6"/>
      <c r="C134" s="77"/>
      <c r="D134" s="6"/>
      <c r="E134" s="6"/>
      <c r="F134" s="6"/>
      <c r="G134" s="6"/>
      <c r="H134" s="6"/>
      <c r="I134" s="6"/>
      <c r="J134" s="6"/>
      <c r="K134" s="6"/>
      <c r="L134" s="6"/>
      <c r="M134" s="6"/>
      <c r="N134" s="6"/>
      <c r="O134" s="6"/>
      <c r="P134" s="6"/>
      <c r="Q134" s="6"/>
      <c r="R134" s="6"/>
      <c r="S134" s="6"/>
      <c r="T134" s="6"/>
      <c r="U134" s="6"/>
      <c r="V134" s="6"/>
      <c r="W134" s="6"/>
      <c r="X134" s="6"/>
      <c r="Y134" s="6"/>
      <c r="Z134" s="6"/>
    </row>
    <row r="135" ht="12.75" customHeight="1">
      <c r="A135" s="76"/>
      <c r="B135" s="6"/>
      <c r="C135" s="77"/>
      <c r="D135" s="6"/>
      <c r="E135" s="6"/>
      <c r="F135" s="6"/>
      <c r="G135" s="6"/>
      <c r="H135" s="6"/>
      <c r="I135" s="6"/>
      <c r="J135" s="6"/>
      <c r="K135" s="6"/>
      <c r="L135" s="6"/>
      <c r="M135" s="6"/>
      <c r="N135" s="6"/>
      <c r="O135" s="6"/>
      <c r="P135" s="6"/>
      <c r="Q135" s="6"/>
      <c r="R135" s="6"/>
      <c r="S135" s="6"/>
      <c r="T135" s="6"/>
      <c r="U135" s="6"/>
      <c r="V135" s="6"/>
      <c r="W135" s="6"/>
      <c r="X135" s="6"/>
      <c r="Y135" s="6"/>
      <c r="Z135" s="6"/>
    </row>
    <row r="136" ht="12.75" customHeight="1">
      <c r="A136" s="76"/>
      <c r="B136" s="6"/>
      <c r="C136" s="77"/>
      <c r="D136" s="6"/>
      <c r="E136" s="6"/>
      <c r="F136" s="6"/>
      <c r="G136" s="6"/>
      <c r="H136" s="6"/>
      <c r="I136" s="6"/>
      <c r="J136" s="6"/>
      <c r="K136" s="6"/>
      <c r="L136" s="6"/>
      <c r="M136" s="6"/>
      <c r="N136" s="6"/>
      <c r="O136" s="6"/>
      <c r="P136" s="6"/>
      <c r="Q136" s="6"/>
      <c r="R136" s="6"/>
      <c r="S136" s="6"/>
      <c r="T136" s="6"/>
      <c r="U136" s="6"/>
      <c r="V136" s="6"/>
      <c r="W136" s="6"/>
      <c r="X136" s="6"/>
      <c r="Y136" s="6"/>
      <c r="Z136" s="6"/>
    </row>
    <row r="137" ht="12.75" customHeight="1">
      <c r="A137" s="76"/>
      <c r="B137" s="6"/>
      <c r="C137" s="77"/>
      <c r="D137" s="6"/>
      <c r="E137" s="6"/>
      <c r="F137" s="6"/>
      <c r="G137" s="6"/>
      <c r="H137" s="6"/>
      <c r="I137" s="6"/>
      <c r="J137" s="6"/>
      <c r="K137" s="6"/>
      <c r="L137" s="6"/>
      <c r="M137" s="6"/>
      <c r="N137" s="6"/>
      <c r="O137" s="6"/>
      <c r="P137" s="6"/>
      <c r="Q137" s="6"/>
      <c r="R137" s="6"/>
      <c r="S137" s="6"/>
      <c r="T137" s="6"/>
      <c r="U137" s="6"/>
      <c r="V137" s="6"/>
      <c r="W137" s="6"/>
      <c r="X137" s="6"/>
      <c r="Y137" s="6"/>
      <c r="Z137" s="6"/>
    </row>
    <row r="138" ht="12.75" customHeight="1">
      <c r="A138" s="76"/>
      <c r="B138" s="6"/>
      <c r="C138" s="77"/>
      <c r="D138" s="6"/>
      <c r="E138" s="6"/>
      <c r="F138" s="6"/>
      <c r="G138" s="6"/>
      <c r="H138" s="6"/>
      <c r="I138" s="6"/>
      <c r="J138" s="6"/>
      <c r="K138" s="6"/>
      <c r="L138" s="6"/>
      <c r="M138" s="6"/>
      <c r="N138" s="6"/>
      <c r="O138" s="6"/>
      <c r="P138" s="6"/>
      <c r="Q138" s="6"/>
      <c r="R138" s="6"/>
      <c r="S138" s="6"/>
      <c r="T138" s="6"/>
      <c r="U138" s="6"/>
      <c r="V138" s="6"/>
      <c r="W138" s="6"/>
      <c r="X138" s="6"/>
      <c r="Y138" s="6"/>
      <c r="Z138" s="6"/>
    </row>
    <row r="139" ht="12.75" customHeight="1">
      <c r="A139" s="76"/>
      <c r="B139" s="6"/>
      <c r="C139" s="77"/>
      <c r="D139" s="6"/>
      <c r="E139" s="6"/>
      <c r="F139" s="6"/>
      <c r="G139" s="6"/>
      <c r="H139" s="6"/>
      <c r="I139" s="6"/>
      <c r="J139" s="6"/>
      <c r="K139" s="6"/>
      <c r="L139" s="6"/>
      <c r="M139" s="6"/>
      <c r="N139" s="6"/>
      <c r="O139" s="6"/>
      <c r="P139" s="6"/>
      <c r="Q139" s="6"/>
      <c r="R139" s="6"/>
      <c r="S139" s="6"/>
      <c r="T139" s="6"/>
      <c r="U139" s="6"/>
      <c r="V139" s="6"/>
      <c r="W139" s="6"/>
      <c r="X139" s="6"/>
      <c r="Y139" s="6"/>
      <c r="Z139" s="6"/>
    </row>
    <row r="140" ht="12.75" customHeight="1">
      <c r="A140" s="76"/>
      <c r="B140" s="6"/>
      <c r="C140" s="77"/>
      <c r="D140" s="6"/>
      <c r="E140" s="6"/>
      <c r="F140" s="6"/>
      <c r="G140" s="6"/>
      <c r="H140" s="6"/>
      <c r="I140" s="6"/>
      <c r="J140" s="6"/>
      <c r="K140" s="6"/>
      <c r="L140" s="6"/>
      <c r="M140" s="6"/>
      <c r="N140" s="6"/>
      <c r="O140" s="6"/>
      <c r="P140" s="6"/>
      <c r="Q140" s="6"/>
      <c r="R140" s="6"/>
      <c r="S140" s="6"/>
      <c r="T140" s="6"/>
      <c r="U140" s="6"/>
      <c r="V140" s="6"/>
      <c r="W140" s="6"/>
      <c r="X140" s="6"/>
      <c r="Y140" s="6"/>
      <c r="Z140" s="6"/>
    </row>
    <row r="141" ht="12.75" customHeight="1">
      <c r="A141" s="76"/>
      <c r="B141" s="6"/>
      <c r="C141" s="77"/>
      <c r="D141" s="6"/>
      <c r="E141" s="6"/>
      <c r="F141" s="6"/>
      <c r="G141" s="6"/>
      <c r="H141" s="6"/>
      <c r="I141" s="6"/>
      <c r="J141" s="6"/>
      <c r="K141" s="6"/>
      <c r="L141" s="6"/>
      <c r="M141" s="6"/>
      <c r="N141" s="6"/>
      <c r="O141" s="6"/>
      <c r="P141" s="6"/>
      <c r="Q141" s="6"/>
      <c r="R141" s="6"/>
      <c r="S141" s="6"/>
      <c r="T141" s="6"/>
      <c r="U141" s="6"/>
      <c r="V141" s="6"/>
      <c r="W141" s="6"/>
      <c r="X141" s="6"/>
      <c r="Y141" s="6"/>
      <c r="Z141" s="6"/>
    </row>
    <row r="142" ht="12.75" customHeight="1">
      <c r="A142" s="76"/>
      <c r="B142" s="6"/>
      <c r="C142" s="77"/>
      <c r="D142" s="6"/>
      <c r="E142" s="6"/>
      <c r="F142" s="6"/>
      <c r="G142" s="6"/>
      <c r="H142" s="6"/>
      <c r="I142" s="6"/>
      <c r="J142" s="6"/>
      <c r="K142" s="6"/>
      <c r="L142" s="6"/>
      <c r="M142" s="6"/>
      <c r="N142" s="6"/>
      <c r="O142" s="6"/>
      <c r="P142" s="6"/>
      <c r="Q142" s="6"/>
      <c r="R142" s="6"/>
      <c r="S142" s="6"/>
      <c r="T142" s="6"/>
      <c r="U142" s="6"/>
      <c r="V142" s="6"/>
      <c r="W142" s="6"/>
      <c r="X142" s="6"/>
      <c r="Y142" s="6"/>
      <c r="Z142" s="6"/>
    </row>
    <row r="143" ht="12.75" customHeight="1">
      <c r="A143" s="76"/>
      <c r="B143" s="6"/>
      <c r="C143" s="77"/>
      <c r="D143" s="6"/>
      <c r="E143" s="6"/>
      <c r="F143" s="6"/>
      <c r="G143" s="6"/>
      <c r="H143" s="6"/>
      <c r="I143" s="6"/>
      <c r="J143" s="6"/>
      <c r="K143" s="6"/>
      <c r="L143" s="6"/>
      <c r="M143" s="6"/>
      <c r="N143" s="6"/>
      <c r="O143" s="6"/>
      <c r="P143" s="6"/>
      <c r="Q143" s="6"/>
      <c r="R143" s="6"/>
      <c r="S143" s="6"/>
      <c r="T143" s="6"/>
      <c r="U143" s="6"/>
      <c r="V143" s="6"/>
      <c r="W143" s="6"/>
      <c r="X143" s="6"/>
      <c r="Y143" s="6"/>
      <c r="Z143" s="6"/>
    </row>
    <row r="144" ht="12.75" customHeight="1">
      <c r="A144" s="76"/>
      <c r="B144" s="6"/>
      <c r="C144" s="77"/>
      <c r="D144" s="6"/>
      <c r="E144" s="6"/>
      <c r="F144" s="6"/>
      <c r="G144" s="6"/>
      <c r="H144" s="6"/>
      <c r="I144" s="6"/>
      <c r="J144" s="6"/>
      <c r="K144" s="6"/>
      <c r="L144" s="6"/>
      <c r="M144" s="6"/>
      <c r="N144" s="6"/>
      <c r="O144" s="6"/>
      <c r="P144" s="6"/>
      <c r="Q144" s="6"/>
      <c r="R144" s="6"/>
      <c r="S144" s="6"/>
      <c r="T144" s="6"/>
      <c r="U144" s="6"/>
      <c r="V144" s="6"/>
      <c r="W144" s="6"/>
      <c r="X144" s="6"/>
      <c r="Y144" s="6"/>
      <c r="Z144" s="6"/>
    </row>
    <row r="145" ht="12.75" customHeight="1">
      <c r="A145" s="76"/>
      <c r="B145" s="6"/>
      <c r="C145" s="77"/>
      <c r="D145" s="6"/>
      <c r="E145" s="6"/>
      <c r="F145" s="6"/>
      <c r="G145" s="6"/>
      <c r="H145" s="6"/>
      <c r="I145" s="6"/>
      <c r="J145" s="6"/>
      <c r="K145" s="6"/>
      <c r="L145" s="6"/>
      <c r="M145" s="6"/>
      <c r="N145" s="6"/>
      <c r="O145" s="6"/>
      <c r="P145" s="6"/>
      <c r="Q145" s="6"/>
      <c r="R145" s="6"/>
      <c r="S145" s="6"/>
      <c r="T145" s="6"/>
      <c r="U145" s="6"/>
      <c r="V145" s="6"/>
      <c r="W145" s="6"/>
      <c r="X145" s="6"/>
      <c r="Y145" s="6"/>
      <c r="Z145" s="6"/>
    </row>
    <row r="146" ht="12.75" customHeight="1">
      <c r="A146" s="76"/>
      <c r="B146" s="6"/>
      <c r="C146" s="77"/>
      <c r="D146" s="6"/>
      <c r="E146" s="6"/>
      <c r="F146" s="6"/>
      <c r="G146" s="6"/>
      <c r="H146" s="6"/>
      <c r="I146" s="6"/>
      <c r="J146" s="6"/>
      <c r="K146" s="6"/>
      <c r="L146" s="6"/>
      <c r="M146" s="6"/>
      <c r="N146" s="6"/>
      <c r="O146" s="6"/>
      <c r="P146" s="6"/>
      <c r="Q146" s="6"/>
      <c r="R146" s="6"/>
      <c r="S146" s="6"/>
      <c r="T146" s="6"/>
      <c r="U146" s="6"/>
      <c r="V146" s="6"/>
      <c r="W146" s="6"/>
      <c r="X146" s="6"/>
      <c r="Y146" s="6"/>
      <c r="Z146" s="6"/>
    </row>
    <row r="147" ht="12.75" customHeight="1">
      <c r="A147" s="76"/>
      <c r="B147" s="6"/>
      <c r="C147" s="77"/>
      <c r="D147" s="6"/>
      <c r="E147" s="6"/>
      <c r="F147" s="6"/>
      <c r="G147" s="6"/>
      <c r="H147" s="6"/>
      <c r="I147" s="6"/>
      <c r="J147" s="6"/>
      <c r="K147" s="6"/>
      <c r="L147" s="6"/>
      <c r="M147" s="6"/>
      <c r="N147" s="6"/>
      <c r="O147" s="6"/>
      <c r="P147" s="6"/>
      <c r="Q147" s="6"/>
      <c r="R147" s="6"/>
      <c r="S147" s="6"/>
      <c r="T147" s="6"/>
      <c r="U147" s="6"/>
      <c r="V147" s="6"/>
      <c r="W147" s="6"/>
      <c r="X147" s="6"/>
      <c r="Y147" s="6"/>
      <c r="Z147" s="6"/>
    </row>
    <row r="148" ht="12.75" customHeight="1">
      <c r="A148" s="76"/>
      <c r="B148" s="6"/>
      <c r="C148" s="77"/>
      <c r="D148" s="6"/>
      <c r="E148" s="6"/>
      <c r="F148" s="6"/>
      <c r="G148" s="6"/>
      <c r="H148" s="6"/>
      <c r="I148" s="6"/>
      <c r="J148" s="6"/>
      <c r="K148" s="6"/>
      <c r="L148" s="6"/>
      <c r="M148" s="6"/>
      <c r="N148" s="6"/>
      <c r="O148" s="6"/>
      <c r="P148" s="6"/>
      <c r="Q148" s="6"/>
      <c r="R148" s="6"/>
      <c r="S148" s="6"/>
      <c r="T148" s="6"/>
      <c r="U148" s="6"/>
      <c r="V148" s="6"/>
      <c r="W148" s="6"/>
      <c r="X148" s="6"/>
      <c r="Y148" s="6"/>
      <c r="Z148" s="6"/>
    </row>
    <row r="149" ht="12.75" customHeight="1">
      <c r="A149" s="76"/>
      <c r="B149" s="6"/>
      <c r="C149" s="77"/>
      <c r="D149" s="6"/>
      <c r="E149" s="6"/>
      <c r="F149" s="6"/>
      <c r="G149" s="6"/>
      <c r="H149" s="6"/>
      <c r="I149" s="6"/>
      <c r="J149" s="6"/>
      <c r="K149" s="6"/>
      <c r="L149" s="6"/>
      <c r="M149" s="6"/>
      <c r="N149" s="6"/>
      <c r="O149" s="6"/>
      <c r="P149" s="6"/>
      <c r="Q149" s="6"/>
      <c r="R149" s="6"/>
      <c r="S149" s="6"/>
      <c r="T149" s="6"/>
      <c r="U149" s="6"/>
      <c r="V149" s="6"/>
      <c r="W149" s="6"/>
      <c r="X149" s="6"/>
      <c r="Y149" s="6"/>
      <c r="Z149" s="6"/>
    </row>
    <row r="150" ht="12.75" customHeight="1">
      <c r="A150" s="76"/>
      <c r="B150" s="6"/>
      <c r="C150" s="77"/>
      <c r="D150" s="6"/>
      <c r="E150" s="6"/>
      <c r="F150" s="6"/>
      <c r="G150" s="6"/>
      <c r="H150" s="6"/>
      <c r="I150" s="6"/>
      <c r="J150" s="6"/>
      <c r="K150" s="6"/>
      <c r="L150" s="6"/>
      <c r="M150" s="6"/>
      <c r="N150" s="6"/>
      <c r="O150" s="6"/>
      <c r="P150" s="6"/>
      <c r="Q150" s="6"/>
      <c r="R150" s="6"/>
      <c r="S150" s="6"/>
      <c r="T150" s="6"/>
      <c r="U150" s="6"/>
      <c r="V150" s="6"/>
      <c r="W150" s="6"/>
      <c r="X150" s="6"/>
      <c r="Y150" s="6"/>
      <c r="Z150" s="6"/>
    </row>
    <row r="151" ht="12.75" customHeight="1">
      <c r="A151" s="76"/>
      <c r="B151" s="6"/>
      <c r="C151" s="77"/>
      <c r="D151" s="6"/>
      <c r="E151" s="6"/>
      <c r="F151" s="6"/>
      <c r="G151" s="6"/>
      <c r="H151" s="6"/>
      <c r="I151" s="6"/>
      <c r="J151" s="6"/>
      <c r="K151" s="6"/>
      <c r="L151" s="6"/>
      <c r="M151" s="6"/>
      <c r="N151" s="6"/>
      <c r="O151" s="6"/>
      <c r="P151" s="6"/>
      <c r="Q151" s="6"/>
      <c r="R151" s="6"/>
      <c r="S151" s="6"/>
      <c r="T151" s="6"/>
      <c r="U151" s="6"/>
      <c r="V151" s="6"/>
      <c r="W151" s="6"/>
      <c r="X151" s="6"/>
      <c r="Y151" s="6"/>
      <c r="Z151" s="6"/>
    </row>
    <row r="152" ht="12.75" customHeight="1">
      <c r="A152" s="76"/>
      <c r="B152" s="6"/>
      <c r="C152" s="77"/>
      <c r="D152" s="6"/>
      <c r="E152" s="6"/>
      <c r="F152" s="6"/>
      <c r="G152" s="6"/>
      <c r="H152" s="6"/>
      <c r="I152" s="6"/>
      <c r="J152" s="6"/>
      <c r="K152" s="6"/>
      <c r="L152" s="6"/>
      <c r="M152" s="6"/>
      <c r="N152" s="6"/>
      <c r="O152" s="6"/>
      <c r="P152" s="6"/>
      <c r="Q152" s="6"/>
      <c r="R152" s="6"/>
      <c r="S152" s="6"/>
      <c r="T152" s="6"/>
      <c r="U152" s="6"/>
      <c r="V152" s="6"/>
      <c r="W152" s="6"/>
      <c r="X152" s="6"/>
      <c r="Y152" s="6"/>
      <c r="Z152" s="6"/>
    </row>
    <row r="153" ht="12.75" customHeight="1">
      <c r="A153" s="76"/>
      <c r="B153" s="6"/>
      <c r="C153" s="77"/>
      <c r="D153" s="6"/>
      <c r="E153" s="6"/>
      <c r="F153" s="6"/>
      <c r="G153" s="6"/>
      <c r="H153" s="6"/>
      <c r="I153" s="6"/>
      <c r="J153" s="6"/>
      <c r="K153" s="6"/>
      <c r="L153" s="6"/>
      <c r="M153" s="6"/>
      <c r="N153" s="6"/>
      <c r="O153" s="6"/>
      <c r="P153" s="6"/>
      <c r="Q153" s="6"/>
      <c r="R153" s="6"/>
      <c r="S153" s="6"/>
      <c r="T153" s="6"/>
      <c r="U153" s="6"/>
      <c r="V153" s="6"/>
      <c r="W153" s="6"/>
      <c r="X153" s="6"/>
      <c r="Y153" s="6"/>
      <c r="Z153" s="6"/>
    </row>
    <row r="154" ht="12.75" customHeight="1">
      <c r="A154" s="76"/>
      <c r="B154" s="6"/>
      <c r="C154" s="77"/>
      <c r="D154" s="6"/>
      <c r="E154" s="6"/>
      <c r="F154" s="6"/>
      <c r="G154" s="6"/>
      <c r="H154" s="6"/>
      <c r="I154" s="6"/>
      <c r="J154" s="6"/>
      <c r="K154" s="6"/>
      <c r="L154" s="6"/>
      <c r="M154" s="6"/>
      <c r="N154" s="6"/>
      <c r="O154" s="6"/>
      <c r="P154" s="6"/>
      <c r="Q154" s="6"/>
      <c r="R154" s="6"/>
      <c r="S154" s="6"/>
      <c r="T154" s="6"/>
      <c r="U154" s="6"/>
      <c r="V154" s="6"/>
      <c r="W154" s="6"/>
      <c r="X154" s="6"/>
      <c r="Y154" s="6"/>
      <c r="Z154" s="6"/>
    </row>
    <row r="155" ht="12.75" customHeight="1">
      <c r="A155" s="76"/>
      <c r="B155" s="6"/>
      <c r="C155" s="77"/>
      <c r="D155" s="6"/>
      <c r="E155" s="6"/>
      <c r="F155" s="6"/>
      <c r="G155" s="6"/>
      <c r="H155" s="6"/>
      <c r="I155" s="6"/>
      <c r="J155" s="6"/>
      <c r="K155" s="6"/>
      <c r="L155" s="6"/>
      <c r="M155" s="6"/>
      <c r="N155" s="6"/>
      <c r="O155" s="6"/>
      <c r="P155" s="6"/>
      <c r="Q155" s="6"/>
      <c r="R155" s="6"/>
      <c r="S155" s="6"/>
      <c r="T155" s="6"/>
      <c r="U155" s="6"/>
      <c r="V155" s="6"/>
      <c r="W155" s="6"/>
      <c r="X155" s="6"/>
      <c r="Y155" s="6"/>
      <c r="Z155" s="6"/>
    </row>
    <row r="156" ht="12.75" customHeight="1">
      <c r="A156" s="76"/>
      <c r="B156" s="6"/>
      <c r="C156" s="77"/>
      <c r="D156" s="6"/>
      <c r="E156" s="6"/>
      <c r="F156" s="6"/>
      <c r="G156" s="6"/>
      <c r="H156" s="6"/>
      <c r="I156" s="6"/>
      <c r="J156" s="6"/>
      <c r="K156" s="6"/>
      <c r="L156" s="6"/>
      <c r="M156" s="6"/>
      <c r="N156" s="6"/>
      <c r="O156" s="6"/>
      <c r="P156" s="6"/>
      <c r="Q156" s="6"/>
      <c r="R156" s="6"/>
      <c r="S156" s="6"/>
      <c r="T156" s="6"/>
      <c r="U156" s="6"/>
      <c r="V156" s="6"/>
      <c r="W156" s="6"/>
      <c r="X156" s="6"/>
      <c r="Y156" s="6"/>
      <c r="Z156" s="6"/>
    </row>
    <row r="157" ht="12.75" customHeight="1">
      <c r="A157" s="76"/>
      <c r="B157" s="6"/>
      <c r="C157" s="77"/>
      <c r="D157" s="6"/>
      <c r="E157" s="6"/>
      <c r="F157" s="6"/>
      <c r="G157" s="6"/>
      <c r="H157" s="6"/>
      <c r="I157" s="6"/>
      <c r="J157" s="6"/>
      <c r="K157" s="6"/>
      <c r="L157" s="6"/>
      <c r="M157" s="6"/>
      <c r="N157" s="6"/>
      <c r="O157" s="6"/>
      <c r="P157" s="6"/>
      <c r="Q157" s="6"/>
      <c r="R157" s="6"/>
      <c r="S157" s="6"/>
      <c r="T157" s="6"/>
      <c r="U157" s="6"/>
      <c r="V157" s="6"/>
      <c r="W157" s="6"/>
      <c r="X157" s="6"/>
      <c r="Y157" s="6"/>
      <c r="Z157" s="6"/>
    </row>
    <row r="158" ht="12.75" customHeight="1">
      <c r="A158" s="76"/>
      <c r="B158" s="6"/>
      <c r="C158" s="77"/>
      <c r="D158" s="6"/>
      <c r="E158" s="6"/>
      <c r="F158" s="6"/>
      <c r="G158" s="6"/>
      <c r="H158" s="6"/>
      <c r="I158" s="6"/>
      <c r="J158" s="6"/>
      <c r="K158" s="6"/>
      <c r="L158" s="6"/>
      <c r="M158" s="6"/>
      <c r="N158" s="6"/>
      <c r="O158" s="6"/>
      <c r="P158" s="6"/>
      <c r="Q158" s="6"/>
      <c r="R158" s="6"/>
      <c r="S158" s="6"/>
      <c r="T158" s="6"/>
      <c r="U158" s="6"/>
      <c r="V158" s="6"/>
      <c r="W158" s="6"/>
      <c r="X158" s="6"/>
      <c r="Y158" s="6"/>
      <c r="Z158" s="6"/>
    </row>
    <row r="159" ht="12.75" customHeight="1">
      <c r="A159" s="76"/>
      <c r="B159" s="6"/>
      <c r="C159" s="77"/>
      <c r="D159" s="6"/>
      <c r="E159" s="6"/>
      <c r="F159" s="6"/>
      <c r="G159" s="6"/>
      <c r="H159" s="6"/>
      <c r="I159" s="6"/>
      <c r="J159" s="6"/>
      <c r="K159" s="6"/>
      <c r="L159" s="6"/>
      <c r="M159" s="6"/>
      <c r="N159" s="6"/>
      <c r="O159" s="6"/>
      <c r="P159" s="6"/>
      <c r="Q159" s="6"/>
      <c r="R159" s="6"/>
      <c r="S159" s="6"/>
      <c r="T159" s="6"/>
      <c r="U159" s="6"/>
      <c r="V159" s="6"/>
      <c r="W159" s="6"/>
      <c r="X159" s="6"/>
      <c r="Y159" s="6"/>
      <c r="Z159" s="6"/>
    </row>
    <row r="160" ht="12.75" customHeight="1">
      <c r="A160" s="76"/>
      <c r="B160" s="6"/>
      <c r="C160" s="77"/>
      <c r="D160" s="6"/>
      <c r="E160" s="6"/>
      <c r="F160" s="6"/>
      <c r="G160" s="6"/>
      <c r="H160" s="6"/>
      <c r="I160" s="6"/>
      <c r="J160" s="6"/>
      <c r="K160" s="6"/>
      <c r="L160" s="6"/>
      <c r="M160" s="6"/>
      <c r="N160" s="6"/>
      <c r="O160" s="6"/>
      <c r="P160" s="6"/>
      <c r="Q160" s="6"/>
      <c r="R160" s="6"/>
      <c r="S160" s="6"/>
      <c r="T160" s="6"/>
      <c r="U160" s="6"/>
      <c r="V160" s="6"/>
      <c r="W160" s="6"/>
      <c r="X160" s="6"/>
      <c r="Y160" s="6"/>
      <c r="Z160" s="6"/>
    </row>
    <row r="161" ht="12.75" customHeight="1">
      <c r="A161" s="76"/>
      <c r="B161" s="6"/>
      <c r="C161" s="77"/>
      <c r="D161" s="6"/>
      <c r="E161" s="6"/>
      <c r="F161" s="6"/>
      <c r="G161" s="6"/>
      <c r="H161" s="6"/>
      <c r="I161" s="6"/>
      <c r="J161" s="6"/>
      <c r="K161" s="6"/>
      <c r="L161" s="6"/>
      <c r="M161" s="6"/>
      <c r="N161" s="6"/>
      <c r="O161" s="6"/>
      <c r="P161" s="6"/>
      <c r="Q161" s="6"/>
      <c r="R161" s="6"/>
      <c r="S161" s="6"/>
      <c r="T161" s="6"/>
      <c r="U161" s="6"/>
      <c r="V161" s="6"/>
      <c r="W161" s="6"/>
      <c r="X161" s="6"/>
      <c r="Y161" s="6"/>
      <c r="Z161" s="6"/>
    </row>
    <row r="162" ht="12.75" customHeight="1">
      <c r="A162" s="76"/>
      <c r="B162" s="6"/>
      <c r="C162" s="77"/>
      <c r="D162" s="6"/>
      <c r="E162" s="6"/>
      <c r="F162" s="6"/>
      <c r="G162" s="6"/>
      <c r="H162" s="6"/>
      <c r="I162" s="6"/>
      <c r="J162" s="6"/>
      <c r="K162" s="6"/>
      <c r="L162" s="6"/>
      <c r="M162" s="6"/>
      <c r="N162" s="6"/>
      <c r="O162" s="6"/>
      <c r="P162" s="6"/>
      <c r="Q162" s="6"/>
      <c r="R162" s="6"/>
      <c r="S162" s="6"/>
      <c r="T162" s="6"/>
      <c r="U162" s="6"/>
      <c r="V162" s="6"/>
      <c r="W162" s="6"/>
      <c r="X162" s="6"/>
      <c r="Y162" s="6"/>
      <c r="Z162" s="6"/>
    </row>
    <row r="163" ht="12.75" customHeight="1">
      <c r="A163" s="76"/>
      <c r="B163" s="6"/>
      <c r="C163" s="77"/>
      <c r="D163" s="6"/>
      <c r="E163" s="6"/>
      <c r="F163" s="6"/>
      <c r="G163" s="6"/>
      <c r="H163" s="6"/>
      <c r="I163" s="6"/>
      <c r="J163" s="6"/>
      <c r="K163" s="6"/>
      <c r="L163" s="6"/>
      <c r="M163" s="6"/>
      <c r="N163" s="6"/>
      <c r="O163" s="6"/>
      <c r="P163" s="6"/>
      <c r="Q163" s="6"/>
      <c r="R163" s="6"/>
      <c r="S163" s="6"/>
      <c r="T163" s="6"/>
      <c r="U163" s="6"/>
      <c r="V163" s="6"/>
      <c r="W163" s="6"/>
      <c r="X163" s="6"/>
      <c r="Y163" s="6"/>
      <c r="Z163" s="6"/>
    </row>
    <row r="164" ht="12.75" customHeight="1">
      <c r="A164" s="76"/>
      <c r="B164" s="6"/>
      <c r="C164" s="77"/>
      <c r="D164" s="6"/>
      <c r="E164" s="6"/>
      <c r="F164" s="6"/>
      <c r="G164" s="6"/>
      <c r="H164" s="6"/>
      <c r="I164" s="6"/>
      <c r="J164" s="6"/>
      <c r="K164" s="6"/>
      <c r="L164" s="6"/>
      <c r="M164" s="6"/>
      <c r="N164" s="6"/>
      <c r="O164" s="6"/>
      <c r="P164" s="6"/>
      <c r="Q164" s="6"/>
      <c r="R164" s="6"/>
      <c r="S164" s="6"/>
      <c r="T164" s="6"/>
      <c r="U164" s="6"/>
      <c r="V164" s="6"/>
      <c r="W164" s="6"/>
      <c r="X164" s="6"/>
      <c r="Y164" s="6"/>
      <c r="Z164" s="6"/>
    </row>
    <row r="165" ht="12.75" customHeight="1">
      <c r="A165" s="76"/>
      <c r="B165" s="6"/>
      <c r="C165" s="77"/>
      <c r="D165" s="6"/>
      <c r="E165" s="6"/>
      <c r="F165" s="6"/>
      <c r="G165" s="6"/>
      <c r="H165" s="6"/>
      <c r="I165" s="6"/>
      <c r="J165" s="6"/>
      <c r="K165" s="6"/>
      <c r="L165" s="6"/>
      <c r="M165" s="6"/>
      <c r="N165" s="6"/>
      <c r="O165" s="6"/>
      <c r="P165" s="6"/>
      <c r="Q165" s="6"/>
      <c r="R165" s="6"/>
      <c r="S165" s="6"/>
      <c r="T165" s="6"/>
      <c r="U165" s="6"/>
      <c r="V165" s="6"/>
      <c r="W165" s="6"/>
      <c r="X165" s="6"/>
      <c r="Y165" s="6"/>
      <c r="Z165" s="6"/>
    </row>
    <row r="166" ht="12.75" customHeight="1">
      <c r="A166" s="76"/>
      <c r="B166" s="6"/>
      <c r="C166" s="77"/>
      <c r="D166" s="6"/>
      <c r="E166" s="6"/>
      <c r="F166" s="6"/>
      <c r="G166" s="6"/>
      <c r="H166" s="6"/>
      <c r="I166" s="6"/>
      <c r="J166" s="6"/>
      <c r="K166" s="6"/>
      <c r="L166" s="6"/>
      <c r="M166" s="6"/>
      <c r="N166" s="6"/>
      <c r="O166" s="6"/>
      <c r="P166" s="6"/>
      <c r="Q166" s="6"/>
      <c r="R166" s="6"/>
      <c r="S166" s="6"/>
      <c r="T166" s="6"/>
      <c r="U166" s="6"/>
      <c r="V166" s="6"/>
      <c r="W166" s="6"/>
      <c r="X166" s="6"/>
      <c r="Y166" s="6"/>
      <c r="Z166" s="6"/>
    </row>
    <row r="167" ht="12.75" customHeight="1">
      <c r="A167" s="76"/>
      <c r="B167" s="6"/>
      <c r="C167" s="77"/>
      <c r="D167" s="6"/>
      <c r="E167" s="6"/>
      <c r="F167" s="6"/>
      <c r="G167" s="6"/>
      <c r="H167" s="6"/>
      <c r="I167" s="6"/>
      <c r="J167" s="6"/>
      <c r="K167" s="6"/>
      <c r="L167" s="6"/>
      <c r="M167" s="6"/>
      <c r="N167" s="6"/>
      <c r="O167" s="6"/>
      <c r="P167" s="6"/>
      <c r="Q167" s="6"/>
      <c r="R167" s="6"/>
      <c r="S167" s="6"/>
      <c r="T167" s="6"/>
      <c r="U167" s="6"/>
      <c r="V167" s="6"/>
      <c r="W167" s="6"/>
      <c r="X167" s="6"/>
      <c r="Y167" s="6"/>
      <c r="Z167" s="6"/>
    </row>
    <row r="168" ht="12.75" customHeight="1">
      <c r="A168" s="76"/>
      <c r="B168" s="6"/>
      <c r="C168" s="77"/>
      <c r="D168" s="6"/>
      <c r="E168" s="6"/>
      <c r="F168" s="6"/>
      <c r="G168" s="6"/>
      <c r="H168" s="6"/>
      <c r="I168" s="6"/>
      <c r="J168" s="6"/>
      <c r="K168" s="6"/>
      <c r="L168" s="6"/>
      <c r="M168" s="6"/>
      <c r="N168" s="6"/>
      <c r="O168" s="6"/>
      <c r="P168" s="6"/>
      <c r="Q168" s="6"/>
      <c r="R168" s="6"/>
      <c r="S168" s="6"/>
      <c r="T168" s="6"/>
      <c r="U168" s="6"/>
      <c r="V168" s="6"/>
      <c r="W168" s="6"/>
      <c r="X168" s="6"/>
      <c r="Y168" s="6"/>
      <c r="Z168" s="6"/>
    </row>
    <row r="169" ht="12.75" customHeight="1">
      <c r="A169" s="76"/>
      <c r="B169" s="6"/>
      <c r="C169" s="77"/>
      <c r="D169" s="6"/>
      <c r="E169" s="6"/>
      <c r="F169" s="6"/>
      <c r="G169" s="6"/>
      <c r="H169" s="6"/>
      <c r="I169" s="6"/>
      <c r="J169" s="6"/>
      <c r="K169" s="6"/>
      <c r="L169" s="6"/>
      <c r="M169" s="6"/>
      <c r="N169" s="6"/>
      <c r="O169" s="6"/>
      <c r="P169" s="6"/>
      <c r="Q169" s="6"/>
      <c r="R169" s="6"/>
      <c r="S169" s="6"/>
      <c r="T169" s="6"/>
      <c r="U169" s="6"/>
      <c r="V169" s="6"/>
      <c r="W169" s="6"/>
      <c r="X169" s="6"/>
      <c r="Y169" s="6"/>
      <c r="Z169" s="6"/>
    </row>
    <row r="170" ht="12.75" customHeight="1">
      <c r="A170" s="76"/>
      <c r="B170" s="6"/>
      <c r="C170" s="77"/>
      <c r="D170" s="6"/>
      <c r="E170" s="6"/>
      <c r="F170" s="6"/>
      <c r="G170" s="6"/>
      <c r="H170" s="6"/>
      <c r="I170" s="6"/>
      <c r="J170" s="6"/>
      <c r="K170" s="6"/>
      <c r="L170" s="6"/>
      <c r="M170" s="6"/>
      <c r="N170" s="6"/>
      <c r="O170" s="6"/>
      <c r="P170" s="6"/>
      <c r="Q170" s="6"/>
      <c r="R170" s="6"/>
      <c r="S170" s="6"/>
      <c r="T170" s="6"/>
      <c r="U170" s="6"/>
      <c r="V170" s="6"/>
      <c r="W170" s="6"/>
      <c r="X170" s="6"/>
      <c r="Y170" s="6"/>
      <c r="Z170" s="6"/>
    </row>
    <row r="171" ht="12.75" customHeight="1">
      <c r="A171" s="76"/>
      <c r="B171" s="6"/>
      <c r="C171" s="77"/>
      <c r="D171" s="6"/>
      <c r="E171" s="6"/>
      <c r="F171" s="6"/>
      <c r="G171" s="6"/>
      <c r="H171" s="6"/>
      <c r="I171" s="6"/>
      <c r="J171" s="6"/>
      <c r="K171" s="6"/>
      <c r="L171" s="6"/>
      <c r="M171" s="6"/>
      <c r="N171" s="6"/>
      <c r="O171" s="6"/>
      <c r="P171" s="6"/>
      <c r="Q171" s="6"/>
      <c r="R171" s="6"/>
      <c r="S171" s="6"/>
      <c r="T171" s="6"/>
      <c r="U171" s="6"/>
      <c r="V171" s="6"/>
      <c r="W171" s="6"/>
      <c r="X171" s="6"/>
      <c r="Y171" s="6"/>
      <c r="Z171" s="6"/>
    </row>
    <row r="172" ht="12.75" customHeight="1">
      <c r="A172" s="76"/>
      <c r="B172" s="6"/>
      <c r="C172" s="77"/>
      <c r="D172" s="6"/>
      <c r="E172" s="6"/>
      <c r="F172" s="6"/>
      <c r="G172" s="6"/>
      <c r="H172" s="6"/>
      <c r="I172" s="6"/>
      <c r="J172" s="6"/>
      <c r="K172" s="6"/>
      <c r="L172" s="6"/>
      <c r="M172" s="6"/>
      <c r="N172" s="6"/>
      <c r="O172" s="6"/>
      <c r="P172" s="6"/>
      <c r="Q172" s="6"/>
      <c r="R172" s="6"/>
      <c r="S172" s="6"/>
      <c r="T172" s="6"/>
      <c r="U172" s="6"/>
      <c r="V172" s="6"/>
      <c r="W172" s="6"/>
      <c r="X172" s="6"/>
      <c r="Y172" s="6"/>
      <c r="Z172" s="6"/>
    </row>
    <row r="173" ht="12.75" customHeight="1">
      <c r="A173" s="76"/>
      <c r="B173" s="6"/>
      <c r="C173" s="77"/>
      <c r="D173" s="6"/>
      <c r="E173" s="6"/>
      <c r="F173" s="6"/>
      <c r="G173" s="6"/>
      <c r="H173" s="6"/>
      <c r="I173" s="6"/>
      <c r="J173" s="6"/>
      <c r="K173" s="6"/>
      <c r="L173" s="6"/>
      <c r="M173" s="6"/>
      <c r="N173" s="6"/>
      <c r="O173" s="6"/>
      <c r="P173" s="6"/>
      <c r="Q173" s="6"/>
      <c r="R173" s="6"/>
      <c r="S173" s="6"/>
      <c r="T173" s="6"/>
      <c r="U173" s="6"/>
      <c r="V173" s="6"/>
      <c r="W173" s="6"/>
      <c r="X173" s="6"/>
      <c r="Y173" s="6"/>
      <c r="Z173" s="6"/>
    </row>
    <row r="174" ht="12.75" customHeight="1">
      <c r="A174" s="76"/>
      <c r="B174" s="6"/>
      <c r="C174" s="77"/>
      <c r="D174" s="6"/>
      <c r="E174" s="6"/>
      <c r="F174" s="6"/>
      <c r="G174" s="6"/>
      <c r="H174" s="6"/>
      <c r="I174" s="6"/>
      <c r="J174" s="6"/>
      <c r="K174" s="6"/>
      <c r="L174" s="6"/>
      <c r="M174" s="6"/>
      <c r="N174" s="6"/>
      <c r="O174" s="6"/>
      <c r="P174" s="6"/>
      <c r="Q174" s="6"/>
      <c r="R174" s="6"/>
      <c r="S174" s="6"/>
      <c r="T174" s="6"/>
      <c r="U174" s="6"/>
      <c r="V174" s="6"/>
      <c r="W174" s="6"/>
      <c r="X174" s="6"/>
      <c r="Y174" s="6"/>
      <c r="Z174" s="6"/>
    </row>
    <row r="175" ht="12.75" customHeight="1">
      <c r="A175" s="76"/>
      <c r="B175" s="6"/>
      <c r="C175" s="77"/>
      <c r="D175" s="6"/>
      <c r="E175" s="6"/>
      <c r="F175" s="6"/>
      <c r="G175" s="6"/>
      <c r="H175" s="6"/>
      <c r="I175" s="6"/>
      <c r="J175" s="6"/>
      <c r="K175" s="6"/>
      <c r="L175" s="6"/>
      <c r="M175" s="6"/>
      <c r="N175" s="6"/>
      <c r="O175" s="6"/>
      <c r="P175" s="6"/>
      <c r="Q175" s="6"/>
      <c r="R175" s="6"/>
      <c r="S175" s="6"/>
      <c r="T175" s="6"/>
      <c r="U175" s="6"/>
      <c r="V175" s="6"/>
      <c r="W175" s="6"/>
      <c r="X175" s="6"/>
      <c r="Y175" s="6"/>
      <c r="Z175" s="6"/>
    </row>
    <row r="176" ht="12.75" customHeight="1">
      <c r="A176" s="76"/>
      <c r="B176" s="6"/>
      <c r="C176" s="77"/>
      <c r="D176" s="6"/>
      <c r="E176" s="6"/>
      <c r="F176" s="6"/>
      <c r="G176" s="6"/>
      <c r="H176" s="6"/>
      <c r="I176" s="6"/>
      <c r="J176" s="6"/>
      <c r="K176" s="6"/>
      <c r="L176" s="6"/>
      <c r="M176" s="6"/>
      <c r="N176" s="6"/>
      <c r="O176" s="6"/>
      <c r="P176" s="6"/>
      <c r="Q176" s="6"/>
      <c r="R176" s="6"/>
      <c r="S176" s="6"/>
      <c r="T176" s="6"/>
      <c r="U176" s="6"/>
      <c r="V176" s="6"/>
      <c r="W176" s="6"/>
      <c r="X176" s="6"/>
      <c r="Y176" s="6"/>
      <c r="Z176" s="6"/>
    </row>
    <row r="177" ht="12.75" customHeight="1">
      <c r="A177" s="76"/>
      <c r="B177" s="6"/>
      <c r="C177" s="77"/>
      <c r="D177" s="6"/>
      <c r="E177" s="6"/>
      <c r="F177" s="6"/>
      <c r="G177" s="6"/>
      <c r="H177" s="6"/>
      <c r="I177" s="6"/>
      <c r="J177" s="6"/>
      <c r="K177" s="6"/>
      <c r="L177" s="6"/>
      <c r="M177" s="6"/>
      <c r="N177" s="6"/>
      <c r="O177" s="6"/>
      <c r="P177" s="6"/>
      <c r="Q177" s="6"/>
      <c r="R177" s="6"/>
      <c r="S177" s="6"/>
      <c r="T177" s="6"/>
      <c r="U177" s="6"/>
      <c r="V177" s="6"/>
      <c r="W177" s="6"/>
      <c r="X177" s="6"/>
      <c r="Y177" s="6"/>
      <c r="Z177" s="6"/>
    </row>
    <row r="178" ht="12.75" customHeight="1">
      <c r="A178" s="76"/>
      <c r="B178" s="6"/>
      <c r="C178" s="77"/>
      <c r="D178" s="6"/>
      <c r="E178" s="6"/>
      <c r="F178" s="6"/>
      <c r="G178" s="6"/>
      <c r="H178" s="6"/>
      <c r="I178" s="6"/>
      <c r="J178" s="6"/>
      <c r="K178" s="6"/>
      <c r="L178" s="6"/>
      <c r="M178" s="6"/>
      <c r="N178" s="6"/>
      <c r="O178" s="6"/>
      <c r="P178" s="6"/>
      <c r="Q178" s="6"/>
      <c r="R178" s="6"/>
      <c r="S178" s="6"/>
      <c r="T178" s="6"/>
      <c r="U178" s="6"/>
      <c r="V178" s="6"/>
      <c r="W178" s="6"/>
      <c r="X178" s="6"/>
      <c r="Y178" s="6"/>
      <c r="Z178" s="6"/>
    </row>
    <row r="179" ht="12.75" customHeight="1">
      <c r="A179" s="76"/>
      <c r="B179" s="6"/>
      <c r="C179" s="77"/>
      <c r="D179" s="6"/>
      <c r="E179" s="6"/>
      <c r="F179" s="6"/>
      <c r="G179" s="6"/>
      <c r="H179" s="6"/>
      <c r="I179" s="6"/>
      <c r="J179" s="6"/>
      <c r="K179" s="6"/>
      <c r="L179" s="6"/>
      <c r="M179" s="6"/>
      <c r="N179" s="6"/>
      <c r="O179" s="6"/>
      <c r="P179" s="6"/>
      <c r="Q179" s="6"/>
      <c r="R179" s="6"/>
      <c r="S179" s="6"/>
      <c r="T179" s="6"/>
      <c r="U179" s="6"/>
      <c r="V179" s="6"/>
      <c r="W179" s="6"/>
      <c r="X179" s="6"/>
      <c r="Y179" s="6"/>
      <c r="Z179" s="6"/>
    </row>
    <row r="180" ht="12.75" customHeight="1">
      <c r="A180" s="76"/>
      <c r="B180" s="6"/>
      <c r="C180" s="77"/>
      <c r="D180" s="6"/>
      <c r="E180" s="6"/>
      <c r="F180" s="6"/>
      <c r="G180" s="6"/>
      <c r="H180" s="6"/>
      <c r="I180" s="6"/>
      <c r="J180" s="6"/>
      <c r="K180" s="6"/>
      <c r="L180" s="6"/>
      <c r="M180" s="6"/>
      <c r="N180" s="6"/>
      <c r="O180" s="6"/>
      <c r="P180" s="6"/>
      <c r="Q180" s="6"/>
      <c r="R180" s="6"/>
      <c r="S180" s="6"/>
      <c r="T180" s="6"/>
      <c r="U180" s="6"/>
      <c r="V180" s="6"/>
      <c r="W180" s="6"/>
      <c r="X180" s="6"/>
      <c r="Y180" s="6"/>
      <c r="Z180" s="6"/>
    </row>
    <row r="181" ht="12.75" customHeight="1">
      <c r="A181" s="76"/>
      <c r="B181" s="6"/>
      <c r="C181" s="77"/>
      <c r="D181" s="6"/>
      <c r="E181" s="6"/>
      <c r="F181" s="6"/>
      <c r="G181" s="6"/>
      <c r="H181" s="6"/>
      <c r="I181" s="6"/>
      <c r="J181" s="6"/>
      <c r="K181" s="6"/>
      <c r="L181" s="6"/>
      <c r="M181" s="6"/>
      <c r="N181" s="6"/>
      <c r="O181" s="6"/>
      <c r="P181" s="6"/>
      <c r="Q181" s="6"/>
      <c r="R181" s="6"/>
      <c r="S181" s="6"/>
      <c r="T181" s="6"/>
      <c r="U181" s="6"/>
      <c r="V181" s="6"/>
      <c r="W181" s="6"/>
      <c r="X181" s="6"/>
      <c r="Y181" s="6"/>
      <c r="Z181" s="6"/>
    </row>
    <row r="182" ht="12.75" customHeight="1">
      <c r="A182" s="76"/>
      <c r="B182" s="6"/>
      <c r="C182" s="77"/>
      <c r="D182" s="6"/>
      <c r="E182" s="6"/>
      <c r="F182" s="6"/>
      <c r="G182" s="6"/>
      <c r="H182" s="6"/>
      <c r="I182" s="6"/>
      <c r="J182" s="6"/>
      <c r="K182" s="6"/>
      <c r="L182" s="6"/>
      <c r="M182" s="6"/>
      <c r="N182" s="6"/>
      <c r="O182" s="6"/>
      <c r="P182" s="6"/>
      <c r="Q182" s="6"/>
      <c r="R182" s="6"/>
      <c r="S182" s="6"/>
      <c r="T182" s="6"/>
      <c r="U182" s="6"/>
      <c r="V182" s="6"/>
      <c r="W182" s="6"/>
      <c r="X182" s="6"/>
      <c r="Y182" s="6"/>
      <c r="Z182" s="6"/>
    </row>
    <row r="183" ht="12.75" customHeight="1">
      <c r="A183" s="76"/>
      <c r="B183" s="6"/>
      <c r="C183" s="77"/>
      <c r="D183" s="6"/>
      <c r="E183" s="6"/>
      <c r="F183" s="6"/>
      <c r="G183" s="6"/>
      <c r="H183" s="6"/>
      <c r="I183" s="6"/>
      <c r="J183" s="6"/>
      <c r="K183" s="6"/>
      <c r="L183" s="6"/>
      <c r="M183" s="6"/>
      <c r="N183" s="6"/>
      <c r="O183" s="6"/>
      <c r="P183" s="6"/>
      <c r="Q183" s="6"/>
      <c r="R183" s="6"/>
      <c r="S183" s="6"/>
      <c r="T183" s="6"/>
      <c r="U183" s="6"/>
      <c r="V183" s="6"/>
      <c r="W183" s="6"/>
      <c r="X183" s="6"/>
      <c r="Y183" s="6"/>
      <c r="Z183" s="6"/>
    </row>
    <row r="184" ht="12.75" customHeight="1">
      <c r="A184" s="76"/>
      <c r="B184" s="6"/>
      <c r="C184" s="77"/>
      <c r="D184" s="6"/>
      <c r="E184" s="6"/>
      <c r="F184" s="6"/>
      <c r="G184" s="6"/>
      <c r="H184" s="6"/>
      <c r="I184" s="6"/>
      <c r="J184" s="6"/>
      <c r="K184" s="6"/>
      <c r="L184" s="6"/>
      <c r="M184" s="6"/>
      <c r="N184" s="6"/>
      <c r="O184" s="6"/>
      <c r="P184" s="6"/>
      <c r="Q184" s="6"/>
      <c r="R184" s="6"/>
      <c r="S184" s="6"/>
      <c r="T184" s="6"/>
      <c r="U184" s="6"/>
      <c r="V184" s="6"/>
      <c r="W184" s="6"/>
      <c r="X184" s="6"/>
      <c r="Y184" s="6"/>
      <c r="Z184" s="6"/>
    </row>
    <row r="185" ht="12.75" customHeight="1">
      <c r="A185" s="76"/>
      <c r="B185" s="6"/>
      <c r="C185" s="77"/>
      <c r="D185" s="6"/>
      <c r="E185" s="6"/>
      <c r="F185" s="6"/>
      <c r="G185" s="6"/>
      <c r="H185" s="6"/>
      <c r="I185" s="6"/>
      <c r="J185" s="6"/>
      <c r="K185" s="6"/>
      <c r="L185" s="6"/>
      <c r="M185" s="6"/>
      <c r="N185" s="6"/>
      <c r="O185" s="6"/>
      <c r="P185" s="6"/>
      <c r="Q185" s="6"/>
      <c r="R185" s="6"/>
      <c r="S185" s="6"/>
      <c r="T185" s="6"/>
      <c r="U185" s="6"/>
      <c r="V185" s="6"/>
      <c r="W185" s="6"/>
      <c r="X185" s="6"/>
      <c r="Y185" s="6"/>
      <c r="Z185" s="6"/>
    </row>
    <row r="186" ht="12.75" customHeight="1">
      <c r="A186" s="76"/>
      <c r="B186" s="6"/>
      <c r="C186" s="77"/>
      <c r="D186" s="6"/>
      <c r="E186" s="6"/>
      <c r="F186" s="6"/>
      <c r="G186" s="6"/>
      <c r="H186" s="6"/>
      <c r="I186" s="6"/>
      <c r="J186" s="6"/>
      <c r="K186" s="6"/>
      <c r="L186" s="6"/>
      <c r="M186" s="6"/>
      <c r="N186" s="6"/>
      <c r="O186" s="6"/>
      <c r="P186" s="6"/>
      <c r="Q186" s="6"/>
      <c r="R186" s="6"/>
      <c r="S186" s="6"/>
      <c r="T186" s="6"/>
      <c r="U186" s="6"/>
      <c r="V186" s="6"/>
      <c r="W186" s="6"/>
      <c r="X186" s="6"/>
      <c r="Y186" s="6"/>
      <c r="Z186" s="6"/>
    </row>
    <row r="187" ht="12.75" customHeight="1">
      <c r="A187" s="76"/>
      <c r="B187" s="6"/>
      <c r="C187" s="77"/>
      <c r="D187" s="6"/>
      <c r="E187" s="6"/>
      <c r="F187" s="6"/>
      <c r="G187" s="6"/>
      <c r="H187" s="6"/>
      <c r="I187" s="6"/>
      <c r="J187" s="6"/>
      <c r="K187" s="6"/>
      <c r="L187" s="6"/>
      <c r="M187" s="6"/>
      <c r="N187" s="6"/>
      <c r="O187" s="6"/>
      <c r="P187" s="6"/>
      <c r="Q187" s="6"/>
      <c r="R187" s="6"/>
      <c r="S187" s="6"/>
      <c r="T187" s="6"/>
      <c r="U187" s="6"/>
      <c r="V187" s="6"/>
      <c r="W187" s="6"/>
      <c r="X187" s="6"/>
      <c r="Y187" s="6"/>
      <c r="Z187" s="6"/>
    </row>
    <row r="188" ht="12.75" customHeight="1">
      <c r="A188" s="76"/>
      <c r="B188" s="6"/>
      <c r="C188" s="77"/>
      <c r="D188" s="6"/>
      <c r="E188" s="6"/>
      <c r="F188" s="6"/>
      <c r="G188" s="6"/>
      <c r="H188" s="6"/>
      <c r="I188" s="6"/>
      <c r="J188" s="6"/>
      <c r="K188" s="6"/>
      <c r="L188" s="6"/>
      <c r="M188" s="6"/>
      <c r="N188" s="6"/>
      <c r="O188" s="6"/>
      <c r="P188" s="6"/>
      <c r="Q188" s="6"/>
      <c r="R188" s="6"/>
      <c r="S188" s="6"/>
      <c r="T188" s="6"/>
      <c r="U188" s="6"/>
      <c r="V188" s="6"/>
      <c r="W188" s="6"/>
      <c r="X188" s="6"/>
      <c r="Y188" s="6"/>
      <c r="Z188" s="6"/>
    </row>
    <row r="189" ht="12.75" customHeight="1">
      <c r="A189" s="76"/>
      <c r="B189" s="6"/>
      <c r="C189" s="77"/>
      <c r="D189" s="6"/>
      <c r="E189" s="6"/>
      <c r="F189" s="6"/>
      <c r="G189" s="6"/>
      <c r="H189" s="6"/>
      <c r="I189" s="6"/>
      <c r="J189" s="6"/>
      <c r="K189" s="6"/>
      <c r="L189" s="6"/>
      <c r="M189" s="6"/>
      <c r="N189" s="6"/>
      <c r="O189" s="6"/>
      <c r="P189" s="6"/>
      <c r="Q189" s="6"/>
      <c r="R189" s="6"/>
      <c r="S189" s="6"/>
      <c r="T189" s="6"/>
      <c r="U189" s="6"/>
      <c r="V189" s="6"/>
      <c r="W189" s="6"/>
      <c r="X189" s="6"/>
      <c r="Y189" s="6"/>
      <c r="Z189" s="6"/>
    </row>
    <row r="190" ht="12.75" customHeight="1">
      <c r="A190" s="76"/>
      <c r="B190" s="6"/>
      <c r="C190" s="77"/>
      <c r="D190" s="6"/>
      <c r="E190" s="6"/>
      <c r="F190" s="6"/>
      <c r="G190" s="6"/>
      <c r="H190" s="6"/>
      <c r="I190" s="6"/>
      <c r="J190" s="6"/>
      <c r="K190" s="6"/>
      <c r="L190" s="6"/>
      <c r="M190" s="6"/>
      <c r="N190" s="6"/>
      <c r="O190" s="6"/>
      <c r="P190" s="6"/>
      <c r="Q190" s="6"/>
      <c r="R190" s="6"/>
      <c r="S190" s="6"/>
      <c r="T190" s="6"/>
      <c r="U190" s="6"/>
      <c r="V190" s="6"/>
      <c r="W190" s="6"/>
      <c r="X190" s="6"/>
      <c r="Y190" s="6"/>
      <c r="Z190" s="6"/>
    </row>
    <row r="191" ht="12.75" customHeight="1">
      <c r="A191" s="76"/>
      <c r="B191" s="6"/>
      <c r="C191" s="77"/>
      <c r="D191" s="6"/>
      <c r="E191" s="6"/>
      <c r="F191" s="6"/>
      <c r="G191" s="6"/>
      <c r="H191" s="6"/>
      <c r="I191" s="6"/>
      <c r="J191" s="6"/>
      <c r="K191" s="6"/>
      <c r="L191" s="6"/>
      <c r="M191" s="6"/>
      <c r="N191" s="6"/>
      <c r="O191" s="6"/>
      <c r="P191" s="6"/>
      <c r="Q191" s="6"/>
      <c r="R191" s="6"/>
      <c r="S191" s="6"/>
      <c r="T191" s="6"/>
      <c r="U191" s="6"/>
      <c r="V191" s="6"/>
      <c r="W191" s="6"/>
      <c r="X191" s="6"/>
      <c r="Y191" s="6"/>
      <c r="Z191" s="6"/>
    </row>
    <row r="192" ht="12.75" customHeight="1">
      <c r="A192" s="76"/>
      <c r="B192" s="6"/>
      <c r="C192" s="77"/>
      <c r="D192" s="6"/>
      <c r="E192" s="6"/>
      <c r="F192" s="6"/>
      <c r="G192" s="6"/>
      <c r="H192" s="6"/>
      <c r="I192" s="6"/>
      <c r="J192" s="6"/>
      <c r="K192" s="6"/>
      <c r="L192" s="6"/>
      <c r="M192" s="6"/>
      <c r="N192" s="6"/>
      <c r="O192" s="6"/>
      <c r="P192" s="6"/>
      <c r="Q192" s="6"/>
      <c r="R192" s="6"/>
      <c r="S192" s="6"/>
      <c r="T192" s="6"/>
      <c r="U192" s="6"/>
      <c r="V192" s="6"/>
      <c r="W192" s="6"/>
      <c r="X192" s="6"/>
      <c r="Y192" s="6"/>
      <c r="Z192" s="6"/>
    </row>
    <row r="193" ht="12.75" customHeight="1">
      <c r="A193" s="76"/>
      <c r="B193" s="6"/>
      <c r="C193" s="77"/>
      <c r="D193" s="6"/>
      <c r="E193" s="6"/>
      <c r="F193" s="6"/>
      <c r="G193" s="6"/>
      <c r="H193" s="6"/>
      <c r="I193" s="6"/>
      <c r="J193" s="6"/>
      <c r="K193" s="6"/>
      <c r="L193" s="6"/>
      <c r="M193" s="6"/>
      <c r="N193" s="6"/>
      <c r="O193" s="6"/>
      <c r="P193" s="6"/>
      <c r="Q193" s="6"/>
      <c r="R193" s="6"/>
      <c r="S193" s="6"/>
      <c r="T193" s="6"/>
      <c r="U193" s="6"/>
      <c r="V193" s="6"/>
      <c r="W193" s="6"/>
      <c r="X193" s="6"/>
      <c r="Y193" s="6"/>
      <c r="Z193" s="6"/>
    </row>
    <row r="194" ht="12.75" customHeight="1">
      <c r="A194" s="76"/>
      <c r="B194" s="6"/>
      <c r="C194" s="77"/>
      <c r="D194" s="6"/>
      <c r="E194" s="6"/>
      <c r="F194" s="6"/>
      <c r="G194" s="6"/>
      <c r="H194" s="6"/>
      <c r="I194" s="6"/>
      <c r="J194" s="6"/>
      <c r="K194" s="6"/>
      <c r="L194" s="6"/>
      <c r="M194" s="6"/>
      <c r="N194" s="6"/>
      <c r="O194" s="6"/>
      <c r="P194" s="6"/>
      <c r="Q194" s="6"/>
      <c r="R194" s="6"/>
      <c r="S194" s="6"/>
      <c r="T194" s="6"/>
      <c r="U194" s="6"/>
      <c r="V194" s="6"/>
      <c r="W194" s="6"/>
      <c r="X194" s="6"/>
      <c r="Y194" s="6"/>
      <c r="Z194" s="6"/>
    </row>
    <row r="195" ht="12.75" customHeight="1">
      <c r="A195" s="76"/>
      <c r="B195" s="6"/>
      <c r="C195" s="77"/>
      <c r="D195" s="6"/>
      <c r="E195" s="6"/>
      <c r="F195" s="6"/>
      <c r="G195" s="6"/>
      <c r="H195" s="6"/>
      <c r="I195" s="6"/>
      <c r="J195" s="6"/>
      <c r="K195" s="6"/>
      <c r="L195" s="6"/>
      <c r="M195" s="6"/>
      <c r="N195" s="6"/>
      <c r="O195" s="6"/>
      <c r="P195" s="6"/>
      <c r="Q195" s="6"/>
      <c r="R195" s="6"/>
      <c r="S195" s="6"/>
      <c r="T195" s="6"/>
      <c r="U195" s="6"/>
      <c r="V195" s="6"/>
      <c r="W195" s="6"/>
      <c r="X195" s="6"/>
      <c r="Y195" s="6"/>
      <c r="Z195" s="6"/>
    </row>
    <row r="196" ht="12.75" customHeight="1">
      <c r="A196" s="76"/>
      <c r="B196" s="6"/>
      <c r="C196" s="77"/>
      <c r="D196" s="6"/>
      <c r="E196" s="6"/>
      <c r="F196" s="6"/>
      <c r="G196" s="6"/>
      <c r="H196" s="6"/>
      <c r="I196" s="6"/>
      <c r="J196" s="6"/>
      <c r="K196" s="6"/>
      <c r="L196" s="6"/>
      <c r="M196" s="6"/>
      <c r="N196" s="6"/>
      <c r="O196" s="6"/>
      <c r="P196" s="6"/>
      <c r="Q196" s="6"/>
      <c r="R196" s="6"/>
      <c r="S196" s="6"/>
      <c r="T196" s="6"/>
      <c r="U196" s="6"/>
      <c r="V196" s="6"/>
      <c r="W196" s="6"/>
      <c r="X196" s="6"/>
      <c r="Y196" s="6"/>
      <c r="Z196" s="6"/>
    </row>
    <row r="197" ht="12.75" customHeight="1">
      <c r="A197" s="76"/>
      <c r="B197" s="6"/>
      <c r="C197" s="77"/>
      <c r="D197" s="6"/>
      <c r="E197" s="6"/>
      <c r="F197" s="6"/>
      <c r="G197" s="6"/>
      <c r="H197" s="6"/>
      <c r="I197" s="6"/>
      <c r="J197" s="6"/>
      <c r="K197" s="6"/>
      <c r="L197" s="6"/>
      <c r="M197" s="6"/>
      <c r="N197" s="6"/>
      <c r="O197" s="6"/>
      <c r="P197" s="6"/>
      <c r="Q197" s="6"/>
      <c r="R197" s="6"/>
      <c r="S197" s="6"/>
      <c r="T197" s="6"/>
      <c r="U197" s="6"/>
      <c r="V197" s="6"/>
      <c r="W197" s="6"/>
      <c r="X197" s="6"/>
      <c r="Y197" s="6"/>
      <c r="Z197" s="6"/>
    </row>
    <row r="198" ht="12.75" customHeight="1">
      <c r="A198" s="76"/>
      <c r="B198" s="6"/>
      <c r="C198" s="77"/>
      <c r="D198" s="6"/>
      <c r="E198" s="6"/>
      <c r="F198" s="6"/>
      <c r="G198" s="6"/>
      <c r="H198" s="6"/>
      <c r="I198" s="6"/>
      <c r="J198" s="6"/>
      <c r="K198" s="6"/>
      <c r="L198" s="6"/>
      <c r="M198" s="6"/>
      <c r="N198" s="6"/>
      <c r="O198" s="6"/>
      <c r="P198" s="6"/>
      <c r="Q198" s="6"/>
      <c r="R198" s="6"/>
      <c r="S198" s="6"/>
      <c r="T198" s="6"/>
      <c r="U198" s="6"/>
      <c r="V198" s="6"/>
      <c r="W198" s="6"/>
      <c r="X198" s="6"/>
      <c r="Y198" s="6"/>
      <c r="Z198" s="6"/>
    </row>
    <row r="199" ht="12.75" customHeight="1">
      <c r="A199" s="76"/>
      <c r="B199" s="6"/>
      <c r="C199" s="77"/>
      <c r="D199" s="6"/>
      <c r="E199" s="6"/>
      <c r="F199" s="6"/>
      <c r="G199" s="6"/>
      <c r="H199" s="6"/>
      <c r="I199" s="6"/>
      <c r="J199" s="6"/>
      <c r="K199" s="6"/>
      <c r="L199" s="6"/>
      <c r="M199" s="6"/>
      <c r="N199" s="6"/>
      <c r="O199" s="6"/>
      <c r="P199" s="6"/>
      <c r="Q199" s="6"/>
      <c r="R199" s="6"/>
      <c r="S199" s="6"/>
      <c r="T199" s="6"/>
      <c r="U199" s="6"/>
      <c r="V199" s="6"/>
      <c r="W199" s="6"/>
      <c r="X199" s="6"/>
      <c r="Y199" s="6"/>
      <c r="Z199" s="6"/>
    </row>
    <row r="200" ht="12.75" customHeight="1">
      <c r="A200" s="76"/>
      <c r="B200" s="6"/>
      <c r="C200" s="77"/>
      <c r="D200" s="6"/>
      <c r="E200" s="6"/>
      <c r="F200" s="6"/>
      <c r="G200" s="6"/>
      <c r="H200" s="6"/>
      <c r="I200" s="6"/>
      <c r="J200" s="6"/>
      <c r="K200" s="6"/>
      <c r="L200" s="6"/>
      <c r="M200" s="6"/>
      <c r="N200" s="6"/>
      <c r="O200" s="6"/>
      <c r="P200" s="6"/>
      <c r="Q200" s="6"/>
      <c r="R200" s="6"/>
      <c r="S200" s="6"/>
      <c r="T200" s="6"/>
      <c r="U200" s="6"/>
      <c r="V200" s="6"/>
      <c r="W200" s="6"/>
      <c r="X200" s="6"/>
      <c r="Y200" s="6"/>
      <c r="Z200" s="6"/>
    </row>
    <row r="201" ht="12.75" customHeight="1">
      <c r="A201" s="76"/>
      <c r="B201" s="6"/>
      <c r="C201" s="77"/>
      <c r="D201" s="6"/>
      <c r="E201" s="6"/>
      <c r="F201" s="6"/>
      <c r="G201" s="6"/>
      <c r="H201" s="6"/>
      <c r="I201" s="6"/>
      <c r="J201" s="6"/>
      <c r="K201" s="6"/>
      <c r="L201" s="6"/>
      <c r="M201" s="6"/>
      <c r="N201" s="6"/>
      <c r="O201" s="6"/>
      <c r="P201" s="6"/>
      <c r="Q201" s="6"/>
      <c r="R201" s="6"/>
      <c r="S201" s="6"/>
      <c r="T201" s="6"/>
      <c r="U201" s="6"/>
      <c r="V201" s="6"/>
      <c r="W201" s="6"/>
      <c r="X201" s="6"/>
      <c r="Y201" s="6"/>
      <c r="Z201" s="6"/>
    </row>
    <row r="202" ht="12.75" customHeight="1">
      <c r="A202" s="76"/>
      <c r="B202" s="6"/>
      <c r="C202" s="77"/>
      <c r="D202" s="6"/>
      <c r="E202" s="6"/>
      <c r="F202" s="6"/>
      <c r="G202" s="6"/>
      <c r="H202" s="6"/>
      <c r="I202" s="6"/>
      <c r="J202" s="6"/>
      <c r="K202" s="6"/>
      <c r="L202" s="6"/>
      <c r="M202" s="6"/>
      <c r="N202" s="6"/>
      <c r="O202" s="6"/>
      <c r="P202" s="6"/>
      <c r="Q202" s="6"/>
      <c r="R202" s="6"/>
      <c r="S202" s="6"/>
      <c r="T202" s="6"/>
      <c r="U202" s="6"/>
      <c r="V202" s="6"/>
      <c r="W202" s="6"/>
      <c r="X202" s="6"/>
      <c r="Y202" s="6"/>
      <c r="Z202" s="6"/>
    </row>
    <row r="203" ht="12.75" customHeight="1">
      <c r="A203" s="76"/>
      <c r="B203" s="6"/>
      <c r="C203" s="77"/>
      <c r="D203" s="6"/>
      <c r="E203" s="6"/>
      <c r="F203" s="6"/>
      <c r="G203" s="6"/>
      <c r="H203" s="6"/>
      <c r="I203" s="6"/>
      <c r="J203" s="6"/>
      <c r="K203" s="6"/>
      <c r="L203" s="6"/>
      <c r="M203" s="6"/>
      <c r="N203" s="6"/>
      <c r="O203" s="6"/>
      <c r="P203" s="6"/>
      <c r="Q203" s="6"/>
      <c r="R203" s="6"/>
      <c r="S203" s="6"/>
      <c r="T203" s="6"/>
      <c r="U203" s="6"/>
      <c r="V203" s="6"/>
      <c r="W203" s="6"/>
      <c r="X203" s="6"/>
      <c r="Y203" s="6"/>
      <c r="Z203" s="6"/>
    </row>
    <row r="204" ht="12.75" customHeight="1">
      <c r="A204" s="76"/>
      <c r="B204" s="6"/>
      <c r="C204" s="77"/>
      <c r="D204" s="6"/>
      <c r="E204" s="6"/>
      <c r="F204" s="6"/>
      <c r="G204" s="6"/>
      <c r="H204" s="6"/>
      <c r="I204" s="6"/>
      <c r="J204" s="6"/>
      <c r="K204" s="6"/>
      <c r="L204" s="6"/>
      <c r="M204" s="6"/>
      <c r="N204" s="6"/>
      <c r="O204" s="6"/>
      <c r="P204" s="6"/>
      <c r="Q204" s="6"/>
      <c r="R204" s="6"/>
      <c r="S204" s="6"/>
      <c r="T204" s="6"/>
      <c r="U204" s="6"/>
      <c r="V204" s="6"/>
      <c r="W204" s="6"/>
      <c r="X204" s="6"/>
      <c r="Y204" s="6"/>
      <c r="Z204" s="6"/>
    </row>
    <row r="205" ht="12.75" customHeight="1">
      <c r="A205" s="76"/>
      <c r="B205" s="6"/>
      <c r="C205" s="77"/>
      <c r="D205" s="6"/>
      <c r="E205" s="6"/>
      <c r="F205" s="6"/>
      <c r="G205" s="6"/>
      <c r="H205" s="6"/>
      <c r="I205" s="6"/>
      <c r="J205" s="6"/>
      <c r="K205" s="6"/>
      <c r="L205" s="6"/>
      <c r="M205" s="6"/>
      <c r="N205" s="6"/>
      <c r="O205" s="6"/>
      <c r="P205" s="6"/>
      <c r="Q205" s="6"/>
      <c r="R205" s="6"/>
      <c r="S205" s="6"/>
      <c r="T205" s="6"/>
      <c r="U205" s="6"/>
      <c r="V205" s="6"/>
      <c r="W205" s="6"/>
      <c r="X205" s="6"/>
      <c r="Y205" s="6"/>
      <c r="Z205" s="6"/>
    </row>
    <row r="206" ht="12.75" customHeight="1">
      <c r="A206" s="76"/>
      <c r="B206" s="6"/>
      <c r="C206" s="77"/>
      <c r="D206" s="6"/>
      <c r="E206" s="6"/>
      <c r="F206" s="6"/>
      <c r="G206" s="6"/>
      <c r="H206" s="6"/>
      <c r="I206" s="6"/>
      <c r="J206" s="6"/>
      <c r="K206" s="6"/>
      <c r="L206" s="6"/>
      <c r="M206" s="6"/>
      <c r="N206" s="6"/>
      <c r="O206" s="6"/>
      <c r="P206" s="6"/>
      <c r="Q206" s="6"/>
      <c r="R206" s="6"/>
      <c r="S206" s="6"/>
      <c r="T206" s="6"/>
      <c r="U206" s="6"/>
      <c r="V206" s="6"/>
      <c r="W206" s="6"/>
      <c r="X206" s="6"/>
      <c r="Y206" s="6"/>
      <c r="Z206" s="6"/>
    </row>
    <row r="207" ht="12.75" customHeight="1">
      <c r="A207" s="76"/>
      <c r="B207" s="6"/>
      <c r="C207" s="77"/>
      <c r="D207" s="6"/>
      <c r="E207" s="6"/>
      <c r="F207" s="6"/>
      <c r="G207" s="6"/>
      <c r="H207" s="6"/>
      <c r="I207" s="6"/>
      <c r="J207" s="6"/>
      <c r="K207" s="6"/>
      <c r="L207" s="6"/>
      <c r="M207" s="6"/>
      <c r="N207" s="6"/>
      <c r="O207" s="6"/>
      <c r="P207" s="6"/>
      <c r="Q207" s="6"/>
      <c r="R207" s="6"/>
      <c r="S207" s="6"/>
      <c r="T207" s="6"/>
      <c r="U207" s="6"/>
      <c r="V207" s="6"/>
      <c r="W207" s="6"/>
      <c r="X207" s="6"/>
      <c r="Y207" s="6"/>
      <c r="Z207" s="6"/>
    </row>
    <row r="208" ht="12.75" customHeight="1">
      <c r="A208" s="76"/>
      <c r="B208" s="6"/>
      <c r="C208" s="77"/>
      <c r="D208" s="6"/>
      <c r="E208" s="6"/>
      <c r="F208" s="6"/>
      <c r="G208" s="6"/>
      <c r="H208" s="6"/>
      <c r="I208" s="6"/>
      <c r="J208" s="6"/>
      <c r="K208" s="6"/>
      <c r="L208" s="6"/>
      <c r="M208" s="6"/>
      <c r="N208" s="6"/>
      <c r="O208" s="6"/>
      <c r="P208" s="6"/>
      <c r="Q208" s="6"/>
      <c r="R208" s="6"/>
      <c r="S208" s="6"/>
      <c r="T208" s="6"/>
      <c r="U208" s="6"/>
      <c r="V208" s="6"/>
      <c r="W208" s="6"/>
      <c r="X208" s="6"/>
      <c r="Y208" s="6"/>
      <c r="Z208" s="6"/>
    </row>
    <row r="209" ht="12.75" customHeight="1">
      <c r="A209" s="76"/>
      <c r="B209" s="6"/>
      <c r="C209" s="77"/>
      <c r="D209" s="6"/>
      <c r="E209" s="6"/>
      <c r="F209" s="6"/>
      <c r="G209" s="6"/>
      <c r="H209" s="6"/>
      <c r="I209" s="6"/>
      <c r="J209" s="6"/>
      <c r="K209" s="6"/>
      <c r="L209" s="6"/>
      <c r="M209" s="6"/>
      <c r="N209" s="6"/>
      <c r="O209" s="6"/>
      <c r="P209" s="6"/>
      <c r="Q209" s="6"/>
      <c r="R209" s="6"/>
      <c r="S209" s="6"/>
      <c r="T209" s="6"/>
      <c r="U209" s="6"/>
      <c r="V209" s="6"/>
      <c r="W209" s="6"/>
      <c r="X209" s="6"/>
      <c r="Y209" s="6"/>
      <c r="Z209" s="6"/>
    </row>
    <row r="210" ht="12.75" customHeight="1">
      <c r="A210" s="76"/>
      <c r="B210" s="6"/>
      <c r="C210" s="77"/>
      <c r="D210" s="6"/>
      <c r="E210" s="6"/>
      <c r="F210" s="6"/>
      <c r="G210" s="6"/>
      <c r="H210" s="6"/>
      <c r="I210" s="6"/>
      <c r="J210" s="6"/>
      <c r="K210" s="6"/>
      <c r="L210" s="6"/>
      <c r="M210" s="6"/>
      <c r="N210" s="6"/>
      <c r="O210" s="6"/>
      <c r="P210" s="6"/>
      <c r="Q210" s="6"/>
      <c r="R210" s="6"/>
      <c r="S210" s="6"/>
      <c r="T210" s="6"/>
      <c r="U210" s="6"/>
      <c r="V210" s="6"/>
      <c r="W210" s="6"/>
      <c r="X210" s="6"/>
      <c r="Y210" s="6"/>
      <c r="Z210" s="6"/>
    </row>
    <row r="211" ht="12.75" customHeight="1">
      <c r="A211" s="76"/>
      <c r="B211" s="6"/>
      <c r="C211" s="77"/>
      <c r="D211" s="6"/>
      <c r="E211" s="6"/>
      <c r="F211" s="6"/>
      <c r="G211" s="6"/>
      <c r="H211" s="6"/>
      <c r="I211" s="6"/>
      <c r="J211" s="6"/>
      <c r="K211" s="6"/>
      <c r="L211" s="6"/>
      <c r="M211" s="6"/>
      <c r="N211" s="6"/>
      <c r="O211" s="6"/>
      <c r="P211" s="6"/>
      <c r="Q211" s="6"/>
      <c r="R211" s="6"/>
      <c r="S211" s="6"/>
      <c r="T211" s="6"/>
      <c r="U211" s="6"/>
      <c r="V211" s="6"/>
      <c r="W211" s="6"/>
      <c r="X211" s="6"/>
      <c r="Y211" s="6"/>
      <c r="Z211" s="6"/>
    </row>
    <row r="212" ht="12.75" customHeight="1">
      <c r="A212" s="76"/>
      <c r="B212" s="6"/>
      <c r="C212" s="77"/>
      <c r="D212" s="6"/>
      <c r="E212" s="6"/>
      <c r="F212" s="6"/>
      <c r="G212" s="6"/>
      <c r="H212" s="6"/>
      <c r="I212" s="6"/>
      <c r="J212" s="6"/>
      <c r="K212" s="6"/>
      <c r="L212" s="6"/>
      <c r="M212" s="6"/>
      <c r="N212" s="6"/>
      <c r="O212" s="6"/>
      <c r="P212" s="6"/>
      <c r="Q212" s="6"/>
      <c r="R212" s="6"/>
      <c r="S212" s="6"/>
      <c r="T212" s="6"/>
      <c r="U212" s="6"/>
      <c r="V212" s="6"/>
      <c r="W212" s="6"/>
      <c r="X212" s="6"/>
      <c r="Y212" s="6"/>
      <c r="Z212" s="6"/>
    </row>
    <row r="213" ht="12.75" customHeight="1">
      <c r="A213" s="76"/>
      <c r="B213" s="6"/>
      <c r="C213" s="77"/>
      <c r="D213" s="6"/>
      <c r="E213" s="6"/>
      <c r="F213" s="6"/>
      <c r="G213" s="6"/>
      <c r="H213" s="6"/>
      <c r="I213" s="6"/>
      <c r="J213" s="6"/>
      <c r="K213" s="6"/>
      <c r="L213" s="6"/>
      <c r="M213" s="6"/>
      <c r="N213" s="6"/>
      <c r="O213" s="6"/>
      <c r="P213" s="6"/>
      <c r="Q213" s="6"/>
      <c r="R213" s="6"/>
      <c r="S213" s="6"/>
      <c r="T213" s="6"/>
      <c r="U213" s="6"/>
      <c r="V213" s="6"/>
      <c r="W213" s="6"/>
      <c r="X213" s="6"/>
      <c r="Y213" s="6"/>
      <c r="Z213" s="6"/>
    </row>
    <row r="214" ht="12.75" customHeight="1">
      <c r="A214" s="76"/>
      <c r="B214" s="6"/>
      <c r="C214" s="77"/>
      <c r="D214" s="6"/>
      <c r="E214" s="6"/>
      <c r="F214" s="6"/>
      <c r="G214" s="6"/>
      <c r="H214" s="6"/>
      <c r="I214" s="6"/>
      <c r="J214" s="6"/>
      <c r="K214" s="6"/>
      <c r="L214" s="6"/>
      <c r="M214" s="6"/>
      <c r="N214" s="6"/>
      <c r="O214" s="6"/>
      <c r="P214" s="6"/>
      <c r="Q214" s="6"/>
      <c r="R214" s="6"/>
      <c r="S214" s="6"/>
      <c r="T214" s="6"/>
      <c r="U214" s="6"/>
      <c r="V214" s="6"/>
      <c r="W214" s="6"/>
      <c r="X214" s="6"/>
      <c r="Y214" s="6"/>
      <c r="Z214" s="6"/>
    </row>
    <row r="215" ht="12.75" customHeight="1">
      <c r="A215" s="76"/>
      <c r="B215" s="6"/>
      <c r="C215" s="77"/>
      <c r="D215" s="6"/>
      <c r="E215" s="6"/>
      <c r="F215" s="6"/>
      <c r="G215" s="6"/>
      <c r="H215" s="6"/>
      <c r="I215" s="6"/>
      <c r="J215" s="6"/>
      <c r="K215" s="6"/>
      <c r="L215" s="6"/>
      <c r="M215" s="6"/>
      <c r="N215" s="6"/>
      <c r="O215" s="6"/>
      <c r="P215" s="6"/>
      <c r="Q215" s="6"/>
      <c r="R215" s="6"/>
      <c r="S215" s="6"/>
      <c r="T215" s="6"/>
      <c r="U215" s="6"/>
      <c r="V215" s="6"/>
      <c r="W215" s="6"/>
      <c r="X215" s="6"/>
      <c r="Y215" s="6"/>
      <c r="Z215" s="6"/>
    </row>
    <row r="216" ht="12.75" customHeight="1">
      <c r="A216" s="76"/>
      <c r="B216" s="6"/>
      <c r="C216" s="77"/>
      <c r="D216" s="6"/>
      <c r="E216" s="6"/>
      <c r="F216" s="6"/>
      <c r="G216" s="6"/>
      <c r="H216" s="6"/>
      <c r="I216" s="6"/>
      <c r="J216" s="6"/>
      <c r="K216" s="6"/>
      <c r="L216" s="6"/>
      <c r="M216" s="6"/>
      <c r="N216" s="6"/>
      <c r="O216" s="6"/>
      <c r="P216" s="6"/>
      <c r="Q216" s="6"/>
      <c r="R216" s="6"/>
      <c r="S216" s="6"/>
      <c r="T216" s="6"/>
      <c r="U216" s="6"/>
      <c r="V216" s="6"/>
      <c r="W216" s="6"/>
      <c r="X216" s="6"/>
      <c r="Y216" s="6"/>
      <c r="Z216" s="6"/>
    </row>
    <row r="217" ht="12.75" customHeight="1">
      <c r="A217" s="76"/>
      <c r="B217" s="6"/>
      <c r="C217" s="77"/>
      <c r="D217" s="6"/>
      <c r="E217" s="6"/>
      <c r="F217" s="6"/>
      <c r="G217" s="6"/>
      <c r="H217" s="6"/>
      <c r="I217" s="6"/>
      <c r="J217" s="6"/>
      <c r="K217" s="6"/>
      <c r="L217" s="6"/>
      <c r="M217" s="6"/>
      <c r="N217" s="6"/>
      <c r="O217" s="6"/>
      <c r="P217" s="6"/>
      <c r="Q217" s="6"/>
      <c r="R217" s="6"/>
      <c r="S217" s="6"/>
      <c r="T217" s="6"/>
      <c r="U217" s="6"/>
      <c r="V217" s="6"/>
      <c r="W217" s="6"/>
      <c r="X217" s="6"/>
      <c r="Y217" s="6"/>
      <c r="Z217" s="6"/>
    </row>
    <row r="218" ht="12.75" customHeight="1">
      <c r="A218" s="76"/>
      <c r="B218" s="6"/>
      <c r="C218" s="77"/>
      <c r="D218" s="6"/>
      <c r="E218" s="6"/>
      <c r="F218" s="6"/>
      <c r="G218" s="6"/>
      <c r="H218" s="6"/>
      <c r="I218" s="6"/>
      <c r="J218" s="6"/>
      <c r="K218" s="6"/>
      <c r="L218" s="6"/>
      <c r="M218" s="6"/>
      <c r="N218" s="6"/>
      <c r="O218" s="6"/>
      <c r="P218" s="6"/>
      <c r="Q218" s="6"/>
      <c r="R218" s="6"/>
      <c r="S218" s="6"/>
      <c r="T218" s="6"/>
      <c r="U218" s="6"/>
      <c r="V218" s="6"/>
      <c r="W218" s="6"/>
      <c r="X218" s="6"/>
      <c r="Y218" s="6"/>
      <c r="Z218" s="6"/>
    </row>
    <row r="219" ht="12.75" customHeight="1">
      <c r="A219" s="76"/>
      <c r="B219" s="6"/>
      <c r="C219" s="77"/>
      <c r="D219" s="6"/>
      <c r="E219" s="6"/>
      <c r="F219" s="6"/>
      <c r="G219" s="6"/>
      <c r="H219" s="6"/>
      <c r="I219" s="6"/>
      <c r="J219" s="6"/>
      <c r="K219" s="6"/>
      <c r="L219" s="6"/>
      <c r="M219" s="6"/>
      <c r="N219" s="6"/>
      <c r="O219" s="6"/>
      <c r="P219" s="6"/>
      <c r="Q219" s="6"/>
      <c r="R219" s="6"/>
      <c r="S219" s="6"/>
      <c r="T219" s="6"/>
      <c r="U219" s="6"/>
      <c r="V219" s="6"/>
      <c r="W219" s="6"/>
      <c r="X219" s="6"/>
      <c r="Y219" s="6"/>
      <c r="Z219" s="6"/>
    </row>
    <row r="220" ht="12.75" customHeight="1">
      <c r="A220" s="76"/>
      <c r="B220" s="6"/>
      <c r="C220" s="77"/>
      <c r="D220" s="6"/>
      <c r="E220" s="6"/>
      <c r="F220" s="6"/>
      <c r="G220" s="6"/>
      <c r="H220" s="6"/>
      <c r="I220" s="6"/>
      <c r="J220" s="6"/>
      <c r="K220" s="6"/>
      <c r="L220" s="6"/>
      <c r="M220" s="6"/>
      <c r="N220" s="6"/>
      <c r="O220" s="6"/>
      <c r="P220" s="6"/>
      <c r="Q220" s="6"/>
      <c r="R220" s="6"/>
      <c r="S220" s="6"/>
      <c r="T220" s="6"/>
      <c r="U220" s="6"/>
      <c r="V220" s="6"/>
      <c r="W220" s="6"/>
      <c r="X220" s="6"/>
      <c r="Y220" s="6"/>
      <c r="Z220" s="6"/>
    </row>
    <row r="221" ht="12.75" customHeight="1">
      <c r="A221" s="76"/>
      <c r="B221" s="6"/>
      <c r="C221" s="77"/>
      <c r="D221" s="6"/>
      <c r="E221" s="6"/>
      <c r="F221" s="6"/>
      <c r="G221" s="6"/>
      <c r="H221" s="6"/>
      <c r="I221" s="6"/>
      <c r="J221" s="6"/>
      <c r="K221" s="6"/>
      <c r="L221" s="6"/>
      <c r="M221" s="6"/>
      <c r="N221" s="6"/>
      <c r="O221" s="6"/>
      <c r="P221" s="6"/>
      <c r="Q221" s="6"/>
      <c r="R221" s="6"/>
      <c r="S221" s="6"/>
      <c r="T221" s="6"/>
      <c r="U221" s="6"/>
      <c r="V221" s="6"/>
      <c r="W221" s="6"/>
      <c r="X221" s="6"/>
      <c r="Y221" s="6"/>
      <c r="Z221" s="6"/>
    </row>
    <row r="222" ht="12.75" customHeight="1">
      <c r="A222" s="76"/>
      <c r="B222" s="6"/>
      <c r="C222" s="77"/>
      <c r="D222" s="6"/>
      <c r="E222" s="6"/>
      <c r="F222" s="6"/>
      <c r="G222" s="6"/>
      <c r="H222" s="6"/>
      <c r="I222" s="6"/>
      <c r="J222" s="6"/>
      <c r="K222" s="6"/>
      <c r="L222" s="6"/>
      <c r="M222" s="6"/>
      <c r="N222" s="6"/>
      <c r="O222" s="6"/>
      <c r="P222" s="6"/>
      <c r="Q222" s="6"/>
      <c r="R222" s="6"/>
      <c r="S222" s="6"/>
      <c r="T222" s="6"/>
      <c r="U222" s="6"/>
      <c r="V222" s="6"/>
      <c r="W222" s="6"/>
      <c r="X222" s="6"/>
      <c r="Y222" s="6"/>
      <c r="Z222" s="6"/>
    </row>
    <row r="223" ht="12.75" customHeight="1">
      <c r="A223" s="76"/>
      <c r="B223" s="6"/>
      <c r="C223" s="77"/>
      <c r="D223" s="6"/>
      <c r="E223" s="6"/>
      <c r="F223" s="6"/>
      <c r="G223" s="6"/>
      <c r="H223" s="6"/>
      <c r="I223" s="6"/>
      <c r="J223" s="6"/>
      <c r="K223" s="6"/>
      <c r="L223" s="6"/>
      <c r="M223" s="6"/>
      <c r="N223" s="6"/>
      <c r="O223" s="6"/>
      <c r="P223" s="6"/>
      <c r="Q223" s="6"/>
      <c r="R223" s="6"/>
      <c r="S223" s="6"/>
      <c r="T223" s="6"/>
      <c r="U223" s="6"/>
      <c r="V223" s="6"/>
      <c r="W223" s="6"/>
      <c r="X223" s="6"/>
      <c r="Y223" s="6"/>
      <c r="Z223" s="6"/>
    </row>
    <row r="224" ht="12.75" customHeight="1">
      <c r="A224" s="76"/>
      <c r="B224" s="6"/>
      <c r="C224" s="77"/>
      <c r="D224" s="6"/>
      <c r="E224" s="6"/>
      <c r="F224" s="6"/>
      <c r="G224" s="6"/>
      <c r="H224" s="6"/>
      <c r="I224" s="6"/>
      <c r="J224" s="6"/>
      <c r="K224" s="6"/>
      <c r="L224" s="6"/>
      <c r="M224" s="6"/>
      <c r="N224" s="6"/>
      <c r="O224" s="6"/>
      <c r="P224" s="6"/>
      <c r="Q224" s="6"/>
      <c r="R224" s="6"/>
      <c r="S224" s="6"/>
      <c r="T224" s="6"/>
      <c r="U224" s="6"/>
      <c r="V224" s="6"/>
      <c r="W224" s="6"/>
      <c r="X224" s="6"/>
      <c r="Y224" s="6"/>
      <c r="Z224" s="6"/>
    </row>
    <row r="225" ht="12.75" customHeight="1">
      <c r="A225" s="76"/>
      <c r="B225" s="6"/>
      <c r="C225" s="77"/>
      <c r="D225" s="6"/>
      <c r="E225" s="6"/>
      <c r="F225" s="6"/>
      <c r="G225" s="6"/>
      <c r="H225" s="6"/>
      <c r="I225" s="6"/>
      <c r="J225" s="6"/>
      <c r="K225" s="6"/>
      <c r="L225" s="6"/>
      <c r="M225" s="6"/>
      <c r="N225" s="6"/>
      <c r="O225" s="6"/>
      <c r="P225" s="6"/>
      <c r="Q225" s="6"/>
      <c r="R225" s="6"/>
      <c r="S225" s="6"/>
      <c r="T225" s="6"/>
      <c r="U225" s="6"/>
      <c r="V225" s="6"/>
      <c r="W225" s="6"/>
      <c r="X225" s="6"/>
      <c r="Y225" s="6"/>
      <c r="Z225" s="6"/>
    </row>
    <row r="226" ht="12.75" customHeight="1">
      <c r="A226" s="76"/>
      <c r="B226" s="6"/>
      <c r="C226" s="77"/>
      <c r="D226" s="6"/>
      <c r="E226" s="6"/>
      <c r="F226" s="6"/>
      <c r="G226" s="6"/>
      <c r="H226" s="6"/>
      <c r="I226" s="6"/>
      <c r="J226" s="6"/>
      <c r="K226" s="6"/>
      <c r="L226" s="6"/>
      <c r="M226" s="6"/>
      <c r="N226" s="6"/>
      <c r="O226" s="6"/>
      <c r="P226" s="6"/>
      <c r="Q226" s="6"/>
      <c r="R226" s="6"/>
      <c r="S226" s="6"/>
      <c r="T226" s="6"/>
      <c r="U226" s="6"/>
      <c r="V226" s="6"/>
      <c r="W226" s="6"/>
      <c r="X226" s="6"/>
      <c r="Y226" s="6"/>
      <c r="Z226" s="6"/>
    </row>
    <row r="227" ht="12.75" customHeight="1">
      <c r="A227" s="76"/>
      <c r="B227" s="6"/>
      <c r="C227" s="77"/>
      <c r="D227" s="6"/>
      <c r="E227" s="6"/>
      <c r="F227" s="6"/>
      <c r="G227" s="6"/>
      <c r="H227" s="6"/>
      <c r="I227" s="6"/>
      <c r="J227" s="6"/>
      <c r="K227" s="6"/>
      <c r="L227" s="6"/>
      <c r="M227" s="6"/>
      <c r="N227" s="6"/>
      <c r="O227" s="6"/>
      <c r="P227" s="6"/>
      <c r="Q227" s="6"/>
      <c r="R227" s="6"/>
      <c r="S227" s="6"/>
      <c r="T227" s="6"/>
      <c r="U227" s="6"/>
      <c r="V227" s="6"/>
      <c r="W227" s="6"/>
      <c r="X227" s="6"/>
      <c r="Y227" s="6"/>
      <c r="Z227" s="6"/>
    </row>
    <row r="228" ht="12.75" customHeight="1">
      <c r="A228" s="76"/>
      <c r="B228" s="6"/>
      <c r="C228" s="77"/>
      <c r="D228" s="6"/>
      <c r="E228" s="6"/>
      <c r="F228" s="6"/>
      <c r="G228" s="6"/>
      <c r="H228" s="6"/>
      <c r="I228" s="6"/>
      <c r="J228" s="6"/>
      <c r="K228" s="6"/>
      <c r="L228" s="6"/>
      <c r="M228" s="6"/>
      <c r="N228" s="6"/>
      <c r="O228" s="6"/>
      <c r="P228" s="6"/>
      <c r="Q228" s="6"/>
      <c r="R228" s="6"/>
      <c r="S228" s="6"/>
      <c r="T228" s="6"/>
      <c r="U228" s="6"/>
      <c r="V228" s="6"/>
      <c r="W228" s="6"/>
      <c r="X228" s="6"/>
      <c r="Y228" s="6"/>
      <c r="Z228" s="6"/>
    </row>
    <row r="229" ht="12.75" customHeight="1">
      <c r="A229" s="76"/>
      <c r="B229" s="6"/>
      <c r="C229" s="77"/>
      <c r="D229" s="6"/>
      <c r="E229" s="6"/>
      <c r="F229" s="6"/>
      <c r="G229" s="6"/>
      <c r="H229" s="6"/>
      <c r="I229" s="6"/>
      <c r="J229" s="6"/>
      <c r="K229" s="6"/>
      <c r="L229" s="6"/>
      <c r="M229" s="6"/>
      <c r="N229" s="6"/>
      <c r="O229" s="6"/>
      <c r="P229" s="6"/>
      <c r="Q229" s="6"/>
      <c r="R229" s="6"/>
      <c r="S229" s="6"/>
      <c r="T229" s="6"/>
      <c r="U229" s="6"/>
      <c r="V229" s="6"/>
      <c r="W229" s="6"/>
      <c r="X229" s="6"/>
      <c r="Y229" s="6"/>
      <c r="Z229" s="6"/>
    </row>
    <row r="230" ht="12.75" customHeight="1">
      <c r="A230" s="76"/>
      <c r="B230" s="6"/>
      <c r="C230" s="77"/>
      <c r="D230" s="6"/>
      <c r="E230" s="6"/>
      <c r="F230" s="6"/>
      <c r="G230" s="6"/>
      <c r="H230" s="6"/>
      <c r="I230" s="6"/>
      <c r="J230" s="6"/>
      <c r="K230" s="6"/>
      <c r="L230" s="6"/>
      <c r="M230" s="6"/>
      <c r="N230" s="6"/>
      <c r="O230" s="6"/>
      <c r="P230" s="6"/>
      <c r="Q230" s="6"/>
      <c r="R230" s="6"/>
      <c r="S230" s="6"/>
      <c r="T230" s="6"/>
      <c r="U230" s="6"/>
      <c r="V230" s="6"/>
      <c r="W230" s="6"/>
      <c r="X230" s="6"/>
      <c r="Y230" s="6"/>
      <c r="Z230" s="6"/>
    </row>
    <row r="231" ht="12.75" customHeight="1">
      <c r="A231" s="76"/>
      <c r="B231" s="6"/>
      <c r="C231" s="77"/>
      <c r="D231" s="6"/>
      <c r="E231" s="6"/>
      <c r="F231" s="6"/>
      <c r="G231" s="6"/>
      <c r="H231" s="6"/>
      <c r="I231" s="6"/>
      <c r="J231" s="6"/>
      <c r="K231" s="6"/>
      <c r="L231" s="6"/>
      <c r="M231" s="6"/>
      <c r="N231" s="6"/>
      <c r="O231" s="6"/>
      <c r="P231" s="6"/>
      <c r="Q231" s="6"/>
      <c r="R231" s="6"/>
      <c r="S231" s="6"/>
      <c r="T231" s="6"/>
      <c r="U231" s="6"/>
      <c r="V231" s="6"/>
      <c r="W231" s="6"/>
      <c r="X231" s="6"/>
      <c r="Y231" s="6"/>
      <c r="Z231" s="6"/>
    </row>
    <row r="232" ht="12.75" customHeight="1">
      <c r="A232" s="76"/>
      <c r="B232" s="6"/>
      <c r="C232" s="77"/>
      <c r="D232" s="6"/>
      <c r="E232" s="6"/>
      <c r="F232" s="6"/>
      <c r="G232" s="6"/>
      <c r="H232" s="6"/>
      <c r="I232" s="6"/>
      <c r="J232" s="6"/>
      <c r="K232" s="6"/>
      <c r="L232" s="6"/>
      <c r="M232" s="6"/>
      <c r="N232" s="6"/>
      <c r="O232" s="6"/>
      <c r="P232" s="6"/>
      <c r="Q232" s="6"/>
      <c r="R232" s="6"/>
      <c r="S232" s="6"/>
      <c r="T232" s="6"/>
      <c r="U232" s="6"/>
      <c r="V232" s="6"/>
      <c r="W232" s="6"/>
      <c r="X232" s="6"/>
      <c r="Y232" s="6"/>
      <c r="Z232" s="6"/>
    </row>
    <row r="233" ht="12.75" customHeight="1">
      <c r="A233" s="76"/>
      <c r="B233" s="6"/>
      <c r="C233" s="77"/>
      <c r="D233" s="6"/>
      <c r="E233" s="6"/>
      <c r="F233" s="6"/>
      <c r="G233" s="6"/>
      <c r="H233" s="6"/>
      <c r="I233" s="6"/>
      <c r="J233" s="6"/>
      <c r="K233" s="6"/>
      <c r="L233" s="6"/>
      <c r="M233" s="6"/>
      <c r="N233" s="6"/>
      <c r="O233" s="6"/>
      <c r="P233" s="6"/>
      <c r="Q233" s="6"/>
      <c r="R233" s="6"/>
      <c r="S233" s="6"/>
      <c r="T233" s="6"/>
      <c r="U233" s="6"/>
      <c r="V233" s="6"/>
      <c r="W233" s="6"/>
      <c r="X233" s="6"/>
      <c r="Y233" s="6"/>
      <c r="Z233" s="6"/>
    </row>
    <row r="234" ht="12.75" customHeight="1">
      <c r="A234" s="76"/>
      <c r="B234" s="6"/>
      <c r="C234" s="77"/>
      <c r="D234" s="6"/>
      <c r="E234" s="6"/>
      <c r="F234" s="6"/>
      <c r="G234" s="6"/>
      <c r="H234" s="6"/>
      <c r="I234" s="6"/>
      <c r="J234" s="6"/>
      <c r="K234" s="6"/>
      <c r="L234" s="6"/>
      <c r="M234" s="6"/>
      <c r="N234" s="6"/>
      <c r="O234" s="6"/>
      <c r="P234" s="6"/>
      <c r="Q234" s="6"/>
      <c r="R234" s="6"/>
      <c r="S234" s="6"/>
      <c r="T234" s="6"/>
      <c r="U234" s="6"/>
      <c r="V234" s="6"/>
      <c r="W234" s="6"/>
      <c r="X234" s="6"/>
      <c r="Y234" s="6"/>
      <c r="Z234" s="6"/>
    </row>
    <row r="235" ht="12.75" customHeight="1">
      <c r="A235" s="76"/>
      <c r="B235" s="6"/>
      <c r="C235" s="77"/>
      <c r="D235" s="6"/>
      <c r="E235" s="6"/>
      <c r="F235" s="6"/>
      <c r="G235" s="6"/>
      <c r="H235" s="6"/>
      <c r="I235" s="6"/>
      <c r="J235" s="6"/>
      <c r="K235" s="6"/>
      <c r="L235" s="6"/>
      <c r="M235" s="6"/>
      <c r="N235" s="6"/>
      <c r="O235" s="6"/>
      <c r="P235" s="6"/>
      <c r="Q235" s="6"/>
      <c r="R235" s="6"/>
      <c r="S235" s="6"/>
      <c r="T235" s="6"/>
      <c r="U235" s="6"/>
      <c r="V235" s="6"/>
      <c r="W235" s="6"/>
      <c r="X235" s="6"/>
      <c r="Y235" s="6"/>
      <c r="Z235" s="6"/>
    </row>
    <row r="236" ht="12.75" customHeight="1">
      <c r="A236" s="76"/>
      <c r="B236" s="6"/>
      <c r="C236" s="77"/>
      <c r="D236" s="6"/>
      <c r="E236" s="6"/>
      <c r="F236" s="6"/>
      <c r="G236" s="6"/>
      <c r="H236" s="6"/>
      <c r="I236" s="6"/>
      <c r="J236" s="6"/>
      <c r="K236" s="6"/>
      <c r="L236" s="6"/>
      <c r="M236" s="6"/>
      <c r="N236" s="6"/>
      <c r="O236" s="6"/>
      <c r="P236" s="6"/>
      <c r="Q236" s="6"/>
      <c r="R236" s="6"/>
      <c r="S236" s="6"/>
      <c r="T236" s="6"/>
      <c r="U236" s="6"/>
      <c r="V236" s="6"/>
      <c r="W236" s="6"/>
      <c r="X236" s="6"/>
      <c r="Y236" s="6"/>
      <c r="Z236" s="6"/>
    </row>
    <row r="237" ht="12.75" customHeight="1">
      <c r="A237" s="76"/>
      <c r="B237" s="6"/>
      <c r="C237" s="77"/>
      <c r="D237" s="6"/>
      <c r="E237" s="6"/>
      <c r="F237" s="6"/>
      <c r="G237" s="6"/>
      <c r="H237" s="6"/>
      <c r="I237" s="6"/>
      <c r="J237" s="6"/>
      <c r="K237" s="6"/>
      <c r="L237" s="6"/>
      <c r="M237" s="6"/>
      <c r="N237" s="6"/>
      <c r="O237" s="6"/>
      <c r="P237" s="6"/>
      <c r="Q237" s="6"/>
      <c r="R237" s="6"/>
      <c r="S237" s="6"/>
      <c r="T237" s="6"/>
      <c r="U237" s="6"/>
      <c r="V237" s="6"/>
      <c r="W237" s="6"/>
      <c r="X237" s="6"/>
      <c r="Y237" s="6"/>
      <c r="Z237" s="6"/>
    </row>
    <row r="238" ht="12.75" customHeight="1">
      <c r="A238" s="76"/>
      <c r="B238" s="6"/>
      <c r="C238" s="77"/>
      <c r="D238" s="6"/>
      <c r="E238" s="6"/>
      <c r="F238" s="6"/>
      <c r="G238" s="6"/>
      <c r="H238" s="6"/>
      <c r="I238" s="6"/>
      <c r="J238" s="6"/>
      <c r="K238" s="6"/>
      <c r="L238" s="6"/>
      <c r="M238" s="6"/>
      <c r="N238" s="6"/>
      <c r="O238" s="6"/>
      <c r="P238" s="6"/>
      <c r="Q238" s="6"/>
      <c r="R238" s="6"/>
      <c r="S238" s="6"/>
      <c r="T238" s="6"/>
      <c r="U238" s="6"/>
      <c r="V238" s="6"/>
      <c r="W238" s="6"/>
      <c r="X238" s="6"/>
      <c r="Y238" s="6"/>
      <c r="Z238" s="6"/>
    </row>
    <row r="239" ht="12.75" customHeight="1">
      <c r="A239" s="76"/>
      <c r="B239" s="6"/>
      <c r="C239" s="77"/>
      <c r="D239" s="6"/>
      <c r="E239" s="6"/>
      <c r="F239" s="6"/>
      <c r="G239" s="6"/>
      <c r="H239" s="6"/>
      <c r="I239" s="6"/>
      <c r="J239" s="6"/>
      <c r="K239" s="6"/>
      <c r="L239" s="6"/>
      <c r="M239" s="6"/>
      <c r="N239" s="6"/>
      <c r="O239" s="6"/>
      <c r="P239" s="6"/>
      <c r="Q239" s="6"/>
      <c r="R239" s="6"/>
      <c r="S239" s="6"/>
      <c r="T239" s="6"/>
      <c r="U239" s="6"/>
      <c r="V239" s="6"/>
      <c r="W239" s="6"/>
      <c r="X239" s="6"/>
      <c r="Y239" s="6"/>
      <c r="Z239" s="6"/>
    </row>
    <row r="240" ht="12.75" customHeight="1">
      <c r="A240" s="76"/>
      <c r="B240" s="6"/>
      <c r="C240" s="77"/>
      <c r="D240" s="6"/>
      <c r="E240" s="6"/>
      <c r="F240" s="6"/>
      <c r="G240" s="6"/>
      <c r="H240" s="6"/>
      <c r="I240" s="6"/>
      <c r="J240" s="6"/>
      <c r="K240" s="6"/>
      <c r="L240" s="6"/>
      <c r="M240" s="6"/>
      <c r="N240" s="6"/>
      <c r="O240" s="6"/>
      <c r="P240" s="6"/>
      <c r="Q240" s="6"/>
      <c r="R240" s="6"/>
      <c r="S240" s="6"/>
      <c r="T240" s="6"/>
      <c r="U240" s="6"/>
      <c r="V240" s="6"/>
      <c r="W240" s="6"/>
      <c r="X240" s="6"/>
      <c r="Y240" s="6"/>
      <c r="Z240" s="6"/>
    </row>
    <row r="241" ht="12.75" customHeight="1">
      <c r="A241" s="76"/>
      <c r="B241" s="6"/>
      <c r="C241" s="77"/>
      <c r="D241" s="6"/>
      <c r="E241" s="6"/>
      <c r="F241" s="6"/>
      <c r="G241" s="6"/>
      <c r="H241" s="6"/>
      <c r="I241" s="6"/>
      <c r="J241" s="6"/>
      <c r="K241" s="6"/>
      <c r="L241" s="6"/>
      <c r="M241" s="6"/>
      <c r="N241" s="6"/>
      <c r="O241" s="6"/>
      <c r="P241" s="6"/>
      <c r="Q241" s="6"/>
      <c r="R241" s="6"/>
      <c r="S241" s="6"/>
      <c r="T241" s="6"/>
      <c r="U241" s="6"/>
      <c r="V241" s="6"/>
      <c r="W241" s="6"/>
      <c r="X241" s="6"/>
      <c r="Y241" s="6"/>
      <c r="Z241" s="6"/>
    </row>
    <row r="242" ht="12.75" customHeight="1">
      <c r="A242" s="76"/>
      <c r="B242" s="6"/>
      <c r="C242" s="77"/>
      <c r="D242" s="6"/>
      <c r="E242" s="6"/>
      <c r="F242" s="6"/>
      <c r="G242" s="6"/>
      <c r="H242" s="6"/>
      <c r="I242" s="6"/>
      <c r="J242" s="6"/>
      <c r="K242" s="6"/>
      <c r="L242" s="6"/>
      <c r="M242" s="6"/>
      <c r="N242" s="6"/>
      <c r="O242" s="6"/>
      <c r="P242" s="6"/>
      <c r="Q242" s="6"/>
      <c r="R242" s="6"/>
      <c r="S242" s="6"/>
      <c r="T242" s="6"/>
      <c r="U242" s="6"/>
      <c r="V242" s="6"/>
      <c r="W242" s="6"/>
      <c r="X242" s="6"/>
      <c r="Y242" s="6"/>
      <c r="Z242" s="6"/>
    </row>
    <row r="243" ht="12.75" customHeight="1">
      <c r="A243" s="76"/>
      <c r="B243" s="6"/>
      <c r="C243" s="77"/>
      <c r="D243" s="6"/>
      <c r="E243" s="6"/>
      <c r="F243" s="6"/>
      <c r="G243" s="6"/>
      <c r="H243" s="6"/>
      <c r="I243" s="6"/>
      <c r="J243" s="6"/>
      <c r="K243" s="6"/>
      <c r="L243" s="6"/>
      <c r="M243" s="6"/>
      <c r="N243" s="6"/>
      <c r="O243" s="6"/>
      <c r="P243" s="6"/>
      <c r="Q243" s="6"/>
      <c r="R243" s="6"/>
      <c r="S243" s="6"/>
      <c r="T243" s="6"/>
      <c r="U243" s="6"/>
      <c r="V243" s="6"/>
      <c r="W243" s="6"/>
      <c r="X243" s="6"/>
      <c r="Y243" s="6"/>
      <c r="Z243" s="6"/>
    </row>
    <row r="244" ht="12.75" customHeight="1">
      <c r="A244" s="76"/>
      <c r="B244" s="6"/>
      <c r="C244" s="77"/>
      <c r="D244" s="6"/>
      <c r="E244" s="6"/>
      <c r="F244" s="6"/>
      <c r="G244" s="6"/>
      <c r="H244" s="6"/>
      <c r="I244" s="6"/>
      <c r="J244" s="6"/>
      <c r="K244" s="6"/>
      <c r="L244" s="6"/>
      <c r="M244" s="6"/>
      <c r="N244" s="6"/>
      <c r="O244" s="6"/>
      <c r="P244" s="6"/>
      <c r="Q244" s="6"/>
      <c r="R244" s="6"/>
      <c r="S244" s="6"/>
      <c r="T244" s="6"/>
      <c r="U244" s="6"/>
      <c r="V244" s="6"/>
      <c r="W244" s="6"/>
      <c r="X244" s="6"/>
      <c r="Y244" s="6"/>
      <c r="Z244" s="6"/>
    </row>
    <row r="245" ht="12.75" customHeight="1">
      <c r="A245" s="76"/>
      <c r="B245" s="6"/>
      <c r="C245" s="77"/>
      <c r="D245" s="6"/>
      <c r="E245" s="6"/>
      <c r="F245" s="6"/>
      <c r="G245" s="6"/>
      <c r="H245" s="6"/>
      <c r="I245" s="6"/>
      <c r="J245" s="6"/>
      <c r="K245" s="6"/>
      <c r="L245" s="6"/>
      <c r="M245" s="6"/>
      <c r="N245" s="6"/>
      <c r="O245" s="6"/>
      <c r="P245" s="6"/>
      <c r="Q245" s="6"/>
      <c r="R245" s="6"/>
      <c r="S245" s="6"/>
      <c r="T245" s="6"/>
      <c r="U245" s="6"/>
      <c r="V245" s="6"/>
      <c r="W245" s="6"/>
      <c r="X245" s="6"/>
      <c r="Y245" s="6"/>
      <c r="Z245" s="6"/>
    </row>
    <row r="246" ht="12.75" customHeight="1">
      <c r="A246" s="76"/>
      <c r="B246" s="6"/>
      <c r="C246" s="77"/>
      <c r="D246" s="6"/>
      <c r="E246" s="6"/>
      <c r="F246" s="6"/>
      <c r="G246" s="6"/>
      <c r="H246" s="6"/>
      <c r="I246" s="6"/>
      <c r="J246" s="6"/>
      <c r="K246" s="6"/>
      <c r="L246" s="6"/>
      <c r="M246" s="6"/>
      <c r="N246" s="6"/>
      <c r="O246" s="6"/>
      <c r="P246" s="6"/>
      <c r="Q246" s="6"/>
      <c r="R246" s="6"/>
      <c r="S246" s="6"/>
      <c r="T246" s="6"/>
      <c r="U246" s="6"/>
      <c r="V246" s="6"/>
      <c r="W246" s="6"/>
      <c r="X246" s="6"/>
      <c r="Y246" s="6"/>
      <c r="Z246" s="6"/>
    </row>
    <row r="247" ht="12.75" customHeight="1">
      <c r="A247" s="76"/>
      <c r="B247" s="6"/>
      <c r="C247" s="77"/>
      <c r="D247" s="6"/>
      <c r="E247" s="6"/>
      <c r="F247" s="6"/>
      <c r="G247" s="6"/>
      <c r="H247" s="6"/>
      <c r="I247" s="6"/>
      <c r="J247" s="6"/>
      <c r="K247" s="6"/>
      <c r="L247" s="6"/>
      <c r="M247" s="6"/>
      <c r="N247" s="6"/>
      <c r="O247" s="6"/>
      <c r="P247" s="6"/>
      <c r="Q247" s="6"/>
      <c r="R247" s="6"/>
      <c r="S247" s="6"/>
      <c r="T247" s="6"/>
      <c r="U247" s="6"/>
      <c r="V247" s="6"/>
      <c r="W247" s="6"/>
      <c r="X247" s="6"/>
      <c r="Y247" s="6"/>
      <c r="Z247" s="6"/>
    </row>
    <row r="248" ht="12.75" customHeight="1">
      <c r="A248" s="76"/>
      <c r="B248" s="6"/>
      <c r="C248" s="77"/>
      <c r="D248" s="6"/>
      <c r="E248" s="6"/>
      <c r="F248" s="6"/>
      <c r="G248" s="6"/>
      <c r="H248" s="6"/>
      <c r="I248" s="6"/>
      <c r="J248" s="6"/>
      <c r="K248" s="6"/>
      <c r="L248" s="6"/>
      <c r="M248" s="6"/>
      <c r="N248" s="6"/>
      <c r="O248" s="6"/>
      <c r="P248" s="6"/>
      <c r="Q248" s="6"/>
      <c r="R248" s="6"/>
      <c r="S248" s="6"/>
      <c r="T248" s="6"/>
      <c r="U248" s="6"/>
      <c r="V248" s="6"/>
      <c r="W248" s="6"/>
      <c r="X248" s="6"/>
      <c r="Y248" s="6"/>
      <c r="Z248" s="6"/>
    </row>
    <row r="249" ht="12.75" customHeight="1">
      <c r="A249" s="76"/>
      <c r="B249" s="6"/>
      <c r="C249" s="77"/>
      <c r="D249" s="6"/>
      <c r="E249" s="6"/>
      <c r="F249" s="6"/>
      <c r="G249" s="6"/>
      <c r="H249" s="6"/>
      <c r="I249" s="6"/>
      <c r="J249" s="6"/>
      <c r="K249" s="6"/>
      <c r="L249" s="6"/>
      <c r="M249" s="6"/>
      <c r="N249" s="6"/>
      <c r="O249" s="6"/>
      <c r="P249" s="6"/>
      <c r="Q249" s="6"/>
      <c r="R249" s="6"/>
      <c r="S249" s="6"/>
      <c r="T249" s="6"/>
      <c r="U249" s="6"/>
      <c r="V249" s="6"/>
      <c r="W249" s="6"/>
      <c r="X249" s="6"/>
      <c r="Y249" s="6"/>
      <c r="Z249" s="6"/>
    </row>
    <row r="250" ht="12.75" customHeight="1">
      <c r="A250" s="76"/>
      <c r="B250" s="6"/>
      <c r="C250" s="77"/>
      <c r="D250" s="6"/>
      <c r="E250" s="6"/>
      <c r="F250" s="6"/>
      <c r="G250" s="6"/>
      <c r="H250" s="6"/>
      <c r="I250" s="6"/>
      <c r="J250" s="6"/>
      <c r="K250" s="6"/>
      <c r="L250" s="6"/>
      <c r="M250" s="6"/>
      <c r="N250" s="6"/>
      <c r="O250" s="6"/>
      <c r="P250" s="6"/>
      <c r="Q250" s="6"/>
      <c r="R250" s="6"/>
      <c r="S250" s="6"/>
      <c r="T250" s="6"/>
      <c r="U250" s="6"/>
      <c r="V250" s="6"/>
      <c r="W250" s="6"/>
      <c r="X250" s="6"/>
      <c r="Y250" s="6"/>
      <c r="Z250" s="6"/>
    </row>
    <row r="251" ht="12.75" customHeight="1">
      <c r="A251" s="76"/>
      <c r="B251" s="6"/>
      <c r="C251" s="77"/>
      <c r="D251" s="6"/>
      <c r="E251" s="6"/>
      <c r="F251" s="6"/>
      <c r="G251" s="6"/>
      <c r="H251" s="6"/>
      <c r="I251" s="6"/>
      <c r="J251" s="6"/>
      <c r="K251" s="6"/>
      <c r="L251" s="6"/>
      <c r="M251" s="6"/>
      <c r="N251" s="6"/>
      <c r="O251" s="6"/>
      <c r="P251" s="6"/>
      <c r="Q251" s="6"/>
      <c r="R251" s="6"/>
      <c r="S251" s="6"/>
      <c r="T251" s="6"/>
      <c r="U251" s="6"/>
      <c r="V251" s="6"/>
      <c r="W251" s="6"/>
      <c r="X251" s="6"/>
      <c r="Y251" s="6"/>
      <c r="Z251" s="6"/>
    </row>
    <row r="252" ht="12.75" customHeight="1">
      <c r="A252" s="76"/>
      <c r="B252" s="6"/>
      <c r="C252" s="77"/>
      <c r="D252" s="6"/>
      <c r="E252" s="6"/>
      <c r="F252" s="6"/>
      <c r="G252" s="6"/>
      <c r="H252" s="6"/>
      <c r="I252" s="6"/>
      <c r="J252" s="6"/>
      <c r="K252" s="6"/>
      <c r="L252" s="6"/>
      <c r="M252" s="6"/>
      <c r="N252" s="6"/>
      <c r="O252" s="6"/>
      <c r="P252" s="6"/>
      <c r="Q252" s="6"/>
      <c r="R252" s="6"/>
      <c r="S252" s="6"/>
      <c r="T252" s="6"/>
      <c r="U252" s="6"/>
      <c r="V252" s="6"/>
      <c r="W252" s="6"/>
      <c r="X252" s="6"/>
      <c r="Y252" s="6"/>
      <c r="Z252" s="6"/>
    </row>
    <row r="253" ht="12.75" customHeight="1">
      <c r="A253" s="76"/>
      <c r="B253" s="6"/>
      <c r="C253" s="77"/>
      <c r="D253" s="6"/>
      <c r="E253" s="6"/>
      <c r="F253" s="6"/>
      <c r="G253" s="6"/>
      <c r="H253" s="6"/>
      <c r="I253" s="6"/>
      <c r="J253" s="6"/>
      <c r="K253" s="6"/>
      <c r="L253" s="6"/>
      <c r="M253" s="6"/>
      <c r="N253" s="6"/>
      <c r="O253" s="6"/>
      <c r="P253" s="6"/>
      <c r="Q253" s="6"/>
      <c r="R253" s="6"/>
      <c r="S253" s="6"/>
      <c r="T253" s="6"/>
      <c r="U253" s="6"/>
      <c r="V253" s="6"/>
      <c r="W253" s="6"/>
      <c r="X253" s="6"/>
      <c r="Y253" s="6"/>
      <c r="Z253" s="6"/>
    </row>
    <row r="254" ht="12.75" customHeight="1">
      <c r="A254" s="76"/>
      <c r="B254" s="6"/>
      <c r="C254" s="77"/>
      <c r="D254" s="6"/>
      <c r="E254" s="6"/>
      <c r="F254" s="6"/>
      <c r="G254" s="6"/>
      <c r="H254" s="6"/>
      <c r="I254" s="6"/>
      <c r="J254" s="6"/>
      <c r="K254" s="6"/>
      <c r="L254" s="6"/>
      <c r="M254" s="6"/>
      <c r="N254" s="6"/>
      <c r="O254" s="6"/>
      <c r="P254" s="6"/>
      <c r="Q254" s="6"/>
      <c r="R254" s="6"/>
      <c r="S254" s="6"/>
      <c r="T254" s="6"/>
      <c r="U254" s="6"/>
      <c r="V254" s="6"/>
      <c r="W254" s="6"/>
      <c r="X254" s="6"/>
      <c r="Y254" s="6"/>
      <c r="Z254" s="6"/>
    </row>
    <row r="255" ht="12.75" customHeight="1">
      <c r="A255" s="76"/>
      <c r="B255" s="6"/>
      <c r="C255" s="77"/>
      <c r="D255" s="6"/>
      <c r="E255" s="6"/>
      <c r="F255" s="6"/>
      <c r="G255" s="6"/>
      <c r="H255" s="6"/>
      <c r="I255" s="6"/>
      <c r="J255" s="6"/>
      <c r="K255" s="6"/>
      <c r="L255" s="6"/>
      <c r="M255" s="6"/>
      <c r="N255" s="6"/>
      <c r="O255" s="6"/>
      <c r="P255" s="6"/>
      <c r="Q255" s="6"/>
      <c r="R255" s="6"/>
      <c r="S255" s="6"/>
      <c r="T255" s="6"/>
      <c r="U255" s="6"/>
      <c r="V255" s="6"/>
      <c r="W255" s="6"/>
      <c r="X255" s="6"/>
      <c r="Y255" s="6"/>
      <c r="Z255" s="6"/>
    </row>
    <row r="256" ht="12.75" customHeight="1">
      <c r="A256" s="76"/>
      <c r="B256" s="6"/>
      <c r="C256" s="77"/>
      <c r="D256" s="6"/>
      <c r="E256" s="6"/>
      <c r="F256" s="6"/>
      <c r="G256" s="6"/>
      <c r="H256" s="6"/>
      <c r="I256" s="6"/>
      <c r="J256" s="6"/>
      <c r="K256" s="6"/>
      <c r="L256" s="6"/>
      <c r="M256" s="6"/>
      <c r="N256" s="6"/>
      <c r="O256" s="6"/>
      <c r="P256" s="6"/>
      <c r="Q256" s="6"/>
      <c r="R256" s="6"/>
      <c r="S256" s="6"/>
      <c r="T256" s="6"/>
      <c r="U256" s="6"/>
      <c r="V256" s="6"/>
      <c r="W256" s="6"/>
      <c r="X256" s="6"/>
      <c r="Y256" s="6"/>
      <c r="Z256" s="6"/>
    </row>
    <row r="257" ht="12.75" customHeight="1">
      <c r="A257" s="76"/>
      <c r="B257" s="6"/>
      <c r="C257" s="77"/>
      <c r="D257" s="6"/>
      <c r="E257" s="6"/>
      <c r="F257" s="6"/>
      <c r="G257" s="6"/>
      <c r="H257" s="6"/>
      <c r="I257" s="6"/>
      <c r="J257" s="6"/>
      <c r="K257" s="6"/>
      <c r="L257" s="6"/>
      <c r="M257" s="6"/>
      <c r="N257" s="6"/>
      <c r="O257" s="6"/>
      <c r="P257" s="6"/>
      <c r="Q257" s="6"/>
      <c r="R257" s="6"/>
      <c r="S257" s="6"/>
      <c r="T257" s="6"/>
      <c r="U257" s="6"/>
      <c r="V257" s="6"/>
      <c r="W257" s="6"/>
      <c r="X257" s="6"/>
      <c r="Y257" s="6"/>
      <c r="Z257" s="6"/>
    </row>
    <row r="258" ht="12.75" customHeight="1">
      <c r="A258" s="76"/>
      <c r="B258" s="6"/>
      <c r="C258" s="77"/>
      <c r="D258" s="6"/>
      <c r="E258" s="6"/>
      <c r="F258" s="6"/>
      <c r="G258" s="6"/>
      <c r="H258" s="6"/>
      <c r="I258" s="6"/>
      <c r="J258" s="6"/>
      <c r="K258" s="6"/>
      <c r="L258" s="6"/>
      <c r="M258" s="6"/>
      <c r="N258" s="6"/>
      <c r="O258" s="6"/>
      <c r="P258" s="6"/>
      <c r="Q258" s="6"/>
      <c r="R258" s="6"/>
      <c r="S258" s="6"/>
      <c r="T258" s="6"/>
      <c r="U258" s="6"/>
      <c r="V258" s="6"/>
      <c r="W258" s="6"/>
      <c r="X258" s="6"/>
      <c r="Y258" s="6"/>
      <c r="Z258" s="6"/>
    </row>
    <row r="259" ht="12.75" customHeight="1">
      <c r="A259" s="76"/>
      <c r="B259" s="6"/>
      <c r="C259" s="77"/>
      <c r="D259" s="6"/>
      <c r="E259" s="6"/>
      <c r="F259" s="6"/>
      <c r="G259" s="6"/>
      <c r="H259" s="6"/>
      <c r="I259" s="6"/>
      <c r="J259" s="6"/>
      <c r="K259" s="6"/>
      <c r="L259" s="6"/>
      <c r="M259" s="6"/>
      <c r="N259" s="6"/>
      <c r="O259" s="6"/>
      <c r="P259" s="6"/>
      <c r="Q259" s="6"/>
      <c r="R259" s="6"/>
      <c r="S259" s="6"/>
      <c r="T259" s="6"/>
      <c r="U259" s="6"/>
      <c r="V259" s="6"/>
      <c r="W259" s="6"/>
      <c r="X259" s="6"/>
      <c r="Y259" s="6"/>
      <c r="Z259" s="6"/>
    </row>
    <row r="260" ht="12.75" customHeight="1">
      <c r="A260" s="76"/>
      <c r="B260" s="6"/>
      <c r="C260" s="77"/>
      <c r="D260" s="6"/>
      <c r="E260" s="6"/>
      <c r="F260" s="6"/>
      <c r="G260" s="6"/>
      <c r="H260" s="6"/>
      <c r="I260" s="6"/>
      <c r="J260" s="6"/>
      <c r="K260" s="6"/>
      <c r="L260" s="6"/>
      <c r="M260" s="6"/>
      <c r="N260" s="6"/>
      <c r="O260" s="6"/>
      <c r="P260" s="6"/>
      <c r="Q260" s="6"/>
      <c r="R260" s="6"/>
      <c r="S260" s="6"/>
      <c r="T260" s="6"/>
      <c r="U260" s="6"/>
      <c r="V260" s="6"/>
      <c r="W260" s="6"/>
      <c r="X260" s="6"/>
      <c r="Y260" s="6"/>
      <c r="Z260" s="6"/>
    </row>
    <row r="261" ht="12.75" customHeight="1">
      <c r="A261" s="76"/>
      <c r="B261" s="6"/>
      <c r="C261" s="77"/>
      <c r="D261" s="6"/>
      <c r="E261" s="6"/>
      <c r="F261" s="6"/>
      <c r="G261" s="6"/>
      <c r="H261" s="6"/>
      <c r="I261" s="6"/>
      <c r="J261" s="6"/>
      <c r="K261" s="6"/>
      <c r="L261" s="6"/>
      <c r="M261" s="6"/>
      <c r="N261" s="6"/>
      <c r="O261" s="6"/>
      <c r="P261" s="6"/>
      <c r="Q261" s="6"/>
      <c r="R261" s="6"/>
      <c r="S261" s="6"/>
      <c r="T261" s="6"/>
      <c r="U261" s="6"/>
      <c r="V261" s="6"/>
      <c r="W261" s="6"/>
      <c r="X261" s="6"/>
      <c r="Y261" s="6"/>
      <c r="Z261" s="6"/>
    </row>
    <row r="262" ht="12.75" customHeight="1">
      <c r="A262" s="76"/>
      <c r="B262" s="6"/>
      <c r="C262" s="77"/>
      <c r="D262" s="6"/>
      <c r="E262" s="6"/>
      <c r="F262" s="6"/>
      <c r="G262" s="6"/>
      <c r="H262" s="6"/>
      <c r="I262" s="6"/>
      <c r="J262" s="6"/>
      <c r="K262" s="6"/>
      <c r="L262" s="6"/>
      <c r="M262" s="6"/>
      <c r="N262" s="6"/>
      <c r="O262" s="6"/>
      <c r="P262" s="6"/>
      <c r="Q262" s="6"/>
      <c r="R262" s="6"/>
      <c r="S262" s="6"/>
      <c r="T262" s="6"/>
      <c r="U262" s="6"/>
      <c r="V262" s="6"/>
      <c r="W262" s="6"/>
      <c r="X262" s="6"/>
      <c r="Y262" s="6"/>
      <c r="Z262" s="6"/>
    </row>
    <row r="263" ht="12.75" customHeight="1">
      <c r="A263" s="76"/>
      <c r="B263" s="6"/>
      <c r="C263" s="77"/>
      <c r="D263" s="6"/>
      <c r="E263" s="6"/>
      <c r="F263" s="6"/>
      <c r="G263" s="6"/>
      <c r="H263" s="6"/>
      <c r="I263" s="6"/>
      <c r="J263" s="6"/>
      <c r="K263" s="6"/>
      <c r="L263" s="6"/>
      <c r="M263" s="6"/>
      <c r="N263" s="6"/>
      <c r="O263" s="6"/>
      <c r="P263" s="6"/>
      <c r="Q263" s="6"/>
      <c r="R263" s="6"/>
      <c r="S263" s="6"/>
      <c r="T263" s="6"/>
      <c r="U263" s="6"/>
      <c r="V263" s="6"/>
      <c r="W263" s="6"/>
      <c r="X263" s="6"/>
      <c r="Y263" s="6"/>
      <c r="Z263" s="6"/>
    </row>
    <row r="264" ht="12.75" customHeight="1">
      <c r="A264" s="76"/>
      <c r="B264" s="6"/>
      <c r="C264" s="77"/>
      <c r="D264" s="6"/>
      <c r="E264" s="6"/>
      <c r="F264" s="6"/>
      <c r="G264" s="6"/>
      <c r="H264" s="6"/>
      <c r="I264" s="6"/>
      <c r="J264" s="6"/>
      <c r="K264" s="6"/>
      <c r="L264" s="6"/>
      <c r="M264" s="6"/>
      <c r="N264" s="6"/>
      <c r="O264" s="6"/>
      <c r="P264" s="6"/>
      <c r="Q264" s="6"/>
      <c r="R264" s="6"/>
      <c r="S264" s="6"/>
      <c r="T264" s="6"/>
      <c r="U264" s="6"/>
      <c r="V264" s="6"/>
      <c r="W264" s="6"/>
      <c r="X264" s="6"/>
      <c r="Y264" s="6"/>
      <c r="Z264" s="6"/>
    </row>
    <row r="265" ht="12.75" customHeight="1">
      <c r="A265" s="76"/>
      <c r="B265" s="6"/>
      <c r="C265" s="77"/>
      <c r="D265" s="6"/>
      <c r="E265" s="6"/>
      <c r="F265" s="6"/>
      <c r="G265" s="6"/>
      <c r="H265" s="6"/>
      <c r="I265" s="6"/>
      <c r="J265" s="6"/>
      <c r="K265" s="6"/>
      <c r="L265" s="6"/>
      <c r="M265" s="6"/>
      <c r="N265" s="6"/>
      <c r="O265" s="6"/>
      <c r="P265" s="6"/>
      <c r="Q265" s="6"/>
      <c r="R265" s="6"/>
      <c r="S265" s="6"/>
      <c r="T265" s="6"/>
      <c r="U265" s="6"/>
      <c r="V265" s="6"/>
      <c r="W265" s="6"/>
      <c r="X265" s="6"/>
      <c r="Y265" s="6"/>
      <c r="Z265" s="6"/>
    </row>
    <row r="266" ht="12.75" customHeight="1">
      <c r="A266" s="76"/>
      <c r="B266" s="6"/>
      <c r="C266" s="77"/>
      <c r="D266" s="6"/>
      <c r="E266" s="6"/>
      <c r="F266" s="6"/>
      <c r="G266" s="6"/>
      <c r="H266" s="6"/>
      <c r="I266" s="6"/>
      <c r="J266" s="6"/>
      <c r="K266" s="6"/>
      <c r="L266" s="6"/>
      <c r="M266" s="6"/>
      <c r="N266" s="6"/>
      <c r="O266" s="6"/>
      <c r="P266" s="6"/>
      <c r="Q266" s="6"/>
      <c r="R266" s="6"/>
      <c r="S266" s="6"/>
      <c r="T266" s="6"/>
      <c r="U266" s="6"/>
      <c r="V266" s="6"/>
      <c r="W266" s="6"/>
      <c r="X266" s="6"/>
      <c r="Y266" s="6"/>
      <c r="Z266" s="6"/>
    </row>
    <row r="267" ht="12.75" customHeight="1">
      <c r="A267" s="76"/>
      <c r="B267" s="6"/>
      <c r="C267" s="77"/>
      <c r="D267" s="6"/>
      <c r="E267" s="6"/>
      <c r="F267" s="6"/>
      <c r="G267" s="6"/>
      <c r="H267" s="6"/>
      <c r="I267" s="6"/>
      <c r="J267" s="6"/>
      <c r="K267" s="6"/>
      <c r="L267" s="6"/>
      <c r="M267" s="6"/>
      <c r="N267" s="6"/>
      <c r="O267" s="6"/>
      <c r="P267" s="6"/>
      <c r="Q267" s="6"/>
      <c r="R267" s="6"/>
      <c r="S267" s="6"/>
      <c r="T267" s="6"/>
      <c r="U267" s="6"/>
      <c r="V267" s="6"/>
      <c r="W267" s="6"/>
      <c r="X267" s="6"/>
      <c r="Y267" s="6"/>
      <c r="Z267" s="6"/>
    </row>
    <row r="268" ht="12.75" customHeight="1">
      <c r="A268" s="76"/>
      <c r="B268" s="6"/>
      <c r="C268" s="77"/>
      <c r="D268" s="6"/>
      <c r="E268" s="6"/>
      <c r="F268" s="6"/>
      <c r="G268" s="6"/>
      <c r="H268" s="6"/>
      <c r="I268" s="6"/>
      <c r="J268" s="6"/>
      <c r="K268" s="6"/>
      <c r="L268" s="6"/>
      <c r="M268" s="6"/>
      <c r="N268" s="6"/>
      <c r="O268" s="6"/>
      <c r="P268" s="6"/>
      <c r="Q268" s="6"/>
      <c r="R268" s="6"/>
      <c r="S268" s="6"/>
      <c r="T268" s="6"/>
      <c r="U268" s="6"/>
      <c r="V268" s="6"/>
      <c r="W268" s="6"/>
      <c r="X268" s="6"/>
      <c r="Y268" s="6"/>
      <c r="Z268" s="6"/>
    </row>
    <row r="269" ht="12.75" customHeight="1">
      <c r="A269" s="76"/>
      <c r="B269" s="6"/>
      <c r="C269" s="77"/>
      <c r="D269" s="6"/>
      <c r="E269" s="6"/>
      <c r="F269" s="6"/>
      <c r="G269" s="6"/>
      <c r="H269" s="6"/>
      <c r="I269" s="6"/>
      <c r="J269" s="6"/>
      <c r="K269" s="6"/>
      <c r="L269" s="6"/>
      <c r="M269" s="6"/>
      <c r="N269" s="6"/>
      <c r="O269" s="6"/>
      <c r="P269" s="6"/>
      <c r="Q269" s="6"/>
      <c r="R269" s="6"/>
      <c r="S269" s="6"/>
      <c r="T269" s="6"/>
      <c r="U269" s="6"/>
      <c r="V269" s="6"/>
      <c r="W269" s="6"/>
      <c r="X269" s="6"/>
      <c r="Y269" s="6"/>
      <c r="Z269" s="6"/>
    </row>
    <row r="270" ht="12.75" customHeight="1">
      <c r="A270" s="76"/>
      <c r="B270" s="6"/>
      <c r="C270" s="77"/>
      <c r="D270" s="6"/>
      <c r="E270" s="6"/>
      <c r="F270" s="6"/>
      <c r="G270" s="6"/>
      <c r="H270" s="6"/>
      <c r="I270" s="6"/>
      <c r="J270" s="6"/>
      <c r="K270" s="6"/>
      <c r="L270" s="6"/>
      <c r="M270" s="6"/>
      <c r="N270" s="6"/>
      <c r="O270" s="6"/>
      <c r="P270" s="6"/>
      <c r="Q270" s="6"/>
      <c r="R270" s="6"/>
      <c r="S270" s="6"/>
      <c r="T270" s="6"/>
      <c r="U270" s="6"/>
      <c r="V270" s="6"/>
      <c r="W270" s="6"/>
      <c r="X270" s="6"/>
      <c r="Y270" s="6"/>
      <c r="Z270" s="6"/>
    </row>
    <row r="271" ht="12.75" customHeight="1">
      <c r="A271" s="76"/>
      <c r="B271" s="6"/>
      <c r="C271" s="77"/>
      <c r="D271" s="6"/>
      <c r="E271" s="6"/>
      <c r="F271" s="6"/>
      <c r="G271" s="6"/>
      <c r="H271" s="6"/>
      <c r="I271" s="6"/>
      <c r="J271" s="6"/>
      <c r="K271" s="6"/>
      <c r="L271" s="6"/>
      <c r="M271" s="6"/>
      <c r="N271" s="6"/>
      <c r="O271" s="6"/>
      <c r="P271" s="6"/>
      <c r="Q271" s="6"/>
      <c r="R271" s="6"/>
      <c r="S271" s="6"/>
      <c r="T271" s="6"/>
      <c r="U271" s="6"/>
      <c r="V271" s="6"/>
      <c r="W271" s="6"/>
      <c r="X271" s="6"/>
      <c r="Y271" s="6"/>
      <c r="Z271" s="6"/>
    </row>
    <row r="272" ht="12.75" customHeight="1">
      <c r="A272" s="76"/>
      <c r="B272" s="6"/>
      <c r="C272" s="77"/>
      <c r="D272" s="6"/>
      <c r="E272" s="6"/>
      <c r="F272" s="6"/>
      <c r="G272" s="6"/>
      <c r="H272" s="6"/>
      <c r="I272" s="6"/>
      <c r="J272" s="6"/>
      <c r="K272" s="6"/>
      <c r="L272" s="6"/>
      <c r="M272" s="6"/>
      <c r="N272" s="6"/>
      <c r="O272" s="6"/>
      <c r="P272" s="6"/>
      <c r="Q272" s="6"/>
      <c r="R272" s="6"/>
      <c r="S272" s="6"/>
      <c r="T272" s="6"/>
      <c r="U272" s="6"/>
      <c r="V272" s="6"/>
      <c r="W272" s="6"/>
      <c r="X272" s="6"/>
      <c r="Y272" s="6"/>
      <c r="Z272" s="6"/>
    </row>
    <row r="273" ht="12.75" customHeight="1">
      <c r="A273" s="76"/>
      <c r="B273" s="6"/>
      <c r="C273" s="77"/>
      <c r="D273" s="6"/>
      <c r="E273" s="6"/>
      <c r="F273" s="6"/>
      <c r="G273" s="6"/>
      <c r="H273" s="6"/>
      <c r="I273" s="6"/>
      <c r="J273" s="6"/>
      <c r="K273" s="6"/>
      <c r="L273" s="6"/>
      <c r="M273" s="6"/>
      <c r="N273" s="6"/>
      <c r="O273" s="6"/>
      <c r="P273" s="6"/>
      <c r="Q273" s="6"/>
      <c r="R273" s="6"/>
      <c r="S273" s="6"/>
      <c r="T273" s="6"/>
      <c r="U273" s="6"/>
      <c r="V273" s="6"/>
      <c r="W273" s="6"/>
      <c r="X273" s="6"/>
      <c r="Y273" s="6"/>
      <c r="Z273" s="6"/>
    </row>
    <row r="274" ht="12.75" customHeight="1">
      <c r="A274" s="76"/>
      <c r="B274" s="6"/>
      <c r="C274" s="77"/>
      <c r="D274" s="6"/>
      <c r="E274" s="6"/>
      <c r="F274" s="6"/>
      <c r="G274" s="6"/>
      <c r="H274" s="6"/>
      <c r="I274" s="6"/>
      <c r="J274" s="6"/>
      <c r="K274" s="6"/>
      <c r="L274" s="6"/>
      <c r="M274" s="6"/>
      <c r="N274" s="6"/>
      <c r="O274" s="6"/>
      <c r="P274" s="6"/>
      <c r="Q274" s="6"/>
      <c r="R274" s="6"/>
      <c r="S274" s="6"/>
      <c r="T274" s="6"/>
      <c r="U274" s="6"/>
      <c r="V274" s="6"/>
      <c r="W274" s="6"/>
      <c r="X274" s="6"/>
      <c r="Y274" s="6"/>
      <c r="Z274" s="6"/>
    </row>
    <row r="275" ht="12.75" customHeight="1">
      <c r="A275" s="76"/>
      <c r="B275" s="6"/>
      <c r="C275" s="77"/>
      <c r="D275" s="6"/>
      <c r="E275" s="6"/>
      <c r="F275" s="6"/>
      <c r="G275" s="6"/>
      <c r="H275" s="6"/>
      <c r="I275" s="6"/>
      <c r="J275" s="6"/>
      <c r="K275" s="6"/>
      <c r="L275" s="6"/>
      <c r="M275" s="6"/>
      <c r="N275" s="6"/>
      <c r="O275" s="6"/>
      <c r="P275" s="6"/>
      <c r="Q275" s="6"/>
      <c r="R275" s="6"/>
      <c r="S275" s="6"/>
      <c r="T275" s="6"/>
      <c r="U275" s="6"/>
      <c r="V275" s="6"/>
      <c r="W275" s="6"/>
      <c r="X275" s="6"/>
      <c r="Y275" s="6"/>
      <c r="Z275" s="6"/>
    </row>
    <row r="276" ht="12.75" customHeight="1">
      <c r="A276" s="76"/>
      <c r="B276" s="6"/>
      <c r="C276" s="77"/>
      <c r="D276" s="6"/>
      <c r="E276" s="6"/>
      <c r="F276" s="6"/>
      <c r="G276" s="6"/>
      <c r="H276" s="6"/>
      <c r="I276" s="6"/>
      <c r="J276" s="6"/>
      <c r="K276" s="6"/>
      <c r="L276" s="6"/>
      <c r="M276" s="6"/>
      <c r="N276" s="6"/>
      <c r="O276" s="6"/>
      <c r="P276" s="6"/>
      <c r="Q276" s="6"/>
      <c r="R276" s="6"/>
      <c r="S276" s="6"/>
      <c r="T276" s="6"/>
      <c r="U276" s="6"/>
      <c r="V276" s="6"/>
      <c r="W276" s="6"/>
      <c r="X276" s="6"/>
      <c r="Y276" s="6"/>
      <c r="Z276" s="6"/>
    </row>
    <row r="277" ht="12.75" customHeight="1">
      <c r="A277" s="76"/>
      <c r="B277" s="6"/>
      <c r="C277" s="77"/>
      <c r="D277" s="6"/>
      <c r="E277" s="6"/>
      <c r="F277" s="6"/>
      <c r="G277" s="6"/>
      <c r="H277" s="6"/>
      <c r="I277" s="6"/>
      <c r="J277" s="6"/>
      <c r="K277" s="6"/>
      <c r="L277" s="6"/>
      <c r="M277" s="6"/>
      <c r="N277" s="6"/>
      <c r="O277" s="6"/>
      <c r="P277" s="6"/>
      <c r="Q277" s="6"/>
      <c r="R277" s="6"/>
      <c r="S277" s="6"/>
      <c r="T277" s="6"/>
      <c r="U277" s="6"/>
      <c r="V277" s="6"/>
      <c r="W277" s="6"/>
      <c r="X277" s="6"/>
      <c r="Y277" s="6"/>
      <c r="Z277" s="6"/>
    </row>
    <row r="278" ht="12.75" customHeight="1">
      <c r="A278" s="76"/>
      <c r="B278" s="6"/>
      <c r="C278" s="77"/>
      <c r="D278" s="6"/>
      <c r="E278" s="6"/>
      <c r="F278" s="6"/>
      <c r="G278" s="6"/>
      <c r="H278" s="6"/>
      <c r="I278" s="6"/>
      <c r="J278" s="6"/>
      <c r="K278" s="6"/>
      <c r="L278" s="6"/>
      <c r="M278" s="6"/>
      <c r="N278" s="6"/>
      <c r="O278" s="6"/>
      <c r="P278" s="6"/>
      <c r="Q278" s="6"/>
      <c r="R278" s="6"/>
      <c r="S278" s="6"/>
      <c r="T278" s="6"/>
      <c r="U278" s="6"/>
      <c r="V278" s="6"/>
      <c r="W278" s="6"/>
      <c r="X278" s="6"/>
      <c r="Y278" s="6"/>
      <c r="Z278" s="6"/>
    </row>
    <row r="279" ht="12.75" customHeight="1">
      <c r="A279" s="76"/>
      <c r="B279" s="6"/>
      <c r="C279" s="77"/>
      <c r="D279" s="6"/>
      <c r="E279" s="6"/>
      <c r="F279" s="6"/>
      <c r="G279" s="6"/>
      <c r="H279" s="6"/>
      <c r="I279" s="6"/>
      <c r="J279" s="6"/>
      <c r="K279" s="6"/>
      <c r="L279" s="6"/>
      <c r="M279" s="6"/>
      <c r="N279" s="6"/>
      <c r="O279" s="6"/>
      <c r="P279" s="6"/>
      <c r="Q279" s="6"/>
      <c r="R279" s="6"/>
      <c r="S279" s="6"/>
      <c r="T279" s="6"/>
      <c r="U279" s="6"/>
      <c r="V279" s="6"/>
      <c r="W279" s="6"/>
      <c r="X279" s="6"/>
      <c r="Y279" s="6"/>
      <c r="Z279" s="6"/>
    </row>
    <row r="280" ht="12.75" customHeight="1">
      <c r="A280" s="76"/>
      <c r="B280" s="6"/>
      <c r="C280" s="77"/>
      <c r="D280" s="6"/>
      <c r="E280" s="6"/>
      <c r="F280" s="6"/>
      <c r="G280" s="6"/>
      <c r="H280" s="6"/>
      <c r="I280" s="6"/>
      <c r="J280" s="6"/>
      <c r="K280" s="6"/>
      <c r="L280" s="6"/>
      <c r="M280" s="6"/>
      <c r="N280" s="6"/>
      <c r="O280" s="6"/>
      <c r="P280" s="6"/>
      <c r="Q280" s="6"/>
      <c r="R280" s="6"/>
      <c r="S280" s="6"/>
      <c r="T280" s="6"/>
      <c r="U280" s="6"/>
      <c r="V280" s="6"/>
      <c r="W280" s="6"/>
      <c r="X280" s="6"/>
      <c r="Y280" s="6"/>
      <c r="Z280" s="6"/>
    </row>
    <row r="281" ht="12.75" customHeight="1">
      <c r="A281" s="76"/>
      <c r="B281" s="6"/>
      <c r="C281" s="77"/>
      <c r="D281" s="6"/>
      <c r="E281" s="6"/>
      <c r="F281" s="6"/>
      <c r="G281" s="6"/>
      <c r="H281" s="6"/>
      <c r="I281" s="6"/>
      <c r="J281" s="6"/>
      <c r="K281" s="6"/>
      <c r="L281" s="6"/>
      <c r="M281" s="6"/>
      <c r="N281" s="6"/>
      <c r="O281" s="6"/>
      <c r="P281" s="6"/>
      <c r="Q281" s="6"/>
      <c r="R281" s="6"/>
      <c r="S281" s="6"/>
      <c r="T281" s="6"/>
      <c r="U281" s="6"/>
      <c r="V281" s="6"/>
      <c r="W281" s="6"/>
      <c r="X281" s="6"/>
      <c r="Y281" s="6"/>
      <c r="Z281" s="6"/>
    </row>
    <row r="282" ht="12.75" customHeight="1">
      <c r="A282" s="76"/>
      <c r="B282" s="6"/>
      <c r="C282" s="77"/>
      <c r="D282" s="6"/>
      <c r="E282" s="6"/>
      <c r="F282" s="6"/>
      <c r="G282" s="6"/>
      <c r="H282" s="6"/>
      <c r="I282" s="6"/>
      <c r="J282" s="6"/>
      <c r="K282" s="6"/>
      <c r="L282" s="6"/>
      <c r="M282" s="6"/>
      <c r="N282" s="6"/>
      <c r="O282" s="6"/>
      <c r="P282" s="6"/>
      <c r="Q282" s="6"/>
      <c r="R282" s="6"/>
      <c r="S282" s="6"/>
      <c r="T282" s="6"/>
      <c r="U282" s="6"/>
      <c r="V282" s="6"/>
      <c r="W282" s="6"/>
      <c r="X282" s="6"/>
      <c r="Y282" s="6"/>
      <c r="Z282" s="6"/>
    </row>
    <row r="283" ht="12.75" customHeight="1">
      <c r="A283" s="76"/>
      <c r="B283" s="6"/>
      <c r="C283" s="77"/>
      <c r="D283" s="6"/>
      <c r="E283" s="6"/>
      <c r="F283" s="6"/>
      <c r="G283" s="6"/>
      <c r="H283" s="6"/>
      <c r="I283" s="6"/>
      <c r="J283" s="6"/>
      <c r="K283" s="6"/>
      <c r="L283" s="6"/>
      <c r="M283" s="6"/>
      <c r="N283" s="6"/>
      <c r="O283" s="6"/>
      <c r="P283" s="6"/>
      <c r="Q283" s="6"/>
      <c r="R283" s="6"/>
      <c r="S283" s="6"/>
      <c r="T283" s="6"/>
      <c r="U283" s="6"/>
      <c r="V283" s="6"/>
      <c r="W283" s="6"/>
      <c r="X283" s="6"/>
      <c r="Y283" s="6"/>
      <c r="Z283" s="6"/>
    </row>
    <row r="284" ht="12.75" customHeight="1">
      <c r="A284" s="76"/>
      <c r="B284" s="6"/>
      <c r="C284" s="77"/>
      <c r="D284" s="6"/>
      <c r="E284" s="6"/>
      <c r="F284" s="6"/>
      <c r="G284" s="6"/>
      <c r="H284" s="6"/>
      <c r="I284" s="6"/>
      <c r="J284" s="6"/>
      <c r="K284" s="6"/>
      <c r="L284" s="6"/>
      <c r="M284" s="6"/>
      <c r="N284" s="6"/>
      <c r="O284" s="6"/>
      <c r="P284" s="6"/>
      <c r="Q284" s="6"/>
      <c r="R284" s="6"/>
      <c r="S284" s="6"/>
      <c r="T284" s="6"/>
      <c r="U284" s="6"/>
      <c r="V284" s="6"/>
      <c r="W284" s="6"/>
      <c r="X284" s="6"/>
      <c r="Y284" s="6"/>
      <c r="Z284" s="6"/>
    </row>
    <row r="285" ht="12.75" customHeight="1">
      <c r="A285" s="76"/>
      <c r="B285" s="6"/>
      <c r="C285" s="77"/>
      <c r="D285" s="6"/>
      <c r="E285" s="6"/>
      <c r="F285" s="6"/>
      <c r="G285" s="6"/>
      <c r="H285" s="6"/>
      <c r="I285" s="6"/>
      <c r="J285" s="6"/>
      <c r="K285" s="6"/>
      <c r="L285" s="6"/>
      <c r="M285" s="6"/>
      <c r="N285" s="6"/>
      <c r="O285" s="6"/>
      <c r="P285" s="6"/>
      <c r="Q285" s="6"/>
      <c r="R285" s="6"/>
      <c r="S285" s="6"/>
      <c r="T285" s="6"/>
      <c r="U285" s="6"/>
      <c r="V285" s="6"/>
      <c r="W285" s="6"/>
      <c r="X285" s="6"/>
      <c r="Y285" s="6"/>
      <c r="Z285" s="6"/>
    </row>
    <row r="286" ht="12.75" customHeight="1">
      <c r="A286" s="76"/>
      <c r="B286" s="6"/>
      <c r="C286" s="77"/>
      <c r="D286" s="6"/>
      <c r="E286" s="6"/>
      <c r="F286" s="6"/>
      <c r="G286" s="6"/>
      <c r="H286" s="6"/>
      <c r="I286" s="6"/>
      <c r="J286" s="6"/>
      <c r="K286" s="6"/>
      <c r="L286" s="6"/>
      <c r="M286" s="6"/>
      <c r="N286" s="6"/>
      <c r="O286" s="6"/>
      <c r="P286" s="6"/>
      <c r="Q286" s="6"/>
      <c r="R286" s="6"/>
      <c r="S286" s="6"/>
      <c r="T286" s="6"/>
      <c r="U286" s="6"/>
      <c r="V286" s="6"/>
      <c r="W286" s="6"/>
      <c r="X286" s="6"/>
      <c r="Y286" s="6"/>
      <c r="Z286" s="6"/>
    </row>
    <row r="287" ht="12.75" customHeight="1">
      <c r="A287" s="76"/>
      <c r="B287" s="6"/>
      <c r="C287" s="77"/>
      <c r="D287" s="6"/>
      <c r="E287" s="6"/>
      <c r="F287" s="6"/>
      <c r="G287" s="6"/>
      <c r="H287" s="6"/>
      <c r="I287" s="6"/>
      <c r="J287" s="6"/>
      <c r="K287" s="6"/>
      <c r="L287" s="6"/>
      <c r="M287" s="6"/>
      <c r="N287" s="6"/>
      <c r="O287" s="6"/>
      <c r="P287" s="6"/>
      <c r="Q287" s="6"/>
      <c r="R287" s="6"/>
      <c r="S287" s="6"/>
      <c r="T287" s="6"/>
      <c r="U287" s="6"/>
      <c r="V287" s="6"/>
      <c r="W287" s="6"/>
      <c r="X287" s="6"/>
      <c r="Y287" s="6"/>
      <c r="Z287" s="6"/>
    </row>
    <row r="288" ht="12.75" customHeight="1">
      <c r="A288" s="76"/>
      <c r="B288" s="6"/>
      <c r="C288" s="77"/>
      <c r="D288" s="6"/>
      <c r="E288" s="6"/>
      <c r="F288" s="6"/>
      <c r="G288" s="6"/>
      <c r="H288" s="6"/>
      <c r="I288" s="6"/>
      <c r="J288" s="6"/>
      <c r="K288" s="6"/>
      <c r="L288" s="6"/>
      <c r="M288" s="6"/>
      <c r="N288" s="6"/>
      <c r="O288" s="6"/>
      <c r="P288" s="6"/>
      <c r="Q288" s="6"/>
      <c r="R288" s="6"/>
      <c r="S288" s="6"/>
      <c r="T288" s="6"/>
      <c r="U288" s="6"/>
      <c r="V288" s="6"/>
      <c r="W288" s="6"/>
      <c r="X288" s="6"/>
      <c r="Y288" s="6"/>
      <c r="Z288" s="6"/>
    </row>
    <row r="289" ht="12.75" customHeight="1">
      <c r="A289" s="76"/>
      <c r="B289" s="6"/>
      <c r="C289" s="77"/>
      <c r="D289" s="6"/>
      <c r="E289" s="6"/>
      <c r="F289" s="6"/>
      <c r="G289" s="6"/>
      <c r="H289" s="6"/>
      <c r="I289" s="6"/>
      <c r="J289" s="6"/>
      <c r="K289" s="6"/>
      <c r="L289" s="6"/>
      <c r="M289" s="6"/>
      <c r="N289" s="6"/>
      <c r="O289" s="6"/>
      <c r="P289" s="6"/>
      <c r="Q289" s="6"/>
      <c r="R289" s="6"/>
      <c r="S289" s="6"/>
      <c r="T289" s="6"/>
      <c r="U289" s="6"/>
      <c r="V289" s="6"/>
      <c r="W289" s="6"/>
      <c r="X289" s="6"/>
      <c r="Y289" s="6"/>
      <c r="Z289" s="6"/>
    </row>
    <row r="290" ht="12.75" customHeight="1">
      <c r="A290" s="76"/>
      <c r="B290" s="6"/>
      <c r="C290" s="77"/>
      <c r="D290" s="6"/>
      <c r="E290" s="6"/>
      <c r="F290" s="6"/>
      <c r="G290" s="6"/>
      <c r="H290" s="6"/>
      <c r="I290" s="6"/>
      <c r="J290" s="6"/>
      <c r="K290" s="6"/>
      <c r="L290" s="6"/>
      <c r="M290" s="6"/>
      <c r="N290" s="6"/>
      <c r="O290" s="6"/>
      <c r="P290" s="6"/>
      <c r="Q290" s="6"/>
      <c r="R290" s="6"/>
      <c r="S290" s="6"/>
      <c r="T290" s="6"/>
      <c r="U290" s="6"/>
      <c r="V290" s="6"/>
      <c r="W290" s="6"/>
      <c r="X290" s="6"/>
      <c r="Y290" s="6"/>
      <c r="Z290" s="6"/>
    </row>
    <row r="291" ht="12.75" customHeight="1">
      <c r="A291" s="76"/>
      <c r="B291" s="6"/>
      <c r="C291" s="77"/>
      <c r="D291" s="6"/>
      <c r="E291" s="6"/>
      <c r="F291" s="6"/>
      <c r="G291" s="6"/>
      <c r="H291" s="6"/>
      <c r="I291" s="6"/>
      <c r="J291" s="6"/>
      <c r="K291" s="6"/>
      <c r="L291" s="6"/>
      <c r="M291" s="6"/>
      <c r="N291" s="6"/>
      <c r="O291" s="6"/>
      <c r="P291" s="6"/>
      <c r="Q291" s="6"/>
      <c r="R291" s="6"/>
      <c r="S291" s="6"/>
      <c r="T291" s="6"/>
      <c r="U291" s="6"/>
      <c r="V291" s="6"/>
      <c r="W291" s="6"/>
      <c r="X291" s="6"/>
      <c r="Y291" s="6"/>
      <c r="Z291" s="6"/>
    </row>
    <row r="292" ht="12.75" customHeight="1">
      <c r="A292" s="76"/>
      <c r="B292" s="6"/>
      <c r="C292" s="77"/>
      <c r="D292" s="6"/>
      <c r="E292" s="6"/>
      <c r="F292" s="6"/>
      <c r="G292" s="6"/>
      <c r="H292" s="6"/>
      <c r="I292" s="6"/>
      <c r="J292" s="6"/>
      <c r="K292" s="6"/>
      <c r="L292" s="6"/>
      <c r="M292" s="6"/>
      <c r="N292" s="6"/>
      <c r="O292" s="6"/>
      <c r="P292" s="6"/>
      <c r="Q292" s="6"/>
      <c r="R292" s="6"/>
      <c r="S292" s="6"/>
      <c r="T292" s="6"/>
      <c r="U292" s="6"/>
      <c r="V292" s="6"/>
      <c r="W292" s="6"/>
      <c r="X292" s="6"/>
      <c r="Y292" s="6"/>
      <c r="Z292" s="6"/>
    </row>
    <row r="293" ht="12.75" customHeight="1">
      <c r="A293" s="76"/>
      <c r="B293" s="6"/>
      <c r="C293" s="77"/>
      <c r="D293" s="6"/>
      <c r="E293" s="6"/>
      <c r="F293" s="6"/>
      <c r="G293" s="6"/>
      <c r="H293" s="6"/>
      <c r="I293" s="6"/>
      <c r="J293" s="6"/>
      <c r="K293" s="6"/>
      <c r="L293" s="6"/>
      <c r="M293" s="6"/>
      <c r="N293" s="6"/>
      <c r="O293" s="6"/>
      <c r="P293" s="6"/>
      <c r="Q293" s="6"/>
      <c r="R293" s="6"/>
      <c r="S293" s="6"/>
      <c r="T293" s="6"/>
      <c r="U293" s="6"/>
      <c r="V293" s="6"/>
      <c r="W293" s="6"/>
      <c r="X293" s="6"/>
      <c r="Y293" s="6"/>
      <c r="Z293" s="6"/>
    </row>
    <row r="294" ht="12.75" customHeight="1">
      <c r="A294" s="76"/>
      <c r="B294" s="6"/>
      <c r="C294" s="77"/>
      <c r="D294" s="6"/>
      <c r="E294" s="6"/>
      <c r="F294" s="6"/>
      <c r="G294" s="6"/>
      <c r="H294" s="6"/>
      <c r="I294" s="6"/>
      <c r="J294" s="6"/>
      <c r="K294" s="6"/>
      <c r="L294" s="6"/>
      <c r="M294" s="6"/>
      <c r="N294" s="6"/>
      <c r="O294" s="6"/>
      <c r="P294" s="6"/>
      <c r="Q294" s="6"/>
      <c r="R294" s="6"/>
      <c r="S294" s="6"/>
      <c r="T294" s="6"/>
      <c r="U294" s="6"/>
      <c r="V294" s="6"/>
      <c r="W294" s="6"/>
      <c r="X294" s="6"/>
      <c r="Y294" s="6"/>
      <c r="Z294" s="6"/>
    </row>
    <row r="295" ht="12.75" customHeight="1">
      <c r="A295" s="76"/>
      <c r="B295" s="6"/>
      <c r="C295" s="77"/>
      <c r="D295" s="6"/>
      <c r="E295" s="6"/>
      <c r="F295" s="6"/>
      <c r="G295" s="6"/>
      <c r="H295" s="6"/>
      <c r="I295" s="6"/>
      <c r="J295" s="6"/>
      <c r="K295" s="6"/>
      <c r="L295" s="6"/>
      <c r="M295" s="6"/>
      <c r="N295" s="6"/>
      <c r="O295" s="6"/>
      <c r="P295" s="6"/>
      <c r="Q295" s="6"/>
      <c r="R295" s="6"/>
      <c r="S295" s="6"/>
      <c r="T295" s="6"/>
      <c r="U295" s="6"/>
      <c r="V295" s="6"/>
      <c r="W295" s="6"/>
      <c r="X295" s="6"/>
      <c r="Y295" s="6"/>
      <c r="Z295" s="6"/>
    </row>
    <row r="296" ht="12.75" customHeight="1">
      <c r="A296" s="76"/>
      <c r="B296" s="6"/>
      <c r="C296" s="77"/>
      <c r="D296" s="6"/>
      <c r="E296" s="6"/>
      <c r="F296" s="6"/>
      <c r="G296" s="6"/>
      <c r="H296" s="6"/>
      <c r="I296" s="6"/>
      <c r="J296" s="6"/>
      <c r="K296" s="6"/>
      <c r="L296" s="6"/>
      <c r="M296" s="6"/>
      <c r="N296" s="6"/>
      <c r="O296" s="6"/>
      <c r="P296" s="6"/>
      <c r="Q296" s="6"/>
      <c r="R296" s="6"/>
      <c r="S296" s="6"/>
      <c r="T296" s="6"/>
      <c r="U296" s="6"/>
      <c r="V296" s="6"/>
      <c r="W296" s="6"/>
      <c r="X296" s="6"/>
      <c r="Y296" s="6"/>
      <c r="Z296" s="6"/>
    </row>
    <row r="297" ht="12.75" customHeight="1">
      <c r="A297" s="76"/>
      <c r="B297" s="6"/>
      <c r="C297" s="77"/>
      <c r="D297" s="6"/>
      <c r="E297" s="6"/>
      <c r="F297" s="6"/>
      <c r="G297" s="6"/>
      <c r="H297" s="6"/>
      <c r="I297" s="6"/>
      <c r="J297" s="6"/>
      <c r="K297" s="6"/>
      <c r="L297" s="6"/>
      <c r="M297" s="6"/>
      <c r="N297" s="6"/>
      <c r="O297" s="6"/>
      <c r="P297" s="6"/>
      <c r="Q297" s="6"/>
      <c r="R297" s="6"/>
      <c r="S297" s="6"/>
      <c r="T297" s="6"/>
      <c r="U297" s="6"/>
      <c r="V297" s="6"/>
      <c r="W297" s="6"/>
      <c r="X297" s="6"/>
      <c r="Y297" s="6"/>
      <c r="Z297" s="6"/>
    </row>
    <row r="298" ht="12.75" customHeight="1">
      <c r="A298" s="76"/>
      <c r="B298" s="6"/>
      <c r="C298" s="77"/>
      <c r="D298" s="6"/>
      <c r="E298" s="6"/>
      <c r="F298" s="6"/>
      <c r="G298" s="6"/>
      <c r="H298" s="6"/>
      <c r="I298" s="6"/>
      <c r="J298" s="6"/>
      <c r="K298" s="6"/>
      <c r="L298" s="6"/>
      <c r="M298" s="6"/>
      <c r="N298" s="6"/>
      <c r="O298" s="6"/>
      <c r="P298" s="6"/>
      <c r="Q298" s="6"/>
      <c r="R298" s="6"/>
      <c r="S298" s="6"/>
      <c r="T298" s="6"/>
      <c r="U298" s="6"/>
      <c r="V298" s="6"/>
      <c r="W298" s="6"/>
      <c r="X298" s="6"/>
      <c r="Y298" s="6"/>
      <c r="Z298" s="6"/>
    </row>
    <row r="299" ht="12.75" customHeight="1">
      <c r="A299" s="76"/>
      <c r="B299" s="6"/>
      <c r="C299" s="77"/>
      <c r="D299" s="6"/>
      <c r="E299" s="6"/>
      <c r="F299" s="6"/>
      <c r="G299" s="6"/>
      <c r="H299" s="6"/>
      <c r="I299" s="6"/>
      <c r="J299" s="6"/>
      <c r="K299" s="6"/>
      <c r="L299" s="6"/>
      <c r="M299" s="6"/>
      <c r="N299" s="6"/>
      <c r="O299" s="6"/>
      <c r="P299" s="6"/>
      <c r="Q299" s="6"/>
      <c r="R299" s="6"/>
      <c r="S299" s="6"/>
      <c r="T299" s="6"/>
      <c r="U299" s="6"/>
      <c r="V299" s="6"/>
      <c r="W299" s="6"/>
      <c r="X299" s="6"/>
      <c r="Y299" s="6"/>
      <c r="Z299" s="6"/>
    </row>
    <row r="300" ht="12.75" customHeight="1">
      <c r="A300" s="76"/>
      <c r="B300" s="6"/>
      <c r="C300" s="77"/>
      <c r="D300" s="6"/>
      <c r="E300" s="6"/>
      <c r="F300" s="6"/>
      <c r="G300" s="6"/>
      <c r="H300" s="6"/>
      <c r="I300" s="6"/>
      <c r="J300" s="6"/>
      <c r="K300" s="6"/>
      <c r="L300" s="6"/>
      <c r="M300" s="6"/>
      <c r="N300" s="6"/>
      <c r="O300" s="6"/>
      <c r="P300" s="6"/>
      <c r="Q300" s="6"/>
      <c r="R300" s="6"/>
      <c r="S300" s="6"/>
      <c r="T300" s="6"/>
      <c r="U300" s="6"/>
      <c r="V300" s="6"/>
      <c r="W300" s="6"/>
      <c r="X300" s="6"/>
      <c r="Y300" s="6"/>
      <c r="Z300" s="6"/>
    </row>
    <row r="301" ht="12.75" customHeight="1">
      <c r="A301" s="76"/>
      <c r="B301" s="6"/>
      <c r="C301" s="77"/>
      <c r="D301" s="6"/>
      <c r="E301" s="6"/>
      <c r="F301" s="6"/>
      <c r="G301" s="6"/>
      <c r="H301" s="6"/>
      <c r="I301" s="6"/>
      <c r="J301" s="6"/>
      <c r="K301" s="6"/>
      <c r="L301" s="6"/>
      <c r="M301" s="6"/>
      <c r="N301" s="6"/>
      <c r="O301" s="6"/>
      <c r="P301" s="6"/>
      <c r="Q301" s="6"/>
      <c r="R301" s="6"/>
      <c r="S301" s="6"/>
      <c r="T301" s="6"/>
      <c r="U301" s="6"/>
      <c r="V301" s="6"/>
      <c r="W301" s="6"/>
      <c r="X301" s="6"/>
      <c r="Y301" s="6"/>
      <c r="Z301" s="6"/>
    </row>
    <row r="302" ht="12.75" customHeight="1">
      <c r="A302" s="76"/>
      <c r="B302" s="6"/>
      <c r="C302" s="77"/>
      <c r="D302" s="6"/>
      <c r="E302" s="6"/>
      <c r="F302" s="6"/>
      <c r="G302" s="6"/>
      <c r="H302" s="6"/>
      <c r="I302" s="6"/>
      <c r="J302" s="6"/>
      <c r="K302" s="6"/>
      <c r="L302" s="6"/>
      <c r="M302" s="6"/>
      <c r="N302" s="6"/>
      <c r="O302" s="6"/>
      <c r="P302" s="6"/>
      <c r="Q302" s="6"/>
      <c r="R302" s="6"/>
      <c r="S302" s="6"/>
      <c r="T302" s="6"/>
      <c r="U302" s="6"/>
      <c r="V302" s="6"/>
      <c r="W302" s="6"/>
      <c r="X302" s="6"/>
      <c r="Y302" s="6"/>
      <c r="Z302" s="6"/>
    </row>
    <row r="303" ht="12.75" customHeight="1">
      <c r="A303" s="76"/>
      <c r="B303" s="6"/>
      <c r="C303" s="77"/>
      <c r="D303" s="6"/>
      <c r="E303" s="6"/>
      <c r="F303" s="6"/>
      <c r="G303" s="6"/>
      <c r="H303" s="6"/>
      <c r="I303" s="6"/>
      <c r="J303" s="6"/>
      <c r="K303" s="6"/>
      <c r="L303" s="6"/>
      <c r="M303" s="6"/>
      <c r="N303" s="6"/>
      <c r="O303" s="6"/>
      <c r="P303" s="6"/>
      <c r="Q303" s="6"/>
      <c r="R303" s="6"/>
      <c r="S303" s="6"/>
      <c r="T303" s="6"/>
      <c r="U303" s="6"/>
      <c r="V303" s="6"/>
      <c r="W303" s="6"/>
      <c r="X303" s="6"/>
      <c r="Y303" s="6"/>
      <c r="Z303" s="6"/>
    </row>
    <row r="304" ht="12.75" customHeight="1">
      <c r="A304" s="76"/>
      <c r="B304" s="6"/>
      <c r="C304" s="77"/>
      <c r="D304" s="6"/>
      <c r="E304" s="6"/>
      <c r="F304" s="6"/>
      <c r="G304" s="6"/>
      <c r="H304" s="6"/>
      <c r="I304" s="6"/>
      <c r="J304" s="6"/>
      <c r="K304" s="6"/>
      <c r="L304" s="6"/>
      <c r="M304" s="6"/>
      <c r="N304" s="6"/>
      <c r="O304" s="6"/>
      <c r="P304" s="6"/>
      <c r="Q304" s="6"/>
      <c r="R304" s="6"/>
      <c r="S304" s="6"/>
      <c r="T304" s="6"/>
      <c r="U304" s="6"/>
      <c r="V304" s="6"/>
      <c r="W304" s="6"/>
      <c r="X304" s="6"/>
      <c r="Y304" s="6"/>
      <c r="Z304" s="6"/>
    </row>
    <row r="305" ht="12.75" customHeight="1">
      <c r="A305" s="76"/>
      <c r="B305" s="6"/>
      <c r="C305" s="77"/>
      <c r="D305" s="6"/>
      <c r="E305" s="6"/>
      <c r="F305" s="6"/>
      <c r="G305" s="6"/>
      <c r="H305" s="6"/>
      <c r="I305" s="6"/>
      <c r="J305" s="6"/>
      <c r="K305" s="6"/>
      <c r="L305" s="6"/>
      <c r="M305" s="6"/>
      <c r="N305" s="6"/>
      <c r="O305" s="6"/>
      <c r="P305" s="6"/>
      <c r="Q305" s="6"/>
      <c r="R305" s="6"/>
      <c r="S305" s="6"/>
      <c r="T305" s="6"/>
      <c r="U305" s="6"/>
      <c r="V305" s="6"/>
      <c r="W305" s="6"/>
      <c r="X305" s="6"/>
      <c r="Y305" s="6"/>
      <c r="Z305" s="6"/>
    </row>
    <row r="306" ht="12.75" customHeight="1">
      <c r="A306" s="76"/>
      <c r="B306" s="6"/>
      <c r="C306" s="77"/>
      <c r="D306" s="6"/>
      <c r="E306" s="6"/>
      <c r="F306" s="6"/>
      <c r="G306" s="6"/>
      <c r="H306" s="6"/>
      <c r="I306" s="6"/>
      <c r="J306" s="6"/>
      <c r="K306" s="6"/>
      <c r="L306" s="6"/>
      <c r="M306" s="6"/>
      <c r="N306" s="6"/>
      <c r="O306" s="6"/>
      <c r="P306" s="6"/>
      <c r="Q306" s="6"/>
      <c r="R306" s="6"/>
      <c r="S306" s="6"/>
      <c r="T306" s="6"/>
      <c r="U306" s="6"/>
      <c r="V306" s="6"/>
      <c r="W306" s="6"/>
      <c r="X306" s="6"/>
      <c r="Y306" s="6"/>
      <c r="Z306" s="6"/>
    </row>
    <row r="307" ht="12.75" customHeight="1">
      <c r="A307" s="76"/>
      <c r="B307" s="6"/>
      <c r="C307" s="77"/>
      <c r="D307" s="6"/>
      <c r="E307" s="6"/>
      <c r="F307" s="6"/>
      <c r="G307" s="6"/>
      <c r="H307" s="6"/>
      <c r="I307" s="6"/>
      <c r="J307" s="6"/>
      <c r="K307" s="6"/>
      <c r="L307" s="6"/>
      <c r="M307" s="6"/>
      <c r="N307" s="6"/>
      <c r="O307" s="6"/>
      <c r="P307" s="6"/>
      <c r="Q307" s="6"/>
      <c r="R307" s="6"/>
      <c r="S307" s="6"/>
      <c r="T307" s="6"/>
      <c r="U307" s="6"/>
      <c r="V307" s="6"/>
      <c r="W307" s="6"/>
      <c r="X307" s="6"/>
      <c r="Y307" s="6"/>
      <c r="Z307" s="6"/>
    </row>
    <row r="308" ht="12.75" customHeight="1">
      <c r="A308" s="76"/>
      <c r="B308" s="6"/>
      <c r="C308" s="77"/>
      <c r="D308" s="6"/>
      <c r="E308" s="6"/>
      <c r="F308" s="6"/>
      <c r="G308" s="6"/>
      <c r="H308" s="6"/>
      <c r="I308" s="6"/>
      <c r="J308" s="6"/>
      <c r="K308" s="6"/>
      <c r="L308" s="6"/>
      <c r="M308" s="6"/>
      <c r="N308" s="6"/>
      <c r="O308" s="6"/>
      <c r="P308" s="6"/>
      <c r="Q308" s="6"/>
      <c r="R308" s="6"/>
      <c r="S308" s="6"/>
      <c r="T308" s="6"/>
      <c r="U308" s="6"/>
      <c r="V308" s="6"/>
      <c r="W308" s="6"/>
      <c r="X308" s="6"/>
      <c r="Y308" s="6"/>
      <c r="Z308" s="6"/>
    </row>
    <row r="309" ht="12.75" customHeight="1">
      <c r="A309" s="76"/>
      <c r="B309" s="6"/>
      <c r="C309" s="77"/>
      <c r="D309" s="6"/>
      <c r="E309" s="6"/>
      <c r="F309" s="6"/>
      <c r="G309" s="6"/>
      <c r="H309" s="6"/>
      <c r="I309" s="6"/>
      <c r="J309" s="6"/>
      <c r="K309" s="6"/>
      <c r="L309" s="6"/>
      <c r="M309" s="6"/>
      <c r="N309" s="6"/>
      <c r="O309" s="6"/>
      <c r="P309" s="6"/>
      <c r="Q309" s="6"/>
      <c r="R309" s="6"/>
      <c r="S309" s="6"/>
      <c r="T309" s="6"/>
      <c r="U309" s="6"/>
      <c r="V309" s="6"/>
      <c r="W309" s="6"/>
      <c r="X309" s="6"/>
      <c r="Y309" s="6"/>
      <c r="Z309" s="6"/>
    </row>
    <row r="310" ht="12.75" customHeight="1">
      <c r="A310" s="76"/>
      <c r="B310" s="6"/>
      <c r="C310" s="77"/>
      <c r="D310" s="6"/>
      <c r="E310" s="6"/>
      <c r="F310" s="6"/>
      <c r="G310" s="6"/>
      <c r="H310" s="6"/>
      <c r="I310" s="6"/>
      <c r="J310" s="6"/>
      <c r="K310" s="6"/>
      <c r="L310" s="6"/>
      <c r="M310" s="6"/>
      <c r="N310" s="6"/>
      <c r="O310" s="6"/>
      <c r="P310" s="6"/>
      <c r="Q310" s="6"/>
      <c r="R310" s="6"/>
      <c r="S310" s="6"/>
      <c r="T310" s="6"/>
      <c r="U310" s="6"/>
      <c r="V310" s="6"/>
      <c r="W310" s="6"/>
      <c r="X310" s="6"/>
      <c r="Y310" s="6"/>
      <c r="Z310" s="6"/>
    </row>
    <row r="311" ht="12.75" customHeight="1">
      <c r="A311" s="76"/>
      <c r="B311" s="6"/>
      <c r="C311" s="77"/>
      <c r="D311" s="6"/>
      <c r="E311" s="6"/>
      <c r="F311" s="6"/>
      <c r="G311" s="6"/>
      <c r="H311" s="6"/>
      <c r="I311" s="6"/>
      <c r="J311" s="6"/>
      <c r="K311" s="6"/>
      <c r="L311" s="6"/>
      <c r="M311" s="6"/>
      <c r="N311" s="6"/>
      <c r="O311" s="6"/>
      <c r="P311" s="6"/>
      <c r="Q311" s="6"/>
      <c r="R311" s="6"/>
      <c r="S311" s="6"/>
      <c r="T311" s="6"/>
      <c r="U311" s="6"/>
      <c r="V311" s="6"/>
      <c r="W311" s="6"/>
      <c r="X311" s="6"/>
      <c r="Y311" s="6"/>
      <c r="Z311" s="6"/>
    </row>
    <row r="312" ht="12.75" customHeight="1">
      <c r="A312" s="76"/>
      <c r="B312" s="6"/>
      <c r="C312" s="77"/>
      <c r="D312" s="6"/>
      <c r="E312" s="6"/>
      <c r="F312" s="6"/>
      <c r="G312" s="6"/>
      <c r="H312" s="6"/>
      <c r="I312" s="6"/>
      <c r="J312" s="6"/>
      <c r="K312" s="6"/>
      <c r="L312" s="6"/>
      <c r="M312" s="6"/>
      <c r="N312" s="6"/>
      <c r="O312" s="6"/>
      <c r="P312" s="6"/>
      <c r="Q312" s="6"/>
      <c r="R312" s="6"/>
      <c r="S312" s="6"/>
      <c r="T312" s="6"/>
      <c r="U312" s="6"/>
      <c r="V312" s="6"/>
      <c r="W312" s="6"/>
      <c r="X312" s="6"/>
      <c r="Y312" s="6"/>
      <c r="Z312" s="6"/>
    </row>
    <row r="313" ht="12.75" customHeight="1">
      <c r="A313" s="76"/>
      <c r="B313" s="6"/>
      <c r="C313" s="77"/>
      <c r="D313" s="6"/>
      <c r="E313" s="6"/>
      <c r="F313" s="6"/>
      <c r="G313" s="6"/>
      <c r="H313" s="6"/>
      <c r="I313" s="6"/>
      <c r="J313" s="6"/>
      <c r="K313" s="6"/>
      <c r="L313" s="6"/>
      <c r="M313" s="6"/>
      <c r="N313" s="6"/>
      <c r="O313" s="6"/>
      <c r="P313" s="6"/>
      <c r="Q313" s="6"/>
      <c r="R313" s="6"/>
      <c r="S313" s="6"/>
      <c r="T313" s="6"/>
      <c r="U313" s="6"/>
      <c r="V313" s="6"/>
      <c r="W313" s="6"/>
      <c r="X313" s="6"/>
      <c r="Y313" s="6"/>
      <c r="Z313" s="6"/>
    </row>
    <row r="314" ht="12.75" customHeight="1">
      <c r="A314" s="76"/>
      <c r="B314" s="6"/>
      <c r="C314" s="77"/>
      <c r="D314" s="6"/>
      <c r="E314" s="6"/>
      <c r="F314" s="6"/>
      <c r="G314" s="6"/>
      <c r="H314" s="6"/>
      <c r="I314" s="6"/>
      <c r="J314" s="6"/>
      <c r="K314" s="6"/>
      <c r="L314" s="6"/>
      <c r="M314" s="6"/>
      <c r="N314" s="6"/>
      <c r="O314" s="6"/>
      <c r="P314" s="6"/>
      <c r="Q314" s="6"/>
      <c r="R314" s="6"/>
      <c r="S314" s="6"/>
      <c r="T314" s="6"/>
      <c r="U314" s="6"/>
      <c r="V314" s="6"/>
      <c r="W314" s="6"/>
      <c r="X314" s="6"/>
      <c r="Y314" s="6"/>
      <c r="Z314" s="6"/>
    </row>
    <row r="315" ht="12.75" customHeight="1">
      <c r="A315" s="76"/>
      <c r="B315" s="6"/>
      <c r="C315" s="77"/>
      <c r="D315" s="6"/>
      <c r="E315" s="6"/>
      <c r="F315" s="6"/>
      <c r="G315" s="6"/>
      <c r="H315" s="6"/>
      <c r="I315" s="6"/>
      <c r="J315" s="6"/>
      <c r="K315" s="6"/>
      <c r="L315" s="6"/>
      <c r="M315" s="6"/>
      <c r="N315" s="6"/>
      <c r="O315" s="6"/>
      <c r="P315" s="6"/>
      <c r="Q315" s="6"/>
      <c r="R315" s="6"/>
      <c r="S315" s="6"/>
      <c r="T315" s="6"/>
      <c r="U315" s="6"/>
      <c r="V315" s="6"/>
      <c r="W315" s="6"/>
      <c r="X315" s="6"/>
      <c r="Y315" s="6"/>
      <c r="Z315" s="6"/>
    </row>
    <row r="316" ht="12.75" customHeight="1">
      <c r="A316" s="76"/>
      <c r="B316" s="6"/>
      <c r="C316" s="77"/>
      <c r="D316" s="6"/>
      <c r="E316" s="6"/>
      <c r="F316" s="6"/>
      <c r="G316" s="6"/>
      <c r="H316" s="6"/>
      <c r="I316" s="6"/>
      <c r="J316" s="6"/>
      <c r="K316" s="6"/>
      <c r="L316" s="6"/>
      <c r="M316" s="6"/>
      <c r="N316" s="6"/>
      <c r="O316" s="6"/>
      <c r="P316" s="6"/>
      <c r="Q316" s="6"/>
      <c r="R316" s="6"/>
      <c r="S316" s="6"/>
      <c r="T316" s="6"/>
      <c r="U316" s="6"/>
      <c r="V316" s="6"/>
      <c r="W316" s="6"/>
      <c r="X316" s="6"/>
      <c r="Y316" s="6"/>
      <c r="Z316" s="6"/>
    </row>
    <row r="317" ht="12.75" customHeight="1">
      <c r="A317" s="76"/>
      <c r="B317" s="6"/>
      <c r="C317" s="77"/>
      <c r="D317" s="6"/>
      <c r="E317" s="6"/>
      <c r="F317" s="6"/>
      <c r="G317" s="6"/>
      <c r="H317" s="6"/>
      <c r="I317" s="6"/>
      <c r="J317" s="6"/>
      <c r="K317" s="6"/>
      <c r="L317" s="6"/>
      <c r="M317" s="6"/>
      <c r="N317" s="6"/>
      <c r="O317" s="6"/>
      <c r="P317" s="6"/>
      <c r="Q317" s="6"/>
      <c r="R317" s="6"/>
      <c r="S317" s="6"/>
      <c r="T317" s="6"/>
      <c r="U317" s="6"/>
      <c r="V317" s="6"/>
      <c r="W317" s="6"/>
      <c r="X317" s="6"/>
      <c r="Y317" s="6"/>
      <c r="Z317" s="6"/>
    </row>
    <row r="318" ht="12.75" customHeight="1">
      <c r="A318" s="76"/>
      <c r="B318" s="6"/>
      <c r="C318" s="77"/>
      <c r="D318" s="6"/>
      <c r="E318" s="6"/>
      <c r="F318" s="6"/>
      <c r="G318" s="6"/>
      <c r="H318" s="6"/>
      <c r="I318" s="6"/>
      <c r="J318" s="6"/>
      <c r="K318" s="6"/>
      <c r="L318" s="6"/>
      <c r="M318" s="6"/>
      <c r="N318" s="6"/>
      <c r="O318" s="6"/>
      <c r="P318" s="6"/>
      <c r="Q318" s="6"/>
      <c r="R318" s="6"/>
      <c r="S318" s="6"/>
      <c r="T318" s="6"/>
      <c r="U318" s="6"/>
      <c r="V318" s="6"/>
      <c r="W318" s="6"/>
      <c r="X318" s="6"/>
      <c r="Y318" s="6"/>
      <c r="Z318" s="6"/>
    </row>
    <row r="319" ht="12.75" customHeight="1">
      <c r="A319" s="76"/>
      <c r="B319" s="6"/>
      <c r="C319" s="77"/>
      <c r="D319" s="6"/>
      <c r="E319" s="6"/>
      <c r="F319" s="6"/>
      <c r="G319" s="6"/>
      <c r="H319" s="6"/>
      <c r="I319" s="6"/>
      <c r="J319" s="6"/>
      <c r="K319" s="6"/>
      <c r="L319" s="6"/>
      <c r="M319" s="6"/>
      <c r="N319" s="6"/>
      <c r="O319" s="6"/>
      <c r="P319" s="6"/>
      <c r="Q319" s="6"/>
      <c r="R319" s="6"/>
      <c r="S319" s="6"/>
      <c r="T319" s="6"/>
      <c r="U319" s="6"/>
      <c r="V319" s="6"/>
      <c r="W319" s="6"/>
      <c r="X319" s="6"/>
      <c r="Y319" s="6"/>
      <c r="Z319" s="6"/>
    </row>
    <row r="320" ht="12.75" customHeight="1">
      <c r="A320" s="76"/>
      <c r="B320" s="6"/>
      <c r="C320" s="77"/>
      <c r="D320" s="6"/>
      <c r="E320" s="6"/>
      <c r="F320" s="6"/>
      <c r="G320" s="6"/>
      <c r="H320" s="6"/>
      <c r="I320" s="6"/>
      <c r="J320" s="6"/>
      <c r="K320" s="6"/>
      <c r="L320" s="6"/>
      <c r="M320" s="6"/>
      <c r="N320" s="6"/>
      <c r="O320" s="6"/>
      <c r="P320" s="6"/>
      <c r="Q320" s="6"/>
      <c r="R320" s="6"/>
      <c r="S320" s="6"/>
      <c r="T320" s="6"/>
      <c r="U320" s="6"/>
      <c r="V320" s="6"/>
      <c r="W320" s="6"/>
      <c r="X320" s="6"/>
      <c r="Y320" s="6"/>
      <c r="Z320" s="6"/>
    </row>
    <row r="321" ht="12.75" customHeight="1">
      <c r="A321" s="76"/>
      <c r="B321" s="6"/>
      <c r="C321" s="77"/>
      <c r="D321" s="6"/>
      <c r="E321" s="6"/>
      <c r="F321" s="6"/>
      <c r="G321" s="6"/>
      <c r="H321" s="6"/>
      <c r="I321" s="6"/>
      <c r="J321" s="6"/>
      <c r="K321" s="6"/>
      <c r="L321" s="6"/>
      <c r="M321" s="6"/>
      <c r="N321" s="6"/>
      <c r="O321" s="6"/>
      <c r="P321" s="6"/>
      <c r="Q321" s="6"/>
      <c r="R321" s="6"/>
      <c r="S321" s="6"/>
      <c r="T321" s="6"/>
      <c r="U321" s="6"/>
      <c r="V321" s="6"/>
      <c r="W321" s="6"/>
      <c r="X321" s="6"/>
      <c r="Y321" s="6"/>
      <c r="Z321" s="6"/>
    </row>
    <row r="322" ht="12.75" customHeight="1">
      <c r="A322" s="76"/>
      <c r="B322" s="6"/>
      <c r="C322" s="77"/>
      <c r="D322" s="6"/>
      <c r="E322" s="6"/>
      <c r="F322" s="6"/>
      <c r="G322" s="6"/>
      <c r="H322" s="6"/>
      <c r="I322" s="6"/>
      <c r="J322" s="6"/>
      <c r="K322" s="6"/>
      <c r="L322" s="6"/>
      <c r="M322" s="6"/>
      <c r="N322" s="6"/>
      <c r="O322" s="6"/>
      <c r="P322" s="6"/>
      <c r="Q322" s="6"/>
      <c r="R322" s="6"/>
      <c r="S322" s="6"/>
      <c r="T322" s="6"/>
      <c r="U322" s="6"/>
      <c r="V322" s="6"/>
      <c r="W322" s="6"/>
      <c r="X322" s="6"/>
      <c r="Y322" s="6"/>
      <c r="Z322" s="6"/>
    </row>
    <row r="323" ht="12.75" customHeight="1">
      <c r="A323" s="76"/>
      <c r="B323" s="6"/>
      <c r="C323" s="77"/>
      <c r="D323" s="6"/>
      <c r="E323" s="6"/>
      <c r="F323" s="6"/>
      <c r="G323" s="6"/>
      <c r="H323" s="6"/>
      <c r="I323" s="6"/>
      <c r="J323" s="6"/>
      <c r="K323" s="6"/>
      <c r="L323" s="6"/>
      <c r="M323" s="6"/>
      <c r="N323" s="6"/>
      <c r="O323" s="6"/>
      <c r="P323" s="6"/>
      <c r="Q323" s="6"/>
      <c r="R323" s="6"/>
      <c r="S323" s="6"/>
      <c r="T323" s="6"/>
      <c r="U323" s="6"/>
      <c r="V323" s="6"/>
      <c r="W323" s="6"/>
      <c r="X323" s="6"/>
      <c r="Y323" s="6"/>
      <c r="Z323" s="6"/>
    </row>
    <row r="324" ht="12.75" customHeight="1">
      <c r="A324" s="76"/>
      <c r="B324" s="6"/>
      <c r="C324" s="77"/>
      <c r="D324" s="6"/>
      <c r="E324" s="6"/>
      <c r="F324" s="6"/>
      <c r="G324" s="6"/>
      <c r="H324" s="6"/>
      <c r="I324" s="6"/>
      <c r="J324" s="6"/>
      <c r="K324" s="6"/>
      <c r="L324" s="6"/>
      <c r="M324" s="6"/>
      <c r="N324" s="6"/>
      <c r="O324" s="6"/>
      <c r="P324" s="6"/>
      <c r="Q324" s="6"/>
      <c r="R324" s="6"/>
      <c r="S324" s="6"/>
      <c r="T324" s="6"/>
      <c r="U324" s="6"/>
      <c r="V324" s="6"/>
      <c r="W324" s="6"/>
      <c r="X324" s="6"/>
      <c r="Y324" s="6"/>
      <c r="Z324" s="6"/>
    </row>
    <row r="325" ht="12.75" customHeight="1">
      <c r="A325" s="76"/>
      <c r="B325" s="6"/>
      <c r="C325" s="77"/>
      <c r="D325" s="6"/>
      <c r="E325" s="6"/>
      <c r="F325" s="6"/>
      <c r="G325" s="6"/>
      <c r="H325" s="6"/>
      <c r="I325" s="6"/>
      <c r="J325" s="6"/>
      <c r="K325" s="6"/>
      <c r="L325" s="6"/>
      <c r="M325" s="6"/>
      <c r="N325" s="6"/>
      <c r="O325" s="6"/>
      <c r="P325" s="6"/>
      <c r="Q325" s="6"/>
      <c r="R325" s="6"/>
      <c r="S325" s="6"/>
      <c r="T325" s="6"/>
      <c r="U325" s="6"/>
      <c r="V325" s="6"/>
      <c r="W325" s="6"/>
      <c r="X325" s="6"/>
      <c r="Y325" s="6"/>
      <c r="Z325" s="6"/>
    </row>
    <row r="326" ht="12.75" customHeight="1">
      <c r="A326" s="76"/>
      <c r="B326" s="6"/>
      <c r="C326" s="77"/>
      <c r="D326" s="6"/>
      <c r="E326" s="6"/>
      <c r="F326" s="6"/>
      <c r="G326" s="6"/>
      <c r="H326" s="6"/>
      <c r="I326" s="6"/>
      <c r="J326" s="6"/>
      <c r="K326" s="6"/>
      <c r="L326" s="6"/>
      <c r="M326" s="6"/>
      <c r="N326" s="6"/>
      <c r="O326" s="6"/>
      <c r="P326" s="6"/>
      <c r="Q326" s="6"/>
      <c r="R326" s="6"/>
      <c r="S326" s="6"/>
      <c r="T326" s="6"/>
      <c r="U326" s="6"/>
      <c r="V326" s="6"/>
      <c r="W326" s="6"/>
      <c r="X326" s="6"/>
      <c r="Y326" s="6"/>
      <c r="Z326" s="6"/>
    </row>
    <row r="327" ht="12.75" customHeight="1">
      <c r="A327" s="76"/>
      <c r="B327" s="6"/>
      <c r="C327" s="77"/>
      <c r="D327" s="6"/>
      <c r="E327" s="6"/>
      <c r="F327" s="6"/>
      <c r="G327" s="6"/>
      <c r="H327" s="6"/>
      <c r="I327" s="6"/>
      <c r="J327" s="6"/>
      <c r="K327" s="6"/>
      <c r="L327" s="6"/>
      <c r="M327" s="6"/>
      <c r="N327" s="6"/>
      <c r="O327" s="6"/>
      <c r="P327" s="6"/>
      <c r="Q327" s="6"/>
      <c r="R327" s="6"/>
      <c r="S327" s="6"/>
      <c r="T327" s="6"/>
      <c r="U327" s="6"/>
      <c r="V327" s="6"/>
      <c r="W327" s="6"/>
      <c r="X327" s="6"/>
      <c r="Y327" s="6"/>
      <c r="Z327" s="6"/>
    </row>
    <row r="328" ht="12.75" customHeight="1">
      <c r="A328" s="76"/>
      <c r="B328" s="6"/>
      <c r="C328" s="77"/>
      <c r="D328" s="6"/>
      <c r="E328" s="6"/>
      <c r="F328" s="6"/>
      <c r="G328" s="6"/>
      <c r="H328" s="6"/>
      <c r="I328" s="6"/>
      <c r="J328" s="6"/>
      <c r="K328" s="6"/>
      <c r="L328" s="6"/>
      <c r="M328" s="6"/>
      <c r="N328" s="6"/>
      <c r="O328" s="6"/>
      <c r="P328" s="6"/>
      <c r="Q328" s="6"/>
      <c r="R328" s="6"/>
      <c r="S328" s="6"/>
      <c r="T328" s="6"/>
      <c r="U328" s="6"/>
      <c r="V328" s="6"/>
      <c r="W328" s="6"/>
      <c r="X328" s="6"/>
      <c r="Y328" s="6"/>
      <c r="Z328" s="6"/>
    </row>
    <row r="329" ht="12.75" customHeight="1">
      <c r="A329" s="76"/>
      <c r="B329" s="6"/>
      <c r="C329" s="77"/>
      <c r="D329" s="6"/>
      <c r="E329" s="6"/>
      <c r="F329" s="6"/>
      <c r="G329" s="6"/>
      <c r="H329" s="6"/>
      <c r="I329" s="6"/>
      <c r="J329" s="6"/>
      <c r="K329" s="6"/>
      <c r="L329" s="6"/>
      <c r="M329" s="6"/>
      <c r="N329" s="6"/>
      <c r="O329" s="6"/>
      <c r="P329" s="6"/>
      <c r="Q329" s="6"/>
      <c r="R329" s="6"/>
      <c r="S329" s="6"/>
      <c r="T329" s="6"/>
      <c r="U329" s="6"/>
      <c r="V329" s="6"/>
      <c r="W329" s="6"/>
      <c r="X329" s="6"/>
      <c r="Y329" s="6"/>
      <c r="Z329" s="6"/>
    </row>
    <row r="330" ht="12.75" customHeight="1">
      <c r="A330" s="76"/>
      <c r="B330" s="6"/>
      <c r="C330" s="77"/>
      <c r="D330" s="6"/>
      <c r="E330" s="6"/>
      <c r="F330" s="6"/>
      <c r="G330" s="6"/>
      <c r="H330" s="6"/>
      <c r="I330" s="6"/>
      <c r="J330" s="6"/>
      <c r="K330" s="6"/>
      <c r="L330" s="6"/>
      <c r="M330" s="6"/>
      <c r="N330" s="6"/>
      <c r="O330" s="6"/>
      <c r="P330" s="6"/>
      <c r="Q330" s="6"/>
      <c r="R330" s="6"/>
      <c r="S330" s="6"/>
      <c r="T330" s="6"/>
      <c r="U330" s="6"/>
      <c r="V330" s="6"/>
      <c r="W330" s="6"/>
      <c r="X330" s="6"/>
      <c r="Y330" s="6"/>
      <c r="Z330" s="6"/>
    </row>
    <row r="331" ht="12.75" customHeight="1">
      <c r="A331" s="76"/>
      <c r="B331" s="6"/>
      <c r="C331" s="77"/>
      <c r="D331" s="6"/>
      <c r="E331" s="6"/>
      <c r="F331" s="6"/>
      <c r="G331" s="6"/>
      <c r="H331" s="6"/>
      <c r="I331" s="6"/>
      <c r="J331" s="6"/>
      <c r="K331" s="6"/>
      <c r="L331" s="6"/>
      <c r="M331" s="6"/>
      <c r="N331" s="6"/>
      <c r="O331" s="6"/>
      <c r="P331" s="6"/>
      <c r="Q331" s="6"/>
      <c r="R331" s="6"/>
      <c r="S331" s="6"/>
      <c r="T331" s="6"/>
      <c r="U331" s="6"/>
      <c r="V331" s="6"/>
      <c r="W331" s="6"/>
      <c r="X331" s="6"/>
      <c r="Y331" s="6"/>
      <c r="Z331" s="6"/>
    </row>
    <row r="332" ht="12.75" customHeight="1">
      <c r="A332" s="76"/>
      <c r="B332" s="6"/>
      <c r="C332" s="77"/>
      <c r="D332" s="6"/>
      <c r="E332" s="6"/>
      <c r="F332" s="6"/>
      <c r="G332" s="6"/>
      <c r="H332" s="6"/>
      <c r="I332" s="6"/>
      <c r="J332" s="6"/>
      <c r="K332" s="6"/>
      <c r="L332" s="6"/>
      <c r="M332" s="6"/>
      <c r="N332" s="6"/>
      <c r="O332" s="6"/>
      <c r="P332" s="6"/>
      <c r="Q332" s="6"/>
      <c r="R332" s="6"/>
      <c r="S332" s="6"/>
      <c r="T332" s="6"/>
      <c r="U332" s="6"/>
      <c r="V332" s="6"/>
      <c r="W332" s="6"/>
      <c r="X332" s="6"/>
      <c r="Y332" s="6"/>
      <c r="Z332" s="6"/>
    </row>
    <row r="333" ht="12.75" customHeight="1">
      <c r="A333" s="76"/>
      <c r="B333" s="6"/>
      <c r="C333" s="77"/>
      <c r="D333" s="6"/>
      <c r="E333" s="6"/>
      <c r="F333" s="6"/>
      <c r="G333" s="6"/>
      <c r="H333" s="6"/>
      <c r="I333" s="6"/>
      <c r="J333" s="6"/>
      <c r="K333" s="6"/>
      <c r="L333" s="6"/>
      <c r="M333" s="6"/>
      <c r="N333" s="6"/>
      <c r="O333" s="6"/>
      <c r="P333" s="6"/>
      <c r="Q333" s="6"/>
      <c r="R333" s="6"/>
      <c r="S333" s="6"/>
      <c r="T333" s="6"/>
      <c r="U333" s="6"/>
      <c r="V333" s="6"/>
      <c r="W333" s="6"/>
      <c r="X333" s="6"/>
      <c r="Y333" s="6"/>
      <c r="Z333" s="6"/>
    </row>
    <row r="334" ht="12.75" customHeight="1">
      <c r="A334" s="76"/>
      <c r="B334" s="6"/>
      <c r="C334" s="77"/>
      <c r="D334" s="6"/>
      <c r="E334" s="6"/>
      <c r="F334" s="6"/>
      <c r="G334" s="6"/>
      <c r="H334" s="6"/>
      <c r="I334" s="6"/>
      <c r="J334" s="6"/>
      <c r="K334" s="6"/>
      <c r="L334" s="6"/>
      <c r="M334" s="6"/>
      <c r="N334" s="6"/>
      <c r="O334" s="6"/>
      <c r="P334" s="6"/>
      <c r="Q334" s="6"/>
      <c r="R334" s="6"/>
      <c r="S334" s="6"/>
      <c r="T334" s="6"/>
      <c r="U334" s="6"/>
      <c r="V334" s="6"/>
      <c r="W334" s="6"/>
      <c r="X334" s="6"/>
      <c r="Y334" s="6"/>
      <c r="Z334" s="6"/>
    </row>
    <row r="335" ht="12.75" customHeight="1">
      <c r="A335" s="76"/>
      <c r="B335" s="6"/>
      <c r="C335" s="77"/>
      <c r="D335" s="6"/>
      <c r="E335" s="6"/>
      <c r="F335" s="6"/>
      <c r="G335" s="6"/>
      <c r="H335" s="6"/>
      <c r="I335" s="6"/>
      <c r="J335" s="6"/>
      <c r="K335" s="6"/>
      <c r="L335" s="6"/>
      <c r="M335" s="6"/>
      <c r="N335" s="6"/>
      <c r="O335" s="6"/>
      <c r="P335" s="6"/>
      <c r="Q335" s="6"/>
      <c r="R335" s="6"/>
      <c r="S335" s="6"/>
      <c r="T335" s="6"/>
      <c r="U335" s="6"/>
      <c r="V335" s="6"/>
      <c r="W335" s="6"/>
      <c r="X335" s="6"/>
      <c r="Y335" s="6"/>
      <c r="Z335" s="6"/>
    </row>
    <row r="336" ht="12.75" customHeight="1">
      <c r="A336" s="76"/>
      <c r="B336" s="6"/>
      <c r="C336" s="77"/>
      <c r="D336" s="6"/>
      <c r="E336" s="6"/>
      <c r="F336" s="6"/>
      <c r="G336" s="6"/>
      <c r="H336" s="6"/>
      <c r="I336" s="6"/>
      <c r="J336" s="6"/>
      <c r="K336" s="6"/>
      <c r="L336" s="6"/>
      <c r="M336" s="6"/>
      <c r="N336" s="6"/>
      <c r="O336" s="6"/>
      <c r="P336" s="6"/>
      <c r="Q336" s="6"/>
      <c r="R336" s="6"/>
      <c r="S336" s="6"/>
      <c r="T336" s="6"/>
      <c r="U336" s="6"/>
      <c r="V336" s="6"/>
      <c r="W336" s="6"/>
      <c r="X336" s="6"/>
      <c r="Y336" s="6"/>
      <c r="Z336" s="6"/>
    </row>
    <row r="337" ht="12.75" customHeight="1">
      <c r="A337" s="76"/>
      <c r="B337" s="6"/>
      <c r="C337" s="77"/>
      <c r="D337" s="6"/>
      <c r="E337" s="6"/>
      <c r="F337" s="6"/>
      <c r="G337" s="6"/>
      <c r="H337" s="6"/>
      <c r="I337" s="6"/>
      <c r="J337" s="6"/>
      <c r="K337" s="6"/>
      <c r="L337" s="6"/>
      <c r="M337" s="6"/>
      <c r="N337" s="6"/>
      <c r="O337" s="6"/>
      <c r="P337" s="6"/>
      <c r="Q337" s="6"/>
      <c r="R337" s="6"/>
      <c r="S337" s="6"/>
      <c r="T337" s="6"/>
      <c r="U337" s="6"/>
      <c r="V337" s="6"/>
      <c r="W337" s="6"/>
      <c r="X337" s="6"/>
      <c r="Y337" s="6"/>
      <c r="Z337" s="6"/>
    </row>
    <row r="338" ht="12.75" customHeight="1">
      <c r="A338" s="76"/>
      <c r="B338" s="6"/>
      <c r="C338" s="77"/>
      <c r="D338" s="6"/>
      <c r="E338" s="6"/>
      <c r="F338" s="6"/>
      <c r="G338" s="6"/>
      <c r="H338" s="6"/>
      <c r="I338" s="6"/>
      <c r="J338" s="6"/>
      <c r="K338" s="6"/>
      <c r="L338" s="6"/>
      <c r="M338" s="6"/>
      <c r="N338" s="6"/>
      <c r="O338" s="6"/>
      <c r="P338" s="6"/>
      <c r="Q338" s="6"/>
      <c r="R338" s="6"/>
      <c r="S338" s="6"/>
      <c r="T338" s="6"/>
      <c r="U338" s="6"/>
      <c r="V338" s="6"/>
      <c r="W338" s="6"/>
      <c r="X338" s="6"/>
      <c r="Y338" s="6"/>
      <c r="Z338" s="6"/>
    </row>
    <row r="339" ht="12.75" customHeight="1">
      <c r="A339" s="76"/>
      <c r="B339" s="6"/>
      <c r="C339" s="77"/>
      <c r="D339" s="6"/>
      <c r="E339" s="6"/>
      <c r="F339" s="6"/>
      <c r="G339" s="6"/>
      <c r="H339" s="6"/>
      <c r="I339" s="6"/>
      <c r="J339" s="6"/>
      <c r="K339" s="6"/>
      <c r="L339" s="6"/>
      <c r="M339" s="6"/>
      <c r="N339" s="6"/>
      <c r="O339" s="6"/>
      <c r="P339" s="6"/>
      <c r="Q339" s="6"/>
      <c r="R339" s="6"/>
      <c r="S339" s="6"/>
      <c r="T339" s="6"/>
      <c r="U339" s="6"/>
      <c r="V339" s="6"/>
      <c r="W339" s="6"/>
      <c r="X339" s="6"/>
      <c r="Y339" s="6"/>
      <c r="Z339" s="6"/>
    </row>
    <row r="340" ht="12.75" customHeight="1">
      <c r="A340" s="76"/>
      <c r="B340" s="6"/>
      <c r="C340" s="77"/>
      <c r="D340" s="6"/>
      <c r="E340" s="6"/>
      <c r="F340" s="6"/>
      <c r="G340" s="6"/>
      <c r="H340" s="6"/>
      <c r="I340" s="6"/>
      <c r="J340" s="6"/>
      <c r="K340" s="6"/>
      <c r="L340" s="6"/>
      <c r="M340" s="6"/>
      <c r="N340" s="6"/>
      <c r="O340" s="6"/>
      <c r="P340" s="6"/>
      <c r="Q340" s="6"/>
      <c r="R340" s="6"/>
      <c r="S340" s="6"/>
      <c r="T340" s="6"/>
      <c r="U340" s="6"/>
      <c r="V340" s="6"/>
      <c r="W340" s="6"/>
      <c r="X340" s="6"/>
      <c r="Y340" s="6"/>
      <c r="Z340" s="6"/>
    </row>
    <row r="341" ht="12.75" customHeight="1">
      <c r="A341" s="76"/>
      <c r="B341" s="6"/>
      <c r="C341" s="77"/>
      <c r="D341" s="6"/>
      <c r="E341" s="6"/>
      <c r="F341" s="6"/>
      <c r="G341" s="6"/>
      <c r="H341" s="6"/>
      <c r="I341" s="6"/>
      <c r="J341" s="6"/>
      <c r="K341" s="6"/>
      <c r="L341" s="6"/>
      <c r="M341" s="6"/>
      <c r="N341" s="6"/>
      <c r="O341" s="6"/>
      <c r="P341" s="6"/>
      <c r="Q341" s="6"/>
      <c r="R341" s="6"/>
      <c r="S341" s="6"/>
      <c r="T341" s="6"/>
      <c r="U341" s="6"/>
      <c r="V341" s="6"/>
      <c r="W341" s="6"/>
      <c r="X341" s="6"/>
      <c r="Y341" s="6"/>
      <c r="Z341" s="6"/>
    </row>
    <row r="342" ht="12.75" customHeight="1">
      <c r="A342" s="76"/>
      <c r="B342" s="6"/>
      <c r="C342" s="77"/>
      <c r="D342" s="6"/>
      <c r="E342" s="6"/>
      <c r="F342" s="6"/>
      <c r="G342" s="6"/>
      <c r="H342" s="6"/>
      <c r="I342" s="6"/>
      <c r="J342" s="6"/>
      <c r="K342" s="6"/>
      <c r="L342" s="6"/>
      <c r="M342" s="6"/>
      <c r="N342" s="6"/>
      <c r="O342" s="6"/>
      <c r="P342" s="6"/>
      <c r="Q342" s="6"/>
      <c r="R342" s="6"/>
      <c r="S342" s="6"/>
      <c r="T342" s="6"/>
      <c r="U342" s="6"/>
      <c r="V342" s="6"/>
      <c r="W342" s="6"/>
      <c r="X342" s="6"/>
      <c r="Y342" s="6"/>
      <c r="Z342" s="6"/>
    </row>
    <row r="343" ht="12.75" customHeight="1">
      <c r="A343" s="76"/>
      <c r="B343" s="6"/>
      <c r="C343" s="77"/>
      <c r="D343" s="6"/>
      <c r="E343" s="6"/>
      <c r="F343" s="6"/>
      <c r="G343" s="6"/>
      <c r="H343" s="6"/>
      <c r="I343" s="6"/>
      <c r="J343" s="6"/>
      <c r="K343" s="6"/>
      <c r="L343" s="6"/>
      <c r="M343" s="6"/>
      <c r="N343" s="6"/>
      <c r="O343" s="6"/>
      <c r="P343" s="6"/>
      <c r="Q343" s="6"/>
      <c r="R343" s="6"/>
      <c r="S343" s="6"/>
      <c r="T343" s="6"/>
      <c r="U343" s="6"/>
      <c r="V343" s="6"/>
      <c r="W343" s="6"/>
      <c r="X343" s="6"/>
      <c r="Y343" s="6"/>
      <c r="Z343" s="6"/>
    </row>
    <row r="344" ht="12.75" customHeight="1">
      <c r="A344" s="76"/>
      <c r="B344" s="6"/>
      <c r="C344" s="77"/>
      <c r="D344" s="6"/>
      <c r="E344" s="6"/>
      <c r="F344" s="6"/>
      <c r="G344" s="6"/>
      <c r="H344" s="6"/>
      <c r="I344" s="6"/>
      <c r="J344" s="6"/>
      <c r="K344" s="6"/>
      <c r="L344" s="6"/>
      <c r="M344" s="6"/>
      <c r="N344" s="6"/>
      <c r="O344" s="6"/>
      <c r="P344" s="6"/>
      <c r="Q344" s="6"/>
      <c r="R344" s="6"/>
      <c r="S344" s="6"/>
      <c r="T344" s="6"/>
      <c r="U344" s="6"/>
      <c r="V344" s="6"/>
      <c r="W344" s="6"/>
      <c r="X344" s="6"/>
      <c r="Y344" s="6"/>
      <c r="Z344" s="6"/>
    </row>
    <row r="345" ht="12.75" customHeight="1">
      <c r="A345" s="76"/>
      <c r="B345" s="6"/>
      <c r="C345" s="77"/>
      <c r="D345" s="6"/>
      <c r="E345" s="6"/>
      <c r="F345" s="6"/>
      <c r="G345" s="6"/>
      <c r="H345" s="6"/>
      <c r="I345" s="6"/>
      <c r="J345" s="6"/>
      <c r="K345" s="6"/>
      <c r="L345" s="6"/>
      <c r="M345" s="6"/>
      <c r="N345" s="6"/>
      <c r="O345" s="6"/>
      <c r="P345" s="6"/>
      <c r="Q345" s="6"/>
      <c r="R345" s="6"/>
      <c r="S345" s="6"/>
      <c r="T345" s="6"/>
      <c r="U345" s="6"/>
      <c r="V345" s="6"/>
      <c r="W345" s="6"/>
      <c r="X345" s="6"/>
      <c r="Y345" s="6"/>
      <c r="Z345" s="6"/>
    </row>
    <row r="346" ht="12.75" customHeight="1">
      <c r="A346" s="76"/>
      <c r="B346" s="6"/>
      <c r="C346" s="77"/>
      <c r="D346" s="6"/>
      <c r="E346" s="6"/>
      <c r="F346" s="6"/>
      <c r="G346" s="6"/>
      <c r="H346" s="6"/>
      <c r="I346" s="6"/>
      <c r="J346" s="6"/>
      <c r="K346" s="6"/>
      <c r="L346" s="6"/>
      <c r="M346" s="6"/>
      <c r="N346" s="6"/>
      <c r="O346" s="6"/>
      <c r="P346" s="6"/>
      <c r="Q346" s="6"/>
      <c r="R346" s="6"/>
      <c r="S346" s="6"/>
      <c r="T346" s="6"/>
      <c r="U346" s="6"/>
      <c r="V346" s="6"/>
      <c r="W346" s="6"/>
      <c r="X346" s="6"/>
      <c r="Y346" s="6"/>
      <c r="Z346" s="6"/>
    </row>
    <row r="347" ht="12.75" customHeight="1">
      <c r="A347" s="76"/>
      <c r="B347" s="6"/>
      <c r="C347" s="77"/>
      <c r="D347" s="6"/>
      <c r="E347" s="6"/>
      <c r="F347" s="6"/>
      <c r="G347" s="6"/>
      <c r="H347" s="6"/>
      <c r="I347" s="6"/>
      <c r="J347" s="6"/>
      <c r="K347" s="6"/>
      <c r="L347" s="6"/>
      <c r="M347" s="6"/>
      <c r="N347" s="6"/>
      <c r="O347" s="6"/>
      <c r="P347" s="6"/>
      <c r="Q347" s="6"/>
      <c r="R347" s="6"/>
      <c r="S347" s="6"/>
      <c r="T347" s="6"/>
      <c r="U347" s="6"/>
      <c r="V347" s="6"/>
      <c r="W347" s="6"/>
      <c r="X347" s="6"/>
      <c r="Y347" s="6"/>
      <c r="Z347" s="6"/>
    </row>
    <row r="348" ht="12.75" customHeight="1">
      <c r="A348" s="76"/>
      <c r="B348" s="6"/>
      <c r="C348" s="77"/>
      <c r="D348" s="6"/>
      <c r="E348" s="6"/>
      <c r="F348" s="6"/>
      <c r="G348" s="6"/>
      <c r="H348" s="6"/>
      <c r="I348" s="6"/>
      <c r="J348" s="6"/>
      <c r="K348" s="6"/>
      <c r="L348" s="6"/>
      <c r="M348" s="6"/>
      <c r="N348" s="6"/>
      <c r="O348" s="6"/>
      <c r="P348" s="6"/>
      <c r="Q348" s="6"/>
      <c r="R348" s="6"/>
      <c r="S348" s="6"/>
      <c r="T348" s="6"/>
      <c r="U348" s="6"/>
      <c r="V348" s="6"/>
      <c r="W348" s="6"/>
      <c r="X348" s="6"/>
      <c r="Y348" s="6"/>
      <c r="Z348" s="6"/>
    </row>
    <row r="349" ht="12.75" customHeight="1">
      <c r="A349" s="76"/>
      <c r="B349" s="6"/>
      <c r="C349" s="77"/>
      <c r="D349" s="6"/>
      <c r="E349" s="6"/>
      <c r="F349" s="6"/>
      <c r="G349" s="6"/>
      <c r="H349" s="6"/>
      <c r="I349" s="6"/>
      <c r="J349" s="6"/>
      <c r="K349" s="6"/>
      <c r="L349" s="6"/>
      <c r="M349" s="6"/>
      <c r="N349" s="6"/>
      <c r="O349" s="6"/>
      <c r="P349" s="6"/>
      <c r="Q349" s="6"/>
      <c r="R349" s="6"/>
      <c r="S349" s="6"/>
      <c r="T349" s="6"/>
      <c r="U349" s="6"/>
      <c r="V349" s="6"/>
      <c r="W349" s="6"/>
      <c r="X349" s="6"/>
      <c r="Y349" s="6"/>
      <c r="Z349" s="6"/>
    </row>
    <row r="350" ht="12.75" customHeight="1">
      <c r="A350" s="76"/>
      <c r="B350" s="6"/>
      <c r="C350" s="77"/>
      <c r="D350" s="6"/>
      <c r="E350" s="6"/>
      <c r="F350" s="6"/>
      <c r="G350" s="6"/>
      <c r="H350" s="6"/>
      <c r="I350" s="6"/>
      <c r="J350" s="6"/>
      <c r="K350" s="6"/>
      <c r="L350" s="6"/>
      <c r="M350" s="6"/>
      <c r="N350" s="6"/>
      <c r="O350" s="6"/>
      <c r="P350" s="6"/>
      <c r="Q350" s="6"/>
      <c r="R350" s="6"/>
      <c r="S350" s="6"/>
      <c r="T350" s="6"/>
      <c r="U350" s="6"/>
      <c r="V350" s="6"/>
      <c r="W350" s="6"/>
      <c r="X350" s="6"/>
      <c r="Y350" s="6"/>
      <c r="Z350" s="6"/>
    </row>
    <row r="351" ht="12.75" customHeight="1">
      <c r="A351" s="76"/>
      <c r="B351" s="6"/>
      <c r="C351" s="77"/>
      <c r="D351" s="6"/>
      <c r="E351" s="6"/>
      <c r="F351" s="6"/>
      <c r="G351" s="6"/>
      <c r="H351" s="6"/>
      <c r="I351" s="6"/>
      <c r="J351" s="6"/>
      <c r="K351" s="6"/>
      <c r="L351" s="6"/>
      <c r="M351" s="6"/>
      <c r="N351" s="6"/>
      <c r="O351" s="6"/>
      <c r="P351" s="6"/>
      <c r="Q351" s="6"/>
      <c r="R351" s="6"/>
      <c r="S351" s="6"/>
      <c r="T351" s="6"/>
      <c r="U351" s="6"/>
      <c r="V351" s="6"/>
      <c r="W351" s="6"/>
      <c r="X351" s="6"/>
      <c r="Y351" s="6"/>
      <c r="Z351" s="6"/>
    </row>
    <row r="352" ht="12.75" customHeight="1">
      <c r="A352" s="76"/>
      <c r="B352" s="6"/>
      <c r="C352" s="77"/>
      <c r="D352" s="6"/>
      <c r="E352" s="6"/>
      <c r="F352" s="6"/>
      <c r="G352" s="6"/>
      <c r="H352" s="6"/>
      <c r="I352" s="6"/>
      <c r="J352" s="6"/>
      <c r="K352" s="6"/>
      <c r="L352" s="6"/>
      <c r="M352" s="6"/>
      <c r="N352" s="6"/>
      <c r="O352" s="6"/>
      <c r="P352" s="6"/>
      <c r="Q352" s="6"/>
      <c r="R352" s="6"/>
      <c r="S352" s="6"/>
      <c r="T352" s="6"/>
      <c r="U352" s="6"/>
      <c r="V352" s="6"/>
      <c r="W352" s="6"/>
      <c r="X352" s="6"/>
      <c r="Y352" s="6"/>
      <c r="Z352" s="6"/>
    </row>
    <row r="353" ht="12.75" customHeight="1">
      <c r="A353" s="76"/>
      <c r="B353" s="6"/>
      <c r="C353" s="77"/>
      <c r="D353" s="6"/>
      <c r="E353" s="6"/>
      <c r="F353" s="6"/>
      <c r="G353" s="6"/>
      <c r="H353" s="6"/>
      <c r="I353" s="6"/>
      <c r="J353" s="6"/>
      <c r="K353" s="6"/>
      <c r="L353" s="6"/>
      <c r="M353" s="6"/>
      <c r="N353" s="6"/>
      <c r="O353" s="6"/>
      <c r="P353" s="6"/>
      <c r="Q353" s="6"/>
      <c r="R353" s="6"/>
      <c r="S353" s="6"/>
      <c r="T353" s="6"/>
      <c r="U353" s="6"/>
      <c r="V353" s="6"/>
      <c r="W353" s="6"/>
      <c r="X353" s="6"/>
      <c r="Y353" s="6"/>
      <c r="Z353" s="6"/>
    </row>
    <row r="354" ht="12.75" customHeight="1">
      <c r="A354" s="76"/>
      <c r="B354" s="6"/>
      <c r="C354" s="77"/>
      <c r="D354" s="6"/>
      <c r="E354" s="6"/>
      <c r="F354" s="6"/>
      <c r="G354" s="6"/>
      <c r="H354" s="6"/>
      <c r="I354" s="6"/>
      <c r="J354" s="6"/>
      <c r="K354" s="6"/>
      <c r="L354" s="6"/>
      <c r="M354" s="6"/>
      <c r="N354" s="6"/>
      <c r="O354" s="6"/>
      <c r="P354" s="6"/>
      <c r="Q354" s="6"/>
      <c r="R354" s="6"/>
      <c r="S354" s="6"/>
      <c r="T354" s="6"/>
      <c r="U354" s="6"/>
      <c r="V354" s="6"/>
      <c r="W354" s="6"/>
      <c r="X354" s="6"/>
      <c r="Y354" s="6"/>
      <c r="Z354" s="6"/>
    </row>
    <row r="355" ht="12.75" customHeight="1">
      <c r="A355" s="76"/>
      <c r="B355" s="6"/>
      <c r="C355" s="77"/>
      <c r="D355" s="6"/>
      <c r="E355" s="6"/>
      <c r="F355" s="6"/>
      <c r="G355" s="6"/>
      <c r="H355" s="6"/>
      <c r="I355" s="6"/>
      <c r="J355" s="6"/>
      <c r="K355" s="6"/>
      <c r="L355" s="6"/>
      <c r="M355" s="6"/>
      <c r="N355" s="6"/>
      <c r="O355" s="6"/>
      <c r="P355" s="6"/>
      <c r="Q355" s="6"/>
      <c r="R355" s="6"/>
      <c r="S355" s="6"/>
      <c r="T355" s="6"/>
      <c r="U355" s="6"/>
      <c r="V355" s="6"/>
      <c r="W355" s="6"/>
      <c r="X355" s="6"/>
      <c r="Y355" s="6"/>
      <c r="Z355" s="6"/>
    </row>
    <row r="356" ht="12.75" customHeight="1">
      <c r="A356" s="76"/>
      <c r="B356" s="6"/>
      <c r="C356" s="77"/>
      <c r="D356" s="6"/>
      <c r="E356" s="6"/>
      <c r="F356" s="6"/>
      <c r="G356" s="6"/>
      <c r="H356" s="6"/>
      <c r="I356" s="6"/>
      <c r="J356" s="6"/>
      <c r="K356" s="6"/>
      <c r="L356" s="6"/>
      <c r="M356" s="6"/>
      <c r="N356" s="6"/>
      <c r="O356" s="6"/>
      <c r="P356" s="6"/>
      <c r="Q356" s="6"/>
      <c r="R356" s="6"/>
      <c r="S356" s="6"/>
      <c r="T356" s="6"/>
      <c r="U356" s="6"/>
      <c r="V356" s="6"/>
      <c r="W356" s="6"/>
      <c r="X356" s="6"/>
      <c r="Y356" s="6"/>
      <c r="Z356" s="6"/>
    </row>
    <row r="357" ht="12.75" customHeight="1">
      <c r="A357" s="76"/>
      <c r="B357" s="6"/>
      <c r="C357" s="77"/>
      <c r="D357" s="6"/>
      <c r="E357" s="6"/>
      <c r="F357" s="6"/>
      <c r="G357" s="6"/>
      <c r="H357" s="6"/>
      <c r="I357" s="6"/>
      <c r="J357" s="6"/>
      <c r="K357" s="6"/>
      <c r="L357" s="6"/>
      <c r="M357" s="6"/>
      <c r="N357" s="6"/>
      <c r="O357" s="6"/>
      <c r="P357" s="6"/>
      <c r="Q357" s="6"/>
      <c r="R357" s="6"/>
      <c r="S357" s="6"/>
      <c r="T357" s="6"/>
      <c r="U357" s="6"/>
      <c r="V357" s="6"/>
      <c r="W357" s="6"/>
      <c r="X357" s="6"/>
      <c r="Y357" s="6"/>
      <c r="Z357" s="6"/>
    </row>
    <row r="358" ht="12.75" customHeight="1">
      <c r="A358" s="76"/>
      <c r="B358" s="6"/>
      <c r="C358" s="77"/>
      <c r="D358" s="6"/>
      <c r="E358" s="6"/>
      <c r="F358" s="6"/>
      <c r="G358" s="6"/>
      <c r="H358" s="6"/>
      <c r="I358" s="6"/>
      <c r="J358" s="6"/>
      <c r="K358" s="6"/>
      <c r="L358" s="6"/>
      <c r="M358" s="6"/>
      <c r="N358" s="6"/>
      <c r="O358" s="6"/>
      <c r="P358" s="6"/>
      <c r="Q358" s="6"/>
      <c r="R358" s="6"/>
      <c r="S358" s="6"/>
      <c r="T358" s="6"/>
      <c r="U358" s="6"/>
      <c r="V358" s="6"/>
      <c r="W358" s="6"/>
      <c r="X358" s="6"/>
      <c r="Y358" s="6"/>
      <c r="Z358" s="6"/>
    </row>
    <row r="359" ht="12.75" customHeight="1">
      <c r="A359" s="76"/>
      <c r="B359" s="6"/>
      <c r="C359" s="77"/>
      <c r="D359" s="6"/>
      <c r="E359" s="6"/>
      <c r="F359" s="6"/>
      <c r="G359" s="6"/>
      <c r="H359" s="6"/>
      <c r="I359" s="6"/>
      <c r="J359" s="6"/>
      <c r="K359" s="6"/>
      <c r="L359" s="6"/>
      <c r="M359" s="6"/>
      <c r="N359" s="6"/>
      <c r="O359" s="6"/>
      <c r="P359" s="6"/>
      <c r="Q359" s="6"/>
      <c r="R359" s="6"/>
      <c r="S359" s="6"/>
      <c r="T359" s="6"/>
      <c r="U359" s="6"/>
      <c r="V359" s="6"/>
      <c r="W359" s="6"/>
      <c r="X359" s="6"/>
      <c r="Y359" s="6"/>
      <c r="Z359" s="6"/>
    </row>
    <row r="360" ht="12.75" customHeight="1">
      <c r="A360" s="76"/>
      <c r="B360" s="6"/>
      <c r="C360" s="77"/>
      <c r="D360" s="6"/>
      <c r="E360" s="6"/>
      <c r="F360" s="6"/>
      <c r="G360" s="6"/>
      <c r="H360" s="6"/>
      <c r="I360" s="6"/>
      <c r="J360" s="6"/>
      <c r="K360" s="6"/>
      <c r="L360" s="6"/>
      <c r="M360" s="6"/>
      <c r="N360" s="6"/>
      <c r="O360" s="6"/>
      <c r="P360" s="6"/>
      <c r="Q360" s="6"/>
      <c r="R360" s="6"/>
      <c r="S360" s="6"/>
      <c r="T360" s="6"/>
      <c r="U360" s="6"/>
      <c r="V360" s="6"/>
      <c r="W360" s="6"/>
      <c r="X360" s="6"/>
      <c r="Y360" s="6"/>
      <c r="Z360" s="6"/>
    </row>
    <row r="361" ht="12.75" customHeight="1">
      <c r="A361" s="76"/>
      <c r="B361" s="6"/>
      <c r="C361" s="77"/>
      <c r="D361" s="6"/>
      <c r="E361" s="6"/>
      <c r="F361" s="6"/>
      <c r="G361" s="6"/>
      <c r="H361" s="6"/>
      <c r="I361" s="6"/>
      <c r="J361" s="6"/>
      <c r="K361" s="6"/>
      <c r="L361" s="6"/>
      <c r="M361" s="6"/>
      <c r="N361" s="6"/>
      <c r="O361" s="6"/>
      <c r="P361" s="6"/>
      <c r="Q361" s="6"/>
      <c r="R361" s="6"/>
      <c r="S361" s="6"/>
      <c r="T361" s="6"/>
      <c r="U361" s="6"/>
      <c r="V361" s="6"/>
      <c r="W361" s="6"/>
      <c r="X361" s="6"/>
      <c r="Y361" s="6"/>
      <c r="Z361" s="6"/>
    </row>
    <row r="362" ht="12.75" customHeight="1">
      <c r="A362" s="76"/>
      <c r="B362" s="6"/>
      <c r="C362" s="77"/>
      <c r="D362" s="6"/>
      <c r="E362" s="6"/>
      <c r="F362" s="6"/>
      <c r="G362" s="6"/>
      <c r="H362" s="6"/>
      <c r="I362" s="6"/>
      <c r="J362" s="6"/>
      <c r="K362" s="6"/>
      <c r="L362" s="6"/>
      <c r="M362" s="6"/>
      <c r="N362" s="6"/>
      <c r="O362" s="6"/>
      <c r="P362" s="6"/>
      <c r="Q362" s="6"/>
      <c r="R362" s="6"/>
      <c r="S362" s="6"/>
      <c r="T362" s="6"/>
      <c r="U362" s="6"/>
      <c r="V362" s="6"/>
      <c r="W362" s="6"/>
      <c r="X362" s="6"/>
      <c r="Y362" s="6"/>
      <c r="Z362" s="6"/>
    </row>
    <row r="363" ht="12.75" customHeight="1">
      <c r="A363" s="76"/>
      <c r="B363" s="6"/>
      <c r="C363" s="77"/>
      <c r="D363" s="6"/>
      <c r="E363" s="6"/>
      <c r="F363" s="6"/>
      <c r="G363" s="6"/>
      <c r="H363" s="6"/>
      <c r="I363" s="6"/>
      <c r="J363" s="6"/>
      <c r="K363" s="6"/>
      <c r="L363" s="6"/>
      <c r="M363" s="6"/>
      <c r="N363" s="6"/>
      <c r="O363" s="6"/>
      <c r="P363" s="6"/>
      <c r="Q363" s="6"/>
      <c r="R363" s="6"/>
      <c r="S363" s="6"/>
      <c r="T363" s="6"/>
      <c r="U363" s="6"/>
      <c r="V363" s="6"/>
      <c r="W363" s="6"/>
      <c r="X363" s="6"/>
      <c r="Y363" s="6"/>
      <c r="Z363" s="6"/>
    </row>
    <row r="364" ht="12.75" customHeight="1">
      <c r="A364" s="76"/>
      <c r="B364" s="6"/>
      <c r="C364" s="77"/>
      <c r="D364" s="6"/>
      <c r="E364" s="6"/>
      <c r="F364" s="6"/>
      <c r="G364" s="6"/>
      <c r="H364" s="6"/>
      <c r="I364" s="6"/>
      <c r="J364" s="6"/>
      <c r="K364" s="6"/>
      <c r="L364" s="6"/>
      <c r="M364" s="6"/>
      <c r="N364" s="6"/>
      <c r="O364" s="6"/>
      <c r="P364" s="6"/>
      <c r="Q364" s="6"/>
      <c r="R364" s="6"/>
      <c r="S364" s="6"/>
      <c r="T364" s="6"/>
      <c r="U364" s="6"/>
      <c r="V364" s="6"/>
      <c r="W364" s="6"/>
      <c r="X364" s="6"/>
      <c r="Y364" s="6"/>
      <c r="Z364" s="6"/>
    </row>
    <row r="365" ht="12.75" customHeight="1">
      <c r="A365" s="76"/>
      <c r="B365" s="6"/>
      <c r="C365" s="77"/>
      <c r="D365" s="6"/>
      <c r="E365" s="6"/>
      <c r="F365" s="6"/>
      <c r="G365" s="6"/>
      <c r="H365" s="6"/>
      <c r="I365" s="6"/>
      <c r="J365" s="6"/>
      <c r="K365" s="6"/>
      <c r="L365" s="6"/>
      <c r="M365" s="6"/>
      <c r="N365" s="6"/>
      <c r="O365" s="6"/>
      <c r="P365" s="6"/>
      <c r="Q365" s="6"/>
      <c r="R365" s="6"/>
      <c r="S365" s="6"/>
      <c r="T365" s="6"/>
      <c r="U365" s="6"/>
      <c r="V365" s="6"/>
      <c r="W365" s="6"/>
      <c r="X365" s="6"/>
      <c r="Y365" s="6"/>
      <c r="Z365" s="6"/>
    </row>
    <row r="366" ht="12.75" customHeight="1">
      <c r="A366" s="76"/>
      <c r="B366" s="6"/>
      <c r="C366" s="77"/>
      <c r="D366" s="6"/>
      <c r="E366" s="6"/>
      <c r="F366" s="6"/>
      <c r="G366" s="6"/>
      <c r="H366" s="6"/>
      <c r="I366" s="6"/>
      <c r="J366" s="6"/>
      <c r="K366" s="6"/>
      <c r="L366" s="6"/>
      <c r="M366" s="6"/>
      <c r="N366" s="6"/>
      <c r="O366" s="6"/>
      <c r="P366" s="6"/>
      <c r="Q366" s="6"/>
      <c r="R366" s="6"/>
      <c r="S366" s="6"/>
      <c r="T366" s="6"/>
      <c r="U366" s="6"/>
      <c r="V366" s="6"/>
      <c r="W366" s="6"/>
      <c r="X366" s="6"/>
      <c r="Y366" s="6"/>
      <c r="Z366" s="6"/>
    </row>
    <row r="367" ht="12.75" customHeight="1">
      <c r="A367" s="76"/>
      <c r="B367" s="6"/>
      <c r="C367" s="77"/>
      <c r="D367" s="6"/>
      <c r="E367" s="6"/>
      <c r="F367" s="6"/>
      <c r="G367" s="6"/>
      <c r="H367" s="6"/>
      <c r="I367" s="6"/>
      <c r="J367" s="6"/>
      <c r="K367" s="6"/>
      <c r="L367" s="6"/>
      <c r="M367" s="6"/>
      <c r="N367" s="6"/>
      <c r="O367" s="6"/>
      <c r="P367" s="6"/>
      <c r="Q367" s="6"/>
      <c r="R367" s="6"/>
      <c r="S367" s="6"/>
      <c r="T367" s="6"/>
      <c r="U367" s="6"/>
      <c r="V367" s="6"/>
      <c r="W367" s="6"/>
      <c r="X367" s="6"/>
      <c r="Y367" s="6"/>
      <c r="Z367" s="6"/>
    </row>
    <row r="368" ht="12.75" customHeight="1">
      <c r="A368" s="76"/>
      <c r="B368" s="6"/>
      <c r="C368" s="77"/>
      <c r="D368" s="6"/>
      <c r="E368" s="6"/>
      <c r="F368" s="6"/>
      <c r="G368" s="6"/>
      <c r="H368" s="6"/>
      <c r="I368" s="6"/>
      <c r="J368" s="6"/>
      <c r="K368" s="6"/>
      <c r="L368" s="6"/>
      <c r="M368" s="6"/>
      <c r="N368" s="6"/>
      <c r="O368" s="6"/>
      <c r="P368" s="6"/>
      <c r="Q368" s="6"/>
      <c r="R368" s="6"/>
      <c r="S368" s="6"/>
      <c r="T368" s="6"/>
      <c r="U368" s="6"/>
      <c r="V368" s="6"/>
      <c r="W368" s="6"/>
      <c r="X368" s="6"/>
      <c r="Y368" s="6"/>
      <c r="Z368" s="6"/>
    </row>
    <row r="369" ht="12.75" customHeight="1">
      <c r="A369" s="76"/>
      <c r="B369" s="6"/>
      <c r="C369" s="77"/>
      <c r="D369" s="6"/>
      <c r="E369" s="6"/>
      <c r="F369" s="6"/>
      <c r="G369" s="6"/>
      <c r="H369" s="6"/>
      <c r="I369" s="6"/>
      <c r="J369" s="6"/>
      <c r="K369" s="6"/>
      <c r="L369" s="6"/>
      <c r="M369" s="6"/>
      <c r="N369" s="6"/>
      <c r="O369" s="6"/>
      <c r="P369" s="6"/>
      <c r="Q369" s="6"/>
      <c r="R369" s="6"/>
      <c r="S369" s="6"/>
      <c r="T369" s="6"/>
      <c r="U369" s="6"/>
      <c r="V369" s="6"/>
      <c r="W369" s="6"/>
      <c r="X369" s="6"/>
      <c r="Y369" s="6"/>
      <c r="Z369" s="6"/>
    </row>
    <row r="370" ht="12.75" customHeight="1">
      <c r="A370" s="76"/>
      <c r="B370" s="6"/>
      <c r="C370" s="77"/>
      <c r="D370" s="6"/>
      <c r="E370" s="6"/>
      <c r="F370" s="6"/>
      <c r="G370" s="6"/>
      <c r="H370" s="6"/>
      <c r="I370" s="6"/>
      <c r="J370" s="6"/>
      <c r="K370" s="6"/>
      <c r="L370" s="6"/>
      <c r="M370" s="6"/>
      <c r="N370" s="6"/>
      <c r="O370" s="6"/>
      <c r="P370" s="6"/>
      <c r="Q370" s="6"/>
      <c r="R370" s="6"/>
      <c r="S370" s="6"/>
      <c r="T370" s="6"/>
      <c r="U370" s="6"/>
      <c r="V370" s="6"/>
      <c r="W370" s="6"/>
      <c r="X370" s="6"/>
      <c r="Y370" s="6"/>
      <c r="Z370" s="6"/>
    </row>
    <row r="371" ht="12.75" customHeight="1">
      <c r="A371" s="76"/>
      <c r="B371" s="6"/>
      <c r="C371" s="77"/>
      <c r="D371" s="6"/>
      <c r="E371" s="6"/>
      <c r="F371" s="6"/>
      <c r="G371" s="6"/>
      <c r="H371" s="6"/>
      <c r="I371" s="6"/>
      <c r="J371" s="6"/>
      <c r="K371" s="6"/>
      <c r="L371" s="6"/>
      <c r="M371" s="6"/>
      <c r="N371" s="6"/>
      <c r="O371" s="6"/>
      <c r="P371" s="6"/>
      <c r="Q371" s="6"/>
      <c r="R371" s="6"/>
      <c r="S371" s="6"/>
      <c r="T371" s="6"/>
      <c r="U371" s="6"/>
      <c r="V371" s="6"/>
      <c r="W371" s="6"/>
      <c r="X371" s="6"/>
      <c r="Y371" s="6"/>
      <c r="Z371" s="6"/>
    </row>
    <row r="372" ht="12.75" customHeight="1">
      <c r="A372" s="76"/>
      <c r="B372" s="6"/>
      <c r="C372" s="77"/>
      <c r="D372" s="6"/>
      <c r="E372" s="6"/>
      <c r="F372" s="6"/>
      <c r="G372" s="6"/>
      <c r="H372" s="6"/>
      <c r="I372" s="6"/>
      <c r="J372" s="6"/>
      <c r="K372" s="6"/>
      <c r="L372" s="6"/>
      <c r="M372" s="6"/>
      <c r="N372" s="6"/>
      <c r="O372" s="6"/>
      <c r="P372" s="6"/>
      <c r="Q372" s="6"/>
      <c r="R372" s="6"/>
      <c r="S372" s="6"/>
      <c r="T372" s="6"/>
      <c r="U372" s="6"/>
      <c r="V372" s="6"/>
      <c r="W372" s="6"/>
      <c r="X372" s="6"/>
      <c r="Y372" s="6"/>
      <c r="Z372" s="6"/>
    </row>
    <row r="373" ht="12.75" customHeight="1">
      <c r="A373" s="76"/>
      <c r="B373" s="6"/>
      <c r="C373" s="77"/>
      <c r="D373" s="6"/>
      <c r="E373" s="6"/>
      <c r="F373" s="6"/>
      <c r="G373" s="6"/>
      <c r="H373" s="6"/>
      <c r="I373" s="6"/>
      <c r="J373" s="6"/>
      <c r="K373" s="6"/>
      <c r="L373" s="6"/>
      <c r="M373" s="6"/>
      <c r="N373" s="6"/>
      <c r="O373" s="6"/>
      <c r="P373" s="6"/>
      <c r="Q373" s="6"/>
      <c r="R373" s="6"/>
      <c r="S373" s="6"/>
      <c r="T373" s="6"/>
      <c r="U373" s="6"/>
      <c r="V373" s="6"/>
      <c r="W373" s="6"/>
      <c r="X373" s="6"/>
      <c r="Y373" s="6"/>
      <c r="Z373" s="6"/>
    </row>
    <row r="374" ht="12.75" customHeight="1">
      <c r="A374" s="76"/>
      <c r="B374" s="6"/>
      <c r="C374" s="77"/>
      <c r="D374" s="6"/>
      <c r="E374" s="6"/>
      <c r="F374" s="6"/>
      <c r="G374" s="6"/>
      <c r="H374" s="6"/>
      <c r="I374" s="6"/>
      <c r="J374" s="6"/>
      <c r="K374" s="6"/>
      <c r="L374" s="6"/>
      <c r="M374" s="6"/>
      <c r="N374" s="6"/>
      <c r="O374" s="6"/>
      <c r="P374" s="6"/>
      <c r="Q374" s="6"/>
      <c r="R374" s="6"/>
      <c r="S374" s="6"/>
      <c r="T374" s="6"/>
      <c r="U374" s="6"/>
      <c r="V374" s="6"/>
      <c r="W374" s="6"/>
      <c r="X374" s="6"/>
      <c r="Y374" s="6"/>
      <c r="Z374" s="6"/>
    </row>
    <row r="375" ht="12.75" customHeight="1">
      <c r="A375" s="76"/>
      <c r="B375" s="6"/>
      <c r="C375" s="77"/>
      <c r="D375" s="6"/>
      <c r="E375" s="6"/>
      <c r="F375" s="6"/>
      <c r="G375" s="6"/>
      <c r="H375" s="6"/>
      <c r="I375" s="6"/>
      <c r="J375" s="6"/>
      <c r="K375" s="6"/>
      <c r="L375" s="6"/>
      <c r="M375" s="6"/>
      <c r="N375" s="6"/>
      <c r="O375" s="6"/>
      <c r="P375" s="6"/>
      <c r="Q375" s="6"/>
      <c r="R375" s="6"/>
      <c r="S375" s="6"/>
      <c r="T375" s="6"/>
      <c r="U375" s="6"/>
      <c r="V375" s="6"/>
      <c r="W375" s="6"/>
      <c r="X375" s="6"/>
      <c r="Y375" s="6"/>
      <c r="Z375" s="6"/>
    </row>
    <row r="376" ht="12.75" customHeight="1">
      <c r="A376" s="76"/>
      <c r="B376" s="6"/>
      <c r="C376" s="77"/>
      <c r="D376" s="6"/>
      <c r="E376" s="6"/>
      <c r="F376" s="6"/>
      <c r="G376" s="6"/>
      <c r="H376" s="6"/>
      <c r="I376" s="6"/>
      <c r="J376" s="6"/>
      <c r="K376" s="6"/>
      <c r="L376" s="6"/>
      <c r="M376" s="6"/>
      <c r="N376" s="6"/>
      <c r="O376" s="6"/>
      <c r="P376" s="6"/>
      <c r="Q376" s="6"/>
      <c r="R376" s="6"/>
      <c r="S376" s="6"/>
      <c r="T376" s="6"/>
      <c r="U376" s="6"/>
      <c r="V376" s="6"/>
      <c r="W376" s="6"/>
      <c r="X376" s="6"/>
      <c r="Y376" s="6"/>
      <c r="Z376" s="6"/>
    </row>
    <row r="377" ht="12.75" customHeight="1">
      <c r="A377" s="76"/>
      <c r="B377" s="6"/>
      <c r="C377" s="77"/>
      <c r="D377" s="6"/>
      <c r="E377" s="6"/>
      <c r="F377" s="6"/>
      <c r="G377" s="6"/>
      <c r="H377" s="6"/>
      <c r="I377" s="6"/>
      <c r="J377" s="6"/>
      <c r="K377" s="6"/>
      <c r="L377" s="6"/>
      <c r="M377" s="6"/>
      <c r="N377" s="6"/>
      <c r="O377" s="6"/>
      <c r="P377" s="6"/>
      <c r="Q377" s="6"/>
      <c r="R377" s="6"/>
      <c r="S377" s="6"/>
      <c r="T377" s="6"/>
      <c r="U377" s="6"/>
      <c r="V377" s="6"/>
      <c r="W377" s="6"/>
      <c r="X377" s="6"/>
      <c r="Y377" s="6"/>
      <c r="Z377" s="6"/>
    </row>
    <row r="378" ht="12.75" customHeight="1">
      <c r="A378" s="76"/>
      <c r="B378" s="6"/>
      <c r="C378" s="77"/>
      <c r="D378" s="6"/>
      <c r="E378" s="6"/>
      <c r="F378" s="6"/>
      <c r="G378" s="6"/>
      <c r="H378" s="6"/>
      <c r="I378" s="6"/>
      <c r="J378" s="6"/>
      <c r="K378" s="6"/>
      <c r="L378" s="6"/>
      <c r="M378" s="6"/>
      <c r="N378" s="6"/>
      <c r="O378" s="6"/>
      <c r="P378" s="6"/>
      <c r="Q378" s="6"/>
      <c r="R378" s="6"/>
      <c r="S378" s="6"/>
      <c r="T378" s="6"/>
      <c r="U378" s="6"/>
      <c r="V378" s="6"/>
      <c r="W378" s="6"/>
      <c r="X378" s="6"/>
      <c r="Y378" s="6"/>
      <c r="Z378" s="6"/>
    </row>
    <row r="379" ht="12.75" customHeight="1">
      <c r="A379" s="76"/>
      <c r="B379" s="6"/>
      <c r="C379" s="77"/>
      <c r="D379" s="6"/>
      <c r="E379" s="6"/>
      <c r="F379" s="6"/>
      <c r="G379" s="6"/>
      <c r="H379" s="6"/>
      <c r="I379" s="6"/>
      <c r="J379" s="6"/>
      <c r="K379" s="6"/>
      <c r="L379" s="6"/>
      <c r="M379" s="6"/>
      <c r="N379" s="6"/>
      <c r="O379" s="6"/>
      <c r="P379" s="6"/>
      <c r="Q379" s="6"/>
      <c r="R379" s="6"/>
      <c r="S379" s="6"/>
      <c r="T379" s="6"/>
      <c r="U379" s="6"/>
      <c r="V379" s="6"/>
      <c r="W379" s="6"/>
      <c r="X379" s="6"/>
      <c r="Y379" s="6"/>
      <c r="Z379" s="6"/>
    </row>
    <row r="380" ht="12.75" customHeight="1">
      <c r="A380" s="76"/>
      <c r="B380" s="6"/>
      <c r="C380" s="77"/>
      <c r="D380" s="6"/>
      <c r="E380" s="6"/>
      <c r="F380" s="6"/>
      <c r="G380" s="6"/>
      <c r="H380" s="6"/>
      <c r="I380" s="6"/>
      <c r="J380" s="6"/>
      <c r="K380" s="6"/>
      <c r="L380" s="6"/>
      <c r="M380" s="6"/>
      <c r="N380" s="6"/>
      <c r="O380" s="6"/>
      <c r="P380" s="6"/>
      <c r="Q380" s="6"/>
      <c r="R380" s="6"/>
      <c r="S380" s="6"/>
      <c r="T380" s="6"/>
      <c r="U380" s="6"/>
      <c r="V380" s="6"/>
      <c r="W380" s="6"/>
      <c r="X380" s="6"/>
      <c r="Y380" s="6"/>
      <c r="Z380" s="6"/>
    </row>
    <row r="381" ht="12.75" customHeight="1">
      <c r="A381" s="76"/>
      <c r="B381" s="6"/>
      <c r="C381" s="77"/>
      <c r="D381" s="6"/>
      <c r="E381" s="6"/>
      <c r="F381" s="6"/>
      <c r="G381" s="6"/>
      <c r="H381" s="6"/>
      <c r="I381" s="6"/>
      <c r="J381" s="6"/>
      <c r="K381" s="6"/>
      <c r="L381" s="6"/>
      <c r="M381" s="6"/>
      <c r="N381" s="6"/>
      <c r="O381" s="6"/>
      <c r="P381" s="6"/>
      <c r="Q381" s="6"/>
      <c r="R381" s="6"/>
      <c r="S381" s="6"/>
      <c r="T381" s="6"/>
      <c r="U381" s="6"/>
      <c r="V381" s="6"/>
      <c r="W381" s="6"/>
      <c r="X381" s="6"/>
      <c r="Y381" s="6"/>
      <c r="Z381" s="6"/>
    </row>
    <row r="382" ht="12.75" customHeight="1">
      <c r="A382" s="76"/>
      <c r="B382" s="6"/>
      <c r="C382" s="77"/>
      <c r="D382" s="6"/>
      <c r="E382" s="6"/>
      <c r="F382" s="6"/>
      <c r="G382" s="6"/>
      <c r="H382" s="6"/>
      <c r="I382" s="6"/>
      <c r="J382" s="6"/>
      <c r="K382" s="6"/>
      <c r="L382" s="6"/>
      <c r="M382" s="6"/>
      <c r="N382" s="6"/>
      <c r="O382" s="6"/>
      <c r="P382" s="6"/>
      <c r="Q382" s="6"/>
      <c r="R382" s="6"/>
      <c r="S382" s="6"/>
      <c r="T382" s="6"/>
      <c r="U382" s="6"/>
      <c r="V382" s="6"/>
      <c r="W382" s="6"/>
      <c r="X382" s="6"/>
      <c r="Y382" s="6"/>
      <c r="Z382" s="6"/>
    </row>
    <row r="383" ht="12.75" customHeight="1">
      <c r="A383" s="76"/>
      <c r="B383" s="6"/>
      <c r="C383" s="77"/>
      <c r="D383" s="6"/>
      <c r="E383" s="6"/>
      <c r="F383" s="6"/>
      <c r="G383" s="6"/>
      <c r="H383" s="6"/>
      <c r="I383" s="6"/>
      <c r="J383" s="6"/>
      <c r="K383" s="6"/>
      <c r="L383" s="6"/>
      <c r="M383" s="6"/>
      <c r="N383" s="6"/>
      <c r="O383" s="6"/>
      <c r="P383" s="6"/>
      <c r="Q383" s="6"/>
      <c r="R383" s="6"/>
      <c r="S383" s="6"/>
      <c r="T383" s="6"/>
      <c r="U383" s="6"/>
      <c r="V383" s="6"/>
      <c r="W383" s="6"/>
      <c r="X383" s="6"/>
      <c r="Y383" s="6"/>
      <c r="Z383" s="6"/>
    </row>
    <row r="384" ht="12.75" customHeight="1">
      <c r="A384" s="76"/>
      <c r="B384" s="6"/>
      <c r="C384" s="77"/>
      <c r="D384" s="6"/>
      <c r="E384" s="6"/>
      <c r="F384" s="6"/>
      <c r="G384" s="6"/>
      <c r="H384" s="6"/>
      <c r="I384" s="6"/>
      <c r="J384" s="6"/>
      <c r="K384" s="6"/>
      <c r="L384" s="6"/>
      <c r="M384" s="6"/>
      <c r="N384" s="6"/>
      <c r="O384" s="6"/>
      <c r="P384" s="6"/>
      <c r="Q384" s="6"/>
      <c r="R384" s="6"/>
      <c r="S384" s="6"/>
      <c r="T384" s="6"/>
      <c r="U384" s="6"/>
      <c r="V384" s="6"/>
      <c r="W384" s="6"/>
      <c r="X384" s="6"/>
      <c r="Y384" s="6"/>
      <c r="Z384" s="6"/>
    </row>
    <row r="385" ht="12.75" customHeight="1">
      <c r="A385" s="76"/>
      <c r="B385" s="6"/>
      <c r="C385" s="77"/>
      <c r="D385" s="6"/>
      <c r="E385" s="6"/>
      <c r="F385" s="6"/>
      <c r="G385" s="6"/>
      <c r="H385" s="6"/>
      <c r="I385" s="6"/>
      <c r="J385" s="6"/>
      <c r="K385" s="6"/>
      <c r="L385" s="6"/>
      <c r="M385" s="6"/>
      <c r="N385" s="6"/>
      <c r="O385" s="6"/>
      <c r="P385" s="6"/>
      <c r="Q385" s="6"/>
      <c r="R385" s="6"/>
      <c r="S385" s="6"/>
      <c r="T385" s="6"/>
      <c r="U385" s="6"/>
      <c r="V385" s="6"/>
      <c r="W385" s="6"/>
      <c r="X385" s="6"/>
      <c r="Y385" s="6"/>
      <c r="Z385" s="6"/>
    </row>
    <row r="386" ht="12.75" customHeight="1">
      <c r="A386" s="76"/>
      <c r="B386" s="6"/>
      <c r="C386" s="77"/>
      <c r="D386" s="6"/>
      <c r="E386" s="6"/>
      <c r="F386" s="6"/>
      <c r="G386" s="6"/>
      <c r="H386" s="6"/>
      <c r="I386" s="6"/>
      <c r="J386" s="6"/>
      <c r="K386" s="6"/>
      <c r="L386" s="6"/>
      <c r="M386" s="6"/>
      <c r="N386" s="6"/>
      <c r="O386" s="6"/>
      <c r="P386" s="6"/>
      <c r="Q386" s="6"/>
      <c r="R386" s="6"/>
      <c r="S386" s="6"/>
      <c r="T386" s="6"/>
      <c r="U386" s="6"/>
      <c r="V386" s="6"/>
      <c r="W386" s="6"/>
      <c r="X386" s="6"/>
      <c r="Y386" s="6"/>
      <c r="Z386" s="6"/>
    </row>
    <row r="387" ht="12.75" customHeight="1">
      <c r="A387" s="76"/>
      <c r="B387" s="6"/>
      <c r="C387" s="77"/>
      <c r="D387" s="6"/>
      <c r="E387" s="6"/>
      <c r="F387" s="6"/>
      <c r="G387" s="6"/>
      <c r="H387" s="6"/>
      <c r="I387" s="6"/>
      <c r="J387" s="6"/>
      <c r="K387" s="6"/>
      <c r="L387" s="6"/>
      <c r="M387" s="6"/>
      <c r="N387" s="6"/>
      <c r="O387" s="6"/>
      <c r="P387" s="6"/>
      <c r="Q387" s="6"/>
      <c r="R387" s="6"/>
      <c r="S387" s="6"/>
      <c r="T387" s="6"/>
      <c r="U387" s="6"/>
      <c r="V387" s="6"/>
      <c r="W387" s="6"/>
      <c r="X387" s="6"/>
      <c r="Y387" s="6"/>
      <c r="Z387" s="6"/>
    </row>
    <row r="388" ht="12.75" customHeight="1">
      <c r="A388" s="76"/>
      <c r="B388" s="6"/>
      <c r="C388" s="77"/>
      <c r="D388" s="6"/>
      <c r="E388" s="6"/>
      <c r="F388" s="6"/>
      <c r="G388" s="6"/>
      <c r="H388" s="6"/>
      <c r="I388" s="6"/>
      <c r="J388" s="6"/>
      <c r="K388" s="6"/>
      <c r="L388" s="6"/>
      <c r="M388" s="6"/>
      <c r="N388" s="6"/>
      <c r="O388" s="6"/>
      <c r="P388" s="6"/>
      <c r="Q388" s="6"/>
      <c r="R388" s="6"/>
      <c r="S388" s="6"/>
      <c r="T388" s="6"/>
      <c r="U388" s="6"/>
      <c r="V388" s="6"/>
      <c r="W388" s="6"/>
      <c r="X388" s="6"/>
      <c r="Y388" s="6"/>
      <c r="Z388" s="6"/>
    </row>
    <row r="389" ht="12.75" customHeight="1">
      <c r="A389" s="76"/>
      <c r="B389" s="6"/>
      <c r="C389" s="77"/>
      <c r="D389" s="6"/>
      <c r="E389" s="6"/>
      <c r="F389" s="6"/>
      <c r="G389" s="6"/>
      <c r="H389" s="6"/>
      <c r="I389" s="6"/>
      <c r="J389" s="6"/>
      <c r="K389" s="6"/>
      <c r="L389" s="6"/>
      <c r="M389" s="6"/>
      <c r="N389" s="6"/>
      <c r="O389" s="6"/>
      <c r="P389" s="6"/>
      <c r="Q389" s="6"/>
      <c r="R389" s="6"/>
      <c r="S389" s="6"/>
      <c r="T389" s="6"/>
      <c r="U389" s="6"/>
      <c r="V389" s="6"/>
      <c r="W389" s="6"/>
      <c r="X389" s="6"/>
      <c r="Y389" s="6"/>
      <c r="Z389" s="6"/>
    </row>
    <row r="390" ht="12.75" customHeight="1">
      <c r="A390" s="76"/>
      <c r="B390" s="6"/>
      <c r="C390" s="77"/>
      <c r="D390" s="6"/>
      <c r="E390" s="6"/>
      <c r="F390" s="6"/>
      <c r="G390" s="6"/>
      <c r="H390" s="6"/>
      <c r="I390" s="6"/>
      <c r="J390" s="6"/>
      <c r="K390" s="6"/>
      <c r="L390" s="6"/>
      <c r="M390" s="6"/>
      <c r="N390" s="6"/>
      <c r="O390" s="6"/>
      <c r="P390" s="6"/>
      <c r="Q390" s="6"/>
      <c r="R390" s="6"/>
      <c r="S390" s="6"/>
      <c r="T390" s="6"/>
      <c r="U390" s="6"/>
      <c r="V390" s="6"/>
      <c r="W390" s="6"/>
      <c r="X390" s="6"/>
      <c r="Y390" s="6"/>
      <c r="Z390" s="6"/>
    </row>
    <row r="391" ht="12.75" customHeight="1">
      <c r="A391" s="76"/>
      <c r="B391" s="6"/>
      <c r="C391" s="77"/>
      <c r="D391" s="6"/>
      <c r="E391" s="6"/>
      <c r="F391" s="6"/>
      <c r="G391" s="6"/>
      <c r="H391" s="6"/>
      <c r="I391" s="6"/>
      <c r="J391" s="6"/>
      <c r="K391" s="6"/>
      <c r="L391" s="6"/>
      <c r="M391" s="6"/>
      <c r="N391" s="6"/>
      <c r="O391" s="6"/>
      <c r="P391" s="6"/>
      <c r="Q391" s="6"/>
      <c r="R391" s="6"/>
      <c r="S391" s="6"/>
      <c r="T391" s="6"/>
      <c r="U391" s="6"/>
      <c r="V391" s="6"/>
      <c r="W391" s="6"/>
      <c r="X391" s="6"/>
      <c r="Y391" s="6"/>
      <c r="Z391" s="6"/>
    </row>
    <row r="392" ht="12.75" customHeight="1">
      <c r="A392" s="76"/>
      <c r="B392" s="6"/>
      <c r="C392" s="77"/>
      <c r="D392" s="6"/>
      <c r="E392" s="6"/>
      <c r="F392" s="6"/>
      <c r="G392" s="6"/>
      <c r="H392" s="6"/>
      <c r="I392" s="6"/>
      <c r="J392" s="6"/>
      <c r="K392" s="6"/>
      <c r="L392" s="6"/>
      <c r="M392" s="6"/>
      <c r="N392" s="6"/>
      <c r="O392" s="6"/>
      <c r="P392" s="6"/>
      <c r="Q392" s="6"/>
      <c r="R392" s="6"/>
      <c r="S392" s="6"/>
      <c r="T392" s="6"/>
      <c r="U392" s="6"/>
      <c r="V392" s="6"/>
      <c r="W392" s="6"/>
      <c r="X392" s="6"/>
      <c r="Y392" s="6"/>
      <c r="Z392" s="6"/>
    </row>
    <row r="393" ht="12.75" customHeight="1">
      <c r="A393" s="76"/>
      <c r="B393" s="6"/>
      <c r="C393" s="77"/>
      <c r="D393" s="6"/>
      <c r="E393" s="6"/>
      <c r="F393" s="6"/>
      <c r="G393" s="6"/>
      <c r="H393" s="6"/>
      <c r="I393" s="6"/>
      <c r="J393" s="6"/>
      <c r="K393" s="6"/>
      <c r="L393" s="6"/>
      <c r="M393" s="6"/>
      <c r="N393" s="6"/>
      <c r="O393" s="6"/>
      <c r="P393" s="6"/>
      <c r="Q393" s="6"/>
      <c r="R393" s="6"/>
      <c r="S393" s="6"/>
      <c r="T393" s="6"/>
      <c r="U393" s="6"/>
      <c r="V393" s="6"/>
      <c r="W393" s="6"/>
      <c r="X393" s="6"/>
      <c r="Y393" s="6"/>
      <c r="Z393" s="6"/>
    </row>
    <row r="394" ht="12.75" customHeight="1">
      <c r="A394" s="76"/>
      <c r="B394" s="6"/>
      <c r="C394" s="77"/>
      <c r="D394" s="6"/>
      <c r="E394" s="6"/>
      <c r="F394" s="6"/>
      <c r="G394" s="6"/>
      <c r="H394" s="6"/>
      <c r="I394" s="6"/>
      <c r="J394" s="6"/>
      <c r="K394" s="6"/>
      <c r="L394" s="6"/>
      <c r="M394" s="6"/>
      <c r="N394" s="6"/>
      <c r="O394" s="6"/>
      <c r="P394" s="6"/>
      <c r="Q394" s="6"/>
      <c r="R394" s="6"/>
      <c r="S394" s="6"/>
      <c r="T394" s="6"/>
      <c r="U394" s="6"/>
      <c r="V394" s="6"/>
      <c r="W394" s="6"/>
      <c r="X394" s="6"/>
      <c r="Y394" s="6"/>
      <c r="Z394" s="6"/>
    </row>
    <row r="395" ht="12.75" customHeight="1">
      <c r="A395" s="76"/>
      <c r="B395" s="6"/>
      <c r="C395" s="77"/>
      <c r="D395" s="6"/>
      <c r="E395" s="6"/>
      <c r="F395" s="6"/>
      <c r="G395" s="6"/>
      <c r="H395" s="6"/>
      <c r="I395" s="6"/>
      <c r="J395" s="6"/>
      <c r="K395" s="6"/>
      <c r="L395" s="6"/>
      <c r="M395" s="6"/>
      <c r="N395" s="6"/>
      <c r="O395" s="6"/>
      <c r="P395" s="6"/>
      <c r="Q395" s="6"/>
      <c r="R395" s="6"/>
      <c r="S395" s="6"/>
      <c r="T395" s="6"/>
      <c r="U395" s="6"/>
      <c r="V395" s="6"/>
      <c r="W395" s="6"/>
      <c r="X395" s="6"/>
      <c r="Y395" s="6"/>
      <c r="Z395" s="6"/>
    </row>
    <row r="396" ht="12.75" customHeight="1">
      <c r="A396" s="76"/>
      <c r="B396" s="6"/>
      <c r="C396" s="77"/>
      <c r="D396" s="6"/>
      <c r="E396" s="6"/>
      <c r="F396" s="6"/>
      <c r="G396" s="6"/>
      <c r="H396" s="6"/>
      <c r="I396" s="6"/>
      <c r="J396" s="6"/>
      <c r="K396" s="6"/>
      <c r="L396" s="6"/>
      <c r="M396" s="6"/>
      <c r="N396" s="6"/>
      <c r="O396" s="6"/>
      <c r="P396" s="6"/>
      <c r="Q396" s="6"/>
      <c r="R396" s="6"/>
      <c r="S396" s="6"/>
      <c r="T396" s="6"/>
      <c r="U396" s="6"/>
      <c r="V396" s="6"/>
      <c r="W396" s="6"/>
      <c r="X396" s="6"/>
      <c r="Y396" s="6"/>
      <c r="Z396" s="6"/>
    </row>
    <row r="397" ht="12.75" customHeight="1">
      <c r="A397" s="76"/>
      <c r="B397" s="6"/>
      <c r="C397" s="77"/>
      <c r="D397" s="6"/>
      <c r="E397" s="6"/>
      <c r="F397" s="6"/>
      <c r="G397" s="6"/>
      <c r="H397" s="6"/>
      <c r="I397" s="6"/>
      <c r="J397" s="6"/>
      <c r="K397" s="6"/>
      <c r="L397" s="6"/>
      <c r="M397" s="6"/>
      <c r="N397" s="6"/>
      <c r="O397" s="6"/>
      <c r="P397" s="6"/>
      <c r="Q397" s="6"/>
      <c r="R397" s="6"/>
      <c r="S397" s="6"/>
      <c r="T397" s="6"/>
      <c r="U397" s="6"/>
      <c r="V397" s="6"/>
      <c r="W397" s="6"/>
      <c r="X397" s="6"/>
      <c r="Y397" s="6"/>
      <c r="Z397" s="6"/>
    </row>
    <row r="398" ht="12.75" customHeight="1">
      <c r="A398" s="76"/>
      <c r="B398" s="6"/>
      <c r="C398" s="77"/>
      <c r="D398" s="6"/>
      <c r="E398" s="6"/>
      <c r="F398" s="6"/>
      <c r="G398" s="6"/>
      <c r="H398" s="6"/>
      <c r="I398" s="6"/>
      <c r="J398" s="6"/>
      <c r="K398" s="6"/>
      <c r="L398" s="6"/>
      <c r="M398" s="6"/>
      <c r="N398" s="6"/>
      <c r="O398" s="6"/>
      <c r="P398" s="6"/>
      <c r="Q398" s="6"/>
      <c r="R398" s="6"/>
      <c r="S398" s="6"/>
      <c r="T398" s="6"/>
      <c r="U398" s="6"/>
      <c r="V398" s="6"/>
      <c r="W398" s="6"/>
      <c r="X398" s="6"/>
      <c r="Y398" s="6"/>
      <c r="Z398" s="6"/>
    </row>
    <row r="399" ht="12.75" customHeight="1">
      <c r="A399" s="76"/>
      <c r="B399" s="6"/>
      <c r="C399" s="77"/>
      <c r="D399" s="6"/>
      <c r="E399" s="6"/>
      <c r="F399" s="6"/>
      <c r="G399" s="6"/>
      <c r="H399" s="6"/>
      <c r="I399" s="6"/>
      <c r="J399" s="6"/>
      <c r="K399" s="6"/>
      <c r="L399" s="6"/>
      <c r="M399" s="6"/>
      <c r="N399" s="6"/>
      <c r="O399" s="6"/>
      <c r="P399" s="6"/>
      <c r="Q399" s="6"/>
      <c r="R399" s="6"/>
      <c r="S399" s="6"/>
      <c r="T399" s="6"/>
      <c r="U399" s="6"/>
      <c r="V399" s="6"/>
      <c r="W399" s="6"/>
      <c r="X399" s="6"/>
      <c r="Y399" s="6"/>
      <c r="Z399" s="6"/>
    </row>
    <row r="400" ht="12.75" customHeight="1">
      <c r="A400" s="76"/>
      <c r="B400" s="6"/>
      <c r="C400" s="77"/>
      <c r="D400" s="6"/>
      <c r="E400" s="6"/>
      <c r="F400" s="6"/>
      <c r="G400" s="6"/>
      <c r="H400" s="6"/>
      <c r="I400" s="6"/>
      <c r="J400" s="6"/>
      <c r="K400" s="6"/>
      <c r="L400" s="6"/>
      <c r="M400" s="6"/>
      <c r="N400" s="6"/>
      <c r="O400" s="6"/>
      <c r="P400" s="6"/>
      <c r="Q400" s="6"/>
      <c r="R400" s="6"/>
      <c r="S400" s="6"/>
      <c r="T400" s="6"/>
      <c r="U400" s="6"/>
      <c r="V400" s="6"/>
      <c r="W400" s="6"/>
      <c r="X400" s="6"/>
      <c r="Y400" s="6"/>
      <c r="Z400" s="6"/>
    </row>
    <row r="401" ht="12.75" customHeight="1">
      <c r="A401" s="76"/>
      <c r="B401" s="6"/>
      <c r="C401" s="77"/>
      <c r="D401" s="6"/>
      <c r="E401" s="6"/>
      <c r="F401" s="6"/>
      <c r="G401" s="6"/>
      <c r="H401" s="6"/>
      <c r="I401" s="6"/>
      <c r="J401" s="6"/>
      <c r="K401" s="6"/>
      <c r="L401" s="6"/>
      <c r="M401" s="6"/>
      <c r="N401" s="6"/>
      <c r="O401" s="6"/>
      <c r="P401" s="6"/>
      <c r="Q401" s="6"/>
      <c r="R401" s="6"/>
      <c r="S401" s="6"/>
      <c r="T401" s="6"/>
      <c r="U401" s="6"/>
      <c r="V401" s="6"/>
      <c r="W401" s="6"/>
      <c r="X401" s="6"/>
      <c r="Y401" s="6"/>
      <c r="Z401" s="6"/>
    </row>
    <row r="402" ht="12.75" customHeight="1">
      <c r="A402" s="76"/>
      <c r="B402" s="6"/>
      <c r="C402" s="77"/>
      <c r="D402" s="6"/>
      <c r="E402" s="6"/>
      <c r="F402" s="6"/>
      <c r="G402" s="6"/>
      <c r="H402" s="6"/>
      <c r="I402" s="6"/>
      <c r="J402" s="6"/>
      <c r="K402" s="6"/>
      <c r="L402" s="6"/>
      <c r="M402" s="6"/>
      <c r="N402" s="6"/>
      <c r="O402" s="6"/>
      <c r="P402" s="6"/>
      <c r="Q402" s="6"/>
      <c r="R402" s="6"/>
      <c r="S402" s="6"/>
      <c r="T402" s="6"/>
      <c r="U402" s="6"/>
      <c r="V402" s="6"/>
      <c r="W402" s="6"/>
      <c r="X402" s="6"/>
      <c r="Y402" s="6"/>
      <c r="Z402" s="6"/>
    </row>
    <row r="403" ht="12.75" customHeight="1">
      <c r="A403" s="76"/>
      <c r="B403" s="6"/>
      <c r="C403" s="77"/>
      <c r="D403" s="6"/>
      <c r="E403" s="6"/>
      <c r="F403" s="6"/>
      <c r="G403" s="6"/>
      <c r="H403" s="6"/>
      <c r="I403" s="6"/>
      <c r="J403" s="6"/>
      <c r="K403" s="6"/>
      <c r="L403" s="6"/>
      <c r="M403" s="6"/>
      <c r="N403" s="6"/>
      <c r="O403" s="6"/>
      <c r="P403" s="6"/>
      <c r="Q403" s="6"/>
      <c r="R403" s="6"/>
      <c r="S403" s="6"/>
      <c r="T403" s="6"/>
      <c r="U403" s="6"/>
      <c r="V403" s="6"/>
      <c r="W403" s="6"/>
      <c r="X403" s="6"/>
      <c r="Y403" s="6"/>
      <c r="Z403" s="6"/>
    </row>
    <row r="404" ht="12.75" customHeight="1">
      <c r="A404" s="76"/>
      <c r="B404" s="6"/>
      <c r="C404" s="77"/>
      <c r="D404" s="6"/>
      <c r="E404" s="6"/>
      <c r="F404" s="6"/>
      <c r="G404" s="6"/>
      <c r="H404" s="6"/>
      <c r="I404" s="6"/>
      <c r="J404" s="6"/>
      <c r="K404" s="6"/>
      <c r="L404" s="6"/>
      <c r="M404" s="6"/>
      <c r="N404" s="6"/>
      <c r="O404" s="6"/>
      <c r="P404" s="6"/>
      <c r="Q404" s="6"/>
      <c r="R404" s="6"/>
      <c r="S404" s="6"/>
      <c r="T404" s="6"/>
      <c r="U404" s="6"/>
      <c r="V404" s="6"/>
      <c r="W404" s="6"/>
      <c r="X404" s="6"/>
      <c r="Y404" s="6"/>
      <c r="Z404" s="6"/>
    </row>
    <row r="405" ht="12.75" customHeight="1">
      <c r="A405" s="76"/>
      <c r="B405" s="6"/>
      <c r="C405" s="77"/>
      <c r="D405" s="6"/>
      <c r="E405" s="6"/>
      <c r="F405" s="6"/>
      <c r="G405" s="6"/>
      <c r="H405" s="6"/>
      <c r="I405" s="6"/>
      <c r="J405" s="6"/>
      <c r="K405" s="6"/>
      <c r="L405" s="6"/>
      <c r="M405" s="6"/>
      <c r="N405" s="6"/>
      <c r="O405" s="6"/>
      <c r="P405" s="6"/>
      <c r="Q405" s="6"/>
      <c r="R405" s="6"/>
      <c r="S405" s="6"/>
      <c r="T405" s="6"/>
      <c r="U405" s="6"/>
      <c r="V405" s="6"/>
      <c r="W405" s="6"/>
      <c r="X405" s="6"/>
      <c r="Y405" s="6"/>
      <c r="Z405" s="6"/>
    </row>
    <row r="406" ht="12.75" customHeight="1">
      <c r="A406" s="76"/>
      <c r="B406" s="6"/>
      <c r="C406" s="77"/>
      <c r="D406" s="6"/>
      <c r="E406" s="6"/>
      <c r="F406" s="6"/>
      <c r="G406" s="6"/>
      <c r="H406" s="6"/>
      <c r="I406" s="6"/>
      <c r="J406" s="6"/>
      <c r="K406" s="6"/>
      <c r="L406" s="6"/>
      <c r="M406" s="6"/>
      <c r="N406" s="6"/>
      <c r="O406" s="6"/>
      <c r="P406" s="6"/>
      <c r="Q406" s="6"/>
      <c r="R406" s="6"/>
      <c r="S406" s="6"/>
      <c r="T406" s="6"/>
      <c r="U406" s="6"/>
      <c r="V406" s="6"/>
      <c r="W406" s="6"/>
      <c r="X406" s="6"/>
      <c r="Y406" s="6"/>
      <c r="Z406" s="6"/>
    </row>
    <row r="407" ht="12.75" customHeight="1">
      <c r="A407" s="76"/>
      <c r="B407" s="6"/>
      <c r="C407" s="77"/>
      <c r="D407" s="6"/>
      <c r="E407" s="6"/>
      <c r="F407" s="6"/>
      <c r="G407" s="6"/>
      <c r="H407" s="6"/>
      <c r="I407" s="6"/>
      <c r="J407" s="6"/>
      <c r="K407" s="6"/>
      <c r="L407" s="6"/>
      <c r="M407" s="6"/>
      <c r="N407" s="6"/>
      <c r="O407" s="6"/>
      <c r="P407" s="6"/>
      <c r="Q407" s="6"/>
      <c r="R407" s="6"/>
      <c r="S407" s="6"/>
      <c r="T407" s="6"/>
      <c r="U407" s="6"/>
      <c r="V407" s="6"/>
      <c r="W407" s="6"/>
      <c r="X407" s="6"/>
      <c r="Y407" s="6"/>
      <c r="Z407" s="6"/>
    </row>
    <row r="408" ht="12.75" customHeight="1">
      <c r="A408" s="76"/>
      <c r="B408" s="6"/>
      <c r="C408" s="77"/>
      <c r="D408" s="6"/>
      <c r="E408" s="6"/>
      <c r="F408" s="6"/>
      <c r="G408" s="6"/>
      <c r="H408" s="6"/>
      <c r="I408" s="6"/>
      <c r="J408" s="6"/>
      <c r="K408" s="6"/>
      <c r="L408" s="6"/>
      <c r="M408" s="6"/>
      <c r="N408" s="6"/>
      <c r="O408" s="6"/>
      <c r="P408" s="6"/>
      <c r="Q408" s="6"/>
      <c r="R408" s="6"/>
      <c r="S408" s="6"/>
      <c r="T408" s="6"/>
      <c r="U408" s="6"/>
      <c r="V408" s="6"/>
      <c r="W408" s="6"/>
      <c r="X408" s="6"/>
      <c r="Y408" s="6"/>
      <c r="Z408" s="6"/>
    </row>
    <row r="409" ht="12.75" customHeight="1">
      <c r="A409" s="76"/>
      <c r="B409" s="6"/>
      <c r="C409" s="77"/>
      <c r="D409" s="6"/>
      <c r="E409" s="6"/>
      <c r="F409" s="6"/>
      <c r="G409" s="6"/>
      <c r="H409" s="6"/>
      <c r="I409" s="6"/>
      <c r="J409" s="6"/>
      <c r="K409" s="6"/>
      <c r="L409" s="6"/>
      <c r="M409" s="6"/>
      <c r="N409" s="6"/>
      <c r="O409" s="6"/>
      <c r="P409" s="6"/>
      <c r="Q409" s="6"/>
      <c r="R409" s="6"/>
      <c r="S409" s="6"/>
      <c r="T409" s="6"/>
      <c r="U409" s="6"/>
      <c r="V409" s="6"/>
      <c r="W409" s="6"/>
      <c r="X409" s="6"/>
      <c r="Y409" s="6"/>
      <c r="Z409" s="6"/>
    </row>
    <row r="410" ht="12.75" customHeight="1">
      <c r="A410" s="76"/>
      <c r="B410" s="6"/>
      <c r="C410" s="77"/>
      <c r="D410" s="6"/>
      <c r="E410" s="6"/>
      <c r="F410" s="6"/>
      <c r="G410" s="6"/>
      <c r="H410" s="6"/>
      <c r="I410" s="6"/>
      <c r="J410" s="6"/>
      <c r="K410" s="6"/>
      <c r="L410" s="6"/>
      <c r="M410" s="6"/>
      <c r="N410" s="6"/>
      <c r="O410" s="6"/>
      <c r="P410" s="6"/>
      <c r="Q410" s="6"/>
      <c r="R410" s="6"/>
      <c r="S410" s="6"/>
      <c r="T410" s="6"/>
      <c r="U410" s="6"/>
      <c r="V410" s="6"/>
      <c r="W410" s="6"/>
      <c r="X410" s="6"/>
      <c r="Y410" s="6"/>
      <c r="Z410" s="6"/>
    </row>
    <row r="411" ht="12.75" customHeight="1">
      <c r="A411" s="76"/>
      <c r="B411" s="6"/>
      <c r="C411" s="77"/>
      <c r="D411" s="6"/>
      <c r="E411" s="6"/>
      <c r="F411" s="6"/>
      <c r="G411" s="6"/>
      <c r="H411" s="6"/>
      <c r="I411" s="6"/>
      <c r="J411" s="6"/>
      <c r="K411" s="6"/>
      <c r="L411" s="6"/>
      <c r="M411" s="6"/>
      <c r="N411" s="6"/>
      <c r="O411" s="6"/>
      <c r="P411" s="6"/>
      <c r="Q411" s="6"/>
      <c r="R411" s="6"/>
      <c r="S411" s="6"/>
      <c r="T411" s="6"/>
      <c r="U411" s="6"/>
      <c r="V411" s="6"/>
      <c r="W411" s="6"/>
      <c r="X411" s="6"/>
      <c r="Y411" s="6"/>
      <c r="Z411" s="6"/>
    </row>
    <row r="412" ht="12.75" customHeight="1">
      <c r="A412" s="76"/>
      <c r="B412" s="6"/>
      <c r="C412" s="77"/>
      <c r="D412" s="6"/>
      <c r="E412" s="6"/>
      <c r="F412" s="6"/>
      <c r="G412" s="6"/>
      <c r="H412" s="6"/>
      <c r="I412" s="6"/>
      <c r="J412" s="6"/>
      <c r="K412" s="6"/>
      <c r="L412" s="6"/>
      <c r="M412" s="6"/>
      <c r="N412" s="6"/>
      <c r="O412" s="6"/>
      <c r="P412" s="6"/>
      <c r="Q412" s="6"/>
      <c r="R412" s="6"/>
      <c r="S412" s="6"/>
      <c r="T412" s="6"/>
      <c r="U412" s="6"/>
      <c r="V412" s="6"/>
      <c r="W412" s="6"/>
      <c r="X412" s="6"/>
      <c r="Y412" s="6"/>
      <c r="Z412" s="6"/>
    </row>
    <row r="413" ht="12.75" customHeight="1">
      <c r="A413" s="76"/>
      <c r="B413" s="6"/>
      <c r="C413" s="77"/>
      <c r="D413" s="6"/>
      <c r="E413" s="6"/>
      <c r="F413" s="6"/>
      <c r="G413" s="6"/>
      <c r="H413" s="6"/>
      <c r="I413" s="6"/>
      <c r="J413" s="6"/>
      <c r="K413" s="6"/>
      <c r="L413" s="6"/>
      <c r="M413" s="6"/>
      <c r="N413" s="6"/>
      <c r="O413" s="6"/>
      <c r="P413" s="6"/>
      <c r="Q413" s="6"/>
      <c r="R413" s="6"/>
      <c r="S413" s="6"/>
      <c r="T413" s="6"/>
      <c r="U413" s="6"/>
      <c r="V413" s="6"/>
      <c r="W413" s="6"/>
      <c r="X413" s="6"/>
      <c r="Y413" s="6"/>
      <c r="Z413" s="6"/>
    </row>
    <row r="414" ht="12.75" customHeight="1">
      <c r="A414" s="76"/>
      <c r="B414" s="6"/>
      <c r="C414" s="77"/>
      <c r="D414" s="6"/>
      <c r="E414" s="6"/>
      <c r="F414" s="6"/>
      <c r="G414" s="6"/>
      <c r="H414" s="6"/>
      <c r="I414" s="6"/>
      <c r="J414" s="6"/>
      <c r="K414" s="6"/>
      <c r="L414" s="6"/>
      <c r="M414" s="6"/>
      <c r="N414" s="6"/>
      <c r="O414" s="6"/>
      <c r="P414" s="6"/>
      <c r="Q414" s="6"/>
      <c r="R414" s="6"/>
      <c r="S414" s="6"/>
      <c r="T414" s="6"/>
      <c r="U414" s="6"/>
      <c r="V414" s="6"/>
      <c r="W414" s="6"/>
      <c r="X414" s="6"/>
      <c r="Y414" s="6"/>
      <c r="Z414" s="6"/>
    </row>
    <row r="415" ht="12.75" customHeight="1">
      <c r="A415" s="76"/>
      <c r="B415" s="6"/>
      <c r="C415" s="77"/>
      <c r="D415" s="6"/>
      <c r="E415" s="6"/>
      <c r="F415" s="6"/>
      <c r="G415" s="6"/>
      <c r="H415" s="6"/>
      <c r="I415" s="6"/>
      <c r="J415" s="6"/>
      <c r="K415" s="6"/>
      <c r="L415" s="6"/>
      <c r="M415" s="6"/>
      <c r="N415" s="6"/>
      <c r="O415" s="6"/>
      <c r="P415" s="6"/>
      <c r="Q415" s="6"/>
      <c r="R415" s="6"/>
      <c r="S415" s="6"/>
      <c r="T415" s="6"/>
      <c r="U415" s="6"/>
      <c r="V415" s="6"/>
      <c r="W415" s="6"/>
      <c r="X415" s="6"/>
      <c r="Y415" s="6"/>
      <c r="Z415" s="6"/>
    </row>
    <row r="416" ht="12.75" customHeight="1">
      <c r="A416" s="76"/>
      <c r="B416" s="6"/>
      <c r="C416" s="77"/>
      <c r="D416" s="6"/>
      <c r="E416" s="6"/>
      <c r="F416" s="6"/>
      <c r="G416" s="6"/>
      <c r="H416" s="6"/>
      <c r="I416" s="6"/>
      <c r="J416" s="6"/>
      <c r="K416" s="6"/>
      <c r="L416" s="6"/>
      <c r="M416" s="6"/>
      <c r="N416" s="6"/>
      <c r="O416" s="6"/>
      <c r="P416" s="6"/>
      <c r="Q416" s="6"/>
      <c r="R416" s="6"/>
      <c r="S416" s="6"/>
      <c r="T416" s="6"/>
      <c r="U416" s="6"/>
      <c r="V416" s="6"/>
      <c r="W416" s="6"/>
      <c r="X416" s="6"/>
      <c r="Y416" s="6"/>
      <c r="Z416" s="6"/>
    </row>
    <row r="417" ht="12.75" customHeight="1">
      <c r="A417" s="76"/>
      <c r="B417" s="6"/>
      <c r="C417" s="77"/>
      <c r="D417" s="6"/>
      <c r="E417" s="6"/>
      <c r="F417" s="6"/>
      <c r="G417" s="6"/>
      <c r="H417" s="6"/>
      <c r="I417" s="6"/>
      <c r="J417" s="6"/>
      <c r="K417" s="6"/>
      <c r="L417" s="6"/>
      <c r="M417" s="6"/>
      <c r="N417" s="6"/>
      <c r="O417" s="6"/>
      <c r="P417" s="6"/>
      <c r="Q417" s="6"/>
      <c r="R417" s="6"/>
      <c r="S417" s="6"/>
      <c r="T417" s="6"/>
      <c r="U417" s="6"/>
      <c r="V417" s="6"/>
      <c r="W417" s="6"/>
      <c r="X417" s="6"/>
      <c r="Y417" s="6"/>
      <c r="Z417" s="6"/>
    </row>
    <row r="418" ht="12.75" customHeight="1">
      <c r="A418" s="76"/>
      <c r="B418" s="6"/>
      <c r="C418" s="77"/>
      <c r="D418" s="6"/>
      <c r="E418" s="6"/>
      <c r="F418" s="6"/>
      <c r="G418" s="6"/>
      <c r="H418" s="6"/>
      <c r="I418" s="6"/>
      <c r="J418" s="6"/>
      <c r="K418" s="6"/>
      <c r="L418" s="6"/>
      <c r="M418" s="6"/>
      <c r="N418" s="6"/>
      <c r="O418" s="6"/>
      <c r="P418" s="6"/>
      <c r="Q418" s="6"/>
      <c r="R418" s="6"/>
      <c r="S418" s="6"/>
      <c r="T418" s="6"/>
      <c r="U418" s="6"/>
      <c r="V418" s="6"/>
      <c r="W418" s="6"/>
      <c r="X418" s="6"/>
      <c r="Y418" s="6"/>
      <c r="Z418" s="6"/>
    </row>
    <row r="419" ht="12.75" customHeight="1">
      <c r="A419" s="76"/>
      <c r="B419" s="6"/>
      <c r="C419" s="77"/>
      <c r="D419" s="6"/>
      <c r="E419" s="6"/>
      <c r="F419" s="6"/>
      <c r="G419" s="6"/>
      <c r="H419" s="6"/>
      <c r="I419" s="6"/>
      <c r="J419" s="6"/>
      <c r="K419" s="6"/>
      <c r="L419" s="6"/>
      <c r="M419" s="6"/>
      <c r="N419" s="6"/>
      <c r="O419" s="6"/>
      <c r="P419" s="6"/>
      <c r="Q419" s="6"/>
      <c r="R419" s="6"/>
      <c r="S419" s="6"/>
      <c r="T419" s="6"/>
      <c r="U419" s="6"/>
      <c r="V419" s="6"/>
      <c r="W419" s="6"/>
      <c r="X419" s="6"/>
      <c r="Y419" s="6"/>
      <c r="Z419" s="6"/>
    </row>
    <row r="420" ht="12.75" customHeight="1">
      <c r="A420" s="76"/>
      <c r="B420" s="6"/>
      <c r="C420" s="77"/>
      <c r="D420" s="6"/>
      <c r="E420" s="6"/>
      <c r="F420" s="6"/>
      <c r="G420" s="6"/>
      <c r="H420" s="6"/>
      <c r="I420" s="6"/>
      <c r="J420" s="6"/>
      <c r="K420" s="6"/>
      <c r="L420" s="6"/>
      <c r="M420" s="6"/>
      <c r="N420" s="6"/>
      <c r="O420" s="6"/>
      <c r="P420" s="6"/>
      <c r="Q420" s="6"/>
      <c r="R420" s="6"/>
      <c r="S420" s="6"/>
      <c r="T420" s="6"/>
      <c r="U420" s="6"/>
      <c r="V420" s="6"/>
      <c r="W420" s="6"/>
      <c r="X420" s="6"/>
      <c r="Y420" s="6"/>
      <c r="Z420" s="6"/>
    </row>
    <row r="421" ht="12.75" customHeight="1">
      <c r="A421" s="76"/>
      <c r="B421" s="6"/>
      <c r="C421" s="77"/>
      <c r="D421" s="6"/>
      <c r="E421" s="6"/>
      <c r="F421" s="6"/>
      <c r="G421" s="6"/>
      <c r="H421" s="6"/>
      <c r="I421" s="6"/>
      <c r="J421" s="6"/>
      <c r="K421" s="6"/>
      <c r="L421" s="6"/>
      <c r="M421" s="6"/>
      <c r="N421" s="6"/>
      <c r="O421" s="6"/>
      <c r="P421" s="6"/>
      <c r="Q421" s="6"/>
      <c r="R421" s="6"/>
      <c r="S421" s="6"/>
      <c r="T421" s="6"/>
      <c r="U421" s="6"/>
      <c r="V421" s="6"/>
      <c r="W421" s="6"/>
      <c r="X421" s="6"/>
      <c r="Y421" s="6"/>
      <c r="Z421" s="6"/>
    </row>
    <row r="422" ht="12.75" customHeight="1">
      <c r="A422" s="76"/>
      <c r="B422" s="6"/>
      <c r="C422" s="77"/>
      <c r="D422" s="6"/>
      <c r="E422" s="6"/>
      <c r="F422" s="6"/>
      <c r="G422" s="6"/>
      <c r="H422" s="6"/>
      <c r="I422" s="6"/>
      <c r="J422" s="6"/>
      <c r="K422" s="6"/>
      <c r="L422" s="6"/>
      <c r="M422" s="6"/>
      <c r="N422" s="6"/>
      <c r="O422" s="6"/>
      <c r="P422" s="6"/>
      <c r="Q422" s="6"/>
      <c r="R422" s="6"/>
      <c r="S422" s="6"/>
      <c r="T422" s="6"/>
      <c r="U422" s="6"/>
      <c r="V422" s="6"/>
      <c r="W422" s="6"/>
      <c r="X422" s="6"/>
      <c r="Y422" s="6"/>
      <c r="Z422" s="6"/>
    </row>
    <row r="423" ht="12.75" customHeight="1">
      <c r="A423" s="76"/>
      <c r="B423" s="6"/>
      <c r="C423" s="77"/>
      <c r="D423" s="6"/>
      <c r="E423" s="6"/>
      <c r="F423" s="6"/>
      <c r="G423" s="6"/>
      <c r="H423" s="6"/>
      <c r="I423" s="6"/>
      <c r="J423" s="6"/>
      <c r="K423" s="6"/>
      <c r="L423" s="6"/>
      <c r="M423" s="6"/>
      <c r="N423" s="6"/>
      <c r="O423" s="6"/>
      <c r="P423" s="6"/>
      <c r="Q423" s="6"/>
      <c r="R423" s="6"/>
      <c r="S423" s="6"/>
      <c r="T423" s="6"/>
      <c r="U423" s="6"/>
      <c r="V423" s="6"/>
      <c r="W423" s="6"/>
      <c r="X423" s="6"/>
      <c r="Y423" s="6"/>
      <c r="Z423" s="6"/>
    </row>
    <row r="424" ht="12.75" customHeight="1">
      <c r="A424" s="76"/>
      <c r="B424" s="6"/>
      <c r="C424" s="77"/>
      <c r="D424" s="6"/>
      <c r="E424" s="6"/>
      <c r="F424" s="6"/>
      <c r="G424" s="6"/>
      <c r="H424" s="6"/>
      <c r="I424" s="6"/>
      <c r="J424" s="6"/>
      <c r="K424" s="6"/>
      <c r="L424" s="6"/>
      <c r="M424" s="6"/>
      <c r="N424" s="6"/>
      <c r="O424" s="6"/>
      <c r="P424" s="6"/>
      <c r="Q424" s="6"/>
      <c r="R424" s="6"/>
      <c r="S424" s="6"/>
      <c r="T424" s="6"/>
      <c r="U424" s="6"/>
      <c r="V424" s="6"/>
      <c r="W424" s="6"/>
      <c r="X424" s="6"/>
      <c r="Y424" s="6"/>
      <c r="Z424" s="6"/>
    </row>
    <row r="425" ht="12.75" customHeight="1">
      <c r="A425" s="76"/>
      <c r="B425" s="6"/>
      <c r="C425" s="77"/>
      <c r="D425" s="6"/>
      <c r="E425" s="6"/>
      <c r="F425" s="6"/>
      <c r="G425" s="6"/>
      <c r="H425" s="6"/>
      <c r="I425" s="6"/>
      <c r="J425" s="6"/>
      <c r="K425" s="6"/>
      <c r="L425" s="6"/>
      <c r="M425" s="6"/>
      <c r="N425" s="6"/>
      <c r="O425" s="6"/>
      <c r="P425" s="6"/>
      <c r="Q425" s="6"/>
      <c r="R425" s="6"/>
      <c r="S425" s="6"/>
      <c r="T425" s="6"/>
      <c r="U425" s="6"/>
      <c r="V425" s="6"/>
      <c r="W425" s="6"/>
      <c r="X425" s="6"/>
      <c r="Y425" s="6"/>
      <c r="Z425" s="6"/>
    </row>
    <row r="426" ht="12.75" customHeight="1">
      <c r="A426" s="76"/>
      <c r="B426" s="6"/>
      <c r="C426" s="77"/>
      <c r="D426" s="6"/>
      <c r="E426" s="6"/>
      <c r="F426" s="6"/>
      <c r="G426" s="6"/>
      <c r="H426" s="6"/>
      <c r="I426" s="6"/>
      <c r="J426" s="6"/>
      <c r="K426" s="6"/>
      <c r="L426" s="6"/>
      <c r="M426" s="6"/>
      <c r="N426" s="6"/>
      <c r="O426" s="6"/>
      <c r="P426" s="6"/>
      <c r="Q426" s="6"/>
      <c r="R426" s="6"/>
      <c r="S426" s="6"/>
      <c r="T426" s="6"/>
      <c r="U426" s="6"/>
      <c r="V426" s="6"/>
      <c r="W426" s="6"/>
      <c r="X426" s="6"/>
      <c r="Y426" s="6"/>
      <c r="Z426" s="6"/>
    </row>
    <row r="427" ht="12.75" customHeight="1">
      <c r="A427" s="76"/>
      <c r="B427" s="6"/>
      <c r="C427" s="77"/>
      <c r="D427" s="6"/>
      <c r="E427" s="6"/>
      <c r="F427" s="6"/>
      <c r="G427" s="6"/>
      <c r="H427" s="6"/>
      <c r="I427" s="6"/>
      <c r="J427" s="6"/>
      <c r="K427" s="6"/>
      <c r="L427" s="6"/>
      <c r="M427" s="6"/>
      <c r="N427" s="6"/>
      <c r="O427" s="6"/>
      <c r="P427" s="6"/>
      <c r="Q427" s="6"/>
      <c r="R427" s="6"/>
      <c r="S427" s="6"/>
      <c r="T427" s="6"/>
      <c r="U427" s="6"/>
      <c r="V427" s="6"/>
      <c r="W427" s="6"/>
      <c r="X427" s="6"/>
      <c r="Y427" s="6"/>
      <c r="Z427" s="6"/>
    </row>
    <row r="428" ht="12.75" customHeight="1">
      <c r="A428" s="76"/>
      <c r="B428" s="6"/>
      <c r="C428" s="77"/>
      <c r="D428" s="6"/>
      <c r="E428" s="6"/>
      <c r="F428" s="6"/>
      <c r="G428" s="6"/>
      <c r="H428" s="6"/>
      <c r="I428" s="6"/>
      <c r="J428" s="6"/>
      <c r="K428" s="6"/>
      <c r="L428" s="6"/>
      <c r="M428" s="6"/>
      <c r="N428" s="6"/>
      <c r="O428" s="6"/>
      <c r="P428" s="6"/>
      <c r="Q428" s="6"/>
      <c r="R428" s="6"/>
      <c r="S428" s="6"/>
      <c r="T428" s="6"/>
      <c r="U428" s="6"/>
      <c r="V428" s="6"/>
      <c r="W428" s="6"/>
      <c r="X428" s="6"/>
      <c r="Y428" s="6"/>
      <c r="Z428" s="6"/>
    </row>
    <row r="429" ht="12.75" customHeight="1">
      <c r="A429" s="76"/>
      <c r="B429" s="6"/>
      <c r="C429" s="77"/>
      <c r="D429" s="6"/>
      <c r="E429" s="6"/>
      <c r="F429" s="6"/>
      <c r="G429" s="6"/>
      <c r="H429" s="6"/>
      <c r="I429" s="6"/>
      <c r="J429" s="6"/>
      <c r="K429" s="6"/>
      <c r="L429" s="6"/>
      <c r="M429" s="6"/>
      <c r="N429" s="6"/>
      <c r="O429" s="6"/>
      <c r="P429" s="6"/>
      <c r="Q429" s="6"/>
      <c r="R429" s="6"/>
      <c r="S429" s="6"/>
      <c r="T429" s="6"/>
      <c r="U429" s="6"/>
      <c r="V429" s="6"/>
      <c r="W429" s="6"/>
      <c r="X429" s="6"/>
      <c r="Y429" s="6"/>
      <c r="Z429" s="6"/>
    </row>
    <row r="430" ht="12.75" customHeight="1">
      <c r="A430" s="76"/>
      <c r="B430" s="6"/>
      <c r="C430" s="77"/>
      <c r="D430" s="6"/>
      <c r="E430" s="6"/>
      <c r="F430" s="6"/>
      <c r="G430" s="6"/>
      <c r="H430" s="6"/>
      <c r="I430" s="6"/>
      <c r="J430" s="6"/>
      <c r="K430" s="6"/>
      <c r="L430" s="6"/>
      <c r="M430" s="6"/>
      <c r="N430" s="6"/>
      <c r="O430" s="6"/>
      <c r="P430" s="6"/>
      <c r="Q430" s="6"/>
      <c r="R430" s="6"/>
      <c r="S430" s="6"/>
      <c r="T430" s="6"/>
      <c r="U430" s="6"/>
      <c r="V430" s="6"/>
      <c r="W430" s="6"/>
      <c r="X430" s="6"/>
      <c r="Y430" s="6"/>
      <c r="Z430" s="6"/>
    </row>
    <row r="431" ht="12.75" customHeight="1">
      <c r="A431" s="76"/>
      <c r="B431" s="6"/>
      <c r="C431" s="77"/>
      <c r="D431" s="6"/>
      <c r="E431" s="6"/>
      <c r="F431" s="6"/>
      <c r="G431" s="6"/>
      <c r="H431" s="6"/>
      <c r="I431" s="6"/>
      <c r="J431" s="6"/>
      <c r="K431" s="6"/>
      <c r="L431" s="6"/>
      <c r="M431" s="6"/>
      <c r="N431" s="6"/>
      <c r="O431" s="6"/>
      <c r="P431" s="6"/>
      <c r="Q431" s="6"/>
      <c r="R431" s="6"/>
      <c r="S431" s="6"/>
      <c r="T431" s="6"/>
      <c r="U431" s="6"/>
      <c r="V431" s="6"/>
      <c r="W431" s="6"/>
      <c r="X431" s="6"/>
      <c r="Y431" s="6"/>
      <c r="Z431" s="6"/>
    </row>
    <row r="432" ht="12.75" customHeight="1">
      <c r="A432" s="76"/>
      <c r="B432" s="6"/>
      <c r="C432" s="77"/>
      <c r="D432" s="6"/>
      <c r="E432" s="6"/>
      <c r="F432" s="6"/>
      <c r="G432" s="6"/>
      <c r="H432" s="6"/>
      <c r="I432" s="6"/>
      <c r="J432" s="6"/>
      <c r="K432" s="6"/>
      <c r="L432" s="6"/>
      <c r="M432" s="6"/>
      <c r="N432" s="6"/>
      <c r="O432" s="6"/>
      <c r="P432" s="6"/>
      <c r="Q432" s="6"/>
      <c r="R432" s="6"/>
      <c r="S432" s="6"/>
      <c r="T432" s="6"/>
      <c r="U432" s="6"/>
      <c r="V432" s="6"/>
      <c r="W432" s="6"/>
      <c r="X432" s="6"/>
      <c r="Y432" s="6"/>
      <c r="Z432" s="6"/>
    </row>
    <row r="433" ht="12.75" customHeight="1">
      <c r="A433" s="76"/>
      <c r="B433" s="6"/>
      <c r="C433" s="77"/>
      <c r="D433" s="6"/>
      <c r="E433" s="6"/>
      <c r="F433" s="6"/>
      <c r="G433" s="6"/>
      <c r="H433" s="6"/>
      <c r="I433" s="6"/>
      <c r="J433" s="6"/>
      <c r="K433" s="6"/>
      <c r="L433" s="6"/>
      <c r="M433" s="6"/>
      <c r="N433" s="6"/>
      <c r="O433" s="6"/>
      <c r="P433" s="6"/>
      <c r="Q433" s="6"/>
      <c r="R433" s="6"/>
      <c r="S433" s="6"/>
      <c r="T433" s="6"/>
      <c r="U433" s="6"/>
      <c r="V433" s="6"/>
      <c r="W433" s="6"/>
      <c r="X433" s="6"/>
      <c r="Y433" s="6"/>
      <c r="Z433" s="6"/>
    </row>
    <row r="434" ht="12.75" customHeight="1">
      <c r="A434" s="76"/>
      <c r="B434" s="6"/>
      <c r="C434" s="77"/>
      <c r="D434" s="6"/>
      <c r="E434" s="6"/>
      <c r="F434" s="6"/>
      <c r="G434" s="6"/>
      <c r="H434" s="6"/>
      <c r="I434" s="6"/>
      <c r="J434" s="6"/>
      <c r="K434" s="6"/>
      <c r="L434" s="6"/>
      <c r="M434" s="6"/>
      <c r="N434" s="6"/>
      <c r="O434" s="6"/>
      <c r="P434" s="6"/>
      <c r="Q434" s="6"/>
      <c r="R434" s="6"/>
      <c r="S434" s="6"/>
      <c r="T434" s="6"/>
      <c r="U434" s="6"/>
      <c r="V434" s="6"/>
      <c r="W434" s="6"/>
      <c r="X434" s="6"/>
      <c r="Y434" s="6"/>
      <c r="Z434" s="6"/>
    </row>
    <row r="435" ht="12.75" customHeight="1">
      <c r="A435" s="76"/>
      <c r="B435" s="6"/>
      <c r="C435" s="77"/>
      <c r="D435" s="6"/>
      <c r="E435" s="6"/>
      <c r="F435" s="6"/>
      <c r="G435" s="6"/>
      <c r="H435" s="6"/>
      <c r="I435" s="6"/>
      <c r="J435" s="6"/>
      <c r="K435" s="6"/>
      <c r="L435" s="6"/>
      <c r="M435" s="6"/>
      <c r="N435" s="6"/>
      <c r="O435" s="6"/>
      <c r="P435" s="6"/>
      <c r="Q435" s="6"/>
      <c r="R435" s="6"/>
      <c r="S435" s="6"/>
      <c r="T435" s="6"/>
      <c r="U435" s="6"/>
      <c r="V435" s="6"/>
      <c r="W435" s="6"/>
      <c r="X435" s="6"/>
      <c r="Y435" s="6"/>
      <c r="Z435" s="6"/>
    </row>
    <row r="436" ht="12.75" customHeight="1">
      <c r="A436" s="76"/>
      <c r="B436" s="6"/>
      <c r="C436" s="77"/>
      <c r="D436" s="6"/>
      <c r="E436" s="6"/>
      <c r="F436" s="6"/>
      <c r="G436" s="6"/>
      <c r="H436" s="6"/>
      <c r="I436" s="6"/>
      <c r="J436" s="6"/>
      <c r="K436" s="6"/>
      <c r="L436" s="6"/>
      <c r="M436" s="6"/>
      <c r="N436" s="6"/>
      <c r="O436" s="6"/>
      <c r="P436" s="6"/>
      <c r="Q436" s="6"/>
      <c r="R436" s="6"/>
      <c r="S436" s="6"/>
      <c r="T436" s="6"/>
      <c r="U436" s="6"/>
      <c r="V436" s="6"/>
      <c r="W436" s="6"/>
      <c r="X436" s="6"/>
      <c r="Y436" s="6"/>
      <c r="Z436" s="6"/>
    </row>
    <row r="437" ht="12.75" customHeight="1">
      <c r="A437" s="76"/>
      <c r="B437" s="6"/>
      <c r="C437" s="77"/>
      <c r="D437" s="6"/>
      <c r="E437" s="6"/>
      <c r="F437" s="6"/>
      <c r="G437" s="6"/>
      <c r="H437" s="6"/>
      <c r="I437" s="6"/>
      <c r="J437" s="6"/>
      <c r="K437" s="6"/>
      <c r="L437" s="6"/>
      <c r="M437" s="6"/>
      <c r="N437" s="6"/>
      <c r="O437" s="6"/>
      <c r="P437" s="6"/>
      <c r="Q437" s="6"/>
      <c r="R437" s="6"/>
      <c r="S437" s="6"/>
      <c r="T437" s="6"/>
      <c r="U437" s="6"/>
      <c r="V437" s="6"/>
      <c r="W437" s="6"/>
      <c r="X437" s="6"/>
      <c r="Y437" s="6"/>
      <c r="Z437" s="6"/>
    </row>
    <row r="438" ht="12.75" customHeight="1">
      <c r="A438" s="76"/>
      <c r="B438" s="6"/>
      <c r="C438" s="77"/>
      <c r="D438" s="6"/>
      <c r="E438" s="6"/>
      <c r="F438" s="6"/>
      <c r="G438" s="6"/>
      <c r="H438" s="6"/>
      <c r="I438" s="6"/>
      <c r="J438" s="6"/>
      <c r="K438" s="6"/>
      <c r="L438" s="6"/>
      <c r="M438" s="6"/>
      <c r="N438" s="6"/>
      <c r="O438" s="6"/>
      <c r="P438" s="6"/>
      <c r="Q438" s="6"/>
      <c r="R438" s="6"/>
      <c r="S438" s="6"/>
      <c r="T438" s="6"/>
      <c r="U438" s="6"/>
      <c r="V438" s="6"/>
      <c r="W438" s="6"/>
      <c r="X438" s="6"/>
      <c r="Y438" s="6"/>
      <c r="Z438" s="6"/>
    </row>
    <row r="439" ht="12.75" customHeight="1">
      <c r="A439" s="76"/>
      <c r="B439" s="6"/>
      <c r="C439" s="77"/>
      <c r="D439" s="6"/>
      <c r="E439" s="6"/>
      <c r="F439" s="6"/>
      <c r="G439" s="6"/>
      <c r="H439" s="6"/>
      <c r="I439" s="6"/>
      <c r="J439" s="6"/>
      <c r="K439" s="6"/>
      <c r="L439" s="6"/>
      <c r="M439" s="6"/>
      <c r="N439" s="6"/>
      <c r="O439" s="6"/>
      <c r="P439" s="6"/>
      <c r="Q439" s="6"/>
      <c r="R439" s="6"/>
      <c r="S439" s="6"/>
      <c r="T439" s="6"/>
      <c r="U439" s="6"/>
      <c r="V439" s="6"/>
      <c r="W439" s="6"/>
      <c r="X439" s="6"/>
      <c r="Y439" s="6"/>
      <c r="Z439" s="6"/>
    </row>
    <row r="440" ht="12.75" customHeight="1">
      <c r="A440" s="76"/>
      <c r="B440" s="6"/>
      <c r="C440" s="77"/>
      <c r="D440" s="6"/>
      <c r="E440" s="6"/>
      <c r="F440" s="6"/>
      <c r="G440" s="6"/>
      <c r="H440" s="6"/>
      <c r="I440" s="6"/>
      <c r="J440" s="6"/>
      <c r="K440" s="6"/>
      <c r="L440" s="6"/>
      <c r="M440" s="6"/>
      <c r="N440" s="6"/>
      <c r="O440" s="6"/>
      <c r="P440" s="6"/>
      <c r="Q440" s="6"/>
      <c r="R440" s="6"/>
      <c r="S440" s="6"/>
      <c r="T440" s="6"/>
      <c r="U440" s="6"/>
      <c r="V440" s="6"/>
      <c r="W440" s="6"/>
      <c r="X440" s="6"/>
      <c r="Y440" s="6"/>
      <c r="Z440" s="6"/>
    </row>
    <row r="441" ht="12.75" customHeight="1">
      <c r="A441" s="76"/>
      <c r="B441" s="6"/>
      <c r="C441" s="77"/>
      <c r="D441" s="6"/>
      <c r="E441" s="6"/>
      <c r="F441" s="6"/>
      <c r="G441" s="6"/>
      <c r="H441" s="6"/>
      <c r="I441" s="6"/>
      <c r="J441" s="6"/>
      <c r="K441" s="6"/>
      <c r="L441" s="6"/>
      <c r="M441" s="6"/>
      <c r="N441" s="6"/>
      <c r="O441" s="6"/>
      <c r="P441" s="6"/>
      <c r="Q441" s="6"/>
      <c r="R441" s="6"/>
      <c r="S441" s="6"/>
      <c r="T441" s="6"/>
      <c r="U441" s="6"/>
      <c r="V441" s="6"/>
      <c r="W441" s="6"/>
      <c r="X441" s="6"/>
      <c r="Y441" s="6"/>
      <c r="Z441" s="6"/>
    </row>
    <row r="442" ht="12.75" customHeight="1">
      <c r="A442" s="76"/>
      <c r="B442" s="6"/>
      <c r="C442" s="77"/>
      <c r="D442" s="6"/>
      <c r="E442" s="6"/>
      <c r="F442" s="6"/>
      <c r="G442" s="6"/>
      <c r="H442" s="6"/>
      <c r="I442" s="6"/>
      <c r="J442" s="6"/>
      <c r="K442" s="6"/>
      <c r="L442" s="6"/>
      <c r="M442" s="6"/>
      <c r="N442" s="6"/>
      <c r="O442" s="6"/>
      <c r="P442" s="6"/>
      <c r="Q442" s="6"/>
      <c r="R442" s="6"/>
      <c r="S442" s="6"/>
      <c r="T442" s="6"/>
      <c r="U442" s="6"/>
      <c r="V442" s="6"/>
      <c r="W442" s="6"/>
      <c r="X442" s="6"/>
      <c r="Y442" s="6"/>
      <c r="Z442" s="6"/>
    </row>
    <row r="443" ht="12.75" customHeight="1">
      <c r="A443" s="76"/>
      <c r="B443" s="6"/>
      <c r="C443" s="77"/>
      <c r="D443" s="6"/>
      <c r="E443" s="6"/>
      <c r="F443" s="6"/>
      <c r="G443" s="6"/>
      <c r="H443" s="6"/>
      <c r="I443" s="6"/>
      <c r="J443" s="6"/>
      <c r="K443" s="6"/>
      <c r="L443" s="6"/>
      <c r="M443" s="6"/>
      <c r="N443" s="6"/>
      <c r="O443" s="6"/>
      <c r="P443" s="6"/>
      <c r="Q443" s="6"/>
      <c r="R443" s="6"/>
      <c r="S443" s="6"/>
      <c r="T443" s="6"/>
      <c r="U443" s="6"/>
      <c r="V443" s="6"/>
      <c r="W443" s="6"/>
      <c r="X443" s="6"/>
      <c r="Y443" s="6"/>
      <c r="Z443" s="6"/>
    </row>
    <row r="444" ht="12.75" customHeight="1">
      <c r="A444" s="76"/>
      <c r="B444" s="6"/>
      <c r="C444" s="77"/>
      <c r="D444" s="6"/>
      <c r="E444" s="6"/>
      <c r="F444" s="6"/>
      <c r="G444" s="6"/>
      <c r="H444" s="6"/>
      <c r="I444" s="6"/>
      <c r="J444" s="6"/>
      <c r="K444" s="6"/>
      <c r="L444" s="6"/>
      <c r="M444" s="6"/>
      <c r="N444" s="6"/>
      <c r="O444" s="6"/>
      <c r="P444" s="6"/>
      <c r="Q444" s="6"/>
      <c r="R444" s="6"/>
      <c r="S444" s="6"/>
      <c r="T444" s="6"/>
      <c r="U444" s="6"/>
      <c r="V444" s="6"/>
      <c r="W444" s="6"/>
      <c r="X444" s="6"/>
      <c r="Y444" s="6"/>
      <c r="Z444" s="6"/>
    </row>
    <row r="445" ht="12.75" customHeight="1">
      <c r="A445" s="76"/>
      <c r="B445" s="6"/>
      <c r="C445" s="77"/>
      <c r="D445" s="6"/>
      <c r="E445" s="6"/>
      <c r="F445" s="6"/>
      <c r="G445" s="6"/>
      <c r="H445" s="6"/>
      <c r="I445" s="6"/>
      <c r="J445" s="6"/>
      <c r="K445" s="6"/>
      <c r="L445" s="6"/>
      <c r="M445" s="6"/>
      <c r="N445" s="6"/>
      <c r="O445" s="6"/>
      <c r="P445" s="6"/>
      <c r="Q445" s="6"/>
      <c r="R445" s="6"/>
      <c r="S445" s="6"/>
      <c r="T445" s="6"/>
      <c r="U445" s="6"/>
      <c r="V445" s="6"/>
      <c r="W445" s="6"/>
      <c r="X445" s="6"/>
      <c r="Y445" s="6"/>
      <c r="Z445" s="6"/>
    </row>
    <row r="446" ht="12.75" customHeight="1">
      <c r="A446" s="76"/>
      <c r="B446" s="6"/>
      <c r="C446" s="77"/>
      <c r="D446" s="6"/>
      <c r="E446" s="6"/>
      <c r="F446" s="6"/>
      <c r="G446" s="6"/>
      <c r="H446" s="6"/>
      <c r="I446" s="6"/>
      <c r="J446" s="6"/>
      <c r="K446" s="6"/>
      <c r="L446" s="6"/>
      <c r="M446" s="6"/>
      <c r="N446" s="6"/>
      <c r="O446" s="6"/>
      <c r="P446" s="6"/>
      <c r="Q446" s="6"/>
      <c r="R446" s="6"/>
      <c r="S446" s="6"/>
      <c r="T446" s="6"/>
      <c r="U446" s="6"/>
      <c r="V446" s="6"/>
      <c r="W446" s="6"/>
      <c r="X446" s="6"/>
      <c r="Y446" s="6"/>
      <c r="Z446" s="6"/>
    </row>
    <row r="447" ht="12.75" customHeight="1">
      <c r="A447" s="76"/>
      <c r="B447" s="6"/>
      <c r="C447" s="77"/>
      <c r="D447" s="6"/>
      <c r="E447" s="6"/>
      <c r="F447" s="6"/>
      <c r="G447" s="6"/>
      <c r="H447" s="6"/>
      <c r="I447" s="6"/>
      <c r="J447" s="6"/>
      <c r="K447" s="6"/>
      <c r="L447" s="6"/>
      <c r="M447" s="6"/>
      <c r="N447" s="6"/>
      <c r="O447" s="6"/>
      <c r="P447" s="6"/>
      <c r="Q447" s="6"/>
      <c r="R447" s="6"/>
      <c r="S447" s="6"/>
      <c r="T447" s="6"/>
      <c r="U447" s="6"/>
      <c r="V447" s="6"/>
      <c r="W447" s="6"/>
      <c r="X447" s="6"/>
      <c r="Y447" s="6"/>
      <c r="Z447" s="6"/>
    </row>
    <row r="448" ht="12.75" customHeight="1">
      <c r="A448" s="76"/>
      <c r="B448" s="6"/>
      <c r="C448" s="77"/>
      <c r="D448" s="6"/>
      <c r="E448" s="6"/>
      <c r="F448" s="6"/>
      <c r="G448" s="6"/>
      <c r="H448" s="6"/>
      <c r="I448" s="6"/>
      <c r="J448" s="6"/>
      <c r="K448" s="6"/>
      <c r="L448" s="6"/>
      <c r="M448" s="6"/>
      <c r="N448" s="6"/>
      <c r="O448" s="6"/>
      <c r="P448" s="6"/>
      <c r="Q448" s="6"/>
      <c r="R448" s="6"/>
      <c r="S448" s="6"/>
      <c r="T448" s="6"/>
      <c r="U448" s="6"/>
      <c r="V448" s="6"/>
      <c r="W448" s="6"/>
      <c r="X448" s="6"/>
      <c r="Y448" s="6"/>
      <c r="Z448" s="6"/>
    </row>
    <row r="449" ht="12.75" customHeight="1">
      <c r="A449" s="76"/>
      <c r="B449" s="6"/>
      <c r="C449" s="77"/>
      <c r="D449" s="6"/>
      <c r="E449" s="6"/>
      <c r="F449" s="6"/>
      <c r="G449" s="6"/>
      <c r="H449" s="6"/>
      <c r="I449" s="6"/>
      <c r="J449" s="6"/>
      <c r="K449" s="6"/>
      <c r="L449" s="6"/>
      <c r="M449" s="6"/>
      <c r="N449" s="6"/>
      <c r="O449" s="6"/>
      <c r="P449" s="6"/>
      <c r="Q449" s="6"/>
      <c r="R449" s="6"/>
      <c r="S449" s="6"/>
      <c r="T449" s="6"/>
      <c r="U449" s="6"/>
      <c r="V449" s="6"/>
      <c r="W449" s="6"/>
      <c r="X449" s="6"/>
      <c r="Y449" s="6"/>
      <c r="Z449" s="6"/>
    </row>
    <row r="450" ht="12.75" customHeight="1">
      <c r="A450" s="76"/>
      <c r="B450" s="6"/>
      <c r="C450" s="77"/>
      <c r="D450" s="6"/>
      <c r="E450" s="6"/>
      <c r="F450" s="6"/>
      <c r="G450" s="6"/>
      <c r="H450" s="6"/>
      <c r="I450" s="6"/>
      <c r="J450" s="6"/>
      <c r="K450" s="6"/>
      <c r="L450" s="6"/>
      <c r="M450" s="6"/>
      <c r="N450" s="6"/>
      <c r="O450" s="6"/>
      <c r="P450" s="6"/>
      <c r="Q450" s="6"/>
      <c r="R450" s="6"/>
      <c r="S450" s="6"/>
      <c r="T450" s="6"/>
      <c r="U450" s="6"/>
      <c r="V450" s="6"/>
      <c r="W450" s="6"/>
      <c r="X450" s="6"/>
      <c r="Y450" s="6"/>
      <c r="Z450" s="6"/>
    </row>
    <row r="451" ht="12.75" customHeight="1">
      <c r="A451" s="76"/>
      <c r="B451" s="6"/>
      <c r="C451" s="77"/>
      <c r="D451" s="6"/>
      <c r="E451" s="6"/>
      <c r="F451" s="6"/>
      <c r="G451" s="6"/>
      <c r="H451" s="6"/>
      <c r="I451" s="6"/>
      <c r="J451" s="6"/>
      <c r="K451" s="6"/>
      <c r="L451" s="6"/>
      <c r="M451" s="6"/>
      <c r="N451" s="6"/>
      <c r="O451" s="6"/>
      <c r="P451" s="6"/>
      <c r="Q451" s="6"/>
      <c r="R451" s="6"/>
      <c r="S451" s="6"/>
      <c r="T451" s="6"/>
      <c r="U451" s="6"/>
      <c r="V451" s="6"/>
      <c r="W451" s="6"/>
      <c r="X451" s="6"/>
      <c r="Y451" s="6"/>
      <c r="Z451" s="6"/>
    </row>
    <row r="452" ht="12.75" customHeight="1">
      <c r="A452" s="76"/>
      <c r="B452" s="6"/>
      <c r="C452" s="77"/>
      <c r="D452" s="6"/>
      <c r="E452" s="6"/>
      <c r="F452" s="6"/>
      <c r="G452" s="6"/>
      <c r="H452" s="6"/>
      <c r="I452" s="6"/>
      <c r="J452" s="6"/>
      <c r="K452" s="6"/>
      <c r="L452" s="6"/>
      <c r="M452" s="6"/>
      <c r="N452" s="6"/>
      <c r="O452" s="6"/>
      <c r="P452" s="6"/>
      <c r="Q452" s="6"/>
      <c r="R452" s="6"/>
      <c r="S452" s="6"/>
      <c r="T452" s="6"/>
      <c r="U452" s="6"/>
      <c r="V452" s="6"/>
      <c r="W452" s="6"/>
      <c r="X452" s="6"/>
      <c r="Y452" s="6"/>
      <c r="Z452" s="6"/>
    </row>
    <row r="453" ht="12.75" customHeight="1">
      <c r="A453" s="76"/>
      <c r="B453" s="6"/>
      <c r="C453" s="77"/>
      <c r="D453" s="6"/>
      <c r="E453" s="6"/>
      <c r="F453" s="6"/>
      <c r="G453" s="6"/>
      <c r="H453" s="6"/>
      <c r="I453" s="6"/>
      <c r="J453" s="6"/>
      <c r="K453" s="6"/>
      <c r="L453" s="6"/>
      <c r="M453" s="6"/>
      <c r="N453" s="6"/>
      <c r="O453" s="6"/>
      <c r="P453" s="6"/>
      <c r="Q453" s="6"/>
      <c r="R453" s="6"/>
      <c r="S453" s="6"/>
      <c r="T453" s="6"/>
      <c r="U453" s="6"/>
      <c r="V453" s="6"/>
      <c r="W453" s="6"/>
      <c r="X453" s="6"/>
      <c r="Y453" s="6"/>
      <c r="Z453" s="6"/>
    </row>
    <row r="454" ht="12.75" customHeight="1">
      <c r="A454" s="76"/>
      <c r="B454" s="6"/>
      <c r="C454" s="77"/>
      <c r="D454" s="6"/>
      <c r="E454" s="6"/>
      <c r="F454" s="6"/>
      <c r="G454" s="6"/>
      <c r="H454" s="6"/>
      <c r="I454" s="6"/>
      <c r="J454" s="6"/>
      <c r="K454" s="6"/>
      <c r="L454" s="6"/>
      <c r="M454" s="6"/>
      <c r="N454" s="6"/>
      <c r="O454" s="6"/>
      <c r="P454" s="6"/>
      <c r="Q454" s="6"/>
      <c r="R454" s="6"/>
      <c r="S454" s="6"/>
      <c r="T454" s="6"/>
      <c r="U454" s="6"/>
      <c r="V454" s="6"/>
      <c r="W454" s="6"/>
      <c r="X454" s="6"/>
      <c r="Y454" s="6"/>
      <c r="Z454" s="6"/>
    </row>
    <row r="455" ht="12.75" customHeight="1">
      <c r="A455" s="76"/>
      <c r="B455" s="6"/>
      <c r="C455" s="77"/>
      <c r="D455" s="6"/>
      <c r="E455" s="6"/>
      <c r="F455" s="6"/>
      <c r="G455" s="6"/>
      <c r="H455" s="6"/>
      <c r="I455" s="6"/>
      <c r="J455" s="6"/>
      <c r="K455" s="6"/>
      <c r="L455" s="6"/>
      <c r="M455" s="6"/>
      <c r="N455" s="6"/>
      <c r="O455" s="6"/>
      <c r="P455" s="6"/>
      <c r="Q455" s="6"/>
      <c r="R455" s="6"/>
      <c r="S455" s="6"/>
      <c r="T455" s="6"/>
      <c r="U455" s="6"/>
      <c r="V455" s="6"/>
      <c r="W455" s="6"/>
      <c r="X455" s="6"/>
      <c r="Y455" s="6"/>
      <c r="Z455" s="6"/>
    </row>
    <row r="456" ht="12.75" customHeight="1">
      <c r="A456" s="76"/>
      <c r="B456" s="6"/>
      <c r="C456" s="77"/>
      <c r="D456" s="6"/>
      <c r="E456" s="6"/>
      <c r="F456" s="6"/>
      <c r="G456" s="6"/>
      <c r="H456" s="6"/>
      <c r="I456" s="6"/>
      <c r="J456" s="6"/>
      <c r="K456" s="6"/>
      <c r="L456" s="6"/>
      <c r="M456" s="6"/>
      <c r="N456" s="6"/>
      <c r="O456" s="6"/>
      <c r="P456" s="6"/>
      <c r="Q456" s="6"/>
      <c r="R456" s="6"/>
      <c r="S456" s="6"/>
      <c r="T456" s="6"/>
      <c r="U456" s="6"/>
      <c r="V456" s="6"/>
      <c r="W456" s="6"/>
      <c r="X456" s="6"/>
      <c r="Y456" s="6"/>
      <c r="Z456" s="6"/>
    </row>
    <row r="457" ht="12.75" customHeight="1">
      <c r="A457" s="76"/>
      <c r="B457" s="6"/>
      <c r="C457" s="77"/>
      <c r="D457" s="6"/>
      <c r="E457" s="6"/>
      <c r="F457" s="6"/>
      <c r="G457" s="6"/>
      <c r="H457" s="6"/>
      <c r="I457" s="6"/>
      <c r="J457" s="6"/>
      <c r="K457" s="6"/>
      <c r="L457" s="6"/>
      <c r="M457" s="6"/>
      <c r="N457" s="6"/>
      <c r="O457" s="6"/>
      <c r="P457" s="6"/>
      <c r="Q457" s="6"/>
      <c r="R457" s="6"/>
      <c r="S457" s="6"/>
      <c r="T457" s="6"/>
      <c r="U457" s="6"/>
      <c r="V457" s="6"/>
      <c r="W457" s="6"/>
      <c r="X457" s="6"/>
      <c r="Y457" s="6"/>
      <c r="Z457" s="6"/>
    </row>
    <row r="458" ht="12.75" customHeight="1">
      <c r="A458" s="76"/>
      <c r="B458" s="6"/>
      <c r="C458" s="77"/>
      <c r="D458" s="6"/>
      <c r="E458" s="6"/>
      <c r="F458" s="6"/>
      <c r="G458" s="6"/>
      <c r="H458" s="6"/>
      <c r="I458" s="6"/>
      <c r="J458" s="6"/>
      <c r="K458" s="6"/>
      <c r="L458" s="6"/>
      <c r="M458" s="6"/>
      <c r="N458" s="6"/>
      <c r="O458" s="6"/>
      <c r="P458" s="6"/>
      <c r="Q458" s="6"/>
      <c r="R458" s="6"/>
      <c r="S458" s="6"/>
      <c r="T458" s="6"/>
      <c r="U458" s="6"/>
      <c r="V458" s="6"/>
      <c r="W458" s="6"/>
      <c r="X458" s="6"/>
      <c r="Y458" s="6"/>
      <c r="Z458" s="6"/>
    </row>
    <row r="459" ht="12.75" customHeight="1">
      <c r="A459" s="76"/>
      <c r="B459" s="6"/>
      <c r="C459" s="77"/>
      <c r="D459" s="6"/>
      <c r="E459" s="6"/>
      <c r="F459" s="6"/>
      <c r="G459" s="6"/>
      <c r="H459" s="6"/>
      <c r="I459" s="6"/>
      <c r="J459" s="6"/>
      <c r="K459" s="6"/>
      <c r="L459" s="6"/>
      <c r="M459" s="6"/>
      <c r="N459" s="6"/>
      <c r="O459" s="6"/>
      <c r="P459" s="6"/>
      <c r="Q459" s="6"/>
      <c r="R459" s="6"/>
      <c r="S459" s="6"/>
      <c r="T459" s="6"/>
      <c r="U459" s="6"/>
      <c r="V459" s="6"/>
      <c r="W459" s="6"/>
      <c r="X459" s="6"/>
      <c r="Y459" s="6"/>
      <c r="Z459" s="6"/>
    </row>
    <row r="460" ht="12.75" customHeight="1">
      <c r="A460" s="76"/>
      <c r="B460" s="6"/>
      <c r="C460" s="77"/>
      <c r="D460" s="6"/>
      <c r="E460" s="6"/>
      <c r="F460" s="6"/>
      <c r="G460" s="6"/>
      <c r="H460" s="6"/>
      <c r="I460" s="6"/>
      <c r="J460" s="6"/>
      <c r="K460" s="6"/>
      <c r="L460" s="6"/>
      <c r="M460" s="6"/>
      <c r="N460" s="6"/>
      <c r="O460" s="6"/>
      <c r="P460" s="6"/>
      <c r="Q460" s="6"/>
      <c r="R460" s="6"/>
      <c r="S460" s="6"/>
      <c r="T460" s="6"/>
      <c r="U460" s="6"/>
      <c r="V460" s="6"/>
      <c r="W460" s="6"/>
      <c r="X460" s="6"/>
      <c r="Y460" s="6"/>
      <c r="Z460" s="6"/>
    </row>
    <row r="461" ht="12.75" customHeight="1">
      <c r="A461" s="76"/>
      <c r="B461" s="6"/>
      <c r="C461" s="77"/>
      <c r="D461" s="6"/>
      <c r="E461" s="6"/>
      <c r="F461" s="6"/>
      <c r="G461" s="6"/>
      <c r="H461" s="6"/>
      <c r="I461" s="6"/>
      <c r="J461" s="6"/>
      <c r="K461" s="6"/>
      <c r="L461" s="6"/>
      <c r="M461" s="6"/>
      <c r="N461" s="6"/>
      <c r="O461" s="6"/>
      <c r="P461" s="6"/>
      <c r="Q461" s="6"/>
      <c r="R461" s="6"/>
      <c r="S461" s="6"/>
      <c r="T461" s="6"/>
      <c r="U461" s="6"/>
      <c r="V461" s="6"/>
      <c r="W461" s="6"/>
      <c r="X461" s="6"/>
      <c r="Y461" s="6"/>
      <c r="Z461" s="6"/>
    </row>
    <row r="462" ht="12.75" customHeight="1">
      <c r="A462" s="76"/>
      <c r="B462" s="6"/>
      <c r="C462" s="77"/>
      <c r="D462" s="6"/>
      <c r="E462" s="6"/>
      <c r="F462" s="6"/>
      <c r="G462" s="6"/>
      <c r="H462" s="6"/>
      <c r="I462" s="6"/>
      <c r="J462" s="6"/>
      <c r="K462" s="6"/>
      <c r="L462" s="6"/>
      <c r="M462" s="6"/>
      <c r="N462" s="6"/>
      <c r="O462" s="6"/>
      <c r="P462" s="6"/>
      <c r="Q462" s="6"/>
      <c r="R462" s="6"/>
      <c r="S462" s="6"/>
      <c r="T462" s="6"/>
      <c r="U462" s="6"/>
      <c r="V462" s="6"/>
      <c r="W462" s="6"/>
      <c r="X462" s="6"/>
      <c r="Y462" s="6"/>
      <c r="Z462" s="6"/>
    </row>
    <row r="463" ht="12.75" customHeight="1">
      <c r="A463" s="76"/>
      <c r="B463" s="6"/>
      <c r="C463" s="77"/>
      <c r="D463" s="6"/>
      <c r="E463" s="6"/>
      <c r="F463" s="6"/>
      <c r="G463" s="6"/>
      <c r="H463" s="6"/>
      <c r="I463" s="6"/>
      <c r="J463" s="6"/>
      <c r="K463" s="6"/>
      <c r="L463" s="6"/>
      <c r="M463" s="6"/>
      <c r="N463" s="6"/>
      <c r="O463" s="6"/>
      <c r="P463" s="6"/>
      <c r="Q463" s="6"/>
      <c r="R463" s="6"/>
      <c r="S463" s="6"/>
      <c r="T463" s="6"/>
      <c r="U463" s="6"/>
      <c r="V463" s="6"/>
      <c r="W463" s="6"/>
      <c r="X463" s="6"/>
      <c r="Y463" s="6"/>
      <c r="Z463" s="6"/>
    </row>
    <row r="464" ht="12.75" customHeight="1">
      <c r="A464" s="76"/>
      <c r="B464" s="6"/>
      <c r="C464" s="77"/>
      <c r="D464" s="6"/>
      <c r="E464" s="6"/>
      <c r="F464" s="6"/>
      <c r="G464" s="6"/>
      <c r="H464" s="6"/>
      <c r="I464" s="6"/>
      <c r="J464" s="6"/>
      <c r="K464" s="6"/>
      <c r="L464" s="6"/>
      <c r="M464" s="6"/>
      <c r="N464" s="6"/>
      <c r="O464" s="6"/>
      <c r="P464" s="6"/>
      <c r="Q464" s="6"/>
      <c r="R464" s="6"/>
      <c r="S464" s="6"/>
      <c r="T464" s="6"/>
      <c r="U464" s="6"/>
      <c r="V464" s="6"/>
      <c r="W464" s="6"/>
      <c r="X464" s="6"/>
      <c r="Y464" s="6"/>
      <c r="Z464" s="6"/>
    </row>
    <row r="465" ht="12.75" customHeight="1">
      <c r="A465" s="76"/>
      <c r="B465" s="6"/>
      <c r="C465" s="77"/>
      <c r="D465" s="6"/>
      <c r="E465" s="6"/>
      <c r="F465" s="6"/>
      <c r="G465" s="6"/>
      <c r="H465" s="6"/>
      <c r="I465" s="6"/>
      <c r="J465" s="6"/>
      <c r="K465" s="6"/>
      <c r="L465" s="6"/>
      <c r="M465" s="6"/>
      <c r="N465" s="6"/>
      <c r="O465" s="6"/>
      <c r="P465" s="6"/>
      <c r="Q465" s="6"/>
      <c r="R465" s="6"/>
      <c r="S465" s="6"/>
      <c r="T465" s="6"/>
      <c r="U465" s="6"/>
      <c r="V465" s="6"/>
      <c r="W465" s="6"/>
      <c r="X465" s="6"/>
      <c r="Y465" s="6"/>
      <c r="Z465" s="6"/>
    </row>
    <row r="466" ht="12.75" customHeight="1">
      <c r="A466" s="76"/>
      <c r="B466" s="6"/>
      <c r="C466" s="77"/>
      <c r="D466" s="6"/>
      <c r="E466" s="6"/>
      <c r="F466" s="6"/>
      <c r="G466" s="6"/>
      <c r="H466" s="6"/>
      <c r="I466" s="6"/>
      <c r="J466" s="6"/>
      <c r="K466" s="6"/>
      <c r="L466" s="6"/>
      <c r="M466" s="6"/>
      <c r="N466" s="6"/>
      <c r="O466" s="6"/>
      <c r="P466" s="6"/>
      <c r="Q466" s="6"/>
      <c r="R466" s="6"/>
      <c r="S466" s="6"/>
      <c r="T466" s="6"/>
      <c r="U466" s="6"/>
      <c r="V466" s="6"/>
      <c r="W466" s="6"/>
      <c r="X466" s="6"/>
      <c r="Y466" s="6"/>
      <c r="Z466" s="6"/>
    </row>
    <row r="467" ht="12.75" customHeight="1">
      <c r="A467" s="76"/>
      <c r="B467" s="6"/>
      <c r="C467" s="77"/>
      <c r="D467" s="6"/>
      <c r="E467" s="6"/>
      <c r="F467" s="6"/>
      <c r="G467" s="6"/>
      <c r="H467" s="6"/>
      <c r="I467" s="6"/>
      <c r="J467" s="6"/>
      <c r="K467" s="6"/>
      <c r="L467" s="6"/>
      <c r="M467" s="6"/>
      <c r="N467" s="6"/>
      <c r="O467" s="6"/>
      <c r="P467" s="6"/>
      <c r="Q467" s="6"/>
      <c r="R467" s="6"/>
      <c r="S467" s="6"/>
      <c r="T467" s="6"/>
      <c r="U467" s="6"/>
      <c r="V467" s="6"/>
      <c r="W467" s="6"/>
      <c r="X467" s="6"/>
      <c r="Y467" s="6"/>
      <c r="Z467" s="6"/>
    </row>
    <row r="468" ht="12.75" customHeight="1">
      <c r="A468" s="76"/>
      <c r="B468" s="6"/>
      <c r="C468" s="77"/>
      <c r="D468" s="6"/>
      <c r="E468" s="6"/>
      <c r="F468" s="6"/>
      <c r="G468" s="6"/>
      <c r="H468" s="6"/>
      <c r="I468" s="6"/>
      <c r="J468" s="6"/>
      <c r="K468" s="6"/>
      <c r="L468" s="6"/>
      <c r="M468" s="6"/>
      <c r="N468" s="6"/>
      <c r="O468" s="6"/>
      <c r="P468" s="6"/>
      <c r="Q468" s="6"/>
      <c r="R468" s="6"/>
      <c r="S468" s="6"/>
      <c r="T468" s="6"/>
      <c r="U468" s="6"/>
      <c r="V468" s="6"/>
      <c r="W468" s="6"/>
      <c r="X468" s="6"/>
      <c r="Y468" s="6"/>
      <c r="Z468" s="6"/>
    </row>
    <row r="469" ht="12.75" customHeight="1">
      <c r="A469" s="76"/>
      <c r="B469" s="6"/>
      <c r="C469" s="77"/>
      <c r="D469" s="6"/>
      <c r="E469" s="6"/>
      <c r="F469" s="6"/>
      <c r="G469" s="6"/>
      <c r="H469" s="6"/>
      <c r="I469" s="6"/>
      <c r="J469" s="6"/>
      <c r="K469" s="6"/>
      <c r="L469" s="6"/>
      <c r="M469" s="6"/>
      <c r="N469" s="6"/>
      <c r="O469" s="6"/>
      <c r="P469" s="6"/>
      <c r="Q469" s="6"/>
      <c r="R469" s="6"/>
      <c r="S469" s="6"/>
      <c r="T469" s="6"/>
      <c r="U469" s="6"/>
      <c r="V469" s="6"/>
      <c r="W469" s="6"/>
      <c r="X469" s="6"/>
      <c r="Y469" s="6"/>
      <c r="Z469" s="6"/>
    </row>
    <row r="470" ht="12.75" customHeight="1">
      <c r="A470" s="76"/>
      <c r="B470" s="6"/>
      <c r="C470" s="77"/>
      <c r="D470" s="6"/>
      <c r="E470" s="6"/>
      <c r="F470" s="6"/>
      <c r="G470" s="6"/>
      <c r="H470" s="6"/>
      <c r="I470" s="6"/>
      <c r="J470" s="6"/>
      <c r="K470" s="6"/>
      <c r="L470" s="6"/>
      <c r="M470" s="6"/>
      <c r="N470" s="6"/>
      <c r="O470" s="6"/>
      <c r="P470" s="6"/>
      <c r="Q470" s="6"/>
      <c r="R470" s="6"/>
      <c r="S470" s="6"/>
      <c r="T470" s="6"/>
      <c r="U470" s="6"/>
      <c r="V470" s="6"/>
      <c r="W470" s="6"/>
      <c r="X470" s="6"/>
      <c r="Y470" s="6"/>
      <c r="Z470" s="6"/>
    </row>
    <row r="471" ht="12.75" customHeight="1">
      <c r="A471" s="76"/>
      <c r="B471" s="6"/>
      <c r="C471" s="77"/>
      <c r="D471" s="6"/>
      <c r="E471" s="6"/>
      <c r="F471" s="6"/>
      <c r="G471" s="6"/>
      <c r="H471" s="6"/>
      <c r="I471" s="6"/>
      <c r="J471" s="6"/>
      <c r="K471" s="6"/>
      <c r="L471" s="6"/>
      <c r="M471" s="6"/>
      <c r="N471" s="6"/>
      <c r="O471" s="6"/>
      <c r="P471" s="6"/>
      <c r="Q471" s="6"/>
      <c r="R471" s="6"/>
      <c r="S471" s="6"/>
      <c r="T471" s="6"/>
      <c r="U471" s="6"/>
      <c r="V471" s="6"/>
      <c r="W471" s="6"/>
      <c r="X471" s="6"/>
      <c r="Y471" s="6"/>
      <c r="Z471" s="6"/>
    </row>
    <row r="472" ht="12.75" customHeight="1">
      <c r="A472" s="76"/>
      <c r="B472" s="6"/>
      <c r="C472" s="77"/>
      <c r="D472" s="6"/>
      <c r="E472" s="6"/>
      <c r="F472" s="6"/>
      <c r="G472" s="6"/>
      <c r="H472" s="6"/>
      <c r="I472" s="6"/>
      <c r="J472" s="6"/>
      <c r="K472" s="6"/>
      <c r="L472" s="6"/>
      <c r="M472" s="6"/>
      <c r="N472" s="6"/>
      <c r="O472" s="6"/>
      <c r="P472" s="6"/>
      <c r="Q472" s="6"/>
      <c r="R472" s="6"/>
      <c r="S472" s="6"/>
      <c r="T472" s="6"/>
      <c r="U472" s="6"/>
      <c r="V472" s="6"/>
      <c r="W472" s="6"/>
      <c r="X472" s="6"/>
      <c r="Y472" s="6"/>
      <c r="Z472" s="6"/>
    </row>
    <row r="473" ht="12.75" customHeight="1">
      <c r="A473" s="76"/>
      <c r="B473" s="6"/>
      <c r="C473" s="77"/>
      <c r="D473" s="6"/>
      <c r="E473" s="6"/>
      <c r="F473" s="6"/>
      <c r="G473" s="6"/>
      <c r="H473" s="6"/>
      <c r="I473" s="6"/>
      <c r="J473" s="6"/>
      <c r="K473" s="6"/>
      <c r="L473" s="6"/>
      <c r="M473" s="6"/>
      <c r="N473" s="6"/>
      <c r="O473" s="6"/>
      <c r="P473" s="6"/>
      <c r="Q473" s="6"/>
      <c r="R473" s="6"/>
      <c r="S473" s="6"/>
      <c r="T473" s="6"/>
      <c r="U473" s="6"/>
      <c r="V473" s="6"/>
      <c r="W473" s="6"/>
      <c r="X473" s="6"/>
      <c r="Y473" s="6"/>
      <c r="Z473" s="6"/>
    </row>
    <row r="474" ht="12.75" customHeight="1">
      <c r="A474" s="76"/>
      <c r="B474" s="6"/>
      <c r="C474" s="77"/>
      <c r="D474" s="6"/>
      <c r="E474" s="6"/>
      <c r="F474" s="6"/>
      <c r="G474" s="6"/>
      <c r="H474" s="6"/>
      <c r="I474" s="6"/>
      <c r="J474" s="6"/>
      <c r="K474" s="6"/>
      <c r="L474" s="6"/>
      <c r="M474" s="6"/>
      <c r="N474" s="6"/>
      <c r="O474" s="6"/>
      <c r="P474" s="6"/>
      <c r="Q474" s="6"/>
      <c r="R474" s="6"/>
      <c r="S474" s="6"/>
      <c r="T474" s="6"/>
      <c r="U474" s="6"/>
      <c r="V474" s="6"/>
      <c r="W474" s="6"/>
      <c r="X474" s="6"/>
      <c r="Y474" s="6"/>
      <c r="Z474" s="6"/>
    </row>
    <row r="475" ht="12.75" customHeight="1">
      <c r="A475" s="76"/>
      <c r="B475" s="6"/>
      <c r="C475" s="77"/>
      <c r="D475" s="6"/>
      <c r="E475" s="6"/>
      <c r="F475" s="6"/>
      <c r="G475" s="6"/>
      <c r="H475" s="6"/>
      <c r="I475" s="6"/>
      <c r="J475" s="6"/>
      <c r="K475" s="6"/>
      <c r="L475" s="6"/>
      <c r="M475" s="6"/>
      <c r="N475" s="6"/>
      <c r="O475" s="6"/>
      <c r="P475" s="6"/>
      <c r="Q475" s="6"/>
      <c r="R475" s="6"/>
      <c r="S475" s="6"/>
      <c r="T475" s="6"/>
      <c r="U475" s="6"/>
      <c r="V475" s="6"/>
      <c r="W475" s="6"/>
      <c r="X475" s="6"/>
      <c r="Y475" s="6"/>
      <c r="Z475" s="6"/>
    </row>
    <row r="476" ht="12.75" customHeight="1">
      <c r="A476" s="76"/>
      <c r="B476" s="6"/>
      <c r="C476" s="77"/>
      <c r="D476" s="6"/>
      <c r="E476" s="6"/>
      <c r="F476" s="6"/>
      <c r="G476" s="6"/>
      <c r="H476" s="6"/>
      <c r="I476" s="6"/>
      <c r="J476" s="6"/>
      <c r="K476" s="6"/>
      <c r="L476" s="6"/>
      <c r="M476" s="6"/>
      <c r="N476" s="6"/>
      <c r="O476" s="6"/>
      <c r="P476" s="6"/>
      <c r="Q476" s="6"/>
      <c r="R476" s="6"/>
      <c r="S476" s="6"/>
      <c r="T476" s="6"/>
      <c r="U476" s="6"/>
      <c r="V476" s="6"/>
      <c r="W476" s="6"/>
      <c r="X476" s="6"/>
      <c r="Y476" s="6"/>
      <c r="Z476" s="6"/>
    </row>
    <row r="477" ht="12.75" customHeight="1">
      <c r="A477" s="76"/>
      <c r="B477" s="6"/>
      <c r="C477" s="77"/>
      <c r="D477" s="6"/>
      <c r="E477" s="6"/>
      <c r="F477" s="6"/>
      <c r="G477" s="6"/>
      <c r="H477" s="6"/>
      <c r="I477" s="6"/>
      <c r="J477" s="6"/>
      <c r="K477" s="6"/>
      <c r="L477" s="6"/>
      <c r="M477" s="6"/>
      <c r="N477" s="6"/>
      <c r="O477" s="6"/>
      <c r="P477" s="6"/>
      <c r="Q477" s="6"/>
      <c r="R477" s="6"/>
      <c r="S477" s="6"/>
      <c r="T477" s="6"/>
      <c r="U477" s="6"/>
      <c r="V477" s="6"/>
      <c r="W477" s="6"/>
      <c r="X477" s="6"/>
      <c r="Y477" s="6"/>
      <c r="Z477" s="6"/>
    </row>
    <row r="478" ht="12.75" customHeight="1">
      <c r="A478" s="76"/>
      <c r="B478" s="6"/>
      <c r="C478" s="77"/>
      <c r="D478" s="6"/>
      <c r="E478" s="6"/>
      <c r="F478" s="6"/>
      <c r="G478" s="6"/>
      <c r="H478" s="6"/>
      <c r="I478" s="6"/>
      <c r="J478" s="6"/>
      <c r="K478" s="6"/>
      <c r="L478" s="6"/>
      <c r="M478" s="6"/>
      <c r="N478" s="6"/>
      <c r="O478" s="6"/>
      <c r="P478" s="6"/>
      <c r="Q478" s="6"/>
      <c r="R478" s="6"/>
      <c r="S478" s="6"/>
      <c r="T478" s="6"/>
      <c r="U478" s="6"/>
      <c r="V478" s="6"/>
      <c r="W478" s="6"/>
      <c r="X478" s="6"/>
      <c r="Y478" s="6"/>
      <c r="Z478" s="6"/>
    </row>
    <row r="479" ht="12.75" customHeight="1">
      <c r="A479" s="76"/>
      <c r="B479" s="6"/>
      <c r="C479" s="77"/>
      <c r="D479" s="6"/>
      <c r="E479" s="6"/>
      <c r="F479" s="6"/>
      <c r="G479" s="6"/>
      <c r="H479" s="6"/>
      <c r="I479" s="6"/>
      <c r="J479" s="6"/>
      <c r="K479" s="6"/>
      <c r="L479" s="6"/>
      <c r="M479" s="6"/>
      <c r="N479" s="6"/>
      <c r="O479" s="6"/>
      <c r="P479" s="6"/>
      <c r="Q479" s="6"/>
      <c r="R479" s="6"/>
      <c r="S479" s="6"/>
      <c r="T479" s="6"/>
      <c r="U479" s="6"/>
      <c r="V479" s="6"/>
      <c r="W479" s="6"/>
      <c r="X479" s="6"/>
      <c r="Y479" s="6"/>
      <c r="Z479" s="6"/>
    </row>
    <row r="480" ht="12.75" customHeight="1">
      <c r="A480" s="76"/>
      <c r="B480" s="6"/>
      <c r="C480" s="77"/>
      <c r="D480" s="6"/>
      <c r="E480" s="6"/>
      <c r="F480" s="6"/>
      <c r="G480" s="6"/>
      <c r="H480" s="6"/>
      <c r="I480" s="6"/>
      <c r="J480" s="6"/>
      <c r="K480" s="6"/>
      <c r="L480" s="6"/>
      <c r="M480" s="6"/>
      <c r="N480" s="6"/>
      <c r="O480" s="6"/>
      <c r="P480" s="6"/>
      <c r="Q480" s="6"/>
      <c r="R480" s="6"/>
      <c r="S480" s="6"/>
      <c r="T480" s="6"/>
      <c r="U480" s="6"/>
      <c r="V480" s="6"/>
      <c r="W480" s="6"/>
      <c r="X480" s="6"/>
      <c r="Y480" s="6"/>
      <c r="Z480" s="6"/>
    </row>
    <row r="481" ht="12.75" customHeight="1">
      <c r="A481" s="76"/>
      <c r="B481" s="6"/>
      <c r="C481" s="77"/>
      <c r="D481" s="6"/>
      <c r="E481" s="6"/>
      <c r="F481" s="6"/>
      <c r="G481" s="6"/>
      <c r="H481" s="6"/>
      <c r="I481" s="6"/>
      <c r="J481" s="6"/>
      <c r="K481" s="6"/>
      <c r="L481" s="6"/>
      <c r="M481" s="6"/>
      <c r="N481" s="6"/>
      <c r="O481" s="6"/>
      <c r="P481" s="6"/>
      <c r="Q481" s="6"/>
      <c r="R481" s="6"/>
      <c r="S481" s="6"/>
      <c r="T481" s="6"/>
      <c r="U481" s="6"/>
      <c r="V481" s="6"/>
      <c r="W481" s="6"/>
      <c r="X481" s="6"/>
      <c r="Y481" s="6"/>
      <c r="Z481" s="6"/>
    </row>
    <row r="482" ht="12.75" customHeight="1">
      <c r="A482" s="76"/>
      <c r="B482" s="6"/>
      <c r="C482" s="77"/>
      <c r="D482" s="6"/>
      <c r="E482" s="6"/>
      <c r="F482" s="6"/>
      <c r="G482" s="6"/>
      <c r="H482" s="6"/>
      <c r="I482" s="6"/>
      <c r="J482" s="6"/>
      <c r="K482" s="6"/>
      <c r="L482" s="6"/>
      <c r="M482" s="6"/>
      <c r="N482" s="6"/>
      <c r="O482" s="6"/>
      <c r="P482" s="6"/>
      <c r="Q482" s="6"/>
      <c r="R482" s="6"/>
      <c r="S482" s="6"/>
      <c r="T482" s="6"/>
      <c r="U482" s="6"/>
      <c r="V482" s="6"/>
      <c r="W482" s="6"/>
      <c r="X482" s="6"/>
      <c r="Y482" s="6"/>
      <c r="Z482" s="6"/>
    </row>
    <row r="483" ht="12.75" customHeight="1">
      <c r="A483" s="76"/>
      <c r="B483" s="6"/>
      <c r="C483" s="77"/>
      <c r="D483" s="6"/>
      <c r="E483" s="6"/>
      <c r="F483" s="6"/>
      <c r="G483" s="6"/>
      <c r="H483" s="6"/>
      <c r="I483" s="6"/>
      <c r="J483" s="6"/>
      <c r="K483" s="6"/>
      <c r="L483" s="6"/>
      <c r="M483" s="6"/>
      <c r="N483" s="6"/>
      <c r="O483" s="6"/>
      <c r="P483" s="6"/>
      <c r="Q483" s="6"/>
      <c r="R483" s="6"/>
      <c r="S483" s="6"/>
      <c r="T483" s="6"/>
      <c r="U483" s="6"/>
      <c r="V483" s="6"/>
      <c r="W483" s="6"/>
      <c r="X483" s="6"/>
      <c r="Y483" s="6"/>
      <c r="Z483" s="6"/>
    </row>
    <row r="484" ht="12.75" customHeight="1">
      <c r="A484" s="76"/>
      <c r="B484" s="6"/>
      <c r="C484" s="77"/>
      <c r="D484" s="6"/>
      <c r="E484" s="6"/>
      <c r="F484" s="6"/>
      <c r="G484" s="6"/>
      <c r="H484" s="6"/>
      <c r="I484" s="6"/>
      <c r="J484" s="6"/>
      <c r="K484" s="6"/>
      <c r="L484" s="6"/>
      <c r="M484" s="6"/>
      <c r="N484" s="6"/>
      <c r="O484" s="6"/>
      <c r="P484" s="6"/>
      <c r="Q484" s="6"/>
      <c r="R484" s="6"/>
      <c r="S484" s="6"/>
      <c r="T484" s="6"/>
      <c r="U484" s="6"/>
      <c r="V484" s="6"/>
      <c r="W484" s="6"/>
      <c r="X484" s="6"/>
      <c r="Y484" s="6"/>
      <c r="Z484" s="6"/>
    </row>
    <row r="485" ht="12.75" customHeight="1">
      <c r="A485" s="76"/>
      <c r="B485" s="6"/>
      <c r="C485" s="77"/>
      <c r="D485" s="6"/>
      <c r="E485" s="6"/>
      <c r="F485" s="6"/>
      <c r="G485" s="6"/>
      <c r="H485" s="6"/>
      <c r="I485" s="6"/>
      <c r="J485" s="6"/>
      <c r="K485" s="6"/>
      <c r="L485" s="6"/>
      <c r="M485" s="6"/>
      <c r="N485" s="6"/>
      <c r="O485" s="6"/>
      <c r="P485" s="6"/>
      <c r="Q485" s="6"/>
      <c r="R485" s="6"/>
      <c r="S485" s="6"/>
      <c r="T485" s="6"/>
      <c r="U485" s="6"/>
      <c r="V485" s="6"/>
      <c r="W485" s="6"/>
      <c r="X485" s="6"/>
      <c r="Y485" s="6"/>
      <c r="Z485" s="6"/>
    </row>
    <row r="486" ht="12.75" customHeight="1">
      <c r="A486" s="76"/>
      <c r="B486" s="6"/>
      <c r="C486" s="77"/>
      <c r="D486" s="6"/>
      <c r="E486" s="6"/>
      <c r="F486" s="6"/>
      <c r="G486" s="6"/>
      <c r="H486" s="6"/>
      <c r="I486" s="6"/>
      <c r="J486" s="6"/>
      <c r="K486" s="6"/>
      <c r="L486" s="6"/>
      <c r="M486" s="6"/>
      <c r="N486" s="6"/>
      <c r="O486" s="6"/>
      <c r="P486" s="6"/>
      <c r="Q486" s="6"/>
      <c r="R486" s="6"/>
      <c r="S486" s="6"/>
      <c r="T486" s="6"/>
      <c r="U486" s="6"/>
      <c r="V486" s="6"/>
      <c r="W486" s="6"/>
      <c r="X486" s="6"/>
      <c r="Y486" s="6"/>
      <c r="Z486" s="6"/>
    </row>
    <row r="487" ht="12.75" customHeight="1">
      <c r="A487" s="76"/>
      <c r="B487" s="6"/>
      <c r="C487" s="77"/>
      <c r="D487" s="6"/>
      <c r="E487" s="6"/>
      <c r="F487" s="6"/>
      <c r="G487" s="6"/>
      <c r="H487" s="6"/>
      <c r="I487" s="6"/>
      <c r="J487" s="6"/>
      <c r="K487" s="6"/>
      <c r="L487" s="6"/>
      <c r="M487" s="6"/>
      <c r="N487" s="6"/>
      <c r="O487" s="6"/>
      <c r="P487" s="6"/>
      <c r="Q487" s="6"/>
      <c r="R487" s="6"/>
      <c r="S487" s="6"/>
      <c r="T487" s="6"/>
      <c r="U487" s="6"/>
      <c r="V487" s="6"/>
      <c r="W487" s="6"/>
      <c r="X487" s="6"/>
      <c r="Y487" s="6"/>
      <c r="Z487" s="6"/>
    </row>
    <row r="488" ht="12.75" customHeight="1">
      <c r="A488" s="76"/>
      <c r="B488" s="6"/>
      <c r="C488" s="77"/>
      <c r="D488" s="6"/>
      <c r="E488" s="6"/>
      <c r="F488" s="6"/>
      <c r="G488" s="6"/>
      <c r="H488" s="6"/>
      <c r="I488" s="6"/>
      <c r="J488" s="6"/>
      <c r="K488" s="6"/>
      <c r="L488" s="6"/>
      <c r="M488" s="6"/>
      <c r="N488" s="6"/>
      <c r="O488" s="6"/>
      <c r="P488" s="6"/>
      <c r="Q488" s="6"/>
      <c r="R488" s="6"/>
      <c r="S488" s="6"/>
      <c r="T488" s="6"/>
      <c r="U488" s="6"/>
      <c r="V488" s="6"/>
      <c r="W488" s="6"/>
      <c r="X488" s="6"/>
      <c r="Y488" s="6"/>
      <c r="Z488" s="6"/>
    </row>
    <row r="489" ht="12.75" customHeight="1">
      <c r="A489" s="76"/>
      <c r="B489" s="6"/>
      <c r="C489" s="77"/>
      <c r="D489" s="6"/>
      <c r="E489" s="6"/>
      <c r="F489" s="6"/>
      <c r="G489" s="6"/>
      <c r="H489" s="6"/>
      <c r="I489" s="6"/>
      <c r="J489" s="6"/>
      <c r="K489" s="6"/>
      <c r="L489" s="6"/>
      <c r="M489" s="6"/>
      <c r="N489" s="6"/>
      <c r="O489" s="6"/>
      <c r="P489" s="6"/>
      <c r="Q489" s="6"/>
      <c r="R489" s="6"/>
      <c r="S489" s="6"/>
      <c r="T489" s="6"/>
      <c r="U489" s="6"/>
      <c r="V489" s="6"/>
      <c r="W489" s="6"/>
      <c r="X489" s="6"/>
      <c r="Y489" s="6"/>
      <c r="Z489" s="6"/>
    </row>
    <row r="490" ht="12.75" customHeight="1">
      <c r="A490" s="76"/>
      <c r="B490" s="6"/>
      <c r="C490" s="77"/>
      <c r="D490" s="6"/>
      <c r="E490" s="6"/>
      <c r="F490" s="6"/>
      <c r="G490" s="6"/>
      <c r="H490" s="6"/>
      <c r="I490" s="6"/>
      <c r="J490" s="6"/>
      <c r="K490" s="6"/>
      <c r="L490" s="6"/>
      <c r="M490" s="6"/>
      <c r="N490" s="6"/>
      <c r="O490" s="6"/>
      <c r="P490" s="6"/>
      <c r="Q490" s="6"/>
      <c r="R490" s="6"/>
      <c r="S490" s="6"/>
      <c r="T490" s="6"/>
      <c r="U490" s="6"/>
      <c r="V490" s="6"/>
      <c r="W490" s="6"/>
      <c r="X490" s="6"/>
      <c r="Y490" s="6"/>
      <c r="Z490" s="6"/>
    </row>
    <row r="491" ht="12.75" customHeight="1">
      <c r="A491" s="76"/>
      <c r="B491" s="6"/>
      <c r="C491" s="77"/>
      <c r="D491" s="6"/>
      <c r="E491" s="6"/>
      <c r="F491" s="6"/>
      <c r="G491" s="6"/>
      <c r="H491" s="6"/>
      <c r="I491" s="6"/>
      <c r="J491" s="6"/>
      <c r="K491" s="6"/>
      <c r="L491" s="6"/>
      <c r="M491" s="6"/>
      <c r="N491" s="6"/>
      <c r="O491" s="6"/>
      <c r="P491" s="6"/>
      <c r="Q491" s="6"/>
      <c r="R491" s="6"/>
      <c r="S491" s="6"/>
      <c r="T491" s="6"/>
      <c r="U491" s="6"/>
      <c r="V491" s="6"/>
      <c r="W491" s="6"/>
      <c r="X491" s="6"/>
      <c r="Y491" s="6"/>
      <c r="Z491" s="6"/>
    </row>
    <row r="492" ht="12.75" customHeight="1">
      <c r="A492" s="76"/>
      <c r="B492" s="6"/>
      <c r="C492" s="77"/>
      <c r="D492" s="6"/>
      <c r="E492" s="6"/>
      <c r="F492" s="6"/>
      <c r="G492" s="6"/>
      <c r="H492" s="6"/>
      <c r="I492" s="6"/>
      <c r="J492" s="6"/>
      <c r="K492" s="6"/>
      <c r="L492" s="6"/>
      <c r="M492" s="6"/>
      <c r="N492" s="6"/>
      <c r="O492" s="6"/>
      <c r="P492" s="6"/>
      <c r="Q492" s="6"/>
      <c r="R492" s="6"/>
      <c r="S492" s="6"/>
      <c r="T492" s="6"/>
      <c r="U492" s="6"/>
      <c r="V492" s="6"/>
      <c r="W492" s="6"/>
      <c r="X492" s="6"/>
      <c r="Y492" s="6"/>
      <c r="Z492" s="6"/>
    </row>
    <row r="493" ht="12.75" customHeight="1">
      <c r="A493" s="76"/>
      <c r="B493" s="6"/>
      <c r="C493" s="77"/>
      <c r="D493" s="6"/>
      <c r="E493" s="6"/>
      <c r="F493" s="6"/>
      <c r="G493" s="6"/>
      <c r="H493" s="6"/>
      <c r="I493" s="6"/>
      <c r="J493" s="6"/>
      <c r="K493" s="6"/>
      <c r="L493" s="6"/>
      <c r="M493" s="6"/>
      <c r="N493" s="6"/>
      <c r="O493" s="6"/>
      <c r="P493" s="6"/>
      <c r="Q493" s="6"/>
      <c r="R493" s="6"/>
      <c r="S493" s="6"/>
      <c r="T493" s="6"/>
      <c r="U493" s="6"/>
      <c r="V493" s="6"/>
      <c r="W493" s="6"/>
      <c r="X493" s="6"/>
      <c r="Y493" s="6"/>
      <c r="Z493" s="6"/>
    </row>
    <row r="494" ht="12.75" customHeight="1">
      <c r="A494" s="76"/>
      <c r="B494" s="6"/>
      <c r="C494" s="77"/>
      <c r="D494" s="6"/>
      <c r="E494" s="6"/>
      <c r="F494" s="6"/>
      <c r="G494" s="6"/>
      <c r="H494" s="6"/>
      <c r="I494" s="6"/>
      <c r="J494" s="6"/>
      <c r="K494" s="6"/>
      <c r="L494" s="6"/>
      <c r="M494" s="6"/>
      <c r="N494" s="6"/>
      <c r="O494" s="6"/>
      <c r="P494" s="6"/>
      <c r="Q494" s="6"/>
      <c r="R494" s="6"/>
      <c r="S494" s="6"/>
      <c r="T494" s="6"/>
      <c r="U494" s="6"/>
      <c r="V494" s="6"/>
      <c r="W494" s="6"/>
      <c r="X494" s="6"/>
      <c r="Y494" s="6"/>
      <c r="Z494" s="6"/>
    </row>
    <row r="495" ht="12.75" customHeight="1">
      <c r="A495" s="76"/>
      <c r="B495" s="6"/>
      <c r="C495" s="77"/>
      <c r="D495" s="6"/>
      <c r="E495" s="6"/>
      <c r="F495" s="6"/>
      <c r="G495" s="6"/>
      <c r="H495" s="6"/>
      <c r="I495" s="6"/>
      <c r="J495" s="6"/>
      <c r="K495" s="6"/>
      <c r="L495" s="6"/>
      <c r="M495" s="6"/>
      <c r="N495" s="6"/>
      <c r="O495" s="6"/>
      <c r="P495" s="6"/>
      <c r="Q495" s="6"/>
      <c r="R495" s="6"/>
      <c r="S495" s="6"/>
      <c r="T495" s="6"/>
      <c r="U495" s="6"/>
      <c r="V495" s="6"/>
      <c r="W495" s="6"/>
      <c r="X495" s="6"/>
      <c r="Y495" s="6"/>
      <c r="Z495" s="6"/>
    </row>
    <row r="496" ht="12.75" customHeight="1">
      <c r="A496" s="76"/>
      <c r="B496" s="6"/>
      <c r="C496" s="77"/>
      <c r="D496" s="6"/>
      <c r="E496" s="6"/>
      <c r="F496" s="6"/>
      <c r="G496" s="6"/>
      <c r="H496" s="6"/>
      <c r="I496" s="6"/>
      <c r="J496" s="6"/>
      <c r="K496" s="6"/>
      <c r="L496" s="6"/>
      <c r="M496" s="6"/>
      <c r="N496" s="6"/>
      <c r="O496" s="6"/>
      <c r="P496" s="6"/>
      <c r="Q496" s="6"/>
      <c r="R496" s="6"/>
      <c r="S496" s="6"/>
      <c r="T496" s="6"/>
      <c r="U496" s="6"/>
      <c r="V496" s="6"/>
      <c r="W496" s="6"/>
      <c r="X496" s="6"/>
      <c r="Y496" s="6"/>
      <c r="Z496" s="6"/>
    </row>
    <row r="497" ht="12.75" customHeight="1">
      <c r="A497" s="76"/>
      <c r="B497" s="6"/>
      <c r="C497" s="77"/>
      <c r="D497" s="6"/>
      <c r="E497" s="6"/>
      <c r="F497" s="6"/>
      <c r="G497" s="6"/>
      <c r="H497" s="6"/>
      <c r="I497" s="6"/>
      <c r="J497" s="6"/>
      <c r="K497" s="6"/>
      <c r="L497" s="6"/>
      <c r="M497" s="6"/>
      <c r="N497" s="6"/>
      <c r="O497" s="6"/>
      <c r="P497" s="6"/>
      <c r="Q497" s="6"/>
      <c r="R497" s="6"/>
      <c r="S497" s="6"/>
      <c r="T497" s="6"/>
      <c r="U497" s="6"/>
      <c r="V497" s="6"/>
      <c r="W497" s="6"/>
      <c r="X497" s="6"/>
      <c r="Y497" s="6"/>
      <c r="Z497" s="6"/>
    </row>
    <row r="498" ht="12.75" customHeight="1">
      <c r="A498" s="76"/>
      <c r="B498" s="6"/>
      <c r="C498" s="77"/>
      <c r="D498" s="6"/>
      <c r="E498" s="6"/>
      <c r="F498" s="6"/>
      <c r="G498" s="6"/>
      <c r="H498" s="6"/>
      <c r="I498" s="6"/>
      <c r="J498" s="6"/>
      <c r="K498" s="6"/>
      <c r="L498" s="6"/>
      <c r="M498" s="6"/>
      <c r="N498" s="6"/>
      <c r="O498" s="6"/>
      <c r="P498" s="6"/>
      <c r="Q498" s="6"/>
      <c r="R498" s="6"/>
      <c r="S498" s="6"/>
      <c r="T498" s="6"/>
      <c r="U498" s="6"/>
      <c r="V498" s="6"/>
      <c r="W498" s="6"/>
      <c r="X498" s="6"/>
      <c r="Y498" s="6"/>
      <c r="Z498" s="6"/>
    </row>
    <row r="499" ht="12.75" customHeight="1">
      <c r="A499" s="76"/>
      <c r="B499" s="6"/>
      <c r="C499" s="77"/>
      <c r="D499" s="6"/>
      <c r="E499" s="6"/>
      <c r="F499" s="6"/>
      <c r="G499" s="6"/>
      <c r="H499" s="6"/>
      <c r="I499" s="6"/>
      <c r="J499" s="6"/>
      <c r="K499" s="6"/>
      <c r="L499" s="6"/>
      <c r="M499" s="6"/>
      <c r="N499" s="6"/>
      <c r="O499" s="6"/>
      <c r="P499" s="6"/>
      <c r="Q499" s="6"/>
      <c r="R499" s="6"/>
      <c r="S499" s="6"/>
      <c r="T499" s="6"/>
      <c r="U499" s="6"/>
      <c r="V499" s="6"/>
      <c r="W499" s="6"/>
      <c r="X499" s="6"/>
      <c r="Y499" s="6"/>
      <c r="Z499" s="6"/>
    </row>
    <row r="500" ht="12.75" customHeight="1">
      <c r="A500" s="76"/>
      <c r="B500" s="6"/>
      <c r="C500" s="77"/>
      <c r="D500" s="6"/>
      <c r="E500" s="6"/>
      <c r="F500" s="6"/>
      <c r="G500" s="6"/>
      <c r="H500" s="6"/>
      <c r="I500" s="6"/>
      <c r="J500" s="6"/>
      <c r="K500" s="6"/>
      <c r="L500" s="6"/>
      <c r="M500" s="6"/>
      <c r="N500" s="6"/>
      <c r="O500" s="6"/>
      <c r="P500" s="6"/>
      <c r="Q500" s="6"/>
      <c r="R500" s="6"/>
      <c r="S500" s="6"/>
      <c r="T500" s="6"/>
      <c r="U500" s="6"/>
      <c r="V500" s="6"/>
      <c r="W500" s="6"/>
      <c r="X500" s="6"/>
      <c r="Y500" s="6"/>
      <c r="Z500" s="6"/>
    </row>
    <row r="501" ht="12.75" customHeight="1">
      <c r="A501" s="76"/>
      <c r="B501" s="6"/>
      <c r="C501" s="77"/>
      <c r="D501" s="6"/>
      <c r="E501" s="6"/>
      <c r="F501" s="6"/>
      <c r="G501" s="6"/>
      <c r="H501" s="6"/>
      <c r="I501" s="6"/>
      <c r="J501" s="6"/>
      <c r="K501" s="6"/>
      <c r="L501" s="6"/>
      <c r="M501" s="6"/>
      <c r="N501" s="6"/>
      <c r="O501" s="6"/>
      <c r="P501" s="6"/>
      <c r="Q501" s="6"/>
      <c r="R501" s="6"/>
      <c r="S501" s="6"/>
      <c r="T501" s="6"/>
      <c r="U501" s="6"/>
      <c r="V501" s="6"/>
      <c r="W501" s="6"/>
      <c r="X501" s="6"/>
      <c r="Y501" s="6"/>
      <c r="Z501" s="6"/>
    </row>
    <row r="502" ht="12.75" customHeight="1">
      <c r="A502" s="76"/>
      <c r="B502" s="6"/>
      <c r="C502" s="77"/>
      <c r="D502" s="6"/>
      <c r="E502" s="6"/>
      <c r="F502" s="6"/>
      <c r="G502" s="6"/>
      <c r="H502" s="6"/>
      <c r="I502" s="6"/>
      <c r="J502" s="6"/>
      <c r="K502" s="6"/>
      <c r="L502" s="6"/>
      <c r="M502" s="6"/>
      <c r="N502" s="6"/>
      <c r="O502" s="6"/>
      <c r="P502" s="6"/>
      <c r="Q502" s="6"/>
      <c r="R502" s="6"/>
      <c r="S502" s="6"/>
      <c r="T502" s="6"/>
      <c r="U502" s="6"/>
      <c r="V502" s="6"/>
      <c r="W502" s="6"/>
      <c r="X502" s="6"/>
      <c r="Y502" s="6"/>
      <c r="Z502" s="6"/>
    </row>
    <row r="503" ht="12.75" customHeight="1">
      <c r="A503" s="76"/>
      <c r="B503" s="6"/>
      <c r="C503" s="77"/>
      <c r="D503" s="6"/>
      <c r="E503" s="6"/>
      <c r="F503" s="6"/>
      <c r="G503" s="6"/>
      <c r="H503" s="6"/>
      <c r="I503" s="6"/>
      <c r="J503" s="6"/>
      <c r="K503" s="6"/>
      <c r="L503" s="6"/>
      <c r="M503" s="6"/>
      <c r="N503" s="6"/>
      <c r="O503" s="6"/>
      <c r="P503" s="6"/>
      <c r="Q503" s="6"/>
      <c r="R503" s="6"/>
      <c r="S503" s="6"/>
      <c r="T503" s="6"/>
      <c r="U503" s="6"/>
      <c r="V503" s="6"/>
      <c r="W503" s="6"/>
      <c r="X503" s="6"/>
      <c r="Y503" s="6"/>
      <c r="Z503" s="6"/>
    </row>
    <row r="504" ht="12.75" customHeight="1">
      <c r="A504" s="76"/>
      <c r="B504" s="6"/>
      <c r="C504" s="77"/>
      <c r="D504" s="6"/>
      <c r="E504" s="6"/>
      <c r="F504" s="6"/>
      <c r="G504" s="6"/>
      <c r="H504" s="6"/>
      <c r="I504" s="6"/>
      <c r="J504" s="6"/>
      <c r="K504" s="6"/>
      <c r="L504" s="6"/>
      <c r="M504" s="6"/>
      <c r="N504" s="6"/>
      <c r="O504" s="6"/>
      <c r="P504" s="6"/>
      <c r="Q504" s="6"/>
      <c r="R504" s="6"/>
      <c r="S504" s="6"/>
      <c r="T504" s="6"/>
      <c r="U504" s="6"/>
      <c r="V504" s="6"/>
      <c r="W504" s="6"/>
      <c r="X504" s="6"/>
      <c r="Y504" s="6"/>
      <c r="Z504" s="6"/>
    </row>
    <row r="505" ht="12.75" customHeight="1">
      <c r="A505" s="76"/>
      <c r="B505" s="6"/>
      <c r="C505" s="77"/>
      <c r="D505" s="6"/>
      <c r="E505" s="6"/>
      <c r="F505" s="6"/>
      <c r="G505" s="6"/>
      <c r="H505" s="6"/>
      <c r="I505" s="6"/>
      <c r="J505" s="6"/>
      <c r="K505" s="6"/>
      <c r="L505" s="6"/>
      <c r="M505" s="6"/>
      <c r="N505" s="6"/>
      <c r="O505" s="6"/>
      <c r="P505" s="6"/>
      <c r="Q505" s="6"/>
      <c r="R505" s="6"/>
      <c r="S505" s="6"/>
      <c r="T505" s="6"/>
      <c r="U505" s="6"/>
      <c r="V505" s="6"/>
      <c r="W505" s="6"/>
      <c r="X505" s="6"/>
      <c r="Y505" s="6"/>
      <c r="Z505" s="6"/>
    </row>
    <row r="506" ht="12.75" customHeight="1">
      <c r="A506" s="76"/>
      <c r="B506" s="6"/>
      <c r="C506" s="77"/>
      <c r="D506" s="6"/>
      <c r="E506" s="6"/>
      <c r="F506" s="6"/>
      <c r="G506" s="6"/>
      <c r="H506" s="6"/>
      <c r="I506" s="6"/>
      <c r="J506" s="6"/>
      <c r="K506" s="6"/>
      <c r="L506" s="6"/>
      <c r="M506" s="6"/>
      <c r="N506" s="6"/>
      <c r="O506" s="6"/>
      <c r="P506" s="6"/>
      <c r="Q506" s="6"/>
      <c r="R506" s="6"/>
      <c r="S506" s="6"/>
      <c r="T506" s="6"/>
      <c r="U506" s="6"/>
      <c r="V506" s="6"/>
      <c r="W506" s="6"/>
      <c r="X506" s="6"/>
      <c r="Y506" s="6"/>
      <c r="Z506" s="6"/>
    </row>
    <row r="507" ht="12.75" customHeight="1">
      <c r="A507" s="76"/>
      <c r="B507" s="6"/>
      <c r="C507" s="77"/>
      <c r="D507" s="6"/>
      <c r="E507" s="6"/>
      <c r="F507" s="6"/>
      <c r="G507" s="6"/>
      <c r="H507" s="6"/>
      <c r="I507" s="6"/>
      <c r="J507" s="6"/>
      <c r="K507" s="6"/>
      <c r="L507" s="6"/>
      <c r="M507" s="6"/>
      <c r="N507" s="6"/>
      <c r="O507" s="6"/>
      <c r="P507" s="6"/>
      <c r="Q507" s="6"/>
      <c r="R507" s="6"/>
      <c r="S507" s="6"/>
      <c r="T507" s="6"/>
      <c r="U507" s="6"/>
      <c r="V507" s="6"/>
      <c r="W507" s="6"/>
      <c r="X507" s="6"/>
      <c r="Y507" s="6"/>
      <c r="Z507" s="6"/>
    </row>
    <row r="508" ht="12.75" customHeight="1">
      <c r="A508" s="76"/>
      <c r="B508" s="6"/>
      <c r="C508" s="77"/>
      <c r="D508" s="6"/>
      <c r="E508" s="6"/>
      <c r="F508" s="6"/>
      <c r="G508" s="6"/>
      <c r="H508" s="6"/>
      <c r="I508" s="6"/>
      <c r="J508" s="6"/>
      <c r="K508" s="6"/>
      <c r="L508" s="6"/>
      <c r="M508" s="6"/>
      <c r="N508" s="6"/>
      <c r="O508" s="6"/>
      <c r="P508" s="6"/>
      <c r="Q508" s="6"/>
      <c r="R508" s="6"/>
      <c r="S508" s="6"/>
      <c r="T508" s="6"/>
      <c r="U508" s="6"/>
      <c r="V508" s="6"/>
      <c r="W508" s="6"/>
      <c r="X508" s="6"/>
      <c r="Y508" s="6"/>
      <c r="Z508" s="6"/>
    </row>
    <row r="509" ht="12.75" customHeight="1">
      <c r="A509" s="76"/>
      <c r="B509" s="6"/>
      <c r="C509" s="77"/>
      <c r="D509" s="6"/>
      <c r="E509" s="6"/>
      <c r="F509" s="6"/>
      <c r="G509" s="6"/>
      <c r="H509" s="6"/>
      <c r="I509" s="6"/>
      <c r="J509" s="6"/>
      <c r="K509" s="6"/>
      <c r="L509" s="6"/>
      <c r="M509" s="6"/>
      <c r="N509" s="6"/>
      <c r="O509" s="6"/>
      <c r="P509" s="6"/>
      <c r="Q509" s="6"/>
      <c r="R509" s="6"/>
      <c r="S509" s="6"/>
      <c r="T509" s="6"/>
      <c r="U509" s="6"/>
      <c r="V509" s="6"/>
      <c r="W509" s="6"/>
      <c r="X509" s="6"/>
      <c r="Y509" s="6"/>
      <c r="Z509" s="6"/>
    </row>
    <row r="510" ht="12.75" customHeight="1">
      <c r="A510" s="76"/>
      <c r="B510" s="6"/>
      <c r="C510" s="77"/>
      <c r="D510" s="6"/>
      <c r="E510" s="6"/>
      <c r="F510" s="6"/>
      <c r="G510" s="6"/>
      <c r="H510" s="6"/>
      <c r="I510" s="6"/>
      <c r="J510" s="6"/>
      <c r="K510" s="6"/>
      <c r="L510" s="6"/>
      <c r="M510" s="6"/>
      <c r="N510" s="6"/>
      <c r="O510" s="6"/>
      <c r="P510" s="6"/>
      <c r="Q510" s="6"/>
      <c r="R510" s="6"/>
      <c r="S510" s="6"/>
      <c r="T510" s="6"/>
      <c r="U510" s="6"/>
      <c r="V510" s="6"/>
      <c r="W510" s="6"/>
      <c r="X510" s="6"/>
      <c r="Y510" s="6"/>
      <c r="Z510" s="6"/>
    </row>
    <row r="511" ht="12.75" customHeight="1">
      <c r="A511" s="76"/>
      <c r="B511" s="6"/>
      <c r="C511" s="77"/>
      <c r="D511" s="6"/>
      <c r="E511" s="6"/>
      <c r="F511" s="6"/>
      <c r="G511" s="6"/>
      <c r="H511" s="6"/>
      <c r="I511" s="6"/>
      <c r="J511" s="6"/>
      <c r="K511" s="6"/>
      <c r="L511" s="6"/>
      <c r="M511" s="6"/>
      <c r="N511" s="6"/>
      <c r="O511" s="6"/>
      <c r="P511" s="6"/>
      <c r="Q511" s="6"/>
      <c r="R511" s="6"/>
      <c r="S511" s="6"/>
      <c r="T511" s="6"/>
      <c r="U511" s="6"/>
      <c r="V511" s="6"/>
      <c r="W511" s="6"/>
      <c r="X511" s="6"/>
      <c r="Y511" s="6"/>
      <c r="Z511" s="6"/>
    </row>
    <row r="512" ht="12.75" customHeight="1">
      <c r="A512" s="76"/>
      <c r="B512" s="6"/>
      <c r="C512" s="77"/>
      <c r="D512" s="6"/>
      <c r="E512" s="6"/>
      <c r="F512" s="6"/>
      <c r="G512" s="6"/>
      <c r="H512" s="6"/>
      <c r="I512" s="6"/>
      <c r="J512" s="6"/>
      <c r="K512" s="6"/>
      <c r="L512" s="6"/>
      <c r="M512" s="6"/>
      <c r="N512" s="6"/>
      <c r="O512" s="6"/>
      <c r="P512" s="6"/>
      <c r="Q512" s="6"/>
      <c r="R512" s="6"/>
      <c r="S512" s="6"/>
      <c r="T512" s="6"/>
      <c r="U512" s="6"/>
      <c r="V512" s="6"/>
      <c r="W512" s="6"/>
      <c r="X512" s="6"/>
      <c r="Y512" s="6"/>
      <c r="Z512" s="6"/>
    </row>
    <row r="513" ht="12.75" customHeight="1">
      <c r="A513" s="76"/>
      <c r="B513" s="6"/>
      <c r="C513" s="77"/>
      <c r="D513" s="6"/>
      <c r="E513" s="6"/>
      <c r="F513" s="6"/>
      <c r="G513" s="6"/>
      <c r="H513" s="6"/>
      <c r="I513" s="6"/>
      <c r="J513" s="6"/>
      <c r="K513" s="6"/>
      <c r="L513" s="6"/>
      <c r="M513" s="6"/>
      <c r="N513" s="6"/>
      <c r="O513" s="6"/>
      <c r="P513" s="6"/>
      <c r="Q513" s="6"/>
      <c r="R513" s="6"/>
      <c r="S513" s="6"/>
      <c r="T513" s="6"/>
      <c r="U513" s="6"/>
      <c r="V513" s="6"/>
      <c r="W513" s="6"/>
      <c r="X513" s="6"/>
      <c r="Y513" s="6"/>
      <c r="Z513" s="6"/>
    </row>
    <row r="514" ht="12.75" customHeight="1">
      <c r="A514" s="76"/>
      <c r="B514" s="6"/>
      <c r="C514" s="77"/>
      <c r="D514" s="6"/>
      <c r="E514" s="6"/>
      <c r="F514" s="6"/>
      <c r="G514" s="6"/>
      <c r="H514" s="6"/>
      <c r="I514" s="6"/>
      <c r="J514" s="6"/>
      <c r="K514" s="6"/>
      <c r="L514" s="6"/>
      <c r="M514" s="6"/>
      <c r="N514" s="6"/>
      <c r="O514" s="6"/>
      <c r="P514" s="6"/>
      <c r="Q514" s="6"/>
      <c r="R514" s="6"/>
      <c r="S514" s="6"/>
      <c r="T514" s="6"/>
      <c r="U514" s="6"/>
      <c r="V514" s="6"/>
      <c r="W514" s="6"/>
      <c r="X514" s="6"/>
      <c r="Y514" s="6"/>
      <c r="Z514" s="6"/>
    </row>
    <row r="515" ht="12.75" customHeight="1">
      <c r="A515" s="76"/>
      <c r="B515" s="6"/>
      <c r="C515" s="77"/>
      <c r="D515" s="6"/>
      <c r="E515" s="6"/>
      <c r="F515" s="6"/>
      <c r="G515" s="6"/>
      <c r="H515" s="6"/>
      <c r="I515" s="6"/>
      <c r="J515" s="6"/>
      <c r="K515" s="6"/>
      <c r="L515" s="6"/>
      <c r="M515" s="6"/>
      <c r="N515" s="6"/>
      <c r="O515" s="6"/>
      <c r="P515" s="6"/>
      <c r="Q515" s="6"/>
      <c r="R515" s="6"/>
      <c r="S515" s="6"/>
      <c r="T515" s="6"/>
      <c r="U515" s="6"/>
      <c r="V515" s="6"/>
      <c r="W515" s="6"/>
      <c r="X515" s="6"/>
      <c r="Y515" s="6"/>
      <c r="Z515" s="6"/>
    </row>
    <row r="516" ht="12.75" customHeight="1">
      <c r="A516" s="76"/>
      <c r="B516" s="6"/>
      <c r="C516" s="77"/>
      <c r="D516" s="6"/>
      <c r="E516" s="6"/>
      <c r="F516" s="6"/>
      <c r="G516" s="6"/>
      <c r="H516" s="6"/>
      <c r="I516" s="6"/>
      <c r="J516" s="6"/>
      <c r="K516" s="6"/>
      <c r="L516" s="6"/>
      <c r="M516" s="6"/>
      <c r="N516" s="6"/>
      <c r="O516" s="6"/>
      <c r="P516" s="6"/>
      <c r="Q516" s="6"/>
      <c r="R516" s="6"/>
      <c r="S516" s="6"/>
      <c r="T516" s="6"/>
      <c r="U516" s="6"/>
      <c r="V516" s="6"/>
      <c r="W516" s="6"/>
      <c r="X516" s="6"/>
      <c r="Y516" s="6"/>
      <c r="Z516" s="6"/>
    </row>
    <row r="517" ht="12.75" customHeight="1">
      <c r="A517" s="76"/>
      <c r="B517" s="6"/>
      <c r="C517" s="77"/>
      <c r="D517" s="6"/>
      <c r="E517" s="6"/>
      <c r="F517" s="6"/>
      <c r="G517" s="6"/>
      <c r="H517" s="6"/>
      <c r="I517" s="6"/>
      <c r="J517" s="6"/>
      <c r="K517" s="6"/>
      <c r="L517" s="6"/>
      <c r="M517" s="6"/>
      <c r="N517" s="6"/>
      <c r="O517" s="6"/>
      <c r="P517" s="6"/>
      <c r="Q517" s="6"/>
      <c r="R517" s="6"/>
      <c r="S517" s="6"/>
      <c r="T517" s="6"/>
      <c r="U517" s="6"/>
      <c r="V517" s="6"/>
      <c r="W517" s="6"/>
      <c r="X517" s="6"/>
      <c r="Y517" s="6"/>
      <c r="Z517" s="6"/>
    </row>
    <row r="518" ht="12.75" customHeight="1">
      <c r="A518" s="76"/>
      <c r="B518" s="6"/>
      <c r="C518" s="77"/>
      <c r="D518" s="6"/>
      <c r="E518" s="6"/>
      <c r="F518" s="6"/>
      <c r="G518" s="6"/>
      <c r="H518" s="6"/>
      <c r="I518" s="6"/>
      <c r="J518" s="6"/>
      <c r="K518" s="6"/>
      <c r="L518" s="6"/>
      <c r="M518" s="6"/>
      <c r="N518" s="6"/>
      <c r="O518" s="6"/>
      <c r="P518" s="6"/>
      <c r="Q518" s="6"/>
      <c r="R518" s="6"/>
      <c r="S518" s="6"/>
      <c r="T518" s="6"/>
      <c r="U518" s="6"/>
      <c r="V518" s="6"/>
      <c r="W518" s="6"/>
      <c r="X518" s="6"/>
      <c r="Y518" s="6"/>
      <c r="Z518" s="6"/>
    </row>
    <row r="519" ht="12.75" customHeight="1">
      <c r="A519" s="76"/>
      <c r="B519" s="6"/>
      <c r="C519" s="77"/>
      <c r="D519" s="6"/>
      <c r="E519" s="6"/>
      <c r="F519" s="6"/>
      <c r="G519" s="6"/>
      <c r="H519" s="6"/>
      <c r="I519" s="6"/>
      <c r="J519" s="6"/>
      <c r="K519" s="6"/>
      <c r="L519" s="6"/>
      <c r="M519" s="6"/>
      <c r="N519" s="6"/>
      <c r="O519" s="6"/>
      <c r="P519" s="6"/>
      <c r="Q519" s="6"/>
      <c r="R519" s="6"/>
      <c r="S519" s="6"/>
      <c r="T519" s="6"/>
      <c r="U519" s="6"/>
      <c r="V519" s="6"/>
      <c r="W519" s="6"/>
      <c r="X519" s="6"/>
      <c r="Y519" s="6"/>
      <c r="Z519" s="6"/>
    </row>
    <row r="520" ht="12.75" customHeight="1">
      <c r="A520" s="76"/>
      <c r="B520" s="6"/>
      <c r="C520" s="77"/>
      <c r="D520" s="6"/>
      <c r="E520" s="6"/>
      <c r="F520" s="6"/>
      <c r="G520" s="6"/>
      <c r="H520" s="6"/>
      <c r="I520" s="6"/>
      <c r="J520" s="6"/>
      <c r="K520" s="6"/>
      <c r="L520" s="6"/>
      <c r="M520" s="6"/>
      <c r="N520" s="6"/>
      <c r="O520" s="6"/>
      <c r="P520" s="6"/>
      <c r="Q520" s="6"/>
      <c r="R520" s="6"/>
      <c r="S520" s="6"/>
      <c r="T520" s="6"/>
      <c r="U520" s="6"/>
      <c r="V520" s="6"/>
      <c r="W520" s="6"/>
      <c r="X520" s="6"/>
      <c r="Y520" s="6"/>
      <c r="Z520" s="6"/>
    </row>
    <row r="521" ht="12.75" customHeight="1">
      <c r="A521" s="76"/>
      <c r="B521" s="6"/>
      <c r="C521" s="77"/>
      <c r="D521" s="6"/>
      <c r="E521" s="6"/>
      <c r="F521" s="6"/>
      <c r="G521" s="6"/>
      <c r="H521" s="6"/>
      <c r="I521" s="6"/>
      <c r="J521" s="6"/>
      <c r="K521" s="6"/>
      <c r="L521" s="6"/>
      <c r="M521" s="6"/>
      <c r="N521" s="6"/>
      <c r="O521" s="6"/>
      <c r="P521" s="6"/>
      <c r="Q521" s="6"/>
      <c r="R521" s="6"/>
      <c r="S521" s="6"/>
      <c r="T521" s="6"/>
      <c r="U521" s="6"/>
      <c r="V521" s="6"/>
      <c r="W521" s="6"/>
      <c r="X521" s="6"/>
      <c r="Y521" s="6"/>
      <c r="Z521" s="6"/>
    </row>
    <row r="522" ht="12.75" customHeight="1">
      <c r="A522" s="76"/>
      <c r="B522" s="6"/>
      <c r="C522" s="77"/>
      <c r="D522" s="6"/>
      <c r="E522" s="6"/>
      <c r="F522" s="6"/>
      <c r="G522" s="6"/>
      <c r="H522" s="6"/>
      <c r="I522" s="6"/>
      <c r="J522" s="6"/>
      <c r="K522" s="6"/>
      <c r="L522" s="6"/>
      <c r="M522" s="6"/>
      <c r="N522" s="6"/>
      <c r="O522" s="6"/>
      <c r="P522" s="6"/>
      <c r="Q522" s="6"/>
      <c r="R522" s="6"/>
      <c r="S522" s="6"/>
      <c r="T522" s="6"/>
      <c r="U522" s="6"/>
      <c r="V522" s="6"/>
      <c r="W522" s="6"/>
      <c r="X522" s="6"/>
      <c r="Y522" s="6"/>
      <c r="Z522" s="6"/>
    </row>
    <row r="523" ht="12.75" customHeight="1">
      <c r="A523" s="76"/>
      <c r="B523" s="6"/>
      <c r="C523" s="77"/>
      <c r="D523" s="6"/>
      <c r="E523" s="6"/>
      <c r="F523" s="6"/>
      <c r="G523" s="6"/>
      <c r="H523" s="6"/>
      <c r="I523" s="6"/>
      <c r="J523" s="6"/>
      <c r="K523" s="6"/>
      <c r="L523" s="6"/>
      <c r="M523" s="6"/>
      <c r="N523" s="6"/>
      <c r="O523" s="6"/>
      <c r="P523" s="6"/>
      <c r="Q523" s="6"/>
      <c r="R523" s="6"/>
      <c r="S523" s="6"/>
      <c r="T523" s="6"/>
      <c r="U523" s="6"/>
      <c r="V523" s="6"/>
      <c r="W523" s="6"/>
      <c r="X523" s="6"/>
      <c r="Y523" s="6"/>
      <c r="Z523" s="6"/>
    </row>
    <row r="524" ht="12.75" customHeight="1">
      <c r="A524" s="76"/>
      <c r="B524" s="6"/>
      <c r="C524" s="77"/>
      <c r="D524" s="6"/>
      <c r="E524" s="6"/>
      <c r="F524" s="6"/>
      <c r="G524" s="6"/>
      <c r="H524" s="6"/>
      <c r="I524" s="6"/>
      <c r="J524" s="6"/>
      <c r="K524" s="6"/>
      <c r="L524" s="6"/>
      <c r="M524" s="6"/>
      <c r="N524" s="6"/>
      <c r="O524" s="6"/>
      <c r="P524" s="6"/>
      <c r="Q524" s="6"/>
      <c r="R524" s="6"/>
      <c r="S524" s="6"/>
      <c r="T524" s="6"/>
      <c r="U524" s="6"/>
      <c r="V524" s="6"/>
      <c r="W524" s="6"/>
      <c r="X524" s="6"/>
      <c r="Y524" s="6"/>
      <c r="Z524" s="6"/>
    </row>
    <row r="525" ht="12.75" customHeight="1">
      <c r="A525" s="76"/>
      <c r="B525" s="6"/>
      <c r="C525" s="77"/>
      <c r="D525" s="6"/>
      <c r="E525" s="6"/>
      <c r="F525" s="6"/>
      <c r="G525" s="6"/>
      <c r="H525" s="6"/>
      <c r="I525" s="6"/>
      <c r="J525" s="6"/>
      <c r="K525" s="6"/>
      <c r="L525" s="6"/>
      <c r="M525" s="6"/>
      <c r="N525" s="6"/>
      <c r="O525" s="6"/>
      <c r="P525" s="6"/>
      <c r="Q525" s="6"/>
      <c r="R525" s="6"/>
      <c r="S525" s="6"/>
      <c r="T525" s="6"/>
      <c r="U525" s="6"/>
      <c r="V525" s="6"/>
      <c r="W525" s="6"/>
      <c r="X525" s="6"/>
      <c r="Y525" s="6"/>
      <c r="Z525" s="6"/>
    </row>
    <row r="526" ht="12.75" customHeight="1">
      <c r="A526" s="76"/>
      <c r="B526" s="6"/>
      <c r="C526" s="77"/>
      <c r="D526" s="6"/>
      <c r="E526" s="6"/>
      <c r="F526" s="6"/>
      <c r="G526" s="6"/>
      <c r="H526" s="6"/>
      <c r="I526" s="6"/>
      <c r="J526" s="6"/>
      <c r="K526" s="6"/>
      <c r="L526" s="6"/>
      <c r="M526" s="6"/>
      <c r="N526" s="6"/>
      <c r="O526" s="6"/>
      <c r="P526" s="6"/>
      <c r="Q526" s="6"/>
      <c r="R526" s="6"/>
      <c r="S526" s="6"/>
      <c r="T526" s="6"/>
      <c r="U526" s="6"/>
      <c r="V526" s="6"/>
      <c r="W526" s="6"/>
      <c r="X526" s="6"/>
      <c r="Y526" s="6"/>
      <c r="Z526" s="6"/>
    </row>
    <row r="527" ht="12.75" customHeight="1">
      <c r="A527" s="76"/>
      <c r="B527" s="6"/>
      <c r="C527" s="77"/>
      <c r="D527" s="6"/>
      <c r="E527" s="6"/>
      <c r="F527" s="6"/>
      <c r="G527" s="6"/>
      <c r="H527" s="6"/>
      <c r="I527" s="6"/>
      <c r="J527" s="6"/>
      <c r="K527" s="6"/>
      <c r="L527" s="6"/>
      <c r="M527" s="6"/>
      <c r="N527" s="6"/>
      <c r="O527" s="6"/>
      <c r="P527" s="6"/>
      <c r="Q527" s="6"/>
      <c r="R527" s="6"/>
      <c r="S527" s="6"/>
      <c r="T527" s="6"/>
      <c r="U527" s="6"/>
      <c r="V527" s="6"/>
      <c r="W527" s="6"/>
      <c r="X527" s="6"/>
      <c r="Y527" s="6"/>
      <c r="Z527" s="6"/>
    </row>
    <row r="528" ht="12.75" customHeight="1">
      <c r="A528" s="76"/>
      <c r="B528" s="6"/>
      <c r="C528" s="77"/>
      <c r="D528" s="6"/>
      <c r="E528" s="6"/>
      <c r="F528" s="6"/>
      <c r="G528" s="6"/>
      <c r="H528" s="6"/>
      <c r="I528" s="6"/>
      <c r="J528" s="6"/>
      <c r="K528" s="6"/>
      <c r="L528" s="6"/>
      <c r="M528" s="6"/>
      <c r="N528" s="6"/>
      <c r="O528" s="6"/>
      <c r="P528" s="6"/>
      <c r="Q528" s="6"/>
      <c r="R528" s="6"/>
      <c r="S528" s="6"/>
      <c r="T528" s="6"/>
      <c r="U528" s="6"/>
      <c r="V528" s="6"/>
      <c r="W528" s="6"/>
      <c r="X528" s="6"/>
      <c r="Y528" s="6"/>
      <c r="Z528" s="6"/>
    </row>
    <row r="529" ht="12.75" customHeight="1">
      <c r="A529" s="76"/>
      <c r="B529" s="6"/>
      <c r="C529" s="77"/>
      <c r="D529" s="6"/>
      <c r="E529" s="6"/>
      <c r="F529" s="6"/>
      <c r="G529" s="6"/>
      <c r="H529" s="6"/>
      <c r="I529" s="6"/>
      <c r="J529" s="6"/>
      <c r="K529" s="6"/>
      <c r="L529" s="6"/>
      <c r="M529" s="6"/>
      <c r="N529" s="6"/>
      <c r="O529" s="6"/>
      <c r="P529" s="6"/>
      <c r="Q529" s="6"/>
      <c r="R529" s="6"/>
      <c r="S529" s="6"/>
      <c r="T529" s="6"/>
      <c r="U529" s="6"/>
      <c r="V529" s="6"/>
      <c r="W529" s="6"/>
      <c r="X529" s="6"/>
      <c r="Y529" s="6"/>
      <c r="Z529" s="6"/>
    </row>
    <row r="530" ht="12.75" customHeight="1">
      <c r="A530" s="76"/>
      <c r="B530" s="6"/>
      <c r="C530" s="77"/>
      <c r="D530" s="6"/>
      <c r="E530" s="6"/>
      <c r="F530" s="6"/>
      <c r="G530" s="6"/>
      <c r="H530" s="6"/>
      <c r="I530" s="6"/>
      <c r="J530" s="6"/>
      <c r="K530" s="6"/>
      <c r="L530" s="6"/>
      <c r="M530" s="6"/>
      <c r="N530" s="6"/>
      <c r="O530" s="6"/>
      <c r="P530" s="6"/>
      <c r="Q530" s="6"/>
      <c r="R530" s="6"/>
      <c r="S530" s="6"/>
      <c r="T530" s="6"/>
      <c r="U530" s="6"/>
      <c r="V530" s="6"/>
      <c r="W530" s="6"/>
      <c r="X530" s="6"/>
      <c r="Y530" s="6"/>
      <c r="Z530" s="6"/>
    </row>
    <row r="531" ht="12.75" customHeight="1">
      <c r="A531" s="76"/>
      <c r="B531" s="6"/>
      <c r="C531" s="77"/>
      <c r="D531" s="6"/>
      <c r="E531" s="6"/>
      <c r="F531" s="6"/>
      <c r="G531" s="6"/>
      <c r="H531" s="6"/>
      <c r="I531" s="6"/>
      <c r="J531" s="6"/>
      <c r="K531" s="6"/>
      <c r="L531" s="6"/>
      <c r="M531" s="6"/>
      <c r="N531" s="6"/>
      <c r="O531" s="6"/>
      <c r="P531" s="6"/>
      <c r="Q531" s="6"/>
      <c r="R531" s="6"/>
      <c r="S531" s="6"/>
      <c r="T531" s="6"/>
      <c r="U531" s="6"/>
      <c r="V531" s="6"/>
      <c r="W531" s="6"/>
      <c r="X531" s="6"/>
      <c r="Y531" s="6"/>
      <c r="Z531" s="6"/>
    </row>
    <row r="532" ht="12.75" customHeight="1">
      <c r="A532" s="76"/>
      <c r="B532" s="6"/>
      <c r="C532" s="77"/>
      <c r="D532" s="6"/>
      <c r="E532" s="6"/>
      <c r="F532" s="6"/>
      <c r="G532" s="6"/>
      <c r="H532" s="6"/>
      <c r="I532" s="6"/>
      <c r="J532" s="6"/>
      <c r="K532" s="6"/>
      <c r="L532" s="6"/>
      <c r="M532" s="6"/>
      <c r="N532" s="6"/>
      <c r="O532" s="6"/>
      <c r="P532" s="6"/>
      <c r="Q532" s="6"/>
      <c r="R532" s="6"/>
      <c r="S532" s="6"/>
      <c r="T532" s="6"/>
      <c r="U532" s="6"/>
      <c r="V532" s="6"/>
      <c r="W532" s="6"/>
      <c r="X532" s="6"/>
      <c r="Y532" s="6"/>
      <c r="Z532" s="6"/>
    </row>
    <row r="533" ht="12.75" customHeight="1">
      <c r="A533" s="76"/>
      <c r="B533" s="6"/>
      <c r="C533" s="77"/>
      <c r="D533" s="6"/>
      <c r="E533" s="6"/>
      <c r="F533" s="6"/>
      <c r="G533" s="6"/>
      <c r="H533" s="6"/>
      <c r="I533" s="6"/>
      <c r="J533" s="6"/>
      <c r="K533" s="6"/>
      <c r="L533" s="6"/>
      <c r="M533" s="6"/>
      <c r="N533" s="6"/>
      <c r="O533" s="6"/>
      <c r="P533" s="6"/>
      <c r="Q533" s="6"/>
      <c r="R533" s="6"/>
      <c r="S533" s="6"/>
      <c r="T533" s="6"/>
      <c r="U533" s="6"/>
      <c r="V533" s="6"/>
      <c r="W533" s="6"/>
      <c r="X533" s="6"/>
      <c r="Y533" s="6"/>
      <c r="Z533" s="6"/>
    </row>
    <row r="534" ht="12.75" customHeight="1">
      <c r="A534" s="76"/>
      <c r="B534" s="6"/>
      <c r="C534" s="77"/>
      <c r="D534" s="6"/>
      <c r="E534" s="6"/>
      <c r="F534" s="6"/>
      <c r="G534" s="6"/>
      <c r="H534" s="6"/>
      <c r="I534" s="6"/>
      <c r="J534" s="6"/>
      <c r="K534" s="6"/>
      <c r="L534" s="6"/>
      <c r="M534" s="6"/>
      <c r="N534" s="6"/>
      <c r="O534" s="6"/>
      <c r="P534" s="6"/>
      <c r="Q534" s="6"/>
      <c r="R534" s="6"/>
      <c r="S534" s="6"/>
      <c r="T534" s="6"/>
      <c r="U534" s="6"/>
      <c r="V534" s="6"/>
      <c r="W534" s="6"/>
      <c r="X534" s="6"/>
      <c r="Y534" s="6"/>
      <c r="Z534" s="6"/>
    </row>
    <row r="535" ht="12.75" customHeight="1">
      <c r="A535" s="76"/>
      <c r="B535" s="6"/>
      <c r="C535" s="77"/>
      <c r="D535" s="6"/>
      <c r="E535" s="6"/>
      <c r="F535" s="6"/>
      <c r="G535" s="6"/>
      <c r="H535" s="6"/>
      <c r="I535" s="6"/>
      <c r="J535" s="6"/>
      <c r="K535" s="6"/>
      <c r="L535" s="6"/>
      <c r="M535" s="6"/>
      <c r="N535" s="6"/>
      <c r="O535" s="6"/>
      <c r="P535" s="6"/>
      <c r="Q535" s="6"/>
      <c r="R535" s="6"/>
      <c r="S535" s="6"/>
      <c r="T535" s="6"/>
      <c r="U535" s="6"/>
      <c r="V535" s="6"/>
      <c r="W535" s="6"/>
      <c r="X535" s="6"/>
      <c r="Y535" s="6"/>
      <c r="Z535" s="6"/>
    </row>
    <row r="536" ht="12.75" customHeight="1">
      <c r="A536" s="76"/>
      <c r="B536" s="6"/>
      <c r="C536" s="77"/>
      <c r="D536" s="6"/>
      <c r="E536" s="6"/>
      <c r="F536" s="6"/>
      <c r="G536" s="6"/>
      <c r="H536" s="6"/>
      <c r="I536" s="6"/>
      <c r="J536" s="6"/>
      <c r="K536" s="6"/>
      <c r="L536" s="6"/>
      <c r="M536" s="6"/>
      <c r="N536" s="6"/>
      <c r="O536" s="6"/>
      <c r="P536" s="6"/>
      <c r="Q536" s="6"/>
      <c r="R536" s="6"/>
      <c r="S536" s="6"/>
      <c r="T536" s="6"/>
      <c r="U536" s="6"/>
      <c r="V536" s="6"/>
      <c r="W536" s="6"/>
      <c r="X536" s="6"/>
      <c r="Y536" s="6"/>
      <c r="Z536" s="6"/>
    </row>
    <row r="537" ht="12.75" customHeight="1">
      <c r="A537" s="76"/>
      <c r="B537" s="6"/>
      <c r="C537" s="77"/>
      <c r="D537" s="6"/>
      <c r="E537" s="6"/>
      <c r="F537" s="6"/>
      <c r="G537" s="6"/>
      <c r="H537" s="6"/>
      <c r="I537" s="6"/>
      <c r="J537" s="6"/>
      <c r="K537" s="6"/>
      <c r="L537" s="6"/>
      <c r="M537" s="6"/>
      <c r="N537" s="6"/>
      <c r="O537" s="6"/>
      <c r="P537" s="6"/>
      <c r="Q537" s="6"/>
      <c r="R537" s="6"/>
      <c r="S537" s="6"/>
      <c r="T537" s="6"/>
      <c r="U537" s="6"/>
      <c r="V537" s="6"/>
      <c r="W537" s="6"/>
      <c r="X537" s="6"/>
      <c r="Y537" s="6"/>
      <c r="Z537" s="6"/>
    </row>
    <row r="538" ht="12.75" customHeight="1">
      <c r="A538" s="76"/>
      <c r="B538" s="6"/>
      <c r="C538" s="77"/>
      <c r="D538" s="6"/>
      <c r="E538" s="6"/>
      <c r="F538" s="6"/>
      <c r="G538" s="6"/>
      <c r="H538" s="6"/>
      <c r="I538" s="6"/>
      <c r="J538" s="6"/>
      <c r="K538" s="6"/>
      <c r="L538" s="6"/>
      <c r="M538" s="6"/>
      <c r="N538" s="6"/>
      <c r="O538" s="6"/>
      <c r="P538" s="6"/>
      <c r="Q538" s="6"/>
      <c r="R538" s="6"/>
      <c r="S538" s="6"/>
      <c r="T538" s="6"/>
      <c r="U538" s="6"/>
      <c r="V538" s="6"/>
      <c r="W538" s="6"/>
      <c r="X538" s="6"/>
      <c r="Y538" s="6"/>
      <c r="Z538" s="6"/>
    </row>
    <row r="539" ht="12.75" customHeight="1">
      <c r="A539" s="76"/>
      <c r="B539" s="6"/>
      <c r="C539" s="77"/>
      <c r="D539" s="6"/>
      <c r="E539" s="6"/>
      <c r="F539" s="6"/>
      <c r="G539" s="6"/>
      <c r="H539" s="6"/>
      <c r="I539" s="6"/>
      <c r="J539" s="6"/>
      <c r="K539" s="6"/>
      <c r="L539" s="6"/>
      <c r="M539" s="6"/>
      <c r="N539" s="6"/>
      <c r="O539" s="6"/>
      <c r="P539" s="6"/>
      <c r="Q539" s="6"/>
      <c r="R539" s="6"/>
      <c r="S539" s="6"/>
      <c r="T539" s="6"/>
      <c r="U539" s="6"/>
      <c r="V539" s="6"/>
      <c r="W539" s="6"/>
      <c r="X539" s="6"/>
      <c r="Y539" s="6"/>
      <c r="Z539" s="6"/>
    </row>
    <row r="540" ht="12.75" customHeight="1">
      <c r="A540" s="76"/>
      <c r="B540" s="6"/>
      <c r="C540" s="77"/>
      <c r="D540" s="6"/>
      <c r="E540" s="6"/>
      <c r="F540" s="6"/>
      <c r="G540" s="6"/>
      <c r="H540" s="6"/>
      <c r="I540" s="6"/>
      <c r="J540" s="6"/>
      <c r="K540" s="6"/>
      <c r="L540" s="6"/>
      <c r="M540" s="6"/>
      <c r="N540" s="6"/>
      <c r="O540" s="6"/>
      <c r="P540" s="6"/>
      <c r="Q540" s="6"/>
      <c r="R540" s="6"/>
      <c r="S540" s="6"/>
      <c r="T540" s="6"/>
      <c r="U540" s="6"/>
      <c r="V540" s="6"/>
      <c r="W540" s="6"/>
      <c r="X540" s="6"/>
      <c r="Y540" s="6"/>
      <c r="Z540" s="6"/>
    </row>
    <row r="541" ht="12.75" customHeight="1">
      <c r="A541" s="76"/>
      <c r="B541" s="6"/>
      <c r="C541" s="77"/>
      <c r="D541" s="6"/>
      <c r="E541" s="6"/>
      <c r="F541" s="6"/>
      <c r="G541" s="6"/>
      <c r="H541" s="6"/>
      <c r="I541" s="6"/>
      <c r="J541" s="6"/>
      <c r="K541" s="6"/>
      <c r="L541" s="6"/>
      <c r="M541" s="6"/>
      <c r="N541" s="6"/>
      <c r="O541" s="6"/>
      <c r="P541" s="6"/>
      <c r="Q541" s="6"/>
      <c r="R541" s="6"/>
      <c r="S541" s="6"/>
      <c r="T541" s="6"/>
      <c r="U541" s="6"/>
      <c r="V541" s="6"/>
      <c r="W541" s="6"/>
      <c r="X541" s="6"/>
      <c r="Y541" s="6"/>
      <c r="Z541" s="6"/>
    </row>
    <row r="542" ht="12.75" customHeight="1">
      <c r="A542" s="76"/>
      <c r="B542" s="6"/>
      <c r="C542" s="77"/>
      <c r="D542" s="6"/>
      <c r="E542" s="6"/>
      <c r="F542" s="6"/>
      <c r="G542" s="6"/>
      <c r="H542" s="6"/>
      <c r="I542" s="6"/>
      <c r="J542" s="6"/>
      <c r="K542" s="6"/>
      <c r="L542" s="6"/>
      <c r="M542" s="6"/>
      <c r="N542" s="6"/>
      <c r="O542" s="6"/>
      <c r="P542" s="6"/>
      <c r="Q542" s="6"/>
      <c r="R542" s="6"/>
      <c r="S542" s="6"/>
      <c r="T542" s="6"/>
      <c r="U542" s="6"/>
      <c r="V542" s="6"/>
      <c r="W542" s="6"/>
      <c r="X542" s="6"/>
      <c r="Y542" s="6"/>
      <c r="Z542" s="6"/>
    </row>
    <row r="543" ht="12.75" customHeight="1">
      <c r="A543" s="76"/>
      <c r="B543" s="6"/>
      <c r="C543" s="77"/>
      <c r="D543" s="6"/>
      <c r="E543" s="6"/>
      <c r="F543" s="6"/>
      <c r="G543" s="6"/>
      <c r="H543" s="6"/>
      <c r="I543" s="6"/>
      <c r="J543" s="6"/>
      <c r="K543" s="6"/>
      <c r="L543" s="6"/>
      <c r="M543" s="6"/>
      <c r="N543" s="6"/>
      <c r="O543" s="6"/>
      <c r="P543" s="6"/>
      <c r="Q543" s="6"/>
      <c r="R543" s="6"/>
      <c r="S543" s="6"/>
      <c r="T543" s="6"/>
      <c r="U543" s="6"/>
      <c r="V543" s="6"/>
      <c r="W543" s="6"/>
      <c r="X543" s="6"/>
      <c r="Y543" s="6"/>
      <c r="Z543" s="6"/>
    </row>
    <row r="544" ht="12.75" customHeight="1">
      <c r="A544" s="76"/>
      <c r="B544" s="6"/>
      <c r="C544" s="77"/>
      <c r="D544" s="6"/>
      <c r="E544" s="6"/>
      <c r="F544" s="6"/>
      <c r="G544" s="6"/>
      <c r="H544" s="6"/>
      <c r="I544" s="6"/>
      <c r="J544" s="6"/>
      <c r="K544" s="6"/>
      <c r="L544" s="6"/>
      <c r="M544" s="6"/>
      <c r="N544" s="6"/>
      <c r="O544" s="6"/>
      <c r="P544" s="6"/>
      <c r="Q544" s="6"/>
      <c r="R544" s="6"/>
      <c r="S544" s="6"/>
      <c r="T544" s="6"/>
      <c r="U544" s="6"/>
      <c r="V544" s="6"/>
      <c r="W544" s="6"/>
      <c r="X544" s="6"/>
      <c r="Y544" s="6"/>
      <c r="Z544" s="6"/>
    </row>
    <row r="545" ht="12.75" customHeight="1">
      <c r="A545" s="76"/>
      <c r="B545" s="6"/>
      <c r="C545" s="77"/>
      <c r="D545" s="6"/>
      <c r="E545" s="6"/>
      <c r="F545" s="6"/>
      <c r="G545" s="6"/>
      <c r="H545" s="6"/>
      <c r="I545" s="6"/>
      <c r="J545" s="6"/>
      <c r="K545" s="6"/>
      <c r="L545" s="6"/>
      <c r="M545" s="6"/>
      <c r="N545" s="6"/>
      <c r="O545" s="6"/>
      <c r="P545" s="6"/>
      <c r="Q545" s="6"/>
      <c r="R545" s="6"/>
      <c r="S545" s="6"/>
      <c r="T545" s="6"/>
      <c r="U545" s="6"/>
      <c r="V545" s="6"/>
      <c r="W545" s="6"/>
      <c r="X545" s="6"/>
      <c r="Y545" s="6"/>
      <c r="Z545" s="6"/>
    </row>
    <row r="546" ht="12.75" customHeight="1">
      <c r="A546" s="76"/>
      <c r="B546" s="6"/>
      <c r="C546" s="77"/>
      <c r="D546" s="6"/>
      <c r="E546" s="6"/>
      <c r="F546" s="6"/>
      <c r="G546" s="6"/>
      <c r="H546" s="6"/>
      <c r="I546" s="6"/>
      <c r="J546" s="6"/>
      <c r="K546" s="6"/>
      <c r="L546" s="6"/>
      <c r="M546" s="6"/>
      <c r="N546" s="6"/>
      <c r="O546" s="6"/>
      <c r="P546" s="6"/>
      <c r="Q546" s="6"/>
      <c r="R546" s="6"/>
      <c r="S546" s="6"/>
      <c r="T546" s="6"/>
      <c r="U546" s="6"/>
      <c r="V546" s="6"/>
      <c r="W546" s="6"/>
      <c r="X546" s="6"/>
      <c r="Y546" s="6"/>
      <c r="Z546" s="6"/>
    </row>
    <row r="547" ht="12.75" customHeight="1">
      <c r="A547" s="76"/>
      <c r="B547" s="6"/>
      <c r="C547" s="77"/>
      <c r="D547" s="6"/>
      <c r="E547" s="6"/>
      <c r="F547" s="6"/>
      <c r="G547" s="6"/>
      <c r="H547" s="6"/>
      <c r="I547" s="6"/>
      <c r="J547" s="6"/>
      <c r="K547" s="6"/>
      <c r="L547" s="6"/>
      <c r="M547" s="6"/>
      <c r="N547" s="6"/>
      <c r="O547" s="6"/>
      <c r="P547" s="6"/>
      <c r="Q547" s="6"/>
      <c r="R547" s="6"/>
      <c r="S547" s="6"/>
      <c r="T547" s="6"/>
      <c r="U547" s="6"/>
      <c r="V547" s="6"/>
      <c r="W547" s="6"/>
      <c r="X547" s="6"/>
      <c r="Y547" s="6"/>
      <c r="Z547" s="6"/>
    </row>
    <row r="548" ht="12.75" customHeight="1">
      <c r="A548" s="76"/>
      <c r="B548" s="6"/>
      <c r="C548" s="77"/>
      <c r="D548" s="6"/>
      <c r="E548" s="6"/>
      <c r="F548" s="6"/>
      <c r="G548" s="6"/>
      <c r="H548" s="6"/>
      <c r="I548" s="6"/>
      <c r="J548" s="6"/>
      <c r="K548" s="6"/>
      <c r="L548" s="6"/>
      <c r="M548" s="6"/>
      <c r="N548" s="6"/>
      <c r="O548" s="6"/>
      <c r="P548" s="6"/>
      <c r="Q548" s="6"/>
      <c r="R548" s="6"/>
      <c r="S548" s="6"/>
      <c r="T548" s="6"/>
      <c r="U548" s="6"/>
      <c r="V548" s="6"/>
      <c r="W548" s="6"/>
      <c r="X548" s="6"/>
      <c r="Y548" s="6"/>
      <c r="Z548" s="6"/>
    </row>
    <row r="549" ht="12.75" customHeight="1">
      <c r="A549" s="76"/>
      <c r="B549" s="6"/>
      <c r="C549" s="77"/>
      <c r="D549" s="6"/>
      <c r="E549" s="6"/>
      <c r="F549" s="6"/>
      <c r="G549" s="6"/>
      <c r="H549" s="6"/>
      <c r="I549" s="6"/>
      <c r="J549" s="6"/>
      <c r="K549" s="6"/>
      <c r="L549" s="6"/>
      <c r="M549" s="6"/>
      <c r="N549" s="6"/>
      <c r="O549" s="6"/>
      <c r="P549" s="6"/>
      <c r="Q549" s="6"/>
      <c r="R549" s="6"/>
      <c r="S549" s="6"/>
      <c r="T549" s="6"/>
      <c r="U549" s="6"/>
      <c r="V549" s="6"/>
      <c r="W549" s="6"/>
      <c r="X549" s="6"/>
      <c r="Y549" s="6"/>
      <c r="Z549" s="6"/>
    </row>
    <row r="550" ht="12.75" customHeight="1">
      <c r="A550" s="76"/>
      <c r="B550" s="6"/>
      <c r="C550" s="77"/>
      <c r="D550" s="6"/>
      <c r="E550" s="6"/>
      <c r="F550" s="6"/>
      <c r="G550" s="6"/>
      <c r="H550" s="6"/>
      <c r="I550" s="6"/>
      <c r="J550" s="6"/>
      <c r="K550" s="6"/>
      <c r="L550" s="6"/>
      <c r="M550" s="6"/>
      <c r="N550" s="6"/>
      <c r="O550" s="6"/>
      <c r="P550" s="6"/>
      <c r="Q550" s="6"/>
      <c r="R550" s="6"/>
      <c r="S550" s="6"/>
      <c r="T550" s="6"/>
      <c r="U550" s="6"/>
      <c r="V550" s="6"/>
      <c r="W550" s="6"/>
      <c r="X550" s="6"/>
      <c r="Y550" s="6"/>
      <c r="Z550" s="6"/>
    </row>
    <row r="551" ht="12.75" customHeight="1">
      <c r="A551" s="76"/>
      <c r="B551" s="6"/>
      <c r="C551" s="77"/>
      <c r="D551" s="6"/>
      <c r="E551" s="6"/>
      <c r="F551" s="6"/>
      <c r="G551" s="6"/>
      <c r="H551" s="6"/>
      <c r="I551" s="6"/>
      <c r="J551" s="6"/>
      <c r="K551" s="6"/>
      <c r="L551" s="6"/>
      <c r="M551" s="6"/>
      <c r="N551" s="6"/>
      <c r="O551" s="6"/>
      <c r="P551" s="6"/>
      <c r="Q551" s="6"/>
      <c r="R551" s="6"/>
      <c r="S551" s="6"/>
      <c r="T551" s="6"/>
      <c r="U551" s="6"/>
      <c r="V551" s="6"/>
      <c r="W551" s="6"/>
      <c r="X551" s="6"/>
      <c r="Y551" s="6"/>
      <c r="Z551" s="6"/>
    </row>
    <row r="552" ht="12.75" customHeight="1">
      <c r="A552" s="76"/>
      <c r="B552" s="6"/>
      <c r="C552" s="77"/>
      <c r="D552" s="6"/>
      <c r="E552" s="6"/>
      <c r="F552" s="6"/>
      <c r="G552" s="6"/>
      <c r="H552" s="6"/>
      <c r="I552" s="6"/>
      <c r="J552" s="6"/>
      <c r="K552" s="6"/>
      <c r="L552" s="6"/>
      <c r="M552" s="6"/>
      <c r="N552" s="6"/>
      <c r="O552" s="6"/>
      <c r="P552" s="6"/>
      <c r="Q552" s="6"/>
      <c r="R552" s="6"/>
      <c r="S552" s="6"/>
      <c r="T552" s="6"/>
      <c r="U552" s="6"/>
      <c r="V552" s="6"/>
      <c r="W552" s="6"/>
      <c r="X552" s="6"/>
      <c r="Y552" s="6"/>
      <c r="Z552" s="6"/>
    </row>
    <row r="553" ht="12.75" customHeight="1">
      <c r="A553" s="76"/>
      <c r="B553" s="6"/>
      <c r="C553" s="77"/>
      <c r="D553" s="6"/>
      <c r="E553" s="6"/>
      <c r="F553" s="6"/>
      <c r="G553" s="6"/>
      <c r="H553" s="6"/>
      <c r="I553" s="6"/>
      <c r="J553" s="6"/>
      <c r="K553" s="6"/>
      <c r="L553" s="6"/>
      <c r="M553" s="6"/>
      <c r="N553" s="6"/>
      <c r="O553" s="6"/>
      <c r="P553" s="6"/>
      <c r="Q553" s="6"/>
      <c r="R553" s="6"/>
      <c r="S553" s="6"/>
      <c r="T553" s="6"/>
      <c r="U553" s="6"/>
      <c r="V553" s="6"/>
      <c r="W553" s="6"/>
      <c r="X553" s="6"/>
      <c r="Y553" s="6"/>
      <c r="Z553" s="6"/>
    </row>
    <row r="554" ht="12.75" customHeight="1">
      <c r="A554" s="76"/>
      <c r="B554" s="6"/>
      <c r="C554" s="77"/>
      <c r="D554" s="6"/>
      <c r="E554" s="6"/>
      <c r="F554" s="6"/>
      <c r="G554" s="6"/>
      <c r="H554" s="6"/>
      <c r="I554" s="6"/>
      <c r="J554" s="6"/>
      <c r="K554" s="6"/>
      <c r="L554" s="6"/>
      <c r="M554" s="6"/>
      <c r="N554" s="6"/>
      <c r="O554" s="6"/>
      <c r="P554" s="6"/>
      <c r="Q554" s="6"/>
      <c r="R554" s="6"/>
      <c r="S554" s="6"/>
      <c r="T554" s="6"/>
      <c r="U554" s="6"/>
      <c r="V554" s="6"/>
      <c r="W554" s="6"/>
      <c r="X554" s="6"/>
      <c r="Y554" s="6"/>
      <c r="Z554" s="6"/>
    </row>
    <row r="555" ht="12.75" customHeight="1">
      <c r="A555" s="76"/>
      <c r="B555" s="6"/>
      <c r="C555" s="77"/>
      <c r="D555" s="6"/>
      <c r="E555" s="6"/>
      <c r="F555" s="6"/>
      <c r="G555" s="6"/>
      <c r="H555" s="6"/>
      <c r="I555" s="6"/>
      <c r="J555" s="6"/>
      <c r="K555" s="6"/>
      <c r="L555" s="6"/>
      <c r="M555" s="6"/>
      <c r="N555" s="6"/>
      <c r="O555" s="6"/>
      <c r="P555" s="6"/>
      <c r="Q555" s="6"/>
      <c r="R555" s="6"/>
      <c r="S555" s="6"/>
      <c r="T555" s="6"/>
      <c r="U555" s="6"/>
      <c r="V555" s="6"/>
      <c r="W555" s="6"/>
      <c r="X555" s="6"/>
      <c r="Y555" s="6"/>
      <c r="Z555" s="6"/>
    </row>
    <row r="556" ht="12.75" customHeight="1">
      <c r="A556" s="76"/>
      <c r="B556" s="6"/>
      <c r="C556" s="77"/>
      <c r="D556" s="6"/>
      <c r="E556" s="6"/>
      <c r="F556" s="6"/>
      <c r="G556" s="6"/>
      <c r="H556" s="6"/>
      <c r="I556" s="6"/>
      <c r="J556" s="6"/>
      <c r="K556" s="6"/>
      <c r="L556" s="6"/>
      <c r="M556" s="6"/>
      <c r="N556" s="6"/>
      <c r="O556" s="6"/>
      <c r="P556" s="6"/>
      <c r="Q556" s="6"/>
      <c r="R556" s="6"/>
      <c r="S556" s="6"/>
      <c r="T556" s="6"/>
      <c r="U556" s="6"/>
      <c r="V556" s="6"/>
      <c r="W556" s="6"/>
      <c r="X556" s="6"/>
      <c r="Y556" s="6"/>
      <c r="Z556" s="6"/>
    </row>
    <row r="557" ht="12.75" customHeight="1">
      <c r="A557" s="76"/>
      <c r="B557" s="6"/>
      <c r="C557" s="77"/>
      <c r="D557" s="6"/>
      <c r="E557" s="6"/>
      <c r="F557" s="6"/>
      <c r="G557" s="6"/>
      <c r="H557" s="6"/>
      <c r="I557" s="6"/>
      <c r="J557" s="6"/>
      <c r="K557" s="6"/>
      <c r="L557" s="6"/>
      <c r="M557" s="6"/>
      <c r="N557" s="6"/>
      <c r="O557" s="6"/>
      <c r="P557" s="6"/>
      <c r="Q557" s="6"/>
      <c r="R557" s="6"/>
      <c r="S557" s="6"/>
      <c r="T557" s="6"/>
      <c r="U557" s="6"/>
      <c r="V557" s="6"/>
      <c r="W557" s="6"/>
      <c r="X557" s="6"/>
      <c r="Y557" s="6"/>
      <c r="Z557" s="6"/>
    </row>
    <row r="558" ht="12.75" customHeight="1">
      <c r="A558" s="76"/>
      <c r="B558" s="6"/>
      <c r="C558" s="77"/>
      <c r="D558" s="6"/>
      <c r="E558" s="6"/>
      <c r="F558" s="6"/>
      <c r="G558" s="6"/>
      <c r="H558" s="6"/>
      <c r="I558" s="6"/>
      <c r="J558" s="6"/>
      <c r="K558" s="6"/>
      <c r="L558" s="6"/>
      <c r="M558" s="6"/>
      <c r="N558" s="6"/>
      <c r="O558" s="6"/>
      <c r="P558" s="6"/>
      <c r="Q558" s="6"/>
      <c r="R558" s="6"/>
      <c r="S558" s="6"/>
      <c r="T558" s="6"/>
      <c r="U558" s="6"/>
      <c r="V558" s="6"/>
      <c r="W558" s="6"/>
      <c r="X558" s="6"/>
      <c r="Y558" s="6"/>
      <c r="Z558" s="6"/>
    </row>
    <row r="559" ht="12.75" customHeight="1">
      <c r="A559" s="76"/>
      <c r="B559" s="6"/>
      <c r="C559" s="77"/>
      <c r="D559" s="6"/>
      <c r="E559" s="6"/>
      <c r="F559" s="6"/>
      <c r="G559" s="6"/>
      <c r="H559" s="6"/>
      <c r="I559" s="6"/>
      <c r="J559" s="6"/>
      <c r="K559" s="6"/>
      <c r="L559" s="6"/>
      <c r="M559" s="6"/>
      <c r="N559" s="6"/>
      <c r="O559" s="6"/>
      <c r="P559" s="6"/>
      <c r="Q559" s="6"/>
      <c r="R559" s="6"/>
      <c r="S559" s="6"/>
      <c r="T559" s="6"/>
      <c r="U559" s="6"/>
      <c r="V559" s="6"/>
      <c r="W559" s="6"/>
      <c r="X559" s="6"/>
      <c r="Y559" s="6"/>
      <c r="Z559" s="6"/>
    </row>
    <row r="560" ht="12.75" customHeight="1">
      <c r="A560" s="76"/>
      <c r="B560" s="6"/>
      <c r="C560" s="77"/>
      <c r="D560" s="6"/>
      <c r="E560" s="6"/>
      <c r="F560" s="6"/>
      <c r="G560" s="6"/>
      <c r="H560" s="6"/>
      <c r="I560" s="6"/>
      <c r="J560" s="6"/>
      <c r="K560" s="6"/>
      <c r="L560" s="6"/>
      <c r="M560" s="6"/>
      <c r="N560" s="6"/>
      <c r="O560" s="6"/>
      <c r="P560" s="6"/>
      <c r="Q560" s="6"/>
      <c r="R560" s="6"/>
      <c r="S560" s="6"/>
      <c r="T560" s="6"/>
      <c r="U560" s="6"/>
      <c r="V560" s="6"/>
      <c r="W560" s="6"/>
      <c r="X560" s="6"/>
      <c r="Y560" s="6"/>
      <c r="Z560" s="6"/>
    </row>
    <row r="561" ht="12.75" customHeight="1">
      <c r="A561" s="76"/>
      <c r="B561" s="6"/>
      <c r="C561" s="77"/>
      <c r="D561" s="6"/>
      <c r="E561" s="6"/>
      <c r="F561" s="6"/>
      <c r="G561" s="6"/>
      <c r="H561" s="6"/>
      <c r="I561" s="6"/>
      <c r="J561" s="6"/>
      <c r="K561" s="6"/>
      <c r="L561" s="6"/>
      <c r="M561" s="6"/>
      <c r="N561" s="6"/>
      <c r="O561" s="6"/>
      <c r="P561" s="6"/>
      <c r="Q561" s="6"/>
      <c r="R561" s="6"/>
      <c r="S561" s="6"/>
      <c r="T561" s="6"/>
      <c r="U561" s="6"/>
      <c r="V561" s="6"/>
      <c r="W561" s="6"/>
      <c r="X561" s="6"/>
      <c r="Y561" s="6"/>
      <c r="Z561" s="6"/>
    </row>
    <row r="562" ht="12.75" customHeight="1">
      <c r="A562" s="76"/>
      <c r="B562" s="6"/>
      <c r="C562" s="77"/>
      <c r="D562" s="6"/>
      <c r="E562" s="6"/>
      <c r="F562" s="6"/>
      <c r="G562" s="6"/>
      <c r="H562" s="6"/>
      <c r="I562" s="6"/>
      <c r="J562" s="6"/>
      <c r="K562" s="6"/>
      <c r="L562" s="6"/>
      <c r="M562" s="6"/>
      <c r="N562" s="6"/>
      <c r="O562" s="6"/>
      <c r="P562" s="6"/>
      <c r="Q562" s="6"/>
      <c r="R562" s="6"/>
      <c r="S562" s="6"/>
      <c r="T562" s="6"/>
      <c r="U562" s="6"/>
      <c r="V562" s="6"/>
      <c r="W562" s="6"/>
      <c r="X562" s="6"/>
      <c r="Y562" s="6"/>
      <c r="Z562" s="6"/>
    </row>
    <row r="563" ht="12.75" customHeight="1">
      <c r="A563" s="76"/>
      <c r="B563" s="6"/>
      <c r="C563" s="77"/>
      <c r="D563" s="6"/>
      <c r="E563" s="6"/>
      <c r="F563" s="6"/>
      <c r="G563" s="6"/>
      <c r="H563" s="6"/>
      <c r="I563" s="6"/>
      <c r="J563" s="6"/>
      <c r="K563" s="6"/>
      <c r="L563" s="6"/>
      <c r="M563" s="6"/>
      <c r="N563" s="6"/>
      <c r="O563" s="6"/>
      <c r="P563" s="6"/>
      <c r="Q563" s="6"/>
      <c r="R563" s="6"/>
      <c r="S563" s="6"/>
      <c r="T563" s="6"/>
      <c r="U563" s="6"/>
      <c r="V563" s="6"/>
      <c r="W563" s="6"/>
      <c r="X563" s="6"/>
      <c r="Y563" s="6"/>
      <c r="Z563" s="6"/>
    </row>
    <row r="564" ht="12.75" customHeight="1">
      <c r="A564" s="76"/>
      <c r="B564" s="6"/>
      <c r="C564" s="77"/>
      <c r="D564" s="6"/>
      <c r="E564" s="6"/>
      <c r="F564" s="6"/>
      <c r="G564" s="6"/>
      <c r="H564" s="6"/>
      <c r="I564" s="6"/>
      <c r="J564" s="6"/>
      <c r="K564" s="6"/>
      <c r="L564" s="6"/>
      <c r="M564" s="6"/>
      <c r="N564" s="6"/>
      <c r="O564" s="6"/>
      <c r="P564" s="6"/>
      <c r="Q564" s="6"/>
      <c r="R564" s="6"/>
      <c r="S564" s="6"/>
      <c r="T564" s="6"/>
      <c r="U564" s="6"/>
      <c r="V564" s="6"/>
      <c r="W564" s="6"/>
      <c r="X564" s="6"/>
      <c r="Y564" s="6"/>
      <c r="Z564" s="6"/>
    </row>
    <row r="565" ht="12.75" customHeight="1">
      <c r="A565" s="76"/>
      <c r="B565" s="6"/>
      <c r="C565" s="77"/>
      <c r="D565" s="6"/>
      <c r="E565" s="6"/>
      <c r="F565" s="6"/>
      <c r="G565" s="6"/>
      <c r="H565" s="6"/>
      <c r="I565" s="6"/>
      <c r="J565" s="6"/>
      <c r="K565" s="6"/>
      <c r="L565" s="6"/>
      <c r="M565" s="6"/>
      <c r="N565" s="6"/>
      <c r="O565" s="6"/>
      <c r="P565" s="6"/>
      <c r="Q565" s="6"/>
      <c r="R565" s="6"/>
      <c r="S565" s="6"/>
      <c r="T565" s="6"/>
      <c r="U565" s="6"/>
      <c r="V565" s="6"/>
      <c r="W565" s="6"/>
      <c r="X565" s="6"/>
      <c r="Y565" s="6"/>
      <c r="Z565" s="6"/>
    </row>
    <row r="566" ht="12.75" customHeight="1">
      <c r="A566" s="76"/>
      <c r="B566" s="6"/>
      <c r="C566" s="77"/>
      <c r="D566" s="6"/>
      <c r="E566" s="6"/>
      <c r="F566" s="6"/>
      <c r="G566" s="6"/>
      <c r="H566" s="6"/>
      <c r="I566" s="6"/>
      <c r="J566" s="6"/>
      <c r="K566" s="6"/>
      <c r="L566" s="6"/>
      <c r="M566" s="6"/>
      <c r="N566" s="6"/>
      <c r="O566" s="6"/>
      <c r="P566" s="6"/>
      <c r="Q566" s="6"/>
      <c r="R566" s="6"/>
      <c r="S566" s="6"/>
      <c r="T566" s="6"/>
      <c r="U566" s="6"/>
      <c r="V566" s="6"/>
      <c r="W566" s="6"/>
      <c r="X566" s="6"/>
      <c r="Y566" s="6"/>
      <c r="Z566" s="6"/>
    </row>
    <row r="567" ht="12.75" customHeight="1">
      <c r="A567" s="76"/>
      <c r="B567" s="6"/>
      <c r="C567" s="77"/>
      <c r="D567" s="6"/>
      <c r="E567" s="6"/>
      <c r="F567" s="6"/>
      <c r="G567" s="6"/>
      <c r="H567" s="6"/>
      <c r="I567" s="6"/>
      <c r="J567" s="6"/>
      <c r="K567" s="6"/>
      <c r="L567" s="6"/>
      <c r="M567" s="6"/>
      <c r="N567" s="6"/>
      <c r="O567" s="6"/>
      <c r="P567" s="6"/>
      <c r="Q567" s="6"/>
      <c r="R567" s="6"/>
      <c r="S567" s="6"/>
      <c r="T567" s="6"/>
      <c r="U567" s="6"/>
      <c r="V567" s="6"/>
      <c r="W567" s="6"/>
      <c r="X567" s="6"/>
      <c r="Y567" s="6"/>
      <c r="Z567" s="6"/>
    </row>
    <row r="568" ht="12.75" customHeight="1">
      <c r="A568" s="76"/>
      <c r="B568" s="6"/>
      <c r="C568" s="77"/>
      <c r="D568" s="6"/>
      <c r="E568" s="6"/>
      <c r="F568" s="6"/>
      <c r="G568" s="6"/>
      <c r="H568" s="6"/>
      <c r="I568" s="6"/>
      <c r="J568" s="6"/>
      <c r="K568" s="6"/>
      <c r="L568" s="6"/>
      <c r="M568" s="6"/>
      <c r="N568" s="6"/>
      <c r="O568" s="6"/>
      <c r="P568" s="6"/>
      <c r="Q568" s="6"/>
      <c r="R568" s="6"/>
      <c r="S568" s="6"/>
      <c r="T568" s="6"/>
      <c r="U568" s="6"/>
      <c r="V568" s="6"/>
      <c r="W568" s="6"/>
      <c r="X568" s="6"/>
      <c r="Y568" s="6"/>
      <c r="Z568" s="6"/>
    </row>
    <row r="569" ht="12.75" customHeight="1">
      <c r="A569" s="76"/>
      <c r="B569" s="6"/>
      <c r="C569" s="77"/>
      <c r="D569" s="6"/>
      <c r="E569" s="6"/>
      <c r="F569" s="6"/>
      <c r="G569" s="6"/>
      <c r="H569" s="6"/>
      <c r="I569" s="6"/>
      <c r="J569" s="6"/>
      <c r="K569" s="6"/>
      <c r="L569" s="6"/>
      <c r="M569" s="6"/>
      <c r="N569" s="6"/>
      <c r="O569" s="6"/>
      <c r="P569" s="6"/>
      <c r="Q569" s="6"/>
      <c r="R569" s="6"/>
      <c r="S569" s="6"/>
      <c r="T569" s="6"/>
      <c r="U569" s="6"/>
      <c r="V569" s="6"/>
      <c r="W569" s="6"/>
      <c r="X569" s="6"/>
      <c r="Y569" s="6"/>
      <c r="Z569" s="6"/>
    </row>
    <row r="570" ht="12.75" customHeight="1">
      <c r="A570" s="76"/>
      <c r="B570" s="6"/>
      <c r="C570" s="77"/>
      <c r="D570" s="6"/>
      <c r="E570" s="6"/>
      <c r="F570" s="6"/>
      <c r="G570" s="6"/>
      <c r="H570" s="6"/>
      <c r="I570" s="6"/>
      <c r="J570" s="6"/>
      <c r="K570" s="6"/>
      <c r="L570" s="6"/>
      <c r="M570" s="6"/>
      <c r="N570" s="6"/>
      <c r="O570" s="6"/>
      <c r="P570" s="6"/>
      <c r="Q570" s="6"/>
      <c r="R570" s="6"/>
      <c r="S570" s="6"/>
      <c r="T570" s="6"/>
      <c r="U570" s="6"/>
      <c r="V570" s="6"/>
      <c r="W570" s="6"/>
      <c r="X570" s="6"/>
      <c r="Y570" s="6"/>
      <c r="Z570" s="6"/>
    </row>
    <row r="571" ht="12.75" customHeight="1">
      <c r="A571" s="76"/>
      <c r="B571" s="6"/>
      <c r="C571" s="77"/>
      <c r="D571" s="6"/>
      <c r="E571" s="6"/>
      <c r="F571" s="6"/>
      <c r="G571" s="6"/>
      <c r="H571" s="6"/>
      <c r="I571" s="6"/>
      <c r="J571" s="6"/>
      <c r="K571" s="6"/>
      <c r="L571" s="6"/>
      <c r="M571" s="6"/>
      <c r="N571" s="6"/>
      <c r="O571" s="6"/>
      <c r="P571" s="6"/>
      <c r="Q571" s="6"/>
      <c r="R571" s="6"/>
      <c r="S571" s="6"/>
      <c r="T571" s="6"/>
      <c r="U571" s="6"/>
      <c r="V571" s="6"/>
      <c r="W571" s="6"/>
      <c r="X571" s="6"/>
      <c r="Y571" s="6"/>
      <c r="Z571" s="6"/>
    </row>
    <row r="572" ht="12.75" customHeight="1">
      <c r="A572" s="76"/>
      <c r="B572" s="6"/>
      <c r="C572" s="77"/>
      <c r="D572" s="6"/>
      <c r="E572" s="6"/>
      <c r="F572" s="6"/>
      <c r="G572" s="6"/>
      <c r="H572" s="6"/>
      <c r="I572" s="6"/>
      <c r="J572" s="6"/>
      <c r="K572" s="6"/>
      <c r="L572" s="6"/>
      <c r="M572" s="6"/>
      <c r="N572" s="6"/>
      <c r="O572" s="6"/>
      <c r="P572" s="6"/>
      <c r="Q572" s="6"/>
      <c r="R572" s="6"/>
      <c r="S572" s="6"/>
      <c r="T572" s="6"/>
      <c r="U572" s="6"/>
      <c r="V572" s="6"/>
      <c r="W572" s="6"/>
      <c r="X572" s="6"/>
      <c r="Y572" s="6"/>
      <c r="Z572" s="6"/>
    </row>
    <row r="573" ht="12.75" customHeight="1">
      <c r="A573" s="76"/>
      <c r="B573" s="6"/>
      <c r="C573" s="77"/>
      <c r="D573" s="6"/>
      <c r="E573" s="6"/>
      <c r="F573" s="6"/>
      <c r="G573" s="6"/>
      <c r="H573" s="6"/>
      <c r="I573" s="6"/>
      <c r="J573" s="6"/>
      <c r="K573" s="6"/>
      <c r="L573" s="6"/>
      <c r="M573" s="6"/>
      <c r="N573" s="6"/>
      <c r="O573" s="6"/>
      <c r="P573" s="6"/>
      <c r="Q573" s="6"/>
      <c r="R573" s="6"/>
      <c r="S573" s="6"/>
      <c r="T573" s="6"/>
      <c r="U573" s="6"/>
      <c r="V573" s="6"/>
      <c r="W573" s="6"/>
      <c r="X573" s="6"/>
      <c r="Y573" s="6"/>
      <c r="Z573" s="6"/>
    </row>
    <row r="574" ht="12.75" customHeight="1">
      <c r="A574" s="76"/>
      <c r="B574" s="6"/>
      <c r="C574" s="77"/>
      <c r="D574" s="6"/>
      <c r="E574" s="6"/>
      <c r="F574" s="6"/>
      <c r="G574" s="6"/>
      <c r="H574" s="6"/>
      <c r="I574" s="6"/>
      <c r="J574" s="6"/>
      <c r="K574" s="6"/>
      <c r="L574" s="6"/>
      <c r="M574" s="6"/>
      <c r="N574" s="6"/>
      <c r="O574" s="6"/>
      <c r="P574" s="6"/>
      <c r="Q574" s="6"/>
      <c r="R574" s="6"/>
      <c r="S574" s="6"/>
      <c r="T574" s="6"/>
      <c r="U574" s="6"/>
      <c r="V574" s="6"/>
      <c r="W574" s="6"/>
      <c r="X574" s="6"/>
      <c r="Y574" s="6"/>
      <c r="Z574" s="6"/>
    </row>
    <row r="575" ht="12.75" customHeight="1">
      <c r="A575" s="76"/>
      <c r="B575" s="6"/>
      <c r="C575" s="77"/>
      <c r="D575" s="6"/>
      <c r="E575" s="6"/>
      <c r="F575" s="6"/>
      <c r="G575" s="6"/>
      <c r="H575" s="6"/>
      <c r="I575" s="6"/>
      <c r="J575" s="6"/>
      <c r="K575" s="6"/>
      <c r="L575" s="6"/>
      <c r="M575" s="6"/>
      <c r="N575" s="6"/>
      <c r="O575" s="6"/>
      <c r="P575" s="6"/>
      <c r="Q575" s="6"/>
      <c r="R575" s="6"/>
      <c r="S575" s="6"/>
      <c r="T575" s="6"/>
      <c r="U575" s="6"/>
      <c r="V575" s="6"/>
      <c r="W575" s="6"/>
      <c r="X575" s="6"/>
      <c r="Y575" s="6"/>
      <c r="Z575" s="6"/>
    </row>
    <row r="576" ht="12.75" customHeight="1">
      <c r="A576" s="76"/>
      <c r="B576" s="6"/>
      <c r="C576" s="77"/>
      <c r="D576" s="6"/>
      <c r="E576" s="6"/>
      <c r="F576" s="6"/>
      <c r="G576" s="6"/>
      <c r="H576" s="6"/>
      <c r="I576" s="6"/>
      <c r="J576" s="6"/>
      <c r="K576" s="6"/>
      <c r="L576" s="6"/>
      <c r="M576" s="6"/>
      <c r="N576" s="6"/>
      <c r="O576" s="6"/>
      <c r="P576" s="6"/>
      <c r="Q576" s="6"/>
      <c r="R576" s="6"/>
      <c r="S576" s="6"/>
      <c r="T576" s="6"/>
      <c r="U576" s="6"/>
      <c r="V576" s="6"/>
      <c r="W576" s="6"/>
      <c r="X576" s="6"/>
      <c r="Y576" s="6"/>
      <c r="Z576" s="6"/>
    </row>
    <row r="577" ht="12.75" customHeight="1">
      <c r="A577" s="76"/>
      <c r="B577" s="6"/>
      <c r="C577" s="77"/>
      <c r="D577" s="6"/>
      <c r="E577" s="6"/>
      <c r="F577" s="6"/>
      <c r="G577" s="6"/>
      <c r="H577" s="6"/>
      <c r="I577" s="6"/>
      <c r="J577" s="6"/>
      <c r="K577" s="6"/>
      <c r="L577" s="6"/>
      <c r="M577" s="6"/>
      <c r="N577" s="6"/>
      <c r="O577" s="6"/>
      <c r="P577" s="6"/>
      <c r="Q577" s="6"/>
      <c r="R577" s="6"/>
      <c r="S577" s="6"/>
      <c r="T577" s="6"/>
      <c r="U577" s="6"/>
      <c r="V577" s="6"/>
      <c r="W577" s="6"/>
      <c r="X577" s="6"/>
      <c r="Y577" s="6"/>
      <c r="Z577" s="6"/>
    </row>
    <row r="578" ht="12.75" customHeight="1">
      <c r="A578" s="76"/>
      <c r="B578" s="6"/>
      <c r="C578" s="77"/>
      <c r="D578" s="6"/>
      <c r="E578" s="6"/>
      <c r="F578" s="6"/>
      <c r="G578" s="6"/>
      <c r="H578" s="6"/>
      <c r="I578" s="6"/>
      <c r="J578" s="6"/>
      <c r="K578" s="6"/>
      <c r="L578" s="6"/>
      <c r="M578" s="6"/>
      <c r="N578" s="6"/>
      <c r="O578" s="6"/>
      <c r="P578" s="6"/>
      <c r="Q578" s="6"/>
      <c r="R578" s="6"/>
      <c r="S578" s="6"/>
      <c r="T578" s="6"/>
      <c r="U578" s="6"/>
      <c r="V578" s="6"/>
      <c r="W578" s="6"/>
      <c r="X578" s="6"/>
      <c r="Y578" s="6"/>
      <c r="Z578" s="6"/>
    </row>
    <row r="579" ht="12.75" customHeight="1">
      <c r="A579" s="76"/>
      <c r="B579" s="6"/>
      <c r="C579" s="77"/>
      <c r="D579" s="6"/>
      <c r="E579" s="6"/>
      <c r="F579" s="6"/>
      <c r="G579" s="6"/>
      <c r="H579" s="6"/>
      <c r="I579" s="6"/>
      <c r="J579" s="6"/>
      <c r="K579" s="6"/>
      <c r="L579" s="6"/>
      <c r="M579" s="6"/>
      <c r="N579" s="6"/>
      <c r="O579" s="6"/>
      <c r="P579" s="6"/>
      <c r="Q579" s="6"/>
      <c r="R579" s="6"/>
      <c r="S579" s="6"/>
      <c r="T579" s="6"/>
      <c r="U579" s="6"/>
      <c r="V579" s="6"/>
      <c r="W579" s="6"/>
      <c r="X579" s="6"/>
      <c r="Y579" s="6"/>
      <c r="Z579" s="6"/>
    </row>
    <row r="580" ht="12.75" customHeight="1">
      <c r="A580" s="76"/>
      <c r="B580" s="6"/>
      <c r="C580" s="77"/>
      <c r="D580" s="6"/>
      <c r="E580" s="6"/>
      <c r="F580" s="6"/>
      <c r="G580" s="6"/>
      <c r="H580" s="6"/>
      <c r="I580" s="6"/>
      <c r="J580" s="6"/>
      <c r="K580" s="6"/>
      <c r="L580" s="6"/>
      <c r="M580" s="6"/>
      <c r="N580" s="6"/>
      <c r="O580" s="6"/>
      <c r="P580" s="6"/>
      <c r="Q580" s="6"/>
      <c r="R580" s="6"/>
      <c r="S580" s="6"/>
      <c r="T580" s="6"/>
      <c r="U580" s="6"/>
      <c r="V580" s="6"/>
      <c r="W580" s="6"/>
      <c r="X580" s="6"/>
      <c r="Y580" s="6"/>
      <c r="Z580" s="6"/>
    </row>
    <row r="581" ht="12.75" customHeight="1">
      <c r="A581" s="76"/>
      <c r="B581" s="6"/>
      <c r="C581" s="77"/>
      <c r="D581" s="6"/>
      <c r="E581" s="6"/>
      <c r="F581" s="6"/>
      <c r="G581" s="6"/>
      <c r="H581" s="6"/>
      <c r="I581" s="6"/>
      <c r="J581" s="6"/>
      <c r="K581" s="6"/>
      <c r="L581" s="6"/>
      <c r="M581" s="6"/>
      <c r="N581" s="6"/>
      <c r="O581" s="6"/>
      <c r="P581" s="6"/>
      <c r="Q581" s="6"/>
      <c r="R581" s="6"/>
      <c r="S581" s="6"/>
      <c r="T581" s="6"/>
      <c r="U581" s="6"/>
      <c r="V581" s="6"/>
      <c r="W581" s="6"/>
      <c r="X581" s="6"/>
      <c r="Y581" s="6"/>
      <c r="Z581" s="6"/>
    </row>
    <row r="582" ht="12.75" customHeight="1">
      <c r="A582" s="76"/>
      <c r="B582" s="6"/>
      <c r="C582" s="77"/>
      <c r="D582" s="6"/>
      <c r="E582" s="6"/>
      <c r="F582" s="6"/>
      <c r="G582" s="6"/>
      <c r="H582" s="6"/>
      <c r="I582" s="6"/>
      <c r="J582" s="6"/>
      <c r="K582" s="6"/>
      <c r="L582" s="6"/>
      <c r="M582" s="6"/>
      <c r="N582" s="6"/>
      <c r="O582" s="6"/>
      <c r="P582" s="6"/>
      <c r="Q582" s="6"/>
      <c r="R582" s="6"/>
      <c r="S582" s="6"/>
      <c r="T582" s="6"/>
      <c r="U582" s="6"/>
      <c r="V582" s="6"/>
      <c r="W582" s="6"/>
      <c r="X582" s="6"/>
      <c r="Y582" s="6"/>
      <c r="Z582" s="6"/>
    </row>
    <row r="583" ht="12.75" customHeight="1">
      <c r="A583" s="76"/>
      <c r="B583" s="6"/>
      <c r="C583" s="77"/>
      <c r="D583" s="6"/>
      <c r="E583" s="6"/>
      <c r="F583" s="6"/>
      <c r="G583" s="6"/>
      <c r="H583" s="6"/>
      <c r="I583" s="6"/>
      <c r="J583" s="6"/>
      <c r="K583" s="6"/>
      <c r="L583" s="6"/>
      <c r="M583" s="6"/>
      <c r="N583" s="6"/>
      <c r="O583" s="6"/>
      <c r="P583" s="6"/>
      <c r="Q583" s="6"/>
      <c r="R583" s="6"/>
      <c r="S583" s="6"/>
      <c r="T583" s="6"/>
      <c r="U583" s="6"/>
      <c r="V583" s="6"/>
      <c r="W583" s="6"/>
      <c r="X583" s="6"/>
      <c r="Y583" s="6"/>
      <c r="Z583" s="6"/>
    </row>
    <row r="584" ht="12.75" customHeight="1">
      <c r="A584" s="76"/>
      <c r="B584" s="6"/>
      <c r="C584" s="77"/>
      <c r="D584" s="6"/>
      <c r="E584" s="6"/>
      <c r="F584" s="6"/>
      <c r="G584" s="6"/>
      <c r="H584" s="6"/>
      <c r="I584" s="6"/>
      <c r="J584" s="6"/>
      <c r="K584" s="6"/>
      <c r="L584" s="6"/>
      <c r="M584" s="6"/>
      <c r="N584" s="6"/>
      <c r="O584" s="6"/>
      <c r="P584" s="6"/>
      <c r="Q584" s="6"/>
      <c r="R584" s="6"/>
      <c r="S584" s="6"/>
      <c r="T584" s="6"/>
      <c r="U584" s="6"/>
      <c r="V584" s="6"/>
      <c r="W584" s="6"/>
      <c r="X584" s="6"/>
      <c r="Y584" s="6"/>
      <c r="Z584" s="6"/>
    </row>
    <row r="585" ht="12.75" customHeight="1">
      <c r="A585" s="76"/>
      <c r="B585" s="6"/>
      <c r="C585" s="77"/>
      <c r="D585" s="6"/>
      <c r="E585" s="6"/>
      <c r="F585" s="6"/>
      <c r="G585" s="6"/>
      <c r="H585" s="6"/>
      <c r="I585" s="6"/>
      <c r="J585" s="6"/>
      <c r="K585" s="6"/>
      <c r="L585" s="6"/>
      <c r="M585" s="6"/>
      <c r="N585" s="6"/>
      <c r="O585" s="6"/>
      <c r="P585" s="6"/>
      <c r="Q585" s="6"/>
      <c r="R585" s="6"/>
      <c r="S585" s="6"/>
      <c r="T585" s="6"/>
      <c r="U585" s="6"/>
      <c r="V585" s="6"/>
      <c r="W585" s="6"/>
      <c r="X585" s="6"/>
      <c r="Y585" s="6"/>
      <c r="Z585" s="6"/>
    </row>
    <row r="586" ht="12.75" customHeight="1">
      <c r="A586" s="76"/>
      <c r="B586" s="6"/>
      <c r="C586" s="77"/>
      <c r="D586" s="6"/>
      <c r="E586" s="6"/>
      <c r="F586" s="6"/>
      <c r="G586" s="6"/>
      <c r="H586" s="6"/>
      <c r="I586" s="6"/>
      <c r="J586" s="6"/>
      <c r="K586" s="6"/>
      <c r="L586" s="6"/>
      <c r="M586" s="6"/>
      <c r="N586" s="6"/>
      <c r="O586" s="6"/>
      <c r="P586" s="6"/>
      <c r="Q586" s="6"/>
      <c r="R586" s="6"/>
      <c r="S586" s="6"/>
      <c r="T586" s="6"/>
      <c r="U586" s="6"/>
      <c r="V586" s="6"/>
      <c r="W586" s="6"/>
      <c r="X586" s="6"/>
      <c r="Y586" s="6"/>
      <c r="Z586" s="6"/>
    </row>
    <row r="587" ht="12.75" customHeight="1">
      <c r="A587" s="76"/>
      <c r="B587" s="6"/>
      <c r="C587" s="77"/>
      <c r="D587" s="6"/>
      <c r="E587" s="6"/>
      <c r="F587" s="6"/>
      <c r="G587" s="6"/>
      <c r="H587" s="6"/>
      <c r="I587" s="6"/>
      <c r="J587" s="6"/>
      <c r="K587" s="6"/>
      <c r="L587" s="6"/>
      <c r="M587" s="6"/>
      <c r="N587" s="6"/>
      <c r="O587" s="6"/>
      <c r="P587" s="6"/>
      <c r="Q587" s="6"/>
      <c r="R587" s="6"/>
      <c r="S587" s="6"/>
      <c r="T587" s="6"/>
      <c r="U587" s="6"/>
      <c r="V587" s="6"/>
      <c r="W587" s="6"/>
      <c r="X587" s="6"/>
      <c r="Y587" s="6"/>
      <c r="Z587" s="6"/>
    </row>
    <row r="588" ht="12.75" customHeight="1">
      <c r="A588" s="76"/>
      <c r="B588" s="6"/>
      <c r="C588" s="77"/>
      <c r="D588" s="6"/>
      <c r="E588" s="6"/>
      <c r="F588" s="6"/>
      <c r="G588" s="6"/>
      <c r="H588" s="6"/>
      <c r="I588" s="6"/>
      <c r="J588" s="6"/>
      <c r="K588" s="6"/>
      <c r="L588" s="6"/>
      <c r="M588" s="6"/>
      <c r="N588" s="6"/>
      <c r="O588" s="6"/>
      <c r="P588" s="6"/>
      <c r="Q588" s="6"/>
      <c r="R588" s="6"/>
      <c r="S588" s="6"/>
      <c r="T588" s="6"/>
      <c r="U588" s="6"/>
      <c r="V588" s="6"/>
      <c r="W588" s="6"/>
      <c r="X588" s="6"/>
      <c r="Y588" s="6"/>
      <c r="Z588" s="6"/>
    </row>
    <row r="589" ht="12.75" customHeight="1">
      <c r="A589" s="76"/>
      <c r="B589" s="6"/>
      <c r="C589" s="77"/>
      <c r="D589" s="6"/>
      <c r="E589" s="6"/>
      <c r="F589" s="6"/>
      <c r="G589" s="6"/>
      <c r="H589" s="6"/>
      <c r="I589" s="6"/>
      <c r="J589" s="6"/>
      <c r="K589" s="6"/>
      <c r="L589" s="6"/>
      <c r="M589" s="6"/>
      <c r="N589" s="6"/>
      <c r="O589" s="6"/>
      <c r="P589" s="6"/>
      <c r="Q589" s="6"/>
      <c r="R589" s="6"/>
      <c r="S589" s="6"/>
      <c r="T589" s="6"/>
      <c r="U589" s="6"/>
      <c r="V589" s="6"/>
      <c r="W589" s="6"/>
      <c r="X589" s="6"/>
      <c r="Y589" s="6"/>
      <c r="Z589" s="6"/>
    </row>
    <row r="590" ht="12.75" customHeight="1">
      <c r="A590" s="76"/>
      <c r="B590" s="6"/>
      <c r="C590" s="77"/>
      <c r="D590" s="6"/>
      <c r="E590" s="6"/>
      <c r="F590" s="6"/>
      <c r="G590" s="6"/>
      <c r="H590" s="6"/>
      <c r="I590" s="6"/>
      <c r="J590" s="6"/>
      <c r="K590" s="6"/>
      <c r="L590" s="6"/>
      <c r="M590" s="6"/>
      <c r="N590" s="6"/>
      <c r="O590" s="6"/>
      <c r="P590" s="6"/>
      <c r="Q590" s="6"/>
      <c r="R590" s="6"/>
      <c r="S590" s="6"/>
      <c r="T590" s="6"/>
      <c r="U590" s="6"/>
      <c r="V590" s="6"/>
      <c r="W590" s="6"/>
      <c r="X590" s="6"/>
      <c r="Y590" s="6"/>
      <c r="Z590" s="6"/>
    </row>
    <row r="591" ht="12.75" customHeight="1">
      <c r="A591" s="76"/>
      <c r="B591" s="6"/>
      <c r="C591" s="77"/>
      <c r="D591" s="6"/>
      <c r="E591" s="6"/>
      <c r="F591" s="6"/>
      <c r="G591" s="6"/>
      <c r="H591" s="6"/>
      <c r="I591" s="6"/>
      <c r="J591" s="6"/>
      <c r="K591" s="6"/>
      <c r="L591" s="6"/>
      <c r="M591" s="6"/>
      <c r="N591" s="6"/>
      <c r="O591" s="6"/>
      <c r="P591" s="6"/>
      <c r="Q591" s="6"/>
      <c r="R591" s="6"/>
      <c r="S591" s="6"/>
      <c r="T591" s="6"/>
      <c r="U591" s="6"/>
      <c r="V591" s="6"/>
      <c r="W591" s="6"/>
      <c r="X591" s="6"/>
      <c r="Y591" s="6"/>
      <c r="Z591" s="6"/>
    </row>
    <row r="592" ht="12.75" customHeight="1">
      <c r="A592" s="76"/>
      <c r="B592" s="6"/>
      <c r="C592" s="77"/>
      <c r="D592" s="6"/>
      <c r="E592" s="6"/>
      <c r="F592" s="6"/>
      <c r="G592" s="6"/>
      <c r="H592" s="6"/>
      <c r="I592" s="6"/>
      <c r="J592" s="6"/>
      <c r="K592" s="6"/>
      <c r="L592" s="6"/>
      <c r="M592" s="6"/>
      <c r="N592" s="6"/>
      <c r="O592" s="6"/>
      <c r="P592" s="6"/>
      <c r="Q592" s="6"/>
      <c r="R592" s="6"/>
      <c r="S592" s="6"/>
      <c r="T592" s="6"/>
      <c r="U592" s="6"/>
      <c r="V592" s="6"/>
      <c r="W592" s="6"/>
      <c r="X592" s="6"/>
      <c r="Y592" s="6"/>
      <c r="Z592" s="6"/>
    </row>
    <row r="593" ht="12.75" customHeight="1">
      <c r="A593" s="76"/>
      <c r="B593" s="6"/>
      <c r="C593" s="77"/>
      <c r="D593" s="6"/>
      <c r="E593" s="6"/>
      <c r="F593" s="6"/>
      <c r="G593" s="6"/>
      <c r="H593" s="6"/>
      <c r="I593" s="6"/>
      <c r="J593" s="6"/>
      <c r="K593" s="6"/>
      <c r="L593" s="6"/>
      <c r="M593" s="6"/>
      <c r="N593" s="6"/>
      <c r="O593" s="6"/>
      <c r="P593" s="6"/>
      <c r="Q593" s="6"/>
      <c r="R593" s="6"/>
      <c r="S593" s="6"/>
      <c r="T593" s="6"/>
      <c r="U593" s="6"/>
      <c r="V593" s="6"/>
      <c r="W593" s="6"/>
      <c r="X593" s="6"/>
      <c r="Y593" s="6"/>
      <c r="Z593" s="6"/>
    </row>
    <row r="594" ht="12.75" customHeight="1">
      <c r="A594" s="76"/>
      <c r="B594" s="6"/>
      <c r="C594" s="77"/>
      <c r="D594" s="6"/>
      <c r="E594" s="6"/>
      <c r="F594" s="6"/>
      <c r="G594" s="6"/>
      <c r="H594" s="6"/>
      <c r="I594" s="6"/>
      <c r="J594" s="6"/>
      <c r="K594" s="6"/>
      <c r="L594" s="6"/>
      <c r="M594" s="6"/>
      <c r="N594" s="6"/>
      <c r="O594" s="6"/>
      <c r="P594" s="6"/>
      <c r="Q594" s="6"/>
      <c r="R594" s="6"/>
      <c r="S594" s="6"/>
      <c r="T594" s="6"/>
      <c r="U594" s="6"/>
      <c r="V594" s="6"/>
      <c r="W594" s="6"/>
      <c r="X594" s="6"/>
      <c r="Y594" s="6"/>
      <c r="Z594" s="6"/>
    </row>
    <row r="595" ht="12.75" customHeight="1">
      <c r="A595" s="76"/>
      <c r="B595" s="6"/>
      <c r="C595" s="77"/>
      <c r="D595" s="6"/>
      <c r="E595" s="6"/>
      <c r="F595" s="6"/>
      <c r="G595" s="6"/>
      <c r="H595" s="6"/>
      <c r="I595" s="6"/>
      <c r="J595" s="6"/>
      <c r="K595" s="6"/>
      <c r="L595" s="6"/>
      <c r="M595" s="6"/>
      <c r="N595" s="6"/>
      <c r="O595" s="6"/>
      <c r="P595" s="6"/>
      <c r="Q595" s="6"/>
      <c r="R595" s="6"/>
      <c r="S595" s="6"/>
      <c r="T595" s="6"/>
      <c r="U595" s="6"/>
      <c r="V595" s="6"/>
      <c r="W595" s="6"/>
      <c r="X595" s="6"/>
      <c r="Y595" s="6"/>
      <c r="Z595" s="6"/>
    </row>
    <row r="596" ht="12.75" customHeight="1">
      <c r="A596" s="76"/>
      <c r="B596" s="6"/>
      <c r="C596" s="77"/>
      <c r="D596" s="6"/>
      <c r="E596" s="6"/>
      <c r="F596" s="6"/>
      <c r="G596" s="6"/>
      <c r="H596" s="6"/>
      <c r="I596" s="6"/>
      <c r="J596" s="6"/>
      <c r="K596" s="6"/>
      <c r="L596" s="6"/>
      <c r="M596" s="6"/>
      <c r="N596" s="6"/>
      <c r="O596" s="6"/>
      <c r="P596" s="6"/>
      <c r="Q596" s="6"/>
      <c r="R596" s="6"/>
      <c r="S596" s="6"/>
      <c r="T596" s="6"/>
      <c r="U596" s="6"/>
      <c r="V596" s="6"/>
      <c r="W596" s="6"/>
      <c r="X596" s="6"/>
      <c r="Y596" s="6"/>
      <c r="Z596" s="6"/>
    </row>
    <row r="597" ht="12.75" customHeight="1">
      <c r="A597" s="76"/>
      <c r="B597" s="6"/>
      <c r="C597" s="77"/>
      <c r="D597" s="6"/>
      <c r="E597" s="6"/>
      <c r="F597" s="6"/>
      <c r="G597" s="6"/>
      <c r="H597" s="6"/>
      <c r="I597" s="6"/>
      <c r="J597" s="6"/>
      <c r="K597" s="6"/>
      <c r="L597" s="6"/>
      <c r="M597" s="6"/>
      <c r="N597" s="6"/>
      <c r="O597" s="6"/>
      <c r="P597" s="6"/>
      <c r="Q597" s="6"/>
      <c r="R597" s="6"/>
      <c r="S597" s="6"/>
      <c r="T597" s="6"/>
      <c r="U597" s="6"/>
      <c r="V597" s="6"/>
      <c r="W597" s="6"/>
      <c r="X597" s="6"/>
      <c r="Y597" s="6"/>
      <c r="Z597" s="6"/>
    </row>
    <row r="598" ht="12.75" customHeight="1">
      <c r="A598" s="76"/>
      <c r="B598" s="6"/>
      <c r="C598" s="77"/>
      <c r="D598" s="6"/>
      <c r="E598" s="6"/>
      <c r="F598" s="6"/>
      <c r="G598" s="6"/>
      <c r="H598" s="6"/>
      <c r="I598" s="6"/>
      <c r="J598" s="6"/>
      <c r="K598" s="6"/>
      <c r="L598" s="6"/>
      <c r="M598" s="6"/>
      <c r="N598" s="6"/>
      <c r="O598" s="6"/>
      <c r="P598" s="6"/>
      <c r="Q598" s="6"/>
      <c r="R598" s="6"/>
      <c r="S598" s="6"/>
      <c r="T598" s="6"/>
      <c r="U598" s="6"/>
      <c r="V598" s="6"/>
      <c r="W598" s="6"/>
      <c r="X598" s="6"/>
      <c r="Y598" s="6"/>
      <c r="Z598" s="6"/>
    </row>
    <row r="599" ht="12.75" customHeight="1">
      <c r="A599" s="76"/>
      <c r="B599" s="6"/>
      <c r="C599" s="77"/>
      <c r="D599" s="6"/>
      <c r="E599" s="6"/>
      <c r="F599" s="6"/>
      <c r="G599" s="6"/>
      <c r="H599" s="6"/>
      <c r="I599" s="6"/>
      <c r="J599" s="6"/>
      <c r="K599" s="6"/>
      <c r="L599" s="6"/>
      <c r="M599" s="6"/>
      <c r="N599" s="6"/>
      <c r="O599" s="6"/>
      <c r="P599" s="6"/>
      <c r="Q599" s="6"/>
      <c r="R599" s="6"/>
      <c r="S599" s="6"/>
      <c r="T599" s="6"/>
      <c r="U599" s="6"/>
      <c r="V599" s="6"/>
      <c r="W599" s="6"/>
      <c r="X599" s="6"/>
      <c r="Y599" s="6"/>
      <c r="Z599" s="6"/>
    </row>
    <row r="600" ht="12.75" customHeight="1">
      <c r="A600" s="76"/>
      <c r="B600" s="6"/>
      <c r="C600" s="77"/>
      <c r="D600" s="6"/>
      <c r="E600" s="6"/>
      <c r="F600" s="6"/>
      <c r="G600" s="6"/>
      <c r="H600" s="6"/>
      <c r="I600" s="6"/>
      <c r="J600" s="6"/>
      <c r="K600" s="6"/>
      <c r="L600" s="6"/>
      <c r="M600" s="6"/>
      <c r="N600" s="6"/>
      <c r="O600" s="6"/>
      <c r="P600" s="6"/>
      <c r="Q600" s="6"/>
      <c r="R600" s="6"/>
      <c r="S600" s="6"/>
      <c r="T600" s="6"/>
      <c r="U600" s="6"/>
      <c r="V600" s="6"/>
      <c r="W600" s="6"/>
      <c r="X600" s="6"/>
      <c r="Y600" s="6"/>
      <c r="Z600" s="6"/>
    </row>
    <row r="601" ht="12.75" customHeight="1">
      <c r="A601" s="76"/>
      <c r="B601" s="6"/>
      <c r="C601" s="77"/>
      <c r="D601" s="6"/>
      <c r="E601" s="6"/>
      <c r="F601" s="6"/>
      <c r="G601" s="6"/>
      <c r="H601" s="6"/>
      <c r="I601" s="6"/>
      <c r="J601" s="6"/>
      <c r="K601" s="6"/>
      <c r="L601" s="6"/>
      <c r="M601" s="6"/>
      <c r="N601" s="6"/>
      <c r="O601" s="6"/>
      <c r="P601" s="6"/>
      <c r="Q601" s="6"/>
      <c r="R601" s="6"/>
      <c r="S601" s="6"/>
      <c r="T601" s="6"/>
      <c r="U601" s="6"/>
      <c r="V601" s="6"/>
      <c r="W601" s="6"/>
      <c r="X601" s="6"/>
      <c r="Y601" s="6"/>
      <c r="Z601" s="6"/>
    </row>
    <row r="602" ht="12.75" customHeight="1">
      <c r="A602" s="76"/>
      <c r="B602" s="6"/>
      <c r="C602" s="77"/>
      <c r="D602" s="6"/>
      <c r="E602" s="6"/>
      <c r="F602" s="6"/>
      <c r="G602" s="6"/>
      <c r="H602" s="6"/>
      <c r="I602" s="6"/>
      <c r="J602" s="6"/>
      <c r="K602" s="6"/>
      <c r="L602" s="6"/>
      <c r="M602" s="6"/>
      <c r="N602" s="6"/>
      <c r="O602" s="6"/>
      <c r="P602" s="6"/>
      <c r="Q602" s="6"/>
      <c r="R602" s="6"/>
      <c r="S602" s="6"/>
      <c r="T602" s="6"/>
      <c r="U602" s="6"/>
      <c r="V602" s="6"/>
      <c r="W602" s="6"/>
      <c r="X602" s="6"/>
      <c r="Y602" s="6"/>
      <c r="Z602" s="6"/>
    </row>
    <row r="603" ht="12.75" customHeight="1">
      <c r="A603" s="76"/>
      <c r="B603" s="6"/>
      <c r="C603" s="77"/>
      <c r="D603" s="6"/>
      <c r="E603" s="6"/>
      <c r="F603" s="6"/>
      <c r="G603" s="6"/>
      <c r="H603" s="6"/>
      <c r="I603" s="6"/>
      <c r="J603" s="6"/>
      <c r="K603" s="6"/>
      <c r="L603" s="6"/>
      <c r="M603" s="6"/>
      <c r="N603" s="6"/>
      <c r="O603" s="6"/>
      <c r="P603" s="6"/>
      <c r="Q603" s="6"/>
      <c r="R603" s="6"/>
      <c r="S603" s="6"/>
      <c r="T603" s="6"/>
      <c r="U603" s="6"/>
      <c r="V603" s="6"/>
      <c r="W603" s="6"/>
      <c r="X603" s="6"/>
      <c r="Y603" s="6"/>
      <c r="Z603" s="6"/>
    </row>
    <row r="604" ht="12.75" customHeight="1">
      <c r="A604" s="76"/>
      <c r="B604" s="6"/>
      <c r="C604" s="77"/>
      <c r="D604" s="6"/>
      <c r="E604" s="6"/>
      <c r="F604" s="6"/>
      <c r="G604" s="6"/>
      <c r="H604" s="6"/>
      <c r="I604" s="6"/>
      <c r="J604" s="6"/>
      <c r="K604" s="6"/>
      <c r="L604" s="6"/>
      <c r="M604" s="6"/>
      <c r="N604" s="6"/>
      <c r="O604" s="6"/>
      <c r="P604" s="6"/>
      <c r="Q604" s="6"/>
      <c r="R604" s="6"/>
      <c r="S604" s="6"/>
      <c r="T604" s="6"/>
      <c r="U604" s="6"/>
      <c r="V604" s="6"/>
      <c r="W604" s="6"/>
      <c r="X604" s="6"/>
      <c r="Y604" s="6"/>
      <c r="Z604" s="6"/>
    </row>
    <row r="605" ht="12.75" customHeight="1">
      <c r="A605" s="76"/>
      <c r="B605" s="6"/>
      <c r="C605" s="77"/>
      <c r="D605" s="6"/>
      <c r="E605" s="6"/>
      <c r="F605" s="6"/>
      <c r="G605" s="6"/>
      <c r="H605" s="6"/>
      <c r="I605" s="6"/>
      <c r="J605" s="6"/>
      <c r="K605" s="6"/>
      <c r="L605" s="6"/>
      <c r="M605" s="6"/>
      <c r="N605" s="6"/>
      <c r="O605" s="6"/>
      <c r="P605" s="6"/>
      <c r="Q605" s="6"/>
      <c r="R605" s="6"/>
      <c r="S605" s="6"/>
      <c r="T605" s="6"/>
      <c r="U605" s="6"/>
      <c r="V605" s="6"/>
      <c r="W605" s="6"/>
      <c r="X605" s="6"/>
      <c r="Y605" s="6"/>
      <c r="Z605" s="6"/>
    </row>
    <row r="606" ht="12.75" customHeight="1">
      <c r="A606" s="76"/>
      <c r="B606" s="6"/>
      <c r="C606" s="77"/>
      <c r="D606" s="6"/>
      <c r="E606" s="6"/>
      <c r="F606" s="6"/>
      <c r="G606" s="6"/>
      <c r="H606" s="6"/>
      <c r="I606" s="6"/>
      <c r="J606" s="6"/>
      <c r="K606" s="6"/>
      <c r="L606" s="6"/>
      <c r="M606" s="6"/>
      <c r="N606" s="6"/>
      <c r="O606" s="6"/>
      <c r="P606" s="6"/>
      <c r="Q606" s="6"/>
      <c r="R606" s="6"/>
      <c r="S606" s="6"/>
      <c r="T606" s="6"/>
      <c r="U606" s="6"/>
      <c r="V606" s="6"/>
      <c r="W606" s="6"/>
      <c r="X606" s="6"/>
      <c r="Y606" s="6"/>
      <c r="Z606" s="6"/>
    </row>
    <row r="607" ht="12.75" customHeight="1">
      <c r="A607" s="76"/>
      <c r="B607" s="6"/>
      <c r="C607" s="77"/>
      <c r="D607" s="6"/>
      <c r="E607" s="6"/>
      <c r="F607" s="6"/>
      <c r="G607" s="6"/>
      <c r="H607" s="6"/>
      <c r="I607" s="6"/>
      <c r="J607" s="6"/>
      <c r="K607" s="6"/>
      <c r="L607" s="6"/>
      <c r="M607" s="6"/>
      <c r="N607" s="6"/>
      <c r="O607" s="6"/>
      <c r="P607" s="6"/>
      <c r="Q607" s="6"/>
      <c r="R607" s="6"/>
      <c r="S607" s="6"/>
      <c r="T607" s="6"/>
      <c r="U607" s="6"/>
      <c r="V607" s="6"/>
      <c r="W607" s="6"/>
      <c r="X607" s="6"/>
      <c r="Y607" s="6"/>
      <c r="Z607" s="6"/>
    </row>
    <row r="608" ht="12.75" customHeight="1">
      <c r="A608" s="76"/>
      <c r="B608" s="6"/>
      <c r="C608" s="77"/>
      <c r="D608" s="6"/>
      <c r="E608" s="6"/>
      <c r="F608" s="6"/>
      <c r="G608" s="6"/>
      <c r="H608" s="6"/>
      <c r="I608" s="6"/>
      <c r="J608" s="6"/>
      <c r="K608" s="6"/>
      <c r="L608" s="6"/>
      <c r="M608" s="6"/>
      <c r="N608" s="6"/>
      <c r="O608" s="6"/>
      <c r="P608" s="6"/>
      <c r="Q608" s="6"/>
      <c r="R608" s="6"/>
      <c r="S608" s="6"/>
      <c r="T608" s="6"/>
      <c r="U608" s="6"/>
      <c r="V608" s="6"/>
      <c r="W608" s="6"/>
      <c r="X608" s="6"/>
      <c r="Y608" s="6"/>
      <c r="Z608" s="6"/>
    </row>
    <row r="609" ht="12.75" customHeight="1">
      <c r="A609" s="76"/>
      <c r="B609" s="6"/>
      <c r="C609" s="77"/>
      <c r="D609" s="6"/>
      <c r="E609" s="6"/>
      <c r="F609" s="6"/>
      <c r="G609" s="6"/>
      <c r="H609" s="6"/>
      <c r="I609" s="6"/>
      <c r="J609" s="6"/>
      <c r="K609" s="6"/>
      <c r="L609" s="6"/>
      <c r="M609" s="6"/>
      <c r="N609" s="6"/>
      <c r="O609" s="6"/>
      <c r="P609" s="6"/>
      <c r="Q609" s="6"/>
      <c r="R609" s="6"/>
      <c r="S609" s="6"/>
      <c r="T609" s="6"/>
      <c r="U609" s="6"/>
      <c r="V609" s="6"/>
      <c r="W609" s="6"/>
      <c r="X609" s="6"/>
      <c r="Y609" s="6"/>
      <c r="Z609" s="6"/>
    </row>
    <row r="610" ht="12.75" customHeight="1">
      <c r="A610" s="76"/>
      <c r="B610" s="6"/>
      <c r="C610" s="77"/>
      <c r="D610" s="6"/>
      <c r="E610" s="6"/>
      <c r="F610" s="6"/>
      <c r="G610" s="6"/>
      <c r="H610" s="6"/>
      <c r="I610" s="6"/>
      <c r="J610" s="6"/>
      <c r="K610" s="6"/>
      <c r="L610" s="6"/>
      <c r="M610" s="6"/>
      <c r="N610" s="6"/>
      <c r="O610" s="6"/>
      <c r="P610" s="6"/>
      <c r="Q610" s="6"/>
      <c r="R610" s="6"/>
      <c r="S610" s="6"/>
      <c r="T610" s="6"/>
      <c r="U610" s="6"/>
      <c r="V610" s="6"/>
      <c r="W610" s="6"/>
      <c r="X610" s="6"/>
      <c r="Y610" s="6"/>
      <c r="Z610" s="6"/>
    </row>
    <row r="611" ht="12.75" customHeight="1">
      <c r="A611" s="76"/>
      <c r="B611" s="6"/>
      <c r="C611" s="77"/>
      <c r="D611" s="6"/>
      <c r="E611" s="6"/>
      <c r="F611" s="6"/>
      <c r="G611" s="6"/>
      <c r="H611" s="6"/>
      <c r="I611" s="6"/>
      <c r="J611" s="6"/>
      <c r="K611" s="6"/>
      <c r="L611" s="6"/>
      <c r="M611" s="6"/>
      <c r="N611" s="6"/>
      <c r="O611" s="6"/>
      <c r="P611" s="6"/>
      <c r="Q611" s="6"/>
      <c r="R611" s="6"/>
      <c r="S611" s="6"/>
      <c r="T611" s="6"/>
      <c r="U611" s="6"/>
      <c r="V611" s="6"/>
      <c r="W611" s="6"/>
      <c r="X611" s="6"/>
      <c r="Y611" s="6"/>
      <c r="Z611" s="6"/>
    </row>
    <row r="612" ht="12.75" customHeight="1">
      <c r="A612" s="76"/>
      <c r="B612" s="6"/>
      <c r="C612" s="77"/>
      <c r="D612" s="6"/>
      <c r="E612" s="6"/>
      <c r="F612" s="6"/>
      <c r="G612" s="6"/>
      <c r="H612" s="6"/>
      <c r="I612" s="6"/>
      <c r="J612" s="6"/>
      <c r="K612" s="6"/>
      <c r="L612" s="6"/>
      <c r="M612" s="6"/>
      <c r="N612" s="6"/>
      <c r="O612" s="6"/>
      <c r="P612" s="6"/>
      <c r="Q612" s="6"/>
      <c r="R612" s="6"/>
      <c r="S612" s="6"/>
      <c r="T612" s="6"/>
      <c r="U612" s="6"/>
      <c r="V612" s="6"/>
      <c r="W612" s="6"/>
      <c r="X612" s="6"/>
      <c r="Y612" s="6"/>
      <c r="Z612" s="6"/>
    </row>
    <row r="613" ht="12.75" customHeight="1">
      <c r="A613" s="76"/>
      <c r="B613" s="6"/>
      <c r="C613" s="77"/>
      <c r="D613" s="6"/>
      <c r="E613" s="6"/>
      <c r="F613" s="6"/>
      <c r="G613" s="6"/>
      <c r="H613" s="6"/>
      <c r="I613" s="6"/>
      <c r="J613" s="6"/>
      <c r="K613" s="6"/>
      <c r="L613" s="6"/>
      <c r="M613" s="6"/>
      <c r="N613" s="6"/>
      <c r="O613" s="6"/>
      <c r="P613" s="6"/>
      <c r="Q613" s="6"/>
      <c r="R613" s="6"/>
      <c r="S613" s="6"/>
      <c r="T613" s="6"/>
      <c r="U613" s="6"/>
      <c r="V613" s="6"/>
      <c r="W613" s="6"/>
      <c r="X613" s="6"/>
      <c r="Y613" s="6"/>
      <c r="Z613" s="6"/>
    </row>
    <row r="614" ht="12.75" customHeight="1">
      <c r="A614" s="76"/>
      <c r="B614" s="6"/>
      <c r="C614" s="77"/>
      <c r="D614" s="6"/>
      <c r="E614" s="6"/>
      <c r="F614" s="6"/>
      <c r="G614" s="6"/>
      <c r="H614" s="6"/>
      <c r="I614" s="6"/>
      <c r="J614" s="6"/>
      <c r="K614" s="6"/>
      <c r="L614" s="6"/>
      <c r="M614" s="6"/>
      <c r="N614" s="6"/>
      <c r="O614" s="6"/>
      <c r="P614" s="6"/>
      <c r="Q614" s="6"/>
      <c r="R614" s="6"/>
      <c r="S614" s="6"/>
      <c r="T614" s="6"/>
      <c r="U614" s="6"/>
      <c r="V614" s="6"/>
      <c r="W614" s="6"/>
      <c r="X614" s="6"/>
      <c r="Y614" s="6"/>
      <c r="Z614" s="6"/>
    </row>
    <row r="615" ht="12.75" customHeight="1">
      <c r="A615" s="76"/>
      <c r="B615" s="6"/>
      <c r="C615" s="77"/>
      <c r="D615" s="6"/>
      <c r="E615" s="6"/>
      <c r="F615" s="6"/>
      <c r="G615" s="6"/>
      <c r="H615" s="6"/>
      <c r="I615" s="6"/>
      <c r="J615" s="6"/>
      <c r="K615" s="6"/>
      <c r="L615" s="6"/>
      <c r="M615" s="6"/>
      <c r="N615" s="6"/>
      <c r="O615" s="6"/>
      <c r="P615" s="6"/>
      <c r="Q615" s="6"/>
      <c r="R615" s="6"/>
      <c r="S615" s="6"/>
      <c r="T615" s="6"/>
      <c r="U615" s="6"/>
      <c r="V615" s="6"/>
      <c r="W615" s="6"/>
      <c r="X615" s="6"/>
      <c r="Y615" s="6"/>
      <c r="Z615" s="6"/>
    </row>
    <row r="616" ht="12.75" customHeight="1">
      <c r="A616" s="76"/>
      <c r="B616" s="6"/>
      <c r="C616" s="77"/>
      <c r="D616" s="6"/>
      <c r="E616" s="6"/>
      <c r="F616" s="6"/>
      <c r="G616" s="6"/>
      <c r="H616" s="6"/>
      <c r="I616" s="6"/>
      <c r="J616" s="6"/>
      <c r="K616" s="6"/>
      <c r="L616" s="6"/>
      <c r="M616" s="6"/>
      <c r="N616" s="6"/>
      <c r="O616" s="6"/>
      <c r="P616" s="6"/>
      <c r="Q616" s="6"/>
      <c r="R616" s="6"/>
      <c r="S616" s="6"/>
      <c r="T616" s="6"/>
      <c r="U616" s="6"/>
      <c r="V616" s="6"/>
      <c r="W616" s="6"/>
      <c r="X616" s="6"/>
      <c r="Y616" s="6"/>
      <c r="Z616" s="6"/>
    </row>
    <row r="617" ht="12.75" customHeight="1">
      <c r="A617" s="76"/>
      <c r="B617" s="6"/>
      <c r="C617" s="77"/>
      <c r="D617" s="6"/>
      <c r="E617" s="6"/>
      <c r="F617" s="6"/>
      <c r="G617" s="6"/>
      <c r="H617" s="6"/>
      <c r="I617" s="6"/>
      <c r="J617" s="6"/>
      <c r="K617" s="6"/>
      <c r="L617" s="6"/>
      <c r="M617" s="6"/>
      <c r="N617" s="6"/>
      <c r="O617" s="6"/>
      <c r="P617" s="6"/>
      <c r="Q617" s="6"/>
      <c r="R617" s="6"/>
      <c r="S617" s="6"/>
      <c r="T617" s="6"/>
      <c r="U617" s="6"/>
      <c r="V617" s="6"/>
      <c r="W617" s="6"/>
      <c r="X617" s="6"/>
      <c r="Y617" s="6"/>
      <c r="Z617" s="6"/>
    </row>
    <row r="618" ht="12.75" customHeight="1">
      <c r="A618" s="76"/>
      <c r="B618" s="6"/>
      <c r="C618" s="77"/>
      <c r="D618" s="6"/>
      <c r="E618" s="6"/>
      <c r="F618" s="6"/>
      <c r="G618" s="6"/>
      <c r="H618" s="6"/>
      <c r="I618" s="6"/>
      <c r="J618" s="6"/>
      <c r="K618" s="6"/>
      <c r="L618" s="6"/>
      <c r="M618" s="6"/>
      <c r="N618" s="6"/>
      <c r="O618" s="6"/>
      <c r="P618" s="6"/>
      <c r="Q618" s="6"/>
      <c r="R618" s="6"/>
      <c r="S618" s="6"/>
      <c r="T618" s="6"/>
      <c r="U618" s="6"/>
      <c r="V618" s="6"/>
      <c r="W618" s="6"/>
      <c r="X618" s="6"/>
      <c r="Y618" s="6"/>
      <c r="Z618" s="6"/>
    </row>
    <row r="619" ht="12.75" customHeight="1">
      <c r="A619" s="76"/>
      <c r="B619" s="6"/>
      <c r="C619" s="77"/>
      <c r="D619" s="6"/>
      <c r="E619" s="6"/>
      <c r="F619" s="6"/>
      <c r="G619" s="6"/>
      <c r="H619" s="6"/>
      <c r="I619" s="6"/>
      <c r="J619" s="6"/>
      <c r="K619" s="6"/>
      <c r="L619" s="6"/>
      <c r="M619" s="6"/>
      <c r="N619" s="6"/>
      <c r="O619" s="6"/>
      <c r="P619" s="6"/>
      <c r="Q619" s="6"/>
      <c r="R619" s="6"/>
      <c r="S619" s="6"/>
      <c r="T619" s="6"/>
      <c r="U619" s="6"/>
      <c r="V619" s="6"/>
      <c r="W619" s="6"/>
      <c r="X619" s="6"/>
      <c r="Y619" s="6"/>
      <c r="Z619" s="6"/>
    </row>
    <row r="620" ht="12.75" customHeight="1">
      <c r="A620" s="76"/>
      <c r="B620" s="6"/>
      <c r="C620" s="77"/>
      <c r="D620" s="6"/>
      <c r="E620" s="6"/>
      <c r="F620" s="6"/>
      <c r="G620" s="6"/>
      <c r="H620" s="6"/>
      <c r="I620" s="6"/>
      <c r="J620" s="6"/>
      <c r="K620" s="6"/>
      <c r="L620" s="6"/>
      <c r="M620" s="6"/>
      <c r="N620" s="6"/>
      <c r="O620" s="6"/>
      <c r="P620" s="6"/>
      <c r="Q620" s="6"/>
      <c r="R620" s="6"/>
      <c r="S620" s="6"/>
      <c r="T620" s="6"/>
      <c r="U620" s="6"/>
      <c r="V620" s="6"/>
      <c r="W620" s="6"/>
      <c r="X620" s="6"/>
      <c r="Y620" s="6"/>
      <c r="Z620" s="6"/>
    </row>
    <row r="621" ht="12.75" customHeight="1">
      <c r="A621" s="76"/>
      <c r="B621" s="6"/>
      <c r="C621" s="77"/>
      <c r="D621" s="6"/>
      <c r="E621" s="6"/>
      <c r="F621" s="6"/>
      <c r="G621" s="6"/>
      <c r="H621" s="6"/>
      <c r="I621" s="6"/>
      <c r="J621" s="6"/>
      <c r="K621" s="6"/>
      <c r="L621" s="6"/>
      <c r="M621" s="6"/>
      <c r="N621" s="6"/>
      <c r="O621" s="6"/>
      <c r="P621" s="6"/>
      <c r="Q621" s="6"/>
      <c r="R621" s="6"/>
      <c r="S621" s="6"/>
      <c r="T621" s="6"/>
      <c r="U621" s="6"/>
      <c r="V621" s="6"/>
      <c r="W621" s="6"/>
      <c r="X621" s="6"/>
      <c r="Y621" s="6"/>
      <c r="Z621" s="6"/>
    </row>
    <row r="622" ht="12.75" customHeight="1">
      <c r="A622" s="76"/>
      <c r="B622" s="6"/>
      <c r="C622" s="77"/>
      <c r="D622" s="6"/>
      <c r="E622" s="6"/>
      <c r="F622" s="6"/>
      <c r="G622" s="6"/>
      <c r="H622" s="6"/>
      <c r="I622" s="6"/>
      <c r="J622" s="6"/>
      <c r="K622" s="6"/>
      <c r="L622" s="6"/>
      <c r="M622" s="6"/>
      <c r="N622" s="6"/>
      <c r="O622" s="6"/>
      <c r="P622" s="6"/>
      <c r="Q622" s="6"/>
      <c r="R622" s="6"/>
      <c r="S622" s="6"/>
      <c r="T622" s="6"/>
      <c r="U622" s="6"/>
      <c r="V622" s="6"/>
      <c r="W622" s="6"/>
      <c r="X622" s="6"/>
      <c r="Y622" s="6"/>
      <c r="Z622" s="6"/>
    </row>
    <row r="623" ht="12.75" customHeight="1">
      <c r="A623" s="76"/>
      <c r="B623" s="6"/>
      <c r="C623" s="77"/>
      <c r="D623" s="6"/>
      <c r="E623" s="6"/>
      <c r="F623" s="6"/>
      <c r="G623" s="6"/>
      <c r="H623" s="6"/>
      <c r="I623" s="6"/>
      <c r="J623" s="6"/>
      <c r="K623" s="6"/>
      <c r="L623" s="6"/>
      <c r="M623" s="6"/>
      <c r="N623" s="6"/>
      <c r="O623" s="6"/>
      <c r="P623" s="6"/>
      <c r="Q623" s="6"/>
      <c r="R623" s="6"/>
      <c r="S623" s="6"/>
      <c r="T623" s="6"/>
      <c r="U623" s="6"/>
      <c r="V623" s="6"/>
      <c r="W623" s="6"/>
      <c r="X623" s="6"/>
      <c r="Y623" s="6"/>
      <c r="Z623" s="6"/>
    </row>
    <row r="624" ht="12.75" customHeight="1">
      <c r="A624" s="76"/>
      <c r="B624" s="6"/>
      <c r="C624" s="77"/>
      <c r="D624" s="6"/>
      <c r="E624" s="6"/>
      <c r="F624" s="6"/>
      <c r="G624" s="6"/>
      <c r="H624" s="6"/>
      <c r="I624" s="6"/>
      <c r="J624" s="6"/>
      <c r="K624" s="6"/>
      <c r="L624" s="6"/>
      <c r="M624" s="6"/>
      <c r="N624" s="6"/>
      <c r="O624" s="6"/>
      <c r="P624" s="6"/>
      <c r="Q624" s="6"/>
      <c r="R624" s="6"/>
      <c r="S624" s="6"/>
      <c r="T624" s="6"/>
      <c r="U624" s="6"/>
      <c r="V624" s="6"/>
      <c r="W624" s="6"/>
      <c r="X624" s="6"/>
      <c r="Y624" s="6"/>
      <c r="Z624" s="6"/>
    </row>
    <row r="625" ht="12.75" customHeight="1">
      <c r="A625" s="76"/>
      <c r="B625" s="6"/>
      <c r="C625" s="77"/>
      <c r="D625" s="6"/>
      <c r="E625" s="6"/>
      <c r="F625" s="6"/>
      <c r="G625" s="6"/>
      <c r="H625" s="6"/>
      <c r="I625" s="6"/>
      <c r="J625" s="6"/>
      <c r="K625" s="6"/>
      <c r="L625" s="6"/>
      <c r="M625" s="6"/>
      <c r="N625" s="6"/>
      <c r="O625" s="6"/>
      <c r="P625" s="6"/>
      <c r="Q625" s="6"/>
      <c r="R625" s="6"/>
      <c r="S625" s="6"/>
      <c r="T625" s="6"/>
      <c r="U625" s="6"/>
      <c r="V625" s="6"/>
      <c r="W625" s="6"/>
      <c r="X625" s="6"/>
      <c r="Y625" s="6"/>
      <c r="Z625" s="6"/>
    </row>
    <row r="626" ht="12.75" customHeight="1">
      <c r="A626" s="76"/>
      <c r="B626" s="6"/>
      <c r="C626" s="77"/>
      <c r="D626" s="6"/>
      <c r="E626" s="6"/>
      <c r="F626" s="6"/>
      <c r="G626" s="6"/>
      <c r="H626" s="6"/>
      <c r="I626" s="6"/>
      <c r="J626" s="6"/>
      <c r="K626" s="6"/>
      <c r="L626" s="6"/>
      <c r="M626" s="6"/>
      <c r="N626" s="6"/>
      <c r="O626" s="6"/>
      <c r="P626" s="6"/>
      <c r="Q626" s="6"/>
      <c r="R626" s="6"/>
      <c r="S626" s="6"/>
      <c r="T626" s="6"/>
      <c r="U626" s="6"/>
      <c r="V626" s="6"/>
      <c r="W626" s="6"/>
      <c r="X626" s="6"/>
      <c r="Y626" s="6"/>
      <c r="Z626" s="6"/>
    </row>
    <row r="627" ht="12.75" customHeight="1">
      <c r="A627" s="76"/>
      <c r="B627" s="6"/>
      <c r="C627" s="77"/>
      <c r="D627" s="6"/>
      <c r="E627" s="6"/>
      <c r="F627" s="6"/>
      <c r="G627" s="6"/>
      <c r="H627" s="6"/>
      <c r="I627" s="6"/>
      <c r="J627" s="6"/>
      <c r="K627" s="6"/>
      <c r="L627" s="6"/>
      <c r="M627" s="6"/>
      <c r="N627" s="6"/>
      <c r="O627" s="6"/>
      <c r="P627" s="6"/>
      <c r="Q627" s="6"/>
      <c r="R627" s="6"/>
      <c r="S627" s="6"/>
      <c r="T627" s="6"/>
      <c r="U627" s="6"/>
      <c r="V627" s="6"/>
      <c r="W627" s="6"/>
      <c r="X627" s="6"/>
      <c r="Y627" s="6"/>
      <c r="Z627" s="6"/>
    </row>
    <row r="628" ht="12.75" customHeight="1">
      <c r="A628" s="76"/>
      <c r="B628" s="6"/>
      <c r="C628" s="77"/>
      <c r="D628" s="6"/>
      <c r="E628" s="6"/>
      <c r="F628" s="6"/>
      <c r="G628" s="6"/>
      <c r="H628" s="6"/>
      <c r="I628" s="6"/>
      <c r="J628" s="6"/>
      <c r="K628" s="6"/>
      <c r="L628" s="6"/>
      <c r="M628" s="6"/>
      <c r="N628" s="6"/>
      <c r="O628" s="6"/>
      <c r="P628" s="6"/>
      <c r="Q628" s="6"/>
      <c r="R628" s="6"/>
      <c r="S628" s="6"/>
      <c r="T628" s="6"/>
      <c r="U628" s="6"/>
      <c r="V628" s="6"/>
      <c r="W628" s="6"/>
      <c r="X628" s="6"/>
      <c r="Y628" s="6"/>
      <c r="Z628" s="6"/>
    </row>
    <row r="629" ht="12.75" customHeight="1">
      <c r="A629" s="76"/>
      <c r="B629" s="6"/>
      <c r="C629" s="77"/>
      <c r="D629" s="6"/>
      <c r="E629" s="6"/>
      <c r="F629" s="6"/>
      <c r="G629" s="6"/>
      <c r="H629" s="6"/>
      <c r="I629" s="6"/>
      <c r="J629" s="6"/>
      <c r="K629" s="6"/>
      <c r="L629" s="6"/>
      <c r="M629" s="6"/>
      <c r="N629" s="6"/>
      <c r="O629" s="6"/>
      <c r="P629" s="6"/>
      <c r="Q629" s="6"/>
      <c r="R629" s="6"/>
      <c r="S629" s="6"/>
      <c r="T629" s="6"/>
      <c r="U629" s="6"/>
      <c r="V629" s="6"/>
      <c r="W629" s="6"/>
      <c r="X629" s="6"/>
      <c r="Y629" s="6"/>
      <c r="Z629" s="6"/>
    </row>
    <row r="630" ht="12.75" customHeight="1">
      <c r="A630" s="76"/>
      <c r="B630" s="6"/>
      <c r="C630" s="77"/>
      <c r="D630" s="6"/>
      <c r="E630" s="6"/>
      <c r="F630" s="6"/>
      <c r="G630" s="6"/>
      <c r="H630" s="6"/>
      <c r="I630" s="6"/>
      <c r="J630" s="6"/>
      <c r="K630" s="6"/>
      <c r="L630" s="6"/>
      <c r="M630" s="6"/>
      <c r="N630" s="6"/>
      <c r="O630" s="6"/>
      <c r="P630" s="6"/>
      <c r="Q630" s="6"/>
      <c r="R630" s="6"/>
      <c r="S630" s="6"/>
      <c r="T630" s="6"/>
      <c r="U630" s="6"/>
      <c r="V630" s="6"/>
      <c r="W630" s="6"/>
      <c r="X630" s="6"/>
      <c r="Y630" s="6"/>
      <c r="Z630" s="6"/>
    </row>
    <row r="631" ht="12.75" customHeight="1">
      <c r="A631" s="76"/>
      <c r="B631" s="6"/>
      <c r="C631" s="77"/>
      <c r="D631" s="6"/>
      <c r="E631" s="6"/>
      <c r="F631" s="6"/>
      <c r="G631" s="6"/>
      <c r="H631" s="6"/>
      <c r="I631" s="6"/>
      <c r="J631" s="6"/>
      <c r="K631" s="6"/>
      <c r="L631" s="6"/>
      <c r="M631" s="6"/>
      <c r="N631" s="6"/>
      <c r="O631" s="6"/>
      <c r="P631" s="6"/>
      <c r="Q631" s="6"/>
      <c r="R631" s="6"/>
      <c r="S631" s="6"/>
      <c r="T631" s="6"/>
      <c r="U631" s="6"/>
      <c r="V631" s="6"/>
      <c r="W631" s="6"/>
      <c r="X631" s="6"/>
      <c r="Y631" s="6"/>
      <c r="Z631" s="6"/>
    </row>
    <row r="632" ht="12.75" customHeight="1">
      <c r="A632" s="76"/>
      <c r="B632" s="6"/>
      <c r="C632" s="77"/>
      <c r="D632" s="6"/>
      <c r="E632" s="6"/>
      <c r="F632" s="6"/>
      <c r="G632" s="6"/>
      <c r="H632" s="6"/>
      <c r="I632" s="6"/>
      <c r="J632" s="6"/>
      <c r="K632" s="6"/>
      <c r="L632" s="6"/>
      <c r="M632" s="6"/>
      <c r="N632" s="6"/>
      <c r="O632" s="6"/>
      <c r="P632" s="6"/>
      <c r="Q632" s="6"/>
      <c r="R632" s="6"/>
      <c r="S632" s="6"/>
      <c r="T632" s="6"/>
      <c r="U632" s="6"/>
      <c r="V632" s="6"/>
      <c r="W632" s="6"/>
      <c r="X632" s="6"/>
      <c r="Y632" s="6"/>
      <c r="Z632" s="6"/>
    </row>
    <row r="633" ht="12.75" customHeight="1">
      <c r="A633" s="76"/>
      <c r="B633" s="6"/>
      <c r="C633" s="77"/>
      <c r="D633" s="6"/>
      <c r="E633" s="6"/>
      <c r="F633" s="6"/>
      <c r="G633" s="6"/>
      <c r="H633" s="6"/>
      <c r="I633" s="6"/>
      <c r="J633" s="6"/>
      <c r="K633" s="6"/>
      <c r="L633" s="6"/>
      <c r="M633" s="6"/>
      <c r="N633" s="6"/>
      <c r="O633" s="6"/>
      <c r="P633" s="6"/>
      <c r="Q633" s="6"/>
      <c r="R633" s="6"/>
      <c r="S633" s="6"/>
      <c r="T633" s="6"/>
      <c r="U633" s="6"/>
      <c r="V633" s="6"/>
      <c r="W633" s="6"/>
      <c r="X633" s="6"/>
      <c r="Y633" s="6"/>
      <c r="Z633" s="6"/>
    </row>
    <row r="634" ht="12.75" customHeight="1">
      <c r="A634" s="76"/>
      <c r="B634" s="6"/>
      <c r="C634" s="77"/>
      <c r="D634" s="6"/>
      <c r="E634" s="6"/>
      <c r="F634" s="6"/>
      <c r="G634" s="6"/>
      <c r="H634" s="6"/>
      <c r="I634" s="6"/>
      <c r="J634" s="6"/>
      <c r="K634" s="6"/>
      <c r="L634" s="6"/>
      <c r="M634" s="6"/>
      <c r="N634" s="6"/>
      <c r="O634" s="6"/>
      <c r="P634" s="6"/>
      <c r="Q634" s="6"/>
      <c r="R634" s="6"/>
      <c r="S634" s="6"/>
      <c r="T634" s="6"/>
      <c r="U634" s="6"/>
      <c r="V634" s="6"/>
      <c r="W634" s="6"/>
      <c r="X634" s="6"/>
      <c r="Y634" s="6"/>
      <c r="Z634" s="6"/>
    </row>
    <row r="635" ht="12.75" customHeight="1">
      <c r="A635" s="76"/>
      <c r="B635" s="6"/>
      <c r="C635" s="77"/>
      <c r="D635" s="6"/>
      <c r="E635" s="6"/>
      <c r="F635" s="6"/>
      <c r="G635" s="6"/>
      <c r="H635" s="6"/>
      <c r="I635" s="6"/>
      <c r="J635" s="6"/>
      <c r="K635" s="6"/>
      <c r="L635" s="6"/>
      <c r="M635" s="6"/>
      <c r="N635" s="6"/>
      <c r="O635" s="6"/>
      <c r="P635" s="6"/>
      <c r="Q635" s="6"/>
      <c r="R635" s="6"/>
      <c r="S635" s="6"/>
      <c r="T635" s="6"/>
      <c r="U635" s="6"/>
      <c r="V635" s="6"/>
      <c r="W635" s="6"/>
      <c r="X635" s="6"/>
      <c r="Y635" s="6"/>
      <c r="Z635" s="6"/>
    </row>
    <row r="636" ht="12.75" customHeight="1">
      <c r="A636" s="76"/>
      <c r="B636" s="6"/>
      <c r="C636" s="77"/>
      <c r="D636" s="6"/>
      <c r="E636" s="6"/>
      <c r="F636" s="6"/>
      <c r="G636" s="6"/>
      <c r="H636" s="6"/>
      <c r="I636" s="6"/>
      <c r="J636" s="6"/>
      <c r="K636" s="6"/>
      <c r="L636" s="6"/>
      <c r="M636" s="6"/>
      <c r="N636" s="6"/>
      <c r="O636" s="6"/>
      <c r="P636" s="6"/>
      <c r="Q636" s="6"/>
      <c r="R636" s="6"/>
      <c r="S636" s="6"/>
      <c r="T636" s="6"/>
      <c r="U636" s="6"/>
      <c r="V636" s="6"/>
      <c r="W636" s="6"/>
      <c r="X636" s="6"/>
      <c r="Y636" s="6"/>
      <c r="Z636" s="6"/>
    </row>
    <row r="637" ht="12.75" customHeight="1">
      <c r="A637" s="76"/>
      <c r="B637" s="6"/>
      <c r="C637" s="77"/>
      <c r="D637" s="6"/>
      <c r="E637" s="6"/>
      <c r="F637" s="6"/>
      <c r="G637" s="6"/>
      <c r="H637" s="6"/>
      <c r="I637" s="6"/>
      <c r="J637" s="6"/>
      <c r="K637" s="6"/>
      <c r="L637" s="6"/>
      <c r="M637" s="6"/>
      <c r="N637" s="6"/>
      <c r="O637" s="6"/>
      <c r="P637" s="6"/>
      <c r="Q637" s="6"/>
      <c r="R637" s="6"/>
      <c r="S637" s="6"/>
      <c r="T637" s="6"/>
      <c r="U637" s="6"/>
      <c r="V637" s="6"/>
      <c r="W637" s="6"/>
      <c r="X637" s="6"/>
      <c r="Y637" s="6"/>
      <c r="Z637" s="6"/>
    </row>
    <row r="638" ht="12.75" customHeight="1">
      <c r="A638" s="76"/>
      <c r="B638" s="6"/>
      <c r="C638" s="77"/>
      <c r="D638" s="6"/>
      <c r="E638" s="6"/>
      <c r="F638" s="6"/>
      <c r="G638" s="6"/>
      <c r="H638" s="6"/>
      <c r="I638" s="6"/>
      <c r="J638" s="6"/>
      <c r="K638" s="6"/>
      <c r="L638" s="6"/>
      <c r="M638" s="6"/>
      <c r="N638" s="6"/>
      <c r="O638" s="6"/>
      <c r="P638" s="6"/>
      <c r="Q638" s="6"/>
      <c r="R638" s="6"/>
      <c r="S638" s="6"/>
      <c r="T638" s="6"/>
      <c r="U638" s="6"/>
      <c r="V638" s="6"/>
      <c r="W638" s="6"/>
      <c r="X638" s="6"/>
      <c r="Y638" s="6"/>
      <c r="Z638" s="6"/>
    </row>
    <row r="639" ht="12.75" customHeight="1">
      <c r="A639" s="76"/>
      <c r="B639" s="6"/>
      <c r="C639" s="77"/>
      <c r="D639" s="6"/>
      <c r="E639" s="6"/>
      <c r="F639" s="6"/>
      <c r="G639" s="6"/>
      <c r="H639" s="6"/>
      <c r="I639" s="6"/>
      <c r="J639" s="6"/>
      <c r="K639" s="6"/>
      <c r="L639" s="6"/>
      <c r="M639" s="6"/>
      <c r="N639" s="6"/>
      <c r="O639" s="6"/>
      <c r="P639" s="6"/>
      <c r="Q639" s="6"/>
      <c r="R639" s="6"/>
      <c r="S639" s="6"/>
      <c r="T639" s="6"/>
      <c r="U639" s="6"/>
      <c r="V639" s="6"/>
      <c r="W639" s="6"/>
      <c r="X639" s="6"/>
      <c r="Y639" s="6"/>
      <c r="Z639" s="6"/>
    </row>
    <row r="640" ht="12.75" customHeight="1">
      <c r="A640" s="76"/>
      <c r="B640" s="6"/>
      <c r="C640" s="77"/>
      <c r="D640" s="6"/>
      <c r="E640" s="6"/>
      <c r="F640" s="6"/>
      <c r="G640" s="6"/>
      <c r="H640" s="6"/>
      <c r="I640" s="6"/>
      <c r="J640" s="6"/>
      <c r="K640" s="6"/>
      <c r="L640" s="6"/>
      <c r="M640" s="6"/>
      <c r="N640" s="6"/>
      <c r="O640" s="6"/>
      <c r="P640" s="6"/>
      <c r="Q640" s="6"/>
      <c r="R640" s="6"/>
      <c r="S640" s="6"/>
      <c r="T640" s="6"/>
      <c r="U640" s="6"/>
      <c r="V640" s="6"/>
      <c r="W640" s="6"/>
      <c r="X640" s="6"/>
      <c r="Y640" s="6"/>
      <c r="Z640" s="6"/>
    </row>
    <row r="641" ht="12.75" customHeight="1">
      <c r="A641" s="76"/>
      <c r="B641" s="6"/>
      <c r="C641" s="77"/>
      <c r="D641" s="6"/>
      <c r="E641" s="6"/>
      <c r="F641" s="6"/>
      <c r="G641" s="6"/>
      <c r="H641" s="6"/>
      <c r="I641" s="6"/>
      <c r="J641" s="6"/>
      <c r="K641" s="6"/>
      <c r="L641" s="6"/>
      <c r="M641" s="6"/>
      <c r="N641" s="6"/>
      <c r="O641" s="6"/>
      <c r="P641" s="6"/>
      <c r="Q641" s="6"/>
      <c r="R641" s="6"/>
      <c r="S641" s="6"/>
      <c r="T641" s="6"/>
      <c r="U641" s="6"/>
      <c r="V641" s="6"/>
      <c r="W641" s="6"/>
      <c r="X641" s="6"/>
      <c r="Y641" s="6"/>
      <c r="Z641" s="6"/>
    </row>
    <row r="642" ht="12.75" customHeight="1">
      <c r="A642" s="76"/>
      <c r="B642" s="6"/>
      <c r="C642" s="77"/>
      <c r="D642" s="6"/>
      <c r="E642" s="6"/>
      <c r="F642" s="6"/>
      <c r="G642" s="6"/>
      <c r="H642" s="6"/>
      <c r="I642" s="6"/>
      <c r="J642" s="6"/>
      <c r="K642" s="6"/>
      <c r="L642" s="6"/>
      <c r="M642" s="6"/>
      <c r="N642" s="6"/>
      <c r="O642" s="6"/>
      <c r="P642" s="6"/>
      <c r="Q642" s="6"/>
      <c r="R642" s="6"/>
      <c r="S642" s="6"/>
      <c r="T642" s="6"/>
      <c r="U642" s="6"/>
      <c r="V642" s="6"/>
      <c r="W642" s="6"/>
      <c r="X642" s="6"/>
      <c r="Y642" s="6"/>
      <c r="Z642" s="6"/>
    </row>
    <row r="643" ht="12.75" customHeight="1">
      <c r="A643" s="76"/>
      <c r="B643" s="6"/>
      <c r="C643" s="77"/>
      <c r="D643" s="6"/>
      <c r="E643" s="6"/>
      <c r="F643" s="6"/>
      <c r="G643" s="6"/>
      <c r="H643" s="6"/>
      <c r="I643" s="6"/>
      <c r="J643" s="6"/>
      <c r="K643" s="6"/>
      <c r="L643" s="6"/>
      <c r="M643" s="6"/>
      <c r="N643" s="6"/>
      <c r="O643" s="6"/>
      <c r="P643" s="6"/>
      <c r="Q643" s="6"/>
      <c r="R643" s="6"/>
      <c r="S643" s="6"/>
      <c r="T643" s="6"/>
      <c r="U643" s="6"/>
      <c r="V643" s="6"/>
      <c r="W643" s="6"/>
      <c r="X643" s="6"/>
      <c r="Y643" s="6"/>
      <c r="Z643" s="6"/>
    </row>
    <row r="644" ht="12.75" customHeight="1">
      <c r="A644" s="76"/>
      <c r="B644" s="6"/>
      <c r="C644" s="77"/>
      <c r="D644" s="6"/>
      <c r="E644" s="6"/>
      <c r="F644" s="6"/>
      <c r="G644" s="6"/>
      <c r="H644" s="6"/>
      <c r="I644" s="6"/>
      <c r="J644" s="6"/>
      <c r="K644" s="6"/>
      <c r="L644" s="6"/>
      <c r="M644" s="6"/>
      <c r="N644" s="6"/>
      <c r="O644" s="6"/>
      <c r="P644" s="6"/>
      <c r="Q644" s="6"/>
      <c r="R644" s="6"/>
      <c r="S644" s="6"/>
      <c r="T644" s="6"/>
      <c r="U644" s="6"/>
      <c r="V644" s="6"/>
      <c r="W644" s="6"/>
      <c r="X644" s="6"/>
      <c r="Y644" s="6"/>
      <c r="Z644" s="6"/>
    </row>
    <row r="645" ht="12.75" customHeight="1">
      <c r="A645" s="76"/>
      <c r="B645" s="6"/>
      <c r="C645" s="77"/>
      <c r="D645" s="6"/>
      <c r="E645" s="6"/>
      <c r="F645" s="6"/>
      <c r="G645" s="6"/>
      <c r="H645" s="6"/>
      <c r="I645" s="6"/>
      <c r="J645" s="6"/>
      <c r="K645" s="6"/>
      <c r="L645" s="6"/>
      <c r="M645" s="6"/>
      <c r="N645" s="6"/>
      <c r="O645" s="6"/>
      <c r="P645" s="6"/>
      <c r="Q645" s="6"/>
      <c r="R645" s="6"/>
      <c r="S645" s="6"/>
      <c r="T645" s="6"/>
      <c r="U645" s="6"/>
      <c r="V645" s="6"/>
      <c r="W645" s="6"/>
      <c r="X645" s="6"/>
      <c r="Y645" s="6"/>
      <c r="Z645" s="6"/>
    </row>
    <row r="646" ht="12.75" customHeight="1">
      <c r="A646" s="76"/>
      <c r="B646" s="6"/>
      <c r="C646" s="77"/>
      <c r="D646" s="6"/>
      <c r="E646" s="6"/>
      <c r="F646" s="6"/>
      <c r="G646" s="6"/>
      <c r="H646" s="6"/>
      <c r="I646" s="6"/>
      <c r="J646" s="6"/>
      <c r="K646" s="6"/>
      <c r="L646" s="6"/>
      <c r="M646" s="6"/>
      <c r="N646" s="6"/>
      <c r="O646" s="6"/>
      <c r="P646" s="6"/>
      <c r="Q646" s="6"/>
      <c r="R646" s="6"/>
      <c r="S646" s="6"/>
      <c r="T646" s="6"/>
      <c r="U646" s="6"/>
      <c r="V646" s="6"/>
      <c r="W646" s="6"/>
      <c r="X646" s="6"/>
      <c r="Y646" s="6"/>
      <c r="Z646" s="6"/>
    </row>
    <row r="647" ht="12.75" customHeight="1">
      <c r="A647" s="76"/>
      <c r="B647" s="6"/>
      <c r="C647" s="77"/>
      <c r="D647" s="6"/>
      <c r="E647" s="6"/>
      <c r="F647" s="6"/>
      <c r="G647" s="6"/>
      <c r="H647" s="6"/>
      <c r="I647" s="6"/>
      <c r="J647" s="6"/>
      <c r="K647" s="6"/>
      <c r="L647" s="6"/>
      <c r="M647" s="6"/>
      <c r="N647" s="6"/>
      <c r="O647" s="6"/>
      <c r="P647" s="6"/>
      <c r="Q647" s="6"/>
      <c r="R647" s="6"/>
      <c r="S647" s="6"/>
      <c r="T647" s="6"/>
      <c r="U647" s="6"/>
      <c r="V647" s="6"/>
      <c r="W647" s="6"/>
      <c r="X647" s="6"/>
      <c r="Y647" s="6"/>
      <c r="Z647" s="6"/>
    </row>
    <row r="648" ht="12.75" customHeight="1">
      <c r="A648" s="76"/>
      <c r="B648" s="6"/>
      <c r="C648" s="77"/>
      <c r="D648" s="6"/>
      <c r="E648" s="6"/>
      <c r="F648" s="6"/>
      <c r="G648" s="6"/>
      <c r="H648" s="6"/>
      <c r="I648" s="6"/>
      <c r="J648" s="6"/>
      <c r="K648" s="6"/>
      <c r="L648" s="6"/>
      <c r="M648" s="6"/>
      <c r="N648" s="6"/>
      <c r="O648" s="6"/>
      <c r="P648" s="6"/>
      <c r="Q648" s="6"/>
      <c r="R648" s="6"/>
      <c r="S648" s="6"/>
      <c r="T648" s="6"/>
      <c r="U648" s="6"/>
      <c r="V648" s="6"/>
      <c r="W648" s="6"/>
      <c r="X648" s="6"/>
      <c r="Y648" s="6"/>
      <c r="Z648" s="6"/>
    </row>
    <row r="649" ht="12.75" customHeight="1">
      <c r="A649" s="76"/>
      <c r="B649" s="6"/>
      <c r="C649" s="77"/>
      <c r="D649" s="6"/>
      <c r="E649" s="6"/>
      <c r="F649" s="6"/>
      <c r="G649" s="6"/>
      <c r="H649" s="6"/>
      <c r="I649" s="6"/>
      <c r="J649" s="6"/>
      <c r="K649" s="6"/>
      <c r="L649" s="6"/>
      <c r="M649" s="6"/>
      <c r="N649" s="6"/>
      <c r="O649" s="6"/>
      <c r="P649" s="6"/>
      <c r="Q649" s="6"/>
      <c r="R649" s="6"/>
      <c r="S649" s="6"/>
      <c r="T649" s="6"/>
      <c r="U649" s="6"/>
      <c r="V649" s="6"/>
      <c r="W649" s="6"/>
      <c r="X649" s="6"/>
      <c r="Y649" s="6"/>
      <c r="Z649" s="6"/>
    </row>
    <row r="650" ht="12.75" customHeight="1">
      <c r="A650" s="76"/>
      <c r="B650" s="6"/>
      <c r="C650" s="77"/>
      <c r="D650" s="6"/>
      <c r="E650" s="6"/>
      <c r="F650" s="6"/>
      <c r="G650" s="6"/>
      <c r="H650" s="6"/>
      <c r="I650" s="6"/>
      <c r="J650" s="6"/>
      <c r="K650" s="6"/>
      <c r="L650" s="6"/>
      <c r="M650" s="6"/>
      <c r="N650" s="6"/>
      <c r="O650" s="6"/>
      <c r="P650" s="6"/>
      <c r="Q650" s="6"/>
      <c r="R650" s="6"/>
      <c r="S650" s="6"/>
      <c r="T650" s="6"/>
      <c r="U650" s="6"/>
      <c r="V650" s="6"/>
      <c r="W650" s="6"/>
      <c r="X650" s="6"/>
      <c r="Y650" s="6"/>
      <c r="Z650" s="6"/>
    </row>
    <row r="651" ht="12.75" customHeight="1">
      <c r="A651" s="76"/>
      <c r="B651" s="6"/>
      <c r="C651" s="77"/>
      <c r="D651" s="6"/>
      <c r="E651" s="6"/>
      <c r="F651" s="6"/>
      <c r="G651" s="6"/>
      <c r="H651" s="6"/>
      <c r="I651" s="6"/>
      <c r="J651" s="6"/>
      <c r="K651" s="6"/>
      <c r="L651" s="6"/>
      <c r="M651" s="6"/>
      <c r="N651" s="6"/>
      <c r="O651" s="6"/>
      <c r="P651" s="6"/>
      <c r="Q651" s="6"/>
      <c r="R651" s="6"/>
      <c r="S651" s="6"/>
      <c r="T651" s="6"/>
      <c r="U651" s="6"/>
      <c r="V651" s="6"/>
      <c r="W651" s="6"/>
      <c r="X651" s="6"/>
      <c r="Y651" s="6"/>
      <c r="Z651" s="6"/>
    </row>
    <row r="652" ht="12.75" customHeight="1">
      <c r="A652" s="76"/>
      <c r="B652" s="6"/>
      <c r="C652" s="77"/>
      <c r="D652" s="6"/>
      <c r="E652" s="6"/>
      <c r="F652" s="6"/>
      <c r="G652" s="6"/>
      <c r="H652" s="6"/>
      <c r="I652" s="6"/>
      <c r="J652" s="6"/>
      <c r="K652" s="6"/>
      <c r="L652" s="6"/>
      <c r="M652" s="6"/>
      <c r="N652" s="6"/>
      <c r="O652" s="6"/>
      <c r="P652" s="6"/>
      <c r="Q652" s="6"/>
      <c r="R652" s="6"/>
      <c r="S652" s="6"/>
      <c r="T652" s="6"/>
      <c r="U652" s="6"/>
      <c r="V652" s="6"/>
      <c r="W652" s="6"/>
      <c r="X652" s="6"/>
      <c r="Y652" s="6"/>
      <c r="Z652" s="6"/>
    </row>
    <row r="653" ht="12.75" customHeight="1">
      <c r="A653" s="76"/>
      <c r="B653" s="6"/>
      <c r="C653" s="77"/>
      <c r="D653" s="6"/>
      <c r="E653" s="6"/>
      <c r="F653" s="6"/>
      <c r="G653" s="6"/>
      <c r="H653" s="6"/>
      <c r="I653" s="6"/>
      <c r="J653" s="6"/>
      <c r="K653" s="6"/>
      <c r="L653" s="6"/>
      <c r="M653" s="6"/>
      <c r="N653" s="6"/>
      <c r="O653" s="6"/>
      <c r="P653" s="6"/>
      <c r="Q653" s="6"/>
      <c r="R653" s="6"/>
      <c r="S653" s="6"/>
      <c r="T653" s="6"/>
      <c r="U653" s="6"/>
      <c r="V653" s="6"/>
      <c r="W653" s="6"/>
      <c r="X653" s="6"/>
      <c r="Y653" s="6"/>
      <c r="Z653" s="6"/>
    </row>
    <row r="654" ht="12.75" customHeight="1">
      <c r="A654" s="76"/>
      <c r="B654" s="6"/>
      <c r="C654" s="77"/>
      <c r="D654" s="6"/>
      <c r="E654" s="6"/>
      <c r="F654" s="6"/>
      <c r="G654" s="6"/>
      <c r="H654" s="6"/>
      <c r="I654" s="6"/>
      <c r="J654" s="6"/>
      <c r="K654" s="6"/>
      <c r="L654" s="6"/>
      <c r="M654" s="6"/>
      <c r="N654" s="6"/>
      <c r="O654" s="6"/>
      <c r="P654" s="6"/>
      <c r="Q654" s="6"/>
      <c r="R654" s="6"/>
      <c r="S654" s="6"/>
      <c r="T654" s="6"/>
      <c r="U654" s="6"/>
      <c r="V654" s="6"/>
      <c r="W654" s="6"/>
      <c r="X654" s="6"/>
      <c r="Y654" s="6"/>
      <c r="Z654" s="6"/>
    </row>
    <row r="655" ht="12.75" customHeight="1">
      <c r="A655" s="76"/>
      <c r="B655" s="6"/>
      <c r="C655" s="77"/>
      <c r="D655" s="6"/>
      <c r="E655" s="6"/>
      <c r="F655" s="6"/>
      <c r="G655" s="6"/>
      <c r="H655" s="6"/>
      <c r="I655" s="6"/>
      <c r="J655" s="6"/>
      <c r="K655" s="6"/>
      <c r="L655" s="6"/>
      <c r="M655" s="6"/>
      <c r="N655" s="6"/>
      <c r="O655" s="6"/>
      <c r="P655" s="6"/>
      <c r="Q655" s="6"/>
      <c r="R655" s="6"/>
      <c r="S655" s="6"/>
      <c r="T655" s="6"/>
      <c r="U655" s="6"/>
      <c r="V655" s="6"/>
      <c r="W655" s="6"/>
      <c r="X655" s="6"/>
      <c r="Y655" s="6"/>
      <c r="Z655" s="6"/>
    </row>
    <row r="656" ht="12.75" customHeight="1">
      <c r="A656" s="76"/>
      <c r="B656" s="6"/>
      <c r="C656" s="77"/>
      <c r="D656" s="6"/>
      <c r="E656" s="6"/>
      <c r="F656" s="6"/>
      <c r="G656" s="6"/>
      <c r="H656" s="6"/>
      <c r="I656" s="6"/>
      <c r="J656" s="6"/>
      <c r="K656" s="6"/>
      <c r="L656" s="6"/>
      <c r="M656" s="6"/>
      <c r="N656" s="6"/>
      <c r="O656" s="6"/>
      <c r="P656" s="6"/>
      <c r="Q656" s="6"/>
      <c r="R656" s="6"/>
      <c r="S656" s="6"/>
      <c r="T656" s="6"/>
      <c r="U656" s="6"/>
      <c r="V656" s="6"/>
      <c r="W656" s="6"/>
      <c r="X656" s="6"/>
      <c r="Y656" s="6"/>
      <c r="Z656" s="6"/>
    </row>
    <row r="657" ht="12.75" customHeight="1">
      <c r="A657" s="76"/>
      <c r="B657" s="6"/>
      <c r="C657" s="77"/>
      <c r="D657" s="6"/>
      <c r="E657" s="6"/>
      <c r="F657" s="6"/>
      <c r="G657" s="6"/>
      <c r="H657" s="6"/>
      <c r="I657" s="6"/>
      <c r="J657" s="6"/>
      <c r="K657" s="6"/>
      <c r="L657" s="6"/>
      <c r="M657" s="6"/>
      <c r="N657" s="6"/>
      <c r="O657" s="6"/>
      <c r="P657" s="6"/>
      <c r="Q657" s="6"/>
      <c r="R657" s="6"/>
      <c r="S657" s="6"/>
      <c r="T657" s="6"/>
      <c r="U657" s="6"/>
      <c r="V657" s="6"/>
      <c r="W657" s="6"/>
      <c r="X657" s="6"/>
      <c r="Y657" s="6"/>
      <c r="Z657" s="6"/>
    </row>
    <row r="658" ht="12.75" customHeight="1">
      <c r="A658" s="76"/>
      <c r="B658" s="6"/>
      <c r="C658" s="77"/>
      <c r="D658" s="6"/>
      <c r="E658" s="6"/>
      <c r="F658" s="6"/>
      <c r="G658" s="6"/>
      <c r="H658" s="6"/>
      <c r="I658" s="6"/>
      <c r="J658" s="6"/>
      <c r="K658" s="6"/>
      <c r="L658" s="6"/>
      <c r="M658" s="6"/>
      <c r="N658" s="6"/>
      <c r="O658" s="6"/>
      <c r="P658" s="6"/>
      <c r="Q658" s="6"/>
      <c r="R658" s="6"/>
      <c r="S658" s="6"/>
      <c r="T658" s="6"/>
      <c r="U658" s="6"/>
      <c r="V658" s="6"/>
      <c r="W658" s="6"/>
      <c r="X658" s="6"/>
      <c r="Y658" s="6"/>
      <c r="Z658" s="6"/>
    </row>
    <row r="659" ht="12.75" customHeight="1">
      <c r="A659" s="76"/>
      <c r="B659" s="6"/>
      <c r="C659" s="77"/>
      <c r="D659" s="6"/>
      <c r="E659" s="6"/>
      <c r="F659" s="6"/>
      <c r="G659" s="6"/>
      <c r="H659" s="6"/>
      <c r="I659" s="6"/>
      <c r="J659" s="6"/>
      <c r="K659" s="6"/>
      <c r="L659" s="6"/>
      <c r="M659" s="6"/>
      <c r="N659" s="6"/>
      <c r="O659" s="6"/>
      <c r="P659" s="6"/>
      <c r="Q659" s="6"/>
      <c r="R659" s="6"/>
      <c r="S659" s="6"/>
      <c r="T659" s="6"/>
      <c r="U659" s="6"/>
      <c r="V659" s="6"/>
      <c r="W659" s="6"/>
      <c r="X659" s="6"/>
      <c r="Y659" s="6"/>
      <c r="Z659" s="6"/>
    </row>
    <row r="660" ht="12.75" customHeight="1">
      <c r="A660" s="76"/>
      <c r="B660" s="6"/>
      <c r="C660" s="77"/>
      <c r="D660" s="6"/>
      <c r="E660" s="6"/>
      <c r="F660" s="6"/>
      <c r="G660" s="6"/>
      <c r="H660" s="6"/>
      <c r="I660" s="6"/>
      <c r="J660" s="6"/>
      <c r="K660" s="6"/>
      <c r="L660" s="6"/>
      <c r="M660" s="6"/>
      <c r="N660" s="6"/>
      <c r="O660" s="6"/>
      <c r="P660" s="6"/>
      <c r="Q660" s="6"/>
      <c r="R660" s="6"/>
      <c r="S660" s="6"/>
      <c r="T660" s="6"/>
      <c r="U660" s="6"/>
      <c r="V660" s="6"/>
      <c r="W660" s="6"/>
      <c r="X660" s="6"/>
      <c r="Y660" s="6"/>
      <c r="Z660" s="6"/>
    </row>
    <row r="661" ht="12.75" customHeight="1">
      <c r="A661" s="76"/>
      <c r="B661" s="6"/>
      <c r="C661" s="77"/>
      <c r="D661" s="6"/>
      <c r="E661" s="6"/>
      <c r="F661" s="6"/>
      <c r="G661" s="6"/>
      <c r="H661" s="6"/>
      <c r="I661" s="6"/>
      <c r="J661" s="6"/>
      <c r="K661" s="6"/>
      <c r="L661" s="6"/>
      <c r="M661" s="6"/>
      <c r="N661" s="6"/>
      <c r="O661" s="6"/>
      <c r="P661" s="6"/>
      <c r="Q661" s="6"/>
      <c r="R661" s="6"/>
      <c r="S661" s="6"/>
      <c r="T661" s="6"/>
      <c r="U661" s="6"/>
      <c r="V661" s="6"/>
      <c r="W661" s="6"/>
      <c r="X661" s="6"/>
      <c r="Y661" s="6"/>
      <c r="Z661" s="6"/>
    </row>
    <row r="662" ht="12.75" customHeight="1">
      <c r="A662" s="76"/>
      <c r="B662" s="6"/>
      <c r="C662" s="77"/>
      <c r="D662" s="6"/>
      <c r="E662" s="6"/>
      <c r="F662" s="6"/>
      <c r="G662" s="6"/>
      <c r="H662" s="6"/>
      <c r="I662" s="6"/>
      <c r="J662" s="6"/>
      <c r="K662" s="6"/>
      <c r="L662" s="6"/>
      <c r="M662" s="6"/>
      <c r="N662" s="6"/>
      <c r="O662" s="6"/>
      <c r="P662" s="6"/>
      <c r="Q662" s="6"/>
      <c r="R662" s="6"/>
      <c r="S662" s="6"/>
      <c r="T662" s="6"/>
      <c r="U662" s="6"/>
      <c r="V662" s="6"/>
      <c r="W662" s="6"/>
      <c r="X662" s="6"/>
      <c r="Y662" s="6"/>
      <c r="Z662" s="6"/>
    </row>
    <row r="663" ht="12.75" customHeight="1">
      <c r="A663" s="76"/>
      <c r="B663" s="6"/>
      <c r="C663" s="77"/>
      <c r="D663" s="6"/>
      <c r="E663" s="6"/>
      <c r="F663" s="6"/>
      <c r="G663" s="6"/>
      <c r="H663" s="6"/>
      <c r="I663" s="6"/>
      <c r="J663" s="6"/>
      <c r="K663" s="6"/>
      <c r="L663" s="6"/>
      <c r="M663" s="6"/>
      <c r="N663" s="6"/>
      <c r="O663" s="6"/>
      <c r="P663" s="6"/>
      <c r="Q663" s="6"/>
      <c r="R663" s="6"/>
      <c r="S663" s="6"/>
      <c r="T663" s="6"/>
      <c r="U663" s="6"/>
      <c r="V663" s="6"/>
      <c r="W663" s="6"/>
      <c r="X663" s="6"/>
      <c r="Y663" s="6"/>
      <c r="Z663" s="6"/>
    </row>
    <row r="664" ht="12.75" customHeight="1">
      <c r="A664" s="76"/>
      <c r="B664" s="6"/>
      <c r="C664" s="77"/>
      <c r="D664" s="6"/>
      <c r="E664" s="6"/>
      <c r="F664" s="6"/>
      <c r="G664" s="6"/>
      <c r="H664" s="6"/>
      <c r="I664" s="6"/>
      <c r="J664" s="6"/>
      <c r="K664" s="6"/>
      <c r="L664" s="6"/>
      <c r="M664" s="6"/>
      <c r="N664" s="6"/>
      <c r="O664" s="6"/>
      <c r="P664" s="6"/>
      <c r="Q664" s="6"/>
      <c r="R664" s="6"/>
      <c r="S664" s="6"/>
      <c r="T664" s="6"/>
      <c r="U664" s="6"/>
      <c r="V664" s="6"/>
      <c r="W664" s="6"/>
      <c r="X664" s="6"/>
      <c r="Y664" s="6"/>
      <c r="Z664" s="6"/>
    </row>
    <row r="665" ht="12.75" customHeight="1">
      <c r="A665" s="76"/>
      <c r="B665" s="6"/>
      <c r="C665" s="77"/>
      <c r="D665" s="6"/>
      <c r="E665" s="6"/>
      <c r="F665" s="6"/>
      <c r="G665" s="6"/>
      <c r="H665" s="6"/>
      <c r="I665" s="6"/>
      <c r="J665" s="6"/>
      <c r="K665" s="6"/>
      <c r="L665" s="6"/>
      <c r="M665" s="6"/>
      <c r="N665" s="6"/>
      <c r="O665" s="6"/>
      <c r="P665" s="6"/>
      <c r="Q665" s="6"/>
      <c r="R665" s="6"/>
      <c r="S665" s="6"/>
      <c r="T665" s="6"/>
      <c r="U665" s="6"/>
      <c r="V665" s="6"/>
      <c r="W665" s="6"/>
      <c r="X665" s="6"/>
      <c r="Y665" s="6"/>
      <c r="Z665" s="6"/>
    </row>
    <row r="666" ht="12.75" customHeight="1">
      <c r="A666" s="76"/>
      <c r="B666" s="6"/>
      <c r="C666" s="77"/>
      <c r="D666" s="6"/>
      <c r="E666" s="6"/>
      <c r="F666" s="6"/>
      <c r="G666" s="6"/>
      <c r="H666" s="6"/>
      <c r="I666" s="6"/>
      <c r="J666" s="6"/>
      <c r="K666" s="6"/>
      <c r="L666" s="6"/>
      <c r="M666" s="6"/>
      <c r="N666" s="6"/>
      <c r="O666" s="6"/>
      <c r="P666" s="6"/>
      <c r="Q666" s="6"/>
      <c r="R666" s="6"/>
      <c r="S666" s="6"/>
      <c r="T666" s="6"/>
      <c r="U666" s="6"/>
      <c r="V666" s="6"/>
      <c r="W666" s="6"/>
      <c r="X666" s="6"/>
      <c r="Y666" s="6"/>
      <c r="Z666" s="6"/>
    </row>
    <row r="667" ht="12.75" customHeight="1">
      <c r="A667" s="76"/>
      <c r="B667" s="6"/>
      <c r="C667" s="77"/>
      <c r="D667" s="6"/>
      <c r="E667" s="6"/>
      <c r="F667" s="6"/>
      <c r="G667" s="6"/>
      <c r="H667" s="6"/>
      <c r="I667" s="6"/>
      <c r="J667" s="6"/>
      <c r="K667" s="6"/>
      <c r="L667" s="6"/>
      <c r="M667" s="6"/>
      <c r="N667" s="6"/>
      <c r="O667" s="6"/>
      <c r="P667" s="6"/>
      <c r="Q667" s="6"/>
      <c r="R667" s="6"/>
      <c r="S667" s="6"/>
      <c r="T667" s="6"/>
      <c r="U667" s="6"/>
      <c r="V667" s="6"/>
      <c r="W667" s="6"/>
      <c r="X667" s="6"/>
      <c r="Y667" s="6"/>
      <c r="Z667" s="6"/>
    </row>
    <row r="668" ht="12.75" customHeight="1">
      <c r="A668" s="76"/>
      <c r="B668" s="6"/>
      <c r="C668" s="77"/>
      <c r="D668" s="6"/>
      <c r="E668" s="6"/>
      <c r="F668" s="6"/>
      <c r="G668" s="6"/>
      <c r="H668" s="6"/>
      <c r="I668" s="6"/>
      <c r="J668" s="6"/>
      <c r="K668" s="6"/>
      <c r="L668" s="6"/>
      <c r="M668" s="6"/>
      <c r="N668" s="6"/>
      <c r="O668" s="6"/>
      <c r="P668" s="6"/>
      <c r="Q668" s="6"/>
      <c r="R668" s="6"/>
      <c r="S668" s="6"/>
      <c r="T668" s="6"/>
      <c r="U668" s="6"/>
      <c r="V668" s="6"/>
      <c r="W668" s="6"/>
      <c r="X668" s="6"/>
      <c r="Y668" s="6"/>
      <c r="Z668" s="6"/>
    </row>
    <row r="669" ht="12.75" customHeight="1">
      <c r="A669" s="76"/>
      <c r="B669" s="6"/>
      <c r="C669" s="77"/>
      <c r="D669" s="6"/>
      <c r="E669" s="6"/>
      <c r="F669" s="6"/>
      <c r="G669" s="6"/>
      <c r="H669" s="6"/>
      <c r="I669" s="6"/>
      <c r="J669" s="6"/>
      <c r="K669" s="6"/>
      <c r="L669" s="6"/>
      <c r="M669" s="6"/>
      <c r="N669" s="6"/>
      <c r="O669" s="6"/>
      <c r="P669" s="6"/>
      <c r="Q669" s="6"/>
      <c r="R669" s="6"/>
      <c r="S669" s="6"/>
      <c r="T669" s="6"/>
      <c r="U669" s="6"/>
      <c r="V669" s="6"/>
      <c r="W669" s="6"/>
      <c r="X669" s="6"/>
      <c r="Y669" s="6"/>
      <c r="Z669" s="6"/>
    </row>
    <row r="670" ht="12.75" customHeight="1">
      <c r="A670" s="76"/>
      <c r="B670" s="6"/>
      <c r="C670" s="77"/>
      <c r="D670" s="6"/>
      <c r="E670" s="6"/>
      <c r="F670" s="6"/>
      <c r="G670" s="6"/>
      <c r="H670" s="6"/>
      <c r="I670" s="6"/>
      <c r="J670" s="6"/>
      <c r="K670" s="6"/>
      <c r="L670" s="6"/>
      <c r="M670" s="6"/>
      <c r="N670" s="6"/>
      <c r="O670" s="6"/>
      <c r="P670" s="6"/>
      <c r="Q670" s="6"/>
      <c r="R670" s="6"/>
      <c r="S670" s="6"/>
      <c r="T670" s="6"/>
      <c r="U670" s="6"/>
      <c r="V670" s="6"/>
      <c r="W670" s="6"/>
      <c r="X670" s="6"/>
      <c r="Y670" s="6"/>
      <c r="Z670" s="6"/>
    </row>
    <row r="671" ht="12.75" customHeight="1">
      <c r="A671" s="76"/>
      <c r="B671" s="6"/>
      <c r="C671" s="77"/>
      <c r="D671" s="6"/>
      <c r="E671" s="6"/>
      <c r="F671" s="6"/>
      <c r="G671" s="6"/>
      <c r="H671" s="6"/>
      <c r="I671" s="6"/>
      <c r="J671" s="6"/>
      <c r="K671" s="6"/>
      <c r="L671" s="6"/>
      <c r="M671" s="6"/>
      <c r="N671" s="6"/>
      <c r="O671" s="6"/>
      <c r="P671" s="6"/>
      <c r="Q671" s="6"/>
      <c r="R671" s="6"/>
      <c r="S671" s="6"/>
      <c r="T671" s="6"/>
      <c r="U671" s="6"/>
      <c r="V671" s="6"/>
      <c r="W671" s="6"/>
      <c r="X671" s="6"/>
      <c r="Y671" s="6"/>
      <c r="Z671" s="6"/>
    </row>
    <row r="672" ht="12.75" customHeight="1">
      <c r="A672" s="76"/>
      <c r="B672" s="6"/>
      <c r="C672" s="77"/>
      <c r="D672" s="6"/>
      <c r="E672" s="6"/>
      <c r="F672" s="6"/>
      <c r="G672" s="6"/>
      <c r="H672" s="6"/>
      <c r="I672" s="6"/>
      <c r="J672" s="6"/>
      <c r="K672" s="6"/>
      <c r="L672" s="6"/>
      <c r="M672" s="6"/>
      <c r="N672" s="6"/>
      <c r="O672" s="6"/>
      <c r="P672" s="6"/>
      <c r="Q672" s="6"/>
      <c r="R672" s="6"/>
      <c r="S672" s="6"/>
      <c r="T672" s="6"/>
      <c r="U672" s="6"/>
      <c r="V672" s="6"/>
      <c r="W672" s="6"/>
      <c r="X672" s="6"/>
      <c r="Y672" s="6"/>
      <c r="Z672" s="6"/>
    </row>
    <row r="673" ht="12.75" customHeight="1">
      <c r="A673" s="76"/>
      <c r="B673" s="6"/>
      <c r="C673" s="77"/>
      <c r="D673" s="6"/>
      <c r="E673" s="6"/>
      <c r="F673" s="6"/>
      <c r="G673" s="6"/>
      <c r="H673" s="6"/>
      <c r="I673" s="6"/>
      <c r="J673" s="6"/>
      <c r="K673" s="6"/>
      <c r="L673" s="6"/>
      <c r="M673" s="6"/>
      <c r="N673" s="6"/>
      <c r="O673" s="6"/>
      <c r="P673" s="6"/>
      <c r="Q673" s="6"/>
      <c r="R673" s="6"/>
      <c r="S673" s="6"/>
      <c r="T673" s="6"/>
      <c r="U673" s="6"/>
      <c r="V673" s="6"/>
      <c r="W673" s="6"/>
      <c r="X673" s="6"/>
      <c r="Y673" s="6"/>
      <c r="Z673" s="6"/>
    </row>
    <row r="674" ht="12.75" customHeight="1">
      <c r="A674" s="76"/>
      <c r="B674" s="6"/>
      <c r="C674" s="77"/>
      <c r="D674" s="6"/>
      <c r="E674" s="6"/>
      <c r="F674" s="6"/>
      <c r="G674" s="6"/>
      <c r="H674" s="6"/>
      <c r="I674" s="6"/>
      <c r="J674" s="6"/>
      <c r="K674" s="6"/>
      <c r="L674" s="6"/>
      <c r="M674" s="6"/>
      <c r="N674" s="6"/>
      <c r="O674" s="6"/>
      <c r="P674" s="6"/>
      <c r="Q674" s="6"/>
      <c r="R674" s="6"/>
      <c r="S674" s="6"/>
      <c r="T674" s="6"/>
      <c r="U674" s="6"/>
      <c r="V674" s="6"/>
      <c r="W674" s="6"/>
      <c r="X674" s="6"/>
      <c r="Y674" s="6"/>
      <c r="Z674" s="6"/>
    </row>
    <row r="675" ht="12.75" customHeight="1">
      <c r="A675" s="76"/>
      <c r="B675" s="6"/>
      <c r="C675" s="77"/>
      <c r="D675" s="6"/>
      <c r="E675" s="6"/>
      <c r="F675" s="6"/>
      <c r="G675" s="6"/>
      <c r="H675" s="6"/>
      <c r="I675" s="6"/>
      <c r="J675" s="6"/>
      <c r="K675" s="6"/>
      <c r="L675" s="6"/>
      <c r="M675" s="6"/>
      <c r="N675" s="6"/>
      <c r="O675" s="6"/>
      <c r="P675" s="6"/>
      <c r="Q675" s="6"/>
      <c r="R675" s="6"/>
      <c r="S675" s="6"/>
      <c r="T675" s="6"/>
      <c r="U675" s="6"/>
      <c r="V675" s="6"/>
      <c r="W675" s="6"/>
      <c r="X675" s="6"/>
      <c r="Y675" s="6"/>
      <c r="Z675" s="6"/>
    </row>
    <row r="676" ht="12.75" customHeight="1">
      <c r="A676" s="76"/>
      <c r="B676" s="6"/>
      <c r="C676" s="77"/>
      <c r="D676" s="6"/>
      <c r="E676" s="6"/>
      <c r="F676" s="6"/>
      <c r="G676" s="6"/>
      <c r="H676" s="6"/>
      <c r="I676" s="6"/>
      <c r="J676" s="6"/>
      <c r="K676" s="6"/>
      <c r="L676" s="6"/>
      <c r="M676" s="6"/>
      <c r="N676" s="6"/>
      <c r="O676" s="6"/>
      <c r="P676" s="6"/>
      <c r="Q676" s="6"/>
      <c r="R676" s="6"/>
      <c r="S676" s="6"/>
      <c r="T676" s="6"/>
      <c r="U676" s="6"/>
      <c r="V676" s="6"/>
      <c r="W676" s="6"/>
      <c r="X676" s="6"/>
      <c r="Y676" s="6"/>
      <c r="Z676" s="6"/>
    </row>
    <row r="677" ht="12.75" customHeight="1">
      <c r="A677" s="76"/>
      <c r="B677" s="6"/>
      <c r="C677" s="77"/>
      <c r="D677" s="6"/>
      <c r="E677" s="6"/>
      <c r="F677" s="6"/>
      <c r="G677" s="6"/>
      <c r="H677" s="6"/>
      <c r="I677" s="6"/>
      <c r="J677" s="6"/>
      <c r="K677" s="6"/>
      <c r="L677" s="6"/>
      <c r="M677" s="6"/>
      <c r="N677" s="6"/>
      <c r="O677" s="6"/>
      <c r="P677" s="6"/>
      <c r="Q677" s="6"/>
      <c r="R677" s="6"/>
      <c r="S677" s="6"/>
      <c r="T677" s="6"/>
      <c r="U677" s="6"/>
      <c r="V677" s="6"/>
      <c r="W677" s="6"/>
      <c r="X677" s="6"/>
      <c r="Y677" s="6"/>
      <c r="Z677" s="6"/>
    </row>
    <row r="678" ht="12.75" customHeight="1">
      <c r="A678" s="76"/>
      <c r="B678" s="6"/>
      <c r="C678" s="77"/>
      <c r="D678" s="6"/>
      <c r="E678" s="6"/>
      <c r="F678" s="6"/>
      <c r="G678" s="6"/>
      <c r="H678" s="6"/>
      <c r="I678" s="6"/>
      <c r="J678" s="6"/>
      <c r="K678" s="6"/>
      <c r="L678" s="6"/>
      <c r="M678" s="6"/>
      <c r="N678" s="6"/>
      <c r="O678" s="6"/>
      <c r="P678" s="6"/>
      <c r="Q678" s="6"/>
      <c r="R678" s="6"/>
      <c r="S678" s="6"/>
      <c r="T678" s="6"/>
      <c r="U678" s="6"/>
      <c r="V678" s="6"/>
      <c r="W678" s="6"/>
      <c r="X678" s="6"/>
      <c r="Y678" s="6"/>
      <c r="Z678" s="6"/>
    </row>
    <row r="679" ht="12.75" customHeight="1">
      <c r="A679" s="76"/>
      <c r="B679" s="6"/>
      <c r="C679" s="77"/>
      <c r="D679" s="6"/>
      <c r="E679" s="6"/>
      <c r="F679" s="6"/>
      <c r="G679" s="6"/>
      <c r="H679" s="6"/>
      <c r="I679" s="6"/>
      <c r="J679" s="6"/>
      <c r="K679" s="6"/>
      <c r="L679" s="6"/>
      <c r="M679" s="6"/>
      <c r="N679" s="6"/>
      <c r="O679" s="6"/>
      <c r="P679" s="6"/>
      <c r="Q679" s="6"/>
      <c r="R679" s="6"/>
      <c r="S679" s="6"/>
      <c r="T679" s="6"/>
      <c r="U679" s="6"/>
      <c r="V679" s="6"/>
      <c r="W679" s="6"/>
      <c r="X679" s="6"/>
      <c r="Y679" s="6"/>
      <c r="Z679" s="6"/>
    </row>
    <row r="680" ht="12.75" customHeight="1">
      <c r="A680" s="76"/>
      <c r="B680" s="6"/>
      <c r="C680" s="77"/>
      <c r="D680" s="6"/>
      <c r="E680" s="6"/>
      <c r="F680" s="6"/>
      <c r="G680" s="6"/>
      <c r="H680" s="6"/>
      <c r="I680" s="6"/>
      <c r="J680" s="6"/>
      <c r="K680" s="6"/>
      <c r="L680" s="6"/>
      <c r="M680" s="6"/>
      <c r="N680" s="6"/>
      <c r="O680" s="6"/>
      <c r="P680" s="6"/>
      <c r="Q680" s="6"/>
      <c r="R680" s="6"/>
      <c r="S680" s="6"/>
      <c r="T680" s="6"/>
      <c r="U680" s="6"/>
      <c r="V680" s="6"/>
      <c r="W680" s="6"/>
      <c r="X680" s="6"/>
      <c r="Y680" s="6"/>
      <c r="Z680" s="6"/>
    </row>
    <row r="681" ht="12.75" customHeight="1">
      <c r="A681" s="76"/>
      <c r="B681" s="6"/>
      <c r="C681" s="77"/>
      <c r="D681" s="6"/>
      <c r="E681" s="6"/>
      <c r="F681" s="6"/>
      <c r="G681" s="6"/>
      <c r="H681" s="6"/>
      <c r="I681" s="6"/>
      <c r="J681" s="6"/>
      <c r="K681" s="6"/>
      <c r="L681" s="6"/>
      <c r="M681" s="6"/>
      <c r="N681" s="6"/>
      <c r="O681" s="6"/>
      <c r="P681" s="6"/>
      <c r="Q681" s="6"/>
      <c r="R681" s="6"/>
      <c r="S681" s="6"/>
      <c r="T681" s="6"/>
      <c r="U681" s="6"/>
      <c r="V681" s="6"/>
      <c r="W681" s="6"/>
      <c r="X681" s="6"/>
      <c r="Y681" s="6"/>
      <c r="Z681" s="6"/>
    </row>
    <row r="682" ht="12.75" customHeight="1">
      <c r="A682" s="76"/>
      <c r="B682" s="6"/>
      <c r="C682" s="77"/>
      <c r="D682" s="6"/>
      <c r="E682" s="6"/>
      <c r="F682" s="6"/>
      <c r="G682" s="6"/>
      <c r="H682" s="6"/>
      <c r="I682" s="6"/>
      <c r="J682" s="6"/>
      <c r="K682" s="6"/>
      <c r="L682" s="6"/>
      <c r="M682" s="6"/>
      <c r="N682" s="6"/>
      <c r="O682" s="6"/>
      <c r="P682" s="6"/>
      <c r="Q682" s="6"/>
      <c r="R682" s="6"/>
      <c r="S682" s="6"/>
      <c r="T682" s="6"/>
      <c r="U682" s="6"/>
      <c r="V682" s="6"/>
      <c r="W682" s="6"/>
      <c r="X682" s="6"/>
      <c r="Y682" s="6"/>
      <c r="Z682" s="6"/>
    </row>
    <row r="683" ht="12.75" customHeight="1">
      <c r="A683" s="76"/>
      <c r="B683" s="6"/>
      <c r="C683" s="77"/>
      <c r="D683" s="6"/>
      <c r="E683" s="6"/>
      <c r="F683" s="6"/>
      <c r="G683" s="6"/>
      <c r="H683" s="6"/>
      <c r="I683" s="6"/>
      <c r="J683" s="6"/>
      <c r="K683" s="6"/>
      <c r="L683" s="6"/>
      <c r="M683" s="6"/>
      <c r="N683" s="6"/>
      <c r="O683" s="6"/>
      <c r="P683" s="6"/>
      <c r="Q683" s="6"/>
      <c r="R683" s="6"/>
      <c r="S683" s="6"/>
      <c r="T683" s="6"/>
      <c r="U683" s="6"/>
      <c r="V683" s="6"/>
      <c r="W683" s="6"/>
      <c r="X683" s="6"/>
      <c r="Y683" s="6"/>
      <c r="Z683" s="6"/>
    </row>
    <row r="684" ht="12.75" customHeight="1">
      <c r="A684" s="76"/>
      <c r="B684" s="6"/>
      <c r="C684" s="77"/>
      <c r="D684" s="6"/>
      <c r="E684" s="6"/>
      <c r="F684" s="6"/>
      <c r="G684" s="6"/>
      <c r="H684" s="6"/>
      <c r="I684" s="6"/>
      <c r="J684" s="6"/>
      <c r="K684" s="6"/>
      <c r="L684" s="6"/>
      <c r="M684" s="6"/>
      <c r="N684" s="6"/>
      <c r="O684" s="6"/>
      <c r="P684" s="6"/>
      <c r="Q684" s="6"/>
      <c r="R684" s="6"/>
      <c r="S684" s="6"/>
      <c r="T684" s="6"/>
      <c r="U684" s="6"/>
      <c r="V684" s="6"/>
      <c r="W684" s="6"/>
      <c r="X684" s="6"/>
      <c r="Y684" s="6"/>
      <c r="Z684" s="6"/>
    </row>
    <row r="685" ht="12.75" customHeight="1">
      <c r="A685" s="76"/>
      <c r="B685" s="6"/>
      <c r="C685" s="77"/>
      <c r="D685" s="6"/>
      <c r="E685" s="6"/>
      <c r="F685" s="6"/>
      <c r="G685" s="6"/>
      <c r="H685" s="6"/>
      <c r="I685" s="6"/>
      <c r="J685" s="6"/>
      <c r="K685" s="6"/>
      <c r="L685" s="6"/>
      <c r="M685" s="6"/>
      <c r="N685" s="6"/>
      <c r="O685" s="6"/>
      <c r="P685" s="6"/>
      <c r="Q685" s="6"/>
      <c r="R685" s="6"/>
      <c r="S685" s="6"/>
      <c r="T685" s="6"/>
      <c r="U685" s="6"/>
      <c r="V685" s="6"/>
      <c r="W685" s="6"/>
      <c r="X685" s="6"/>
      <c r="Y685" s="6"/>
      <c r="Z685" s="6"/>
    </row>
    <row r="686" ht="12.75" customHeight="1">
      <c r="A686" s="76"/>
      <c r="B686" s="6"/>
      <c r="C686" s="77"/>
      <c r="D686" s="6"/>
      <c r="E686" s="6"/>
      <c r="F686" s="6"/>
      <c r="G686" s="6"/>
      <c r="H686" s="6"/>
      <c r="I686" s="6"/>
      <c r="J686" s="6"/>
      <c r="K686" s="6"/>
      <c r="L686" s="6"/>
      <c r="M686" s="6"/>
      <c r="N686" s="6"/>
      <c r="O686" s="6"/>
      <c r="P686" s="6"/>
      <c r="Q686" s="6"/>
      <c r="R686" s="6"/>
      <c r="S686" s="6"/>
      <c r="T686" s="6"/>
      <c r="U686" s="6"/>
      <c r="V686" s="6"/>
      <c r="W686" s="6"/>
      <c r="X686" s="6"/>
      <c r="Y686" s="6"/>
      <c r="Z686" s="6"/>
    </row>
    <row r="687" ht="12.75" customHeight="1">
      <c r="A687" s="76"/>
      <c r="B687" s="6"/>
      <c r="C687" s="77"/>
      <c r="D687" s="6"/>
      <c r="E687" s="6"/>
      <c r="F687" s="6"/>
      <c r="G687" s="6"/>
      <c r="H687" s="6"/>
      <c r="I687" s="6"/>
      <c r="J687" s="6"/>
      <c r="K687" s="6"/>
      <c r="L687" s="6"/>
      <c r="M687" s="6"/>
      <c r="N687" s="6"/>
      <c r="O687" s="6"/>
      <c r="P687" s="6"/>
      <c r="Q687" s="6"/>
      <c r="R687" s="6"/>
      <c r="S687" s="6"/>
      <c r="T687" s="6"/>
      <c r="U687" s="6"/>
      <c r="V687" s="6"/>
      <c r="W687" s="6"/>
      <c r="X687" s="6"/>
      <c r="Y687" s="6"/>
      <c r="Z687" s="6"/>
    </row>
    <row r="688" ht="12.75" customHeight="1">
      <c r="A688" s="76"/>
      <c r="B688" s="6"/>
      <c r="C688" s="77"/>
      <c r="D688" s="6"/>
      <c r="E688" s="6"/>
      <c r="F688" s="6"/>
      <c r="G688" s="6"/>
      <c r="H688" s="6"/>
      <c r="I688" s="6"/>
      <c r="J688" s="6"/>
      <c r="K688" s="6"/>
      <c r="L688" s="6"/>
      <c r="M688" s="6"/>
      <c r="N688" s="6"/>
      <c r="O688" s="6"/>
      <c r="P688" s="6"/>
      <c r="Q688" s="6"/>
      <c r="R688" s="6"/>
      <c r="S688" s="6"/>
      <c r="T688" s="6"/>
      <c r="U688" s="6"/>
      <c r="V688" s="6"/>
      <c r="W688" s="6"/>
      <c r="X688" s="6"/>
      <c r="Y688" s="6"/>
      <c r="Z688" s="6"/>
    </row>
    <row r="689" ht="12.75" customHeight="1">
      <c r="A689" s="76"/>
      <c r="B689" s="6"/>
      <c r="C689" s="77"/>
      <c r="D689" s="6"/>
      <c r="E689" s="6"/>
      <c r="F689" s="6"/>
      <c r="G689" s="6"/>
      <c r="H689" s="6"/>
      <c r="I689" s="6"/>
      <c r="J689" s="6"/>
      <c r="K689" s="6"/>
      <c r="L689" s="6"/>
      <c r="M689" s="6"/>
      <c r="N689" s="6"/>
      <c r="O689" s="6"/>
      <c r="P689" s="6"/>
      <c r="Q689" s="6"/>
      <c r="R689" s="6"/>
      <c r="S689" s="6"/>
      <c r="T689" s="6"/>
      <c r="U689" s="6"/>
      <c r="V689" s="6"/>
      <c r="W689" s="6"/>
      <c r="X689" s="6"/>
      <c r="Y689" s="6"/>
      <c r="Z689" s="6"/>
    </row>
    <row r="690" ht="12.75" customHeight="1">
      <c r="A690" s="76"/>
      <c r="B690" s="6"/>
      <c r="C690" s="77"/>
      <c r="D690" s="6"/>
      <c r="E690" s="6"/>
      <c r="F690" s="6"/>
      <c r="G690" s="6"/>
      <c r="H690" s="6"/>
      <c r="I690" s="6"/>
      <c r="J690" s="6"/>
      <c r="K690" s="6"/>
      <c r="L690" s="6"/>
      <c r="M690" s="6"/>
      <c r="N690" s="6"/>
      <c r="O690" s="6"/>
      <c r="P690" s="6"/>
      <c r="Q690" s="6"/>
      <c r="R690" s="6"/>
      <c r="S690" s="6"/>
      <c r="T690" s="6"/>
      <c r="U690" s="6"/>
      <c r="V690" s="6"/>
      <c r="W690" s="6"/>
      <c r="X690" s="6"/>
      <c r="Y690" s="6"/>
      <c r="Z690" s="6"/>
    </row>
    <row r="691" ht="12.75" customHeight="1">
      <c r="A691" s="76"/>
      <c r="B691" s="6"/>
      <c r="C691" s="77"/>
      <c r="D691" s="6"/>
      <c r="E691" s="6"/>
      <c r="F691" s="6"/>
      <c r="G691" s="6"/>
      <c r="H691" s="6"/>
      <c r="I691" s="6"/>
      <c r="J691" s="6"/>
      <c r="K691" s="6"/>
      <c r="L691" s="6"/>
      <c r="M691" s="6"/>
      <c r="N691" s="6"/>
      <c r="O691" s="6"/>
      <c r="P691" s="6"/>
      <c r="Q691" s="6"/>
      <c r="R691" s="6"/>
      <c r="S691" s="6"/>
      <c r="T691" s="6"/>
      <c r="U691" s="6"/>
      <c r="V691" s="6"/>
      <c r="W691" s="6"/>
      <c r="X691" s="6"/>
      <c r="Y691" s="6"/>
      <c r="Z691" s="6"/>
    </row>
    <row r="692" ht="12.75" customHeight="1">
      <c r="A692" s="76"/>
      <c r="B692" s="6"/>
      <c r="C692" s="77"/>
      <c r="D692" s="6"/>
      <c r="E692" s="6"/>
      <c r="F692" s="6"/>
      <c r="G692" s="6"/>
      <c r="H692" s="6"/>
      <c r="I692" s="6"/>
      <c r="J692" s="6"/>
      <c r="K692" s="6"/>
      <c r="L692" s="6"/>
      <c r="M692" s="6"/>
      <c r="N692" s="6"/>
      <c r="O692" s="6"/>
      <c r="P692" s="6"/>
      <c r="Q692" s="6"/>
      <c r="R692" s="6"/>
      <c r="S692" s="6"/>
      <c r="T692" s="6"/>
      <c r="U692" s="6"/>
      <c r="V692" s="6"/>
      <c r="W692" s="6"/>
      <c r="X692" s="6"/>
      <c r="Y692" s="6"/>
      <c r="Z692" s="6"/>
    </row>
    <row r="693" ht="12.75" customHeight="1">
      <c r="A693" s="76"/>
      <c r="B693" s="6"/>
      <c r="C693" s="77"/>
      <c r="D693" s="6"/>
      <c r="E693" s="6"/>
      <c r="F693" s="6"/>
      <c r="G693" s="6"/>
      <c r="H693" s="6"/>
      <c r="I693" s="6"/>
      <c r="J693" s="6"/>
      <c r="K693" s="6"/>
      <c r="L693" s="6"/>
      <c r="M693" s="6"/>
      <c r="N693" s="6"/>
      <c r="O693" s="6"/>
      <c r="P693" s="6"/>
      <c r="Q693" s="6"/>
      <c r="R693" s="6"/>
      <c r="S693" s="6"/>
      <c r="T693" s="6"/>
      <c r="U693" s="6"/>
      <c r="V693" s="6"/>
      <c r="W693" s="6"/>
      <c r="X693" s="6"/>
      <c r="Y693" s="6"/>
      <c r="Z693" s="6"/>
    </row>
    <row r="694" ht="12.75" customHeight="1">
      <c r="A694" s="76"/>
      <c r="B694" s="6"/>
      <c r="C694" s="77"/>
      <c r="D694" s="6"/>
      <c r="E694" s="6"/>
      <c r="F694" s="6"/>
      <c r="G694" s="6"/>
      <c r="H694" s="6"/>
      <c r="I694" s="6"/>
      <c r="J694" s="6"/>
      <c r="K694" s="6"/>
      <c r="L694" s="6"/>
      <c r="M694" s="6"/>
      <c r="N694" s="6"/>
      <c r="O694" s="6"/>
      <c r="P694" s="6"/>
      <c r="Q694" s="6"/>
      <c r="R694" s="6"/>
      <c r="S694" s="6"/>
      <c r="T694" s="6"/>
      <c r="U694" s="6"/>
      <c r="V694" s="6"/>
      <c r="W694" s="6"/>
      <c r="X694" s="6"/>
      <c r="Y694" s="6"/>
      <c r="Z694" s="6"/>
    </row>
    <row r="695" ht="12.75" customHeight="1">
      <c r="A695" s="76"/>
      <c r="B695" s="6"/>
      <c r="C695" s="77"/>
      <c r="D695" s="6"/>
      <c r="E695" s="6"/>
      <c r="F695" s="6"/>
      <c r="G695" s="6"/>
      <c r="H695" s="6"/>
      <c r="I695" s="6"/>
      <c r="J695" s="6"/>
      <c r="K695" s="6"/>
      <c r="L695" s="6"/>
      <c r="M695" s="6"/>
      <c r="N695" s="6"/>
      <c r="O695" s="6"/>
      <c r="P695" s="6"/>
      <c r="Q695" s="6"/>
      <c r="R695" s="6"/>
      <c r="S695" s="6"/>
      <c r="T695" s="6"/>
      <c r="U695" s="6"/>
      <c r="V695" s="6"/>
      <c r="W695" s="6"/>
      <c r="X695" s="6"/>
      <c r="Y695" s="6"/>
      <c r="Z695" s="6"/>
    </row>
    <row r="696" ht="12.75" customHeight="1">
      <c r="A696" s="76"/>
      <c r="B696" s="6"/>
      <c r="C696" s="77"/>
      <c r="D696" s="6"/>
      <c r="E696" s="6"/>
      <c r="F696" s="6"/>
      <c r="G696" s="6"/>
      <c r="H696" s="6"/>
      <c r="I696" s="6"/>
      <c r="J696" s="6"/>
      <c r="K696" s="6"/>
      <c r="L696" s="6"/>
      <c r="M696" s="6"/>
      <c r="N696" s="6"/>
      <c r="O696" s="6"/>
      <c r="P696" s="6"/>
      <c r="Q696" s="6"/>
      <c r="R696" s="6"/>
      <c r="S696" s="6"/>
      <c r="T696" s="6"/>
      <c r="U696" s="6"/>
      <c r="V696" s="6"/>
      <c r="W696" s="6"/>
      <c r="X696" s="6"/>
      <c r="Y696" s="6"/>
      <c r="Z696" s="6"/>
    </row>
    <row r="697" ht="12.75" customHeight="1">
      <c r="A697" s="76"/>
      <c r="B697" s="6"/>
      <c r="C697" s="77"/>
      <c r="D697" s="6"/>
      <c r="E697" s="6"/>
      <c r="F697" s="6"/>
      <c r="G697" s="6"/>
      <c r="H697" s="6"/>
      <c r="I697" s="6"/>
      <c r="J697" s="6"/>
      <c r="K697" s="6"/>
      <c r="L697" s="6"/>
      <c r="M697" s="6"/>
      <c r="N697" s="6"/>
      <c r="O697" s="6"/>
      <c r="P697" s="6"/>
      <c r="Q697" s="6"/>
      <c r="R697" s="6"/>
      <c r="S697" s="6"/>
      <c r="T697" s="6"/>
      <c r="U697" s="6"/>
      <c r="V697" s="6"/>
      <c r="W697" s="6"/>
      <c r="X697" s="6"/>
      <c r="Y697" s="6"/>
      <c r="Z697" s="6"/>
    </row>
    <row r="698" ht="12.75" customHeight="1">
      <c r="A698" s="76"/>
      <c r="B698" s="6"/>
      <c r="C698" s="77"/>
      <c r="D698" s="6"/>
      <c r="E698" s="6"/>
      <c r="F698" s="6"/>
      <c r="G698" s="6"/>
      <c r="H698" s="6"/>
      <c r="I698" s="6"/>
      <c r="J698" s="6"/>
      <c r="K698" s="6"/>
      <c r="L698" s="6"/>
      <c r="M698" s="6"/>
      <c r="N698" s="6"/>
      <c r="O698" s="6"/>
      <c r="P698" s="6"/>
      <c r="Q698" s="6"/>
      <c r="R698" s="6"/>
      <c r="S698" s="6"/>
      <c r="T698" s="6"/>
      <c r="U698" s="6"/>
      <c r="V698" s="6"/>
      <c r="W698" s="6"/>
      <c r="X698" s="6"/>
      <c r="Y698" s="6"/>
      <c r="Z698" s="6"/>
    </row>
    <row r="699" ht="12.75" customHeight="1">
      <c r="A699" s="76"/>
      <c r="B699" s="6"/>
      <c r="C699" s="77"/>
      <c r="D699" s="6"/>
      <c r="E699" s="6"/>
      <c r="F699" s="6"/>
      <c r="G699" s="6"/>
      <c r="H699" s="6"/>
      <c r="I699" s="6"/>
      <c r="J699" s="6"/>
      <c r="K699" s="6"/>
      <c r="L699" s="6"/>
      <c r="M699" s="6"/>
      <c r="N699" s="6"/>
      <c r="O699" s="6"/>
      <c r="P699" s="6"/>
      <c r="Q699" s="6"/>
      <c r="R699" s="6"/>
      <c r="S699" s="6"/>
      <c r="T699" s="6"/>
      <c r="U699" s="6"/>
      <c r="V699" s="6"/>
      <c r="W699" s="6"/>
      <c r="X699" s="6"/>
      <c r="Y699" s="6"/>
      <c r="Z699" s="6"/>
    </row>
    <row r="700" ht="12.75" customHeight="1">
      <c r="A700" s="76"/>
      <c r="B700" s="6"/>
      <c r="C700" s="77"/>
      <c r="D700" s="6"/>
      <c r="E700" s="6"/>
      <c r="F700" s="6"/>
      <c r="G700" s="6"/>
      <c r="H700" s="6"/>
      <c r="I700" s="6"/>
      <c r="J700" s="6"/>
      <c r="K700" s="6"/>
      <c r="L700" s="6"/>
      <c r="M700" s="6"/>
      <c r="N700" s="6"/>
      <c r="O700" s="6"/>
      <c r="P700" s="6"/>
      <c r="Q700" s="6"/>
      <c r="R700" s="6"/>
      <c r="S700" s="6"/>
      <c r="T700" s="6"/>
      <c r="U700" s="6"/>
      <c r="V700" s="6"/>
      <c r="W700" s="6"/>
      <c r="X700" s="6"/>
      <c r="Y700" s="6"/>
      <c r="Z700" s="6"/>
    </row>
    <row r="701" ht="12.75" customHeight="1">
      <c r="A701" s="76"/>
      <c r="B701" s="6"/>
      <c r="C701" s="77"/>
      <c r="D701" s="6"/>
      <c r="E701" s="6"/>
      <c r="F701" s="6"/>
      <c r="G701" s="6"/>
      <c r="H701" s="6"/>
      <c r="I701" s="6"/>
      <c r="J701" s="6"/>
      <c r="K701" s="6"/>
      <c r="L701" s="6"/>
      <c r="M701" s="6"/>
      <c r="N701" s="6"/>
      <c r="O701" s="6"/>
      <c r="P701" s="6"/>
      <c r="Q701" s="6"/>
      <c r="R701" s="6"/>
      <c r="S701" s="6"/>
      <c r="T701" s="6"/>
      <c r="U701" s="6"/>
      <c r="V701" s="6"/>
      <c r="W701" s="6"/>
      <c r="X701" s="6"/>
      <c r="Y701" s="6"/>
      <c r="Z701" s="6"/>
    </row>
    <row r="702" ht="12.75" customHeight="1">
      <c r="A702" s="76"/>
      <c r="B702" s="6"/>
      <c r="C702" s="77"/>
      <c r="D702" s="6"/>
      <c r="E702" s="6"/>
      <c r="F702" s="6"/>
      <c r="G702" s="6"/>
      <c r="H702" s="6"/>
      <c r="I702" s="6"/>
      <c r="J702" s="6"/>
      <c r="K702" s="6"/>
      <c r="L702" s="6"/>
      <c r="M702" s="6"/>
      <c r="N702" s="6"/>
      <c r="O702" s="6"/>
      <c r="P702" s="6"/>
      <c r="Q702" s="6"/>
      <c r="R702" s="6"/>
      <c r="S702" s="6"/>
      <c r="T702" s="6"/>
      <c r="U702" s="6"/>
      <c r="V702" s="6"/>
      <c r="W702" s="6"/>
      <c r="X702" s="6"/>
      <c r="Y702" s="6"/>
      <c r="Z702" s="6"/>
    </row>
    <row r="703" ht="12.75" customHeight="1">
      <c r="A703" s="76"/>
      <c r="B703" s="6"/>
      <c r="C703" s="77"/>
      <c r="D703" s="6"/>
      <c r="E703" s="6"/>
      <c r="F703" s="6"/>
      <c r="G703" s="6"/>
      <c r="H703" s="6"/>
      <c r="I703" s="6"/>
      <c r="J703" s="6"/>
      <c r="K703" s="6"/>
      <c r="L703" s="6"/>
      <c r="M703" s="6"/>
      <c r="N703" s="6"/>
      <c r="O703" s="6"/>
      <c r="P703" s="6"/>
      <c r="Q703" s="6"/>
      <c r="R703" s="6"/>
      <c r="S703" s="6"/>
      <c r="T703" s="6"/>
      <c r="U703" s="6"/>
      <c r="V703" s="6"/>
      <c r="W703" s="6"/>
      <c r="X703" s="6"/>
      <c r="Y703" s="6"/>
      <c r="Z703" s="6"/>
    </row>
    <row r="704" ht="12.75" customHeight="1">
      <c r="A704" s="76"/>
      <c r="B704" s="6"/>
      <c r="C704" s="77"/>
      <c r="D704" s="6"/>
      <c r="E704" s="6"/>
      <c r="F704" s="6"/>
      <c r="G704" s="6"/>
      <c r="H704" s="6"/>
      <c r="I704" s="6"/>
      <c r="J704" s="6"/>
      <c r="K704" s="6"/>
      <c r="L704" s="6"/>
      <c r="M704" s="6"/>
      <c r="N704" s="6"/>
      <c r="O704" s="6"/>
      <c r="P704" s="6"/>
      <c r="Q704" s="6"/>
      <c r="R704" s="6"/>
      <c r="S704" s="6"/>
      <c r="T704" s="6"/>
      <c r="U704" s="6"/>
      <c r="V704" s="6"/>
      <c r="W704" s="6"/>
      <c r="X704" s="6"/>
      <c r="Y704" s="6"/>
      <c r="Z704" s="6"/>
    </row>
    <row r="705" ht="12.75" customHeight="1">
      <c r="A705" s="76"/>
      <c r="B705" s="6"/>
      <c r="C705" s="77"/>
      <c r="D705" s="6"/>
      <c r="E705" s="6"/>
      <c r="F705" s="6"/>
      <c r="G705" s="6"/>
      <c r="H705" s="6"/>
      <c r="I705" s="6"/>
      <c r="J705" s="6"/>
      <c r="K705" s="6"/>
      <c r="L705" s="6"/>
      <c r="M705" s="6"/>
      <c r="N705" s="6"/>
      <c r="O705" s="6"/>
      <c r="P705" s="6"/>
      <c r="Q705" s="6"/>
      <c r="R705" s="6"/>
      <c r="S705" s="6"/>
      <c r="T705" s="6"/>
      <c r="U705" s="6"/>
      <c r="V705" s="6"/>
      <c r="W705" s="6"/>
      <c r="X705" s="6"/>
      <c r="Y705" s="6"/>
      <c r="Z705" s="6"/>
    </row>
    <row r="706" ht="12.75" customHeight="1">
      <c r="A706" s="76"/>
      <c r="B706" s="6"/>
      <c r="C706" s="77"/>
      <c r="D706" s="6"/>
      <c r="E706" s="6"/>
      <c r="F706" s="6"/>
      <c r="G706" s="6"/>
      <c r="H706" s="6"/>
      <c r="I706" s="6"/>
      <c r="J706" s="6"/>
      <c r="K706" s="6"/>
      <c r="L706" s="6"/>
      <c r="M706" s="6"/>
      <c r="N706" s="6"/>
      <c r="O706" s="6"/>
      <c r="P706" s="6"/>
      <c r="Q706" s="6"/>
      <c r="R706" s="6"/>
      <c r="S706" s="6"/>
      <c r="T706" s="6"/>
      <c r="U706" s="6"/>
      <c r="V706" s="6"/>
      <c r="W706" s="6"/>
      <c r="X706" s="6"/>
      <c r="Y706" s="6"/>
      <c r="Z706" s="6"/>
    </row>
    <row r="707" ht="12.75" customHeight="1">
      <c r="A707" s="76"/>
      <c r="B707" s="6"/>
      <c r="C707" s="77"/>
      <c r="D707" s="6"/>
      <c r="E707" s="6"/>
      <c r="F707" s="6"/>
      <c r="G707" s="6"/>
      <c r="H707" s="6"/>
      <c r="I707" s="6"/>
      <c r="J707" s="6"/>
      <c r="K707" s="6"/>
      <c r="L707" s="6"/>
      <c r="M707" s="6"/>
      <c r="N707" s="6"/>
      <c r="O707" s="6"/>
      <c r="P707" s="6"/>
      <c r="Q707" s="6"/>
      <c r="R707" s="6"/>
      <c r="S707" s="6"/>
      <c r="T707" s="6"/>
      <c r="U707" s="6"/>
      <c r="V707" s="6"/>
      <c r="W707" s="6"/>
      <c r="X707" s="6"/>
      <c r="Y707" s="6"/>
      <c r="Z707" s="6"/>
    </row>
    <row r="708" ht="12.75" customHeight="1">
      <c r="A708" s="76"/>
      <c r="B708" s="6"/>
      <c r="C708" s="77"/>
      <c r="D708" s="6"/>
      <c r="E708" s="6"/>
      <c r="F708" s="6"/>
      <c r="G708" s="6"/>
      <c r="H708" s="6"/>
      <c r="I708" s="6"/>
      <c r="J708" s="6"/>
      <c r="K708" s="6"/>
      <c r="L708" s="6"/>
      <c r="M708" s="6"/>
      <c r="N708" s="6"/>
      <c r="O708" s="6"/>
      <c r="P708" s="6"/>
      <c r="Q708" s="6"/>
      <c r="R708" s="6"/>
      <c r="S708" s="6"/>
      <c r="T708" s="6"/>
      <c r="U708" s="6"/>
      <c r="V708" s="6"/>
      <c r="W708" s="6"/>
      <c r="X708" s="6"/>
      <c r="Y708" s="6"/>
      <c r="Z708" s="6"/>
    </row>
    <row r="709" ht="12.75" customHeight="1">
      <c r="A709" s="76"/>
      <c r="B709" s="6"/>
      <c r="C709" s="77"/>
      <c r="D709" s="6"/>
      <c r="E709" s="6"/>
      <c r="F709" s="6"/>
      <c r="G709" s="6"/>
      <c r="H709" s="6"/>
      <c r="I709" s="6"/>
      <c r="J709" s="6"/>
      <c r="K709" s="6"/>
      <c r="L709" s="6"/>
      <c r="M709" s="6"/>
      <c r="N709" s="6"/>
      <c r="O709" s="6"/>
      <c r="P709" s="6"/>
      <c r="Q709" s="6"/>
      <c r="R709" s="6"/>
      <c r="S709" s="6"/>
      <c r="T709" s="6"/>
      <c r="U709" s="6"/>
      <c r="V709" s="6"/>
      <c r="W709" s="6"/>
      <c r="X709" s="6"/>
      <c r="Y709" s="6"/>
      <c r="Z709" s="6"/>
    </row>
    <row r="710" ht="12.75" customHeight="1">
      <c r="A710" s="76"/>
      <c r="B710" s="6"/>
      <c r="C710" s="77"/>
      <c r="D710" s="6"/>
      <c r="E710" s="6"/>
      <c r="F710" s="6"/>
      <c r="G710" s="6"/>
      <c r="H710" s="6"/>
      <c r="I710" s="6"/>
      <c r="J710" s="6"/>
      <c r="K710" s="6"/>
      <c r="L710" s="6"/>
      <c r="M710" s="6"/>
      <c r="N710" s="6"/>
      <c r="O710" s="6"/>
      <c r="P710" s="6"/>
      <c r="Q710" s="6"/>
      <c r="R710" s="6"/>
      <c r="S710" s="6"/>
      <c r="T710" s="6"/>
      <c r="U710" s="6"/>
      <c r="V710" s="6"/>
      <c r="W710" s="6"/>
      <c r="X710" s="6"/>
      <c r="Y710" s="6"/>
      <c r="Z710" s="6"/>
    </row>
    <row r="711" ht="12.75" customHeight="1">
      <c r="A711" s="76"/>
      <c r="B711" s="6"/>
      <c r="C711" s="77"/>
      <c r="D711" s="6"/>
      <c r="E711" s="6"/>
      <c r="F711" s="6"/>
      <c r="G711" s="6"/>
      <c r="H711" s="6"/>
      <c r="I711" s="6"/>
      <c r="J711" s="6"/>
      <c r="K711" s="6"/>
      <c r="L711" s="6"/>
      <c r="M711" s="6"/>
      <c r="N711" s="6"/>
      <c r="O711" s="6"/>
      <c r="P711" s="6"/>
      <c r="Q711" s="6"/>
      <c r="R711" s="6"/>
      <c r="S711" s="6"/>
      <c r="T711" s="6"/>
      <c r="U711" s="6"/>
      <c r="V711" s="6"/>
      <c r="W711" s="6"/>
      <c r="X711" s="6"/>
      <c r="Y711" s="6"/>
      <c r="Z711" s="6"/>
    </row>
    <row r="712" ht="12.75" customHeight="1">
      <c r="A712" s="76"/>
      <c r="B712" s="6"/>
      <c r="C712" s="77"/>
      <c r="D712" s="6"/>
      <c r="E712" s="6"/>
      <c r="F712" s="6"/>
      <c r="G712" s="6"/>
      <c r="H712" s="6"/>
      <c r="I712" s="6"/>
      <c r="J712" s="6"/>
      <c r="K712" s="6"/>
      <c r="L712" s="6"/>
      <c r="M712" s="6"/>
      <c r="N712" s="6"/>
      <c r="O712" s="6"/>
      <c r="P712" s="6"/>
      <c r="Q712" s="6"/>
      <c r="R712" s="6"/>
      <c r="S712" s="6"/>
      <c r="T712" s="6"/>
      <c r="U712" s="6"/>
      <c r="V712" s="6"/>
      <c r="W712" s="6"/>
      <c r="X712" s="6"/>
      <c r="Y712" s="6"/>
      <c r="Z712" s="6"/>
    </row>
    <row r="713" ht="12.75" customHeight="1">
      <c r="A713" s="76"/>
      <c r="B713" s="6"/>
      <c r="C713" s="77"/>
      <c r="D713" s="6"/>
      <c r="E713" s="6"/>
      <c r="F713" s="6"/>
      <c r="G713" s="6"/>
      <c r="H713" s="6"/>
      <c r="I713" s="6"/>
      <c r="J713" s="6"/>
      <c r="K713" s="6"/>
      <c r="L713" s="6"/>
      <c r="M713" s="6"/>
      <c r="N713" s="6"/>
      <c r="O713" s="6"/>
      <c r="P713" s="6"/>
      <c r="Q713" s="6"/>
      <c r="R713" s="6"/>
      <c r="S713" s="6"/>
      <c r="T713" s="6"/>
      <c r="U713" s="6"/>
      <c r="V713" s="6"/>
      <c r="W713" s="6"/>
      <c r="X713" s="6"/>
      <c r="Y713" s="6"/>
      <c r="Z713" s="6"/>
    </row>
    <row r="714" ht="12.75" customHeight="1">
      <c r="A714" s="76"/>
      <c r="B714" s="6"/>
      <c r="C714" s="77"/>
      <c r="D714" s="6"/>
      <c r="E714" s="6"/>
      <c r="F714" s="6"/>
      <c r="G714" s="6"/>
      <c r="H714" s="6"/>
      <c r="I714" s="6"/>
      <c r="J714" s="6"/>
      <c r="K714" s="6"/>
      <c r="L714" s="6"/>
      <c r="M714" s="6"/>
      <c r="N714" s="6"/>
      <c r="O714" s="6"/>
      <c r="P714" s="6"/>
      <c r="Q714" s="6"/>
      <c r="R714" s="6"/>
      <c r="S714" s="6"/>
      <c r="T714" s="6"/>
      <c r="U714" s="6"/>
      <c r="V714" s="6"/>
      <c r="W714" s="6"/>
      <c r="X714" s="6"/>
      <c r="Y714" s="6"/>
      <c r="Z714" s="6"/>
    </row>
    <row r="715" ht="12.75" customHeight="1">
      <c r="A715" s="76"/>
      <c r="B715" s="6"/>
      <c r="C715" s="77"/>
      <c r="D715" s="6"/>
      <c r="E715" s="6"/>
      <c r="F715" s="6"/>
      <c r="G715" s="6"/>
      <c r="H715" s="6"/>
      <c r="I715" s="6"/>
      <c r="J715" s="6"/>
      <c r="K715" s="6"/>
      <c r="L715" s="6"/>
      <c r="M715" s="6"/>
      <c r="N715" s="6"/>
      <c r="O715" s="6"/>
      <c r="P715" s="6"/>
      <c r="Q715" s="6"/>
      <c r="R715" s="6"/>
      <c r="S715" s="6"/>
      <c r="T715" s="6"/>
      <c r="U715" s="6"/>
      <c r="V715" s="6"/>
      <c r="W715" s="6"/>
      <c r="X715" s="6"/>
      <c r="Y715" s="6"/>
      <c r="Z715" s="6"/>
    </row>
    <row r="716" ht="12.75" customHeight="1">
      <c r="A716" s="76"/>
      <c r="B716" s="6"/>
      <c r="C716" s="77"/>
      <c r="D716" s="6"/>
      <c r="E716" s="6"/>
      <c r="F716" s="6"/>
      <c r="G716" s="6"/>
      <c r="H716" s="6"/>
      <c r="I716" s="6"/>
      <c r="J716" s="6"/>
      <c r="K716" s="6"/>
      <c r="L716" s="6"/>
      <c r="M716" s="6"/>
      <c r="N716" s="6"/>
      <c r="O716" s="6"/>
      <c r="P716" s="6"/>
      <c r="Q716" s="6"/>
      <c r="R716" s="6"/>
      <c r="S716" s="6"/>
      <c r="T716" s="6"/>
      <c r="U716" s="6"/>
      <c r="V716" s="6"/>
      <c r="W716" s="6"/>
      <c r="X716" s="6"/>
      <c r="Y716" s="6"/>
      <c r="Z716" s="6"/>
    </row>
    <row r="717" ht="12.75" customHeight="1">
      <c r="A717" s="76"/>
      <c r="B717" s="6"/>
      <c r="C717" s="77"/>
      <c r="D717" s="6"/>
      <c r="E717" s="6"/>
      <c r="F717" s="6"/>
      <c r="G717" s="6"/>
      <c r="H717" s="6"/>
      <c r="I717" s="6"/>
      <c r="J717" s="6"/>
      <c r="K717" s="6"/>
      <c r="L717" s="6"/>
      <c r="M717" s="6"/>
      <c r="N717" s="6"/>
      <c r="O717" s="6"/>
      <c r="P717" s="6"/>
      <c r="Q717" s="6"/>
      <c r="R717" s="6"/>
      <c r="S717" s="6"/>
      <c r="T717" s="6"/>
      <c r="U717" s="6"/>
      <c r="V717" s="6"/>
      <c r="W717" s="6"/>
      <c r="X717" s="6"/>
      <c r="Y717" s="6"/>
      <c r="Z717" s="6"/>
    </row>
    <row r="718" ht="12.75" customHeight="1">
      <c r="A718" s="76"/>
      <c r="B718" s="6"/>
      <c r="C718" s="77"/>
      <c r="D718" s="6"/>
      <c r="E718" s="6"/>
      <c r="F718" s="6"/>
      <c r="G718" s="6"/>
      <c r="H718" s="6"/>
      <c r="I718" s="6"/>
      <c r="J718" s="6"/>
      <c r="K718" s="6"/>
      <c r="L718" s="6"/>
      <c r="M718" s="6"/>
      <c r="N718" s="6"/>
      <c r="O718" s="6"/>
      <c r="P718" s="6"/>
      <c r="Q718" s="6"/>
      <c r="R718" s="6"/>
      <c r="S718" s="6"/>
      <c r="T718" s="6"/>
      <c r="U718" s="6"/>
      <c r="V718" s="6"/>
      <c r="W718" s="6"/>
      <c r="X718" s="6"/>
      <c r="Y718" s="6"/>
      <c r="Z718" s="6"/>
    </row>
    <row r="719" ht="12.75" customHeight="1">
      <c r="A719" s="76"/>
      <c r="B719" s="6"/>
      <c r="C719" s="77"/>
      <c r="D719" s="6"/>
      <c r="E719" s="6"/>
      <c r="F719" s="6"/>
      <c r="G719" s="6"/>
      <c r="H719" s="6"/>
      <c r="I719" s="6"/>
      <c r="J719" s="6"/>
      <c r="K719" s="6"/>
      <c r="L719" s="6"/>
      <c r="M719" s="6"/>
      <c r="N719" s="6"/>
      <c r="O719" s="6"/>
      <c r="P719" s="6"/>
      <c r="Q719" s="6"/>
      <c r="R719" s="6"/>
      <c r="S719" s="6"/>
      <c r="T719" s="6"/>
      <c r="U719" s="6"/>
      <c r="V719" s="6"/>
      <c r="W719" s="6"/>
      <c r="X719" s="6"/>
      <c r="Y719" s="6"/>
      <c r="Z719" s="6"/>
    </row>
    <row r="720" ht="12.75" customHeight="1">
      <c r="A720" s="76"/>
      <c r="B720" s="6"/>
      <c r="C720" s="77"/>
      <c r="D720" s="6"/>
      <c r="E720" s="6"/>
      <c r="F720" s="6"/>
      <c r="G720" s="6"/>
      <c r="H720" s="6"/>
      <c r="I720" s="6"/>
      <c r="J720" s="6"/>
      <c r="K720" s="6"/>
      <c r="L720" s="6"/>
      <c r="M720" s="6"/>
      <c r="N720" s="6"/>
      <c r="O720" s="6"/>
      <c r="P720" s="6"/>
      <c r="Q720" s="6"/>
      <c r="R720" s="6"/>
      <c r="S720" s="6"/>
      <c r="T720" s="6"/>
      <c r="U720" s="6"/>
      <c r="V720" s="6"/>
      <c r="W720" s="6"/>
      <c r="X720" s="6"/>
      <c r="Y720" s="6"/>
      <c r="Z720" s="6"/>
    </row>
    <row r="721" ht="12.75" customHeight="1">
      <c r="A721" s="76"/>
      <c r="B721" s="6"/>
      <c r="C721" s="77"/>
      <c r="D721" s="6"/>
      <c r="E721" s="6"/>
      <c r="F721" s="6"/>
      <c r="G721" s="6"/>
      <c r="H721" s="6"/>
      <c r="I721" s="6"/>
      <c r="J721" s="6"/>
      <c r="K721" s="6"/>
      <c r="L721" s="6"/>
      <c r="M721" s="6"/>
      <c r="N721" s="6"/>
      <c r="O721" s="6"/>
      <c r="P721" s="6"/>
      <c r="Q721" s="6"/>
      <c r="R721" s="6"/>
      <c r="S721" s="6"/>
      <c r="T721" s="6"/>
      <c r="U721" s="6"/>
      <c r="V721" s="6"/>
      <c r="W721" s="6"/>
      <c r="X721" s="6"/>
      <c r="Y721" s="6"/>
      <c r="Z721" s="6"/>
    </row>
    <row r="722" ht="12.75" customHeight="1">
      <c r="A722" s="76"/>
      <c r="B722" s="6"/>
      <c r="C722" s="77"/>
      <c r="D722" s="6"/>
      <c r="E722" s="6"/>
      <c r="F722" s="6"/>
      <c r="G722" s="6"/>
      <c r="H722" s="6"/>
      <c r="I722" s="6"/>
      <c r="J722" s="6"/>
      <c r="K722" s="6"/>
      <c r="L722" s="6"/>
      <c r="M722" s="6"/>
      <c r="N722" s="6"/>
      <c r="O722" s="6"/>
      <c r="P722" s="6"/>
      <c r="Q722" s="6"/>
      <c r="R722" s="6"/>
      <c r="S722" s="6"/>
      <c r="T722" s="6"/>
      <c r="U722" s="6"/>
      <c r="V722" s="6"/>
      <c r="W722" s="6"/>
      <c r="X722" s="6"/>
      <c r="Y722" s="6"/>
      <c r="Z722" s="6"/>
    </row>
    <row r="723" ht="12.75" customHeight="1">
      <c r="A723" s="76"/>
      <c r="B723" s="6"/>
      <c r="C723" s="77"/>
      <c r="D723" s="6"/>
      <c r="E723" s="6"/>
      <c r="F723" s="6"/>
      <c r="G723" s="6"/>
      <c r="H723" s="6"/>
      <c r="I723" s="6"/>
      <c r="J723" s="6"/>
      <c r="K723" s="6"/>
      <c r="L723" s="6"/>
      <c r="M723" s="6"/>
      <c r="N723" s="6"/>
      <c r="O723" s="6"/>
      <c r="P723" s="6"/>
      <c r="Q723" s="6"/>
      <c r="R723" s="6"/>
      <c r="S723" s="6"/>
      <c r="T723" s="6"/>
      <c r="U723" s="6"/>
      <c r="V723" s="6"/>
      <c r="W723" s="6"/>
      <c r="X723" s="6"/>
      <c r="Y723" s="6"/>
      <c r="Z723" s="6"/>
    </row>
    <row r="724" ht="12.75" customHeight="1">
      <c r="A724" s="76"/>
      <c r="B724" s="6"/>
      <c r="C724" s="77"/>
      <c r="D724" s="6"/>
      <c r="E724" s="6"/>
      <c r="F724" s="6"/>
      <c r="G724" s="6"/>
      <c r="H724" s="6"/>
      <c r="I724" s="6"/>
      <c r="J724" s="6"/>
      <c r="K724" s="6"/>
      <c r="L724" s="6"/>
      <c r="M724" s="6"/>
      <c r="N724" s="6"/>
      <c r="O724" s="6"/>
      <c r="P724" s="6"/>
      <c r="Q724" s="6"/>
      <c r="R724" s="6"/>
      <c r="S724" s="6"/>
      <c r="T724" s="6"/>
      <c r="U724" s="6"/>
      <c r="V724" s="6"/>
      <c r="W724" s="6"/>
      <c r="X724" s="6"/>
      <c r="Y724" s="6"/>
      <c r="Z724" s="6"/>
    </row>
    <row r="725" ht="12.75" customHeight="1">
      <c r="A725" s="76"/>
      <c r="B725" s="6"/>
      <c r="C725" s="77"/>
      <c r="D725" s="6"/>
      <c r="E725" s="6"/>
      <c r="F725" s="6"/>
      <c r="G725" s="6"/>
      <c r="H725" s="6"/>
      <c r="I725" s="6"/>
      <c r="J725" s="6"/>
      <c r="K725" s="6"/>
      <c r="L725" s="6"/>
      <c r="M725" s="6"/>
      <c r="N725" s="6"/>
      <c r="O725" s="6"/>
      <c r="P725" s="6"/>
      <c r="Q725" s="6"/>
      <c r="R725" s="6"/>
      <c r="S725" s="6"/>
      <c r="T725" s="6"/>
      <c r="U725" s="6"/>
      <c r="V725" s="6"/>
      <c r="W725" s="6"/>
      <c r="X725" s="6"/>
      <c r="Y725" s="6"/>
      <c r="Z725" s="6"/>
    </row>
    <row r="726" ht="12.75" customHeight="1">
      <c r="A726" s="76"/>
      <c r="B726" s="6"/>
      <c r="C726" s="77"/>
      <c r="D726" s="6"/>
      <c r="E726" s="6"/>
      <c r="F726" s="6"/>
      <c r="G726" s="6"/>
      <c r="H726" s="6"/>
      <c r="I726" s="6"/>
      <c r="J726" s="6"/>
      <c r="K726" s="6"/>
      <c r="L726" s="6"/>
      <c r="M726" s="6"/>
      <c r="N726" s="6"/>
      <c r="O726" s="6"/>
      <c r="P726" s="6"/>
      <c r="Q726" s="6"/>
      <c r="R726" s="6"/>
      <c r="S726" s="6"/>
      <c r="T726" s="6"/>
      <c r="U726" s="6"/>
      <c r="V726" s="6"/>
      <c r="W726" s="6"/>
      <c r="X726" s="6"/>
      <c r="Y726" s="6"/>
      <c r="Z726" s="6"/>
    </row>
    <row r="727" ht="12.75" customHeight="1">
      <c r="A727" s="76"/>
      <c r="B727" s="6"/>
      <c r="C727" s="77"/>
      <c r="D727" s="6"/>
      <c r="E727" s="6"/>
      <c r="F727" s="6"/>
      <c r="G727" s="6"/>
      <c r="H727" s="6"/>
      <c r="I727" s="6"/>
      <c r="J727" s="6"/>
      <c r="K727" s="6"/>
      <c r="L727" s="6"/>
      <c r="M727" s="6"/>
      <c r="N727" s="6"/>
      <c r="O727" s="6"/>
      <c r="P727" s="6"/>
      <c r="Q727" s="6"/>
      <c r="R727" s="6"/>
      <c r="S727" s="6"/>
      <c r="T727" s="6"/>
      <c r="U727" s="6"/>
      <c r="V727" s="6"/>
      <c r="W727" s="6"/>
      <c r="X727" s="6"/>
      <c r="Y727" s="6"/>
      <c r="Z727" s="6"/>
    </row>
    <row r="728" ht="12.75" customHeight="1">
      <c r="A728" s="76"/>
      <c r="B728" s="6"/>
      <c r="C728" s="77"/>
      <c r="D728" s="6"/>
      <c r="E728" s="6"/>
      <c r="F728" s="6"/>
      <c r="G728" s="6"/>
      <c r="H728" s="6"/>
      <c r="I728" s="6"/>
      <c r="J728" s="6"/>
      <c r="K728" s="6"/>
      <c r="L728" s="6"/>
      <c r="M728" s="6"/>
      <c r="N728" s="6"/>
      <c r="O728" s="6"/>
      <c r="P728" s="6"/>
      <c r="Q728" s="6"/>
      <c r="R728" s="6"/>
      <c r="S728" s="6"/>
      <c r="T728" s="6"/>
      <c r="U728" s="6"/>
      <c r="V728" s="6"/>
      <c r="W728" s="6"/>
      <c r="X728" s="6"/>
      <c r="Y728" s="6"/>
      <c r="Z728" s="6"/>
    </row>
    <row r="729" ht="12.75" customHeight="1">
      <c r="A729" s="76"/>
      <c r="B729" s="6"/>
      <c r="C729" s="77"/>
      <c r="D729" s="6"/>
      <c r="E729" s="6"/>
      <c r="F729" s="6"/>
      <c r="G729" s="6"/>
      <c r="H729" s="6"/>
      <c r="I729" s="6"/>
      <c r="J729" s="6"/>
      <c r="K729" s="6"/>
      <c r="L729" s="6"/>
      <c r="M729" s="6"/>
      <c r="N729" s="6"/>
      <c r="O729" s="6"/>
      <c r="P729" s="6"/>
      <c r="Q729" s="6"/>
      <c r="R729" s="6"/>
      <c r="S729" s="6"/>
      <c r="T729" s="6"/>
      <c r="U729" s="6"/>
      <c r="V729" s="6"/>
      <c r="W729" s="6"/>
      <c r="X729" s="6"/>
      <c r="Y729" s="6"/>
      <c r="Z729" s="6"/>
    </row>
    <row r="730" ht="12.75" customHeight="1">
      <c r="A730" s="76"/>
      <c r="B730" s="6"/>
      <c r="C730" s="77"/>
      <c r="D730" s="6"/>
      <c r="E730" s="6"/>
      <c r="F730" s="6"/>
      <c r="G730" s="6"/>
      <c r="H730" s="6"/>
      <c r="I730" s="6"/>
      <c r="J730" s="6"/>
      <c r="K730" s="6"/>
      <c r="L730" s="6"/>
      <c r="M730" s="6"/>
      <c r="N730" s="6"/>
      <c r="O730" s="6"/>
      <c r="P730" s="6"/>
      <c r="Q730" s="6"/>
      <c r="R730" s="6"/>
      <c r="S730" s="6"/>
      <c r="T730" s="6"/>
      <c r="U730" s="6"/>
      <c r="V730" s="6"/>
      <c r="W730" s="6"/>
      <c r="X730" s="6"/>
      <c r="Y730" s="6"/>
      <c r="Z730" s="6"/>
    </row>
    <row r="731" ht="12.75" customHeight="1">
      <c r="A731" s="76"/>
      <c r="B731" s="6"/>
      <c r="C731" s="77"/>
      <c r="D731" s="6"/>
      <c r="E731" s="6"/>
      <c r="F731" s="6"/>
      <c r="G731" s="6"/>
      <c r="H731" s="6"/>
      <c r="I731" s="6"/>
      <c r="J731" s="6"/>
      <c r="K731" s="6"/>
      <c r="L731" s="6"/>
      <c r="M731" s="6"/>
      <c r="N731" s="6"/>
      <c r="O731" s="6"/>
      <c r="P731" s="6"/>
      <c r="Q731" s="6"/>
      <c r="R731" s="6"/>
      <c r="S731" s="6"/>
      <c r="T731" s="6"/>
      <c r="U731" s="6"/>
      <c r="V731" s="6"/>
      <c r="W731" s="6"/>
      <c r="X731" s="6"/>
      <c r="Y731" s="6"/>
      <c r="Z731" s="6"/>
    </row>
    <row r="732" ht="12.75" customHeight="1">
      <c r="A732" s="76"/>
      <c r="B732" s="6"/>
      <c r="C732" s="77"/>
      <c r="D732" s="6"/>
      <c r="E732" s="6"/>
      <c r="F732" s="6"/>
      <c r="G732" s="6"/>
      <c r="H732" s="6"/>
      <c r="I732" s="6"/>
      <c r="J732" s="6"/>
      <c r="K732" s="6"/>
      <c r="L732" s="6"/>
      <c r="M732" s="6"/>
      <c r="N732" s="6"/>
      <c r="O732" s="6"/>
      <c r="P732" s="6"/>
      <c r="Q732" s="6"/>
      <c r="R732" s="6"/>
      <c r="S732" s="6"/>
      <c r="T732" s="6"/>
      <c r="U732" s="6"/>
      <c r="V732" s="6"/>
      <c r="W732" s="6"/>
      <c r="X732" s="6"/>
      <c r="Y732" s="6"/>
      <c r="Z732" s="6"/>
    </row>
    <row r="733" ht="12.75" customHeight="1">
      <c r="A733" s="76"/>
      <c r="B733" s="6"/>
      <c r="C733" s="77"/>
      <c r="D733" s="6"/>
      <c r="E733" s="6"/>
      <c r="F733" s="6"/>
      <c r="G733" s="6"/>
      <c r="H733" s="6"/>
      <c r="I733" s="6"/>
      <c r="J733" s="6"/>
      <c r="K733" s="6"/>
      <c r="L733" s="6"/>
      <c r="M733" s="6"/>
      <c r="N733" s="6"/>
      <c r="O733" s="6"/>
      <c r="P733" s="6"/>
      <c r="Q733" s="6"/>
      <c r="R733" s="6"/>
      <c r="S733" s="6"/>
      <c r="T733" s="6"/>
      <c r="U733" s="6"/>
      <c r="V733" s="6"/>
      <c r="W733" s="6"/>
      <c r="X733" s="6"/>
      <c r="Y733" s="6"/>
      <c r="Z733" s="6"/>
    </row>
    <row r="734" ht="12.75" customHeight="1">
      <c r="A734" s="76"/>
      <c r="B734" s="6"/>
      <c r="C734" s="77"/>
      <c r="D734" s="6"/>
      <c r="E734" s="6"/>
      <c r="F734" s="6"/>
      <c r="G734" s="6"/>
      <c r="H734" s="6"/>
      <c r="I734" s="6"/>
      <c r="J734" s="6"/>
      <c r="K734" s="6"/>
      <c r="L734" s="6"/>
      <c r="M734" s="6"/>
      <c r="N734" s="6"/>
      <c r="O734" s="6"/>
      <c r="P734" s="6"/>
      <c r="Q734" s="6"/>
      <c r="R734" s="6"/>
      <c r="S734" s="6"/>
      <c r="T734" s="6"/>
      <c r="U734" s="6"/>
      <c r="V734" s="6"/>
      <c r="W734" s="6"/>
      <c r="X734" s="6"/>
      <c r="Y734" s="6"/>
      <c r="Z734" s="6"/>
    </row>
    <row r="735" ht="12.75" customHeight="1">
      <c r="A735" s="76"/>
      <c r="B735" s="6"/>
      <c r="C735" s="77"/>
      <c r="D735" s="6"/>
      <c r="E735" s="6"/>
      <c r="F735" s="6"/>
      <c r="G735" s="6"/>
      <c r="H735" s="6"/>
      <c r="I735" s="6"/>
      <c r="J735" s="6"/>
      <c r="K735" s="6"/>
      <c r="L735" s="6"/>
      <c r="M735" s="6"/>
      <c r="N735" s="6"/>
      <c r="O735" s="6"/>
      <c r="P735" s="6"/>
      <c r="Q735" s="6"/>
      <c r="R735" s="6"/>
      <c r="S735" s="6"/>
      <c r="T735" s="6"/>
      <c r="U735" s="6"/>
      <c r="V735" s="6"/>
      <c r="W735" s="6"/>
      <c r="X735" s="6"/>
      <c r="Y735" s="6"/>
      <c r="Z735" s="6"/>
    </row>
    <row r="736" ht="12.75" customHeight="1">
      <c r="A736" s="76"/>
      <c r="B736" s="6"/>
      <c r="C736" s="77"/>
      <c r="D736" s="6"/>
      <c r="E736" s="6"/>
      <c r="F736" s="6"/>
      <c r="G736" s="6"/>
      <c r="H736" s="6"/>
      <c r="I736" s="6"/>
      <c r="J736" s="6"/>
      <c r="K736" s="6"/>
      <c r="L736" s="6"/>
      <c r="M736" s="6"/>
      <c r="N736" s="6"/>
      <c r="O736" s="6"/>
      <c r="P736" s="6"/>
      <c r="Q736" s="6"/>
      <c r="R736" s="6"/>
      <c r="S736" s="6"/>
      <c r="T736" s="6"/>
      <c r="U736" s="6"/>
      <c r="V736" s="6"/>
      <c r="W736" s="6"/>
      <c r="X736" s="6"/>
      <c r="Y736" s="6"/>
      <c r="Z736" s="6"/>
    </row>
    <row r="737" ht="12.75" customHeight="1">
      <c r="A737" s="76"/>
      <c r="B737" s="6"/>
      <c r="C737" s="77"/>
      <c r="D737" s="6"/>
      <c r="E737" s="6"/>
      <c r="F737" s="6"/>
      <c r="G737" s="6"/>
      <c r="H737" s="6"/>
      <c r="I737" s="6"/>
      <c r="J737" s="6"/>
      <c r="K737" s="6"/>
      <c r="L737" s="6"/>
      <c r="M737" s="6"/>
      <c r="N737" s="6"/>
      <c r="O737" s="6"/>
      <c r="P737" s="6"/>
      <c r="Q737" s="6"/>
      <c r="R737" s="6"/>
      <c r="S737" s="6"/>
      <c r="T737" s="6"/>
      <c r="U737" s="6"/>
      <c r="V737" s="6"/>
      <c r="W737" s="6"/>
      <c r="X737" s="6"/>
      <c r="Y737" s="6"/>
      <c r="Z737" s="6"/>
    </row>
    <row r="738" ht="12.75" customHeight="1">
      <c r="A738" s="76"/>
      <c r="B738" s="6"/>
      <c r="C738" s="77"/>
      <c r="D738" s="6"/>
      <c r="E738" s="6"/>
      <c r="F738" s="6"/>
      <c r="G738" s="6"/>
      <c r="H738" s="6"/>
      <c r="I738" s="6"/>
      <c r="J738" s="6"/>
      <c r="K738" s="6"/>
      <c r="L738" s="6"/>
      <c r="M738" s="6"/>
      <c r="N738" s="6"/>
      <c r="O738" s="6"/>
      <c r="P738" s="6"/>
      <c r="Q738" s="6"/>
      <c r="R738" s="6"/>
      <c r="S738" s="6"/>
      <c r="T738" s="6"/>
      <c r="U738" s="6"/>
      <c r="V738" s="6"/>
      <c r="W738" s="6"/>
      <c r="X738" s="6"/>
      <c r="Y738" s="6"/>
      <c r="Z738" s="6"/>
    </row>
    <row r="739" ht="12.75" customHeight="1">
      <c r="A739" s="76"/>
      <c r="B739" s="6"/>
      <c r="C739" s="77"/>
      <c r="D739" s="6"/>
      <c r="E739" s="6"/>
      <c r="F739" s="6"/>
      <c r="G739" s="6"/>
      <c r="H739" s="6"/>
      <c r="I739" s="6"/>
      <c r="J739" s="6"/>
      <c r="K739" s="6"/>
      <c r="L739" s="6"/>
      <c r="M739" s="6"/>
      <c r="N739" s="6"/>
      <c r="O739" s="6"/>
      <c r="P739" s="6"/>
      <c r="Q739" s="6"/>
      <c r="R739" s="6"/>
      <c r="S739" s="6"/>
      <c r="T739" s="6"/>
      <c r="U739" s="6"/>
      <c r="V739" s="6"/>
      <c r="W739" s="6"/>
      <c r="X739" s="6"/>
      <c r="Y739" s="6"/>
      <c r="Z739" s="6"/>
    </row>
    <row r="740" ht="12.75" customHeight="1">
      <c r="A740" s="76"/>
      <c r="B740" s="6"/>
      <c r="C740" s="77"/>
      <c r="D740" s="6"/>
      <c r="E740" s="6"/>
      <c r="F740" s="6"/>
      <c r="G740" s="6"/>
      <c r="H740" s="6"/>
      <c r="I740" s="6"/>
      <c r="J740" s="6"/>
      <c r="K740" s="6"/>
      <c r="L740" s="6"/>
      <c r="M740" s="6"/>
      <c r="N740" s="6"/>
      <c r="O740" s="6"/>
      <c r="P740" s="6"/>
      <c r="Q740" s="6"/>
      <c r="R740" s="6"/>
      <c r="S740" s="6"/>
      <c r="T740" s="6"/>
      <c r="U740" s="6"/>
      <c r="V740" s="6"/>
      <c r="W740" s="6"/>
      <c r="X740" s="6"/>
      <c r="Y740" s="6"/>
      <c r="Z740" s="6"/>
    </row>
    <row r="741" ht="12.75" customHeight="1">
      <c r="A741" s="76"/>
      <c r="B741" s="6"/>
      <c r="C741" s="77"/>
      <c r="D741" s="6"/>
      <c r="E741" s="6"/>
      <c r="F741" s="6"/>
      <c r="G741" s="6"/>
      <c r="H741" s="6"/>
      <c r="I741" s="6"/>
      <c r="J741" s="6"/>
      <c r="K741" s="6"/>
      <c r="L741" s="6"/>
      <c r="M741" s="6"/>
      <c r="N741" s="6"/>
      <c r="O741" s="6"/>
      <c r="P741" s="6"/>
      <c r="Q741" s="6"/>
      <c r="R741" s="6"/>
      <c r="S741" s="6"/>
      <c r="T741" s="6"/>
      <c r="U741" s="6"/>
      <c r="V741" s="6"/>
      <c r="W741" s="6"/>
      <c r="X741" s="6"/>
      <c r="Y741" s="6"/>
      <c r="Z741" s="6"/>
    </row>
    <row r="742" ht="12.75" customHeight="1">
      <c r="A742" s="76"/>
      <c r="B742" s="6"/>
      <c r="C742" s="77"/>
      <c r="D742" s="6"/>
      <c r="E742" s="6"/>
      <c r="F742" s="6"/>
      <c r="G742" s="6"/>
      <c r="H742" s="6"/>
      <c r="I742" s="6"/>
      <c r="J742" s="6"/>
      <c r="K742" s="6"/>
      <c r="L742" s="6"/>
      <c r="M742" s="6"/>
      <c r="N742" s="6"/>
      <c r="O742" s="6"/>
      <c r="P742" s="6"/>
      <c r="Q742" s="6"/>
      <c r="R742" s="6"/>
      <c r="S742" s="6"/>
      <c r="T742" s="6"/>
      <c r="U742" s="6"/>
      <c r="V742" s="6"/>
      <c r="W742" s="6"/>
      <c r="X742" s="6"/>
      <c r="Y742" s="6"/>
      <c r="Z742" s="6"/>
    </row>
    <row r="743" ht="12.75" customHeight="1">
      <c r="A743" s="76"/>
      <c r="B743" s="6"/>
      <c r="C743" s="77"/>
      <c r="D743" s="6"/>
      <c r="E743" s="6"/>
      <c r="F743" s="6"/>
      <c r="G743" s="6"/>
      <c r="H743" s="6"/>
      <c r="I743" s="6"/>
      <c r="J743" s="6"/>
      <c r="K743" s="6"/>
      <c r="L743" s="6"/>
      <c r="M743" s="6"/>
      <c r="N743" s="6"/>
      <c r="O743" s="6"/>
      <c r="P743" s="6"/>
      <c r="Q743" s="6"/>
      <c r="R743" s="6"/>
      <c r="S743" s="6"/>
      <c r="T743" s="6"/>
      <c r="U743" s="6"/>
      <c r="V743" s="6"/>
      <c r="W743" s="6"/>
      <c r="X743" s="6"/>
      <c r="Y743" s="6"/>
      <c r="Z743" s="6"/>
    </row>
    <row r="744" ht="12.75" customHeight="1">
      <c r="A744" s="76"/>
      <c r="B744" s="6"/>
      <c r="C744" s="77"/>
      <c r="D744" s="6"/>
      <c r="E744" s="6"/>
      <c r="F744" s="6"/>
      <c r="G744" s="6"/>
      <c r="H744" s="6"/>
      <c r="I744" s="6"/>
      <c r="J744" s="6"/>
      <c r="K744" s="6"/>
      <c r="L744" s="6"/>
      <c r="M744" s="6"/>
      <c r="N744" s="6"/>
      <c r="O744" s="6"/>
      <c r="P744" s="6"/>
      <c r="Q744" s="6"/>
      <c r="R744" s="6"/>
      <c r="S744" s="6"/>
      <c r="T744" s="6"/>
      <c r="U744" s="6"/>
      <c r="V744" s="6"/>
      <c r="W744" s="6"/>
      <c r="X744" s="6"/>
      <c r="Y744" s="6"/>
      <c r="Z744" s="6"/>
    </row>
    <row r="745" ht="12.75" customHeight="1">
      <c r="A745" s="76"/>
      <c r="B745" s="6"/>
      <c r="C745" s="77"/>
      <c r="D745" s="6"/>
      <c r="E745" s="6"/>
      <c r="F745" s="6"/>
      <c r="G745" s="6"/>
      <c r="H745" s="6"/>
      <c r="I745" s="6"/>
      <c r="J745" s="6"/>
      <c r="K745" s="6"/>
      <c r="L745" s="6"/>
      <c r="M745" s="6"/>
      <c r="N745" s="6"/>
      <c r="O745" s="6"/>
      <c r="P745" s="6"/>
      <c r="Q745" s="6"/>
      <c r="R745" s="6"/>
      <c r="S745" s="6"/>
      <c r="T745" s="6"/>
      <c r="U745" s="6"/>
      <c r="V745" s="6"/>
      <c r="W745" s="6"/>
      <c r="X745" s="6"/>
      <c r="Y745" s="6"/>
      <c r="Z745" s="6"/>
    </row>
    <row r="746" ht="12.75" customHeight="1">
      <c r="A746" s="76"/>
      <c r="B746" s="6"/>
      <c r="C746" s="77"/>
      <c r="D746" s="6"/>
      <c r="E746" s="6"/>
      <c r="F746" s="6"/>
      <c r="G746" s="6"/>
      <c r="H746" s="6"/>
      <c r="I746" s="6"/>
      <c r="J746" s="6"/>
      <c r="K746" s="6"/>
      <c r="L746" s="6"/>
      <c r="M746" s="6"/>
      <c r="N746" s="6"/>
      <c r="O746" s="6"/>
      <c r="P746" s="6"/>
      <c r="Q746" s="6"/>
      <c r="R746" s="6"/>
      <c r="S746" s="6"/>
      <c r="T746" s="6"/>
      <c r="U746" s="6"/>
      <c r="V746" s="6"/>
      <c r="W746" s="6"/>
      <c r="X746" s="6"/>
      <c r="Y746" s="6"/>
      <c r="Z746" s="6"/>
    </row>
    <row r="747" ht="12.75" customHeight="1">
      <c r="A747" s="76"/>
      <c r="B747" s="6"/>
      <c r="C747" s="77"/>
      <c r="D747" s="6"/>
      <c r="E747" s="6"/>
      <c r="F747" s="6"/>
      <c r="G747" s="6"/>
      <c r="H747" s="6"/>
      <c r="I747" s="6"/>
      <c r="J747" s="6"/>
      <c r="K747" s="6"/>
      <c r="L747" s="6"/>
      <c r="M747" s="6"/>
      <c r="N747" s="6"/>
      <c r="O747" s="6"/>
      <c r="P747" s="6"/>
      <c r="Q747" s="6"/>
      <c r="R747" s="6"/>
      <c r="S747" s="6"/>
      <c r="T747" s="6"/>
      <c r="U747" s="6"/>
      <c r="V747" s="6"/>
      <c r="W747" s="6"/>
      <c r="X747" s="6"/>
      <c r="Y747" s="6"/>
      <c r="Z747" s="6"/>
    </row>
    <row r="748" ht="12.75" customHeight="1">
      <c r="A748" s="76"/>
      <c r="B748" s="6"/>
      <c r="C748" s="77"/>
      <c r="D748" s="6"/>
      <c r="E748" s="6"/>
      <c r="F748" s="6"/>
      <c r="G748" s="6"/>
      <c r="H748" s="6"/>
      <c r="I748" s="6"/>
      <c r="J748" s="6"/>
      <c r="K748" s="6"/>
      <c r="L748" s="6"/>
      <c r="M748" s="6"/>
      <c r="N748" s="6"/>
      <c r="O748" s="6"/>
      <c r="P748" s="6"/>
      <c r="Q748" s="6"/>
      <c r="R748" s="6"/>
      <c r="S748" s="6"/>
      <c r="T748" s="6"/>
      <c r="U748" s="6"/>
      <c r="V748" s="6"/>
      <c r="W748" s="6"/>
      <c r="X748" s="6"/>
      <c r="Y748" s="6"/>
      <c r="Z748" s="6"/>
    </row>
    <row r="749" ht="12.75" customHeight="1">
      <c r="A749" s="76"/>
      <c r="B749" s="6"/>
      <c r="C749" s="77"/>
      <c r="D749" s="6"/>
      <c r="E749" s="6"/>
      <c r="F749" s="6"/>
      <c r="G749" s="6"/>
      <c r="H749" s="6"/>
      <c r="I749" s="6"/>
      <c r="J749" s="6"/>
      <c r="K749" s="6"/>
      <c r="L749" s="6"/>
      <c r="M749" s="6"/>
      <c r="N749" s="6"/>
      <c r="O749" s="6"/>
      <c r="P749" s="6"/>
      <c r="Q749" s="6"/>
      <c r="R749" s="6"/>
      <c r="S749" s="6"/>
      <c r="T749" s="6"/>
      <c r="U749" s="6"/>
      <c r="V749" s="6"/>
      <c r="W749" s="6"/>
      <c r="X749" s="6"/>
      <c r="Y749" s="6"/>
      <c r="Z749" s="6"/>
    </row>
    <row r="750" ht="12.75" customHeight="1">
      <c r="A750" s="76"/>
      <c r="B750" s="6"/>
      <c r="C750" s="77"/>
      <c r="D750" s="6"/>
      <c r="E750" s="6"/>
      <c r="F750" s="6"/>
      <c r="G750" s="6"/>
      <c r="H750" s="6"/>
      <c r="I750" s="6"/>
      <c r="J750" s="6"/>
      <c r="K750" s="6"/>
      <c r="L750" s="6"/>
      <c r="M750" s="6"/>
      <c r="N750" s="6"/>
      <c r="O750" s="6"/>
      <c r="P750" s="6"/>
      <c r="Q750" s="6"/>
      <c r="R750" s="6"/>
      <c r="S750" s="6"/>
      <c r="T750" s="6"/>
      <c r="U750" s="6"/>
      <c r="V750" s="6"/>
      <c r="W750" s="6"/>
      <c r="X750" s="6"/>
      <c r="Y750" s="6"/>
      <c r="Z750" s="6"/>
    </row>
    <row r="751" ht="12.75" customHeight="1">
      <c r="A751" s="76"/>
      <c r="B751" s="6"/>
      <c r="C751" s="77"/>
      <c r="D751" s="6"/>
      <c r="E751" s="6"/>
      <c r="F751" s="6"/>
      <c r="G751" s="6"/>
      <c r="H751" s="6"/>
      <c r="I751" s="6"/>
      <c r="J751" s="6"/>
      <c r="K751" s="6"/>
      <c r="L751" s="6"/>
      <c r="M751" s="6"/>
      <c r="N751" s="6"/>
      <c r="O751" s="6"/>
      <c r="P751" s="6"/>
      <c r="Q751" s="6"/>
      <c r="R751" s="6"/>
      <c r="S751" s="6"/>
      <c r="T751" s="6"/>
      <c r="U751" s="6"/>
      <c r="V751" s="6"/>
      <c r="W751" s="6"/>
      <c r="X751" s="6"/>
      <c r="Y751" s="6"/>
      <c r="Z751" s="6"/>
    </row>
    <row r="752" ht="12.75" customHeight="1">
      <c r="A752" s="76"/>
      <c r="B752" s="6"/>
      <c r="C752" s="77"/>
      <c r="D752" s="6"/>
      <c r="E752" s="6"/>
      <c r="F752" s="6"/>
      <c r="G752" s="6"/>
      <c r="H752" s="6"/>
      <c r="I752" s="6"/>
      <c r="J752" s="6"/>
      <c r="K752" s="6"/>
      <c r="L752" s="6"/>
      <c r="M752" s="6"/>
      <c r="N752" s="6"/>
      <c r="O752" s="6"/>
      <c r="P752" s="6"/>
      <c r="Q752" s="6"/>
      <c r="R752" s="6"/>
      <c r="S752" s="6"/>
      <c r="T752" s="6"/>
      <c r="U752" s="6"/>
      <c r="V752" s="6"/>
      <c r="W752" s="6"/>
      <c r="X752" s="6"/>
      <c r="Y752" s="6"/>
      <c r="Z752" s="6"/>
    </row>
    <row r="753" ht="12.75" customHeight="1">
      <c r="A753" s="76"/>
      <c r="B753" s="6"/>
      <c r="C753" s="77"/>
      <c r="D753" s="6"/>
      <c r="E753" s="6"/>
      <c r="F753" s="6"/>
      <c r="G753" s="6"/>
      <c r="H753" s="6"/>
      <c r="I753" s="6"/>
      <c r="J753" s="6"/>
      <c r="K753" s="6"/>
      <c r="L753" s="6"/>
      <c r="M753" s="6"/>
      <c r="N753" s="6"/>
      <c r="O753" s="6"/>
      <c r="P753" s="6"/>
      <c r="Q753" s="6"/>
      <c r="R753" s="6"/>
      <c r="S753" s="6"/>
      <c r="T753" s="6"/>
      <c r="U753" s="6"/>
      <c r="V753" s="6"/>
      <c r="W753" s="6"/>
      <c r="X753" s="6"/>
      <c r="Y753" s="6"/>
      <c r="Z753" s="6"/>
    </row>
    <row r="754" ht="12.75" customHeight="1">
      <c r="A754" s="76"/>
      <c r="B754" s="6"/>
      <c r="C754" s="77"/>
      <c r="D754" s="6"/>
      <c r="E754" s="6"/>
      <c r="F754" s="6"/>
      <c r="G754" s="6"/>
      <c r="H754" s="6"/>
      <c r="I754" s="6"/>
      <c r="J754" s="6"/>
      <c r="K754" s="6"/>
      <c r="L754" s="6"/>
      <c r="M754" s="6"/>
      <c r="N754" s="6"/>
      <c r="O754" s="6"/>
      <c r="P754" s="6"/>
      <c r="Q754" s="6"/>
      <c r="R754" s="6"/>
      <c r="S754" s="6"/>
      <c r="T754" s="6"/>
      <c r="U754" s="6"/>
      <c r="V754" s="6"/>
      <c r="W754" s="6"/>
      <c r="X754" s="6"/>
      <c r="Y754" s="6"/>
      <c r="Z754" s="6"/>
    </row>
    <row r="755" ht="12.75" customHeight="1">
      <c r="A755" s="76"/>
      <c r="B755" s="6"/>
      <c r="C755" s="77"/>
      <c r="D755" s="6"/>
      <c r="E755" s="6"/>
      <c r="F755" s="6"/>
      <c r="G755" s="6"/>
      <c r="H755" s="6"/>
      <c r="I755" s="6"/>
      <c r="J755" s="6"/>
      <c r="K755" s="6"/>
      <c r="L755" s="6"/>
      <c r="M755" s="6"/>
      <c r="N755" s="6"/>
      <c r="O755" s="6"/>
      <c r="P755" s="6"/>
      <c r="Q755" s="6"/>
      <c r="R755" s="6"/>
      <c r="S755" s="6"/>
      <c r="T755" s="6"/>
      <c r="U755" s="6"/>
      <c r="V755" s="6"/>
      <c r="W755" s="6"/>
      <c r="X755" s="6"/>
      <c r="Y755" s="6"/>
      <c r="Z755" s="6"/>
    </row>
    <row r="756" ht="12.75" customHeight="1">
      <c r="A756" s="76"/>
      <c r="B756" s="6"/>
      <c r="C756" s="77"/>
      <c r="D756" s="6"/>
      <c r="E756" s="6"/>
      <c r="F756" s="6"/>
      <c r="G756" s="6"/>
      <c r="H756" s="6"/>
      <c r="I756" s="6"/>
      <c r="J756" s="6"/>
      <c r="K756" s="6"/>
      <c r="L756" s="6"/>
      <c r="M756" s="6"/>
      <c r="N756" s="6"/>
      <c r="O756" s="6"/>
      <c r="P756" s="6"/>
      <c r="Q756" s="6"/>
      <c r="R756" s="6"/>
      <c r="S756" s="6"/>
      <c r="T756" s="6"/>
      <c r="U756" s="6"/>
      <c r="V756" s="6"/>
      <c r="W756" s="6"/>
      <c r="X756" s="6"/>
      <c r="Y756" s="6"/>
      <c r="Z756" s="6"/>
    </row>
    <row r="757" ht="12.75" customHeight="1">
      <c r="A757" s="76"/>
      <c r="B757" s="6"/>
      <c r="C757" s="77"/>
      <c r="D757" s="6"/>
      <c r="E757" s="6"/>
      <c r="F757" s="6"/>
      <c r="G757" s="6"/>
      <c r="H757" s="6"/>
      <c r="I757" s="6"/>
      <c r="J757" s="6"/>
      <c r="K757" s="6"/>
      <c r="L757" s="6"/>
      <c r="M757" s="6"/>
      <c r="N757" s="6"/>
      <c r="O757" s="6"/>
      <c r="P757" s="6"/>
      <c r="Q757" s="6"/>
      <c r="R757" s="6"/>
      <c r="S757" s="6"/>
      <c r="T757" s="6"/>
      <c r="U757" s="6"/>
      <c r="V757" s="6"/>
      <c r="W757" s="6"/>
      <c r="X757" s="6"/>
      <c r="Y757" s="6"/>
      <c r="Z757" s="6"/>
    </row>
    <row r="758" ht="12.75" customHeight="1">
      <c r="A758" s="76"/>
      <c r="B758" s="6"/>
      <c r="C758" s="77"/>
      <c r="D758" s="6"/>
      <c r="E758" s="6"/>
      <c r="F758" s="6"/>
      <c r="G758" s="6"/>
      <c r="H758" s="6"/>
      <c r="I758" s="6"/>
      <c r="J758" s="6"/>
      <c r="K758" s="6"/>
      <c r="L758" s="6"/>
      <c r="M758" s="6"/>
      <c r="N758" s="6"/>
      <c r="O758" s="6"/>
      <c r="P758" s="6"/>
      <c r="Q758" s="6"/>
      <c r="R758" s="6"/>
      <c r="S758" s="6"/>
      <c r="T758" s="6"/>
      <c r="U758" s="6"/>
      <c r="V758" s="6"/>
      <c r="W758" s="6"/>
      <c r="X758" s="6"/>
      <c r="Y758" s="6"/>
      <c r="Z758" s="6"/>
    </row>
    <row r="759" ht="12.75" customHeight="1">
      <c r="A759" s="76"/>
      <c r="B759" s="6"/>
      <c r="C759" s="77"/>
      <c r="D759" s="6"/>
      <c r="E759" s="6"/>
      <c r="F759" s="6"/>
      <c r="G759" s="6"/>
      <c r="H759" s="6"/>
      <c r="I759" s="6"/>
      <c r="J759" s="6"/>
      <c r="K759" s="6"/>
      <c r="L759" s="6"/>
      <c r="M759" s="6"/>
      <c r="N759" s="6"/>
      <c r="O759" s="6"/>
      <c r="P759" s="6"/>
      <c r="Q759" s="6"/>
      <c r="R759" s="6"/>
      <c r="S759" s="6"/>
      <c r="T759" s="6"/>
      <c r="U759" s="6"/>
      <c r="V759" s="6"/>
      <c r="W759" s="6"/>
      <c r="X759" s="6"/>
      <c r="Y759" s="6"/>
      <c r="Z759" s="6"/>
    </row>
    <row r="760" ht="12.75" customHeight="1">
      <c r="A760" s="76"/>
      <c r="B760" s="6"/>
      <c r="C760" s="77"/>
      <c r="D760" s="6"/>
      <c r="E760" s="6"/>
      <c r="F760" s="6"/>
      <c r="G760" s="6"/>
      <c r="H760" s="6"/>
      <c r="I760" s="6"/>
      <c r="J760" s="6"/>
      <c r="K760" s="6"/>
      <c r="L760" s="6"/>
      <c r="M760" s="6"/>
      <c r="N760" s="6"/>
      <c r="O760" s="6"/>
      <c r="P760" s="6"/>
      <c r="Q760" s="6"/>
      <c r="R760" s="6"/>
      <c r="S760" s="6"/>
      <c r="T760" s="6"/>
      <c r="U760" s="6"/>
      <c r="V760" s="6"/>
      <c r="W760" s="6"/>
      <c r="X760" s="6"/>
      <c r="Y760" s="6"/>
      <c r="Z760" s="6"/>
    </row>
    <row r="761" ht="12.75" customHeight="1">
      <c r="A761" s="76"/>
      <c r="B761" s="6"/>
      <c r="C761" s="77"/>
      <c r="D761" s="6"/>
      <c r="E761" s="6"/>
      <c r="F761" s="6"/>
      <c r="G761" s="6"/>
      <c r="H761" s="6"/>
      <c r="I761" s="6"/>
      <c r="J761" s="6"/>
      <c r="K761" s="6"/>
      <c r="L761" s="6"/>
      <c r="M761" s="6"/>
      <c r="N761" s="6"/>
      <c r="O761" s="6"/>
      <c r="P761" s="6"/>
      <c r="Q761" s="6"/>
      <c r="R761" s="6"/>
      <c r="S761" s="6"/>
      <c r="T761" s="6"/>
      <c r="U761" s="6"/>
      <c r="V761" s="6"/>
      <c r="W761" s="6"/>
      <c r="X761" s="6"/>
      <c r="Y761" s="6"/>
      <c r="Z761" s="6"/>
    </row>
    <row r="762" ht="12.75" customHeight="1">
      <c r="A762" s="76"/>
      <c r="B762" s="6"/>
      <c r="C762" s="77"/>
      <c r="D762" s="6"/>
      <c r="E762" s="6"/>
      <c r="F762" s="6"/>
      <c r="G762" s="6"/>
      <c r="H762" s="6"/>
      <c r="I762" s="6"/>
      <c r="J762" s="6"/>
      <c r="K762" s="6"/>
      <c r="L762" s="6"/>
      <c r="M762" s="6"/>
      <c r="N762" s="6"/>
      <c r="O762" s="6"/>
      <c r="P762" s="6"/>
      <c r="Q762" s="6"/>
      <c r="R762" s="6"/>
      <c r="S762" s="6"/>
      <c r="T762" s="6"/>
      <c r="U762" s="6"/>
      <c r="V762" s="6"/>
      <c r="W762" s="6"/>
      <c r="X762" s="6"/>
      <c r="Y762" s="6"/>
      <c r="Z762" s="6"/>
    </row>
    <row r="763" ht="12.75" customHeight="1">
      <c r="A763" s="76"/>
      <c r="B763" s="6"/>
      <c r="C763" s="77"/>
      <c r="D763" s="6"/>
      <c r="E763" s="6"/>
      <c r="F763" s="6"/>
      <c r="G763" s="6"/>
      <c r="H763" s="6"/>
      <c r="I763" s="6"/>
      <c r="J763" s="6"/>
      <c r="K763" s="6"/>
      <c r="L763" s="6"/>
      <c r="M763" s="6"/>
      <c r="N763" s="6"/>
      <c r="O763" s="6"/>
      <c r="P763" s="6"/>
      <c r="Q763" s="6"/>
      <c r="R763" s="6"/>
      <c r="S763" s="6"/>
      <c r="T763" s="6"/>
      <c r="U763" s="6"/>
      <c r="V763" s="6"/>
      <c r="W763" s="6"/>
      <c r="X763" s="6"/>
      <c r="Y763" s="6"/>
      <c r="Z763" s="6"/>
    </row>
    <row r="764" ht="12.75" customHeight="1">
      <c r="A764" s="76"/>
      <c r="B764" s="6"/>
      <c r="C764" s="77"/>
      <c r="D764" s="6"/>
      <c r="E764" s="6"/>
      <c r="F764" s="6"/>
      <c r="G764" s="6"/>
      <c r="H764" s="6"/>
      <c r="I764" s="6"/>
      <c r="J764" s="6"/>
      <c r="K764" s="6"/>
      <c r="L764" s="6"/>
      <c r="M764" s="6"/>
      <c r="N764" s="6"/>
      <c r="O764" s="6"/>
      <c r="P764" s="6"/>
      <c r="Q764" s="6"/>
      <c r="R764" s="6"/>
      <c r="S764" s="6"/>
      <c r="T764" s="6"/>
      <c r="U764" s="6"/>
      <c r="V764" s="6"/>
      <c r="W764" s="6"/>
      <c r="X764" s="6"/>
      <c r="Y764" s="6"/>
      <c r="Z764" s="6"/>
    </row>
    <row r="765" ht="12.75" customHeight="1">
      <c r="A765" s="76"/>
      <c r="B765" s="6"/>
      <c r="C765" s="77"/>
      <c r="D765" s="6"/>
      <c r="E765" s="6"/>
      <c r="F765" s="6"/>
      <c r="G765" s="6"/>
      <c r="H765" s="6"/>
      <c r="I765" s="6"/>
      <c r="J765" s="6"/>
      <c r="K765" s="6"/>
      <c r="L765" s="6"/>
      <c r="M765" s="6"/>
      <c r="N765" s="6"/>
      <c r="O765" s="6"/>
      <c r="P765" s="6"/>
      <c r="Q765" s="6"/>
      <c r="R765" s="6"/>
      <c r="S765" s="6"/>
      <c r="T765" s="6"/>
      <c r="U765" s="6"/>
      <c r="V765" s="6"/>
      <c r="W765" s="6"/>
      <c r="X765" s="6"/>
      <c r="Y765" s="6"/>
      <c r="Z765" s="6"/>
    </row>
    <row r="766" ht="12.75" customHeight="1">
      <c r="A766" s="76"/>
      <c r="B766" s="6"/>
      <c r="C766" s="77"/>
      <c r="D766" s="6"/>
      <c r="E766" s="6"/>
      <c r="F766" s="6"/>
      <c r="G766" s="6"/>
      <c r="H766" s="6"/>
      <c r="I766" s="6"/>
      <c r="J766" s="6"/>
      <c r="K766" s="6"/>
      <c r="L766" s="6"/>
      <c r="M766" s="6"/>
      <c r="N766" s="6"/>
      <c r="O766" s="6"/>
      <c r="P766" s="6"/>
      <c r="Q766" s="6"/>
      <c r="R766" s="6"/>
      <c r="S766" s="6"/>
      <c r="T766" s="6"/>
      <c r="U766" s="6"/>
      <c r="V766" s="6"/>
      <c r="W766" s="6"/>
      <c r="X766" s="6"/>
      <c r="Y766" s="6"/>
      <c r="Z766" s="6"/>
    </row>
    <row r="767" ht="12.75" customHeight="1">
      <c r="A767" s="76"/>
      <c r="B767" s="6"/>
      <c r="C767" s="77"/>
      <c r="D767" s="6"/>
      <c r="E767" s="6"/>
      <c r="F767" s="6"/>
      <c r="G767" s="6"/>
      <c r="H767" s="6"/>
      <c r="I767" s="6"/>
      <c r="J767" s="6"/>
      <c r="K767" s="6"/>
      <c r="L767" s="6"/>
      <c r="M767" s="6"/>
      <c r="N767" s="6"/>
      <c r="O767" s="6"/>
      <c r="P767" s="6"/>
      <c r="Q767" s="6"/>
      <c r="R767" s="6"/>
      <c r="S767" s="6"/>
      <c r="T767" s="6"/>
      <c r="U767" s="6"/>
      <c r="V767" s="6"/>
      <c r="W767" s="6"/>
      <c r="X767" s="6"/>
      <c r="Y767" s="6"/>
      <c r="Z767" s="6"/>
    </row>
    <row r="768" ht="12.75" customHeight="1">
      <c r="A768" s="76"/>
      <c r="B768" s="6"/>
      <c r="C768" s="77"/>
      <c r="D768" s="6"/>
      <c r="E768" s="6"/>
      <c r="F768" s="6"/>
      <c r="G768" s="6"/>
      <c r="H768" s="6"/>
      <c r="I768" s="6"/>
      <c r="J768" s="6"/>
      <c r="K768" s="6"/>
      <c r="L768" s="6"/>
      <c r="M768" s="6"/>
      <c r="N768" s="6"/>
      <c r="O768" s="6"/>
      <c r="P768" s="6"/>
      <c r="Q768" s="6"/>
      <c r="R768" s="6"/>
      <c r="S768" s="6"/>
      <c r="T768" s="6"/>
      <c r="U768" s="6"/>
      <c r="V768" s="6"/>
      <c r="W768" s="6"/>
      <c r="X768" s="6"/>
      <c r="Y768" s="6"/>
      <c r="Z768" s="6"/>
    </row>
    <row r="769" ht="12.75" customHeight="1">
      <c r="A769" s="76"/>
      <c r="B769" s="6"/>
      <c r="C769" s="77"/>
      <c r="D769" s="6"/>
      <c r="E769" s="6"/>
      <c r="F769" s="6"/>
      <c r="G769" s="6"/>
      <c r="H769" s="6"/>
      <c r="I769" s="6"/>
      <c r="J769" s="6"/>
      <c r="K769" s="6"/>
      <c r="L769" s="6"/>
      <c r="M769" s="6"/>
      <c r="N769" s="6"/>
      <c r="O769" s="6"/>
      <c r="P769" s="6"/>
      <c r="Q769" s="6"/>
      <c r="R769" s="6"/>
      <c r="S769" s="6"/>
      <c r="T769" s="6"/>
      <c r="U769" s="6"/>
      <c r="V769" s="6"/>
      <c r="W769" s="6"/>
      <c r="X769" s="6"/>
      <c r="Y769" s="6"/>
      <c r="Z769" s="6"/>
    </row>
    <row r="770" ht="12.75" customHeight="1">
      <c r="A770" s="76"/>
      <c r="B770" s="6"/>
      <c r="C770" s="77"/>
      <c r="D770" s="6"/>
      <c r="E770" s="6"/>
      <c r="F770" s="6"/>
      <c r="G770" s="6"/>
      <c r="H770" s="6"/>
      <c r="I770" s="6"/>
      <c r="J770" s="6"/>
      <c r="K770" s="6"/>
      <c r="L770" s="6"/>
      <c r="M770" s="6"/>
      <c r="N770" s="6"/>
      <c r="O770" s="6"/>
      <c r="P770" s="6"/>
      <c r="Q770" s="6"/>
      <c r="R770" s="6"/>
      <c r="S770" s="6"/>
      <c r="T770" s="6"/>
      <c r="U770" s="6"/>
      <c r="V770" s="6"/>
      <c r="W770" s="6"/>
      <c r="X770" s="6"/>
      <c r="Y770" s="6"/>
      <c r="Z770" s="6"/>
    </row>
    <row r="771" ht="12.75" customHeight="1">
      <c r="A771" s="76"/>
      <c r="B771" s="6"/>
      <c r="C771" s="77"/>
      <c r="D771" s="6"/>
      <c r="E771" s="6"/>
      <c r="F771" s="6"/>
      <c r="G771" s="6"/>
      <c r="H771" s="6"/>
      <c r="I771" s="6"/>
      <c r="J771" s="6"/>
      <c r="K771" s="6"/>
      <c r="L771" s="6"/>
      <c r="M771" s="6"/>
      <c r="N771" s="6"/>
      <c r="O771" s="6"/>
      <c r="P771" s="6"/>
      <c r="Q771" s="6"/>
      <c r="R771" s="6"/>
      <c r="S771" s="6"/>
      <c r="T771" s="6"/>
      <c r="U771" s="6"/>
      <c r="V771" s="6"/>
      <c r="W771" s="6"/>
      <c r="X771" s="6"/>
      <c r="Y771" s="6"/>
      <c r="Z771" s="6"/>
    </row>
    <row r="772" ht="12.75" customHeight="1">
      <c r="A772" s="76"/>
      <c r="B772" s="6"/>
      <c r="C772" s="77"/>
      <c r="D772" s="6"/>
      <c r="E772" s="6"/>
      <c r="F772" s="6"/>
      <c r="G772" s="6"/>
      <c r="H772" s="6"/>
      <c r="I772" s="6"/>
      <c r="J772" s="6"/>
      <c r="K772" s="6"/>
      <c r="L772" s="6"/>
      <c r="M772" s="6"/>
      <c r="N772" s="6"/>
      <c r="O772" s="6"/>
      <c r="P772" s="6"/>
      <c r="Q772" s="6"/>
      <c r="R772" s="6"/>
      <c r="S772" s="6"/>
      <c r="T772" s="6"/>
      <c r="U772" s="6"/>
      <c r="V772" s="6"/>
      <c r="W772" s="6"/>
      <c r="X772" s="6"/>
      <c r="Y772" s="6"/>
      <c r="Z772" s="6"/>
    </row>
    <row r="773" ht="12.75" customHeight="1">
      <c r="A773" s="76"/>
      <c r="B773" s="6"/>
      <c r="C773" s="77"/>
      <c r="D773" s="6"/>
      <c r="E773" s="6"/>
      <c r="F773" s="6"/>
      <c r="G773" s="6"/>
      <c r="H773" s="6"/>
      <c r="I773" s="6"/>
      <c r="J773" s="6"/>
      <c r="K773" s="6"/>
      <c r="L773" s="6"/>
      <c r="M773" s="6"/>
      <c r="N773" s="6"/>
      <c r="O773" s="6"/>
      <c r="P773" s="6"/>
      <c r="Q773" s="6"/>
      <c r="R773" s="6"/>
      <c r="S773" s="6"/>
      <c r="T773" s="6"/>
      <c r="U773" s="6"/>
      <c r="V773" s="6"/>
      <c r="W773" s="6"/>
      <c r="X773" s="6"/>
      <c r="Y773" s="6"/>
      <c r="Z773" s="6"/>
    </row>
    <row r="774" ht="12.75" customHeight="1">
      <c r="A774" s="76"/>
      <c r="B774" s="6"/>
      <c r="C774" s="77"/>
      <c r="D774" s="6"/>
      <c r="E774" s="6"/>
      <c r="F774" s="6"/>
      <c r="G774" s="6"/>
      <c r="H774" s="6"/>
      <c r="I774" s="6"/>
      <c r="J774" s="6"/>
      <c r="K774" s="6"/>
      <c r="L774" s="6"/>
      <c r="M774" s="6"/>
      <c r="N774" s="6"/>
      <c r="O774" s="6"/>
      <c r="P774" s="6"/>
      <c r="Q774" s="6"/>
      <c r="R774" s="6"/>
      <c r="S774" s="6"/>
      <c r="T774" s="6"/>
      <c r="U774" s="6"/>
      <c r="V774" s="6"/>
      <c r="W774" s="6"/>
      <c r="X774" s="6"/>
      <c r="Y774" s="6"/>
      <c r="Z774" s="6"/>
    </row>
    <row r="775" ht="12.75" customHeight="1">
      <c r="A775" s="76"/>
      <c r="B775" s="6"/>
      <c r="C775" s="77"/>
      <c r="D775" s="6"/>
      <c r="E775" s="6"/>
      <c r="F775" s="6"/>
      <c r="G775" s="6"/>
      <c r="H775" s="6"/>
      <c r="I775" s="6"/>
      <c r="J775" s="6"/>
      <c r="K775" s="6"/>
      <c r="L775" s="6"/>
      <c r="M775" s="6"/>
      <c r="N775" s="6"/>
      <c r="O775" s="6"/>
      <c r="P775" s="6"/>
      <c r="Q775" s="6"/>
      <c r="R775" s="6"/>
      <c r="S775" s="6"/>
      <c r="T775" s="6"/>
      <c r="U775" s="6"/>
      <c r="V775" s="6"/>
      <c r="W775" s="6"/>
      <c r="X775" s="6"/>
      <c r="Y775" s="6"/>
      <c r="Z775" s="6"/>
    </row>
    <row r="776" ht="12.75" customHeight="1">
      <c r="A776" s="76"/>
      <c r="B776" s="6"/>
      <c r="C776" s="77"/>
      <c r="D776" s="6"/>
      <c r="E776" s="6"/>
      <c r="F776" s="6"/>
      <c r="G776" s="6"/>
      <c r="H776" s="6"/>
      <c r="I776" s="6"/>
      <c r="J776" s="6"/>
      <c r="K776" s="6"/>
      <c r="L776" s="6"/>
      <c r="M776" s="6"/>
      <c r="N776" s="6"/>
      <c r="O776" s="6"/>
      <c r="P776" s="6"/>
      <c r="Q776" s="6"/>
      <c r="R776" s="6"/>
      <c r="S776" s="6"/>
      <c r="T776" s="6"/>
      <c r="U776" s="6"/>
      <c r="V776" s="6"/>
      <c r="W776" s="6"/>
      <c r="X776" s="6"/>
      <c r="Y776" s="6"/>
      <c r="Z776" s="6"/>
    </row>
    <row r="777" ht="12.75" customHeight="1">
      <c r="A777" s="76"/>
      <c r="B777" s="6"/>
      <c r="C777" s="77"/>
      <c r="D777" s="6"/>
      <c r="E777" s="6"/>
      <c r="F777" s="6"/>
      <c r="G777" s="6"/>
      <c r="H777" s="6"/>
      <c r="I777" s="6"/>
      <c r="J777" s="6"/>
      <c r="K777" s="6"/>
      <c r="L777" s="6"/>
      <c r="M777" s="6"/>
      <c r="N777" s="6"/>
      <c r="O777" s="6"/>
      <c r="P777" s="6"/>
      <c r="Q777" s="6"/>
      <c r="R777" s="6"/>
      <c r="S777" s="6"/>
      <c r="T777" s="6"/>
      <c r="U777" s="6"/>
      <c r="V777" s="6"/>
      <c r="W777" s="6"/>
      <c r="X777" s="6"/>
      <c r="Y777" s="6"/>
      <c r="Z777" s="6"/>
    </row>
    <row r="778" ht="12.75" customHeight="1">
      <c r="A778" s="76"/>
      <c r="B778" s="6"/>
      <c r="C778" s="77"/>
      <c r="D778" s="6"/>
      <c r="E778" s="6"/>
      <c r="F778" s="6"/>
      <c r="G778" s="6"/>
      <c r="H778" s="6"/>
      <c r="I778" s="6"/>
      <c r="J778" s="6"/>
      <c r="K778" s="6"/>
      <c r="L778" s="6"/>
      <c r="M778" s="6"/>
      <c r="N778" s="6"/>
      <c r="O778" s="6"/>
      <c r="P778" s="6"/>
      <c r="Q778" s="6"/>
      <c r="R778" s="6"/>
      <c r="S778" s="6"/>
      <c r="T778" s="6"/>
      <c r="U778" s="6"/>
      <c r="V778" s="6"/>
      <c r="W778" s="6"/>
      <c r="X778" s="6"/>
      <c r="Y778" s="6"/>
      <c r="Z778" s="6"/>
    </row>
    <row r="779" ht="12.75" customHeight="1">
      <c r="A779" s="76"/>
      <c r="B779" s="6"/>
      <c r="C779" s="77"/>
      <c r="D779" s="6"/>
      <c r="E779" s="6"/>
      <c r="F779" s="6"/>
      <c r="G779" s="6"/>
      <c r="H779" s="6"/>
      <c r="I779" s="6"/>
      <c r="J779" s="6"/>
      <c r="K779" s="6"/>
      <c r="L779" s="6"/>
      <c r="M779" s="6"/>
      <c r="N779" s="6"/>
      <c r="O779" s="6"/>
      <c r="P779" s="6"/>
      <c r="Q779" s="6"/>
      <c r="R779" s="6"/>
      <c r="S779" s="6"/>
      <c r="T779" s="6"/>
      <c r="U779" s="6"/>
      <c r="V779" s="6"/>
      <c r="W779" s="6"/>
      <c r="X779" s="6"/>
      <c r="Y779" s="6"/>
      <c r="Z779" s="6"/>
    </row>
    <row r="780" ht="12.75" customHeight="1">
      <c r="A780" s="76"/>
      <c r="B780" s="6"/>
      <c r="C780" s="77"/>
      <c r="D780" s="6"/>
      <c r="E780" s="6"/>
      <c r="F780" s="6"/>
      <c r="G780" s="6"/>
      <c r="H780" s="6"/>
      <c r="I780" s="6"/>
      <c r="J780" s="6"/>
      <c r="K780" s="6"/>
      <c r="L780" s="6"/>
      <c r="M780" s="6"/>
      <c r="N780" s="6"/>
      <c r="O780" s="6"/>
      <c r="P780" s="6"/>
      <c r="Q780" s="6"/>
      <c r="R780" s="6"/>
      <c r="S780" s="6"/>
      <c r="T780" s="6"/>
      <c r="U780" s="6"/>
      <c r="V780" s="6"/>
      <c r="W780" s="6"/>
      <c r="X780" s="6"/>
      <c r="Y780" s="6"/>
      <c r="Z780" s="6"/>
    </row>
    <row r="781" ht="12.75" customHeight="1">
      <c r="A781" s="76"/>
      <c r="B781" s="6"/>
      <c r="C781" s="77"/>
      <c r="D781" s="6"/>
      <c r="E781" s="6"/>
      <c r="F781" s="6"/>
      <c r="G781" s="6"/>
      <c r="H781" s="6"/>
      <c r="I781" s="6"/>
      <c r="J781" s="6"/>
      <c r="K781" s="6"/>
      <c r="L781" s="6"/>
      <c r="M781" s="6"/>
      <c r="N781" s="6"/>
      <c r="O781" s="6"/>
      <c r="P781" s="6"/>
      <c r="Q781" s="6"/>
      <c r="R781" s="6"/>
      <c r="S781" s="6"/>
      <c r="T781" s="6"/>
      <c r="U781" s="6"/>
      <c r="V781" s="6"/>
      <c r="W781" s="6"/>
      <c r="X781" s="6"/>
      <c r="Y781" s="6"/>
      <c r="Z781" s="6"/>
    </row>
    <row r="782" ht="12.75" customHeight="1">
      <c r="A782" s="76"/>
      <c r="B782" s="6"/>
      <c r="C782" s="77"/>
      <c r="D782" s="6"/>
      <c r="E782" s="6"/>
      <c r="F782" s="6"/>
      <c r="G782" s="6"/>
      <c r="H782" s="6"/>
      <c r="I782" s="6"/>
      <c r="J782" s="6"/>
      <c r="K782" s="6"/>
      <c r="L782" s="6"/>
      <c r="M782" s="6"/>
      <c r="N782" s="6"/>
      <c r="O782" s="6"/>
      <c r="P782" s="6"/>
      <c r="Q782" s="6"/>
      <c r="R782" s="6"/>
      <c r="S782" s="6"/>
      <c r="T782" s="6"/>
      <c r="U782" s="6"/>
      <c r="V782" s="6"/>
      <c r="W782" s="6"/>
      <c r="X782" s="6"/>
      <c r="Y782" s="6"/>
      <c r="Z782" s="6"/>
    </row>
    <row r="783" ht="12.75" customHeight="1">
      <c r="A783" s="76"/>
      <c r="B783" s="6"/>
      <c r="C783" s="77"/>
      <c r="D783" s="6"/>
      <c r="E783" s="6"/>
      <c r="F783" s="6"/>
      <c r="G783" s="6"/>
      <c r="H783" s="6"/>
      <c r="I783" s="6"/>
      <c r="J783" s="6"/>
      <c r="K783" s="6"/>
      <c r="L783" s="6"/>
      <c r="M783" s="6"/>
      <c r="N783" s="6"/>
      <c r="O783" s="6"/>
      <c r="P783" s="6"/>
      <c r="Q783" s="6"/>
      <c r="R783" s="6"/>
      <c r="S783" s="6"/>
      <c r="T783" s="6"/>
      <c r="U783" s="6"/>
      <c r="V783" s="6"/>
      <c r="W783" s="6"/>
      <c r="X783" s="6"/>
      <c r="Y783" s="6"/>
      <c r="Z783" s="6"/>
    </row>
    <row r="784" ht="12.75" customHeight="1">
      <c r="A784" s="76"/>
      <c r="B784" s="6"/>
      <c r="C784" s="77"/>
      <c r="D784" s="6"/>
      <c r="E784" s="6"/>
      <c r="F784" s="6"/>
      <c r="G784" s="6"/>
      <c r="H784" s="6"/>
      <c r="I784" s="6"/>
      <c r="J784" s="6"/>
      <c r="K784" s="6"/>
      <c r="L784" s="6"/>
      <c r="M784" s="6"/>
      <c r="N784" s="6"/>
      <c r="O784" s="6"/>
      <c r="P784" s="6"/>
      <c r="Q784" s="6"/>
      <c r="R784" s="6"/>
      <c r="S784" s="6"/>
      <c r="T784" s="6"/>
      <c r="U784" s="6"/>
      <c r="V784" s="6"/>
      <c r="W784" s="6"/>
      <c r="X784" s="6"/>
      <c r="Y784" s="6"/>
      <c r="Z784" s="6"/>
    </row>
    <row r="785" ht="12.75" customHeight="1">
      <c r="A785" s="76"/>
      <c r="B785" s="6"/>
      <c r="C785" s="77"/>
      <c r="D785" s="6"/>
      <c r="E785" s="6"/>
      <c r="F785" s="6"/>
      <c r="G785" s="6"/>
      <c r="H785" s="6"/>
      <c r="I785" s="6"/>
      <c r="J785" s="6"/>
      <c r="K785" s="6"/>
      <c r="L785" s="6"/>
      <c r="M785" s="6"/>
      <c r="N785" s="6"/>
      <c r="O785" s="6"/>
      <c r="P785" s="6"/>
      <c r="Q785" s="6"/>
      <c r="R785" s="6"/>
      <c r="S785" s="6"/>
      <c r="T785" s="6"/>
      <c r="U785" s="6"/>
      <c r="V785" s="6"/>
      <c r="W785" s="6"/>
      <c r="X785" s="6"/>
      <c r="Y785" s="6"/>
      <c r="Z785" s="6"/>
    </row>
    <row r="786" ht="12.75" customHeight="1">
      <c r="A786" s="76"/>
      <c r="B786" s="6"/>
      <c r="C786" s="77"/>
      <c r="D786" s="6"/>
      <c r="E786" s="6"/>
      <c r="F786" s="6"/>
      <c r="G786" s="6"/>
      <c r="H786" s="6"/>
      <c r="I786" s="6"/>
      <c r="J786" s="6"/>
      <c r="K786" s="6"/>
      <c r="L786" s="6"/>
      <c r="M786" s="6"/>
      <c r="N786" s="6"/>
      <c r="O786" s="6"/>
      <c r="P786" s="6"/>
      <c r="Q786" s="6"/>
      <c r="R786" s="6"/>
      <c r="S786" s="6"/>
      <c r="T786" s="6"/>
      <c r="U786" s="6"/>
      <c r="V786" s="6"/>
      <c r="W786" s="6"/>
      <c r="X786" s="6"/>
      <c r="Y786" s="6"/>
      <c r="Z786" s="6"/>
    </row>
    <row r="787" ht="12.75" customHeight="1">
      <c r="A787" s="76"/>
      <c r="B787" s="6"/>
      <c r="C787" s="77"/>
      <c r="D787" s="6"/>
      <c r="E787" s="6"/>
      <c r="F787" s="6"/>
      <c r="G787" s="6"/>
      <c r="H787" s="6"/>
      <c r="I787" s="6"/>
      <c r="J787" s="6"/>
      <c r="K787" s="6"/>
      <c r="L787" s="6"/>
      <c r="M787" s="6"/>
      <c r="N787" s="6"/>
      <c r="O787" s="6"/>
      <c r="P787" s="6"/>
      <c r="Q787" s="6"/>
      <c r="R787" s="6"/>
      <c r="S787" s="6"/>
      <c r="T787" s="6"/>
      <c r="U787" s="6"/>
      <c r="V787" s="6"/>
      <c r="W787" s="6"/>
      <c r="X787" s="6"/>
      <c r="Y787" s="6"/>
      <c r="Z787" s="6"/>
    </row>
    <row r="788" ht="12.75" customHeight="1">
      <c r="A788" s="76"/>
      <c r="B788" s="6"/>
      <c r="C788" s="77"/>
      <c r="D788" s="6"/>
      <c r="E788" s="6"/>
      <c r="F788" s="6"/>
      <c r="G788" s="6"/>
      <c r="H788" s="6"/>
      <c r="I788" s="6"/>
      <c r="J788" s="6"/>
      <c r="K788" s="6"/>
      <c r="L788" s="6"/>
      <c r="M788" s="6"/>
      <c r="N788" s="6"/>
      <c r="O788" s="6"/>
      <c r="P788" s="6"/>
      <c r="Q788" s="6"/>
      <c r="R788" s="6"/>
      <c r="S788" s="6"/>
      <c r="T788" s="6"/>
      <c r="U788" s="6"/>
      <c r="V788" s="6"/>
      <c r="W788" s="6"/>
      <c r="X788" s="6"/>
      <c r="Y788" s="6"/>
      <c r="Z788" s="6"/>
    </row>
    <row r="789" ht="12.75" customHeight="1">
      <c r="A789" s="76"/>
      <c r="B789" s="6"/>
      <c r="C789" s="77"/>
      <c r="D789" s="6"/>
      <c r="E789" s="6"/>
      <c r="F789" s="6"/>
      <c r="G789" s="6"/>
      <c r="H789" s="6"/>
      <c r="I789" s="6"/>
      <c r="J789" s="6"/>
      <c r="K789" s="6"/>
      <c r="L789" s="6"/>
      <c r="M789" s="6"/>
      <c r="N789" s="6"/>
      <c r="O789" s="6"/>
      <c r="P789" s="6"/>
      <c r="Q789" s="6"/>
      <c r="R789" s="6"/>
      <c r="S789" s="6"/>
      <c r="T789" s="6"/>
      <c r="U789" s="6"/>
      <c r="V789" s="6"/>
      <c r="W789" s="6"/>
      <c r="X789" s="6"/>
      <c r="Y789" s="6"/>
      <c r="Z789" s="6"/>
    </row>
    <row r="790" ht="12.75" customHeight="1">
      <c r="A790" s="76"/>
      <c r="B790" s="6"/>
      <c r="C790" s="77"/>
      <c r="D790" s="6"/>
      <c r="E790" s="6"/>
      <c r="F790" s="6"/>
      <c r="G790" s="6"/>
      <c r="H790" s="6"/>
      <c r="I790" s="6"/>
      <c r="J790" s="6"/>
      <c r="K790" s="6"/>
      <c r="L790" s="6"/>
      <c r="M790" s="6"/>
      <c r="N790" s="6"/>
      <c r="O790" s="6"/>
      <c r="P790" s="6"/>
      <c r="Q790" s="6"/>
      <c r="R790" s="6"/>
      <c r="S790" s="6"/>
      <c r="T790" s="6"/>
      <c r="U790" s="6"/>
      <c r="V790" s="6"/>
      <c r="W790" s="6"/>
      <c r="X790" s="6"/>
      <c r="Y790" s="6"/>
      <c r="Z790" s="6"/>
    </row>
    <row r="791" ht="12.75" customHeight="1">
      <c r="A791" s="76"/>
      <c r="B791" s="6"/>
      <c r="C791" s="77"/>
      <c r="D791" s="6"/>
      <c r="E791" s="6"/>
      <c r="F791" s="6"/>
      <c r="G791" s="6"/>
      <c r="H791" s="6"/>
      <c r="I791" s="6"/>
      <c r="J791" s="6"/>
      <c r="K791" s="6"/>
      <c r="L791" s="6"/>
      <c r="M791" s="6"/>
      <c r="N791" s="6"/>
      <c r="O791" s="6"/>
      <c r="P791" s="6"/>
      <c r="Q791" s="6"/>
      <c r="R791" s="6"/>
      <c r="S791" s="6"/>
      <c r="T791" s="6"/>
      <c r="U791" s="6"/>
      <c r="V791" s="6"/>
      <c r="W791" s="6"/>
      <c r="X791" s="6"/>
      <c r="Y791" s="6"/>
      <c r="Z791" s="6"/>
    </row>
    <row r="792" ht="12.75" customHeight="1">
      <c r="A792" s="76"/>
      <c r="B792" s="6"/>
      <c r="C792" s="77"/>
      <c r="D792" s="6"/>
      <c r="E792" s="6"/>
      <c r="F792" s="6"/>
      <c r="G792" s="6"/>
      <c r="H792" s="6"/>
      <c r="I792" s="6"/>
      <c r="J792" s="6"/>
      <c r="K792" s="6"/>
      <c r="L792" s="6"/>
      <c r="M792" s="6"/>
      <c r="N792" s="6"/>
      <c r="O792" s="6"/>
      <c r="P792" s="6"/>
      <c r="Q792" s="6"/>
      <c r="R792" s="6"/>
      <c r="S792" s="6"/>
      <c r="T792" s="6"/>
      <c r="U792" s="6"/>
      <c r="V792" s="6"/>
      <c r="W792" s="6"/>
      <c r="X792" s="6"/>
      <c r="Y792" s="6"/>
      <c r="Z792" s="6"/>
    </row>
    <row r="793" ht="12.75" customHeight="1">
      <c r="A793" s="76"/>
      <c r="B793" s="6"/>
      <c r="C793" s="77"/>
      <c r="D793" s="6"/>
      <c r="E793" s="6"/>
      <c r="F793" s="6"/>
      <c r="G793" s="6"/>
      <c r="H793" s="6"/>
      <c r="I793" s="6"/>
      <c r="J793" s="6"/>
      <c r="K793" s="6"/>
      <c r="L793" s="6"/>
      <c r="M793" s="6"/>
      <c r="N793" s="6"/>
      <c r="O793" s="6"/>
      <c r="P793" s="6"/>
      <c r="Q793" s="6"/>
      <c r="R793" s="6"/>
      <c r="S793" s="6"/>
      <c r="T793" s="6"/>
      <c r="U793" s="6"/>
      <c r="V793" s="6"/>
      <c r="W793" s="6"/>
      <c r="X793" s="6"/>
      <c r="Y793" s="6"/>
      <c r="Z793" s="6"/>
    </row>
    <row r="794" ht="12.75" customHeight="1">
      <c r="A794" s="76"/>
      <c r="B794" s="6"/>
      <c r="C794" s="77"/>
      <c r="D794" s="6"/>
      <c r="E794" s="6"/>
      <c r="F794" s="6"/>
      <c r="G794" s="6"/>
      <c r="H794" s="6"/>
      <c r="I794" s="6"/>
      <c r="J794" s="6"/>
      <c r="K794" s="6"/>
      <c r="L794" s="6"/>
      <c r="M794" s="6"/>
      <c r="N794" s="6"/>
      <c r="O794" s="6"/>
      <c r="P794" s="6"/>
      <c r="Q794" s="6"/>
      <c r="R794" s="6"/>
      <c r="S794" s="6"/>
      <c r="T794" s="6"/>
      <c r="U794" s="6"/>
      <c r="V794" s="6"/>
      <c r="W794" s="6"/>
      <c r="X794" s="6"/>
      <c r="Y794" s="6"/>
      <c r="Z794" s="6"/>
    </row>
    <row r="795" ht="12.75" customHeight="1">
      <c r="A795" s="76"/>
      <c r="B795" s="6"/>
      <c r="C795" s="77"/>
      <c r="D795" s="6"/>
      <c r="E795" s="6"/>
      <c r="F795" s="6"/>
      <c r="G795" s="6"/>
      <c r="H795" s="6"/>
      <c r="I795" s="6"/>
      <c r="J795" s="6"/>
      <c r="K795" s="6"/>
      <c r="L795" s="6"/>
      <c r="M795" s="6"/>
      <c r="N795" s="6"/>
      <c r="O795" s="6"/>
      <c r="P795" s="6"/>
      <c r="Q795" s="6"/>
      <c r="R795" s="6"/>
      <c r="S795" s="6"/>
      <c r="T795" s="6"/>
      <c r="U795" s="6"/>
      <c r="V795" s="6"/>
      <c r="W795" s="6"/>
      <c r="X795" s="6"/>
      <c r="Y795" s="6"/>
      <c r="Z795" s="6"/>
    </row>
    <row r="796" ht="12.75" customHeight="1">
      <c r="A796" s="76"/>
      <c r="B796" s="6"/>
      <c r="C796" s="77"/>
      <c r="D796" s="6"/>
      <c r="E796" s="6"/>
      <c r="F796" s="6"/>
      <c r="G796" s="6"/>
      <c r="H796" s="6"/>
      <c r="I796" s="6"/>
      <c r="J796" s="6"/>
      <c r="K796" s="6"/>
      <c r="L796" s="6"/>
      <c r="M796" s="6"/>
      <c r="N796" s="6"/>
      <c r="O796" s="6"/>
      <c r="P796" s="6"/>
      <c r="Q796" s="6"/>
      <c r="R796" s="6"/>
      <c r="S796" s="6"/>
      <c r="T796" s="6"/>
      <c r="U796" s="6"/>
      <c r="V796" s="6"/>
      <c r="W796" s="6"/>
      <c r="X796" s="6"/>
      <c r="Y796" s="6"/>
      <c r="Z796" s="6"/>
    </row>
    <row r="797" ht="12.75" customHeight="1">
      <c r="A797" s="76"/>
      <c r="B797" s="6"/>
      <c r="C797" s="77"/>
      <c r="D797" s="6"/>
      <c r="E797" s="6"/>
      <c r="F797" s="6"/>
      <c r="G797" s="6"/>
      <c r="H797" s="6"/>
      <c r="I797" s="6"/>
      <c r="J797" s="6"/>
      <c r="K797" s="6"/>
      <c r="L797" s="6"/>
      <c r="M797" s="6"/>
      <c r="N797" s="6"/>
      <c r="O797" s="6"/>
      <c r="P797" s="6"/>
      <c r="Q797" s="6"/>
      <c r="R797" s="6"/>
      <c r="S797" s="6"/>
      <c r="T797" s="6"/>
      <c r="U797" s="6"/>
      <c r="V797" s="6"/>
      <c r="W797" s="6"/>
      <c r="X797" s="6"/>
      <c r="Y797" s="6"/>
      <c r="Z797" s="6"/>
    </row>
    <row r="798" ht="12.75" customHeight="1">
      <c r="A798" s="76"/>
      <c r="B798" s="6"/>
      <c r="C798" s="77"/>
      <c r="D798" s="6"/>
      <c r="E798" s="6"/>
      <c r="F798" s="6"/>
      <c r="G798" s="6"/>
      <c r="H798" s="6"/>
      <c r="I798" s="6"/>
      <c r="J798" s="6"/>
      <c r="K798" s="6"/>
      <c r="L798" s="6"/>
      <c r="M798" s="6"/>
      <c r="N798" s="6"/>
      <c r="O798" s="6"/>
      <c r="P798" s="6"/>
      <c r="Q798" s="6"/>
      <c r="R798" s="6"/>
      <c r="S798" s="6"/>
      <c r="T798" s="6"/>
      <c r="U798" s="6"/>
      <c r="V798" s="6"/>
      <c r="W798" s="6"/>
      <c r="X798" s="6"/>
      <c r="Y798" s="6"/>
      <c r="Z798" s="6"/>
    </row>
    <row r="799" ht="12.75" customHeight="1">
      <c r="A799" s="76"/>
      <c r="B799" s="6"/>
      <c r="C799" s="77"/>
      <c r="D799" s="6"/>
      <c r="E799" s="6"/>
      <c r="F799" s="6"/>
      <c r="G799" s="6"/>
      <c r="H799" s="6"/>
      <c r="I799" s="6"/>
      <c r="J799" s="6"/>
      <c r="K799" s="6"/>
      <c r="L799" s="6"/>
      <c r="M799" s="6"/>
      <c r="N799" s="6"/>
      <c r="O799" s="6"/>
      <c r="P799" s="6"/>
      <c r="Q799" s="6"/>
      <c r="R799" s="6"/>
      <c r="S799" s="6"/>
      <c r="T799" s="6"/>
      <c r="U799" s="6"/>
      <c r="V799" s="6"/>
      <c r="W799" s="6"/>
      <c r="X799" s="6"/>
      <c r="Y799" s="6"/>
      <c r="Z799" s="6"/>
    </row>
    <row r="800" ht="12.75" customHeight="1">
      <c r="A800" s="76"/>
      <c r="B800" s="6"/>
      <c r="C800" s="77"/>
      <c r="D800" s="6"/>
      <c r="E800" s="6"/>
      <c r="F800" s="6"/>
      <c r="G800" s="6"/>
      <c r="H800" s="6"/>
      <c r="I800" s="6"/>
      <c r="J800" s="6"/>
      <c r="K800" s="6"/>
      <c r="L800" s="6"/>
      <c r="M800" s="6"/>
      <c r="N800" s="6"/>
      <c r="O800" s="6"/>
      <c r="P800" s="6"/>
      <c r="Q800" s="6"/>
      <c r="R800" s="6"/>
      <c r="S800" s="6"/>
      <c r="T800" s="6"/>
      <c r="U800" s="6"/>
      <c r="V800" s="6"/>
      <c r="W800" s="6"/>
      <c r="X800" s="6"/>
      <c r="Y800" s="6"/>
      <c r="Z800" s="6"/>
    </row>
    <row r="801" ht="12.75" customHeight="1">
      <c r="A801" s="76"/>
      <c r="B801" s="6"/>
      <c r="C801" s="77"/>
      <c r="D801" s="6"/>
      <c r="E801" s="6"/>
      <c r="F801" s="6"/>
      <c r="G801" s="6"/>
      <c r="H801" s="6"/>
      <c r="I801" s="6"/>
      <c r="J801" s="6"/>
      <c r="K801" s="6"/>
      <c r="L801" s="6"/>
      <c r="M801" s="6"/>
      <c r="N801" s="6"/>
      <c r="O801" s="6"/>
      <c r="P801" s="6"/>
      <c r="Q801" s="6"/>
      <c r="R801" s="6"/>
      <c r="S801" s="6"/>
      <c r="T801" s="6"/>
      <c r="U801" s="6"/>
      <c r="V801" s="6"/>
      <c r="W801" s="6"/>
      <c r="X801" s="6"/>
      <c r="Y801" s="6"/>
      <c r="Z801" s="6"/>
    </row>
    <row r="802" ht="12.75" customHeight="1">
      <c r="A802" s="76"/>
      <c r="B802" s="6"/>
      <c r="C802" s="77"/>
      <c r="D802" s="6"/>
      <c r="E802" s="6"/>
      <c r="F802" s="6"/>
      <c r="G802" s="6"/>
      <c r="H802" s="6"/>
      <c r="I802" s="6"/>
      <c r="J802" s="6"/>
      <c r="K802" s="6"/>
      <c r="L802" s="6"/>
      <c r="M802" s="6"/>
      <c r="N802" s="6"/>
      <c r="O802" s="6"/>
      <c r="P802" s="6"/>
      <c r="Q802" s="6"/>
      <c r="R802" s="6"/>
      <c r="S802" s="6"/>
      <c r="T802" s="6"/>
      <c r="U802" s="6"/>
      <c r="V802" s="6"/>
      <c r="W802" s="6"/>
      <c r="X802" s="6"/>
      <c r="Y802" s="6"/>
      <c r="Z802" s="6"/>
    </row>
    <row r="803" ht="12.75" customHeight="1">
      <c r="A803" s="76"/>
      <c r="B803" s="6"/>
      <c r="C803" s="77"/>
      <c r="D803" s="6"/>
      <c r="E803" s="6"/>
      <c r="F803" s="6"/>
      <c r="G803" s="6"/>
      <c r="H803" s="6"/>
      <c r="I803" s="6"/>
      <c r="J803" s="6"/>
      <c r="K803" s="6"/>
      <c r="L803" s="6"/>
      <c r="M803" s="6"/>
      <c r="N803" s="6"/>
      <c r="O803" s="6"/>
      <c r="P803" s="6"/>
      <c r="Q803" s="6"/>
      <c r="R803" s="6"/>
      <c r="S803" s="6"/>
      <c r="T803" s="6"/>
      <c r="U803" s="6"/>
      <c r="V803" s="6"/>
      <c r="W803" s="6"/>
      <c r="X803" s="6"/>
      <c r="Y803" s="6"/>
      <c r="Z803" s="6"/>
    </row>
    <row r="804" ht="12.75" customHeight="1">
      <c r="A804" s="76"/>
      <c r="B804" s="6"/>
      <c r="C804" s="77"/>
      <c r="D804" s="6"/>
      <c r="E804" s="6"/>
      <c r="F804" s="6"/>
      <c r="G804" s="6"/>
      <c r="H804" s="6"/>
      <c r="I804" s="6"/>
      <c r="J804" s="6"/>
      <c r="K804" s="6"/>
      <c r="L804" s="6"/>
      <c r="M804" s="6"/>
      <c r="N804" s="6"/>
      <c r="O804" s="6"/>
      <c r="P804" s="6"/>
      <c r="Q804" s="6"/>
      <c r="R804" s="6"/>
      <c r="S804" s="6"/>
      <c r="T804" s="6"/>
      <c r="U804" s="6"/>
      <c r="V804" s="6"/>
      <c r="W804" s="6"/>
      <c r="X804" s="6"/>
      <c r="Y804" s="6"/>
      <c r="Z804" s="6"/>
    </row>
    <row r="805" ht="12.75" customHeight="1">
      <c r="A805" s="76"/>
      <c r="B805" s="6"/>
      <c r="C805" s="77"/>
      <c r="D805" s="6"/>
      <c r="E805" s="6"/>
      <c r="F805" s="6"/>
      <c r="G805" s="6"/>
      <c r="H805" s="6"/>
      <c r="I805" s="6"/>
      <c r="J805" s="6"/>
      <c r="K805" s="6"/>
      <c r="L805" s="6"/>
      <c r="M805" s="6"/>
      <c r="N805" s="6"/>
      <c r="O805" s="6"/>
      <c r="P805" s="6"/>
      <c r="Q805" s="6"/>
      <c r="R805" s="6"/>
      <c r="S805" s="6"/>
      <c r="T805" s="6"/>
      <c r="U805" s="6"/>
      <c r="V805" s="6"/>
      <c r="W805" s="6"/>
      <c r="X805" s="6"/>
      <c r="Y805" s="6"/>
      <c r="Z805" s="6"/>
    </row>
    <row r="806" ht="12.75" customHeight="1">
      <c r="A806" s="76"/>
      <c r="B806" s="6"/>
      <c r="C806" s="77"/>
      <c r="D806" s="6"/>
      <c r="E806" s="6"/>
      <c r="F806" s="6"/>
      <c r="G806" s="6"/>
      <c r="H806" s="6"/>
      <c r="I806" s="6"/>
      <c r="J806" s="6"/>
      <c r="K806" s="6"/>
      <c r="L806" s="6"/>
      <c r="M806" s="6"/>
      <c r="N806" s="6"/>
      <c r="O806" s="6"/>
      <c r="P806" s="6"/>
      <c r="Q806" s="6"/>
      <c r="R806" s="6"/>
      <c r="S806" s="6"/>
      <c r="T806" s="6"/>
      <c r="U806" s="6"/>
      <c r="V806" s="6"/>
      <c r="W806" s="6"/>
      <c r="X806" s="6"/>
      <c r="Y806" s="6"/>
      <c r="Z806" s="6"/>
    </row>
    <row r="807" ht="12.75" customHeight="1">
      <c r="A807" s="76"/>
      <c r="B807" s="6"/>
      <c r="C807" s="77"/>
      <c r="D807" s="6"/>
      <c r="E807" s="6"/>
      <c r="F807" s="6"/>
      <c r="G807" s="6"/>
      <c r="H807" s="6"/>
      <c r="I807" s="6"/>
      <c r="J807" s="6"/>
      <c r="K807" s="6"/>
      <c r="L807" s="6"/>
      <c r="M807" s="6"/>
      <c r="N807" s="6"/>
      <c r="O807" s="6"/>
      <c r="P807" s="6"/>
      <c r="Q807" s="6"/>
      <c r="R807" s="6"/>
      <c r="S807" s="6"/>
      <c r="T807" s="6"/>
      <c r="U807" s="6"/>
      <c r="V807" s="6"/>
      <c r="W807" s="6"/>
      <c r="X807" s="6"/>
      <c r="Y807" s="6"/>
      <c r="Z807" s="6"/>
    </row>
    <row r="808" ht="12.75" customHeight="1">
      <c r="A808" s="76"/>
      <c r="B808" s="6"/>
      <c r="C808" s="77"/>
      <c r="D808" s="6"/>
      <c r="E808" s="6"/>
      <c r="F808" s="6"/>
      <c r="G808" s="6"/>
      <c r="H808" s="6"/>
      <c r="I808" s="6"/>
      <c r="J808" s="6"/>
      <c r="K808" s="6"/>
      <c r="L808" s="6"/>
      <c r="M808" s="6"/>
      <c r="N808" s="6"/>
      <c r="O808" s="6"/>
      <c r="P808" s="6"/>
      <c r="Q808" s="6"/>
      <c r="R808" s="6"/>
      <c r="S808" s="6"/>
      <c r="T808" s="6"/>
      <c r="U808" s="6"/>
      <c r="V808" s="6"/>
      <c r="W808" s="6"/>
      <c r="X808" s="6"/>
      <c r="Y808" s="6"/>
      <c r="Z808" s="6"/>
    </row>
    <row r="809" ht="12.75" customHeight="1">
      <c r="A809" s="76"/>
      <c r="B809" s="6"/>
      <c r="C809" s="77"/>
      <c r="D809" s="6"/>
      <c r="E809" s="6"/>
      <c r="F809" s="6"/>
      <c r="G809" s="6"/>
      <c r="H809" s="6"/>
      <c r="I809" s="6"/>
      <c r="J809" s="6"/>
      <c r="K809" s="6"/>
      <c r="L809" s="6"/>
      <c r="M809" s="6"/>
      <c r="N809" s="6"/>
      <c r="O809" s="6"/>
      <c r="P809" s="6"/>
      <c r="Q809" s="6"/>
      <c r="R809" s="6"/>
      <c r="S809" s="6"/>
      <c r="T809" s="6"/>
      <c r="U809" s="6"/>
      <c r="V809" s="6"/>
      <c r="W809" s="6"/>
      <c r="X809" s="6"/>
      <c r="Y809" s="6"/>
      <c r="Z809" s="6"/>
    </row>
    <row r="810" ht="12.75" customHeight="1">
      <c r="A810" s="76"/>
      <c r="B810" s="6"/>
      <c r="C810" s="77"/>
      <c r="D810" s="6"/>
      <c r="E810" s="6"/>
      <c r="F810" s="6"/>
      <c r="G810" s="6"/>
      <c r="H810" s="6"/>
      <c r="I810" s="6"/>
      <c r="J810" s="6"/>
      <c r="K810" s="6"/>
      <c r="L810" s="6"/>
      <c r="M810" s="6"/>
      <c r="N810" s="6"/>
      <c r="O810" s="6"/>
      <c r="P810" s="6"/>
      <c r="Q810" s="6"/>
      <c r="R810" s="6"/>
      <c r="S810" s="6"/>
      <c r="T810" s="6"/>
      <c r="U810" s="6"/>
      <c r="V810" s="6"/>
      <c r="W810" s="6"/>
      <c r="X810" s="6"/>
      <c r="Y810" s="6"/>
      <c r="Z810" s="6"/>
    </row>
    <row r="811" ht="12.75" customHeight="1">
      <c r="A811" s="76"/>
      <c r="B811" s="6"/>
      <c r="C811" s="77"/>
      <c r="D811" s="6"/>
      <c r="E811" s="6"/>
      <c r="F811" s="6"/>
      <c r="G811" s="6"/>
      <c r="H811" s="6"/>
      <c r="I811" s="6"/>
      <c r="J811" s="6"/>
      <c r="K811" s="6"/>
      <c r="L811" s="6"/>
      <c r="M811" s="6"/>
      <c r="N811" s="6"/>
      <c r="O811" s="6"/>
      <c r="P811" s="6"/>
      <c r="Q811" s="6"/>
      <c r="R811" s="6"/>
      <c r="S811" s="6"/>
      <c r="T811" s="6"/>
      <c r="U811" s="6"/>
      <c r="V811" s="6"/>
      <c r="W811" s="6"/>
      <c r="X811" s="6"/>
      <c r="Y811" s="6"/>
      <c r="Z811" s="6"/>
    </row>
    <row r="812" ht="12.75" customHeight="1">
      <c r="A812" s="76"/>
      <c r="B812" s="6"/>
      <c r="C812" s="77"/>
      <c r="D812" s="6"/>
      <c r="E812" s="6"/>
      <c r="F812" s="6"/>
      <c r="G812" s="6"/>
      <c r="H812" s="6"/>
      <c r="I812" s="6"/>
      <c r="J812" s="6"/>
      <c r="K812" s="6"/>
      <c r="L812" s="6"/>
      <c r="M812" s="6"/>
      <c r="N812" s="6"/>
      <c r="O812" s="6"/>
      <c r="P812" s="6"/>
      <c r="Q812" s="6"/>
      <c r="R812" s="6"/>
      <c r="S812" s="6"/>
      <c r="T812" s="6"/>
      <c r="U812" s="6"/>
      <c r="V812" s="6"/>
      <c r="W812" s="6"/>
      <c r="X812" s="6"/>
      <c r="Y812" s="6"/>
      <c r="Z812" s="6"/>
    </row>
    <row r="813" ht="12.75" customHeight="1">
      <c r="A813" s="76"/>
      <c r="B813" s="6"/>
      <c r="C813" s="77"/>
      <c r="D813" s="6"/>
      <c r="E813" s="6"/>
      <c r="F813" s="6"/>
      <c r="G813" s="6"/>
      <c r="H813" s="6"/>
      <c r="I813" s="6"/>
      <c r="J813" s="6"/>
      <c r="K813" s="6"/>
      <c r="L813" s="6"/>
      <c r="M813" s="6"/>
      <c r="N813" s="6"/>
      <c r="O813" s="6"/>
      <c r="P813" s="6"/>
      <c r="Q813" s="6"/>
      <c r="R813" s="6"/>
      <c r="S813" s="6"/>
      <c r="T813" s="6"/>
      <c r="U813" s="6"/>
      <c r="V813" s="6"/>
      <c r="W813" s="6"/>
      <c r="X813" s="6"/>
      <c r="Y813" s="6"/>
      <c r="Z813" s="6"/>
    </row>
    <row r="814" ht="12.75" customHeight="1">
      <c r="A814" s="76"/>
      <c r="B814" s="6"/>
      <c r="C814" s="77"/>
      <c r="D814" s="6"/>
      <c r="E814" s="6"/>
      <c r="F814" s="6"/>
      <c r="G814" s="6"/>
      <c r="H814" s="6"/>
      <c r="I814" s="6"/>
      <c r="J814" s="6"/>
      <c r="K814" s="6"/>
      <c r="L814" s="6"/>
      <c r="M814" s="6"/>
      <c r="N814" s="6"/>
      <c r="O814" s="6"/>
      <c r="P814" s="6"/>
      <c r="Q814" s="6"/>
      <c r="R814" s="6"/>
      <c r="S814" s="6"/>
      <c r="T814" s="6"/>
      <c r="U814" s="6"/>
      <c r="V814" s="6"/>
      <c r="W814" s="6"/>
      <c r="X814" s="6"/>
      <c r="Y814" s="6"/>
      <c r="Z814" s="6"/>
    </row>
    <row r="815" ht="12.75" customHeight="1">
      <c r="A815" s="76"/>
      <c r="B815" s="6"/>
      <c r="C815" s="77"/>
      <c r="D815" s="6"/>
      <c r="E815" s="6"/>
      <c r="F815" s="6"/>
      <c r="G815" s="6"/>
      <c r="H815" s="6"/>
      <c r="I815" s="6"/>
      <c r="J815" s="6"/>
      <c r="K815" s="6"/>
      <c r="L815" s="6"/>
      <c r="M815" s="6"/>
      <c r="N815" s="6"/>
      <c r="O815" s="6"/>
      <c r="P815" s="6"/>
      <c r="Q815" s="6"/>
      <c r="R815" s="6"/>
      <c r="S815" s="6"/>
      <c r="T815" s="6"/>
      <c r="U815" s="6"/>
      <c r="V815" s="6"/>
      <c r="W815" s="6"/>
      <c r="X815" s="6"/>
      <c r="Y815" s="6"/>
      <c r="Z815" s="6"/>
    </row>
    <row r="816" ht="12.75" customHeight="1">
      <c r="A816" s="76"/>
      <c r="B816" s="6"/>
      <c r="C816" s="77"/>
      <c r="D816" s="6"/>
      <c r="E816" s="6"/>
      <c r="F816" s="6"/>
      <c r="G816" s="6"/>
      <c r="H816" s="6"/>
      <c r="I816" s="6"/>
      <c r="J816" s="6"/>
      <c r="K816" s="6"/>
      <c r="L816" s="6"/>
      <c r="M816" s="6"/>
      <c r="N816" s="6"/>
      <c r="O816" s="6"/>
      <c r="P816" s="6"/>
      <c r="Q816" s="6"/>
      <c r="R816" s="6"/>
      <c r="S816" s="6"/>
      <c r="T816" s="6"/>
      <c r="U816" s="6"/>
      <c r="V816" s="6"/>
      <c r="W816" s="6"/>
      <c r="X816" s="6"/>
      <c r="Y816" s="6"/>
      <c r="Z816" s="6"/>
    </row>
    <row r="817" ht="12.75" customHeight="1">
      <c r="A817" s="76"/>
      <c r="B817" s="6"/>
      <c r="C817" s="77"/>
      <c r="D817" s="6"/>
      <c r="E817" s="6"/>
      <c r="F817" s="6"/>
      <c r="G817" s="6"/>
      <c r="H817" s="6"/>
      <c r="I817" s="6"/>
      <c r="J817" s="6"/>
      <c r="K817" s="6"/>
      <c r="L817" s="6"/>
      <c r="M817" s="6"/>
      <c r="N817" s="6"/>
      <c r="O817" s="6"/>
      <c r="P817" s="6"/>
      <c r="Q817" s="6"/>
      <c r="R817" s="6"/>
      <c r="S817" s="6"/>
      <c r="T817" s="6"/>
      <c r="U817" s="6"/>
      <c r="V817" s="6"/>
      <c r="W817" s="6"/>
      <c r="X817" s="6"/>
      <c r="Y817" s="6"/>
      <c r="Z817" s="6"/>
    </row>
    <row r="818" ht="12.75" customHeight="1">
      <c r="A818" s="76"/>
      <c r="B818" s="6"/>
      <c r="C818" s="77"/>
      <c r="D818" s="6"/>
      <c r="E818" s="6"/>
      <c r="F818" s="6"/>
      <c r="G818" s="6"/>
      <c r="H818" s="6"/>
      <c r="I818" s="6"/>
      <c r="J818" s="6"/>
      <c r="K818" s="6"/>
      <c r="L818" s="6"/>
      <c r="M818" s="6"/>
      <c r="N818" s="6"/>
      <c r="O818" s="6"/>
      <c r="P818" s="6"/>
      <c r="Q818" s="6"/>
      <c r="R818" s="6"/>
      <c r="S818" s="6"/>
      <c r="T818" s="6"/>
      <c r="U818" s="6"/>
      <c r="V818" s="6"/>
      <c r="W818" s="6"/>
      <c r="X818" s="6"/>
      <c r="Y818" s="6"/>
      <c r="Z818" s="6"/>
    </row>
    <row r="819" ht="12.75" customHeight="1">
      <c r="A819" s="76"/>
      <c r="B819" s="6"/>
      <c r="C819" s="77"/>
      <c r="D819" s="6"/>
      <c r="E819" s="6"/>
      <c r="F819" s="6"/>
      <c r="G819" s="6"/>
      <c r="H819" s="6"/>
      <c r="I819" s="6"/>
      <c r="J819" s="6"/>
      <c r="K819" s="6"/>
      <c r="L819" s="6"/>
      <c r="M819" s="6"/>
      <c r="N819" s="6"/>
      <c r="O819" s="6"/>
      <c r="P819" s="6"/>
      <c r="Q819" s="6"/>
      <c r="R819" s="6"/>
      <c r="S819" s="6"/>
      <c r="T819" s="6"/>
      <c r="U819" s="6"/>
      <c r="V819" s="6"/>
      <c r="W819" s="6"/>
      <c r="X819" s="6"/>
      <c r="Y819" s="6"/>
      <c r="Z819" s="6"/>
    </row>
    <row r="820" ht="12.75" customHeight="1">
      <c r="A820" s="76"/>
      <c r="B820" s="6"/>
      <c r="C820" s="77"/>
      <c r="D820" s="6"/>
      <c r="E820" s="6"/>
      <c r="F820" s="6"/>
      <c r="G820" s="6"/>
      <c r="H820" s="6"/>
      <c r="I820" s="6"/>
      <c r="J820" s="6"/>
      <c r="K820" s="6"/>
      <c r="L820" s="6"/>
      <c r="M820" s="6"/>
      <c r="N820" s="6"/>
      <c r="O820" s="6"/>
      <c r="P820" s="6"/>
      <c r="Q820" s="6"/>
      <c r="R820" s="6"/>
      <c r="S820" s="6"/>
      <c r="T820" s="6"/>
      <c r="U820" s="6"/>
      <c r="V820" s="6"/>
      <c r="W820" s="6"/>
      <c r="X820" s="6"/>
      <c r="Y820" s="6"/>
      <c r="Z820" s="6"/>
    </row>
    <row r="821" ht="12.75" customHeight="1">
      <c r="A821" s="76"/>
      <c r="B821" s="6"/>
      <c r="C821" s="77"/>
      <c r="D821" s="6"/>
      <c r="E821" s="6"/>
      <c r="F821" s="6"/>
      <c r="G821" s="6"/>
      <c r="H821" s="6"/>
      <c r="I821" s="6"/>
      <c r="J821" s="6"/>
      <c r="K821" s="6"/>
      <c r="L821" s="6"/>
      <c r="M821" s="6"/>
      <c r="N821" s="6"/>
      <c r="O821" s="6"/>
      <c r="P821" s="6"/>
      <c r="Q821" s="6"/>
      <c r="R821" s="6"/>
      <c r="S821" s="6"/>
      <c r="T821" s="6"/>
      <c r="U821" s="6"/>
      <c r="V821" s="6"/>
      <c r="W821" s="6"/>
      <c r="X821" s="6"/>
      <c r="Y821" s="6"/>
      <c r="Z821" s="6"/>
    </row>
    <row r="822" ht="12.75" customHeight="1">
      <c r="A822" s="76"/>
      <c r="B822" s="6"/>
      <c r="C822" s="77"/>
      <c r="D822" s="6"/>
      <c r="E822" s="6"/>
      <c r="F822" s="6"/>
      <c r="G822" s="6"/>
      <c r="H822" s="6"/>
      <c r="I822" s="6"/>
      <c r="J822" s="6"/>
      <c r="K822" s="6"/>
      <c r="L822" s="6"/>
      <c r="M822" s="6"/>
      <c r="N822" s="6"/>
      <c r="O822" s="6"/>
      <c r="P822" s="6"/>
      <c r="Q822" s="6"/>
      <c r="R822" s="6"/>
      <c r="S822" s="6"/>
      <c r="T822" s="6"/>
      <c r="U822" s="6"/>
      <c r="V822" s="6"/>
      <c r="W822" s="6"/>
      <c r="X822" s="6"/>
      <c r="Y822" s="6"/>
      <c r="Z822" s="6"/>
    </row>
    <row r="823" ht="12.75" customHeight="1">
      <c r="A823" s="76"/>
      <c r="B823" s="6"/>
      <c r="C823" s="77"/>
      <c r="D823" s="6"/>
      <c r="E823" s="6"/>
      <c r="F823" s="6"/>
      <c r="G823" s="6"/>
      <c r="H823" s="6"/>
      <c r="I823" s="6"/>
      <c r="J823" s="6"/>
      <c r="K823" s="6"/>
      <c r="L823" s="6"/>
      <c r="M823" s="6"/>
      <c r="N823" s="6"/>
      <c r="O823" s="6"/>
      <c r="P823" s="6"/>
      <c r="Q823" s="6"/>
      <c r="R823" s="6"/>
      <c r="S823" s="6"/>
      <c r="T823" s="6"/>
      <c r="U823" s="6"/>
      <c r="V823" s="6"/>
      <c r="W823" s="6"/>
      <c r="X823" s="6"/>
      <c r="Y823" s="6"/>
      <c r="Z823" s="6"/>
    </row>
    <row r="824" ht="12.75" customHeight="1">
      <c r="A824" s="76"/>
      <c r="B824" s="6"/>
      <c r="C824" s="77"/>
      <c r="D824" s="6"/>
      <c r="E824" s="6"/>
      <c r="F824" s="6"/>
      <c r="G824" s="6"/>
      <c r="H824" s="6"/>
      <c r="I824" s="6"/>
      <c r="J824" s="6"/>
      <c r="K824" s="6"/>
      <c r="L824" s="6"/>
      <c r="M824" s="6"/>
      <c r="N824" s="6"/>
      <c r="O824" s="6"/>
      <c r="P824" s="6"/>
      <c r="Q824" s="6"/>
      <c r="R824" s="6"/>
      <c r="S824" s="6"/>
      <c r="T824" s="6"/>
      <c r="U824" s="6"/>
      <c r="V824" s="6"/>
      <c r="W824" s="6"/>
      <c r="X824" s="6"/>
      <c r="Y824" s="6"/>
      <c r="Z824" s="6"/>
    </row>
    <row r="825" ht="12.75" customHeight="1">
      <c r="A825" s="76"/>
      <c r="B825" s="6"/>
      <c r="C825" s="77"/>
      <c r="D825" s="6"/>
      <c r="E825" s="6"/>
      <c r="F825" s="6"/>
      <c r="G825" s="6"/>
      <c r="H825" s="6"/>
      <c r="I825" s="6"/>
      <c r="J825" s="6"/>
      <c r="K825" s="6"/>
      <c r="L825" s="6"/>
      <c r="M825" s="6"/>
      <c r="N825" s="6"/>
      <c r="O825" s="6"/>
      <c r="P825" s="6"/>
      <c r="Q825" s="6"/>
      <c r="R825" s="6"/>
      <c r="S825" s="6"/>
      <c r="T825" s="6"/>
      <c r="U825" s="6"/>
      <c r="V825" s="6"/>
      <c r="W825" s="6"/>
      <c r="X825" s="6"/>
      <c r="Y825" s="6"/>
      <c r="Z825" s="6"/>
    </row>
    <row r="826" ht="12.75" customHeight="1">
      <c r="A826" s="76"/>
      <c r="B826" s="6"/>
      <c r="C826" s="77"/>
      <c r="D826" s="6"/>
      <c r="E826" s="6"/>
      <c r="F826" s="6"/>
      <c r="G826" s="6"/>
      <c r="H826" s="6"/>
      <c r="I826" s="6"/>
      <c r="J826" s="6"/>
      <c r="K826" s="6"/>
      <c r="L826" s="6"/>
      <c r="M826" s="6"/>
      <c r="N826" s="6"/>
      <c r="O826" s="6"/>
      <c r="P826" s="6"/>
      <c r="Q826" s="6"/>
      <c r="R826" s="6"/>
      <c r="S826" s="6"/>
      <c r="T826" s="6"/>
      <c r="U826" s="6"/>
      <c r="V826" s="6"/>
      <c r="W826" s="6"/>
      <c r="X826" s="6"/>
      <c r="Y826" s="6"/>
      <c r="Z826" s="6"/>
    </row>
    <row r="827" ht="12.75" customHeight="1">
      <c r="A827" s="76"/>
      <c r="B827" s="6"/>
      <c r="C827" s="77"/>
      <c r="D827" s="6"/>
      <c r="E827" s="6"/>
      <c r="F827" s="6"/>
      <c r="G827" s="6"/>
      <c r="H827" s="6"/>
      <c r="I827" s="6"/>
      <c r="J827" s="6"/>
      <c r="K827" s="6"/>
      <c r="L827" s="6"/>
      <c r="M827" s="6"/>
      <c r="N827" s="6"/>
      <c r="O827" s="6"/>
      <c r="P827" s="6"/>
      <c r="Q827" s="6"/>
      <c r="R827" s="6"/>
      <c r="S827" s="6"/>
      <c r="T827" s="6"/>
      <c r="U827" s="6"/>
      <c r="V827" s="6"/>
      <c r="W827" s="6"/>
      <c r="X827" s="6"/>
      <c r="Y827" s="6"/>
      <c r="Z827" s="6"/>
    </row>
    <row r="828" ht="12.75" customHeight="1">
      <c r="A828" s="76"/>
      <c r="B828" s="6"/>
      <c r="C828" s="77"/>
      <c r="D828" s="6"/>
      <c r="E828" s="6"/>
      <c r="F828" s="6"/>
      <c r="G828" s="6"/>
      <c r="H828" s="6"/>
      <c r="I828" s="6"/>
      <c r="J828" s="6"/>
      <c r="K828" s="6"/>
      <c r="L828" s="6"/>
      <c r="M828" s="6"/>
      <c r="N828" s="6"/>
      <c r="O828" s="6"/>
      <c r="P828" s="6"/>
      <c r="Q828" s="6"/>
      <c r="R828" s="6"/>
      <c r="S828" s="6"/>
      <c r="T828" s="6"/>
      <c r="U828" s="6"/>
      <c r="V828" s="6"/>
      <c r="W828" s="6"/>
      <c r="X828" s="6"/>
      <c r="Y828" s="6"/>
      <c r="Z828" s="6"/>
    </row>
    <row r="829" ht="12.75" customHeight="1">
      <c r="A829" s="76"/>
      <c r="B829" s="6"/>
      <c r="C829" s="77"/>
      <c r="D829" s="6"/>
      <c r="E829" s="6"/>
      <c r="F829" s="6"/>
      <c r="G829" s="6"/>
      <c r="H829" s="6"/>
      <c r="I829" s="6"/>
      <c r="J829" s="6"/>
      <c r="K829" s="6"/>
      <c r="L829" s="6"/>
      <c r="M829" s="6"/>
      <c r="N829" s="6"/>
      <c r="O829" s="6"/>
      <c r="P829" s="6"/>
      <c r="Q829" s="6"/>
      <c r="R829" s="6"/>
      <c r="S829" s="6"/>
      <c r="T829" s="6"/>
      <c r="U829" s="6"/>
      <c r="V829" s="6"/>
      <c r="W829" s="6"/>
      <c r="X829" s="6"/>
      <c r="Y829" s="6"/>
      <c r="Z829" s="6"/>
    </row>
    <row r="830" ht="12.75" customHeight="1">
      <c r="A830" s="76"/>
      <c r="B830" s="6"/>
      <c r="C830" s="77"/>
      <c r="D830" s="6"/>
      <c r="E830" s="6"/>
      <c r="F830" s="6"/>
      <c r="G830" s="6"/>
      <c r="H830" s="6"/>
      <c r="I830" s="6"/>
      <c r="J830" s="6"/>
      <c r="K830" s="6"/>
      <c r="L830" s="6"/>
      <c r="M830" s="6"/>
      <c r="N830" s="6"/>
      <c r="O830" s="6"/>
      <c r="P830" s="6"/>
      <c r="Q830" s="6"/>
      <c r="R830" s="6"/>
      <c r="S830" s="6"/>
      <c r="T830" s="6"/>
      <c r="U830" s="6"/>
      <c r="V830" s="6"/>
      <c r="W830" s="6"/>
      <c r="X830" s="6"/>
      <c r="Y830" s="6"/>
      <c r="Z830" s="6"/>
    </row>
    <row r="831" ht="12.75" customHeight="1">
      <c r="A831" s="76"/>
      <c r="B831" s="6"/>
      <c r="C831" s="77"/>
      <c r="D831" s="6"/>
      <c r="E831" s="6"/>
      <c r="F831" s="6"/>
      <c r="G831" s="6"/>
      <c r="H831" s="6"/>
      <c r="I831" s="6"/>
      <c r="J831" s="6"/>
      <c r="K831" s="6"/>
      <c r="L831" s="6"/>
      <c r="M831" s="6"/>
      <c r="N831" s="6"/>
      <c r="O831" s="6"/>
      <c r="P831" s="6"/>
      <c r="Q831" s="6"/>
      <c r="R831" s="6"/>
      <c r="S831" s="6"/>
      <c r="T831" s="6"/>
      <c r="U831" s="6"/>
      <c r="V831" s="6"/>
      <c r="W831" s="6"/>
      <c r="X831" s="6"/>
      <c r="Y831" s="6"/>
      <c r="Z831" s="6"/>
    </row>
    <row r="832" ht="12.75" customHeight="1">
      <c r="A832" s="76"/>
      <c r="B832" s="6"/>
      <c r="C832" s="77"/>
      <c r="D832" s="6"/>
      <c r="E832" s="6"/>
      <c r="F832" s="6"/>
      <c r="G832" s="6"/>
      <c r="H832" s="6"/>
      <c r="I832" s="6"/>
      <c r="J832" s="6"/>
      <c r="K832" s="6"/>
      <c r="L832" s="6"/>
      <c r="M832" s="6"/>
      <c r="N832" s="6"/>
      <c r="O832" s="6"/>
      <c r="P832" s="6"/>
      <c r="Q832" s="6"/>
      <c r="R832" s="6"/>
      <c r="S832" s="6"/>
      <c r="T832" s="6"/>
      <c r="U832" s="6"/>
      <c r="V832" s="6"/>
      <c r="W832" s="6"/>
      <c r="X832" s="6"/>
      <c r="Y832" s="6"/>
      <c r="Z832" s="6"/>
    </row>
    <row r="833" ht="12.75" customHeight="1">
      <c r="A833" s="76"/>
      <c r="B833" s="6"/>
      <c r="C833" s="77"/>
      <c r="D833" s="6"/>
      <c r="E833" s="6"/>
      <c r="F833" s="6"/>
      <c r="G833" s="6"/>
      <c r="H833" s="6"/>
      <c r="I833" s="6"/>
      <c r="J833" s="6"/>
      <c r="K833" s="6"/>
      <c r="L833" s="6"/>
      <c r="M833" s="6"/>
      <c r="N833" s="6"/>
      <c r="O833" s="6"/>
      <c r="P833" s="6"/>
      <c r="Q833" s="6"/>
      <c r="R833" s="6"/>
      <c r="S833" s="6"/>
      <c r="T833" s="6"/>
      <c r="U833" s="6"/>
      <c r="V833" s="6"/>
      <c r="W833" s="6"/>
      <c r="X833" s="6"/>
      <c r="Y833" s="6"/>
      <c r="Z833" s="6"/>
    </row>
    <row r="834" ht="12.75" customHeight="1">
      <c r="A834" s="76"/>
      <c r="B834" s="6"/>
      <c r="C834" s="77"/>
      <c r="D834" s="6"/>
      <c r="E834" s="6"/>
      <c r="F834" s="6"/>
      <c r="G834" s="6"/>
      <c r="H834" s="6"/>
      <c r="I834" s="6"/>
      <c r="J834" s="6"/>
      <c r="K834" s="6"/>
      <c r="L834" s="6"/>
      <c r="M834" s="6"/>
      <c r="N834" s="6"/>
      <c r="O834" s="6"/>
      <c r="P834" s="6"/>
      <c r="Q834" s="6"/>
      <c r="R834" s="6"/>
      <c r="S834" s="6"/>
      <c r="T834" s="6"/>
      <c r="U834" s="6"/>
      <c r="V834" s="6"/>
      <c r="W834" s="6"/>
      <c r="X834" s="6"/>
      <c r="Y834" s="6"/>
      <c r="Z834" s="6"/>
    </row>
    <row r="835" ht="12.75" customHeight="1">
      <c r="A835" s="76"/>
      <c r="B835" s="6"/>
      <c r="C835" s="77"/>
      <c r="D835" s="6"/>
      <c r="E835" s="6"/>
      <c r="F835" s="6"/>
      <c r="G835" s="6"/>
      <c r="H835" s="6"/>
      <c r="I835" s="6"/>
      <c r="J835" s="6"/>
      <c r="K835" s="6"/>
      <c r="L835" s="6"/>
      <c r="M835" s="6"/>
      <c r="N835" s="6"/>
      <c r="O835" s="6"/>
      <c r="P835" s="6"/>
      <c r="Q835" s="6"/>
      <c r="R835" s="6"/>
      <c r="S835" s="6"/>
      <c r="T835" s="6"/>
      <c r="U835" s="6"/>
      <c r="V835" s="6"/>
      <c r="W835" s="6"/>
      <c r="X835" s="6"/>
      <c r="Y835" s="6"/>
      <c r="Z835" s="6"/>
    </row>
    <row r="836" ht="12.75" customHeight="1">
      <c r="A836" s="76"/>
      <c r="B836" s="6"/>
      <c r="C836" s="77"/>
      <c r="D836" s="6"/>
      <c r="E836" s="6"/>
      <c r="F836" s="6"/>
      <c r="G836" s="6"/>
      <c r="H836" s="6"/>
      <c r="I836" s="6"/>
      <c r="J836" s="6"/>
      <c r="K836" s="6"/>
      <c r="L836" s="6"/>
      <c r="M836" s="6"/>
      <c r="N836" s="6"/>
      <c r="O836" s="6"/>
      <c r="P836" s="6"/>
      <c r="Q836" s="6"/>
      <c r="R836" s="6"/>
      <c r="S836" s="6"/>
      <c r="T836" s="6"/>
      <c r="U836" s="6"/>
      <c r="V836" s="6"/>
      <c r="W836" s="6"/>
      <c r="X836" s="6"/>
      <c r="Y836" s="6"/>
      <c r="Z836" s="6"/>
    </row>
    <row r="837" ht="12.75" customHeight="1">
      <c r="A837" s="76"/>
      <c r="B837" s="6"/>
      <c r="C837" s="77"/>
      <c r="D837" s="6"/>
      <c r="E837" s="6"/>
      <c r="F837" s="6"/>
      <c r="G837" s="6"/>
      <c r="H837" s="6"/>
      <c r="I837" s="6"/>
      <c r="J837" s="6"/>
      <c r="K837" s="6"/>
      <c r="L837" s="6"/>
      <c r="M837" s="6"/>
      <c r="N837" s="6"/>
      <c r="O837" s="6"/>
      <c r="P837" s="6"/>
      <c r="Q837" s="6"/>
      <c r="R837" s="6"/>
      <c r="S837" s="6"/>
      <c r="T837" s="6"/>
      <c r="U837" s="6"/>
      <c r="V837" s="6"/>
      <c r="W837" s="6"/>
      <c r="X837" s="6"/>
      <c r="Y837" s="6"/>
      <c r="Z837" s="6"/>
    </row>
    <row r="838" ht="12.75" customHeight="1">
      <c r="A838" s="76"/>
      <c r="B838" s="6"/>
      <c r="C838" s="77"/>
      <c r="D838" s="6"/>
      <c r="E838" s="6"/>
      <c r="F838" s="6"/>
      <c r="G838" s="6"/>
      <c r="H838" s="6"/>
      <c r="I838" s="6"/>
      <c r="J838" s="6"/>
      <c r="K838" s="6"/>
      <c r="L838" s="6"/>
      <c r="M838" s="6"/>
      <c r="N838" s="6"/>
      <c r="O838" s="6"/>
      <c r="P838" s="6"/>
      <c r="Q838" s="6"/>
      <c r="R838" s="6"/>
      <c r="S838" s="6"/>
      <c r="T838" s="6"/>
      <c r="U838" s="6"/>
      <c r="V838" s="6"/>
      <c r="W838" s="6"/>
      <c r="X838" s="6"/>
      <c r="Y838" s="6"/>
      <c r="Z838" s="6"/>
    </row>
    <row r="839" ht="12.75" customHeight="1">
      <c r="A839" s="76"/>
      <c r="B839" s="6"/>
      <c r="C839" s="77"/>
      <c r="D839" s="6"/>
      <c r="E839" s="6"/>
      <c r="F839" s="6"/>
      <c r="G839" s="6"/>
      <c r="H839" s="6"/>
      <c r="I839" s="6"/>
      <c r="J839" s="6"/>
      <c r="K839" s="6"/>
      <c r="L839" s="6"/>
      <c r="M839" s="6"/>
      <c r="N839" s="6"/>
      <c r="O839" s="6"/>
      <c r="P839" s="6"/>
      <c r="Q839" s="6"/>
      <c r="R839" s="6"/>
      <c r="S839" s="6"/>
      <c r="T839" s="6"/>
      <c r="U839" s="6"/>
      <c r="V839" s="6"/>
      <c r="W839" s="6"/>
      <c r="X839" s="6"/>
      <c r="Y839" s="6"/>
      <c r="Z839" s="6"/>
    </row>
    <row r="840" ht="12.75" customHeight="1">
      <c r="A840" s="76"/>
      <c r="B840" s="6"/>
      <c r="C840" s="77"/>
      <c r="D840" s="6"/>
      <c r="E840" s="6"/>
      <c r="F840" s="6"/>
      <c r="G840" s="6"/>
      <c r="H840" s="6"/>
      <c r="I840" s="6"/>
      <c r="J840" s="6"/>
      <c r="K840" s="6"/>
      <c r="L840" s="6"/>
      <c r="M840" s="6"/>
      <c r="N840" s="6"/>
      <c r="O840" s="6"/>
      <c r="P840" s="6"/>
      <c r="Q840" s="6"/>
      <c r="R840" s="6"/>
      <c r="S840" s="6"/>
      <c r="T840" s="6"/>
      <c r="U840" s="6"/>
      <c r="V840" s="6"/>
      <c r="W840" s="6"/>
      <c r="X840" s="6"/>
      <c r="Y840" s="6"/>
      <c r="Z840" s="6"/>
    </row>
    <row r="841" ht="12.75" customHeight="1">
      <c r="A841" s="76"/>
      <c r="B841" s="6"/>
      <c r="C841" s="77"/>
      <c r="D841" s="6"/>
      <c r="E841" s="6"/>
      <c r="F841" s="6"/>
      <c r="G841" s="6"/>
      <c r="H841" s="6"/>
      <c r="I841" s="6"/>
      <c r="J841" s="6"/>
      <c r="K841" s="6"/>
      <c r="L841" s="6"/>
      <c r="M841" s="6"/>
      <c r="N841" s="6"/>
      <c r="O841" s="6"/>
      <c r="P841" s="6"/>
      <c r="Q841" s="6"/>
      <c r="R841" s="6"/>
      <c r="S841" s="6"/>
      <c r="T841" s="6"/>
      <c r="U841" s="6"/>
      <c r="V841" s="6"/>
      <c r="W841" s="6"/>
      <c r="X841" s="6"/>
      <c r="Y841" s="6"/>
      <c r="Z841" s="6"/>
    </row>
    <row r="842" ht="12.75" customHeight="1">
      <c r="A842" s="76"/>
      <c r="B842" s="6"/>
      <c r="C842" s="77"/>
      <c r="D842" s="6"/>
      <c r="E842" s="6"/>
      <c r="F842" s="6"/>
      <c r="G842" s="6"/>
      <c r="H842" s="6"/>
      <c r="I842" s="6"/>
      <c r="J842" s="6"/>
      <c r="K842" s="6"/>
      <c r="L842" s="6"/>
      <c r="M842" s="6"/>
      <c r="N842" s="6"/>
      <c r="O842" s="6"/>
      <c r="P842" s="6"/>
      <c r="Q842" s="6"/>
      <c r="R842" s="6"/>
      <c r="S842" s="6"/>
      <c r="T842" s="6"/>
      <c r="U842" s="6"/>
      <c r="V842" s="6"/>
      <c r="W842" s="6"/>
      <c r="X842" s="6"/>
      <c r="Y842" s="6"/>
      <c r="Z842" s="6"/>
    </row>
    <row r="843" ht="12.75" customHeight="1">
      <c r="A843" s="76"/>
      <c r="B843" s="6"/>
      <c r="C843" s="77"/>
      <c r="D843" s="6"/>
      <c r="E843" s="6"/>
      <c r="F843" s="6"/>
      <c r="G843" s="6"/>
      <c r="H843" s="6"/>
      <c r="I843" s="6"/>
      <c r="J843" s="6"/>
      <c r="K843" s="6"/>
      <c r="L843" s="6"/>
      <c r="M843" s="6"/>
      <c r="N843" s="6"/>
      <c r="O843" s="6"/>
      <c r="P843" s="6"/>
      <c r="Q843" s="6"/>
      <c r="R843" s="6"/>
      <c r="S843" s="6"/>
      <c r="T843" s="6"/>
      <c r="U843" s="6"/>
      <c r="V843" s="6"/>
      <c r="W843" s="6"/>
      <c r="X843" s="6"/>
      <c r="Y843" s="6"/>
      <c r="Z843" s="6"/>
    </row>
    <row r="844" ht="12.75" customHeight="1">
      <c r="A844" s="76"/>
      <c r="B844" s="6"/>
      <c r="C844" s="77"/>
      <c r="D844" s="6"/>
      <c r="E844" s="6"/>
      <c r="F844" s="6"/>
      <c r="G844" s="6"/>
      <c r="H844" s="6"/>
      <c r="I844" s="6"/>
      <c r="J844" s="6"/>
      <c r="K844" s="6"/>
      <c r="L844" s="6"/>
      <c r="M844" s="6"/>
      <c r="N844" s="6"/>
      <c r="O844" s="6"/>
      <c r="P844" s="6"/>
      <c r="Q844" s="6"/>
      <c r="R844" s="6"/>
      <c r="S844" s="6"/>
      <c r="T844" s="6"/>
      <c r="U844" s="6"/>
      <c r="V844" s="6"/>
      <c r="W844" s="6"/>
      <c r="X844" s="6"/>
      <c r="Y844" s="6"/>
      <c r="Z844" s="6"/>
    </row>
    <row r="845" ht="12.75" customHeight="1">
      <c r="A845" s="76"/>
      <c r="B845" s="6"/>
      <c r="C845" s="77"/>
      <c r="D845" s="6"/>
      <c r="E845" s="6"/>
      <c r="F845" s="6"/>
      <c r="G845" s="6"/>
      <c r="H845" s="6"/>
      <c r="I845" s="6"/>
      <c r="J845" s="6"/>
      <c r="K845" s="6"/>
      <c r="L845" s="6"/>
      <c r="M845" s="6"/>
      <c r="N845" s="6"/>
      <c r="O845" s="6"/>
      <c r="P845" s="6"/>
      <c r="Q845" s="6"/>
      <c r="R845" s="6"/>
      <c r="S845" s="6"/>
      <c r="T845" s="6"/>
      <c r="U845" s="6"/>
      <c r="V845" s="6"/>
      <c r="W845" s="6"/>
      <c r="X845" s="6"/>
      <c r="Y845" s="6"/>
      <c r="Z845" s="6"/>
    </row>
    <row r="846" ht="12.75" customHeight="1">
      <c r="A846" s="76"/>
      <c r="B846" s="6"/>
      <c r="C846" s="77"/>
      <c r="D846" s="6"/>
      <c r="E846" s="6"/>
      <c r="F846" s="6"/>
      <c r="G846" s="6"/>
      <c r="H846" s="6"/>
      <c r="I846" s="6"/>
      <c r="J846" s="6"/>
      <c r="K846" s="6"/>
      <c r="L846" s="6"/>
      <c r="M846" s="6"/>
      <c r="N846" s="6"/>
      <c r="O846" s="6"/>
      <c r="P846" s="6"/>
      <c r="Q846" s="6"/>
      <c r="R846" s="6"/>
      <c r="S846" s="6"/>
      <c r="T846" s="6"/>
      <c r="U846" s="6"/>
      <c r="V846" s="6"/>
      <c r="W846" s="6"/>
      <c r="X846" s="6"/>
      <c r="Y846" s="6"/>
      <c r="Z846" s="6"/>
    </row>
    <row r="847" ht="12.75" customHeight="1">
      <c r="A847" s="76"/>
      <c r="B847" s="6"/>
      <c r="C847" s="77"/>
      <c r="D847" s="6"/>
      <c r="E847" s="6"/>
      <c r="F847" s="6"/>
      <c r="G847" s="6"/>
      <c r="H847" s="6"/>
      <c r="I847" s="6"/>
      <c r="J847" s="6"/>
      <c r="K847" s="6"/>
      <c r="L847" s="6"/>
      <c r="M847" s="6"/>
      <c r="N847" s="6"/>
      <c r="O847" s="6"/>
      <c r="P847" s="6"/>
      <c r="Q847" s="6"/>
      <c r="R847" s="6"/>
      <c r="S847" s="6"/>
      <c r="T847" s="6"/>
      <c r="U847" s="6"/>
      <c r="V847" s="6"/>
      <c r="W847" s="6"/>
      <c r="X847" s="6"/>
      <c r="Y847" s="6"/>
      <c r="Z847" s="6"/>
    </row>
    <row r="848" ht="12.75" customHeight="1">
      <c r="A848" s="76"/>
      <c r="B848" s="6"/>
      <c r="C848" s="77"/>
      <c r="D848" s="6"/>
      <c r="E848" s="6"/>
      <c r="F848" s="6"/>
      <c r="G848" s="6"/>
      <c r="H848" s="6"/>
      <c r="I848" s="6"/>
      <c r="J848" s="6"/>
      <c r="K848" s="6"/>
      <c r="L848" s="6"/>
      <c r="M848" s="6"/>
      <c r="N848" s="6"/>
      <c r="O848" s="6"/>
      <c r="P848" s="6"/>
      <c r="Q848" s="6"/>
      <c r="R848" s="6"/>
      <c r="S848" s="6"/>
      <c r="T848" s="6"/>
      <c r="U848" s="6"/>
      <c r="V848" s="6"/>
      <c r="W848" s="6"/>
      <c r="X848" s="6"/>
      <c r="Y848" s="6"/>
      <c r="Z848" s="6"/>
    </row>
    <row r="849" ht="12.75" customHeight="1">
      <c r="A849" s="76"/>
      <c r="B849" s="6"/>
      <c r="C849" s="77"/>
      <c r="D849" s="6"/>
      <c r="E849" s="6"/>
      <c r="F849" s="6"/>
      <c r="G849" s="6"/>
      <c r="H849" s="6"/>
      <c r="I849" s="6"/>
      <c r="J849" s="6"/>
      <c r="K849" s="6"/>
      <c r="L849" s="6"/>
      <c r="M849" s="6"/>
      <c r="N849" s="6"/>
      <c r="O849" s="6"/>
      <c r="P849" s="6"/>
      <c r="Q849" s="6"/>
      <c r="R849" s="6"/>
      <c r="S849" s="6"/>
      <c r="T849" s="6"/>
      <c r="U849" s="6"/>
      <c r="V849" s="6"/>
      <c r="W849" s="6"/>
      <c r="X849" s="6"/>
      <c r="Y849" s="6"/>
      <c r="Z849" s="6"/>
    </row>
    <row r="850" ht="12.75" customHeight="1">
      <c r="A850" s="76"/>
      <c r="B850" s="6"/>
      <c r="C850" s="77"/>
      <c r="D850" s="6"/>
      <c r="E850" s="6"/>
      <c r="F850" s="6"/>
      <c r="G850" s="6"/>
      <c r="H850" s="6"/>
      <c r="I850" s="6"/>
      <c r="J850" s="6"/>
      <c r="K850" s="6"/>
      <c r="L850" s="6"/>
      <c r="M850" s="6"/>
      <c r="N850" s="6"/>
      <c r="O850" s="6"/>
      <c r="P850" s="6"/>
      <c r="Q850" s="6"/>
      <c r="R850" s="6"/>
      <c r="S850" s="6"/>
      <c r="T850" s="6"/>
      <c r="U850" s="6"/>
      <c r="V850" s="6"/>
      <c r="W850" s="6"/>
      <c r="X850" s="6"/>
      <c r="Y850" s="6"/>
      <c r="Z850" s="6"/>
    </row>
    <row r="851" ht="12.75" customHeight="1">
      <c r="A851" s="76"/>
      <c r="B851" s="6"/>
      <c r="C851" s="77"/>
      <c r="D851" s="6"/>
      <c r="E851" s="6"/>
      <c r="F851" s="6"/>
      <c r="G851" s="6"/>
      <c r="H851" s="6"/>
      <c r="I851" s="6"/>
      <c r="J851" s="6"/>
      <c r="K851" s="6"/>
      <c r="L851" s="6"/>
      <c r="M851" s="6"/>
      <c r="N851" s="6"/>
      <c r="O851" s="6"/>
      <c r="P851" s="6"/>
      <c r="Q851" s="6"/>
      <c r="R851" s="6"/>
      <c r="S851" s="6"/>
      <c r="T851" s="6"/>
      <c r="U851" s="6"/>
      <c r="V851" s="6"/>
      <c r="W851" s="6"/>
      <c r="X851" s="6"/>
      <c r="Y851" s="6"/>
      <c r="Z851" s="6"/>
    </row>
    <row r="852" ht="12.75" customHeight="1">
      <c r="A852" s="76"/>
      <c r="B852" s="6"/>
      <c r="C852" s="77"/>
      <c r="D852" s="6"/>
      <c r="E852" s="6"/>
      <c r="F852" s="6"/>
      <c r="G852" s="6"/>
      <c r="H852" s="6"/>
      <c r="I852" s="6"/>
      <c r="J852" s="6"/>
      <c r="K852" s="6"/>
      <c r="L852" s="6"/>
      <c r="M852" s="6"/>
      <c r="N852" s="6"/>
      <c r="O852" s="6"/>
      <c r="P852" s="6"/>
      <c r="Q852" s="6"/>
      <c r="R852" s="6"/>
      <c r="S852" s="6"/>
      <c r="T852" s="6"/>
      <c r="U852" s="6"/>
      <c r="V852" s="6"/>
      <c r="W852" s="6"/>
      <c r="X852" s="6"/>
      <c r="Y852" s="6"/>
      <c r="Z852" s="6"/>
    </row>
    <row r="853" ht="12.75" customHeight="1">
      <c r="A853" s="76"/>
      <c r="B853" s="6"/>
      <c r="C853" s="77"/>
      <c r="D853" s="6"/>
      <c r="E853" s="6"/>
      <c r="F853" s="6"/>
      <c r="G853" s="6"/>
      <c r="H853" s="6"/>
      <c r="I853" s="6"/>
      <c r="J853" s="6"/>
      <c r="K853" s="6"/>
      <c r="L853" s="6"/>
      <c r="M853" s="6"/>
      <c r="N853" s="6"/>
      <c r="O853" s="6"/>
      <c r="P853" s="6"/>
      <c r="Q853" s="6"/>
      <c r="R853" s="6"/>
      <c r="S853" s="6"/>
      <c r="T853" s="6"/>
      <c r="U853" s="6"/>
      <c r="V853" s="6"/>
      <c r="W853" s="6"/>
      <c r="X853" s="6"/>
      <c r="Y853" s="6"/>
      <c r="Z853" s="6"/>
    </row>
    <row r="854" ht="12.75" customHeight="1">
      <c r="A854" s="76"/>
      <c r="B854" s="6"/>
      <c r="C854" s="77"/>
      <c r="D854" s="6"/>
      <c r="E854" s="6"/>
      <c r="F854" s="6"/>
      <c r="G854" s="6"/>
      <c r="H854" s="6"/>
      <c r="I854" s="6"/>
      <c r="J854" s="6"/>
      <c r="K854" s="6"/>
      <c r="L854" s="6"/>
      <c r="M854" s="6"/>
      <c r="N854" s="6"/>
      <c r="O854" s="6"/>
      <c r="P854" s="6"/>
      <c r="Q854" s="6"/>
      <c r="R854" s="6"/>
      <c r="S854" s="6"/>
      <c r="T854" s="6"/>
      <c r="U854" s="6"/>
      <c r="V854" s="6"/>
      <c r="W854" s="6"/>
      <c r="X854" s="6"/>
      <c r="Y854" s="6"/>
      <c r="Z854" s="6"/>
    </row>
    <row r="855" ht="12.75" customHeight="1">
      <c r="A855" s="76"/>
      <c r="B855" s="6"/>
      <c r="C855" s="77"/>
      <c r="D855" s="6"/>
      <c r="E855" s="6"/>
      <c r="F855" s="6"/>
      <c r="G855" s="6"/>
      <c r="H855" s="6"/>
      <c r="I855" s="6"/>
      <c r="J855" s="6"/>
      <c r="K855" s="6"/>
      <c r="L855" s="6"/>
      <c r="M855" s="6"/>
      <c r="N855" s="6"/>
      <c r="O855" s="6"/>
      <c r="P855" s="6"/>
      <c r="Q855" s="6"/>
      <c r="R855" s="6"/>
      <c r="S855" s="6"/>
      <c r="T855" s="6"/>
      <c r="U855" s="6"/>
      <c r="V855" s="6"/>
      <c r="W855" s="6"/>
      <c r="X855" s="6"/>
      <c r="Y855" s="6"/>
      <c r="Z855" s="6"/>
    </row>
    <row r="856" ht="12.75" customHeight="1">
      <c r="A856" s="76"/>
      <c r="B856" s="6"/>
      <c r="C856" s="77"/>
      <c r="D856" s="6"/>
      <c r="E856" s="6"/>
      <c r="F856" s="6"/>
      <c r="G856" s="6"/>
      <c r="H856" s="6"/>
      <c r="I856" s="6"/>
      <c r="J856" s="6"/>
      <c r="K856" s="6"/>
      <c r="L856" s="6"/>
      <c r="M856" s="6"/>
      <c r="N856" s="6"/>
      <c r="O856" s="6"/>
      <c r="P856" s="6"/>
      <c r="Q856" s="6"/>
      <c r="R856" s="6"/>
      <c r="S856" s="6"/>
      <c r="T856" s="6"/>
      <c r="U856" s="6"/>
      <c r="V856" s="6"/>
      <c r="W856" s="6"/>
      <c r="X856" s="6"/>
      <c r="Y856" s="6"/>
      <c r="Z856" s="6"/>
    </row>
    <row r="857" ht="12.75" customHeight="1">
      <c r="A857" s="76"/>
      <c r="B857" s="6"/>
      <c r="C857" s="77"/>
      <c r="D857" s="6"/>
      <c r="E857" s="6"/>
      <c r="F857" s="6"/>
      <c r="G857" s="6"/>
      <c r="H857" s="6"/>
      <c r="I857" s="6"/>
      <c r="J857" s="6"/>
      <c r="K857" s="6"/>
      <c r="L857" s="6"/>
      <c r="M857" s="6"/>
      <c r="N857" s="6"/>
      <c r="O857" s="6"/>
      <c r="P857" s="6"/>
      <c r="Q857" s="6"/>
      <c r="R857" s="6"/>
      <c r="S857" s="6"/>
      <c r="T857" s="6"/>
      <c r="U857" s="6"/>
      <c r="V857" s="6"/>
      <c r="W857" s="6"/>
      <c r="X857" s="6"/>
      <c r="Y857" s="6"/>
      <c r="Z857" s="6"/>
    </row>
    <row r="858" ht="12.75" customHeight="1">
      <c r="A858" s="76"/>
      <c r="B858" s="6"/>
      <c r="C858" s="77"/>
      <c r="D858" s="6"/>
      <c r="E858" s="6"/>
      <c r="F858" s="6"/>
      <c r="G858" s="6"/>
      <c r="H858" s="6"/>
      <c r="I858" s="6"/>
      <c r="J858" s="6"/>
      <c r="K858" s="6"/>
      <c r="L858" s="6"/>
      <c r="M858" s="6"/>
      <c r="N858" s="6"/>
      <c r="O858" s="6"/>
      <c r="P858" s="6"/>
      <c r="Q858" s="6"/>
      <c r="R858" s="6"/>
      <c r="S858" s="6"/>
      <c r="T858" s="6"/>
      <c r="U858" s="6"/>
      <c r="V858" s="6"/>
      <c r="W858" s="6"/>
      <c r="X858" s="6"/>
      <c r="Y858" s="6"/>
      <c r="Z858" s="6"/>
    </row>
    <row r="859" ht="12.75" customHeight="1">
      <c r="A859" s="76"/>
      <c r="B859" s="6"/>
      <c r="C859" s="77"/>
      <c r="D859" s="6"/>
      <c r="E859" s="6"/>
      <c r="F859" s="6"/>
      <c r="G859" s="6"/>
      <c r="H859" s="6"/>
      <c r="I859" s="6"/>
      <c r="J859" s="6"/>
      <c r="K859" s="6"/>
      <c r="L859" s="6"/>
      <c r="M859" s="6"/>
      <c r="N859" s="6"/>
      <c r="O859" s="6"/>
      <c r="P859" s="6"/>
      <c r="Q859" s="6"/>
      <c r="R859" s="6"/>
      <c r="S859" s="6"/>
      <c r="T859" s="6"/>
      <c r="U859" s="6"/>
      <c r="V859" s="6"/>
      <c r="W859" s="6"/>
      <c r="X859" s="6"/>
      <c r="Y859" s="6"/>
      <c r="Z859" s="6"/>
    </row>
    <row r="860" ht="12.75" customHeight="1">
      <c r="A860" s="76"/>
      <c r="B860" s="6"/>
      <c r="C860" s="77"/>
      <c r="D860" s="6"/>
      <c r="E860" s="6"/>
      <c r="F860" s="6"/>
      <c r="G860" s="6"/>
      <c r="H860" s="6"/>
      <c r="I860" s="6"/>
      <c r="J860" s="6"/>
      <c r="K860" s="6"/>
      <c r="L860" s="6"/>
      <c r="M860" s="6"/>
      <c r="N860" s="6"/>
      <c r="O860" s="6"/>
      <c r="P860" s="6"/>
      <c r="Q860" s="6"/>
      <c r="R860" s="6"/>
      <c r="S860" s="6"/>
      <c r="T860" s="6"/>
      <c r="U860" s="6"/>
      <c r="V860" s="6"/>
      <c r="W860" s="6"/>
      <c r="X860" s="6"/>
      <c r="Y860" s="6"/>
      <c r="Z860" s="6"/>
    </row>
    <row r="861" ht="12.75" customHeight="1">
      <c r="A861" s="76"/>
      <c r="B861" s="6"/>
      <c r="C861" s="77"/>
      <c r="D861" s="6"/>
      <c r="E861" s="6"/>
      <c r="F861" s="6"/>
      <c r="G861" s="6"/>
      <c r="H861" s="6"/>
      <c r="I861" s="6"/>
      <c r="J861" s="6"/>
      <c r="K861" s="6"/>
      <c r="L861" s="6"/>
      <c r="M861" s="6"/>
      <c r="N861" s="6"/>
      <c r="O861" s="6"/>
      <c r="P861" s="6"/>
      <c r="Q861" s="6"/>
      <c r="R861" s="6"/>
      <c r="S861" s="6"/>
      <c r="T861" s="6"/>
      <c r="U861" s="6"/>
      <c r="V861" s="6"/>
      <c r="W861" s="6"/>
      <c r="X861" s="6"/>
      <c r="Y861" s="6"/>
      <c r="Z861" s="6"/>
    </row>
    <row r="862" ht="12.75" customHeight="1">
      <c r="A862" s="76"/>
      <c r="B862" s="6"/>
      <c r="C862" s="77"/>
      <c r="D862" s="6"/>
      <c r="E862" s="6"/>
      <c r="F862" s="6"/>
      <c r="G862" s="6"/>
      <c r="H862" s="6"/>
      <c r="I862" s="6"/>
      <c r="J862" s="6"/>
      <c r="K862" s="6"/>
      <c r="L862" s="6"/>
      <c r="M862" s="6"/>
      <c r="N862" s="6"/>
      <c r="O862" s="6"/>
      <c r="P862" s="6"/>
      <c r="Q862" s="6"/>
      <c r="R862" s="6"/>
      <c r="S862" s="6"/>
      <c r="T862" s="6"/>
      <c r="U862" s="6"/>
      <c r="V862" s="6"/>
      <c r="W862" s="6"/>
      <c r="X862" s="6"/>
      <c r="Y862" s="6"/>
      <c r="Z862" s="6"/>
    </row>
    <row r="863" ht="12.75" customHeight="1">
      <c r="A863" s="76"/>
      <c r="B863" s="6"/>
      <c r="C863" s="77"/>
      <c r="D863" s="6"/>
      <c r="E863" s="6"/>
      <c r="F863" s="6"/>
      <c r="G863" s="6"/>
      <c r="H863" s="6"/>
      <c r="I863" s="6"/>
      <c r="J863" s="6"/>
      <c r="K863" s="6"/>
      <c r="L863" s="6"/>
      <c r="M863" s="6"/>
      <c r="N863" s="6"/>
      <c r="O863" s="6"/>
      <c r="P863" s="6"/>
      <c r="Q863" s="6"/>
      <c r="R863" s="6"/>
      <c r="S863" s="6"/>
      <c r="T863" s="6"/>
      <c r="U863" s="6"/>
      <c r="V863" s="6"/>
      <c r="W863" s="6"/>
      <c r="X863" s="6"/>
      <c r="Y863" s="6"/>
      <c r="Z863" s="6"/>
    </row>
    <row r="864" ht="12.75" customHeight="1">
      <c r="A864" s="76"/>
      <c r="B864" s="6"/>
      <c r="C864" s="77"/>
      <c r="D864" s="6"/>
      <c r="E864" s="6"/>
      <c r="F864" s="6"/>
      <c r="G864" s="6"/>
      <c r="H864" s="6"/>
      <c r="I864" s="6"/>
      <c r="J864" s="6"/>
      <c r="K864" s="6"/>
      <c r="L864" s="6"/>
      <c r="M864" s="6"/>
      <c r="N864" s="6"/>
      <c r="O864" s="6"/>
      <c r="P864" s="6"/>
      <c r="Q864" s="6"/>
      <c r="R864" s="6"/>
      <c r="S864" s="6"/>
      <c r="T864" s="6"/>
      <c r="U864" s="6"/>
      <c r="V864" s="6"/>
      <c r="W864" s="6"/>
      <c r="X864" s="6"/>
      <c r="Y864" s="6"/>
      <c r="Z864" s="6"/>
    </row>
    <row r="865" ht="12.75" customHeight="1">
      <c r="A865" s="76"/>
      <c r="B865" s="6"/>
      <c r="C865" s="77"/>
      <c r="D865" s="6"/>
      <c r="E865" s="6"/>
      <c r="F865" s="6"/>
      <c r="G865" s="6"/>
      <c r="H865" s="6"/>
      <c r="I865" s="6"/>
      <c r="J865" s="6"/>
      <c r="K865" s="6"/>
      <c r="L865" s="6"/>
      <c r="M865" s="6"/>
      <c r="N865" s="6"/>
      <c r="O865" s="6"/>
      <c r="P865" s="6"/>
      <c r="Q865" s="6"/>
      <c r="R865" s="6"/>
      <c r="S865" s="6"/>
      <c r="T865" s="6"/>
      <c r="U865" s="6"/>
      <c r="V865" s="6"/>
      <c r="W865" s="6"/>
      <c r="X865" s="6"/>
      <c r="Y865" s="6"/>
      <c r="Z865" s="6"/>
    </row>
    <row r="866" ht="12.75" customHeight="1">
      <c r="A866" s="76"/>
      <c r="B866" s="6"/>
      <c r="C866" s="77"/>
      <c r="D866" s="6"/>
      <c r="E866" s="6"/>
      <c r="F866" s="6"/>
      <c r="G866" s="6"/>
      <c r="H866" s="6"/>
      <c r="I866" s="6"/>
      <c r="J866" s="6"/>
      <c r="K866" s="6"/>
      <c r="L866" s="6"/>
      <c r="M866" s="6"/>
      <c r="N866" s="6"/>
      <c r="O866" s="6"/>
      <c r="P866" s="6"/>
      <c r="Q866" s="6"/>
      <c r="R866" s="6"/>
      <c r="S866" s="6"/>
      <c r="T866" s="6"/>
      <c r="U866" s="6"/>
      <c r="V866" s="6"/>
      <c r="W866" s="6"/>
      <c r="X866" s="6"/>
      <c r="Y866" s="6"/>
      <c r="Z866" s="6"/>
    </row>
    <row r="867" ht="12.75" customHeight="1">
      <c r="A867" s="76"/>
      <c r="B867" s="6"/>
      <c r="C867" s="77"/>
      <c r="D867" s="6"/>
      <c r="E867" s="6"/>
      <c r="F867" s="6"/>
      <c r="G867" s="6"/>
      <c r="H867" s="6"/>
      <c r="I867" s="6"/>
      <c r="J867" s="6"/>
      <c r="K867" s="6"/>
      <c r="L867" s="6"/>
      <c r="M867" s="6"/>
      <c r="N867" s="6"/>
      <c r="O867" s="6"/>
      <c r="P867" s="6"/>
      <c r="Q867" s="6"/>
      <c r="R867" s="6"/>
      <c r="S867" s="6"/>
      <c r="T867" s="6"/>
      <c r="U867" s="6"/>
      <c r="V867" s="6"/>
      <c r="W867" s="6"/>
      <c r="X867" s="6"/>
      <c r="Y867" s="6"/>
      <c r="Z867" s="6"/>
    </row>
    <row r="868" ht="12.75" customHeight="1">
      <c r="A868" s="76"/>
      <c r="B868" s="6"/>
      <c r="C868" s="77"/>
      <c r="D868" s="6"/>
      <c r="E868" s="6"/>
      <c r="F868" s="6"/>
      <c r="G868" s="6"/>
      <c r="H868" s="6"/>
      <c r="I868" s="6"/>
      <c r="J868" s="6"/>
      <c r="K868" s="6"/>
      <c r="L868" s="6"/>
      <c r="M868" s="6"/>
      <c r="N868" s="6"/>
      <c r="O868" s="6"/>
      <c r="P868" s="6"/>
      <c r="Q868" s="6"/>
      <c r="R868" s="6"/>
      <c r="S868" s="6"/>
      <c r="T868" s="6"/>
      <c r="U868" s="6"/>
      <c r="V868" s="6"/>
      <c r="W868" s="6"/>
      <c r="X868" s="6"/>
      <c r="Y868" s="6"/>
      <c r="Z868" s="6"/>
    </row>
    <row r="869" ht="12.75" customHeight="1">
      <c r="A869" s="76"/>
      <c r="B869" s="6"/>
      <c r="C869" s="77"/>
      <c r="D869" s="6"/>
      <c r="E869" s="6"/>
      <c r="F869" s="6"/>
      <c r="G869" s="6"/>
      <c r="H869" s="6"/>
      <c r="I869" s="6"/>
      <c r="J869" s="6"/>
      <c r="K869" s="6"/>
      <c r="L869" s="6"/>
      <c r="M869" s="6"/>
      <c r="N869" s="6"/>
      <c r="O869" s="6"/>
      <c r="P869" s="6"/>
      <c r="Q869" s="6"/>
      <c r="R869" s="6"/>
      <c r="S869" s="6"/>
      <c r="T869" s="6"/>
      <c r="U869" s="6"/>
      <c r="V869" s="6"/>
      <c r="W869" s="6"/>
      <c r="X869" s="6"/>
      <c r="Y869" s="6"/>
      <c r="Z869" s="6"/>
    </row>
    <row r="870" ht="12.75" customHeight="1">
      <c r="A870" s="76"/>
      <c r="B870" s="6"/>
      <c r="C870" s="77"/>
      <c r="D870" s="6"/>
      <c r="E870" s="6"/>
      <c r="F870" s="6"/>
      <c r="G870" s="6"/>
      <c r="H870" s="6"/>
      <c r="I870" s="6"/>
      <c r="J870" s="6"/>
      <c r="K870" s="6"/>
      <c r="L870" s="6"/>
      <c r="M870" s="6"/>
      <c r="N870" s="6"/>
      <c r="O870" s="6"/>
      <c r="P870" s="6"/>
      <c r="Q870" s="6"/>
      <c r="R870" s="6"/>
      <c r="S870" s="6"/>
      <c r="T870" s="6"/>
      <c r="U870" s="6"/>
      <c r="V870" s="6"/>
      <c r="W870" s="6"/>
      <c r="X870" s="6"/>
      <c r="Y870" s="6"/>
      <c r="Z870" s="6"/>
    </row>
    <row r="871" ht="12.75" customHeight="1">
      <c r="A871" s="76"/>
      <c r="B871" s="6"/>
      <c r="C871" s="77"/>
      <c r="D871" s="6"/>
      <c r="E871" s="6"/>
      <c r="F871" s="6"/>
      <c r="G871" s="6"/>
      <c r="H871" s="6"/>
      <c r="I871" s="6"/>
      <c r="J871" s="6"/>
      <c r="K871" s="6"/>
      <c r="L871" s="6"/>
      <c r="M871" s="6"/>
      <c r="N871" s="6"/>
      <c r="O871" s="6"/>
      <c r="P871" s="6"/>
      <c r="Q871" s="6"/>
      <c r="R871" s="6"/>
      <c r="S871" s="6"/>
      <c r="T871" s="6"/>
      <c r="U871" s="6"/>
      <c r="V871" s="6"/>
      <c r="W871" s="6"/>
      <c r="X871" s="6"/>
      <c r="Y871" s="6"/>
      <c r="Z871" s="6"/>
    </row>
    <row r="872" ht="12.75" customHeight="1">
      <c r="A872" s="76"/>
      <c r="B872" s="6"/>
      <c r="C872" s="77"/>
      <c r="D872" s="6"/>
      <c r="E872" s="6"/>
      <c r="F872" s="6"/>
      <c r="G872" s="6"/>
      <c r="H872" s="6"/>
      <c r="I872" s="6"/>
      <c r="J872" s="6"/>
      <c r="K872" s="6"/>
      <c r="L872" s="6"/>
      <c r="M872" s="6"/>
      <c r="N872" s="6"/>
      <c r="O872" s="6"/>
      <c r="P872" s="6"/>
      <c r="Q872" s="6"/>
      <c r="R872" s="6"/>
      <c r="S872" s="6"/>
      <c r="T872" s="6"/>
      <c r="U872" s="6"/>
      <c r="V872" s="6"/>
      <c r="W872" s="6"/>
      <c r="X872" s="6"/>
      <c r="Y872" s="6"/>
      <c r="Z872" s="6"/>
    </row>
    <row r="873" ht="12.75" customHeight="1">
      <c r="A873" s="76"/>
      <c r="B873" s="6"/>
      <c r="C873" s="77"/>
      <c r="D873" s="6"/>
      <c r="E873" s="6"/>
      <c r="F873" s="6"/>
      <c r="G873" s="6"/>
      <c r="H873" s="6"/>
      <c r="I873" s="6"/>
      <c r="J873" s="6"/>
      <c r="K873" s="6"/>
      <c r="L873" s="6"/>
      <c r="M873" s="6"/>
      <c r="N873" s="6"/>
      <c r="O873" s="6"/>
      <c r="P873" s="6"/>
      <c r="Q873" s="6"/>
      <c r="R873" s="6"/>
      <c r="S873" s="6"/>
      <c r="T873" s="6"/>
      <c r="U873" s="6"/>
      <c r="V873" s="6"/>
      <c r="W873" s="6"/>
      <c r="X873" s="6"/>
      <c r="Y873" s="6"/>
      <c r="Z873" s="6"/>
    </row>
    <row r="874" ht="12.75" customHeight="1">
      <c r="A874" s="76"/>
      <c r="B874" s="6"/>
      <c r="C874" s="77"/>
      <c r="D874" s="6"/>
      <c r="E874" s="6"/>
      <c r="F874" s="6"/>
      <c r="G874" s="6"/>
      <c r="H874" s="6"/>
      <c r="I874" s="6"/>
      <c r="J874" s="6"/>
      <c r="K874" s="6"/>
      <c r="L874" s="6"/>
      <c r="M874" s="6"/>
      <c r="N874" s="6"/>
      <c r="O874" s="6"/>
      <c r="P874" s="6"/>
      <c r="Q874" s="6"/>
      <c r="R874" s="6"/>
      <c r="S874" s="6"/>
      <c r="T874" s="6"/>
      <c r="U874" s="6"/>
      <c r="V874" s="6"/>
      <c r="W874" s="6"/>
      <c r="X874" s="6"/>
      <c r="Y874" s="6"/>
      <c r="Z874" s="6"/>
    </row>
    <row r="875" ht="12.75" customHeight="1">
      <c r="A875" s="76"/>
      <c r="B875" s="6"/>
      <c r="C875" s="77"/>
      <c r="D875" s="6"/>
      <c r="E875" s="6"/>
      <c r="F875" s="6"/>
      <c r="G875" s="6"/>
      <c r="H875" s="6"/>
      <c r="I875" s="6"/>
      <c r="J875" s="6"/>
      <c r="K875" s="6"/>
      <c r="L875" s="6"/>
      <c r="M875" s="6"/>
      <c r="N875" s="6"/>
      <c r="O875" s="6"/>
      <c r="P875" s="6"/>
      <c r="Q875" s="6"/>
      <c r="R875" s="6"/>
      <c r="S875" s="6"/>
      <c r="T875" s="6"/>
      <c r="U875" s="6"/>
      <c r="V875" s="6"/>
      <c r="W875" s="6"/>
      <c r="X875" s="6"/>
      <c r="Y875" s="6"/>
      <c r="Z875" s="6"/>
    </row>
    <row r="876" ht="12.75" customHeight="1">
      <c r="A876" s="76"/>
      <c r="B876" s="6"/>
      <c r="C876" s="77"/>
      <c r="D876" s="6"/>
      <c r="E876" s="6"/>
      <c r="F876" s="6"/>
      <c r="G876" s="6"/>
      <c r="H876" s="6"/>
      <c r="I876" s="6"/>
      <c r="J876" s="6"/>
      <c r="K876" s="6"/>
      <c r="L876" s="6"/>
      <c r="M876" s="6"/>
      <c r="N876" s="6"/>
      <c r="O876" s="6"/>
      <c r="P876" s="6"/>
      <c r="Q876" s="6"/>
      <c r="R876" s="6"/>
      <c r="S876" s="6"/>
      <c r="T876" s="6"/>
      <c r="U876" s="6"/>
      <c r="V876" s="6"/>
      <c r="W876" s="6"/>
      <c r="X876" s="6"/>
      <c r="Y876" s="6"/>
      <c r="Z876" s="6"/>
    </row>
    <row r="877" ht="12.75" customHeight="1">
      <c r="A877" s="76"/>
      <c r="B877" s="6"/>
      <c r="C877" s="77"/>
      <c r="D877" s="6"/>
      <c r="E877" s="6"/>
      <c r="F877" s="6"/>
      <c r="G877" s="6"/>
      <c r="H877" s="6"/>
      <c r="I877" s="6"/>
      <c r="J877" s="6"/>
      <c r="K877" s="6"/>
      <c r="L877" s="6"/>
      <c r="M877" s="6"/>
      <c r="N877" s="6"/>
      <c r="O877" s="6"/>
      <c r="P877" s="6"/>
      <c r="Q877" s="6"/>
      <c r="R877" s="6"/>
      <c r="S877" s="6"/>
      <c r="T877" s="6"/>
      <c r="U877" s="6"/>
      <c r="V877" s="6"/>
      <c r="W877" s="6"/>
      <c r="X877" s="6"/>
      <c r="Y877" s="6"/>
      <c r="Z877" s="6"/>
    </row>
    <row r="878" ht="12.75" customHeight="1">
      <c r="A878" s="76"/>
      <c r="B878" s="6"/>
      <c r="C878" s="77"/>
      <c r="D878" s="6"/>
      <c r="E878" s="6"/>
      <c r="F878" s="6"/>
      <c r="G878" s="6"/>
      <c r="H878" s="6"/>
      <c r="I878" s="6"/>
      <c r="J878" s="6"/>
      <c r="K878" s="6"/>
      <c r="L878" s="6"/>
      <c r="M878" s="6"/>
      <c r="N878" s="6"/>
      <c r="O878" s="6"/>
      <c r="P878" s="6"/>
      <c r="Q878" s="6"/>
      <c r="R878" s="6"/>
      <c r="S878" s="6"/>
      <c r="T878" s="6"/>
      <c r="U878" s="6"/>
      <c r="V878" s="6"/>
      <c r="W878" s="6"/>
      <c r="X878" s="6"/>
      <c r="Y878" s="6"/>
      <c r="Z878" s="6"/>
    </row>
    <row r="879" ht="12.75" customHeight="1">
      <c r="A879" s="76"/>
      <c r="B879" s="6"/>
      <c r="C879" s="77"/>
      <c r="D879" s="6"/>
      <c r="E879" s="6"/>
      <c r="F879" s="6"/>
      <c r="G879" s="6"/>
      <c r="H879" s="6"/>
      <c r="I879" s="6"/>
      <c r="J879" s="6"/>
      <c r="K879" s="6"/>
      <c r="L879" s="6"/>
      <c r="M879" s="6"/>
      <c r="N879" s="6"/>
      <c r="O879" s="6"/>
      <c r="P879" s="6"/>
      <c r="Q879" s="6"/>
      <c r="R879" s="6"/>
      <c r="S879" s="6"/>
      <c r="T879" s="6"/>
      <c r="U879" s="6"/>
      <c r="V879" s="6"/>
      <c r="W879" s="6"/>
      <c r="X879" s="6"/>
      <c r="Y879" s="6"/>
      <c r="Z879" s="6"/>
    </row>
    <row r="880" ht="12.75" customHeight="1">
      <c r="A880" s="76"/>
      <c r="B880" s="6"/>
      <c r="C880" s="77"/>
      <c r="D880" s="6"/>
      <c r="E880" s="6"/>
      <c r="F880" s="6"/>
      <c r="G880" s="6"/>
      <c r="H880" s="6"/>
      <c r="I880" s="6"/>
      <c r="J880" s="6"/>
      <c r="K880" s="6"/>
      <c r="L880" s="6"/>
      <c r="M880" s="6"/>
      <c r="N880" s="6"/>
      <c r="O880" s="6"/>
      <c r="P880" s="6"/>
      <c r="Q880" s="6"/>
      <c r="R880" s="6"/>
      <c r="S880" s="6"/>
      <c r="T880" s="6"/>
      <c r="U880" s="6"/>
      <c r="V880" s="6"/>
      <c r="W880" s="6"/>
      <c r="X880" s="6"/>
      <c r="Y880" s="6"/>
      <c r="Z880" s="6"/>
    </row>
    <row r="881" ht="12.75" customHeight="1">
      <c r="A881" s="76"/>
      <c r="B881" s="6"/>
      <c r="C881" s="77"/>
      <c r="D881" s="6"/>
      <c r="E881" s="6"/>
      <c r="F881" s="6"/>
      <c r="G881" s="6"/>
      <c r="H881" s="6"/>
      <c r="I881" s="6"/>
      <c r="J881" s="6"/>
      <c r="K881" s="6"/>
      <c r="L881" s="6"/>
      <c r="M881" s="6"/>
      <c r="N881" s="6"/>
      <c r="O881" s="6"/>
      <c r="P881" s="6"/>
      <c r="Q881" s="6"/>
      <c r="R881" s="6"/>
      <c r="S881" s="6"/>
      <c r="T881" s="6"/>
      <c r="U881" s="6"/>
      <c r="V881" s="6"/>
      <c r="W881" s="6"/>
      <c r="X881" s="6"/>
      <c r="Y881" s="6"/>
      <c r="Z881" s="6"/>
    </row>
    <row r="882" ht="12.75" customHeight="1">
      <c r="A882" s="76"/>
      <c r="B882" s="6"/>
      <c r="C882" s="77"/>
      <c r="D882" s="6"/>
      <c r="E882" s="6"/>
      <c r="F882" s="6"/>
      <c r="G882" s="6"/>
      <c r="H882" s="6"/>
      <c r="I882" s="6"/>
      <c r="J882" s="6"/>
      <c r="K882" s="6"/>
      <c r="L882" s="6"/>
      <c r="M882" s="6"/>
      <c r="N882" s="6"/>
      <c r="O882" s="6"/>
      <c r="P882" s="6"/>
      <c r="Q882" s="6"/>
      <c r="R882" s="6"/>
      <c r="S882" s="6"/>
      <c r="T882" s="6"/>
      <c r="U882" s="6"/>
      <c r="V882" s="6"/>
      <c r="W882" s="6"/>
      <c r="X882" s="6"/>
      <c r="Y882" s="6"/>
      <c r="Z882" s="6"/>
    </row>
    <row r="883" ht="12.75" customHeight="1">
      <c r="A883" s="76"/>
      <c r="B883" s="6"/>
      <c r="C883" s="77"/>
      <c r="D883" s="6"/>
      <c r="E883" s="6"/>
      <c r="F883" s="6"/>
      <c r="G883" s="6"/>
      <c r="H883" s="6"/>
      <c r="I883" s="6"/>
      <c r="J883" s="6"/>
      <c r="K883" s="6"/>
      <c r="L883" s="6"/>
      <c r="M883" s="6"/>
      <c r="N883" s="6"/>
      <c r="O883" s="6"/>
      <c r="P883" s="6"/>
      <c r="Q883" s="6"/>
      <c r="R883" s="6"/>
      <c r="S883" s="6"/>
      <c r="T883" s="6"/>
      <c r="U883" s="6"/>
      <c r="V883" s="6"/>
      <c r="W883" s="6"/>
      <c r="X883" s="6"/>
      <c r="Y883" s="6"/>
      <c r="Z883" s="6"/>
    </row>
    <row r="884" ht="12.75" customHeight="1">
      <c r="A884" s="76"/>
      <c r="B884" s="6"/>
      <c r="C884" s="77"/>
      <c r="D884" s="6"/>
      <c r="E884" s="6"/>
      <c r="F884" s="6"/>
      <c r="G884" s="6"/>
      <c r="H884" s="6"/>
      <c r="I884" s="6"/>
      <c r="J884" s="6"/>
      <c r="K884" s="6"/>
      <c r="L884" s="6"/>
      <c r="M884" s="6"/>
      <c r="N884" s="6"/>
      <c r="O884" s="6"/>
      <c r="P884" s="6"/>
      <c r="Q884" s="6"/>
      <c r="R884" s="6"/>
      <c r="S884" s="6"/>
      <c r="T884" s="6"/>
      <c r="U884" s="6"/>
      <c r="V884" s="6"/>
      <c r="W884" s="6"/>
      <c r="X884" s="6"/>
      <c r="Y884" s="6"/>
      <c r="Z884" s="6"/>
    </row>
    <row r="885" ht="12.75" customHeight="1">
      <c r="A885" s="76"/>
      <c r="B885" s="6"/>
      <c r="C885" s="77"/>
      <c r="D885" s="6"/>
      <c r="E885" s="6"/>
      <c r="F885" s="6"/>
      <c r="G885" s="6"/>
      <c r="H885" s="6"/>
      <c r="I885" s="6"/>
      <c r="J885" s="6"/>
      <c r="K885" s="6"/>
      <c r="L885" s="6"/>
      <c r="M885" s="6"/>
      <c r="N885" s="6"/>
      <c r="O885" s="6"/>
      <c r="P885" s="6"/>
      <c r="Q885" s="6"/>
      <c r="R885" s="6"/>
      <c r="S885" s="6"/>
      <c r="T885" s="6"/>
      <c r="U885" s="6"/>
      <c r="V885" s="6"/>
      <c r="W885" s="6"/>
      <c r="X885" s="6"/>
      <c r="Y885" s="6"/>
      <c r="Z885" s="6"/>
    </row>
    <row r="886" ht="12.75" customHeight="1">
      <c r="A886" s="76"/>
      <c r="B886" s="6"/>
      <c r="C886" s="77"/>
      <c r="D886" s="6"/>
      <c r="E886" s="6"/>
      <c r="F886" s="6"/>
      <c r="G886" s="6"/>
      <c r="H886" s="6"/>
      <c r="I886" s="6"/>
      <c r="J886" s="6"/>
      <c r="K886" s="6"/>
      <c r="L886" s="6"/>
      <c r="M886" s="6"/>
      <c r="N886" s="6"/>
      <c r="O886" s="6"/>
      <c r="P886" s="6"/>
      <c r="Q886" s="6"/>
      <c r="R886" s="6"/>
      <c r="S886" s="6"/>
      <c r="T886" s="6"/>
      <c r="U886" s="6"/>
      <c r="V886" s="6"/>
      <c r="W886" s="6"/>
      <c r="X886" s="6"/>
      <c r="Y886" s="6"/>
      <c r="Z886" s="6"/>
    </row>
    <row r="887" ht="12.75" customHeight="1">
      <c r="A887" s="76"/>
      <c r="B887" s="6"/>
      <c r="C887" s="77"/>
      <c r="D887" s="6"/>
      <c r="E887" s="6"/>
      <c r="F887" s="6"/>
      <c r="G887" s="6"/>
      <c r="H887" s="6"/>
      <c r="I887" s="6"/>
      <c r="J887" s="6"/>
      <c r="K887" s="6"/>
      <c r="L887" s="6"/>
      <c r="M887" s="6"/>
      <c r="N887" s="6"/>
      <c r="O887" s="6"/>
      <c r="P887" s="6"/>
      <c r="Q887" s="6"/>
      <c r="R887" s="6"/>
      <c r="S887" s="6"/>
      <c r="T887" s="6"/>
      <c r="U887" s="6"/>
      <c r="V887" s="6"/>
      <c r="W887" s="6"/>
      <c r="X887" s="6"/>
      <c r="Y887" s="6"/>
      <c r="Z887" s="6"/>
    </row>
    <row r="888" ht="12.75" customHeight="1">
      <c r="A888" s="76"/>
      <c r="B888" s="6"/>
      <c r="C888" s="77"/>
      <c r="D888" s="6"/>
      <c r="E888" s="6"/>
      <c r="F888" s="6"/>
      <c r="G888" s="6"/>
      <c r="H888" s="6"/>
      <c r="I888" s="6"/>
      <c r="J888" s="6"/>
      <c r="K888" s="6"/>
      <c r="L888" s="6"/>
      <c r="M888" s="6"/>
      <c r="N888" s="6"/>
      <c r="O888" s="6"/>
      <c r="P888" s="6"/>
      <c r="Q888" s="6"/>
      <c r="R888" s="6"/>
      <c r="S888" s="6"/>
      <c r="T888" s="6"/>
      <c r="U888" s="6"/>
      <c r="V888" s="6"/>
      <c r="W888" s="6"/>
      <c r="X888" s="6"/>
      <c r="Y888" s="6"/>
      <c r="Z888" s="6"/>
    </row>
    <row r="889" ht="12.75" customHeight="1">
      <c r="A889" s="76"/>
      <c r="B889" s="6"/>
      <c r="C889" s="77"/>
      <c r="D889" s="6"/>
      <c r="E889" s="6"/>
      <c r="F889" s="6"/>
      <c r="G889" s="6"/>
      <c r="H889" s="6"/>
      <c r="I889" s="6"/>
      <c r="J889" s="6"/>
      <c r="K889" s="6"/>
      <c r="L889" s="6"/>
      <c r="M889" s="6"/>
      <c r="N889" s="6"/>
      <c r="O889" s="6"/>
      <c r="P889" s="6"/>
      <c r="Q889" s="6"/>
      <c r="R889" s="6"/>
      <c r="S889" s="6"/>
      <c r="T889" s="6"/>
      <c r="U889" s="6"/>
      <c r="V889" s="6"/>
      <c r="W889" s="6"/>
      <c r="X889" s="6"/>
      <c r="Y889" s="6"/>
      <c r="Z889" s="6"/>
    </row>
    <row r="890" ht="12.75" customHeight="1">
      <c r="A890" s="76"/>
      <c r="B890" s="6"/>
      <c r="C890" s="77"/>
      <c r="D890" s="6"/>
      <c r="E890" s="6"/>
      <c r="F890" s="6"/>
      <c r="G890" s="6"/>
      <c r="H890" s="6"/>
      <c r="I890" s="6"/>
      <c r="J890" s="6"/>
      <c r="K890" s="6"/>
      <c r="L890" s="6"/>
      <c r="M890" s="6"/>
      <c r="N890" s="6"/>
      <c r="O890" s="6"/>
      <c r="P890" s="6"/>
      <c r="Q890" s="6"/>
      <c r="R890" s="6"/>
      <c r="S890" s="6"/>
      <c r="T890" s="6"/>
      <c r="U890" s="6"/>
      <c r="V890" s="6"/>
      <c r="W890" s="6"/>
      <c r="X890" s="6"/>
      <c r="Y890" s="6"/>
      <c r="Z890" s="6"/>
    </row>
    <row r="891" ht="12.75" customHeight="1">
      <c r="A891" s="76"/>
      <c r="B891" s="6"/>
      <c r="C891" s="77"/>
      <c r="D891" s="6"/>
      <c r="E891" s="6"/>
      <c r="F891" s="6"/>
      <c r="G891" s="6"/>
      <c r="H891" s="6"/>
      <c r="I891" s="6"/>
      <c r="J891" s="6"/>
      <c r="K891" s="6"/>
      <c r="L891" s="6"/>
      <c r="M891" s="6"/>
      <c r="N891" s="6"/>
      <c r="O891" s="6"/>
      <c r="P891" s="6"/>
      <c r="Q891" s="6"/>
      <c r="R891" s="6"/>
      <c r="S891" s="6"/>
      <c r="T891" s="6"/>
      <c r="U891" s="6"/>
      <c r="V891" s="6"/>
      <c r="W891" s="6"/>
      <c r="X891" s="6"/>
      <c r="Y891" s="6"/>
      <c r="Z891" s="6"/>
    </row>
    <row r="892" ht="12.75" customHeight="1">
      <c r="A892" s="76"/>
      <c r="B892" s="6"/>
      <c r="C892" s="77"/>
      <c r="D892" s="6"/>
      <c r="E892" s="6"/>
      <c r="F892" s="6"/>
      <c r="G892" s="6"/>
      <c r="H892" s="6"/>
      <c r="I892" s="6"/>
      <c r="J892" s="6"/>
      <c r="K892" s="6"/>
      <c r="L892" s="6"/>
      <c r="M892" s="6"/>
      <c r="N892" s="6"/>
      <c r="O892" s="6"/>
      <c r="P892" s="6"/>
      <c r="Q892" s="6"/>
      <c r="R892" s="6"/>
      <c r="S892" s="6"/>
      <c r="T892" s="6"/>
      <c r="U892" s="6"/>
      <c r="V892" s="6"/>
      <c r="W892" s="6"/>
      <c r="X892" s="6"/>
      <c r="Y892" s="6"/>
      <c r="Z892" s="6"/>
    </row>
    <row r="893" ht="12.75" customHeight="1">
      <c r="A893" s="76"/>
      <c r="B893" s="6"/>
      <c r="C893" s="77"/>
      <c r="D893" s="6"/>
      <c r="E893" s="6"/>
      <c r="F893" s="6"/>
      <c r="G893" s="6"/>
      <c r="H893" s="6"/>
      <c r="I893" s="6"/>
      <c r="J893" s="6"/>
      <c r="K893" s="6"/>
      <c r="L893" s="6"/>
      <c r="M893" s="6"/>
      <c r="N893" s="6"/>
      <c r="O893" s="6"/>
      <c r="P893" s="6"/>
      <c r="Q893" s="6"/>
      <c r="R893" s="6"/>
      <c r="S893" s="6"/>
      <c r="T893" s="6"/>
      <c r="U893" s="6"/>
      <c r="V893" s="6"/>
      <c r="W893" s="6"/>
      <c r="X893" s="6"/>
      <c r="Y893" s="6"/>
      <c r="Z893" s="6"/>
    </row>
    <row r="894" ht="12.75" customHeight="1">
      <c r="A894" s="76"/>
      <c r="B894" s="6"/>
      <c r="C894" s="77"/>
      <c r="D894" s="6"/>
      <c r="E894" s="6"/>
      <c r="F894" s="6"/>
      <c r="G894" s="6"/>
      <c r="H894" s="6"/>
      <c r="I894" s="6"/>
      <c r="J894" s="6"/>
      <c r="K894" s="6"/>
      <c r="L894" s="6"/>
      <c r="M894" s="6"/>
      <c r="N894" s="6"/>
      <c r="O894" s="6"/>
      <c r="P894" s="6"/>
      <c r="Q894" s="6"/>
      <c r="R894" s="6"/>
      <c r="S894" s="6"/>
      <c r="T894" s="6"/>
      <c r="U894" s="6"/>
      <c r="V894" s="6"/>
      <c r="W894" s="6"/>
      <c r="X894" s="6"/>
      <c r="Y894" s="6"/>
      <c r="Z894" s="6"/>
    </row>
    <row r="895" ht="12.75" customHeight="1">
      <c r="A895" s="76"/>
      <c r="B895" s="6"/>
      <c r="C895" s="77"/>
      <c r="D895" s="6"/>
      <c r="E895" s="6"/>
      <c r="F895" s="6"/>
      <c r="G895" s="6"/>
      <c r="H895" s="6"/>
      <c r="I895" s="6"/>
      <c r="J895" s="6"/>
      <c r="K895" s="6"/>
      <c r="L895" s="6"/>
      <c r="M895" s="6"/>
      <c r="N895" s="6"/>
      <c r="O895" s="6"/>
      <c r="P895" s="6"/>
      <c r="Q895" s="6"/>
      <c r="R895" s="6"/>
      <c r="S895" s="6"/>
      <c r="T895" s="6"/>
      <c r="U895" s="6"/>
      <c r="V895" s="6"/>
      <c r="W895" s="6"/>
      <c r="X895" s="6"/>
      <c r="Y895" s="6"/>
      <c r="Z895" s="6"/>
    </row>
    <row r="896" ht="12.75" customHeight="1">
      <c r="A896" s="76"/>
      <c r="B896" s="6"/>
      <c r="C896" s="77"/>
      <c r="D896" s="6"/>
      <c r="E896" s="6"/>
      <c r="F896" s="6"/>
      <c r="G896" s="6"/>
      <c r="H896" s="6"/>
      <c r="I896" s="6"/>
      <c r="J896" s="6"/>
      <c r="K896" s="6"/>
      <c r="L896" s="6"/>
      <c r="M896" s="6"/>
      <c r="N896" s="6"/>
      <c r="O896" s="6"/>
      <c r="P896" s="6"/>
      <c r="Q896" s="6"/>
      <c r="R896" s="6"/>
      <c r="S896" s="6"/>
      <c r="T896" s="6"/>
      <c r="U896" s="6"/>
      <c r="V896" s="6"/>
      <c r="W896" s="6"/>
      <c r="X896" s="6"/>
      <c r="Y896" s="6"/>
      <c r="Z896" s="6"/>
    </row>
    <row r="897" ht="12.75" customHeight="1">
      <c r="A897" s="76"/>
      <c r="B897" s="6"/>
      <c r="C897" s="77"/>
      <c r="D897" s="6"/>
      <c r="E897" s="6"/>
      <c r="F897" s="6"/>
      <c r="G897" s="6"/>
      <c r="H897" s="6"/>
      <c r="I897" s="6"/>
      <c r="J897" s="6"/>
      <c r="K897" s="6"/>
      <c r="L897" s="6"/>
      <c r="M897" s="6"/>
      <c r="N897" s="6"/>
      <c r="O897" s="6"/>
      <c r="P897" s="6"/>
      <c r="Q897" s="6"/>
      <c r="R897" s="6"/>
      <c r="S897" s="6"/>
      <c r="T897" s="6"/>
      <c r="U897" s="6"/>
      <c r="V897" s="6"/>
      <c r="W897" s="6"/>
      <c r="X897" s="6"/>
      <c r="Y897" s="6"/>
      <c r="Z897" s="6"/>
    </row>
    <row r="898" ht="12.75" customHeight="1">
      <c r="A898" s="76"/>
      <c r="B898" s="6"/>
      <c r="C898" s="77"/>
      <c r="D898" s="6"/>
      <c r="E898" s="6"/>
      <c r="F898" s="6"/>
      <c r="G898" s="6"/>
      <c r="H898" s="6"/>
      <c r="I898" s="6"/>
      <c r="J898" s="6"/>
      <c r="K898" s="6"/>
      <c r="L898" s="6"/>
      <c r="M898" s="6"/>
      <c r="N898" s="6"/>
      <c r="O898" s="6"/>
      <c r="P898" s="6"/>
      <c r="Q898" s="6"/>
      <c r="R898" s="6"/>
      <c r="S898" s="6"/>
      <c r="T898" s="6"/>
      <c r="U898" s="6"/>
      <c r="V898" s="6"/>
      <c r="W898" s="6"/>
      <c r="X898" s="6"/>
      <c r="Y898" s="6"/>
      <c r="Z898" s="6"/>
    </row>
    <row r="899" ht="12.75" customHeight="1">
      <c r="A899" s="76"/>
      <c r="B899" s="6"/>
      <c r="C899" s="77"/>
      <c r="D899" s="6"/>
      <c r="E899" s="6"/>
      <c r="F899" s="6"/>
      <c r="G899" s="6"/>
      <c r="H899" s="6"/>
      <c r="I899" s="6"/>
      <c r="J899" s="6"/>
      <c r="K899" s="6"/>
      <c r="L899" s="6"/>
      <c r="M899" s="6"/>
      <c r="N899" s="6"/>
      <c r="O899" s="6"/>
      <c r="P899" s="6"/>
      <c r="Q899" s="6"/>
      <c r="R899" s="6"/>
      <c r="S899" s="6"/>
      <c r="T899" s="6"/>
      <c r="U899" s="6"/>
      <c r="V899" s="6"/>
      <c r="W899" s="6"/>
      <c r="X899" s="6"/>
      <c r="Y899" s="6"/>
      <c r="Z899" s="6"/>
    </row>
    <row r="900" ht="12.75" customHeight="1">
      <c r="A900" s="76"/>
      <c r="B900" s="6"/>
      <c r="C900" s="77"/>
      <c r="D900" s="6"/>
      <c r="E900" s="6"/>
      <c r="F900" s="6"/>
      <c r="G900" s="6"/>
      <c r="H900" s="6"/>
      <c r="I900" s="6"/>
      <c r="J900" s="6"/>
      <c r="K900" s="6"/>
      <c r="L900" s="6"/>
      <c r="M900" s="6"/>
      <c r="N900" s="6"/>
      <c r="O900" s="6"/>
      <c r="P900" s="6"/>
      <c r="Q900" s="6"/>
      <c r="R900" s="6"/>
      <c r="S900" s="6"/>
      <c r="T900" s="6"/>
      <c r="U900" s="6"/>
      <c r="V900" s="6"/>
      <c r="W900" s="6"/>
      <c r="X900" s="6"/>
      <c r="Y900" s="6"/>
      <c r="Z900" s="6"/>
    </row>
    <row r="901" ht="12.75" customHeight="1">
      <c r="A901" s="76"/>
      <c r="B901" s="6"/>
      <c r="C901" s="77"/>
      <c r="D901" s="6"/>
      <c r="E901" s="6"/>
      <c r="F901" s="6"/>
      <c r="G901" s="6"/>
      <c r="H901" s="6"/>
      <c r="I901" s="6"/>
      <c r="J901" s="6"/>
      <c r="K901" s="6"/>
      <c r="L901" s="6"/>
      <c r="M901" s="6"/>
      <c r="N901" s="6"/>
      <c r="O901" s="6"/>
      <c r="P901" s="6"/>
      <c r="Q901" s="6"/>
      <c r="R901" s="6"/>
      <c r="S901" s="6"/>
      <c r="T901" s="6"/>
      <c r="U901" s="6"/>
      <c r="V901" s="6"/>
      <c r="W901" s="6"/>
      <c r="X901" s="6"/>
      <c r="Y901" s="6"/>
      <c r="Z901" s="6"/>
    </row>
    <row r="902" ht="12.75" customHeight="1">
      <c r="A902" s="76"/>
      <c r="B902" s="6"/>
      <c r="C902" s="77"/>
      <c r="D902" s="6"/>
      <c r="E902" s="6"/>
      <c r="F902" s="6"/>
      <c r="G902" s="6"/>
      <c r="H902" s="6"/>
      <c r="I902" s="6"/>
      <c r="J902" s="6"/>
      <c r="K902" s="6"/>
      <c r="L902" s="6"/>
      <c r="M902" s="6"/>
      <c r="N902" s="6"/>
      <c r="O902" s="6"/>
      <c r="P902" s="6"/>
      <c r="Q902" s="6"/>
      <c r="R902" s="6"/>
      <c r="S902" s="6"/>
      <c r="T902" s="6"/>
      <c r="U902" s="6"/>
      <c r="V902" s="6"/>
      <c r="W902" s="6"/>
      <c r="X902" s="6"/>
      <c r="Y902" s="6"/>
      <c r="Z902" s="6"/>
    </row>
    <row r="903" ht="12.75" customHeight="1">
      <c r="A903" s="76"/>
      <c r="B903" s="6"/>
      <c r="C903" s="77"/>
      <c r="D903" s="6"/>
      <c r="E903" s="6"/>
      <c r="F903" s="6"/>
      <c r="G903" s="6"/>
      <c r="H903" s="6"/>
      <c r="I903" s="6"/>
      <c r="J903" s="6"/>
      <c r="K903" s="6"/>
      <c r="L903" s="6"/>
      <c r="M903" s="6"/>
      <c r="N903" s="6"/>
      <c r="O903" s="6"/>
      <c r="P903" s="6"/>
      <c r="Q903" s="6"/>
      <c r="R903" s="6"/>
      <c r="S903" s="6"/>
      <c r="T903" s="6"/>
      <c r="U903" s="6"/>
      <c r="V903" s="6"/>
      <c r="W903" s="6"/>
      <c r="X903" s="6"/>
      <c r="Y903" s="6"/>
      <c r="Z903" s="6"/>
    </row>
    <row r="904" ht="12.75" customHeight="1">
      <c r="A904" s="76"/>
      <c r="B904" s="6"/>
      <c r="C904" s="77"/>
      <c r="D904" s="6"/>
      <c r="E904" s="6"/>
      <c r="F904" s="6"/>
      <c r="G904" s="6"/>
      <c r="H904" s="6"/>
      <c r="I904" s="6"/>
      <c r="J904" s="6"/>
      <c r="K904" s="6"/>
      <c r="L904" s="6"/>
      <c r="M904" s="6"/>
      <c r="N904" s="6"/>
      <c r="O904" s="6"/>
      <c r="P904" s="6"/>
      <c r="Q904" s="6"/>
      <c r="R904" s="6"/>
      <c r="S904" s="6"/>
      <c r="T904" s="6"/>
      <c r="U904" s="6"/>
      <c r="V904" s="6"/>
      <c r="W904" s="6"/>
      <c r="X904" s="6"/>
      <c r="Y904" s="6"/>
      <c r="Z904" s="6"/>
    </row>
    <row r="905" ht="12.75" customHeight="1">
      <c r="A905" s="76"/>
      <c r="B905" s="6"/>
      <c r="C905" s="77"/>
      <c r="D905" s="6"/>
      <c r="E905" s="6"/>
      <c r="F905" s="6"/>
      <c r="G905" s="6"/>
      <c r="H905" s="6"/>
      <c r="I905" s="6"/>
      <c r="J905" s="6"/>
      <c r="K905" s="6"/>
      <c r="L905" s="6"/>
      <c r="M905" s="6"/>
      <c r="N905" s="6"/>
      <c r="O905" s="6"/>
      <c r="P905" s="6"/>
      <c r="Q905" s="6"/>
      <c r="R905" s="6"/>
      <c r="S905" s="6"/>
      <c r="T905" s="6"/>
      <c r="U905" s="6"/>
      <c r="V905" s="6"/>
      <c r="W905" s="6"/>
      <c r="X905" s="6"/>
      <c r="Y905" s="6"/>
      <c r="Z905" s="6"/>
    </row>
    <row r="906" ht="12.75" customHeight="1">
      <c r="A906" s="76"/>
      <c r="B906" s="6"/>
      <c r="C906" s="77"/>
      <c r="D906" s="6"/>
      <c r="E906" s="6"/>
      <c r="F906" s="6"/>
      <c r="G906" s="6"/>
      <c r="H906" s="6"/>
      <c r="I906" s="6"/>
      <c r="J906" s="6"/>
      <c r="K906" s="6"/>
      <c r="L906" s="6"/>
      <c r="M906" s="6"/>
      <c r="N906" s="6"/>
      <c r="O906" s="6"/>
      <c r="P906" s="6"/>
      <c r="Q906" s="6"/>
      <c r="R906" s="6"/>
      <c r="S906" s="6"/>
      <c r="T906" s="6"/>
      <c r="U906" s="6"/>
      <c r="V906" s="6"/>
      <c r="W906" s="6"/>
      <c r="X906" s="6"/>
      <c r="Y906" s="6"/>
      <c r="Z906" s="6"/>
    </row>
    <row r="907" ht="12.75" customHeight="1">
      <c r="A907" s="76"/>
      <c r="B907" s="6"/>
      <c r="C907" s="77"/>
      <c r="D907" s="6"/>
      <c r="E907" s="6"/>
      <c r="F907" s="6"/>
      <c r="G907" s="6"/>
      <c r="H907" s="6"/>
      <c r="I907" s="6"/>
      <c r="J907" s="6"/>
      <c r="K907" s="6"/>
      <c r="L907" s="6"/>
      <c r="M907" s="6"/>
      <c r="N907" s="6"/>
      <c r="O907" s="6"/>
      <c r="P907" s="6"/>
      <c r="Q907" s="6"/>
      <c r="R907" s="6"/>
      <c r="S907" s="6"/>
      <c r="T907" s="6"/>
      <c r="U907" s="6"/>
      <c r="V907" s="6"/>
      <c r="W907" s="6"/>
      <c r="X907" s="6"/>
      <c r="Y907" s="6"/>
      <c r="Z907" s="6"/>
    </row>
    <row r="908" ht="12.75" customHeight="1">
      <c r="A908" s="76"/>
      <c r="B908" s="6"/>
      <c r="C908" s="77"/>
      <c r="D908" s="6"/>
      <c r="E908" s="6"/>
      <c r="F908" s="6"/>
      <c r="G908" s="6"/>
      <c r="H908" s="6"/>
      <c r="I908" s="6"/>
      <c r="J908" s="6"/>
      <c r="K908" s="6"/>
      <c r="L908" s="6"/>
      <c r="M908" s="6"/>
      <c r="N908" s="6"/>
      <c r="O908" s="6"/>
      <c r="P908" s="6"/>
      <c r="Q908" s="6"/>
      <c r="R908" s="6"/>
      <c r="S908" s="6"/>
      <c r="T908" s="6"/>
      <c r="U908" s="6"/>
      <c r="V908" s="6"/>
      <c r="W908" s="6"/>
      <c r="X908" s="6"/>
      <c r="Y908" s="6"/>
      <c r="Z908" s="6"/>
    </row>
    <row r="909" ht="12.75" customHeight="1">
      <c r="A909" s="76"/>
      <c r="B909" s="6"/>
      <c r="C909" s="77"/>
      <c r="D909" s="6"/>
      <c r="E909" s="6"/>
      <c r="F909" s="6"/>
      <c r="G909" s="6"/>
      <c r="H909" s="6"/>
      <c r="I909" s="6"/>
      <c r="J909" s="6"/>
      <c r="K909" s="6"/>
      <c r="L909" s="6"/>
      <c r="M909" s="6"/>
      <c r="N909" s="6"/>
      <c r="O909" s="6"/>
      <c r="P909" s="6"/>
      <c r="Q909" s="6"/>
      <c r="R909" s="6"/>
      <c r="S909" s="6"/>
      <c r="T909" s="6"/>
      <c r="U909" s="6"/>
      <c r="V909" s="6"/>
      <c r="W909" s="6"/>
      <c r="X909" s="6"/>
      <c r="Y909" s="6"/>
      <c r="Z909" s="6"/>
    </row>
    <row r="910" ht="12.75" customHeight="1">
      <c r="A910" s="76"/>
      <c r="B910" s="6"/>
      <c r="C910" s="77"/>
      <c r="D910" s="6"/>
      <c r="E910" s="6"/>
      <c r="F910" s="6"/>
      <c r="G910" s="6"/>
      <c r="H910" s="6"/>
      <c r="I910" s="6"/>
      <c r="J910" s="6"/>
      <c r="K910" s="6"/>
      <c r="L910" s="6"/>
      <c r="M910" s="6"/>
      <c r="N910" s="6"/>
      <c r="O910" s="6"/>
      <c r="P910" s="6"/>
      <c r="Q910" s="6"/>
      <c r="R910" s="6"/>
      <c r="S910" s="6"/>
      <c r="T910" s="6"/>
      <c r="U910" s="6"/>
      <c r="V910" s="6"/>
      <c r="W910" s="6"/>
      <c r="X910" s="6"/>
      <c r="Y910" s="6"/>
      <c r="Z910" s="6"/>
    </row>
    <row r="911" ht="12.75" customHeight="1">
      <c r="A911" s="76"/>
      <c r="B911" s="6"/>
      <c r="C911" s="77"/>
      <c r="D911" s="6"/>
      <c r="E911" s="6"/>
      <c r="F911" s="6"/>
      <c r="G911" s="6"/>
      <c r="H911" s="6"/>
      <c r="I911" s="6"/>
      <c r="J911" s="6"/>
      <c r="K911" s="6"/>
      <c r="L911" s="6"/>
      <c r="M911" s="6"/>
      <c r="N911" s="6"/>
      <c r="O911" s="6"/>
      <c r="P911" s="6"/>
      <c r="Q911" s="6"/>
      <c r="R911" s="6"/>
      <c r="S911" s="6"/>
      <c r="T911" s="6"/>
      <c r="U911" s="6"/>
      <c r="V911" s="6"/>
      <c r="W911" s="6"/>
      <c r="X911" s="6"/>
      <c r="Y911" s="6"/>
      <c r="Z911" s="6"/>
    </row>
    <row r="912" ht="12.75" customHeight="1">
      <c r="A912" s="76"/>
      <c r="B912" s="6"/>
      <c r="C912" s="77"/>
      <c r="D912" s="6"/>
      <c r="E912" s="6"/>
      <c r="F912" s="6"/>
      <c r="G912" s="6"/>
      <c r="H912" s="6"/>
      <c r="I912" s="6"/>
      <c r="J912" s="6"/>
      <c r="K912" s="6"/>
      <c r="L912" s="6"/>
      <c r="M912" s="6"/>
      <c r="N912" s="6"/>
      <c r="O912" s="6"/>
      <c r="P912" s="6"/>
      <c r="Q912" s="6"/>
      <c r="R912" s="6"/>
      <c r="S912" s="6"/>
      <c r="T912" s="6"/>
      <c r="U912" s="6"/>
      <c r="V912" s="6"/>
      <c r="W912" s="6"/>
      <c r="X912" s="6"/>
      <c r="Y912" s="6"/>
      <c r="Z912" s="6"/>
    </row>
    <row r="913" ht="12.75" customHeight="1">
      <c r="A913" s="76"/>
      <c r="B913" s="6"/>
      <c r="C913" s="77"/>
      <c r="D913" s="6"/>
      <c r="E913" s="6"/>
      <c r="F913" s="6"/>
      <c r="G913" s="6"/>
      <c r="H913" s="6"/>
      <c r="I913" s="6"/>
      <c r="J913" s="6"/>
      <c r="K913" s="6"/>
      <c r="L913" s="6"/>
      <c r="M913" s="6"/>
      <c r="N913" s="6"/>
      <c r="O913" s="6"/>
      <c r="P913" s="6"/>
      <c r="Q913" s="6"/>
      <c r="R913" s="6"/>
      <c r="S913" s="6"/>
      <c r="T913" s="6"/>
      <c r="U913" s="6"/>
      <c r="V913" s="6"/>
      <c r="W913" s="6"/>
      <c r="X913" s="6"/>
      <c r="Y913" s="6"/>
      <c r="Z913" s="6"/>
    </row>
    <row r="914" ht="12.75" customHeight="1">
      <c r="A914" s="76"/>
      <c r="B914" s="6"/>
      <c r="C914" s="77"/>
      <c r="D914" s="6"/>
      <c r="E914" s="6"/>
      <c r="F914" s="6"/>
      <c r="G914" s="6"/>
      <c r="H914" s="6"/>
      <c r="I914" s="6"/>
      <c r="J914" s="6"/>
      <c r="K914" s="6"/>
      <c r="L914" s="6"/>
      <c r="M914" s="6"/>
      <c r="N914" s="6"/>
      <c r="O914" s="6"/>
      <c r="P914" s="6"/>
      <c r="Q914" s="6"/>
      <c r="R914" s="6"/>
      <c r="S914" s="6"/>
      <c r="T914" s="6"/>
      <c r="U914" s="6"/>
      <c r="V914" s="6"/>
      <c r="W914" s="6"/>
      <c r="X914" s="6"/>
      <c r="Y914" s="6"/>
      <c r="Z914" s="6"/>
    </row>
    <row r="915" ht="12.75" customHeight="1">
      <c r="A915" s="76"/>
      <c r="B915" s="6"/>
      <c r="C915" s="77"/>
      <c r="D915" s="6"/>
      <c r="E915" s="6"/>
      <c r="F915" s="6"/>
      <c r="G915" s="6"/>
      <c r="H915" s="6"/>
      <c r="I915" s="6"/>
      <c r="J915" s="6"/>
      <c r="K915" s="6"/>
      <c r="L915" s="6"/>
      <c r="M915" s="6"/>
      <c r="N915" s="6"/>
      <c r="O915" s="6"/>
      <c r="P915" s="6"/>
      <c r="Q915" s="6"/>
      <c r="R915" s="6"/>
      <c r="S915" s="6"/>
      <c r="T915" s="6"/>
      <c r="U915" s="6"/>
      <c r="V915" s="6"/>
      <c r="W915" s="6"/>
      <c r="X915" s="6"/>
      <c r="Y915" s="6"/>
      <c r="Z915" s="6"/>
    </row>
    <row r="916" ht="12.75" customHeight="1">
      <c r="A916" s="76"/>
      <c r="B916" s="6"/>
      <c r="C916" s="77"/>
      <c r="D916" s="6"/>
      <c r="E916" s="6"/>
      <c r="F916" s="6"/>
      <c r="G916" s="6"/>
      <c r="H916" s="6"/>
      <c r="I916" s="6"/>
      <c r="J916" s="6"/>
      <c r="K916" s="6"/>
      <c r="L916" s="6"/>
      <c r="M916" s="6"/>
      <c r="N916" s="6"/>
      <c r="O916" s="6"/>
      <c r="P916" s="6"/>
      <c r="Q916" s="6"/>
      <c r="R916" s="6"/>
      <c r="S916" s="6"/>
      <c r="T916" s="6"/>
      <c r="U916" s="6"/>
      <c r="V916" s="6"/>
      <c r="W916" s="6"/>
      <c r="X916" s="6"/>
      <c r="Y916" s="6"/>
      <c r="Z916" s="6"/>
    </row>
    <row r="917" ht="12.75" customHeight="1">
      <c r="A917" s="76"/>
      <c r="B917" s="6"/>
      <c r="C917" s="77"/>
      <c r="D917" s="6"/>
      <c r="E917" s="6"/>
      <c r="F917" s="6"/>
      <c r="G917" s="6"/>
      <c r="H917" s="6"/>
      <c r="I917" s="6"/>
      <c r="J917" s="6"/>
      <c r="K917" s="6"/>
      <c r="L917" s="6"/>
      <c r="M917" s="6"/>
      <c r="N917" s="6"/>
      <c r="O917" s="6"/>
      <c r="P917" s="6"/>
      <c r="Q917" s="6"/>
      <c r="R917" s="6"/>
      <c r="S917" s="6"/>
      <c r="T917" s="6"/>
      <c r="U917" s="6"/>
      <c r="V917" s="6"/>
      <c r="W917" s="6"/>
      <c r="X917" s="6"/>
      <c r="Y917" s="6"/>
      <c r="Z917" s="6"/>
    </row>
    <row r="918" ht="12.75" customHeight="1">
      <c r="A918" s="76"/>
      <c r="B918" s="6"/>
      <c r="C918" s="77"/>
      <c r="D918" s="6"/>
      <c r="E918" s="6"/>
      <c r="F918" s="6"/>
      <c r="G918" s="6"/>
      <c r="H918" s="6"/>
      <c r="I918" s="6"/>
      <c r="J918" s="6"/>
      <c r="K918" s="6"/>
      <c r="L918" s="6"/>
      <c r="M918" s="6"/>
      <c r="N918" s="6"/>
      <c r="O918" s="6"/>
      <c r="P918" s="6"/>
      <c r="Q918" s="6"/>
      <c r="R918" s="6"/>
      <c r="S918" s="6"/>
      <c r="T918" s="6"/>
      <c r="U918" s="6"/>
      <c r="V918" s="6"/>
      <c r="W918" s="6"/>
      <c r="X918" s="6"/>
      <c r="Y918" s="6"/>
      <c r="Z918" s="6"/>
    </row>
    <row r="919" ht="12.75" customHeight="1">
      <c r="A919" s="76"/>
      <c r="B919" s="6"/>
      <c r="C919" s="77"/>
      <c r="D919" s="6"/>
      <c r="E919" s="6"/>
      <c r="F919" s="6"/>
      <c r="G919" s="6"/>
      <c r="H919" s="6"/>
      <c r="I919" s="6"/>
      <c r="J919" s="6"/>
      <c r="K919" s="6"/>
      <c r="L919" s="6"/>
      <c r="M919" s="6"/>
      <c r="N919" s="6"/>
      <c r="O919" s="6"/>
      <c r="P919" s="6"/>
      <c r="Q919" s="6"/>
      <c r="R919" s="6"/>
      <c r="S919" s="6"/>
      <c r="T919" s="6"/>
      <c r="U919" s="6"/>
      <c r="V919" s="6"/>
      <c r="W919" s="6"/>
      <c r="X919" s="6"/>
      <c r="Y919" s="6"/>
      <c r="Z919" s="6"/>
    </row>
    <row r="920" ht="12.75" customHeight="1">
      <c r="A920" s="76"/>
      <c r="B920" s="6"/>
      <c r="C920" s="77"/>
      <c r="D920" s="6"/>
      <c r="E920" s="6"/>
      <c r="F920" s="6"/>
      <c r="G920" s="6"/>
      <c r="H920" s="6"/>
      <c r="I920" s="6"/>
      <c r="J920" s="6"/>
      <c r="K920" s="6"/>
      <c r="L920" s="6"/>
      <c r="M920" s="6"/>
      <c r="N920" s="6"/>
      <c r="O920" s="6"/>
      <c r="P920" s="6"/>
      <c r="Q920" s="6"/>
      <c r="R920" s="6"/>
      <c r="S920" s="6"/>
      <c r="T920" s="6"/>
      <c r="U920" s="6"/>
      <c r="V920" s="6"/>
      <c r="W920" s="6"/>
      <c r="X920" s="6"/>
      <c r="Y920" s="6"/>
      <c r="Z920" s="6"/>
    </row>
    <row r="921" ht="12.75" customHeight="1">
      <c r="A921" s="76"/>
      <c r="B921" s="6"/>
      <c r="C921" s="77"/>
      <c r="D921" s="6"/>
      <c r="E921" s="6"/>
      <c r="F921" s="6"/>
      <c r="G921" s="6"/>
      <c r="H921" s="6"/>
      <c r="I921" s="6"/>
      <c r="J921" s="6"/>
      <c r="K921" s="6"/>
      <c r="L921" s="6"/>
      <c r="M921" s="6"/>
      <c r="N921" s="6"/>
      <c r="O921" s="6"/>
      <c r="P921" s="6"/>
      <c r="Q921" s="6"/>
      <c r="R921" s="6"/>
      <c r="S921" s="6"/>
      <c r="T921" s="6"/>
      <c r="U921" s="6"/>
      <c r="V921" s="6"/>
      <c r="W921" s="6"/>
      <c r="X921" s="6"/>
      <c r="Y921" s="6"/>
      <c r="Z921" s="6"/>
    </row>
    <row r="922" ht="12.75" customHeight="1">
      <c r="A922" s="76"/>
      <c r="B922" s="6"/>
      <c r="C922" s="77"/>
      <c r="D922" s="6"/>
      <c r="E922" s="6"/>
      <c r="F922" s="6"/>
      <c r="G922" s="6"/>
      <c r="H922" s="6"/>
      <c r="I922" s="6"/>
      <c r="J922" s="6"/>
      <c r="K922" s="6"/>
      <c r="L922" s="6"/>
      <c r="M922" s="6"/>
      <c r="N922" s="6"/>
      <c r="O922" s="6"/>
      <c r="P922" s="6"/>
      <c r="Q922" s="6"/>
      <c r="R922" s="6"/>
      <c r="S922" s="6"/>
      <c r="T922" s="6"/>
      <c r="U922" s="6"/>
      <c r="V922" s="6"/>
      <c r="W922" s="6"/>
      <c r="X922" s="6"/>
      <c r="Y922" s="6"/>
      <c r="Z922" s="6"/>
    </row>
    <row r="923" ht="12.75" customHeight="1">
      <c r="A923" s="76"/>
      <c r="B923" s="6"/>
      <c r="C923" s="77"/>
      <c r="D923" s="6"/>
      <c r="E923" s="6"/>
      <c r="F923" s="6"/>
      <c r="G923" s="6"/>
      <c r="H923" s="6"/>
      <c r="I923" s="6"/>
      <c r="J923" s="6"/>
      <c r="K923" s="6"/>
      <c r="L923" s="6"/>
      <c r="M923" s="6"/>
      <c r="N923" s="6"/>
      <c r="O923" s="6"/>
      <c r="P923" s="6"/>
      <c r="Q923" s="6"/>
      <c r="R923" s="6"/>
      <c r="S923" s="6"/>
      <c r="T923" s="6"/>
      <c r="U923" s="6"/>
      <c r="V923" s="6"/>
      <c r="W923" s="6"/>
      <c r="X923" s="6"/>
      <c r="Y923" s="6"/>
      <c r="Z923" s="6"/>
    </row>
    <row r="924" ht="12.75" customHeight="1">
      <c r="A924" s="76"/>
      <c r="B924" s="6"/>
      <c r="C924" s="77"/>
      <c r="D924" s="6"/>
      <c r="E924" s="6"/>
      <c r="F924" s="6"/>
      <c r="G924" s="6"/>
      <c r="H924" s="6"/>
      <c r="I924" s="6"/>
      <c r="J924" s="6"/>
      <c r="K924" s="6"/>
      <c r="L924" s="6"/>
      <c r="M924" s="6"/>
      <c r="N924" s="6"/>
      <c r="O924" s="6"/>
      <c r="P924" s="6"/>
      <c r="Q924" s="6"/>
      <c r="R924" s="6"/>
      <c r="S924" s="6"/>
      <c r="T924" s="6"/>
      <c r="U924" s="6"/>
      <c r="V924" s="6"/>
      <c r="W924" s="6"/>
      <c r="X924" s="6"/>
      <c r="Y924" s="6"/>
      <c r="Z924" s="6"/>
    </row>
    <row r="925" ht="12.75" customHeight="1">
      <c r="A925" s="76"/>
      <c r="B925" s="6"/>
      <c r="C925" s="77"/>
      <c r="D925" s="6"/>
      <c r="E925" s="6"/>
      <c r="F925" s="6"/>
      <c r="G925" s="6"/>
      <c r="H925" s="6"/>
      <c r="I925" s="6"/>
      <c r="J925" s="6"/>
      <c r="K925" s="6"/>
      <c r="L925" s="6"/>
      <c r="M925" s="6"/>
      <c r="N925" s="6"/>
      <c r="O925" s="6"/>
      <c r="P925" s="6"/>
      <c r="Q925" s="6"/>
      <c r="R925" s="6"/>
      <c r="S925" s="6"/>
      <c r="T925" s="6"/>
      <c r="U925" s="6"/>
      <c r="V925" s="6"/>
      <c r="W925" s="6"/>
      <c r="X925" s="6"/>
      <c r="Y925" s="6"/>
      <c r="Z925" s="6"/>
    </row>
    <row r="926" ht="12.75" customHeight="1">
      <c r="A926" s="76"/>
      <c r="B926" s="6"/>
      <c r="C926" s="77"/>
      <c r="D926" s="6"/>
      <c r="E926" s="6"/>
      <c r="F926" s="6"/>
      <c r="G926" s="6"/>
      <c r="H926" s="6"/>
      <c r="I926" s="6"/>
      <c r="J926" s="6"/>
      <c r="K926" s="6"/>
      <c r="L926" s="6"/>
      <c r="M926" s="6"/>
      <c r="N926" s="6"/>
      <c r="O926" s="6"/>
      <c r="P926" s="6"/>
      <c r="Q926" s="6"/>
      <c r="R926" s="6"/>
      <c r="S926" s="6"/>
      <c r="T926" s="6"/>
      <c r="U926" s="6"/>
      <c r="V926" s="6"/>
      <c r="W926" s="6"/>
      <c r="X926" s="6"/>
      <c r="Y926" s="6"/>
      <c r="Z926" s="6"/>
    </row>
    <row r="927" ht="12.75" customHeight="1">
      <c r="A927" s="76"/>
      <c r="B927" s="6"/>
      <c r="C927" s="77"/>
      <c r="D927" s="6"/>
      <c r="E927" s="6"/>
      <c r="F927" s="6"/>
      <c r="G927" s="6"/>
      <c r="H927" s="6"/>
      <c r="I927" s="6"/>
      <c r="J927" s="6"/>
      <c r="K927" s="6"/>
      <c r="L927" s="6"/>
      <c r="M927" s="6"/>
      <c r="N927" s="6"/>
      <c r="O927" s="6"/>
      <c r="P927" s="6"/>
      <c r="Q927" s="6"/>
      <c r="R927" s="6"/>
      <c r="S927" s="6"/>
      <c r="T927" s="6"/>
      <c r="U927" s="6"/>
      <c r="V927" s="6"/>
      <c r="W927" s="6"/>
      <c r="X927" s="6"/>
      <c r="Y927" s="6"/>
      <c r="Z927" s="6"/>
    </row>
    <row r="928" ht="12.75" customHeight="1">
      <c r="A928" s="76"/>
      <c r="B928" s="6"/>
      <c r="C928" s="77"/>
      <c r="D928" s="6"/>
      <c r="E928" s="6"/>
      <c r="F928" s="6"/>
      <c r="G928" s="6"/>
      <c r="H928" s="6"/>
      <c r="I928" s="6"/>
      <c r="J928" s="6"/>
      <c r="K928" s="6"/>
      <c r="L928" s="6"/>
      <c r="M928" s="6"/>
      <c r="N928" s="6"/>
      <c r="O928" s="6"/>
      <c r="P928" s="6"/>
      <c r="Q928" s="6"/>
      <c r="R928" s="6"/>
      <c r="S928" s="6"/>
      <c r="T928" s="6"/>
      <c r="U928" s="6"/>
      <c r="V928" s="6"/>
      <c r="W928" s="6"/>
      <c r="X928" s="6"/>
      <c r="Y928" s="6"/>
      <c r="Z928" s="6"/>
    </row>
    <row r="929" ht="12.75" customHeight="1">
      <c r="A929" s="76"/>
      <c r="B929" s="6"/>
      <c r="C929" s="77"/>
      <c r="D929" s="6"/>
      <c r="E929" s="6"/>
      <c r="F929" s="6"/>
      <c r="G929" s="6"/>
      <c r="H929" s="6"/>
      <c r="I929" s="6"/>
      <c r="J929" s="6"/>
      <c r="K929" s="6"/>
      <c r="L929" s="6"/>
      <c r="M929" s="6"/>
      <c r="N929" s="6"/>
      <c r="O929" s="6"/>
      <c r="P929" s="6"/>
      <c r="Q929" s="6"/>
      <c r="R929" s="6"/>
      <c r="S929" s="6"/>
      <c r="T929" s="6"/>
      <c r="U929" s="6"/>
      <c r="V929" s="6"/>
      <c r="W929" s="6"/>
      <c r="X929" s="6"/>
      <c r="Y929" s="6"/>
      <c r="Z929" s="6"/>
    </row>
    <row r="930" ht="12.75" customHeight="1">
      <c r="A930" s="76"/>
      <c r="B930" s="6"/>
      <c r="C930" s="77"/>
      <c r="D930" s="6"/>
      <c r="E930" s="6"/>
      <c r="F930" s="6"/>
      <c r="G930" s="6"/>
      <c r="H930" s="6"/>
      <c r="I930" s="6"/>
      <c r="J930" s="6"/>
      <c r="K930" s="6"/>
      <c r="L930" s="6"/>
      <c r="M930" s="6"/>
      <c r="N930" s="6"/>
      <c r="O930" s="6"/>
      <c r="P930" s="6"/>
      <c r="Q930" s="6"/>
      <c r="R930" s="6"/>
      <c r="S930" s="6"/>
      <c r="T930" s="6"/>
      <c r="U930" s="6"/>
      <c r="V930" s="6"/>
      <c r="W930" s="6"/>
      <c r="X930" s="6"/>
      <c r="Y930" s="6"/>
      <c r="Z930" s="6"/>
    </row>
    <row r="931" ht="12.75" customHeight="1">
      <c r="A931" s="76"/>
      <c r="B931" s="6"/>
      <c r="C931" s="77"/>
      <c r="D931" s="6"/>
      <c r="E931" s="6"/>
      <c r="F931" s="6"/>
      <c r="G931" s="6"/>
      <c r="H931" s="6"/>
      <c r="I931" s="6"/>
      <c r="J931" s="6"/>
      <c r="K931" s="6"/>
      <c r="L931" s="6"/>
      <c r="M931" s="6"/>
      <c r="N931" s="6"/>
      <c r="O931" s="6"/>
      <c r="P931" s="6"/>
      <c r="Q931" s="6"/>
      <c r="R931" s="6"/>
      <c r="S931" s="6"/>
      <c r="T931" s="6"/>
      <c r="U931" s="6"/>
      <c r="V931" s="6"/>
      <c r="W931" s="6"/>
      <c r="X931" s="6"/>
      <c r="Y931" s="6"/>
      <c r="Z931" s="6"/>
    </row>
    <row r="932" ht="12.75" customHeight="1">
      <c r="A932" s="76"/>
      <c r="B932" s="6"/>
      <c r="C932" s="77"/>
      <c r="D932" s="6"/>
      <c r="E932" s="6"/>
      <c r="F932" s="6"/>
      <c r="G932" s="6"/>
      <c r="H932" s="6"/>
      <c r="I932" s="6"/>
      <c r="J932" s="6"/>
      <c r="K932" s="6"/>
      <c r="L932" s="6"/>
      <c r="M932" s="6"/>
      <c r="N932" s="6"/>
      <c r="O932" s="6"/>
      <c r="P932" s="6"/>
      <c r="Q932" s="6"/>
      <c r="R932" s="6"/>
      <c r="S932" s="6"/>
      <c r="T932" s="6"/>
      <c r="U932" s="6"/>
      <c r="V932" s="6"/>
      <c r="W932" s="6"/>
      <c r="X932" s="6"/>
      <c r="Y932" s="6"/>
      <c r="Z932" s="6"/>
    </row>
    <row r="933" ht="12.75" customHeight="1">
      <c r="A933" s="76"/>
      <c r="B933" s="6"/>
      <c r="C933" s="77"/>
      <c r="D933" s="6"/>
      <c r="E933" s="6"/>
      <c r="F933" s="6"/>
      <c r="G933" s="6"/>
      <c r="H933" s="6"/>
      <c r="I933" s="6"/>
      <c r="J933" s="6"/>
      <c r="K933" s="6"/>
      <c r="L933" s="6"/>
      <c r="M933" s="6"/>
      <c r="N933" s="6"/>
      <c r="O933" s="6"/>
      <c r="P933" s="6"/>
      <c r="Q933" s="6"/>
      <c r="R933" s="6"/>
      <c r="S933" s="6"/>
      <c r="T933" s="6"/>
      <c r="U933" s="6"/>
      <c r="V933" s="6"/>
      <c r="W933" s="6"/>
      <c r="X933" s="6"/>
      <c r="Y933" s="6"/>
      <c r="Z933" s="6"/>
    </row>
    <row r="934" ht="12.75" customHeight="1">
      <c r="A934" s="76"/>
      <c r="B934" s="6"/>
      <c r="C934" s="77"/>
      <c r="D934" s="6"/>
      <c r="E934" s="6"/>
      <c r="F934" s="6"/>
      <c r="G934" s="6"/>
      <c r="H934" s="6"/>
      <c r="I934" s="6"/>
      <c r="J934" s="6"/>
      <c r="K934" s="6"/>
      <c r="L934" s="6"/>
      <c r="M934" s="6"/>
      <c r="N934" s="6"/>
      <c r="O934" s="6"/>
      <c r="P934" s="6"/>
      <c r="Q934" s="6"/>
      <c r="R934" s="6"/>
      <c r="S934" s="6"/>
      <c r="T934" s="6"/>
      <c r="U934" s="6"/>
      <c r="V934" s="6"/>
      <c r="W934" s="6"/>
      <c r="X934" s="6"/>
      <c r="Y934" s="6"/>
      <c r="Z934" s="6"/>
    </row>
    <row r="935" ht="12.75" customHeight="1">
      <c r="A935" s="76"/>
      <c r="B935" s="6"/>
      <c r="C935" s="77"/>
      <c r="D935" s="6"/>
      <c r="E935" s="6"/>
      <c r="F935" s="6"/>
      <c r="G935" s="6"/>
      <c r="H935" s="6"/>
      <c r="I935" s="6"/>
      <c r="J935" s="6"/>
      <c r="K935" s="6"/>
      <c r="L935" s="6"/>
      <c r="M935" s="6"/>
      <c r="N935" s="6"/>
      <c r="O935" s="6"/>
      <c r="P935" s="6"/>
      <c r="Q935" s="6"/>
      <c r="R935" s="6"/>
      <c r="S935" s="6"/>
      <c r="T935" s="6"/>
      <c r="U935" s="6"/>
      <c r="V935" s="6"/>
      <c r="W935" s="6"/>
      <c r="X935" s="6"/>
      <c r="Y935" s="6"/>
      <c r="Z935" s="6"/>
    </row>
    <row r="936" ht="12.75" customHeight="1">
      <c r="A936" s="76"/>
      <c r="B936" s="6"/>
      <c r="C936" s="77"/>
      <c r="D936" s="6"/>
      <c r="E936" s="6"/>
      <c r="F936" s="6"/>
      <c r="G936" s="6"/>
      <c r="H936" s="6"/>
      <c r="I936" s="6"/>
      <c r="J936" s="6"/>
      <c r="K936" s="6"/>
      <c r="L936" s="6"/>
      <c r="M936" s="6"/>
      <c r="N936" s="6"/>
      <c r="O936" s="6"/>
      <c r="P936" s="6"/>
      <c r="Q936" s="6"/>
      <c r="R936" s="6"/>
      <c r="S936" s="6"/>
      <c r="T936" s="6"/>
      <c r="U936" s="6"/>
      <c r="V936" s="6"/>
      <c r="W936" s="6"/>
      <c r="X936" s="6"/>
      <c r="Y936" s="6"/>
      <c r="Z936" s="6"/>
    </row>
    <row r="937" ht="12.75" customHeight="1">
      <c r="A937" s="76"/>
      <c r="B937" s="6"/>
      <c r="C937" s="77"/>
      <c r="D937" s="6"/>
      <c r="E937" s="6"/>
      <c r="F937" s="6"/>
      <c r="G937" s="6"/>
      <c r="H937" s="6"/>
      <c r="I937" s="6"/>
      <c r="J937" s="6"/>
      <c r="K937" s="6"/>
      <c r="L937" s="6"/>
      <c r="M937" s="6"/>
      <c r="N937" s="6"/>
      <c r="O937" s="6"/>
      <c r="P937" s="6"/>
      <c r="Q937" s="6"/>
      <c r="R937" s="6"/>
      <c r="S937" s="6"/>
      <c r="T937" s="6"/>
      <c r="U937" s="6"/>
      <c r="V937" s="6"/>
      <c r="W937" s="6"/>
      <c r="X937" s="6"/>
      <c r="Y937" s="6"/>
      <c r="Z937" s="6"/>
    </row>
    <row r="938" ht="12.75" customHeight="1">
      <c r="A938" s="76"/>
      <c r="B938" s="6"/>
      <c r="C938" s="77"/>
      <c r="D938" s="6"/>
      <c r="E938" s="6"/>
      <c r="F938" s="6"/>
      <c r="G938" s="6"/>
      <c r="H938" s="6"/>
      <c r="I938" s="6"/>
      <c r="J938" s="6"/>
      <c r="K938" s="6"/>
      <c r="L938" s="6"/>
      <c r="M938" s="6"/>
      <c r="N938" s="6"/>
      <c r="O938" s="6"/>
      <c r="P938" s="6"/>
      <c r="Q938" s="6"/>
      <c r="R938" s="6"/>
      <c r="S938" s="6"/>
      <c r="T938" s="6"/>
      <c r="U938" s="6"/>
      <c r="V938" s="6"/>
      <c r="W938" s="6"/>
      <c r="X938" s="6"/>
      <c r="Y938" s="6"/>
      <c r="Z938" s="6"/>
    </row>
    <row r="939" ht="12.75" customHeight="1">
      <c r="A939" s="76"/>
      <c r="B939" s="6"/>
      <c r="C939" s="77"/>
      <c r="D939" s="6"/>
      <c r="E939" s="6"/>
      <c r="F939" s="6"/>
      <c r="G939" s="6"/>
      <c r="H939" s="6"/>
      <c r="I939" s="6"/>
      <c r="J939" s="6"/>
      <c r="K939" s="6"/>
      <c r="L939" s="6"/>
      <c r="M939" s="6"/>
      <c r="N939" s="6"/>
      <c r="O939" s="6"/>
      <c r="P939" s="6"/>
      <c r="Q939" s="6"/>
      <c r="R939" s="6"/>
      <c r="S939" s="6"/>
      <c r="T939" s="6"/>
      <c r="U939" s="6"/>
      <c r="V939" s="6"/>
      <c r="W939" s="6"/>
      <c r="X939" s="6"/>
      <c r="Y939" s="6"/>
      <c r="Z939" s="6"/>
    </row>
    <row r="940" ht="12.75" customHeight="1">
      <c r="A940" s="76"/>
      <c r="B940" s="6"/>
      <c r="C940" s="77"/>
      <c r="D940" s="6"/>
      <c r="E940" s="6"/>
      <c r="F940" s="6"/>
      <c r="G940" s="6"/>
      <c r="H940" s="6"/>
      <c r="I940" s="6"/>
      <c r="J940" s="6"/>
      <c r="K940" s="6"/>
      <c r="L940" s="6"/>
      <c r="M940" s="6"/>
      <c r="N940" s="6"/>
      <c r="O940" s="6"/>
      <c r="P940" s="6"/>
      <c r="Q940" s="6"/>
      <c r="R940" s="6"/>
      <c r="S940" s="6"/>
      <c r="T940" s="6"/>
      <c r="U940" s="6"/>
      <c r="V940" s="6"/>
      <c r="W940" s="6"/>
      <c r="X940" s="6"/>
      <c r="Y940" s="6"/>
      <c r="Z940" s="6"/>
    </row>
    <row r="941" ht="12.75" customHeight="1">
      <c r="A941" s="76"/>
      <c r="B941" s="6"/>
      <c r="C941" s="77"/>
      <c r="D941" s="6"/>
      <c r="E941" s="6"/>
      <c r="F941" s="6"/>
      <c r="G941" s="6"/>
      <c r="H941" s="6"/>
      <c r="I941" s="6"/>
      <c r="J941" s="6"/>
      <c r="K941" s="6"/>
      <c r="L941" s="6"/>
      <c r="M941" s="6"/>
      <c r="N941" s="6"/>
      <c r="O941" s="6"/>
      <c r="P941" s="6"/>
      <c r="Q941" s="6"/>
      <c r="R941" s="6"/>
      <c r="S941" s="6"/>
      <c r="T941" s="6"/>
      <c r="U941" s="6"/>
      <c r="V941" s="6"/>
      <c r="W941" s="6"/>
      <c r="X941" s="6"/>
      <c r="Y941" s="6"/>
      <c r="Z941" s="6"/>
    </row>
    <row r="942" ht="12.75" customHeight="1">
      <c r="A942" s="76"/>
      <c r="B942" s="6"/>
      <c r="C942" s="77"/>
      <c r="D942" s="6"/>
      <c r="E942" s="6"/>
      <c r="F942" s="6"/>
      <c r="G942" s="6"/>
      <c r="H942" s="6"/>
      <c r="I942" s="6"/>
      <c r="J942" s="6"/>
      <c r="K942" s="6"/>
      <c r="L942" s="6"/>
      <c r="M942" s="6"/>
      <c r="N942" s="6"/>
      <c r="O942" s="6"/>
      <c r="P942" s="6"/>
      <c r="Q942" s="6"/>
      <c r="R942" s="6"/>
      <c r="S942" s="6"/>
      <c r="T942" s="6"/>
      <c r="U942" s="6"/>
      <c r="V942" s="6"/>
      <c r="W942" s="6"/>
      <c r="X942" s="6"/>
      <c r="Y942" s="6"/>
      <c r="Z942" s="6"/>
    </row>
    <row r="943" ht="12.75" customHeight="1">
      <c r="A943" s="76"/>
      <c r="B943" s="6"/>
      <c r="C943" s="77"/>
      <c r="D943" s="6"/>
      <c r="E943" s="6"/>
      <c r="F943" s="6"/>
      <c r="G943" s="6"/>
      <c r="H943" s="6"/>
      <c r="I943" s="6"/>
      <c r="J943" s="6"/>
      <c r="K943" s="6"/>
      <c r="L943" s="6"/>
      <c r="M943" s="6"/>
      <c r="N943" s="6"/>
      <c r="O943" s="6"/>
      <c r="P943" s="6"/>
      <c r="Q943" s="6"/>
      <c r="R943" s="6"/>
      <c r="S943" s="6"/>
      <c r="T943" s="6"/>
      <c r="U943" s="6"/>
      <c r="V943" s="6"/>
      <c r="W943" s="6"/>
      <c r="X943" s="6"/>
      <c r="Y943" s="6"/>
      <c r="Z943" s="6"/>
    </row>
    <row r="944" ht="12.75" customHeight="1">
      <c r="A944" s="76"/>
      <c r="B944" s="6"/>
      <c r="C944" s="77"/>
      <c r="D944" s="6"/>
      <c r="E944" s="6"/>
      <c r="F944" s="6"/>
      <c r="G944" s="6"/>
      <c r="H944" s="6"/>
      <c r="I944" s="6"/>
      <c r="J944" s="6"/>
      <c r="K944" s="6"/>
      <c r="L944" s="6"/>
      <c r="M944" s="6"/>
      <c r="N944" s="6"/>
      <c r="O944" s="6"/>
      <c r="P944" s="6"/>
      <c r="Q944" s="6"/>
      <c r="R944" s="6"/>
      <c r="S944" s="6"/>
      <c r="T944" s="6"/>
      <c r="U944" s="6"/>
      <c r="V944" s="6"/>
      <c r="W944" s="6"/>
      <c r="X944" s="6"/>
      <c r="Y944" s="6"/>
      <c r="Z944" s="6"/>
    </row>
    <row r="945" ht="12.75" customHeight="1">
      <c r="A945" s="76"/>
      <c r="B945" s="6"/>
      <c r="C945" s="77"/>
      <c r="D945" s="6"/>
      <c r="E945" s="6"/>
      <c r="F945" s="6"/>
      <c r="G945" s="6"/>
      <c r="H945" s="6"/>
      <c r="I945" s="6"/>
      <c r="J945" s="6"/>
      <c r="K945" s="6"/>
      <c r="L945" s="6"/>
      <c r="M945" s="6"/>
      <c r="N945" s="6"/>
      <c r="O945" s="6"/>
      <c r="P945" s="6"/>
      <c r="Q945" s="6"/>
      <c r="R945" s="6"/>
      <c r="S945" s="6"/>
      <c r="T945" s="6"/>
      <c r="U945" s="6"/>
      <c r="V945" s="6"/>
      <c r="W945" s="6"/>
      <c r="X945" s="6"/>
      <c r="Y945" s="6"/>
      <c r="Z945" s="6"/>
    </row>
    <row r="946" ht="12.75" customHeight="1">
      <c r="A946" s="76"/>
      <c r="B946" s="6"/>
      <c r="C946" s="77"/>
      <c r="D946" s="6"/>
      <c r="E946" s="6"/>
      <c r="F946" s="6"/>
      <c r="G946" s="6"/>
      <c r="H946" s="6"/>
      <c r="I946" s="6"/>
      <c r="J946" s="6"/>
      <c r="K946" s="6"/>
      <c r="L946" s="6"/>
      <c r="M946" s="6"/>
      <c r="N946" s="6"/>
      <c r="O946" s="6"/>
      <c r="P946" s="6"/>
      <c r="Q946" s="6"/>
      <c r="R946" s="6"/>
      <c r="S946" s="6"/>
      <c r="T946" s="6"/>
      <c r="U946" s="6"/>
      <c r="V946" s="6"/>
      <c r="W946" s="6"/>
      <c r="X946" s="6"/>
      <c r="Y946" s="6"/>
      <c r="Z946" s="6"/>
    </row>
    <row r="947" ht="12.75" customHeight="1">
      <c r="A947" s="76"/>
      <c r="B947" s="6"/>
      <c r="C947" s="77"/>
      <c r="D947" s="6"/>
      <c r="E947" s="6"/>
      <c r="F947" s="6"/>
      <c r="G947" s="6"/>
      <c r="H947" s="6"/>
      <c r="I947" s="6"/>
      <c r="J947" s="6"/>
      <c r="K947" s="6"/>
      <c r="L947" s="6"/>
      <c r="M947" s="6"/>
      <c r="N947" s="6"/>
      <c r="O947" s="6"/>
      <c r="P947" s="6"/>
      <c r="Q947" s="6"/>
      <c r="R947" s="6"/>
      <c r="S947" s="6"/>
      <c r="T947" s="6"/>
      <c r="U947" s="6"/>
      <c r="V947" s="6"/>
      <c r="W947" s="6"/>
      <c r="X947" s="6"/>
      <c r="Y947" s="6"/>
      <c r="Z947" s="6"/>
    </row>
    <row r="948" ht="12.75" customHeight="1">
      <c r="A948" s="76"/>
      <c r="B948" s="6"/>
      <c r="C948" s="77"/>
      <c r="D948" s="6"/>
      <c r="E948" s="6"/>
      <c r="F948" s="6"/>
      <c r="G948" s="6"/>
      <c r="H948" s="6"/>
      <c r="I948" s="6"/>
      <c r="J948" s="6"/>
      <c r="K948" s="6"/>
      <c r="L948" s="6"/>
      <c r="M948" s="6"/>
      <c r="N948" s="6"/>
      <c r="O948" s="6"/>
      <c r="P948" s="6"/>
      <c r="Q948" s="6"/>
      <c r="R948" s="6"/>
      <c r="S948" s="6"/>
      <c r="T948" s="6"/>
      <c r="U948" s="6"/>
      <c r="V948" s="6"/>
      <c r="W948" s="6"/>
      <c r="X948" s="6"/>
      <c r="Y948" s="6"/>
      <c r="Z948" s="6"/>
    </row>
    <row r="949" ht="12.75" customHeight="1">
      <c r="A949" s="76"/>
      <c r="B949" s="6"/>
      <c r="C949" s="77"/>
      <c r="D949" s="6"/>
      <c r="E949" s="6"/>
      <c r="F949" s="6"/>
      <c r="G949" s="6"/>
      <c r="H949" s="6"/>
      <c r="I949" s="6"/>
      <c r="J949" s="6"/>
      <c r="K949" s="6"/>
      <c r="L949" s="6"/>
      <c r="M949" s="6"/>
      <c r="N949" s="6"/>
      <c r="O949" s="6"/>
      <c r="P949" s="6"/>
      <c r="Q949" s="6"/>
      <c r="R949" s="6"/>
      <c r="S949" s="6"/>
      <c r="T949" s="6"/>
      <c r="U949" s="6"/>
      <c r="V949" s="6"/>
      <c r="W949" s="6"/>
      <c r="X949" s="6"/>
      <c r="Y949" s="6"/>
      <c r="Z949" s="6"/>
    </row>
    <row r="950" ht="12.75" customHeight="1">
      <c r="A950" s="76"/>
      <c r="B950" s="6"/>
      <c r="C950" s="77"/>
      <c r="D950" s="6"/>
      <c r="E950" s="6"/>
      <c r="F950" s="6"/>
      <c r="G950" s="6"/>
      <c r="H950" s="6"/>
      <c r="I950" s="6"/>
      <c r="J950" s="6"/>
      <c r="K950" s="6"/>
      <c r="L950" s="6"/>
      <c r="M950" s="6"/>
      <c r="N950" s="6"/>
      <c r="O950" s="6"/>
      <c r="P950" s="6"/>
      <c r="Q950" s="6"/>
      <c r="R950" s="6"/>
      <c r="S950" s="6"/>
      <c r="T950" s="6"/>
      <c r="U950" s="6"/>
      <c r="V950" s="6"/>
      <c r="W950" s="6"/>
      <c r="X950" s="6"/>
      <c r="Y950" s="6"/>
      <c r="Z950" s="6"/>
    </row>
    <row r="951" ht="12.75" customHeight="1">
      <c r="A951" s="76"/>
      <c r="B951" s="6"/>
      <c r="C951" s="77"/>
      <c r="D951" s="6"/>
      <c r="E951" s="6"/>
      <c r="F951" s="6"/>
      <c r="G951" s="6"/>
      <c r="H951" s="6"/>
      <c r="I951" s="6"/>
      <c r="J951" s="6"/>
      <c r="K951" s="6"/>
      <c r="L951" s="6"/>
      <c r="M951" s="6"/>
      <c r="N951" s="6"/>
      <c r="O951" s="6"/>
      <c r="P951" s="6"/>
      <c r="Q951" s="6"/>
      <c r="R951" s="6"/>
      <c r="S951" s="6"/>
      <c r="T951" s="6"/>
      <c r="U951" s="6"/>
      <c r="V951" s="6"/>
      <c r="W951" s="6"/>
      <c r="X951" s="6"/>
      <c r="Y951" s="6"/>
      <c r="Z951" s="6"/>
    </row>
    <row r="952" ht="12.75" customHeight="1">
      <c r="A952" s="76"/>
      <c r="B952" s="6"/>
      <c r="C952" s="77"/>
      <c r="D952" s="6"/>
      <c r="E952" s="6"/>
      <c r="F952" s="6"/>
      <c r="G952" s="6"/>
      <c r="H952" s="6"/>
      <c r="I952" s="6"/>
      <c r="J952" s="6"/>
      <c r="K952" s="6"/>
      <c r="L952" s="6"/>
      <c r="M952" s="6"/>
      <c r="N952" s="6"/>
      <c r="O952" s="6"/>
      <c r="P952" s="6"/>
      <c r="Q952" s="6"/>
      <c r="R952" s="6"/>
      <c r="S952" s="6"/>
      <c r="T952" s="6"/>
      <c r="U952" s="6"/>
      <c r="V952" s="6"/>
      <c r="W952" s="6"/>
      <c r="X952" s="6"/>
      <c r="Y952" s="6"/>
      <c r="Z952" s="6"/>
    </row>
    <row r="953" ht="12.75" customHeight="1">
      <c r="A953" s="76"/>
      <c r="B953" s="6"/>
      <c r="C953" s="77"/>
      <c r="D953" s="6"/>
      <c r="E953" s="6"/>
      <c r="F953" s="6"/>
      <c r="G953" s="6"/>
      <c r="H953" s="6"/>
      <c r="I953" s="6"/>
      <c r="J953" s="6"/>
      <c r="K953" s="6"/>
      <c r="L953" s="6"/>
      <c r="M953" s="6"/>
      <c r="N953" s="6"/>
      <c r="O953" s="6"/>
      <c r="P953" s="6"/>
      <c r="Q953" s="6"/>
      <c r="R953" s="6"/>
      <c r="S953" s="6"/>
      <c r="T953" s="6"/>
      <c r="U953" s="6"/>
      <c r="V953" s="6"/>
      <c r="W953" s="6"/>
      <c r="X953" s="6"/>
      <c r="Y953" s="6"/>
      <c r="Z953" s="6"/>
    </row>
    <row r="954" ht="12.75" customHeight="1">
      <c r="A954" s="76"/>
      <c r="B954" s="6"/>
      <c r="C954" s="77"/>
      <c r="D954" s="6"/>
      <c r="E954" s="6"/>
      <c r="F954" s="6"/>
      <c r="G954" s="6"/>
      <c r="H954" s="6"/>
      <c r="I954" s="6"/>
      <c r="J954" s="6"/>
      <c r="K954" s="6"/>
      <c r="L954" s="6"/>
      <c r="M954" s="6"/>
      <c r="N954" s="6"/>
      <c r="O954" s="6"/>
      <c r="P954" s="6"/>
      <c r="Q954" s="6"/>
      <c r="R954" s="6"/>
      <c r="S954" s="6"/>
      <c r="T954" s="6"/>
      <c r="U954" s="6"/>
      <c r="V954" s="6"/>
      <c r="W954" s="6"/>
      <c r="X954" s="6"/>
      <c r="Y954" s="6"/>
      <c r="Z954" s="6"/>
    </row>
    <row r="955" ht="12.75" customHeight="1">
      <c r="A955" s="76"/>
      <c r="B955" s="6"/>
      <c r="C955" s="77"/>
      <c r="D955" s="6"/>
      <c r="E955" s="6"/>
      <c r="F955" s="6"/>
      <c r="G955" s="6"/>
      <c r="H955" s="6"/>
      <c r="I955" s="6"/>
      <c r="J955" s="6"/>
      <c r="K955" s="6"/>
      <c r="L955" s="6"/>
      <c r="M955" s="6"/>
      <c r="N955" s="6"/>
      <c r="O955" s="6"/>
      <c r="P955" s="6"/>
      <c r="Q955" s="6"/>
      <c r="R955" s="6"/>
      <c r="S955" s="6"/>
      <c r="T955" s="6"/>
      <c r="U955" s="6"/>
      <c r="V955" s="6"/>
      <c r="W955" s="6"/>
      <c r="X955" s="6"/>
      <c r="Y955" s="6"/>
      <c r="Z955" s="6"/>
    </row>
    <row r="956" ht="12.75" customHeight="1">
      <c r="A956" s="76"/>
      <c r="B956" s="6"/>
      <c r="C956" s="77"/>
      <c r="D956" s="6"/>
      <c r="E956" s="6"/>
      <c r="F956" s="6"/>
      <c r="G956" s="6"/>
      <c r="H956" s="6"/>
      <c r="I956" s="6"/>
      <c r="J956" s="6"/>
      <c r="K956" s="6"/>
      <c r="L956" s="6"/>
      <c r="M956" s="6"/>
      <c r="N956" s="6"/>
      <c r="O956" s="6"/>
      <c r="P956" s="6"/>
      <c r="Q956" s="6"/>
      <c r="R956" s="6"/>
      <c r="S956" s="6"/>
      <c r="T956" s="6"/>
      <c r="U956" s="6"/>
      <c r="V956" s="6"/>
      <c r="W956" s="6"/>
      <c r="X956" s="6"/>
      <c r="Y956" s="6"/>
      <c r="Z956" s="6"/>
    </row>
    <row r="957" ht="12.75" customHeight="1">
      <c r="A957" s="76"/>
      <c r="B957" s="6"/>
      <c r="C957" s="77"/>
      <c r="D957" s="6"/>
      <c r="E957" s="6"/>
      <c r="F957" s="6"/>
      <c r="G957" s="6"/>
      <c r="H957" s="6"/>
      <c r="I957" s="6"/>
      <c r="J957" s="6"/>
      <c r="K957" s="6"/>
      <c r="L957" s="6"/>
      <c r="M957" s="6"/>
      <c r="N957" s="6"/>
      <c r="O957" s="6"/>
      <c r="P957" s="6"/>
      <c r="Q957" s="6"/>
      <c r="R957" s="6"/>
      <c r="S957" s="6"/>
      <c r="T957" s="6"/>
      <c r="U957" s="6"/>
      <c r="V957" s="6"/>
      <c r="W957" s="6"/>
      <c r="X957" s="6"/>
      <c r="Y957" s="6"/>
      <c r="Z957" s="6"/>
    </row>
    <row r="958" ht="12.75" customHeight="1">
      <c r="A958" s="76"/>
      <c r="B958" s="6"/>
      <c r="C958" s="77"/>
      <c r="D958" s="6"/>
      <c r="E958" s="6"/>
      <c r="F958" s="6"/>
      <c r="G958" s="6"/>
      <c r="H958" s="6"/>
      <c r="I958" s="6"/>
      <c r="J958" s="6"/>
      <c r="K958" s="6"/>
      <c r="L958" s="6"/>
      <c r="M958" s="6"/>
      <c r="N958" s="6"/>
      <c r="O958" s="6"/>
      <c r="P958" s="6"/>
      <c r="Q958" s="6"/>
      <c r="R958" s="6"/>
      <c r="S958" s="6"/>
      <c r="T958" s="6"/>
      <c r="U958" s="6"/>
      <c r="V958" s="6"/>
      <c r="W958" s="6"/>
      <c r="X958" s="6"/>
      <c r="Y958" s="6"/>
      <c r="Z958" s="6"/>
    </row>
    <row r="959" ht="12.75" customHeight="1">
      <c r="A959" s="76"/>
      <c r="B959" s="6"/>
      <c r="C959" s="77"/>
      <c r="D959" s="6"/>
      <c r="E959" s="6"/>
      <c r="F959" s="6"/>
      <c r="G959" s="6"/>
      <c r="H959" s="6"/>
      <c r="I959" s="6"/>
      <c r="J959" s="6"/>
      <c r="K959" s="6"/>
      <c r="L959" s="6"/>
      <c r="M959" s="6"/>
      <c r="N959" s="6"/>
      <c r="O959" s="6"/>
      <c r="P959" s="6"/>
      <c r="Q959" s="6"/>
      <c r="R959" s="6"/>
      <c r="S959" s="6"/>
      <c r="T959" s="6"/>
      <c r="U959" s="6"/>
      <c r="V959" s="6"/>
      <c r="W959" s="6"/>
      <c r="X959" s="6"/>
      <c r="Y959" s="6"/>
      <c r="Z959" s="6"/>
    </row>
    <row r="960" ht="12.75" customHeight="1">
      <c r="A960" s="76"/>
      <c r="B960" s="6"/>
      <c r="C960" s="77"/>
      <c r="D960" s="6"/>
      <c r="E960" s="6"/>
      <c r="F960" s="6"/>
      <c r="G960" s="6"/>
      <c r="H960" s="6"/>
      <c r="I960" s="6"/>
      <c r="J960" s="6"/>
      <c r="K960" s="6"/>
      <c r="L960" s="6"/>
      <c r="M960" s="6"/>
      <c r="N960" s="6"/>
      <c r="O960" s="6"/>
      <c r="P960" s="6"/>
      <c r="Q960" s="6"/>
      <c r="R960" s="6"/>
      <c r="S960" s="6"/>
      <c r="T960" s="6"/>
      <c r="U960" s="6"/>
      <c r="V960" s="6"/>
      <c r="W960" s="6"/>
      <c r="X960" s="6"/>
      <c r="Y960" s="6"/>
      <c r="Z960" s="6"/>
    </row>
    <row r="961" ht="12.75" customHeight="1">
      <c r="A961" s="76"/>
      <c r="B961" s="6"/>
      <c r="C961" s="77"/>
      <c r="D961" s="6"/>
      <c r="E961" s="6"/>
      <c r="F961" s="6"/>
      <c r="G961" s="6"/>
      <c r="H961" s="6"/>
      <c r="I961" s="6"/>
      <c r="J961" s="6"/>
      <c r="K961" s="6"/>
      <c r="L961" s="6"/>
      <c r="M961" s="6"/>
      <c r="N961" s="6"/>
      <c r="O961" s="6"/>
      <c r="P961" s="6"/>
      <c r="Q961" s="6"/>
      <c r="R961" s="6"/>
      <c r="S961" s="6"/>
      <c r="T961" s="6"/>
      <c r="U961" s="6"/>
      <c r="V961" s="6"/>
      <c r="W961" s="6"/>
      <c r="X961" s="6"/>
      <c r="Y961" s="6"/>
      <c r="Z961" s="6"/>
    </row>
    <row r="962" ht="12.75" customHeight="1">
      <c r="A962" s="76"/>
      <c r="B962" s="6"/>
      <c r="C962" s="77"/>
      <c r="D962" s="6"/>
      <c r="E962" s="6"/>
      <c r="F962" s="6"/>
      <c r="G962" s="6"/>
      <c r="H962" s="6"/>
      <c r="I962" s="6"/>
      <c r="J962" s="6"/>
      <c r="K962" s="6"/>
      <c r="L962" s="6"/>
      <c r="M962" s="6"/>
      <c r="N962" s="6"/>
      <c r="O962" s="6"/>
      <c r="P962" s="6"/>
      <c r="Q962" s="6"/>
      <c r="R962" s="6"/>
      <c r="S962" s="6"/>
      <c r="T962" s="6"/>
      <c r="U962" s="6"/>
      <c r="V962" s="6"/>
      <c r="W962" s="6"/>
      <c r="X962" s="6"/>
      <c r="Y962" s="6"/>
      <c r="Z962" s="6"/>
    </row>
    <row r="963" ht="12.75" customHeight="1">
      <c r="A963" s="76"/>
      <c r="B963" s="6"/>
      <c r="C963" s="77"/>
      <c r="D963" s="6"/>
      <c r="E963" s="6"/>
      <c r="F963" s="6"/>
      <c r="G963" s="6"/>
      <c r="H963" s="6"/>
      <c r="I963" s="6"/>
      <c r="J963" s="6"/>
      <c r="K963" s="6"/>
      <c r="L963" s="6"/>
      <c r="M963" s="6"/>
      <c r="N963" s="6"/>
      <c r="O963" s="6"/>
      <c r="P963" s="6"/>
      <c r="Q963" s="6"/>
      <c r="R963" s="6"/>
      <c r="S963" s="6"/>
      <c r="T963" s="6"/>
      <c r="U963" s="6"/>
      <c r="V963" s="6"/>
      <c r="W963" s="6"/>
      <c r="X963" s="6"/>
      <c r="Y963" s="6"/>
      <c r="Z963" s="6"/>
    </row>
    <row r="964" ht="12.75" customHeight="1">
      <c r="A964" s="76"/>
      <c r="B964" s="6"/>
      <c r="C964" s="77"/>
      <c r="D964" s="6"/>
      <c r="E964" s="6"/>
      <c r="F964" s="6"/>
      <c r="G964" s="6"/>
      <c r="H964" s="6"/>
      <c r="I964" s="6"/>
      <c r="J964" s="6"/>
      <c r="K964" s="6"/>
      <c r="L964" s="6"/>
      <c r="M964" s="6"/>
      <c r="N964" s="6"/>
      <c r="O964" s="6"/>
      <c r="P964" s="6"/>
      <c r="Q964" s="6"/>
      <c r="R964" s="6"/>
      <c r="S964" s="6"/>
      <c r="T964" s="6"/>
      <c r="U964" s="6"/>
      <c r="V964" s="6"/>
      <c r="W964" s="6"/>
      <c r="X964" s="6"/>
      <c r="Y964" s="6"/>
      <c r="Z964" s="6"/>
    </row>
    <row r="965" ht="12.75" customHeight="1">
      <c r="A965" s="76"/>
      <c r="B965" s="6"/>
      <c r="C965" s="77"/>
      <c r="D965" s="6"/>
      <c r="E965" s="6"/>
      <c r="F965" s="6"/>
      <c r="G965" s="6"/>
      <c r="H965" s="6"/>
      <c r="I965" s="6"/>
      <c r="J965" s="6"/>
      <c r="K965" s="6"/>
      <c r="L965" s="6"/>
      <c r="M965" s="6"/>
      <c r="N965" s="6"/>
      <c r="O965" s="6"/>
      <c r="P965" s="6"/>
      <c r="Q965" s="6"/>
      <c r="R965" s="6"/>
      <c r="S965" s="6"/>
      <c r="T965" s="6"/>
      <c r="U965" s="6"/>
      <c r="V965" s="6"/>
      <c r="W965" s="6"/>
      <c r="X965" s="6"/>
      <c r="Y965" s="6"/>
      <c r="Z965" s="6"/>
    </row>
    <row r="966" ht="12.75" customHeight="1">
      <c r="A966" s="76"/>
      <c r="B966" s="6"/>
      <c r="C966" s="77"/>
      <c r="D966" s="6"/>
      <c r="E966" s="6"/>
      <c r="F966" s="6"/>
      <c r="G966" s="6"/>
      <c r="H966" s="6"/>
      <c r="I966" s="6"/>
      <c r="J966" s="6"/>
      <c r="K966" s="6"/>
      <c r="L966" s="6"/>
      <c r="M966" s="6"/>
      <c r="N966" s="6"/>
      <c r="O966" s="6"/>
      <c r="P966" s="6"/>
      <c r="Q966" s="6"/>
      <c r="R966" s="6"/>
      <c r="S966" s="6"/>
      <c r="T966" s="6"/>
      <c r="U966" s="6"/>
      <c r="V966" s="6"/>
      <c r="W966" s="6"/>
      <c r="X966" s="6"/>
      <c r="Y966" s="6"/>
      <c r="Z966" s="6"/>
    </row>
    <row r="967" ht="12.75" customHeight="1">
      <c r="A967" s="76"/>
      <c r="B967" s="6"/>
      <c r="C967" s="77"/>
      <c r="D967" s="6"/>
      <c r="E967" s="6"/>
      <c r="F967" s="6"/>
      <c r="G967" s="6"/>
      <c r="H967" s="6"/>
      <c r="I967" s="6"/>
      <c r="J967" s="6"/>
      <c r="K967" s="6"/>
      <c r="L967" s="6"/>
      <c r="M967" s="6"/>
      <c r="N967" s="6"/>
      <c r="O967" s="6"/>
      <c r="P967" s="6"/>
      <c r="Q967" s="6"/>
      <c r="R967" s="6"/>
      <c r="S967" s="6"/>
      <c r="T967" s="6"/>
      <c r="U967" s="6"/>
      <c r="V967" s="6"/>
      <c r="W967" s="6"/>
      <c r="X967" s="6"/>
      <c r="Y967" s="6"/>
      <c r="Z967" s="6"/>
    </row>
    <row r="968" ht="12.75" customHeight="1">
      <c r="A968" s="76"/>
      <c r="B968" s="6"/>
      <c r="C968" s="77"/>
      <c r="D968" s="6"/>
      <c r="E968" s="6"/>
      <c r="F968" s="6"/>
      <c r="G968" s="6"/>
      <c r="H968" s="6"/>
      <c r="I968" s="6"/>
      <c r="J968" s="6"/>
      <c r="K968" s="6"/>
      <c r="L968" s="6"/>
      <c r="M968" s="6"/>
      <c r="N968" s="6"/>
      <c r="O968" s="6"/>
      <c r="P968" s="6"/>
      <c r="Q968" s="6"/>
      <c r="R968" s="6"/>
      <c r="S968" s="6"/>
      <c r="T968" s="6"/>
      <c r="U968" s="6"/>
      <c r="V968" s="6"/>
      <c r="W968" s="6"/>
      <c r="X968" s="6"/>
      <c r="Y968" s="6"/>
      <c r="Z968" s="6"/>
    </row>
    <row r="969" ht="12.75" customHeight="1">
      <c r="A969" s="76"/>
      <c r="B969" s="6"/>
      <c r="C969" s="77"/>
      <c r="D969" s="6"/>
      <c r="E969" s="6"/>
      <c r="F969" s="6"/>
      <c r="G969" s="6"/>
      <c r="H969" s="6"/>
      <c r="I969" s="6"/>
      <c r="J969" s="6"/>
      <c r="K969" s="6"/>
      <c r="L969" s="6"/>
      <c r="M969" s="6"/>
      <c r="N969" s="6"/>
      <c r="O969" s="6"/>
      <c r="P969" s="6"/>
      <c r="Q969" s="6"/>
      <c r="R969" s="6"/>
      <c r="S969" s="6"/>
      <c r="T969" s="6"/>
      <c r="U969" s="6"/>
      <c r="V969" s="6"/>
      <c r="W969" s="6"/>
      <c r="X969" s="6"/>
      <c r="Y969" s="6"/>
      <c r="Z969" s="6"/>
    </row>
    <row r="970" ht="12.75" customHeight="1">
      <c r="A970" s="76"/>
      <c r="B970" s="6"/>
      <c r="C970" s="77"/>
      <c r="D970" s="6"/>
      <c r="E970" s="6"/>
      <c r="F970" s="6"/>
      <c r="G970" s="6"/>
      <c r="H970" s="6"/>
      <c r="I970" s="6"/>
      <c r="J970" s="6"/>
      <c r="K970" s="6"/>
      <c r="L970" s="6"/>
      <c r="M970" s="6"/>
      <c r="N970" s="6"/>
      <c r="O970" s="6"/>
      <c r="P970" s="6"/>
      <c r="Q970" s="6"/>
      <c r="R970" s="6"/>
      <c r="S970" s="6"/>
      <c r="T970" s="6"/>
      <c r="U970" s="6"/>
      <c r="V970" s="6"/>
      <c r="W970" s="6"/>
      <c r="X970" s="6"/>
      <c r="Y970" s="6"/>
      <c r="Z970" s="6"/>
    </row>
    <row r="971" ht="12.75" customHeight="1">
      <c r="A971" s="76"/>
      <c r="B971" s="6"/>
      <c r="C971" s="77"/>
      <c r="D971" s="6"/>
      <c r="E971" s="6"/>
      <c r="F971" s="6"/>
      <c r="G971" s="6"/>
      <c r="H971" s="6"/>
      <c r="I971" s="6"/>
      <c r="J971" s="6"/>
      <c r="K971" s="6"/>
      <c r="L971" s="6"/>
      <c r="M971" s="6"/>
      <c r="N971" s="6"/>
      <c r="O971" s="6"/>
      <c r="P971" s="6"/>
      <c r="Q971" s="6"/>
      <c r="R971" s="6"/>
      <c r="S971" s="6"/>
      <c r="T971" s="6"/>
      <c r="U971" s="6"/>
      <c r="V971" s="6"/>
      <c r="W971" s="6"/>
      <c r="X971" s="6"/>
      <c r="Y971" s="6"/>
      <c r="Z971" s="6"/>
    </row>
    <row r="972" ht="12.75" customHeight="1">
      <c r="A972" s="76"/>
      <c r="B972" s="6"/>
      <c r="C972" s="77"/>
      <c r="D972" s="6"/>
      <c r="E972" s="6"/>
      <c r="F972" s="6"/>
      <c r="G972" s="6"/>
      <c r="H972" s="6"/>
      <c r="I972" s="6"/>
      <c r="J972" s="6"/>
      <c r="K972" s="6"/>
      <c r="L972" s="6"/>
      <c r="M972" s="6"/>
      <c r="N972" s="6"/>
      <c r="O972" s="6"/>
      <c r="P972" s="6"/>
      <c r="Q972" s="6"/>
      <c r="R972" s="6"/>
      <c r="S972" s="6"/>
      <c r="T972" s="6"/>
      <c r="U972" s="6"/>
      <c r="V972" s="6"/>
      <c r="W972" s="6"/>
      <c r="X972" s="6"/>
      <c r="Y972" s="6"/>
      <c r="Z972" s="6"/>
    </row>
    <row r="973" ht="12.75" customHeight="1">
      <c r="A973" s="76"/>
      <c r="B973" s="6"/>
      <c r="C973" s="77"/>
      <c r="D973" s="6"/>
      <c r="E973" s="6"/>
      <c r="F973" s="6"/>
      <c r="G973" s="6"/>
      <c r="H973" s="6"/>
      <c r="I973" s="6"/>
      <c r="J973" s="6"/>
      <c r="K973" s="6"/>
      <c r="L973" s="6"/>
      <c r="M973" s="6"/>
      <c r="N973" s="6"/>
      <c r="O973" s="6"/>
      <c r="P973" s="6"/>
      <c r="Q973" s="6"/>
      <c r="R973" s="6"/>
      <c r="S973" s="6"/>
      <c r="T973" s="6"/>
      <c r="U973" s="6"/>
      <c r="V973" s="6"/>
      <c r="W973" s="6"/>
      <c r="X973" s="6"/>
      <c r="Y973" s="6"/>
      <c r="Z973" s="6"/>
    </row>
    <row r="974" ht="12.75" customHeight="1">
      <c r="A974" s="76"/>
      <c r="B974" s="6"/>
      <c r="C974" s="77"/>
      <c r="D974" s="6"/>
      <c r="E974" s="6"/>
      <c r="F974" s="6"/>
      <c r="G974" s="6"/>
      <c r="H974" s="6"/>
      <c r="I974" s="6"/>
      <c r="J974" s="6"/>
      <c r="K974" s="6"/>
      <c r="L974" s="6"/>
      <c r="M974" s="6"/>
      <c r="N974" s="6"/>
      <c r="O974" s="6"/>
      <c r="P974" s="6"/>
      <c r="Q974" s="6"/>
      <c r="R974" s="6"/>
      <c r="S974" s="6"/>
      <c r="T974" s="6"/>
      <c r="U974" s="6"/>
      <c r="V974" s="6"/>
      <c r="W974" s="6"/>
      <c r="X974" s="6"/>
      <c r="Y974" s="6"/>
      <c r="Z974" s="6"/>
    </row>
    <row r="975" ht="12.75" customHeight="1">
      <c r="A975" s="76"/>
      <c r="B975" s="6"/>
      <c r="C975" s="77"/>
      <c r="D975" s="6"/>
      <c r="E975" s="6"/>
      <c r="F975" s="6"/>
      <c r="G975" s="6"/>
      <c r="H975" s="6"/>
      <c r="I975" s="6"/>
      <c r="J975" s="6"/>
      <c r="K975" s="6"/>
      <c r="L975" s="6"/>
      <c r="M975" s="6"/>
      <c r="N975" s="6"/>
      <c r="O975" s="6"/>
      <c r="P975" s="6"/>
      <c r="Q975" s="6"/>
      <c r="R975" s="6"/>
      <c r="S975" s="6"/>
      <c r="T975" s="6"/>
      <c r="U975" s="6"/>
      <c r="V975" s="6"/>
      <c r="W975" s="6"/>
      <c r="X975" s="6"/>
      <c r="Y975" s="6"/>
      <c r="Z975" s="6"/>
    </row>
    <row r="976" ht="12.75" customHeight="1">
      <c r="A976" s="76"/>
      <c r="B976" s="6"/>
      <c r="C976" s="77"/>
      <c r="D976" s="6"/>
      <c r="E976" s="6"/>
      <c r="F976" s="6"/>
      <c r="G976" s="6"/>
      <c r="H976" s="6"/>
      <c r="I976" s="6"/>
      <c r="J976" s="6"/>
      <c r="K976" s="6"/>
      <c r="L976" s="6"/>
      <c r="M976" s="6"/>
      <c r="N976" s="6"/>
      <c r="O976" s="6"/>
      <c r="P976" s="6"/>
      <c r="Q976" s="6"/>
      <c r="R976" s="6"/>
      <c r="S976" s="6"/>
      <c r="T976" s="6"/>
      <c r="U976" s="6"/>
      <c r="V976" s="6"/>
      <c r="W976" s="6"/>
      <c r="X976" s="6"/>
      <c r="Y976" s="6"/>
      <c r="Z976" s="6"/>
    </row>
    <row r="977" ht="12.75" customHeight="1">
      <c r="A977" s="76"/>
      <c r="B977" s="6"/>
      <c r="C977" s="77"/>
      <c r="D977" s="6"/>
      <c r="E977" s="6"/>
      <c r="F977" s="6"/>
      <c r="G977" s="6"/>
      <c r="H977" s="6"/>
      <c r="I977" s="6"/>
      <c r="J977" s="6"/>
      <c r="K977" s="6"/>
      <c r="L977" s="6"/>
      <c r="M977" s="6"/>
      <c r="N977" s="6"/>
      <c r="O977" s="6"/>
      <c r="P977" s="6"/>
      <c r="Q977" s="6"/>
      <c r="R977" s="6"/>
      <c r="S977" s="6"/>
      <c r="T977" s="6"/>
      <c r="U977" s="6"/>
      <c r="V977" s="6"/>
      <c r="W977" s="6"/>
      <c r="X977" s="6"/>
      <c r="Y977" s="6"/>
      <c r="Z977" s="6"/>
    </row>
    <row r="978" ht="12.75" customHeight="1">
      <c r="A978" s="76"/>
      <c r="B978" s="6"/>
      <c r="C978" s="77"/>
      <c r="D978" s="6"/>
      <c r="E978" s="6"/>
      <c r="F978" s="6"/>
      <c r="G978" s="6"/>
      <c r="H978" s="6"/>
      <c r="I978" s="6"/>
      <c r="J978" s="6"/>
      <c r="K978" s="6"/>
      <c r="L978" s="6"/>
      <c r="M978" s="6"/>
      <c r="N978" s="6"/>
      <c r="O978" s="6"/>
      <c r="P978" s="6"/>
      <c r="Q978" s="6"/>
      <c r="R978" s="6"/>
      <c r="S978" s="6"/>
      <c r="T978" s="6"/>
      <c r="U978" s="6"/>
      <c r="V978" s="6"/>
      <c r="W978" s="6"/>
      <c r="X978" s="6"/>
      <c r="Y978" s="6"/>
      <c r="Z978" s="6"/>
    </row>
    <row r="979" ht="12.75" customHeight="1">
      <c r="A979" s="76"/>
      <c r="B979" s="6"/>
      <c r="C979" s="77"/>
      <c r="D979" s="6"/>
      <c r="E979" s="6"/>
      <c r="F979" s="6"/>
      <c r="G979" s="6"/>
      <c r="H979" s="6"/>
      <c r="I979" s="6"/>
      <c r="J979" s="6"/>
      <c r="K979" s="6"/>
      <c r="L979" s="6"/>
      <c r="M979" s="6"/>
      <c r="N979" s="6"/>
      <c r="O979" s="6"/>
      <c r="P979" s="6"/>
      <c r="Q979" s="6"/>
      <c r="R979" s="6"/>
      <c r="S979" s="6"/>
      <c r="T979" s="6"/>
      <c r="U979" s="6"/>
      <c r="V979" s="6"/>
      <c r="W979" s="6"/>
      <c r="X979" s="6"/>
      <c r="Y979" s="6"/>
      <c r="Z979" s="6"/>
    </row>
    <row r="980" ht="12.75" customHeight="1">
      <c r="A980" s="76"/>
      <c r="B980" s="6"/>
      <c r="C980" s="77"/>
      <c r="D980" s="6"/>
      <c r="E980" s="6"/>
      <c r="F980" s="6"/>
      <c r="G980" s="6"/>
      <c r="H980" s="6"/>
      <c r="I980" s="6"/>
      <c r="J980" s="6"/>
      <c r="K980" s="6"/>
      <c r="L980" s="6"/>
      <c r="M980" s="6"/>
      <c r="N980" s="6"/>
      <c r="O980" s="6"/>
      <c r="P980" s="6"/>
      <c r="Q980" s="6"/>
      <c r="R980" s="6"/>
      <c r="S980" s="6"/>
      <c r="T980" s="6"/>
      <c r="U980" s="6"/>
      <c r="V980" s="6"/>
      <c r="W980" s="6"/>
      <c r="X980" s="6"/>
      <c r="Y980" s="6"/>
      <c r="Z980" s="6"/>
    </row>
    <row r="981" ht="12.75" customHeight="1">
      <c r="A981" s="76"/>
      <c r="B981" s="6"/>
      <c r="C981" s="77"/>
      <c r="D981" s="6"/>
      <c r="E981" s="6"/>
      <c r="F981" s="6"/>
      <c r="G981" s="6"/>
      <c r="H981" s="6"/>
      <c r="I981" s="6"/>
      <c r="J981" s="6"/>
      <c r="K981" s="6"/>
      <c r="L981" s="6"/>
      <c r="M981" s="6"/>
      <c r="N981" s="6"/>
      <c r="O981" s="6"/>
      <c r="P981" s="6"/>
      <c r="Q981" s="6"/>
      <c r="R981" s="6"/>
      <c r="S981" s="6"/>
      <c r="T981" s="6"/>
      <c r="U981" s="6"/>
      <c r="V981" s="6"/>
      <c r="W981" s="6"/>
      <c r="X981" s="6"/>
      <c r="Y981" s="6"/>
      <c r="Z981" s="6"/>
    </row>
    <row r="982" ht="12.75" customHeight="1">
      <c r="A982" s="76"/>
      <c r="B982" s="6"/>
      <c r="C982" s="77"/>
      <c r="D982" s="6"/>
      <c r="E982" s="6"/>
      <c r="F982" s="6"/>
      <c r="G982" s="6"/>
      <c r="H982" s="6"/>
      <c r="I982" s="6"/>
      <c r="J982" s="6"/>
      <c r="K982" s="6"/>
      <c r="L982" s="6"/>
      <c r="M982" s="6"/>
      <c r="N982" s="6"/>
      <c r="O982" s="6"/>
      <c r="P982" s="6"/>
      <c r="Q982" s="6"/>
      <c r="R982" s="6"/>
      <c r="S982" s="6"/>
      <c r="T982" s="6"/>
      <c r="U982" s="6"/>
      <c r="V982" s="6"/>
      <c r="W982" s="6"/>
      <c r="X982" s="6"/>
      <c r="Y982" s="6"/>
      <c r="Z982" s="6"/>
    </row>
    <row r="983" ht="12.75" customHeight="1">
      <c r="A983" s="76"/>
      <c r="B983" s="6"/>
      <c r="C983" s="77"/>
      <c r="D983" s="6"/>
      <c r="E983" s="6"/>
      <c r="F983" s="6"/>
      <c r="G983" s="6"/>
      <c r="H983" s="6"/>
      <c r="I983" s="6"/>
      <c r="J983" s="6"/>
      <c r="K983" s="6"/>
      <c r="L983" s="6"/>
      <c r="M983" s="6"/>
      <c r="N983" s="6"/>
      <c r="O983" s="6"/>
      <c r="P983" s="6"/>
      <c r="Q983" s="6"/>
      <c r="R983" s="6"/>
      <c r="S983" s="6"/>
      <c r="T983" s="6"/>
      <c r="U983" s="6"/>
      <c r="V983" s="6"/>
      <c r="W983" s="6"/>
      <c r="X983" s="6"/>
      <c r="Y983" s="6"/>
      <c r="Z983" s="6"/>
    </row>
    <row r="984" ht="12.75" customHeight="1">
      <c r="A984" s="76"/>
      <c r="B984" s="6"/>
      <c r="C984" s="77"/>
      <c r="D984" s="6"/>
      <c r="E984" s="6"/>
      <c r="F984" s="6"/>
      <c r="G984" s="6"/>
      <c r="H984" s="6"/>
      <c r="I984" s="6"/>
      <c r="J984" s="6"/>
      <c r="K984" s="6"/>
      <c r="L984" s="6"/>
      <c r="M984" s="6"/>
      <c r="N984" s="6"/>
      <c r="O984" s="6"/>
      <c r="P984" s="6"/>
      <c r="Q984" s="6"/>
      <c r="R984" s="6"/>
      <c r="S984" s="6"/>
      <c r="T984" s="6"/>
      <c r="U984" s="6"/>
      <c r="V984" s="6"/>
      <c r="W984" s="6"/>
      <c r="X984" s="6"/>
      <c r="Y984" s="6"/>
      <c r="Z984" s="6"/>
    </row>
    <row r="985" ht="12.75" customHeight="1">
      <c r="A985" s="76"/>
      <c r="B985" s="6"/>
      <c r="C985" s="77"/>
      <c r="D985" s="6"/>
      <c r="E985" s="6"/>
      <c r="F985" s="6"/>
      <c r="G985" s="6"/>
      <c r="H985" s="6"/>
      <c r="I985" s="6"/>
      <c r="J985" s="6"/>
      <c r="K985" s="6"/>
      <c r="L985" s="6"/>
      <c r="M985" s="6"/>
      <c r="N985" s="6"/>
      <c r="O985" s="6"/>
      <c r="P985" s="6"/>
      <c r="Q985" s="6"/>
      <c r="R985" s="6"/>
      <c r="S985" s="6"/>
      <c r="T985" s="6"/>
      <c r="U985" s="6"/>
      <c r="V985" s="6"/>
      <c r="W985" s="6"/>
      <c r="X985" s="6"/>
      <c r="Y985" s="6"/>
      <c r="Z985" s="6"/>
    </row>
    <row r="986" ht="12.75" customHeight="1">
      <c r="A986" s="76"/>
      <c r="B986" s="6"/>
      <c r="C986" s="77"/>
      <c r="D986" s="6"/>
      <c r="E986" s="6"/>
      <c r="F986" s="6"/>
      <c r="G986" s="6"/>
      <c r="H986" s="6"/>
      <c r="I986" s="6"/>
      <c r="J986" s="6"/>
      <c r="K986" s="6"/>
      <c r="L986" s="6"/>
      <c r="M986" s="6"/>
      <c r="N986" s="6"/>
      <c r="O986" s="6"/>
      <c r="P986" s="6"/>
      <c r="Q986" s="6"/>
      <c r="R986" s="6"/>
      <c r="S986" s="6"/>
      <c r="T986" s="6"/>
      <c r="U986" s="6"/>
      <c r="V986" s="6"/>
      <c r="W986" s="6"/>
      <c r="X986" s="6"/>
      <c r="Y986" s="6"/>
      <c r="Z986" s="6"/>
    </row>
    <row r="987" ht="12.75" customHeight="1">
      <c r="A987" s="76"/>
      <c r="B987" s="6"/>
      <c r="C987" s="77"/>
      <c r="D987" s="6"/>
      <c r="E987" s="6"/>
      <c r="F987" s="6"/>
      <c r="G987" s="6"/>
      <c r="H987" s="6"/>
      <c r="I987" s="6"/>
      <c r="J987" s="6"/>
      <c r="K987" s="6"/>
      <c r="L987" s="6"/>
      <c r="M987" s="6"/>
      <c r="N987" s="6"/>
      <c r="O987" s="6"/>
      <c r="P987" s="6"/>
      <c r="Q987" s="6"/>
      <c r="R987" s="6"/>
      <c r="S987" s="6"/>
      <c r="T987" s="6"/>
      <c r="U987" s="6"/>
      <c r="V987" s="6"/>
      <c r="W987" s="6"/>
      <c r="X987" s="6"/>
      <c r="Y987" s="6"/>
      <c r="Z987" s="6"/>
    </row>
    <row r="988" ht="12.75" customHeight="1">
      <c r="A988" s="76"/>
      <c r="B988" s="6"/>
      <c r="C988" s="77"/>
      <c r="D988" s="6"/>
      <c r="E988" s="6"/>
      <c r="F988" s="6"/>
      <c r="G988" s="6"/>
      <c r="H988" s="6"/>
      <c r="I988" s="6"/>
      <c r="J988" s="6"/>
      <c r="K988" s="6"/>
      <c r="L988" s="6"/>
      <c r="M988" s="6"/>
      <c r="N988" s="6"/>
      <c r="O988" s="6"/>
      <c r="P988" s="6"/>
      <c r="Q988" s="6"/>
      <c r="R988" s="6"/>
      <c r="S988" s="6"/>
      <c r="T988" s="6"/>
      <c r="U988" s="6"/>
      <c r="V988" s="6"/>
      <c r="W988" s="6"/>
      <c r="X988" s="6"/>
      <c r="Y988" s="6"/>
      <c r="Z988" s="6"/>
    </row>
    <row r="989" ht="12.75" customHeight="1">
      <c r="A989" s="76"/>
      <c r="B989" s="6"/>
      <c r="C989" s="77"/>
      <c r="D989" s="6"/>
      <c r="E989" s="6"/>
      <c r="F989" s="6"/>
      <c r="G989" s="6"/>
      <c r="H989" s="6"/>
      <c r="I989" s="6"/>
      <c r="J989" s="6"/>
      <c r="K989" s="6"/>
      <c r="L989" s="6"/>
      <c r="M989" s="6"/>
      <c r="N989" s="6"/>
      <c r="O989" s="6"/>
      <c r="P989" s="6"/>
      <c r="Q989" s="6"/>
      <c r="R989" s="6"/>
      <c r="S989" s="6"/>
      <c r="T989" s="6"/>
      <c r="U989" s="6"/>
      <c r="V989" s="6"/>
      <c r="W989" s="6"/>
      <c r="X989" s="6"/>
      <c r="Y989" s="6"/>
      <c r="Z989" s="6"/>
    </row>
    <row r="990" ht="12.75" customHeight="1">
      <c r="A990" s="76"/>
      <c r="B990" s="6"/>
      <c r="C990" s="77"/>
      <c r="D990" s="6"/>
      <c r="E990" s="6"/>
      <c r="F990" s="6"/>
      <c r="G990" s="6"/>
      <c r="H990" s="6"/>
      <c r="I990" s="6"/>
      <c r="J990" s="6"/>
      <c r="K990" s="6"/>
      <c r="L990" s="6"/>
      <c r="M990" s="6"/>
      <c r="N990" s="6"/>
      <c r="O990" s="6"/>
      <c r="P990" s="6"/>
      <c r="Q990" s="6"/>
      <c r="R990" s="6"/>
      <c r="S990" s="6"/>
      <c r="T990" s="6"/>
      <c r="U990" s="6"/>
      <c r="V990" s="6"/>
      <c r="W990" s="6"/>
      <c r="X990" s="6"/>
      <c r="Y990" s="6"/>
      <c r="Z990" s="6"/>
    </row>
    <row r="991" ht="12.75" customHeight="1">
      <c r="A991" s="76"/>
      <c r="B991" s="6"/>
      <c r="C991" s="77"/>
      <c r="D991" s="6"/>
      <c r="E991" s="6"/>
      <c r="F991" s="6"/>
      <c r="G991" s="6"/>
      <c r="H991" s="6"/>
      <c r="I991" s="6"/>
      <c r="J991" s="6"/>
      <c r="K991" s="6"/>
      <c r="L991" s="6"/>
      <c r="M991" s="6"/>
      <c r="N991" s="6"/>
      <c r="O991" s="6"/>
      <c r="P991" s="6"/>
      <c r="Q991" s="6"/>
      <c r="R991" s="6"/>
      <c r="S991" s="6"/>
      <c r="T991" s="6"/>
      <c r="U991" s="6"/>
      <c r="V991" s="6"/>
      <c r="W991" s="6"/>
      <c r="X991" s="6"/>
      <c r="Y991" s="6"/>
      <c r="Z991" s="6"/>
    </row>
    <row r="992" ht="12.75" customHeight="1">
      <c r="A992" s="76"/>
      <c r="B992" s="6"/>
      <c r="C992" s="77"/>
      <c r="D992" s="6"/>
      <c r="E992" s="6"/>
      <c r="F992" s="6"/>
      <c r="G992" s="6"/>
      <c r="H992" s="6"/>
      <c r="I992" s="6"/>
      <c r="J992" s="6"/>
      <c r="K992" s="6"/>
      <c r="L992" s="6"/>
      <c r="M992" s="6"/>
      <c r="N992" s="6"/>
      <c r="O992" s="6"/>
      <c r="P992" s="6"/>
      <c r="Q992" s="6"/>
      <c r="R992" s="6"/>
      <c r="S992" s="6"/>
      <c r="T992" s="6"/>
      <c r="U992" s="6"/>
      <c r="V992" s="6"/>
      <c r="W992" s="6"/>
      <c r="X992" s="6"/>
      <c r="Y992" s="6"/>
      <c r="Z992" s="6"/>
    </row>
    <row r="993" ht="12.75" customHeight="1">
      <c r="A993" s="76"/>
      <c r="B993" s="6"/>
      <c r="C993" s="77"/>
      <c r="D993" s="6"/>
      <c r="E993" s="6"/>
      <c r="F993" s="6"/>
      <c r="G993" s="6"/>
      <c r="H993" s="6"/>
      <c r="I993" s="6"/>
      <c r="J993" s="6"/>
      <c r="K993" s="6"/>
      <c r="L993" s="6"/>
      <c r="M993" s="6"/>
      <c r="N993" s="6"/>
      <c r="O993" s="6"/>
      <c r="P993" s="6"/>
      <c r="Q993" s="6"/>
      <c r="R993" s="6"/>
      <c r="S993" s="6"/>
      <c r="T993" s="6"/>
      <c r="U993" s="6"/>
      <c r="V993" s="6"/>
      <c r="W993" s="6"/>
      <c r="X993" s="6"/>
      <c r="Y993" s="6"/>
      <c r="Z993" s="6"/>
    </row>
    <row r="994" ht="12.75" customHeight="1">
      <c r="A994" s="76"/>
      <c r="B994" s="6"/>
      <c r="C994" s="77"/>
      <c r="D994" s="6"/>
      <c r="E994" s="6"/>
      <c r="F994" s="6"/>
      <c r="G994" s="6"/>
      <c r="H994" s="6"/>
      <c r="I994" s="6"/>
      <c r="J994" s="6"/>
      <c r="K994" s="6"/>
      <c r="L994" s="6"/>
      <c r="M994" s="6"/>
      <c r="N994" s="6"/>
      <c r="O994" s="6"/>
      <c r="P994" s="6"/>
      <c r="Q994" s="6"/>
      <c r="R994" s="6"/>
      <c r="S994" s="6"/>
      <c r="T994" s="6"/>
      <c r="U994" s="6"/>
      <c r="V994" s="6"/>
      <c r="W994" s="6"/>
      <c r="X994" s="6"/>
      <c r="Y994" s="6"/>
      <c r="Z994" s="6"/>
    </row>
    <row r="995" ht="12.75" customHeight="1">
      <c r="A995" s="76"/>
      <c r="B995" s="6"/>
      <c r="C995" s="77"/>
      <c r="D995" s="6"/>
      <c r="E995" s="6"/>
      <c r="F995" s="6"/>
      <c r="G995" s="6"/>
      <c r="H995" s="6"/>
      <c r="I995" s="6"/>
      <c r="J995" s="6"/>
      <c r="K995" s="6"/>
      <c r="L995" s="6"/>
      <c r="M995" s="6"/>
      <c r="N995" s="6"/>
      <c r="O995" s="6"/>
      <c r="P995" s="6"/>
      <c r="Q995" s="6"/>
      <c r="R995" s="6"/>
      <c r="S995" s="6"/>
      <c r="T995" s="6"/>
      <c r="U995" s="6"/>
      <c r="V995" s="6"/>
      <c r="W995" s="6"/>
      <c r="X995" s="6"/>
      <c r="Y995" s="6"/>
      <c r="Z995" s="6"/>
    </row>
    <row r="996" ht="12.75" customHeight="1">
      <c r="A996" s="76"/>
      <c r="B996" s="6"/>
      <c r="C996" s="77"/>
      <c r="D996" s="6"/>
      <c r="E996" s="6"/>
      <c r="F996" s="6"/>
      <c r="G996" s="6"/>
      <c r="H996" s="6"/>
      <c r="I996" s="6"/>
      <c r="J996" s="6"/>
      <c r="K996" s="6"/>
      <c r="L996" s="6"/>
      <c r="M996" s="6"/>
      <c r="N996" s="6"/>
      <c r="O996" s="6"/>
      <c r="P996" s="6"/>
      <c r="Q996" s="6"/>
      <c r="R996" s="6"/>
      <c r="S996" s="6"/>
      <c r="T996" s="6"/>
      <c r="U996" s="6"/>
      <c r="V996" s="6"/>
      <c r="W996" s="6"/>
      <c r="X996" s="6"/>
      <c r="Y996" s="6"/>
      <c r="Z996" s="6"/>
    </row>
    <row r="997" ht="12.75" customHeight="1">
      <c r="A997" s="76"/>
      <c r="B997" s="6"/>
      <c r="C997" s="77"/>
      <c r="D997" s="6"/>
      <c r="E997" s="6"/>
      <c r="F997" s="6"/>
      <c r="G997" s="6"/>
      <c r="H997" s="6"/>
      <c r="I997" s="6"/>
      <c r="J997" s="6"/>
      <c r="K997" s="6"/>
      <c r="L997" s="6"/>
      <c r="M997" s="6"/>
      <c r="N997" s="6"/>
      <c r="O997" s="6"/>
      <c r="P997" s="6"/>
      <c r="Q997" s="6"/>
      <c r="R997" s="6"/>
      <c r="S997" s="6"/>
      <c r="T997" s="6"/>
      <c r="U997" s="6"/>
      <c r="V997" s="6"/>
      <c r="W997" s="6"/>
      <c r="X997" s="6"/>
      <c r="Y997" s="6"/>
      <c r="Z997" s="6"/>
    </row>
    <row r="998" ht="12.75" customHeight="1">
      <c r="A998" s="76"/>
      <c r="B998" s="6"/>
      <c r="C998" s="77"/>
      <c r="D998" s="6"/>
      <c r="E998" s="6"/>
      <c r="F998" s="6"/>
      <c r="G998" s="6"/>
      <c r="H998" s="6"/>
      <c r="I998" s="6"/>
      <c r="J998" s="6"/>
      <c r="K998" s="6"/>
      <c r="L998" s="6"/>
      <c r="M998" s="6"/>
      <c r="N998" s="6"/>
      <c r="O998" s="6"/>
      <c r="P998" s="6"/>
      <c r="Q998" s="6"/>
      <c r="R998" s="6"/>
      <c r="S998" s="6"/>
      <c r="T998" s="6"/>
      <c r="U998" s="6"/>
      <c r="V998" s="6"/>
      <c r="W998" s="6"/>
      <c r="X998" s="6"/>
      <c r="Y998" s="6"/>
      <c r="Z998" s="6"/>
    </row>
    <row r="999" ht="12.75" customHeight="1">
      <c r="A999" s="76"/>
      <c r="B999" s="6"/>
      <c r="C999" s="77"/>
      <c r="D999" s="6"/>
      <c r="E999" s="6"/>
      <c r="F999" s="6"/>
      <c r="G999" s="6"/>
      <c r="H999" s="6"/>
      <c r="I999" s="6"/>
      <c r="J999" s="6"/>
      <c r="K999" s="6"/>
      <c r="L999" s="6"/>
      <c r="M999" s="6"/>
      <c r="N999" s="6"/>
      <c r="O999" s="6"/>
      <c r="P999" s="6"/>
      <c r="Q999" s="6"/>
      <c r="R999" s="6"/>
      <c r="S999" s="6"/>
      <c r="T999" s="6"/>
      <c r="U999" s="6"/>
      <c r="V999" s="6"/>
      <c r="W999" s="6"/>
      <c r="X999" s="6"/>
      <c r="Y999" s="6"/>
      <c r="Z999" s="6"/>
    </row>
    <row r="1000" ht="12.75" customHeight="1">
      <c r="A1000" s="76"/>
      <c r="B1000" s="6"/>
      <c r="C1000" s="77"/>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5">
    <mergeCell ref="I2:P2"/>
    <mergeCell ref="I3:M3"/>
    <mergeCell ref="N3:P3"/>
    <mergeCell ref="I4:K4"/>
    <mergeCell ref="M4:M6"/>
    <mergeCell ref="I5:J5"/>
    <mergeCell ref="K5:L5"/>
    <mergeCell ref="F1:G1"/>
    <mergeCell ref="B2:C6"/>
    <mergeCell ref="D2:D6"/>
    <mergeCell ref="E2:E6"/>
    <mergeCell ref="F2:F6"/>
    <mergeCell ref="G2:G6"/>
    <mergeCell ref="R2:R6"/>
    <mergeCell ref="P5:P6"/>
  </mergeCells>
  <printOptions/>
  <pageMargins bottom="0.7480314960629921" footer="0.0" header="0.0" left="0.5118110236220472" right="0.9055118110236221" top="0.9448818897637796"/>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43"/>
    <col customWidth="1" min="2" max="2" width="46.57"/>
    <col customWidth="1" min="3" max="3" width="19.14"/>
    <col customWidth="1" min="4" max="4" width="22.43"/>
    <col customWidth="1" min="5" max="6" width="19.86"/>
    <col customWidth="1" min="7" max="9" width="20.86"/>
    <col customWidth="1" min="10" max="10" width="18.43"/>
    <col customWidth="1" min="11" max="26" width="12.43"/>
  </cols>
  <sheetData>
    <row r="1" ht="18.75" customHeight="1">
      <c r="A1" s="162"/>
      <c r="B1" s="163" t="s">
        <v>172</v>
      </c>
      <c r="C1" s="164"/>
      <c r="D1" s="164"/>
      <c r="E1" s="164"/>
      <c r="F1" s="165"/>
      <c r="G1" s="162"/>
      <c r="H1" s="162"/>
      <c r="I1" s="162"/>
      <c r="J1" s="162"/>
      <c r="K1" s="162"/>
      <c r="L1" s="162"/>
      <c r="M1" s="162"/>
      <c r="N1" s="162"/>
      <c r="O1" s="162"/>
      <c r="P1" s="162"/>
      <c r="Q1" s="162"/>
      <c r="R1" s="162"/>
      <c r="S1" s="162"/>
      <c r="T1" s="162"/>
      <c r="U1" s="162"/>
      <c r="V1" s="162"/>
      <c r="W1" s="162"/>
      <c r="X1" s="162"/>
      <c r="Y1" s="162"/>
      <c r="Z1" s="162"/>
    </row>
    <row r="2" ht="18.75" customHeight="1">
      <c r="A2" s="162"/>
      <c r="B2" s="162"/>
      <c r="C2" s="162"/>
      <c r="D2" s="162"/>
      <c r="E2" s="166"/>
      <c r="F2" s="166"/>
      <c r="G2" s="162"/>
      <c r="H2" s="162"/>
      <c r="I2" s="162"/>
      <c r="J2" s="162"/>
      <c r="K2" s="162"/>
      <c r="L2" s="162"/>
      <c r="M2" s="162"/>
      <c r="N2" s="162"/>
      <c r="O2" s="162"/>
      <c r="P2" s="162"/>
      <c r="Q2" s="162"/>
      <c r="R2" s="162"/>
      <c r="S2" s="162"/>
      <c r="T2" s="162"/>
      <c r="U2" s="162"/>
      <c r="V2" s="162"/>
      <c r="W2" s="162"/>
      <c r="X2" s="162"/>
      <c r="Y2" s="162"/>
      <c r="Z2" s="162"/>
    </row>
    <row r="3" ht="18.75" customHeight="1">
      <c r="A3" s="162"/>
      <c r="B3" s="162"/>
      <c r="C3" s="162"/>
      <c r="D3" s="162"/>
      <c r="E3" s="166"/>
      <c r="F3" s="166"/>
      <c r="G3" s="162"/>
      <c r="H3" s="162"/>
      <c r="I3" s="162"/>
      <c r="J3" s="162"/>
      <c r="K3" s="162"/>
      <c r="L3" s="162"/>
      <c r="M3" s="162"/>
      <c r="N3" s="162"/>
      <c r="O3" s="162"/>
      <c r="P3" s="162"/>
      <c r="Q3" s="162"/>
      <c r="R3" s="162"/>
      <c r="S3" s="162"/>
      <c r="T3" s="162"/>
      <c r="U3" s="162"/>
      <c r="V3" s="162"/>
      <c r="W3" s="162"/>
      <c r="X3" s="162"/>
      <c r="Y3" s="162"/>
      <c r="Z3" s="162"/>
    </row>
    <row r="4" ht="18.75" customHeight="1">
      <c r="A4" s="162"/>
      <c r="B4" s="167" t="s">
        <v>173</v>
      </c>
      <c r="C4" s="168"/>
      <c r="D4" s="162"/>
      <c r="E4" s="166"/>
      <c r="F4" s="166"/>
      <c r="G4" s="162"/>
      <c r="H4" s="162"/>
      <c r="I4" s="162"/>
      <c r="J4" s="162"/>
      <c r="K4" s="162"/>
      <c r="L4" s="162"/>
      <c r="M4" s="162"/>
      <c r="N4" s="162"/>
      <c r="O4" s="162"/>
      <c r="P4" s="162"/>
      <c r="Q4" s="162"/>
      <c r="R4" s="162"/>
      <c r="S4" s="162"/>
      <c r="T4" s="162"/>
      <c r="U4" s="162"/>
      <c r="V4" s="162"/>
      <c r="W4" s="162"/>
      <c r="X4" s="162"/>
      <c r="Y4" s="162"/>
      <c r="Z4" s="162"/>
    </row>
    <row r="5" ht="18.75" customHeight="1">
      <c r="A5" s="162"/>
      <c r="B5" s="167" t="s">
        <v>174</v>
      </c>
      <c r="C5" s="168"/>
      <c r="D5" s="162"/>
      <c r="E5" s="166"/>
      <c r="F5" s="166"/>
      <c r="G5" s="162"/>
      <c r="H5" s="162"/>
      <c r="I5" s="162"/>
      <c r="J5" s="162"/>
      <c r="K5" s="162"/>
      <c r="L5" s="162"/>
      <c r="M5" s="162"/>
      <c r="N5" s="162"/>
      <c r="O5" s="162"/>
      <c r="P5" s="162"/>
      <c r="Q5" s="162"/>
      <c r="R5" s="162"/>
      <c r="S5" s="162"/>
      <c r="T5" s="162"/>
      <c r="U5" s="162"/>
      <c r="V5" s="162"/>
      <c r="W5" s="162"/>
      <c r="X5" s="162"/>
      <c r="Y5" s="162"/>
      <c r="Z5" s="162"/>
    </row>
    <row r="6" ht="18.75" customHeight="1">
      <c r="A6" s="162"/>
      <c r="B6" s="167"/>
      <c r="C6" s="168"/>
      <c r="D6" s="162"/>
      <c r="E6" s="166"/>
      <c r="F6" s="166"/>
      <c r="G6" s="162"/>
      <c r="H6" s="162"/>
      <c r="I6" s="162"/>
      <c r="J6" s="162"/>
      <c r="K6" s="162"/>
      <c r="L6" s="162"/>
      <c r="M6" s="162"/>
      <c r="N6" s="162"/>
      <c r="O6" s="162"/>
      <c r="P6" s="162"/>
      <c r="Q6" s="162"/>
      <c r="R6" s="162"/>
      <c r="S6" s="162"/>
      <c r="T6" s="162"/>
      <c r="U6" s="162"/>
      <c r="V6" s="162"/>
      <c r="W6" s="162"/>
      <c r="X6" s="162"/>
      <c r="Y6" s="162"/>
      <c r="Z6" s="162"/>
    </row>
    <row r="7" ht="18.75" customHeight="1">
      <c r="A7" s="162"/>
      <c r="B7" s="162"/>
      <c r="C7" s="162"/>
      <c r="D7" s="162"/>
      <c r="E7" s="166"/>
      <c r="F7" s="166"/>
      <c r="G7" s="162"/>
      <c r="H7" s="162"/>
      <c r="I7" s="162"/>
      <c r="J7" s="162"/>
      <c r="K7" s="162"/>
      <c r="L7" s="162"/>
      <c r="M7" s="162"/>
      <c r="N7" s="162"/>
      <c r="O7" s="162"/>
      <c r="P7" s="162"/>
      <c r="Q7" s="162"/>
      <c r="R7" s="162"/>
      <c r="S7" s="162"/>
      <c r="T7" s="162"/>
      <c r="U7" s="162"/>
      <c r="V7" s="162"/>
      <c r="W7" s="162"/>
      <c r="X7" s="162"/>
      <c r="Y7" s="162"/>
      <c r="Z7" s="162"/>
    </row>
    <row r="8" ht="18.75" customHeight="1">
      <c r="A8" s="162"/>
      <c r="B8" s="162"/>
      <c r="C8" s="162"/>
      <c r="D8" s="162"/>
      <c r="E8" s="166"/>
      <c r="F8" s="166"/>
      <c r="G8" s="162"/>
      <c r="H8" s="162"/>
      <c r="I8" s="162"/>
      <c r="J8" s="162"/>
      <c r="K8" s="162"/>
      <c r="L8" s="162"/>
      <c r="M8" s="162"/>
      <c r="N8" s="162"/>
      <c r="O8" s="162"/>
      <c r="P8" s="162"/>
      <c r="Q8" s="162"/>
      <c r="R8" s="162"/>
      <c r="S8" s="162"/>
      <c r="T8" s="162"/>
      <c r="U8" s="162"/>
      <c r="V8" s="162"/>
      <c r="W8" s="162"/>
      <c r="X8" s="162"/>
      <c r="Y8" s="162"/>
      <c r="Z8" s="162"/>
    </row>
    <row r="9" ht="18.75" customHeight="1">
      <c r="A9" s="162"/>
      <c r="B9" s="169" t="s">
        <v>175</v>
      </c>
      <c r="C9" s="170"/>
      <c r="D9" s="170"/>
      <c r="E9" s="171"/>
      <c r="F9" s="172">
        <f>+'Balance 2023'!G30</f>
        <v>293967871</v>
      </c>
      <c r="G9" s="162"/>
      <c r="H9" s="162"/>
      <c r="I9" s="162"/>
      <c r="J9" s="162"/>
      <c r="K9" s="162"/>
      <c r="L9" s="162"/>
      <c r="M9" s="162"/>
      <c r="N9" s="162"/>
      <c r="O9" s="162"/>
      <c r="P9" s="162"/>
      <c r="Q9" s="162"/>
      <c r="R9" s="162"/>
      <c r="S9" s="162"/>
      <c r="T9" s="162"/>
      <c r="U9" s="162"/>
      <c r="V9" s="162"/>
      <c r="W9" s="162"/>
      <c r="X9" s="162"/>
      <c r="Y9" s="162"/>
      <c r="Z9" s="162"/>
    </row>
    <row r="10" ht="18.75" customHeight="1">
      <c r="A10" s="162"/>
      <c r="B10" s="168"/>
      <c r="C10" s="162"/>
      <c r="D10" s="162"/>
      <c r="E10" s="166"/>
      <c r="F10" s="173"/>
      <c r="G10" s="162"/>
      <c r="H10" s="162"/>
      <c r="I10" s="162"/>
      <c r="J10" s="162"/>
      <c r="K10" s="162"/>
      <c r="L10" s="162"/>
      <c r="M10" s="162"/>
      <c r="N10" s="162"/>
      <c r="O10" s="162"/>
      <c r="P10" s="162"/>
      <c r="Q10" s="162"/>
      <c r="R10" s="162"/>
      <c r="S10" s="162"/>
      <c r="T10" s="162"/>
      <c r="U10" s="162"/>
      <c r="V10" s="162"/>
      <c r="W10" s="162"/>
      <c r="X10" s="162"/>
      <c r="Y10" s="162"/>
      <c r="Z10" s="162"/>
    </row>
    <row r="11" ht="18.75" customHeight="1">
      <c r="A11" s="162"/>
      <c r="B11" s="168" t="s">
        <v>176</v>
      </c>
      <c r="C11" s="162"/>
      <c r="D11" s="162"/>
      <c r="E11" s="166"/>
      <c r="F11" s="166">
        <f>SUM(E13)</f>
        <v>-82586515</v>
      </c>
      <c r="G11" s="162"/>
      <c r="H11" s="162"/>
      <c r="I11" s="162"/>
      <c r="J11" s="162"/>
      <c r="K11" s="162"/>
      <c r="L11" s="162"/>
      <c r="M11" s="162"/>
      <c r="N11" s="162"/>
      <c r="O11" s="162"/>
      <c r="P11" s="162"/>
      <c r="Q11" s="162"/>
      <c r="R11" s="162"/>
      <c r="S11" s="162"/>
      <c r="T11" s="162"/>
      <c r="U11" s="162"/>
      <c r="V11" s="162"/>
      <c r="W11" s="162"/>
      <c r="X11" s="162"/>
      <c r="Y11" s="162"/>
      <c r="Z11" s="162"/>
    </row>
    <row r="12" ht="18.75" customHeight="1">
      <c r="A12" s="162"/>
      <c r="B12" s="162"/>
      <c r="C12" s="162"/>
      <c r="D12" s="162"/>
      <c r="E12" s="166"/>
      <c r="F12" s="166"/>
      <c r="G12" s="162"/>
      <c r="H12" s="162"/>
      <c r="I12" s="162"/>
      <c r="J12" s="162"/>
      <c r="K12" s="162"/>
      <c r="L12" s="162"/>
      <c r="M12" s="162"/>
      <c r="N12" s="162"/>
      <c r="O12" s="162"/>
      <c r="P12" s="162"/>
      <c r="Q12" s="162"/>
      <c r="R12" s="162"/>
      <c r="S12" s="162"/>
      <c r="T12" s="162"/>
      <c r="U12" s="162"/>
      <c r="V12" s="162"/>
      <c r="W12" s="162"/>
      <c r="X12" s="162"/>
      <c r="Y12" s="162"/>
      <c r="Z12" s="162"/>
    </row>
    <row r="13" ht="18.75" customHeight="1">
      <c r="A13" s="162"/>
      <c r="B13" s="162" t="s">
        <v>177</v>
      </c>
      <c r="C13" s="162"/>
      <c r="D13" s="162"/>
      <c r="E13" s="174">
        <f>-'Balance 2023'!G14</f>
        <v>-82586515</v>
      </c>
      <c r="F13" s="166"/>
      <c r="G13" s="162"/>
      <c r="H13" s="162"/>
      <c r="I13" s="162"/>
      <c r="J13" s="162"/>
      <c r="K13" s="162"/>
      <c r="L13" s="162"/>
      <c r="M13" s="162"/>
      <c r="N13" s="162"/>
      <c r="O13" s="162"/>
      <c r="P13" s="162"/>
      <c r="Q13" s="162"/>
      <c r="R13" s="162"/>
      <c r="S13" s="162"/>
      <c r="T13" s="162"/>
      <c r="U13" s="162"/>
      <c r="V13" s="162"/>
      <c r="W13" s="162"/>
      <c r="X13" s="162"/>
      <c r="Y13" s="162"/>
      <c r="Z13" s="162"/>
    </row>
    <row r="14" ht="18.75" customHeight="1">
      <c r="A14" s="162"/>
      <c r="B14" s="162"/>
      <c r="C14" s="162"/>
      <c r="D14" s="162"/>
      <c r="E14" s="166"/>
      <c r="F14" s="166"/>
      <c r="G14" s="162"/>
      <c r="H14" s="162"/>
      <c r="I14" s="162"/>
      <c r="J14" s="162"/>
      <c r="K14" s="162"/>
      <c r="L14" s="162"/>
      <c r="M14" s="162"/>
      <c r="N14" s="162"/>
      <c r="O14" s="162"/>
      <c r="P14" s="162"/>
      <c r="Q14" s="162"/>
      <c r="R14" s="162"/>
      <c r="S14" s="162"/>
      <c r="T14" s="162"/>
      <c r="U14" s="162"/>
      <c r="V14" s="162"/>
      <c r="W14" s="162"/>
      <c r="X14" s="162"/>
      <c r="Y14" s="162"/>
      <c r="Z14" s="162"/>
    </row>
    <row r="15" ht="18.75" customHeight="1">
      <c r="A15" s="162"/>
      <c r="B15" s="175" t="s">
        <v>178</v>
      </c>
      <c r="C15" s="175"/>
      <c r="D15" s="175"/>
      <c r="E15" s="176"/>
      <c r="F15" s="176">
        <f>SUM(F9:F13)</f>
        <v>211381356</v>
      </c>
      <c r="G15" s="162"/>
      <c r="H15" s="162"/>
      <c r="I15" s="162"/>
      <c r="J15" s="162"/>
      <c r="K15" s="162"/>
      <c r="L15" s="162"/>
      <c r="M15" s="162"/>
      <c r="N15" s="162"/>
      <c r="O15" s="162"/>
      <c r="P15" s="162"/>
      <c r="Q15" s="162"/>
      <c r="R15" s="162"/>
      <c r="S15" s="162"/>
      <c r="T15" s="162"/>
      <c r="U15" s="162"/>
      <c r="V15" s="162"/>
      <c r="W15" s="162"/>
      <c r="X15" s="162"/>
      <c r="Y15" s="162"/>
      <c r="Z15" s="162"/>
    </row>
    <row r="16" ht="18.75" customHeight="1">
      <c r="A16" s="162"/>
      <c r="B16" s="168"/>
      <c r="C16" s="168"/>
      <c r="D16" s="168"/>
      <c r="E16" s="173"/>
      <c r="F16" s="173"/>
      <c r="G16" s="162"/>
      <c r="H16" s="162"/>
      <c r="I16" s="162"/>
      <c r="J16" s="162"/>
      <c r="K16" s="162"/>
      <c r="L16" s="162"/>
      <c r="M16" s="162"/>
      <c r="N16" s="162"/>
      <c r="O16" s="162"/>
      <c r="P16" s="162"/>
      <c r="Q16" s="162"/>
      <c r="R16" s="162"/>
      <c r="S16" s="162"/>
      <c r="T16" s="162"/>
      <c r="U16" s="162"/>
      <c r="V16" s="162"/>
      <c r="W16" s="162"/>
      <c r="X16" s="162"/>
      <c r="Y16" s="162"/>
      <c r="Z16" s="162"/>
    </row>
    <row r="17" ht="18.75" customHeight="1">
      <c r="A17" s="162"/>
      <c r="B17" s="168" t="s">
        <v>179</v>
      </c>
      <c r="C17" s="168"/>
      <c r="D17" s="168"/>
      <c r="E17" s="173"/>
      <c r="F17" s="173">
        <f>SUM(E18:E23)</f>
        <v>-7039823</v>
      </c>
      <c r="G17" s="162"/>
      <c r="H17" s="162"/>
      <c r="I17" s="162"/>
      <c r="J17" s="162"/>
      <c r="K17" s="162"/>
      <c r="L17" s="162"/>
      <c r="M17" s="162"/>
      <c r="N17" s="162"/>
      <c r="O17" s="162"/>
      <c r="P17" s="162"/>
      <c r="Q17" s="162"/>
      <c r="R17" s="162"/>
      <c r="S17" s="162"/>
      <c r="T17" s="162"/>
      <c r="U17" s="162"/>
      <c r="V17" s="162"/>
      <c r="W17" s="162"/>
      <c r="X17" s="162"/>
      <c r="Y17" s="162"/>
      <c r="Z17" s="162"/>
    </row>
    <row r="18" ht="18.75" customHeight="1">
      <c r="A18" s="162"/>
      <c r="B18" s="168" t="s">
        <v>180</v>
      </c>
      <c r="C18" s="162"/>
      <c r="D18" s="162"/>
      <c r="E18" s="166">
        <f>-'Balance 2023'!H30</f>
        <v>-308938472</v>
      </c>
      <c r="F18" s="166"/>
      <c r="G18" s="162"/>
      <c r="H18" s="162"/>
      <c r="I18" s="162"/>
      <c r="J18" s="162"/>
      <c r="K18" s="162"/>
      <c r="L18" s="162"/>
      <c r="M18" s="162"/>
      <c r="N18" s="162"/>
      <c r="O18" s="162"/>
      <c r="P18" s="162"/>
      <c r="Q18" s="162"/>
      <c r="R18" s="162"/>
      <c r="S18" s="162"/>
      <c r="T18" s="162"/>
      <c r="U18" s="162"/>
      <c r="V18" s="162"/>
      <c r="W18" s="162"/>
      <c r="X18" s="162"/>
      <c r="Y18" s="162"/>
      <c r="Z18" s="162"/>
    </row>
    <row r="19" ht="18.75" customHeight="1">
      <c r="A19" s="162"/>
      <c r="B19" s="168" t="s">
        <v>176</v>
      </c>
      <c r="C19" s="162"/>
      <c r="D19" s="162"/>
      <c r="E19" s="166"/>
      <c r="F19" s="166"/>
      <c r="G19" s="162"/>
      <c r="H19" s="162"/>
      <c r="I19" s="162"/>
      <c r="J19" s="162"/>
      <c r="K19" s="162"/>
      <c r="L19" s="162"/>
      <c r="M19" s="162"/>
      <c r="N19" s="162"/>
      <c r="O19" s="162"/>
      <c r="P19" s="162"/>
      <c r="Q19" s="162"/>
      <c r="R19" s="162"/>
      <c r="S19" s="162"/>
      <c r="T19" s="162"/>
      <c r="U19" s="162"/>
      <c r="V19" s="162"/>
      <c r="W19" s="162"/>
      <c r="X19" s="162"/>
      <c r="Y19" s="162"/>
      <c r="Z19" s="162"/>
    </row>
    <row r="20" ht="18.75" customHeight="1">
      <c r="A20" s="162"/>
      <c r="B20" s="162"/>
      <c r="C20" s="162"/>
      <c r="D20" s="162"/>
      <c r="E20" s="166"/>
      <c r="F20" s="166"/>
      <c r="G20" s="162"/>
      <c r="H20" s="162"/>
      <c r="I20" s="162"/>
      <c r="J20" s="162"/>
      <c r="K20" s="162"/>
      <c r="L20" s="162"/>
      <c r="M20" s="162"/>
      <c r="N20" s="162"/>
      <c r="O20" s="162"/>
      <c r="P20" s="162"/>
      <c r="Q20" s="162"/>
      <c r="R20" s="162"/>
      <c r="S20" s="162"/>
      <c r="T20" s="162"/>
      <c r="U20" s="162"/>
      <c r="V20" s="162"/>
      <c r="W20" s="162"/>
      <c r="X20" s="162"/>
      <c r="Y20" s="162"/>
      <c r="Z20" s="162"/>
    </row>
    <row r="21" ht="18.75" customHeight="1">
      <c r="A21" s="162"/>
      <c r="B21" s="162" t="s">
        <v>181</v>
      </c>
      <c r="C21" s="162"/>
      <c r="D21" s="162"/>
      <c r="E21" s="166">
        <f>+'Balance 2023'!H19</f>
        <v>100000</v>
      </c>
      <c r="F21" s="166"/>
      <c r="G21" s="162"/>
      <c r="H21" s="162"/>
      <c r="I21" s="162"/>
      <c r="J21" s="162"/>
      <c r="K21" s="162"/>
      <c r="L21" s="162"/>
      <c r="M21" s="162"/>
      <c r="N21" s="162"/>
      <c r="O21" s="162"/>
      <c r="P21" s="162"/>
      <c r="Q21" s="162"/>
      <c r="R21" s="162"/>
      <c r="S21" s="162"/>
      <c r="T21" s="162"/>
      <c r="U21" s="162"/>
      <c r="V21" s="162"/>
      <c r="W21" s="162"/>
      <c r="X21" s="162"/>
      <c r="Y21" s="162"/>
      <c r="Z21" s="162"/>
    </row>
    <row r="22" ht="18.75" customHeight="1">
      <c r="A22" s="162"/>
      <c r="B22" s="162" t="s">
        <v>182</v>
      </c>
      <c r="C22" s="162"/>
      <c r="D22" s="162"/>
      <c r="E22" s="166">
        <f>+'Balance 2023'!H21</f>
        <v>301798649</v>
      </c>
      <c r="F22" s="166"/>
      <c r="G22" s="162"/>
      <c r="H22" s="162"/>
      <c r="I22" s="162"/>
      <c r="J22" s="162"/>
      <c r="K22" s="162"/>
      <c r="L22" s="162"/>
      <c r="M22" s="162"/>
      <c r="N22" s="162"/>
      <c r="O22" s="162"/>
      <c r="P22" s="162"/>
      <c r="Q22" s="162"/>
      <c r="R22" s="162"/>
      <c r="S22" s="162"/>
      <c r="T22" s="162"/>
      <c r="U22" s="162"/>
      <c r="V22" s="162"/>
      <c r="W22" s="162"/>
      <c r="X22" s="162"/>
      <c r="Y22" s="162"/>
      <c r="Z22" s="162"/>
    </row>
    <row r="23" ht="18.75" customHeight="1">
      <c r="A23" s="162"/>
      <c r="B23" s="177"/>
      <c r="C23" s="162"/>
      <c r="D23" s="162"/>
      <c r="E23" s="174"/>
      <c r="F23" s="166"/>
      <c r="G23" s="162"/>
      <c r="H23" s="162"/>
      <c r="I23" s="162"/>
      <c r="J23" s="162"/>
      <c r="K23" s="162"/>
      <c r="L23" s="162"/>
      <c r="M23" s="162"/>
      <c r="N23" s="162"/>
      <c r="O23" s="162"/>
      <c r="P23" s="162"/>
      <c r="Q23" s="162"/>
      <c r="R23" s="162"/>
      <c r="S23" s="162"/>
      <c r="T23" s="162"/>
      <c r="U23" s="162"/>
      <c r="V23" s="162"/>
      <c r="W23" s="162"/>
      <c r="X23" s="162"/>
      <c r="Y23" s="162"/>
      <c r="Z23" s="162"/>
    </row>
    <row r="24" ht="18.75" customHeight="1">
      <c r="A24" s="162"/>
      <c r="B24" s="162"/>
      <c r="C24" s="162"/>
      <c r="D24" s="162"/>
      <c r="E24" s="166"/>
      <c r="F24" s="166"/>
      <c r="G24" s="162"/>
      <c r="H24" s="162"/>
      <c r="I24" s="162"/>
      <c r="J24" s="162"/>
      <c r="K24" s="162"/>
      <c r="L24" s="162"/>
      <c r="M24" s="162"/>
      <c r="N24" s="162"/>
      <c r="O24" s="162"/>
      <c r="P24" s="162"/>
      <c r="Q24" s="162"/>
      <c r="R24" s="162"/>
      <c r="S24" s="162"/>
      <c r="T24" s="162"/>
      <c r="U24" s="162"/>
      <c r="V24" s="162"/>
      <c r="W24" s="162"/>
      <c r="X24" s="162"/>
      <c r="Y24" s="162"/>
      <c r="Z24" s="162"/>
    </row>
    <row r="25" ht="18.75" customHeight="1">
      <c r="A25" s="162"/>
      <c r="B25" s="162"/>
      <c r="C25" s="162"/>
      <c r="D25" s="162"/>
      <c r="E25" s="166"/>
      <c r="F25" s="166"/>
      <c r="G25" s="162"/>
      <c r="H25" s="162"/>
      <c r="I25" s="162"/>
      <c r="J25" s="162"/>
      <c r="K25" s="162"/>
      <c r="L25" s="162"/>
      <c r="M25" s="162"/>
      <c r="N25" s="162"/>
      <c r="O25" s="162"/>
      <c r="P25" s="162"/>
      <c r="Q25" s="162"/>
      <c r="R25" s="162"/>
      <c r="S25" s="162"/>
      <c r="T25" s="162"/>
      <c r="U25" s="162"/>
      <c r="V25" s="162"/>
      <c r="W25" s="162"/>
      <c r="X25" s="162"/>
      <c r="Y25" s="162"/>
      <c r="Z25" s="162"/>
    </row>
    <row r="26" ht="18.75" customHeight="1">
      <c r="A26" s="162"/>
      <c r="B26" s="178" t="s">
        <v>183</v>
      </c>
      <c r="C26" s="179"/>
      <c r="D26" s="179"/>
      <c r="E26" s="180"/>
      <c r="F26" s="172">
        <f>SUM(F15:F25)</f>
        <v>204341533</v>
      </c>
      <c r="G26" s="162"/>
      <c r="H26" s="181"/>
      <c r="I26" s="162"/>
      <c r="J26" s="162"/>
      <c r="K26" s="162"/>
      <c r="L26" s="162"/>
      <c r="M26" s="162"/>
      <c r="N26" s="162"/>
      <c r="O26" s="162"/>
      <c r="P26" s="162"/>
      <c r="Q26" s="162"/>
      <c r="R26" s="162"/>
      <c r="S26" s="162"/>
      <c r="T26" s="162"/>
      <c r="U26" s="162"/>
      <c r="V26" s="162"/>
      <c r="W26" s="162"/>
      <c r="X26" s="162"/>
      <c r="Y26" s="162"/>
      <c r="Z26" s="162"/>
    </row>
    <row r="27" ht="18.75" customHeight="1">
      <c r="A27" s="162"/>
      <c r="B27" s="162"/>
      <c r="C27" s="162"/>
      <c r="D27" s="162"/>
      <c r="E27" s="166"/>
      <c r="F27" s="166"/>
      <c r="G27" s="162"/>
      <c r="H27" s="182"/>
      <c r="I27" s="182"/>
      <c r="J27" s="182"/>
      <c r="K27" s="162"/>
      <c r="L27" s="162"/>
      <c r="M27" s="162"/>
      <c r="N27" s="162"/>
      <c r="O27" s="162"/>
      <c r="P27" s="162"/>
      <c r="Q27" s="162"/>
      <c r="R27" s="162"/>
      <c r="S27" s="162"/>
      <c r="T27" s="162"/>
      <c r="U27" s="162"/>
      <c r="V27" s="162"/>
      <c r="W27" s="162"/>
      <c r="X27" s="162"/>
      <c r="Y27" s="162"/>
      <c r="Z27" s="162"/>
    </row>
    <row r="28" ht="18.75" customHeight="1">
      <c r="A28" s="162"/>
      <c r="B28" s="183"/>
      <c r="C28" s="183"/>
      <c r="D28" s="162"/>
      <c r="E28" s="183"/>
      <c r="F28" s="183"/>
      <c r="G28" s="162"/>
      <c r="H28" s="162"/>
      <c r="I28" s="162"/>
      <c r="J28" s="162"/>
      <c r="K28" s="162"/>
      <c r="L28" s="162"/>
      <c r="M28" s="162"/>
      <c r="N28" s="162"/>
      <c r="O28" s="162"/>
      <c r="P28" s="162"/>
      <c r="Q28" s="162"/>
      <c r="R28" s="162"/>
      <c r="S28" s="162"/>
      <c r="T28" s="162"/>
      <c r="U28" s="162"/>
      <c r="V28" s="162"/>
      <c r="W28" s="162"/>
      <c r="X28" s="162"/>
      <c r="Y28" s="162"/>
      <c r="Z28" s="162"/>
    </row>
    <row r="29" ht="18.75" customHeight="1">
      <c r="A29" s="162"/>
      <c r="B29" s="183"/>
      <c r="C29" s="183"/>
      <c r="D29" s="162"/>
      <c r="E29" s="183"/>
      <c r="F29" s="183"/>
      <c r="G29" s="162"/>
      <c r="H29" s="162"/>
      <c r="I29" s="162"/>
      <c r="J29" s="162"/>
      <c r="K29" s="162"/>
      <c r="L29" s="162"/>
      <c r="M29" s="162"/>
      <c r="N29" s="162"/>
      <c r="O29" s="162"/>
      <c r="P29" s="162"/>
      <c r="Q29" s="162"/>
      <c r="R29" s="162"/>
      <c r="S29" s="162"/>
      <c r="T29" s="162"/>
      <c r="U29" s="162"/>
      <c r="V29" s="162"/>
      <c r="W29" s="162"/>
      <c r="X29" s="162"/>
      <c r="Y29" s="162"/>
      <c r="Z29" s="162"/>
    </row>
    <row r="30" ht="18.75" customHeight="1">
      <c r="A30" s="162"/>
      <c r="B30" s="184" t="s">
        <v>184</v>
      </c>
      <c r="C30" s="185"/>
      <c r="D30" s="186"/>
      <c r="E30" s="183"/>
      <c r="F30" s="183"/>
      <c r="G30" s="162"/>
      <c r="H30" s="162"/>
      <c r="I30" s="162"/>
      <c r="J30" s="162"/>
      <c r="K30" s="162"/>
      <c r="L30" s="162"/>
      <c r="M30" s="162"/>
      <c r="N30" s="162"/>
      <c r="O30" s="162"/>
      <c r="P30" s="162"/>
      <c r="Q30" s="162"/>
      <c r="R30" s="162"/>
      <c r="S30" s="162"/>
      <c r="T30" s="162"/>
      <c r="U30" s="162"/>
      <c r="V30" s="162"/>
      <c r="W30" s="162"/>
      <c r="X30" s="162"/>
      <c r="Y30" s="162"/>
      <c r="Z30" s="162"/>
    </row>
    <row r="31" ht="18.75" customHeight="1">
      <c r="A31" s="162"/>
      <c r="B31" s="187"/>
      <c r="C31" s="183"/>
      <c r="D31" s="188"/>
      <c r="E31" s="183"/>
      <c r="F31" s="183" t="s">
        <v>185</v>
      </c>
      <c r="G31" s="162"/>
      <c r="H31" s="162"/>
      <c r="I31" s="162"/>
      <c r="J31" s="162"/>
      <c r="K31" s="162"/>
      <c r="L31" s="162"/>
      <c r="M31" s="162"/>
      <c r="N31" s="162"/>
      <c r="O31" s="162"/>
      <c r="P31" s="162"/>
      <c r="Q31" s="162"/>
      <c r="R31" s="162"/>
      <c r="S31" s="162"/>
      <c r="T31" s="162"/>
      <c r="U31" s="162"/>
      <c r="V31" s="162"/>
      <c r="W31" s="162"/>
      <c r="X31" s="162"/>
      <c r="Y31" s="162"/>
      <c r="Z31" s="162"/>
    </row>
    <row r="32" ht="18.75" customHeight="1">
      <c r="A32" s="162"/>
      <c r="B32" s="187" t="s">
        <v>186</v>
      </c>
      <c r="C32" s="183"/>
      <c r="D32" s="188">
        <v>5.33941272E8</v>
      </c>
      <c r="E32" s="183"/>
      <c r="F32" s="166">
        <v>2.75789929E8</v>
      </c>
      <c r="G32" s="162"/>
      <c r="H32" s="162"/>
      <c r="I32" s="162"/>
      <c r="J32" s="162"/>
      <c r="K32" s="162"/>
      <c r="L32" s="162"/>
      <c r="M32" s="162"/>
      <c r="N32" s="162"/>
      <c r="O32" s="162"/>
      <c r="P32" s="162"/>
      <c r="Q32" s="162"/>
      <c r="R32" s="162"/>
      <c r="S32" s="162"/>
      <c r="T32" s="162"/>
      <c r="U32" s="162"/>
      <c r="V32" s="162"/>
      <c r="W32" s="162"/>
      <c r="X32" s="162"/>
      <c r="Y32" s="162"/>
      <c r="Z32" s="162"/>
    </row>
    <row r="33" ht="18.75" customHeight="1">
      <c r="A33" s="162"/>
      <c r="B33" s="187"/>
      <c r="C33" s="183"/>
      <c r="D33" s="188"/>
      <c r="E33" s="183"/>
      <c r="F33" s="189">
        <f>+D32-F32</f>
        <v>258151343</v>
      </c>
      <c r="G33" s="162"/>
      <c r="H33" s="162"/>
      <c r="I33" s="162"/>
      <c r="J33" s="162"/>
      <c r="K33" s="162"/>
      <c r="L33" s="162"/>
      <c r="M33" s="162"/>
      <c r="N33" s="162"/>
      <c r="O33" s="162"/>
      <c r="P33" s="162"/>
      <c r="Q33" s="162"/>
      <c r="R33" s="162"/>
      <c r="S33" s="162"/>
      <c r="T33" s="162"/>
      <c r="U33" s="162"/>
      <c r="V33" s="162"/>
      <c r="W33" s="162"/>
      <c r="X33" s="162"/>
      <c r="Y33" s="162"/>
      <c r="Z33" s="162"/>
    </row>
    <row r="34" ht="18.75" customHeight="1">
      <c r="A34" s="162"/>
      <c r="B34" s="187" t="s">
        <v>187</v>
      </c>
      <c r="C34" s="183"/>
      <c r="D34" s="188">
        <f>-'RLI 2023'!D12</f>
        <v>-626743</v>
      </c>
      <c r="E34" s="183"/>
      <c r="F34" s="166"/>
      <c r="G34" s="162"/>
      <c r="H34" s="162"/>
      <c r="I34" s="162"/>
      <c r="J34" s="162"/>
      <c r="K34" s="162"/>
      <c r="L34" s="162"/>
      <c r="M34" s="162"/>
      <c r="N34" s="162"/>
      <c r="O34" s="162"/>
      <c r="P34" s="162"/>
      <c r="Q34" s="162"/>
      <c r="R34" s="162"/>
      <c r="S34" s="162"/>
      <c r="T34" s="162"/>
      <c r="U34" s="162"/>
      <c r="V34" s="162"/>
      <c r="W34" s="162"/>
      <c r="X34" s="162"/>
      <c r="Y34" s="162"/>
      <c r="Z34" s="162"/>
    </row>
    <row r="35" ht="18.75" customHeight="1">
      <c r="A35" s="162"/>
      <c r="B35" s="187" t="s">
        <v>188</v>
      </c>
      <c r="C35" s="183"/>
      <c r="D35" s="188">
        <f>-'RLI 2023'!D13</f>
        <v>-13554622</v>
      </c>
      <c r="E35" s="183"/>
      <c r="F35" s="166"/>
      <c r="G35" s="162"/>
      <c r="H35" s="162"/>
      <c r="I35" s="162"/>
      <c r="J35" s="162"/>
      <c r="K35" s="162"/>
      <c r="L35" s="162"/>
      <c r="M35" s="162"/>
      <c r="N35" s="162"/>
      <c r="O35" s="162"/>
      <c r="P35" s="162"/>
      <c r="Q35" s="162"/>
      <c r="R35" s="162"/>
      <c r="S35" s="162"/>
      <c r="T35" s="162"/>
      <c r="U35" s="162"/>
      <c r="V35" s="162"/>
      <c r="W35" s="162"/>
      <c r="X35" s="162"/>
      <c r="Y35" s="162"/>
      <c r="Z35" s="162"/>
    </row>
    <row r="36" ht="18.75" customHeight="1">
      <c r="A36" s="162"/>
      <c r="B36" s="187" t="s">
        <v>189</v>
      </c>
      <c r="C36" s="183"/>
      <c r="D36" s="188">
        <f>-'RLI 2023'!D14</f>
        <v>-280973</v>
      </c>
      <c r="E36" s="183"/>
      <c r="F36" s="183"/>
      <c r="G36" s="162"/>
      <c r="H36" s="162"/>
      <c r="I36" s="162"/>
      <c r="J36" s="162"/>
      <c r="K36" s="162"/>
      <c r="L36" s="162"/>
      <c r="M36" s="162"/>
      <c r="N36" s="162"/>
      <c r="O36" s="162"/>
      <c r="P36" s="162"/>
      <c r="Q36" s="162"/>
      <c r="R36" s="162"/>
      <c r="S36" s="162"/>
      <c r="T36" s="162"/>
      <c r="U36" s="162"/>
      <c r="V36" s="162"/>
      <c r="W36" s="162"/>
      <c r="X36" s="162"/>
      <c r="Y36" s="162"/>
      <c r="Z36" s="162"/>
    </row>
    <row r="37" ht="18.75" customHeight="1">
      <c r="A37" s="162"/>
      <c r="B37" s="187" t="s">
        <v>190</v>
      </c>
      <c r="C37" s="183"/>
      <c r="D37" s="188">
        <f>+'RLI 2023'!E23</f>
        <v>-508263</v>
      </c>
      <c r="E37" s="183"/>
      <c r="F37" s="183"/>
      <c r="G37" s="162"/>
      <c r="H37" s="162"/>
      <c r="I37" s="162"/>
      <c r="J37" s="162"/>
      <c r="K37" s="162"/>
      <c r="L37" s="162"/>
      <c r="M37" s="162"/>
      <c r="N37" s="162"/>
      <c r="O37" s="162"/>
      <c r="P37" s="162"/>
      <c r="Q37" s="162"/>
      <c r="R37" s="162"/>
      <c r="S37" s="162"/>
      <c r="T37" s="162"/>
      <c r="U37" s="162"/>
      <c r="V37" s="162"/>
      <c r="W37" s="162"/>
      <c r="X37" s="162"/>
      <c r="Y37" s="162"/>
      <c r="Z37" s="162"/>
    </row>
    <row r="38" ht="18.75" customHeight="1">
      <c r="A38" s="162"/>
      <c r="B38" s="187" t="s">
        <v>191</v>
      </c>
      <c r="C38" s="183"/>
      <c r="D38" s="188">
        <v>0.0</v>
      </c>
      <c r="E38" s="183"/>
      <c r="F38" s="183"/>
      <c r="G38" s="162"/>
      <c r="H38" s="162"/>
      <c r="I38" s="162"/>
      <c r="J38" s="162"/>
      <c r="K38" s="162"/>
      <c r="L38" s="162"/>
      <c r="M38" s="162"/>
      <c r="N38" s="162"/>
      <c r="O38" s="162"/>
      <c r="P38" s="162"/>
      <c r="Q38" s="162"/>
      <c r="R38" s="162"/>
      <c r="S38" s="162"/>
      <c r="T38" s="162"/>
      <c r="U38" s="162"/>
      <c r="V38" s="162"/>
      <c r="W38" s="162"/>
      <c r="X38" s="162"/>
      <c r="Y38" s="162"/>
      <c r="Z38" s="162"/>
    </row>
    <row r="39" ht="23.25" customHeight="1">
      <c r="A39" s="162"/>
      <c r="B39" s="187" t="s">
        <v>192</v>
      </c>
      <c r="C39" s="183"/>
      <c r="D39" s="188">
        <v>0.0</v>
      </c>
      <c r="E39" s="183"/>
      <c r="F39" s="183"/>
      <c r="G39" s="162"/>
      <c r="H39" s="162"/>
      <c r="I39" s="162"/>
      <c r="J39" s="162"/>
      <c r="K39" s="162"/>
      <c r="L39" s="162"/>
      <c r="M39" s="162"/>
      <c r="N39" s="162"/>
      <c r="O39" s="162"/>
      <c r="P39" s="162"/>
      <c r="Q39" s="162"/>
      <c r="R39" s="162"/>
      <c r="S39" s="162"/>
      <c r="T39" s="162"/>
      <c r="U39" s="162"/>
      <c r="V39" s="162"/>
      <c r="W39" s="162"/>
      <c r="X39" s="162"/>
      <c r="Y39" s="162"/>
      <c r="Z39" s="162"/>
    </row>
    <row r="40" ht="18.75" customHeight="1">
      <c r="A40" s="162"/>
      <c r="B40" s="187" t="s">
        <v>193</v>
      </c>
      <c r="C40" s="183"/>
      <c r="D40" s="188">
        <f>-Retiros!G38</f>
        <v>-82586515</v>
      </c>
      <c r="E40" s="183"/>
      <c r="F40" s="183"/>
      <c r="G40" s="162"/>
      <c r="H40" s="162"/>
      <c r="I40" s="162"/>
      <c r="J40" s="162"/>
      <c r="K40" s="162"/>
      <c r="L40" s="162"/>
      <c r="M40" s="162"/>
      <c r="N40" s="162"/>
      <c r="O40" s="162"/>
      <c r="P40" s="162"/>
      <c r="Q40" s="162"/>
      <c r="R40" s="162"/>
      <c r="S40" s="162"/>
      <c r="T40" s="162"/>
      <c r="U40" s="162"/>
      <c r="V40" s="162"/>
      <c r="W40" s="162"/>
      <c r="X40" s="162"/>
      <c r="Y40" s="162"/>
      <c r="Z40" s="162"/>
    </row>
    <row r="41" ht="21.75" customHeight="1">
      <c r="A41" s="162"/>
      <c r="B41" s="190" t="s">
        <v>194</v>
      </c>
      <c r="C41" s="191"/>
      <c r="D41" s="192">
        <v>-2.32042623E8</v>
      </c>
      <c r="E41" s="183"/>
      <c r="F41" s="183"/>
      <c r="G41" s="162"/>
      <c r="H41" s="162"/>
      <c r="I41" s="162"/>
      <c r="J41" s="162"/>
      <c r="K41" s="162"/>
      <c r="L41" s="162"/>
      <c r="M41" s="162"/>
      <c r="N41" s="162"/>
      <c r="O41" s="162"/>
      <c r="P41" s="162"/>
      <c r="Q41" s="162"/>
      <c r="R41" s="162"/>
      <c r="S41" s="162"/>
      <c r="T41" s="162"/>
      <c r="U41" s="162"/>
      <c r="V41" s="162"/>
      <c r="W41" s="162"/>
      <c r="X41" s="162"/>
      <c r="Y41" s="162"/>
      <c r="Z41" s="162"/>
    </row>
    <row r="42" ht="18.75" customHeight="1">
      <c r="A42" s="162"/>
      <c r="B42" s="193" t="s">
        <v>195</v>
      </c>
      <c r="C42" s="194"/>
      <c r="D42" s="195">
        <f>SUM(D32:D41)</f>
        <v>204341533</v>
      </c>
      <c r="E42" s="183"/>
      <c r="F42" s="183"/>
      <c r="G42" s="162"/>
      <c r="H42" s="162"/>
      <c r="I42" s="162"/>
      <c r="J42" s="162"/>
      <c r="K42" s="162"/>
      <c r="L42" s="162"/>
      <c r="M42" s="162"/>
      <c r="N42" s="162"/>
      <c r="O42" s="162"/>
      <c r="P42" s="162"/>
      <c r="Q42" s="162"/>
      <c r="R42" s="162"/>
      <c r="S42" s="162"/>
      <c r="T42" s="162"/>
      <c r="U42" s="162"/>
      <c r="V42" s="162"/>
      <c r="W42" s="162"/>
      <c r="X42" s="162"/>
      <c r="Y42" s="162"/>
      <c r="Z42" s="162"/>
    </row>
    <row r="43" ht="18.75" customHeight="1">
      <c r="A43" s="162"/>
      <c r="B43" s="187"/>
      <c r="C43" s="183"/>
      <c r="D43" s="188"/>
      <c r="E43" s="183"/>
      <c r="F43" s="183"/>
      <c r="G43" s="162"/>
      <c r="H43" s="162"/>
      <c r="I43" s="162"/>
      <c r="J43" s="162"/>
      <c r="K43" s="162"/>
      <c r="L43" s="162"/>
      <c r="M43" s="162"/>
      <c r="N43" s="162"/>
      <c r="O43" s="162"/>
      <c r="P43" s="162"/>
      <c r="Q43" s="162"/>
      <c r="R43" s="162"/>
      <c r="S43" s="162"/>
      <c r="T43" s="162"/>
      <c r="U43" s="162"/>
      <c r="V43" s="162"/>
      <c r="W43" s="162"/>
      <c r="X43" s="162"/>
      <c r="Y43" s="162"/>
      <c r="Z43" s="162"/>
    </row>
    <row r="44" ht="18.75" customHeight="1">
      <c r="A44" s="162"/>
      <c r="B44" s="187"/>
      <c r="C44" s="183" t="s">
        <v>196</v>
      </c>
      <c r="D44" s="188">
        <f>+F26-D42</f>
        <v>0</v>
      </c>
      <c r="E44" s="183"/>
      <c r="F44" s="183"/>
      <c r="G44" s="162"/>
      <c r="H44" s="162"/>
      <c r="I44" s="162"/>
      <c r="J44" s="162"/>
      <c r="K44" s="162"/>
      <c r="L44" s="162"/>
      <c r="M44" s="162"/>
      <c r="N44" s="162"/>
      <c r="O44" s="162"/>
      <c r="P44" s="162"/>
      <c r="Q44" s="162"/>
      <c r="R44" s="162"/>
      <c r="S44" s="162"/>
      <c r="T44" s="162"/>
      <c r="U44" s="162"/>
      <c r="V44" s="162"/>
      <c r="W44" s="162"/>
      <c r="X44" s="162"/>
      <c r="Y44" s="162"/>
      <c r="Z44" s="162"/>
    </row>
    <row r="45" ht="18.75" customHeight="1">
      <c r="A45" s="162"/>
      <c r="B45" s="187"/>
      <c r="C45" s="183"/>
      <c r="D45" s="196"/>
      <c r="E45" s="183"/>
      <c r="F45" s="183"/>
      <c r="G45" s="162"/>
      <c r="H45" s="162"/>
      <c r="I45" s="162"/>
      <c r="J45" s="162"/>
      <c r="K45" s="162"/>
      <c r="L45" s="162"/>
      <c r="M45" s="162"/>
      <c r="N45" s="162"/>
      <c r="O45" s="162"/>
      <c r="P45" s="162"/>
      <c r="Q45" s="162"/>
      <c r="R45" s="162"/>
      <c r="S45" s="162"/>
      <c r="T45" s="162"/>
      <c r="U45" s="162"/>
      <c r="V45" s="162"/>
      <c r="W45" s="162"/>
      <c r="X45" s="162"/>
      <c r="Y45" s="162"/>
      <c r="Z45" s="162"/>
    </row>
    <row r="46" ht="18.75" customHeight="1">
      <c r="A46" s="162"/>
      <c r="B46" s="197"/>
      <c r="C46" s="198"/>
      <c r="D46" s="199"/>
      <c r="E46" s="183"/>
      <c r="F46" s="183"/>
      <c r="G46" s="162"/>
      <c r="H46" s="162"/>
      <c r="I46" s="162"/>
      <c r="J46" s="162"/>
      <c r="K46" s="162"/>
      <c r="L46" s="162"/>
      <c r="M46" s="162"/>
      <c r="N46" s="162"/>
      <c r="O46" s="162"/>
      <c r="P46" s="162"/>
      <c r="Q46" s="162"/>
      <c r="R46" s="162"/>
      <c r="S46" s="162"/>
      <c r="T46" s="162"/>
      <c r="U46" s="162"/>
      <c r="V46" s="162"/>
      <c r="W46" s="162"/>
      <c r="X46" s="162"/>
      <c r="Y46" s="162"/>
      <c r="Z46" s="162"/>
    </row>
    <row r="47" ht="18.75" customHeight="1">
      <c r="A47" s="162"/>
      <c r="B47" s="162"/>
      <c r="C47" s="183"/>
      <c r="D47" s="162"/>
      <c r="E47" s="183"/>
      <c r="F47" s="183"/>
      <c r="G47" s="162"/>
      <c r="H47" s="162"/>
      <c r="I47" s="162"/>
      <c r="J47" s="162"/>
      <c r="K47" s="162"/>
      <c r="L47" s="162"/>
      <c r="M47" s="162"/>
      <c r="N47" s="162"/>
      <c r="O47" s="162"/>
      <c r="P47" s="162"/>
      <c r="Q47" s="162"/>
      <c r="R47" s="162"/>
      <c r="S47" s="162"/>
      <c r="T47" s="162"/>
      <c r="U47" s="162"/>
      <c r="V47" s="162"/>
      <c r="W47" s="162"/>
      <c r="X47" s="162"/>
      <c r="Y47" s="162"/>
      <c r="Z47" s="162"/>
    </row>
    <row r="48" ht="18.75" customHeight="1">
      <c r="A48" s="162"/>
      <c r="B48" s="162"/>
      <c r="C48" s="183"/>
      <c r="D48" s="162"/>
      <c r="E48" s="183"/>
      <c r="F48" s="183"/>
      <c r="G48" s="162"/>
      <c r="H48" s="162"/>
      <c r="I48" s="162"/>
      <c r="J48" s="162"/>
      <c r="K48" s="162"/>
      <c r="L48" s="162"/>
      <c r="M48" s="162"/>
      <c r="N48" s="162"/>
      <c r="O48" s="162"/>
      <c r="P48" s="162"/>
      <c r="Q48" s="162"/>
      <c r="R48" s="162"/>
      <c r="S48" s="162"/>
      <c r="T48" s="162"/>
      <c r="U48" s="162"/>
      <c r="V48" s="162"/>
      <c r="W48" s="162"/>
      <c r="X48" s="162"/>
      <c r="Y48" s="162"/>
      <c r="Z48" s="162"/>
    </row>
    <row r="49" ht="18.75" customHeight="1">
      <c r="A49" s="162"/>
      <c r="B49" s="162"/>
      <c r="C49" s="183"/>
      <c r="D49" s="162"/>
      <c r="E49" s="183"/>
      <c r="F49" s="183"/>
      <c r="G49" s="162"/>
      <c r="H49" s="162"/>
      <c r="I49" s="162"/>
      <c r="J49" s="162"/>
      <c r="K49" s="162"/>
      <c r="L49" s="162"/>
      <c r="M49" s="162"/>
      <c r="N49" s="162"/>
      <c r="O49" s="162"/>
      <c r="P49" s="162"/>
      <c r="Q49" s="162"/>
      <c r="R49" s="162"/>
      <c r="S49" s="162"/>
      <c r="T49" s="162"/>
      <c r="U49" s="162"/>
      <c r="V49" s="162"/>
      <c r="W49" s="162"/>
      <c r="X49" s="162"/>
      <c r="Y49" s="162"/>
      <c r="Z49" s="162"/>
    </row>
    <row r="50" ht="18.75" customHeight="1">
      <c r="A50" s="162"/>
      <c r="B50" s="162"/>
      <c r="C50" s="183"/>
      <c r="D50" s="162"/>
      <c r="E50" s="183"/>
      <c r="F50" s="183"/>
      <c r="G50" s="162"/>
      <c r="H50" s="162"/>
      <c r="I50" s="162"/>
      <c r="J50" s="162"/>
      <c r="K50" s="162"/>
      <c r="L50" s="162"/>
      <c r="M50" s="162"/>
      <c r="N50" s="162"/>
      <c r="O50" s="162"/>
      <c r="P50" s="162"/>
      <c r="Q50" s="162"/>
      <c r="R50" s="162"/>
      <c r="S50" s="162"/>
      <c r="T50" s="162"/>
      <c r="U50" s="162"/>
      <c r="V50" s="162"/>
      <c r="W50" s="162"/>
      <c r="X50" s="162"/>
      <c r="Y50" s="162"/>
      <c r="Z50" s="162"/>
    </row>
    <row r="51" ht="18.75" customHeight="1">
      <c r="A51" s="162"/>
      <c r="B51" s="162"/>
      <c r="C51" s="183"/>
      <c r="D51" s="162"/>
      <c r="E51" s="183"/>
      <c r="F51" s="183"/>
      <c r="G51" s="162"/>
      <c r="H51" s="162"/>
      <c r="I51" s="162"/>
      <c r="J51" s="162"/>
      <c r="K51" s="162"/>
      <c r="L51" s="162"/>
      <c r="M51" s="162"/>
      <c r="N51" s="162"/>
      <c r="O51" s="162"/>
      <c r="P51" s="162"/>
      <c r="Q51" s="162"/>
      <c r="R51" s="162"/>
      <c r="S51" s="162"/>
      <c r="T51" s="162"/>
      <c r="U51" s="162"/>
      <c r="V51" s="162"/>
      <c r="W51" s="162"/>
      <c r="X51" s="162"/>
      <c r="Y51" s="162"/>
      <c r="Z51" s="162"/>
    </row>
    <row r="52" ht="18.75" customHeight="1">
      <c r="A52" s="162"/>
      <c r="B52" s="162"/>
      <c r="C52" s="183"/>
      <c r="D52" s="162"/>
      <c r="E52" s="183"/>
      <c r="F52" s="183"/>
      <c r="G52" s="162"/>
      <c r="H52" s="162"/>
      <c r="I52" s="162"/>
      <c r="J52" s="162"/>
      <c r="K52" s="162"/>
      <c r="L52" s="162"/>
      <c r="M52" s="162"/>
      <c r="N52" s="162"/>
      <c r="O52" s="162"/>
      <c r="P52" s="162"/>
      <c r="Q52" s="162"/>
      <c r="R52" s="162"/>
      <c r="S52" s="162"/>
      <c r="T52" s="162"/>
      <c r="U52" s="162"/>
      <c r="V52" s="162"/>
      <c r="W52" s="162"/>
      <c r="X52" s="162"/>
      <c r="Y52" s="162"/>
      <c r="Z52" s="162"/>
    </row>
    <row r="53" ht="18.75" customHeight="1">
      <c r="A53" s="162"/>
      <c r="B53" s="162"/>
      <c r="C53" s="183"/>
      <c r="D53" s="162"/>
      <c r="E53" s="183"/>
      <c r="F53" s="183"/>
      <c r="G53" s="162"/>
      <c r="H53" s="162"/>
      <c r="I53" s="162"/>
      <c r="J53" s="162"/>
      <c r="K53" s="162"/>
      <c r="L53" s="162"/>
      <c r="M53" s="162"/>
      <c r="N53" s="162"/>
      <c r="O53" s="162"/>
      <c r="P53" s="162"/>
      <c r="Q53" s="162"/>
      <c r="R53" s="162"/>
      <c r="S53" s="162"/>
      <c r="T53" s="162"/>
      <c r="U53" s="162"/>
      <c r="V53" s="162"/>
      <c r="W53" s="162"/>
      <c r="X53" s="162"/>
      <c r="Y53" s="162"/>
      <c r="Z53" s="162"/>
    </row>
    <row r="54" ht="18.75" customHeight="1">
      <c r="A54" s="162"/>
      <c r="B54" s="162"/>
      <c r="C54" s="183"/>
      <c r="D54" s="162"/>
      <c r="E54" s="183"/>
      <c r="F54" s="183"/>
      <c r="G54" s="162"/>
      <c r="H54" s="162"/>
      <c r="I54" s="162"/>
      <c r="J54" s="162"/>
      <c r="K54" s="162"/>
      <c r="L54" s="162"/>
      <c r="M54" s="162"/>
      <c r="N54" s="162"/>
      <c r="O54" s="162"/>
      <c r="P54" s="162"/>
      <c r="Q54" s="162"/>
      <c r="R54" s="162"/>
      <c r="S54" s="162"/>
      <c r="T54" s="162"/>
      <c r="U54" s="162"/>
      <c r="V54" s="162"/>
      <c r="W54" s="162"/>
      <c r="X54" s="162"/>
      <c r="Y54" s="162"/>
      <c r="Z54" s="162"/>
    </row>
    <row r="55" ht="18.75" customHeight="1">
      <c r="A55" s="162"/>
      <c r="B55" s="183"/>
      <c r="C55" s="183"/>
      <c r="D55" s="162"/>
      <c r="E55" s="183"/>
      <c r="F55" s="183"/>
      <c r="G55" s="162"/>
      <c r="H55" s="162"/>
      <c r="I55" s="162"/>
      <c r="J55" s="162"/>
      <c r="K55" s="162"/>
      <c r="L55" s="162"/>
      <c r="M55" s="162"/>
      <c r="N55" s="162"/>
      <c r="O55" s="162"/>
      <c r="P55" s="162"/>
      <c r="Q55" s="162"/>
      <c r="R55" s="162"/>
      <c r="S55" s="162"/>
      <c r="T55" s="162"/>
      <c r="U55" s="162"/>
      <c r="V55" s="162"/>
      <c r="W55" s="162"/>
      <c r="X55" s="162"/>
      <c r="Y55" s="162"/>
      <c r="Z55" s="162"/>
    </row>
    <row r="56" ht="18.75" customHeight="1">
      <c r="A56" s="162"/>
      <c r="B56" s="183"/>
      <c r="C56" s="183"/>
      <c r="D56" s="162"/>
      <c r="E56" s="183"/>
      <c r="F56" s="183"/>
      <c r="G56" s="162"/>
      <c r="H56" s="162"/>
      <c r="I56" s="162"/>
      <c r="J56" s="162"/>
      <c r="K56" s="162"/>
      <c r="L56" s="162"/>
      <c r="M56" s="162"/>
      <c r="N56" s="162"/>
      <c r="O56" s="162"/>
      <c r="P56" s="162"/>
      <c r="Q56" s="162"/>
      <c r="R56" s="162"/>
      <c r="S56" s="162"/>
      <c r="T56" s="162"/>
      <c r="U56" s="162"/>
      <c r="V56" s="162"/>
      <c r="W56" s="162"/>
      <c r="X56" s="162"/>
      <c r="Y56" s="162"/>
      <c r="Z56" s="162"/>
    </row>
    <row r="57" ht="18.75" customHeight="1">
      <c r="A57" s="162"/>
      <c r="B57" s="162"/>
      <c r="C57" s="162"/>
      <c r="D57" s="162"/>
      <c r="E57" s="166"/>
      <c r="F57" s="166"/>
      <c r="G57" s="162"/>
      <c r="H57" s="162"/>
      <c r="I57" s="162"/>
      <c r="J57" s="162"/>
      <c r="K57" s="162"/>
      <c r="L57" s="162"/>
      <c r="M57" s="162"/>
      <c r="N57" s="162"/>
      <c r="O57" s="162"/>
      <c r="P57" s="162"/>
      <c r="Q57" s="162"/>
      <c r="R57" s="162"/>
      <c r="S57" s="162"/>
      <c r="T57" s="162"/>
      <c r="U57" s="162"/>
      <c r="V57" s="162"/>
      <c r="W57" s="162"/>
      <c r="X57" s="162"/>
      <c r="Y57" s="162"/>
      <c r="Z57" s="162"/>
    </row>
    <row r="58" ht="18.75" customHeight="1">
      <c r="A58" s="162"/>
      <c r="B58" s="162"/>
      <c r="C58" s="162"/>
      <c r="D58" s="162"/>
      <c r="E58" s="166"/>
      <c r="F58" s="166"/>
      <c r="G58" s="162"/>
      <c r="H58" s="162"/>
      <c r="I58" s="162"/>
      <c r="J58" s="162"/>
      <c r="K58" s="162"/>
      <c r="L58" s="162"/>
      <c r="M58" s="162"/>
      <c r="N58" s="162"/>
      <c r="O58" s="162"/>
      <c r="P58" s="162"/>
      <c r="Q58" s="162"/>
      <c r="R58" s="162"/>
      <c r="S58" s="162"/>
      <c r="T58" s="162"/>
      <c r="U58" s="162"/>
      <c r="V58" s="162"/>
      <c r="W58" s="162"/>
      <c r="X58" s="162"/>
      <c r="Y58" s="162"/>
      <c r="Z58" s="162"/>
    </row>
    <row r="59" ht="18.75" customHeight="1">
      <c r="A59" s="162"/>
      <c r="B59" s="162" t="s">
        <v>197</v>
      </c>
      <c r="C59" s="162"/>
      <c r="D59" s="162" t="s">
        <v>198</v>
      </c>
      <c r="E59" s="166" t="s">
        <v>199</v>
      </c>
      <c r="F59" s="166" t="s">
        <v>200</v>
      </c>
      <c r="G59" s="162"/>
      <c r="H59" s="162"/>
      <c r="I59" s="162"/>
      <c r="J59" s="162"/>
      <c r="K59" s="162"/>
      <c r="L59" s="162"/>
      <c r="M59" s="162"/>
      <c r="N59" s="162"/>
      <c r="O59" s="162"/>
      <c r="P59" s="162"/>
      <c r="Q59" s="162"/>
      <c r="R59" s="162"/>
      <c r="S59" s="162"/>
      <c r="T59" s="162"/>
      <c r="U59" s="162"/>
      <c r="V59" s="162"/>
      <c r="W59" s="162"/>
      <c r="X59" s="162"/>
      <c r="Y59" s="162"/>
      <c r="Z59" s="162"/>
    </row>
    <row r="60" ht="18.75" customHeight="1">
      <c r="A60" s="162"/>
      <c r="B60" s="200">
        <v>500000.0</v>
      </c>
      <c r="C60" s="201">
        <v>42572.0</v>
      </c>
      <c r="D60" s="202">
        <v>0.008</v>
      </c>
      <c r="E60" s="166">
        <f>+B60*D60</f>
        <v>4000</v>
      </c>
      <c r="F60" s="166">
        <f>+B60+E60</f>
        <v>504000</v>
      </c>
      <c r="G60" s="162"/>
      <c r="H60" s="162"/>
      <c r="I60" s="162"/>
      <c r="J60" s="162"/>
      <c r="K60" s="162"/>
      <c r="L60" s="162"/>
      <c r="M60" s="162"/>
      <c r="N60" s="162"/>
      <c r="O60" s="162"/>
      <c r="P60" s="162"/>
      <c r="Q60" s="162"/>
      <c r="R60" s="162"/>
      <c r="S60" s="162"/>
      <c r="T60" s="162"/>
      <c r="U60" s="162"/>
      <c r="V60" s="162"/>
      <c r="W60" s="162"/>
      <c r="X60" s="162"/>
      <c r="Y60" s="162"/>
      <c r="Z60" s="162"/>
    </row>
    <row r="61" ht="18.75" customHeight="1">
      <c r="A61" s="162"/>
      <c r="B61" s="162"/>
      <c r="C61" s="162">
        <v>2017.0</v>
      </c>
      <c r="D61" s="202">
        <v>0.019</v>
      </c>
      <c r="E61" s="166">
        <f t="shared" ref="E61:E63" si="1">+F60*D61</f>
        <v>9576</v>
      </c>
      <c r="F61" s="166">
        <f t="shared" ref="F61:F63" si="2">+F60+E61</f>
        <v>513576</v>
      </c>
      <c r="G61" s="162"/>
      <c r="H61" s="162"/>
      <c r="I61" s="162"/>
      <c r="J61" s="162"/>
      <c r="K61" s="162"/>
      <c r="L61" s="162"/>
      <c r="M61" s="162"/>
      <c r="N61" s="162"/>
      <c r="O61" s="162"/>
      <c r="P61" s="162"/>
      <c r="Q61" s="162"/>
      <c r="R61" s="162"/>
      <c r="S61" s="162"/>
      <c r="T61" s="162"/>
      <c r="U61" s="162"/>
      <c r="V61" s="162"/>
      <c r="W61" s="162"/>
      <c r="X61" s="162"/>
      <c r="Y61" s="162"/>
      <c r="Z61" s="162"/>
    </row>
    <row r="62" ht="18.75" customHeight="1">
      <c r="A62" s="162"/>
      <c r="B62" s="162"/>
      <c r="C62" s="162">
        <v>2018.0</v>
      </c>
      <c r="D62" s="202">
        <v>0.028</v>
      </c>
      <c r="E62" s="166">
        <f t="shared" si="1"/>
        <v>14380.128</v>
      </c>
      <c r="F62" s="166">
        <f t="shared" si="2"/>
        <v>527956.128</v>
      </c>
      <c r="G62" s="162"/>
      <c r="H62" s="162"/>
      <c r="I62" s="162"/>
      <c r="J62" s="162"/>
      <c r="K62" s="162"/>
      <c r="L62" s="162"/>
      <c r="M62" s="162"/>
      <c r="N62" s="162"/>
      <c r="O62" s="162"/>
      <c r="P62" s="162"/>
      <c r="Q62" s="162"/>
      <c r="R62" s="162"/>
      <c r="S62" s="162"/>
      <c r="T62" s="162"/>
      <c r="U62" s="162"/>
      <c r="V62" s="162"/>
      <c r="W62" s="162"/>
      <c r="X62" s="162"/>
      <c r="Y62" s="162"/>
      <c r="Z62" s="162"/>
    </row>
    <row r="63" ht="18.75" customHeight="1">
      <c r="A63" s="162"/>
      <c r="B63" s="162"/>
      <c r="C63" s="162">
        <v>2019.0</v>
      </c>
      <c r="D63" s="202">
        <v>0.028</v>
      </c>
      <c r="E63" s="166">
        <f t="shared" si="1"/>
        <v>14782.77158</v>
      </c>
      <c r="F63" s="166">
        <f t="shared" si="2"/>
        <v>542738.8996</v>
      </c>
      <c r="G63" s="162"/>
      <c r="H63" s="162"/>
      <c r="I63" s="162"/>
      <c r="J63" s="162"/>
      <c r="K63" s="162"/>
      <c r="L63" s="162"/>
      <c r="M63" s="162"/>
      <c r="N63" s="162"/>
      <c r="O63" s="162"/>
      <c r="P63" s="162"/>
      <c r="Q63" s="162"/>
      <c r="R63" s="162"/>
      <c r="S63" s="162"/>
      <c r="T63" s="162"/>
      <c r="U63" s="162"/>
      <c r="V63" s="162"/>
      <c r="W63" s="162"/>
      <c r="X63" s="162"/>
      <c r="Y63" s="162"/>
      <c r="Z63" s="162"/>
    </row>
    <row r="64" ht="18.75" customHeight="1">
      <c r="A64" s="162"/>
      <c r="B64" s="162"/>
      <c r="C64" s="162"/>
      <c r="D64" s="162"/>
      <c r="E64" s="166"/>
      <c r="F64" s="166"/>
      <c r="G64" s="162"/>
      <c r="H64" s="162"/>
      <c r="I64" s="162"/>
      <c r="J64" s="162"/>
      <c r="K64" s="162"/>
      <c r="L64" s="162"/>
      <c r="M64" s="162"/>
      <c r="N64" s="162"/>
      <c r="O64" s="162"/>
      <c r="P64" s="162"/>
      <c r="Q64" s="162"/>
      <c r="R64" s="162"/>
      <c r="S64" s="162"/>
      <c r="T64" s="162"/>
      <c r="U64" s="162"/>
      <c r="V64" s="162"/>
      <c r="W64" s="162"/>
      <c r="X64" s="162"/>
      <c r="Y64" s="162"/>
      <c r="Z64" s="162"/>
    </row>
    <row r="65" ht="18.75" customHeight="1">
      <c r="A65" s="162"/>
      <c r="B65" s="162"/>
      <c r="C65" s="162"/>
      <c r="D65" s="162"/>
      <c r="E65" s="166"/>
      <c r="F65" s="166"/>
      <c r="G65" s="162"/>
      <c r="H65" s="162"/>
      <c r="I65" s="162"/>
      <c r="J65" s="162"/>
      <c r="K65" s="162"/>
      <c r="L65" s="162"/>
      <c r="M65" s="162"/>
      <c r="N65" s="162"/>
      <c r="O65" s="162"/>
      <c r="P65" s="162"/>
      <c r="Q65" s="162"/>
      <c r="R65" s="162"/>
      <c r="S65" s="162"/>
      <c r="T65" s="162"/>
      <c r="U65" s="162"/>
      <c r="V65" s="162"/>
      <c r="W65" s="162"/>
      <c r="X65" s="162"/>
      <c r="Y65" s="162"/>
      <c r="Z65" s="162"/>
    </row>
    <row r="66" ht="18.75" customHeight="1">
      <c r="A66" s="162"/>
      <c r="B66" s="162"/>
      <c r="C66" s="162"/>
      <c r="D66" s="162"/>
      <c r="E66" s="166"/>
      <c r="F66" s="166"/>
      <c r="G66" s="162"/>
      <c r="H66" s="162"/>
      <c r="I66" s="162"/>
      <c r="J66" s="162"/>
      <c r="K66" s="162"/>
      <c r="L66" s="162"/>
      <c r="M66" s="162"/>
      <c r="N66" s="162"/>
      <c r="O66" s="162"/>
      <c r="P66" s="162"/>
      <c r="Q66" s="162"/>
      <c r="R66" s="162"/>
      <c r="S66" s="162"/>
      <c r="T66" s="162"/>
      <c r="U66" s="162"/>
      <c r="V66" s="162"/>
      <c r="W66" s="162"/>
      <c r="X66" s="162"/>
      <c r="Y66" s="162"/>
      <c r="Z66" s="162"/>
    </row>
    <row r="67" ht="18.75" customHeight="1">
      <c r="A67" s="162"/>
      <c r="B67" s="162"/>
      <c r="C67" s="162"/>
      <c r="D67" s="162"/>
      <c r="E67" s="166"/>
      <c r="F67" s="166"/>
      <c r="G67" s="162"/>
      <c r="H67" s="162"/>
      <c r="I67" s="162"/>
      <c r="J67" s="162"/>
      <c r="K67" s="162"/>
      <c r="L67" s="162"/>
      <c r="M67" s="162"/>
      <c r="N67" s="162"/>
      <c r="O67" s="162"/>
      <c r="P67" s="162"/>
      <c r="Q67" s="162"/>
      <c r="R67" s="162"/>
      <c r="S67" s="162"/>
      <c r="T67" s="162"/>
      <c r="U67" s="162"/>
      <c r="V67" s="162"/>
      <c r="W67" s="162"/>
      <c r="X67" s="162"/>
      <c r="Y67" s="162"/>
      <c r="Z67" s="162"/>
    </row>
    <row r="68" ht="18.75" customHeight="1">
      <c r="A68" s="162"/>
      <c r="B68" s="162"/>
      <c r="C68" s="162"/>
      <c r="D68" s="162"/>
      <c r="E68" s="166"/>
      <c r="F68" s="166"/>
      <c r="G68" s="162"/>
      <c r="H68" s="162"/>
      <c r="I68" s="162"/>
      <c r="J68" s="162"/>
      <c r="K68" s="162"/>
      <c r="L68" s="162"/>
      <c r="M68" s="162"/>
      <c r="N68" s="162"/>
      <c r="O68" s="162"/>
      <c r="P68" s="162"/>
      <c r="Q68" s="162"/>
      <c r="R68" s="162"/>
      <c r="S68" s="162"/>
      <c r="T68" s="162"/>
      <c r="U68" s="162"/>
      <c r="V68" s="162"/>
      <c r="W68" s="162"/>
      <c r="X68" s="162"/>
      <c r="Y68" s="162"/>
      <c r="Z68" s="162"/>
    </row>
    <row r="69" ht="18.75" customHeight="1">
      <c r="A69" s="162"/>
      <c r="B69" s="162"/>
      <c r="C69" s="162"/>
      <c r="D69" s="162"/>
      <c r="E69" s="166"/>
      <c r="F69" s="166"/>
      <c r="G69" s="162"/>
      <c r="H69" s="162"/>
      <c r="I69" s="162"/>
      <c r="J69" s="162"/>
      <c r="K69" s="162"/>
      <c r="L69" s="162"/>
      <c r="M69" s="162"/>
      <c r="N69" s="162"/>
      <c r="O69" s="162"/>
      <c r="P69" s="162"/>
      <c r="Q69" s="162"/>
      <c r="R69" s="162"/>
      <c r="S69" s="162"/>
      <c r="T69" s="162"/>
      <c r="U69" s="162"/>
      <c r="V69" s="162"/>
      <c r="W69" s="162"/>
      <c r="X69" s="162"/>
      <c r="Y69" s="162"/>
      <c r="Z69" s="162"/>
    </row>
    <row r="70" ht="18.75" customHeight="1">
      <c r="A70" s="162"/>
      <c r="B70" s="162"/>
      <c r="C70" s="162"/>
      <c r="D70" s="162"/>
      <c r="E70" s="166"/>
      <c r="F70" s="166"/>
      <c r="G70" s="162"/>
      <c r="H70" s="162"/>
      <c r="I70" s="162"/>
      <c r="J70" s="162"/>
      <c r="K70" s="162"/>
      <c r="L70" s="162"/>
      <c r="M70" s="162"/>
      <c r="N70" s="162"/>
      <c r="O70" s="162"/>
      <c r="P70" s="162"/>
      <c r="Q70" s="162"/>
      <c r="R70" s="162"/>
      <c r="S70" s="162"/>
      <c r="T70" s="162"/>
      <c r="U70" s="162"/>
      <c r="V70" s="162"/>
      <c r="W70" s="162"/>
      <c r="X70" s="162"/>
      <c r="Y70" s="162"/>
      <c r="Z70" s="162"/>
    </row>
    <row r="71" ht="18.75" customHeight="1">
      <c r="A71" s="162"/>
      <c r="B71" s="162"/>
      <c r="C71" s="162"/>
      <c r="D71" s="162"/>
      <c r="E71" s="166"/>
      <c r="F71" s="166"/>
      <c r="G71" s="162"/>
      <c r="H71" s="162"/>
      <c r="I71" s="162"/>
      <c r="J71" s="162"/>
      <c r="K71" s="162"/>
      <c r="L71" s="162"/>
      <c r="M71" s="162"/>
      <c r="N71" s="162"/>
      <c r="O71" s="162"/>
      <c r="P71" s="162"/>
      <c r="Q71" s="162"/>
      <c r="R71" s="162"/>
      <c r="S71" s="162"/>
      <c r="T71" s="162"/>
      <c r="U71" s="162"/>
      <c r="V71" s="162"/>
      <c r="W71" s="162"/>
      <c r="X71" s="162"/>
      <c r="Y71" s="162"/>
      <c r="Z71" s="162"/>
    </row>
    <row r="72" ht="18.75" customHeight="1">
      <c r="A72" s="162"/>
      <c r="B72" s="162"/>
      <c r="C72" s="162"/>
      <c r="D72" s="162"/>
      <c r="E72" s="166"/>
      <c r="F72" s="166"/>
      <c r="G72" s="162"/>
      <c r="H72" s="162"/>
      <c r="I72" s="162"/>
      <c r="J72" s="162"/>
      <c r="K72" s="162"/>
      <c r="L72" s="162"/>
      <c r="M72" s="162"/>
      <c r="N72" s="162"/>
      <c r="O72" s="162"/>
      <c r="P72" s="162"/>
      <c r="Q72" s="162"/>
      <c r="R72" s="162"/>
      <c r="S72" s="162"/>
      <c r="T72" s="162"/>
      <c r="U72" s="162"/>
      <c r="V72" s="162"/>
      <c r="W72" s="162"/>
      <c r="X72" s="162"/>
      <c r="Y72" s="162"/>
      <c r="Z72" s="162"/>
    </row>
    <row r="73" ht="18.75" customHeight="1">
      <c r="A73" s="162"/>
      <c r="B73" s="162"/>
      <c r="C73" s="162"/>
      <c r="D73" s="162"/>
      <c r="E73" s="166"/>
      <c r="F73" s="166"/>
      <c r="G73" s="162"/>
      <c r="H73" s="162"/>
      <c r="I73" s="162"/>
      <c r="J73" s="162"/>
      <c r="K73" s="162"/>
      <c r="L73" s="162"/>
      <c r="M73" s="162"/>
      <c r="N73" s="162"/>
      <c r="O73" s="162"/>
      <c r="P73" s="162"/>
      <c r="Q73" s="162"/>
      <c r="R73" s="162"/>
      <c r="S73" s="162"/>
      <c r="T73" s="162"/>
      <c r="U73" s="162"/>
      <c r="V73" s="162"/>
      <c r="W73" s="162"/>
      <c r="X73" s="162"/>
      <c r="Y73" s="162"/>
      <c r="Z73" s="162"/>
    </row>
    <row r="74" ht="18.75" customHeight="1">
      <c r="A74" s="162"/>
      <c r="B74" s="162"/>
      <c r="C74" s="162"/>
      <c r="D74" s="162"/>
      <c r="E74" s="166"/>
      <c r="F74" s="166"/>
      <c r="G74" s="162"/>
      <c r="H74" s="162"/>
      <c r="I74" s="162"/>
      <c r="J74" s="162"/>
      <c r="K74" s="162"/>
      <c r="L74" s="162"/>
      <c r="M74" s="162"/>
      <c r="N74" s="162"/>
      <c r="O74" s="162"/>
      <c r="P74" s="162"/>
      <c r="Q74" s="162"/>
      <c r="R74" s="162"/>
      <c r="S74" s="162"/>
      <c r="T74" s="162"/>
      <c r="U74" s="162"/>
      <c r="V74" s="162"/>
      <c r="W74" s="162"/>
      <c r="X74" s="162"/>
      <c r="Y74" s="162"/>
      <c r="Z74" s="162"/>
    </row>
    <row r="75" ht="18.75" customHeight="1">
      <c r="A75" s="162"/>
      <c r="B75" s="162"/>
      <c r="C75" s="162"/>
      <c r="D75" s="162"/>
      <c r="E75" s="166"/>
      <c r="F75" s="166"/>
      <c r="G75" s="162"/>
      <c r="H75" s="162"/>
      <c r="I75" s="162"/>
      <c r="J75" s="162"/>
      <c r="K75" s="162"/>
      <c r="L75" s="162"/>
      <c r="M75" s="162"/>
      <c r="N75" s="162"/>
      <c r="O75" s="162"/>
      <c r="P75" s="162"/>
      <c r="Q75" s="162"/>
      <c r="R75" s="162"/>
      <c r="S75" s="162"/>
      <c r="T75" s="162"/>
      <c r="U75" s="162"/>
      <c r="V75" s="162"/>
      <c r="W75" s="162"/>
      <c r="X75" s="162"/>
      <c r="Y75" s="162"/>
      <c r="Z75" s="162"/>
    </row>
    <row r="76" ht="18.75" customHeight="1">
      <c r="A76" s="162"/>
      <c r="B76" s="162"/>
      <c r="C76" s="162"/>
      <c r="D76" s="162"/>
      <c r="E76" s="166"/>
      <c r="F76" s="166"/>
      <c r="G76" s="162"/>
      <c r="H76" s="162"/>
      <c r="I76" s="162"/>
      <c r="J76" s="162"/>
      <c r="K76" s="162"/>
      <c r="L76" s="162"/>
      <c r="M76" s="162"/>
      <c r="N76" s="162"/>
      <c r="O76" s="162"/>
      <c r="P76" s="162"/>
      <c r="Q76" s="162"/>
      <c r="R76" s="162"/>
      <c r="S76" s="162"/>
      <c r="T76" s="162"/>
      <c r="U76" s="162"/>
      <c r="V76" s="162"/>
      <c r="W76" s="162"/>
      <c r="X76" s="162"/>
      <c r="Y76" s="162"/>
      <c r="Z76" s="162"/>
    </row>
    <row r="77" ht="18.75" customHeight="1">
      <c r="A77" s="162"/>
      <c r="B77" s="162"/>
      <c r="C77" s="162"/>
      <c r="D77" s="162"/>
      <c r="E77" s="166"/>
      <c r="F77" s="166"/>
      <c r="G77" s="162"/>
      <c r="H77" s="162"/>
      <c r="I77" s="162"/>
      <c r="J77" s="162"/>
      <c r="K77" s="162"/>
      <c r="L77" s="162"/>
      <c r="M77" s="162"/>
      <c r="N77" s="162"/>
      <c r="O77" s="162"/>
      <c r="P77" s="162"/>
      <c r="Q77" s="162"/>
      <c r="R77" s="162"/>
      <c r="S77" s="162"/>
      <c r="T77" s="162"/>
      <c r="U77" s="162"/>
      <c r="V77" s="162"/>
      <c r="W77" s="162"/>
      <c r="X77" s="162"/>
      <c r="Y77" s="162"/>
      <c r="Z77" s="162"/>
    </row>
    <row r="78" ht="18.75" customHeight="1">
      <c r="A78" s="162"/>
      <c r="B78" s="162"/>
      <c r="C78" s="162"/>
      <c r="D78" s="162"/>
      <c r="E78" s="166"/>
      <c r="F78" s="166"/>
      <c r="G78" s="162"/>
      <c r="H78" s="162"/>
      <c r="I78" s="162"/>
      <c r="J78" s="162"/>
      <c r="K78" s="162"/>
      <c r="L78" s="162"/>
      <c r="M78" s="162"/>
      <c r="N78" s="162"/>
      <c r="O78" s="162"/>
      <c r="P78" s="162"/>
      <c r="Q78" s="162"/>
      <c r="R78" s="162"/>
      <c r="S78" s="162"/>
      <c r="T78" s="162"/>
      <c r="U78" s="162"/>
      <c r="V78" s="162"/>
      <c r="W78" s="162"/>
      <c r="X78" s="162"/>
      <c r="Y78" s="162"/>
      <c r="Z78" s="162"/>
    </row>
    <row r="79" ht="18.75" customHeight="1">
      <c r="A79" s="162"/>
      <c r="B79" s="162"/>
      <c r="C79" s="162"/>
      <c r="D79" s="162"/>
      <c r="E79" s="166"/>
      <c r="F79" s="166"/>
      <c r="G79" s="162"/>
      <c r="H79" s="162"/>
      <c r="I79" s="162"/>
      <c r="J79" s="162"/>
      <c r="K79" s="162"/>
      <c r="L79" s="162"/>
      <c r="M79" s="162"/>
      <c r="N79" s="162"/>
      <c r="O79" s="162"/>
      <c r="P79" s="162"/>
      <c r="Q79" s="162"/>
      <c r="R79" s="162"/>
      <c r="S79" s="162"/>
      <c r="T79" s="162"/>
      <c r="U79" s="162"/>
      <c r="V79" s="162"/>
      <c r="W79" s="162"/>
      <c r="X79" s="162"/>
      <c r="Y79" s="162"/>
      <c r="Z79" s="162"/>
    </row>
    <row r="80" ht="18.75" customHeight="1">
      <c r="A80" s="162"/>
      <c r="B80" s="162"/>
      <c r="C80" s="162"/>
      <c r="D80" s="162"/>
      <c r="E80" s="166"/>
      <c r="F80" s="166"/>
      <c r="G80" s="162"/>
      <c r="H80" s="162"/>
      <c r="I80" s="162"/>
      <c r="J80" s="162"/>
      <c r="K80" s="162"/>
      <c r="L80" s="162"/>
      <c r="M80" s="162"/>
      <c r="N80" s="162"/>
      <c r="O80" s="162"/>
      <c r="P80" s="162"/>
      <c r="Q80" s="162"/>
      <c r="R80" s="162"/>
      <c r="S80" s="162"/>
      <c r="T80" s="162"/>
      <c r="U80" s="162"/>
      <c r="V80" s="162"/>
      <c r="W80" s="162"/>
      <c r="X80" s="162"/>
      <c r="Y80" s="162"/>
      <c r="Z80" s="162"/>
    </row>
    <row r="81" ht="18.75" customHeight="1">
      <c r="A81" s="162"/>
      <c r="B81" s="162"/>
      <c r="C81" s="162"/>
      <c r="D81" s="162"/>
      <c r="E81" s="166"/>
      <c r="F81" s="166"/>
      <c r="G81" s="162"/>
      <c r="H81" s="162"/>
      <c r="I81" s="162"/>
      <c r="J81" s="162"/>
      <c r="K81" s="162"/>
      <c r="L81" s="162"/>
      <c r="M81" s="162"/>
      <c r="N81" s="162"/>
      <c r="O81" s="162"/>
      <c r="P81" s="162"/>
      <c r="Q81" s="162"/>
      <c r="R81" s="162"/>
      <c r="S81" s="162"/>
      <c r="T81" s="162"/>
      <c r="U81" s="162"/>
      <c r="V81" s="162"/>
      <c r="W81" s="162"/>
      <c r="X81" s="162"/>
      <c r="Y81" s="162"/>
      <c r="Z81" s="162"/>
    </row>
    <row r="82" ht="18.75" customHeight="1">
      <c r="A82" s="162"/>
      <c r="B82" s="162"/>
      <c r="C82" s="162"/>
      <c r="D82" s="162"/>
      <c r="E82" s="166"/>
      <c r="F82" s="166"/>
      <c r="G82" s="162"/>
      <c r="H82" s="162"/>
      <c r="I82" s="162"/>
      <c r="J82" s="162"/>
      <c r="K82" s="162"/>
      <c r="L82" s="162"/>
      <c r="M82" s="162"/>
      <c r="N82" s="162"/>
      <c r="O82" s="162"/>
      <c r="P82" s="162"/>
      <c r="Q82" s="162"/>
      <c r="R82" s="162"/>
      <c r="S82" s="162"/>
      <c r="T82" s="162"/>
      <c r="U82" s="162"/>
      <c r="V82" s="162"/>
      <c r="W82" s="162"/>
      <c r="X82" s="162"/>
      <c r="Y82" s="162"/>
      <c r="Z82" s="162"/>
    </row>
    <row r="83" ht="18.75" customHeight="1">
      <c r="A83" s="162"/>
      <c r="B83" s="162"/>
      <c r="C83" s="162"/>
      <c r="D83" s="162"/>
      <c r="E83" s="166"/>
      <c r="F83" s="166"/>
      <c r="G83" s="162"/>
      <c r="H83" s="162"/>
      <c r="I83" s="162"/>
      <c r="J83" s="162"/>
      <c r="K83" s="162"/>
      <c r="L83" s="162"/>
      <c r="M83" s="162"/>
      <c r="N83" s="162"/>
      <c r="O83" s="162"/>
      <c r="P83" s="162"/>
      <c r="Q83" s="162"/>
      <c r="R83" s="162"/>
      <c r="S83" s="162"/>
      <c r="T83" s="162"/>
      <c r="U83" s="162"/>
      <c r="V83" s="162"/>
      <c r="W83" s="162"/>
      <c r="X83" s="162"/>
      <c r="Y83" s="162"/>
      <c r="Z83" s="162"/>
    </row>
    <row r="84" ht="18.75" customHeight="1">
      <c r="A84" s="162"/>
      <c r="B84" s="162"/>
      <c r="C84" s="162"/>
      <c r="D84" s="162"/>
      <c r="E84" s="166"/>
      <c r="F84" s="166"/>
      <c r="G84" s="162"/>
      <c r="H84" s="162"/>
      <c r="I84" s="162"/>
      <c r="J84" s="162"/>
      <c r="K84" s="162"/>
      <c r="L84" s="162"/>
      <c r="M84" s="162"/>
      <c r="N84" s="162"/>
      <c r="O84" s="162"/>
      <c r="P84" s="162"/>
      <c r="Q84" s="162"/>
      <c r="R84" s="162"/>
      <c r="S84" s="162"/>
      <c r="T84" s="162"/>
      <c r="U84" s="162"/>
      <c r="V84" s="162"/>
      <c r="W84" s="162"/>
      <c r="X84" s="162"/>
      <c r="Y84" s="162"/>
      <c r="Z84" s="162"/>
    </row>
    <row r="85" ht="18.75" customHeight="1">
      <c r="A85" s="162"/>
      <c r="B85" s="162"/>
      <c r="C85" s="162"/>
      <c r="D85" s="162"/>
      <c r="E85" s="166"/>
      <c r="F85" s="166"/>
      <c r="G85" s="162"/>
      <c r="H85" s="162"/>
      <c r="I85" s="162"/>
      <c r="J85" s="162"/>
      <c r="K85" s="162"/>
      <c r="L85" s="162"/>
      <c r="M85" s="162"/>
      <c r="N85" s="162"/>
      <c r="O85" s="162"/>
      <c r="P85" s="162"/>
      <c r="Q85" s="162"/>
      <c r="R85" s="162"/>
      <c r="S85" s="162"/>
      <c r="T85" s="162"/>
      <c r="U85" s="162"/>
      <c r="V85" s="162"/>
      <c r="W85" s="162"/>
      <c r="X85" s="162"/>
      <c r="Y85" s="162"/>
      <c r="Z85" s="162"/>
    </row>
    <row r="86" ht="18.75" customHeight="1">
      <c r="A86" s="162"/>
      <c r="B86" s="162"/>
      <c r="C86" s="162"/>
      <c r="D86" s="162"/>
      <c r="E86" s="166"/>
      <c r="F86" s="166"/>
      <c r="G86" s="162"/>
      <c r="H86" s="162"/>
      <c r="I86" s="162"/>
      <c r="J86" s="162"/>
      <c r="K86" s="162"/>
      <c r="L86" s="162"/>
      <c r="M86" s="162"/>
      <c r="N86" s="162"/>
      <c r="O86" s="162"/>
      <c r="P86" s="162"/>
      <c r="Q86" s="162"/>
      <c r="R86" s="162"/>
      <c r="S86" s="162"/>
      <c r="T86" s="162"/>
      <c r="U86" s="162"/>
      <c r="V86" s="162"/>
      <c r="W86" s="162"/>
      <c r="X86" s="162"/>
      <c r="Y86" s="162"/>
      <c r="Z86" s="162"/>
    </row>
    <row r="87" ht="18.75" customHeight="1">
      <c r="A87" s="162"/>
      <c r="B87" s="162"/>
      <c r="C87" s="162"/>
      <c r="D87" s="162"/>
      <c r="E87" s="166"/>
      <c r="F87" s="166"/>
      <c r="G87" s="162"/>
      <c r="H87" s="162"/>
      <c r="I87" s="162"/>
      <c r="J87" s="162"/>
      <c r="K87" s="162"/>
      <c r="L87" s="162"/>
      <c r="M87" s="162"/>
      <c r="N87" s="162"/>
      <c r="O87" s="162"/>
      <c r="P87" s="162"/>
      <c r="Q87" s="162"/>
      <c r="R87" s="162"/>
      <c r="S87" s="162"/>
      <c r="T87" s="162"/>
      <c r="U87" s="162"/>
      <c r="V87" s="162"/>
      <c r="W87" s="162"/>
      <c r="X87" s="162"/>
      <c r="Y87" s="162"/>
      <c r="Z87" s="162"/>
    </row>
    <row r="88" ht="18.75" customHeight="1">
      <c r="A88" s="162"/>
      <c r="B88" s="162"/>
      <c r="C88" s="162"/>
      <c r="D88" s="162"/>
      <c r="E88" s="166"/>
      <c r="F88" s="166"/>
      <c r="G88" s="162"/>
      <c r="H88" s="162"/>
      <c r="I88" s="162"/>
      <c r="J88" s="162"/>
      <c r="K88" s="162"/>
      <c r="L88" s="162"/>
      <c r="M88" s="162"/>
      <c r="N88" s="162"/>
      <c r="O88" s="162"/>
      <c r="P88" s="162"/>
      <c r="Q88" s="162"/>
      <c r="R88" s="162"/>
      <c r="S88" s="162"/>
      <c r="T88" s="162"/>
      <c r="U88" s="162"/>
      <c r="V88" s="162"/>
      <c r="W88" s="162"/>
      <c r="X88" s="162"/>
      <c r="Y88" s="162"/>
      <c r="Z88" s="162"/>
    </row>
    <row r="89" ht="18.75" customHeight="1">
      <c r="A89" s="162"/>
      <c r="B89" s="162"/>
      <c r="C89" s="162"/>
      <c r="D89" s="162"/>
      <c r="E89" s="166"/>
      <c r="F89" s="166"/>
      <c r="G89" s="162"/>
      <c r="H89" s="162"/>
      <c r="I89" s="162"/>
      <c r="J89" s="162"/>
      <c r="K89" s="162"/>
      <c r="L89" s="162"/>
      <c r="M89" s="162"/>
      <c r="N89" s="162"/>
      <c r="O89" s="162"/>
      <c r="P89" s="162"/>
      <c r="Q89" s="162"/>
      <c r="R89" s="162"/>
      <c r="S89" s="162"/>
      <c r="T89" s="162"/>
      <c r="U89" s="162"/>
      <c r="V89" s="162"/>
      <c r="W89" s="162"/>
      <c r="X89" s="162"/>
      <c r="Y89" s="162"/>
      <c r="Z89" s="162"/>
    </row>
    <row r="90" ht="18.75" customHeight="1">
      <c r="A90" s="162"/>
      <c r="B90" s="162"/>
      <c r="C90" s="162"/>
      <c r="D90" s="162"/>
      <c r="E90" s="166"/>
      <c r="F90" s="166"/>
      <c r="G90" s="162"/>
      <c r="H90" s="162"/>
      <c r="I90" s="162"/>
      <c r="J90" s="162"/>
      <c r="K90" s="162"/>
      <c r="L90" s="162"/>
      <c r="M90" s="162"/>
      <c r="N90" s="162"/>
      <c r="O90" s="162"/>
      <c r="P90" s="162"/>
      <c r="Q90" s="162"/>
      <c r="R90" s="162"/>
      <c r="S90" s="162"/>
      <c r="T90" s="162"/>
      <c r="U90" s="162"/>
      <c r="V90" s="162"/>
      <c r="W90" s="162"/>
      <c r="X90" s="162"/>
      <c r="Y90" s="162"/>
      <c r="Z90" s="162"/>
    </row>
    <row r="91" ht="18.75" customHeight="1">
      <c r="A91" s="162"/>
      <c r="B91" s="162"/>
      <c r="C91" s="162"/>
      <c r="D91" s="162"/>
      <c r="E91" s="166"/>
      <c r="F91" s="166"/>
      <c r="G91" s="162"/>
      <c r="H91" s="162"/>
      <c r="I91" s="162"/>
      <c r="J91" s="162"/>
      <c r="K91" s="162"/>
      <c r="L91" s="162"/>
      <c r="M91" s="162"/>
      <c r="N91" s="162"/>
      <c r="O91" s="162"/>
      <c r="P91" s="162"/>
      <c r="Q91" s="162"/>
      <c r="R91" s="162"/>
      <c r="S91" s="162"/>
      <c r="T91" s="162"/>
      <c r="U91" s="162"/>
      <c r="V91" s="162"/>
      <c r="W91" s="162"/>
      <c r="X91" s="162"/>
      <c r="Y91" s="162"/>
      <c r="Z91" s="162"/>
    </row>
    <row r="92" ht="18.75" customHeight="1">
      <c r="A92" s="162"/>
      <c r="B92" s="162"/>
      <c r="C92" s="162"/>
      <c r="D92" s="162"/>
      <c r="E92" s="166"/>
      <c r="F92" s="166"/>
      <c r="G92" s="162"/>
      <c r="H92" s="162"/>
      <c r="I92" s="162"/>
      <c r="J92" s="162"/>
      <c r="K92" s="162"/>
      <c r="L92" s="162"/>
      <c r="M92" s="162"/>
      <c r="N92" s="162"/>
      <c r="O92" s="162"/>
      <c r="P92" s="162"/>
      <c r="Q92" s="162"/>
      <c r="R92" s="162"/>
      <c r="S92" s="162"/>
      <c r="T92" s="162"/>
      <c r="U92" s="162"/>
      <c r="V92" s="162"/>
      <c r="W92" s="162"/>
      <c r="X92" s="162"/>
      <c r="Y92" s="162"/>
      <c r="Z92" s="162"/>
    </row>
    <row r="93" ht="18.75" customHeight="1">
      <c r="A93" s="162"/>
      <c r="B93" s="162"/>
      <c r="C93" s="162"/>
      <c r="D93" s="162"/>
      <c r="E93" s="166"/>
      <c r="F93" s="166"/>
      <c r="G93" s="162"/>
      <c r="H93" s="162"/>
      <c r="I93" s="162"/>
      <c r="J93" s="162"/>
      <c r="K93" s="162"/>
      <c r="L93" s="162"/>
      <c r="M93" s="162"/>
      <c r="N93" s="162"/>
      <c r="O93" s="162"/>
      <c r="P93" s="162"/>
      <c r="Q93" s="162"/>
      <c r="R93" s="162"/>
      <c r="S93" s="162"/>
      <c r="T93" s="162"/>
      <c r="U93" s="162"/>
      <c r="V93" s="162"/>
      <c r="W93" s="162"/>
      <c r="X93" s="162"/>
      <c r="Y93" s="162"/>
      <c r="Z93" s="162"/>
    </row>
    <row r="94" ht="18.75" customHeight="1">
      <c r="A94" s="162"/>
      <c r="B94" s="162"/>
      <c r="C94" s="162"/>
      <c r="D94" s="162"/>
      <c r="E94" s="166"/>
      <c r="F94" s="166"/>
      <c r="G94" s="162"/>
      <c r="H94" s="162"/>
      <c r="I94" s="162"/>
      <c r="J94" s="162"/>
      <c r="K94" s="162"/>
      <c r="L94" s="162"/>
      <c r="M94" s="162"/>
      <c r="N94" s="162"/>
      <c r="O94" s="162"/>
      <c r="P94" s="162"/>
      <c r="Q94" s="162"/>
      <c r="R94" s="162"/>
      <c r="S94" s="162"/>
      <c r="T94" s="162"/>
      <c r="U94" s="162"/>
      <c r="V94" s="162"/>
      <c r="W94" s="162"/>
      <c r="X94" s="162"/>
      <c r="Y94" s="162"/>
      <c r="Z94" s="162"/>
    </row>
    <row r="95" ht="18.75" customHeight="1">
      <c r="A95" s="162"/>
      <c r="B95" s="162"/>
      <c r="C95" s="162"/>
      <c r="D95" s="162"/>
      <c r="E95" s="166"/>
      <c r="F95" s="166"/>
      <c r="G95" s="162"/>
      <c r="H95" s="162"/>
      <c r="I95" s="162"/>
      <c r="J95" s="162"/>
      <c r="K95" s="162"/>
      <c r="L95" s="162"/>
      <c r="M95" s="162"/>
      <c r="N95" s="162"/>
      <c r="O95" s="162"/>
      <c r="P95" s="162"/>
      <c r="Q95" s="162"/>
      <c r="R95" s="162"/>
      <c r="S95" s="162"/>
      <c r="T95" s="162"/>
      <c r="U95" s="162"/>
      <c r="V95" s="162"/>
      <c r="W95" s="162"/>
      <c r="X95" s="162"/>
      <c r="Y95" s="162"/>
      <c r="Z95" s="162"/>
    </row>
    <row r="96" ht="18.75" customHeight="1">
      <c r="A96" s="162"/>
      <c r="B96" s="162"/>
      <c r="C96" s="162"/>
      <c r="D96" s="162"/>
      <c r="E96" s="166"/>
      <c r="F96" s="166"/>
      <c r="G96" s="162"/>
      <c r="H96" s="162"/>
      <c r="I96" s="162"/>
      <c r="J96" s="162"/>
      <c r="K96" s="162"/>
      <c r="L96" s="162"/>
      <c r="M96" s="162"/>
      <c r="N96" s="162"/>
      <c r="O96" s="162"/>
      <c r="P96" s="162"/>
      <c r="Q96" s="162"/>
      <c r="R96" s="162"/>
      <c r="S96" s="162"/>
      <c r="T96" s="162"/>
      <c r="U96" s="162"/>
      <c r="V96" s="162"/>
      <c r="W96" s="162"/>
      <c r="X96" s="162"/>
      <c r="Y96" s="162"/>
      <c r="Z96" s="162"/>
    </row>
    <row r="97" ht="18.75" customHeight="1">
      <c r="A97" s="162"/>
      <c r="B97" s="162"/>
      <c r="C97" s="162"/>
      <c r="D97" s="162"/>
      <c r="E97" s="166"/>
      <c r="F97" s="166"/>
      <c r="G97" s="162"/>
      <c r="H97" s="162"/>
      <c r="I97" s="162"/>
      <c r="J97" s="162"/>
      <c r="K97" s="162"/>
      <c r="L97" s="162"/>
      <c r="M97" s="162"/>
      <c r="N97" s="162"/>
      <c r="O97" s="162"/>
      <c r="P97" s="162"/>
      <c r="Q97" s="162"/>
      <c r="R97" s="162"/>
      <c r="S97" s="162"/>
      <c r="T97" s="162"/>
      <c r="U97" s="162"/>
      <c r="V97" s="162"/>
      <c r="W97" s="162"/>
      <c r="X97" s="162"/>
      <c r="Y97" s="162"/>
      <c r="Z97" s="162"/>
    </row>
    <row r="98" ht="18.75" customHeight="1">
      <c r="A98" s="162"/>
      <c r="B98" s="162"/>
      <c r="C98" s="162"/>
      <c r="D98" s="162"/>
      <c r="E98" s="166"/>
      <c r="F98" s="166"/>
      <c r="G98" s="162"/>
      <c r="H98" s="162"/>
      <c r="I98" s="162"/>
      <c r="J98" s="162"/>
      <c r="K98" s="162"/>
      <c r="L98" s="162"/>
      <c r="M98" s="162"/>
      <c r="N98" s="162"/>
      <c r="O98" s="162"/>
      <c r="P98" s="162"/>
      <c r="Q98" s="162"/>
      <c r="R98" s="162"/>
      <c r="S98" s="162"/>
      <c r="T98" s="162"/>
      <c r="U98" s="162"/>
      <c r="V98" s="162"/>
      <c r="W98" s="162"/>
      <c r="X98" s="162"/>
      <c r="Y98" s="162"/>
      <c r="Z98" s="162"/>
    </row>
    <row r="99" ht="18.75" customHeight="1">
      <c r="A99" s="162"/>
      <c r="B99" s="162"/>
      <c r="C99" s="162"/>
      <c r="D99" s="162"/>
      <c r="E99" s="166"/>
      <c r="F99" s="166"/>
      <c r="G99" s="162"/>
      <c r="H99" s="162"/>
      <c r="I99" s="162"/>
      <c r="J99" s="162"/>
      <c r="K99" s="162"/>
      <c r="L99" s="162"/>
      <c r="M99" s="162"/>
      <c r="N99" s="162"/>
      <c r="O99" s="162"/>
      <c r="P99" s="162"/>
      <c r="Q99" s="162"/>
      <c r="R99" s="162"/>
      <c r="S99" s="162"/>
      <c r="T99" s="162"/>
      <c r="U99" s="162"/>
      <c r="V99" s="162"/>
      <c r="W99" s="162"/>
      <c r="X99" s="162"/>
      <c r="Y99" s="162"/>
      <c r="Z99" s="162"/>
    </row>
    <row r="100" ht="18.75" customHeight="1">
      <c r="A100" s="162"/>
      <c r="B100" s="162"/>
      <c r="C100" s="162"/>
      <c r="D100" s="162"/>
      <c r="E100" s="166"/>
      <c r="F100" s="166"/>
      <c r="G100" s="162"/>
      <c r="H100" s="162"/>
      <c r="I100" s="162"/>
      <c r="J100" s="162"/>
      <c r="K100" s="162"/>
      <c r="L100" s="162"/>
      <c r="M100" s="162"/>
      <c r="N100" s="162"/>
      <c r="O100" s="162"/>
      <c r="P100" s="162"/>
      <c r="Q100" s="162"/>
      <c r="R100" s="162"/>
      <c r="S100" s="162"/>
      <c r="T100" s="162"/>
      <c r="U100" s="162"/>
      <c r="V100" s="162"/>
      <c r="W100" s="162"/>
      <c r="X100" s="162"/>
      <c r="Y100" s="162"/>
      <c r="Z100" s="162"/>
    </row>
    <row r="101" ht="18.75" customHeight="1">
      <c r="A101" s="162"/>
      <c r="B101" s="162"/>
      <c r="C101" s="162"/>
      <c r="D101" s="162"/>
      <c r="E101" s="166"/>
      <c r="F101" s="166"/>
      <c r="G101" s="162"/>
      <c r="H101" s="162"/>
      <c r="I101" s="162"/>
      <c r="J101" s="162"/>
      <c r="K101" s="162"/>
      <c r="L101" s="162"/>
      <c r="M101" s="162"/>
      <c r="N101" s="162"/>
      <c r="O101" s="162"/>
      <c r="P101" s="162"/>
      <c r="Q101" s="162"/>
      <c r="R101" s="162"/>
      <c r="S101" s="162"/>
      <c r="T101" s="162"/>
      <c r="U101" s="162"/>
      <c r="V101" s="162"/>
      <c r="W101" s="162"/>
      <c r="X101" s="162"/>
      <c r="Y101" s="162"/>
      <c r="Z101" s="162"/>
    </row>
    <row r="102" ht="18.75" customHeight="1">
      <c r="A102" s="162"/>
      <c r="B102" s="162"/>
      <c r="C102" s="162"/>
      <c r="D102" s="162"/>
      <c r="E102" s="166"/>
      <c r="F102" s="166"/>
      <c r="G102" s="162"/>
      <c r="H102" s="162"/>
      <c r="I102" s="162"/>
      <c r="J102" s="162"/>
      <c r="K102" s="162"/>
      <c r="L102" s="162"/>
      <c r="M102" s="162"/>
      <c r="N102" s="162"/>
      <c r="O102" s="162"/>
      <c r="P102" s="162"/>
      <c r="Q102" s="162"/>
      <c r="R102" s="162"/>
      <c r="S102" s="162"/>
      <c r="T102" s="162"/>
      <c r="U102" s="162"/>
      <c r="V102" s="162"/>
      <c r="W102" s="162"/>
      <c r="X102" s="162"/>
      <c r="Y102" s="162"/>
      <c r="Z102" s="162"/>
    </row>
    <row r="103" ht="18.75" customHeight="1">
      <c r="A103" s="162"/>
      <c r="B103" s="162"/>
      <c r="C103" s="162"/>
      <c r="D103" s="162"/>
      <c r="E103" s="166"/>
      <c r="F103" s="166"/>
      <c r="G103" s="162"/>
      <c r="H103" s="162"/>
      <c r="I103" s="162"/>
      <c r="J103" s="162"/>
      <c r="K103" s="162"/>
      <c r="L103" s="162"/>
      <c r="M103" s="162"/>
      <c r="N103" s="162"/>
      <c r="O103" s="162"/>
      <c r="P103" s="162"/>
      <c r="Q103" s="162"/>
      <c r="R103" s="162"/>
      <c r="S103" s="162"/>
      <c r="T103" s="162"/>
      <c r="U103" s="162"/>
      <c r="V103" s="162"/>
      <c r="W103" s="162"/>
      <c r="X103" s="162"/>
      <c r="Y103" s="162"/>
      <c r="Z103" s="162"/>
    </row>
    <row r="104" ht="18.75" customHeight="1">
      <c r="A104" s="162"/>
      <c r="B104" s="162"/>
      <c r="C104" s="162"/>
      <c r="D104" s="162"/>
      <c r="E104" s="166"/>
      <c r="F104" s="166"/>
      <c r="G104" s="162"/>
      <c r="H104" s="162"/>
      <c r="I104" s="162"/>
      <c r="J104" s="162"/>
      <c r="K104" s="162"/>
      <c r="L104" s="162"/>
      <c r="M104" s="162"/>
      <c r="N104" s="162"/>
      <c r="O104" s="162"/>
      <c r="P104" s="162"/>
      <c r="Q104" s="162"/>
      <c r="R104" s="162"/>
      <c r="S104" s="162"/>
      <c r="T104" s="162"/>
      <c r="U104" s="162"/>
      <c r="V104" s="162"/>
      <c r="W104" s="162"/>
      <c r="X104" s="162"/>
      <c r="Y104" s="162"/>
      <c r="Z104" s="162"/>
    </row>
    <row r="105" ht="18.75" customHeight="1">
      <c r="A105" s="162"/>
      <c r="B105" s="162"/>
      <c r="C105" s="162"/>
      <c r="D105" s="162"/>
      <c r="E105" s="166"/>
      <c r="F105" s="166"/>
      <c r="G105" s="162"/>
      <c r="H105" s="162"/>
      <c r="I105" s="162"/>
      <c r="J105" s="162"/>
      <c r="K105" s="162"/>
      <c r="L105" s="162"/>
      <c r="M105" s="162"/>
      <c r="N105" s="162"/>
      <c r="O105" s="162"/>
      <c r="P105" s="162"/>
      <c r="Q105" s="162"/>
      <c r="R105" s="162"/>
      <c r="S105" s="162"/>
      <c r="T105" s="162"/>
      <c r="U105" s="162"/>
      <c r="V105" s="162"/>
      <c r="W105" s="162"/>
      <c r="X105" s="162"/>
      <c r="Y105" s="162"/>
      <c r="Z105" s="162"/>
    </row>
    <row r="106" ht="18.75" customHeight="1">
      <c r="A106" s="162"/>
      <c r="B106" s="162"/>
      <c r="C106" s="162"/>
      <c r="D106" s="162"/>
      <c r="E106" s="166"/>
      <c r="F106" s="166"/>
      <c r="G106" s="162"/>
      <c r="H106" s="162"/>
      <c r="I106" s="162"/>
      <c r="J106" s="162"/>
      <c r="K106" s="162"/>
      <c r="L106" s="162"/>
      <c r="M106" s="162"/>
      <c r="N106" s="162"/>
      <c r="O106" s="162"/>
      <c r="P106" s="162"/>
      <c r="Q106" s="162"/>
      <c r="R106" s="162"/>
      <c r="S106" s="162"/>
      <c r="T106" s="162"/>
      <c r="U106" s="162"/>
      <c r="V106" s="162"/>
      <c r="W106" s="162"/>
      <c r="X106" s="162"/>
      <c r="Y106" s="162"/>
      <c r="Z106" s="162"/>
    </row>
    <row r="107" ht="18.75" customHeight="1">
      <c r="A107" s="162"/>
      <c r="B107" s="162"/>
      <c r="C107" s="162"/>
      <c r="D107" s="162"/>
      <c r="E107" s="166"/>
      <c r="F107" s="166"/>
      <c r="G107" s="162"/>
      <c r="H107" s="162"/>
      <c r="I107" s="162"/>
      <c r="J107" s="162"/>
      <c r="K107" s="162"/>
      <c r="L107" s="162"/>
      <c r="M107" s="162"/>
      <c r="N107" s="162"/>
      <c r="O107" s="162"/>
      <c r="P107" s="162"/>
      <c r="Q107" s="162"/>
      <c r="R107" s="162"/>
      <c r="S107" s="162"/>
      <c r="T107" s="162"/>
      <c r="U107" s="162"/>
      <c r="V107" s="162"/>
      <c r="W107" s="162"/>
      <c r="X107" s="162"/>
      <c r="Y107" s="162"/>
      <c r="Z107" s="162"/>
    </row>
    <row r="108" ht="18.75" customHeight="1">
      <c r="A108" s="162"/>
      <c r="B108" s="162"/>
      <c r="C108" s="162"/>
      <c r="D108" s="162"/>
      <c r="E108" s="166"/>
      <c r="F108" s="166"/>
      <c r="G108" s="162"/>
      <c r="H108" s="162"/>
      <c r="I108" s="162"/>
      <c r="J108" s="162"/>
      <c r="K108" s="162"/>
      <c r="L108" s="162"/>
      <c r="M108" s="162"/>
      <c r="N108" s="162"/>
      <c r="O108" s="162"/>
      <c r="P108" s="162"/>
      <c r="Q108" s="162"/>
      <c r="R108" s="162"/>
      <c r="S108" s="162"/>
      <c r="T108" s="162"/>
      <c r="U108" s="162"/>
      <c r="V108" s="162"/>
      <c r="W108" s="162"/>
      <c r="X108" s="162"/>
      <c r="Y108" s="162"/>
      <c r="Z108" s="162"/>
    </row>
    <row r="109" ht="18.75" customHeight="1">
      <c r="A109" s="162"/>
      <c r="B109" s="162"/>
      <c r="C109" s="162"/>
      <c r="D109" s="162"/>
      <c r="E109" s="166"/>
      <c r="F109" s="166"/>
      <c r="G109" s="162"/>
      <c r="H109" s="162"/>
      <c r="I109" s="162"/>
      <c r="J109" s="162"/>
      <c r="K109" s="162"/>
      <c r="L109" s="162"/>
      <c r="M109" s="162"/>
      <c r="N109" s="162"/>
      <c r="O109" s="162"/>
      <c r="P109" s="162"/>
      <c r="Q109" s="162"/>
      <c r="R109" s="162"/>
      <c r="S109" s="162"/>
      <c r="T109" s="162"/>
      <c r="U109" s="162"/>
      <c r="V109" s="162"/>
      <c r="W109" s="162"/>
      <c r="X109" s="162"/>
      <c r="Y109" s="162"/>
      <c r="Z109" s="162"/>
    </row>
    <row r="110" ht="18.75" customHeight="1">
      <c r="A110" s="162"/>
      <c r="B110" s="162"/>
      <c r="C110" s="162"/>
      <c r="D110" s="162"/>
      <c r="E110" s="166"/>
      <c r="F110" s="166"/>
      <c r="G110" s="162"/>
      <c r="H110" s="162"/>
      <c r="I110" s="162"/>
      <c r="J110" s="162"/>
      <c r="K110" s="162"/>
      <c r="L110" s="162"/>
      <c r="M110" s="162"/>
      <c r="N110" s="162"/>
      <c r="O110" s="162"/>
      <c r="P110" s="162"/>
      <c r="Q110" s="162"/>
      <c r="R110" s="162"/>
      <c r="S110" s="162"/>
      <c r="T110" s="162"/>
      <c r="U110" s="162"/>
      <c r="V110" s="162"/>
      <c r="W110" s="162"/>
      <c r="X110" s="162"/>
      <c r="Y110" s="162"/>
      <c r="Z110" s="162"/>
    </row>
    <row r="111" ht="18.75" customHeight="1">
      <c r="A111" s="162"/>
      <c r="B111" s="162"/>
      <c r="C111" s="162"/>
      <c r="D111" s="162"/>
      <c r="E111" s="166"/>
      <c r="F111" s="166"/>
      <c r="G111" s="162"/>
      <c r="H111" s="162"/>
      <c r="I111" s="162"/>
      <c r="J111" s="162"/>
      <c r="K111" s="162"/>
      <c r="L111" s="162"/>
      <c r="M111" s="162"/>
      <c r="N111" s="162"/>
      <c r="O111" s="162"/>
      <c r="P111" s="162"/>
      <c r="Q111" s="162"/>
      <c r="R111" s="162"/>
      <c r="S111" s="162"/>
      <c r="T111" s="162"/>
      <c r="U111" s="162"/>
      <c r="V111" s="162"/>
      <c r="W111" s="162"/>
      <c r="X111" s="162"/>
      <c r="Y111" s="162"/>
      <c r="Z111" s="162"/>
    </row>
    <row r="112" ht="18.75" customHeight="1">
      <c r="A112" s="162"/>
      <c r="B112" s="162"/>
      <c r="C112" s="162"/>
      <c r="D112" s="162"/>
      <c r="E112" s="166"/>
      <c r="F112" s="166"/>
      <c r="G112" s="162"/>
      <c r="H112" s="162"/>
      <c r="I112" s="162"/>
      <c r="J112" s="162"/>
      <c r="K112" s="162"/>
      <c r="L112" s="162"/>
      <c r="M112" s="162"/>
      <c r="N112" s="162"/>
      <c r="O112" s="162"/>
      <c r="P112" s="162"/>
      <c r="Q112" s="162"/>
      <c r="R112" s="162"/>
      <c r="S112" s="162"/>
      <c r="T112" s="162"/>
      <c r="U112" s="162"/>
      <c r="V112" s="162"/>
      <c r="W112" s="162"/>
      <c r="X112" s="162"/>
      <c r="Y112" s="162"/>
      <c r="Z112" s="162"/>
    </row>
    <row r="113" ht="18.75" customHeight="1">
      <c r="A113" s="162"/>
      <c r="B113" s="162"/>
      <c r="C113" s="162"/>
      <c r="D113" s="162"/>
      <c r="E113" s="166"/>
      <c r="F113" s="166"/>
      <c r="G113" s="162"/>
      <c r="H113" s="162"/>
      <c r="I113" s="162"/>
      <c r="J113" s="162"/>
      <c r="K113" s="162"/>
      <c r="L113" s="162"/>
      <c r="M113" s="162"/>
      <c r="N113" s="162"/>
      <c r="O113" s="162"/>
      <c r="P113" s="162"/>
      <c r="Q113" s="162"/>
      <c r="R113" s="162"/>
      <c r="S113" s="162"/>
      <c r="T113" s="162"/>
      <c r="U113" s="162"/>
      <c r="V113" s="162"/>
      <c r="W113" s="162"/>
      <c r="X113" s="162"/>
      <c r="Y113" s="162"/>
      <c r="Z113" s="162"/>
    </row>
    <row r="114" ht="18.75" customHeight="1">
      <c r="A114" s="162"/>
      <c r="B114" s="162"/>
      <c r="C114" s="162"/>
      <c r="D114" s="162"/>
      <c r="E114" s="166"/>
      <c r="F114" s="166"/>
      <c r="G114" s="162"/>
      <c r="H114" s="162"/>
      <c r="I114" s="162"/>
      <c r="J114" s="162"/>
      <c r="K114" s="162"/>
      <c r="L114" s="162"/>
      <c r="M114" s="162"/>
      <c r="N114" s="162"/>
      <c r="O114" s="162"/>
      <c r="P114" s="162"/>
      <c r="Q114" s="162"/>
      <c r="R114" s="162"/>
      <c r="S114" s="162"/>
      <c r="T114" s="162"/>
      <c r="U114" s="162"/>
      <c r="V114" s="162"/>
      <c r="W114" s="162"/>
      <c r="X114" s="162"/>
      <c r="Y114" s="162"/>
      <c r="Z114" s="162"/>
    </row>
    <row r="115" ht="18.75" customHeight="1">
      <c r="A115" s="162"/>
      <c r="B115" s="162"/>
      <c r="C115" s="162"/>
      <c r="D115" s="162"/>
      <c r="E115" s="166"/>
      <c r="F115" s="166"/>
      <c r="G115" s="162"/>
      <c r="H115" s="162"/>
      <c r="I115" s="162"/>
      <c r="J115" s="162"/>
      <c r="K115" s="162"/>
      <c r="L115" s="162"/>
      <c r="M115" s="162"/>
      <c r="N115" s="162"/>
      <c r="O115" s="162"/>
      <c r="P115" s="162"/>
      <c r="Q115" s="162"/>
      <c r="R115" s="162"/>
      <c r="S115" s="162"/>
      <c r="T115" s="162"/>
      <c r="U115" s="162"/>
      <c r="V115" s="162"/>
      <c r="W115" s="162"/>
      <c r="X115" s="162"/>
      <c r="Y115" s="162"/>
      <c r="Z115" s="162"/>
    </row>
    <row r="116" ht="18.75" customHeight="1">
      <c r="A116" s="162"/>
      <c r="B116" s="162"/>
      <c r="C116" s="162"/>
      <c r="D116" s="162"/>
      <c r="E116" s="166"/>
      <c r="F116" s="166"/>
      <c r="G116" s="162"/>
      <c r="H116" s="162"/>
      <c r="I116" s="162"/>
      <c r="J116" s="162"/>
      <c r="K116" s="162"/>
      <c r="L116" s="162"/>
      <c r="M116" s="162"/>
      <c r="N116" s="162"/>
      <c r="O116" s="162"/>
      <c r="P116" s="162"/>
      <c r="Q116" s="162"/>
      <c r="R116" s="162"/>
      <c r="S116" s="162"/>
      <c r="T116" s="162"/>
      <c r="U116" s="162"/>
      <c r="V116" s="162"/>
      <c r="W116" s="162"/>
      <c r="X116" s="162"/>
      <c r="Y116" s="162"/>
      <c r="Z116" s="162"/>
    </row>
    <row r="117" ht="18.75" customHeight="1">
      <c r="A117" s="162"/>
      <c r="B117" s="162"/>
      <c r="C117" s="162"/>
      <c r="D117" s="162"/>
      <c r="E117" s="166"/>
      <c r="F117" s="166"/>
      <c r="G117" s="162"/>
      <c r="H117" s="162"/>
      <c r="I117" s="162"/>
      <c r="J117" s="162"/>
      <c r="K117" s="162"/>
      <c r="L117" s="162"/>
      <c r="M117" s="162"/>
      <c r="N117" s="162"/>
      <c r="O117" s="162"/>
      <c r="P117" s="162"/>
      <c r="Q117" s="162"/>
      <c r="R117" s="162"/>
      <c r="S117" s="162"/>
      <c r="T117" s="162"/>
      <c r="U117" s="162"/>
      <c r="V117" s="162"/>
      <c r="W117" s="162"/>
      <c r="X117" s="162"/>
      <c r="Y117" s="162"/>
      <c r="Z117" s="162"/>
    </row>
    <row r="118" ht="18.75" customHeight="1">
      <c r="A118" s="162"/>
      <c r="B118" s="162"/>
      <c r="C118" s="162"/>
      <c r="D118" s="162"/>
      <c r="E118" s="166"/>
      <c r="F118" s="166"/>
      <c r="G118" s="162"/>
      <c r="H118" s="162"/>
      <c r="I118" s="162"/>
      <c r="J118" s="162"/>
      <c r="K118" s="162"/>
      <c r="L118" s="162"/>
      <c r="M118" s="162"/>
      <c r="N118" s="162"/>
      <c r="O118" s="162"/>
      <c r="P118" s="162"/>
      <c r="Q118" s="162"/>
      <c r="R118" s="162"/>
      <c r="S118" s="162"/>
      <c r="T118" s="162"/>
      <c r="U118" s="162"/>
      <c r="V118" s="162"/>
      <c r="W118" s="162"/>
      <c r="X118" s="162"/>
      <c r="Y118" s="162"/>
      <c r="Z118" s="162"/>
    </row>
    <row r="119" ht="18.75" customHeight="1">
      <c r="A119" s="162"/>
      <c r="B119" s="162"/>
      <c r="C119" s="162"/>
      <c r="D119" s="162"/>
      <c r="E119" s="166"/>
      <c r="F119" s="166"/>
      <c r="G119" s="162"/>
      <c r="H119" s="162"/>
      <c r="I119" s="162"/>
      <c r="J119" s="162"/>
      <c r="K119" s="162"/>
      <c r="L119" s="162"/>
      <c r="M119" s="162"/>
      <c r="N119" s="162"/>
      <c r="O119" s="162"/>
      <c r="P119" s="162"/>
      <c r="Q119" s="162"/>
      <c r="R119" s="162"/>
      <c r="S119" s="162"/>
      <c r="T119" s="162"/>
      <c r="U119" s="162"/>
      <c r="V119" s="162"/>
      <c r="W119" s="162"/>
      <c r="X119" s="162"/>
      <c r="Y119" s="162"/>
      <c r="Z119" s="162"/>
    </row>
    <row r="120" ht="18.75" customHeight="1">
      <c r="A120" s="162"/>
      <c r="B120" s="162"/>
      <c r="C120" s="162"/>
      <c r="D120" s="162"/>
      <c r="E120" s="166"/>
      <c r="F120" s="166"/>
      <c r="G120" s="162"/>
      <c r="H120" s="162"/>
      <c r="I120" s="162"/>
      <c r="J120" s="162"/>
      <c r="K120" s="162"/>
      <c r="L120" s="162"/>
      <c r="M120" s="162"/>
      <c r="N120" s="162"/>
      <c r="O120" s="162"/>
      <c r="P120" s="162"/>
      <c r="Q120" s="162"/>
      <c r="R120" s="162"/>
      <c r="S120" s="162"/>
      <c r="T120" s="162"/>
      <c r="U120" s="162"/>
      <c r="V120" s="162"/>
      <c r="W120" s="162"/>
      <c r="X120" s="162"/>
      <c r="Y120" s="162"/>
      <c r="Z120" s="162"/>
    </row>
    <row r="121" ht="18.75" customHeight="1">
      <c r="A121" s="162"/>
      <c r="B121" s="162"/>
      <c r="C121" s="162"/>
      <c r="D121" s="162"/>
      <c r="E121" s="166"/>
      <c r="F121" s="166"/>
      <c r="G121" s="162"/>
      <c r="H121" s="162"/>
      <c r="I121" s="162"/>
      <c r="J121" s="162"/>
      <c r="K121" s="162"/>
      <c r="L121" s="162"/>
      <c r="M121" s="162"/>
      <c r="N121" s="162"/>
      <c r="O121" s="162"/>
      <c r="P121" s="162"/>
      <c r="Q121" s="162"/>
      <c r="R121" s="162"/>
      <c r="S121" s="162"/>
      <c r="T121" s="162"/>
      <c r="U121" s="162"/>
      <c r="V121" s="162"/>
      <c r="W121" s="162"/>
      <c r="X121" s="162"/>
      <c r="Y121" s="162"/>
      <c r="Z121" s="162"/>
    </row>
    <row r="122" ht="18.75" customHeight="1">
      <c r="A122" s="162"/>
      <c r="B122" s="162"/>
      <c r="C122" s="162"/>
      <c r="D122" s="162"/>
      <c r="E122" s="166"/>
      <c r="F122" s="166"/>
      <c r="G122" s="162"/>
      <c r="H122" s="162"/>
      <c r="I122" s="162"/>
      <c r="J122" s="162"/>
      <c r="K122" s="162"/>
      <c r="L122" s="162"/>
      <c r="M122" s="162"/>
      <c r="N122" s="162"/>
      <c r="O122" s="162"/>
      <c r="P122" s="162"/>
      <c r="Q122" s="162"/>
      <c r="R122" s="162"/>
      <c r="S122" s="162"/>
      <c r="T122" s="162"/>
      <c r="U122" s="162"/>
      <c r="V122" s="162"/>
      <c r="W122" s="162"/>
      <c r="X122" s="162"/>
      <c r="Y122" s="162"/>
      <c r="Z122" s="162"/>
    </row>
    <row r="123" ht="18.75" customHeight="1">
      <c r="A123" s="162"/>
      <c r="B123" s="162"/>
      <c r="C123" s="162"/>
      <c r="D123" s="162"/>
      <c r="E123" s="166"/>
      <c r="F123" s="166"/>
      <c r="G123" s="162"/>
      <c r="H123" s="162"/>
      <c r="I123" s="162"/>
      <c r="J123" s="162"/>
      <c r="K123" s="162"/>
      <c r="L123" s="162"/>
      <c r="M123" s="162"/>
      <c r="N123" s="162"/>
      <c r="O123" s="162"/>
      <c r="P123" s="162"/>
      <c r="Q123" s="162"/>
      <c r="R123" s="162"/>
      <c r="S123" s="162"/>
      <c r="T123" s="162"/>
      <c r="U123" s="162"/>
      <c r="V123" s="162"/>
      <c r="W123" s="162"/>
      <c r="X123" s="162"/>
      <c r="Y123" s="162"/>
      <c r="Z123" s="162"/>
    </row>
    <row r="124" ht="18.75" customHeight="1">
      <c r="A124" s="162"/>
      <c r="B124" s="162"/>
      <c r="C124" s="162"/>
      <c r="D124" s="162"/>
      <c r="E124" s="166"/>
      <c r="F124" s="166"/>
      <c r="G124" s="162"/>
      <c r="H124" s="162"/>
      <c r="I124" s="162"/>
      <c r="J124" s="162"/>
      <c r="K124" s="162"/>
      <c r="L124" s="162"/>
      <c r="M124" s="162"/>
      <c r="N124" s="162"/>
      <c r="O124" s="162"/>
      <c r="P124" s="162"/>
      <c r="Q124" s="162"/>
      <c r="R124" s="162"/>
      <c r="S124" s="162"/>
      <c r="T124" s="162"/>
      <c r="U124" s="162"/>
      <c r="V124" s="162"/>
      <c r="W124" s="162"/>
      <c r="X124" s="162"/>
      <c r="Y124" s="162"/>
      <c r="Z124" s="162"/>
    </row>
    <row r="125" ht="18.75" customHeight="1">
      <c r="A125" s="162"/>
      <c r="B125" s="162"/>
      <c r="C125" s="162"/>
      <c r="D125" s="162"/>
      <c r="E125" s="166"/>
      <c r="F125" s="166"/>
      <c r="G125" s="162"/>
      <c r="H125" s="162"/>
      <c r="I125" s="162"/>
      <c r="J125" s="162"/>
      <c r="K125" s="162"/>
      <c r="L125" s="162"/>
      <c r="M125" s="162"/>
      <c r="N125" s="162"/>
      <c r="O125" s="162"/>
      <c r="P125" s="162"/>
      <c r="Q125" s="162"/>
      <c r="R125" s="162"/>
      <c r="S125" s="162"/>
      <c r="T125" s="162"/>
      <c r="U125" s="162"/>
      <c r="V125" s="162"/>
      <c r="W125" s="162"/>
      <c r="X125" s="162"/>
      <c r="Y125" s="162"/>
      <c r="Z125" s="162"/>
    </row>
    <row r="126" ht="18.75" customHeight="1">
      <c r="A126" s="162"/>
      <c r="B126" s="162"/>
      <c r="C126" s="162"/>
      <c r="D126" s="162"/>
      <c r="E126" s="166"/>
      <c r="F126" s="166"/>
      <c r="G126" s="162"/>
      <c r="H126" s="162"/>
      <c r="I126" s="162"/>
      <c r="J126" s="162"/>
      <c r="K126" s="162"/>
      <c r="L126" s="162"/>
      <c r="M126" s="162"/>
      <c r="N126" s="162"/>
      <c r="O126" s="162"/>
      <c r="P126" s="162"/>
      <c r="Q126" s="162"/>
      <c r="R126" s="162"/>
      <c r="S126" s="162"/>
      <c r="T126" s="162"/>
      <c r="U126" s="162"/>
      <c r="V126" s="162"/>
      <c r="W126" s="162"/>
      <c r="X126" s="162"/>
      <c r="Y126" s="162"/>
      <c r="Z126" s="162"/>
    </row>
    <row r="127" ht="18.75" customHeight="1">
      <c r="A127" s="162"/>
      <c r="B127" s="162"/>
      <c r="C127" s="162"/>
      <c r="D127" s="162"/>
      <c r="E127" s="166"/>
      <c r="F127" s="166"/>
      <c r="G127" s="162"/>
      <c r="H127" s="162"/>
      <c r="I127" s="162"/>
      <c r="J127" s="162"/>
      <c r="K127" s="162"/>
      <c r="L127" s="162"/>
      <c r="M127" s="162"/>
      <c r="N127" s="162"/>
      <c r="O127" s="162"/>
      <c r="P127" s="162"/>
      <c r="Q127" s="162"/>
      <c r="R127" s="162"/>
      <c r="S127" s="162"/>
      <c r="T127" s="162"/>
      <c r="U127" s="162"/>
      <c r="V127" s="162"/>
      <c r="W127" s="162"/>
      <c r="X127" s="162"/>
      <c r="Y127" s="162"/>
      <c r="Z127" s="162"/>
    </row>
    <row r="128" ht="18.75" customHeight="1">
      <c r="A128" s="162"/>
      <c r="B128" s="162"/>
      <c r="C128" s="162"/>
      <c r="D128" s="162"/>
      <c r="E128" s="166"/>
      <c r="F128" s="166"/>
      <c r="G128" s="162"/>
      <c r="H128" s="162"/>
      <c r="I128" s="162"/>
      <c r="J128" s="162"/>
      <c r="K128" s="162"/>
      <c r="L128" s="162"/>
      <c r="M128" s="162"/>
      <c r="N128" s="162"/>
      <c r="O128" s="162"/>
      <c r="P128" s="162"/>
      <c r="Q128" s="162"/>
      <c r="R128" s="162"/>
      <c r="S128" s="162"/>
      <c r="T128" s="162"/>
      <c r="U128" s="162"/>
      <c r="V128" s="162"/>
      <c r="W128" s="162"/>
      <c r="X128" s="162"/>
      <c r="Y128" s="162"/>
      <c r="Z128" s="162"/>
    </row>
    <row r="129" ht="18.75" customHeight="1">
      <c r="A129" s="162"/>
      <c r="B129" s="162"/>
      <c r="C129" s="162"/>
      <c r="D129" s="162"/>
      <c r="E129" s="166"/>
      <c r="F129" s="166"/>
      <c r="G129" s="162"/>
      <c r="H129" s="162"/>
      <c r="I129" s="162"/>
      <c r="J129" s="162"/>
      <c r="K129" s="162"/>
      <c r="L129" s="162"/>
      <c r="M129" s="162"/>
      <c r="N129" s="162"/>
      <c r="O129" s="162"/>
      <c r="P129" s="162"/>
      <c r="Q129" s="162"/>
      <c r="R129" s="162"/>
      <c r="S129" s="162"/>
      <c r="T129" s="162"/>
      <c r="U129" s="162"/>
      <c r="V129" s="162"/>
      <c r="W129" s="162"/>
      <c r="X129" s="162"/>
      <c r="Y129" s="162"/>
      <c r="Z129" s="162"/>
    </row>
    <row r="130" ht="18.75" customHeight="1">
      <c r="A130" s="162"/>
      <c r="B130" s="162"/>
      <c r="C130" s="162"/>
      <c r="D130" s="162"/>
      <c r="E130" s="166"/>
      <c r="F130" s="166"/>
      <c r="G130" s="162"/>
      <c r="H130" s="162"/>
      <c r="I130" s="162"/>
      <c r="J130" s="162"/>
      <c r="K130" s="162"/>
      <c r="L130" s="162"/>
      <c r="M130" s="162"/>
      <c r="N130" s="162"/>
      <c r="O130" s="162"/>
      <c r="P130" s="162"/>
      <c r="Q130" s="162"/>
      <c r="R130" s="162"/>
      <c r="S130" s="162"/>
      <c r="T130" s="162"/>
      <c r="U130" s="162"/>
      <c r="V130" s="162"/>
      <c r="W130" s="162"/>
      <c r="X130" s="162"/>
      <c r="Y130" s="162"/>
      <c r="Z130" s="162"/>
    </row>
    <row r="131" ht="18.75" customHeight="1">
      <c r="A131" s="162"/>
      <c r="B131" s="162"/>
      <c r="C131" s="162"/>
      <c r="D131" s="162"/>
      <c r="E131" s="166"/>
      <c r="F131" s="166"/>
      <c r="G131" s="162"/>
      <c r="H131" s="162"/>
      <c r="I131" s="162"/>
      <c r="J131" s="162"/>
      <c r="K131" s="162"/>
      <c r="L131" s="162"/>
      <c r="M131" s="162"/>
      <c r="N131" s="162"/>
      <c r="O131" s="162"/>
      <c r="P131" s="162"/>
      <c r="Q131" s="162"/>
      <c r="R131" s="162"/>
      <c r="S131" s="162"/>
      <c r="T131" s="162"/>
      <c r="U131" s="162"/>
      <c r="V131" s="162"/>
      <c r="W131" s="162"/>
      <c r="X131" s="162"/>
      <c r="Y131" s="162"/>
      <c r="Z131" s="162"/>
    </row>
    <row r="132" ht="18.75" customHeight="1">
      <c r="A132" s="162"/>
      <c r="B132" s="162"/>
      <c r="C132" s="162"/>
      <c r="D132" s="162"/>
      <c r="E132" s="166"/>
      <c r="F132" s="166"/>
      <c r="G132" s="162"/>
      <c r="H132" s="162"/>
      <c r="I132" s="162"/>
      <c r="J132" s="162"/>
      <c r="K132" s="162"/>
      <c r="L132" s="162"/>
      <c r="M132" s="162"/>
      <c r="N132" s="162"/>
      <c r="O132" s="162"/>
      <c r="P132" s="162"/>
      <c r="Q132" s="162"/>
      <c r="R132" s="162"/>
      <c r="S132" s="162"/>
      <c r="T132" s="162"/>
      <c r="U132" s="162"/>
      <c r="V132" s="162"/>
      <c r="W132" s="162"/>
      <c r="X132" s="162"/>
      <c r="Y132" s="162"/>
      <c r="Z132" s="162"/>
    </row>
    <row r="133" ht="18.75" customHeight="1">
      <c r="A133" s="162"/>
      <c r="B133" s="162"/>
      <c r="C133" s="162"/>
      <c r="D133" s="162"/>
      <c r="E133" s="166"/>
      <c r="F133" s="166"/>
      <c r="G133" s="162"/>
      <c r="H133" s="162"/>
      <c r="I133" s="162"/>
      <c r="J133" s="162"/>
      <c r="K133" s="162"/>
      <c r="L133" s="162"/>
      <c r="M133" s="162"/>
      <c r="N133" s="162"/>
      <c r="O133" s="162"/>
      <c r="P133" s="162"/>
      <c r="Q133" s="162"/>
      <c r="R133" s="162"/>
      <c r="S133" s="162"/>
      <c r="T133" s="162"/>
      <c r="U133" s="162"/>
      <c r="V133" s="162"/>
      <c r="W133" s="162"/>
      <c r="X133" s="162"/>
      <c r="Y133" s="162"/>
      <c r="Z133" s="162"/>
    </row>
    <row r="134" ht="18.75" customHeight="1">
      <c r="A134" s="162"/>
      <c r="B134" s="162"/>
      <c r="C134" s="162"/>
      <c r="D134" s="162"/>
      <c r="E134" s="166"/>
      <c r="F134" s="166"/>
      <c r="G134" s="162"/>
      <c r="H134" s="162"/>
      <c r="I134" s="162"/>
      <c r="J134" s="162"/>
      <c r="K134" s="162"/>
      <c r="L134" s="162"/>
      <c r="M134" s="162"/>
      <c r="N134" s="162"/>
      <c r="O134" s="162"/>
      <c r="P134" s="162"/>
      <c r="Q134" s="162"/>
      <c r="R134" s="162"/>
      <c r="S134" s="162"/>
      <c r="T134" s="162"/>
      <c r="U134" s="162"/>
      <c r="V134" s="162"/>
      <c r="W134" s="162"/>
      <c r="X134" s="162"/>
      <c r="Y134" s="162"/>
      <c r="Z134" s="162"/>
    </row>
    <row r="135" ht="18.75" customHeight="1">
      <c r="A135" s="162"/>
      <c r="B135" s="162"/>
      <c r="C135" s="162"/>
      <c r="D135" s="162"/>
      <c r="E135" s="166"/>
      <c r="F135" s="166"/>
      <c r="G135" s="162"/>
      <c r="H135" s="162"/>
      <c r="I135" s="162"/>
      <c r="J135" s="162"/>
      <c r="K135" s="162"/>
      <c r="L135" s="162"/>
      <c r="M135" s="162"/>
      <c r="N135" s="162"/>
      <c r="O135" s="162"/>
      <c r="P135" s="162"/>
      <c r="Q135" s="162"/>
      <c r="R135" s="162"/>
      <c r="S135" s="162"/>
      <c r="T135" s="162"/>
      <c r="U135" s="162"/>
      <c r="V135" s="162"/>
      <c r="W135" s="162"/>
      <c r="X135" s="162"/>
      <c r="Y135" s="162"/>
      <c r="Z135" s="162"/>
    </row>
    <row r="136" ht="18.75" customHeight="1">
      <c r="A136" s="162"/>
      <c r="B136" s="162"/>
      <c r="C136" s="162"/>
      <c r="D136" s="162"/>
      <c r="E136" s="166"/>
      <c r="F136" s="166"/>
      <c r="G136" s="162"/>
      <c r="H136" s="162"/>
      <c r="I136" s="162"/>
      <c r="J136" s="162"/>
      <c r="K136" s="162"/>
      <c r="L136" s="162"/>
      <c r="M136" s="162"/>
      <c r="N136" s="162"/>
      <c r="O136" s="162"/>
      <c r="P136" s="162"/>
      <c r="Q136" s="162"/>
      <c r="R136" s="162"/>
      <c r="S136" s="162"/>
      <c r="T136" s="162"/>
      <c r="U136" s="162"/>
      <c r="V136" s="162"/>
      <c r="W136" s="162"/>
      <c r="X136" s="162"/>
      <c r="Y136" s="162"/>
      <c r="Z136" s="162"/>
    </row>
    <row r="137" ht="18.75" customHeight="1">
      <c r="A137" s="162"/>
      <c r="B137" s="162"/>
      <c r="C137" s="162"/>
      <c r="D137" s="162"/>
      <c r="E137" s="166"/>
      <c r="F137" s="166"/>
      <c r="G137" s="162"/>
      <c r="H137" s="162"/>
      <c r="I137" s="162"/>
      <c r="J137" s="162"/>
      <c r="K137" s="162"/>
      <c r="L137" s="162"/>
      <c r="M137" s="162"/>
      <c r="N137" s="162"/>
      <c r="O137" s="162"/>
      <c r="P137" s="162"/>
      <c r="Q137" s="162"/>
      <c r="R137" s="162"/>
      <c r="S137" s="162"/>
      <c r="T137" s="162"/>
      <c r="U137" s="162"/>
      <c r="V137" s="162"/>
      <c r="W137" s="162"/>
      <c r="X137" s="162"/>
      <c r="Y137" s="162"/>
      <c r="Z137" s="162"/>
    </row>
    <row r="138" ht="18.75" customHeight="1">
      <c r="A138" s="162"/>
      <c r="B138" s="162"/>
      <c r="C138" s="162"/>
      <c r="D138" s="162"/>
      <c r="E138" s="166"/>
      <c r="F138" s="166"/>
      <c r="G138" s="162"/>
      <c r="H138" s="162"/>
      <c r="I138" s="162"/>
      <c r="J138" s="162"/>
      <c r="K138" s="162"/>
      <c r="L138" s="162"/>
      <c r="M138" s="162"/>
      <c r="N138" s="162"/>
      <c r="O138" s="162"/>
      <c r="P138" s="162"/>
      <c r="Q138" s="162"/>
      <c r="R138" s="162"/>
      <c r="S138" s="162"/>
      <c r="T138" s="162"/>
      <c r="U138" s="162"/>
      <c r="V138" s="162"/>
      <c r="W138" s="162"/>
      <c r="X138" s="162"/>
      <c r="Y138" s="162"/>
      <c r="Z138" s="162"/>
    </row>
    <row r="139" ht="18.75" customHeight="1">
      <c r="A139" s="162"/>
      <c r="B139" s="162"/>
      <c r="C139" s="162"/>
      <c r="D139" s="162"/>
      <c r="E139" s="166"/>
      <c r="F139" s="166"/>
      <c r="G139" s="162"/>
      <c r="H139" s="162"/>
      <c r="I139" s="162"/>
      <c r="J139" s="162"/>
      <c r="K139" s="162"/>
      <c r="L139" s="162"/>
      <c r="M139" s="162"/>
      <c r="N139" s="162"/>
      <c r="O139" s="162"/>
      <c r="P139" s="162"/>
      <c r="Q139" s="162"/>
      <c r="R139" s="162"/>
      <c r="S139" s="162"/>
      <c r="T139" s="162"/>
      <c r="U139" s="162"/>
      <c r="V139" s="162"/>
      <c r="W139" s="162"/>
      <c r="X139" s="162"/>
      <c r="Y139" s="162"/>
      <c r="Z139" s="162"/>
    </row>
    <row r="140" ht="18.75" customHeight="1">
      <c r="A140" s="162"/>
      <c r="B140" s="162"/>
      <c r="C140" s="162"/>
      <c r="D140" s="162"/>
      <c r="E140" s="166"/>
      <c r="F140" s="166"/>
      <c r="G140" s="162"/>
      <c r="H140" s="162"/>
      <c r="I140" s="162"/>
      <c r="J140" s="162"/>
      <c r="K140" s="162"/>
      <c r="L140" s="162"/>
      <c r="M140" s="162"/>
      <c r="N140" s="162"/>
      <c r="O140" s="162"/>
      <c r="P140" s="162"/>
      <c r="Q140" s="162"/>
      <c r="R140" s="162"/>
      <c r="S140" s="162"/>
      <c r="T140" s="162"/>
      <c r="U140" s="162"/>
      <c r="V140" s="162"/>
      <c r="W140" s="162"/>
      <c r="X140" s="162"/>
      <c r="Y140" s="162"/>
      <c r="Z140" s="162"/>
    </row>
    <row r="141" ht="18.75" customHeight="1">
      <c r="A141" s="162"/>
      <c r="B141" s="162"/>
      <c r="C141" s="162"/>
      <c r="D141" s="162"/>
      <c r="E141" s="166"/>
      <c r="F141" s="166"/>
      <c r="G141" s="162"/>
      <c r="H141" s="162"/>
      <c r="I141" s="162"/>
      <c r="J141" s="162"/>
      <c r="K141" s="162"/>
      <c r="L141" s="162"/>
      <c r="M141" s="162"/>
      <c r="N141" s="162"/>
      <c r="O141" s="162"/>
      <c r="P141" s="162"/>
      <c r="Q141" s="162"/>
      <c r="R141" s="162"/>
      <c r="S141" s="162"/>
      <c r="T141" s="162"/>
      <c r="U141" s="162"/>
      <c r="V141" s="162"/>
      <c r="W141" s="162"/>
      <c r="X141" s="162"/>
      <c r="Y141" s="162"/>
      <c r="Z141" s="162"/>
    </row>
    <row r="142" ht="18.75" customHeight="1">
      <c r="A142" s="162"/>
      <c r="B142" s="162"/>
      <c r="C142" s="162"/>
      <c r="D142" s="162"/>
      <c r="E142" s="166"/>
      <c r="F142" s="166"/>
      <c r="G142" s="162"/>
      <c r="H142" s="162"/>
      <c r="I142" s="162"/>
      <c r="J142" s="162"/>
      <c r="K142" s="162"/>
      <c r="L142" s="162"/>
      <c r="M142" s="162"/>
      <c r="N142" s="162"/>
      <c r="O142" s="162"/>
      <c r="P142" s="162"/>
      <c r="Q142" s="162"/>
      <c r="R142" s="162"/>
      <c r="S142" s="162"/>
      <c r="T142" s="162"/>
      <c r="U142" s="162"/>
      <c r="V142" s="162"/>
      <c r="W142" s="162"/>
      <c r="X142" s="162"/>
      <c r="Y142" s="162"/>
      <c r="Z142" s="162"/>
    </row>
    <row r="143" ht="18.75" customHeight="1">
      <c r="A143" s="162"/>
      <c r="B143" s="162"/>
      <c r="C143" s="162"/>
      <c r="D143" s="162"/>
      <c r="E143" s="166"/>
      <c r="F143" s="166"/>
      <c r="G143" s="162"/>
      <c r="H143" s="162"/>
      <c r="I143" s="162"/>
      <c r="J143" s="162"/>
      <c r="K143" s="162"/>
      <c r="L143" s="162"/>
      <c r="M143" s="162"/>
      <c r="N143" s="162"/>
      <c r="O143" s="162"/>
      <c r="P143" s="162"/>
      <c r="Q143" s="162"/>
      <c r="R143" s="162"/>
      <c r="S143" s="162"/>
      <c r="T143" s="162"/>
      <c r="U143" s="162"/>
      <c r="V143" s="162"/>
      <c r="W143" s="162"/>
      <c r="X143" s="162"/>
      <c r="Y143" s="162"/>
      <c r="Z143" s="162"/>
    </row>
    <row r="144" ht="18.75" customHeight="1">
      <c r="A144" s="162"/>
      <c r="B144" s="162"/>
      <c r="C144" s="162"/>
      <c r="D144" s="162"/>
      <c r="E144" s="166"/>
      <c r="F144" s="166"/>
      <c r="G144" s="162"/>
      <c r="H144" s="162"/>
      <c r="I144" s="162"/>
      <c r="J144" s="162"/>
      <c r="K144" s="162"/>
      <c r="L144" s="162"/>
      <c r="M144" s="162"/>
      <c r="N144" s="162"/>
      <c r="O144" s="162"/>
      <c r="P144" s="162"/>
      <c r="Q144" s="162"/>
      <c r="R144" s="162"/>
      <c r="S144" s="162"/>
      <c r="T144" s="162"/>
      <c r="U144" s="162"/>
      <c r="V144" s="162"/>
      <c r="W144" s="162"/>
      <c r="X144" s="162"/>
      <c r="Y144" s="162"/>
      <c r="Z144" s="162"/>
    </row>
    <row r="145" ht="18.75" customHeight="1">
      <c r="A145" s="162"/>
      <c r="B145" s="162"/>
      <c r="C145" s="162"/>
      <c r="D145" s="162"/>
      <c r="E145" s="166"/>
      <c r="F145" s="166"/>
      <c r="G145" s="162"/>
      <c r="H145" s="162"/>
      <c r="I145" s="162"/>
      <c r="J145" s="162"/>
      <c r="K145" s="162"/>
      <c r="L145" s="162"/>
      <c r="M145" s="162"/>
      <c r="N145" s="162"/>
      <c r="O145" s="162"/>
      <c r="P145" s="162"/>
      <c r="Q145" s="162"/>
      <c r="R145" s="162"/>
      <c r="S145" s="162"/>
      <c r="T145" s="162"/>
      <c r="U145" s="162"/>
      <c r="V145" s="162"/>
      <c r="W145" s="162"/>
      <c r="X145" s="162"/>
      <c r="Y145" s="162"/>
      <c r="Z145" s="162"/>
    </row>
    <row r="146" ht="18.75" customHeight="1">
      <c r="A146" s="162"/>
      <c r="B146" s="162"/>
      <c r="C146" s="162"/>
      <c r="D146" s="162"/>
      <c r="E146" s="166"/>
      <c r="F146" s="166"/>
      <c r="G146" s="162"/>
      <c r="H146" s="162"/>
      <c r="I146" s="162"/>
      <c r="J146" s="162"/>
      <c r="K146" s="162"/>
      <c r="L146" s="162"/>
      <c r="M146" s="162"/>
      <c r="N146" s="162"/>
      <c r="O146" s="162"/>
      <c r="P146" s="162"/>
      <c r="Q146" s="162"/>
      <c r="R146" s="162"/>
      <c r="S146" s="162"/>
      <c r="T146" s="162"/>
      <c r="U146" s="162"/>
      <c r="V146" s="162"/>
      <c r="W146" s="162"/>
      <c r="X146" s="162"/>
      <c r="Y146" s="162"/>
      <c r="Z146" s="162"/>
    </row>
    <row r="147" ht="18.75" customHeight="1">
      <c r="A147" s="162"/>
      <c r="B147" s="162"/>
      <c r="C147" s="162"/>
      <c r="D147" s="162"/>
      <c r="E147" s="166"/>
      <c r="F147" s="166"/>
      <c r="G147" s="162"/>
      <c r="H147" s="162"/>
      <c r="I147" s="162"/>
      <c r="J147" s="162"/>
      <c r="K147" s="162"/>
      <c r="L147" s="162"/>
      <c r="M147" s="162"/>
      <c r="N147" s="162"/>
      <c r="O147" s="162"/>
      <c r="P147" s="162"/>
      <c r="Q147" s="162"/>
      <c r="R147" s="162"/>
      <c r="S147" s="162"/>
      <c r="T147" s="162"/>
      <c r="U147" s="162"/>
      <c r="V147" s="162"/>
      <c r="W147" s="162"/>
      <c r="X147" s="162"/>
      <c r="Y147" s="162"/>
      <c r="Z147" s="162"/>
    </row>
    <row r="148" ht="18.75" customHeight="1">
      <c r="A148" s="162"/>
      <c r="B148" s="162"/>
      <c r="C148" s="162"/>
      <c r="D148" s="162"/>
      <c r="E148" s="166"/>
      <c r="F148" s="166"/>
      <c r="G148" s="162"/>
      <c r="H148" s="162"/>
      <c r="I148" s="162"/>
      <c r="J148" s="162"/>
      <c r="K148" s="162"/>
      <c r="L148" s="162"/>
      <c r="M148" s="162"/>
      <c r="N148" s="162"/>
      <c r="O148" s="162"/>
      <c r="P148" s="162"/>
      <c r="Q148" s="162"/>
      <c r="R148" s="162"/>
      <c r="S148" s="162"/>
      <c r="T148" s="162"/>
      <c r="U148" s="162"/>
      <c r="V148" s="162"/>
      <c r="W148" s="162"/>
      <c r="X148" s="162"/>
      <c r="Y148" s="162"/>
      <c r="Z148" s="162"/>
    </row>
    <row r="149" ht="18.75" customHeight="1">
      <c r="A149" s="162"/>
      <c r="B149" s="162"/>
      <c r="C149" s="162"/>
      <c r="D149" s="162"/>
      <c r="E149" s="166"/>
      <c r="F149" s="166"/>
      <c r="G149" s="162"/>
      <c r="H149" s="162"/>
      <c r="I149" s="162"/>
      <c r="J149" s="162"/>
      <c r="K149" s="162"/>
      <c r="L149" s="162"/>
      <c r="M149" s="162"/>
      <c r="N149" s="162"/>
      <c r="O149" s="162"/>
      <c r="P149" s="162"/>
      <c r="Q149" s="162"/>
      <c r="R149" s="162"/>
      <c r="S149" s="162"/>
      <c r="T149" s="162"/>
      <c r="U149" s="162"/>
      <c r="V149" s="162"/>
      <c r="W149" s="162"/>
      <c r="X149" s="162"/>
      <c r="Y149" s="162"/>
      <c r="Z149" s="162"/>
    </row>
    <row r="150" ht="18.75" customHeight="1">
      <c r="A150" s="162"/>
      <c r="B150" s="162"/>
      <c r="C150" s="162"/>
      <c r="D150" s="162"/>
      <c r="E150" s="166"/>
      <c r="F150" s="166"/>
      <c r="G150" s="162"/>
      <c r="H150" s="162"/>
      <c r="I150" s="162"/>
      <c r="J150" s="162"/>
      <c r="K150" s="162"/>
      <c r="L150" s="162"/>
      <c r="M150" s="162"/>
      <c r="N150" s="162"/>
      <c r="O150" s="162"/>
      <c r="P150" s="162"/>
      <c r="Q150" s="162"/>
      <c r="R150" s="162"/>
      <c r="S150" s="162"/>
      <c r="T150" s="162"/>
      <c r="U150" s="162"/>
      <c r="V150" s="162"/>
      <c r="W150" s="162"/>
      <c r="X150" s="162"/>
      <c r="Y150" s="162"/>
      <c r="Z150" s="162"/>
    </row>
    <row r="151" ht="18.75" customHeight="1">
      <c r="A151" s="162"/>
      <c r="B151" s="162"/>
      <c r="C151" s="162"/>
      <c r="D151" s="162"/>
      <c r="E151" s="166"/>
      <c r="F151" s="166"/>
      <c r="G151" s="162"/>
      <c r="H151" s="162"/>
      <c r="I151" s="162"/>
      <c r="J151" s="162"/>
      <c r="K151" s="162"/>
      <c r="L151" s="162"/>
      <c r="M151" s="162"/>
      <c r="N151" s="162"/>
      <c r="O151" s="162"/>
      <c r="P151" s="162"/>
      <c r="Q151" s="162"/>
      <c r="R151" s="162"/>
      <c r="S151" s="162"/>
      <c r="T151" s="162"/>
      <c r="U151" s="162"/>
      <c r="V151" s="162"/>
      <c r="W151" s="162"/>
      <c r="X151" s="162"/>
      <c r="Y151" s="162"/>
      <c r="Z151" s="162"/>
    </row>
    <row r="152" ht="18.75" customHeight="1">
      <c r="A152" s="162"/>
      <c r="B152" s="162"/>
      <c r="C152" s="162"/>
      <c r="D152" s="162"/>
      <c r="E152" s="166"/>
      <c r="F152" s="166"/>
      <c r="G152" s="162"/>
      <c r="H152" s="162"/>
      <c r="I152" s="162"/>
      <c r="J152" s="162"/>
      <c r="K152" s="162"/>
      <c r="L152" s="162"/>
      <c r="M152" s="162"/>
      <c r="N152" s="162"/>
      <c r="O152" s="162"/>
      <c r="P152" s="162"/>
      <c r="Q152" s="162"/>
      <c r="R152" s="162"/>
      <c r="S152" s="162"/>
      <c r="T152" s="162"/>
      <c r="U152" s="162"/>
      <c r="V152" s="162"/>
      <c r="W152" s="162"/>
      <c r="X152" s="162"/>
      <c r="Y152" s="162"/>
      <c r="Z152" s="162"/>
    </row>
    <row r="153" ht="18.75" customHeight="1">
      <c r="A153" s="162"/>
      <c r="B153" s="162"/>
      <c r="C153" s="162"/>
      <c r="D153" s="162"/>
      <c r="E153" s="166"/>
      <c r="F153" s="166"/>
      <c r="G153" s="162"/>
      <c r="H153" s="162"/>
      <c r="I153" s="162"/>
      <c r="J153" s="162"/>
      <c r="K153" s="162"/>
      <c r="L153" s="162"/>
      <c r="M153" s="162"/>
      <c r="N153" s="162"/>
      <c r="O153" s="162"/>
      <c r="P153" s="162"/>
      <c r="Q153" s="162"/>
      <c r="R153" s="162"/>
      <c r="S153" s="162"/>
      <c r="T153" s="162"/>
      <c r="U153" s="162"/>
      <c r="V153" s="162"/>
      <c r="W153" s="162"/>
      <c r="X153" s="162"/>
      <c r="Y153" s="162"/>
      <c r="Z153" s="162"/>
    </row>
    <row r="154" ht="18.75" customHeight="1">
      <c r="A154" s="162"/>
      <c r="B154" s="162"/>
      <c r="C154" s="162"/>
      <c r="D154" s="162"/>
      <c r="E154" s="166"/>
      <c r="F154" s="166"/>
      <c r="G154" s="162"/>
      <c r="H154" s="162"/>
      <c r="I154" s="162"/>
      <c r="J154" s="162"/>
      <c r="K154" s="162"/>
      <c r="L154" s="162"/>
      <c r="M154" s="162"/>
      <c r="N154" s="162"/>
      <c r="O154" s="162"/>
      <c r="P154" s="162"/>
      <c r="Q154" s="162"/>
      <c r="R154" s="162"/>
      <c r="S154" s="162"/>
      <c r="T154" s="162"/>
      <c r="U154" s="162"/>
      <c r="V154" s="162"/>
      <c r="W154" s="162"/>
      <c r="X154" s="162"/>
      <c r="Y154" s="162"/>
      <c r="Z154" s="162"/>
    </row>
    <row r="155" ht="18.75" customHeight="1">
      <c r="A155" s="162"/>
      <c r="B155" s="162"/>
      <c r="C155" s="162"/>
      <c r="D155" s="162"/>
      <c r="E155" s="166"/>
      <c r="F155" s="166"/>
      <c r="G155" s="162"/>
      <c r="H155" s="162"/>
      <c r="I155" s="162"/>
      <c r="J155" s="162"/>
      <c r="K155" s="162"/>
      <c r="L155" s="162"/>
      <c r="M155" s="162"/>
      <c r="N155" s="162"/>
      <c r="O155" s="162"/>
      <c r="P155" s="162"/>
      <c r="Q155" s="162"/>
      <c r="R155" s="162"/>
      <c r="S155" s="162"/>
      <c r="T155" s="162"/>
      <c r="U155" s="162"/>
      <c r="V155" s="162"/>
      <c r="W155" s="162"/>
      <c r="X155" s="162"/>
      <c r="Y155" s="162"/>
      <c r="Z155" s="162"/>
    </row>
    <row r="156" ht="18.75" customHeight="1">
      <c r="A156" s="162"/>
      <c r="B156" s="162"/>
      <c r="C156" s="162"/>
      <c r="D156" s="162"/>
      <c r="E156" s="166"/>
      <c r="F156" s="166"/>
      <c r="G156" s="162"/>
      <c r="H156" s="162"/>
      <c r="I156" s="162"/>
      <c r="J156" s="162"/>
      <c r="K156" s="162"/>
      <c r="L156" s="162"/>
      <c r="M156" s="162"/>
      <c r="N156" s="162"/>
      <c r="O156" s="162"/>
      <c r="P156" s="162"/>
      <c r="Q156" s="162"/>
      <c r="R156" s="162"/>
      <c r="S156" s="162"/>
      <c r="T156" s="162"/>
      <c r="U156" s="162"/>
      <c r="V156" s="162"/>
      <c r="W156" s="162"/>
      <c r="X156" s="162"/>
      <c r="Y156" s="162"/>
      <c r="Z156" s="162"/>
    </row>
    <row r="157" ht="18.75" customHeight="1">
      <c r="A157" s="162"/>
      <c r="B157" s="162"/>
      <c r="C157" s="162"/>
      <c r="D157" s="162"/>
      <c r="E157" s="166"/>
      <c r="F157" s="166"/>
      <c r="G157" s="162"/>
      <c r="H157" s="162"/>
      <c r="I157" s="162"/>
      <c r="J157" s="162"/>
      <c r="K157" s="162"/>
      <c r="L157" s="162"/>
      <c r="M157" s="162"/>
      <c r="N157" s="162"/>
      <c r="O157" s="162"/>
      <c r="P157" s="162"/>
      <c r="Q157" s="162"/>
      <c r="R157" s="162"/>
      <c r="S157" s="162"/>
      <c r="T157" s="162"/>
      <c r="U157" s="162"/>
      <c r="V157" s="162"/>
      <c r="W157" s="162"/>
      <c r="X157" s="162"/>
      <c r="Y157" s="162"/>
      <c r="Z157" s="162"/>
    </row>
    <row r="158" ht="18.75" customHeight="1">
      <c r="A158" s="162"/>
      <c r="B158" s="162"/>
      <c r="C158" s="162"/>
      <c r="D158" s="162"/>
      <c r="E158" s="166"/>
      <c r="F158" s="166"/>
      <c r="G158" s="162"/>
      <c r="H158" s="162"/>
      <c r="I158" s="162"/>
      <c r="J158" s="162"/>
      <c r="K158" s="162"/>
      <c r="L158" s="162"/>
      <c r="M158" s="162"/>
      <c r="N158" s="162"/>
      <c r="O158" s="162"/>
      <c r="P158" s="162"/>
      <c r="Q158" s="162"/>
      <c r="R158" s="162"/>
      <c r="S158" s="162"/>
      <c r="T158" s="162"/>
      <c r="U158" s="162"/>
      <c r="V158" s="162"/>
      <c r="W158" s="162"/>
      <c r="X158" s="162"/>
      <c r="Y158" s="162"/>
      <c r="Z158" s="162"/>
    </row>
    <row r="159" ht="18.75" customHeight="1">
      <c r="A159" s="162"/>
      <c r="B159" s="162"/>
      <c r="C159" s="162"/>
      <c r="D159" s="162"/>
      <c r="E159" s="166"/>
      <c r="F159" s="166"/>
      <c r="G159" s="162"/>
      <c r="H159" s="162"/>
      <c r="I159" s="162"/>
      <c r="J159" s="162"/>
      <c r="K159" s="162"/>
      <c r="L159" s="162"/>
      <c r="M159" s="162"/>
      <c r="N159" s="162"/>
      <c r="O159" s="162"/>
      <c r="P159" s="162"/>
      <c r="Q159" s="162"/>
      <c r="R159" s="162"/>
      <c r="S159" s="162"/>
      <c r="T159" s="162"/>
      <c r="U159" s="162"/>
      <c r="V159" s="162"/>
      <c r="W159" s="162"/>
      <c r="X159" s="162"/>
      <c r="Y159" s="162"/>
      <c r="Z159" s="162"/>
    </row>
    <row r="160" ht="18.75" customHeight="1">
      <c r="A160" s="162"/>
      <c r="B160" s="162"/>
      <c r="C160" s="162"/>
      <c r="D160" s="162"/>
      <c r="E160" s="166"/>
      <c r="F160" s="166"/>
      <c r="G160" s="162"/>
      <c r="H160" s="162"/>
      <c r="I160" s="162"/>
      <c r="J160" s="162"/>
      <c r="K160" s="162"/>
      <c r="L160" s="162"/>
      <c r="M160" s="162"/>
      <c r="N160" s="162"/>
      <c r="O160" s="162"/>
      <c r="P160" s="162"/>
      <c r="Q160" s="162"/>
      <c r="R160" s="162"/>
      <c r="S160" s="162"/>
      <c r="T160" s="162"/>
      <c r="U160" s="162"/>
      <c r="V160" s="162"/>
      <c r="W160" s="162"/>
      <c r="X160" s="162"/>
      <c r="Y160" s="162"/>
      <c r="Z160" s="162"/>
    </row>
    <row r="161" ht="18.75" customHeight="1">
      <c r="A161" s="162"/>
      <c r="B161" s="162"/>
      <c r="C161" s="162"/>
      <c r="D161" s="162"/>
      <c r="E161" s="166"/>
      <c r="F161" s="166"/>
      <c r="G161" s="162"/>
      <c r="H161" s="162"/>
      <c r="I161" s="162"/>
      <c r="J161" s="162"/>
      <c r="K161" s="162"/>
      <c r="L161" s="162"/>
      <c r="M161" s="162"/>
      <c r="N161" s="162"/>
      <c r="O161" s="162"/>
      <c r="P161" s="162"/>
      <c r="Q161" s="162"/>
      <c r="R161" s="162"/>
      <c r="S161" s="162"/>
      <c r="T161" s="162"/>
      <c r="U161" s="162"/>
      <c r="V161" s="162"/>
      <c r="W161" s="162"/>
      <c r="X161" s="162"/>
      <c r="Y161" s="162"/>
      <c r="Z161" s="162"/>
    </row>
    <row r="162" ht="18.75" customHeight="1">
      <c r="A162" s="162"/>
      <c r="B162" s="162"/>
      <c r="C162" s="162"/>
      <c r="D162" s="162"/>
      <c r="E162" s="166"/>
      <c r="F162" s="166"/>
      <c r="G162" s="162"/>
      <c r="H162" s="162"/>
      <c r="I162" s="162"/>
      <c r="J162" s="162"/>
      <c r="K162" s="162"/>
      <c r="L162" s="162"/>
      <c r="M162" s="162"/>
      <c r="N162" s="162"/>
      <c r="O162" s="162"/>
      <c r="P162" s="162"/>
      <c r="Q162" s="162"/>
      <c r="R162" s="162"/>
      <c r="S162" s="162"/>
      <c r="T162" s="162"/>
      <c r="U162" s="162"/>
      <c r="V162" s="162"/>
      <c r="W162" s="162"/>
      <c r="X162" s="162"/>
      <c r="Y162" s="162"/>
      <c r="Z162" s="162"/>
    </row>
    <row r="163" ht="18.75" customHeight="1">
      <c r="A163" s="162"/>
      <c r="B163" s="162"/>
      <c r="C163" s="162"/>
      <c r="D163" s="162"/>
      <c r="E163" s="166"/>
      <c r="F163" s="166"/>
      <c r="G163" s="162"/>
      <c r="H163" s="162"/>
      <c r="I163" s="162"/>
      <c r="J163" s="162"/>
      <c r="K163" s="162"/>
      <c r="L163" s="162"/>
      <c r="M163" s="162"/>
      <c r="N163" s="162"/>
      <c r="O163" s="162"/>
      <c r="P163" s="162"/>
      <c r="Q163" s="162"/>
      <c r="R163" s="162"/>
      <c r="S163" s="162"/>
      <c r="T163" s="162"/>
      <c r="U163" s="162"/>
      <c r="V163" s="162"/>
      <c r="W163" s="162"/>
      <c r="X163" s="162"/>
      <c r="Y163" s="162"/>
      <c r="Z163" s="162"/>
    </row>
    <row r="164" ht="18.75" customHeight="1">
      <c r="A164" s="162"/>
      <c r="B164" s="162"/>
      <c r="C164" s="162"/>
      <c r="D164" s="162"/>
      <c r="E164" s="166"/>
      <c r="F164" s="166"/>
      <c r="G164" s="162"/>
      <c r="H164" s="162"/>
      <c r="I164" s="162"/>
      <c r="J164" s="162"/>
      <c r="K164" s="162"/>
      <c r="L164" s="162"/>
      <c r="M164" s="162"/>
      <c r="N164" s="162"/>
      <c r="O164" s="162"/>
      <c r="P164" s="162"/>
      <c r="Q164" s="162"/>
      <c r="R164" s="162"/>
      <c r="S164" s="162"/>
      <c r="T164" s="162"/>
      <c r="U164" s="162"/>
      <c r="V164" s="162"/>
      <c r="W164" s="162"/>
      <c r="X164" s="162"/>
      <c r="Y164" s="162"/>
      <c r="Z164" s="162"/>
    </row>
    <row r="165" ht="18.75" customHeight="1">
      <c r="A165" s="162"/>
      <c r="B165" s="162"/>
      <c r="C165" s="162"/>
      <c r="D165" s="162"/>
      <c r="E165" s="166"/>
      <c r="F165" s="166"/>
      <c r="G165" s="162"/>
      <c r="H165" s="162"/>
      <c r="I165" s="162"/>
      <c r="J165" s="162"/>
      <c r="K165" s="162"/>
      <c r="L165" s="162"/>
      <c r="M165" s="162"/>
      <c r="N165" s="162"/>
      <c r="O165" s="162"/>
      <c r="P165" s="162"/>
      <c r="Q165" s="162"/>
      <c r="R165" s="162"/>
      <c r="S165" s="162"/>
      <c r="T165" s="162"/>
      <c r="U165" s="162"/>
      <c r="V165" s="162"/>
      <c r="W165" s="162"/>
      <c r="X165" s="162"/>
      <c r="Y165" s="162"/>
      <c r="Z165" s="162"/>
    </row>
    <row r="166" ht="18.75" customHeight="1">
      <c r="A166" s="162"/>
      <c r="B166" s="162"/>
      <c r="C166" s="162"/>
      <c r="D166" s="162"/>
      <c r="E166" s="166"/>
      <c r="F166" s="166"/>
      <c r="G166" s="162"/>
      <c r="H166" s="162"/>
      <c r="I166" s="162"/>
      <c r="J166" s="162"/>
      <c r="K166" s="162"/>
      <c r="L166" s="162"/>
      <c r="M166" s="162"/>
      <c r="N166" s="162"/>
      <c r="O166" s="162"/>
      <c r="P166" s="162"/>
      <c r="Q166" s="162"/>
      <c r="R166" s="162"/>
      <c r="S166" s="162"/>
      <c r="T166" s="162"/>
      <c r="U166" s="162"/>
      <c r="V166" s="162"/>
      <c r="W166" s="162"/>
      <c r="X166" s="162"/>
      <c r="Y166" s="162"/>
      <c r="Z166" s="162"/>
    </row>
    <row r="167" ht="18.75" customHeight="1">
      <c r="A167" s="162"/>
      <c r="B167" s="162"/>
      <c r="C167" s="162"/>
      <c r="D167" s="162"/>
      <c r="E167" s="166"/>
      <c r="F167" s="166"/>
      <c r="G167" s="162"/>
      <c r="H167" s="162"/>
      <c r="I167" s="162"/>
      <c r="J167" s="162"/>
      <c r="K167" s="162"/>
      <c r="L167" s="162"/>
      <c r="M167" s="162"/>
      <c r="N167" s="162"/>
      <c r="O167" s="162"/>
      <c r="P167" s="162"/>
      <c r="Q167" s="162"/>
      <c r="R167" s="162"/>
      <c r="S167" s="162"/>
      <c r="T167" s="162"/>
      <c r="U167" s="162"/>
      <c r="V167" s="162"/>
      <c r="W167" s="162"/>
      <c r="X167" s="162"/>
      <c r="Y167" s="162"/>
      <c r="Z167" s="162"/>
    </row>
    <row r="168" ht="18.75" customHeight="1">
      <c r="A168" s="162"/>
      <c r="B168" s="162"/>
      <c r="C168" s="162"/>
      <c r="D168" s="162"/>
      <c r="E168" s="166"/>
      <c r="F168" s="166"/>
      <c r="G168" s="162"/>
      <c r="H168" s="162"/>
      <c r="I168" s="162"/>
      <c r="J168" s="162"/>
      <c r="K168" s="162"/>
      <c r="L168" s="162"/>
      <c r="M168" s="162"/>
      <c r="N168" s="162"/>
      <c r="O168" s="162"/>
      <c r="P168" s="162"/>
      <c r="Q168" s="162"/>
      <c r="R168" s="162"/>
      <c r="S168" s="162"/>
      <c r="T168" s="162"/>
      <c r="U168" s="162"/>
      <c r="V168" s="162"/>
      <c r="W168" s="162"/>
      <c r="X168" s="162"/>
      <c r="Y168" s="162"/>
      <c r="Z168" s="162"/>
    </row>
    <row r="169" ht="18.75" customHeight="1">
      <c r="A169" s="162"/>
      <c r="B169" s="162"/>
      <c r="C169" s="162"/>
      <c r="D169" s="162"/>
      <c r="E169" s="166"/>
      <c r="F169" s="166"/>
      <c r="G169" s="162"/>
      <c r="H169" s="162"/>
      <c r="I169" s="162"/>
      <c r="J169" s="162"/>
      <c r="K169" s="162"/>
      <c r="L169" s="162"/>
      <c r="M169" s="162"/>
      <c r="N169" s="162"/>
      <c r="O169" s="162"/>
      <c r="P169" s="162"/>
      <c r="Q169" s="162"/>
      <c r="R169" s="162"/>
      <c r="S169" s="162"/>
      <c r="T169" s="162"/>
      <c r="U169" s="162"/>
      <c r="V169" s="162"/>
      <c r="W169" s="162"/>
      <c r="X169" s="162"/>
      <c r="Y169" s="162"/>
      <c r="Z169" s="162"/>
    </row>
    <row r="170" ht="18.75" customHeight="1">
      <c r="A170" s="162"/>
      <c r="B170" s="162"/>
      <c r="C170" s="162"/>
      <c r="D170" s="162"/>
      <c r="E170" s="166"/>
      <c r="F170" s="166"/>
      <c r="G170" s="162"/>
      <c r="H170" s="162"/>
      <c r="I170" s="162"/>
      <c r="J170" s="162"/>
      <c r="K170" s="162"/>
      <c r="L170" s="162"/>
      <c r="M170" s="162"/>
      <c r="N170" s="162"/>
      <c r="O170" s="162"/>
      <c r="P170" s="162"/>
      <c r="Q170" s="162"/>
      <c r="R170" s="162"/>
      <c r="S170" s="162"/>
      <c r="T170" s="162"/>
      <c r="U170" s="162"/>
      <c r="V170" s="162"/>
      <c r="W170" s="162"/>
      <c r="X170" s="162"/>
      <c r="Y170" s="162"/>
      <c r="Z170" s="162"/>
    </row>
    <row r="171" ht="18.75" customHeight="1">
      <c r="A171" s="162"/>
      <c r="B171" s="162"/>
      <c r="C171" s="162"/>
      <c r="D171" s="162"/>
      <c r="E171" s="166"/>
      <c r="F171" s="166"/>
      <c r="G171" s="162"/>
      <c r="H171" s="162"/>
      <c r="I171" s="162"/>
      <c r="J171" s="162"/>
      <c r="K171" s="162"/>
      <c r="L171" s="162"/>
      <c r="M171" s="162"/>
      <c r="N171" s="162"/>
      <c r="O171" s="162"/>
      <c r="P171" s="162"/>
      <c r="Q171" s="162"/>
      <c r="R171" s="162"/>
      <c r="S171" s="162"/>
      <c r="T171" s="162"/>
      <c r="U171" s="162"/>
      <c r="V171" s="162"/>
      <c r="W171" s="162"/>
      <c r="X171" s="162"/>
      <c r="Y171" s="162"/>
      <c r="Z171" s="162"/>
    </row>
    <row r="172" ht="18.75" customHeight="1">
      <c r="A172" s="162"/>
      <c r="B172" s="162"/>
      <c r="C172" s="162"/>
      <c r="D172" s="162"/>
      <c r="E172" s="166"/>
      <c r="F172" s="166"/>
      <c r="G172" s="162"/>
      <c r="H172" s="162"/>
      <c r="I172" s="162"/>
      <c r="J172" s="162"/>
      <c r="K172" s="162"/>
      <c r="L172" s="162"/>
      <c r="M172" s="162"/>
      <c r="N172" s="162"/>
      <c r="O172" s="162"/>
      <c r="P172" s="162"/>
      <c r="Q172" s="162"/>
      <c r="R172" s="162"/>
      <c r="S172" s="162"/>
      <c r="T172" s="162"/>
      <c r="U172" s="162"/>
      <c r="V172" s="162"/>
      <c r="W172" s="162"/>
      <c r="X172" s="162"/>
      <c r="Y172" s="162"/>
      <c r="Z172" s="162"/>
    </row>
    <row r="173" ht="18.75" customHeight="1">
      <c r="A173" s="162"/>
      <c r="B173" s="162"/>
      <c r="C173" s="162"/>
      <c r="D173" s="162"/>
      <c r="E173" s="166"/>
      <c r="F173" s="166"/>
      <c r="G173" s="162"/>
      <c r="H173" s="162"/>
      <c r="I173" s="162"/>
      <c r="J173" s="162"/>
      <c r="K173" s="162"/>
      <c r="L173" s="162"/>
      <c r="M173" s="162"/>
      <c r="N173" s="162"/>
      <c r="O173" s="162"/>
      <c r="P173" s="162"/>
      <c r="Q173" s="162"/>
      <c r="R173" s="162"/>
      <c r="S173" s="162"/>
      <c r="T173" s="162"/>
      <c r="U173" s="162"/>
      <c r="V173" s="162"/>
      <c r="W173" s="162"/>
      <c r="X173" s="162"/>
      <c r="Y173" s="162"/>
      <c r="Z173" s="162"/>
    </row>
    <row r="174" ht="18.75" customHeight="1">
      <c r="A174" s="162"/>
      <c r="B174" s="162"/>
      <c r="C174" s="162"/>
      <c r="D174" s="162"/>
      <c r="E174" s="166"/>
      <c r="F174" s="166"/>
      <c r="G174" s="162"/>
      <c r="H174" s="162"/>
      <c r="I174" s="162"/>
      <c r="J174" s="162"/>
      <c r="K174" s="162"/>
      <c r="L174" s="162"/>
      <c r="M174" s="162"/>
      <c r="N174" s="162"/>
      <c r="O174" s="162"/>
      <c r="P174" s="162"/>
      <c r="Q174" s="162"/>
      <c r="R174" s="162"/>
      <c r="S174" s="162"/>
      <c r="T174" s="162"/>
      <c r="U174" s="162"/>
      <c r="V174" s="162"/>
      <c r="W174" s="162"/>
      <c r="X174" s="162"/>
      <c r="Y174" s="162"/>
      <c r="Z174" s="162"/>
    </row>
    <row r="175" ht="18.75" customHeight="1">
      <c r="A175" s="162"/>
      <c r="B175" s="162"/>
      <c r="C175" s="162"/>
      <c r="D175" s="162"/>
      <c r="E175" s="166"/>
      <c r="F175" s="166"/>
      <c r="G175" s="162"/>
      <c r="H175" s="162"/>
      <c r="I175" s="162"/>
      <c r="J175" s="162"/>
      <c r="K175" s="162"/>
      <c r="L175" s="162"/>
      <c r="M175" s="162"/>
      <c r="N175" s="162"/>
      <c r="O175" s="162"/>
      <c r="P175" s="162"/>
      <c r="Q175" s="162"/>
      <c r="R175" s="162"/>
      <c r="S175" s="162"/>
      <c r="T175" s="162"/>
      <c r="U175" s="162"/>
      <c r="V175" s="162"/>
      <c r="W175" s="162"/>
      <c r="X175" s="162"/>
      <c r="Y175" s="162"/>
      <c r="Z175" s="162"/>
    </row>
    <row r="176" ht="18.75" customHeight="1">
      <c r="A176" s="162"/>
      <c r="B176" s="162"/>
      <c r="C176" s="162"/>
      <c r="D176" s="162"/>
      <c r="E176" s="166"/>
      <c r="F176" s="166"/>
      <c r="G176" s="162"/>
      <c r="H176" s="162"/>
      <c r="I176" s="162"/>
      <c r="J176" s="162"/>
      <c r="K176" s="162"/>
      <c r="L176" s="162"/>
      <c r="M176" s="162"/>
      <c r="N176" s="162"/>
      <c r="O176" s="162"/>
      <c r="P176" s="162"/>
      <c r="Q176" s="162"/>
      <c r="R176" s="162"/>
      <c r="S176" s="162"/>
      <c r="T176" s="162"/>
      <c r="U176" s="162"/>
      <c r="V176" s="162"/>
      <c r="W176" s="162"/>
      <c r="X176" s="162"/>
      <c r="Y176" s="162"/>
      <c r="Z176" s="162"/>
    </row>
    <row r="177" ht="18.75" customHeight="1">
      <c r="A177" s="162"/>
      <c r="B177" s="162"/>
      <c r="C177" s="162"/>
      <c r="D177" s="162"/>
      <c r="E177" s="166"/>
      <c r="F177" s="166"/>
      <c r="G177" s="162"/>
      <c r="H177" s="162"/>
      <c r="I177" s="162"/>
      <c r="J177" s="162"/>
      <c r="K177" s="162"/>
      <c r="L177" s="162"/>
      <c r="M177" s="162"/>
      <c r="N177" s="162"/>
      <c r="O177" s="162"/>
      <c r="P177" s="162"/>
      <c r="Q177" s="162"/>
      <c r="R177" s="162"/>
      <c r="S177" s="162"/>
      <c r="T177" s="162"/>
      <c r="U177" s="162"/>
      <c r="V177" s="162"/>
      <c r="W177" s="162"/>
      <c r="X177" s="162"/>
      <c r="Y177" s="162"/>
      <c r="Z177" s="162"/>
    </row>
    <row r="178" ht="18.75" customHeight="1">
      <c r="A178" s="162"/>
      <c r="B178" s="162"/>
      <c r="C178" s="162"/>
      <c r="D178" s="162"/>
      <c r="E178" s="166"/>
      <c r="F178" s="166"/>
      <c r="G178" s="162"/>
      <c r="H178" s="162"/>
      <c r="I178" s="162"/>
      <c r="J178" s="162"/>
      <c r="K178" s="162"/>
      <c r="L178" s="162"/>
      <c r="M178" s="162"/>
      <c r="N178" s="162"/>
      <c r="O178" s="162"/>
      <c r="P178" s="162"/>
      <c r="Q178" s="162"/>
      <c r="R178" s="162"/>
      <c r="S178" s="162"/>
      <c r="T178" s="162"/>
      <c r="U178" s="162"/>
      <c r="V178" s="162"/>
      <c r="W178" s="162"/>
      <c r="X178" s="162"/>
      <c r="Y178" s="162"/>
      <c r="Z178" s="162"/>
    </row>
    <row r="179" ht="18.75" customHeight="1">
      <c r="A179" s="162"/>
      <c r="B179" s="162"/>
      <c r="C179" s="162"/>
      <c r="D179" s="162"/>
      <c r="E179" s="166"/>
      <c r="F179" s="166"/>
      <c r="G179" s="162"/>
      <c r="H179" s="162"/>
      <c r="I179" s="162"/>
      <c r="J179" s="162"/>
      <c r="K179" s="162"/>
      <c r="L179" s="162"/>
      <c r="M179" s="162"/>
      <c r="N179" s="162"/>
      <c r="O179" s="162"/>
      <c r="P179" s="162"/>
      <c r="Q179" s="162"/>
      <c r="R179" s="162"/>
      <c r="S179" s="162"/>
      <c r="T179" s="162"/>
      <c r="U179" s="162"/>
      <c r="V179" s="162"/>
      <c r="W179" s="162"/>
      <c r="X179" s="162"/>
      <c r="Y179" s="162"/>
      <c r="Z179" s="162"/>
    </row>
    <row r="180" ht="18.75" customHeight="1">
      <c r="A180" s="162"/>
      <c r="B180" s="162"/>
      <c r="C180" s="162"/>
      <c r="D180" s="162"/>
      <c r="E180" s="166"/>
      <c r="F180" s="166"/>
      <c r="G180" s="162"/>
      <c r="H180" s="162"/>
      <c r="I180" s="162"/>
      <c r="J180" s="162"/>
      <c r="K180" s="162"/>
      <c r="L180" s="162"/>
      <c r="M180" s="162"/>
      <c r="N180" s="162"/>
      <c r="O180" s="162"/>
      <c r="P180" s="162"/>
      <c r="Q180" s="162"/>
      <c r="R180" s="162"/>
      <c r="S180" s="162"/>
      <c r="T180" s="162"/>
      <c r="U180" s="162"/>
      <c r="V180" s="162"/>
      <c r="W180" s="162"/>
      <c r="X180" s="162"/>
      <c r="Y180" s="162"/>
      <c r="Z180" s="162"/>
    </row>
    <row r="181" ht="18.75" customHeight="1">
      <c r="A181" s="162"/>
      <c r="B181" s="162"/>
      <c r="C181" s="162"/>
      <c r="D181" s="162"/>
      <c r="E181" s="166"/>
      <c r="F181" s="166"/>
      <c r="G181" s="162"/>
      <c r="H181" s="162"/>
      <c r="I181" s="162"/>
      <c r="J181" s="162"/>
      <c r="K181" s="162"/>
      <c r="L181" s="162"/>
      <c r="M181" s="162"/>
      <c r="N181" s="162"/>
      <c r="O181" s="162"/>
      <c r="P181" s="162"/>
      <c r="Q181" s="162"/>
      <c r="R181" s="162"/>
      <c r="S181" s="162"/>
      <c r="T181" s="162"/>
      <c r="U181" s="162"/>
      <c r="V181" s="162"/>
      <c r="W181" s="162"/>
      <c r="X181" s="162"/>
      <c r="Y181" s="162"/>
      <c r="Z181" s="162"/>
    </row>
    <row r="182" ht="18.75" customHeight="1">
      <c r="A182" s="162"/>
      <c r="B182" s="162"/>
      <c r="C182" s="162"/>
      <c r="D182" s="162"/>
      <c r="E182" s="166"/>
      <c r="F182" s="166"/>
      <c r="G182" s="162"/>
      <c r="H182" s="162"/>
      <c r="I182" s="162"/>
      <c r="J182" s="162"/>
      <c r="K182" s="162"/>
      <c r="L182" s="162"/>
      <c r="M182" s="162"/>
      <c r="N182" s="162"/>
      <c r="O182" s="162"/>
      <c r="P182" s="162"/>
      <c r="Q182" s="162"/>
      <c r="R182" s="162"/>
      <c r="S182" s="162"/>
      <c r="T182" s="162"/>
      <c r="U182" s="162"/>
      <c r="V182" s="162"/>
      <c r="W182" s="162"/>
      <c r="X182" s="162"/>
      <c r="Y182" s="162"/>
      <c r="Z182" s="162"/>
    </row>
    <row r="183" ht="18.75" customHeight="1">
      <c r="A183" s="162"/>
      <c r="B183" s="162"/>
      <c r="C183" s="162"/>
      <c r="D183" s="162"/>
      <c r="E183" s="166"/>
      <c r="F183" s="166"/>
      <c r="G183" s="162"/>
      <c r="H183" s="162"/>
      <c r="I183" s="162"/>
      <c r="J183" s="162"/>
      <c r="K183" s="162"/>
      <c r="L183" s="162"/>
      <c r="M183" s="162"/>
      <c r="N183" s="162"/>
      <c r="O183" s="162"/>
      <c r="P183" s="162"/>
      <c r="Q183" s="162"/>
      <c r="R183" s="162"/>
      <c r="S183" s="162"/>
      <c r="T183" s="162"/>
      <c r="U183" s="162"/>
      <c r="V183" s="162"/>
      <c r="W183" s="162"/>
      <c r="X183" s="162"/>
      <c r="Y183" s="162"/>
      <c r="Z183" s="162"/>
    </row>
    <row r="184" ht="18.75" customHeight="1">
      <c r="A184" s="162"/>
      <c r="B184" s="162"/>
      <c r="C184" s="162"/>
      <c r="D184" s="162"/>
      <c r="E184" s="166"/>
      <c r="F184" s="166"/>
      <c r="G184" s="162"/>
      <c r="H184" s="162"/>
      <c r="I184" s="162"/>
      <c r="J184" s="162"/>
      <c r="K184" s="162"/>
      <c r="L184" s="162"/>
      <c r="M184" s="162"/>
      <c r="N184" s="162"/>
      <c r="O184" s="162"/>
      <c r="P184" s="162"/>
      <c r="Q184" s="162"/>
      <c r="R184" s="162"/>
      <c r="S184" s="162"/>
      <c r="T184" s="162"/>
      <c r="U184" s="162"/>
      <c r="V184" s="162"/>
      <c r="W184" s="162"/>
      <c r="X184" s="162"/>
      <c r="Y184" s="162"/>
      <c r="Z184" s="162"/>
    </row>
    <row r="185" ht="18.75" customHeight="1">
      <c r="A185" s="162"/>
      <c r="B185" s="162"/>
      <c r="C185" s="162"/>
      <c r="D185" s="162"/>
      <c r="E185" s="166"/>
      <c r="F185" s="166"/>
      <c r="G185" s="162"/>
      <c r="H185" s="162"/>
      <c r="I185" s="162"/>
      <c r="J185" s="162"/>
      <c r="K185" s="162"/>
      <c r="L185" s="162"/>
      <c r="M185" s="162"/>
      <c r="N185" s="162"/>
      <c r="O185" s="162"/>
      <c r="P185" s="162"/>
      <c r="Q185" s="162"/>
      <c r="R185" s="162"/>
      <c r="S185" s="162"/>
      <c r="T185" s="162"/>
      <c r="U185" s="162"/>
      <c r="V185" s="162"/>
      <c r="W185" s="162"/>
      <c r="X185" s="162"/>
      <c r="Y185" s="162"/>
      <c r="Z185" s="162"/>
    </row>
    <row r="186" ht="18.75" customHeight="1">
      <c r="A186" s="162"/>
      <c r="B186" s="162"/>
      <c r="C186" s="162"/>
      <c r="D186" s="162"/>
      <c r="E186" s="166"/>
      <c r="F186" s="166"/>
      <c r="G186" s="162"/>
      <c r="H186" s="162"/>
      <c r="I186" s="162"/>
      <c r="J186" s="162"/>
      <c r="K186" s="162"/>
      <c r="L186" s="162"/>
      <c r="M186" s="162"/>
      <c r="N186" s="162"/>
      <c r="O186" s="162"/>
      <c r="P186" s="162"/>
      <c r="Q186" s="162"/>
      <c r="R186" s="162"/>
      <c r="S186" s="162"/>
      <c r="T186" s="162"/>
      <c r="U186" s="162"/>
      <c r="V186" s="162"/>
      <c r="W186" s="162"/>
      <c r="X186" s="162"/>
      <c r="Y186" s="162"/>
      <c r="Z186" s="162"/>
    </row>
    <row r="187" ht="18.75" customHeight="1">
      <c r="A187" s="162"/>
      <c r="B187" s="162"/>
      <c r="C187" s="162"/>
      <c r="D187" s="162"/>
      <c r="E187" s="166"/>
      <c r="F187" s="166"/>
      <c r="G187" s="162"/>
      <c r="H187" s="162"/>
      <c r="I187" s="162"/>
      <c r="J187" s="162"/>
      <c r="K187" s="162"/>
      <c r="L187" s="162"/>
      <c r="M187" s="162"/>
      <c r="N187" s="162"/>
      <c r="O187" s="162"/>
      <c r="P187" s="162"/>
      <c r="Q187" s="162"/>
      <c r="R187" s="162"/>
      <c r="S187" s="162"/>
      <c r="T187" s="162"/>
      <c r="U187" s="162"/>
      <c r="V187" s="162"/>
      <c r="W187" s="162"/>
      <c r="X187" s="162"/>
      <c r="Y187" s="162"/>
      <c r="Z187" s="162"/>
    </row>
    <row r="188" ht="18.75" customHeight="1">
      <c r="A188" s="162"/>
      <c r="B188" s="162"/>
      <c r="C188" s="162"/>
      <c r="D188" s="162"/>
      <c r="E188" s="166"/>
      <c r="F188" s="166"/>
      <c r="G188" s="162"/>
      <c r="H188" s="162"/>
      <c r="I188" s="162"/>
      <c r="J188" s="162"/>
      <c r="K188" s="162"/>
      <c r="L188" s="162"/>
      <c r="M188" s="162"/>
      <c r="N188" s="162"/>
      <c r="O188" s="162"/>
      <c r="P188" s="162"/>
      <c r="Q188" s="162"/>
      <c r="R188" s="162"/>
      <c r="S188" s="162"/>
      <c r="T188" s="162"/>
      <c r="U188" s="162"/>
      <c r="V188" s="162"/>
      <c r="W188" s="162"/>
      <c r="X188" s="162"/>
      <c r="Y188" s="162"/>
      <c r="Z188" s="162"/>
    </row>
    <row r="189" ht="18.75" customHeight="1">
      <c r="A189" s="162"/>
      <c r="B189" s="162"/>
      <c r="C189" s="162"/>
      <c r="D189" s="162"/>
      <c r="E189" s="166"/>
      <c r="F189" s="166"/>
      <c r="G189" s="162"/>
      <c r="H189" s="162"/>
      <c r="I189" s="162"/>
      <c r="J189" s="162"/>
      <c r="K189" s="162"/>
      <c r="L189" s="162"/>
      <c r="M189" s="162"/>
      <c r="N189" s="162"/>
      <c r="O189" s="162"/>
      <c r="P189" s="162"/>
      <c r="Q189" s="162"/>
      <c r="R189" s="162"/>
      <c r="S189" s="162"/>
      <c r="T189" s="162"/>
      <c r="U189" s="162"/>
      <c r="V189" s="162"/>
      <c r="W189" s="162"/>
      <c r="X189" s="162"/>
      <c r="Y189" s="162"/>
      <c r="Z189" s="162"/>
    </row>
    <row r="190" ht="18.75" customHeight="1">
      <c r="A190" s="162"/>
      <c r="B190" s="162"/>
      <c r="C190" s="162"/>
      <c r="D190" s="162"/>
      <c r="E190" s="166"/>
      <c r="F190" s="166"/>
      <c r="G190" s="162"/>
      <c r="H190" s="162"/>
      <c r="I190" s="162"/>
      <c r="J190" s="162"/>
      <c r="K190" s="162"/>
      <c r="L190" s="162"/>
      <c r="M190" s="162"/>
      <c r="N190" s="162"/>
      <c r="O190" s="162"/>
      <c r="P190" s="162"/>
      <c r="Q190" s="162"/>
      <c r="R190" s="162"/>
      <c r="S190" s="162"/>
      <c r="T190" s="162"/>
      <c r="U190" s="162"/>
      <c r="V190" s="162"/>
      <c r="W190" s="162"/>
      <c r="X190" s="162"/>
      <c r="Y190" s="162"/>
      <c r="Z190" s="162"/>
    </row>
    <row r="191" ht="18.75" customHeight="1">
      <c r="A191" s="162"/>
      <c r="B191" s="162"/>
      <c r="C191" s="162"/>
      <c r="D191" s="162"/>
      <c r="E191" s="166"/>
      <c r="F191" s="166"/>
      <c r="G191" s="162"/>
      <c r="H191" s="162"/>
      <c r="I191" s="162"/>
      <c r="J191" s="162"/>
      <c r="K191" s="162"/>
      <c r="L191" s="162"/>
      <c r="M191" s="162"/>
      <c r="N191" s="162"/>
      <c r="O191" s="162"/>
      <c r="P191" s="162"/>
      <c r="Q191" s="162"/>
      <c r="R191" s="162"/>
      <c r="S191" s="162"/>
      <c r="T191" s="162"/>
      <c r="U191" s="162"/>
      <c r="V191" s="162"/>
      <c r="W191" s="162"/>
      <c r="X191" s="162"/>
      <c r="Y191" s="162"/>
      <c r="Z191" s="162"/>
    </row>
    <row r="192" ht="18.75" customHeight="1">
      <c r="A192" s="162"/>
      <c r="B192" s="162"/>
      <c r="C192" s="162"/>
      <c r="D192" s="162"/>
      <c r="E192" s="166"/>
      <c r="F192" s="166"/>
      <c r="G192" s="162"/>
      <c r="H192" s="162"/>
      <c r="I192" s="162"/>
      <c r="J192" s="162"/>
      <c r="K192" s="162"/>
      <c r="L192" s="162"/>
      <c r="M192" s="162"/>
      <c r="N192" s="162"/>
      <c r="O192" s="162"/>
      <c r="P192" s="162"/>
      <c r="Q192" s="162"/>
      <c r="R192" s="162"/>
      <c r="S192" s="162"/>
      <c r="T192" s="162"/>
      <c r="U192" s="162"/>
      <c r="V192" s="162"/>
      <c r="W192" s="162"/>
      <c r="X192" s="162"/>
      <c r="Y192" s="162"/>
      <c r="Z192" s="162"/>
    </row>
    <row r="193" ht="18.75" customHeight="1">
      <c r="A193" s="162"/>
      <c r="B193" s="162"/>
      <c r="C193" s="162"/>
      <c r="D193" s="162"/>
      <c r="E193" s="166"/>
      <c r="F193" s="166"/>
      <c r="G193" s="162"/>
      <c r="H193" s="162"/>
      <c r="I193" s="162"/>
      <c r="J193" s="162"/>
      <c r="K193" s="162"/>
      <c r="L193" s="162"/>
      <c r="M193" s="162"/>
      <c r="N193" s="162"/>
      <c r="O193" s="162"/>
      <c r="P193" s="162"/>
      <c r="Q193" s="162"/>
      <c r="R193" s="162"/>
      <c r="S193" s="162"/>
      <c r="T193" s="162"/>
      <c r="U193" s="162"/>
      <c r="V193" s="162"/>
      <c r="W193" s="162"/>
      <c r="X193" s="162"/>
      <c r="Y193" s="162"/>
      <c r="Z193" s="162"/>
    </row>
    <row r="194" ht="18.75" customHeight="1">
      <c r="A194" s="162"/>
      <c r="B194" s="162"/>
      <c r="C194" s="162"/>
      <c r="D194" s="162"/>
      <c r="E194" s="166"/>
      <c r="F194" s="166"/>
      <c r="G194" s="162"/>
      <c r="H194" s="162"/>
      <c r="I194" s="162"/>
      <c r="J194" s="162"/>
      <c r="K194" s="162"/>
      <c r="L194" s="162"/>
      <c r="M194" s="162"/>
      <c r="N194" s="162"/>
      <c r="O194" s="162"/>
      <c r="P194" s="162"/>
      <c r="Q194" s="162"/>
      <c r="R194" s="162"/>
      <c r="S194" s="162"/>
      <c r="T194" s="162"/>
      <c r="U194" s="162"/>
      <c r="V194" s="162"/>
      <c r="W194" s="162"/>
      <c r="X194" s="162"/>
      <c r="Y194" s="162"/>
      <c r="Z194" s="162"/>
    </row>
    <row r="195" ht="18.75" customHeight="1">
      <c r="A195" s="162"/>
      <c r="B195" s="162"/>
      <c r="C195" s="162"/>
      <c r="D195" s="162"/>
      <c r="E195" s="166"/>
      <c r="F195" s="166"/>
      <c r="G195" s="162"/>
      <c r="H195" s="162"/>
      <c r="I195" s="162"/>
      <c r="J195" s="162"/>
      <c r="K195" s="162"/>
      <c r="L195" s="162"/>
      <c r="M195" s="162"/>
      <c r="N195" s="162"/>
      <c r="O195" s="162"/>
      <c r="P195" s="162"/>
      <c r="Q195" s="162"/>
      <c r="R195" s="162"/>
      <c r="S195" s="162"/>
      <c r="T195" s="162"/>
      <c r="U195" s="162"/>
      <c r="V195" s="162"/>
      <c r="W195" s="162"/>
      <c r="X195" s="162"/>
      <c r="Y195" s="162"/>
      <c r="Z195" s="162"/>
    </row>
    <row r="196" ht="18.75" customHeight="1">
      <c r="A196" s="162"/>
      <c r="B196" s="162"/>
      <c r="C196" s="162"/>
      <c r="D196" s="162"/>
      <c r="E196" s="166"/>
      <c r="F196" s="166"/>
      <c r="G196" s="162"/>
      <c r="H196" s="162"/>
      <c r="I196" s="162"/>
      <c r="J196" s="162"/>
      <c r="K196" s="162"/>
      <c r="L196" s="162"/>
      <c r="M196" s="162"/>
      <c r="N196" s="162"/>
      <c r="O196" s="162"/>
      <c r="P196" s="162"/>
      <c r="Q196" s="162"/>
      <c r="R196" s="162"/>
      <c r="S196" s="162"/>
      <c r="T196" s="162"/>
      <c r="U196" s="162"/>
      <c r="V196" s="162"/>
      <c r="W196" s="162"/>
      <c r="X196" s="162"/>
      <c r="Y196" s="162"/>
      <c r="Z196" s="162"/>
    </row>
    <row r="197" ht="18.75" customHeight="1">
      <c r="A197" s="162"/>
      <c r="B197" s="162"/>
      <c r="C197" s="162"/>
      <c r="D197" s="162"/>
      <c r="E197" s="166"/>
      <c r="F197" s="166"/>
      <c r="G197" s="162"/>
      <c r="H197" s="162"/>
      <c r="I197" s="162"/>
      <c r="J197" s="162"/>
      <c r="K197" s="162"/>
      <c r="L197" s="162"/>
      <c r="M197" s="162"/>
      <c r="N197" s="162"/>
      <c r="O197" s="162"/>
      <c r="P197" s="162"/>
      <c r="Q197" s="162"/>
      <c r="R197" s="162"/>
      <c r="S197" s="162"/>
      <c r="T197" s="162"/>
      <c r="U197" s="162"/>
      <c r="V197" s="162"/>
      <c r="W197" s="162"/>
      <c r="X197" s="162"/>
      <c r="Y197" s="162"/>
      <c r="Z197" s="162"/>
    </row>
    <row r="198" ht="18.75" customHeight="1">
      <c r="A198" s="162"/>
      <c r="B198" s="162"/>
      <c r="C198" s="162"/>
      <c r="D198" s="162"/>
      <c r="E198" s="166"/>
      <c r="F198" s="166"/>
      <c r="G198" s="162"/>
      <c r="H198" s="162"/>
      <c r="I198" s="162"/>
      <c r="J198" s="162"/>
      <c r="K198" s="162"/>
      <c r="L198" s="162"/>
      <c r="M198" s="162"/>
      <c r="N198" s="162"/>
      <c r="O198" s="162"/>
      <c r="P198" s="162"/>
      <c r="Q198" s="162"/>
      <c r="R198" s="162"/>
      <c r="S198" s="162"/>
      <c r="T198" s="162"/>
      <c r="U198" s="162"/>
      <c r="V198" s="162"/>
      <c r="W198" s="162"/>
      <c r="X198" s="162"/>
      <c r="Y198" s="162"/>
      <c r="Z198" s="162"/>
    </row>
    <row r="199" ht="18.75" customHeight="1">
      <c r="A199" s="162"/>
      <c r="B199" s="162"/>
      <c r="C199" s="162"/>
      <c r="D199" s="162"/>
      <c r="E199" s="166"/>
      <c r="F199" s="166"/>
      <c r="G199" s="162"/>
      <c r="H199" s="162"/>
      <c r="I199" s="162"/>
      <c r="J199" s="162"/>
      <c r="K199" s="162"/>
      <c r="L199" s="162"/>
      <c r="M199" s="162"/>
      <c r="N199" s="162"/>
      <c r="O199" s="162"/>
      <c r="P199" s="162"/>
      <c r="Q199" s="162"/>
      <c r="R199" s="162"/>
      <c r="S199" s="162"/>
      <c r="T199" s="162"/>
      <c r="U199" s="162"/>
      <c r="V199" s="162"/>
      <c r="W199" s="162"/>
      <c r="X199" s="162"/>
      <c r="Y199" s="162"/>
      <c r="Z199" s="162"/>
    </row>
    <row r="200" ht="18.75" customHeight="1">
      <c r="A200" s="162"/>
      <c r="B200" s="162"/>
      <c r="C200" s="162"/>
      <c r="D200" s="162"/>
      <c r="E200" s="166"/>
      <c r="F200" s="166"/>
      <c r="G200" s="162"/>
      <c r="H200" s="162"/>
      <c r="I200" s="162"/>
      <c r="J200" s="162"/>
      <c r="K200" s="162"/>
      <c r="L200" s="162"/>
      <c r="M200" s="162"/>
      <c r="N200" s="162"/>
      <c r="O200" s="162"/>
      <c r="P200" s="162"/>
      <c r="Q200" s="162"/>
      <c r="R200" s="162"/>
      <c r="S200" s="162"/>
      <c r="T200" s="162"/>
      <c r="U200" s="162"/>
      <c r="V200" s="162"/>
      <c r="W200" s="162"/>
      <c r="X200" s="162"/>
      <c r="Y200" s="162"/>
      <c r="Z200" s="162"/>
    </row>
    <row r="201" ht="18.75" customHeight="1">
      <c r="A201" s="162"/>
      <c r="B201" s="162"/>
      <c r="C201" s="162"/>
      <c r="D201" s="162"/>
      <c r="E201" s="166"/>
      <c r="F201" s="166"/>
      <c r="G201" s="162"/>
      <c r="H201" s="162"/>
      <c r="I201" s="162"/>
      <c r="J201" s="162"/>
      <c r="K201" s="162"/>
      <c r="L201" s="162"/>
      <c r="M201" s="162"/>
      <c r="N201" s="162"/>
      <c r="O201" s="162"/>
      <c r="P201" s="162"/>
      <c r="Q201" s="162"/>
      <c r="R201" s="162"/>
      <c r="S201" s="162"/>
      <c r="T201" s="162"/>
      <c r="U201" s="162"/>
      <c r="V201" s="162"/>
      <c r="W201" s="162"/>
      <c r="X201" s="162"/>
      <c r="Y201" s="162"/>
      <c r="Z201" s="162"/>
    </row>
    <row r="202" ht="18.75" customHeight="1">
      <c r="A202" s="162"/>
      <c r="B202" s="162"/>
      <c r="C202" s="162"/>
      <c r="D202" s="162"/>
      <c r="E202" s="166"/>
      <c r="F202" s="166"/>
      <c r="G202" s="162"/>
      <c r="H202" s="162"/>
      <c r="I202" s="162"/>
      <c r="J202" s="162"/>
      <c r="K202" s="162"/>
      <c r="L202" s="162"/>
      <c r="M202" s="162"/>
      <c r="N202" s="162"/>
      <c r="O202" s="162"/>
      <c r="P202" s="162"/>
      <c r="Q202" s="162"/>
      <c r="R202" s="162"/>
      <c r="S202" s="162"/>
      <c r="T202" s="162"/>
      <c r="U202" s="162"/>
      <c r="V202" s="162"/>
      <c r="W202" s="162"/>
      <c r="X202" s="162"/>
      <c r="Y202" s="162"/>
      <c r="Z202" s="162"/>
    </row>
    <row r="203" ht="18.75" customHeight="1">
      <c r="A203" s="162"/>
      <c r="B203" s="162"/>
      <c r="C203" s="162"/>
      <c r="D203" s="162"/>
      <c r="E203" s="166"/>
      <c r="F203" s="166"/>
      <c r="G203" s="162"/>
      <c r="H203" s="162"/>
      <c r="I203" s="162"/>
      <c r="J203" s="162"/>
      <c r="K203" s="162"/>
      <c r="L203" s="162"/>
      <c r="M203" s="162"/>
      <c r="N203" s="162"/>
      <c r="O203" s="162"/>
      <c r="P203" s="162"/>
      <c r="Q203" s="162"/>
      <c r="R203" s="162"/>
      <c r="S203" s="162"/>
      <c r="T203" s="162"/>
      <c r="U203" s="162"/>
      <c r="V203" s="162"/>
      <c r="W203" s="162"/>
      <c r="X203" s="162"/>
      <c r="Y203" s="162"/>
      <c r="Z203" s="162"/>
    </row>
    <row r="204" ht="18.75" customHeight="1">
      <c r="A204" s="162"/>
      <c r="B204" s="162"/>
      <c r="C204" s="162"/>
      <c r="D204" s="162"/>
      <c r="E204" s="166"/>
      <c r="F204" s="166"/>
      <c r="G204" s="162"/>
      <c r="H204" s="162"/>
      <c r="I204" s="162"/>
      <c r="J204" s="162"/>
      <c r="K204" s="162"/>
      <c r="L204" s="162"/>
      <c r="M204" s="162"/>
      <c r="N204" s="162"/>
      <c r="O204" s="162"/>
      <c r="P204" s="162"/>
      <c r="Q204" s="162"/>
      <c r="R204" s="162"/>
      <c r="S204" s="162"/>
      <c r="T204" s="162"/>
      <c r="U204" s="162"/>
      <c r="V204" s="162"/>
      <c r="W204" s="162"/>
      <c r="X204" s="162"/>
      <c r="Y204" s="162"/>
      <c r="Z204" s="162"/>
    </row>
    <row r="205" ht="18.75" customHeight="1">
      <c r="A205" s="162"/>
      <c r="B205" s="162"/>
      <c r="C205" s="162"/>
      <c r="D205" s="162"/>
      <c r="E205" s="166"/>
      <c r="F205" s="166"/>
      <c r="G205" s="162"/>
      <c r="H205" s="162"/>
      <c r="I205" s="162"/>
      <c r="J205" s="162"/>
      <c r="K205" s="162"/>
      <c r="L205" s="162"/>
      <c r="M205" s="162"/>
      <c r="N205" s="162"/>
      <c r="O205" s="162"/>
      <c r="P205" s="162"/>
      <c r="Q205" s="162"/>
      <c r="R205" s="162"/>
      <c r="S205" s="162"/>
      <c r="T205" s="162"/>
      <c r="U205" s="162"/>
      <c r="V205" s="162"/>
      <c r="W205" s="162"/>
      <c r="X205" s="162"/>
      <c r="Y205" s="162"/>
      <c r="Z205" s="162"/>
    </row>
    <row r="206" ht="18.75" customHeight="1">
      <c r="A206" s="162"/>
      <c r="B206" s="162"/>
      <c r="C206" s="162"/>
      <c r="D206" s="162"/>
      <c r="E206" s="166"/>
      <c r="F206" s="166"/>
      <c r="G206" s="162"/>
      <c r="H206" s="162"/>
      <c r="I206" s="162"/>
      <c r="J206" s="162"/>
      <c r="K206" s="162"/>
      <c r="L206" s="162"/>
      <c r="M206" s="162"/>
      <c r="N206" s="162"/>
      <c r="O206" s="162"/>
      <c r="P206" s="162"/>
      <c r="Q206" s="162"/>
      <c r="R206" s="162"/>
      <c r="S206" s="162"/>
      <c r="T206" s="162"/>
      <c r="U206" s="162"/>
      <c r="V206" s="162"/>
      <c r="W206" s="162"/>
      <c r="X206" s="162"/>
      <c r="Y206" s="162"/>
      <c r="Z206" s="162"/>
    </row>
    <row r="207" ht="18.75" customHeight="1">
      <c r="A207" s="162"/>
      <c r="B207" s="162"/>
      <c r="C207" s="162"/>
      <c r="D207" s="162"/>
      <c r="E207" s="166"/>
      <c r="F207" s="166"/>
      <c r="G207" s="162"/>
      <c r="H207" s="162"/>
      <c r="I207" s="162"/>
      <c r="J207" s="162"/>
      <c r="K207" s="162"/>
      <c r="L207" s="162"/>
      <c r="M207" s="162"/>
      <c r="N207" s="162"/>
      <c r="O207" s="162"/>
      <c r="P207" s="162"/>
      <c r="Q207" s="162"/>
      <c r="R207" s="162"/>
      <c r="S207" s="162"/>
      <c r="T207" s="162"/>
      <c r="U207" s="162"/>
      <c r="V207" s="162"/>
      <c r="W207" s="162"/>
      <c r="X207" s="162"/>
      <c r="Y207" s="162"/>
      <c r="Z207" s="162"/>
    </row>
    <row r="208" ht="18.75" customHeight="1">
      <c r="A208" s="162"/>
      <c r="B208" s="162"/>
      <c r="C208" s="162"/>
      <c r="D208" s="162"/>
      <c r="E208" s="166"/>
      <c r="F208" s="166"/>
      <c r="G208" s="162"/>
      <c r="H208" s="162"/>
      <c r="I208" s="162"/>
      <c r="J208" s="162"/>
      <c r="K208" s="162"/>
      <c r="L208" s="162"/>
      <c r="M208" s="162"/>
      <c r="N208" s="162"/>
      <c r="O208" s="162"/>
      <c r="P208" s="162"/>
      <c r="Q208" s="162"/>
      <c r="R208" s="162"/>
      <c r="S208" s="162"/>
      <c r="T208" s="162"/>
      <c r="U208" s="162"/>
      <c r="V208" s="162"/>
      <c r="W208" s="162"/>
      <c r="X208" s="162"/>
      <c r="Y208" s="162"/>
      <c r="Z208" s="162"/>
    </row>
    <row r="209" ht="18.75" customHeight="1">
      <c r="A209" s="162"/>
      <c r="B209" s="162"/>
      <c r="C209" s="162"/>
      <c r="D209" s="162"/>
      <c r="E209" s="166"/>
      <c r="F209" s="166"/>
      <c r="G209" s="162"/>
      <c r="H209" s="162"/>
      <c r="I209" s="162"/>
      <c r="J209" s="162"/>
      <c r="K209" s="162"/>
      <c r="L209" s="162"/>
      <c r="M209" s="162"/>
      <c r="N209" s="162"/>
      <c r="O209" s="162"/>
      <c r="P209" s="162"/>
      <c r="Q209" s="162"/>
      <c r="R209" s="162"/>
      <c r="S209" s="162"/>
      <c r="T209" s="162"/>
      <c r="U209" s="162"/>
      <c r="V209" s="162"/>
      <c r="W209" s="162"/>
      <c r="X209" s="162"/>
      <c r="Y209" s="162"/>
      <c r="Z209" s="162"/>
    </row>
    <row r="210" ht="18.75" customHeight="1">
      <c r="A210" s="162"/>
      <c r="B210" s="162"/>
      <c r="C210" s="162"/>
      <c r="D210" s="162"/>
      <c r="E210" s="166"/>
      <c r="F210" s="166"/>
      <c r="G210" s="162"/>
      <c r="H210" s="162"/>
      <c r="I210" s="162"/>
      <c r="J210" s="162"/>
      <c r="K210" s="162"/>
      <c r="L210" s="162"/>
      <c r="M210" s="162"/>
      <c r="N210" s="162"/>
      <c r="O210" s="162"/>
      <c r="P210" s="162"/>
      <c r="Q210" s="162"/>
      <c r="R210" s="162"/>
      <c r="S210" s="162"/>
      <c r="T210" s="162"/>
      <c r="U210" s="162"/>
      <c r="V210" s="162"/>
      <c r="W210" s="162"/>
      <c r="X210" s="162"/>
      <c r="Y210" s="162"/>
      <c r="Z210" s="162"/>
    </row>
    <row r="211" ht="18.75" customHeight="1">
      <c r="A211" s="162"/>
      <c r="B211" s="162"/>
      <c r="C211" s="162"/>
      <c r="D211" s="162"/>
      <c r="E211" s="166"/>
      <c r="F211" s="166"/>
      <c r="G211" s="162"/>
      <c r="H211" s="162"/>
      <c r="I211" s="162"/>
      <c r="J211" s="162"/>
      <c r="K211" s="162"/>
      <c r="L211" s="162"/>
      <c r="M211" s="162"/>
      <c r="N211" s="162"/>
      <c r="O211" s="162"/>
      <c r="P211" s="162"/>
      <c r="Q211" s="162"/>
      <c r="R211" s="162"/>
      <c r="S211" s="162"/>
      <c r="T211" s="162"/>
      <c r="U211" s="162"/>
      <c r="V211" s="162"/>
      <c r="W211" s="162"/>
      <c r="X211" s="162"/>
      <c r="Y211" s="162"/>
      <c r="Z211" s="162"/>
    </row>
    <row r="212" ht="18.75" customHeight="1">
      <c r="A212" s="162"/>
      <c r="B212" s="162"/>
      <c r="C212" s="162"/>
      <c r="D212" s="162"/>
      <c r="E212" s="166"/>
      <c r="F212" s="166"/>
      <c r="G212" s="162"/>
      <c r="H212" s="162"/>
      <c r="I212" s="162"/>
      <c r="J212" s="162"/>
      <c r="K212" s="162"/>
      <c r="L212" s="162"/>
      <c r="M212" s="162"/>
      <c r="N212" s="162"/>
      <c r="O212" s="162"/>
      <c r="P212" s="162"/>
      <c r="Q212" s="162"/>
      <c r="R212" s="162"/>
      <c r="S212" s="162"/>
      <c r="T212" s="162"/>
      <c r="U212" s="162"/>
      <c r="V212" s="162"/>
      <c r="W212" s="162"/>
      <c r="X212" s="162"/>
      <c r="Y212" s="162"/>
      <c r="Z212" s="162"/>
    </row>
    <row r="213" ht="18.75" customHeight="1">
      <c r="A213" s="162"/>
      <c r="B213" s="162"/>
      <c r="C213" s="162"/>
      <c r="D213" s="162"/>
      <c r="E213" s="166"/>
      <c r="F213" s="166"/>
      <c r="G213" s="162"/>
      <c r="H213" s="162"/>
      <c r="I213" s="162"/>
      <c r="J213" s="162"/>
      <c r="K213" s="162"/>
      <c r="L213" s="162"/>
      <c r="M213" s="162"/>
      <c r="N213" s="162"/>
      <c r="O213" s="162"/>
      <c r="P213" s="162"/>
      <c r="Q213" s="162"/>
      <c r="R213" s="162"/>
      <c r="S213" s="162"/>
      <c r="T213" s="162"/>
      <c r="U213" s="162"/>
      <c r="V213" s="162"/>
      <c r="W213" s="162"/>
      <c r="X213" s="162"/>
      <c r="Y213" s="162"/>
      <c r="Z213" s="162"/>
    </row>
    <row r="214" ht="18.75" customHeight="1">
      <c r="A214" s="162"/>
      <c r="B214" s="162"/>
      <c r="C214" s="162"/>
      <c r="D214" s="162"/>
      <c r="E214" s="166"/>
      <c r="F214" s="166"/>
      <c r="G214" s="162"/>
      <c r="H214" s="162"/>
      <c r="I214" s="162"/>
      <c r="J214" s="162"/>
      <c r="K214" s="162"/>
      <c r="L214" s="162"/>
      <c r="M214" s="162"/>
      <c r="N214" s="162"/>
      <c r="O214" s="162"/>
      <c r="P214" s="162"/>
      <c r="Q214" s="162"/>
      <c r="R214" s="162"/>
      <c r="S214" s="162"/>
      <c r="T214" s="162"/>
      <c r="U214" s="162"/>
      <c r="V214" s="162"/>
      <c r="W214" s="162"/>
      <c r="X214" s="162"/>
      <c r="Y214" s="162"/>
      <c r="Z214" s="162"/>
    </row>
    <row r="215" ht="18.75" customHeight="1">
      <c r="A215" s="162"/>
      <c r="B215" s="162"/>
      <c r="C215" s="162"/>
      <c r="D215" s="162"/>
      <c r="E215" s="166"/>
      <c r="F215" s="166"/>
      <c r="G215" s="162"/>
      <c r="H215" s="162"/>
      <c r="I215" s="162"/>
      <c r="J215" s="162"/>
      <c r="K215" s="162"/>
      <c r="L215" s="162"/>
      <c r="M215" s="162"/>
      <c r="N215" s="162"/>
      <c r="O215" s="162"/>
      <c r="P215" s="162"/>
      <c r="Q215" s="162"/>
      <c r="R215" s="162"/>
      <c r="S215" s="162"/>
      <c r="T215" s="162"/>
      <c r="U215" s="162"/>
      <c r="V215" s="162"/>
      <c r="W215" s="162"/>
      <c r="X215" s="162"/>
      <c r="Y215" s="162"/>
      <c r="Z215" s="162"/>
    </row>
    <row r="216" ht="18.75" customHeight="1">
      <c r="A216" s="162"/>
      <c r="B216" s="162"/>
      <c r="C216" s="162"/>
      <c r="D216" s="162"/>
      <c r="E216" s="166"/>
      <c r="F216" s="166"/>
      <c r="G216" s="162"/>
      <c r="H216" s="162"/>
      <c r="I216" s="162"/>
      <c r="J216" s="162"/>
      <c r="K216" s="162"/>
      <c r="L216" s="162"/>
      <c r="M216" s="162"/>
      <c r="N216" s="162"/>
      <c r="O216" s="162"/>
      <c r="P216" s="162"/>
      <c r="Q216" s="162"/>
      <c r="R216" s="162"/>
      <c r="S216" s="162"/>
      <c r="T216" s="162"/>
      <c r="U216" s="162"/>
      <c r="V216" s="162"/>
      <c r="W216" s="162"/>
      <c r="X216" s="162"/>
      <c r="Y216" s="162"/>
      <c r="Z216" s="162"/>
    </row>
    <row r="217" ht="18.75" customHeight="1">
      <c r="A217" s="162"/>
      <c r="B217" s="162"/>
      <c r="C217" s="162"/>
      <c r="D217" s="162"/>
      <c r="E217" s="166"/>
      <c r="F217" s="166"/>
      <c r="G217" s="162"/>
      <c r="H217" s="162"/>
      <c r="I217" s="162"/>
      <c r="J217" s="162"/>
      <c r="K217" s="162"/>
      <c r="L217" s="162"/>
      <c r="M217" s="162"/>
      <c r="N217" s="162"/>
      <c r="O217" s="162"/>
      <c r="P217" s="162"/>
      <c r="Q217" s="162"/>
      <c r="R217" s="162"/>
      <c r="S217" s="162"/>
      <c r="T217" s="162"/>
      <c r="U217" s="162"/>
      <c r="V217" s="162"/>
      <c r="W217" s="162"/>
      <c r="X217" s="162"/>
      <c r="Y217" s="162"/>
      <c r="Z217" s="162"/>
    </row>
    <row r="218" ht="18.75" customHeight="1">
      <c r="A218" s="162"/>
      <c r="B218" s="162"/>
      <c r="C218" s="162"/>
      <c r="D218" s="162"/>
      <c r="E218" s="166"/>
      <c r="F218" s="166"/>
      <c r="G218" s="162"/>
      <c r="H218" s="162"/>
      <c r="I218" s="162"/>
      <c r="J218" s="162"/>
      <c r="K218" s="162"/>
      <c r="L218" s="162"/>
      <c r="M218" s="162"/>
      <c r="N218" s="162"/>
      <c r="O218" s="162"/>
      <c r="P218" s="162"/>
      <c r="Q218" s="162"/>
      <c r="R218" s="162"/>
      <c r="S218" s="162"/>
      <c r="T218" s="162"/>
      <c r="U218" s="162"/>
      <c r="V218" s="162"/>
      <c r="W218" s="162"/>
      <c r="X218" s="162"/>
      <c r="Y218" s="162"/>
      <c r="Z218" s="162"/>
    </row>
    <row r="219" ht="18.75" customHeight="1">
      <c r="A219" s="162"/>
      <c r="B219" s="162"/>
      <c r="C219" s="162"/>
      <c r="D219" s="162"/>
      <c r="E219" s="166"/>
      <c r="F219" s="166"/>
      <c r="G219" s="162"/>
      <c r="H219" s="162"/>
      <c r="I219" s="162"/>
      <c r="J219" s="162"/>
      <c r="K219" s="162"/>
      <c r="L219" s="162"/>
      <c r="M219" s="162"/>
      <c r="N219" s="162"/>
      <c r="O219" s="162"/>
      <c r="P219" s="162"/>
      <c r="Q219" s="162"/>
      <c r="R219" s="162"/>
      <c r="S219" s="162"/>
      <c r="T219" s="162"/>
      <c r="U219" s="162"/>
      <c r="V219" s="162"/>
      <c r="W219" s="162"/>
      <c r="X219" s="162"/>
      <c r="Y219" s="162"/>
      <c r="Z219" s="162"/>
    </row>
    <row r="220" ht="18.75" customHeight="1">
      <c r="A220" s="162"/>
      <c r="B220" s="162"/>
      <c r="C220" s="162"/>
      <c r="D220" s="162"/>
      <c r="E220" s="166"/>
      <c r="F220" s="166"/>
      <c r="G220" s="162"/>
      <c r="H220" s="162"/>
      <c r="I220" s="162"/>
      <c r="J220" s="162"/>
      <c r="K220" s="162"/>
      <c r="L220" s="162"/>
      <c r="M220" s="162"/>
      <c r="N220" s="162"/>
      <c r="O220" s="162"/>
      <c r="P220" s="162"/>
      <c r="Q220" s="162"/>
      <c r="R220" s="162"/>
      <c r="S220" s="162"/>
      <c r="T220" s="162"/>
      <c r="U220" s="162"/>
      <c r="V220" s="162"/>
      <c r="W220" s="162"/>
      <c r="X220" s="162"/>
      <c r="Y220" s="162"/>
      <c r="Z220" s="162"/>
    </row>
    <row r="221" ht="18.75" customHeight="1">
      <c r="A221" s="162"/>
      <c r="B221" s="162"/>
      <c r="C221" s="162"/>
      <c r="D221" s="162"/>
      <c r="E221" s="166"/>
      <c r="F221" s="166"/>
      <c r="G221" s="162"/>
      <c r="H221" s="162"/>
      <c r="I221" s="162"/>
      <c r="J221" s="162"/>
      <c r="K221" s="162"/>
      <c r="L221" s="162"/>
      <c r="M221" s="162"/>
      <c r="N221" s="162"/>
      <c r="O221" s="162"/>
      <c r="P221" s="162"/>
      <c r="Q221" s="162"/>
      <c r="R221" s="162"/>
      <c r="S221" s="162"/>
      <c r="T221" s="162"/>
      <c r="U221" s="162"/>
      <c r="V221" s="162"/>
      <c r="W221" s="162"/>
      <c r="X221" s="162"/>
      <c r="Y221" s="162"/>
      <c r="Z221" s="162"/>
    </row>
    <row r="222" ht="18.75" customHeight="1">
      <c r="A222" s="162"/>
      <c r="B222" s="162"/>
      <c r="C222" s="162"/>
      <c r="D222" s="162"/>
      <c r="E222" s="166"/>
      <c r="F222" s="166"/>
      <c r="G222" s="162"/>
      <c r="H222" s="162"/>
      <c r="I222" s="162"/>
      <c r="J222" s="162"/>
      <c r="K222" s="162"/>
      <c r="L222" s="162"/>
      <c r="M222" s="162"/>
      <c r="N222" s="162"/>
      <c r="O222" s="162"/>
      <c r="P222" s="162"/>
      <c r="Q222" s="162"/>
      <c r="R222" s="162"/>
      <c r="S222" s="162"/>
      <c r="T222" s="162"/>
      <c r="U222" s="162"/>
      <c r="V222" s="162"/>
      <c r="W222" s="162"/>
      <c r="X222" s="162"/>
      <c r="Y222" s="162"/>
      <c r="Z222" s="162"/>
    </row>
    <row r="223" ht="18.75" customHeight="1">
      <c r="A223" s="162"/>
      <c r="B223" s="162"/>
      <c r="C223" s="162"/>
      <c r="D223" s="162"/>
      <c r="E223" s="166"/>
      <c r="F223" s="166"/>
      <c r="G223" s="162"/>
      <c r="H223" s="162"/>
      <c r="I223" s="162"/>
      <c r="J223" s="162"/>
      <c r="K223" s="162"/>
      <c r="L223" s="162"/>
      <c r="M223" s="162"/>
      <c r="N223" s="162"/>
      <c r="O223" s="162"/>
      <c r="P223" s="162"/>
      <c r="Q223" s="162"/>
      <c r="R223" s="162"/>
      <c r="S223" s="162"/>
      <c r="T223" s="162"/>
      <c r="U223" s="162"/>
      <c r="V223" s="162"/>
      <c r="W223" s="162"/>
      <c r="X223" s="162"/>
      <c r="Y223" s="162"/>
      <c r="Z223" s="162"/>
    </row>
    <row r="224" ht="18.75" customHeight="1">
      <c r="A224" s="162"/>
      <c r="B224" s="162"/>
      <c r="C224" s="162"/>
      <c r="D224" s="162"/>
      <c r="E224" s="166"/>
      <c r="F224" s="166"/>
      <c r="G224" s="162"/>
      <c r="H224" s="162"/>
      <c r="I224" s="162"/>
      <c r="J224" s="162"/>
      <c r="K224" s="162"/>
      <c r="L224" s="162"/>
      <c r="M224" s="162"/>
      <c r="N224" s="162"/>
      <c r="O224" s="162"/>
      <c r="P224" s="162"/>
      <c r="Q224" s="162"/>
      <c r="R224" s="162"/>
      <c r="S224" s="162"/>
      <c r="T224" s="162"/>
      <c r="U224" s="162"/>
      <c r="V224" s="162"/>
      <c r="W224" s="162"/>
      <c r="X224" s="162"/>
      <c r="Y224" s="162"/>
      <c r="Z224" s="162"/>
    </row>
    <row r="225" ht="18.75" customHeight="1">
      <c r="A225" s="162"/>
      <c r="B225" s="162"/>
      <c r="C225" s="162"/>
      <c r="D225" s="162"/>
      <c r="E225" s="166"/>
      <c r="F225" s="166"/>
      <c r="G225" s="162"/>
      <c r="H225" s="162"/>
      <c r="I225" s="162"/>
      <c r="J225" s="162"/>
      <c r="K225" s="162"/>
      <c r="L225" s="162"/>
      <c r="M225" s="162"/>
      <c r="N225" s="162"/>
      <c r="O225" s="162"/>
      <c r="P225" s="162"/>
      <c r="Q225" s="162"/>
      <c r="R225" s="162"/>
      <c r="S225" s="162"/>
      <c r="T225" s="162"/>
      <c r="U225" s="162"/>
      <c r="V225" s="162"/>
      <c r="W225" s="162"/>
      <c r="X225" s="162"/>
      <c r="Y225" s="162"/>
      <c r="Z225" s="162"/>
    </row>
    <row r="226" ht="18.75" customHeight="1">
      <c r="A226" s="162"/>
      <c r="B226" s="162"/>
      <c r="C226" s="162"/>
      <c r="D226" s="162"/>
      <c r="E226" s="166"/>
      <c r="F226" s="166"/>
      <c r="G226" s="162"/>
      <c r="H226" s="162"/>
      <c r="I226" s="162"/>
      <c r="J226" s="162"/>
      <c r="K226" s="162"/>
      <c r="L226" s="162"/>
      <c r="M226" s="162"/>
      <c r="N226" s="162"/>
      <c r="O226" s="162"/>
      <c r="P226" s="162"/>
      <c r="Q226" s="162"/>
      <c r="R226" s="162"/>
      <c r="S226" s="162"/>
      <c r="T226" s="162"/>
      <c r="U226" s="162"/>
      <c r="V226" s="162"/>
      <c r="W226" s="162"/>
      <c r="X226" s="162"/>
      <c r="Y226" s="162"/>
      <c r="Z226" s="162"/>
    </row>
    <row r="227" ht="18.75" customHeight="1">
      <c r="A227" s="162"/>
      <c r="B227" s="162"/>
      <c r="C227" s="162"/>
      <c r="D227" s="162"/>
      <c r="E227" s="166"/>
      <c r="F227" s="166"/>
      <c r="G227" s="162"/>
      <c r="H227" s="162"/>
      <c r="I227" s="162"/>
      <c r="J227" s="162"/>
      <c r="K227" s="162"/>
      <c r="L227" s="162"/>
      <c r="M227" s="162"/>
      <c r="N227" s="162"/>
      <c r="O227" s="162"/>
      <c r="P227" s="162"/>
      <c r="Q227" s="162"/>
      <c r="R227" s="162"/>
      <c r="S227" s="162"/>
      <c r="T227" s="162"/>
      <c r="U227" s="162"/>
      <c r="V227" s="162"/>
      <c r="W227" s="162"/>
      <c r="X227" s="162"/>
      <c r="Y227" s="162"/>
      <c r="Z227" s="162"/>
    </row>
    <row r="228" ht="18.75" customHeight="1">
      <c r="A228" s="162"/>
      <c r="B228" s="162"/>
      <c r="C228" s="162"/>
      <c r="D228" s="162"/>
      <c r="E228" s="166"/>
      <c r="F228" s="166"/>
      <c r="G228" s="162"/>
      <c r="H228" s="162"/>
      <c r="I228" s="162"/>
      <c r="J228" s="162"/>
      <c r="K228" s="162"/>
      <c r="L228" s="162"/>
      <c r="M228" s="162"/>
      <c r="N228" s="162"/>
      <c r="O228" s="162"/>
      <c r="P228" s="162"/>
      <c r="Q228" s="162"/>
      <c r="R228" s="162"/>
      <c r="S228" s="162"/>
      <c r="T228" s="162"/>
      <c r="U228" s="162"/>
      <c r="V228" s="162"/>
      <c r="W228" s="162"/>
      <c r="X228" s="162"/>
      <c r="Y228" s="162"/>
      <c r="Z228" s="162"/>
    </row>
    <row r="229" ht="18.75" customHeight="1">
      <c r="A229" s="162"/>
      <c r="B229" s="162"/>
      <c r="C229" s="162"/>
      <c r="D229" s="162"/>
      <c r="E229" s="166"/>
      <c r="F229" s="166"/>
      <c r="G229" s="162"/>
      <c r="H229" s="162"/>
      <c r="I229" s="162"/>
      <c r="J229" s="162"/>
      <c r="K229" s="162"/>
      <c r="L229" s="162"/>
      <c r="M229" s="162"/>
      <c r="N229" s="162"/>
      <c r="O229" s="162"/>
      <c r="P229" s="162"/>
      <c r="Q229" s="162"/>
      <c r="R229" s="162"/>
      <c r="S229" s="162"/>
      <c r="T229" s="162"/>
      <c r="U229" s="162"/>
      <c r="V229" s="162"/>
      <c r="W229" s="162"/>
      <c r="X229" s="162"/>
      <c r="Y229" s="162"/>
      <c r="Z229" s="162"/>
    </row>
    <row r="230" ht="18.75" customHeight="1">
      <c r="A230" s="162"/>
      <c r="B230" s="162"/>
      <c r="C230" s="162"/>
      <c r="D230" s="162"/>
      <c r="E230" s="166"/>
      <c r="F230" s="166"/>
      <c r="G230" s="162"/>
      <c r="H230" s="162"/>
      <c r="I230" s="162"/>
      <c r="J230" s="162"/>
      <c r="K230" s="162"/>
      <c r="L230" s="162"/>
      <c r="M230" s="162"/>
      <c r="N230" s="162"/>
      <c r="O230" s="162"/>
      <c r="P230" s="162"/>
      <c r="Q230" s="162"/>
      <c r="R230" s="162"/>
      <c r="S230" s="162"/>
      <c r="T230" s="162"/>
      <c r="U230" s="162"/>
      <c r="V230" s="162"/>
      <c r="W230" s="162"/>
      <c r="X230" s="162"/>
      <c r="Y230" s="162"/>
      <c r="Z230" s="162"/>
    </row>
    <row r="231" ht="18.75" customHeight="1">
      <c r="A231" s="162"/>
      <c r="B231" s="162"/>
      <c r="C231" s="162"/>
      <c r="D231" s="162"/>
      <c r="E231" s="166"/>
      <c r="F231" s="166"/>
      <c r="G231" s="162"/>
      <c r="H231" s="162"/>
      <c r="I231" s="162"/>
      <c r="J231" s="162"/>
      <c r="K231" s="162"/>
      <c r="L231" s="162"/>
      <c r="M231" s="162"/>
      <c r="N231" s="162"/>
      <c r="O231" s="162"/>
      <c r="P231" s="162"/>
      <c r="Q231" s="162"/>
      <c r="R231" s="162"/>
      <c r="S231" s="162"/>
      <c r="T231" s="162"/>
      <c r="U231" s="162"/>
      <c r="V231" s="162"/>
      <c r="W231" s="162"/>
      <c r="X231" s="162"/>
      <c r="Y231" s="162"/>
      <c r="Z231" s="162"/>
    </row>
    <row r="232" ht="18.75" customHeight="1">
      <c r="A232" s="162"/>
      <c r="B232" s="162"/>
      <c r="C232" s="162"/>
      <c r="D232" s="162"/>
      <c r="E232" s="166"/>
      <c r="F232" s="166"/>
      <c r="G232" s="162"/>
      <c r="H232" s="162"/>
      <c r="I232" s="162"/>
      <c r="J232" s="162"/>
      <c r="K232" s="162"/>
      <c r="L232" s="162"/>
      <c r="M232" s="162"/>
      <c r="N232" s="162"/>
      <c r="O232" s="162"/>
      <c r="P232" s="162"/>
      <c r="Q232" s="162"/>
      <c r="R232" s="162"/>
      <c r="S232" s="162"/>
      <c r="T232" s="162"/>
      <c r="U232" s="162"/>
      <c r="V232" s="162"/>
      <c r="W232" s="162"/>
      <c r="X232" s="162"/>
      <c r="Y232" s="162"/>
      <c r="Z232" s="162"/>
    </row>
    <row r="233" ht="18.75" customHeight="1">
      <c r="A233" s="162"/>
      <c r="B233" s="162"/>
      <c r="C233" s="162"/>
      <c r="D233" s="162"/>
      <c r="E233" s="166"/>
      <c r="F233" s="166"/>
      <c r="G233" s="162"/>
      <c r="H233" s="162"/>
      <c r="I233" s="162"/>
      <c r="J233" s="162"/>
      <c r="K233" s="162"/>
      <c r="L233" s="162"/>
      <c r="M233" s="162"/>
      <c r="N233" s="162"/>
      <c r="O233" s="162"/>
      <c r="P233" s="162"/>
      <c r="Q233" s="162"/>
      <c r="R233" s="162"/>
      <c r="S233" s="162"/>
      <c r="T233" s="162"/>
      <c r="U233" s="162"/>
      <c r="V233" s="162"/>
      <c r="W233" s="162"/>
      <c r="X233" s="162"/>
      <c r="Y233" s="162"/>
      <c r="Z233" s="162"/>
    </row>
    <row r="234" ht="18.75" customHeight="1">
      <c r="A234" s="162"/>
      <c r="B234" s="162"/>
      <c r="C234" s="162"/>
      <c r="D234" s="162"/>
      <c r="E234" s="166"/>
      <c r="F234" s="166"/>
      <c r="G234" s="162"/>
      <c r="H234" s="162"/>
      <c r="I234" s="162"/>
      <c r="J234" s="162"/>
      <c r="K234" s="162"/>
      <c r="L234" s="162"/>
      <c r="M234" s="162"/>
      <c r="N234" s="162"/>
      <c r="O234" s="162"/>
      <c r="P234" s="162"/>
      <c r="Q234" s="162"/>
      <c r="R234" s="162"/>
      <c r="S234" s="162"/>
      <c r="T234" s="162"/>
      <c r="U234" s="162"/>
      <c r="V234" s="162"/>
      <c r="W234" s="162"/>
      <c r="X234" s="162"/>
      <c r="Y234" s="162"/>
      <c r="Z234" s="162"/>
    </row>
    <row r="235" ht="18.75" customHeight="1">
      <c r="A235" s="162"/>
      <c r="B235" s="162"/>
      <c r="C235" s="162"/>
      <c r="D235" s="162"/>
      <c r="E235" s="166"/>
      <c r="F235" s="166"/>
      <c r="G235" s="162"/>
      <c r="H235" s="162"/>
      <c r="I235" s="162"/>
      <c r="J235" s="162"/>
      <c r="K235" s="162"/>
      <c r="L235" s="162"/>
      <c r="M235" s="162"/>
      <c r="N235" s="162"/>
      <c r="O235" s="162"/>
      <c r="P235" s="162"/>
      <c r="Q235" s="162"/>
      <c r="R235" s="162"/>
      <c r="S235" s="162"/>
      <c r="T235" s="162"/>
      <c r="U235" s="162"/>
      <c r="V235" s="162"/>
      <c r="W235" s="162"/>
      <c r="X235" s="162"/>
      <c r="Y235" s="162"/>
      <c r="Z235" s="162"/>
    </row>
    <row r="236" ht="18.75" customHeight="1">
      <c r="A236" s="162"/>
      <c r="B236" s="162"/>
      <c r="C236" s="162"/>
      <c r="D236" s="162"/>
      <c r="E236" s="166"/>
      <c r="F236" s="166"/>
      <c r="G236" s="162"/>
      <c r="H236" s="162"/>
      <c r="I236" s="162"/>
      <c r="J236" s="162"/>
      <c r="K236" s="162"/>
      <c r="L236" s="162"/>
      <c r="M236" s="162"/>
      <c r="N236" s="162"/>
      <c r="O236" s="162"/>
      <c r="P236" s="162"/>
      <c r="Q236" s="162"/>
      <c r="R236" s="162"/>
      <c r="S236" s="162"/>
      <c r="T236" s="162"/>
      <c r="U236" s="162"/>
      <c r="V236" s="162"/>
      <c r="W236" s="162"/>
      <c r="X236" s="162"/>
      <c r="Y236" s="162"/>
      <c r="Z236" s="162"/>
    </row>
    <row r="237" ht="18.75" customHeight="1">
      <c r="A237" s="162"/>
      <c r="B237" s="162"/>
      <c r="C237" s="162"/>
      <c r="D237" s="162"/>
      <c r="E237" s="166"/>
      <c r="F237" s="166"/>
      <c r="G237" s="162"/>
      <c r="H237" s="162"/>
      <c r="I237" s="162"/>
      <c r="J237" s="162"/>
      <c r="K237" s="162"/>
      <c r="L237" s="162"/>
      <c r="M237" s="162"/>
      <c r="N237" s="162"/>
      <c r="O237" s="162"/>
      <c r="P237" s="162"/>
      <c r="Q237" s="162"/>
      <c r="R237" s="162"/>
      <c r="S237" s="162"/>
      <c r="T237" s="162"/>
      <c r="U237" s="162"/>
      <c r="V237" s="162"/>
      <c r="W237" s="162"/>
      <c r="X237" s="162"/>
      <c r="Y237" s="162"/>
      <c r="Z237" s="162"/>
    </row>
    <row r="238" ht="18.75" customHeight="1">
      <c r="A238" s="162"/>
      <c r="B238" s="162"/>
      <c r="C238" s="162"/>
      <c r="D238" s="162"/>
      <c r="E238" s="166"/>
      <c r="F238" s="166"/>
      <c r="G238" s="162"/>
      <c r="H238" s="162"/>
      <c r="I238" s="162"/>
      <c r="J238" s="162"/>
      <c r="K238" s="162"/>
      <c r="L238" s="162"/>
      <c r="M238" s="162"/>
      <c r="N238" s="162"/>
      <c r="O238" s="162"/>
      <c r="P238" s="162"/>
      <c r="Q238" s="162"/>
      <c r="R238" s="162"/>
      <c r="S238" s="162"/>
      <c r="T238" s="162"/>
      <c r="U238" s="162"/>
      <c r="V238" s="162"/>
      <c r="W238" s="162"/>
      <c r="X238" s="162"/>
      <c r="Y238" s="162"/>
      <c r="Z238" s="162"/>
    </row>
    <row r="239" ht="18.75" customHeight="1">
      <c r="A239" s="162"/>
      <c r="B239" s="162"/>
      <c r="C239" s="162"/>
      <c r="D239" s="162"/>
      <c r="E239" s="166"/>
      <c r="F239" s="166"/>
      <c r="G239" s="162"/>
      <c r="H239" s="162"/>
      <c r="I239" s="162"/>
      <c r="J239" s="162"/>
      <c r="K239" s="162"/>
      <c r="L239" s="162"/>
      <c r="M239" s="162"/>
      <c r="N239" s="162"/>
      <c r="O239" s="162"/>
      <c r="P239" s="162"/>
      <c r="Q239" s="162"/>
      <c r="R239" s="162"/>
      <c r="S239" s="162"/>
      <c r="T239" s="162"/>
      <c r="U239" s="162"/>
      <c r="V239" s="162"/>
      <c r="W239" s="162"/>
      <c r="X239" s="162"/>
      <c r="Y239" s="162"/>
      <c r="Z239" s="162"/>
    </row>
    <row r="240" ht="18.75" customHeight="1">
      <c r="A240" s="162"/>
      <c r="B240" s="162"/>
      <c r="C240" s="162"/>
      <c r="D240" s="162"/>
      <c r="E240" s="166"/>
      <c r="F240" s="166"/>
      <c r="G240" s="162"/>
      <c r="H240" s="162"/>
      <c r="I240" s="162"/>
      <c r="J240" s="162"/>
      <c r="K240" s="162"/>
      <c r="L240" s="162"/>
      <c r="M240" s="162"/>
      <c r="N240" s="162"/>
      <c r="O240" s="162"/>
      <c r="P240" s="162"/>
      <c r="Q240" s="162"/>
      <c r="R240" s="162"/>
      <c r="S240" s="162"/>
      <c r="T240" s="162"/>
      <c r="U240" s="162"/>
      <c r="V240" s="162"/>
      <c r="W240" s="162"/>
      <c r="X240" s="162"/>
      <c r="Y240" s="162"/>
      <c r="Z240" s="162"/>
    </row>
    <row r="241" ht="18.75" customHeight="1">
      <c r="A241" s="162"/>
      <c r="B241" s="162"/>
      <c r="C241" s="162"/>
      <c r="D241" s="162"/>
      <c r="E241" s="166"/>
      <c r="F241" s="166"/>
      <c r="G241" s="162"/>
      <c r="H241" s="162"/>
      <c r="I241" s="162"/>
      <c r="J241" s="162"/>
      <c r="K241" s="162"/>
      <c r="L241" s="162"/>
      <c r="M241" s="162"/>
      <c r="N241" s="162"/>
      <c r="O241" s="162"/>
      <c r="P241" s="162"/>
      <c r="Q241" s="162"/>
      <c r="R241" s="162"/>
      <c r="S241" s="162"/>
      <c r="T241" s="162"/>
      <c r="U241" s="162"/>
      <c r="V241" s="162"/>
      <c r="W241" s="162"/>
      <c r="X241" s="162"/>
      <c r="Y241" s="162"/>
      <c r="Z241" s="162"/>
    </row>
    <row r="242" ht="18.75" customHeight="1">
      <c r="A242" s="162"/>
      <c r="B242" s="162"/>
      <c r="C242" s="162"/>
      <c r="D242" s="162"/>
      <c r="E242" s="166"/>
      <c r="F242" s="166"/>
      <c r="G242" s="162"/>
      <c r="H242" s="162"/>
      <c r="I242" s="162"/>
      <c r="J242" s="162"/>
      <c r="K242" s="162"/>
      <c r="L242" s="162"/>
      <c r="M242" s="162"/>
      <c r="N242" s="162"/>
      <c r="O242" s="162"/>
      <c r="P242" s="162"/>
      <c r="Q242" s="162"/>
      <c r="R242" s="162"/>
      <c r="S242" s="162"/>
      <c r="T242" s="162"/>
      <c r="U242" s="162"/>
      <c r="V242" s="162"/>
      <c r="W242" s="162"/>
      <c r="X242" s="162"/>
      <c r="Y242" s="162"/>
      <c r="Z242" s="162"/>
    </row>
    <row r="243" ht="18.75" customHeight="1">
      <c r="A243" s="162"/>
      <c r="B243" s="162"/>
      <c r="C243" s="162"/>
      <c r="D243" s="162"/>
      <c r="E243" s="166"/>
      <c r="F243" s="166"/>
      <c r="G243" s="162"/>
      <c r="H243" s="162"/>
      <c r="I243" s="162"/>
      <c r="J243" s="162"/>
      <c r="K243" s="162"/>
      <c r="L243" s="162"/>
      <c r="M243" s="162"/>
      <c r="N243" s="162"/>
      <c r="O243" s="162"/>
      <c r="P243" s="162"/>
      <c r="Q243" s="162"/>
      <c r="R243" s="162"/>
      <c r="S243" s="162"/>
      <c r="T243" s="162"/>
      <c r="U243" s="162"/>
      <c r="V243" s="162"/>
      <c r="W243" s="162"/>
      <c r="X243" s="162"/>
      <c r="Y243" s="162"/>
      <c r="Z243" s="162"/>
    </row>
    <row r="244" ht="18.75" customHeight="1">
      <c r="A244" s="162"/>
      <c r="B244" s="162"/>
      <c r="C244" s="162"/>
      <c r="D244" s="162"/>
      <c r="E244" s="166"/>
      <c r="F244" s="166"/>
      <c r="G244" s="162"/>
      <c r="H244" s="162"/>
      <c r="I244" s="162"/>
      <c r="J244" s="162"/>
      <c r="K244" s="162"/>
      <c r="L244" s="162"/>
      <c r="M244" s="162"/>
      <c r="N244" s="162"/>
      <c r="O244" s="162"/>
      <c r="P244" s="162"/>
      <c r="Q244" s="162"/>
      <c r="R244" s="162"/>
      <c r="S244" s="162"/>
      <c r="T244" s="162"/>
      <c r="U244" s="162"/>
      <c r="V244" s="162"/>
      <c r="W244" s="162"/>
      <c r="X244" s="162"/>
      <c r="Y244" s="162"/>
      <c r="Z244" s="162"/>
    </row>
    <row r="245" ht="18.75" customHeight="1">
      <c r="A245" s="162"/>
      <c r="B245" s="162"/>
      <c r="C245" s="162"/>
      <c r="D245" s="162"/>
      <c r="E245" s="166"/>
      <c r="F245" s="166"/>
      <c r="G245" s="162"/>
      <c r="H245" s="162"/>
      <c r="I245" s="162"/>
      <c r="J245" s="162"/>
      <c r="K245" s="162"/>
      <c r="L245" s="162"/>
      <c r="M245" s="162"/>
      <c r="N245" s="162"/>
      <c r="O245" s="162"/>
      <c r="P245" s="162"/>
      <c r="Q245" s="162"/>
      <c r="R245" s="162"/>
      <c r="S245" s="162"/>
      <c r="T245" s="162"/>
      <c r="U245" s="162"/>
      <c r="V245" s="162"/>
      <c r="W245" s="162"/>
      <c r="X245" s="162"/>
      <c r="Y245" s="162"/>
      <c r="Z245" s="162"/>
    </row>
    <row r="246" ht="18.75" customHeight="1">
      <c r="A246" s="162"/>
      <c r="B246" s="162"/>
      <c r="C246" s="162"/>
      <c r="D246" s="162"/>
      <c r="E246" s="166"/>
      <c r="F246" s="166"/>
      <c r="G246" s="162"/>
      <c r="H246" s="162"/>
      <c r="I246" s="162"/>
      <c r="J246" s="162"/>
      <c r="K246" s="162"/>
      <c r="L246" s="162"/>
      <c r="M246" s="162"/>
      <c r="N246" s="162"/>
      <c r="O246" s="162"/>
      <c r="P246" s="162"/>
      <c r="Q246" s="162"/>
      <c r="R246" s="162"/>
      <c r="S246" s="162"/>
      <c r="T246" s="162"/>
      <c r="U246" s="162"/>
      <c r="V246" s="162"/>
      <c r="W246" s="162"/>
      <c r="X246" s="162"/>
      <c r="Y246" s="162"/>
      <c r="Z246" s="162"/>
    </row>
    <row r="247" ht="18.75" customHeight="1">
      <c r="A247" s="162"/>
      <c r="B247" s="162"/>
      <c r="C247" s="162"/>
      <c r="D247" s="162"/>
      <c r="E247" s="166"/>
      <c r="F247" s="166"/>
      <c r="G247" s="162"/>
      <c r="H247" s="162"/>
      <c r="I247" s="162"/>
      <c r="J247" s="162"/>
      <c r="K247" s="162"/>
      <c r="L247" s="162"/>
      <c r="M247" s="162"/>
      <c r="N247" s="162"/>
      <c r="O247" s="162"/>
      <c r="P247" s="162"/>
      <c r="Q247" s="162"/>
      <c r="R247" s="162"/>
      <c r="S247" s="162"/>
      <c r="T247" s="162"/>
      <c r="U247" s="162"/>
      <c r="V247" s="162"/>
      <c r="W247" s="162"/>
      <c r="X247" s="162"/>
      <c r="Y247" s="162"/>
      <c r="Z247" s="162"/>
    </row>
    <row r="248" ht="18.75" customHeight="1">
      <c r="A248" s="162"/>
      <c r="B248" s="162"/>
      <c r="C248" s="162"/>
      <c r="D248" s="162"/>
      <c r="E248" s="166"/>
      <c r="F248" s="166"/>
      <c r="G248" s="162"/>
      <c r="H248" s="162"/>
      <c r="I248" s="162"/>
      <c r="J248" s="162"/>
      <c r="K248" s="162"/>
      <c r="L248" s="162"/>
      <c r="M248" s="162"/>
      <c r="N248" s="162"/>
      <c r="O248" s="162"/>
      <c r="P248" s="162"/>
      <c r="Q248" s="162"/>
      <c r="R248" s="162"/>
      <c r="S248" s="162"/>
      <c r="T248" s="162"/>
      <c r="U248" s="162"/>
      <c r="V248" s="162"/>
      <c r="W248" s="162"/>
      <c r="X248" s="162"/>
      <c r="Y248" s="162"/>
      <c r="Z248" s="162"/>
    </row>
    <row r="249" ht="18.75" customHeight="1">
      <c r="A249" s="162"/>
      <c r="B249" s="162"/>
      <c r="C249" s="162"/>
      <c r="D249" s="162"/>
      <c r="E249" s="166"/>
      <c r="F249" s="166"/>
      <c r="G249" s="162"/>
      <c r="H249" s="162"/>
      <c r="I249" s="162"/>
      <c r="J249" s="162"/>
      <c r="K249" s="162"/>
      <c r="L249" s="162"/>
      <c r="M249" s="162"/>
      <c r="N249" s="162"/>
      <c r="O249" s="162"/>
      <c r="P249" s="162"/>
      <c r="Q249" s="162"/>
      <c r="R249" s="162"/>
      <c r="S249" s="162"/>
      <c r="T249" s="162"/>
      <c r="U249" s="162"/>
      <c r="V249" s="162"/>
      <c r="W249" s="162"/>
      <c r="X249" s="162"/>
      <c r="Y249" s="162"/>
      <c r="Z249" s="162"/>
    </row>
    <row r="250" ht="18.75" customHeight="1">
      <c r="A250" s="162"/>
      <c r="B250" s="162"/>
      <c r="C250" s="162"/>
      <c r="D250" s="162"/>
      <c r="E250" s="166"/>
      <c r="F250" s="166"/>
      <c r="G250" s="162"/>
      <c r="H250" s="162"/>
      <c r="I250" s="162"/>
      <c r="J250" s="162"/>
      <c r="K250" s="162"/>
      <c r="L250" s="162"/>
      <c r="M250" s="162"/>
      <c r="N250" s="162"/>
      <c r="O250" s="162"/>
      <c r="P250" s="162"/>
      <c r="Q250" s="162"/>
      <c r="R250" s="162"/>
      <c r="S250" s="162"/>
      <c r="T250" s="162"/>
      <c r="U250" s="162"/>
      <c r="V250" s="162"/>
      <c r="W250" s="162"/>
      <c r="X250" s="162"/>
      <c r="Y250" s="162"/>
      <c r="Z250" s="162"/>
    </row>
    <row r="251" ht="18.75" customHeight="1">
      <c r="A251" s="162"/>
      <c r="B251" s="162"/>
      <c r="C251" s="162"/>
      <c r="D251" s="162"/>
      <c r="E251" s="166"/>
      <c r="F251" s="166"/>
      <c r="G251" s="162"/>
      <c r="H251" s="162"/>
      <c r="I251" s="162"/>
      <c r="J251" s="162"/>
      <c r="K251" s="162"/>
      <c r="L251" s="162"/>
      <c r="M251" s="162"/>
      <c r="N251" s="162"/>
      <c r="O251" s="162"/>
      <c r="P251" s="162"/>
      <c r="Q251" s="162"/>
      <c r="R251" s="162"/>
      <c r="S251" s="162"/>
      <c r="T251" s="162"/>
      <c r="U251" s="162"/>
      <c r="V251" s="162"/>
      <c r="W251" s="162"/>
      <c r="X251" s="162"/>
      <c r="Y251" s="162"/>
      <c r="Z251" s="162"/>
    </row>
    <row r="252" ht="18.75" customHeight="1">
      <c r="A252" s="162"/>
      <c r="B252" s="162"/>
      <c r="C252" s="162"/>
      <c r="D252" s="162"/>
      <c r="E252" s="166"/>
      <c r="F252" s="166"/>
      <c r="G252" s="162"/>
      <c r="H252" s="162"/>
      <c r="I252" s="162"/>
      <c r="J252" s="162"/>
      <c r="K252" s="162"/>
      <c r="L252" s="162"/>
      <c r="M252" s="162"/>
      <c r="N252" s="162"/>
      <c r="O252" s="162"/>
      <c r="P252" s="162"/>
      <c r="Q252" s="162"/>
      <c r="R252" s="162"/>
      <c r="S252" s="162"/>
      <c r="T252" s="162"/>
      <c r="U252" s="162"/>
      <c r="V252" s="162"/>
      <c r="W252" s="162"/>
      <c r="X252" s="162"/>
      <c r="Y252" s="162"/>
      <c r="Z252" s="162"/>
    </row>
    <row r="253" ht="18.75" customHeight="1">
      <c r="A253" s="162"/>
      <c r="B253" s="162"/>
      <c r="C253" s="162"/>
      <c r="D253" s="162"/>
      <c r="E253" s="166"/>
      <c r="F253" s="166"/>
      <c r="G253" s="162"/>
      <c r="H253" s="162"/>
      <c r="I253" s="162"/>
      <c r="J253" s="162"/>
      <c r="K253" s="162"/>
      <c r="L253" s="162"/>
      <c r="M253" s="162"/>
      <c r="N253" s="162"/>
      <c r="O253" s="162"/>
      <c r="P253" s="162"/>
      <c r="Q253" s="162"/>
      <c r="R253" s="162"/>
      <c r="S253" s="162"/>
      <c r="T253" s="162"/>
      <c r="U253" s="162"/>
      <c r="V253" s="162"/>
      <c r="W253" s="162"/>
      <c r="X253" s="162"/>
      <c r="Y253" s="162"/>
      <c r="Z253" s="162"/>
    </row>
    <row r="254" ht="18.75" customHeight="1">
      <c r="A254" s="162"/>
      <c r="B254" s="162"/>
      <c r="C254" s="162"/>
      <c r="D254" s="162"/>
      <c r="E254" s="166"/>
      <c r="F254" s="166"/>
      <c r="G254" s="162"/>
      <c r="H254" s="162"/>
      <c r="I254" s="162"/>
      <c r="J254" s="162"/>
      <c r="K254" s="162"/>
      <c r="L254" s="162"/>
      <c r="M254" s="162"/>
      <c r="N254" s="162"/>
      <c r="O254" s="162"/>
      <c r="P254" s="162"/>
      <c r="Q254" s="162"/>
      <c r="R254" s="162"/>
      <c r="S254" s="162"/>
      <c r="T254" s="162"/>
      <c r="U254" s="162"/>
      <c r="V254" s="162"/>
      <c r="W254" s="162"/>
      <c r="X254" s="162"/>
      <c r="Y254" s="162"/>
      <c r="Z254" s="162"/>
    </row>
    <row r="255" ht="18.75" customHeight="1">
      <c r="A255" s="162"/>
      <c r="B255" s="162"/>
      <c r="C255" s="162"/>
      <c r="D255" s="162"/>
      <c r="E255" s="166"/>
      <c r="F255" s="166"/>
      <c r="G255" s="162"/>
      <c r="H255" s="162"/>
      <c r="I255" s="162"/>
      <c r="J255" s="162"/>
      <c r="K255" s="162"/>
      <c r="L255" s="162"/>
      <c r="M255" s="162"/>
      <c r="N255" s="162"/>
      <c r="O255" s="162"/>
      <c r="P255" s="162"/>
      <c r="Q255" s="162"/>
      <c r="R255" s="162"/>
      <c r="S255" s="162"/>
      <c r="T255" s="162"/>
      <c r="U255" s="162"/>
      <c r="V255" s="162"/>
      <c r="W255" s="162"/>
      <c r="X255" s="162"/>
      <c r="Y255" s="162"/>
      <c r="Z255" s="162"/>
    </row>
    <row r="256" ht="18.75" customHeight="1">
      <c r="A256" s="162"/>
      <c r="B256" s="162"/>
      <c r="C256" s="162"/>
      <c r="D256" s="162"/>
      <c r="E256" s="166"/>
      <c r="F256" s="166"/>
      <c r="G256" s="162"/>
      <c r="H256" s="162"/>
      <c r="I256" s="162"/>
      <c r="J256" s="162"/>
      <c r="K256" s="162"/>
      <c r="L256" s="162"/>
      <c r="M256" s="162"/>
      <c r="N256" s="162"/>
      <c r="O256" s="162"/>
      <c r="P256" s="162"/>
      <c r="Q256" s="162"/>
      <c r="R256" s="162"/>
      <c r="S256" s="162"/>
      <c r="T256" s="162"/>
      <c r="U256" s="162"/>
      <c r="V256" s="162"/>
      <c r="W256" s="162"/>
      <c r="X256" s="162"/>
      <c r="Y256" s="162"/>
      <c r="Z256" s="162"/>
    </row>
    <row r="257" ht="18.75" customHeight="1">
      <c r="A257" s="162"/>
      <c r="B257" s="162"/>
      <c r="C257" s="162"/>
      <c r="D257" s="162"/>
      <c r="E257" s="166"/>
      <c r="F257" s="166"/>
      <c r="G257" s="162"/>
      <c r="H257" s="162"/>
      <c r="I257" s="162"/>
      <c r="J257" s="162"/>
      <c r="K257" s="162"/>
      <c r="L257" s="162"/>
      <c r="M257" s="162"/>
      <c r="N257" s="162"/>
      <c r="O257" s="162"/>
      <c r="P257" s="162"/>
      <c r="Q257" s="162"/>
      <c r="R257" s="162"/>
      <c r="S257" s="162"/>
      <c r="T257" s="162"/>
      <c r="U257" s="162"/>
      <c r="V257" s="162"/>
      <c r="W257" s="162"/>
      <c r="X257" s="162"/>
      <c r="Y257" s="162"/>
      <c r="Z257" s="162"/>
    </row>
    <row r="258" ht="18.75" customHeight="1">
      <c r="A258" s="162"/>
      <c r="B258" s="162"/>
      <c r="C258" s="162"/>
      <c r="D258" s="162"/>
      <c r="E258" s="166"/>
      <c r="F258" s="166"/>
      <c r="G258" s="162"/>
      <c r="H258" s="162"/>
      <c r="I258" s="162"/>
      <c r="J258" s="162"/>
      <c r="K258" s="162"/>
      <c r="L258" s="162"/>
      <c r="M258" s="162"/>
      <c r="N258" s="162"/>
      <c r="O258" s="162"/>
      <c r="P258" s="162"/>
      <c r="Q258" s="162"/>
      <c r="R258" s="162"/>
      <c r="S258" s="162"/>
      <c r="T258" s="162"/>
      <c r="U258" s="162"/>
      <c r="V258" s="162"/>
      <c r="W258" s="162"/>
      <c r="X258" s="162"/>
      <c r="Y258" s="162"/>
      <c r="Z258" s="162"/>
    </row>
    <row r="259" ht="18.75" customHeight="1">
      <c r="A259" s="162"/>
      <c r="B259" s="162"/>
      <c r="C259" s="162"/>
      <c r="D259" s="162"/>
      <c r="E259" s="166"/>
      <c r="F259" s="166"/>
      <c r="G259" s="162"/>
      <c r="H259" s="162"/>
      <c r="I259" s="162"/>
      <c r="J259" s="162"/>
      <c r="K259" s="162"/>
      <c r="L259" s="162"/>
      <c r="M259" s="162"/>
      <c r="N259" s="162"/>
      <c r="O259" s="162"/>
      <c r="P259" s="162"/>
      <c r="Q259" s="162"/>
      <c r="R259" s="162"/>
      <c r="S259" s="162"/>
      <c r="T259" s="162"/>
      <c r="U259" s="162"/>
      <c r="V259" s="162"/>
      <c r="W259" s="162"/>
      <c r="X259" s="162"/>
      <c r="Y259" s="162"/>
      <c r="Z259" s="162"/>
    </row>
    <row r="260" ht="18.75" customHeight="1">
      <c r="A260" s="162"/>
      <c r="B260" s="162"/>
      <c r="C260" s="162"/>
      <c r="D260" s="162"/>
      <c r="E260" s="166"/>
      <c r="F260" s="166"/>
      <c r="G260" s="162"/>
      <c r="H260" s="162"/>
      <c r="I260" s="162"/>
      <c r="J260" s="162"/>
      <c r="K260" s="162"/>
      <c r="L260" s="162"/>
      <c r="M260" s="162"/>
      <c r="N260" s="162"/>
      <c r="O260" s="162"/>
      <c r="P260" s="162"/>
      <c r="Q260" s="162"/>
      <c r="R260" s="162"/>
      <c r="S260" s="162"/>
      <c r="T260" s="162"/>
      <c r="U260" s="162"/>
      <c r="V260" s="162"/>
      <c r="W260" s="162"/>
      <c r="X260" s="162"/>
      <c r="Y260" s="162"/>
      <c r="Z260" s="162"/>
    </row>
    <row r="261" ht="18.75" customHeight="1">
      <c r="A261" s="162"/>
      <c r="B261" s="162"/>
      <c r="C261" s="162"/>
      <c r="D261" s="162"/>
      <c r="E261" s="166"/>
      <c r="F261" s="166"/>
      <c r="G261" s="162"/>
      <c r="H261" s="162"/>
      <c r="I261" s="162"/>
      <c r="J261" s="162"/>
      <c r="K261" s="162"/>
      <c r="L261" s="162"/>
      <c r="M261" s="162"/>
      <c r="N261" s="162"/>
      <c r="O261" s="162"/>
      <c r="P261" s="162"/>
      <c r="Q261" s="162"/>
      <c r="R261" s="162"/>
      <c r="S261" s="162"/>
      <c r="T261" s="162"/>
      <c r="U261" s="162"/>
      <c r="V261" s="162"/>
      <c r="W261" s="162"/>
      <c r="X261" s="162"/>
      <c r="Y261" s="162"/>
      <c r="Z261" s="162"/>
    </row>
    <row r="262" ht="18.75" customHeight="1">
      <c r="A262" s="162"/>
      <c r="B262" s="162"/>
      <c r="C262" s="162"/>
      <c r="D262" s="162"/>
      <c r="E262" s="166"/>
      <c r="F262" s="166"/>
      <c r="G262" s="162"/>
      <c r="H262" s="162"/>
      <c r="I262" s="162"/>
      <c r="J262" s="162"/>
      <c r="K262" s="162"/>
      <c r="L262" s="162"/>
      <c r="M262" s="162"/>
      <c r="N262" s="162"/>
      <c r="O262" s="162"/>
      <c r="P262" s="162"/>
      <c r="Q262" s="162"/>
      <c r="R262" s="162"/>
      <c r="S262" s="162"/>
      <c r="T262" s="162"/>
      <c r="U262" s="162"/>
      <c r="V262" s="162"/>
      <c r="W262" s="162"/>
      <c r="X262" s="162"/>
      <c r="Y262" s="162"/>
      <c r="Z262" s="162"/>
    </row>
    <row r="263" ht="18.75" customHeight="1">
      <c r="A263" s="162"/>
      <c r="B263" s="162"/>
      <c r="C263" s="162"/>
      <c r="D263" s="162"/>
      <c r="E263" s="166"/>
      <c r="F263" s="166"/>
      <c r="G263" s="162"/>
      <c r="H263" s="162"/>
      <c r="I263" s="162"/>
      <c r="J263" s="162"/>
      <c r="K263" s="162"/>
      <c r="L263" s="162"/>
      <c r="M263" s="162"/>
      <c r="N263" s="162"/>
      <c r="O263" s="162"/>
      <c r="P263" s="162"/>
      <c r="Q263" s="162"/>
      <c r="R263" s="162"/>
      <c r="S263" s="162"/>
      <c r="T263" s="162"/>
      <c r="U263" s="162"/>
      <c r="V263" s="162"/>
      <c r="W263" s="162"/>
      <c r="X263" s="162"/>
      <c r="Y263" s="162"/>
      <c r="Z263" s="162"/>
    </row>
    <row r="264" ht="18.75" customHeight="1">
      <c r="A264" s="162"/>
      <c r="B264" s="162"/>
      <c r="C264" s="162"/>
      <c r="D264" s="162"/>
      <c r="E264" s="166"/>
      <c r="F264" s="166"/>
      <c r="G264" s="162"/>
      <c r="H264" s="162"/>
      <c r="I264" s="162"/>
      <c r="J264" s="162"/>
      <c r="K264" s="162"/>
      <c r="L264" s="162"/>
      <c r="M264" s="162"/>
      <c r="N264" s="162"/>
      <c r="O264" s="162"/>
      <c r="P264" s="162"/>
      <c r="Q264" s="162"/>
      <c r="R264" s="162"/>
      <c r="S264" s="162"/>
      <c r="T264" s="162"/>
      <c r="U264" s="162"/>
      <c r="V264" s="162"/>
      <c r="W264" s="162"/>
      <c r="X264" s="162"/>
      <c r="Y264" s="162"/>
      <c r="Z264" s="162"/>
    </row>
    <row r="265" ht="18.75" customHeight="1">
      <c r="A265" s="162"/>
      <c r="B265" s="162"/>
      <c r="C265" s="162"/>
      <c r="D265" s="162"/>
      <c r="E265" s="166"/>
      <c r="F265" s="166"/>
      <c r="G265" s="162"/>
      <c r="H265" s="162"/>
      <c r="I265" s="162"/>
      <c r="J265" s="162"/>
      <c r="K265" s="162"/>
      <c r="L265" s="162"/>
      <c r="M265" s="162"/>
      <c r="N265" s="162"/>
      <c r="O265" s="162"/>
      <c r="P265" s="162"/>
      <c r="Q265" s="162"/>
      <c r="R265" s="162"/>
      <c r="S265" s="162"/>
      <c r="T265" s="162"/>
      <c r="U265" s="162"/>
      <c r="V265" s="162"/>
      <c r="W265" s="162"/>
      <c r="X265" s="162"/>
      <c r="Y265" s="162"/>
      <c r="Z265" s="162"/>
    </row>
    <row r="266" ht="18.75" customHeight="1">
      <c r="A266" s="162"/>
      <c r="B266" s="162"/>
      <c r="C266" s="162"/>
      <c r="D266" s="162"/>
      <c r="E266" s="166"/>
      <c r="F266" s="166"/>
      <c r="G266" s="162"/>
      <c r="H266" s="162"/>
      <c r="I266" s="162"/>
      <c r="J266" s="162"/>
      <c r="K266" s="162"/>
      <c r="L266" s="162"/>
      <c r="M266" s="162"/>
      <c r="N266" s="162"/>
      <c r="O266" s="162"/>
      <c r="P266" s="162"/>
      <c r="Q266" s="162"/>
      <c r="R266" s="162"/>
      <c r="S266" s="162"/>
      <c r="T266" s="162"/>
      <c r="U266" s="162"/>
      <c r="V266" s="162"/>
      <c r="W266" s="162"/>
      <c r="X266" s="162"/>
      <c r="Y266" s="162"/>
      <c r="Z266" s="162"/>
    </row>
    <row r="267" ht="18.75" customHeight="1">
      <c r="A267" s="162"/>
      <c r="B267" s="162"/>
      <c r="C267" s="162"/>
      <c r="D267" s="162"/>
      <c r="E267" s="166"/>
      <c r="F267" s="166"/>
      <c r="G267" s="162"/>
      <c r="H267" s="162"/>
      <c r="I267" s="162"/>
      <c r="J267" s="162"/>
      <c r="K267" s="162"/>
      <c r="L267" s="162"/>
      <c r="M267" s="162"/>
      <c r="N267" s="162"/>
      <c r="O267" s="162"/>
      <c r="P267" s="162"/>
      <c r="Q267" s="162"/>
      <c r="R267" s="162"/>
      <c r="S267" s="162"/>
      <c r="T267" s="162"/>
      <c r="U267" s="162"/>
      <c r="V267" s="162"/>
      <c r="W267" s="162"/>
      <c r="X267" s="162"/>
      <c r="Y267" s="162"/>
      <c r="Z267" s="162"/>
    </row>
    <row r="268" ht="18.75" customHeight="1">
      <c r="A268" s="162"/>
      <c r="B268" s="162"/>
      <c r="C268" s="162"/>
      <c r="D268" s="162"/>
      <c r="E268" s="166"/>
      <c r="F268" s="166"/>
      <c r="G268" s="162"/>
      <c r="H268" s="162"/>
      <c r="I268" s="162"/>
      <c r="J268" s="162"/>
      <c r="K268" s="162"/>
      <c r="L268" s="162"/>
      <c r="M268" s="162"/>
      <c r="N268" s="162"/>
      <c r="O268" s="162"/>
      <c r="P268" s="162"/>
      <c r="Q268" s="162"/>
      <c r="R268" s="162"/>
      <c r="S268" s="162"/>
      <c r="T268" s="162"/>
      <c r="U268" s="162"/>
      <c r="V268" s="162"/>
      <c r="W268" s="162"/>
      <c r="X268" s="162"/>
      <c r="Y268" s="162"/>
      <c r="Z268" s="162"/>
    </row>
    <row r="269" ht="18.75" customHeight="1">
      <c r="A269" s="162"/>
      <c r="B269" s="162"/>
      <c r="C269" s="162"/>
      <c r="D269" s="162"/>
      <c r="E269" s="166"/>
      <c r="F269" s="166"/>
      <c r="G269" s="162"/>
      <c r="H269" s="162"/>
      <c r="I269" s="162"/>
      <c r="J269" s="162"/>
      <c r="K269" s="162"/>
      <c r="L269" s="162"/>
      <c r="M269" s="162"/>
      <c r="N269" s="162"/>
      <c r="O269" s="162"/>
      <c r="P269" s="162"/>
      <c r="Q269" s="162"/>
      <c r="R269" s="162"/>
      <c r="S269" s="162"/>
      <c r="T269" s="162"/>
      <c r="U269" s="162"/>
      <c r="V269" s="162"/>
      <c r="W269" s="162"/>
      <c r="X269" s="162"/>
      <c r="Y269" s="162"/>
      <c r="Z269" s="162"/>
    </row>
    <row r="270" ht="18.75" customHeight="1">
      <c r="A270" s="162"/>
      <c r="B270" s="162"/>
      <c r="C270" s="162"/>
      <c r="D270" s="162"/>
      <c r="E270" s="166"/>
      <c r="F270" s="166"/>
      <c r="G270" s="162"/>
      <c r="H270" s="162"/>
      <c r="I270" s="162"/>
      <c r="J270" s="162"/>
      <c r="K270" s="162"/>
      <c r="L270" s="162"/>
      <c r="M270" s="162"/>
      <c r="N270" s="162"/>
      <c r="O270" s="162"/>
      <c r="P270" s="162"/>
      <c r="Q270" s="162"/>
      <c r="R270" s="162"/>
      <c r="S270" s="162"/>
      <c r="T270" s="162"/>
      <c r="U270" s="162"/>
      <c r="V270" s="162"/>
      <c r="W270" s="162"/>
      <c r="X270" s="162"/>
      <c r="Y270" s="162"/>
      <c r="Z270" s="162"/>
    </row>
    <row r="271" ht="18.75" customHeight="1">
      <c r="A271" s="162"/>
      <c r="B271" s="162"/>
      <c r="C271" s="162"/>
      <c r="D271" s="162"/>
      <c r="E271" s="166"/>
      <c r="F271" s="166"/>
      <c r="G271" s="162"/>
      <c r="H271" s="162"/>
      <c r="I271" s="162"/>
      <c r="J271" s="162"/>
      <c r="K271" s="162"/>
      <c r="L271" s="162"/>
      <c r="M271" s="162"/>
      <c r="N271" s="162"/>
      <c r="O271" s="162"/>
      <c r="P271" s="162"/>
      <c r="Q271" s="162"/>
      <c r="R271" s="162"/>
      <c r="S271" s="162"/>
      <c r="T271" s="162"/>
      <c r="U271" s="162"/>
      <c r="V271" s="162"/>
      <c r="W271" s="162"/>
      <c r="X271" s="162"/>
      <c r="Y271" s="162"/>
      <c r="Z271" s="162"/>
    </row>
    <row r="272" ht="18.75" customHeight="1">
      <c r="A272" s="162"/>
      <c r="B272" s="162"/>
      <c r="C272" s="162"/>
      <c r="D272" s="162"/>
      <c r="E272" s="166"/>
      <c r="F272" s="166"/>
      <c r="G272" s="162"/>
      <c r="H272" s="162"/>
      <c r="I272" s="162"/>
      <c r="J272" s="162"/>
      <c r="K272" s="162"/>
      <c r="L272" s="162"/>
      <c r="M272" s="162"/>
      <c r="N272" s="162"/>
      <c r="O272" s="162"/>
      <c r="P272" s="162"/>
      <c r="Q272" s="162"/>
      <c r="R272" s="162"/>
      <c r="S272" s="162"/>
      <c r="T272" s="162"/>
      <c r="U272" s="162"/>
      <c r="V272" s="162"/>
      <c r="W272" s="162"/>
      <c r="X272" s="162"/>
      <c r="Y272" s="162"/>
      <c r="Z272" s="162"/>
    </row>
    <row r="273" ht="18.75" customHeight="1">
      <c r="A273" s="162"/>
      <c r="B273" s="162"/>
      <c r="C273" s="162"/>
      <c r="D273" s="162"/>
      <c r="E273" s="166"/>
      <c r="F273" s="166"/>
      <c r="G273" s="162"/>
      <c r="H273" s="162"/>
      <c r="I273" s="162"/>
      <c r="J273" s="162"/>
      <c r="K273" s="162"/>
      <c r="L273" s="162"/>
      <c r="M273" s="162"/>
      <c r="N273" s="162"/>
      <c r="O273" s="162"/>
      <c r="P273" s="162"/>
      <c r="Q273" s="162"/>
      <c r="R273" s="162"/>
      <c r="S273" s="162"/>
      <c r="T273" s="162"/>
      <c r="U273" s="162"/>
      <c r="V273" s="162"/>
      <c r="W273" s="162"/>
      <c r="X273" s="162"/>
      <c r="Y273" s="162"/>
      <c r="Z273" s="162"/>
    </row>
    <row r="274" ht="18.75" customHeight="1">
      <c r="A274" s="162"/>
      <c r="B274" s="162"/>
      <c r="C274" s="162"/>
      <c r="D274" s="162"/>
      <c r="E274" s="166"/>
      <c r="F274" s="166"/>
      <c r="G274" s="162"/>
      <c r="H274" s="162"/>
      <c r="I274" s="162"/>
      <c r="J274" s="162"/>
      <c r="K274" s="162"/>
      <c r="L274" s="162"/>
      <c r="M274" s="162"/>
      <c r="N274" s="162"/>
      <c r="O274" s="162"/>
      <c r="P274" s="162"/>
      <c r="Q274" s="162"/>
      <c r="R274" s="162"/>
      <c r="S274" s="162"/>
      <c r="T274" s="162"/>
      <c r="U274" s="162"/>
      <c r="V274" s="162"/>
      <c r="W274" s="162"/>
      <c r="X274" s="162"/>
      <c r="Y274" s="162"/>
      <c r="Z274" s="162"/>
    </row>
    <row r="275" ht="18.75" customHeight="1">
      <c r="A275" s="162"/>
      <c r="B275" s="162"/>
      <c r="C275" s="162"/>
      <c r="D275" s="162"/>
      <c r="E275" s="166"/>
      <c r="F275" s="166"/>
      <c r="G275" s="162"/>
      <c r="H275" s="162"/>
      <c r="I275" s="162"/>
      <c r="J275" s="162"/>
      <c r="K275" s="162"/>
      <c r="L275" s="162"/>
      <c r="M275" s="162"/>
      <c r="N275" s="162"/>
      <c r="O275" s="162"/>
      <c r="P275" s="162"/>
      <c r="Q275" s="162"/>
      <c r="R275" s="162"/>
      <c r="S275" s="162"/>
      <c r="T275" s="162"/>
      <c r="U275" s="162"/>
      <c r="V275" s="162"/>
      <c r="W275" s="162"/>
      <c r="X275" s="162"/>
      <c r="Y275" s="162"/>
      <c r="Z275" s="162"/>
    </row>
    <row r="276" ht="18.75" customHeight="1">
      <c r="A276" s="162"/>
      <c r="B276" s="162"/>
      <c r="C276" s="162"/>
      <c r="D276" s="162"/>
      <c r="E276" s="166"/>
      <c r="F276" s="166"/>
      <c r="G276" s="162"/>
      <c r="H276" s="162"/>
      <c r="I276" s="162"/>
      <c r="J276" s="162"/>
      <c r="K276" s="162"/>
      <c r="L276" s="162"/>
      <c r="M276" s="162"/>
      <c r="N276" s="162"/>
      <c r="O276" s="162"/>
      <c r="P276" s="162"/>
      <c r="Q276" s="162"/>
      <c r="R276" s="162"/>
      <c r="S276" s="162"/>
      <c r="T276" s="162"/>
      <c r="U276" s="162"/>
      <c r="V276" s="162"/>
      <c r="W276" s="162"/>
      <c r="X276" s="162"/>
      <c r="Y276" s="162"/>
      <c r="Z276" s="162"/>
    </row>
    <row r="277" ht="18.75" customHeight="1">
      <c r="A277" s="162"/>
      <c r="B277" s="162"/>
      <c r="C277" s="162"/>
      <c r="D277" s="162"/>
      <c r="E277" s="166"/>
      <c r="F277" s="166"/>
      <c r="G277" s="162"/>
      <c r="H277" s="162"/>
      <c r="I277" s="162"/>
      <c r="J277" s="162"/>
      <c r="K277" s="162"/>
      <c r="L277" s="162"/>
      <c r="M277" s="162"/>
      <c r="N277" s="162"/>
      <c r="O277" s="162"/>
      <c r="P277" s="162"/>
      <c r="Q277" s="162"/>
      <c r="R277" s="162"/>
      <c r="S277" s="162"/>
      <c r="T277" s="162"/>
      <c r="U277" s="162"/>
      <c r="V277" s="162"/>
      <c r="W277" s="162"/>
      <c r="X277" s="162"/>
      <c r="Y277" s="162"/>
      <c r="Z277" s="162"/>
    </row>
    <row r="278" ht="18.75" customHeight="1">
      <c r="A278" s="162"/>
      <c r="B278" s="162"/>
      <c r="C278" s="162"/>
      <c r="D278" s="162"/>
      <c r="E278" s="166"/>
      <c r="F278" s="166"/>
      <c r="G278" s="162"/>
      <c r="H278" s="162"/>
      <c r="I278" s="162"/>
      <c r="J278" s="162"/>
      <c r="K278" s="162"/>
      <c r="L278" s="162"/>
      <c r="M278" s="162"/>
      <c r="N278" s="162"/>
      <c r="O278" s="162"/>
      <c r="P278" s="162"/>
      <c r="Q278" s="162"/>
      <c r="R278" s="162"/>
      <c r="S278" s="162"/>
      <c r="T278" s="162"/>
      <c r="U278" s="162"/>
      <c r="V278" s="162"/>
      <c r="W278" s="162"/>
      <c r="X278" s="162"/>
      <c r="Y278" s="162"/>
      <c r="Z278" s="162"/>
    </row>
    <row r="279" ht="18.75" customHeight="1">
      <c r="A279" s="162"/>
      <c r="B279" s="162"/>
      <c r="C279" s="162"/>
      <c r="D279" s="162"/>
      <c r="E279" s="166"/>
      <c r="F279" s="166"/>
      <c r="G279" s="162"/>
      <c r="H279" s="162"/>
      <c r="I279" s="162"/>
      <c r="J279" s="162"/>
      <c r="K279" s="162"/>
      <c r="L279" s="162"/>
      <c r="M279" s="162"/>
      <c r="N279" s="162"/>
      <c r="O279" s="162"/>
      <c r="P279" s="162"/>
      <c r="Q279" s="162"/>
      <c r="R279" s="162"/>
      <c r="S279" s="162"/>
      <c r="T279" s="162"/>
      <c r="U279" s="162"/>
      <c r="V279" s="162"/>
      <c r="W279" s="162"/>
      <c r="X279" s="162"/>
      <c r="Y279" s="162"/>
      <c r="Z279" s="162"/>
    </row>
    <row r="280" ht="18.75" customHeight="1">
      <c r="A280" s="162"/>
      <c r="B280" s="162"/>
      <c r="C280" s="162"/>
      <c r="D280" s="162"/>
      <c r="E280" s="166"/>
      <c r="F280" s="166"/>
      <c r="G280" s="162"/>
      <c r="H280" s="162"/>
      <c r="I280" s="162"/>
      <c r="J280" s="162"/>
      <c r="K280" s="162"/>
      <c r="L280" s="162"/>
      <c r="M280" s="162"/>
      <c r="N280" s="162"/>
      <c r="O280" s="162"/>
      <c r="P280" s="162"/>
      <c r="Q280" s="162"/>
      <c r="R280" s="162"/>
      <c r="S280" s="162"/>
      <c r="T280" s="162"/>
      <c r="U280" s="162"/>
      <c r="V280" s="162"/>
      <c r="W280" s="162"/>
      <c r="X280" s="162"/>
      <c r="Y280" s="162"/>
      <c r="Z280" s="162"/>
    </row>
    <row r="281" ht="18.75" customHeight="1">
      <c r="A281" s="162"/>
      <c r="B281" s="162"/>
      <c r="C281" s="162"/>
      <c r="D281" s="162"/>
      <c r="E281" s="166"/>
      <c r="F281" s="166"/>
      <c r="G281" s="162"/>
      <c r="H281" s="162"/>
      <c r="I281" s="162"/>
      <c r="J281" s="162"/>
      <c r="K281" s="162"/>
      <c r="L281" s="162"/>
      <c r="M281" s="162"/>
      <c r="N281" s="162"/>
      <c r="O281" s="162"/>
      <c r="P281" s="162"/>
      <c r="Q281" s="162"/>
      <c r="R281" s="162"/>
      <c r="S281" s="162"/>
      <c r="T281" s="162"/>
      <c r="U281" s="162"/>
      <c r="V281" s="162"/>
      <c r="W281" s="162"/>
      <c r="X281" s="162"/>
      <c r="Y281" s="162"/>
      <c r="Z281" s="162"/>
    </row>
    <row r="282" ht="18.75" customHeight="1">
      <c r="A282" s="162"/>
      <c r="B282" s="162"/>
      <c r="C282" s="162"/>
      <c r="D282" s="162"/>
      <c r="E282" s="166"/>
      <c r="F282" s="166"/>
      <c r="G282" s="162"/>
      <c r="H282" s="162"/>
      <c r="I282" s="162"/>
      <c r="J282" s="162"/>
      <c r="K282" s="162"/>
      <c r="L282" s="162"/>
      <c r="M282" s="162"/>
      <c r="N282" s="162"/>
      <c r="O282" s="162"/>
      <c r="P282" s="162"/>
      <c r="Q282" s="162"/>
      <c r="R282" s="162"/>
      <c r="S282" s="162"/>
      <c r="T282" s="162"/>
      <c r="U282" s="162"/>
      <c r="V282" s="162"/>
      <c r="W282" s="162"/>
      <c r="X282" s="162"/>
      <c r="Y282" s="162"/>
      <c r="Z282" s="162"/>
    </row>
    <row r="283" ht="18.75" customHeight="1">
      <c r="A283" s="162"/>
      <c r="B283" s="162"/>
      <c r="C283" s="162"/>
      <c r="D283" s="162"/>
      <c r="E283" s="166"/>
      <c r="F283" s="166"/>
      <c r="G283" s="162"/>
      <c r="H283" s="162"/>
      <c r="I283" s="162"/>
      <c r="J283" s="162"/>
      <c r="K283" s="162"/>
      <c r="L283" s="162"/>
      <c r="M283" s="162"/>
      <c r="N283" s="162"/>
      <c r="O283" s="162"/>
      <c r="P283" s="162"/>
      <c r="Q283" s="162"/>
      <c r="R283" s="162"/>
      <c r="S283" s="162"/>
      <c r="T283" s="162"/>
      <c r="U283" s="162"/>
      <c r="V283" s="162"/>
      <c r="W283" s="162"/>
      <c r="X283" s="162"/>
      <c r="Y283" s="162"/>
      <c r="Z283" s="162"/>
    </row>
    <row r="284" ht="18.75" customHeight="1">
      <c r="A284" s="162"/>
      <c r="B284" s="162"/>
      <c r="C284" s="162"/>
      <c r="D284" s="162"/>
      <c r="E284" s="166"/>
      <c r="F284" s="166"/>
      <c r="G284" s="162"/>
      <c r="H284" s="162"/>
      <c r="I284" s="162"/>
      <c r="J284" s="162"/>
      <c r="K284" s="162"/>
      <c r="L284" s="162"/>
      <c r="M284" s="162"/>
      <c r="N284" s="162"/>
      <c r="O284" s="162"/>
      <c r="P284" s="162"/>
      <c r="Q284" s="162"/>
      <c r="R284" s="162"/>
      <c r="S284" s="162"/>
      <c r="T284" s="162"/>
      <c r="U284" s="162"/>
      <c r="V284" s="162"/>
      <c r="W284" s="162"/>
      <c r="X284" s="162"/>
      <c r="Y284" s="162"/>
      <c r="Z284" s="162"/>
    </row>
    <row r="285" ht="18.75" customHeight="1">
      <c r="A285" s="162"/>
      <c r="B285" s="162"/>
      <c r="C285" s="162"/>
      <c r="D285" s="162"/>
      <c r="E285" s="166"/>
      <c r="F285" s="166"/>
      <c r="G285" s="162"/>
      <c r="H285" s="162"/>
      <c r="I285" s="162"/>
      <c r="J285" s="162"/>
      <c r="K285" s="162"/>
      <c r="L285" s="162"/>
      <c r="M285" s="162"/>
      <c r="N285" s="162"/>
      <c r="O285" s="162"/>
      <c r="P285" s="162"/>
      <c r="Q285" s="162"/>
      <c r="R285" s="162"/>
      <c r="S285" s="162"/>
      <c r="T285" s="162"/>
      <c r="U285" s="162"/>
      <c r="V285" s="162"/>
      <c r="W285" s="162"/>
      <c r="X285" s="162"/>
      <c r="Y285" s="162"/>
      <c r="Z285" s="162"/>
    </row>
    <row r="286" ht="18.75" customHeight="1">
      <c r="A286" s="162"/>
      <c r="B286" s="162"/>
      <c r="C286" s="162"/>
      <c r="D286" s="162"/>
      <c r="E286" s="166"/>
      <c r="F286" s="166"/>
      <c r="G286" s="162"/>
      <c r="H286" s="162"/>
      <c r="I286" s="162"/>
      <c r="J286" s="162"/>
      <c r="K286" s="162"/>
      <c r="L286" s="162"/>
      <c r="M286" s="162"/>
      <c r="N286" s="162"/>
      <c r="O286" s="162"/>
      <c r="P286" s="162"/>
      <c r="Q286" s="162"/>
      <c r="R286" s="162"/>
      <c r="S286" s="162"/>
      <c r="T286" s="162"/>
      <c r="U286" s="162"/>
      <c r="V286" s="162"/>
      <c r="W286" s="162"/>
      <c r="X286" s="162"/>
      <c r="Y286" s="162"/>
      <c r="Z286" s="162"/>
    </row>
    <row r="287" ht="18.75" customHeight="1">
      <c r="A287" s="162"/>
      <c r="B287" s="162"/>
      <c r="C287" s="162"/>
      <c r="D287" s="162"/>
      <c r="E287" s="166"/>
      <c r="F287" s="166"/>
      <c r="G287" s="162"/>
      <c r="H287" s="162"/>
      <c r="I287" s="162"/>
      <c r="J287" s="162"/>
      <c r="K287" s="162"/>
      <c r="L287" s="162"/>
      <c r="M287" s="162"/>
      <c r="N287" s="162"/>
      <c r="O287" s="162"/>
      <c r="P287" s="162"/>
      <c r="Q287" s="162"/>
      <c r="R287" s="162"/>
      <c r="S287" s="162"/>
      <c r="T287" s="162"/>
      <c r="U287" s="162"/>
      <c r="V287" s="162"/>
      <c r="W287" s="162"/>
      <c r="X287" s="162"/>
      <c r="Y287" s="162"/>
      <c r="Z287" s="162"/>
    </row>
    <row r="288" ht="18.75" customHeight="1">
      <c r="A288" s="162"/>
      <c r="B288" s="162"/>
      <c r="C288" s="162"/>
      <c r="D288" s="162"/>
      <c r="E288" s="166"/>
      <c r="F288" s="166"/>
      <c r="G288" s="162"/>
      <c r="H288" s="162"/>
      <c r="I288" s="162"/>
      <c r="J288" s="162"/>
      <c r="K288" s="162"/>
      <c r="L288" s="162"/>
      <c r="M288" s="162"/>
      <c r="N288" s="162"/>
      <c r="O288" s="162"/>
      <c r="P288" s="162"/>
      <c r="Q288" s="162"/>
      <c r="R288" s="162"/>
      <c r="S288" s="162"/>
      <c r="T288" s="162"/>
      <c r="U288" s="162"/>
      <c r="V288" s="162"/>
      <c r="W288" s="162"/>
      <c r="X288" s="162"/>
      <c r="Y288" s="162"/>
      <c r="Z288" s="162"/>
    </row>
    <row r="289" ht="18.75" customHeight="1">
      <c r="A289" s="162"/>
      <c r="B289" s="162"/>
      <c r="C289" s="162"/>
      <c r="D289" s="162"/>
      <c r="E289" s="166"/>
      <c r="F289" s="166"/>
      <c r="G289" s="162"/>
      <c r="H289" s="162"/>
      <c r="I289" s="162"/>
      <c r="J289" s="162"/>
      <c r="K289" s="162"/>
      <c r="L289" s="162"/>
      <c r="M289" s="162"/>
      <c r="N289" s="162"/>
      <c r="O289" s="162"/>
      <c r="P289" s="162"/>
      <c r="Q289" s="162"/>
      <c r="R289" s="162"/>
      <c r="S289" s="162"/>
      <c r="T289" s="162"/>
      <c r="U289" s="162"/>
      <c r="V289" s="162"/>
      <c r="W289" s="162"/>
      <c r="X289" s="162"/>
      <c r="Y289" s="162"/>
      <c r="Z289" s="162"/>
    </row>
    <row r="290" ht="18.75" customHeight="1">
      <c r="A290" s="162"/>
      <c r="B290" s="162"/>
      <c r="C290" s="162"/>
      <c r="D290" s="162"/>
      <c r="E290" s="166"/>
      <c r="F290" s="166"/>
      <c r="G290" s="162"/>
      <c r="H290" s="162"/>
      <c r="I290" s="162"/>
      <c r="J290" s="162"/>
      <c r="K290" s="162"/>
      <c r="L290" s="162"/>
      <c r="M290" s="162"/>
      <c r="N290" s="162"/>
      <c r="O290" s="162"/>
      <c r="P290" s="162"/>
      <c r="Q290" s="162"/>
      <c r="R290" s="162"/>
      <c r="S290" s="162"/>
      <c r="T290" s="162"/>
      <c r="U290" s="162"/>
      <c r="V290" s="162"/>
      <c r="W290" s="162"/>
      <c r="X290" s="162"/>
      <c r="Y290" s="162"/>
      <c r="Z290" s="162"/>
    </row>
    <row r="291" ht="18.75" customHeight="1">
      <c r="A291" s="162"/>
      <c r="B291" s="162"/>
      <c r="C291" s="162"/>
      <c r="D291" s="162"/>
      <c r="E291" s="166"/>
      <c r="F291" s="166"/>
      <c r="G291" s="162"/>
      <c r="H291" s="162"/>
      <c r="I291" s="162"/>
      <c r="J291" s="162"/>
      <c r="K291" s="162"/>
      <c r="L291" s="162"/>
      <c r="M291" s="162"/>
      <c r="N291" s="162"/>
      <c r="O291" s="162"/>
      <c r="P291" s="162"/>
      <c r="Q291" s="162"/>
      <c r="R291" s="162"/>
      <c r="S291" s="162"/>
      <c r="T291" s="162"/>
      <c r="U291" s="162"/>
      <c r="V291" s="162"/>
      <c r="W291" s="162"/>
      <c r="X291" s="162"/>
      <c r="Y291" s="162"/>
      <c r="Z291" s="162"/>
    </row>
    <row r="292" ht="18.75" customHeight="1">
      <c r="A292" s="162"/>
      <c r="B292" s="162"/>
      <c r="C292" s="162"/>
      <c r="D292" s="162"/>
      <c r="E292" s="166"/>
      <c r="F292" s="166"/>
      <c r="G292" s="162"/>
      <c r="H292" s="162"/>
      <c r="I292" s="162"/>
      <c r="J292" s="162"/>
      <c r="K292" s="162"/>
      <c r="L292" s="162"/>
      <c r="M292" s="162"/>
      <c r="N292" s="162"/>
      <c r="O292" s="162"/>
      <c r="P292" s="162"/>
      <c r="Q292" s="162"/>
      <c r="R292" s="162"/>
      <c r="S292" s="162"/>
      <c r="T292" s="162"/>
      <c r="U292" s="162"/>
      <c r="V292" s="162"/>
      <c r="W292" s="162"/>
      <c r="X292" s="162"/>
      <c r="Y292" s="162"/>
      <c r="Z292" s="162"/>
    </row>
    <row r="293" ht="18.75" customHeight="1">
      <c r="A293" s="162"/>
      <c r="B293" s="162"/>
      <c r="C293" s="162"/>
      <c r="D293" s="162"/>
      <c r="E293" s="166"/>
      <c r="F293" s="166"/>
      <c r="G293" s="162"/>
      <c r="H293" s="162"/>
      <c r="I293" s="162"/>
      <c r="J293" s="162"/>
      <c r="K293" s="162"/>
      <c r="L293" s="162"/>
      <c r="M293" s="162"/>
      <c r="N293" s="162"/>
      <c r="O293" s="162"/>
      <c r="P293" s="162"/>
      <c r="Q293" s="162"/>
      <c r="R293" s="162"/>
      <c r="S293" s="162"/>
      <c r="T293" s="162"/>
      <c r="U293" s="162"/>
      <c r="V293" s="162"/>
      <c r="W293" s="162"/>
      <c r="X293" s="162"/>
      <c r="Y293" s="162"/>
      <c r="Z293" s="162"/>
    </row>
    <row r="294" ht="18.75" customHeight="1">
      <c r="A294" s="162"/>
      <c r="B294" s="162"/>
      <c r="C294" s="162"/>
      <c r="D294" s="162"/>
      <c r="E294" s="166"/>
      <c r="F294" s="166"/>
      <c r="G294" s="162"/>
      <c r="H294" s="162"/>
      <c r="I294" s="162"/>
      <c r="J294" s="162"/>
      <c r="K294" s="162"/>
      <c r="L294" s="162"/>
      <c r="M294" s="162"/>
      <c r="N294" s="162"/>
      <c r="O294" s="162"/>
      <c r="P294" s="162"/>
      <c r="Q294" s="162"/>
      <c r="R294" s="162"/>
      <c r="S294" s="162"/>
      <c r="T294" s="162"/>
      <c r="U294" s="162"/>
      <c r="V294" s="162"/>
      <c r="W294" s="162"/>
      <c r="X294" s="162"/>
      <c r="Y294" s="162"/>
      <c r="Z294" s="162"/>
    </row>
    <row r="295" ht="18.75" customHeight="1">
      <c r="A295" s="162"/>
      <c r="B295" s="162"/>
      <c r="C295" s="162"/>
      <c r="D295" s="162"/>
      <c r="E295" s="166"/>
      <c r="F295" s="166"/>
      <c r="G295" s="162"/>
      <c r="H295" s="162"/>
      <c r="I295" s="162"/>
      <c r="J295" s="162"/>
      <c r="K295" s="162"/>
      <c r="L295" s="162"/>
      <c r="M295" s="162"/>
      <c r="N295" s="162"/>
      <c r="O295" s="162"/>
      <c r="P295" s="162"/>
      <c r="Q295" s="162"/>
      <c r="R295" s="162"/>
      <c r="S295" s="162"/>
      <c r="T295" s="162"/>
      <c r="U295" s="162"/>
      <c r="V295" s="162"/>
      <c r="W295" s="162"/>
      <c r="X295" s="162"/>
      <c r="Y295" s="162"/>
      <c r="Z295" s="162"/>
    </row>
    <row r="296" ht="18.75" customHeight="1">
      <c r="A296" s="162"/>
      <c r="B296" s="162"/>
      <c r="C296" s="162"/>
      <c r="D296" s="162"/>
      <c r="E296" s="166"/>
      <c r="F296" s="166"/>
      <c r="G296" s="162"/>
      <c r="H296" s="162"/>
      <c r="I296" s="162"/>
      <c r="J296" s="162"/>
      <c r="K296" s="162"/>
      <c r="L296" s="162"/>
      <c r="M296" s="162"/>
      <c r="N296" s="162"/>
      <c r="O296" s="162"/>
      <c r="P296" s="162"/>
      <c r="Q296" s="162"/>
      <c r="R296" s="162"/>
      <c r="S296" s="162"/>
      <c r="T296" s="162"/>
      <c r="U296" s="162"/>
      <c r="V296" s="162"/>
      <c r="W296" s="162"/>
      <c r="X296" s="162"/>
      <c r="Y296" s="162"/>
      <c r="Z296" s="162"/>
    </row>
    <row r="297" ht="18.75" customHeight="1">
      <c r="A297" s="162"/>
      <c r="B297" s="162"/>
      <c r="C297" s="162"/>
      <c r="D297" s="162"/>
      <c r="E297" s="166"/>
      <c r="F297" s="166"/>
      <c r="G297" s="162"/>
      <c r="H297" s="162"/>
      <c r="I297" s="162"/>
      <c r="J297" s="162"/>
      <c r="K297" s="162"/>
      <c r="L297" s="162"/>
      <c r="M297" s="162"/>
      <c r="N297" s="162"/>
      <c r="O297" s="162"/>
      <c r="P297" s="162"/>
      <c r="Q297" s="162"/>
      <c r="R297" s="162"/>
      <c r="S297" s="162"/>
      <c r="T297" s="162"/>
      <c r="U297" s="162"/>
      <c r="V297" s="162"/>
      <c r="W297" s="162"/>
      <c r="X297" s="162"/>
      <c r="Y297" s="162"/>
      <c r="Z297" s="162"/>
    </row>
    <row r="298" ht="18.75" customHeight="1">
      <c r="A298" s="162"/>
      <c r="B298" s="162"/>
      <c r="C298" s="162"/>
      <c r="D298" s="162"/>
      <c r="E298" s="166"/>
      <c r="F298" s="166"/>
      <c r="G298" s="162"/>
      <c r="H298" s="162"/>
      <c r="I298" s="162"/>
      <c r="J298" s="162"/>
      <c r="K298" s="162"/>
      <c r="L298" s="162"/>
      <c r="M298" s="162"/>
      <c r="N298" s="162"/>
      <c r="O298" s="162"/>
      <c r="P298" s="162"/>
      <c r="Q298" s="162"/>
      <c r="R298" s="162"/>
      <c r="S298" s="162"/>
      <c r="T298" s="162"/>
      <c r="U298" s="162"/>
      <c r="V298" s="162"/>
      <c r="W298" s="162"/>
      <c r="X298" s="162"/>
      <c r="Y298" s="162"/>
      <c r="Z298" s="162"/>
    </row>
    <row r="299" ht="18.75" customHeight="1">
      <c r="A299" s="162"/>
      <c r="B299" s="162"/>
      <c r="C299" s="162"/>
      <c r="D299" s="162"/>
      <c r="E299" s="166"/>
      <c r="F299" s="166"/>
      <c r="G299" s="162"/>
      <c r="H299" s="162"/>
      <c r="I299" s="162"/>
      <c r="J299" s="162"/>
      <c r="K299" s="162"/>
      <c r="L299" s="162"/>
      <c r="M299" s="162"/>
      <c r="N299" s="162"/>
      <c r="O299" s="162"/>
      <c r="P299" s="162"/>
      <c r="Q299" s="162"/>
      <c r="R299" s="162"/>
      <c r="S299" s="162"/>
      <c r="T299" s="162"/>
      <c r="U299" s="162"/>
      <c r="V299" s="162"/>
      <c r="W299" s="162"/>
      <c r="X299" s="162"/>
      <c r="Y299" s="162"/>
      <c r="Z299" s="162"/>
    </row>
    <row r="300" ht="18.75" customHeight="1">
      <c r="A300" s="162"/>
      <c r="B300" s="162"/>
      <c r="C300" s="162"/>
      <c r="D300" s="162"/>
      <c r="E300" s="166"/>
      <c r="F300" s="166"/>
      <c r="G300" s="162"/>
      <c r="H300" s="162"/>
      <c r="I300" s="162"/>
      <c r="J300" s="162"/>
      <c r="K300" s="162"/>
      <c r="L300" s="162"/>
      <c r="M300" s="162"/>
      <c r="N300" s="162"/>
      <c r="O300" s="162"/>
      <c r="P300" s="162"/>
      <c r="Q300" s="162"/>
      <c r="R300" s="162"/>
      <c r="S300" s="162"/>
      <c r="T300" s="162"/>
      <c r="U300" s="162"/>
      <c r="V300" s="162"/>
      <c r="W300" s="162"/>
      <c r="X300" s="162"/>
      <c r="Y300" s="162"/>
      <c r="Z300" s="162"/>
    </row>
    <row r="301" ht="18.75" customHeight="1">
      <c r="A301" s="162"/>
      <c r="B301" s="162"/>
      <c r="C301" s="162"/>
      <c r="D301" s="162"/>
      <c r="E301" s="166"/>
      <c r="F301" s="166"/>
      <c r="G301" s="162"/>
      <c r="H301" s="162"/>
      <c r="I301" s="162"/>
      <c r="J301" s="162"/>
      <c r="K301" s="162"/>
      <c r="L301" s="162"/>
      <c r="M301" s="162"/>
      <c r="N301" s="162"/>
      <c r="O301" s="162"/>
      <c r="P301" s="162"/>
      <c r="Q301" s="162"/>
      <c r="R301" s="162"/>
      <c r="S301" s="162"/>
      <c r="T301" s="162"/>
      <c r="U301" s="162"/>
      <c r="V301" s="162"/>
      <c r="W301" s="162"/>
      <c r="X301" s="162"/>
      <c r="Y301" s="162"/>
      <c r="Z301" s="162"/>
    </row>
    <row r="302" ht="18.75" customHeight="1">
      <c r="A302" s="162"/>
      <c r="B302" s="162"/>
      <c r="C302" s="162"/>
      <c r="D302" s="162"/>
      <c r="E302" s="166"/>
      <c r="F302" s="166"/>
      <c r="G302" s="162"/>
      <c r="H302" s="162"/>
      <c r="I302" s="162"/>
      <c r="J302" s="162"/>
      <c r="K302" s="162"/>
      <c r="L302" s="162"/>
      <c r="M302" s="162"/>
      <c r="N302" s="162"/>
      <c r="O302" s="162"/>
      <c r="P302" s="162"/>
      <c r="Q302" s="162"/>
      <c r="R302" s="162"/>
      <c r="S302" s="162"/>
      <c r="T302" s="162"/>
      <c r="U302" s="162"/>
      <c r="V302" s="162"/>
      <c r="W302" s="162"/>
      <c r="X302" s="162"/>
      <c r="Y302" s="162"/>
      <c r="Z302" s="162"/>
    </row>
    <row r="303" ht="18.75" customHeight="1">
      <c r="A303" s="162"/>
      <c r="B303" s="162"/>
      <c r="C303" s="162"/>
      <c r="D303" s="162"/>
      <c r="E303" s="166"/>
      <c r="F303" s="166"/>
      <c r="G303" s="162"/>
      <c r="H303" s="162"/>
      <c r="I303" s="162"/>
      <c r="J303" s="162"/>
      <c r="K303" s="162"/>
      <c r="L303" s="162"/>
      <c r="M303" s="162"/>
      <c r="N303" s="162"/>
      <c r="O303" s="162"/>
      <c r="P303" s="162"/>
      <c r="Q303" s="162"/>
      <c r="R303" s="162"/>
      <c r="S303" s="162"/>
      <c r="T303" s="162"/>
      <c r="U303" s="162"/>
      <c r="V303" s="162"/>
      <c r="W303" s="162"/>
      <c r="X303" s="162"/>
      <c r="Y303" s="162"/>
      <c r="Z303" s="162"/>
    </row>
    <row r="304" ht="18.75" customHeight="1">
      <c r="A304" s="162"/>
      <c r="B304" s="162"/>
      <c r="C304" s="162"/>
      <c r="D304" s="162"/>
      <c r="E304" s="166"/>
      <c r="F304" s="166"/>
      <c r="G304" s="162"/>
      <c r="H304" s="162"/>
      <c r="I304" s="162"/>
      <c r="J304" s="162"/>
      <c r="K304" s="162"/>
      <c r="L304" s="162"/>
      <c r="M304" s="162"/>
      <c r="N304" s="162"/>
      <c r="O304" s="162"/>
      <c r="P304" s="162"/>
      <c r="Q304" s="162"/>
      <c r="R304" s="162"/>
      <c r="S304" s="162"/>
      <c r="T304" s="162"/>
      <c r="U304" s="162"/>
      <c r="V304" s="162"/>
      <c r="W304" s="162"/>
      <c r="X304" s="162"/>
      <c r="Y304" s="162"/>
      <c r="Z304" s="162"/>
    </row>
    <row r="305" ht="18.75" customHeight="1">
      <c r="A305" s="162"/>
      <c r="B305" s="162"/>
      <c r="C305" s="162"/>
      <c r="D305" s="162"/>
      <c r="E305" s="166"/>
      <c r="F305" s="166"/>
      <c r="G305" s="162"/>
      <c r="H305" s="162"/>
      <c r="I305" s="162"/>
      <c r="J305" s="162"/>
      <c r="K305" s="162"/>
      <c r="L305" s="162"/>
      <c r="M305" s="162"/>
      <c r="N305" s="162"/>
      <c r="O305" s="162"/>
      <c r="P305" s="162"/>
      <c r="Q305" s="162"/>
      <c r="R305" s="162"/>
      <c r="S305" s="162"/>
      <c r="T305" s="162"/>
      <c r="U305" s="162"/>
      <c r="V305" s="162"/>
      <c r="W305" s="162"/>
      <c r="X305" s="162"/>
      <c r="Y305" s="162"/>
      <c r="Z305" s="162"/>
    </row>
    <row r="306" ht="18.75" customHeight="1">
      <c r="A306" s="162"/>
      <c r="B306" s="162"/>
      <c r="C306" s="162"/>
      <c r="D306" s="162"/>
      <c r="E306" s="166"/>
      <c r="F306" s="166"/>
      <c r="G306" s="162"/>
      <c r="H306" s="162"/>
      <c r="I306" s="162"/>
      <c r="J306" s="162"/>
      <c r="K306" s="162"/>
      <c r="L306" s="162"/>
      <c r="M306" s="162"/>
      <c r="N306" s="162"/>
      <c r="O306" s="162"/>
      <c r="P306" s="162"/>
      <c r="Q306" s="162"/>
      <c r="R306" s="162"/>
      <c r="S306" s="162"/>
      <c r="T306" s="162"/>
      <c r="U306" s="162"/>
      <c r="V306" s="162"/>
      <c r="W306" s="162"/>
      <c r="X306" s="162"/>
      <c r="Y306" s="162"/>
      <c r="Z306" s="162"/>
    </row>
    <row r="307" ht="18.75" customHeight="1">
      <c r="A307" s="162"/>
      <c r="B307" s="162"/>
      <c r="C307" s="162"/>
      <c r="D307" s="162"/>
      <c r="E307" s="166"/>
      <c r="F307" s="166"/>
      <c r="G307" s="162"/>
      <c r="H307" s="162"/>
      <c r="I307" s="162"/>
      <c r="J307" s="162"/>
      <c r="K307" s="162"/>
      <c r="L307" s="162"/>
      <c r="M307" s="162"/>
      <c r="N307" s="162"/>
      <c r="O307" s="162"/>
      <c r="P307" s="162"/>
      <c r="Q307" s="162"/>
      <c r="R307" s="162"/>
      <c r="S307" s="162"/>
      <c r="T307" s="162"/>
      <c r="U307" s="162"/>
      <c r="V307" s="162"/>
      <c r="W307" s="162"/>
      <c r="X307" s="162"/>
      <c r="Y307" s="162"/>
      <c r="Z307" s="162"/>
    </row>
    <row r="308" ht="18.75" customHeight="1">
      <c r="A308" s="162"/>
      <c r="B308" s="162"/>
      <c r="C308" s="162"/>
      <c r="D308" s="162"/>
      <c r="E308" s="166"/>
      <c r="F308" s="166"/>
      <c r="G308" s="162"/>
      <c r="H308" s="162"/>
      <c r="I308" s="162"/>
      <c r="J308" s="162"/>
      <c r="K308" s="162"/>
      <c r="L308" s="162"/>
      <c r="M308" s="162"/>
      <c r="N308" s="162"/>
      <c r="O308" s="162"/>
      <c r="P308" s="162"/>
      <c r="Q308" s="162"/>
      <c r="R308" s="162"/>
      <c r="S308" s="162"/>
      <c r="T308" s="162"/>
      <c r="U308" s="162"/>
      <c r="V308" s="162"/>
      <c r="W308" s="162"/>
      <c r="X308" s="162"/>
      <c r="Y308" s="162"/>
      <c r="Z308" s="162"/>
    </row>
    <row r="309" ht="18.75" customHeight="1">
      <c r="A309" s="162"/>
      <c r="B309" s="162"/>
      <c r="C309" s="162"/>
      <c r="D309" s="162"/>
      <c r="E309" s="166"/>
      <c r="F309" s="166"/>
      <c r="G309" s="162"/>
      <c r="H309" s="162"/>
      <c r="I309" s="162"/>
      <c r="J309" s="162"/>
      <c r="K309" s="162"/>
      <c r="L309" s="162"/>
      <c r="M309" s="162"/>
      <c r="N309" s="162"/>
      <c r="O309" s="162"/>
      <c r="P309" s="162"/>
      <c r="Q309" s="162"/>
      <c r="R309" s="162"/>
      <c r="S309" s="162"/>
      <c r="T309" s="162"/>
      <c r="U309" s="162"/>
      <c r="V309" s="162"/>
      <c r="W309" s="162"/>
      <c r="X309" s="162"/>
      <c r="Y309" s="162"/>
      <c r="Z309" s="162"/>
    </row>
    <row r="310" ht="18.75" customHeight="1">
      <c r="A310" s="162"/>
      <c r="B310" s="162"/>
      <c r="C310" s="162"/>
      <c r="D310" s="162"/>
      <c r="E310" s="166"/>
      <c r="F310" s="166"/>
      <c r="G310" s="162"/>
      <c r="H310" s="162"/>
      <c r="I310" s="162"/>
      <c r="J310" s="162"/>
      <c r="K310" s="162"/>
      <c r="L310" s="162"/>
      <c r="M310" s="162"/>
      <c r="N310" s="162"/>
      <c r="O310" s="162"/>
      <c r="P310" s="162"/>
      <c r="Q310" s="162"/>
      <c r="R310" s="162"/>
      <c r="S310" s="162"/>
      <c r="T310" s="162"/>
      <c r="U310" s="162"/>
      <c r="V310" s="162"/>
      <c r="W310" s="162"/>
      <c r="X310" s="162"/>
      <c r="Y310" s="162"/>
      <c r="Z310" s="162"/>
    </row>
    <row r="311" ht="18.75" customHeight="1">
      <c r="A311" s="162"/>
      <c r="B311" s="162"/>
      <c r="C311" s="162"/>
      <c r="D311" s="162"/>
      <c r="E311" s="166"/>
      <c r="F311" s="166"/>
      <c r="G311" s="162"/>
      <c r="H311" s="162"/>
      <c r="I311" s="162"/>
      <c r="J311" s="162"/>
      <c r="K311" s="162"/>
      <c r="L311" s="162"/>
      <c r="M311" s="162"/>
      <c r="N311" s="162"/>
      <c r="O311" s="162"/>
      <c r="P311" s="162"/>
      <c r="Q311" s="162"/>
      <c r="R311" s="162"/>
      <c r="S311" s="162"/>
      <c r="T311" s="162"/>
      <c r="U311" s="162"/>
      <c r="V311" s="162"/>
      <c r="W311" s="162"/>
      <c r="X311" s="162"/>
      <c r="Y311" s="162"/>
      <c r="Z311" s="162"/>
    </row>
    <row r="312" ht="18.75" customHeight="1">
      <c r="A312" s="162"/>
      <c r="B312" s="162"/>
      <c r="C312" s="162"/>
      <c r="D312" s="162"/>
      <c r="E312" s="166"/>
      <c r="F312" s="166"/>
      <c r="G312" s="162"/>
      <c r="H312" s="162"/>
      <c r="I312" s="162"/>
      <c r="J312" s="162"/>
      <c r="K312" s="162"/>
      <c r="L312" s="162"/>
      <c r="M312" s="162"/>
      <c r="N312" s="162"/>
      <c r="O312" s="162"/>
      <c r="P312" s="162"/>
      <c r="Q312" s="162"/>
      <c r="R312" s="162"/>
      <c r="S312" s="162"/>
      <c r="T312" s="162"/>
      <c r="U312" s="162"/>
      <c r="V312" s="162"/>
      <c r="W312" s="162"/>
      <c r="X312" s="162"/>
      <c r="Y312" s="162"/>
      <c r="Z312" s="162"/>
    </row>
    <row r="313" ht="18.75" customHeight="1">
      <c r="A313" s="162"/>
      <c r="B313" s="162"/>
      <c r="C313" s="162"/>
      <c r="D313" s="162"/>
      <c r="E313" s="166"/>
      <c r="F313" s="166"/>
      <c r="G313" s="162"/>
      <c r="H313" s="162"/>
      <c r="I313" s="162"/>
      <c r="J313" s="162"/>
      <c r="K313" s="162"/>
      <c r="L313" s="162"/>
      <c r="M313" s="162"/>
      <c r="N313" s="162"/>
      <c r="O313" s="162"/>
      <c r="P313" s="162"/>
      <c r="Q313" s="162"/>
      <c r="R313" s="162"/>
      <c r="S313" s="162"/>
      <c r="T313" s="162"/>
      <c r="U313" s="162"/>
      <c r="V313" s="162"/>
      <c r="W313" s="162"/>
      <c r="X313" s="162"/>
      <c r="Y313" s="162"/>
      <c r="Z313" s="162"/>
    </row>
    <row r="314" ht="18.75" customHeight="1">
      <c r="A314" s="162"/>
      <c r="B314" s="162"/>
      <c r="C314" s="162"/>
      <c r="D314" s="162"/>
      <c r="E314" s="166"/>
      <c r="F314" s="166"/>
      <c r="G314" s="162"/>
      <c r="H314" s="162"/>
      <c r="I314" s="162"/>
      <c r="J314" s="162"/>
      <c r="K314" s="162"/>
      <c r="L314" s="162"/>
      <c r="M314" s="162"/>
      <c r="N314" s="162"/>
      <c r="O314" s="162"/>
      <c r="P314" s="162"/>
      <c r="Q314" s="162"/>
      <c r="R314" s="162"/>
      <c r="S314" s="162"/>
      <c r="T314" s="162"/>
      <c r="U314" s="162"/>
      <c r="V314" s="162"/>
      <c r="W314" s="162"/>
      <c r="X314" s="162"/>
      <c r="Y314" s="162"/>
      <c r="Z314" s="162"/>
    </row>
    <row r="315" ht="18.75" customHeight="1">
      <c r="A315" s="162"/>
      <c r="B315" s="162"/>
      <c r="C315" s="162"/>
      <c r="D315" s="162"/>
      <c r="E315" s="166"/>
      <c r="F315" s="166"/>
      <c r="G315" s="162"/>
      <c r="H315" s="162"/>
      <c r="I315" s="162"/>
      <c r="J315" s="162"/>
      <c r="K315" s="162"/>
      <c r="L315" s="162"/>
      <c r="M315" s="162"/>
      <c r="N315" s="162"/>
      <c r="O315" s="162"/>
      <c r="P315" s="162"/>
      <c r="Q315" s="162"/>
      <c r="R315" s="162"/>
      <c r="S315" s="162"/>
      <c r="T315" s="162"/>
      <c r="U315" s="162"/>
      <c r="V315" s="162"/>
      <c r="W315" s="162"/>
      <c r="X315" s="162"/>
      <c r="Y315" s="162"/>
      <c r="Z315" s="162"/>
    </row>
    <row r="316" ht="18.75" customHeight="1">
      <c r="A316" s="162"/>
      <c r="B316" s="162"/>
      <c r="C316" s="162"/>
      <c r="D316" s="162"/>
      <c r="E316" s="166"/>
      <c r="F316" s="166"/>
      <c r="G316" s="162"/>
      <c r="H316" s="162"/>
      <c r="I316" s="162"/>
      <c r="J316" s="162"/>
      <c r="K316" s="162"/>
      <c r="L316" s="162"/>
      <c r="M316" s="162"/>
      <c r="N316" s="162"/>
      <c r="O316" s="162"/>
      <c r="P316" s="162"/>
      <c r="Q316" s="162"/>
      <c r="R316" s="162"/>
      <c r="S316" s="162"/>
      <c r="T316" s="162"/>
      <c r="U316" s="162"/>
      <c r="V316" s="162"/>
      <c r="W316" s="162"/>
      <c r="X316" s="162"/>
      <c r="Y316" s="162"/>
      <c r="Z316" s="162"/>
    </row>
    <row r="317" ht="18.75" customHeight="1">
      <c r="A317" s="162"/>
      <c r="B317" s="162"/>
      <c r="C317" s="162"/>
      <c r="D317" s="162"/>
      <c r="E317" s="166"/>
      <c r="F317" s="166"/>
      <c r="G317" s="162"/>
      <c r="H317" s="162"/>
      <c r="I317" s="162"/>
      <c r="J317" s="162"/>
      <c r="K317" s="162"/>
      <c r="L317" s="162"/>
      <c r="M317" s="162"/>
      <c r="N317" s="162"/>
      <c r="O317" s="162"/>
      <c r="P317" s="162"/>
      <c r="Q317" s="162"/>
      <c r="R317" s="162"/>
      <c r="S317" s="162"/>
      <c r="T317" s="162"/>
      <c r="U317" s="162"/>
      <c r="V317" s="162"/>
      <c r="W317" s="162"/>
      <c r="X317" s="162"/>
      <c r="Y317" s="162"/>
      <c r="Z317" s="162"/>
    </row>
    <row r="318" ht="18.75" customHeight="1">
      <c r="A318" s="162"/>
      <c r="B318" s="162"/>
      <c r="C318" s="162"/>
      <c r="D318" s="162"/>
      <c r="E318" s="166"/>
      <c r="F318" s="166"/>
      <c r="G318" s="162"/>
      <c r="H318" s="162"/>
      <c r="I318" s="162"/>
      <c r="J318" s="162"/>
      <c r="K318" s="162"/>
      <c r="L318" s="162"/>
      <c r="M318" s="162"/>
      <c r="N318" s="162"/>
      <c r="O318" s="162"/>
      <c r="P318" s="162"/>
      <c r="Q318" s="162"/>
      <c r="R318" s="162"/>
      <c r="S318" s="162"/>
      <c r="T318" s="162"/>
      <c r="U318" s="162"/>
      <c r="V318" s="162"/>
      <c r="W318" s="162"/>
      <c r="X318" s="162"/>
      <c r="Y318" s="162"/>
      <c r="Z318" s="162"/>
    </row>
    <row r="319" ht="18.75" customHeight="1">
      <c r="A319" s="162"/>
      <c r="B319" s="162"/>
      <c r="C319" s="162"/>
      <c r="D319" s="162"/>
      <c r="E319" s="166"/>
      <c r="F319" s="166"/>
      <c r="G319" s="162"/>
      <c r="H319" s="162"/>
      <c r="I319" s="162"/>
      <c r="J319" s="162"/>
      <c r="K319" s="162"/>
      <c r="L319" s="162"/>
      <c r="M319" s="162"/>
      <c r="N319" s="162"/>
      <c r="O319" s="162"/>
      <c r="P319" s="162"/>
      <c r="Q319" s="162"/>
      <c r="R319" s="162"/>
      <c r="S319" s="162"/>
      <c r="T319" s="162"/>
      <c r="U319" s="162"/>
      <c r="V319" s="162"/>
      <c r="W319" s="162"/>
      <c r="X319" s="162"/>
      <c r="Y319" s="162"/>
      <c r="Z319" s="162"/>
    </row>
    <row r="320" ht="18.75" customHeight="1">
      <c r="A320" s="162"/>
      <c r="B320" s="162"/>
      <c r="C320" s="162"/>
      <c r="D320" s="162"/>
      <c r="E320" s="166"/>
      <c r="F320" s="166"/>
      <c r="G320" s="162"/>
      <c r="H320" s="162"/>
      <c r="I320" s="162"/>
      <c r="J320" s="162"/>
      <c r="K320" s="162"/>
      <c r="L320" s="162"/>
      <c r="M320" s="162"/>
      <c r="N320" s="162"/>
      <c r="O320" s="162"/>
      <c r="P320" s="162"/>
      <c r="Q320" s="162"/>
      <c r="R320" s="162"/>
      <c r="S320" s="162"/>
      <c r="T320" s="162"/>
      <c r="U320" s="162"/>
      <c r="V320" s="162"/>
      <c r="W320" s="162"/>
      <c r="X320" s="162"/>
      <c r="Y320" s="162"/>
      <c r="Z320" s="162"/>
    </row>
    <row r="321" ht="18.75" customHeight="1">
      <c r="A321" s="162"/>
      <c r="B321" s="162"/>
      <c r="C321" s="162"/>
      <c r="D321" s="162"/>
      <c r="E321" s="166"/>
      <c r="F321" s="166"/>
      <c r="G321" s="162"/>
      <c r="H321" s="162"/>
      <c r="I321" s="162"/>
      <c r="J321" s="162"/>
      <c r="K321" s="162"/>
      <c r="L321" s="162"/>
      <c r="M321" s="162"/>
      <c r="N321" s="162"/>
      <c r="O321" s="162"/>
      <c r="P321" s="162"/>
      <c r="Q321" s="162"/>
      <c r="R321" s="162"/>
      <c r="S321" s="162"/>
      <c r="T321" s="162"/>
      <c r="U321" s="162"/>
      <c r="V321" s="162"/>
      <c r="W321" s="162"/>
      <c r="X321" s="162"/>
      <c r="Y321" s="162"/>
      <c r="Z321" s="162"/>
    </row>
    <row r="322" ht="18.75" customHeight="1">
      <c r="A322" s="162"/>
      <c r="B322" s="162"/>
      <c r="C322" s="162"/>
      <c r="D322" s="162"/>
      <c r="E322" s="166"/>
      <c r="F322" s="166"/>
      <c r="G322" s="162"/>
      <c r="H322" s="162"/>
      <c r="I322" s="162"/>
      <c r="J322" s="162"/>
      <c r="K322" s="162"/>
      <c r="L322" s="162"/>
      <c r="M322" s="162"/>
      <c r="N322" s="162"/>
      <c r="O322" s="162"/>
      <c r="P322" s="162"/>
      <c r="Q322" s="162"/>
      <c r="R322" s="162"/>
      <c r="S322" s="162"/>
      <c r="T322" s="162"/>
      <c r="U322" s="162"/>
      <c r="V322" s="162"/>
      <c r="W322" s="162"/>
      <c r="X322" s="162"/>
      <c r="Y322" s="162"/>
      <c r="Z322" s="162"/>
    </row>
    <row r="323" ht="18.75" customHeight="1">
      <c r="A323" s="162"/>
      <c r="B323" s="162"/>
      <c r="C323" s="162"/>
      <c r="D323" s="162"/>
      <c r="E323" s="166"/>
      <c r="F323" s="166"/>
      <c r="G323" s="162"/>
      <c r="H323" s="162"/>
      <c r="I323" s="162"/>
      <c r="J323" s="162"/>
      <c r="K323" s="162"/>
      <c r="L323" s="162"/>
      <c r="M323" s="162"/>
      <c r="N323" s="162"/>
      <c r="O323" s="162"/>
      <c r="P323" s="162"/>
      <c r="Q323" s="162"/>
      <c r="R323" s="162"/>
      <c r="S323" s="162"/>
      <c r="T323" s="162"/>
      <c r="U323" s="162"/>
      <c r="V323" s="162"/>
      <c r="W323" s="162"/>
      <c r="X323" s="162"/>
      <c r="Y323" s="162"/>
      <c r="Z323" s="162"/>
    </row>
    <row r="324" ht="18.75" customHeight="1">
      <c r="A324" s="162"/>
      <c r="B324" s="162"/>
      <c r="C324" s="162"/>
      <c r="D324" s="162"/>
      <c r="E324" s="166"/>
      <c r="F324" s="166"/>
      <c r="G324" s="162"/>
      <c r="H324" s="162"/>
      <c r="I324" s="162"/>
      <c r="J324" s="162"/>
      <c r="K324" s="162"/>
      <c r="L324" s="162"/>
      <c r="M324" s="162"/>
      <c r="N324" s="162"/>
      <c r="O324" s="162"/>
      <c r="P324" s="162"/>
      <c r="Q324" s="162"/>
      <c r="R324" s="162"/>
      <c r="S324" s="162"/>
      <c r="T324" s="162"/>
      <c r="U324" s="162"/>
      <c r="V324" s="162"/>
      <c r="W324" s="162"/>
      <c r="X324" s="162"/>
      <c r="Y324" s="162"/>
      <c r="Z324" s="162"/>
    </row>
    <row r="325" ht="18.75" customHeight="1">
      <c r="A325" s="162"/>
      <c r="B325" s="162"/>
      <c r="C325" s="162"/>
      <c r="D325" s="162"/>
      <c r="E325" s="166"/>
      <c r="F325" s="166"/>
      <c r="G325" s="162"/>
      <c r="H325" s="162"/>
      <c r="I325" s="162"/>
      <c r="J325" s="162"/>
      <c r="K325" s="162"/>
      <c r="L325" s="162"/>
      <c r="M325" s="162"/>
      <c r="N325" s="162"/>
      <c r="O325" s="162"/>
      <c r="P325" s="162"/>
      <c r="Q325" s="162"/>
      <c r="R325" s="162"/>
      <c r="S325" s="162"/>
      <c r="T325" s="162"/>
      <c r="U325" s="162"/>
      <c r="V325" s="162"/>
      <c r="W325" s="162"/>
      <c r="X325" s="162"/>
      <c r="Y325" s="162"/>
      <c r="Z325" s="162"/>
    </row>
    <row r="326" ht="18.75" customHeight="1">
      <c r="A326" s="162"/>
      <c r="B326" s="162"/>
      <c r="C326" s="162"/>
      <c r="D326" s="162"/>
      <c r="E326" s="166"/>
      <c r="F326" s="166"/>
      <c r="G326" s="162"/>
      <c r="H326" s="162"/>
      <c r="I326" s="162"/>
      <c r="J326" s="162"/>
      <c r="K326" s="162"/>
      <c r="L326" s="162"/>
      <c r="M326" s="162"/>
      <c r="N326" s="162"/>
      <c r="O326" s="162"/>
      <c r="P326" s="162"/>
      <c r="Q326" s="162"/>
      <c r="R326" s="162"/>
      <c r="S326" s="162"/>
      <c r="T326" s="162"/>
      <c r="U326" s="162"/>
      <c r="V326" s="162"/>
      <c r="W326" s="162"/>
      <c r="X326" s="162"/>
      <c r="Y326" s="162"/>
      <c r="Z326" s="162"/>
    </row>
    <row r="327" ht="18.75" customHeight="1">
      <c r="A327" s="162"/>
      <c r="B327" s="162"/>
      <c r="C327" s="162"/>
      <c r="D327" s="162"/>
      <c r="E327" s="166"/>
      <c r="F327" s="166"/>
      <c r="G327" s="162"/>
      <c r="H327" s="162"/>
      <c r="I327" s="162"/>
      <c r="J327" s="162"/>
      <c r="K327" s="162"/>
      <c r="L327" s="162"/>
      <c r="M327" s="162"/>
      <c r="N327" s="162"/>
      <c r="O327" s="162"/>
      <c r="P327" s="162"/>
      <c r="Q327" s="162"/>
      <c r="R327" s="162"/>
      <c r="S327" s="162"/>
      <c r="T327" s="162"/>
      <c r="U327" s="162"/>
      <c r="V327" s="162"/>
      <c r="W327" s="162"/>
      <c r="X327" s="162"/>
      <c r="Y327" s="162"/>
      <c r="Z327" s="162"/>
    </row>
    <row r="328" ht="18.75" customHeight="1">
      <c r="A328" s="162"/>
      <c r="B328" s="162"/>
      <c r="C328" s="162"/>
      <c r="D328" s="162"/>
      <c r="E328" s="166"/>
      <c r="F328" s="166"/>
      <c r="G328" s="162"/>
      <c r="H328" s="162"/>
      <c r="I328" s="162"/>
      <c r="J328" s="162"/>
      <c r="K328" s="162"/>
      <c r="L328" s="162"/>
      <c r="M328" s="162"/>
      <c r="N328" s="162"/>
      <c r="O328" s="162"/>
      <c r="P328" s="162"/>
      <c r="Q328" s="162"/>
      <c r="R328" s="162"/>
      <c r="S328" s="162"/>
      <c r="T328" s="162"/>
      <c r="U328" s="162"/>
      <c r="V328" s="162"/>
      <c r="W328" s="162"/>
      <c r="X328" s="162"/>
      <c r="Y328" s="162"/>
      <c r="Z328" s="162"/>
    </row>
    <row r="329" ht="18.75" customHeight="1">
      <c r="A329" s="162"/>
      <c r="B329" s="162"/>
      <c r="C329" s="162"/>
      <c r="D329" s="162"/>
      <c r="E329" s="166"/>
      <c r="F329" s="166"/>
      <c r="G329" s="162"/>
      <c r="H329" s="162"/>
      <c r="I329" s="162"/>
      <c r="J329" s="162"/>
      <c r="K329" s="162"/>
      <c r="L329" s="162"/>
      <c r="M329" s="162"/>
      <c r="N329" s="162"/>
      <c r="O329" s="162"/>
      <c r="P329" s="162"/>
      <c r="Q329" s="162"/>
      <c r="R329" s="162"/>
      <c r="S329" s="162"/>
      <c r="T329" s="162"/>
      <c r="U329" s="162"/>
      <c r="V329" s="162"/>
      <c r="W329" s="162"/>
      <c r="X329" s="162"/>
      <c r="Y329" s="162"/>
      <c r="Z329" s="162"/>
    </row>
    <row r="330" ht="18.75" customHeight="1">
      <c r="A330" s="162"/>
      <c r="B330" s="162"/>
      <c r="C330" s="162"/>
      <c r="D330" s="162"/>
      <c r="E330" s="166"/>
      <c r="F330" s="166"/>
      <c r="G330" s="162"/>
      <c r="H330" s="162"/>
      <c r="I330" s="162"/>
      <c r="J330" s="162"/>
      <c r="K330" s="162"/>
      <c r="L330" s="162"/>
      <c r="M330" s="162"/>
      <c r="N330" s="162"/>
      <c r="O330" s="162"/>
      <c r="P330" s="162"/>
      <c r="Q330" s="162"/>
      <c r="R330" s="162"/>
      <c r="S330" s="162"/>
      <c r="T330" s="162"/>
      <c r="U330" s="162"/>
      <c r="V330" s="162"/>
      <c r="W330" s="162"/>
      <c r="X330" s="162"/>
      <c r="Y330" s="162"/>
      <c r="Z330" s="162"/>
    </row>
    <row r="331" ht="18.75" customHeight="1">
      <c r="A331" s="162"/>
      <c r="B331" s="162"/>
      <c r="C331" s="162"/>
      <c r="D331" s="162"/>
      <c r="E331" s="166"/>
      <c r="F331" s="166"/>
      <c r="G331" s="162"/>
      <c r="H331" s="162"/>
      <c r="I331" s="162"/>
      <c r="J331" s="162"/>
      <c r="K331" s="162"/>
      <c r="L331" s="162"/>
      <c r="M331" s="162"/>
      <c r="N331" s="162"/>
      <c r="O331" s="162"/>
      <c r="P331" s="162"/>
      <c r="Q331" s="162"/>
      <c r="R331" s="162"/>
      <c r="S331" s="162"/>
      <c r="T331" s="162"/>
      <c r="U331" s="162"/>
      <c r="V331" s="162"/>
      <c r="W331" s="162"/>
      <c r="X331" s="162"/>
      <c r="Y331" s="162"/>
      <c r="Z331" s="162"/>
    </row>
    <row r="332" ht="18.75" customHeight="1">
      <c r="A332" s="162"/>
      <c r="B332" s="162"/>
      <c r="C332" s="162"/>
      <c r="D332" s="162"/>
      <c r="E332" s="166"/>
      <c r="F332" s="166"/>
      <c r="G332" s="162"/>
      <c r="H332" s="162"/>
      <c r="I332" s="162"/>
      <c r="J332" s="162"/>
      <c r="K332" s="162"/>
      <c r="L332" s="162"/>
      <c r="M332" s="162"/>
      <c r="N332" s="162"/>
      <c r="O332" s="162"/>
      <c r="P332" s="162"/>
      <c r="Q332" s="162"/>
      <c r="R332" s="162"/>
      <c r="S332" s="162"/>
      <c r="T332" s="162"/>
      <c r="U332" s="162"/>
      <c r="V332" s="162"/>
      <c r="W332" s="162"/>
      <c r="X332" s="162"/>
      <c r="Y332" s="162"/>
      <c r="Z332" s="162"/>
    </row>
    <row r="333" ht="18.75" customHeight="1">
      <c r="A333" s="162"/>
      <c r="B333" s="162"/>
      <c r="C333" s="162"/>
      <c r="D333" s="162"/>
      <c r="E333" s="166"/>
      <c r="F333" s="166"/>
      <c r="G333" s="162"/>
      <c r="H333" s="162"/>
      <c r="I333" s="162"/>
      <c r="J333" s="162"/>
      <c r="K333" s="162"/>
      <c r="L333" s="162"/>
      <c r="M333" s="162"/>
      <c r="N333" s="162"/>
      <c r="O333" s="162"/>
      <c r="P333" s="162"/>
      <c r="Q333" s="162"/>
      <c r="R333" s="162"/>
      <c r="S333" s="162"/>
      <c r="T333" s="162"/>
      <c r="U333" s="162"/>
      <c r="V333" s="162"/>
      <c r="W333" s="162"/>
      <c r="X333" s="162"/>
      <c r="Y333" s="162"/>
      <c r="Z333" s="162"/>
    </row>
    <row r="334" ht="18.75" customHeight="1">
      <c r="A334" s="162"/>
      <c r="B334" s="162"/>
      <c r="C334" s="162"/>
      <c r="D334" s="162"/>
      <c r="E334" s="166"/>
      <c r="F334" s="166"/>
      <c r="G334" s="162"/>
      <c r="H334" s="162"/>
      <c r="I334" s="162"/>
      <c r="J334" s="162"/>
      <c r="K334" s="162"/>
      <c r="L334" s="162"/>
      <c r="M334" s="162"/>
      <c r="N334" s="162"/>
      <c r="O334" s="162"/>
      <c r="P334" s="162"/>
      <c r="Q334" s="162"/>
      <c r="R334" s="162"/>
      <c r="S334" s="162"/>
      <c r="T334" s="162"/>
      <c r="U334" s="162"/>
      <c r="V334" s="162"/>
      <c r="W334" s="162"/>
      <c r="X334" s="162"/>
      <c r="Y334" s="162"/>
      <c r="Z334" s="162"/>
    </row>
    <row r="335" ht="18.75" customHeight="1">
      <c r="A335" s="162"/>
      <c r="B335" s="162"/>
      <c r="C335" s="162"/>
      <c r="D335" s="162"/>
      <c r="E335" s="166"/>
      <c r="F335" s="166"/>
      <c r="G335" s="162"/>
      <c r="H335" s="162"/>
      <c r="I335" s="162"/>
      <c r="J335" s="162"/>
      <c r="K335" s="162"/>
      <c r="L335" s="162"/>
      <c r="M335" s="162"/>
      <c r="N335" s="162"/>
      <c r="O335" s="162"/>
      <c r="P335" s="162"/>
      <c r="Q335" s="162"/>
      <c r="R335" s="162"/>
      <c r="S335" s="162"/>
      <c r="T335" s="162"/>
      <c r="U335" s="162"/>
      <c r="V335" s="162"/>
      <c r="W335" s="162"/>
      <c r="X335" s="162"/>
      <c r="Y335" s="162"/>
      <c r="Z335" s="162"/>
    </row>
    <row r="336" ht="18.75" customHeight="1">
      <c r="A336" s="162"/>
      <c r="B336" s="162"/>
      <c r="C336" s="162"/>
      <c r="D336" s="162"/>
      <c r="E336" s="166"/>
      <c r="F336" s="166"/>
      <c r="G336" s="162"/>
      <c r="H336" s="162"/>
      <c r="I336" s="162"/>
      <c r="J336" s="162"/>
      <c r="K336" s="162"/>
      <c r="L336" s="162"/>
      <c r="M336" s="162"/>
      <c r="N336" s="162"/>
      <c r="O336" s="162"/>
      <c r="P336" s="162"/>
      <c r="Q336" s="162"/>
      <c r="R336" s="162"/>
      <c r="S336" s="162"/>
      <c r="T336" s="162"/>
      <c r="U336" s="162"/>
      <c r="V336" s="162"/>
      <c r="W336" s="162"/>
      <c r="X336" s="162"/>
      <c r="Y336" s="162"/>
      <c r="Z336" s="162"/>
    </row>
    <row r="337" ht="18.75" customHeight="1">
      <c r="A337" s="162"/>
      <c r="B337" s="162"/>
      <c r="C337" s="162"/>
      <c r="D337" s="162"/>
      <c r="E337" s="166"/>
      <c r="F337" s="166"/>
      <c r="G337" s="162"/>
      <c r="H337" s="162"/>
      <c r="I337" s="162"/>
      <c r="J337" s="162"/>
      <c r="K337" s="162"/>
      <c r="L337" s="162"/>
      <c r="M337" s="162"/>
      <c r="N337" s="162"/>
      <c r="O337" s="162"/>
      <c r="P337" s="162"/>
      <c r="Q337" s="162"/>
      <c r="R337" s="162"/>
      <c r="S337" s="162"/>
      <c r="T337" s="162"/>
      <c r="U337" s="162"/>
      <c r="V337" s="162"/>
      <c r="W337" s="162"/>
      <c r="X337" s="162"/>
      <c r="Y337" s="162"/>
      <c r="Z337" s="162"/>
    </row>
    <row r="338" ht="18.75" customHeight="1">
      <c r="A338" s="162"/>
      <c r="B338" s="162"/>
      <c r="C338" s="162"/>
      <c r="D338" s="162"/>
      <c r="E338" s="166"/>
      <c r="F338" s="166"/>
      <c r="G338" s="162"/>
      <c r="H338" s="162"/>
      <c r="I338" s="162"/>
      <c r="J338" s="162"/>
      <c r="K338" s="162"/>
      <c r="L338" s="162"/>
      <c r="M338" s="162"/>
      <c r="N338" s="162"/>
      <c r="O338" s="162"/>
      <c r="P338" s="162"/>
      <c r="Q338" s="162"/>
      <c r="R338" s="162"/>
      <c r="S338" s="162"/>
      <c r="T338" s="162"/>
      <c r="U338" s="162"/>
      <c r="V338" s="162"/>
      <c r="W338" s="162"/>
      <c r="X338" s="162"/>
      <c r="Y338" s="162"/>
      <c r="Z338" s="162"/>
    </row>
    <row r="339" ht="18.75" customHeight="1">
      <c r="A339" s="162"/>
      <c r="B339" s="162"/>
      <c r="C339" s="162"/>
      <c r="D339" s="162"/>
      <c r="E339" s="166"/>
      <c r="F339" s="166"/>
      <c r="G339" s="162"/>
      <c r="H339" s="162"/>
      <c r="I339" s="162"/>
      <c r="J339" s="162"/>
      <c r="K339" s="162"/>
      <c r="L339" s="162"/>
      <c r="M339" s="162"/>
      <c r="N339" s="162"/>
      <c r="O339" s="162"/>
      <c r="P339" s="162"/>
      <c r="Q339" s="162"/>
      <c r="R339" s="162"/>
      <c r="S339" s="162"/>
      <c r="T339" s="162"/>
      <c r="U339" s="162"/>
      <c r="V339" s="162"/>
      <c r="W339" s="162"/>
      <c r="X339" s="162"/>
      <c r="Y339" s="162"/>
      <c r="Z339" s="162"/>
    </row>
    <row r="340" ht="18.75" customHeight="1">
      <c r="A340" s="162"/>
      <c r="B340" s="162"/>
      <c r="C340" s="162"/>
      <c r="D340" s="162"/>
      <c r="E340" s="166"/>
      <c r="F340" s="166"/>
      <c r="G340" s="162"/>
      <c r="H340" s="162"/>
      <c r="I340" s="162"/>
      <c r="J340" s="162"/>
      <c r="K340" s="162"/>
      <c r="L340" s="162"/>
      <c r="M340" s="162"/>
      <c r="N340" s="162"/>
      <c r="O340" s="162"/>
      <c r="P340" s="162"/>
      <c r="Q340" s="162"/>
      <c r="R340" s="162"/>
      <c r="S340" s="162"/>
      <c r="T340" s="162"/>
      <c r="U340" s="162"/>
      <c r="V340" s="162"/>
      <c r="W340" s="162"/>
      <c r="X340" s="162"/>
      <c r="Y340" s="162"/>
      <c r="Z340" s="162"/>
    </row>
    <row r="341" ht="18.75" customHeight="1">
      <c r="A341" s="162"/>
      <c r="B341" s="162"/>
      <c r="C341" s="162"/>
      <c r="D341" s="162"/>
      <c r="E341" s="166"/>
      <c r="F341" s="166"/>
      <c r="G341" s="162"/>
      <c r="H341" s="162"/>
      <c r="I341" s="162"/>
      <c r="J341" s="162"/>
      <c r="K341" s="162"/>
      <c r="L341" s="162"/>
      <c r="M341" s="162"/>
      <c r="N341" s="162"/>
      <c r="O341" s="162"/>
      <c r="P341" s="162"/>
      <c r="Q341" s="162"/>
      <c r="R341" s="162"/>
      <c r="S341" s="162"/>
      <c r="T341" s="162"/>
      <c r="U341" s="162"/>
      <c r="V341" s="162"/>
      <c r="W341" s="162"/>
      <c r="X341" s="162"/>
      <c r="Y341" s="162"/>
      <c r="Z341" s="162"/>
    </row>
    <row r="342" ht="18.75" customHeight="1">
      <c r="A342" s="162"/>
      <c r="B342" s="162"/>
      <c r="C342" s="162"/>
      <c r="D342" s="162"/>
      <c r="E342" s="166"/>
      <c r="F342" s="166"/>
      <c r="G342" s="162"/>
      <c r="H342" s="162"/>
      <c r="I342" s="162"/>
      <c r="J342" s="162"/>
      <c r="K342" s="162"/>
      <c r="L342" s="162"/>
      <c r="M342" s="162"/>
      <c r="N342" s="162"/>
      <c r="O342" s="162"/>
      <c r="P342" s="162"/>
      <c r="Q342" s="162"/>
      <c r="R342" s="162"/>
      <c r="S342" s="162"/>
      <c r="T342" s="162"/>
      <c r="U342" s="162"/>
      <c r="V342" s="162"/>
      <c r="W342" s="162"/>
      <c r="X342" s="162"/>
      <c r="Y342" s="162"/>
      <c r="Z342" s="162"/>
    </row>
    <row r="343" ht="18.75" customHeight="1">
      <c r="A343" s="162"/>
      <c r="B343" s="162"/>
      <c r="C343" s="162"/>
      <c r="D343" s="162"/>
      <c r="E343" s="166"/>
      <c r="F343" s="166"/>
      <c r="G343" s="162"/>
      <c r="H343" s="162"/>
      <c r="I343" s="162"/>
      <c r="J343" s="162"/>
      <c r="K343" s="162"/>
      <c r="L343" s="162"/>
      <c r="M343" s="162"/>
      <c r="N343" s="162"/>
      <c r="O343" s="162"/>
      <c r="P343" s="162"/>
      <c r="Q343" s="162"/>
      <c r="R343" s="162"/>
      <c r="S343" s="162"/>
      <c r="T343" s="162"/>
      <c r="U343" s="162"/>
      <c r="V343" s="162"/>
      <c r="W343" s="162"/>
      <c r="X343" s="162"/>
      <c r="Y343" s="162"/>
      <c r="Z343" s="162"/>
    </row>
    <row r="344" ht="18.75" customHeight="1">
      <c r="A344" s="162"/>
      <c r="B344" s="162"/>
      <c r="C344" s="162"/>
      <c r="D344" s="162"/>
      <c r="E344" s="166"/>
      <c r="F344" s="166"/>
      <c r="G344" s="162"/>
      <c r="H344" s="162"/>
      <c r="I344" s="162"/>
      <c r="J344" s="162"/>
      <c r="K344" s="162"/>
      <c r="L344" s="162"/>
      <c r="M344" s="162"/>
      <c r="N344" s="162"/>
      <c r="O344" s="162"/>
      <c r="P344" s="162"/>
      <c r="Q344" s="162"/>
      <c r="R344" s="162"/>
      <c r="S344" s="162"/>
      <c r="T344" s="162"/>
      <c r="U344" s="162"/>
      <c r="V344" s="162"/>
      <c r="W344" s="162"/>
      <c r="X344" s="162"/>
      <c r="Y344" s="162"/>
      <c r="Z344" s="162"/>
    </row>
    <row r="345" ht="18.75" customHeight="1">
      <c r="A345" s="162"/>
      <c r="B345" s="162"/>
      <c r="C345" s="162"/>
      <c r="D345" s="162"/>
      <c r="E345" s="166"/>
      <c r="F345" s="166"/>
      <c r="G345" s="162"/>
      <c r="H345" s="162"/>
      <c r="I345" s="162"/>
      <c r="J345" s="162"/>
      <c r="K345" s="162"/>
      <c r="L345" s="162"/>
      <c r="M345" s="162"/>
      <c r="N345" s="162"/>
      <c r="O345" s="162"/>
      <c r="P345" s="162"/>
      <c r="Q345" s="162"/>
      <c r="R345" s="162"/>
      <c r="S345" s="162"/>
      <c r="T345" s="162"/>
      <c r="U345" s="162"/>
      <c r="V345" s="162"/>
      <c r="W345" s="162"/>
      <c r="X345" s="162"/>
      <c r="Y345" s="162"/>
      <c r="Z345" s="162"/>
    </row>
    <row r="346" ht="18.75" customHeight="1">
      <c r="A346" s="162"/>
      <c r="B346" s="162"/>
      <c r="C346" s="162"/>
      <c r="D346" s="162"/>
      <c r="E346" s="166"/>
      <c r="F346" s="166"/>
      <c r="G346" s="162"/>
      <c r="H346" s="162"/>
      <c r="I346" s="162"/>
      <c r="J346" s="162"/>
      <c r="K346" s="162"/>
      <c r="L346" s="162"/>
      <c r="M346" s="162"/>
      <c r="N346" s="162"/>
      <c r="O346" s="162"/>
      <c r="P346" s="162"/>
      <c r="Q346" s="162"/>
      <c r="R346" s="162"/>
      <c r="S346" s="162"/>
      <c r="T346" s="162"/>
      <c r="U346" s="162"/>
      <c r="V346" s="162"/>
      <c r="W346" s="162"/>
      <c r="X346" s="162"/>
      <c r="Y346" s="162"/>
      <c r="Z346" s="162"/>
    </row>
    <row r="347" ht="18.75" customHeight="1">
      <c r="A347" s="162"/>
      <c r="B347" s="162"/>
      <c r="C347" s="162"/>
      <c r="D347" s="162"/>
      <c r="E347" s="166"/>
      <c r="F347" s="166"/>
      <c r="G347" s="162"/>
      <c r="H347" s="162"/>
      <c r="I347" s="162"/>
      <c r="J347" s="162"/>
      <c r="K347" s="162"/>
      <c r="L347" s="162"/>
      <c r="M347" s="162"/>
      <c r="N347" s="162"/>
      <c r="O347" s="162"/>
      <c r="P347" s="162"/>
      <c r="Q347" s="162"/>
      <c r="R347" s="162"/>
      <c r="S347" s="162"/>
      <c r="T347" s="162"/>
      <c r="U347" s="162"/>
      <c r="V347" s="162"/>
      <c r="W347" s="162"/>
      <c r="X347" s="162"/>
      <c r="Y347" s="162"/>
      <c r="Z347" s="162"/>
    </row>
    <row r="348" ht="18.75" customHeight="1">
      <c r="A348" s="162"/>
      <c r="B348" s="162"/>
      <c r="C348" s="162"/>
      <c r="D348" s="162"/>
      <c r="E348" s="166"/>
      <c r="F348" s="166"/>
      <c r="G348" s="162"/>
      <c r="H348" s="162"/>
      <c r="I348" s="162"/>
      <c r="J348" s="162"/>
      <c r="K348" s="162"/>
      <c r="L348" s="162"/>
      <c r="M348" s="162"/>
      <c r="N348" s="162"/>
      <c r="O348" s="162"/>
      <c r="P348" s="162"/>
      <c r="Q348" s="162"/>
      <c r="R348" s="162"/>
      <c r="S348" s="162"/>
      <c r="T348" s="162"/>
      <c r="U348" s="162"/>
      <c r="V348" s="162"/>
      <c r="W348" s="162"/>
      <c r="X348" s="162"/>
      <c r="Y348" s="162"/>
      <c r="Z348" s="162"/>
    </row>
    <row r="349" ht="18.75" customHeight="1">
      <c r="A349" s="162"/>
      <c r="B349" s="162"/>
      <c r="C349" s="162"/>
      <c r="D349" s="162"/>
      <c r="E349" s="166"/>
      <c r="F349" s="166"/>
      <c r="G349" s="162"/>
      <c r="H349" s="162"/>
      <c r="I349" s="162"/>
      <c r="J349" s="162"/>
      <c r="K349" s="162"/>
      <c r="L349" s="162"/>
      <c r="M349" s="162"/>
      <c r="N349" s="162"/>
      <c r="O349" s="162"/>
      <c r="P349" s="162"/>
      <c r="Q349" s="162"/>
      <c r="R349" s="162"/>
      <c r="S349" s="162"/>
      <c r="T349" s="162"/>
      <c r="U349" s="162"/>
      <c r="V349" s="162"/>
      <c r="W349" s="162"/>
      <c r="X349" s="162"/>
      <c r="Y349" s="162"/>
      <c r="Z349" s="162"/>
    </row>
    <row r="350" ht="18.75" customHeight="1">
      <c r="A350" s="162"/>
      <c r="B350" s="162"/>
      <c r="C350" s="162"/>
      <c r="D350" s="162"/>
      <c r="E350" s="166"/>
      <c r="F350" s="166"/>
      <c r="G350" s="162"/>
      <c r="H350" s="162"/>
      <c r="I350" s="162"/>
      <c r="J350" s="162"/>
      <c r="K350" s="162"/>
      <c r="L350" s="162"/>
      <c r="M350" s="162"/>
      <c r="N350" s="162"/>
      <c r="O350" s="162"/>
      <c r="P350" s="162"/>
      <c r="Q350" s="162"/>
      <c r="R350" s="162"/>
      <c r="S350" s="162"/>
      <c r="T350" s="162"/>
      <c r="U350" s="162"/>
      <c r="V350" s="162"/>
      <c r="W350" s="162"/>
      <c r="X350" s="162"/>
      <c r="Y350" s="162"/>
      <c r="Z350" s="162"/>
    </row>
    <row r="351" ht="18.75" customHeight="1">
      <c r="A351" s="162"/>
      <c r="B351" s="162"/>
      <c r="C351" s="162"/>
      <c r="D351" s="162"/>
      <c r="E351" s="166"/>
      <c r="F351" s="166"/>
      <c r="G351" s="162"/>
      <c r="H351" s="162"/>
      <c r="I351" s="162"/>
      <c r="J351" s="162"/>
      <c r="K351" s="162"/>
      <c r="L351" s="162"/>
      <c r="M351" s="162"/>
      <c r="N351" s="162"/>
      <c r="O351" s="162"/>
      <c r="P351" s="162"/>
      <c r="Q351" s="162"/>
      <c r="R351" s="162"/>
      <c r="S351" s="162"/>
      <c r="T351" s="162"/>
      <c r="U351" s="162"/>
      <c r="V351" s="162"/>
      <c r="W351" s="162"/>
      <c r="X351" s="162"/>
      <c r="Y351" s="162"/>
      <c r="Z351" s="162"/>
    </row>
    <row r="352" ht="18.75" customHeight="1">
      <c r="A352" s="162"/>
      <c r="B352" s="162"/>
      <c r="C352" s="162"/>
      <c r="D352" s="162"/>
      <c r="E352" s="166"/>
      <c r="F352" s="166"/>
      <c r="G352" s="162"/>
      <c r="H352" s="162"/>
      <c r="I352" s="162"/>
      <c r="J352" s="162"/>
      <c r="K352" s="162"/>
      <c r="L352" s="162"/>
      <c r="M352" s="162"/>
      <c r="N352" s="162"/>
      <c r="O352" s="162"/>
      <c r="P352" s="162"/>
      <c r="Q352" s="162"/>
      <c r="R352" s="162"/>
      <c r="S352" s="162"/>
      <c r="T352" s="162"/>
      <c r="U352" s="162"/>
      <c r="V352" s="162"/>
      <c r="W352" s="162"/>
      <c r="X352" s="162"/>
      <c r="Y352" s="162"/>
      <c r="Z352" s="162"/>
    </row>
    <row r="353" ht="18.75" customHeight="1">
      <c r="A353" s="162"/>
      <c r="B353" s="162"/>
      <c r="C353" s="162"/>
      <c r="D353" s="162"/>
      <c r="E353" s="166"/>
      <c r="F353" s="166"/>
      <c r="G353" s="162"/>
      <c r="H353" s="162"/>
      <c r="I353" s="162"/>
      <c r="J353" s="162"/>
      <c r="K353" s="162"/>
      <c r="L353" s="162"/>
      <c r="M353" s="162"/>
      <c r="N353" s="162"/>
      <c r="O353" s="162"/>
      <c r="P353" s="162"/>
      <c r="Q353" s="162"/>
      <c r="R353" s="162"/>
      <c r="S353" s="162"/>
      <c r="T353" s="162"/>
      <c r="U353" s="162"/>
      <c r="V353" s="162"/>
      <c r="W353" s="162"/>
      <c r="X353" s="162"/>
      <c r="Y353" s="162"/>
      <c r="Z353" s="162"/>
    </row>
    <row r="354" ht="18.75" customHeight="1">
      <c r="A354" s="162"/>
      <c r="B354" s="162"/>
      <c r="C354" s="162"/>
      <c r="D354" s="162"/>
      <c r="E354" s="166"/>
      <c r="F354" s="166"/>
      <c r="G354" s="162"/>
      <c r="H354" s="162"/>
      <c r="I354" s="162"/>
      <c r="J354" s="162"/>
      <c r="K354" s="162"/>
      <c r="L354" s="162"/>
      <c r="M354" s="162"/>
      <c r="N354" s="162"/>
      <c r="O354" s="162"/>
      <c r="P354" s="162"/>
      <c r="Q354" s="162"/>
      <c r="R354" s="162"/>
      <c r="S354" s="162"/>
      <c r="T354" s="162"/>
      <c r="U354" s="162"/>
      <c r="V354" s="162"/>
      <c r="W354" s="162"/>
      <c r="X354" s="162"/>
      <c r="Y354" s="162"/>
      <c r="Z354" s="162"/>
    </row>
    <row r="355" ht="18.75" customHeight="1">
      <c r="A355" s="162"/>
      <c r="B355" s="162"/>
      <c r="C355" s="162"/>
      <c r="D355" s="162"/>
      <c r="E355" s="166"/>
      <c r="F355" s="166"/>
      <c r="G355" s="162"/>
      <c r="H355" s="162"/>
      <c r="I355" s="162"/>
      <c r="J355" s="162"/>
      <c r="K355" s="162"/>
      <c r="L355" s="162"/>
      <c r="M355" s="162"/>
      <c r="N355" s="162"/>
      <c r="O355" s="162"/>
      <c r="P355" s="162"/>
      <c r="Q355" s="162"/>
      <c r="R355" s="162"/>
      <c r="S355" s="162"/>
      <c r="T355" s="162"/>
      <c r="U355" s="162"/>
      <c r="V355" s="162"/>
      <c r="W355" s="162"/>
      <c r="X355" s="162"/>
      <c r="Y355" s="162"/>
      <c r="Z355" s="162"/>
    </row>
    <row r="356" ht="18.75" customHeight="1">
      <c r="A356" s="162"/>
      <c r="B356" s="162"/>
      <c r="C356" s="162"/>
      <c r="D356" s="162"/>
      <c r="E356" s="166"/>
      <c r="F356" s="166"/>
      <c r="G356" s="162"/>
      <c r="H356" s="162"/>
      <c r="I356" s="162"/>
      <c r="J356" s="162"/>
      <c r="K356" s="162"/>
      <c r="L356" s="162"/>
      <c r="M356" s="162"/>
      <c r="N356" s="162"/>
      <c r="O356" s="162"/>
      <c r="P356" s="162"/>
      <c r="Q356" s="162"/>
      <c r="R356" s="162"/>
      <c r="S356" s="162"/>
      <c r="T356" s="162"/>
      <c r="U356" s="162"/>
      <c r="V356" s="162"/>
      <c r="W356" s="162"/>
      <c r="X356" s="162"/>
      <c r="Y356" s="162"/>
      <c r="Z356" s="162"/>
    </row>
    <row r="357" ht="18.75" customHeight="1">
      <c r="A357" s="162"/>
      <c r="B357" s="162"/>
      <c r="C357" s="162"/>
      <c r="D357" s="162"/>
      <c r="E357" s="166"/>
      <c r="F357" s="166"/>
      <c r="G357" s="162"/>
      <c r="H357" s="162"/>
      <c r="I357" s="162"/>
      <c r="J357" s="162"/>
      <c r="K357" s="162"/>
      <c r="L357" s="162"/>
      <c r="M357" s="162"/>
      <c r="N357" s="162"/>
      <c r="O357" s="162"/>
      <c r="P357" s="162"/>
      <c r="Q357" s="162"/>
      <c r="R357" s="162"/>
      <c r="S357" s="162"/>
      <c r="T357" s="162"/>
      <c r="U357" s="162"/>
      <c r="V357" s="162"/>
      <c r="W357" s="162"/>
      <c r="X357" s="162"/>
      <c r="Y357" s="162"/>
      <c r="Z357" s="162"/>
    </row>
    <row r="358" ht="18.75" customHeight="1">
      <c r="A358" s="162"/>
      <c r="B358" s="162"/>
      <c r="C358" s="162"/>
      <c r="D358" s="162"/>
      <c r="E358" s="166"/>
      <c r="F358" s="166"/>
      <c r="G358" s="162"/>
      <c r="H358" s="162"/>
      <c r="I358" s="162"/>
      <c r="J358" s="162"/>
      <c r="K358" s="162"/>
      <c r="L358" s="162"/>
      <c r="M358" s="162"/>
      <c r="N358" s="162"/>
      <c r="O358" s="162"/>
      <c r="P358" s="162"/>
      <c r="Q358" s="162"/>
      <c r="R358" s="162"/>
      <c r="S358" s="162"/>
      <c r="T358" s="162"/>
      <c r="U358" s="162"/>
      <c r="V358" s="162"/>
      <c r="W358" s="162"/>
      <c r="X358" s="162"/>
      <c r="Y358" s="162"/>
      <c r="Z358" s="162"/>
    </row>
    <row r="359" ht="18.75" customHeight="1">
      <c r="A359" s="162"/>
      <c r="B359" s="162"/>
      <c r="C359" s="162"/>
      <c r="D359" s="162"/>
      <c r="E359" s="166"/>
      <c r="F359" s="166"/>
      <c r="G359" s="162"/>
      <c r="H359" s="162"/>
      <c r="I359" s="162"/>
      <c r="J359" s="162"/>
      <c r="K359" s="162"/>
      <c r="L359" s="162"/>
      <c r="M359" s="162"/>
      <c r="N359" s="162"/>
      <c r="O359" s="162"/>
      <c r="P359" s="162"/>
      <c r="Q359" s="162"/>
      <c r="R359" s="162"/>
      <c r="S359" s="162"/>
      <c r="T359" s="162"/>
      <c r="U359" s="162"/>
      <c r="V359" s="162"/>
      <c r="W359" s="162"/>
      <c r="X359" s="162"/>
      <c r="Y359" s="162"/>
      <c r="Z359" s="162"/>
    </row>
    <row r="360" ht="18.75" customHeight="1">
      <c r="A360" s="162"/>
      <c r="B360" s="162"/>
      <c r="C360" s="162"/>
      <c r="D360" s="162"/>
      <c r="E360" s="166"/>
      <c r="F360" s="166"/>
      <c r="G360" s="162"/>
      <c r="H360" s="162"/>
      <c r="I360" s="162"/>
      <c r="J360" s="162"/>
      <c r="K360" s="162"/>
      <c r="L360" s="162"/>
      <c r="M360" s="162"/>
      <c r="N360" s="162"/>
      <c r="O360" s="162"/>
      <c r="P360" s="162"/>
      <c r="Q360" s="162"/>
      <c r="R360" s="162"/>
      <c r="S360" s="162"/>
      <c r="T360" s="162"/>
      <c r="U360" s="162"/>
      <c r="V360" s="162"/>
      <c r="W360" s="162"/>
      <c r="X360" s="162"/>
      <c r="Y360" s="162"/>
      <c r="Z360" s="162"/>
    </row>
    <row r="361" ht="18.75" customHeight="1">
      <c r="A361" s="162"/>
      <c r="B361" s="162"/>
      <c r="C361" s="162"/>
      <c r="D361" s="162"/>
      <c r="E361" s="166"/>
      <c r="F361" s="166"/>
      <c r="G361" s="162"/>
      <c r="H361" s="162"/>
      <c r="I361" s="162"/>
      <c r="J361" s="162"/>
      <c r="K361" s="162"/>
      <c r="L361" s="162"/>
      <c r="M361" s="162"/>
      <c r="N361" s="162"/>
      <c r="O361" s="162"/>
      <c r="P361" s="162"/>
      <c r="Q361" s="162"/>
      <c r="R361" s="162"/>
      <c r="S361" s="162"/>
      <c r="T361" s="162"/>
      <c r="U361" s="162"/>
      <c r="V361" s="162"/>
      <c r="W361" s="162"/>
      <c r="X361" s="162"/>
      <c r="Y361" s="162"/>
      <c r="Z361" s="162"/>
    </row>
    <row r="362" ht="18.75" customHeight="1">
      <c r="A362" s="162"/>
      <c r="B362" s="162"/>
      <c r="C362" s="162"/>
      <c r="D362" s="162"/>
      <c r="E362" s="166"/>
      <c r="F362" s="166"/>
      <c r="G362" s="162"/>
      <c r="H362" s="162"/>
      <c r="I362" s="162"/>
      <c r="J362" s="162"/>
      <c r="K362" s="162"/>
      <c r="L362" s="162"/>
      <c r="M362" s="162"/>
      <c r="N362" s="162"/>
      <c r="O362" s="162"/>
      <c r="P362" s="162"/>
      <c r="Q362" s="162"/>
      <c r="R362" s="162"/>
      <c r="S362" s="162"/>
      <c r="T362" s="162"/>
      <c r="U362" s="162"/>
      <c r="V362" s="162"/>
      <c r="W362" s="162"/>
      <c r="X362" s="162"/>
      <c r="Y362" s="162"/>
      <c r="Z362" s="162"/>
    </row>
    <row r="363" ht="18.75" customHeight="1">
      <c r="A363" s="162"/>
      <c r="B363" s="162"/>
      <c r="C363" s="162"/>
      <c r="D363" s="162"/>
      <c r="E363" s="166"/>
      <c r="F363" s="166"/>
      <c r="G363" s="162"/>
      <c r="H363" s="162"/>
      <c r="I363" s="162"/>
      <c r="J363" s="162"/>
      <c r="K363" s="162"/>
      <c r="L363" s="162"/>
      <c r="M363" s="162"/>
      <c r="N363" s="162"/>
      <c r="O363" s="162"/>
      <c r="P363" s="162"/>
      <c r="Q363" s="162"/>
      <c r="R363" s="162"/>
      <c r="S363" s="162"/>
      <c r="T363" s="162"/>
      <c r="U363" s="162"/>
      <c r="V363" s="162"/>
      <c r="W363" s="162"/>
      <c r="X363" s="162"/>
      <c r="Y363" s="162"/>
      <c r="Z363" s="162"/>
    </row>
    <row r="364" ht="18.75" customHeight="1">
      <c r="A364" s="162"/>
      <c r="B364" s="162"/>
      <c r="C364" s="162"/>
      <c r="D364" s="162"/>
      <c r="E364" s="166"/>
      <c r="F364" s="166"/>
      <c r="G364" s="162"/>
      <c r="H364" s="162"/>
      <c r="I364" s="162"/>
      <c r="J364" s="162"/>
      <c r="K364" s="162"/>
      <c r="L364" s="162"/>
      <c r="M364" s="162"/>
      <c r="N364" s="162"/>
      <c r="O364" s="162"/>
      <c r="P364" s="162"/>
      <c r="Q364" s="162"/>
      <c r="R364" s="162"/>
      <c r="S364" s="162"/>
      <c r="T364" s="162"/>
      <c r="U364" s="162"/>
      <c r="V364" s="162"/>
      <c r="W364" s="162"/>
      <c r="X364" s="162"/>
      <c r="Y364" s="162"/>
      <c r="Z364" s="162"/>
    </row>
    <row r="365" ht="18.75" customHeight="1">
      <c r="A365" s="162"/>
      <c r="B365" s="162"/>
      <c r="C365" s="162"/>
      <c r="D365" s="162"/>
      <c r="E365" s="166"/>
      <c r="F365" s="166"/>
      <c r="G365" s="162"/>
      <c r="H365" s="162"/>
      <c r="I365" s="162"/>
      <c r="J365" s="162"/>
      <c r="K365" s="162"/>
      <c r="L365" s="162"/>
      <c r="M365" s="162"/>
      <c r="N365" s="162"/>
      <c r="O365" s="162"/>
      <c r="P365" s="162"/>
      <c r="Q365" s="162"/>
      <c r="R365" s="162"/>
      <c r="S365" s="162"/>
      <c r="T365" s="162"/>
      <c r="U365" s="162"/>
      <c r="V365" s="162"/>
      <c r="W365" s="162"/>
      <c r="X365" s="162"/>
      <c r="Y365" s="162"/>
      <c r="Z365" s="162"/>
    </row>
    <row r="366" ht="18.75" customHeight="1">
      <c r="A366" s="162"/>
      <c r="B366" s="162"/>
      <c r="C366" s="162"/>
      <c r="D366" s="162"/>
      <c r="E366" s="166"/>
      <c r="F366" s="166"/>
      <c r="G366" s="162"/>
      <c r="H366" s="162"/>
      <c r="I366" s="162"/>
      <c r="J366" s="162"/>
      <c r="K366" s="162"/>
      <c r="L366" s="162"/>
      <c r="M366" s="162"/>
      <c r="N366" s="162"/>
      <c r="O366" s="162"/>
      <c r="P366" s="162"/>
      <c r="Q366" s="162"/>
      <c r="R366" s="162"/>
      <c r="S366" s="162"/>
      <c r="T366" s="162"/>
      <c r="U366" s="162"/>
      <c r="V366" s="162"/>
      <c r="W366" s="162"/>
      <c r="X366" s="162"/>
      <c r="Y366" s="162"/>
      <c r="Z366" s="162"/>
    </row>
    <row r="367" ht="18.75" customHeight="1">
      <c r="A367" s="162"/>
      <c r="B367" s="162"/>
      <c r="C367" s="162"/>
      <c r="D367" s="162"/>
      <c r="E367" s="166"/>
      <c r="F367" s="166"/>
      <c r="G367" s="162"/>
      <c r="H367" s="162"/>
      <c r="I367" s="162"/>
      <c r="J367" s="162"/>
      <c r="K367" s="162"/>
      <c r="L367" s="162"/>
      <c r="M367" s="162"/>
      <c r="N367" s="162"/>
      <c r="O367" s="162"/>
      <c r="P367" s="162"/>
      <c r="Q367" s="162"/>
      <c r="R367" s="162"/>
      <c r="S367" s="162"/>
      <c r="T367" s="162"/>
      <c r="U367" s="162"/>
      <c r="V367" s="162"/>
      <c r="W367" s="162"/>
      <c r="X367" s="162"/>
      <c r="Y367" s="162"/>
      <c r="Z367" s="162"/>
    </row>
    <row r="368" ht="18.75" customHeight="1">
      <c r="A368" s="162"/>
      <c r="B368" s="162"/>
      <c r="C368" s="162"/>
      <c r="D368" s="162"/>
      <c r="E368" s="166"/>
      <c r="F368" s="166"/>
      <c r="G368" s="162"/>
      <c r="H368" s="162"/>
      <c r="I368" s="162"/>
      <c r="J368" s="162"/>
      <c r="K368" s="162"/>
      <c r="L368" s="162"/>
      <c r="M368" s="162"/>
      <c r="N368" s="162"/>
      <c r="O368" s="162"/>
      <c r="P368" s="162"/>
      <c r="Q368" s="162"/>
      <c r="R368" s="162"/>
      <c r="S368" s="162"/>
      <c r="T368" s="162"/>
      <c r="U368" s="162"/>
      <c r="V368" s="162"/>
      <c r="W368" s="162"/>
      <c r="X368" s="162"/>
      <c r="Y368" s="162"/>
      <c r="Z368" s="162"/>
    </row>
    <row r="369" ht="18.75" customHeight="1">
      <c r="A369" s="162"/>
      <c r="B369" s="162"/>
      <c r="C369" s="162"/>
      <c r="D369" s="162"/>
      <c r="E369" s="166"/>
      <c r="F369" s="166"/>
      <c r="G369" s="162"/>
      <c r="H369" s="162"/>
      <c r="I369" s="162"/>
      <c r="J369" s="162"/>
      <c r="K369" s="162"/>
      <c r="L369" s="162"/>
      <c r="M369" s="162"/>
      <c r="N369" s="162"/>
      <c r="O369" s="162"/>
      <c r="P369" s="162"/>
      <c r="Q369" s="162"/>
      <c r="R369" s="162"/>
      <c r="S369" s="162"/>
      <c r="T369" s="162"/>
      <c r="U369" s="162"/>
      <c r="V369" s="162"/>
      <c r="W369" s="162"/>
      <c r="X369" s="162"/>
      <c r="Y369" s="162"/>
      <c r="Z369" s="162"/>
    </row>
    <row r="370" ht="18.75" customHeight="1">
      <c r="A370" s="162"/>
      <c r="B370" s="162"/>
      <c r="C370" s="162"/>
      <c r="D370" s="162"/>
      <c r="E370" s="166"/>
      <c r="F370" s="166"/>
      <c r="G370" s="162"/>
      <c r="H370" s="162"/>
      <c r="I370" s="162"/>
      <c r="J370" s="162"/>
      <c r="K370" s="162"/>
      <c r="L370" s="162"/>
      <c r="M370" s="162"/>
      <c r="N370" s="162"/>
      <c r="O370" s="162"/>
      <c r="P370" s="162"/>
      <c r="Q370" s="162"/>
      <c r="R370" s="162"/>
      <c r="S370" s="162"/>
      <c r="T370" s="162"/>
      <c r="U370" s="162"/>
      <c r="V370" s="162"/>
      <c r="W370" s="162"/>
      <c r="X370" s="162"/>
      <c r="Y370" s="162"/>
      <c r="Z370" s="162"/>
    </row>
    <row r="371" ht="18.75" customHeight="1">
      <c r="A371" s="162"/>
      <c r="B371" s="162"/>
      <c r="C371" s="162"/>
      <c r="D371" s="162"/>
      <c r="E371" s="166"/>
      <c r="F371" s="166"/>
      <c r="G371" s="162"/>
      <c r="H371" s="162"/>
      <c r="I371" s="162"/>
      <c r="J371" s="162"/>
      <c r="K371" s="162"/>
      <c r="L371" s="162"/>
      <c r="M371" s="162"/>
      <c r="N371" s="162"/>
      <c r="O371" s="162"/>
      <c r="P371" s="162"/>
      <c r="Q371" s="162"/>
      <c r="R371" s="162"/>
      <c r="S371" s="162"/>
      <c r="T371" s="162"/>
      <c r="U371" s="162"/>
      <c r="V371" s="162"/>
      <c r="W371" s="162"/>
      <c r="X371" s="162"/>
      <c r="Y371" s="162"/>
      <c r="Z371" s="162"/>
    </row>
    <row r="372" ht="18.75" customHeight="1">
      <c r="A372" s="162"/>
      <c r="B372" s="162"/>
      <c r="C372" s="162"/>
      <c r="D372" s="162"/>
      <c r="E372" s="166"/>
      <c r="F372" s="166"/>
      <c r="G372" s="162"/>
      <c r="H372" s="162"/>
      <c r="I372" s="162"/>
      <c r="J372" s="162"/>
      <c r="K372" s="162"/>
      <c r="L372" s="162"/>
      <c r="M372" s="162"/>
      <c r="N372" s="162"/>
      <c r="O372" s="162"/>
      <c r="P372" s="162"/>
      <c r="Q372" s="162"/>
      <c r="R372" s="162"/>
      <c r="S372" s="162"/>
      <c r="T372" s="162"/>
      <c r="U372" s="162"/>
      <c r="V372" s="162"/>
      <c r="W372" s="162"/>
      <c r="X372" s="162"/>
      <c r="Y372" s="162"/>
      <c r="Z372" s="162"/>
    </row>
    <row r="373" ht="18.75" customHeight="1">
      <c r="A373" s="162"/>
      <c r="B373" s="162"/>
      <c r="C373" s="162"/>
      <c r="D373" s="162"/>
      <c r="E373" s="166"/>
      <c r="F373" s="166"/>
      <c r="G373" s="162"/>
      <c r="H373" s="162"/>
      <c r="I373" s="162"/>
      <c r="J373" s="162"/>
      <c r="K373" s="162"/>
      <c r="L373" s="162"/>
      <c r="M373" s="162"/>
      <c r="N373" s="162"/>
      <c r="O373" s="162"/>
      <c r="P373" s="162"/>
      <c r="Q373" s="162"/>
      <c r="R373" s="162"/>
      <c r="S373" s="162"/>
      <c r="T373" s="162"/>
      <c r="U373" s="162"/>
      <c r="V373" s="162"/>
      <c r="W373" s="162"/>
      <c r="X373" s="162"/>
      <c r="Y373" s="162"/>
      <c r="Z373" s="162"/>
    </row>
    <row r="374" ht="18.75" customHeight="1">
      <c r="A374" s="162"/>
      <c r="B374" s="162"/>
      <c r="C374" s="162"/>
      <c r="D374" s="162"/>
      <c r="E374" s="166"/>
      <c r="F374" s="166"/>
      <c r="G374" s="162"/>
      <c r="H374" s="162"/>
      <c r="I374" s="162"/>
      <c r="J374" s="162"/>
      <c r="K374" s="162"/>
      <c r="L374" s="162"/>
      <c r="M374" s="162"/>
      <c r="N374" s="162"/>
      <c r="O374" s="162"/>
      <c r="P374" s="162"/>
      <c r="Q374" s="162"/>
      <c r="R374" s="162"/>
      <c r="S374" s="162"/>
      <c r="T374" s="162"/>
      <c r="U374" s="162"/>
      <c r="V374" s="162"/>
      <c r="W374" s="162"/>
      <c r="X374" s="162"/>
      <c r="Y374" s="162"/>
      <c r="Z374" s="162"/>
    </row>
    <row r="375" ht="18.75" customHeight="1">
      <c r="A375" s="162"/>
      <c r="B375" s="162"/>
      <c r="C375" s="162"/>
      <c r="D375" s="162"/>
      <c r="E375" s="166"/>
      <c r="F375" s="166"/>
      <c r="G375" s="162"/>
      <c r="H375" s="162"/>
      <c r="I375" s="162"/>
      <c r="J375" s="162"/>
      <c r="K375" s="162"/>
      <c r="L375" s="162"/>
      <c r="M375" s="162"/>
      <c r="N375" s="162"/>
      <c r="O375" s="162"/>
      <c r="P375" s="162"/>
      <c r="Q375" s="162"/>
      <c r="R375" s="162"/>
      <c r="S375" s="162"/>
      <c r="T375" s="162"/>
      <c r="U375" s="162"/>
      <c r="V375" s="162"/>
      <c r="W375" s="162"/>
      <c r="X375" s="162"/>
      <c r="Y375" s="162"/>
      <c r="Z375" s="162"/>
    </row>
    <row r="376" ht="18.75" customHeight="1">
      <c r="A376" s="162"/>
      <c r="B376" s="162"/>
      <c r="C376" s="162"/>
      <c r="D376" s="162"/>
      <c r="E376" s="166"/>
      <c r="F376" s="166"/>
      <c r="G376" s="162"/>
      <c r="H376" s="162"/>
      <c r="I376" s="162"/>
      <c r="J376" s="162"/>
      <c r="K376" s="162"/>
      <c r="L376" s="162"/>
      <c r="M376" s="162"/>
      <c r="N376" s="162"/>
      <c r="O376" s="162"/>
      <c r="P376" s="162"/>
      <c r="Q376" s="162"/>
      <c r="R376" s="162"/>
      <c r="S376" s="162"/>
      <c r="T376" s="162"/>
      <c r="U376" s="162"/>
      <c r="V376" s="162"/>
      <c r="W376" s="162"/>
      <c r="X376" s="162"/>
      <c r="Y376" s="162"/>
      <c r="Z376" s="162"/>
    </row>
    <row r="377" ht="18.75" customHeight="1">
      <c r="A377" s="162"/>
      <c r="B377" s="162"/>
      <c r="C377" s="162"/>
      <c r="D377" s="162"/>
      <c r="E377" s="166"/>
      <c r="F377" s="166"/>
      <c r="G377" s="162"/>
      <c r="H377" s="162"/>
      <c r="I377" s="162"/>
      <c r="J377" s="162"/>
      <c r="K377" s="162"/>
      <c r="L377" s="162"/>
      <c r="M377" s="162"/>
      <c r="N377" s="162"/>
      <c r="O377" s="162"/>
      <c r="P377" s="162"/>
      <c r="Q377" s="162"/>
      <c r="R377" s="162"/>
      <c r="S377" s="162"/>
      <c r="T377" s="162"/>
      <c r="U377" s="162"/>
      <c r="V377" s="162"/>
      <c r="W377" s="162"/>
      <c r="X377" s="162"/>
      <c r="Y377" s="162"/>
      <c r="Z377" s="162"/>
    </row>
    <row r="378" ht="18.75" customHeight="1">
      <c r="A378" s="162"/>
      <c r="B378" s="162"/>
      <c r="C378" s="162"/>
      <c r="D378" s="162"/>
      <c r="E378" s="166"/>
      <c r="F378" s="166"/>
      <c r="G378" s="162"/>
      <c r="H378" s="162"/>
      <c r="I378" s="162"/>
      <c r="J378" s="162"/>
      <c r="K378" s="162"/>
      <c r="L378" s="162"/>
      <c r="M378" s="162"/>
      <c r="N378" s="162"/>
      <c r="O378" s="162"/>
      <c r="P378" s="162"/>
      <c r="Q378" s="162"/>
      <c r="R378" s="162"/>
      <c r="S378" s="162"/>
      <c r="T378" s="162"/>
      <c r="U378" s="162"/>
      <c r="V378" s="162"/>
      <c r="W378" s="162"/>
      <c r="X378" s="162"/>
      <c r="Y378" s="162"/>
      <c r="Z378" s="162"/>
    </row>
    <row r="379" ht="18.75" customHeight="1">
      <c r="A379" s="162"/>
      <c r="B379" s="162"/>
      <c r="C379" s="162"/>
      <c r="D379" s="162"/>
      <c r="E379" s="166"/>
      <c r="F379" s="166"/>
      <c r="G379" s="162"/>
      <c r="H379" s="162"/>
      <c r="I379" s="162"/>
      <c r="J379" s="162"/>
      <c r="K379" s="162"/>
      <c r="L379" s="162"/>
      <c r="M379" s="162"/>
      <c r="N379" s="162"/>
      <c r="O379" s="162"/>
      <c r="P379" s="162"/>
      <c r="Q379" s="162"/>
      <c r="R379" s="162"/>
      <c r="S379" s="162"/>
      <c r="T379" s="162"/>
      <c r="U379" s="162"/>
      <c r="V379" s="162"/>
      <c r="W379" s="162"/>
      <c r="X379" s="162"/>
      <c r="Y379" s="162"/>
      <c r="Z379" s="162"/>
    </row>
    <row r="380" ht="18.75" customHeight="1">
      <c r="A380" s="162"/>
      <c r="B380" s="162"/>
      <c r="C380" s="162"/>
      <c r="D380" s="162"/>
      <c r="E380" s="166"/>
      <c r="F380" s="166"/>
      <c r="G380" s="162"/>
      <c r="H380" s="162"/>
      <c r="I380" s="162"/>
      <c r="J380" s="162"/>
      <c r="K380" s="162"/>
      <c r="L380" s="162"/>
      <c r="M380" s="162"/>
      <c r="N380" s="162"/>
      <c r="O380" s="162"/>
      <c r="P380" s="162"/>
      <c r="Q380" s="162"/>
      <c r="R380" s="162"/>
      <c r="S380" s="162"/>
      <c r="T380" s="162"/>
      <c r="U380" s="162"/>
      <c r="V380" s="162"/>
      <c r="W380" s="162"/>
      <c r="X380" s="162"/>
      <c r="Y380" s="162"/>
      <c r="Z380" s="162"/>
    </row>
    <row r="381" ht="18.75" customHeight="1">
      <c r="A381" s="162"/>
      <c r="B381" s="162"/>
      <c r="C381" s="162"/>
      <c r="D381" s="162"/>
      <c r="E381" s="166"/>
      <c r="F381" s="166"/>
      <c r="G381" s="162"/>
      <c r="H381" s="162"/>
      <c r="I381" s="162"/>
      <c r="J381" s="162"/>
      <c r="K381" s="162"/>
      <c r="L381" s="162"/>
      <c r="M381" s="162"/>
      <c r="N381" s="162"/>
      <c r="O381" s="162"/>
      <c r="P381" s="162"/>
      <c r="Q381" s="162"/>
      <c r="R381" s="162"/>
      <c r="S381" s="162"/>
      <c r="T381" s="162"/>
      <c r="U381" s="162"/>
      <c r="V381" s="162"/>
      <c r="W381" s="162"/>
      <c r="X381" s="162"/>
      <c r="Y381" s="162"/>
      <c r="Z381" s="162"/>
    </row>
    <row r="382" ht="18.75" customHeight="1">
      <c r="A382" s="162"/>
      <c r="B382" s="162"/>
      <c r="C382" s="162"/>
      <c r="D382" s="162"/>
      <c r="E382" s="166"/>
      <c r="F382" s="166"/>
      <c r="G382" s="162"/>
      <c r="H382" s="162"/>
      <c r="I382" s="162"/>
      <c r="J382" s="162"/>
      <c r="K382" s="162"/>
      <c r="L382" s="162"/>
      <c r="M382" s="162"/>
      <c r="N382" s="162"/>
      <c r="O382" s="162"/>
      <c r="P382" s="162"/>
      <c r="Q382" s="162"/>
      <c r="R382" s="162"/>
      <c r="S382" s="162"/>
      <c r="T382" s="162"/>
      <c r="U382" s="162"/>
      <c r="V382" s="162"/>
      <c r="W382" s="162"/>
      <c r="X382" s="162"/>
      <c r="Y382" s="162"/>
      <c r="Z382" s="162"/>
    </row>
    <row r="383" ht="18.75" customHeight="1">
      <c r="A383" s="162"/>
      <c r="B383" s="162"/>
      <c r="C383" s="162"/>
      <c r="D383" s="162"/>
      <c r="E383" s="166"/>
      <c r="F383" s="166"/>
      <c r="G383" s="162"/>
      <c r="H383" s="162"/>
      <c r="I383" s="162"/>
      <c r="J383" s="162"/>
      <c r="K383" s="162"/>
      <c r="L383" s="162"/>
      <c r="M383" s="162"/>
      <c r="N383" s="162"/>
      <c r="O383" s="162"/>
      <c r="P383" s="162"/>
      <c r="Q383" s="162"/>
      <c r="R383" s="162"/>
      <c r="S383" s="162"/>
      <c r="T383" s="162"/>
      <c r="U383" s="162"/>
      <c r="V383" s="162"/>
      <c r="W383" s="162"/>
      <c r="X383" s="162"/>
      <c r="Y383" s="162"/>
      <c r="Z383" s="162"/>
    </row>
    <row r="384" ht="18.75" customHeight="1">
      <c r="A384" s="162"/>
      <c r="B384" s="162"/>
      <c r="C384" s="162"/>
      <c r="D384" s="162"/>
      <c r="E384" s="166"/>
      <c r="F384" s="166"/>
      <c r="G384" s="162"/>
      <c r="H384" s="162"/>
      <c r="I384" s="162"/>
      <c r="J384" s="162"/>
      <c r="K384" s="162"/>
      <c r="L384" s="162"/>
      <c r="M384" s="162"/>
      <c r="N384" s="162"/>
      <c r="O384" s="162"/>
      <c r="P384" s="162"/>
      <c r="Q384" s="162"/>
      <c r="R384" s="162"/>
      <c r="S384" s="162"/>
      <c r="T384" s="162"/>
      <c r="U384" s="162"/>
      <c r="V384" s="162"/>
      <c r="W384" s="162"/>
      <c r="X384" s="162"/>
      <c r="Y384" s="162"/>
      <c r="Z384" s="162"/>
    </row>
    <row r="385" ht="18.75" customHeight="1">
      <c r="A385" s="162"/>
      <c r="B385" s="162"/>
      <c r="C385" s="162"/>
      <c r="D385" s="162"/>
      <c r="E385" s="166"/>
      <c r="F385" s="166"/>
      <c r="G385" s="162"/>
      <c r="H385" s="162"/>
      <c r="I385" s="162"/>
      <c r="J385" s="162"/>
      <c r="K385" s="162"/>
      <c r="L385" s="162"/>
      <c r="M385" s="162"/>
      <c r="N385" s="162"/>
      <c r="O385" s="162"/>
      <c r="P385" s="162"/>
      <c r="Q385" s="162"/>
      <c r="R385" s="162"/>
      <c r="S385" s="162"/>
      <c r="T385" s="162"/>
      <c r="U385" s="162"/>
      <c r="V385" s="162"/>
      <c r="W385" s="162"/>
      <c r="X385" s="162"/>
      <c r="Y385" s="162"/>
      <c r="Z385" s="162"/>
    </row>
    <row r="386" ht="18.75" customHeight="1">
      <c r="A386" s="162"/>
      <c r="B386" s="162"/>
      <c r="C386" s="162"/>
      <c r="D386" s="162"/>
      <c r="E386" s="166"/>
      <c r="F386" s="166"/>
      <c r="G386" s="162"/>
      <c r="H386" s="162"/>
      <c r="I386" s="162"/>
      <c r="J386" s="162"/>
      <c r="K386" s="162"/>
      <c r="L386" s="162"/>
      <c r="M386" s="162"/>
      <c r="N386" s="162"/>
      <c r="O386" s="162"/>
      <c r="P386" s="162"/>
      <c r="Q386" s="162"/>
      <c r="R386" s="162"/>
      <c r="S386" s="162"/>
      <c r="T386" s="162"/>
      <c r="U386" s="162"/>
      <c r="V386" s="162"/>
      <c r="W386" s="162"/>
      <c r="X386" s="162"/>
      <c r="Y386" s="162"/>
      <c r="Z386" s="162"/>
    </row>
    <row r="387" ht="18.75" customHeight="1">
      <c r="A387" s="162"/>
      <c r="B387" s="162"/>
      <c r="C387" s="162"/>
      <c r="D387" s="162"/>
      <c r="E387" s="166"/>
      <c r="F387" s="166"/>
      <c r="G387" s="162"/>
      <c r="H387" s="162"/>
      <c r="I387" s="162"/>
      <c r="J387" s="162"/>
      <c r="K387" s="162"/>
      <c r="L387" s="162"/>
      <c r="M387" s="162"/>
      <c r="N387" s="162"/>
      <c r="O387" s="162"/>
      <c r="P387" s="162"/>
      <c r="Q387" s="162"/>
      <c r="R387" s="162"/>
      <c r="S387" s="162"/>
      <c r="T387" s="162"/>
      <c r="U387" s="162"/>
      <c r="V387" s="162"/>
      <c r="W387" s="162"/>
      <c r="X387" s="162"/>
      <c r="Y387" s="162"/>
      <c r="Z387" s="162"/>
    </row>
    <row r="388" ht="18.75" customHeight="1">
      <c r="A388" s="162"/>
      <c r="B388" s="162"/>
      <c r="C388" s="162"/>
      <c r="D388" s="162"/>
      <c r="E388" s="166"/>
      <c r="F388" s="166"/>
      <c r="G388" s="162"/>
      <c r="H388" s="162"/>
      <c r="I388" s="162"/>
      <c r="J388" s="162"/>
      <c r="K388" s="162"/>
      <c r="L388" s="162"/>
      <c r="M388" s="162"/>
      <c r="N388" s="162"/>
      <c r="O388" s="162"/>
      <c r="P388" s="162"/>
      <c r="Q388" s="162"/>
      <c r="R388" s="162"/>
      <c r="S388" s="162"/>
      <c r="T388" s="162"/>
      <c r="U388" s="162"/>
      <c r="V388" s="162"/>
      <c r="W388" s="162"/>
      <c r="X388" s="162"/>
      <c r="Y388" s="162"/>
      <c r="Z388" s="162"/>
    </row>
    <row r="389" ht="18.75" customHeight="1">
      <c r="A389" s="162"/>
      <c r="B389" s="162"/>
      <c r="C389" s="162"/>
      <c r="D389" s="162"/>
      <c r="E389" s="166"/>
      <c r="F389" s="166"/>
      <c r="G389" s="162"/>
      <c r="H389" s="162"/>
      <c r="I389" s="162"/>
      <c r="J389" s="162"/>
      <c r="K389" s="162"/>
      <c r="L389" s="162"/>
      <c r="M389" s="162"/>
      <c r="N389" s="162"/>
      <c r="O389" s="162"/>
      <c r="P389" s="162"/>
      <c r="Q389" s="162"/>
      <c r="R389" s="162"/>
      <c r="S389" s="162"/>
      <c r="T389" s="162"/>
      <c r="U389" s="162"/>
      <c r="V389" s="162"/>
      <c r="W389" s="162"/>
      <c r="X389" s="162"/>
      <c r="Y389" s="162"/>
      <c r="Z389" s="162"/>
    </row>
    <row r="390" ht="18.75" customHeight="1">
      <c r="A390" s="162"/>
      <c r="B390" s="162"/>
      <c r="C390" s="162"/>
      <c r="D390" s="162"/>
      <c r="E390" s="166"/>
      <c r="F390" s="166"/>
      <c r="G390" s="162"/>
      <c r="H390" s="162"/>
      <c r="I390" s="162"/>
      <c r="J390" s="162"/>
      <c r="K390" s="162"/>
      <c r="L390" s="162"/>
      <c r="M390" s="162"/>
      <c r="N390" s="162"/>
      <c r="O390" s="162"/>
      <c r="P390" s="162"/>
      <c r="Q390" s="162"/>
      <c r="R390" s="162"/>
      <c r="S390" s="162"/>
      <c r="T390" s="162"/>
      <c r="U390" s="162"/>
      <c r="V390" s="162"/>
      <c r="W390" s="162"/>
      <c r="X390" s="162"/>
      <c r="Y390" s="162"/>
      <c r="Z390" s="162"/>
    </row>
    <row r="391" ht="18.75" customHeight="1">
      <c r="A391" s="162"/>
      <c r="B391" s="162"/>
      <c r="C391" s="162"/>
      <c r="D391" s="162"/>
      <c r="E391" s="166"/>
      <c r="F391" s="166"/>
      <c r="G391" s="162"/>
      <c r="H391" s="162"/>
      <c r="I391" s="162"/>
      <c r="J391" s="162"/>
      <c r="K391" s="162"/>
      <c r="L391" s="162"/>
      <c r="M391" s="162"/>
      <c r="N391" s="162"/>
      <c r="O391" s="162"/>
      <c r="P391" s="162"/>
      <c r="Q391" s="162"/>
      <c r="R391" s="162"/>
      <c r="S391" s="162"/>
      <c r="T391" s="162"/>
      <c r="U391" s="162"/>
      <c r="V391" s="162"/>
      <c r="W391" s="162"/>
      <c r="X391" s="162"/>
      <c r="Y391" s="162"/>
      <c r="Z391" s="162"/>
    </row>
    <row r="392" ht="18.75" customHeight="1">
      <c r="A392" s="162"/>
      <c r="B392" s="162"/>
      <c r="C392" s="162"/>
      <c r="D392" s="162"/>
      <c r="E392" s="166"/>
      <c r="F392" s="166"/>
      <c r="G392" s="162"/>
      <c r="H392" s="162"/>
      <c r="I392" s="162"/>
      <c r="J392" s="162"/>
      <c r="K392" s="162"/>
      <c r="L392" s="162"/>
      <c r="M392" s="162"/>
      <c r="N392" s="162"/>
      <c r="O392" s="162"/>
      <c r="P392" s="162"/>
      <c r="Q392" s="162"/>
      <c r="R392" s="162"/>
      <c r="S392" s="162"/>
      <c r="T392" s="162"/>
      <c r="U392" s="162"/>
      <c r="V392" s="162"/>
      <c r="W392" s="162"/>
      <c r="X392" s="162"/>
      <c r="Y392" s="162"/>
      <c r="Z392" s="162"/>
    </row>
    <row r="393" ht="18.75" customHeight="1">
      <c r="A393" s="162"/>
      <c r="B393" s="162"/>
      <c r="C393" s="162"/>
      <c r="D393" s="162"/>
      <c r="E393" s="166"/>
      <c r="F393" s="166"/>
      <c r="G393" s="162"/>
      <c r="H393" s="162"/>
      <c r="I393" s="162"/>
      <c r="J393" s="162"/>
      <c r="K393" s="162"/>
      <c r="L393" s="162"/>
      <c r="M393" s="162"/>
      <c r="N393" s="162"/>
      <c r="O393" s="162"/>
      <c r="P393" s="162"/>
      <c r="Q393" s="162"/>
      <c r="R393" s="162"/>
      <c r="S393" s="162"/>
      <c r="T393" s="162"/>
      <c r="U393" s="162"/>
      <c r="V393" s="162"/>
      <c r="W393" s="162"/>
      <c r="X393" s="162"/>
      <c r="Y393" s="162"/>
      <c r="Z393" s="162"/>
    </row>
    <row r="394" ht="18.75" customHeight="1">
      <c r="A394" s="162"/>
      <c r="B394" s="162"/>
      <c r="C394" s="162"/>
      <c r="D394" s="162"/>
      <c r="E394" s="166"/>
      <c r="F394" s="166"/>
      <c r="G394" s="162"/>
      <c r="H394" s="162"/>
      <c r="I394" s="162"/>
      <c r="J394" s="162"/>
      <c r="K394" s="162"/>
      <c r="L394" s="162"/>
      <c r="M394" s="162"/>
      <c r="N394" s="162"/>
      <c r="O394" s="162"/>
      <c r="P394" s="162"/>
      <c r="Q394" s="162"/>
      <c r="R394" s="162"/>
      <c r="S394" s="162"/>
      <c r="T394" s="162"/>
      <c r="U394" s="162"/>
      <c r="V394" s="162"/>
      <c r="W394" s="162"/>
      <c r="X394" s="162"/>
      <c r="Y394" s="162"/>
      <c r="Z394" s="162"/>
    </row>
    <row r="395" ht="18.75" customHeight="1">
      <c r="A395" s="162"/>
      <c r="B395" s="162"/>
      <c r="C395" s="162"/>
      <c r="D395" s="162"/>
      <c r="E395" s="166"/>
      <c r="F395" s="166"/>
      <c r="G395" s="162"/>
      <c r="H395" s="162"/>
      <c r="I395" s="162"/>
      <c r="J395" s="162"/>
      <c r="K395" s="162"/>
      <c r="L395" s="162"/>
      <c r="M395" s="162"/>
      <c r="N395" s="162"/>
      <c r="O395" s="162"/>
      <c r="P395" s="162"/>
      <c r="Q395" s="162"/>
      <c r="R395" s="162"/>
      <c r="S395" s="162"/>
      <c r="T395" s="162"/>
      <c r="U395" s="162"/>
      <c r="V395" s="162"/>
      <c r="W395" s="162"/>
      <c r="X395" s="162"/>
      <c r="Y395" s="162"/>
      <c r="Z395" s="162"/>
    </row>
    <row r="396" ht="18.75" customHeight="1">
      <c r="A396" s="162"/>
      <c r="B396" s="162"/>
      <c r="C396" s="162"/>
      <c r="D396" s="162"/>
      <c r="E396" s="166"/>
      <c r="F396" s="166"/>
      <c r="G396" s="162"/>
      <c r="H396" s="162"/>
      <c r="I396" s="162"/>
      <c r="J396" s="162"/>
      <c r="K396" s="162"/>
      <c r="L396" s="162"/>
      <c r="M396" s="162"/>
      <c r="N396" s="162"/>
      <c r="O396" s="162"/>
      <c r="P396" s="162"/>
      <c r="Q396" s="162"/>
      <c r="R396" s="162"/>
      <c r="S396" s="162"/>
      <c r="T396" s="162"/>
      <c r="U396" s="162"/>
      <c r="V396" s="162"/>
      <c r="W396" s="162"/>
      <c r="X396" s="162"/>
      <c r="Y396" s="162"/>
      <c r="Z396" s="162"/>
    </row>
    <row r="397" ht="18.75" customHeight="1">
      <c r="A397" s="162"/>
      <c r="B397" s="162"/>
      <c r="C397" s="162"/>
      <c r="D397" s="162"/>
      <c r="E397" s="166"/>
      <c r="F397" s="166"/>
      <c r="G397" s="162"/>
      <c r="H397" s="162"/>
      <c r="I397" s="162"/>
      <c r="J397" s="162"/>
      <c r="K397" s="162"/>
      <c r="L397" s="162"/>
      <c r="M397" s="162"/>
      <c r="N397" s="162"/>
      <c r="O397" s="162"/>
      <c r="P397" s="162"/>
      <c r="Q397" s="162"/>
      <c r="R397" s="162"/>
      <c r="S397" s="162"/>
      <c r="T397" s="162"/>
      <c r="U397" s="162"/>
      <c r="V397" s="162"/>
      <c r="W397" s="162"/>
      <c r="X397" s="162"/>
      <c r="Y397" s="162"/>
      <c r="Z397" s="162"/>
    </row>
    <row r="398" ht="18.75" customHeight="1">
      <c r="A398" s="162"/>
      <c r="B398" s="162"/>
      <c r="C398" s="162"/>
      <c r="D398" s="162"/>
      <c r="E398" s="166"/>
      <c r="F398" s="166"/>
      <c r="G398" s="162"/>
      <c r="H398" s="162"/>
      <c r="I398" s="162"/>
      <c r="J398" s="162"/>
      <c r="K398" s="162"/>
      <c r="L398" s="162"/>
      <c r="M398" s="162"/>
      <c r="N398" s="162"/>
      <c r="O398" s="162"/>
      <c r="P398" s="162"/>
      <c r="Q398" s="162"/>
      <c r="R398" s="162"/>
      <c r="S398" s="162"/>
      <c r="T398" s="162"/>
      <c r="U398" s="162"/>
      <c r="V398" s="162"/>
      <c r="W398" s="162"/>
      <c r="X398" s="162"/>
      <c r="Y398" s="162"/>
      <c r="Z398" s="162"/>
    </row>
    <row r="399" ht="18.75" customHeight="1">
      <c r="A399" s="162"/>
      <c r="B399" s="162"/>
      <c r="C399" s="162"/>
      <c r="D399" s="162"/>
      <c r="E399" s="166"/>
      <c r="F399" s="166"/>
      <c r="G399" s="162"/>
      <c r="H399" s="162"/>
      <c r="I399" s="162"/>
      <c r="J399" s="162"/>
      <c r="K399" s="162"/>
      <c r="L399" s="162"/>
      <c r="M399" s="162"/>
      <c r="N399" s="162"/>
      <c r="O399" s="162"/>
      <c r="P399" s="162"/>
      <c r="Q399" s="162"/>
      <c r="R399" s="162"/>
      <c r="S399" s="162"/>
      <c r="T399" s="162"/>
      <c r="U399" s="162"/>
      <c r="V399" s="162"/>
      <c r="W399" s="162"/>
      <c r="X399" s="162"/>
      <c r="Y399" s="162"/>
      <c r="Z399" s="162"/>
    </row>
    <row r="400" ht="18.75" customHeight="1">
      <c r="A400" s="162"/>
      <c r="B400" s="162"/>
      <c r="C400" s="162"/>
      <c r="D400" s="162"/>
      <c r="E400" s="166"/>
      <c r="F400" s="166"/>
      <c r="G400" s="162"/>
      <c r="H400" s="162"/>
      <c r="I400" s="162"/>
      <c r="J400" s="162"/>
      <c r="K400" s="162"/>
      <c r="L400" s="162"/>
      <c r="M400" s="162"/>
      <c r="N400" s="162"/>
      <c r="O400" s="162"/>
      <c r="P400" s="162"/>
      <c r="Q400" s="162"/>
      <c r="R400" s="162"/>
      <c r="S400" s="162"/>
      <c r="T400" s="162"/>
      <c r="U400" s="162"/>
      <c r="V400" s="162"/>
      <c r="W400" s="162"/>
      <c r="X400" s="162"/>
      <c r="Y400" s="162"/>
      <c r="Z400" s="162"/>
    </row>
    <row r="401" ht="18.75" customHeight="1">
      <c r="A401" s="162"/>
      <c r="B401" s="162"/>
      <c r="C401" s="162"/>
      <c r="D401" s="162"/>
      <c r="E401" s="166"/>
      <c r="F401" s="166"/>
      <c r="G401" s="162"/>
      <c r="H401" s="162"/>
      <c r="I401" s="162"/>
      <c r="J401" s="162"/>
      <c r="K401" s="162"/>
      <c r="L401" s="162"/>
      <c r="M401" s="162"/>
      <c r="N401" s="162"/>
      <c r="O401" s="162"/>
      <c r="P401" s="162"/>
      <c r="Q401" s="162"/>
      <c r="R401" s="162"/>
      <c r="S401" s="162"/>
      <c r="T401" s="162"/>
      <c r="U401" s="162"/>
      <c r="V401" s="162"/>
      <c r="W401" s="162"/>
      <c r="X401" s="162"/>
      <c r="Y401" s="162"/>
      <c r="Z401" s="162"/>
    </row>
    <row r="402" ht="18.75" customHeight="1">
      <c r="A402" s="162"/>
      <c r="B402" s="162"/>
      <c r="C402" s="162"/>
      <c r="D402" s="162"/>
      <c r="E402" s="166"/>
      <c r="F402" s="166"/>
      <c r="G402" s="162"/>
      <c r="H402" s="162"/>
      <c r="I402" s="162"/>
      <c r="J402" s="162"/>
      <c r="K402" s="162"/>
      <c r="L402" s="162"/>
      <c r="M402" s="162"/>
      <c r="N402" s="162"/>
      <c r="O402" s="162"/>
      <c r="P402" s="162"/>
      <c r="Q402" s="162"/>
      <c r="R402" s="162"/>
      <c r="S402" s="162"/>
      <c r="T402" s="162"/>
      <c r="U402" s="162"/>
      <c r="V402" s="162"/>
      <c r="W402" s="162"/>
      <c r="X402" s="162"/>
      <c r="Y402" s="162"/>
      <c r="Z402" s="162"/>
    </row>
    <row r="403" ht="18.75" customHeight="1">
      <c r="A403" s="162"/>
      <c r="B403" s="162"/>
      <c r="C403" s="162"/>
      <c r="D403" s="162"/>
      <c r="E403" s="166"/>
      <c r="F403" s="166"/>
      <c r="G403" s="162"/>
      <c r="H403" s="162"/>
      <c r="I403" s="162"/>
      <c r="J403" s="162"/>
      <c r="K403" s="162"/>
      <c r="L403" s="162"/>
      <c r="M403" s="162"/>
      <c r="N403" s="162"/>
      <c r="O403" s="162"/>
      <c r="P403" s="162"/>
      <c r="Q403" s="162"/>
      <c r="R403" s="162"/>
      <c r="S403" s="162"/>
      <c r="T403" s="162"/>
      <c r="U403" s="162"/>
      <c r="V403" s="162"/>
      <c r="W403" s="162"/>
      <c r="X403" s="162"/>
      <c r="Y403" s="162"/>
      <c r="Z403" s="162"/>
    </row>
    <row r="404" ht="18.75" customHeight="1">
      <c r="A404" s="162"/>
      <c r="B404" s="162"/>
      <c r="C404" s="162"/>
      <c r="D404" s="162"/>
      <c r="E404" s="166"/>
      <c r="F404" s="166"/>
      <c r="G404" s="162"/>
      <c r="H404" s="162"/>
      <c r="I404" s="162"/>
      <c r="J404" s="162"/>
      <c r="K404" s="162"/>
      <c r="L404" s="162"/>
      <c r="M404" s="162"/>
      <c r="N404" s="162"/>
      <c r="O404" s="162"/>
      <c r="P404" s="162"/>
      <c r="Q404" s="162"/>
      <c r="R404" s="162"/>
      <c r="S404" s="162"/>
      <c r="T404" s="162"/>
      <c r="U404" s="162"/>
      <c r="V404" s="162"/>
      <c r="W404" s="162"/>
      <c r="X404" s="162"/>
      <c r="Y404" s="162"/>
      <c r="Z404" s="162"/>
    </row>
    <row r="405" ht="18.75" customHeight="1">
      <c r="A405" s="162"/>
      <c r="B405" s="162"/>
      <c r="C405" s="162"/>
      <c r="D405" s="162"/>
      <c r="E405" s="166"/>
      <c r="F405" s="166"/>
      <c r="G405" s="162"/>
      <c r="H405" s="162"/>
      <c r="I405" s="162"/>
      <c r="J405" s="162"/>
      <c r="K405" s="162"/>
      <c r="L405" s="162"/>
      <c r="M405" s="162"/>
      <c r="N405" s="162"/>
      <c r="O405" s="162"/>
      <c r="P405" s="162"/>
      <c r="Q405" s="162"/>
      <c r="R405" s="162"/>
      <c r="S405" s="162"/>
      <c r="T405" s="162"/>
      <c r="U405" s="162"/>
      <c r="V405" s="162"/>
      <c r="W405" s="162"/>
      <c r="X405" s="162"/>
      <c r="Y405" s="162"/>
      <c r="Z405" s="162"/>
    </row>
    <row r="406" ht="18.75" customHeight="1">
      <c r="A406" s="162"/>
      <c r="B406" s="162"/>
      <c r="C406" s="162"/>
      <c r="D406" s="162"/>
      <c r="E406" s="166"/>
      <c r="F406" s="166"/>
      <c r="G406" s="162"/>
      <c r="H406" s="162"/>
      <c r="I406" s="162"/>
      <c r="J406" s="162"/>
      <c r="K406" s="162"/>
      <c r="L406" s="162"/>
      <c r="M406" s="162"/>
      <c r="N406" s="162"/>
      <c r="O406" s="162"/>
      <c r="P406" s="162"/>
      <c r="Q406" s="162"/>
      <c r="R406" s="162"/>
      <c r="S406" s="162"/>
      <c r="T406" s="162"/>
      <c r="U406" s="162"/>
      <c r="V406" s="162"/>
      <c r="W406" s="162"/>
      <c r="X406" s="162"/>
      <c r="Y406" s="162"/>
      <c r="Z406" s="162"/>
    </row>
    <row r="407" ht="18.75" customHeight="1">
      <c r="A407" s="162"/>
      <c r="B407" s="162"/>
      <c r="C407" s="162"/>
      <c r="D407" s="162"/>
      <c r="E407" s="166"/>
      <c r="F407" s="166"/>
      <c r="G407" s="162"/>
      <c r="H407" s="162"/>
      <c r="I407" s="162"/>
      <c r="J407" s="162"/>
      <c r="K407" s="162"/>
      <c r="L407" s="162"/>
      <c r="M407" s="162"/>
      <c r="N407" s="162"/>
      <c r="O407" s="162"/>
      <c r="P407" s="162"/>
      <c r="Q407" s="162"/>
      <c r="R407" s="162"/>
      <c r="S407" s="162"/>
      <c r="T407" s="162"/>
      <c r="U407" s="162"/>
      <c r="V407" s="162"/>
      <c r="W407" s="162"/>
      <c r="X407" s="162"/>
      <c r="Y407" s="162"/>
      <c r="Z407" s="162"/>
    </row>
    <row r="408" ht="18.75" customHeight="1">
      <c r="A408" s="162"/>
      <c r="B408" s="162"/>
      <c r="C408" s="162"/>
      <c r="D408" s="162"/>
      <c r="E408" s="166"/>
      <c r="F408" s="166"/>
      <c r="G408" s="162"/>
      <c r="H408" s="162"/>
      <c r="I408" s="162"/>
      <c r="J408" s="162"/>
      <c r="K408" s="162"/>
      <c r="L408" s="162"/>
      <c r="M408" s="162"/>
      <c r="N408" s="162"/>
      <c r="O408" s="162"/>
      <c r="P408" s="162"/>
      <c r="Q408" s="162"/>
      <c r="R408" s="162"/>
      <c r="S408" s="162"/>
      <c r="T408" s="162"/>
      <c r="U408" s="162"/>
      <c r="V408" s="162"/>
      <c r="W408" s="162"/>
      <c r="X408" s="162"/>
      <c r="Y408" s="162"/>
      <c r="Z408" s="162"/>
    </row>
    <row r="409" ht="18.75" customHeight="1">
      <c r="A409" s="162"/>
      <c r="B409" s="162"/>
      <c r="C409" s="162"/>
      <c r="D409" s="162"/>
      <c r="E409" s="166"/>
      <c r="F409" s="166"/>
      <c r="G409" s="162"/>
      <c r="H409" s="162"/>
      <c r="I409" s="162"/>
      <c r="J409" s="162"/>
      <c r="K409" s="162"/>
      <c r="L409" s="162"/>
      <c r="M409" s="162"/>
      <c r="N409" s="162"/>
      <c r="O409" s="162"/>
      <c r="P409" s="162"/>
      <c r="Q409" s="162"/>
      <c r="R409" s="162"/>
      <c r="S409" s="162"/>
      <c r="T409" s="162"/>
      <c r="U409" s="162"/>
      <c r="V409" s="162"/>
      <c r="W409" s="162"/>
      <c r="X409" s="162"/>
      <c r="Y409" s="162"/>
      <c r="Z409" s="162"/>
    </row>
    <row r="410" ht="18.75" customHeight="1">
      <c r="A410" s="162"/>
      <c r="B410" s="162"/>
      <c r="C410" s="162"/>
      <c r="D410" s="162"/>
      <c r="E410" s="166"/>
      <c r="F410" s="166"/>
      <c r="G410" s="162"/>
      <c r="H410" s="162"/>
      <c r="I410" s="162"/>
      <c r="J410" s="162"/>
      <c r="K410" s="162"/>
      <c r="L410" s="162"/>
      <c r="M410" s="162"/>
      <c r="N410" s="162"/>
      <c r="O410" s="162"/>
      <c r="P410" s="162"/>
      <c r="Q410" s="162"/>
      <c r="R410" s="162"/>
      <c r="S410" s="162"/>
      <c r="T410" s="162"/>
      <c r="U410" s="162"/>
      <c r="V410" s="162"/>
      <c r="W410" s="162"/>
      <c r="X410" s="162"/>
      <c r="Y410" s="162"/>
      <c r="Z410" s="162"/>
    </row>
    <row r="411" ht="18.75" customHeight="1">
      <c r="A411" s="162"/>
      <c r="B411" s="162"/>
      <c r="C411" s="162"/>
      <c r="D411" s="162"/>
      <c r="E411" s="166"/>
      <c r="F411" s="166"/>
      <c r="G411" s="162"/>
      <c r="H411" s="162"/>
      <c r="I411" s="162"/>
      <c r="J411" s="162"/>
      <c r="K411" s="162"/>
      <c r="L411" s="162"/>
      <c r="M411" s="162"/>
      <c r="N411" s="162"/>
      <c r="O411" s="162"/>
      <c r="P411" s="162"/>
      <c r="Q411" s="162"/>
      <c r="R411" s="162"/>
      <c r="S411" s="162"/>
      <c r="T411" s="162"/>
      <c r="U411" s="162"/>
      <c r="V411" s="162"/>
      <c r="W411" s="162"/>
      <c r="X411" s="162"/>
      <c r="Y411" s="162"/>
      <c r="Z411" s="162"/>
    </row>
    <row r="412" ht="18.75" customHeight="1">
      <c r="A412" s="162"/>
      <c r="B412" s="162"/>
      <c r="C412" s="162"/>
      <c r="D412" s="162"/>
      <c r="E412" s="166"/>
      <c r="F412" s="166"/>
      <c r="G412" s="162"/>
      <c r="H412" s="162"/>
      <c r="I412" s="162"/>
      <c r="J412" s="162"/>
      <c r="K412" s="162"/>
      <c r="L412" s="162"/>
      <c r="M412" s="162"/>
      <c r="N412" s="162"/>
      <c r="O412" s="162"/>
      <c r="P412" s="162"/>
      <c r="Q412" s="162"/>
      <c r="R412" s="162"/>
      <c r="S412" s="162"/>
      <c r="T412" s="162"/>
      <c r="U412" s="162"/>
      <c r="V412" s="162"/>
      <c r="W412" s="162"/>
      <c r="X412" s="162"/>
      <c r="Y412" s="162"/>
      <c r="Z412" s="162"/>
    </row>
    <row r="413" ht="18.75" customHeight="1">
      <c r="A413" s="162"/>
      <c r="B413" s="162"/>
      <c r="C413" s="162"/>
      <c r="D413" s="162"/>
      <c r="E413" s="166"/>
      <c r="F413" s="166"/>
      <c r="G413" s="162"/>
      <c r="H413" s="162"/>
      <c r="I413" s="162"/>
      <c r="J413" s="162"/>
      <c r="K413" s="162"/>
      <c r="L413" s="162"/>
      <c r="M413" s="162"/>
      <c r="N413" s="162"/>
      <c r="O413" s="162"/>
      <c r="P413" s="162"/>
      <c r="Q413" s="162"/>
      <c r="R413" s="162"/>
      <c r="S413" s="162"/>
      <c r="T413" s="162"/>
      <c r="U413" s="162"/>
      <c r="V413" s="162"/>
      <c r="W413" s="162"/>
      <c r="X413" s="162"/>
      <c r="Y413" s="162"/>
      <c r="Z413" s="162"/>
    </row>
    <row r="414" ht="18.75" customHeight="1">
      <c r="A414" s="162"/>
      <c r="B414" s="162"/>
      <c r="C414" s="162"/>
      <c r="D414" s="162"/>
      <c r="E414" s="166"/>
      <c r="F414" s="166"/>
      <c r="G414" s="162"/>
      <c r="H414" s="162"/>
      <c r="I414" s="162"/>
      <c r="J414" s="162"/>
      <c r="K414" s="162"/>
      <c r="L414" s="162"/>
      <c r="M414" s="162"/>
      <c r="N414" s="162"/>
      <c r="O414" s="162"/>
      <c r="P414" s="162"/>
      <c r="Q414" s="162"/>
      <c r="R414" s="162"/>
      <c r="S414" s="162"/>
      <c r="T414" s="162"/>
      <c r="U414" s="162"/>
      <c r="V414" s="162"/>
      <c r="W414" s="162"/>
      <c r="X414" s="162"/>
      <c r="Y414" s="162"/>
      <c r="Z414" s="162"/>
    </row>
    <row r="415" ht="18.75" customHeight="1">
      <c r="A415" s="162"/>
      <c r="B415" s="162"/>
      <c r="C415" s="162"/>
      <c r="D415" s="162"/>
      <c r="E415" s="166"/>
      <c r="F415" s="166"/>
      <c r="G415" s="162"/>
      <c r="H415" s="162"/>
      <c r="I415" s="162"/>
      <c r="J415" s="162"/>
      <c r="K415" s="162"/>
      <c r="L415" s="162"/>
      <c r="M415" s="162"/>
      <c r="N415" s="162"/>
      <c r="O415" s="162"/>
      <c r="P415" s="162"/>
      <c r="Q415" s="162"/>
      <c r="R415" s="162"/>
      <c r="S415" s="162"/>
      <c r="T415" s="162"/>
      <c r="U415" s="162"/>
      <c r="V415" s="162"/>
      <c r="W415" s="162"/>
      <c r="X415" s="162"/>
      <c r="Y415" s="162"/>
      <c r="Z415" s="162"/>
    </row>
    <row r="416" ht="18.75" customHeight="1">
      <c r="A416" s="162"/>
      <c r="B416" s="162"/>
      <c r="C416" s="162"/>
      <c r="D416" s="162"/>
      <c r="E416" s="166"/>
      <c r="F416" s="166"/>
      <c r="G416" s="162"/>
      <c r="H416" s="162"/>
      <c r="I416" s="162"/>
      <c r="J416" s="162"/>
      <c r="K416" s="162"/>
      <c r="L416" s="162"/>
      <c r="M416" s="162"/>
      <c r="N416" s="162"/>
      <c r="O416" s="162"/>
      <c r="P416" s="162"/>
      <c r="Q416" s="162"/>
      <c r="R416" s="162"/>
      <c r="S416" s="162"/>
      <c r="T416" s="162"/>
      <c r="U416" s="162"/>
      <c r="V416" s="162"/>
      <c r="W416" s="162"/>
      <c r="X416" s="162"/>
      <c r="Y416" s="162"/>
      <c r="Z416" s="162"/>
    </row>
    <row r="417" ht="18.75" customHeight="1">
      <c r="A417" s="162"/>
      <c r="B417" s="162"/>
      <c r="C417" s="162"/>
      <c r="D417" s="162"/>
      <c r="E417" s="166"/>
      <c r="F417" s="166"/>
      <c r="G417" s="162"/>
      <c r="H417" s="162"/>
      <c r="I417" s="162"/>
      <c r="J417" s="162"/>
      <c r="K417" s="162"/>
      <c r="L417" s="162"/>
      <c r="M417" s="162"/>
      <c r="N417" s="162"/>
      <c r="O417" s="162"/>
      <c r="P417" s="162"/>
      <c r="Q417" s="162"/>
      <c r="R417" s="162"/>
      <c r="S417" s="162"/>
      <c r="T417" s="162"/>
      <c r="U417" s="162"/>
      <c r="V417" s="162"/>
      <c r="W417" s="162"/>
      <c r="X417" s="162"/>
      <c r="Y417" s="162"/>
      <c r="Z417" s="162"/>
    </row>
    <row r="418" ht="18.75" customHeight="1">
      <c r="A418" s="162"/>
      <c r="B418" s="162"/>
      <c r="C418" s="162"/>
      <c r="D418" s="162"/>
      <c r="E418" s="166"/>
      <c r="F418" s="166"/>
      <c r="G418" s="162"/>
      <c r="H418" s="162"/>
      <c r="I418" s="162"/>
      <c r="J418" s="162"/>
      <c r="K418" s="162"/>
      <c r="L418" s="162"/>
      <c r="M418" s="162"/>
      <c r="N418" s="162"/>
      <c r="O418" s="162"/>
      <c r="P418" s="162"/>
      <c r="Q418" s="162"/>
      <c r="R418" s="162"/>
      <c r="S418" s="162"/>
      <c r="T418" s="162"/>
      <c r="U418" s="162"/>
      <c r="V418" s="162"/>
      <c r="W418" s="162"/>
      <c r="X418" s="162"/>
      <c r="Y418" s="162"/>
      <c r="Z418" s="162"/>
    </row>
    <row r="419" ht="18.75" customHeight="1">
      <c r="A419" s="162"/>
      <c r="B419" s="162"/>
      <c r="C419" s="162"/>
      <c r="D419" s="162"/>
      <c r="E419" s="166"/>
      <c r="F419" s="166"/>
      <c r="G419" s="162"/>
      <c r="H419" s="162"/>
      <c r="I419" s="162"/>
      <c r="J419" s="162"/>
      <c r="K419" s="162"/>
      <c r="L419" s="162"/>
      <c r="M419" s="162"/>
      <c r="N419" s="162"/>
      <c r="O419" s="162"/>
      <c r="P419" s="162"/>
      <c r="Q419" s="162"/>
      <c r="R419" s="162"/>
      <c r="S419" s="162"/>
      <c r="T419" s="162"/>
      <c r="U419" s="162"/>
      <c r="V419" s="162"/>
      <c r="W419" s="162"/>
      <c r="X419" s="162"/>
      <c r="Y419" s="162"/>
      <c r="Z419" s="162"/>
    </row>
    <row r="420" ht="18.75" customHeight="1">
      <c r="A420" s="162"/>
      <c r="B420" s="162"/>
      <c r="C420" s="162"/>
      <c r="D420" s="162"/>
      <c r="E420" s="166"/>
      <c r="F420" s="166"/>
      <c r="G420" s="162"/>
      <c r="H420" s="162"/>
      <c r="I420" s="162"/>
      <c r="J420" s="162"/>
      <c r="K420" s="162"/>
      <c r="L420" s="162"/>
      <c r="M420" s="162"/>
      <c r="N420" s="162"/>
      <c r="O420" s="162"/>
      <c r="P420" s="162"/>
      <c r="Q420" s="162"/>
      <c r="R420" s="162"/>
      <c r="S420" s="162"/>
      <c r="T420" s="162"/>
      <c r="U420" s="162"/>
      <c r="V420" s="162"/>
      <c r="W420" s="162"/>
      <c r="X420" s="162"/>
      <c r="Y420" s="162"/>
      <c r="Z420" s="162"/>
    </row>
    <row r="421" ht="18.75" customHeight="1">
      <c r="A421" s="162"/>
      <c r="B421" s="162"/>
      <c r="C421" s="162"/>
      <c r="D421" s="162"/>
      <c r="E421" s="166"/>
      <c r="F421" s="166"/>
      <c r="G421" s="162"/>
      <c r="H421" s="162"/>
      <c r="I421" s="162"/>
      <c r="J421" s="162"/>
      <c r="K421" s="162"/>
      <c r="L421" s="162"/>
      <c r="M421" s="162"/>
      <c r="N421" s="162"/>
      <c r="O421" s="162"/>
      <c r="P421" s="162"/>
      <c r="Q421" s="162"/>
      <c r="R421" s="162"/>
      <c r="S421" s="162"/>
      <c r="T421" s="162"/>
      <c r="U421" s="162"/>
      <c r="V421" s="162"/>
      <c r="W421" s="162"/>
      <c r="X421" s="162"/>
      <c r="Y421" s="162"/>
      <c r="Z421" s="162"/>
    </row>
    <row r="422" ht="18.75" customHeight="1">
      <c r="A422" s="162"/>
      <c r="B422" s="162"/>
      <c r="C422" s="162"/>
      <c r="D422" s="162"/>
      <c r="E422" s="166"/>
      <c r="F422" s="166"/>
      <c r="G422" s="162"/>
      <c r="H422" s="162"/>
      <c r="I422" s="162"/>
      <c r="J422" s="162"/>
      <c r="K422" s="162"/>
      <c r="L422" s="162"/>
      <c r="M422" s="162"/>
      <c r="N422" s="162"/>
      <c r="O422" s="162"/>
      <c r="P422" s="162"/>
      <c r="Q422" s="162"/>
      <c r="R422" s="162"/>
      <c r="S422" s="162"/>
      <c r="T422" s="162"/>
      <c r="U422" s="162"/>
      <c r="V422" s="162"/>
      <c r="W422" s="162"/>
      <c r="X422" s="162"/>
      <c r="Y422" s="162"/>
      <c r="Z422" s="162"/>
    </row>
    <row r="423" ht="18.75" customHeight="1">
      <c r="A423" s="162"/>
      <c r="B423" s="162"/>
      <c r="C423" s="162"/>
      <c r="D423" s="162"/>
      <c r="E423" s="166"/>
      <c r="F423" s="166"/>
      <c r="G423" s="162"/>
      <c r="H423" s="162"/>
      <c r="I423" s="162"/>
      <c r="J423" s="162"/>
      <c r="K423" s="162"/>
      <c r="L423" s="162"/>
      <c r="M423" s="162"/>
      <c r="N423" s="162"/>
      <c r="O423" s="162"/>
      <c r="P423" s="162"/>
      <c r="Q423" s="162"/>
      <c r="R423" s="162"/>
      <c r="S423" s="162"/>
      <c r="T423" s="162"/>
      <c r="U423" s="162"/>
      <c r="V423" s="162"/>
      <c r="W423" s="162"/>
      <c r="X423" s="162"/>
      <c r="Y423" s="162"/>
      <c r="Z423" s="162"/>
    </row>
    <row r="424" ht="18.75" customHeight="1">
      <c r="A424" s="162"/>
      <c r="B424" s="162"/>
      <c r="C424" s="162"/>
      <c r="D424" s="162"/>
      <c r="E424" s="166"/>
      <c r="F424" s="166"/>
      <c r="G424" s="162"/>
      <c r="H424" s="162"/>
      <c r="I424" s="162"/>
      <c r="J424" s="162"/>
      <c r="K424" s="162"/>
      <c r="L424" s="162"/>
      <c r="M424" s="162"/>
      <c r="N424" s="162"/>
      <c r="O424" s="162"/>
      <c r="P424" s="162"/>
      <c r="Q424" s="162"/>
      <c r="R424" s="162"/>
      <c r="S424" s="162"/>
      <c r="T424" s="162"/>
      <c r="U424" s="162"/>
      <c r="V424" s="162"/>
      <c r="W424" s="162"/>
      <c r="X424" s="162"/>
      <c r="Y424" s="162"/>
      <c r="Z424" s="162"/>
    </row>
    <row r="425" ht="18.75" customHeight="1">
      <c r="A425" s="162"/>
      <c r="B425" s="162"/>
      <c r="C425" s="162"/>
      <c r="D425" s="162"/>
      <c r="E425" s="166"/>
      <c r="F425" s="166"/>
      <c r="G425" s="162"/>
      <c r="H425" s="162"/>
      <c r="I425" s="162"/>
      <c r="J425" s="162"/>
      <c r="K425" s="162"/>
      <c r="L425" s="162"/>
      <c r="M425" s="162"/>
      <c r="N425" s="162"/>
      <c r="O425" s="162"/>
      <c r="P425" s="162"/>
      <c r="Q425" s="162"/>
      <c r="R425" s="162"/>
      <c r="S425" s="162"/>
      <c r="T425" s="162"/>
      <c r="U425" s="162"/>
      <c r="V425" s="162"/>
      <c r="W425" s="162"/>
      <c r="X425" s="162"/>
      <c r="Y425" s="162"/>
      <c r="Z425" s="162"/>
    </row>
    <row r="426" ht="18.75" customHeight="1">
      <c r="A426" s="162"/>
      <c r="B426" s="162"/>
      <c r="C426" s="162"/>
      <c r="D426" s="162"/>
      <c r="E426" s="166"/>
      <c r="F426" s="166"/>
      <c r="G426" s="162"/>
      <c r="H426" s="162"/>
      <c r="I426" s="162"/>
      <c r="J426" s="162"/>
      <c r="K426" s="162"/>
      <c r="L426" s="162"/>
      <c r="M426" s="162"/>
      <c r="N426" s="162"/>
      <c r="O426" s="162"/>
      <c r="P426" s="162"/>
      <c r="Q426" s="162"/>
      <c r="R426" s="162"/>
      <c r="S426" s="162"/>
      <c r="T426" s="162"/>
      <c r="U426" s="162"/>
      <c r="V426" s="162"/>
      <c r="W426" s="162"/>
      <c r="X426" s="162"/>
      <c r="Y426" s="162"/>
      <c r="Z426" s="162"/>
    </row>
    <row r="427" ht="18.75" customHeight="1">
      <c r="A427" s="162"/>
      <c r="B427" s="162"/>
      <c r="C427" s="162"/>
      <c r="D427" s="162"/>
      <c r="E427" s="166"/>
      <c r="F427" s="166"/>
      <c r="G427" s="162"/>
      <c r="H427" s="162"/>
      <c r="I427" s="162"/>
      <c r="J427" s="162"/>
      <c r="K427" s="162"/>
      <c r="L427" s="162"/>
      <c r="M427" s="162"/>
      <c r="N427" s="162"/>
      <c r="O427" s="162"/>
      <c r="P427" s="162"/>
      <c r="Q427" s="162"/>
      <c r="R427" s="162"/>
      <c r="S427" s="162"/>
      <c r="T427" s="162"/>
      <c r="U427" s="162"/>
      <c r="V427" s="162"/>
      <c r="W427" s="162"/>
      <c r="X427" s="162"/>
      <c r="Y427" s="162"/>
      <c r="Z427" s="162"/>
    </row>
    <row r="428" ht="18.75" customHeight="1">
      <c r="A428" s="162"/>
      <c r="B428" s="162"/>
      <c r="C428" s="162"/>
      <c r="D428" s="162"/>
      <c r="E428" s="166"/>
      <c r="F428" s="166"/>
      <c r="G428" s="162"/>
      <c r="H428" s="162"/>
      <c r="I428" s="162"/>
      <c r="J428" s="162"/>
      <c r="K428" s="162"/>
      <c r="L428" s="162"/>
      <c r="M428" s="162"/>
      <c r="N428" s="162"/>
      <c r="O428" s="162"/>
      <c r="P428" s="162"/>
      <c r="Q428" s="162"/>
      <c r="R428" s="162"/>
      <c r="S428" s="162"/>
      <c r="T428" s="162"/>
      <c r="U428" s="162"/>
      <c r="V428" s="162"/>
      <c r="W428" s="162"/>
      <c r="X428" s="162"/>
      <c r="Y428" s="162"/>
      <c r="Z428" s="162"/>
    </row>
    <row r="429" ht="18.75" customHeight="1">
      <c r="A429" s="162"/>
      <c r="B429" s="162"/>
      <c r="C429" s="162"/>
      <c r="D429" s="162"/>
      <c r="E429" s="166"/>
      <c r="F429" s="166"/>
      <c r="G429" s="162"/>
      <c r="H429" s="162"/>
      <c r="I429" s="162"/>
      <c r="J429" s="162"/>
      <c r="K429" s="162"/>
      <c r="L429" s="162"/>
      <c r="M429" s="162"/>
      <c r="N429" s="162"/>
      <c r="O429" s="162"/>
      <c r="P429" s="162"/>
      <c r="Q429" s="162"/>
      <c r="R429" s="162"/>
      <c r="S429" s="162"/>
      <c r="T429" s="162"/>
      <c r="U429" s="162"/>
      <c r="V429" s="162"/>
      <c r="W429" s="162"/>
      <c r="X429" s="162"/>
      <c r="Y429" s="162"/>
      <c r="Z429" s="162"/>
    </row>
    <row r="430" ht="18.75" customHeight="1">
      <c r="A430" s="162"/>
      <c r="B430" s="162"/>
      <c r="C430" s="162"/>
      <c r="D430" s="162"/>
      <c r="E430" s="166"/>
      <c r="F430" s="166"/>
      <c r="G430" s="162"/>
      <c r="H430" s="162"/>
      <c r="I430" s="162"/>
      <c r="J430" s="162"/>
      <c r="K430" s="162"/>
      <c r="L430" s="162"/>
      <c r="M430" s="162"/>
      <c r="N430" s="162"/>
      <c r="O430" s="162"/>
      <c r="P430" s="162"/>
      <c r="Q430" s="162"/>
      <c r="R430" s="162"/>
      <c r="S430" s="162"/>
      <c r="T430" s="162"/>
      <c r="U430" s="162"/>
      <c r="V430" s="162"/>
      <c r="W430" s="162"/>
      <c r="X430" s="162"/>
      <c r="Y430" s="162"/>
      <c r="Z430" s="162"/>
    </row>
    <row r="431" ht="18.75" customHeight="1">
      <c r="A431" s="162"/>
      <c r="B431" s="162"/>
      <c r="C431" s="162"/>
      <c r="D431" s="162"/>
      <c r="E431" s="166"/>
      <c r="F431" s="166"/>
      <c r="G431" s="162"/>
      <c r="H431" s="162"/>
      <c r="I431" s="162"/>
      <c r="J431" s="162"/>
      <c r="K431" s="162"/>
      <c r="L431" s="162"/>
      <c r="M431" s="162"/>
      <c r="N431" s="162"/>
      <c r="O431" s="162"/>
      <c r="P431" s="162"/>
      <c r="Q431" s="162"/>
      <c r="R431" s="162"/>
      <c r="S431" s="162"/>
      <c r="T431" s="162"/>
      <c r="U431" s="162"/>
      <c r="V431" s="162"/>
      <c r="W431" s="162"/>
      <c r="X431" s="162"/>
      <c r="Y431" s="162"/>
      <c r="Z431" s="162"/>
    </row>
    <row r="432" ht="18.75" customHeight="1">
      <c r="A432" s="162"/>
      <c r="B432" s="162"/>
      <c r="C432" s="162"/>
      <c r="D432" s="162"/>
      <c r="E432" s="166"/>
      <c r="F432" s="166"/>
      <c r="G432" s="162"/>
      <c r="H432" s="162"/>
      <c r="I432" s="162"/>
      <c r="J432" s="162"/>
      <c r="K432" s="162"/>
      <c r="L432" s="162"/>
      <c r="M432" s="162"/>
      <c r="N432" s="162"/>
      <c r="O432" s="162"/>
      <c r="P432" s="162"/>
      <c r="Q432" s="162"/>
      <c r="R432" s="162"/>
      <c r="S432" s="162"/>
      <c r="T432" s="162"/>
      <c r="U432" s="162"/>
      <c r="V432" s="162"/>
      <c r="W432" s="162"/>
      <c r="X432" s="162"/>
      <c r="Y432" s="162"/>
      <c r="Z432" s="162"/>
    </row>
    <row r="433" ht="18.75" customHeight="1">
      <c r="A433" s="162"/>
      <c r="B433" s="162"/>
      <c r="C433" s="162"/>
      <c r="D433" s="162"/>
      <c r="E433" s="166"/>
      <c r="F433" s="166"/>
      <c r="G433" s="162"/>
      <c r="H433" s="162"/>
      <c r="I433" s="162"/>
      <c r="J433" s="162"/>
      <c r="K433" s="162"/>
      <c r="L433" s="162"/>
      <c r="M433" s="162"/>
      <c r="N433" s="162"/>
      <c r="O433" s="162"/>
      <c r="P433" s="162"/>
      <c r="Q433" s="162"/>
      <c r="R433" s="162"/>
      <c r="S433" s="162"/>
      <c r="T433" s="162"/>
      <c r="U433" s="162"/>
      <c r="V433" s="162"/>
      <c r="W433" s="162"/>
      <c r="X433" s="162"/>
      <c r="Y433" s="162"/>
      <c r="Z433" s="162"/>
    </row>
    <row r="434" ht="18.75" customHeight="1">
      <c r="A434" s="162"/>
      <c r="B434" s="162"/>
      <c r="C434" s="162"/>
      <c r="D434" s="162"/>
      <c r="E434" s="166"/>
      <c r="F434" s="166"/>
      <c r="G434" s="162"/>
      <c r="H434" s="162"/>
      <c r="I434" s="162"/>
      <c r="J434" s="162"/>
      <c r="K434" s="162"/>
      <c r="L434" s="162"/>
      <c r="M434" s="162"/>
      <c r="N434" s="162"/>
      <c r="O434" s="162"/>
      <c r="P434" s="162"/>
      <c r="Q434" s="162"/>
      <c r="R434" s="162"/>
      <c r="S434" s="162"/>
      <c r="T434" s="162"/>
      <c r="U434" s="162"/>
      <c r="V434" s="162"/>
      <c r="W434" s="162"/>
      <c r="X434" s="162"/>
      <c r="Y434" s="162"/>
      <c r="Z434" s="162"/>
    </row>
    <row r="435" ht="18.75" customHeight="1">
      <c r="A435" s="162"/>
      <c r="B435" s="162"/>
      <c r="C435" s="162"/>
      <c r="D435" s="162"/>
      <c r="E435" s="166"/>
      <c r="F435" s="166"/>
      <c r="G435" s="162"/>
      <c r="H435" s="162"/>
      <c r="I435" s="162"/>
      <c r="J435" s="162"/>
      <c r="K435" s="162"/>
      <c r="L435" s="162"/>
      <c r="M435" s="162"/>
      <c r="N435" s="162"/>
      <c r="O435" s="162"/>
      <c r="P435" s="162"/>
      <c r="Q435" s="162"/>
      <c r="R435" s="162"/>
      <c r="S435" s="162"/>
      <c r="T435" s="162"/>
      <c r="U435" s="162"/>
      <c r="V435" s="162"/>
      <c r="W435" s="162"/>
      <c r="X435" s="162"/>
      <c r="Y435" s="162"/>
      <c r="Z435" s="162"/>
    </row>
    <row r="436" ht="18.75" customHeight="1">
      <c r="A436" s="162"/>
      <c r="B436" s="162"/>
      <c r="C436" s="162"/>
      <c r="D436" s="162"/>
      <c r="E436" s="166"/>
      <c r="F436" s="166"/>
      <c r="G436" s="162"/>
      <c r="H436" s="162"/>
      <c r="I436" s="162"/>
      <c r="J436" s="162"/>
      <c r="K436" s="162"/>
      <c r="L436" s="162"/>
      <c r="M436" s="162"/>
      <c r="N436" s="162"/>
      <c r="O436" s="162"/>
      <c r="P436" s="162"/>
      <c r="Q436" s="162"/>
      <c r="R436" s="162"/>
      <c r="S436" s="162"/>
      <c r="T436" s="162"/>
      <c r="U436" s="162"/>
      <c r="V436" s="162"/>
      <c r="W436" s="162"/>
      <c r="X436" s="162"/>
      <c r="Y436" s="162"/>
      <c r="Z436" s="162"/>
    </row>
    <row r="437" ht="18.75" customHeight="1">
      <c r="A437" s="162"/>
      <c r="B437" s="162"/>
      <c r="C437" s="162"/>
      <c r="D437" s="162"/>
      <c r="E437" s="166"/>
      <c r="F437" s="166"/>
      <c r="G437" s="162"/>
      <c r="H437" s="162"/>
      <c r="I437" s="162"/>
      <c r="J437" s="162"/>
      <c r="K437" s="162"/>
      <c r="L437" s="162"/>
      <c r="M437" s="162"/>
      <c r="N437" s="162"/>
      <c r="O437" s="162"/>
      <c r="P437" s="162"/>
      <c r="Q437" s="162"/>
      <c r="R437" s="162"/>
      <c r="S437" s="162"/>
      <c r="T437" s="162"/>
      <c r="U437" s="162"/>
      <c r="V437" s="162"/>
      <c r="W437" s="162"/>
      <c r="X437" s="162"/>
      <c r="Y437" s="162"/>
      <c r="Z437" s="162"/>
    </row>
    <row r="438" ht="18.75" customHeight="1">
      <c r="A438" s="162"/>
      <c r="B438" s="162"/>
      <c r="C438" s="162"/>
      <c r="D438" s="162"/>
      <c r="E438" s="166"/>
      <c r="F438" s="166"/>
      <c r="G438" s="162"/>
      <c r="H438" s="162"/>
      <c r="I438" s="162"/>
      <c r="J438" s="162"/>
      <c r="K438" s="162"/>
      <c r="L438" s="162"/>
      <c r="M438" s="162"/>
      <c r="N438" s="162"/>
      <c r="O438" s="162"/>
      <c r="P438" s="162"/>
      <c r="Q438" s="162"/>
      <c r="R438" s="162"/>
      <c r="S438" s="162"/>
      <c r="T438" s="162"/>
      <c r="U438" s="162"/>
      <c r="V438" s="162"/>
      <c r="W438" s="162"/>
      <c r="X438" s="162"/>
      <c r="Y438" s="162"/>
      <c r="Z438" s="162"/>
    </row>
    <row r="439" ht="18.75" customHeight="1">
      <c r="A439" s="162"/>
      <c r="B439" s="162"/>
      <c r="C439" s="162"/>
      <c r="D439" s="162"/>
      <c r="E439" s="166"/>
      <c r="F439" s="166"/>
      <c r="G439" s="162"/>
      <c r="H439" s="162"/>
      <c r="I439" s="162"/>
      <c r="J439" s="162"/>
      <c r="K439" s="162"/>
      <c r="L439" s="162"/>
      <c r="M439" s="162"/>
      <c r="N439" s="162"/>
      <c r="O439" s="162"/>
      <c r="P439" s="162"/>
      <c r="Q439" s="162"/>
      <c r="R439" s="162"/>
      <c r="S439" s="162"/>
      <c r="T439" s="162"/>
      <c r="U439" s="162"/>
      <c r="V439" s="162"/>
      <c r="W439" s="162"/>
      <c r="X439" s="162"/>
      <c r="Y439" s="162"/>
      <c r="Z439" s="162"/>
    </row>
    <row r="440" ht="18.75" customHeight="1">
      <c r="A440" s="162"/>
      <c r="B440" s="162"/>
      <c r="C440" s="162"/>
      <c r="D440" s="162"/>
      <c r="E440" s="166"/>
      <c r="F440" s="166"/>
      <c r="G440" s="162"/>
      <c r="H440" s="162"/>
      <c r="I440" s="162"/>
      <c r="J440" s="162"/>
      <c r="K440" s="162"/>
      <c r="L440" s="162"/>
      <c r="M440" s="162"/>
      <c r="N440" s="162"/>
      <c r="O440" s="162"/>
      <c r="P440" s="162"/>
      <c r="Q440" s="162"/>
      <c r="R440" s="162"/>
      <c r="S440" s="162"/>
      <c r="T440" s="162"/>
      <c r="U440" s="162"/>
      <c r="V440" s="162"/>
      <c r="W440" s="162"/>
      <c r="X440" s="162"/>
      <c r="Y440" s="162"/>
      <c r="Z440" s="162"/>
    </row>
    <row r="441" ht="18.75" customHeight="1">
      <c r="A441" s="162"/>
      <c r="B441" s="162"/>
      <c r="C441" s="162"/>
      <c r="D441" s="162"/>
      <c r="E441" s="166"/>
      <c r="F441" s="166"/>
      <c r="G441" s="162"/>
      <c r="H441" s="162"/>
      <c r="I441" s="162"/>
      <c r="J441" s="162"/>
      <c r="K441" s="162"/>
      <c r="L441" s="162"/>
      <c r="M441" s="162"/>
      <c r="N441" s="162"/>
      <c r="O441" s="162"/>
      <c r="P441" s="162"/>
      <c r="Q441" s="162"/>
      <c r="R441" s="162"/>
      <c r="S441" s="162"/>
      <c r="T441" s="162"/>
      <c r="U441" s="162"/>
      <c r="V441" s="162"/>
      <c r="W441" s="162"/>
      <c r="X441" s="162"/>
      <c r="Y441" s="162"/>
      <c r="Z441" s="162"/>
    </row>
    <row r="442" ht="18.75" customHeight="1">
      <c r="A442" s="162"/>
      <c r="B442" s="162"/>
      <c r="C442" s="162"/>
      <c r="D442" s="162"/>
      <c r="E442" s="166"/>
      <c r="F442" s="166"/>
      <c r="G442" s="162"/>
      <c r="H442" s="162"/>
      <c r="I442" s="162"/>
      <c r="J442" s="162"/>
      <c r="K442" s="162"/>
      <c r="L442" s="162"/>
      <c r="M442" s="162"/>
      <c r="N442" s="162"/>
      <c r="O442" s="162"/>
      <c r="P442" s="162"/>
      <c r="Q442" s="162"/>
      <c r="R442" s="162"/>
      <c r="S442" s="162"/>
      <c r="T442" s="162"/>
      <c r="U442" s="162"/>
      <c r="V442" s="162"/>
      <c r="W442" s="162"/>
      <c r="X442" s="162"/>
      <c r="Y442" s="162"/>
      <c r="Z442" s="162"/>
    </row>
    <row r="443" ht="18.75" customHeight="1">
      <c r="A443" s="162"/>
      <c r="B443" s="162"/>
      <c r="C443" s="162"/>
      <c r="D443" s="162"/>
      <c r="E443" s="166"/>
      <c r="F443" s="166"/>
      <c r="G443" s="162"/>
      <c r="H443" s="162"/>
      <c r="I443" s="162"/>
      <c r="J443" s="162"/>
      <c r="K443" s="162"/>
      <c r="L443" s="162"/>
      <c r="M443" s="162"/>
      <c r="N443" s="162"/>
      <c r="O443" s="162"/>
      <c r="P443" s="162"/>
      <c r="Q443" s="162"/>
      <c r="R443" s="162"/>
      <c r="S443" s="162"/>
      <c r="T443" s="162"/>
      <c r="U443" s="162"/>
      <c r="V443" s="162"/>
      <c r="W443" s="162"/>
      <c r="X443" s="162"/>
      <c r="Y443" s="162"/>
      <c r="Z443" s="162"/>
    </row>
    <row r="444" ht="18.75" customHeight="1">
      <c r="A444" s="162"/>
      <c r="B444" s="162"/>
      <c r="C444" s="162"/>
      <c r="D444" s="162"/>
      <c r="E444" s="166"/>
      <c r="F444" s="166"/>
      <c r="G444" s="162"/>
      <c r="H444" s="162"/>
      <c r="I444" s="162"/>
      <c r="J444" s="162"/>
      <c r="K444" s="162"/>
      <c r="L444" s="162"/>
      <c r="M444" s="162"/>
      <c r="N444" s="162"/>
      <c r="O444" s="162"/>
      <c r="P444" s="162"/>
      <c r="Q444" s="162"/>
      <c r="R444" s="162"/>
      <c r="S444" s="162"/>
      <c r="T444" s="162"/>
      <c r="U444" s="162"/>
      <c r="V444" s="162"/>
      <c r="W444" s="162"/>
      <c r="X444" s="162"/>
      <c r="Y444" s="162"/>
      <c r="Z444" s="162"/>
    </row>
    <row r="445" ht="18.75" customHeight="1">
      <c r="A445" s="162"/>
      <c r="B445" s="162"/>
      <c r="C445" s="162"/>
      <c r="D445" s="162"/>
      <c r="E445" s="166"/>
      <c r="F445" s="166"/>
      <c r="G445" s="162"/>
      <c r="H445" s="162"/>
      <c r="I445" s="162"/>
      <c r="J445" s="162"/>
      <c r="K445" s="162"/>
      <c r="L445" s="162"/>
      <c r="M445" s="162"/>
      <c r="N445" s="162"/>
      <c r="O445" s="162"/>
      <c r="P445" s="162"/>
      <c r="Q445" s="162"/>
      <c r="R445" s="162"/>
      <c r="S445" s="162"/>
      <c r="T445" s="162"/>
      <c r="U445" s="162"/>
      <c r="V445" s="162"/>
      <c r="W445" s="162"/>
      <c r="X445" s="162"/>
      <c r="Y445" s="162"/>
      <c r="Z445" s="162"/>
    </row>
    <row r="446" ht="18.75" customHeight="1">
      <c r="A446" s="162"/>
      <c r="B446" s="162"/>
      <c r="C446" s="162"/>
      <c r="D446" s="162"/>
      <c r="E446" s="166"/>
      <c r="F446" s="166"/>
      <c r="G446" s="162"/>
      <c r="H446" s="162"/>
      <c r="I446" s="162"/>
      <c r="J446" s="162"/>
      <c r="K446" s="162"/>
      <c r="L446" s="162"/>
      <c r="M446" s="162"/>
      <c r="N446" s="162"/>
      <c r="O446" s="162"/>
      <c r="P446" s="162"/>
      <c r="Q446" s="162"/>
      <c r="R446" s="162"/>
      <c r="S446" s="162"/>
      <c r="T446" s="162"/>
      <c r="U446" s="162"/>
      <c r="V446" s="162"/>
      <c r="W446" s="162"/>
      <c r="X446" s="162"/>
      <c r="Y446" s="162"/>
      <c r="Z446" s="162"/>
    </row>
    <row r="447" ht="18.75" customHeight="1">
      <c r="A447" s="162"/>
      <c r="B447" s="162"/>
      <c r="C447" s="162"/>
      <c r="D447" s="162"/>
      <c r="E447" s="166"/>
      <c r="F447" s="166"/>
      <c r="G447" s="162"/>
      <c r="H447" s="162"/>
      <c r="I447" s="162"/>
      <c r="J447" s="162"/>
      <c r="K447" s="162"/>
      <c r="L447" s="162"/>
      <c r="M447" s="162"/>
      <c r="N447" s="162"/>
      <c r="O447" s="162"/>
      <c r="P447" s="162"/>
      <c r="Q447" s="162"/>
      <c r="R447" s="162"/>
      <c r="S447" s="162"/>
      <c r="T447" s="162"/>
      <c r="U447" s="162"/>
      <c r="V447" s="162"/>
      <c r="W447" s="162"/>
      <c r="X447" s="162"/>
      <c r="Y447" s="162"/>
      <c r="Z447" s="162"/>
    </row>
    <row r="448" ht="18.75" customHeight="1">
      <c r="A448" s="162"/>
      <c r="B448" s="162"/>
      <c r="C448" s="162"/>
      <c r="D448" s="162"/>
      <c r="E448" s="166"/>
      <c r="F448" s="166"/>
      <c r="G448" s="162"/>
      <c r="H448" s="162"/>
      <c r="I448" s="162"/>
      <c r="J448" s="162"/>
      <c r="K448" s="162"/>
      <c r="L448" s="162"/>
      <c r="M448" s="162"/>
      <c r="N448" s="162"/>
      <c r="O448" s="162"/>
      <c r="P448" s="162"/>
      <c r="Q448" s="162"/>
      <c r="R448" s="162"/>
      <c r="S448" s="162"/>
      <c r="T448" s="162"/>
      <c r="U448" s="162"/>
      <c r="V448" s="162"/>
      <c r="W448" s="162"/>
      <c r="X448" s="162"/>
      <c r="Y448" s="162"/>
      <c r="Z448" s="162"/>
    </row>
    <row r="449" ht="18.75" customHeight="1">
      <c r="A449" s="162"/>
      <c r="B449" s="162"/>
      <c r="C449" s="162"/>
      <c r="D449" s="162"/>
      <c r="E449" s="166"/>
      <c r="F449" s="166"/>
      <c r="G449" s="162"/>
      <c r="H449" s="162"/>
      <c r="I449" s="162"/>
      <c r="J449" s="162"/>
      <c r="K449" s="162"/>
      <c r="L449" s="162"/>
      <c r="M449" s="162"/>
      <c r="N449" s="162"/>
      <c r="O449" s="162"/>
      <c r="P449" s="162"/>
      <c r="Q449" s="162"/>
      <c r="R449" s="162"/>
      <c r="S449" s="162"/>
      <c r="T449" s="162"/>
      <c r="U449" s="162"/>
      <c r="V449" s="162"/>
      <c r="W449" s="162"/>
      <c r="X449" s="162"/>
      <c r="Y449" s="162"/>
      <c r="Z449" s="162"/>
    </row>
    <row r="450" ht="18.75" customHeight="1">
      <c r="A450" s="162"/>
      <c r="B450" s="162"/>
      <c r="C450" s="162"/>
      <c r="D450" s="162"/>
      <c r="E450" s="166"/>
      <c r="F450" s="166"/>
      <c r="G450" s="162"/>
      <c r="H450" s="162"/>
      <c r="I450" s="162"/>
      <c r="J450" s="162"/>
      <c r="K450" s="162"/>
      <c r="L450" s="162"/>
      <c r="M450" s="162"/>
      <c r="N450" s="162"/>
      <c r="O450" s="162"/>
      <c r="P450" s="162"/>
      <c r="Q450" s="162"/>
      <c r="R450" s="162"/>
      <c r="S450" s="162"/>
      <c r="T450" s="162"/>
      <c r="U450" s="162"/>
      <c r="V450" s="162"/>
      <c r="W450" s="162"/>
      <c r="X450" s="162"/>
      <c r="Y450" s="162"/>
      <c r="Z450" s="162"/>
    </row>
    <row r="451" ht="18.75" customHeight="1">
      <c r="A451" s="162"/>
      <c r="B451" s="162"/>
      <c r="C451" s="162"/>
      <c r="D451" s="162"/>
      <c r="E451" s="166"/>
      <c r="F451" s="166"/>
      <c r="G451" s="162"/>
      <c r="H451" s="162"/>
      <c r="I451" s="162"/>
      <c r="J451" s="162"/>
      <c r="K451" s="162"/>
      <c r="L451" s="162"/>
      <c r="M451" s="162"/>
      <c r="N451" s="162"/>
      <c r="O451" s="162"/>
      <c r="P451" s="162"/>
      <c r="Q451" s="162"/>
      <c r="R451" s="162"/>
      <c r="S451" s="162"/>
      <c r="T451" s="162"/>
      <c r="U451" s="162"/>
      <c r="V451" s="162"/>
      <c r="W451" s="162"/>
      <c r="X451" s="162"/>
      <c r="Y451" s="162"/>
      <c r="Z451" s="162"/>
    </row>
    <row r="452" ht="18.75" customHeight="1">
      <c r="A452" s="162"/>
      <c r="B452" s="162"/>
      <c r="C452" s="162"/>
      <c r="D452" s="162"/>
      <c r="E452" s="166"/>
      <c r="F452" s="166"/>
      <c r="G452" s="162"/>
      <c r="H452" s="162"/>
      <c r="I452" s="162"/>
      <c r="J452" s="162"/>
      <c r="K452" s="162"/>
      <c r="L452" s="162"/>
      <c r="M452" s="162"/>
      <c r="N452" s="162"/>
      <c r="O452" s="162"/>
      <c r="P452" s="162"/>
      <c r="Q452" s="162"/>
      <c r="R452" s="162"/>
      <c r="S452" s="162"/>
      <c r="T452" s="162"/>
      <c r="U452" s="162"/>
      <c r="V452" s="162"/>
      <c r="W452" s="162"/>
      <c r="X452" s="162"/>
      <c r="Y452" s="162"/>
      <c r="Z452" s="162"/>
    </row>
    <row r="453" ht="18.75" customHeight="1">
      <c r="A453" s="162"/>
      <c r="B453" s="162"/>
      <c r="C453" s="162"/>
      <c r="D453" s="162"/>
      <c r="E453" s="166"/>
      <c r="F453" s="166"/>
      <c r="G453" s="162"/>
      <c r="H453" s="162"/>
      <c r="I453" s="162"/>
      <c r="J453" s="162"/>
      <c r="K453" s="162"/>
      <c r="L453" s="162"/>
      <c r="M453" s="162"/>
      <c r="N453" s="162"/>
      <c r="O453" s="162"/>
      <c r="P453" s="162"/>
      <c r="Q453" s="162"/>
      <c r="R453" s="162"/>
      <c r="S453" s="162"/>
      <c r="T453" s="162"/>
      <c r="U453" s="162"/>
      <c r="V453" s="162"/>
      <c r="W453" s="162"/>
      <c r="X453" s="162"/>
      <c r="Y453" s="162"/>
      <c r="Z453" s="162"/>
    </row>
    <row r="454" ht="18.75" customHeight="1">
      <c r="A454" s="162"/>
      <c r="B454" s="162"/>
      <c r="C454" s="162"/>
      <c r="D454" s="162"/>
      <c r="E454" s="166"/>
      <c r="F454" s="166"/>
      <c r="G454" s="162"/>
      <c r="H454" s="162"/>
      <c r="I454" s="162"/>
      <c r="J454" s="162"/>
      <c r="K454" s="162"/>
      <c r="L454" s="162"/>
      <c r="M454" s="162"/>
      <c r="N454" s="162"/>
      <c r="O454" s="162"/>
      <c r="P454" s="162"/>
      <c r="Q454" s="162"/>
      <c r="R454" s="162"/>
      <c r="S454" s="162"/>
      <c r="T454" s="162"/>
      <c r="U454" s="162"/>
      <c r="V454" s="162"/>
      <c r="W454" s="162"/>
      <c r="X454" s="162"/>
      <c r="Y454" s="162"/>
      <c r="Z454" s="162"/>
    </row>
    <row r="455" ht="18.75" customHeight="1">
      <c r="A455" s="162"/>
      <c r="B455" s="162"/>
      <c r="C455" s="162"/>
      <c r="D455" s="162"/>
      <c r="E455" s="166"/>
      <c r="F455" s="166"/>
      <c r="G455" s="162"/>
      <c r="H455" s="162"/>
      <c r="I455" s="162"/>
      <c r="J455" s="162"/>
      <c r="K455" s="162"/>
      <c r="L455" s="162"/>
      <c r="M455" s="162"/>
      <c r="N455" s="162"/>
      <c r="O455" s="162"/>
      <c r="P455" s="162"/>
      <c r="Q455" s="162"/>
      <c r="R455" s="162"/>
      <c r="S455" s="162"/>
      <c r="T455" s="162"/>
      <c r="U455" s="162"/>
      <c r="V455" s="162"/>
      <c r="W455" s="162"/>
      <c r="X455" s="162"/>
      <c r="Y455" s="162"/>
      <c r="Z455" s="162"/>
    </row>
    <row r="456" ht="18.75" customHeight="1">
      <c r="A456" s="162"/>
      <c r="B456" s="162"/>
      <c r="C456" s="162"/>
      <c r="D456" s="162"/>
      <c r="E456" s="166"/>
      <c r="F456" s="166"/>
      <c r="G456" s="162"/>
      <c r="H456" s="162"/>
      <c r="I456" s="162"/>
      <c r="J456" s="162"/>
      <c r="K456" s="162"/>
      <c r="L456" s="162"/>
      <c r="M456" s="162"/>
      <c r="N456" s="162"/>
      <c r="O456" s="162"/>
      <c r="P456" s="162"/>
      <c r="Q456" s="162"/>
      <c r="R456" s="162"/>
      <c r="S456" s="162"/>
      <c r="T456" s="162"/>
      <c r="U456" s="162"/>
      <c r="V456" s="162"/>
      <c r="W456" s="162"/>
      <c r="X456" s="162"/>
      <c r="Y456" s="162"/>
      <c r="Z456" s="162"/>
    </row>
    <row r="457" ht="18.75" customHeight="1">
      <c r="A457" s="162"/>
      <c r="B457" s="162"/>
      <c r="C457" s="162"/>
      <c r="D457" s="162"/>
      <c r="E457" s="166"/>
      <c r="F457" s="166"/>
      <c r="G457" s="162"/>
      <c r="H457" s="162"/>
      <c r="I457" s="162"/>
      <c r="J457" s="162"/>
      <c r="K457" s="162"/>
      <c r="L457" s="162"/>
      <c r="M457" s="162"/>
      <c r="N457" s="162"/>
      <c r="O457" s="162"/>
      <c r="P457" s="162"/>
      <c r="Q457" s="162"/>
      <c r="R457" s="162"/>
      <c r="S457" s="162"/>
      <c r="T457" s="162"/>
      <c r="U457" s="162"/>
      <c r="V457" s="162"/>
      <c r="W457" s="162"/>
      <c r="X457" s="162"/>
      <c r="Y457" s="162"/>
      <c r="Z457" s="162"/>
    </row>
    <row r="458" ht="18.75" customHeight="1">
      <c r="A458" s="162"/>
      <c r="B458" s="162"/>
      <c r="C458" s="162"/>
      <c r="D458" s="162"/>
      <c r="E458" s="166"/>
      <c r="F458" s="166"/>
      <c r="G458" s="162"/>
      <c r="H458" s="162"/>
      <c r="I458" s="162"/>
      <c r="J458" s="162"/>
      <c r="K458" s="162"/>
      <c r="L458" s="162"/>
      <c r="M458" s="162"/>
      <c r="N458" s="162"/>
      <c r="O458" s="162"/>
      <c r="P458" s="162"/>
      <c r="Q458" s="162"/>
      <c r="R458" s="162"/>
      <c r="S458" s="162"/>
      <c r="T458" s="162"/>
      <c r="U458" s="162"/>
      <c r="V458" s="162"/>
      <c r="W458" s="162"/>
      <c r="X458" s="162"/>
      <c r="Y458" s="162"/>
      <c r="Z458" s="162"/>
    </row>
    <row r="459" ht="18.75" customHeight="1">
      <c r="A459" s="162"/>
      <c r="B459" s="162"/>
      <c r="C459" s="162"/>
      <c r="D459" s="162"/>
      <c r="E459" s="166"/>
      <c r="F459" s="166"/>
      <c r="G459" s="162"/>
      <c r="H459" s="162"/>
      <c r="I459" s="162"/>
      <c r="J459" s="162"/>
      <c r="K459" s="162"/>
      <c r="L459" s="162"/>
      <c r="M459" s="162"/>
      <c r="N459" s="162"/>
      <c r="O459" s="162"/>
      <c r="P459" s="162"/>
      <c r="Q459" s="162"/>
      <c r="R459" s="162"/>
      <c r="S459" s="162"/>
      <c r="T459" s="162"/>
      <c r="U459" s="162"/>
      <c r="V459" s="162"/>
      <c r="W459" s="162"/>
      <c r="X459" s="162"/>
      <c r="Y459" s="162"/>
      <c r="Z459" s="162"/>
    </row>
    <row r="460" ht="18.75" customHeight="1">
      <c r="A460" s="162"/>
      <c r="B460" s="162"/>
      <c r="C460" s="162"/>
      <c r="D460" s="162"/>
      <c r="E460" s="166"/>
      <c r="F460" s="166"/>
      <c r="G460" s="162"/>
      <c r="H460" s="162"/>
      <c r="I460" s="162"/>
      <c r="J460" s="162"/>
      <c r="K460" s="162"/>
      <c r="L460" s="162"/>
      <c r="M460" s="162"/>
      <c r="N460" s="162"/>
      <c r="O460" s="162"/>
      <c r="P460" s="162"/>
      <c r="Q460" s="162"/>
      <c r="R460" s="162"/>
      <c r="S460" s="162"/>
      <c r="T460" s="162"/>
      <c r="U460" s="162"/>
      <c r="V460" s="162"/>
      <c r="W460" s="162"/>
      <c r="X460" s="162"/>
      <c r="Y460" s="162"/>
      <c r="Z460" s="162"/>
    </row>
    <row r="461" ht="18.75" customHeight="1">
      <c r="A461" s="162"/>
      <c r="B461" s="162"/>
      <c r="C461" s="162"/>
      <c r="D461" s="162"/>
      <c r="E461" s="166"/>
      <c r="F461" s="166"/>
      <c r="G461" s="162"/>
      <c r="H461" s="162"/>
      <c r="I461" s="162"/>
      <c r="J461" s="162"/>
      <c r="K461" s="162"/>
      <c r="L461" s="162"/>
      <c r="M461" s="162"/>
      <c r="N461" s="162"/>
      <c r="O461" s="162"/>
      <c r="P461" s="162"/>
      <c r="Q461" s="162"/>
      <c r="R461" s="162"/>
      <c r="S461" s="162"/>
      <c r="T461" s="162"/>
      <c r="U461" s="162"/>
      <c r="V461" s="162"/>
      <c r="W461" s="162"/>
      <c r="X461" s="162"/>
      <c r="Y461" s="162"/>
      <c r="Z461" s="162"/>
    </row>
    <row r="462" ht="18.75" customHeight="1">
      <c r="A462" s="162"/>
      <c r="B462" s="162"/>
      <c r="C462" s="162"/>
      <c r="D462" s="162"/>
      <c r="E462" s="166"/>
      <c r="F462" s="166"/>
      <c r="G462" s="162"/>
      <c r="H462" s="162"/>
      <c r="I462" s="162"/>
      <c r="J462" s="162"/>
      <c r="K462" s="162"/>
      <c r="L462" s="162"/>
      <c r="M462" s="162"/>
      <c r="N462" s="162"/>
      <c r="O462" s="162"/>
      <c r="P462" s="162"/>
      <c r="Q462" s="162"/>
      <c r="R462" s="162"/>
      <c r="S462" s="162"/>
      <c r="T462" s="162"/>
      <c r="U462" s="162"/>
      <c r="V462" s="162"/>
      <c r="W462" s="162"/>
      <c r="X462" s="162"/>
      <c r="Y462" s="162"/>
      <c r="Z462" s="162"/>
    </row>
    <row r="463" ht="18.75" customHeight="1">
      <c r="A463" s="162"/>
      <c r="B463" s="162"/>
      <c r="C463" s="162"/>
      <c r="D463" s="162"/>
      <c r="E463" s="166"/>
      <c r="F463" s="166"/>
      <c r="G463" s="162"/>
      <c r="H463" s="162"/>
      <c r="I463" s="162"/>
      <c r="J463" s="162"/>
      <c r="K463" s="162"/>
      <c r="L463" s="162"/>
      <c r="M463" s="162"/>
      <c r="N463" s="162"/>
      <c r="O463" s="162"/>
      <c r="P463" s="162"/>
      <c r="Q463" s="162"/>
      <c r="R463" s="162"/>
      <c r="S463" s="162"/>
      <c r="T463" s="162"/>
      <c r="U463" s="162"/>
      <c r="V463" s="162"/>
      <c r="W463" s="162"/>
      <c r="X463" s="162"/>
      <c r="Y463" s="162"/>
      <c r="Z463" s="162"/>
    </row>
    <row r="464" ht="18.75" customHeight="1">
      <c r="A464" s="162"/>
      <c r="B464" s="162"/>
      <c r="C464" s="162"/>
      <c r="D464" s="162"/>
      <c r="E464" s="166"/>
      <c r="F464" s="166"/>
      <c r="G464" s="162"/>
      <c r="H464" s="162"/>
      <c r="I464" s="162"/>
      <c r="J464" s="162"/>
      <c r="K464" s="162"/>
      <c r="L464" s="162"/>
      <c r="M464" s="162"/>
      <c r="N464" s="162"/>
      <c r="O464" s="162"/>
      <c r="P464" s="162"/>
      <c r="Q464" s="162"/>
      <c r="R464" s="162"/>
      <c r="S464" s="162"/>
      <c r="T464" s="162"/>
      <c r="U464" s="162"/>
      <c r="V464" s="162"/>
      <c r="W464" s="162"/>
      <c r="X464" s="162"/>
      <c r="Y464" s="162"/>
      <c r="Z464" s="162"/>
    </row>
    <row r="465" ht="18.75" customHeight="1">
      <c r="A465" s="162"/>
      <c r="B465" s="162"/>
      <c r="C465" s="162"/>
      <c r="D465" s="162"/>
      <c r="E465" s="166"/>
      <c r="F465" s="166"/>
      <c r="G465" s="162"/>
      <c r="H465" s="162"/>
      <c r="I465" s="162"/>
      <c r="J465" s="162"/>
      <c r="K465" s="162"/>
      <c r="L465" s="162"/>
      <c r="M465" s="162"/>
      <c r="N465" s="162"/>
      <c r="O465" s="162"/>
      <c r="P465" s="162"/>
      <c r="Q465" s="162"/>
      <c r="R465" s="162"/>
      <c r="S465" s="162"/>
      <c r="T465" s="162"/>
      <c r="U465" s="162"/>
      <c r="V465" s="162"/>
      <c r="W465" s="162"/>
      <c r="X465" s="162"/>
      <c r="Y465" s="162"/>
      <c r="Z465" s="162"/>
    </row>
    <row r="466" ht="18.75" customHeight="1">
      <c r="A466" s="162"/>
      <c r="B466" s="162"/>
      <c r="C466" s="162"/>
      <c r="D466" s="162"/>
      <c r="E466" s="166"/>
      <c r="F466" s="166"/>
      <c r="G466" s="162"/>
      <c r="H466" s="162"/>
      <c r="I466" s="162"/>
      <c r="J466" s="162"/>
      <c r="K466" s="162"/>
      <c r="L466" s="162"/>
      <c r="M466" s="162"/>
      <c r="N466" s="162"/>
      <c r="O466" s="162"/>
      <c r="P466" s="162"/>
      <c r="Q466" s="162"/>
      <c r="R466" s="162"/>
      <c r="S466" s="162"/>
      <c r="T466" s="162"/>
      <c r="U466" s="162"/>
      <c r="V466" s="162"/>
      <c r="W466" s="162"/>
      <c r="X466" s="162"/>
      <c r="Y466" s="162"/>
      <c r="Z466" s="162"/>
    </row>
    <row r="467" ht="18.75" customHeight="1">
      <c r="A467" s="162"/>
      <c r="B467" s="162"/>
      <c r="C467" s="162"/>
      <c r="D467" s="162"/>
      <c r="E467" s="166"/>
      <c r="F467" s="166"/>
      <c r="G467" s="162"/>
      <c r="H467" s="162"/>
      <c r="I467" s="162"/>
      <c r="J467" s="162"/>
      <c r="K467" s="162"/>
      <c r="L467" s="162"/>
      <c r="M467" s="162"/>
      <c r="N467" s="162"/>
      <c r="O467" s="162"/>
      <c r="P467" s="162"/>
      <c r="Q467" s="162"/>
      <c r="R467" s="162"/>
      <c r="S467" s="162"/>
      <c r="T467" s="162"/>
      <c r="U467" s="162"/>
      <c r="V467" s="162"/>
      <c r="W467" s="162"/>
      <c r="X467" s="162"/>
      <c r="Y467" s="162"/>
      <c r="Z467" s="162"/>
    </row>
    <row r="468" ht="18.75" customHeight="1">
      <c r="A468" s="162"/>
      <c r="B468" s="162"/>
      <c r="C468" s="162"/>
      <c r="D468" s="162"/>
      <c r="E468" s="166"/>
      <c r="F468" s="166"/>
      <c r="G468" s="162"/>
      <c r="H468" s="162"/>
      <c r="I468" s="162"/>
      <c r="J468" s="162"/>
      <c r="K468" s="162"/>
      <c r="L468" s="162"/>
      <c r="M468" s="162"/>
      <c r="N468" s="162"/>
      <c r="O468" s="162"/>
      <c r="P468" s="162"/>
      <c r="Q468" s="162"/>
      <c r="R468" s="162"/>
      <c r="S468" s="162"/>
      <c r="T468" s="162"/>
      <c r="U468" s="162"/>
      <c r="V468" s="162"/>
      <c r="W468" s="162"/>
      <c r="X468" s="162"/>
      <c r="Y468" s="162"/>
      <c r="Z468" s="162"/>
    </row>
    <row r="469" ht="18.75" customHeight="1">
      <c r="A469" s="162"/>
      <c r="B469" s="162"/>
      <c r="C469" s="162"/>
      <c r="D469" s="162"/>
      <c r="E469" s="166"/>
      <c r="F469" s="166"/>
      <c r="G469" s="162"/>
      <c r="H469" s="162"/>
      <c r="I469" s="162"/>
      <c r="J469" s="162"/>
      <c r="K469" s="162"/>
      <c r="L469" s="162"/>
      <c r="M469" s="162"/>
      <c r="N469" s="162"/>
      <c r="O469" s="162"/>
      <c r="P469" s="162"/>
      <c r="Q469" s="162"/>
      <c r="R469" s="162"/>
      <c r="S469" s="162"/>
      <c r="T469" s="162"/>
      <c r="U469" s="162"/>
      <c r="V469" s="162"/>
      <c r="W469" s="162"/>
      <c r="X469" s="162"/>
      <c r="Y469" s="162"/>
      <c r="Z469" s="162"/>
    </row>
    <row r="470" ht="18.75" customHeight="1">
      <c r="A470" s="162"/>
      <c r="B470" s="162"/>
      <c r="C470" s="162"/>
      <c r="D470" s="162"/>
      <c r="E470" s="166"/>
      <c r="F470" s="166"/>
      <c r="G470" s="162"/>
      <c r="H470" s="162"/>
      <c r="I470" s="162"/>
      <c r="J470" s="162"/>
      <c r="K470" s="162"/>
      <c r="L470" s="162"/>
      <c r="M470" s="162"/>
      <c r="N470" s="162"/>
      <c r="O470" s="162"/>
      <c r="P470" s="162"/>
      <c r="Q470" s="162"/>
      <c r="R470" s="162"/>
      <c r="S470" s="162"/>
      <c r="T470" s="162"/>
      <c r="U470" s="162"/>
      <c r="V470" s="162"/>
      <c r="W470" s="162"/>
      <c r="X470" s="162"/>
      <c r="Y470" s="162"/>
      <c r="Z470" s="162"/>
    </row>
    <row r="471" ht="18.75" customHeight="1">
      <c r="A471" s="162"/>
      <c r="B471" s="162"/>
      <c r="C471" s="162"/>
      <c r="D471" s="162"/>
      <c r="E471" s="166"/>
      <c r="F471" s="166"/>
      <c r="G471" s="162"/>
      <c r="H471" s="162"/>
      <c r="I471" s="162"/>
      <c r="J471" s="162"/>
      <c r="K471" s="162"/>
      <c r="L471" s="162"/>
      <c r="M471" s="162"/>
      <c r="N471" s="162"/>
      <c r="O471" s="162"/>
      <c r="P471" s="162"/>
      <c r="Q471" s="162"/>
      <c r="R471" s="162"/>
      <c r="S471" s="162"/>
      <c r="T471" s="162"/>
      <c r="U471" s="162"/>
      <c r="V471" s="162"/>
      <c r="W471" s="162"/>
      <c r="X471" s="162"/>
      <c r="Y471" s="162"/>
      <c r="Z471" s="162"/>
    </row>
    <row r="472" ht="18.75" customHeight="1">
      <c r="A472" s="162"/>
      <c r="B472" s="162"/>
      <c r="C472" s="162"/>
      <c r="D472" s="162"/>
      <c r="E472" s="166"/>
      <c r="F472" s="166"/>
      <c r="G472" s="162"/>
      <c r="H472" s="162"/>
      <c r="I472" s="162"/>
      <c r="J472" s="162"/>
      <c r="K472" s="162"/>
      <c r="L472" s="162"/>
      <c r="M472" s="162"/>
      <c r="N472" s="162"/>
      <c r="O472" s="162"/>
      <c r="P472" s="162"/>
      <c r="Q472" s="162"/>
      <c r="R472" s="162"/>
      <c r="S472" s="162"/>
      <c r="T472" s="162"/>
      <c r="U472" s="162"/>
      <c r="V472" s="162"/>
      <c r="W472" s="162"/>
      <c r="X472" s="162"/>
      <c r="Y472" s="162"/>
      <c r="Z472" s="162"/>
    </row>
    <row r="473" ht="18.75" customHeight="1">
      <c r="A473" s="162"/>
      <c r="B473" s="162"/>
      <c r="C473" s="162"/>
      <c r="D473" s="162"/>
      <c r="E473" s="166"/>
      <c r="F473" s="166"/>
      <c r="G473" s="162"/>
      <c r="H473" s="162"/>
      <c r="I473" s="162"/>
      <c r="J473" s="162"/>
      <c r="K473" s="162"/>
      <c r="L473" s="162"/>
      <c r="M473" s="162"/>
      <c r="N473" s="162"/>
      <c r="O473" s="162"/>
      <c r="P473" s="162"/>
      <c r="Q473" s="162"/>
      <c r="R473" s="162"/>
      <c r="S473" s="162"/>
      <c r="T473" s="162"/>
      <c r="U473" s="162"/>
      <c r="V473" s="162"/>
      <c r="W473" s="162"/>
      <c r="X473" s="162"/>
      <c r="Y473" s="162"/>
      <c r="Z473" s="162"/>
    </row>
    <row r="474" ht="18.75" customHeight="1">
      <c r="A474" s="162"/>
      <c r="B474" s="162"/>
      <c r="C474" s="162"/>
      <c r="D474" s="162"/>
      <c r="E474" s="166"/>
      <c r="F474" s="166"/>
      <c r="G474" s="162"/>
      <c r="H474" s="162"/>
      <c r="I474" s="162"/>
      <c r="J474" s="162"/>
      <c r="K474" s="162"/>
      <c r="L474" s="162"/>
      <c r="M474" s="162"/>
      <c r="N474" s="162"/>
      <c r="O474" s="162"/>
      <c r="P474" s="162"/>
      <c r="Q474" s="162"/>
      <c r="R474" s="162"/>
      <c r="S474" s="162"/>
      <c r="T474" s="162"/>
      <c r="U474" s="162"/>
      <c r="V474" s="162"/>
      <c r="W474" s="162"/>
      <c r="X474" s="162"/>
      <c r="Y474" s="162"/>
      <c r="Z474" s="162"/>
    </row>
    <row r="475" ht="18.75" customHeight="1">
      <c r="A475" s="162"/>
      <c r="B475" s="162"/>
      <c r="C475" s="162"/>
      <c r="D475" s="162"/>
      <c r="E475" s="166"/>
      <c r="F475" s="166"/>
      <c r="G475" s="162"/>
      <c r="H475" s="162"/>
      <c r="I475" s="162"/>
      <c r="J475" s="162"/>
      <c r="K475" s="162"/>
      <c r="L475" s="162"/>
      <c r="M475" s="162"/>
      <c r="N475" s="162"/>
      <c r="O475" s="162"/>
      <c r="P475" s="162"/>
      <c r="Q475" s="162"/>
      <c r="R475" s="162"/>
      <c r="S475" s="162"/>
      <c r="T475" s="162"/>
      <c r="U475" s="162"/>
      <c r="V475" s="162"/>
      <c r="W475" s="162"/>
      <c r="X475" s="162"/>
      <c r="Y475" s="162"/>
      <c r="Z475" s="162"/>
    </row>
    <row r="476" ht="18.75" customHeight="1">
      <c r="A476" s="162"/>
      <c r="B476" s="162"/>
      <c r="C476" s="162"/>
      <c r="D476" s="162"/>
      <c r="E476" s="166"/>
      <c r="F476" s="166"/>
      <c r="G476" s="162"/>
      <c r="H476" s="162"/>
      <c r="I476" s="162"/>
      <c r="J476" s="162"/>
      <c r="K476" s="162"/>
      <c r="L476" s="162"/>
      <c r="M476" s="162"/>
      <c r="N476" s="162"/>
      <c r="O476" s="162"/>
      <c r="P476" s="162"/>
      <c r="Q476" s="162"/>
      <c r="R476" s="162"/>
      <c r="S476" s="162"/>
      <c r="T476" s="162"/>
      <c r="U476" s="162"/>
      <c r="V476" s="162"/>
      <c r="W476" s="162"/>
      <c r="X476" s="162"/>
      <c r="Y476" s="162"/>
      <c r="Z476" s="162"/>
    </row>
    <row r="477" ht="18.75" customHeight="1">
      <c r="A477" s="162"/>
      <c r="B477" s="162"/>
      <c r="C477" s="162"/>
      <c r="D477" s="162"/>
      <c r="E477" s="166"/>
      <c r="F477" s="166"/>
      <c r="G477" s="162"/>
      <c r="H477" s="162"/>
      <c r="I477" s="162"/>
      <c r="J477" s="162"/>
      <c r="K477" s="162"/>
      <c r="L477" s="162"/>
      <c r="M477" s="162"/>
      <c r="N477" s="162"/>
      <c r="O477" s="162"/>
      <c r="P477" s="162"/>
      <c r="Q477" s="162"/>
      <c r="R477" s="162"/>
      <c r="S477" s="162"/>
      <c r="T477" s="162"/>
      <c r="U477" s="162"/>
      <c r="V477" s="162"/>
      <c r="W477" s="162"/>
      <c r="X477" s="162"/>
      <c r="Y477" s="162"/>
      <c r="Z477" s="162"/>
    </row>
    <row r="478" ht="18.75" customHeight="1">
      <c r="A478" s="162"/>
      <c r="B478" s="162"/>
      <c r="C478" s="162"/>
      <c r="D478" s="162"/>
      <c r="E478" s="166"/>
      <c r="F478" s="166"/>
      <c r="G478" s="162"/>
      <c r="H478" s="162"/>
      <c r="I478" s="162"/>
      <c r="J478" s="162"/>
      <c r="K478" s="162"/>
      <c r="L478" s="162"/>
      <c r="M478" s="162"/>
      <c r="N478" s="162"/>
      <c r="O478" s="162"/>
      <c r="P478" s="162"/>
      <c r="Q478" s="162"/>
      <c r="R478" s="162"/>
      <c r="S478" s="162"/>
      <c r="T478" s="162"/>
      <c r="U478" s="162"/>
      <c r="V478" s="162"/>
      <c r="W478" s="162"/>
      <c r="X478" s="162"/>
      <c r="Y478" s="162"/>
      <c r="Z478" s="162"/>
    </row>
    <row r="479" ht="18.75" customHeight="1">
      <c r="A479" s="162"/>
      <c r="B479" s="162"/>
      <c r="C479" s="162"/>
      <c r="D479" s="162"/>
      <c r="E479" s="166"/>
      <c r="F479" s="166"/>
      <c r="G479" s="162"/>
      <c r="H479" s="162"/>
      <c r="I479" s="162"/>
      <c r="J479" s="162"/>
      <c r="K479" s="162"/>
      <c r="L479" s="162"/>
      <c r="M479" s="162"/>
      <c r="N479" s="162"/>
      <c r="O479" s="162"/>
      <c r="P479" s="162"/>
      <c r="Q479" s="162"/>
      <c r="R479" s="162"/>
      <c r="S479" s="162"/>
      <c r="T479" s="162"/>
      <c r="U479" s="162"/>
      <c r="V479" s="162"/>
      <c r="W479" s="162"/>
      <c r="X479" s="162"/>
      <c r="Y479" s="162"/>
      <c r="Z479" s="162"/>
    </row>
    <row r="480" ht="18.75" customHeight="1">
      <c r="A480" s="162"/>
      <c r="B480" s="162"/>
      <c r="C480" s="162"/>
      <c r="D480" s="162"/>
      <c r="E480" s="166"/>
      <c r="F480" s="166"/>
      <c r="G480" s="162"/>
      <c r="H480" s="162"/>
      <c r="I480" s="162"/>
      <c r="J480" s="162"/>
      <c r="K480" s="162"/>
      <c r="L480" s="162"/>
      <c r="M480" s="162"/>
      <c r="N480" s="162"/>
      <c r="O480" s="162"/>
      <c r="P480" s="162"/>
      <c r="Q480" s="162"/>
      <c r="R480" s="162"/>
      <c r="S480" s="162"/>
      <c r="T480" s="162"/>
      <c r="U480" s="162"/>
      <c r="V480" s="162"/>
      <c r="W480" s="162"/>
      <c r="X480" s="162"/>
      <c r="Y480" s="162"/>
      <c r="Z480" s="162"/>
    </row>
    <row r="481" ht="18.75" customHeight="1">
      <c r="A481" s="162"/>
      <c r="B481" s="162"/>
      <c r="C481" s="162"/>
      <c r="D481" s="162"/>
      <c r="E481" s="166"/>
      <c r="F481" s="166"/>
      <c r="G481" s="162"/>
      <c r="H481" s="162"/>
      <c r="I481" s="162"/>
      <c r="J481" s="162"/>
      <c r="K481" s="162"/>
      <c r="L481" s="162"/>
      <c r="M481" s="162"/>
      <c r="N481" s="162"/>
      <c r="O481" s="162"/>
      <c r="P481" s="162"/>
      <c r="Q481" s="162"/>
      <c r="R481" s="162"/>
      <c r="S481" s="162"/>
      <c r="T481" s="162"/>
      <c r="U481" s="162"/>
      <c r="V481" s="162"/>
      <c r="W481" s="162"/>
      <c r="X481" s="162"/>
      <c r="Y481" s="162"/>
      <c r="Z481" s="162"/>
    </row>
    <row r="482" ht="18.75" customHeight="1">
      <c r="A482" s="162"/>
      <c r="B482" s="162"/>
      <c r="C482" s="162"/>
      <c r="D482" s="162"/>
      <c r="E482" s="166"/>
      <c r="F482" s="166"/>
      <c r="G482" s="162"/>
      <c r="H482" s="162"/>
      <c r="I482" s="162"/>
      <c r="J482" s="162"/>
      <c r="K482" s="162"/>
      <c r="L482" s="162"/>
      <c r="M482" s="162"/>
      <c r="N482" s="162"/>
      <c r="O482" s="162"/>
      <c r="P482" s="162"/>
      <c r="Q482" s="162"/>
      <c r="R482" s="162"/>
      <c r="S482" s="162"/>
      <c r="T482" s="162"/>
      <c r="U482" s="162"/>
      <c r="V482" s="162"/>
      <c r="W482" s="162"/>
      <c r="X482" s="162"/>
      <c r="Y482" s="162"/>
      <c r="Z482" s="162"/>
    </row>
    <row r="483" ht="18.75" customHeight="1">
      <c r="A483" s="162"/>
      <c r="B483" s="162"/>
      <c r="C483" s="162"/>
      <c r="D483" s="162"/>
      <c r="E483" s="166"/>
      <c r="F483" s="166"/>
      <c r="G483" s="162"/>
      <c r="H483" s="162"/>
      <c r="I483" s="162"/>
      <c r="J483" s="162"/>
      <c r="K483" s="162"/>
      <c r="L483" s="162"/>
      <c r="M483" s="162"/>
      <c r="N483" s="162"/>
      <c r="O483" s="162"/>
      <c r="P483" s="162"/>
      <c r="Q483" s="162"/>
      <c r="R483" s="162"/>
      <c r="S483" s="162"/>
      <c r="T483" s="162"/>
      <c r="U483" s="162"/>
      <c r="V483" s="162"/>
      <c r="W483" s="162"/>
      <c r="X483" s="162"/>
      <c r="Y483" s="162"/>
      <c r="Z483" s="162"/>
    </row>
    <row r="484" ht="18.75" customHeight="1">
      <c r="A484" s="162"/>
      <c r="B484" s="162"/>
      <c r="C484" s="162"/>
      <c r="D484" s="162"/>
      <c r="E484" s="166"/>
      <c r="F484" s="166"/>
      <c r="G484" s="162"/>
      <c r="H484" s="162"/>
      <c r="I484" s="162"/>
      <c r="J484" s="162"/>
      <c r="K484" s="162"/>
      <c r="L484" s="162"/>
      <c r="M484" s="162"/>
      <c r="N484" s="162"/>
      <c r="O484" s="162"/>
      <c r="P484" s="162"/>
      <c r="Q484" s="162"/>
      <c r="R484" s="162"/>
      <c r="S484" s="162"/>
      <c r="T484" s="162"/>
      <c r="U484" s="162"/>
      <c r="V484" s="162"/>
      <c r="W484" s="162"/>
      <c r="X484" s="162"/>
      <c r="Y484" s="162"/>
      <c r="Z484" s="162"/>
    </row>
    <row r="485" ht="18.75" customHeight="1">
      <c r="A485" s="162"/>
      <c r="B485" s="162"/>
      <c r="C485" s="162"/>
      <c r="D485" s="162"/>
      <c r="E485" s="166"/>
      <c r="F485" s="166"/>
      <c r="G485" s="162"/>
      <c r="H485" s="162"/>
      <c r="I485" s="162"/>
      <c r="J485" s="162"/>
      <c r="K485" s="162"/>
      <c r="L485" s="162"/>
      <c r="M485" s="162"/>
      <c r="N485" s="162"/>
      <c r="O485" s="162"/>
      <c r="P485" s="162"/>
      <c r="Q485" s="162"/>
      <c r="R485" s="162"/>
      <c r="S485" s="162"/>
      <c r="T485" s="162"/>
      <c r="U485" s="162"/>
      <c r="V485" s="162"/>
      <c r="W485" s="162"/>
      <c r="X485" s="162"/>
      <c r="Y485" s="162"/>
      <c r="Z485" s="162"/>
    </row>
    <row r="486" ht="18.75" customHeight="1">
      <c r="A486" s="162"/>
      <c r="B486" s="162"/>
      <c r="C486" s="162"/>
      <c r="D486" s="162"/>
      <c r="E486" s="166"/>
      <c r="F486" s="166"/>
      <c r="G486" s="162"/>
      <c r="H486" s="162"/>
      <c r="I486" s="162"/>
      <c r="J486" s="162"/>
      <c r="K486" s="162"/>
      <c r="L486" s="162"/>
      <c r="M486" s="162"/>
      <c r="N486" s="162"/>
      <c r="O486" s="162"/>
      <c r="P486" s="162"/>
      <c r="Q486" s="162"/>
      <c r="R486" s="162"/>
      <c r="S486" s="162"/>
      <c r="T486" s="162"/>
      <c r="U486" s="162"/>
      <c r="V486" s="162"/>
      <c r="W486" s="162"/>
      <c r="X486" s="162"/>
      <c r="Y486" s="162"/>
      <c r="Z486" s="162"/>
    </row>
    <row r="487" ht="18.75" customHeight="1">
      <c r="A487" s="162"/>
      <c r="B487" s="162"/>
      <c r="C487" s="162"/>
      <c r="D487" s="162"/>
      <c r="E487" s="166"/>
      <c r="F487" s="166"/>
      <c r="G487" s="162"/>
      <c r="H487" s="162"/>
      <c r="I487" s="162"/>
      <c r="J487" s="162"/>
      <c r="K487" s="162"/>
      <c r="L487" s="162"/>
      <c r="M487" s="162"/>
      <c r="N487" s="162"/>
      <c r="O487" s="162"/>
      <c r="P487" s="162"/>
      <c r="Q487" s="162"/>
      <c r="R487" s="162"/>
      <c r="S487" s="162"/>
      <c r="T487" s="162"/>
      <c r="U487" s="162"/>
      <c r="V487" s="162"/>
      <c r="W487" s="162"/>
      <c r="X487" s="162"/>
      <c r="Y487" s="162"/>
      <c r="Z487" s="162"/>
    </row>
    <row r="488" ht="18.75" customHeight="1">
      <c r="A488" s="162"/>
      <c r="B488" s="162"/>
      <c r="C488" s="162"/>
      <c r="D488" s="162"/>
      <c r="E488" s="166"/>
      <c r="F488" s="166"/>
      <c r="G488" s="162"/>
      <c r="H488" s="162"/>
      <c r="I488" s="162"/>
      <c r="J488" s="162"/>
      <c r="K488" s="162"/>
      <c r="L488" s="162"/>
      <c r="M488" s="162"/>
      <c r="N488" s="162"/>
      <c r="O488" s="162"/>
      <c r="P488" s="162"/>
      <c r="Q488" s="162"/>
      <c r="R488" s="162"/>
      <c r="S488" s="162"/>
      <c r="T488" s="162"/>
      <c r="U488" s="162"/>
      <c r="V488" s="162"/>
      <c r="W488" s="162"/>
      <c r="X488" s="162"/>
      <c r="Y488" s="162"/>
      <c r="Z488" s="162"/>
    </row>
    <row r="489" ht="18.75" customHeight="1">
      <c r="A489" s="162"/>
      <c r="B489" s="162"/>
      <c r="C489" s="162"/>
      <c r="D489" s="162"/>
      <c r="E489" s="166"/>
      <c r="F489" s="166"/>
      <c r="G489" s="162"/>
      <c r="H489" s="162"/>
      <c r="I489" s="162"/>
      <c r="J489" s="162"/>
      <c r="K489" s="162"/>
      <c r="L489" s="162"/>
      <c r="M489" s="162"/>
      <c r="N489" s="162"/>
      <c r="O489" s="162"/>
      <c r="P489" s="162"/>
      <c r="Q489" s="162"/>
      <c r="R489" s="162"/>
      <c r="S489" s="162"/>
      <c r="T489" s="162"/>
      <c r="U489" s="162"/>
      <c r="V489" s="162"/>
      <c r="W489" s="162"/>
      <c r="X489" s="162"/>
      <c r="Y489" s="162"/>
      <c r="Z489" s="162"/>
    </row>
    <row r="490" ht="18.75" customHeight="1">
      <c r="A490" s="162"/>
      <c r="B490" s="162"/>
      <c r="C490" s="162"/>
      <c r="D490" s="162"/>
      <c r="E490" s="166"/>
      <c r="F490" s="166"/>
      <c r="G490" s="162"/>
      <c r="H490" s="162"/>
      <c r="I490" s="162"/>
      <c r="J490" s="162"/>
      <c r="K490" s="162"/>
      <c r="L490" s="162"/>
      <c r="M490" s="162"/>
      <c r="N490" s="162"/>
      <c r="O490" s="162"/>
      <c r="P490" s="162"/>
      <c r="Q490" s="162"/>
      <c r="R490" s="162"/>
      <c r="S490" s="162"/>
      <c r="T490" s="162"/>
      <c r="U490" s="162"/>
      <c r="V490" s="162"/>
      <c r="W490" s="162"/>
      <c r="X490" s="162"/>
      <c r="Y490" s="162"/>
      <c r="Z490" s="162"/>
    </row>
    <row r="491" ht="18.75" customHeight="1">
      <c r="A491" s="162"/>
      <c r="B491" s="162"/>
      <c r="C491" s="162"/>
      <c r="D491" s="162"/>
      <c r="E491" s="166"/>
      <c r="F491" s="166"/>
      <c r="G491" s="162"/>
      <c r="H491" s="162"/>
      <c r="I491" s="162"/>
      <c r="J491" s="162"/>
      <c r="K491" s="162"/>
      <c r="L491" s="162"/>
      <c r="M491" s="162"/>
      <c r="N491" s="162"/>
      <c r="O491" s="162"/>
      <c r="P491" s="162"/>
      <c r="Q491" s="162"/>
      <c r="R491" s="162"/>
      <c r="S491" s="162"/>
      <c r="T491" s="162"/>
      <c r="U491" s="162"/>
      <c r="V491" s="162"/>
      <c r="W491" s="162"/>
      <c r="X491" s="162"/>
      <c r="Y491" s="162"/>
      <c r="Z491" s="162"/>
    </row>
    <row r="492" ht="18.75" customHeight="1">
      <c r="A492" s="162"/>
      <c r="B492" s="162"/>
      <c r="C492" s="162"/>
      <c r="D492" s="162"/>
      <c r="E492" s="166"/>
      <c r="F492" s="166"/>
      <c r="G492" s="162"/>
      <c r="H492" s="162"/>
      <c r="I492" s="162"/>
      <c r="J492" s="162"/>
      <c r="K492" s="162"/>
      <c r="L492" s="162"/>
      <c r="M492" s="162"/>
      <c r="N492" s="162"/>
      <c r="O492" s="162"/>
      <c r="P492" s="162"/>
      <c r="Q492" s="162"/>
      <c r="R492" s="162"/>
      <c r="S492" s="162"/>
      <c r="T492" s="162"/>
      <c r="U492" s="162"/>
      <c r="V492" s="162"/>
      <c r="W492" s="162"/>
      <c r="X492" s="162"/>
      <c r="Y492" s="162"/>
      <c r="Z492" s="162"/>
    </row>
    <row r="493" ht="18.75" customHeight="1">
      <c r="A493" s="162"/>
      <c r="B493" s="162"/>
      <c r="C493" s="162"/>
      <c r="D493" s="162"/>
      <c r="E493" s="166"/>
      <c r="F493" s="166"/>
      <c r="G493" s="162"/>
      <c r="H493" s="162"/>
      <c r="I493" s="162"/>
      <c r="J493" s="162"/>
      <c r="K493" s="162"/>
      <c r="L493" s="162"/>
      <c r="M493" s="162"/>
      <c r="N493" s="162"/>
      <c r="O493" s="162"/>
      <c r="P493" s="162"/>
      <c r="Q493" s="162"/>
      <c r="R493" s="162"/>
      <c r="S493" s="162"/>
      <c r="T493" s="162"/>
      <c r="U493" s="162"/>
      <c r="V493" s="162"/>
      <c r="W493" s="162"/>
      <c r="X493" s="162"/>
      <c r="Y493" s="162"/>
      <c r="Z493" s="162"/>
    </row>
    <row r="494" ht="18.75" customHeight="1">
      <c r="A494" s="162"/>
      <c r="B494" s="162"/>
      <c r="C494" s="162"/>
      <c r="D494" s="162"/>
      <c r="E494" s="166"/>
      <c r="F494" s="166"/>
      <c r="G494" s="162"/>
      <c r="H494" s="162"/>
      <c r="I494" s="162"/>
      <c r="J494" s="162"/>
      <c r="K494" s="162"/>
      <c r="L494" s="162"/>
      <c r="M494" s="162"/>
      <c r="N494" s="162"/>
      <c r="O494" s="162"/>
      <c r="P494" s="162"/>
      <c r="Q494" s="162"/>
      <c r="R494" s="162"/>
      <c r="S494" s="162"/>
      <c r="T494" s="162"/>
      <c r="U494" s="162"/>
      <c r="V494" s="162"/>
      <c r="W494" s="162"/>
      <c r="X494" s="162"/>
      <c r="Y494" s="162"/>
      <c r="Z494" s="162"/>
    </row>
    <row r="495" ht="18.75" customHeight="1">
      <c r="A495" s="162"/>
      <c r="B495" s="162"/>
      <c r="C495" s="162"/>
      <c r="D495" s="162"/>
      <c r="E495" s="166"/>
      <c r="F495" s="166"/>
      <c r="G495" s="162"/>
      <c r="H495" s="162"/>
      <c r="I495" s="162"/>
      <c r="J495" s="162"/>
      <c r="K495" s="162"/>
      <c r="L495" s="162"/>
      <c r="M495" s="162"/>
      <c r="N495" s="162"/>
      <c r="O495" s="162"/>
      <c r="P495" s="162"/>
      <c r="Q495" s="162"/>
      <c r="R495" s="162"/>
      <c r="S495" s="162"/>
      <c r="T495" s="162"/>
      <c r="U495" s="162"/>
      <c r="V495" s="162"/>
      <c r="W495" s="162"/>
      <c r="X495" s="162"/>
      <c r="Y495" s="162"/>
      <c r="Z495" s="162"/>
    </row>
    <row r="496" ht="18.75" customHeight="1">
      <c r="A496" s="162"/>
      <c r="B496" s="162"/>
      <c r="C496" s="162"/>
      <c r="D496" s="162"/>
      <c r="E496" s="166"/>
      <c r="F496" s="166"/>
      <c r="G496" s="162"/>
      <c r="H496" s="162"/>
      <c r="I496" s="162"/>
      <c r="J496" s="162"/>
      <c r="K496" s="162"/>
      <c r="L496" s="162"/>
      <c r="M496" s="162"/>
      <c r="N496" s="162"/>
      <c r="O496" s="162"/>
      <c r="P496" s="162"/>
      <c r="Q496" s="162"/>
      <c r="R496" s="162"/>
      <c r="S496" s="162"/>
      <c r="T496" s="162"/>
      <c r="U496" s="162"/>
      <c r="V496" s="162"/>
      <c r="W496" s="162"/>
      <c r="X496" s="162"/>
      <c r="Y496" s="162"/>
      <c r="Z496" s="162"/>
    </row>
    <row r="497" ht="18.75" customHeight="1">
      <c r="A497" s="162"/>
      <c r="B497" s="162"/>
      <c r="C497" s="162"/>
      <c r="D497" s="162"/>
      <c r="E497" s="166"/>
      <c r="F497" s="166"/>
      <c r="G497" s="162"/>
      <c r="H497" s="162"/>
      <c r="I497" s="162"/>
      <c r="J497" s="162"/>
      <c r="K497" s="162"/>
      <c r="L497" s="162"/>
      <c r="M497" s="162"/>
      <c r="N497" s="162"/>
      <c r="O497" s="162"/>
      <c r="P497" s="162"/>
      <c r="Q497" s="162"/>
      <c r="R497" s="162"/>
      <c r="S497" s="162"/>
      <c r="T497" s="162"/>
      <c r="U497" s="162"/>
      <c r="V497" s="162"/>
      <c r="W497" s="162"/>
      <c r="X497" s="162"/>
      <c r="Y497" s="162"/>
      <c r="Z497" s="162"/>
    </row>
    <row r="498" ht="18.75" customHeight="1">
      <c r="A498" s="162"/>
      <c r="B498" s="162"/>
      <c r="C498" s="162"/>
      <c r="D498" s="162"/>
      <c r="E498" s="166"/>
      <c r="F498" s="166"/>
      <c r="G498" s="162"/>
      <c r="H498" s="162"/>
      <c r="I498" s="162"/>
      <c r="J498" s="162"/>
      <c r="K498" s="162"/>
      <c r="L498" s="162"/>
      <c r="M498" s="162"/>
      <c r="N498" s="162"/>
      <c r="O498" s="162"/>
      <c r="P498" s="162"/>
      <c r="Q498" s="162"/>
      <c r="R498" s="162"/>
      <c r="S498" s="162"/>
      <c r="T498" s="162"/>
      <c r="U498" s="162"/>
      <c r="V498" s="162"/>
      <c r="W498" s="162"/>
      <c r="X498" s="162"/>
      <c r="Y498" s="162"/>
      <c r="Z498" s="162"/>
    </row>
    <row r="499" ht="18.75" customHeight="1">
      <c r="A499" s="162"/>
      <c r="B499" s="162"/>
      <c r="C499" s="162"/>
      <c r="D499" s="162"/>
      <c r="E499" s="166"/>
      <c r="F499" s="166"/>
      <c r="G499" s="162"/>
      <c r="H499" s="162"/>
      <c r="I499" s="162"/>
      <c r="J499" s="162"/>
      <c r="K499" s="162"/>
      <c r="L499" s="162"/>
      <c r="M499" s="162"/>
      <c r="N499" s="162"/>
      <c r="O499" s="162"/>
      <c r="P499" s="162"/>
      <c r="Q499" s="162"/>
      <c r="R499" s="162"/>
      <c r="S499" s="162"/>
      <c r="T499" s="162"/>
      <c r="U499" s="162"/>
      <c r="V499" s="162"/>
      <c r="W499" s="162"/>
      <c r="X499" s="162"/>
      <c r="Y499" s="162"/>
      <c r="Z499" s="162"/>
    </row>
    <row r="500" ht="18.75" customHeight="1">
      <c r="A500" s="162"/>
      <c r="B500" s="162"/>
      <c r="C500" s="162"/>
      <c r="D500" s="162"/>
      <c r="E500" s="166"/>
      <c r="F500" s="166"/>
      <c r="G500" s="162"/>
      <c r="H500" s="162"/>
      <c r="I500" s="162"/>
      <c r="J500" s="162"/>
      <c r="K500" s="162"/>
      <c r="L500" s="162"/>
      <c r="M500" s="162"/>
      <c r="N500" s="162"/>
      <c r="O500" s="162"/>
      <c r="P500" s="162"/>
      <c r="Q500" s="162"/>
      <c r="R500" s="162"/>
      <c r="S500" s="162"/>
      <c r="T500" s="162"/>
      <c r="U500" s="162"/>
      <c r="V500" s="162"/>
      <c r="W500" s="162"/>
      <c r="X500" s="162"/>
      <c r="Y500" s="162"/>
      <c r="Z500" s="162"/>
    </row>
    <row r="501" ht="18.75" customHeight="1">
      <c r="A501" s="162"/>
      <c r="B501" s="162"/>
      <c r="C501" s="162"/>
      <c r="D501" s="162"/>
      <c r="E501" s="166"/>
      <c r="F501" s="166"/>
      <c r="G501" s="162"/>
      <c r="H501" s="162"/>
      <c r="I501" s="162"/>
      <c r="J501" s="162"/>
      <c r="K501" s="162"/>
      <c r="L501" s="162"/>
      <c r="M501" s="162"/>
      <c r="N501" s="162"/>
      <c r="O501" s="162"/>
      <c r="P501" s="162"/>
      <c r="Q501" s="162"/>
      <c r="R501" s="162"/>
      <c r="S501" s="162"/>
      <c r="T501" s="162"/>
      <c r="U501" s="162"/>
      <c r="V501" s="162"/>
      <c r="W501" s="162"/>
      <c r="X501" s="162"/>
      <c r="Y501" s="162"/>
      <c r="Z501" s="162"/>
    </row>
    <row r="502" ht="18.75" customHeight="1">
      <c r="A502" s="162"/>
      <c r="B502" s="162"/>
      <c r="C502" s="162"/>
      <c r="D502" s="162"/>
      <c r="E502" s="166"/>
      <c r="F502" s="166"/>
      <c r="G502" s="162"/>
      <c r="H502" s="162"/>
      <c r="I502" s="162"/>
      <c r="J502" s="162"/>
      <c r="K502" s="162"/>
      <c r="L502" s="162"/>
      <c r="M502" s="162"/>
      <c r="N502" s="162"/>
      <c r="O502" s="162"/>
      <c r="P502" s="162"/>
      <c r="Q502" s="162"/>
      <c r="R502" s="162"/>
      <c r="S502" s="162"/>
      <c r="T502" s="162"/>
      <c r="U502" s="162"/>
      <c r="V502" s="162"/>
      <c r="W502" s="162"/>
      <c r="X502" s="162"/>
      <c r="Y502" s="162"/>
      <c r="Z502" s="162"/>
    </row>
    <row r="503" ht="18.75" customHeight="1">
      <c r="A503" s="162"/>
      <c r="B503" s="162"/>
      <c r="C503" s="162"/>
      <c r="D503" s="162"/>
      <c r="E503" s="166"/>
      <c r="F503" s="166"/>
      <c r="G503" s="162"/>
      <c r="H503" s="162"/>
      <c r="I503" s="162"/>
      <c r="J503" s="162"/>
      <c r="K503" s="162"/>
      <c r="L503" s="162"/>
      <c r="M503" s="162"/>
      <c r="N503" s="162"/>
      <c r="O503" s="162"/>
      <c r="P503" s="162"/>
      <c r="Q503" s="162"/>
      <c r="R503" s="162"/>
      <c r="S503" s="162"/>
      <c r="T503" s="162"/>
      <c r="U503" s="162"/>
      <c r="V503" s="162"/>
      <c r="W503" s="162"/>
      <c r="X503" s="162"/>
      <c r="Y503" s="162"/>
      <c r="Z503" s="162"/>
    </row>
    <row r="504" ht="18.75" customHeight="1">
      <c r="A504" s="162"/>
      <c r="B504" s="162"/>
      <c r="C504" s="162"/>
      <c r="D504" s="162"/>
      <c r="E504" s="166"/>
      <c r="F504" s="166"/>
      <c r="G504" s="162"/>
      <c r="H504" s="162"/>
      <c r="I504" s="162"/>
      <c r="J504" s="162"/>
      <c r="K504" s="162"/>
      <c r="L504" s="162"/>
      <c r="M504" s="162"/>
      <c r="N504" s="162"/>
      <c r="O504" s="162"/>
      <c r="P504" s="162"/>
      <c r="Q504" s="162"/>
      <c r="R504" s="162"/>
      <c r="S504" s="162"/>
      <c r="T504" s="162"/>
      <c r="U504" s="162"/>
      <c r="V504" s="162"/>
      <c r="W504" s="162"/>
      <c r="X504" s="162"/>
      <c r="Y504" s="162"/>
      <c r="Z504" s="162"/>
    </row>
    <row r="505" ht="18.75" customHeight="1">
      <c r="A505" s="162"/>
      <c r="B505" s="162"/>
      <c r="C505" s="162"/>
      <c r="D505" s="162"/>
      <c r="E505" s="166"/>
      <c r="F505" s="166"/>
      <c r="G505" s="162"/>
      <c r="H505" s="162"/>
      <c r="I505" s="162"/>
      <c r="J505" s="162"/>
      <c r="K505" s="162"/>
      <c r="L505" s="162"/>
      <c r="M505" s="162"/>
      <c r="N505" s="162"/>
      <c r="O505" s="162"/>
      <c r="P505" s="162"/>
      <c r="Q505" s="162"/>
      <c r="R505" s="162"/>
      <c r="S505" s="162"/>
      <c r="T505" s="162"/>
      <c r="U505" s="162"/>
      <c r="V505" s="162"/>
      <c r="W505" s="162"/>
      <c r="X505" s="162"/>
      <c r="Y505" s="162"/>
      <c r="Z505" s="162"/>
    </row>
    <row r="506" ht="18.75" customHeight="1">
      <c r="A506" s="162"/>
      <c r="B506" s="162"/>
      <c r="C506" s="162"/>
      <c r="D506" s="162"/>
      <c r="E506" s="166"/>
      <c r="F506" s="166"/>
      <c r="G506" s="162"/>
      <c r="H506" s="162"/>
      <c r="I506" s="162"/>
      <c r="J506" s="162"/>
      <c r="K506" s="162"/>
      <c r="L506" s="162"/>
      <c r="M506" s="162"/>
      <c r="N506" s="162"/>
      <c r="O506" s="162"/>
      <c r="P506" s="162"/>
      <c r="Q506" s="162"/>
      <c r="R506" s="162"/>
      <c r="S506" s="162"/>
      <c r="T506" s="162"/>
      <c r="U506" s="162"/>
      <c r="V506" s="162"/>
      <c r="W506" s="162"/>
      <c r="X506" s="162"/>
      <c r="Y506" s="162"/>
      <c r="Z506" s="162"/>
    </row>
    <row r="507" ht="18.75" customHeight="1">
      <c r="A507" s="162"/>
      <c r="B507" s="162"/>
      <c r="C507" s="162"/>
      <c r="D507" s="162"/>
      <c r="E507" s="166"/>
      <c r="F507" s="166"/>
      <c r="G507" s="162"/>
      <c r="H507" s="162"/>
      <c r="I507" s="162"/>
      <c r="J507" s="162"/>
      <c r="K507" s="162"/>
      <c r="L507" s="162"/>
      <c r="M507" s="162"/>
      <c r="N507" s="162"/>
      <c r="O507" s="162"/>
      <c r="P507" s="162"/>
      <c r="Q507" s="162"/>
      <c r="R507" s="162"/>
      <c r="S507" s="162"/>
      <c r="T507" s="162"/>
      <c r="U507" s="162"/>
      <c r="V507" s="162"/>
      <c r="W507" s="162"/>
      <c r="X507" s="162"/>
      <c r="Y507" s="162"/>
      <c r="Z507" s="162"/>
    </row>
    <row r="508" ht="18.75" customHeight="1">
      <c r="A508" s="162"/>
      <c r="B508" s="162"/>
      <c r="C508" s="162"/>
      <c r="D508" s="162"/>
      <c r="E508" s="166"/>
      <c r="F508" s="166"/>
      <c r="G508" s="162"/>
      <c r="H508" s="162"/>
      <c r="I508" s="162"/>
      <c r="J508" s="162"/>
      <c r="K508" s="162"/>
      <c r="L508" s="162"/>
      <c r="M508" s="162"/>
      <c r="N508" s="162"/>
      <c r="O508" s="162"/>
      <c r="P508" s="162"/>
      <c r="Q508" s="162"/>
      <c r="R508" s="162"/>
      <c r="S508" s="162"/>
      <c r="T508" s="162"/>
      <c r="U508" s="162"/>
      <c r="V508" s="162"/>
      <c r="W508" s="162"/>
      <c r="X508" s="162"/>
      <c r="Y508" s="162"/>
      <c r="Z508" s="162"/>
    </row>
    <row r="509" ht="18.75" customHeight="1">
      <c r="A509" s="162"/>
      <c r="B509" s="162"/>
      <c r="C509" s="162"/>
      <c r="D509" s="162"/>
      <c r="E509" s="166"/>
      <c r="F509" s="166"/>
      <c r="G509" s="162"/>
      <c r="H509" s="162"/>
      <c r="I509" s="162"/>
      <c r="J509" s="162"/>
      <c r="K509" s="162"/>
      <c r="L509" s="162"/>
      <c r="M509" s="162"/>
      <c r="N509" s="162"/>
      <c r="O509" s="162"/>
      <c r="P509" s="162"/>
      <c r="Q509" s="162"/>
      <c r="R509" s="162"/>
      <c r="S509" s="162"/>
      <c r="T509" s="162"/>
      <c r="U509" s="162"/>
      <c r="V509" s="162"/>
      <c r="W509" s="162"/>
      <c r="X509" s="162"/>
      <c r="Y509" s="162"/>
      <c r="Z509" s="162"/>
    </row>
    <row r="510" ht="18.75" customHeight="1">
      <c r="A510" s="162"/>
      <c r="B510" s="162"/>
      <c r="C510" s="162"/>
      <c r="D510" s="162"/>
      <c r="E510" s="166"/>
      <c r="F510" s="166"/>
      <c r="G510" s="162"/>
      <c r="H510" s="162"/>
      <c r="I510" s="162"/>
      <c r="J510" s="162"/>
      <c r="K510" s="162"/>
      <c r="L510" s="162"/>
      <c r="M510" s="162"/>
      <c r="N510" s="162"/>
      <c r="O510" s="162"/>
      <c r="P510" s="162"/>
      <c r="Q510" s="162"/>
      <c r="R510" s="162"/>
      <c r="S510" s="162"/>
      <c r="T510" s="162"/>
      <c r="U510" s="162"/>
      <c r="V510" s="162"/>
      <c r="W510" s="162"/>
      <c r="X510" s="162"/>
      <c r="Y510" s="162"/>
      <c r="Z510" s="162"/>
    </row>
    <row r="511" ht="18.75" customHeight="1">
      <c r="A511" s="162"/>
      <c r="B511" s="162"/>
      <c r="C511" s="162"/>
      <c r="D511" s="162"/>
      <c r="E511" s="166"/>
      <c r="F511" s="166"/>
      <c r="G511" s="162"/>
      <c r="H511" s="162"/>
      <c r="I511" s="162"/>
      <c r="J511" s="162"/>
      <c r="K511" s="162"/>
      <c r="L511" s="162"/>
      <c r="M511" s="162"/>
      <c r="N511" s="162"/>
      <c r="O511" s="162"/>
      <c r="P511" s="162"/>
      <c r="Q511" s="162"/>
      <c r="R511" s="162"/>
      <c r="S511" s="162"/>
      <c r="T511" s="162"/>
      <c r="U511" s="162"/>
      <c r="V511" s="162"/>
      <c r="W511" s="162"/>
      <c r="X511" s="162"/>
      <c r="Y511" s="162"/>
      <c r="Z511" s="162"/>
    </row>
    <row r="512" ht="18.75" customHeight="1">
      <c r="A512" s="162"/>
      <c r="B512" s="162"/>
      <c r="C512" s="162"/>
      <c r="D512" s="162"/>
      <c r="E512" s="166"/>
      <c r="F512" s="166"/>
      <c r="G512" s="162"/>
      <c r="H512" s="162"/>
      <c r="I512" s="162"/>
      <c r="J512" s="162"/>
      <c r="K512" s="162"/>
      <c r="L512" s="162"/>
      <c r="M512" s="162"/>
      <c r="N512" s="162"/>
      <c r="O512" s="162"/>
      <c r="P512" s="162"/>
      <c r="Q512" s="162"/>
      <c r="R512" s="162"/>
      <c r="S512" s="162"/>
      <c r="T512" s="162"/>
      <c r="U512" s="162"/>
      <c r="V512" s="162"/>
      <c r="W512" s="162"/>
      <c r="X512" s="162"/>
      <c r="Y512" s="162"/>
      <c r="Z512" s="162"/>
    </row>
    <row r="513" ht="18.75" customHeight="1">
      <c r="A513" s="162"/>
      <c r="B513" s="162"/>
      <c r="C513" s="162"/>
      <c r="D513" s="162"/>
      <c r="E513" s="166"/>
      <c r="F513" s="166"/>
      <c r="G513" s="162"/>
      <c r="H513" s="162"/>
      <c r="I513" s="162"/>
      <c r="J513" s="162"/>
      <c r="K513" s="162"/>
      <c r="L513" s="162"/>
      <c r="M513" s="162"/>
      <c r="N513" s="162"/>
      <c r="O513" s="162"/>
      <c r="P513" s="162"/>
      <c r="Q513" s="162"/>
      <c r="R513" s="162"/>
      <c r="S513" s="162"/>
      <c r="T513" s="162"/>
      <c r="U513" s="162"/>
      <c r="V513" s="162"/>
      <c r="W513" s="162"/>
      <c r="X513" s="162"/>
      <c r="Y513" s="162"/>
      <c r="Z513" s="162"/>
    </row>
    <row r="514" ht="18.75" customHeight="1">
      <c r="A514" s="162"/>
      <c r="B514" s="162"/>
      <c r="C514" s="162"/>
      <c r="D514" s="162"/>
      <c r="E514" s="166"/>
      <c r="F514" s="166"/>
      <c r="G514" s="162"/>
      <c r="H514" s="162"/>
      <c r="I514" s="162"/>
      <c r="J514" s="162"/>
      <c r="K514" s="162"/>
      <c r="L514" s="162"/>
      <c r="M514" s="162"/>
      <c r="N514" s="162"/>
      <c r="O514" s="162"/>
      <c r="P514" s="162"/>
      <c r="Q514" s="162"/>
      <c r="R514" s="162"/>
      <c r="S514" s="162"/>
      <c r="T514" s="162"/>
      <c r="U514" s="162"/>
      <c r="V514" s="162"/>
      <c r="W514" s="162"/>
      <c r="X514" s="162"/>
      <c r="Y514" s="162"/>
      <c r="Z514" s="162"/>
    </row>
    <row r="515" ht="18.75" customHeight="1">
      <c r="A515" s="162"/>
      <c r="B515" s="162"/>
      <c r="C515" s="162"/>
      <c r="D515" s="162"/>
      <c r="E515" s="166"/>
      <c r="F515" s="166"/>
      <c r="G515" s="162"/>
      <c r="H515" s="162"/>
      <c r="I515" s="162"/>
      <c r="J515" s="162"/>
      <c r="K515" s="162"/>
      <c r="L515" s="162"/>
      <c r="M515" s="162"/>
      <c r="N515" s="162"/>
      <c r="O515" s="162"/>
      <c r="P515" s="162"/>
      <c r="Q515" s="162"/>
      <c r="R515" s="162"/>
      <c r="S515" s="162"/>
      <c r="T515" s="162"/>
      <c r="U515" s="162"/>
      <c r="V515" s="162"/>
      <c r="W515" s="162"/>
      <c r="X515" s="162"/>
      <c r="Y515" s="162"/>
      <c r="Z515" s="162"/>
    </row>
    <row r="516" ht="18.75" customHeight="1">
      <c r="A516" s="162"/>
      <c r="B516" s="162"/>
      <c r="C516" s="162"/>
      <c r="D516" s="162"/>
      <c r="E516" s="166"/>
      <c r="F516" s="166"/>
      <c r="G516" s="162"/>
      <c r="H516" s="162"/>
      <c r="I516" s="162"/>
      <c r="J516" s="162"/>
      <c r="K516" s="162"/>
      <c r="L516" s="162"/>
      <c r="M516" s="162"/>
      <c r="N516" s="162"/>
      <c r="O516" s="162"/>
      <c r="P516" s="162"/>
      <c r="Q516" s="162"/>
      <c r="R516" s="162"/>
      <c r="S516" s="162"/>
      <c r="T516" s="162"/>
      <c r="U516" s="162"/>
      <c r="V516" s="162"/>
      <c r="W516" s="162"/>
      <c r="X516" s="162"/>
      <c r="Y516" s="162"/>
      <c r="Z516" s="162"/>
    </row>
    <row r="517" ht="18.75" customHeight="1">
      <c r="A517" s="162"/>
      <c r="B517" s="162"/>
      <c r="C517" s="162"/>
      <c r="D517" s="162"/>
      <c r="E517" s="166"/>
      <c r="F517" s="166"/>
      <c r="G517" s="162"/>
      <c r="H517" s="162"/>
      <c r="I517" s="162"/>
      <c r="J517" s="162"/>
      <c r="K517" s="162"/>
      <c r="L517" s="162"/>
      <c r="M517" s="162"/>
      <c r="N517" s="162"/>
      <c r="O517" s="162"/>
      <c r="P517" s="162"/>
      <c r="Q517" s="162"/>
      <c r="R517" s="162"/>
      <c r="S517" s="162"/>
      <c r="T517" s="162"/>
      <c r="U517" s="162"/>
      <c r="V517" s="162"/>
      <c r="W517" s="162"/>
      <c r="X517" s="162"/>
      <c r="Y517" s="162"/>
      <c r="Z517" s="162"/>
    </row>
    <row r="518" ht="18.75" customHeight="1">
      <c r="A518" s="162"/>
      <c r="B518" s="162"/>
      <c r="C518" s="162"/>
      <c r="D518" s="162"/>
      <c r="E518" s="166"/>
      <c r="F518" s="166"/>
      <c r="G518" s="162"/>
      <c r="H518" s="162"/>
      <c r="I518" s="162"/>
      <c r="J518" s="162"/>
      <c r="K518" s="162"/>
      <c r="L518" s="162"/>
      <c r="M518" s="162"/>
      <c r="N518" s="162"/>
      <c r="O518" s="162"/>
      <c r="P518" s="162"/>
      <c r="Q518" s="162"/>
      <c r="R518" s="162"/>
      <c r="S518" s="162"/>
      <c r="T518" s="162"/>
      <c r="U518" s="162"/>
      <c r="V518" s="162"/>
      <c r="W518" s="162"/>
      <c r="X518" s="162"/>
      <c r="Y518" s="162"/>
      <c r="Z518" s="162"/>
    </row>
    <row r="519" ht="18.75" customHeight="1">
      <c r="A519" s="162"/>
      <c r="B519" s="162"/>
      <c r="C519" s="162"/>
      <c r="D519" s="162"/>
      <c r="E519" s="166"/>
      <c r="F519" s="166"/>
      <c r="G519" s="162"/>
      <c r="H519" s="162"/>
      <c r="I519" s="162"/>
      <c r="J519" s="162"/>
      <c r="K519" s="162"/>
      <c r="L519" s="162"/>
      <c r="M519" s="162"/>
      <c r="N519" s="162"/>
      <c r="O519" s="162"/>
      <c r="P519" s="162"/>
      <c r="Q519" s="162"/>
      <c r="R519" s="162"/>
      <c r="S519" s="162"/>
      <c r="T519" s="162"/>
      <c r="U519" s="162"/>
      <c r="V519" s="162"/>
      <c r="W519" s="162"/>
      <c r="X519" s="162"/>
      <c r="Y519" s="162"/>
      <c r="Z519" s="162"/>
    </row>
    <row r="520" ht="18.75" customHeight="1">
      <c r="A520" s="162"/>
      <c r="B520" s="162"/>
      <c r="C520" s="162"/>
      <c r="D520" s="162"/>
      <c r="E520" s="166"/>
      <c r="F520" s="166"/>
      <c r="G520" s="162"/>
      <c r="H520" s="162"/>
      <c r="I520" s="162"/>
      <c r="J520" s="162"/>
      <c r="K520" s="162"/>
      <c r="L520" s="162"/>
      <c r="M520" s="162"/>
      <c r="N520" s="162"/>
      <c r="O520" s="162"/>
      <c r="P520" s="162"/>
      <c r="Q520" s="162"/>
      <c r="R520" s="162"/>
      <c r="S520" s="162"/>
      <c r="T520" s="162"/>
      <c r="U520" s="162"/>
      <c r="V520" s="162"/>
      <c r="W520" s="162"/>
      <c r="X520" s="162"/>
      <c r="Y520" s="162"/>
      <c r="Z520" s="162"/>
    </row>
    <row r="521" ht="18.75" customHeight="1">
      <c r="A521" s="162"/>
      <c r="B521" s="162"/>
      <c r="C521" s="162"/>
      <c r="D521" s="162"/>
      <c r="E521" s="166"/>
      <c r="F521" s="166"/>
      <c r="G521" s="162"/>
      <c r="H521" s="162"/>
      <c r="I521" s="162"/>
      <c r="J521" s="162"/>
      <c r="K521" s="162"/>
      <c r="L521" s="162"/>
      <c r="M521" s="162"/>
      <c r="N521" s="162"/>
      <c r="O521" s="162"/>
      <c r="P521" s="162"/>
      <c r="Q521" s="162"/>
      <c r="R521" s="162"/>
      <c r="S521" s="162"/>
      <c r="T521" s="162"/>
      <c r="U521" s="162"/>
      <c r="V521" s="162"/>
      <c r="W521" s="162"/>
      <c r="X521" s="162"/>
      <c r="Y521" s="162"/>
      <c r="Z521" s="162"/>
    </row>
    <row r="522" ht="18.75" customHeight="1">
      <c r="A522" s="162"/>
      <c r="B522" s="162"/>
      <c r="C522" s="162"/>
      <c r="D522" s="162"/>
      <c r="E522" s="166"/>
      <c r="F522" s="166"/>
      <c r="G522" s="162"/>
      <c r="H522" s="162"/>
      <c r="I522" s="162"/>
      <c r="J522" s="162"/>
      <c r="K522" s="162"/>
      <c r="L522" s="162"/>
      <c r="M522" s="162"/>
      <c r="N522" s="162"/>
      <c r="O522" s="162"/>
      <c r="P522" s="162"/>
      <c r="Q522" s="162"/>
      <c r="R522" s="162"/>
      <c r="S522" s="162"/>
      <c r="T522" s="162"/>
      <c r="U522" s="162"/>
      <c r="V522" s="162"/>
      <c r="W522" s="162"/>
      <c r="X522" s="162"/>
      <c r="Y522" s="162"/>
      <c r="Z522" s="162"/>
    </row>
    <row r="523" ht="18.75" customHeight="1">
      <c r="A523" s="162"/>
      <c r="B523" s="162"/>
      <c r="C523" s="162"/>
      <c r="D523" s="162"/>
      <c r="E523" s="166"/>
      <c r="F523" s="166"/>
      <c r="G523" s="162"/>
      <c r="H523" s="162"/>
      <c r="I523" s="162"/>
      <c r="J523" s="162"/>
      <c r="K523" s="162"/>
      <c r="L523" s="162"/>
      <c r="M523" s="162"/>
      <c r="N523" s="162"/>
      <c r="O523" s="162"/>
      <c r="P523" s="162"/>
      <c r="Q523" s="162"/>
      <c r="R523" s="162"/>
      <c r="S523" s="162"/>
      <c r="T523" s="162"/>
      <c r="U523" s="162"/>
      <c r="V523" s="162"/>
      <c r="W523" s="162"/>
      <c r="X523" s="162"/>
      <c r="Y523" s="162"/>
      <c r="Z523" s="162"/>
    </row>
    <row r="524" ht="18.75" customHeight="1">
      <c r="A524" s="162"/>
      <c r="B524" s="162"/>
      <c r="C524" s="162"/>
      <c r="D524" s="162"/>
      <c r="E524" s="166"/>
      <c r="F524" s="166"/>
      <c r="G524" s="162"/>
      <c r="H524" s="162"/>
      <c r="I524" s="162"/>
      <c r="J524" s="162"/>
      <c r="K524" s="162"/>
      <c r="L524" s="162"/>
      <c r="M524" s="162"/>
      <c r="N524" s="162"/>
      <c r="O524" s="162"/>
      <c r="P524" s="162"/>
      <c r="Q524" s="162"/>
      <c r="R524" s="162"/>
      <c r="S524" s="162"/>
      <c r="T524" s="162"/>
      <c r="U524" s="162"/>
      <c r="V524" s="162"/>
      <c r="W524" s="162"/>
      <c r="X524" s="162"/>
      <c r="Y524" s="162"/>
      <c r="Z524" s="162"/>
    </row>
    <row r="525" ht="18.75" customHeight="1">
      <c r="A525" s="162"/>
      <c r="B525" s="162"/>
      <c r="C525" s="162"/>
      <c r="D525" s="162"/>
      <c r="E525" s="166"/>
      <c r="F525" s="166"/>
      <c r="G525" s="162"/>
      <c r="H525" s="162"/>
      <c r="I525" s="162"/>
      <c r="J525" s="162"/>
      <c r="K525" s="162"/>
      <c r="L525" s="162"/>
      <c r="M525" s="162"/>
      <c r="N525" s="162"/>
      <c r="O525" s="162"/>
      <c r="P525" s="162"/>
      <c r="Q525" s="162"/>
      <c r="R525" s="162"/>
      <c r="S525" s="162"/>
      <c r="T525" s="162"/>
      <c r="U525" s="162"/>
      <c r="V525" s="162"/>
      <c r="W525" s="162"/>
      <c r="X525" s="162"/>
      <c r="Y525" s="162"/>
      <c r="Z525" s="162"/>
    </row>
    <row r="526" ht="18.75" customHeight="1">
      <c r="A526" s="162"/>
      <c r="B526" s="162"/>
      <c r="C526" s="162"/>
      <c r="D526" s="162"/>
      <c r="E526" s="166"/>
      <c r="F526" s="166"/>
      <c r="G526" s="162"/>
      <c r="H526" s="162"/>
      <c r="I526" s="162"/>
      <c r="J526" s="162"/>
      <c r="K526" s="162"/>
      <c r="L526" s="162"/>
      <c r="M526" s="162"/>
      <c r="N526" s="162"/>
      <c r="O526" s="162"/>
      <c r="P526" s="162"/>
      <c r="Q526" s="162"/>
      <c r="R526" s="162"/>
      <c r="S526" s="162"/>
      <c r="T526" s="162"/>
      <c r="U526" s="162"/>
      <c r="V526" s="162"/>
      <c r="W526" s="162"/>
      <c r="X526" s="162"/>
      <c r="Y526" s="162"/>
      <c r="Z526" s="162"/>
    </row>
    <row r="527" ht="18.75" customHeight="1">
      <c r="A527" s="162"/>
      <c r="B527" s="162"/>
      <c r="C527" s="162"/>
      <c r="D527" s="162"/>
      <c r="E527" s="166"/>
      <c r="F527" s="166"/>
      <c r="G527" s="162"/>
      <c r="H527" s="162"/>
      <c r="I527" s="162"/>
      <c r="J527" s="162"/>
      <c r="K527" s="162"/>
      <c r="L527" s="162"/>
      <c r="M527" s="162"/>
      <c r="N527" s="162"/>
      <c r="O527" s="162"/>
      <c r="P527" s="162"/>
      <c r="Q527" s="162"/>
      <c r="R527" s="162"/>
      <c r="S527" s="162"/>
      <c r="T527" s="162"/>
      <c r="U527" s="162"/>
      <c r="V527" s="162"/>
      <c r="W527" s="162"/>
      <c r="X527" s="162"/>
      <c r="Y527" s="162"/>
      <c r="Z527" s="162"/>
    </row>
    <row r="528" ht="18.75" customHeight="1">
      <c r="A528" s="162"/>
      <c r="B528" s="162"/>
      <c r="C528" s="162"/>
      <c r="D528" s="162"/>
      <c r="E528" s="166"/>
      <c r="F528" s="166"/>
      <c r="G528" s="162"/>
      <c r="H528" s="162"/>
      <c r="I528" s="162"/>
      <c r="J528" s="162"/>
      <c r="K528" s="162"/>
      <c r="L528" s="162"/>
      <c r="M528" s="162"/>
      <c r="N528" s="162"/>
      <c r="O528" s="162"/>
      <c r="P528" s="162"/>
      <c r="Q528" s="162"/>
      <c r="R528" s="162"/>
      <c r="S528" s="162"/>
      <c r="T528" s="162"/>
      <c r="U528" s="162"/>
      <c r="V528" s="162"/>
      <c r="W528" s="162"/>
      <c r="X528" s="162"/>
      <c r="Y528" s="162"/>
      <c r="Z528" s="162"/>
    </row>
    <row r="529" ht="18.75" customHeight="1">
      <c r="A529" s="162"/>
      <c r="B529" s="162"/>
      <c r="C529" s="162"/>
      <c r="D529" s="162"/>
      <c r="E529" s="166"/>
      <c r="F529" s="166"/>
      <c r="G529" s="162"/>
      <c r="H529" s="162"/>
      <c r="I529" s="162"/>
      <c r="J529" s="162"/>
      <c r="K529" s="162"/>
      <c r="L529" s="162"/>
      <c r="M529" s="162"/>
      <c r="N529" s="162"/>
      <c r="O529" s="162"/>
      <c r="P529" s="162"/>
      <c r="Q529" s="162"/>
      <c r="R529" s="162"/>
      <c r="S529" s="162"/>
      <c r="T529" s="162"/>
      <c r="U529" s="162"/>
      <c r="V529" s="162"/>
      <c r="W529" s="162"/>
      <c r="X529" s="162"/>
      <c r="Y529" s="162"/>
      <c r="Z529" s="162"/>
    </row>
    <row r="530" ht="18.75" customHeight="1">
      <c r="A530" s="162"/>
      <c r="B530" s="162"/>
      <c r="C530" s="162"/>
      <c r="D530" s="162"/>
      <c r="E530" s="166"/>
      <c r="F530" s="166"/>
      <c r="G530" s="162"/>
      <c r="H530" s="162"/>
      <c r="I530" s="162"/>
      <c r="J530" s="162"/>
      <c r="K530" s="162"/>
      <c r="L530" s="162"/>
      <c r="M530" s="162"/>
      <c r="N530" s="162"/>
      <c r="O530" s="162"/>
      <c r="P530" s="162"/>
      <c r="Q530" s="162"/>
      <c r="R530" s="162"/>
      <c r="S530" s="162"/>
      <c r="T530" s="162"/>
      <c r="U530" s="162"/>
      <c r="V530" s="162"/>
      <c r="W530" s="162"/>
      <c r="X530" s="162"/>
      <c r="Y530" s="162"/>
      <c r="Z530" s="162"/>
    </row>
    <row r="531" ht="18.75" customHeight="1">
      <c r="A531" s="162"/>
      <c r="B531" s="162"/>
      <c r="C531" s="162"/>
      <c r="D531" s="162"/>
      <c r="E531" s="166"/>
      <c r="F531" s="166"/>
      <c r="G531" s="162"/>
      <c r="H531" s="162"/>
      <c r="I531" s="162"/>
      <c r="J531" s="162"/>
      <c r="K531" s="162"/>
      <c r="L531" s="162"/>
      <c r="M531" s="162"/>
      <c r="N531" s="162"/>
      <c r="O531" s="162"/>
      <c r="P531" s="162"/>
      <c r="Q531" s="162"/>
      <c r="R531" s="162"/>
      <c r="S531" s="162"/>
      <c r="T531" s="162"/>
      <c r="U531" s="162"/>
      <c r="V531" s="162"/>
      <c r="W531" s="162"/>
      <c r="X531" s="162"/>
      <c r="Y531" s="162"/>
      <c r="Z531" s="162"/>
    </row>
    <row r="532" ht="18.75" customHeight="1">
      <c r="A532" s="162"/>
      <c r="B532" s="162"/>
      <c r="C532" s="162"/>
      <c r="D532" s="162"/>
      <c r="E532" s="166"/>
      <c r="F532" s="166"/>
      <c r="G532" s="162"/>
      <c r="H532" s="162"/>
      <c r="I532" s="162"/>
      <c r="J532" s="162"/>
      <c r="K532" s="162"/>
      <c r="L532" s="162"/>
      <c r="M532" s="162"/>
      <c r="N532" s="162"/>
      <c r="O532" s="162"/>
      <c r="P532" s="162"/>
      <c r="Q532" s="162"/>
      <c r="R532" s="162"/>
      <c r="S532" s="162"/>
      <c r="T532" s="162"/>
      <c r="U532" s="162"/>
      <c r="V532" s="162"/>
      <c r="W532" s="162"/>
      <c r="X532" s="162"/>
      <c r="Y532" s="162"/>
      <c r="Z532" s="162"/>
    </row>
    <row r="533" ht="18.75" customHeight="1">
      <c r="A533" s="162"/>
      <c r="B533" s="162"/>
      <c r="C533" s="162"/>
      <c r="D533" s="162"/>
      <c r="E533" s="166"/>
      <c r="F533" s="166"/>
      <c r="G533" s="162"/>
      <c r="H533" s="162"/>
      <c r="I533" s="162"/>
      <c r="J533" s="162"/>
      <c r="K533" s="162"/>
      <c r="L533" s="162"/>
      <c r="M533" s="162"/>
      <c r="N533" s="162"/>
      <c r="O533" s="162"/>
      <c r="P533" s="162"/>
      <c r="Q533" s="162"/>
      <c r="R533" s="162"/>
      <c r="S533" s="162"/>
      <c r="T533" s="162"/>
      <c r="U533" s="162"/>
      <c r="V533" s="162"/>
      <c r="W533" s="162"/>
      <c r="X533" s="162"/>
      <c r="Y533" s="162"/>
      <c r="Z533" s="162"/>
    </row>
    <row r="534" ht="18.75" customHeight="1">
      <c r="A534" s="162"/>
      <c r="B534" s="162"/>
      <c r="C534" s="162"/>
      <c r="D534" s="162"/>
      <c r="E534" s="166"/>
      <c r="F534" s="166"/>
      <c r="G534" s="162"/>
      <c r="H534" s="162"/>
      <c r="I534" s="162"/>
      <c r="J534" s="162"/>
      <c r="K534" s="162"/>
      <c r="L534" s="162"/>
      <c r="M534" s="162"/>
      <c r="N534" s="162"/>
      <c r="O534" s="162"/>
      <c r="P534" s="162"/>
      <c r="Q534" s="162"/>
      <c r="R534" s="162"/>
      <c r="S534" s="162"/>
      <c r="T534" s="162"/>
      <c r="U534" s="162"/>
      <c r="V534" s="162"/>
      <c r="W534" s="162"/>
      <c r="X534" s="162"/>
      <c r="Y534" s="162"/>
      <c r="Z534" s="162"/>
    </row>
    <row r="535" ht="18.75" customHeight="1">
      <c r="A535" s="162"/>
      <c r="B535" s="162"/>
      <c r="C535" s="162"/>
      <c r="D535" s="162"/>
      <c r="E535" s="166"/>
      <c r="F535" s="166"/>
      <c r="G535" s="162"/>
      <c r="H535" s="162"/>
      <c r="I535" s="162"/>
      <c r="J535" s="162"/>
      <c r="K535" s="162"/>
      <c r="L535" s="162"/>
      <c r="M535" s="162"/>
      <c r="N535" s="162"/>
      <c r="O535" s="162"/>
      <c r="P535" s="162"/>
      <c r="Q535" s="162"/>
      <c r="R535" s="162"/>
      <c r="S535" s="162"/>
      <c r="T535" s="162"/>
      <c r="U535" s="162"/>
      <c r="V535" s="162"/>
      <c r="W535" s="162"/>
      <c r="X535" s="162"/>
      <c r="Y535" s="162"/>
      <c r="Z535" s="162"/>
    </row>
    <row r="536" ht="18.75" customHeight="1">
      <c r="A536" s="162"/>
      <c r="B536" s="162"/>
      <c r="C536" s="162"/>
      <c r="D536" s="162"/>
      <c r="E536" s="166"/>
      <c r="F536" s="166"/>
      <c r="G536" s="162"/>
      <c r="H536" s="162"/>
      <c r="I536" s="162"/>
      <c r="J536" s="162"/>
      <c r="K536" s="162"/>
      <c r="L536" s="162"/>
      <c r="M536" s="162"/>
      <c r="N536" s="162"/>
      <c r="O536" s="162"/>
      <c r="P536" s="162"/>
      <c r="Q536" s="162"/>
      <c r="R536" s="162"/>
      <c r="S536" s="162"/>
      <c r="T536" s="162"/>
      <c r="U536" s="162"/>
      <c r="V536" s="162"/>
      <c r="W536" s="162"/>
      <c r="X536" s="162"/>
      <c r="Y536" s="162"/>
      <c r="Z536" s="162"/>
    </row>
    <row r="537" ht="18.75" customHeight="1">
      <c r="A537" s="162"/>
      <c r="B537" s="162"/>
      <c r="C537" s="162"/>
      <c r="D537" s="162"/>
      <c r="E537" s="166"/>
      <c r="F537" s="166"/>
      <c r="G537" s="162"/>
      <c r="H537" s="162"/>
      <c r="I537" s="162"/>
      <c r="J537" s="162"/>
      <c r="K537" s="162"/>
      <c r="L537" s="162"/>
      <c r="M537" s="162"/>
      <c r="N537" s="162"/>
      <c r="O537" s="162"/>
      <c r="P537" s="162"/>
      <c r="Q537" s="162"/>
      <c r="R537" s="162"/>
      <c r="S537" s="162"/>
      <c r="T537" s="162"/>
      <c r="U537" s="162"/>
      <c r="V537" s="162"/>
      <c r="W537" s="162"/>
      <c r="X537" s="162"/>
      <c r="Y537" s="162"/>
      <c r="Z537" s="162"/>
    </row>
    <row r="538" ht="18.75" customHeight="1">
      <c r="A538" s="162"/>
      <c r="B538" s="162"/>
      <c r="C538" s="162"/>
      <c r="D538" s="162"/>
      <c r="E538" s="166"/>
      <c r="F538" s="166"/>
      <c r="G538" s="162"/>
      <c r="H538" s="162"/>
      <c r="I538" s="162"/>
      <c r="J538" s="162"/>
      <c r="K538" s="162"/>
      <c r="L538" s="162"/>
      <c r="M538" s="162"/>
      <c r="N538" s="162"/>
      <c r="O538" s="162"/>
      <c r="P538" s="162"/>
      <c r="Q538" s="162"/>
      <c r="R538" s="162"/>
      <c r="S538" s="162"/>
      <c r="T538" s="162"/>
      <c r="U538" s="162"/>
      <c r="V538" s="162"/>
      <c r="W538" s="162"/>
      <c r="X538" s="162"/>
      <c r="Y538" s="162"/>
      <c r="Z538" s="162"/>
    </row>
    <row r="539" ht="18.75" customHeight="1">
      <c r="A539" s="162"/>
      <c r="B539" s="162"/>
      <c r="C539" s="162"/>
      <c r="D539" s="162"/>
      <c r="E539" s="166"/>
      <c r="F539" s="166"/>
      <c r="G539" s="162"/>
      <c r="H539" s="162"/>
      <c r="I539" s="162"/>
      <c r="J539" s="162"/>
      <c r="K539" s="162"/>
      <c r="L539" s="162"/>
      <c r="M539" s="162"/>
      <c r="N539" s="162"/>
      <c r="O539" s="162"/>
      <c r="P539" s="162"/>
      <c r="Q539" s="162"/>
      <c r="R539" s="162"/>
      <c r="S539" s="162"/>
      <c r="T539" s="162"/>
      <c r="U539" s="162"/>
      <c r="V539" s="162"/>
      <c r="W539" s="162"/>
      <c r="X539" s="162"/>
      <c r="Y539" s="162"/>
      <c r="Z539" s="162"/>
    </row>
    <row r="540" ht="18.75" customHeight="1">
      <c r="A540" s="162"/>
      <c r="B540" s="162"/>
      <c r="C540" s="162"/>
      <c r="D540" s="162"/>
      <c r="E540" s="166"/>
      <c r="F540" s="166"/>
      <c r="G540" s="162"/>
      <c r="H540" s="162"/>
      <c r="I540" s="162"/>
      <c r="J540" s="162"/>
      <c r="K540" s="162"/>
      <c r="L540" s="162"/>
      <c r="M540" s="162"/>
      <c r="N540" s="162"/>
      <c r="O540" s="162"/>
      <c r="P540" s="162"/>
      <c r="Q540" s="162"/>
      <c r="R540" s="162"/>
      <c r="S540" s="162"/>
      <c r="T540" s="162"/>
      <c r="U540" s="162"/>
      <c r="V540" s="162"/>
      <c r="W540" s="162"/>
      <c r="X540" s="162"/>
      <c r="Y540" s="162"/>
      <c r="Z540" s="162"/>
    </row>
    <row r="541" ht="18.75" customHeight="1">
      <c r="A541" s="162"/>
      <c r="B541" s="162"/>
      <c r="C541" s="162"/>
      <c r="D541" s="162"/>
      <c r="E541" s="166"/>
      <c r="F541" s="166"/>
      <c r="G541" s="162"/>
      <c r="H541" s="162"/>
      <c r="I541" s="162"/>
      <c r="J541" s="162"/>
      <c r="K541" s="162"/>
      <c r="L541" s="162"/>
      <c r="M541" s="162"/>
      <c r="N541" s="162"/>
      <c r="O541" s="162"/>
      <c r="P541" s="162"/>
      <c r="Q541" s="162"/>
      <c r="R541" s="162"/>
      <c r="S541" s="162"/>
      <c r="T541" s="162"/>
      <c r="U541" s="162"/>
      <c r="V541" s="162"/>
      <c r="W541" s="162"/>
      <c r="X541" s="162"/>
      <c r="Y541" s="162"/>
      <c r="Z541" s="162"/>
    </row>
    <row r="542" ht="18.75" customHeight="1">
      <c r="A542" s="162"/>
      <c r="B542" s="162"/>
      <c r="C542" s="162"/>
      <c r="D542" s="162"/>
      <c r="E542" s="166"/>
      <c r="F542" s="166"/>
      <c r="G542" s="162"/>
      <c r="H542" s="162"/>
      <c r="I542" s="162"/>
      <c r="J542" s="162"/>
      <c r="K542" s="162"/>
      <c r="L542" s="162"/>
      <c r="M542" s="162"/>
      <c r="N542" s="162"/>
      <c r="O542" s="162"/>
      <c r="P542" s="162"/>
      <c r="Q542" s="162"/>
      <c r="R542" s="162"/>
      <c r="S542" s="162"/>
      <c r="T542" s="162"/>
      <c r="U542" s="162"/>
      <c r="V542" s="162"/>
      <c r="W542" s="162"/>
      <c r="X542" s="162"/>
      <c r="Y542" s="162"/>
      <c r="Z542" s="162"/>
    </row>
    <row r="543" ht="18.75" customHeight="1">
      <c r="A543" s="162"/>
      <c r="B543" s="162"/>
      <c r="C543" s="162"/>
      <c r="D543" s="162"/>
      <c r="E543" s="166"/>
      <c r="F543" s="166"/>
      <c r="G543" s="162"/>
      <c r="H543" s="162"/>
      <c r="I543" s="162"/>
      <c r="J543" s="162"/>
      <c r="K543" s="162"/>
      <c r="L543" s="162"/>
      <c r="M543" s="162"/>
      <c r="N543" s="162"/>
      <c r="O543" s="162"/>
      <c r="P543" s="162"/>
      <c r="Q543" s="162"/>
      <c r="R543" s="162"/>
      <c r="S543" s="162"/>
      <c r="T543" s="162"/>
      <c r="U543" s="162"/>
      <c r="V543" s="162"/>
      <c r="W543" s="162"/>
      <c r="X543" s="162"/>
      <c r="Y543" s="162"/>
      <c r="Z543" s="162"/>
    </row>
    <row r="544" ht="18.75" customHeight="1">
      <c r="A544" s="162"/>
      <c r="B544" s="162"/>
      <c r="C544" s="162"/>
      <c r="D544" s="162"/>
      <c r="E544" s="166"/>
      <c r="F544" s="166"/>
      <c r="G544" s="162"/>
      <c r="H544" s="162"/>
      <c r="I544" s="162"/>
      <c r="J544" s="162"/>
      <c r="K544" s="162"/>
      <c r="L544" s="162"/>
      <c r="M544" s="162"/>
      <c r="N544" s="162"/>
      <c r="O544" s="162"/>
      <c r="P544" s="162"/>
      <c r="Q544" s="162"/>
      <c r="R544" s="162"/>
      <c r="S544" s="162"/>
      <c r="T544" s="162"/>
      <c r="U544" s="162"/>
      <c r="V544" s="162"/>
      <c r="W544" s="162"/>
      <c r="X544" s="162"/>
      <c r="Y544" s="162"/>
      <c r="Z544" s="162"/>
    </row>
    <row r="545" ht="18.75" customHeight="1">
      <c r="A545" s="162"/>
      <c r="B545" s="162"/>
      <c r="C545" s="162"/>
      <c r="D545" s="162"/>
      <c r="E545" s="166"/>
      <c r="F545" s="166"/>
      <c r="G545" s="162"/>
      <c r="H545" s="162"/>
      <c r="I545" s="162"/>
      <c r="J545" s="162"/>
      <c r="K545" s="162"/>
      <c r="L545" s="162"/>
      <c r="M545" s="162"/>
      <c r="N545" s="162"/>
      <c r="O545" s="162"/>
      <c r="P545" s="162"/>
      <c r="Q545" s="162"/>
      <c r="R545" s="162"/>
      <c r="S545" s="162"/>
      <c r="T545" s="162"/>
      <c r="U545" s="162"/>
      <c r="V545" s="162"/>
      <c r="W545" s="162"/>
      <c r="X545" s="162"/>
      <c r="Y545" s="162"/>
      <c r="Z545" s="162"/>
    </row>
    <row r="546" ht="18.75" customHeight="1">
      <c r="A546" s="162"/>
      <c r="B546" s="162"/>
      <c r="C546" s="162"/>
      <c r="D546" s="162"/>
      <c r="E546" s="166"/>
      <c r="F546" s="166"/>
      <c r="G546" s="162"/>
      <c r="H546" s="162"/>
      <c r="I546" s="162"/>
      <c r="J546" s="162"/>
      <c r="K546" s="162"/>
      <c r="L546" s="162"/>
      <c r="M546" s="162"/>
      <c r="N546" s="162"/>
      <c r="O546" s="162"/>
      <c r="P546" s="162"/>
      <c r="Q546" s="162"/>
      <c r="R546" s="162"/>
      <c r="S546" s="162"/>
      <c r="T546" s="162"/>
      <c r="U546" s="162"/>
      <c r="V546" s="162"/>
      <c r="W546" s="162"/>
      <c r="X546" s="162"/>
      <c r="Y546" s="162"/>
      <c r="Z546" s="162"/>
    </row>
    <row r="547" ht="18.75" customHeight="1">
      <c r="A547" s="162"/>
      <c r="B547" s="162"/>
      <c r="C547" s="162"/>
      <c r="D547" s="162"/>
      <c r="E547" s="166"/>
      <c r="F547" s="166"/>
      <c r="G547" s="162"/>
      <c r="H547" s="162"/>
      <c r="I547" s="162"/>
      <c r="J547" s="162"/>
      <c r="K547" s="162"/>
      <c r="L547" s="162"/>
      <c r="M547" s="162"/>
      <c r="N547" s="162"/>
      <c r="O547" s="162"/>
      <c r="P547" s="162"/>
      <c r="Q547" s="162"/>
      <c r="R547" s="162"/>
      <c r="S547" s="162"/>
      <c r="T547" s="162"/>
      <c r="U547" s="162"/>
      <c r="V547" s="162"/>
      <c r="W547" s="162"/>
      <c r="X547" s="162"/>
      <c r="Y547" s="162"/>
      <c r="Z547" s="162"/>
    </row>
    <row r="548" ht="18.75" customHeight="1">
      <c r="A548" s="162"/>
      <c r="B548" s="162"/>
      <c r="C548" s="162"/>
      <c r="D548" s="162"/>
      <c r="E548" s="166"/>
      <c r="F548" s="166"/>
      <c r="G548" s="162"/>
      <c r="H548" s="162"/>
      <c r="I548" s="162"/>
      <c r="J548" s="162"/>
      <c r="K548" s="162"/>
      <c r="L548" s="162"/>
      <c r="M548" s="162"/>
      <c r="N548" s="162"/>
      <c r="O548" s="162"/>
      <c r="P548" s="162"/>
      <c r="Q548" s="162"/>
      <c r="R548" s="162"/>
      <c r="S548" s="162"/>
      <c r="T548" s="162"/>
      <c r="U548" s="162"/>
      <c r="V548" s="162"/>
      <c r="W548" s="162"/>
      <c r="X548" s="162"/>
      <c r="Y548" s="162"/>
      <c r="Z548" s="162"/>
    </row>
    <row r="549" ht="18.75" customHeight="1">
      <c r="A549" s="162"/>
      <c r="B549" s="162"/>
      <c r="C549" s="162"/>
      <c r="D549" s="162"/>
      <c r="E549" s="166"/>
      <c r="F549" s="166"/>
      <c r="G549" s="162"/>
      <c r="H549" s="162"/>
      <c r="I549" s="162"/>
      <c r="J549" s="162"/>
      <c r="K549" s="162"/>
      <c r="L549" s="162"/>
      <c r="M549" s="162"/>
      <c r="N549" s="162"/>
      <c r="O549" s="162"/>
      <c r="P549" s="162"/>
      <c r="Q549" s="162"/>
      <c r="R549" s="162"/>
      <c r="S549" s="162"/>
      <c r="T549" s="162"/>
      <c r="U549" s="162"/>
      <c r="V549" s="162"/>
      <c r="W549" s="162"/>
      <c r="X549" s="162"/>
      <c r="Y549" s="162"/>
      <c r="Z549" s="162"/>
    </row>
    <row r="550" ht="18.75" customHeight="1">
      <c r="A550" s="162"/>
      <c r="B550" s="162"/>
      <c r="C550" s="162"/>
      <c r="D550" s="162"/>
      <c r="E550" s="166"/>
      <c r="F550" s="166"/>
      <c r="G550" s="162"/>
      <c r="H550" s="162"/>
      <c r="I550" s="162"/>
      <c r="J550" s="162"/>
      <c r="K550" s="162"/>
      <c r="L550" s="162"/>
      <c r="M550" s="162"/>
      <c r="N550" s="162"/>
      <c r="O550" s="162"/>
      <c r="P550" s="162"/>
      <c r="Q550" s="162"/>
      <c r="R550" s="162"/>
      <c r="S550" s="162"/>
      <c r="T550" s="162"/>
      <c r="U550" s="162"/>
      <c r="V550" s="162"/>
      <c r="W550" s="162"/>
      <c r="X550" s="162"/>
      <c r="Y550" s="162"/>
      <c r="Z550" s="162"/>
    </row>
    <row r="551" ht="18.75" customHeight="1">
      <c r="A551" s="162"/>
      <c r="B551" s="162"/>
      <c r="C551" s="162"/>
      <c r="D551" s="162"/>
      <c r="E551" s="166"/>
      <c r="F551" s="166"/>
      <c r="G551" s="162"/>
      <c r="H551" s="162"/>
      <c r="I551" s="162"/>
      <c r="J551" s="162"/>
      <c r="K551" s="162"/>
      <c r="L551" s="162"/>
      <c r="M551" s="162"/>
      <c r="N551" s="162"/>
      <c r="O551" s="162"/>
      <c r="P551" s="162"/>
      <c r="Q551" s="162"/>
      <c r="R551" s="162"/>
      <c r="S551" s="162"/>
      <c r="T551" s="162"/>
      <c r="U551" s="162"/>
      <c r="V551" s="162"/>
      <c r="W551" s="162"/>
      <c r="X551" s="162"/>
      <c r="Y551" s="162"/>
      <c r="Z551" s="162"/>
    </row>
    <row r="552" ht="18.75" customHeight="1">
      <c r="A552" s="162"/>
      <c r="B552" s="162"/>
      <c r="C552" s="162"/>
      <c r="D552" s="162"/>
      <c r="E552" s="166"/>
      <c r="F552" s="166"/>
      <c r="G552" s="162"/>
      <c r="H552" s="162"/>
      <c r="I552" s="162"/>
      <c r="J552" s="162"/>
      <c r="K552" s="162"/>
      <c r="L552" s="162"/>
      <c r="M552" s="162"/>
      <c r="N552" s="162"/>
      <c r="O552" s="162"/>
      <c r="P552" s="162"/>
      <c r="Q552" s="162"/>
      <c r="R552" s="162"/>
      <c r="S552" s="162"/>
      <c r="T552" s="162"/>
      <c r="U552" s="162"/>
      <c r="V552" s="162"/>
      <c r="W552" s="162"/>
      <c r="X552" s="162"/>
      <c r="Y552" s="162"/>
      <c r="Z552" s="162"/>
    </row>
    <row r="553" ht="18.75" customHeight="1">
      <c r="A553" s="162"/>
      <c r="B553" s="162"/>
      <c r="C553" s="162"/>
      <c r="D553" s="162"/>
      <c r="E553" s="166"/>
      <c r="F553" s="166"/>
      <c r="G553" s="162"/>
      <c r="H553" s="162"/>
      <c r="I553" s="162"/>
      <c r="J553" s="162"/>
      <c r="K553" s="162"/>
      <c r="L553" s="162"/>
      <c r="M553" s="162"/>
      <c r="N553" s="162"/>
      <c r="O553" s="162"/>
      <c r="P553" s="162"/>
      <c r="Q553" s="162"/>
      <c r="R553" s="162"/>
      <c r="S553" s="162"/>
      <c r="T553" s="162"/>
      <c r="U553" s="162"/>
      <c r="V553" s="162"/>
      <c r="W553" s="162"/>
      <c r="X553" s="162"/>
      <c r="Y553" s="162"/>
      <c r="Z553" s="162"/>
    </row>
    <row r="554" ht="18.75" customHeight="1">
      <c r="A554" s="162"/>
      <c r="B554" s="162"/>
      <c r="C554" s="162"/>
      <c r="D554" s="162"/>
      <c r="E554" s="166"/>
      <c r="F554" s="166"/>
      <c r="G554" s="162"/>
      <c r="H554" s="162"/>
      <c r="I554" s="162"/>
      <c r="J554" s="162"/>
      <c r="K554" s="162"/>
      <c r="L554" s="162"/>
      <c r="M554" s="162"/>
      <c r="N554" s="162"/>
      <c r="O554" s="162"/>
      <c r="P554" s="162"/>
      <c r="Q554" s="162"/>
      <c r="R554" s="162"/>
      <c r="S554" s="162"/>
      <c r="T554" s="162"/>
      <c r="U554" s="162"/>
      <c r="V554" s="162"/>
      <c r="W554" s="162"/>
      <c r="X554" s="162"/>
      <c r="Y554" s="162"/>
      <c r="Z554" s="162"/>
    </row>
    <row r="555" ht="18.75" customHeight="1">
      <c r="A555" s="162"/>
      <c r="B555" s="162"/>
      <c r="C555" s="162"/>
      <c r="D555" s="162"/>
      <c r="E555" s="166"/>
      <c r="F555" s="166"/>
      <c r="G555" s="162"/>
      <c r="H555" s="162"/>
      <c r="I555" s="162"/>
      <c r="J555" s="162"/>
      <c r="K555" s="162"/>
      <c r="L555" s="162"/>
      <c r="M555" s="162"/>
      <c r="N555" s="162"/>
      <c r="O555" s="162"/>
      <c r="P555" s="162"/>
      <c r="Q555" s="162"/>
      <c r="R555" s="162"/>
      <c r="S555" s="162"/>
      <c r="T555" s="162"/>
      <c r="U555" s="162"/>
      <c r="V555" s="162"/>
      <c r="W555" s="162"/>
      <c r="X555" s="162"/>
      <c r="Y555" s="162"/>
      <c r="Z555" s="162"/>
    </row>
    <row r="556" ht="18.75" customHeight="1">
      <c r="A556" s="162"/>
      <c r="B556" s="162"/>
      <c r="C556" s="162"/>
      <c r="D556" s="162"/>
      <c r="E556" s="166"/>
      <c r="F556" s="166"/>
      <c r="G556" s="162"/>
      <c r="H556" s="162"/>
      <c r="I556" s="162"/>
      <c r="J556" s="162"/>
      <c r="K556" s="162"/>
      <c r="L556" s="162"/>
      <c r="M556" s="162"/>
      <c r="N556" s="162"/>
      <c r="O556" s="162"/>
      <c r="P556" s="162"/>
      <c r="Q556" s="162"/>
      <c r="R556" s="162"/>
      <c r="S556" s="162"/>
      <c r="T556" s="162"/>
      <c r="U556" s="162"/>
      <c r="V556" s="162"/>
      <c r="W556" s="162"/>
      <c r="X556" s="162"/>
      <c r="Y556" s="162"/>
      <c r="Z556" s="162"/>
    </row>
    <row r="557" ht="18.75" customHeight="1">
      <c r="A557" s="162"/>
      <c r="B557" s="162"/>
      <c r="C557" s="162"/>
      <c r="D557" s="162"/>
      <c r="E557" s="166"/>
      <c r="F557" s="166"/>
      <c r="G557" s="162"/>
      <c r="H557" s="162"/>
      <c r="I557" s="162"/>
      <c r="J557" s="162"/>
      <c r="K557" s="162"/>
      <c r="L557" s="162"/>
      <c r="M557" s="162"/>
      <c r="N557" s="162"/>
      <c r="O557" s="162"/>
      <c r="P557" s="162"/>
      <c r="Q557" s="162"/>
      <c r="R557" s="162"/>
      <c r="S557" s="162"/>
      <c r="T557" s="162"/>
      <c r="U557" s="162"/>
      <c r="V557" s="162"/>
      <c r="W557" s="162"/>
      <c r="X557" s="162"/>
      <c r="Y557" s="162"/>
      <c r="Z557" s="162"/>
    </row>
    <row r="558" ht="18.75" customHeight="1">
      <c r="A558" s="162"/>
      <c r="B558" s="162"/>
      <c r="C558" s="162"/>
      <c r="D558" s="162"/>
      <c r="E558" s="166"/>
      <c r="F558" s="166"/>
      <c r="G558" s="162"/>
      <c r="H558" s="162"/>
      <c r="I558" s="162"/>
      <c r="J558" s="162"/>
      <c r="K558" s="162"/>
      <c r="L558" s="162"/>
      <c r="M558" s="162"/>
      <c r="N558" s="162"/>
      <c r="O558" s="162"/>
      <c r="P558" s="162"/>
      <c r="Q558" s="162"/>
      <c r="R558" s="162"/>
      <c r="S558" s="162"/>
      <c r="T558" s="162"/>
      <c r="U558" s="162"/>
      <c r="V558" s="162"/>
      <c r="W558" s="162"/>
      <c r="X558" s="162"/>
      <c r="Y558" s="162"/>
      <c r="Z558" s="162"/>
    </row>
    <row r="559" ht="18.75" customHeight="1">
      <c r="A559" s="162"/>
      <c r="B559" s="162"/>
      <c r="C559" s="162"/>
      <c r="D559" s="162"/>
      <c r="E559" s="166"/>
      <c r="F559" s="166"/>
      <c r="G559" s="162"/>
      <c r="H559" s="162"/>
      <c r="I559" s="162"/>
      <c r="J559" s="162"/>
      <c r="K559" s="162"/>
      <c r="L559" s="162"/>
      <c r="M559" s="162"/>
      <c r="N559" s="162"/>
      <c r="O559" s="162"/>
      <c r="P559" s="162"/>
      <c r="Q559" s="162"/>
      <c r="R559" s="162"/>
      <c r="S559" s="162"/>
      <c r="T559" s="162"/>
      <c r="U559" s="162"/>
      <c r="V559" s="162"/>
      <c r="W559" s="162"/>
      <c r="X559" s="162"/>
      <c r="Y559" s="162"/>
      <c r="Z559" s="162"/>
    </row>
    <row r="560" ht="18.75" customHeight="1">
      <c r="A560" s="162"/>
      <c r="B560" s="162"/>
      <c r="C560" s="162"/>
      <c r="D560" s="162"/>
      <c r="E560" s="166"/>
      <c r="F560" s="166"/>
      <c r="G560" s="162"/>
      <c r="H560" s="162"/>
      <c r="I560" s="162"/>
      <c r="J560" s="162"/>
      <c r="K560" s="162"/>
      <c r="L560" s="162"/>
      <c r="M560" s="162"/>
      <c r="N560" s="162"/>
      <c r="O560" s="162"/>
      <c r="P560" s="162"/>
      <c r="Q560" s="162"/>
      <c r="R560" s="162"/>
      <c r="S560" s="162"/>
      <c r="T560" s="162"/>
      <c r="U560" s="162"/>
      <c r="V560" s="162"/>
      <c r="W560" s="162"/>
      <c r="X560" s="162"/>
      <c r="Y560" s="162"/>
      <c r="Z560" s="162"/>
    </row>
    <row r="561" ht="18.75" customHeight="1">
      <c r="A561" s="162"/>
      <c r="B561" s="162"/>
      <c r="C561" s="162"/>
      <c r="D561" s="162"/>
      <c r="E561" s="166"/>
      <c r="F561" s="166"/>
      <c r="G561" s="162"/>
      <c r="H561" s="162"/>
      <c r="I561" s="162"/>
      <c r="J561" s="162"/>
      <c r="K561" s="162"/>
      <c r="L561" s="162"/>
      <c r="M561" s="162"/>
      <c r="N561" s="162"/>
      <c r="O561" s="162"/>
      <c r="P561" s="162"/>
      <c r="Q561" s="162"/>
      <c r="R561" s="162"/>
      <c r="S561" s="162"/>
      <c r="T561" s="162"/>
      <c r="U561" s="162"/>
      <c r="V561" s="162"/>
      <c r="W561" s="162"/>
      <c r="X561" s="162"/>
      <c r="Y561" s="162"/>
      <c r="Z561" s="162"/>
    </row>
    <row r="562" ht="18.75" customHeight="1">
      <c r="A562" s="162"/>
      <c r="B562" s="162"/>
      <c r="C562" s="162"/>
      <c r="D562" s="162"/>
      <c r="E562" s="166"/>
      <c r="F562" s="166"/>
      <c r="G562" s="162"/>
      <c r="H562" s="162"/>
      <c r="I562" s="162"/>
      <c r="J562" s="162"/>
      <c r="K562" s="162"/>
      <c r="L562" s="162"/>
      <c r="M562" s="162"/>
      <c r="N562" s="162"/>
      <c r="O562" s="162"/>
      <c r="P562" s="162"/>
      <c r="Q562" s="162"/>
      <c r="R562" s="162"/>
      <c r="S562" s="162"/>
      <c r="T562" s="162"/>
      <c r="U562" s="162"/>
      <c r="V562" s="162"/>
      <c r="W562" s="162"/>
      <c r="X562" s="162"/>
      <c r="Y562" s="162"/>
      <c r="Z562" s="162"/>
    </row>
    <row r="563" ht="18.75" customHeight="1">
      <c r="A563" s="162"/>
      <c r="B563" s="162"/>
      <c r="C563" s="162"/>
      <c r="D563" s="162"/>
      <c r="E563" s="166"/>
      <c r="F563" s="166"/>
      <c r="G563" s="162"/>
      <c r="H563" s="162"/>
      <c r="I563" s="162"/>
      <c r="J563" s="162"/>
      <c r="K563" s="162"/>
      <c r="L563" s="162"/>
      <c r="M563" s="162"/>
      <c r="N563" s="162"/>
      <c r="O563" s="162"/>
      <c r="P563" s="162"/>
      <c r="Q563" s="162"/>
      <c r="R563" s="162"/>
      <c r="S563" s="162"/>
      <c r="T563" s="162"/>
      <c r="U563" s="162"/>
      <c r="V563" s="162"/>
      <c r="W563" s="162"/>
      <c r="X563" s="162"/>
      <c r="Y563" s="162"/>
      <c r="Z563" s="162"/>
    </row>
    <row r="564" ht="18.75" customHeight="1">
      <c r="A564" s="162"/>
      <c r="B564" s="162"/>
      <c r="C564" s="162"/>
      <c r="D564" s="162"/>
      <c r="E564" s="166"/>
      <c r="F564" s="166"/>
      <c r="G564" s="162"/>
      <c r="H564" s="162"/>
      <c r="I564" s="162"/>
      <c r="J564" s="162"/>
      <c r="K564" s="162"/>
      <c r="L564" s="162"/>
      <c r="M564" s="162"/>
      <c r="N564" s="162"/>
      <c r="O564" s="162"/>
      <c r="P564" s="162"/>
      <c r="Q564" s="162"/>
      <c r="R564" s="162"/>
      <c r="S564" s="162"/>
      <c r="T564" s="162"/>
      <c r="U564" s="162"/>
      <c r="V564" s="162"/>
      <c r="W564" s="162"/>
      <c r="X564" s="162"/>
      <c r="Y564" s="162"/>
      <c r="Z564" s="162"/>
    </row>
    <row r="565" ht="18.75" customHeight="1">
      <c r="A565" s="162"/>
      <c r="B565" s="162"/>
      <c r="C565" s="162"/>
      <c r="D565" s="162"/>
      <c r="E565" s="166"/>
      <c r="F565" s="166"/>
      <c r="G565" s="162"/>
      <c r="H565" s="162"/>
      <c r="I565" s="162"/>
      <c r="J565" s="162"/>
      <c r="K565" s="162"/>
      <c r="L565" s="162"/>
      <c r="M565" s="162"/>
      <c r="N565" s="162"/>
      <c r="O565" s="162"/>
      <c r="P565" s="162"/>
      <c r="Q565" s="162"/>
      <c r="R565" s="162"/>
      <c r="S565" s="162"/>
      <c r="T565" s="162"/>
      <c r="U565" s="162"/>
      <c r="V565" s="162"/>
      <c r="W565" s="162"/>
      <c r="X565" s="162"/>
      <c r="Y565" s="162"/>
      <c r="Z565" s="162"/>
    </row>
    <row r="566" ht="18.75" customHeight="1">
      <c r="A566" s="162"/>
      <c r="B566" s="162"/>
      <c r="C566" s="162"/>
      <c r="D566" s="162"/>
      <c r="E566" s="166"/>
      <c r="F566" s="166"/>
      <c r="G566" s="162"/>
      <c r="H566" s="162"/>
      <c r="I566" s="162"/>
      <c r="J566" s="162"/>
      <c r="K566" s="162"/>
      <c r="L566" s="162"/>
      <c r="M566" s="162"/>
      <c r="N566" s="162"/>
      <c r="O566" s="162"/>
      <c r="P566" s="162"/>
      <c r="Q566" s="162"/>
      <c r="R566" s="162"/>
      <c r="S566" s="162"/>
      <c r="T566" s="162"/>
      <c r="U566" s="162"/>
      <c r="V566" s="162"/>
      <c r="W566" s="162"/>
      <c r="X566" s="162"/>
      <c r="Y566" s="162"/>
      <c r="Z566" s="162"/>
    </row>
    <row r="567" ht="18.75" customHeight="1">
      <c r="A567" s="162"/>
      <c r="B567" s="162"/>
      <c r="C567" s="162"/>
      <c r="D567" s="162"/>
      <c r="E567" s="166"/>
      <c r="F567" s="166"/>
      <c r="G567" s="162"/>
      <c r="H567" s="162"/>
      <c r="I567" s="162"/>
      <c r="J567" s="162"/>
      <c r="K567" s="162"/>
      <c r="L567" s="162"/>
      <c r="M567" s="162"/>
      <c r="N567" s="162"/>
      <c r="O567" s="162"/>
      <c r="P567" s="162"/>
      <c r="Q567" s="162"/>
      <c r="R567" s="162"/>
      <c r="S567" s="162"/>
      <c r="T567" s="162"/>
      <c r="U567" s="162"/>
      <c r="V567" s="162"/>
      <c r="W567" s="162"/>
      <c r="X567" s="162"/>
      <c r="Y567" s="162"/>
      <c r="Z567" s="162"/>
    </row>
    <row r="568" ht="18.75" customHeight="1">
      <c r="A568" s="162"/>
      <c r="B568" s="162"/>
      <c r="C568" s="162"/>
      <c r="D568" s="162"/>
      <c r="E568" s="166"/>
      <c r="F568" s="166"/>
      <c r="G568" s="162"/>
      <c r="H568" s="162"/>
      <c r="I568" s="162"/>
      <c r="J568" s="162"/>
      <c r="K568" s="162"/>
      <c r="L568" s="162"/>
      <c r="M568" s="162"/>
      <c r="N568" s="162"/>
      <c r="O568" s="162"/>
      <c r="P568" s="162"/>
      <c r="Q568" s="162"/>
      <c r="R568" s="162"/>
      <c r="S568" s="162"/>
      <c r="T568" s="162"/>
      <c r="U568" s="162"/>
      <c r="V568" s="162"/>
      <c r="W568" s="162"/>
      <c r="X568" s="162"/>
      <c r="Y568" s="162"/>
      <c r="Z568" s="162"/>
    </row>
    <row r="569" ht="18.75" customHeight="1">
      <c r="A569" s="162"/>
      <c r="B569" s="162"/>
      <c r="C569" s="162"/>
      <c r="D569" s="162"/>
      <c r="E569" s="166"/>
      <c r="F569" s="166"/>
      <c r="G569" s="162"/>
      <c r="H569" s="162"/>
      <c r="I569" s="162"/>
      <c r="J569" s="162"/>
      <c r="K569" s="162"/>
      <c r="L569" s="162"/>
      <c r="M569" s="162"/>
      <c r="N569" s="162"/>
      <c r="O569" s="162"/>
      <c r="P569" s="162"/>
      <c r="Q569" s="162"/>
      <c r="R569" s="162"/>
      <c r="S569" s="162"/>
      <c r="T569" s="162"/>
      <c r="U569" s="162"/>
      <c r="V569" s="162"/>
      <c r="W569" s="162"/>
      <c r="X569" s="162"/>
      <c r="Y569" s="162"/>
      <c r="Z569" s="162"/>
    </row>
    <row r="570" ht="18.75" customHeight="1">
      <c r="A570" s="162"/>
      <c r="B570" s="162"/>
      <c r="C570" s="162"/>
      <c r="D570" s="162"/>
      <c r="E570" s="166"/>
      <c r="F570" s="166"/>
      <c r="G570" s="162"/>
      <c r="H570" s="162"/>
      <c r="I570" s="162"/>
      <c r="J570" s="162"/>
      <c r="K570" s="162"/>
      <c r="L570" s="162"/>
      <c r="M570" s="162"/>
      <c r="N570" s="162"/>
      <c r="O570" s="162"/>
      <c r="P570" s="162"/>
      <c r="Q570" s="162"/>
      <c r="R570" s="162"/>
      <c r="S570" s="162"/>
      <c r="T570" s="162"/>
      <c r="U570" s="162"/>
      <c r="V570" s="162"/>
      <c r="W570" s="162"/>
      <c r="X570" s="162"/>
      <c r="Y570" s="162"/>
      <c r="Z570" s="162"/>
    </row>
    <row r="571" ht="18.75" customHeight="1">
      <c r="A571" s="162"/>
      <c r="B571" s="162"/>
      <c r="C571" s="162"/>
      <c r="D571" s="162"/>
      <c r="E571" s="166"/>
      <c r="F571" s="166"/>
      <c r="G571" s="162"/>
      <c r="H571" s="162"/>
      <c r="I571" s="162"/>
      <c r="J571" s="162"/>
      <c r="K571" s="162"/>
      <c r="L571" s="162"/>
      <c r="M571" s="162"/>
      <c r="N571" s="162"/>
      <c r="O571" s="162"/>
      <c r="P571" s="162"/>
      <c r="Q571" s="162"/>
      <c r="R571" s="162"/>
      <c r="S571" s="162"/>
      <c r="T571" s="162"/>
      <c r="U571" s="162"/>
      <c r="V571" s="162"/>
      <c r="W571" s="162"/>
      <c r="X571" s="162"/>
      <c r="Y571" s="162"/>
      <c r="Z571" s="162"/>
    </row>
    <row r="572" ht="18.75" customHeight="1">
      <c r="A572" s="162"/>
      <c r="B572" s="162"/>
      <c r="C572" s="162"/>
      <c r="D572" s="162"/>
      <c r="E572" s="166"/>
      <c r="F572" s="166"/>
      <c r="G572" s="162"/>
      <c r="H572" s="162"/>
      <c r="I572" s="162"/>
      <c r="J572" s="162"/>
      <c r="K572" s="162"/>
      <c r="L572" s="162"/>
      <c r="M572" s="162"/>
      <c r="N572" s="162"/>
      <c r="O572" s="162"/>
      <c r="P572" s="162"/>
      <c r="Q572" s="162"/>
      <c r="R572" s="162"/>
      <c r="S572" s="162"/>
      <c r="T572" s="162"/>
      <c r="U572" s="162"/>
      <c r="V572" s="162"/>
      <c r="W572" s="162"/>
      <c r="X572" s="162"/>
      <c r="Y572" s="162"/>
      <c r="Z572" s="162"/>
    </row>
    <row r="573" ht="18.75" customHeight="1">
      <c r="A573" s="162"/>
      <c r="B573" s="162"/>
      <c r="C573" s="162"/>
      <c r="D573" s="162"/>
      <c r="E573" s="166"/>
      <c r="F573" s="166"/>
      <c r="G573" s="162"/>
      <c r="H573" s="162"/>
      <c r="I573" s="162"/>
      <c r="J573" s="162"/>
      <c r="K573" s="162"/>
      <c r="L573" s="162"/>
      <c r="M573" s="162"/>
      <c r="N573" s="162"/>
      <c r="O573" s="162"/>
      <c r="P573" s="162"/>
      <c r="Q573" s="162"/>
      <c r="R573" s="162"/>
      <c r="S573" s="162"/>
      <c r="T573" s="162"/>
      <c r="U573" s="162"/>
      <c r="V573" s="162"/>
      <c r="W573" s="162"/>
      <c r="X573" s="162"/>
      <c r="Y573" s="162"/>
      <c r="Z573" s="162"/>
    </row>
    <row r="574" ht="18.75" customHeight="1">
      <c r="A574" s="162"/>
      <c r="B574" s="162"/>
      <c r="C574" s="162"/>
      <c r="D574" s="162"/>
      <c r="E574" s="166"/>
      <c r="F574" s="166"/>
      <c r="G574" s="162"/>
      <c r="H574" s="162"/>
      <c r="I574" s="162"/>
      <c r="J574" s="162"/>
      <c r="K574" s="162"/>
      <c r="L574" s="162"/>
      <c r="M574" s="162"/>
      <c r="N574" s="162"/>
      <c r="O574" s="162"/>
      <c r="P574" s="162"/>
      <c r="Q574" s="162"/>
      <c r="R574" s="162"/>
      <c r="S574" s="162"/>
      <c r="T574" s="162"/>
      <c r="U574" s="162"/>
      <c r="V574" s="162"/>
      <c r="W574" s="162"/>
      <c r="X574" s="162"/>
      <c r="Y574" s="162"/>
      <c r="Z574" s="162"/>
    </row>
    <row r="575" ht="18.75" customHeight="1">
      <c r="A575" s="162"/>
      <c r="B575" s="162"/>
      <c r="C575" s="162"/>
      <c r="D575" s="162"/>
      <c r="E575" s="166"/>
      <c r="F575" s="166"/>
      <c r="G575" s="162"/>
      <c r="H575" s="162"/>
      <c r="I575" s="162"/>
      <c r="J575" s="162"/>
      <c r="K575" s="162"/>
      <c r="L575" s="162"/>
      <c r="M575" s="162"/>
      <c r="N575" s="162"/>
      <c r="O575" s="162"/>
      <c r="P575" s="162"/>
      <c r="Q575" s="162"/>
      <c r="R575" s="162"/>
      <c r="S575" s="162"/>
      <c r="T575" s="162"/>
      <c r="U575" s="162"/>
      <c r="V575" s="162"/>
      <c r="W575" s="162"/>
      <c r="X575" s="162"/>
      <c r="Y575" s="162"/>
      <c r="Z575" s="162"/>
    </row>
    <row r="576" ht="18.75" customHeight="1">
      <c r="A576" s="162"/>
      <c r="B576" s="162"/>
      <c r="C576" s="162"/>
      <c r="D576" s="162"/>
      <c r="E576" s="166"/>
      <c r="F576" s="166"/>
      <c r="G576" s="162"/>
      <c r="H576" s="162"/>
      <c r="I576" s="162"/>
      <c r="J576" s="162"/>
      <c r="K576" s="162"/>
      <c r="L576" s="162"/>
      <c r="M576" s="162"/>
      <c r="N576" s="162"/>
      <c r="O576" s="162"/>
      <c r="P576" s="162"/>
      <c r="Q576" s="162"/>
      <c r="R576" s="162"/>
      <c r="S576" s="162"/>
      <c r="T576" s="162"/>
      <c r="U576" s="162"/>
      <c r="V576" s="162"/>
      <c r="W576" s="162"/>
      <c r="X576" s="162"/>
      <c r="Y576" s="162"/>
      <c r="Z576" s="162"/>
    </row>
    <row r="577" ht="18.75" customHeight="1">
      <c r="A577" s="162"/>
      <c r="B577" s="162"/>
      <c r="C577" s="162"/>
      <c r="D577" s="162"/>
      <c r="E577" s="166"/>
      <c r="F577" s="166"/>
      <c r="G577" s="162"/>
      <c r="H577" s="162"/>
      <c r="I577" s="162"/>
      <c r="J577" s="162"/>
      <c r="K577" s="162"/>
      <c r="L577" s="162"/>
      <c r="M577" s="162"/>
      <c r="N577" s="162"/>
      <c r="O577" s="162"/>
      <c r="P577" s="162"/>
      <c r="Q577" s="162"/>
      <c r="R577" s="162"/>
      <c r="S577" s="162"/>
      <c r="T577" s="162"/>
      <c r="U577" s="162"/>
      <c r="V577" s="162"/>
      <c r="W577" s="162"/>
      <c r="X577" s="162"/>
      <c r="Y577" s="162"/>
      <c r="Z577" s="162"/>
    </row>
    <row r="578" ht="18.75" customHeight="1">
      <c r="A578" s="162"/>
      <c r="B578" s="162"/>
      <c r="C578" s="162"/>
      <c r="D578" s="162"/>
      <c r="E578" s="166"/>
      <c r="F578" s="166"/>
      <c r="G578" s="162"/>
      <c r="H578" s="162"/>
      <c r="I578" s="162"/>
      <c r="J578" s="162"/>
      <c r="K578" s="162"/>
      <c r="L578" s="162"/>
      <c r="M578" s="162"/>
      <c r="N578" s="162"/>
      <c r="O578" s="162"/>
      <c r="P578" s="162"/>
      <c r="Q578" s="162"/>
      <c r="R578" s="162"/>
      <c r="S578" s="162"/>
      <c r="T578" s="162"/>
      <c r="U578" s="162"/>
      <c r="V578" s="162"/>
      <c r="W578" s="162"/>
      <c r="X578" s="162"/>
      <c r="Y578" s="162"/>
      <c r="Z578" s="162"/>
    </row>
    <row r="579" ht="18.75" customHeight="1">
      <c r="A579" s="162"/>
      <c r="B579" s="162"/>
      <c r="C579" s="162"/>
      <c r="D579" s="162"/>
      <c r="E579" s="166"/>
      <c r="F579" s="166"/>
      <c r="G579" s="162"/>
      <c r="H579" s="162"/>
      <c r="I579" s="162"/>
      <c r="J579" s="162"/>
      <c r="K579" s="162"/>
      <c r="L579" s="162"/>
      <c r="M579" s="162"/>
      <c r="N579" s="162"/>
      <c r="O579" s="162"/>
      <c r="P579" s="162"/>
      <c r="Q579" s="162"/>
      <c r="R579" s="162"/>
      <c r="S579" s="162"/>
      <c r="T579" s="162"/>
      <c r="U579" s="162"/>
      <c r="V579" s="162"/>
      <c r="W579" s="162"/>
      <c r="X579" s="162"/>
      <c r="Y579" s="162"/>
      <c r="Z579" s="162"/>
    </row>
    <row r="580" ht="18.75" customHeight="1">
      <c r="A580" s="162"/>
      <c r="B580" s="162"/>
      <c r="C580" s="162"/>
      <c r="D580" s="162"/>
      <c r="E580" s="166"/>
      <c r="F580" s="166"/>
      <c r="G580" s="162"/>
      <c r="H580" s="162"/>
      <c r="I580" s="162"/>
      <c r="J580" s="162"/>
      <c r="K580" s="162"/>
      <c r="L580" s="162"/>
      <c r="M580" s="162"/>
      <c r="N580" s="162"/>
      <c r="O580" s="162"/>
      <c r="P580" s="162"/>
      <c r="Q580" s="162"/>
      <c r="R580" s="162"/>
      <c r="S580" s="162"/>
      <c r="T580" s="162"/>
      <c r="U580" s="162"/>
      <c r="V580" s="162"/>
      <c r="W580" s="162"/>
      <c r="X580" s="162"/>
      <c r="Y580" s="162"/>
      <c r="Z580" s="162"/>
    </row>
    <row r="581" ht="18.75" customHeight="1">
      <c r="A581" s="162"/>
      <c r="B581" s="162"/>
      <c r="C581" s="162"/>
      <c r="D581" s="162"/>
      <c r="E581" s="166"/>
      <c r="F581" s="166"/>
      <c r="G581" s="162"/>
      <c r="H581" s="162"/>
      <c r="I581" s="162"/>
      <c r="J581" s="162"/>
      <c r="K581" s="162"/>
      <c r="L581" s="162"/>
      <c r="M581" s="162"/>
      <c r="N581" s="162"/>
      <c r="O581" s="162"/>
      <c r="P581" s="162"/>
      <c r="Q581" s="162"/>
      <c r="R581" s="162"/>
      <c r="S581" s="162"/>
      <c r="T581" s="162"/>
      <c r="U581" s="162"/>
      <c r="V581" s="162"/>
      <c r="W581" s="162"/>
      <c r="X581" s="162"/>
      <c r="Y581" s="162"/>
      <c r="Z581" s="162"/>
    </row>
    <row r="582" ht="18.75" customHeight="1">
      <c r="A582" s="162"/>
      <c r="B582" s="162"/>
      <c r="C582" s="162"/>
      <c r="D582" s="162"/>
      <c r="E582" s="166"/>
      <c r="F582" s="166"/>
      <c r="G582" s="162"/>
      <c r="H582" s="162"/>
      <c r="I582" s="162"/>
      <c r="J582" s="162"/>
      <c r="K582" s="162"/>
      <c r="L582" s="162"/>
      <c r="M582" s="162"/>
      <c r="N582" s="162"/>
      <c r="O582" s="162"/>
      <c r="P582" s="162"/>
      <c r="Q582" s="162"/>
      <c r="R582" s="162"/>
      <c r="S582" s="162"/>
      <c r="T582" s="162"/>
      <c r="U582" s="162"/>
      <c r="V582" s="162"/>
      <c r="W582" s="162"/>
      <c r="X582" s="162"/>
      <c r="Y582" s="162"/>
      <c r="Z582" s="162"/>
    </row>
    <row r="583" ht="18.75" customHeight="1">
      <c r="A583" s="162"/>
      <c r="B583" s="162"/>
      <c r="C583" s="162"/>
      <c r="D583" s="162"/>
      <c r="E583" s="166"/>
      <c r="F583" s="166"/>
      <c r="G583" s="162"/>
      <c r="H583" s="162"/>
      <c r="I583" s="162"/>
      <c r="J583" s="162"/>
      <c r="K583" s="162"/>
      <c r="L583" s="162"/>
      <c r="M583" s="162"/>
      <c r="N583" s="162"/>
      <c r="O583" s="162"/>
      <c r="P583" s="162"/>
      <c r="Q583" s="162"/>
      <c r="R583" s="162"/>
      <c r="S583" s="162"/>
      <c r="T583" s="162"/>
      <c r="U583" s="162"/>
      <c r="V583" s="162"/>
      <c r="W583" s="162"/>
      <c r="X583" s="162"/>
      <c r="Y583" s="162"/>
      <c r="Z583" s="162"/>
    </row>
    <row r="584" ht="18.75" customHeight="1">
      <c r="A584" s="162"/>
      <c r="B584" s="162"/>
      <c r="C584" s="162"/>
      <c r="D584" s="162"/>
      <c r="E584" s="166"/>
      <c r="F584" s="166"/>
      <c r="G584" s="162"/>
      <c r="H584" s="162"/>
      <c r="I584" s="162"/>
      <c r="J584" s="162"/>
      <c r="K584" s="162"/>
      <c r="L584" s="162"/>
      <c r="M584" s="162"/>
      <c r="N584" s="162"/>
      <c r="O584" s="162"/>
      <c r="P584" s="162"/>
      <c r="Q584" s="162"/>
      <c r="R584" s="162"/>
      <c r="S584" s="162"/>
      <c r="T584" s="162"/>
      <c r="U584" s="162"/>
      <c r="V584" s="162"/>
      <c r="W584" s="162"/>
      <c r="X584" s="162"/>
      <c r="Y584" s="162"/>
      <c r="Z584" s="162"/>
    </row>
    <row r="585" ht="18.75" customHeight="1">
      <c r="A585" s="162"/>
      <c r="B585" s="162"/>
      <c r="C585" s="162"/>
      <c r="D585" s="162"/>
      <c r="E585" s="166"/>
      <c r="F585" s="166"/>
      <c r="G585" s="162"/>
      <c r="H585" s="162"/>
      <c r="I585" s="162"/>
      <c r="J585" s="162"/>
      <c r="K585" s="162"/>
      <c r="L585" s="162"/>
      <c r="M585" s="162"/>
      <c r="N585" s="162"/>
      <c r="O585" s="162"/>
      <c r="P585" s="162"/>
      <c r="Q585" s="162"/>
      <c r="R585" s="162"/>
      <c r="S585" s="162"/>
      <c r="T585" s="162"/>
      <c r="U585" s="162"/>
      <c r="V585" s="162"/>
      <c r="W585" s="162"/>
      <c r="X585" s="162"/>
      <c r="Y585" s="162"/>
      <c r="Z585" s="162"/>
    </row>
    <row r="586" ht="18.75" customHeight="1">
      <c r="A586" s="162"/>
      <c r="B586" s="162"/>
      <c r="C586" s="162"/>
      <c r="D586" s="162"/>
      <c r="E586" s="166"/>
      <c r="F586" s="166"/>
      <c r="G586" s="162"/>
      <c r="H586" s="162"/>
      <c r="I586" s="162"/>
      <c r="J586" s="162"/>
      <c r="K586" s="162"/>
      <c r="L586" s="162"/>
      <c r="M586" s="162"/>
      <c r="N586" s="162"/>
      <c r="O586" s="162"/>
      <c r="P586" s="162"/>
      <c r="Q586" s="162"/>
      <c r="R586" s="162"/>
      <c r="S586" s="162"/>
      <c r="T586" s="162"/>
      <c r="U586" s="162"/>
      <c r="V586" s="162"/>
      <c r="W586" s="162"/>
      <c r="X586" s="162"/>
      <c r="Y586" s="162"/>
      <c r="Z586" s="162"/>
    </row>
    <row r="587" ht="18.75" customHeight="1">
      <c r="A587" s="162"/>
      <c r="B587" s="162"/>
      <c r="C587" s="162"/>
      <c r="D587" s="162"/>
      <c r="E587" s="166"/>
      <c r="F587" s="166"/>
      <c r="G587" s="162"/>
      <c r="H587" s="162"/>
      <c r="I587" s="162"/>
      <c r="J587" s="162"/>
      <c r="K587" s="162"/>
      <c r="L587" s="162"/>
      <c r="M587" s="162"/>
      <c r="N587" s="162"/>
      <c r="O587" s="162"/>
      <c r="P587" s="162"/>
      <c r="Q587" s="162"/>
      <c r="R587" s="162"/>
      <c r="S587" s="162"/>
      <c r="T587" s="162"/>
      <c r="U587" s="162"/>
      <c r="V587" s="162"/>
      <c r="W587" s="162"/>
      <c r="X587" s="162"/>
      <c r="Y587" s="162"/>
      <c r="Z587" s="162"/>
    </row>
    <row r="588" ht="18.75" customHeight="1">
      <c r="A588" s="162"/>
      <c r="B588" s="162"/>
      <c r="C588" s="162"/>
      <c r="D588" s="162"/>
      <c r="E588" s="166"/>
      <c r="F588" s="166"/>
      <c r="G588" s="162"/>
      <c r="H588" s="162"/>
      <c r="I588" s="162"/>
      <c r="J588" s="162"/>
      <c r="K588" s="162"/>
      <c r="L588" s="162"/>
      <c r="M588" s="162"/>
      <c r="N588" s="162"/>
      <c r="O588" s="162"/>
      <c r="P588" s="162"/>
      <c r="Q588" s="162"/>
      <c r="R588" s="162"/>
      <c r="S588" s="162"/>
      <c r="T588" s="162"/>
      <c r="U588" s="162"/>
      <c r="V588" s="162"/>
      <c r="W588" s="162"/>
      <c r="X588" s="162"/>
      <c r="Y588" s="162"/>
      <c r="Z588" s="162"/>
    </row>
    <row r="589" ht="18.75" customHeight="1">
      <c r="A589" s="162"/>
      <c r="B589" s="162"/>
      <c r="C589" s="162"/>
      <c r="D589" s="162"/>
      <c r="E589" s="166"/>
      <c r="F589" s="166"/>
      <c r="G589" s="162"/>
      <c r="H589" s="162"/>
      <c r="I589" s="162"/>
      <c r="J589" s="162"/>
      <c r="K589" s="162"/>
      <c r="L589" s="162"/>
      <c r="M589" s="162"/>
      <c r="N589" s="162"/>
      <c r="O589" s="162"/>
      <c r="P589" s="162"/>
      <c r="Q589" s="162"/>
      <c r="R589" s="162"/>
      <c r="S589" s="162"/>
      <c r="T589" s="162"/>
      <c r="U589" s="162"/>
      <c r="V589" s="162"/>
      <c r="W589" s="162"/>
      <c r="X589" s="162"/>
      <c r="Y589" s="162"/>
      <c r="Z589" s="162"/>
    </row>
    <row r="590" ht="18.75" customHeight="1">
      <c r="A590" s="162"/>
      <c r="B590" s="162"/>
      <c r="C590" s="162"/>
      <c r="D590" s="162"/>
      <c r="E590" s="166"/>
      <c r="F590" s="166"/>
      <c r="G590" s="162"/>
      <c r="H590" s="162"/>
      <c r="I590" s="162"/>
      <c r="J590" s="162"/>
      <c r="K590" s="162"/>
      <c r="L590" s="162"/>
      <c r="M590" s="162"/>
      <c r="N590" s="162"/>
      <c r="O590" s="162"/>
      <c r="P590" s="162"/>
      <c r="Q590" s="162"/>
      <c r="R590" s="162"/>
      <c r="S590" s="162"/>
      <c r="T590" s="162"/>
      <c r="U590" s="162"/>
      <c r="V590" s="162"/>
      <c r="W590" s="162"/>
      <c r="X590" s="162"/>
      <c r="Y590" s="162"/>
      <c r="Z590" s="162"/>
    </row>
    <row r="591" ht="18.75" customHeight="1">
      <c r="A591" s="162"/>
      <c r="B591" s="162"/>
      <c r="C591" s="162"/>
      <c r="D591" s="162"/>
      <c r="E591" s="166"/>
      <c r="F591" s="166"/>
      <c r="G591" s="162"/>
      <c r="H591" s="162"/>
      <c r="I591" s="162"/>
      <c r="J591" s="162"/>
      <c r="K591" s="162"/>
      <c r="L591" s="162"/>
      <c r="M591" s="162"/>
      <c r="N591" s="162"/>
      <c r="O591" s="162"/>
      <c r="P591" s="162"/>
      <c r="Q591" s="162"/>
      <c r="R591" s="162"/>
      <c r="S591" s="162"/>
      <c r="T591" s="162"/>
      <c r="U591" s="162"/>
      <c r="V591" s="162"/>
      <c r="W591" s="162"/>
      <c r="X591" s="162"/>
      <c r="Y591" s="162"/>
      <c r="Z591" s="162"/>
    </row>
    <row r="592" ht="18.75" customHeight="1">
      <c r="A592" s="162"/>
      <c r="B592" s="162"/>
      <c r="C592" s="162"/>
      <c r="D592" s="162"/>
      <c r="E592" s="166"/>
      <c r="F592" s="166"/>
      <c r="G592" s="162"/>
      <c r="H592" s="162"/>
      <c r="I592" s="162"/>
      <c r="J592" s="162"/>
      <c r="K592" s="162"/>
      <c r="L592" s="162"/>
      <c r="M592" s="162"/>
      <c r="N592" s="162"/>
      <c r="O592" s="162"/>
      <c r="P592" s="162"/>
      <c r="Q592" s="162"/>
      <c r="R592" s="162"/>
      <c r="S592" s="162"/>
      <c r="T592" s="162"/>
      <c r="U592" s="162"/>
      <c r="V592" s="162"/>
      <c r="W592" s="162"/>
      <c r="X592" s="162"/>
      <c r="Y592" s="162"/>
      <c r="Z592" s="162"/>
    </row>
    <row r="593" ht="18.75" customHeight="1">
      <c r="A593" s="162"/>
      <c r="B593" s="162"/>
      <c r="C593" s="162"/>
      <c r="D593" s="162"/>
      <c r="E593" s="166"/>
      <c r="F593" s="166"/>
      <c r="G593" s="162"/>
      <c r="H593" s="162"/>
      <c r="I593" s="162"/>
      <c r="J593" s="162"/>
      <c r="K593" s="162"/>
      <c r="L593" s="162"/>
      <c r="M593" s="162"/>
      <c r="N593" s="162"/>
      <c r="O593" s="162"/>
      <c r="P593" s="162"/>
      <c r="Q593" s="162"/>
      <c r="R593" s="162"/>
      <c r="S593" s="162"/>
      <c r="T593" s="162"/>
      <c r="U593" s="162"/>
      <c r="V593" s="162"/>
      <c r="W593" s="162"/>
      <c r="X593" s="162"/>
      <c r="Y593" s="162"/>
      <c r="Z593" s="162"/>
    </row>
    <row r="594" ht="18.75" customHeight="1">
      <c r="A594" s="162"/>
      <c r="B594" s="162"/>
      <c r="C594" s="162"/>
      <c r="D594" s="162"/>
      <c r="E594" s="166"/>
      <c r="F594" s="166"/>
      <c r="G594" s="162"/>
      <c r="H594" s="162"/>
      <c r="I594" s="162"/>
      <c r="J594" s="162"/>
      <c r="K594" s="162"/>
      <c r="L594" s="162"/>
      <c r="M594" s="162"/>
      <c r="N594" s="162"/>
      <c r="O594" s="162"/>
      <c r="P594" s="162"/>
      <c r="Q594" s="162"/>
      <c r="R594" s="162"/>
      <c r="S594" s="162"/>
      <c r="T594" s="162"/>
      <c r="U594" s="162"/>
      <c r="V594" s="162"/>
      <c r="W594" s="162"/>
      <c r="X594" s="162"/>
      <c r="Y594" s="162"/>
      <c r="Z594" s="162"/>
    </row>
    <row r="595" ht="18.75" customHeight="1">
      <c r="A595" s="162"/>
      <c r="B595" s="162"/>
      <c r="C595" s="162"/>
      <c r="D595" s="162"/>
      <c r="E595" s="166"/>
      <c r="F595" s="166"/>
      <c r="G595" s="162"/>
      <c r="H595" s="162"/>
      <c r="I595" s="162"/>
      <c r="J595" s="162"/>
      <c r="K595" s="162"/>
      <c r="L595" s="162"/>
      <c r="M595" s="162"/>
      <c r="N595" s="162"/>
      <c r="O595" s="162"/>
      <c r="P595" s="162"/>
      <c r="Q595" s="162"/>
      <c r="R595" s="162"/>
      <c r="S595" s="162"/>
      <c r="T595" s="162"/>
      <c r="U595" s="162"/>
      <c r="V595" s="162"/>
      <c r="W595" s="162"/>
      <c r="X595" s="162"/>
      <c r="Y595" s="162"/>
      <c r="Z595" s="162"/>
    </row>
    <row r="596" ht="18.75" customHeight="1">
      <c r="A596" s="162"/>
      <c r="B596" s="162"/>
      <c r="C596" s="162"/>
      <c r="D596" s="162"/>
      <c r="E596" s="166"/>
      <c r="F596" s="166"/>
      <c r="G596" s="162"/>
      <c r="H596" s="162"/>
      <c r="I596" s="162"/>
      <c r="J596" s="162"/>
      <c r="K596" s="162"/>
      <c r="L596" s="162"/>
      <c r="M596" s="162"/>
      <c r="N596" s="162"/>
      <c r="O596" s="162"/>
      <c r="P596" s="162"/>
      <c r="Q596" s="162"/>
      <c r="R596" s="162"/>
      <c r="S596" s="162"/>
      <c r="T596" s="162"/>
      <c r="U596" s="162"/>
      <c r="V596" s="162"/>
      <c r="W596" s="162"/>
      <c r="X596" s="162"/>
      <c r="Y596" s="162"/>
      <c r="Z596" s="162"/>
    </row>
    <row r="597" ht="18.75" customHeight="1">
      <c r="A597" s="162"/>
      <c r="B597" s="162"/>
      <c r="C597" s="162"/>
      <c r="D597" s="162"/>
      <c r="E597" s="166"/>
      <c r="F597" s="166"/>
      <c r="G597" s="162"/>
      <c r="H597" s="162"/>
      <c r="I597" s="162"/>
      <c r="J597" s="162"/>
      <c r="K597" s="162"/>
      <c r="L597" s="162"/>
      <c r="M597" s="162"/>
      <c r="N597" s="162"/>
      <c r="O597" s="162"/>
      <c r="P597" s="162"/>
      <c r="Q597" s="162"/>
      <c r="R597" s="162"/>
      <c r="S597" s="162"/>
      <c r="T597" s="162"/>
      <c r="U597" s="162"/>
      <c r="V597" s="162"/>
      <c r="W597" s="162"/>
      <c r="X597" s="162"/>
      <c r="Y597" s="162"/>
      <c r="Z597" s="162"/>
    </row>
    <row r="598" ht="18.75" customHeight="1">
      <c r="A598" s="162"/>
      <c r="B598" s="162"/>
      <c r="C598" s="162"/>
      <c r="D598" s="162"/>
      <c r="E598" s="166"/>
      <c r="F598" s="166"/>
      <c r="G598" s="162"/>
      <c r="H598" s="162"/>
      <c r="I598" s="162"/>
      <c r="J598" s="162"/>
      <c r="K598" s="162"/>
      <c r="L598" s="162"/>
      <c r="M598" s="162"/>
      <c r="N598" s="162"/>
      <c r="O598" s="162"/>
      <c r="P598" s="162"/>
      <c r="Q598" s="162"/>
      <c r="R598" s="162"/>
      <c r="S598" s="162"/>
      <c r="T598" s="162"/>
      <c r="U598" s="162"/>
      <c r="V598" s="162"/>
      <c r="W598" s="162"/>
      <c r="X598" s="162"/>
      <c r="Y598" s="162"/>
      <c r="Z598" s="162"/>
    </row>
    <row r="599" ht="18.75" customHeight="1">
      <c r="A599" s="162"/>
      <c r="B599" s="162"/>
      <c r="C599" s="162"/>
      <c r="D599" s="162"/>
      <c r="E599" s="166"/>
      <c r="F599" s="166"/>
      <c r="G599" s="162"/>
      <c r="H599" s="162"/>
      <c r="I599" s="162"/>
      <c r="J599" s="162"/>
      <c r="K599" s="162"/>
      <c r="L599" s="162"/>
      <c r="M599" s="162"/>
      <c r="N599" s="162"/>
      <c r="O599" s="162"/>
      <c r="P599" s="162"/>
      <c r="Q599" s="162"/>
      <c r="R599" s="162"/>
      <c r="S599" s="162"/>
      <c r="T599" s="162"/>
      <c r="U599" s="162"/>
      <c r="V599" s="162"/>
      <c r="W599" s="162"/>
      <c r="X599" s="162"/>
      <c r="Y599" s="162"/>
      <c r="Z599" s="162"/>
    </row>
    <row r="600" ht="18.75" customHeight="1">
      <c r="A600" s="162"/>
      <c r="B600" s="162"/>
      <c r="C600" s="162"/>
      <c r="D600" s="162"/>
      <c r="E600" s="166"/>
      <c r="F600" s="166"/>
      <c r="G600" s="162"/>
      <c r="H600" s="162"/>
      <c r="I600" s="162"/>
      <c r="J600" s="162"/>
      <c r="K600" s="162"/>
      <c r="L600" s="162"/>
      <c r="M600" s="162"/>
      <c r="N600" s="162"/>
      <c r="O600" s="162"/>
      <c r="P600" s="162"/>
      <c r="Q600" s="162"/>
      <c r="R600" s="162"/>
      <c r="S600" s="162"/>
      <c r="T600" s="162"/>
      <c r="U600" s="162"/>
      <c r="V600" s="162"/>
      <c r="W600" s="162"/>
      <c r="X600" s="162"/>
      <c r="Y600" s="162"/>
      <c r="Z600" s="162"/>
    </row>
    <row r="601" ht="18.75" customHeight="1">
      <c r="A601" s="162"/>
      <c r="B601" s="162"/>
      <c r="C601" s="162"/>
      <c r="D601" s="162"/>
      <c r="E601" s="166"/>
      <c r="F601" s="166"/>
      <c r="G601" s="162"/>
      <c r="H601" s="162"/>
      <c r="I601" s="162"/>
      <c r="J601" s="162"/>
      <c r="K601" s="162"/>
      <c r="L601" s="162"/>
      <c r="M601" s="162"/>
      <c r="N601" s="162"/>
      <c r="O601" s="162"/>
      <c r="P601" s="162"/>
      <c r="Q601" s="162"/>
      <c r="R601" s="162"/>
      <c r="S601" s="162"/>
      <c r="T601" s="162"/>
      <c r="U601" s="162"/>
      <c r="V601" s="162"/>
      <c r="W601" s="162"/>
      <c r="X601" s="162"/>
      <c r="Y601" s="162"/>
      <c r="Z601" s="162"/>
    </row>
    <row r="602" ht="18.75" customHeight="1">
      <c r="A602" s="162"/>
      <c r="B602" s="162"/>
      <c r="C602" s="162"/>
      <c r="D602" s="162"/>
      <c r="E602" s="166"/>
      <c r="F602" s="166"/>
      <c r="G602" s="162"/>
      <c r="H602" s="162"/>
      <c r="I602" s="162"/>
      <c r="J602" s="162"/>
      <c r="K602" s="162"/>
      <c r="L602" s="162"/>
      <c r="M602" s="162"/>
      <c r="N602" s="162"/>
      <c r="O602" s="162"/>
      <c r="P602" s="162"/>
      <c r="Q602" s="162"/>
      <c r="R602" s="162"/>
      <c r="S602" s="162"/>
      <c r="T602" s="162"/>
      <c r="U602" s="162"/>
      <c r="V602" s="162"/>
      <c r="W602" s="162"/>
      <c r="X602" s="162"/>
      <c r="Y602" s="162"/>
      <c r="Z602" s="162"/>
    </row>
    <row r="603" ht="18.75" customHeight="1">
      <c r="A603" s="162"/>
      <c r="B603" s="162"/>
      <c r="C603" s="162"/>
      <c r="D603" s="162"/>
      <c r="E603" s="166"/>
      <c r="F603" s="166"/>
      <c r="G603" s="162"/>
      <c r="H603" s="162"/>
      <c r="I603" s="162"/>
      <c r="J603" s="162"/>
      <c r="K603" s="162"/>
      <c r="L603" s="162"/>
      <c r="M603" s="162"/>
      <c r="N603" s="162"/>
      <c r="O603" s="162"/>
      <c r="P603" s="162"/>
      <c r="Q603" s="162"/>
      <c r="R603" s="162"/>
      <c r="S603" s="162"/>
      <c r="T603" s="162"/>
      <c r="U603" s="162"/>
      <c r="V603" s="162"/>
      <c r="W603" s="162"/>
      <c r="X603" s="162"/>
      <c r="Y603" s="162"/>
      <c r="Z603" s="162"/>
    </row>
    <row r="604" ht="18.75" customHeight="1">
      <c r="A604" s="162"/>
      <c r="B604" s="162"/>
      <c r="C604" s="162"/>
      <c r="D604" s="162"/>
      <c r="E604" s="166"/>
      <c r="F604" s="166"/>
      <c r="G604" s="162"/>
      <c r="H604" s="162"/>
      <c r="I604" s="162"/>
      <c r="J604" s="162"/>
      <c r="K604" s="162"/>
      <c r="L604" s="162"/>
      <c r="M604" s="162"/>
      <c r="N604" s="162"/>
      <c r="O604" s="162"/>
      <c r="P604" s="162"/>
      <c r="Q604" s="162"/>
      <c r="R604" s="162"/>
      <c r="S604" s="162"/>
      <c r="T604" s="162"/>
      <c r="U604" s="162"/>
      <c r="V604" s="162"/>
      <c r="W604" s="162"/>
      <c r="X604" s="162"/>
      <c r="Y604" s="162"/>
      <c r="Z604" s="162"/>
    </row>
    <row r="605" ht="18.75" customHeight="1">
      <c r="A605" s="162"/>
      <c r="B605" s="162"/>
      <c r="C605" s="162"/>
      <c r="D605" s="162"/>
      <c r="E605" s="166"/>
      <c r="F605" s="166"/>
      <c r="G605" s="162"/>
      <c r="H605" s="162"/>
      <c r="I605" s="162"/>
      <c r="J605" s="162"/>
      <c r="K605" s="162"/>
      <c r="L605" s="162"/>
      <c r="M605" s="162"/>
      <c r="N605" s="162"/>
      <c r="O605" s="162"/>
      <c r="P605" s="162"/>
      <c r="Q605" s="162"/>
      <c r="R605" s="162"/>
      <c r="S605" s="162"/>
      <c r="T605" s="162"/>
      <c r="U605" s="162"/>
      <c r="V605" s="162"/>
      <c r="W605" s="162"/>
      <c r="X605" s="162"/>
      <c r="Y605" s="162"/>
      <c r="Z605" s="162"/>
    </row>
    <row r="606" ht="18.75" customHeight="1">
      <c r="A606" s="162"/>
      <c r="B606" s="162"/>
      <c r="C606" s="162"/>
      <c r="D606" s="162"/>
      <c r="E606" s="166"/>
      <c r="F606" s="166"/>
      <c r="G606" s="162"/>
      <c r="H606" s="162"/>
      <c r="I606" s="162"/>
      <c r="J606" s="162"/>
      <c r="K606" s="162"/>
      <c r="L606" s="162"/>
      <c r="M606" s="162"/>
      <c r="N606" s="162"/>
      <c r="O606" s="162"/>
      <c r="P606" s="162"/>
      <c r="Q606" s="162"/>
      <c r="R606" s="162"/>
      <c r="S606" s="162"/>
      <c r="T606" s="162"/>
      <c r="U606" s="162"/>
      <c r="V606" s="162"/>
      <c r="W606" s="162"/>
      <c r="X606" s="162"/>
      <c r="Y606" s="162"/>
      <c r="Z606" s="162"/>
    </row>
    <row r="607" ht="18.75" customHeight="1">
      <c r="A607" s="162"/>
      <c r="B607" s="162"/>
      <c r="C607" s="162"/>
      <c r="D607" s="162"/>
      <c r="E607" s="166"/>
      <c r="F607" s="166"/>
      <c r="G607" s="162"/>
      <c r="H607" s="162"/>
      <c r="I607" s="162"/>
      <c r="J607" s="162"/>
      <c r="K607" s="162"/>
      <c r="L607" s="162"/>
      <c r="M607" s="162"/>
      <c r="N607" s="162"/>
      <c r="O607" s="162"/>
      <c r="P607" s="162"/>
      <c r="Q607" s="162"/>
      <c r="R607" s="162"/>
      <c r="S607" s="162"/>
      <c r="T607" s="162"/>
      <c r="U607" s="162"/>
      <c r="V607" s="162"/>
      <c r="W607" s="162"/>
      <c r="X607" s="162"/>
      <c r="Y607" s="162"/>
      <c r="Z607" s="162"/>
    </row>
    <row r="608" ht="18.75" customHeight="1">
      <c r="A608" s="162"/>
      <c r="B608" s="162"/>
      <c r="C608" s="162"/>
      <c r="D608" s="162"/>
      <c r="E608" s="166"/>
      <c r="F608" s="166"/>
      <c r="G608" s="162"/>
      <c r="H608" s="162"/>
      <c r="I608" s="162"/>
      <c r="J608" s="162"/>
      <c r="K608" s="162"/>
      <c r="L608" s="162"/>
      <c r="M608" s="162"/>
      <c r="N608" s="162"/>
      <c r="O608" s="162"/>
      <c r="P608" s="162"/>
      <c r="Q608" s="162"/>
      <c r="R608" s="162"/>
      <c r="S608" s="162"/>
      <c r="T608" s="162"/>
      <c r="U608" s="162"/>
      <c r="V608" s="162"/>
      <c r="W608" s="162"/>
      <c r="X608" s="162"/>
      <c r="Y608" s="162"/>
      <c r="Z608" s="162"/>
    </row>
    <row r="609" ht="18.75" customHeight="1">
      <c r="A609" s="162"/>
      <c r="B609" s="162"/>
      <c r="C609" s="162"/>
      <c r="D609" s="162"/>
      <c r="E609" s="166"/>
      <c r="F609" s="166"/>
      <c r="G609" s="162"/>
      <c r="H609" s="162"/>
      <c r="I609" s="162"/>
      <c r="J609" s="162"/>
      <c r="K609" s="162"/>
      <c r="L609" s="162"/>
      <c r="M609" s="162"/>
      <c r="N609" s="162"/>
      <c r="O609" s="162"/>
      <c r="P609" s="162"/>
      <c r="Q609" s="162"/>
      <c r="R609" s="162"/>
      <c r="S609" s="162"/>
      <c r="T609" s="162"/>
      <c r="U609" s="162"/>
      <c r="V609" s="162"/>
      <c r="W609" s="162"/>
      <c r="X609" s="162"/>
      <c r="Y609" s="162"/>
      <c r="Z609" s="162"/>
    </row>
    <row r="610" ht="18.75" customHeight="1">
      <c r="A610" s="162"/>
      <c r="B610" s="162"/>
      <c r="C610" s="162"/>
      <c r="D610" s="162"/>
      <c r="E610" s="166"/>
      <c r="F610" s="166"/>
      <c r="G610" s="162"/>
      <c r="H610" s="162"/>
      <c r="I610" s="162"/>
      <c r="J610" s="162"/>
      <c r="K610" s="162"/>
      <c r="L610" s="162"/>
      <c r="M610" s="162"/>
      <c r="N610" s="162"/>
      <c r="O610" s="162"/>
      <c r="P610" s="162"/>
      <c r="Q610" s="162"/>
      <c r="R610" s="162"/>
      <c r="S610" s="162"/>
      <c r="T610" s="162"/>
      <c r="U610" s="162"/>
      <c r="V610" s="162"/>
      <c r="W610" s="162"/>
      <c r="X610" s="162"/>
      <c r="Y610" s="162"/>
      <c r="Z610" s="162"/>
    </row>
    <row r="611" ht="18.75" customHeight="1">
      <c r="A611" s="162"/>
      <c r="B611" s="162"/>
      <c r="C611" s="162"/>
      <c r="D611" s="162"/>
      <c r="E611" s="166"/>
      <c r="F611" s="166"/>
      <c r="G611" s="162"/>
      <c r="H611" s="162"/>
      <c r="I611" s="162"/>
      <c r="J611" s="162"/>
      <c r="K611" s="162"/>
      <c r="L611" s="162"/>
      <c r="M611" s="162"/>
      <c r="N611" s="162"/>
      <c r="O611" s="162"/>
      <c r="P611" s="162"/>
      <c r="Q611" s="162"/>
      <c r="R611" s="162"/>
      <c r="S611" s="162"/>
      <c r="T611" s="162"/>
      <c r="U611" s="162"/>
      <c r="V611" s="162"/>
      <c r="W611" s="162"/>
      <c r="X611" s="162"/>
      <c r="Y611" s="162"/>
      <c r="Z611" s="162"/>
    </row>
    <row r="612" ht="18.75" customHeight="1">
      <c r="A612" s="162"/>
      <c r="B612" s="162"/>
      <c r="C612" s="162"/>
      <c r="D612" s="162"/>
      <c r="E612" s="166"/>
      <c r="F612" s="166"/>
      <c r="G612" s="162"/>
      <c r="H612" s="162"/>
      <c r="I612" s="162"/>
      <c r="J612" s="162"/>
      <c r="K612" s="162"/>
      <c r="L612" s="162"/>
      <c r="M612" s="162"/>
      <c r="N612" s="162"/>
      <c r="O612" s="162"/>
      <c r="P612" s="162"/>
      <c r="Q612" s="162"/>
      <c r="R612" s="162"/>
      <c r="S612" s="162"/>
      <c r="T612" s="162"/>
      <c r="U612" s="162"/>
      <c r="V612" s="162"/>
      <c r="W612" s="162"/>
      <c r="X612" s="162"/>
      <c r="Y612" s="162"/>
      <c r="Z612" s="162"/>
    </row>
    <row r="613" ht="18.75" customHeight="1">
      <c r="A613" s="162"/>
      <c r="B613" s="162"/>
      <c r="C613" s="162"/>
      <c r="D613" s="162"/>
      <c r="E613" s="166"/>
      <c r="F613" s="166"/>
      <c r="G613" s="162"/>
      <c r="H613" s="162"/>
      <c r="I613" s="162"/>
      <c r="J613" s="162"/>
      <c r="K613" s="162"/>
      <c r="L613" s="162"/>
      <c r="M613" s="162"/>
      <c r="N613" s="162"/>
      <c r="O613" s="162"/>
      <c r="P613" s="162"/>
      <c r="Q613" s="162"/>
      <c r="R613" s="162"/>
      <c r="S613" s="162"/>
      <c r="T613" s="162"/>
      <c r="U613" s="162"/>
      <c r="V613" s="162"/>
      <c r="W613" s="162"/>
      <c r="X613" s="162"/>
      <c r="Y613" s="162"/>
      <c r="Z613" s="162"/>
    </row>
    <row r="614" ht="18.75" customHeight="1">
      <c r="A614" s="162"/>
      <c r="B614" s="162"/>
      <c r="C614" s="162"/>
      <c r="D614" s="162"/>
      <c r="E614" s="166"/>
      <c r="F614" s="166"/>
      <c r="G614" s="162"/>
      <c r="H614" s="162"/>
      <c r="I614" s="162"/>
      <c r="J614" s="162"/>
      <c r="K614" s="162"/>
      <c r="L614" s="162"/>
      <c r="M614" s="162"/>
      <c r="N614" s="162"/>
      <c r="O614" s="162"/>
      <c r="P614" s="162"/>
      <c r="Q614" s="162"/>
      <c r="R614" s="162"/>
      <c r="S614" s="162"/>
      <c r="T614" s="162"/>
      <c r="U614" s="162"/>
      <c r="V614" s="162"/>
      <c r="W614" s="162"/>
      <c r="X614" s="162"/>
      <c r="Y614" s="162"/>
      <c r="Z614" s="162"/>
    </row>
    <row r="615" ht="18.75" customHeight="1">
      <c r="A615" s="162"/>
      <c r="B615" s="162"/>
      <c r="C615" s="162"/>
      <c r="D615" s="162"/>
      <c r="E615" s="166"/>
      <c r="F615" s="166"/>
      <c r="G615" s="162"/>
      <c r="H615" s="162"/>
      <c r="I615" s="162"/>
      <c r="J615" s="162"/>
      <c r="K615" s="162"/>
      <c r="L615" s="162"/>
      <c r="M615" s="162"/>
      <c r="N615" s="162"/>
      <c r="O615" s="162"/>
      <c r="P615" s="162"/>
      <c r="Q615" s="162"/>
      <c r="R615" s="162"/>
      <c r="S615" s="162"/>
      <c r="T615" s="162"/>
      <c r="U615" s="162"/>
      <c r="V615" s="162"/>
      <c r="W615" s="162"/>
      <c r="X615" s="162"/>
      <c r="Y615" s="162"/>
      <c r="Z615" s="162"/>
    </row>
    <row r="616" ht="18.75" customHeight="1">
      <c r="A616" s="162"/>
      <c r="B616" s="162"/>
      <c r="C616" s="162"/>
      <c r="D616" s="162"/>
      <c r="E616" s="166"/>
      <c r="F616" s="166"/>
      <c r="G616" s="162"/>
      <c r="H616" s="162"/>
      <c r="I616" s="162"/>
      <c r="J616" s="162"/>
      <c r="K616" s="162"/>
      <c r="L616" s="162"/>
      <c r="M616" s="162"/>
      <c r="N616" s="162"/>
      <c r="O616" s="162"/>
      <c r="P616" s="162"/>
      <c r="Q616" s="162"/>
      <c r="R616" s="162"/>
      <c r="S616" s="162"/>
      <c r="T616" s="162"/>
      <c r="U616" s="162"/>
      <c r="V616" s="162"/>
      <c r="W616" s="162"/>
      <c r="X616" s="162"/>
      <c r="Y616" s="162"/>
      <c r="Z616" s="162"/>
    </row>
    <row r="617" ht="18.75" customHeight="1">
      <c r="A617" s="162"/>
      <c r="B617" s="162"/>
      <c r="C617" s="162"/>
      <c r="D617" s="162"/>
      <c r="E617" s="166"/>
      <c r="F617" s="166"/>
      <c r="G617" s="162"/>
      <c r="H617" s="162"/>
      <c r="I617" s="162"/>
      <c r="J617" s="162"/>
      <c r="K617" s="162"/>
      <c r="L617" s="162"/>
      <c r="M617" s="162"/>
      <c r="N617" s="162"/>
      <c r="O617" s="162"/>
      <c r="P617" s="162"/>
      <c r="Q617" s="162"/>
      <c r="R617" s="162"/>
      <c r="S617" s="162"/>
      <c r="T617" s="162"/>
      <c r="U617" s="162"/>
      <c r="V617" s="162"/>
      <c r="W617" s="162"/>
      <c r="X617" s="162"/>
      <c r="Y617" s="162"/>
      <c r="Z617" s="162"/>
    </row>
    <row r="618" ht="18.75" customHeight="1">
      <c r="A618" s="162"/>
      <c r="B618" s="162"/>
      <c r="C618" s="162"/>
      <c r="D618" s="162"/>
      <c r="E618" s="166"/>
      <c r="F618" s="166"/>
      <c r="G618" s="162"/>
      <c r="H618" s="162"/>
      <c r="I618" s="162"/>
      <c r="J618" s="162"/>
      <c r="K618" s="162"/>
      <c r="L618" s="162"/>
      <c r="M618" s="162"/>
      <c r="N618" s="162"/>
      <c r="O618" s="162"/>
      <c r="P618" s="162"/>
      <c r="Q618" s="162"/>
      <c r="R618" s="162"/>
      <c r="S618" s="162"/>
      <c r="T618" s="162"/>
      <c r="U618" s="162"/>
      <c r="V618" s="162"/>
      <c r="W618" s="162"/>
      <c r="X618" s="162"/>
      <c r="Y618" s="162"/>
      <c r="Z618" s="162"/>
    </row>
    <row r="619" ht="18.75" customHeight="1">
      <c r="A619" s="162"/>
      <c r="B619" s="162"/>
      <c r="C619" s="162"/>
      <c r="D619" s="162"/>
      <c r="E619" s="166"/>
      <c r="F619" s="166"/>
      <c r="G619" s="162"/>
      <c r="H619" s="162"/>
      <c r="I619" s="162"/>
      <c r="J619" s="162"/>
      <c r="K619" s="162"/>
      <c r="L619" s="162"/>
      <c r="M619" s="162"/>
      <c r="N619" s="162"/>
      <c r="O619" s="162"/>
      <c r="P619" s="162"/>
      <c r="Q619" s="162"/>
      <c r="R619" s="162"/>
      <c r="S619" s="162"/>
      <c r="T619" s="162"/>
      <c r="U619" s="162"/>
      <c r="V619" s="162"/>
      <c r="W619" s="162"/>
      <c r="X619" s="162"/>
      <c r="Y619" s="162"/>
      <c r="Z619" s="162"/>
    </row>
    <row r="620" ht="18.75" customHeight="1">
      <c r="A620" s="162"/>
      <c r="B620" s="162"/>
      <c r="C620" s="162"/>
      <c r="D620" s="162"/>
      <c r="E620" s="166"/>
      <c r="F620" s="166"/>
      <c r="G620" s="162"/>
      <c r="H620" s="162"/>
      <c r="I620" s="162"/>
      <c r="J620" s="162"/>
      <c r="K620" s="162"/>
      <c r="L620" s="162"/>
      <c r="M620" s="162"/>
      <c r="N620" s="162"/>
      <c r="O620" s="162"/>
      <c r="P620" s="162"/>
      <c r="Q620" s="162"/>
      <c r="R620" s="162"/>
      <c r="S620" s="162"/>
      <c r="T620" s="162"/>
      <c r="U620" s="162"/>
      <c r="V620" s="162"/>
      <c r="W620" s="162"/>
      <c r="X620" s="162"/>
      <c r="Y620" s="162"/>
      <c r="Z620" s="162"/>
    </row>
    <row r="621" ht="18.75" customHeight="1">
      <c r="A621" s="162"/>
      <c r="B621" s="162"/>
      <c r="C621" s="162"/>
      <c r="D621" s="162"/>
      <c r="E621" s="166"/>
      <c r="F621" s="166"/>
      <c r="G621" s="162"/>
      <c r="H621" s="162"/>
      <c r="I621" s="162"/>
      <c r="J621" s="162"/>
      <c r="K621" s="162"/>
      <c r="L621" s="162"/>
      <c r="M621" s="162"/>
      <c r="N621" s="162"/>
      <c r="O621" s="162"/>
      <c r="P621" s="162"/>
      <c r="Q621" s="162"/>
      <c r="R621" s="162"/>
      <c r="S621" s="162"/>
      <c r="T621" s="162"/>
      <c r="U621" s="162"/>
      <c r="V621" s="162"/>
      <c r="W621" s="162"/>
      <c r="X621" s="162"/>
      <c r="Y621" s="162"/>
      <c r="Z621" s="162"/>
    </row>
    <row r="622" ht="18.75" customHeight="1">
      <c r="A622" s="162"/>
      <c r="B622" s="162"/>
      <c r="C622" s="162"/>
      <c r="D622" s="162"/>
      <c r="E622" s="166"/>
      <c r="F622" s="166"/>
      <c r="G622" s="162"/>
      <c r="H622" s="162"/>
      <c r="I622" s="162"/>
      <c r="J622" s="162"/>
      <c r="K622" s="162"/>
      <c r="L622" s="162"/>
      <c r="M622" s="162"/>
      <c r="N622" s="162"/>
      <c r="O622" s="162"/>
      <c r="P622" s="162"/>
      <c r="Q622" s="162"/>
      <c r="R622" s="162"/>
      <c r="S622" s="162"/>
      <c r="T622" s="162"/>
      <c r="U622" s="162"/>
      <c r="V622" s="162"/>
      <c r="W622" s="162"/>
      <c r="X622" s="162"/>
      <c r="Y622" s="162"/>
      <c r="Z622" s="162"/>
    </row>
    <row r="623" ht="18.75" customHeight="1">
      <c r="A623" s="162"/>
      <c r="B623" s="162"/>
      <c r="C623" s="162"/>
      <c r="D623" s="162"/>
      <c r="E623" s="166"/>
      <c r="F623" s="166"/>
      <c r="G623" s="162"/>
      <c r="H623" s="162"/>
      <c r="I623" s="162"/>
      <c r="J623" s="162"/>
      <c r="K623" s="162"/>
      <c r="L623" s="162"/>
      <c r="M623" s="162"/>
      <c r="N623" s="162"/>
      <c r="O623" s="162"/>
      <c r="P623" s="162"/>
      <c r="Q623" s="162"/>
      <c r="R623" s="162"/>
      <c r="S623" s="162"/>
      <c r="T623" s="162"/>
      <c r="U623" s="162"/>
      <c r="V623" s="162"/>
      <c r="W623" s="162"/>
      <c r="X623" s="162"/>
      <c r="Y623" s="162"/>
      <c r="Z623" s="162"/>
    </row>
    <row r="624" ht="18.75" customHeight="1">
      <c r="A624" s="162"/>
      <c r="B624" s="162"/>
      <c r="C624" s="162"/>
      <c r="D624" s="162"/>
      <c r="E624" s="166"/>
      <c r="F624" s="166"/>
      <c r="G624" s="162"/>
      <c r="H624" s="162"/>
      <c r="I624" s="162"/>
      <c r="J624" s="162"/>
      <c r="K624" s="162"/>
      <c r="L624" s="162"/>
      <c r="M624" s="162"/>
      <c r="N624" s="162"/>
      <c r="O624" s="162"/>
      <c r="P624" s="162"/>
      <c r="Q624" s="162"/>
      <c r="R624" s="162"/>
      <c r="S624" s="162"/>
      <c r="T624" s="162"/>
      <c r="U624" s="162"/>
      <c r="V624" s="162"/>
      <c r="W624" s="162"/>
      <c r="X624" s="162"/>
      <c r="Y624" s="162"/>
      <c r="Z624" s="162"/>
    </row>
    <row r="625" ht="18.75" customHeight="1">
      <c r="A625" s="162"/>
      <c r="B625" s="162"/>
      <c r="C625" s="162"/>
      <c r="D625" s="162"/>
      <c r="E625" s="166"/>
      <c r="F625" s="166"/>
      <c r="G625" s="162"/>
      <c r="H625" s="162"/>
      <c r="I625" s="162"/>
      <c r="J625" s="162"/>
      <c r="K625" s="162"/>
      <c r="L625" s="162"/>
      <c r="M625" s="162"/>
      <c r="N625" s="162"/>
      <c r="O625" s="162"/>
      <c r="P625" s="162"/>
      <c r="Q625" s="162"/>
      <c r="R625" s="162"/>
      <c r="S625" s="162"/>
      <c r="T625" s="162"/>
      <c r="U625" s="162"/>
      <c r="V625" s="162"/>
      <c r="W625" s="162"/>
      <c r="X625" s="162"/>
      <c r="Y625" s="162"/>
      <c r="Z625" s="162"/>
    </row>
    <row r="626" ht="18.75" customHeight="1">
      <c r="A626" s="162"/>
      <c r="B626" s="162"/>
      <c r="C626" s="162"/>
      <c r="D626" s="162"/>
      <c r="E626" s="166"/>
      <c r="F626" s="166"/>
      <c r="G626" s="162"/>
      <c r="H626" s="162"/>
      <c r="I626" s="162"/>
      <c r="J626" s="162"/>
      <c r="K626" s="162"/>
      <c r="L626" s="162"/>
      <c r="M626" s="162"/>
      <c r="N626" s="162"/>
      <c r="O626" s="162"/>
      <c r="P626" s="162"/>
      <c r="Q626" s="162"/>
      <c r="R626" s="162"/>
      <c r="S626" s="162"/>
      <c r="T626" s="162"/>
      <c r="U626" s="162"/>
      <c r="V626" s="162"/>
      <c r="W626" s="162"/>
      <c r="X626" s="162"/>
      <c r="Y626" s="162"/>
      <c r="Z626" s="162"/>
    </row>
    <row r="627" ht="18.75" customHeight="1">
      <c r="A627" s="162"/>
      <c r="B627" s="162"/>
      <c r="C627" s="162"/>
      <c r="D627" s="162"/>
      <c r="E627" s="166"/>
      <c r="F627" s="166"/>
      <c r="G627" s="162"/>
      <c r="H627" s="162"/>
      <c r="I627" s="162"/>
      <c r="J627" s="162"/>
      <c r="K627" s="162"/>
      <c r="L627" s="162"/>
      <c r="M627" s="162"/>
      <c r="N627" s="162"/>
      <c r="O627" s="162"/>
      <c r="P627" s="162"/>
      <c r="Q627" s="162"/>
      <c r="R627" s="162"/>
      <c r="S627" s="162"/>
      <c r="T627" s="162"/>
      <c r="U627" s="162"/>
      <c r="V627" s="162"/>
      <c r="W627" s="162"/>
      <c r="X627" s="162"/>
      <c r="Y627" s="162"/>
      <c r="Z627" s="162"/>
    </row>
    <row r="628" ht="18.75" customHeight="1">
      <c r="A628" s="162"/>
      <c r="B628" s="162"/>
      <c r="C628" s="162"/>
      <c r="D628" s="162"/>
      <c r="E628" s="166"/>
      <c r="F628" s="166"/>
      <c r="G628" s="162"/>
      <c r="H628" s="162"/>
      <c r="I628" s="162"/>
      <c r="J628" s="162"/>
      <c r="K628" s="162"/>
      <c r="L628" s="162"/>
      <c r="M628" s="162"/>
      <c r="N628" s="162"/>
      <c r="O628" s="162"/>
      <c r="P628" s="162"/>
      <c r="Q628" s="162"/>
      <c r="R628" s="162"/>
      <c r="S628" s="162"/>
      <c r="T628" s="162"/>
      <c r="U628" s="162"/>
      <c r="V628" s="162"/>
      <c r="W628" s="162"/>
      <c r="X628" s="162"/>
      <c r="Y628" s="162"/>
      <c r="Z628" s="162"/>
    </row>
    <row r="629" ht="18.75" customHeight="1">
      <c r="A629" s="162"/>
      <c r="B629" s="162"/>
      <c r="C629" s="162"/>
      <c r="D629" s="162"/>
      <c r="E629" s="166"/>
      <c r="F629" s="166"/>
      <c r="G629" s="162"/>
      <c r="H629" s="162"/>
      <c r="I629" s="162"/>
      <c r="J629" s="162"/>
      <c r="K629" s="162"/>
      <c r="L629" s="162"/>
      <c r="M629" s="162"/>
      <c r="N629" s="162"/>
      <c r="O629" s="162"/>
      <c r="P629" s="162"/>
      <c r="Q629" s="162"/>
      <c r="R629" s="162"/>
      <c r="S629" s="162"/>
      <c r="T629" s="162"/>
      <c r="U629" s="162"/>
      <c r="V629" s="162"/>
      <c r="W629" s="162"/>
      <c r="X629" s="162"/>
      <c r="Y629" s="162"/>
      <c r="Z629" s="162"/>
    </row>
    <row r="630" ht="18.75" customHeight="1">
      <c r="A630" s="162"/>
      <c r="B630" s="162"/>
      <c r="C630" s="162"/>
      <c r="D630" s="162"/>
      <c r="E630" s="166"/>
      <c r="F630" s="166"/>
      <c r="G630" s="162"/>
      <c r="H630" s="162"/>
      <c r="I630" s="162"/>
      <c r="J630" s="162"/>
      <c r="K630" s="162"/>
      <c r="L630" s="162"/>
      <c r="M630" s="162"/>
      <c r="N630" s="162"/>
      <c r="O630" s="162"/>
      <c r="P630" s="162"/>
      <c r="Q630" s="162"/>
      <c r="R630" s="162"/>
      <c r="S630" s="162"/>
      <c r="T630" s="162"/>
      <c r="U630" s="162"/>
      <c r="V630" s="162"/>
      <c r="W630" s="162"/>
      <c r="X630" s="162"/>
      <c r="Y630" s="162"/>
      <c r="Z630" s="162"/>
    </row>
    <row r="631" ht="18.75" customHeight="1">
      <c r="A631" s="162"/>
      <c r="B631" s="162"/>
      <c r="C631" s="162"/>
      <c r="D631" s="162"/>
      <c r="E631" s="166"/>
      <c r="F631" s="166"/>
      <c r="G631" s="162"/>
      <c r="H631" s="162"/>
      <c r="I631" s="162"/>
      <c r="J631" s="162"/>
      <c r="K631" s="162"/>
      <c r="L631" s="162"/>
      <c r="M631" s="162"/>
      <c r="N631" s="162"/>
      <c r="O631" s="162"/>
      <c r="P631" s="162"/>
      <c r="Q631" s="162"/>
      <c r="R631" s="162"/>
      <c r="S631" s="162"/>
      <c r="T631" s="162"/>
      <c r="U631" s="162"/>
      <c r="V631" s="162"/>
      <c r="W631" s="162"/>
      <c r="X631" s="162"/>
      <c r="Y631" s="162"/>
      <c r="Z631" s="162"/>
    </row>
    <row r="632" ht="18.75" customHeight="1">
      <c r="A632" s="162"/>
      <c r="B632" s="162"/>
      <c r="C632" s="162"/>
      <c r="D632" s="162"/>
      <c r="E632" s="166"/>
      <c r="F632" s="166"/>
      <c r="G632" s="162"/>
      <c r="H632" s="162"/>
      <c r="I632" s="162"/>
      <c r="J632" s="162"/>
      <c r="K632" s="162"/>
      <c r="L632" s="162"/>
      <c r="M632" s="162"/>
      <c r="N632" s="162"/>
      <c r="O632" s="162"/>
      <c r="P632" s="162"/>
      <c r="Q632" s="162"/>
      <c r="R632" s="162"/>
      <c r="S632" s="162"/>
      <c r="T632" s="162"/>
      <c r="U632" s="162"/>
      <c r="V632" s="162"/>
      <c r="W632" s="162"/>
      <c r="X632" s="162"/>
      <c r="Y632" s="162"/>
      <c r="Z632" s="162"/>
    </row>
    <row r="633" ht="18.75" customHeight="1">
      <c r="A633" s="162"/>
      <c r="B633" s="162"/>
      <c r="C633" s="162"/>
      <c r="D633" s="162"/>
      <c r="E633" s="166"/>
      <c r="F633" s="166"/>
      <c r="G633" s="162"/>
      <c r="H633" s="162"/>
      <c r="I633" s="162"/>
      <c r="J633" s="162"/>
      <c r="K633" s="162"/>
      <c r="L633" s="162"/>
      <c r="M633" s="162"/>
      <c r="N633" s="162"/>
      <c r="O633" s="162"/>
      <c r="P633" s="162"/>
      <c r="Q633" s="162"/>
      <c r="R633" s="162"/>
      <c r="S633" s="162"/>
      <c r="T633" s="162"/>
      <c r="U633" s="162"/>
      <c r="V633" s="162"/>
      <c r="W633" s="162"/>
      <c r="X633" s="162"/>
      <c r="Y633" s="162"/>
      <c r="Z633" s="162"/>
    </row>
    <row r="634" ht="18.75" customHeight="1">
      <c r="A634" s="162"/>
      <c r="B634" s="162"/>
      <c r="C634" s="162"/>
      <c r="D634" s="162"/>
      <c r="E634" s="166"/>
      <c r="F634" s="166"/>
      <c r="G634" s="162"/>
      <c r="H634" s="162"/>
      <c r="I634" s="162"/>
      <c r="J634" s="162"/>
      <c r="K634" s="162"/>
      <c r="L634" s="162"/>
      <c r="M634" s="162"/>
      <c r="N634" s="162"/>
      <c r="O634" s="162"/>
      <c r="P634" s="162"/>
      <c r="Q634" s="162"/>
      <c r="R634" s="162"/>
      <c r="S634" s="162"/>
      <c r="T634" s="162"/>
      <c r="U634" s="162"/>
      <c r="V634" s="162"/>
      <c r="W634" s="162"/>
      <c r="X634" s="162"/>
      <c r="Y634" s="162"/>
      <c r="Z634" s="162"/>
    </row>
    <row r="635" ht="18.75" customHeight="1">
      <c r="A635" s="162"/>
      <c r="B635" s="162"/>
      <c r="C635" s="162"/>
      <c r="D635" s="162"/>
      <c r="E635" s="166"/>
      <c r="F635" s="166"/>
      <c r="G635" s="162"/>
      <c r="H635" s="162"/>
      <c r="I635" s="162"/>
      <c r="J635" s="162"/>
      <c r="K635" s="162"/>
      <c r="L635" s="162"/>
      <c r="M635" s="162"/>
      <c r="N635" s="162"/>
      <c r="O635" s="162"/>
      <c r="P635" s="162"/>
      <c r="Q635" s="162"/>
      <c r="R635" s="162"/>
      <c r="S635" s="162"/>
      <c r="T635" s="162"/>
      <c r="U635" s="162"/>
      <c r="V635" s="162"/>
      <c r="W635" s="162"/>
      <c r="X635" s="162"/>
      <c r="Y635" s="162"/>
      <c r="Z635" s="162"/>
    </row>
    <row r="636" ht="18.75" customHeight="1">
      <c r="A636" s="162"/>
      <c r="B636" s="162"/>
      <c r="C636" s="162"/>
      <c r="D636" s="162"/>
      <c r="E636" s="166"/>
      <c r="F636" s="166"/>
      <c r="G636" s="162"/>
      <c r="H636" s="162"/>
      <c r="I636" s="162"/>
      <c r="J636" s="162"/>
      <c r="K636" s="162"/>
      <c r="L636" s="162"/>
      <c r="M636" s="162"/>
      <c r="N636" s="162"/>
      <c r="O636" s="162"/>
      <c r="P636" s="162"/>
      <c r="Q636" s="162"/>
      <c r="R636" s="162"/>
      <c r="S636" s="162"/>
      <c r="T636" s="162"/>
      <c r="U636" s="162"/>
      <c r="V636" s="162"/>
      <c r="W636" s="162"/>
      <c r="X636" s="162"/>
      <c r="Y636" s="162"/>
      <c r="Z636" s="162"/>
    </row>
    <row r="637" ht="18.75" customHeight="1">
      <c r="A637" s="162"/>
      <c r="B637" s="162"/>
      <c r="C637" s="162"/>
      <c r="D637" s="162"/>
      <c r="E637" s="166"/>
      <c r="F637" s="166"/>
      <c r="G637" s="162"/>
      <c r="H637" s="162"/>
      <c r="I637" s="162"/>
      <c r="J637" s="162"/>
      <c r="K637" s="162"/>
      <c r="L637" s="162"/>
      <c r="M637" s="162"/>
      <c r="N637" s="162"/>
      <c r="O637" s="162"/>
      <c r="P637" s="162"/>
      <c r="Q637" s="162"/>
      <c r="R637" s="162"/>
      <c r="S637" s="162"/>
      <c r="T637" s="162"/>
      <c r="U637" s="162"/>
      <c r="V637" s="162"/>
      <c r="W637" s="162"/>
      <c r="X637" s="162"/>
      <c r="Y637" s="162"/>
      <c r="Z637" s="162"/>
    </row>
    <row r="638" ht="18.75" customHeight="1">
      <c r="A638" s="162"/>
      <c r="B638" s="162"/>
      <c r="C638" s="162"/>
      <c r="D638" s="162"/>
      <c r="E638" s="166"/>
      <c r="F638" s="166"/>
      <c r="G638" s="162"/>
      <c r="H638" s="162"/>
      <c r="I638" s="162"/>
      <c r="J638" s="162"/>
      <c r="K638" s="162"/>
      <c r="L638" s="162"/>
      <c r="M638" s="162"/>
      <c r="N638" s="162"/>
      <c r="O638" s="162"/>
      <c r="P638" s="162"/>
      <c r="Q638" s="162"/>
      <c r="R638" s="162"/>
      <c r="S638" s="162"/>
      <c r="T638" s="162"/>
      <c r="U638" s="162"/>
      <c r="V638" s="162"/>
      <c r="W638" s="162"/>
      <c r="X638" s="162"/>
      <c r="Y638" s="162"/>
      <c r="Z638" s="162"/>
    </row>
    <row r="639" ht="18.75" customHeight="1">
      <c r="A639" s="162"/>
      <c r="B639" s="162"/>
      <c r="C639" s="162"/>
      <c r="D639" s="162"/>
      <c r="E639" s="166"/>
      <c r="F639" s="166"/>
      <c r="G639" s="162"/>
      <c r="H639" s="162"/>
      <c r="I639" s="162"/>
      <c r="J639" s="162"/>
      <c r="K639" s="162"/>
      <c r="L639" s="162"/>
      <c r="M639" s="162"/>
      <c r="N639" s="162"/>
      <c r="O639" s="162"/>
      <c r="P639" s="162"/>
      <c r="Q639" s="162"/>
      <c r="R639" s="162"/>
      <c r="S639" s="162"/>
      <c r="T639" s="162"/>
      <c r="U639" s="162"/>
      <c r="V639" s="162"/>
      <c r="W639" s="162"/>
      <c r="X639" s="162"/>
      <c r="Y639" s="162"/>
      <c r="Z639" s="162"/>
    </row>
    <row r="640" ht="18.75" customHeight="1">
      <c r="A640" s="162"/>
      <c r="B640" s="162"/>
      <c r="C640" s="162"/>
      <c r="D640" s="162"/>
      <c r="E640" s="166"/>
      <c r="F640" s="166"/>
      <c r="G640" s="162"/>
      <c r="H640" s="162"/>
      <c r="I640" s="162"/>
      <c r="J640" s="162"/>
      <c r="K640" s="162"/>
      <c r="L640" s="162"/>
      <c r="M640" s="162"/>
      <c r="N640" s="162"/>
      <c r="O640" s="162"/>
      <c r="P640" s="162"/>
      <c r="Q640" s="162"/>
      <c r="R640" s="162"/>
      <c r="S640" s="162"/>
      <c r="T640" s="162"/>
      <c r="U640" s="162"/>
      <c r="V640" s="162"/>
      <c r="W640" s="162"/>
      <c r="X640" s="162"/>
      <c r="Y640" s="162"/>
      <c r="Z640" s="162"/>
    </row>
    <row r="641" ht="18.75" customHeight="1">
      <c r="A641" s="162"/>
      <c r="B641" s="162"/>
      <c r="C641" s="162"/>
      <c r="D641" s="162"/>
      <c r="E641" s="166"/>
      <c r="F641" s="166"/>
      <c r="G641" s="162"/>
      <c r="H641" s="162"/>
      <c r="I641" s="162"/>
      <c r="J641" s="162"/>
      <c r="K641" s="162"/>
      <c r="L641" s="162"/>
      <c r="M641" s="162"/>
      <c r="N641" s="162"/>
      <c r="O641" s="162"/>
      <c r="P641" s="162"/>
      <c r="Q641" s="162"/>
      <c r="R641" s="162"/>
      <c r="S641" s="162"/>
      <c r="T641" s="162"/>
      <c r="U641" s="162"/>
      <c r="V641" s="162"/>
      <c r="W641" s="162"/>
      <c r="X641" s="162"/>
      <c r="Y641" s="162"/>
      <c r="Z641" s="162"/>
    </row>
    <row r="642" ht="18.75" customHeight="1">
      <c r="A642" s="162"/>
      <c r="B642" s="162"/>
      <c r="C642" s="162"/>
      <c r="D642" s="162"/>
      <c r="E642" s="166"/>
      <c r="F642" s="166"/>
      <c r="G642" s="162"/>
      <c r="H642" s="162"/>
      <c r="I642" s="162"/>
      <c r="J642" s="162"/>
      <c r="K642" s="162"/>
      <c r="L642" s="162"/>
      <c r="M642" s="162"/>
      <c r="N642" s="162"/>
      <c r="O642" s="162"/>
      <c r="P642" s="162"/>
      <c r="Q642" s="162"/>
      <c r="R642" s="162"/>
      <c r="S642" s="162"/>
      <c r="T642" s="162"/>
      <c r="U642" s="162"/>
      <c r="V642" s="162"/>
      <c r="W642" s="162"/>
      <c r="X642" s="162"/>
      <c r="Y642" s="162"/>
      <c r="Z642" s="162"/>
    </row>
    <row r="643" ht="18.75" customHeight="1">
      <c r="A643" s="162"/>
      <c r="B643" s="162"/>
      <c r="C643" s="162"/>
      <c r="D643" s="162"/>
      <c r="E643" s="166"/>
      <c r="F643" s="166"/>
      <c r="G643" s="162"/>
      <c r="H643" s="162"/>
      <c r="I643" s="162"/>
      <c r="J643" s="162"/>
      <c r="K643" s="162"/>
      <c r="L643" s="162"/>
      <c r="M643" s="162"/>
      <c r="N643" s="162"/>
      <c r="O643" s="162"/>
      <c r="P643" s="162"/>
      <c r="Q643" s="162"/>
      <c r="R643" s="162"/>
      <c r="S643" s="162"/>
      <c r="T643" s="162"/>
      <c r="U643" s="162"/>
      <c r="V643" s="162"/>
      <c r="W643" s="162"/>
      <c r="X643" s="162"/>
      <c r="Y643" s="162"/>
      <c r="Z643" s="162"/>
    </row>
    <row r="644" ht="18.75" customHeight="1">
      <c r="A644" s="162"/>
      <c r="B644" s="162"/>
      <c r="C644" s="162"/>
      <c r="D644" s="162"/>
      <c r="E644" s="166"/>
      <c r="F644" s="166"/>
      <c r="G644" s="162"/>
      <c r="H644" s="162"/>
      <c r="I644" s="162"/>
      <c r="J644" s="162"/>
      <c r="K644" s="162"/>
      <c r="L644" s="162"/>
      <c r="M644" s="162"/>
      <c r="N644" s="162"/>
      <c r="O644" s="162"/>
      <c r="P644" s="162"/>
      <c r="Q644" s="162"/>
      <c r="R644" s="162"/>
      <c r="S644" s="162"/>
      <c r="T644" s="162"/>
      <c r="U644" s="162"/>
      <c r="V644" s="162"/>
      <c r="W644" s="162"/>
      <c r="X644" s="162"/>
      <c r="Y644" s="162"/>
      <c r="Z644" s="162"/>
    </row>
    <row r="645" ht="18.75" customHeight="1">
      <c r="A645" s="162"/>
      <c r="B645" s="162"/>
      <c r="C645" s="162"/>
      <c r="D645" s="162"/>
      <c r="E645" s="166"/>
      <c r="F645" s="166"/>
      <c r="G645" s="162"/>
      <c r="H645" s="162"/>
      <c r="I645" s="162"/>
      <c r="J645" s="162"/>
      <c r="K645" s="162"/>
      <c r="L645" s="162"/>
      <c r="M645" s="162"/>
      <c r="N645" s="162"/>
      <c r="O645" s="162"/>
      <c r="P645" s="162"/>
      <c r="Q645" s="162"/>
      <c r="R645" s="162"/>
      <c r="S645" s="162"/>
      <c r="T645" s="162"/>
      <c r="U645" s="162"/>
      <c r="V645" s="162"/>
      <c r="W645" s="162"/>
      <c r="X645" s="162"/>
      <c r="Y645" s="162"/>
      <c r="Z645" s="162"/>
    </row>
    <row r="646" ht="18.75" customHeight="1">
      <c r="A646" s="162"/>
      <c r="B646" s="162"/>
      <c r="C646" s="162"/>
      <c r="D646" s="162"/>
      <c r="E646" s="166"/>
      <c r="F646" s="166"/>
      <c r="G646" s="162"/>
      <c r="H646" s="162"/>
      <c r="I646" s="162"/>
      <c r="J646" s="162"/>
      <c r="K646" s="162"/>
      <c r="L646" s="162"/>
      <c r="M646" s="162"/>
      <c r="N646" s="162"/>
      <c r="O646" s="162"/>
      <c r="P646" s="162"/>
      <c r="Q646" s="162"/>
      <c r="R646" s="162"/>
      <c r="S646" s="162"/>
      <c r="T646" s="162"/>
      <c r="U646" s="162"/>
      <c r="V646" s="162"/>
      <c r="W646" s="162"/>
      <c r="X646" s="162"/>
      <c r="Y646" s="162"/>
      <c r="Z646" s="162"/>
    </row>
    <row r="647" ht="18.75" customHeight="1">
      <c r="A647" s="162"/>
      <c r="B647" s="162"/>
      <c r="C647" s="162"/>
      <c r="D647" s="162"/>
      <c r="E647" s="166"/>
      <c r="F647" s="166"/>
      <c r="G647" s="162"/>
      <c r="H647" s="162"/>
      <c r="I647" s="162"/>
      <c r="J647" s="162"/>
      <c r="K647" s="162"/>
      <c r="L647" s="162"/>
      <c r="M647" s="162"/>
      <c r="N647" s="162"/>
      <c r="O647" s="162"/>
      <c r="P647" s="162"/>
      <c r="Q647" s="162"/>
      <c r="R647" s="162"/>
      <c r="S647" s="162"/>
      <c r="T647" s="162"/>
      <c r="U647" s="162"/>
      <c r="V647" s="162"/>
      <c r="W647" s="162"/>
      <c r="X647" s="162"/>
      <c r="Y647" s="162"/>
      <c r="Z647" s="162"/>
    </row>
    <row r="648" ht="18.75" customHeight="1">
      <c r="A648" s="162"/>
      <c r="B648" s="162"/>
      <c r="C648" s="162"/>
      <c r="D648" s="162"/>
      <c r="E648" s="166"/>
      <c r="F648" s="166"/>
      <c r="G648" s="162"/>
      <c r="H648" s="162"/>
      <c r="I648" s="162"/>
      <c r="J648" s="162"/>
      <c r="K648" s="162"/>
      <c r="L648" s="162"/>
      <c r="M648" s="162"/>
      <c r="N648" s="162"/>
      <c r="O648" s="162"/>
      <c r="P648" s="162"/>
      <c r="Q648" s="162"/>
      <c r="R648" s="162"/>
      <c r="S648" s="162"/>
      <c r="T648" s="162"/>
      <c r="U648" s="162"/>
      <c r="V648" s="162"/>
      <c r="W648" s="162"/>
      <c r="X648" s="162"/>
      <c r="Y648" s="162"/>
      <c r="Z648" s="162"/>
    </row>
    <row r="649" ht="18.75" customHeight="1">
      <c r="A649" s="162"/>
      <c r="B649" s="162"/>
      <c r="C649" s="162"/>
      <c r="D649" s="162"/>
      <c r="E649" s="166"/>
      <c r="F649" s="166"/>
      <c r="G649" s="162"/>
      <c r="H649" s="162"/>
      <c r="I649" s="162"/>
      <c r="J649" s="162"/>
      <c r="K649" s="162"/>
      <c r="L649" s="162"/>
      <c r="M649" s="162"/>
      <c r="N649" s="162"/>
      <c r="O649" s="162"/>
      <c r="P649" s="162"/>
      <c r="Q649" s="162"/>
      <c r="R649" s="162"/>
      <c r="S649" s="162"/>
      <c r="T649" s="162"/>
      <c r="U649" s="162"/>
      <c r="V649" s="162"/>
      <c r="W649" s="162"/>
      <c r="X649" s="162"/>
      <c r="Y649" s="162"/>
      <c r="Z649" s="162"/>
    </row>
    <row r="650" ht="18.75" customHeight="1">
      <c r="A650" s="162"/>
      <c r="B650" s="162"/>
      <c r="C650" s="162"/>
      <c r="D650" s="162"/>
      <c r="E650" s="166"/>
      <c r="F650" s="166"/>
      <c r="G650" s="162"/>
      <c r="H650" s="162"/>
      <c r="I650" s="162"/>
      <c r="J650" s="162"/>
      <c r="K650" s="162"/>
      <c r="L650" s="162"/>
      <c r="M650" s="162"/>
      <c r="N650" s="162"/>
      <c r="O650" s="162"/>
      <c r="P650" s="162"/>
      <c r="Q650" s="162"/>
      <c r="R650" s="162"/>
      <c r="S650" s="162"/>
      <c r="T650" s="162"/>
      <c r="U650" s="162"/>
      <c r="V650" s="162"/>
      <c r="W650" s="162"/>
      <c r="X650" s="162"/>
      <c r="Y650" s="162"/>
      <c r="Z650" s="162"/>
    </row>
    <row r="651" ht="18.75" customHeight="1">
      <c r="A651" s="162"/>
      <c r="B651" s="162"/>
      <c r="C651" s="162"/>
      <c r="D651" s="162"/>
      <c r="E651" s="166"/>
      <c r="F651" s="166"/>
      <c r="G651" s="162"/>
      <c r="H651" s="162"/>
      <c r="I651" s="162"/>
      <c r="J651" s="162"/>
      <c r="K651" s="162"/>
      <c r="L651" s="162"/>
      <c r="M651" s="162"/>
      <c r="N651" s="162"/>
      <c r="O651" s="162"/>
      <c r="P651" s="162"/>
      <c r="Q651" s="162"/>
      <c r="R651" s="162"/>
      <c r="S651" s="162"/>
      <c r="T651" s="162"/>
      <c r="U651" s="162"/>
      <c r="V651" s="162"/>
      <c r="W651" s="162"/>
      <c r="X651" s="162"/>
      <c r="Y651" s="162"/>
      <c r="Z651" s="162"/>
    </row>
    <row r="652" ht="18.75" customHeight="1">
      <c r="A652" s="162"/>
      <c r="B652" s="162"/>
      <c r="C652" s="162"/>
      <c r="D652" s="162"/>
      <c r="E652" s="166"/>
      <c r="F652" s="166"/>
      <c r="G652" s="162"/>
      <c r="H652" s="162"/>
      <c r="I652" s="162"/>
      <c r="J652" s="162"/>
      <c r="K652" s="162"/>
      <c r="L652" s="162"/>
      <c r="M652" s="162"/>
      <c r="N652" s="162"/>
      <c r="O652" s="162"/>
      <c r="P652" s="162"/>
      <c r="Q652" s="162"/>
      <c r="R652" s="162"/>
      <c r="S652" s="162"/>
      <c r="T652" s="162"/>
      <c r="U652" s="162"/>
      <c r="V652" s="162"/>
      <c r="W652" s="162"/>
      <c r="X652" s="162"/>
      <c r="Y652" s="162"/>
      <c r="Z652" s="162"/>
    </row>
    <row r="653" ht="18.75" customHeight="1">
      <c r="A653" s="162"/>
      <c r="B653" s="162"/>
      <c r="C653" s="162"/>
      <c r="D653" s="162"/>
      <c r="E653" s="166"/>
      <c r="F653" s="166"/>
      <c r="G653" s="162"/>
      <c r="H653" s="162"/>
      <c r="I653" s="162"/>
      <c r="J653" s="162"/>
      <c r="K653" s="162"/>
      <c r="L653" s="162"/>
      <c r="M653" s="162"/>
      <c r="N653" s="162"/>
      <c r="O653" s="162"/>
      <c r="P653" s="162"/>
      <c r="Q653" s="162"/>
      <c r="R653" s="162"/>
      <c r="S653" s="162"/>
      <c r="T653" s="162"/>
      <c r="U653" s="162"/>
      <c r="V653" s="162"/>
      <c r="W653" s="162"/>
      <c r="X653" s="162"/>
      <c r="Y653" s="162"/>
      <c r="Z653" s="162"/>
    </row>
    <row r="654" ht="18.75" customHeight="1">
      <c r="A654" s="162"/>
      <c r="B654" s="162"/>
      <c r="C654" s="162"/>
      <c r="D654" s="162"/>
      <c r="E654" s="166"/>
      <c r="F654" s="166"/>
      <c r="G654" s="162"/>
      <c r="H654" s="162"/>
      <c r="I654" s="162"/>
      <c r="J654" s="162"/>
      <c r="K654" s="162"/>
      <c r="L654" s="162"/>
      <c r="M654" s="162"/>
      <c r="N654" s="162"/>
      <c r="O654" s="162"/>
      <c r="P654" s="162"/>
      <c r="Q654" s="162"/>
      <c r="R654" s="162"/>
      <c r="S654" s="162"/>
      <c r="T654" s="162"/>
      <c r="U654" s="162"/>
      <c r="V654" s="162"/>
      <c r="W654" s="162"/>
      <c r="X654" s="162"/>
      <c r="Y654" s="162"/>
      <c r="Z654" s="162"/>
    </row>
    <row r="655" ht="18.75" customHeight="1">
      <c r="A655" s="162"/>
      <c r="B655" s="162"/>
      <c r="C655" s="162"/>
      <c r="D655" s="162"/>
      <c r="E655" s="166"/>
      <c r="F655" s="166"/>
      <c r="G655" s="162"/>
      <c r="H655" s="162"/>
      <c r="I655" s="162"/>
      <c r="J655" s="162"/>
      <c r="K655" s="162"/>
      <c r="L655" s="162"/>
      <c r="M655" s="162"/>
      <c r="N655" s="162"/>
      <c r="O655" s="162"/>
      <c r="P655" s="162"/>
      <c r="Q655" s="162"/>
      <c r="R655" s="162"/>
      <c r="S655" s="162"/>
      <c r="T655" s="162"/>
      <c r="U655" s="162"/>
      <c r="V655" s="162"/>
      <c r="W655" s="162"/>
      <c r="X655" s="162"/>
      <c r="Y655" s="162"/>
      <c r="Z655" s="162"/>
    </row>
    <row r="656" ht="18.75" customHeight="1">
      <c r="A656" s="162"/>
      <c r="B656" s="162"/>
      <c r="C656" s="162"/>
      <c r="D656" s="162"/>
      <c r="E656" s="166"/>
      <c r="F656" s="166"/>
      <c r="G656" s="162"/>
      <c r="H656" s="162"/>
      <c r="I656" s="162"/>
      <c r="J656" s="162"/>
      <c r="K656" s="162"/>
      <c r="L656" s="162"/>
      <c r="M656" s="162"/>
      <c r="N656" s="162"/>
      <c r="O656" s="162"/>
      <c r="P656" s="162"/>
      <c r="Q656" s="162"/>
      <c r="R656" s="162"/>
      <c r="S656" s="162"/>
      <c r="T656" s="162"/>
      <c r="U656" s="162"/>
      <c r="V656" s="162"/>
      <c r="W656" s="162"/>
      <c r="X656" s="162"/>
      <c r="Y656" s="162"/>
      <c r="Z656" s="162"/>
    </row>
    <row r="657" ht="18.75" customHeight="1">
      <c r="A657" s="162"/>
      <c r="B657" s="162"/>
      <c r="C657" s="162"/>
      <c r="D657" s="162"/>
      <c r="E657" s="166"/>
      <c r="F657" s="166"/>
      <c r="G657" s="162"/>
      <c r="H657" s="162"/>
      <c r="I657" s="162"/>
      <c r="J657" s="162"/>
      <c r="K657" s="162"/>
      <c r="L657" s="162"/>
      <c r="M657" s="162"/>
      <c r="N657" s="162"/>
      <c r="O657" s="162"/>
      <c r="P657" s="162"/>
      <c r="Q657" s="162"/>
      <c r="R657" s="162"/>
      <c r="S657" s="162"/>
      <c r="T657" s="162"/>
      <c r="U657" s="162"/>
      <c r="V657" s="162"/>
      <c r="W657" s="162"/>
      <c r="X657" s="162"/>
      <c r="Y657" s="162"/>
      <c r="Z657" s="162"/>
    </row>
    <row r="658" ht="18.75" customHeight="1">
      <c r="A658" s="162"/>
      <c r="B658" s="162"/>
      <c r="C658" s="162"/>
      <c r="D658" s="162"/>
      <c r="E658" s="166"/>
      <c r="F658" s="166"/>
      <c r="G658" s="162"/>
      <c r="H658" s="162"/>
      <c r="I658" s="162"/>
      <c r="J658" s="162"/>
      <c r="K658" s="162"/>
      <c r="L658" s="162"/>
      <c r="M658" s="162"/>
      <c r="N658" s="162"/>
      <c r="O658" s="162"/>
      <c r="P658" s="162"/>
      <c r="Q658" s="162"/>
      <c r="R658" s="162"/>
      <c r="S658" s="162"/>
      <c r="T658" s="162"/>
      <c r="U658" s="162"/>
      <c r="V658" s="162"/>
      <c r="W658" s="162"/>
      <c r="X658" s="162"/>
      <c r="Y658" s="162"/>
      <c r="Z658" s="162"/>
    </row>
    <row r="659" ht="18.75" customHeight="1">
      <c r="A659" s="162"/>
      <c r="B659" s="162"/>
      <c r="C659" s="162"/>
      <c r="D659" s="162"/>
      <c r="E659" s="166"/>
      <c r="F659" s="166"/>
      <c r="G659" s="162"/>
      <c r="H659" s="162"/>
      <c r="I659" s="162"/>
      <c r="J659" s="162"/>
      <c r="K659" s="162"/>
      <c r="L659" s="162"/>
      <c r="M659" s="162"/>
      <c r="N659" s="162"/>
      <c r="O659" s="162"/>
      <c r="P659" s="162"/>
      <c r="Q659" s="162"/>
      <c r="R659" s="162"/>
      <c r="S659" s="162"/>
      <c r="T659" s="162"/>
      <c r="U659" s="162"/>
      <c r="V659" s="162"/>
      <c r="W659" s="162"/>
      <c r="X659" s="162"/>
      <c r="Y659" s="162"/>
      <c r="Z659" s="162"/>
    </row>
    <row r="660" ht="18.75" customHeight="1">
      <c r="A660" s="162"/>
      <c r="B660" s="162"/>
      <c r="C660" s="162"/>
      <c r="D660" s="162"/>
      <c r="E660" s="166"/>
      <c r="F660" s="166"/>
      <c r="G660" s="162"/>
      <c r="H660" s="162"/>
      <c r="I660" s="162"/>
      <c r="J660" s="162"/>
      <c r="K660" s="162"/>
      <c r="L660" s="162"/>
      <c r="M660" s="162"/>
      <c r="N660" s="162"/>
      <c r="O660" s="162"/>
      <c r="P660" s="162"/>
      <c r="Q660" s="162"/>
      <c r="R660" s="162"/>
      <c r="S660" s="162"/>
      <c r="T660" s="162"/>
      <c r="U660" s="162"/>
      <c r="V660" s="162"/>
      <c r="W660" s="162"/>
      <c r="X660" s="162"/>
      <c r="Y660" s="162"/>
      <c r="Z660" s="162"/>
    </row>
    <row r="661" ht="18.75" customHeight="1">
      <c r="A661" s="162"/>
      <c r="B661" s="162"/>
      <c r="C661" s="162"/>
      <c r="D661" s="162"/>
      <c r="E661" s="166"/>
      <c r="F661" s="166"/>
      <c r="G661" s="162"/>
      <c r="H661" s="162"/>
      <c r="I661" s="162"/>
      <c r="J661" s="162"/>
      <c r="K661" s="162"/>
      <c r="L661" s="162"/>
      <c r="M661" s="162"/>
      <c r="N661" s="162"/>
      <c r="O661" s="162"/>
      <c r="P661" s="162"/>
      <c r="Q661" s="162"/>
      <c r="R661" s="162"/>
      <c r="S661" s="162"/>
      <c r="T661" s="162"/>
      <c r="U661" s="162"/>
      <c r="V661" s="162"/>
      <c r="W661" s="162"/>
      <c r="X661" s="162"/>
      <c r="Y661" s="162"/>
      <c r="Z661" s="162"/>
    </row>
    <row r="662" ht="18.75" customHeight="1">
      <c r="A662" s="162"/>
      <c r="B662" s="162"/>
      <c r="C662" s="162"/>
      <c r="D662" s="162"/>
      <c r="E662" s="166"/>
      <c r="F662" s="166"/>
      <c r="G662" s="162"/>
      <c r="H662" s="162"/>
      <c r="I662" s="162"/>
      <c r="J662" s="162"/>
      <c r="K662" s="162"/>
      <c r="L662" s="162"/>
      <c r="M662" s="162"/>
      <c r="N662" s="162"/>
      <c r="O662" s="162"/>
      <c r="P662" s="162"/>
      <c r="Q662" s="162"/>
      <c r="R662" s="162"/>
      <c r="S662" s="162"/>
      <c r="T662" s="162"/>
      <c r="U662" s="162"/>
      <c r="V662" s="162"/>
      <c r="W662" s="162"/>
      <c r="X662" s="162"/>
      <c r="Y662" s="162"/>
      <c r="Z662" s="162"/>
    </row>
    <row r="663" ht="18.75" customHeight="1">
      <c r="A663" s="162"/>
      <c r="B663" s="162"/>
      <c r="C663" s="162"/>
      <c r="D663" s="162"/>
      <c r="E663" s="166"/>
      <c r="F663" s="166"/>
      <c r="G663" s="162"/>
      <c r="H663" s="162"/>
      <c r="I663" s="162"/>
      <c r="J663" s="162"/>
      <c r="K663" s="162"/>
      <c r="L663" s="162"/>
      <c r="M663" s="162"/>
      <c r="N663" s="162"/>
      <c r="O663" s="162"/>
      <c r="P663" s="162"/>
      <c r="Q663" s="162"/>
      <c r="R663" s="162"/>
      <c r="S663" s="162"/>
      <c r="T663" s="162"/>
      <c r="U663" s="162"/>
      <c r="V663" s="162"/>
      <c r="W663" s="162"/>
      <c r="X663" s="162"/>
      <c r="Y663" s="162"/>
      <c r="Z663" s="162"/>
    </row>
    <row r="664" ht="18.75" customHeight="1">
      <c r="A664" s="162"/>
      <c r="B664" s="162"/>
      <c r="C664" s="162"/>
      <c r="D664" s="162"/>
      <c r="E664" s="166"/>
      <c r="F664" s="166"/>
      <c r="G664" s="162"/>
      <c r="H664" s="162"/>
      <c r="I664" s="162"/>
      <c r="J664" s="162"/>
      <c r="K664" s="162"/>
      <c r="L664" s="162"/>
      <c r="M664" s="162"/>
      <c r="N664" s="162"/>
      <c r="O664" s="162"/>
      <c r="P664" s="162"/>
      <c r="Q664" s="162"/>
      <c r="R664" s="162"/>
      <c r="S664" s="162"/>
      <c r="T664" s="162"/>
      <c r="U664" s="162"/>
      <c r="V664" s="162"/>
      <c r="W664" s="162"/>
      <c r="X664" s="162"/>
      <c r="Y664" s="162"/>
      <c r="Z664" s="162"/>
    </row>
    <row r="665" ht="18.75" customHeight="1">
      <c r="A665" s="162"/>
      <c r="B665" s="162"/>
      <c r="C665" s="162"/>
      <c r="D665" s="162"/>
      <c r="E665" s="166"/>
      <c r="F665" s="166"/>
      <c r="G665" s="162"/>
      <c r="H665" s="162"/>
      <c r="I665" s="162"/>
      <c r="J665" s="162"/>
      <c r="K665" s="162"/>
      <c r="L665" s="162"/>
      <c r="M665" s="162"/>
      <c r="N665" s="162"/>
      <c r="O665" s="162"/>
      <c r="P665" s="162"/>
      <c r="Q665" s="162"/>
      <c r="R665" s="162"/>
      <c r="S665" s="162"/>
      <c r="T665" s="162"/>
      <c r="U665" s="162"/>
      <c r="V665" s="162"/>
      <c r="W665" s="162"/>
      <c r="X665" s="162"/>
      <c r="Y665" s="162"/>
      <c r="Z665" s="162"/>
    </row>
    <row r="666" ht="18.75" customHeight="1">
      <c r="A666" s="162"/>
      <c r="B666" s="162"/>
      <c r="C666" s="162"/>
      <c r="D666" s="162"/>
      <c r="E666" s="166"/>
      <c r="F666" s="166"/>
      <c r="G666" s="162"/>
      <c r="H666" s="162"/>
      <c r="I666" s="162"/>
      <c r="J666" s="162"/>
      <c r="K666" s="162"/>
      <c r="L666" s="162"/>
      <c r="M666" s="162"/>
      <c r="N666" s="162"/>
      <c r="O666" s="162"/>
      <c r="P666" s="162"/>
      <c r="Q666" s="162"/>
      <c r="R666" s="162"/>
      <c r="S666" s="162"/>
      <c r="T666" s="162"/>
      <c r="U666" s="162"/>
      <c r="V666" s="162"/>
      <c r="W666" s="162"/>
      <c r="X666" s="162"/>
      <c r="Y666" s="162"/>
      <c r="Z666" s="162"/>
    </row>
    <row r="667" ht="18.75" customHeight="1">
      <c r="A667" s="162"/>
      <c r="B667" s="162"/>
      <c r="C667" s="162"/>
      <c r="D667" s="162"/>
      <c r="E667" s="166"/>
      <c r="F667" s="166"/>
      <c r="G667" s="162"/>
      <c r="H667" s="162"/>
      <c r="I667" s="162"/>
      <c r="J667" s="162"/>
      <c r="K667" s="162"/>
      <c r="L667" s="162"/>
      <c r="M667" s="162"/>
      <c r="N667" s="162"/>
      <c r="O667" s="162"/>
      <c r="P667" s="162"/>
      <c r="Q667" s="162"/>
      <c r="R667" s="162"/>
      <c r="S667" s="162"/>
      <c r="T667" s="162"/>
      <c r="U667" s="162"/>
      <c r="V667" s="162"/>
      <c r="W667" s="162"/>
      <c r="X667" s="162"/>
      <c r="Y667" s="162"/>
      <c r="Z667" s="162"/>
    </row>
    <row r="668" ht="18.75" customHeight="1">
      <c r="A668" s="162"/>
      <c r="B668" s="162"/>
      <c r="C668" s="162"/>
      <c r="D668" s="162"/>
      <c r="E668" s="166"/>
      <c r="F668" s="166"/>
      <c r="G668" s="162"/>
      <c r="H668" s="162"/>
      <c r="I668" s="162"/>
      <c r="J668" s="162"/>
      <c r="K668" s="162"/>
      <c r="L668" s="162"/>
      <c r="M668" s="162"/>
      <c r="N668" s="162"/>
      <c r="O668" s="162"/>
      <c r="P668" s="162"/>
      <c r="Q668" s="162"/>
      <c r="R668" s="162"/>
      <c r="S668" s="162"/>
      <c r="T668" s="162"/>
      <c r="U668" s="162"/>
      <c r="V668" s="162"/>
      <c r="W668" s="162"/>
      <c r="X668" s="162"/>
      <c r="Y668" s="162"/>
      <c r="Z668" s="162"/>
    </row>
    <row r="669" ht="18.75" customHeight="1">
      <c r="A669" s="162"/>
      <c r="B669" s="162"/>
      <c r="C669" s="162"/>
      <c r="D669" s="162"/>
      <c r="E669" s="166"/>
      <c r="F669" s="166"/>
      <c r="G669" s="162"/>
      <c r="H669" s="162"/>
      <c r="I669" s="162"/>
      <c r="J669" s="162"/>
      <c r="K669" s="162"/>
      <c r="L669" s="162"/>
      <c r="M669" s="162"/>
      <c r="N669" s="162"/>
      <c r="O669" s="162"/>
      <c r="P669" s="162"/>
      <c r="Q669" s="162"/>
      <c r="R669" s="162"/>
      <c r="S669" s="162"/>
      <c r="T669" s="162"/>
      <c r="U669" s="162"/>
      <c r="V669" s="162"/>
      <c r="W669" s="162"/>
      <c r="X669" s="162"/>
      <c r="Y669" s="162"/>
      <c r="Z669" s="162"/>
    </row>
    <row r="670" ht="18.75" customHeight="1">
      <c r="A670" s="162"/>
      <c r="B670" s="162"/>
      <c r="C670" s="162"/>
      <c r="D670" s="162"/>
      <c r="E670" s="166"/>
      <c r="F670" s="166"/>
      <c r="G670" s="162"/>
      <c r="H670" s="162"/>
      <c r="I670" s="162"/>
      <c r="J670" s="162"/>
      <c r="K670" s="162"/>
      <c r="L670" s="162"/>
      <c r="M670" s="162"/>
      <c r="N670" s="162"/>
      <c r="O670" s="162"/>
      <c r="P670" s="162"/>
      <c r="Q670" s="162"/>
      <c r="R670" s="162"/>
      <c r="S670" s="162"/>
      <c r="T670" s="162"/>
      <c r="U670" s="162"/>
      <c r="V670" s="162"/>
      <c r="W670" s="162"/>
      <c r="X670" s="162"/>
      <c r="Y670" s="162"/>
      <c r="Z670" s="162"/>
    </row>
    <row r="671" ht="18.75" customHeight="1">
      <c r="A671" s="162"/>
      <c r="B671" s="162"/>
      <c r="C671" s="162"/>
      <c r="D671" s="162"/>
      <c r="E671" s="166"/>
      <c r="F671" s="166"/>
      <c r="G671" s="162"/>
      <c r="H671" s="162"/>
      <c r="I671" s="162"/>
      <c r="J671" s="162"/>
      <c r="K671" s="162"/>
      <c r="L671" s="162"/>
      <c r="M671" s="162"/>
      <c r="N671" s="162"/>
      <c r="O671" s="162"/>
      <c r="P671" s="162"/>
      <c r="Q671" s="162"/>
      <c r="R671" s="162"/>
      <c r="S671" s="162"/>
      <c r="T671" s="162"/>
      <c r="U671" s="162"/>
      <c r="V671" s="162"/>
      <c r="W671" s="162"/>
      <c r="X671" s="162"/>
      <c r="Y671" s="162"/>
      <c r="Z671" s="162"/>
    </row>
    <row r="672" ht="18.75" customHeight="1">
      <c r="A672" s="162"/>
      <c r="B672" s="162"/>
      <c r="C672" s="162"/>
      <c r="D672" s="162"/>
      <c r="E672" s="166"/>
      <c r="F672" s="166"/>
      <c r="G672" s="162"/>
      <c r="H672" s="162"/>
      <c r="I672" s="162"/>
      <c r="J672" s="162"/>
      <c r="K672" s="162"/>
      <c r="L672" s="162"/>
      <c r="M672" s="162"/>
      <c r="N672" s="162"/>
      <c r="O672" s="162"/>
      <c r="P672" s="162"/>
      <c r="Q672" s="162"/>
      <c r="R672" s="162"/>
      <c r="S672" s="162"/>
      <c r="T672" s="162"/>
      <c r="U672" s="162"/>
      <c r="V672" s="162"/>
      <c r="W672" s="162"/>
      <c r="X672" s="162"/>
      <c r="Y672" s="162"/>
      <c r="Z672" s="162"/>
    </row>
    <row r="673" ht="18.75" customHeight="1">
      <c r="A673" s="162"/>
      <c r="B673" s="162"/>
      <c r="C673" s="162"/>
      <c r="D673" s="162"/>
      <c r="E673" s="166"/>
      <c r="F673" s="166"/>
      <c r="G673" s="162"/>
      <c r="H673" s="162"/>
      <c r="I673" s="162"/>
      <c r="J673" s="162"/>
      <c r="K673" s="162"/>
      <c r="L673" s="162"/>
      <c r="M673" s="162"/>
      <c r="N673" s="162"/>
      <c r="O673" s="162"/>
      <c r="P673" s="162"/>
      <c r="Q673" s="162"/>
      <c r="R673" s="162"/>
      <c r="S673" s="162"/>
      <c r="T673" s="162"/>
      <c r="U673" s="162"/>
      <c r="V673" s="162"/>
      <c r="W673" s="162"/>
      <c r="X673" s="162"/>
      <c r="Y673" s="162"/>
      <c r="Z673" s="162"/>
    </row>
    <row r="674" ht="18.75" customHeight="1">
      <c r="A674" s="162"/>
      <c r="B674" s="162"/>
      <c r="C674" s="162"/>
      <c r="D674" s="162"/>
      <c r="E674" s="166"/>
      <c r="F674" s="166"/>
      <c r="G674" s="162"/>
      <c r="H674" s="162"/>
      <c r="I674" s="162"/>
      <c r="J674" s="162"/>
      <c r="K674" s="162"/>
      <c r="L674" s="162"/>
      <c r="M674" s="162"/>
      <c r="N674" s="162"/>
      <c r="O674" s="162"/>
      <c r="P674" s="162"/>
      <c r="Q674" s="162"/>
      <c r="R674" s="162"/>
      <c r="S674" s="162"/>
      <c r="T674" s="162"/>
      <c r="U674" s="162"/>
      <c r="V674" s="162"/>
      <c r="W674" s="162"/>
      <c r="X674" s="162"/>
      <c r="Y674" s="162"/>
      <c r="Z674" s="162"/>
    </row>
    <row r="675" ht="18.75" customHeight="1">
      <c r="A675" s="162"/>
      <c r="B675" s="162"/>
      <c r="C675" s="162"/>
      <c r="D675" s="162"/>
      <c r="E675" s="166"/>
      <c r="F675" s="166"/>
      <c r="G675" s="162"/>
      <c r="H675" s="162"/>
      <c r="I675" s="162"/>
      <c r="J675" s="162"/>
      <c r="K675" s="162"/>
      <c r="L675" s="162"/>
      <c r="M675" s="162"/>
      <c r="N675" s="162"/>
      <c r="O675" s="162"/>
      <c r="P675" s="162"/>
      <c r="Q675" s="162"/>
      <c r="R675" s="162"/>
      <c r="S675" s="162"/>
      <c r="T675" s="162"/>
      <c r="U675" s="162"/>
      <c r="V675" s="162"/>
      <c r="W675" s="162"/>
      <c r="X675" s="162"/>
      <c r="Y675" s="162"/>
      <c r="Z675" s="162"/>
    </row>
    <row r="676" ht="18.75" customHeight="1">
      <c r="A676" s="162"/>
      <c r="B676" s="162"/>
      <c r="C676" s="162"/>
      <c r="D676" s="162"/>
      <c r="E676" s="166"/>
      <c r="F676" s="166"/>
      <c r="G676" s="162"/>
      <c r="H676" s="162"/>
      <c r="I676" s="162"/>
      <c r="J676" s="162"/>
      <c r="K676" s="162"/>
      <c r="L676" s="162"/>
      <c r="M676" s="162"/>
      <c r="N676" s="162"/>
      <c r="O676" s="162"/>
      <c r="P676" s="162"/>
      <c r="Q676" s="162"/>
      <c r="R676" s="162"/>
      <c r="S676" s="162"/>
      <c r="T676" s="162"/>
      <c r="U676" s="162"/>
      <c r="V676" s="162"/>
      <c r="W676" s="162"/>
      <c r="X676" s="162"/>
      <c r="Y676" s="162"/>
      <c r="Z676" s="162"/>
    </row>
    <row r="677" ht="18.75" customHeight="1">
      <c r="A677" s="162"/>
      <c r="B677" s="162"/>
      <c r="C677" s="162"/>
      <c r="D677" s="162"/>
      <c r="E677" s="166"/>
      <c r="F677" s="166"/>
      <c r="G677" s="162"/>
      <c r="H677" s="162"/>
      <c r="I677" s="162"/>
      <c r="J677" s="162"/>
      <c r="K677" s="162"/>
      <c r="L677" s="162"/>
      <c r="M677" s="162"/>
      <c r="N677" s="162"/>
      <c r="O677" s="162"/>
      <c r="P677" s="162"/>
      <c r="Q677" s="162"/>
      <c r="R677" s="162"/>
      <c r="S677" s="162"/>
      <c r="T677" s="162"/>
      <c r="U677" s="162"/>
      <c r="V677" s="162"/>
      <c r="W677" s="162"/>
      <c r="X677" s="162"/>
      <c r="Y677" s="162"/>
      <c r="Z677" s="162"/>
    </row>
    <row r="678" ht="18.75" customHeight="1">
      <c r="A678" s="162"/>
      <c r="B678" s="162"/>
      <c r="C678" s="162"/>
      <c r="D678" s="162"/>
      <c r="E678" s="166"/>
      <c r="F678" s="166"/>
      <c r="G678" s="162"/>
      <c r="H678" s="162"/>
      <c r="I678" s="162"/>
      <c r="J678" s="162"/>
      <c r="K678" s="162"/>
      <c r="L678" s="162"/>
      <c r="M678" s="162"/>
      <c r="N678" s="162"/>
      <c r="O678" s="162"/>
      <c r="P678" s="162"/>
      <c r="Q678" s="162"/>
      <c r="R678" s="162"/>
      <c r="S678" s="162"/>
      <c r="T678" s="162"/>
      <c r="U678" s="162"/>
      <c r="V678" s="162"/>
      <c r="W678" s="162"/>
      <c r="X678" s="162"/>
      <c r="Y678" s="162"/>
      <c r="Z678" s="162"/>
    </row>
    <row r="679" ht="18.75" customHeight="1">
      <c r="A679" s="162"/>
      <c r="B679" s="162"/>
      <c r="C679" s="162"/>
      <c r="D679" s="162"/>
      <c r="E679" s="166"/>
      <c r="F679" s="166"/>
      <c r="G679" s="162"/>
      <c r="H679" s="162"/>
      <c r="I679" s="162"/>
      <c r="J679" s="162"/>
      <c r="K679" s="162"/>
      <c r="L679" s="162"/>
      <c r="M679" s="162"/>
      <c r="N679" s="162"/>
      <c r="O679" s="162"/>
      <c r="P679" s="162"/>
      <c r="Q679" s="162"/>
      <c r="R679" s="162"/>
      <c r="S679" s="162"/>
      <c r="T679" s="162"/>
      <c r="U679" s="162"/>
      <c r="V679" s="162"/>
      <c r="W679" s="162"/>
      <c r="X679" s="162"/>
      <c r="Y679" s="162"/>
      <c r="Z679" s="162"/>
    </row>
    <row r="680" ht="18.75" customHeight="1">
      <c r="A680" s="162"/>
      <c r="B680" s="162"/>
      <c r="C680" s="162"/>
      <c r="D680" s="162"/>
      <c r="E680" s="166"/>
      <c r="F680" s="166"/>
      <c r="G680" s="162"/>
      <c r="H680" s="162"/>
      <c r="I680" s="162"/>
      <c r="J680" s="162"/>
      <c r="K680" s="162"/>
      <c r="L680" s="162"/>
      <c r="M680" s="162"/>
      <c r="N680" s="162"/>
      <c r="O680" s="162"/>
      <c r="P680" s="162"/>
      <c r="Q680" s="162"/>
      <c r="R680" s="162"/>
      <c r="S680" s="162"/>
      <c r="T680" s="162"/>
      <c r="U680" s="162"/>
      <c r="V680" s="162"/>
      <c r="W680" s="162"/>
      <c r="X680" s="162"/>
      <c r="Y680" s="162"/>
      <c r="Z680" s="162"/>
    </row>
    <row r="681" ht="18.75" customHeight="1">
      <c r="A681" s="162"/>
      <c r="B681" s="162"/>
      <c r="C681" s="162"/>
      <c r="D681" s="162"/>
      <c r="E681" s="166"/>
      <c r="F681" s="166"/>
      <c r="G681" s="162"/>
      <c r="H681" s="162"/>
      <c r="I681" s="162"/>
      <c r="J681" s="162"/>
      <c r="K681" s="162"/>
      <c r="L681" s="162"/>
      <c r="M681" s="162"/>
      <c r="N681" s="162"/>
      <c r="O681" s="162"/>
      <c r="P681" s="162"/>
      <c r="Q681" s="162"/>
      <c r="R681" s="162"/>
      <c r="S681" s="162"/>
      <c r="T681" s="162"/>
      <c r="U681" s="162"/>
      <c r="V681" s="162"/>
      <c r="W681" s="162"/>
      <c r="X681" s="162"/>
      <c r="Y681" s="162"/>
      <c r="Z681" s="162"/>
    </row>
    <row r="682" ht="18.75" customHeight="1">
      <c r="A682" s="162"/>
      <c r="B682" s="162"/>
      <c r="C682" s="162"/>
      <c r="D682" s="162"/>
      <c r="E682" s="166"/>
      <c r="F682" s="166"/>
      <c r="G682" s="162"/>
      <c r="H682" s="162"/>
      <c r="I682" s="162"/>
      <c r="J682" s="162"/>
      <c r="K682" s="162"/>
      <c r="L682" s="162"/>
      <c r="M682" s="162"/>
      <c r="N682" s="162"/>
      <c r="O682" s="162"/>
      <c r="P682" s="162"/>
      <c r="Q682" s="162"/>
      <c r="R682" s="162"/>
      <c r="S682" s="162"/>
      <c r="T682" s="162"/>
      <c r="U682" s="162"/>
      <c r="V682" s="162"/>
      <c r="W682" s="162"/>
      <c r="X682" s="162"/>
      <c r="Y682" s="162"/>
      <c r="Z682" s="162"/>
    </row>
    <row r="683" ht="18.75" customHeight="1">
      <c r="A683" s="162"/>
      <c r="B683" s="162"/>
      <c r="C683" s="162"/>
      <c r="D683" s="162"/>
      <c r="E683" s="166"/>
      <c r="F683" s="166"/>
      <c r="G683" s="162"/>
      <c r="H683" s="162"/>
      <c r="I683" s="162"/>
      <c r="J683" s="162"/>
      <c r="K683" s="162"/>
      <c r="L683" s="162"/>
      <c r="M683" s="162"/>
      <c r="N683" s="162"/>
      <c r="O683" s="162"/>
      <c r="P683" s="162"/>
      <c r="Q683" s="162"/>
      <c r="R683" s="162"/>
      <c r="S683" s="162"/>
      <c r="T683" s="162"/>
      <c r="U683" s="162"/>
      <c r="V683" s="162"/>
      <c r="W683" s="162"/>
      <c r="X683" s="162"/>
      <c r="Y683" s="162"/>
      <c r="Z683" s="162"/>
    </row>
    <row r="684" ht="18.75" customHeight="1">
      <c r="A684" s="162"/>
      <c r="B684" s="162"/>
      <c r="C684" s="162"/>
      <c r="D684" s="162"/>
      <c r="E684" s="166"/>
      <c r="F684" s="166"/>
      <c r="G684" s="162"/>
      <c r="H684" s="162"/>
      <c r="I684" s="162"/>
      <c r="J684" s="162"/>
      <c r="K684" s="162"/>
      <c r="L684" s="162"/>
      <c r="M684" s="162"/>
      <c r="N684" s="162"/>
      <c r="O684" s="162"/>
      <c r="P684" s="162"/>
      <c r="Q684" s="162"/>
      <c r="R684" s="162"/>
      <c r="S684" s="162"/>
      <c r="T684" s="162"/>
      <c r="U684" s="162"/>
      <c r="V684" s="162"/>
      <c r="W684" s="162"/>
      <c r="X684" s="162"/>
      <c r="Y684" s="162"/>
      <c r="Z684" s="162"/>
    </row>
    <row r="685" ht="18.75" customHeight="1">
      <c r="A685" s="162"/>
      <c r="B685" s="162"/>
      <c r="C685" s="162"/>
      <c r="D685" s="162"/>
      <c r="E685" s="166"/>
      <c r="F685" s="166"/>
      <c r="G685" s="162"/>
      <c r="H685" s="162"/>
      <c r="I685" s="162"/>
      <c r="J685" s="162"/>
      <c r="K685" s="162"/>
      <c r="L685" s="162"/>
      <c r="M685" s="162"/>
      <c r="N685" s="162"/>
      <c r="O685" s="162"/>
      <c r="P685" s="162"/>
      <c r="Q685" s="162"/>
      <c r="R685" s="162"/>
      <c r="S685" s="162"/>
      <c r="T685" s="162"/>
      <c r="U685" s="162"/>
      <c r="V685" s="162"/>
      <c r="W685" s="162"/>
      <c r="X685" s="162"/>
      <c r="Y685" s="162"/>
      <c r="Z685" s="162"/>
    </row>
    <row r="686" ht="18.75" customHeight="1">
      <c r="A686" s="162"/>
      <c r="B686" s="162"/>
      <c r="C686" s="162"/>
      <c r="D686" s="162"/>
      <c r="E686" s="166"/>
      <c r="F686" s="166"/>
      <c r="G686" s="162"/>
      <c r="H686" s="162"/>
      <c r="I686" s="162"/>
      <c r="J686" s="162"/>
      <c r="K686" s="162"/>
      <c r="L686" s="162"/>
      <c r="M686" s="162"/>
      <c r="N686" s="162"/>
      <c r="O686" s="162"/>
      <c r="P686" s="162"/>
      <c r="Q686" s="162"/>
      <c r="R686" s="162"/>
      <c r="S686" s="162"/>
      <c r="T686" s="162"/>
      <c r="U686" s="162"/>
      <c r="V686" s="162"/>
      <c r="W686" s="162"/>
      <c r="X686" s="162"/>
      <c r="Y686" s="162"/>
      <c r="Z686" s="162"/>
    </row>
    <row r="687" ht="18.75" customHeight="1">
      <c r="A687" s="162"/>
      <c r="B687" s="162"/>
      <c r="C687" s="162"/>
      <c r="D687" s="162"/>
      <c r="E687" s="166"/>
      <c r="F687" s="166"/>
      <c r="G687" s="162"/>
      <c r="H687" s="162"/>
      <c r="I687" s="162"/>
      <c r="J687" s="162"/>
      <c r="K687" s="162"/>
      <c r="L687" s="162"/>
      <c r="M687" s="162"/>
      <c r="N687" s="162"/>
      <c r="O687" s="162"/>
      <c r="P687" s="162"/>
      <c r="Q687" s="162"/>
      <c r="R687" s="162"/>
      <c r="S687" s="162"/>
      <c r="T687" s="162"/>
      <c r="U687" s="162"/>
      <c r="V687" s="162"/>
      <c r="W687" s="162"/>
      <c r="X687" s="162"/>
      <c r="Y687" s="162"/>
      <c r="Z687" s="162"/>
    </row>
    <row r="688" ht="18.75" customHeight="1">
      <c r="A688" s="162"/>
      <c r="B688" s="162"/>
      <c r="C688" s="162"/>
      <c r="D688" s="162"/>
      <c r="E688" s="166"/>
      <c r="F688" s="166"/>
      <c r="G688" s="162"/>
      <c r="H688" s="162"/>
      <c r="I688" s="162"/>
      <c r="J688" s="162"/>
      <c r="K688" s="162"/>
      <c r="L688" s="162"/>
      <c r="M688" s="162"/>
      <c r="N688" s="162"/>
      <c r="O688" s="162"/>
      <c r="P688" s="162"/>
      <c r="Q688" s="162"/>
      <c r="R688" s="162"/>
      <c r="S688" s="162"/>
      <c r="T688" s="162"/>
      <c r="U688" s="162"/>
      <c r="V688" s="162"/>
      <c r="W688" s="162"/>
      <c r="X688" s="162"/>
      <c r="Y688" s="162"/>
      <c r="Z688" s="162"/>
    </row>
    <row r="689" ht="18.75" customHeight="1">
      <c r="A689" s="162"/>
      <c r="B689" s="162"/>
      <c r="C689" s="162"/>
      <c r="D689" s="162"/>
      <c r="E689" s="166"/>
      <c r="F689" s="166"/>
      <c r="G689" s="162"/>
      <c r="H689" s="162"/>
      <c r="I689" s="162"/>
      <c r="J689" s="162"/>
      <c r="K689" s="162"/>
      <c r="L689" s="162"/>
      <c r="M689" s="162"/>
      <c r="N689" s="162"/>
      <c r="O689" s="162"/>
      <c r="P689" s="162"/>
      <c r="Q689" s="162"/>
      <c r="R689" s="162"/>
      <c r="S689" s="162"/>
      <c r="T689" s="162"/>
      <c r="U689" s="162"/>
      <c r="V689" s="162"/>
      <c r="W689" s="162"/>
      <c r="X689" s="162"/>
      <c r="Y689" s="162"/>
      <c r="Z689" s="162"/>
    </row>
    <row r="690" ht="18.75" customHeight="1">
      <c r="A690" s="162"/>
      <c r="B690" s="162"/>
      <c r="C690" s="162"/>
      <c r="D690" s="162"/>
      <c r="E690" s="166"/>
      <c r="F690" s="166"/>
      <c r="G690" s="162"/>
      <c r="H690" s="162"/>
      <c r="I690" s="162"/>
      <c r="J690" s="162"/>
      <c r="K690" s="162"/>
      <c r="L690" s="162"/>
      <c r="M690" s="162"/>
      <c r="N690" s="162"/>
      <c r="O690" s="162"/>
      <c r="P690" s="162"/>
      <c r="Q690" s="162"/>
      <c r="R690" s="162"/>
      <c r="S690" s="162"/>
      <c r="T690" s="162"/>
      <c r="U690" s="162"/>
      <c r="V690" s="162"/>
      <c r="W690" s="162"/>
      <c r="X690" s="162"/>
      <c r="Y690" s="162"/>
      <c r="Z690" s="162"/>
    </row>
    <row r="691" ht="18.75" customHeight="1">
      <c r="A691" s="162"/>
      <c r="B691" s="162"/>
      <c r="C691" s="162"/>
      <c r="D691" s="162"/>
      <c r="E691" s="166"/>
      <c r="F691" s="166"/>
      <c r="G691" s="162"/>
      <c r="H691" s="162"/>
      <c r="I691" s="162"/>
      <c r="J691" s="162"/>
      <c r="K691" s="162"/>
      <c r="L691" s="162"/>
      <c r="M691" s="162"/>
      <c r="N691" s="162"/>
      <c r="O691" s="162"/>
      <c r="P691" s="162"/>
      <c r="Q691" s="162"/>
      <c r="R691" s="162"/>
      <c r="S691" s="162"/>
      <c r="T691" s="162"/>
      <c r="U691" s="162"/>
      <c r="V691" s="162"/>
      <c r="W691" s="162"/>
      <c r="X691" s="162"/>
      <c r="Y691" s="162"/>
      <c r="Z691" s="162"/>
    </row>
    <row r="692" ht="18.75" customHeight="1">
      <c r="A692" s="162"/>
      <c r="B692" s="162"/>
      <c r="C692" s="162"/>
      <c r="D692" s="162"/>
      <c r="E692" s="166"/>
      <c r="F692" s="166"/>
      <c r="G692" s="162"/>
      <c r="H692" s="162"/>
      <c r="I692" s="162"/>
      <c r="J692" s="162"/>
      <c r="K692" s="162"/>
      <c r="L692" s="162"/>
      <c r="M692" s="162"/>
      <c r="N692" s="162"/>
      <c r="O692" s="162"/>
      <c r="P692" s="162"/>
      <c r="Q692" s="162"/>
      <c r="R692" s="162"/>
      <c r="S692" s="162"/>
      <c r="T692" s="162"/>
      <c r="U692" s="162"/>
      <c r="V692" s="162"/>
      <c r="W692" s="162"/>
      <c r="X692" s="162"/>
      <c r="Y692" s="162"/>
      <c r="Z692" s="162"/>
    </row>
    <row r="693" ht="18.75" customHeight="1">
      <c r="A693" s="162"/>
      <c r="B693" s="162"/>
      <c r="C693" s="162"/>
      <c r="D693" s="162"/>
      <c r="E693" s="166"/>
      <c r="F693" s="166"/>
      <c r="G693" s="162"/>
      <c r="H693" s="162"/>
      <c r="I693" s="162"/>
      <c r="J693" s="162"/>
      <c r="K693" s="162"/>
      <c r="L693" s="162"/>
      <c r="M693" s="162"/>
      <c r="N693" s="162"/>
      <c r="O693" s="162"/>
      <c r="P693" s="162"/>
      <c r="Q693" s="162"/>
      <c r="R693" s="162"/>
      <c r="S693" s="162"/>
      <c r="T693" s="162"/>
      <c r="U693" s="162"/>
      <c r="V693" s="162"/>
      <c r="W693" s="162"/>
      <c r="X693" s="162"/>
      <c r="Y693" s="162"/>
      <c r="Z693" s="162"/>
    </row>
    <row r="694" ht="18.75" customHeight="1">
      <c r="A694" s="162"/>
      <c r="B694" s="162"/>
      <c r="C694" s="162"/>
      <c r="D694" s="162"/>
      <c r="E694" s="166"/>
      <c r="F694" s="166"/>
      <c r="G694" s="162"/>
      <c r="H694" s="162"/>
      <c r="I694" s="162"/>
      <c r="J694" s="162"/>
      <c r="K694" s="162"/>
      <c r="L694" s="162"/>
      <c r="M694" s="162"/>
      <c r="N694" s="162"/>
      <c r="O694" s="162"/>
      <c r="P694" s="162"/>
      <c r="Q694" s="162"/>
      <c r="R694" s="162"/>
      <c r="S694" s="162"/>
      <c r="T694" s="162"/>
      <c r="U694" s="162"/>
      <c r="V694" s="162"/>
      <c r="W694" s="162"/>
      <c r="X694" s="162"/>
      <c r="Y694" s="162"/>
      <c r="Z694" s="162"/>
    </row>
    <row r="695" ht="18.75" customHeight="1">
      <c r="A695" s="162"/>
      <c r="B695" s="162"/>
      <c r="C695" s="162"/>
      <c r="D695" s="162"/>
      <c r="E695" s="166"/>
      <c r="F695" s="166"/>
      <c r="G695" s="162"/>
      <c r="H695" s="162"/>
      <c r="I695" s="162"/>
      <c r="J695" s="162"/>
      <c r="K695" s="162"/>
      <c r="L695" s="162"/>
      <c r="M695" s="162"/>
      <c r="N695" s="162"/>
      <c r="O695" s="162"/>
      <c r="P695" s="162"/>
      <c r="Q695" s="162"/>
      <c r="R695" s="162"/>
      <c r="S695" s="162"/>
      <c r="T695" s="162"/>
      <c r="U695" s="162"/>
      <c r="V695" s="162"/>
      <c r="W695" s="162"/>
      <c r="X695" s="162"/>
      <c r="Y695" s="162"/>
      <c r="Z695" s="162"/>
    </row>
    <row r="696" ht="18.75" customHeight="1">
      <c r="A696" s="162"/>
      <c r="B696" s="162"/>
      <c r="C696" s="162"/>
      <c r="D696" s="162"/>
      <c r="E696" s="166"/>
      <c r="F696" s="166"/>
      <c r="G696" s="162"/>
      <c r="H696" s="162"/>
      <c r="I696" s="162"/>
      <c r="J696" s="162"/>
      <c r="K696" s="162"/>
      <c r="L696" s="162"/>
      <c r="M696" s="162"/>
      <c r="N696" s="162"/>
      <c r="O696" s="162"/>
      <c r="P696" s="162"/>
      <c r="Q696" s="162"/>
      <c r="R696" s="162"/>
      <c r="S696" s="162"/>
      <c r="T696" s="162"/>
      <c r="U696" s="162"/>
      <c r="V696" s="162"/>
      <c r="W696" s="162"/>
      <c r="X696" s="162"/>
      <c r="Y696" s="162"/>
      <c r="Z696" s="162"/>
    </row>
    <row r="697" ht="18.75" customHeight="1">
      <c r="A697" s="162"/>
      <c r="B697" s="162"/>
      <c r="C697" s="162"/>
      <c r="D697" s="162"/>
      <c r="E697" s="166"/>
      <c r="F697" s="166"/>
      <c r="G697" s="162"/>
      <c r="H697" s="162"/>
      <c r="I697" s="162"/>
      <c r="J697" s="162"/>
      <c r="K697" s="162"/>
      <c r="L697" s="162"/>
      <c r="M697" s="162"/>
      <c r="N697" s="162"/>
      <c r="O697" s="162"/>
      <c r="P697" s="162"/>
      <c r="Q697" s="162"/>
      <c r="R697" s="162"/>
      <c r="S697" s="162"/>
      <c r="T697" s="162"/>
      <c r="U697" s="162"/>
      <c r="V697" s="162"/>
      <c r="W697" s="162"/>
      <c r="X697" s="162"/>
      <c r="Y697" s="162"/>
      <c r="Z697" s="162"/>
    </row>
    <row r="698" ht="18.75" customHeight="1">
      <c r="A698" s="162"/>
      <c r="B698" s="162"/>
      <c r="C698" s="162"/>
      <c r="D698" s="162"/>
      <c r="E698" s="166"/>
      <c r="F698" s="166"/>
      <c r="G698" s="162"/>
      <c r="H698" s="162"/>
      <c r="I698" s="162"/>
      <c r="J698" s="162"/>
      <c r="K698" s="162"/>
      <c r="L698" s="162"/>
      <c r="M698" s="162"/>
      <c r="N698" s="162"/>
      <c r="O698" s="162"/>
      <c r="P698" s="162"/>
      <c r="Q698" s="162"/>
      <c r="R698" s="162"/>
      <c r="S698" s="162"/>
      <c r="T698" s="162"/>
      <c r="U698" s="162"/>
      <c r="V698" s="162"/>
      <c r="W698" s="162"/>
      <c r="X698" s="162"/>
      <c r="Y698" s="162"/>
      <c r="Z698" s="162"/>
    </row>
    <row r="699" ht="18.75" customHeight="1">
      <c r="A699" s="162"/>
      <c r="B699" s="162"/>
      <c r="C699" s="162"/>
      <c r="D699" s="162"/>
      <c r="E699" s="166"/>
      <c r="F699" s="166"/>
      <c r="G699" s="162"/>
      <c r="H699" s="162"/>
      <c r="I699" s="162"/>
      <c r="J699" s="162"/>
      <c r="K699" s="162"/>
      <c r="L699" s="162"/>
      <c r="M699" s="162"/>
      <c r="N699" s="162"/>
      <c r="O699" s="162"/>
      <c r="P699" s="162"/>
      <c r="Q699" s="162"/>
      <c r="R699" s="162"/>
      <c r="S699" s="162"/>
      <c r="T699" s="162"/>
      <c r="U699" s="162"/>
      <c r="V699" s="162"/>
      <c r="W699" s="162"/>
      <c r="X699" s="162"/>
      <c r="Y699" s="162"/>
      <c r="Z699" s="162"/>
    </row>
    <row r="700" ht="18.75" customHeight="1">
      <c r="A700" s="162"/>
      <c r="B700" s="162"/>
      <c r="C700" s="162"/>
      <c r="D700" s="162"/>
      <c r="E700" s="166"/>
      <c r="F700" s="166"/>
      <c r="G700" s="162"/>
      <c r="H700" s="162"/>
      <c r="I700" s="162"/>
      <c r="J700" s="162"/>
      <c r="K700" s="162"/>
      <c r="L700" s="162"/>
      <c r="M700" s="162"/>
      <c r="N700" s="162"/>
      <c r="O700" s="162"/>
      <c r="P700" s="162"/>
      <c r="Q700" s="162"/>
      <c r="R700" s="162"/>
      <c r="S700" s="162"/>
      <c r="T700" s="162"/>
      <c r="U700" s="162"/>
      <c r="V700" s="162"/>
      <c r="W700" s="162"/>
      <c r="X700" s="162"/>
      <c r="Y700" s="162"/>
      <c r="Z700" s="162"/>
    </row>
    <row r="701" ht="18.75" customHeight="1">
      <c r="A701" s="162"/>
      <c r="B701" s="162"/>
      <c r="C701" s="162"/>
      <c r="D701" s="162"/>
      <c r="E701" s="166"/>
      <c r="F701" s="166"/>
      <c r="G701" s="162"/>
      <c r="H701" s="162"/>
      <c r="I701" s="162"/>
      <c r="J701" s="162"/>
      <c r="K701" s="162"/>
      <c r="L701" s="162"/>
      <c r="M701" s="162"/>
      <c r="N701" s="162"/>
      <c r="O701" s="162"/>
      <c r="P701" s="162"/>
      <c r="Q701" s="162"/>
      <c r="R701" s="162"/>
      <c r="S701" s="162"/>
      <c r="T701" s="162"/>
      <c r="U701" s="162"/>
      <c r="V701" s="162"/>
      <c r="W701" s="162"/>
      <c r="X701" s="162"/>
      <c r="Y701" s="162"/>
      <c r="Z701" s="162"/>
    </row>
    <row r="702" ht="18.75" customHeight="1">
      <c r="A702" s="162"/>
      <c r="B702" s="162"/>
      <c r="C702" s="162"/>
      <c r="D702" s="162"/>
      <c r="E702" s="166"/>
      <c r="F702" s="166"/>
      <c r="G702" s="162"/>
      <c r="H702" s="162"/>
      <c r="I702" s="162"/>
      <c r="J702" s="162"/>
      <c r="K702" s="162"/>
      <c r="L702" s="162"/>
      <c r="M702" s="162"/>
      <c r="N702" s="162"/>
      <c r="O702" s="162"/>
      <c r="P702" s="162"/>
      <c r="Q702" s="162"/>
      <c r="R702" s="162"/>
      <c r="S702" s="162"/>
      <c r="T702" s="162"/>
      <c r="U702" s="162"/>
      <c r="V702" s="162"/>
      <c r="W702" s="162"/>
      <c r="X702" s="162"/>
      <c r="Y702" s="162"/>
      <c r="Z702" s="162"/>
    </row>
    <row r="703" ht="18.75" customHeight="1">
      <c r="A703" s="162"/>
      <c r="B703" s="162"/>
      <c r="C703" s="162"/>
      <c r="D703" s="162"/>
      <c r="E703" s="166"/>
      <c r="F703" s="166"/>
      <c r="G703" s="162"/>
      <c r="H703" s="162"/>
      <c r="I703" s="162"/>
      <c r="J703" s="162"/>
      <c r="K703" s="162"/>
      <c r="L703" s="162"/>
      <c r="M703" s="162"/>
      <c r="N703" s="162"/>
      <c r="O703" s="162"/>
      <c r="P703" s="162"/>
      <c r="Q703" s="162"/>
      <c r="R703" s="162"/>
      <c r="S703" s="162"/>
      <c r="T703" s="162"/>
      <c r="U703" s="162"/>
      <c r="V703" s="162"/>
      <c r="W703" s="162"/>
      <c r="X703" s="162"/>
      <c r="Y703" s="162"/>
      <c r="Z703" s="162"/>
    </row>
    <row r="704" ht="18.75" customHeight="1">
      <c r="A704" s="162"/>
      <c r="B704" s="162"/>
      <c r="C704" s="162"/>
      <c r="D704" s="162"/>
      <c r="E704" s="166"/>
      <c r="F704" s="166"/>
      <c r="G704" s="162"/>
      <c r="H704" s="162"/>
      <c r="I704" s="162"/>
      <c r="J704" s="162"/>
      <c r="K704" s="162"/>
      <c r="L704" s="162"/>
      <c r="M704" s="162"/>
      <c r="N704" s="162"/>
      <c r="O704" s="162"/>
      <c r="P704" s="162"/>
      <c r="Q704" s="162"/>
      <c r="R704" s="162"/>
      <c r="S704" s="162"/>
      <c r="T704" s="162"/>
      <c r="U704" s="162"/>
      <c r="V704" s="162"/>
      <c r="W704" s="162"/>
      <c r="X704" s="162"/>
      <c r="Y704" s="162"/>
      <c r="Z704" s="162"/>
    </row>
    <row r="705" ht="18.75" customHeight="1">
      <c r="A705" s="162"/>
      <c r="B705" s="162"/>
      <c r="C705" s="162"/>
      <c r="D705" s="162"/>
      <c r="E705" s="166"/>
      <c r="F705" s="166"/>
      <c r="G705" s="162"/>
      <c r="H705" s="162"/>
      <c r="I705" s="162"/>
      <c r="J705" s="162"/>
      <c r="K705" s="162"/>
      <c r="L705" s="162"/>
      <c r="M705" s="162"/>
      <c r="N705" s="162"/>
      <c r="O705" s="162"/>
      <c r="P705" s="162"/>
      <c r="Q705" s="162"/>
      <c r="R705" s="162"/>
      <c r="S705" s="162"/>
      <c r="T705" s="162"/>
      <c r="U705" s="162"/>
      <c r="V705" s="162"/>
      <c r="W705" s="162"/>
      <c r="X705" s="162"/>
      <c r="Y705" s="162"/>
      <c r="Z705" s="162"/>
    </row>
    <row r="706" ht="18.75" customHeight="1">
      <c r="A706" s="162"/>
      <c r="B706" s="162"/>
      <c r="C706" s="162"/>
      <c r="D706" s="162"/>
      <c r="E706" s="166"/>
      <c r="F706" s="166"/>
      <c r="G706" s="162"/>
      <c r="H706" s="162"/>
      <c r="I706" s="162"/>
      <c r="J706" s="162"/>
      <c r="K706" s="162"/>
      <c r="L706" s="162"/>
      <c r="M706" s="162"/>
      <c r="N706" s="162"/>
      <c r="O706" s="162"/>
      <c r="P706" s="162"/>
      <c r="Q706" s="162"/>
      <c r="R706" s="162"/>
      <c r="S706" s="162"/>
      <c r="T706" s="162"/>
      <c r="U706" s="162"/>
      <c r="V706" s="162"/>
      <c r="W706" s="162"/>
      <c r="X706" s="162"/>
      <c r="Y706" s="162"/>
      <c r="Z706" s="162"/>
    </row>
    <row r="707" ht="18.75" customHeight="1">
      <c r="A707" s="162"/>
      <c r="B707" s="162"/>
      <c r="C707" s="162"/>
      <c r="D707" s="162"/>
      <c r="E707" s="166"/>
      <c r="F707" s="166"/>
      <c r="G707" s="162"/>
      <c r="H707" s="162"/>
      <c r="I707" s="162"/>
      <c r="J707" s="162"/>
      <c r="K707" s="162"/>
      <c r="L707" s="162"/>
      <c r="M707" s="162"/>
      <c r="N707" s="162"/>
      <c r="O707" s="162"/>
      <c r="P707" s="162"/>
      <c r="Q707" s="162"/>
      <c r="R707" s="162"/>
      <c r="S707" s="162"/>
      <c r="T707" s="162"/>
      <c r="U707" s="162"/>
      <c r="V707" s="162"/>
      <c r="W707" s="162"/>
      <c r="X707" s="162"/>
      <c r="Y707" s="162"/>
      <c r="Z707" s="162"/>
    </row>
    <row r="708" ht="18.75" customHeight="1">
      <c r="A708" s="162"/>
      <c r="B708" s="162"/>
      <c r="C708" s="162"/>
      <c r="D708" s="162"/>
      <c r="E708" s="166"/>
      <c r="F708" s="166"/>
      <c r="G708" s="162"/>
      <c r="H708" s="162"/>
      <c r="I708" s="162"/>
      <c r="J708" s="162"/>
      <c r="K708" s="162"/>
      <c r="L708" s="162"/>
      <c r="M708" s="162"/>
      <c r="N708" s="162"/>
      <c r="O708" s="162"/>
      <c r="P708" s="162"/>
      <c r="Q708" s="162"/>
      <c r="R708" s="162"/>
      <c r="S708" s="162"/>
      <c r="T708" s="162"/>
      <c r="U708" s="162"/>
      <c r="V708" s="162"/>
      <c r="W708" s="162"/>
      <c r="X708" s="162"/>
      <c r="Y708" s="162"/>
      <c r="Z708" s="162"/>
    </row>
    <row r="709" ht="18.75" customHeight="1">
      <c r="A709" s="162"/>
      <c r="B709" s="162"/>
      <c r="C709" s="162"/>
      <c r="D709" s="162"/>
      <c r="E709" s="166"/>
      <c r="F709" s="166"/>
      <c r="G709" s="162"/>
      <c r="H709" s="162"/>
      <c r="I709" s="162"/>
      <c r="J709" s="162"/>
      <c r="K709" s="162"/>
      <c r="L709" s="162"/>
      <c r="M709" s="162"/>
      <c r="N709" s="162"/>
      <c r="O709" s="162"/>
      <c r="P709" s="162"/>
      <c r="Q709" s="162"/>
      <c r="R709" s="162"/>
      <c r="S709" s="162"/>
      <c r="T709" s="162"/>
      <c r="U709" s="162"/>
      <c r="V709" s="162"/>
      <c r="W709" s="162"/>
      <c r="X709" s="162"/>
      <c r="Y709" s="162"/>
      <c r="Z709" s="162"/>
    </row>
    <row r="710" ht="18.75" customHeight="1">
      <c r="A710" s="162"/>
      <c r="B710" s="162"/>
      <c r="C710" s="162"/>
      <c r="D710" s="162"/>
      <c r="E710" s="166"/>
      <c r="F710" s="166"/>
      <c r="G710" s="162"/>
      <c r="H710" s="162"/>
      <c r="I710" s="162"/>
      <c r="J710" s="162"/>
      <c r="K710" s="162"/>
      <c r="L710" s="162"/>
      <c r="M710" s="162"/>
      <c r="N710" s="162"/>
      <c r="O710" s="162"/>
      <c r="P710" s="162"/>
      <c r="Q710" s="162"/>
      <c r="R710" s="162"/>
      <c r="S710" s="162"/>
      <c r="T710" s="162"/>
      <c r="U710" s="162"/>
      <c r="V710" s="162"/>
      <c r="W710" s="162"/>
      <c r="X710" s="162"/>
      <c r="Y710" s="162"/>
      <c r="Z710" s="162"/>
    </row>
    <row r="711" ht="18.75" customHeight="1">
      <c r="A711" s="162"/>
      <c r="B711" s="162"/>
      <c r="C711" s="162"/>
      <c r="D711" s="162"/>
      <c r="E711" s="166"/>
      <c r="F711" s="166"/>
      <c r="G711" s="162"/>
      <c r="H711" s="162"/>
      <c r="I711" s="162"/>
      <c r="J711" s="162"/>
      <c r="K711" s="162"/>
      <c r="L711" s="162"/>
      <c r="M711" s="162"/>
      <c r="N711" s="162"/>
      <c r="O711" s="162"/>
      <c r="P711" s="162"/>
      <c r="Q711" s="162"/>
      <c r="R711" s="162"/>
      <c r="S711" s="162"/>
      <c r="T711" s="162"/>
      <c r="U711" s="162"/>
      <c r="V711" s="162"/>
      <c r="W711" s="162"/>
      <c r="X711" s="162"/>
      <c r="Y711" s="162"/>
      <c r="Z711" s="162"/>
    </row>
    <row r="712" ht="18.75" customHeight="1">
      <c r="A712" s="162"/>
      <c r="B712" s="162"/>
      <c r="C712" s="162"/>
      <c r="D712" s="162"/>
      <c r="E712" s="166"/>
      <c r="F712" s="166"/>
      <c r="G712" s="162"/>
      <c r="H712" s="162"/>
      <c r="I712" s="162"/>
      <c r="J712" s="162"/>
      <c r="K712" s="162"/>
      <c r="L712" s="162"/>
      <c r="M712" s="162"/>
      <c r="N712" s="162"/>
      <c r="O712" s="162"/>
      <c r="P712" s="162"/>
      <c r="Q712" s="162"/>
      <c r="R712" s="162"/>
      <c r="S712" s="162"/>
      <c r="T712" s="162"/>
      <c r="U712" s="162"/>
      <c r="V712" s="162"/>
      <c r="W712" s="162"/>
      <c r="X712" s="162"/>
      <c r="Y712" s="162"/>
      <c r="Z712" s="162"/>
    </row>
    <row r="713" ht="18.75" customHeight="1">
      <c r="A713" s="162"/>
      <c r="B713" s="162"/>
      <c r="C713" s="162"/>
      <c r="D713" s="162"/>
      <c r="E713" s="166"/>
      <c r="F713" s="166"/>
      <c r="G713" s="162"/>
      <c r="H713" s="162"/>
      <c r="I713" s="162"/>
      <c r="J713" s="162"/>
      <c r="K713" s="162"/>
      <c r="L713" s="162"/>
      <c r="M713" s="162"/>
      <c r="N713" s="162"/>
      <c r="O713" s="162"/>
      <c r="P713" s="162"/>
      <c r="Q713" s="162"/>
      <c r="R713" s="162"/>
      <c r="S713" s="162"/>
      <c r="T713" s="162"/>
      <c r="U713" s="162"/>
      <c r="V713" s="162"/>
      <c r="W713" s="162"/>
      <c r="X713" s="162"/>
      <c r="Y713" s="162"/>
      <c r="Z713" s="162"/>
    </row>
    <row r="714" ht="18.75" customHeight="1">
      <c r="A714" s="162"/>
      <c r="B714" s="162"/>
      <c r="C714" s="162"/>
      <c r="D714" s="162"/>
      <c r="E714" s="166"/>
      <c r="F714" s="166"/>
      <c r="G714" s="162"/>
      <c r="H714" s="162"/>
      <c r="I714" s="162"/>
      <c r="J714" s="162"/>
      <c r="K714" s="162"/>
      <c r="L714" s="162"/>
      <c r="M714" s="162"/>
      <c r="N714" s="162"/>
      <c r="O714" s="162"/>
      <c r="P714" s="162"/>
      <c r="Q714" s="162"/>
      <c r="R714" s="162"/>
      <c r="S714" s="162"/>
      <c r="T714" s="162"/>
      <c r="U714" s="162"/>
      <c r="V714" s="162"/>
      <c r="W714" s="162"/>
      <c r="X714" s="162"/>
      <c r="Y714" s="162"/>
      <c r="Z714" s="162"/>
    </row>
    <row r="715" ht="18.75" customHeight="1">
      <c r="A715" s="162"/>
      <c r="B715" s="162"/>
      <c r="C715" s="162"/>
      <c r="D715" s="162"/>
      <c r="E715" s="166"/>
      <c r="F715" s="166"/>
      <c r="G715" s="162"/>
      <c r="H715" s="162"/>
      <c r="I715" s="162"/>
      <c r="J715" s="162"/>
      <c r="K715" s="162"/>
      <c r="L715" s="162"/>
      <c r="M715" s="162"/>
      <c r="N715" s="162"/>
      <c r="O715" s="162"/>
      <c r="P715" s="162"/>
      <c r="Q715" s="162"/>
      <c r="R715" s="162"/>
      <c r="S715" s="162"/>
      <c r="T715" s="162"/>
      <c r="U715" s="162"/>
      <c r="V715" s="162"/>
      <c r="W715" s="162"/>
      <c r="X715" s="162"/>
      <c r="Y715" s="162"/>
      <c r="Z715" s="162"/>
    </row>
    <row r="716" ht="18.75" customHeight="1">
      <c r="A716" s="162"/>
      <c r="B716" s="162"/>
      <c r="C716" s="162"/>
      <c r="D716" s="162"/>
      <c r="E716" s="166"/>
      <c r="F716" s="166"/>
      <c r="G716" s="162"/>
      <c r="H716" s="162"/>
      <c r="I716" s="162"/>
      <c r="J716" s="162"/>
      <c r="K716" s="162"/>
      <c r="L716" s="162"/>
      <c r="M716" s="162"/>
      <c r="N716" s="162"/>
      <c r="O716" s="162"/>
      <c r="P716" s="162"/>
      <c r="Q716" s="162"/>
      <c r="R716" s="162"/>
      <c r="S716" s="162"/>
      <c r="T716" s="162"/>
      <c r="U716" s="162"/>
      <c r="V716" s="162"/>
      <c r="W716" s="162"/>
      <c r="X716" s="162"/>
      <c r="Y716" s="162"/>
      <c r="Z716" s="162"/>
    </row>
    <row r="717" ht="18.75" customHeight="1">
      <c r="A717" s="162"/>
      <c r="B717" s="162"/>
      <c r="C717" s="162"/>
      <c r="D717" s="162"/>
      <c r="E717" s="166"/>
      <c r="F717" s="166"/>
      <c r="G717" s="162"/>
      <c r="H717" s="162"/>
      <c r="I717" s="162"/>
      <c r="J717" s="162"/>
      <c r="K717" s="162"/>
      <c r="L717" s="162"/>
      <c r="M717" s="162"/>
      <c r="N717" s="162"/>
      <c r="O717" s="162"/>
      <c r="P717" s="162"/>
      <c r="Q717" s="162"/>
      <c r="R717" s="162"/>
      <c r="S717" s="162"/>
      <c r="T717" s="162"/>
      <c r="U717" s="162"/>
      <c r="V717" s="162"/>
      <c r="W717" s="162"/>
      <c r="X717" s="162"/>
      <c r="Y717" s="162"/>
      <c r="Z717" s="162"/>
    </row>
    <row r="718" ht="18.75" customHeight="1">
      <c r="A718" s="162"/>
      <c r="B718" s="162"/>
      <c r="C718" s="162"/>
      <c r="D718" s="162"/>
      <c r="E718" s="166"/>
      <c r="F718" s="166"/>
      <c r="G718" s="162"/>
      <c r="H718" s="162"/>
      <c r="I718" s="162"/>
      <c r="J718" s="162"/>
      <c r="K718" s="162"/>
      <c r="L718" s="162"/>
      <c r="M718" s="162"/>
      <c r="N718" s="162"/>
      <c r="O718" s="162"/>
      <c r="P718" s="162"/>
      <c r="Q718" s="162"/>
      <c r="R718" s="162"/>
      <c r="S718" s="162"/>
      <c r="T718" s="162"/>
      <c r="U718" s="162"/>
      <c r="V718" s="162"/>
      <c r="W718" s="162"/>
      <c r="X718" s="162"/>
      <c r="Y718" s="162"/>
      <c r="Z718" s="162"/>
    </row>
    <row r="719" ht="18.75" customHeight="1">
      <c r="A719" s="162"/>
      <c r="B719" s="162"/>
      <c r="C719" s="162"/>
      <c r="D719" s="162"/>
      <c r="E719" s="166"/>
      <c r="F719" s="166"/>
      <c r="G719" s="162"/>
      <c r="H719" s="162"/>
      <c r="I719" s="162"/>
      <c r="J719" s="162"/>
      <c r="K719" s="162"/>
      <c r="L719" s="162"/>
      <c r="M719" s="162"/>
      <c r="N719" s="162"/>
      <c r="O719" s="162"/>
      <c r="P719" s="162"/>
      <c r="Q719" s="162"/>
      <c r="R719" s="162"/>
      <c r="S719" s="162"/>
      <c r="T719" s="162"/>
      <c r="U719" s="162"/>
      <c r="V719" s="162"/>
      <c r="W719" s="162"/>
      <c r="X719" s="162"/>
      <c r="Y719" s="162"/>
      <c r="Z719" s="162"/>
    </row>
    <row r="720" ht="18.75" customHeight="1">
      <c r="A720" s="162"/>
      <c r="B720" s="162"/>
      <c r="C720" s="162"/>
      <c r="D720" s="162"/>
      <c r="E720" s="166"/>
      <c r="F720" s="166"/>
      <c r="G720" s="162"/>
      <c r="H720" s="162"/>
      <c r="I720" s="162"/>
      <c r="J720" s="162"/>
      <c r="K720" s="162"/>
      <c r="L720" s="162"/>
      <c r="M720" s="162"/>
      <c r="N720" s="162"/>
      <c r="O720" s="162"/>
      <c r="P720" s="162"/>
      <c r="Q720" s="162"/>
      <c r="R720" s="162"/>
      <c r="S720" s="162"/>
      <c r="T720" s="162"/>
      <c r="U720" s="162"/>
      <c r="V720" s="162"/>
      <c r="W720" s="162"/>
      <c r="X720" s="162"/>
      <c r="Y720" s="162"/>
      <c r="Z720" s="162"/>
    </row>
    <row r="721" ht="18.75" customHeight="1">
      <c r="A721" s="162"/>
      <c r="B721" s="162"/>
      <c r="C721" s="162"/>
      <c r="D721" s="162"/>
      <c r="E721" s="166"/>
      <c r="F721" s="166"/>
      <c r="G721" s="162"/>
      <c r="H721" s="162"/>
      <c r="I721" s="162"/>
      <c r="J721" s="162"/>
      <c r="K721" s="162"/>
      <c r="L721" s="162"/>
      <c r="M721" s="162"/>
      <c r="N721" s="162"/>
      <c r="O721" s="162"/>
      <c r="P721" s="162"/>
      <c r="Q721" s="162"/>
      <c r="R721" s="162"/>
      <c r="S721" s="162"/>
      <c r="T721" s="162"/>
      <c r="U721" s="162"/>
      <c r="V721" s="162"/>
      <c r="W721" s="162"/>
      <c r="X721" s="162"/>
      <c r="Y721" s="162"/>
      <c r="Z721" s="162"/>
    </row>
    <row r="722" ht="18.75" customHeight="1">
      <c r="A722" s="162"/>
      <c r="B722" s="162"/>
      <c r="C722" s="162"/>
      <c r="D722" s="162"/>
      <c r="E722" s="166"/>
      <c r="F722" s="166"/>
      <c r="G722" s="162"/>
      <c r="H722" s="162"/>
      <c r="I722" s="162"/>
      <c r="J722" s="162"/>
      <c r="K722" s="162"/>
      <c r="L722" s="162"/>
      <c r="M722" s="162"/>
      <c r="N722" s="162"/>
      <c r="O722" s="162"/>
      <c r="P722" s="162"/>
      <c r="Q722" s="162"/>
      <c r="R722" s="162"/>
      <c r="S722" s="162"/>
      <c r="T722" s="162"/>
      <c r="U722" s="162"/>
      <c r="V722" s="162"/>
      <c r="W722" s="162"/>
      <c r="X722" s="162"/>
      <c r="Y722" s="162"/>
      <c r="Z722" s="162"/>
    </row>
    <row r="723" ht="18.75" customHeight="1">
      <c r="A723" s="162"/>
      <c r="B723" s="162"/>
      <c r="C723" s="162"/>
      <c r="D723" s="162"/>
      <c r="E723" s="166"/>
      <c r="F723" s="166"/>
      <c r="G723" s="162"/>
      <c r="H723" s="162"/>
      <c r="I723" s="162"/>
      <c r="J723" s="162"/>
      <c r="K723" s="162"/>
      <c r="L723" s="162"/>
      <c r="M723" s="162"/>
      <c r="N723" s="162"/>
      <c r="O723" s="162"/>
      <c r="P723" s="162"/>
      <c r="Q723" s="162"/>
      <c r="R723" s="162"/>
      <c r="S723" s="162"/>
      <c r="T723" s="162"/>
      <c r="U723" s="162"/>
      <c r="V723" s="162"/>
      <c r="W723" s="162"/>
      <c r="X723" s="162"/>
      <c r="Y723" s="162"/>
      <c r="Z723" s="162"/>
    </row>
    <row r="724" ht="18.75" customHeight="1">
      <c r="A724" s="162"/>
      <c r="B724" s="162"/>
      <c r="C724" s="162"/>
      <c r="D724" s="162"/>
      <c r="E724" s="166"/>
      <c r="F724" s="166"/>
      <c r="G724" s="162"/>
      <c r="H724" s="162"/>
      <c r="I724" s="162"/>
      <c r="J724" s="162"/>
      <c r="K724" s="162"/>
      <c r="L724" s="162"/>
      <c r="M724" s="162"/>
      <c r="N724" s="162"/>
      <c r="O724" s="162"/>
      <c r="P724" s="162"/>
      <c r="Q724" s="162"/>
      <c r="R724" s="162"/>
      <c r="S724" s="162"/>
      <c r="T724" s="162"/>
      <c r="U724" s="162"/>
      <c r="V724" s="162"/>
      <c r="W724" s="162"/>
      <c r="X724" s="162"/>
      <c r="Y724" s="162"/>
      <c r="Z724" s="162"/>
    </row>
    <row r="725" ht="18.75" customHeight="1">
      <c r="A725" s="162"/>
      <c r="B725" s="162"/>
      <c r="C725" s="162"/>
      <c r="D725" s="162"/>
      <c r="E725" s="166"/>
      <c r="F725" s="166"/>
      <c r="G725" s="162"/>
      <c r="H725" s="162"/>
      <c r="I725" s="162"/>
      <c r="J725" s="162"/>
      <c r="K725" s="162"/>
      <c r="L725" s="162"/>
      <c r="M725" s="162"/>
      <c r="N725" s="162"/>
      <c r="O725" s="162"/>
      <c r="P725" s="162"/>
      <c r="Q725" s="162"/>
      <c r="R725" s="162"/>
      <c r="S725" s="162"/>
      <c r="T725" s="162"/>
      <c r="U725" s="162"/>
      <c r="V725" s="162"/>
      <c r="W725" s="162"/>
      <c r="X725" s="162"/>
      <c r="Y725" s="162"/>
      <c r="Z725" s="162"/>
    </row>
    <row r="726" ht="18.75" customHeight="1">
      <c r="A726" s="162"/>
      <c r="B726" s="162"/>
      <c r="C726" s="162"/>
      <c r="D726" s="162"/>
      <c r="E726" s="166"/>
      <c r="F726" s="166"/>
      <c r="G726" s="162"/>
      <c r="H726" s="162"/>
      <c r="I726" s="162"/>
      <c r="J726" s="162"/>
      <c r="K726" s="162"/>
      <c r="L726" s="162"/>
      <c r="M726" s="162"/>
      <c r="N726" s="162"/>
      <c r="O726" s="162"/>
      <c r="P726" s="162"/>
      <c r="Q726" s="162"/>
      <c r="R726" s="162"/>
      <c r="S726" s="162"/>
      <c r="T726" s="162"/>
      <c r="U726" s="162"/>
      <c r="V726" s="162"/>
      <c r="W726" s="162"/>
      <c r="X726" s="162"/>
      <c r="Y726" s="162"/>
      <c r="Z726" s="162"/>
    </row>
    <row r="727" ht="18.75" customHeight="1">
      <c r="A727" s="162"/>
      <c r="B727" s="162"/>
      <c r="C727" s="162"/>
      <c r="D727" s="162"/>
      <c r="E727" s="166"/>
      <c r="F727" s="166"/>
      <c r="G727" s="162"/>
      <c r="H727" s="162"/>
      <c r="I727" s="162"/>
      <c r="J727" s="162"/>
      <c r="K727" s="162"/>
      <c r="L727" s="162"/>
      <c r="M727" s="162"/>
      <c r="N727" s="162"/>
      <c r="O727" s="162"/>
      <c r="P727" s="162"/>
      <c r="Q727" s="162"/>
      <c r="R727" s="162"/>
      <c r="S727" s="162"/>
      <c r="T727" s="162"/>
      <c r="U727" s="162"/>
      <c r="V727" s="162"/>
      <c r="W727" s="162"/>
      <c r="X727" s="162"/>
      <c r="Y727" s="162"/>
      <c r="Z727" s="162"/>
    </row>
    <row r="728" ht="18.75" customHeight="1">
      <c r="A728" s="162"/>
      <c r="B728" s="162"/>
      <c r="C728" s="162"/>
      <c r="D728" s="162"/>
      <c r="E728" s="166"/>
      <c r="F728" s="166"/>
      <c r="G728" s="162"/>
      <c r="H728" s="162"/>
      <c r="I728" s="162"/>
      <c r="J728" s="162"/>
      <c r="K728" s="162"/>
      <c r="L728" s="162"/>
      <c r="M728" s="162"/>
      <c r="N728" s="162"/>
      <c r="O728" s="162"/>
      <c r="P728" s="162"/>
      <c r="Q728" s="162"/>
      <c r="R728" s="162"/>
      <c r="S728" s="162"/>
      <c r="T728" s="162"/>
      <c r="U728" s="162"/>
      <c r="V728" s="162"/>
      <c r="W728" s="162"/>
      <c r="X728" s="162"/>
      <c r="Y728" s="162"/>
      <c r="Z728" s="162"/>
    </row>
    <row r="729" ht="18.75" customHeight="1">
      <c r="A729" s="162"/>
      <c r="B729" s="162"/>
      <c r="C729" s="162"/>
      <c r="D729" s="162"/>
      <c r="E729" s="166"/>
      <c r="F729" s="166"/>
      <c r="G729" s="162"/>
      <c r="H729" s="162"/>
      <c r="I729" s="162"/>
      <c r="J729" s="162"/>
      <c r="K729" s="162"/>
      <c r="L729" s="162"/>
      <c r="M729" s="162"/>
      <c r="N729" s="162"/>
      <c r="O729" s="162"/>
      <c r="P729" s="162"/>
      <c r="Q729" s="162"/>
      <c r="R729" s="162"/>
      <c r="S729" s="162"/>
      <c r="T729" s="162"/>
      <c r="U729" s="162"/>
      <c r="V729" s="162"/>
      <c r="W729" s="162"/>
      <c r="X729" s="162"/>
      <c r="Y729" s="162"/>
      <c r="Z729" s="162"/>
    </row>
    <row r="730" ht="18.75" customHeight="1">
      <c r="A730" s="162"/>
      <c r="B730" s="162"/>
      <c r="C730" s="162"/>
      <c r="D730" s="162"/>
      <c r="E730" s="166"/>
      <c r="F730" s="166"/>
      <c r="G730" s="162"/>
      <c r="H730" s="162"/>
      <c r="I730" s="162"/>
      <c r="J730" s="162"/>
      <c r="K730" s="162"/>
      <c r="L730" s="162"/>
      <c r="M730" s="162"/>
      <c r="N730" s="162"/>
      <c r="O730" s="162"/>
      <c r="P730" s="162"/>
      <c r="Q730" s="162"/>
      <c r="R730" s="162"/>
      <c r="S730" s="162"/>
      <c r="T730" s="162"/>
      <c r="U730" s="162"/>
      <c r="V730" s="162"/>
      <c r="W730" s="162"/>
      <c r="X730" s="162"/>
      <c r="Y730" s="162"/>
      <c r="Z730" s="162"/>
    </row>
    <row r="731" ht="18.75" customHeight="1">
      <c r="A731" s="162"/>
      <c r="B731" s="162"/>
      <c r="C731" s="162"/>
      <c r="D731" s="162"/>
      <c r="E731" s="166"/>
      <c r="F731" s="166"/>
      <c r="G731" s="162"/>
      <c r="H731" s="162"/>
      <c r="I731" s="162"/>
      <c r="J731" s="162"/>
      <c r="K731" s="162"/>
      <c r="L731" s="162"/>
      <c r="M731" s="162"/>
      <c r="N731" s="162"/>
      <c r="O731" s="162"/>
      <c r="P731" s="162"/>
      <c r="Q731" s="162"/>
      <c r="R731" s="162"/>
      <c r="S731" s="162"/>
      <c r="T731" s="162"/>
      <c r="U731" s="162"/>
      <c r="V731" s="162"/>
      <c r="W731" s="162"/>
      <c r="X731" s="162"/>
      <c r="Y731" s="162"/>
      <c r="Z731" s="162"/>
    </row>
    <row r="732" ht="18.75" customHeight="1">
      <c r="A732" s="162"/>
      <c r="B732" s="162"/>
      <c r="C732" s="162"/>
      <c r="D732" s="162"/>
      <c r="E732" s="166"/>
      <c r="F732" s="166"/>
      <c r="G732" s="162"/>
      <c r="H732" s="162"/>
      <c r="I732" s="162"/>
      <c r="J732" s="162"/>
      <c r="K732" s="162"/>
      <c r="L732" s="162"/>
      <c r="M732" s="162"/>
      <c r="N732" s="162"/>
      <c r="O732" s="162"/>
      <c r="P732" s="162"/>
      <c r="Q732" s="162"/>
      <c r="R732" s="162"/>
      <c r="S732" s="162"/>
      <c r="T732" s="162"/>
      <c r="U732" s="162"/>
      <c r="V732" s="162"/>
      <c r="W732" s="162"/>
      <c r="X732" s="162"/>
      <c r="Y732" s="162"/>
      <c r="Z732" s="162"/>
    </row>
    <row r="733" ht="18.75" customHeight="1">
      <c r="A733" s="162"/>
      <c r="B733" s="162"/>
      <c r="C733" s="162"/>
      <c r="D733" s="162"/>
      <c r="E733" s="166"/>
      <c r="F733" s="166"/>
      <c r="G733" s="162"/>
      <c r="H733" s="162"/>
      <c r="I733" s="162"/>
      <c r="J733" s="162"/>
      <c r="K733" s="162"/>
      <c r="L733" s="162"/>
      <c r="M733" s="162"/>
      <c r="N733" s="162"/>
      <c r="O733" s="162"/>
      <c r="P733" s="162"/>
      <c r="Q733" s="162"/>
      <c r="R733" s="162"/>
      <c r="S733" s="162"/>
      <c r="T733" s="162"/>
      <c r="U733" s="162"/>
      <c r="V733" s="162"/>
      <c r="W733" s="162"/>
      <c r="X733" s="162"/>
      <c r="Y733" s="162"/>
      <c r="Z733" s="162"/>
    </row>
    <row r="734" ht="18.75" customHeight="1">
      <c r="A734" s="162"/>
      <c r="B734" s="162"/>
      <c r="C734" s="162"/>
      <c r="D734" s="162"/>
      <c r="E734" s="166"/>
      <c r="F734" s="166"/>
      <c r="G734" s="162"/>
      <c r="H734" s="162"/>
      <c r="I734" s="162"/>
      <c r="J734" s="162"/>
      <c r="K734" s="162"/>
      <c r="L734" s="162"/>
      <c r="M734" s="162"/>
      <c r="N734" s="162"/>
      <c r="O734" s="162"/>
      <c r="P734" s="162"/>
      <c r="Q734" s="162"/>
      <c r="R734" s="162"/>
      <c r="S734" s="162"/>
      <c r="T734" s="162"/>
      <c r="U734" s="162"/>
      <c r="V734" s="162"/>
      <c r="W734" s="162"/>
      <c r="X734" s="162"/>
      <c r="Y734" s="162"/>
      <c r="Z734" s="162"/>
    </row>
    <row r="735" ht="18.75" customHeight="1">
      <c r="A735" s="162"/>
      <c r="B735" s="162"/>
      <c r="C735" s="162"/>
      <c r="D735" s="162"/>
      <c r="E735" s="166"/>
      <c r="F735" s="166"/>
      <c r="G735" s="162"/>
      <c r="H735" s="162"/>
      <c r="I735" s="162"/>
      <c r="J735" s="162"/>
      <c r="K735" s="162"/>
      <c r="L735" s="162"/>
      <c r="M735" s="162"/>
      <c r="N735" s="162"/>
      <c r="O735" s="162"/>
      <c r="P735" s="162"/>
      <c r="Q735" s="162"/>
      <c r="R735" s="162"/>
      <c r="S735" s="162"/>
      <c r="T735" s="162"/>
      <c r="U735" s="162"/>
      <c r="V735" s="162"/>
      <c r="W735" s="162"/>
      <c r="X735" s="162"/>
      <c r="Y735" s="162"/>
      <c r="Z735" s="162"/>
    </row>
    <row r="736" ht="18.75" customHeight="1">
      <c r="A736" s="162"/>
      <c r="B736" s="162"/>
      <c r="C736" s="162"/>
      <c r="D736" s="162"/>
      <c r="E736" s="166"/>
      <c r="F736" s="166"/>
      <c r="G736" s="162"/>
      <c r="H736" s="162"/>
      <c r="I736" s="162"/>
      <c r="J736" s="162"/>
      <c r="K736" s="162"/>
      <c r="L736" s="162"/>
      <c r="M736" s="162"/>
      <c r="N736" s="162"/>
      <c r="O736" s="162"/>
      <c r="P736" s="162"/>
      <c r="Q736" s="162"/>
      <c r="R736" s="162"/>
      <c r="S736" s="162"/>
      <c r="T736" s="162"/>
      <c r="U736" s="162"/>
      <c r="V736" s="162"/>
      <c r="W736" s="162"/>
      <c r="X736" s="162"/>
      <c r="Y736" s="162"/>
      <c r="Z736" s="162"/>
    </row>
    <row r="737" ht="18.75" customHeight="1">
      <c r="A737" s="162"/>
      <c r="B737" s="162"/>
      <c r="C737" s="162"/>
      <c r="D737" s="162"/>
      <c r="E737" s="166"/>
      <c r="F737" s="166"/>
      <c r="G737" s="162"/>
      <c r="H737" s="162"/>
      <c r="I737" s="162"/>
      <c r="J737" s="162"/>
      <c r="K737" s="162"/>
      <c r="L737" s="162"/>
      <c r="M737" s="162"/>
      <c r="N737" s="162"/>
      <c r="O737" s="162"/>
      <c r="P737" s="162"/>
      <c r="Q737" s="162"/>
      <c r="R737" s="162"/>
      <c r="S737" s="162"/>
      <c r="T737" s="162"/>
      <c r="U737" s="162"/>
      <c r="V737" s="162"/>
      <c r="W737" s="162"/>
      <c r="X737" s="162"/>
      <c r="Y737" s="162"/>
      <c r="Z737" s="162"/>
    </row>
    <row r="738" ht="18.75" customHeight="1">
      <c r="A738" s="162"/>
      <c r="B738" s="162"/>
      <c r="C738" s="162"/>
      <c r="D738" s="162"/>
      <c r="E738" s="166"/>
      <c r="F738" s="166"/>
      <c r="G738" s="162"/>
      <c r="H738" s="162"/>
      <c r="I738" s="162"/>
      <c r="J738" s="162"/>
      <c r="K738" s="162"/>
      <c r="L738" s="162"/>
      <c r="M738" s="162"/>
      <c r="N738" s="162"/>
      <c r="O738" s="162"/>
      <c r="P738" s="162"/>
      <c r="Q738" s="162"/>
      <c r="R738" s="162"/>
      <c r="S738" s="162"/>
      <c r="T738" s="162"/>
      <c r="U738" s="162"/>
      <c r="V738" s="162"/>
      <c r="W738" s="162"/>
      <c r="X738" s="162"/>
      <c r="Y738" s="162"/>
      <c r="Z738" s="162"/>
    </row>
    <row r="739" ht="18.75" customHeight="1">
      <c r="A739" s="162"/>
      <c r="B739" s="162"/>
      <c r="C739" s="162"/>
      <c r="D739" s="162"/>
      <c r="E739" s="166"/>
      <c r="F739" s="166"/>
      <c r="G739" s="162"/>
      <c r="H739" s="162"/>
      <c r="I739" s="162"/>
      <c r="J739" s="162"/>
      <c r="K739" s="162"/>
      <c r="L739" s="162"/>
      <c r="M739" s="162"/>
      <c r="N739" s="162"/>
      <c r="O739" s="162"/>
      <c r="P739" s="162"/>
      <c r="Q739" s="162"/>
      <c r="R739" s="162"/>
      <c r="S739" s="162"/>
      <c r="T739" s="162"/>
      <c r="U739" s="162"/>
      <c r="V739" s="162"/>
      <c r="W739" s="162"/>
      <c r="X739" s="162"/>
      <c r="Y739" s="162"/>
      <c r="Z739" s="162"/>
    </row>
    <row r="740" ht="18.75" customHeight="1">
      <c r="A740" s="162"/>
      <c r="B740" s="162"/>
      <c r="C740" s="162"/>
      <c r="D740" s="162"/>
      <c r="E740" s="166"/>
      <c r="F740" s="166"/>
      <c r="G740" s="162"/>
      <c r="H740" s="162"/>
      <c r="I740" s="162"/>
      <c r="J740" s="162"/>
      <c r="K740" s="162"/>
      <c r="L740" s="162"/>
      <c r="M740" s="162"/>
      <c r="N740" s="162"/>
      <c r="O740" s="162"/>
      <c r="P740" s="162"/>
      <c r="Q740" s="162"/>
      <c r="R740" s="162"/>
      <c r="S740" s="162"/>
      <c r="T740" s="162"/>
      <c r="U740" s="162"/>
      <c r="V740" s="162"/>
      <c r="W740" s="162"/>
      <c r="X740" s="162"/>
      <c r="Y740" s="162"/>
      <c r="Z740" s="162"/>
    </row>
    <row r="741" ht="18.75" customHeight="1">
      <c r="A741" s="162"/>
      <c r="B741" s="162"/>
      <c r="C741" s="162"/>
      <c r="D741" s="162"/>
      <c r="E741" s="166"/>
      <c r="F741" s="166"/>
      <c r="G741" s="162"/>
      <c r="H741" s="162"/>
      <c r="I741" s="162"/>
      <c r="J741" s="162"/>
      <c r="K741" s="162"/>
      <c r="L741" s="162"/>
      <c r="M741" s="162"/>
      <c r="N741" s="162"/>
      <c r="O741" s="162"/>
      <c r="P741" s="162"/>
      <c r="Q741" s="162"/>
      <c r="R741" s="162"/>
      <c r="S741" s="162"/>
      <c r="T741" s="162"/>
      <c r="U741" s="162"/>
      <c r="V741" s="162"/>
      <c r="W741" s="162"/>
      <c r="X741" s="162"/>
      <c r="Y741" s="162"/>
      <c r="Z741" s="162"/>
    </row>
    <row r="742" ht="18.75" customHeight="1">
      <c r="A742" s="162"/>
      <c r="B742" s="162"/>
      <c r="C742" s="162"/>
      <c r="D742" s="162"/>
      <c r="E742" s="166"/>
      <c r="F742" s="166"/>
      <c r="G742" s="162"/>
      <c r="H742" s="162"/>
      <c r="I742" s="162"/>
      <c r="J742" s="162"/>
      <c r="K742" s="162"/>
      <c r="L742" s="162"/>
      <c r="M742" s="162"/>
      <c r="N742" s="162"/>
      <c r="O742" s="162"/>
      <c r="P742" s="162"/>
      <c r="Q742" s="162"/>
      <c r="R742" s="162"/>
      <c r="S742" s="162"/>
      <c r="T742" s="162"/>
      <c r="U742" s="162"/>
      <c r="V742" s="162"/>
      <c r="W742" s="162"/>
      <c r="X742" s="162"/>
      <c r="Y742" s="162"/>
      <c r="Z742" s="162"/>
    </row>
    <row r="743" ht="18.75" customHeight="1">
      <c r="A743" s="162"/>
      <c r="B743" s="162"/>
      <c r="C743" s="162"/>
      <c r="D743" s="162"/>
      <c r="E743" s="166"/>
      <c r="F743" s="166"/>
      <c r="G743" s="162"/>
      <c r="H743" s="162"/>
      <c r="I743" s="162"/>
      <c r="J743" s="162"/>
      <c r="K743" s="162"/>
      <c r="L743" s="162"/>
      <c r="M743" s="162"/>
      <c r="N743" s="162"/>
      <c r="O743" s="162"/>
      <c r="P743" s="162"/>
      <c r="Q743" s="162"/>
      <c r="R743" s="162"/>
      <c r="S743" s="162"/>
      <c r="T743" s="162"/>
      <c r="U743" s="162"/>
      <c r="V743" s="162"/>
      <c r="W743" s="162"/>
      <c r="X743" s="162"/>
      <c r="Y743" s="162"/>
      <c r="Z743" s="162"/>
    </row>
    <row r="744" ht="18.75" customHeight="1">
      <c r="A744" s="162"/>
      <c r="B744" s="162"/>
      <c r="C744" s="162"/>
      <c r="D744" s="162"/>
      <c r="E744" s="166"/>
      <c r="F744" s="166"/>
      <c r="G744" s="162"/>
      <c r="H744" s="162"/>
      <c r="I744" s="162"/>
      <c r="J744" s="162"/>
      <c r="K744" s="162"/>
      <c r="L744" s="162"/>
      <c r="M744" s="162"/>
      <c r="N744" s="162"/>
      <c r="O744" s="162"/>
      <c r="P744" s="162"/>
      <c r="Q744" s="162"/>
      <c r="R744" s="162"/>
      <c r="S744" s="162"/>
      <c r="T744" s="162"/>
      <c r="U744" s="162"/>
      <c r="V744" s="162"/>
      <c r="W744" s="162"/>
      <c r="X744" s="162"/>
      <c r="Y744" s="162"/>
      <c r="Z744" s="162"/>
    </row>
    <row r="745" ht="18.75" customHeight="1">
      <c r="A745" s="162"/>
      <c r="B745" s="162"/>
      <c r="C745" s="162"/>
      <c r="D745" s="162"/>
      <c r="E745" s="166"/>
      <c r="F745" s="166"/>
      <c r="G745" s="162"/>
      <c r="H745" s="162"/>
      <c r="I745" s="162"/>
      <c r="J745" s="162"/>
      <c r="K745" s="162"/>
      <c r="L745" s="162"/>
      <c r="M745" s="162"/>
      <c r="N745" s="162"/>
      <c r="O745" s="162"/>
      <c r="P745" s="162"/>
      <c r="Q745" s="162"/>
      <c r="R745" s="162"/>
      <c r="S745" s="162"/>
      <c r="T745" s="162"/>
      <c r="U745" s="162"/>
      <c r="V745" s="162"/>
      <c r="W745" s="162"/>
      <c r="X745" s="162"/>
      <c r="Y745" s="162"/>
      <c r="Z745" s="162"/>
    </row>
    <row r="746" ht="18.75" customHeight="1">
      <c r="A746" s="162"/>
      <c r="B746" s="162"/>
      <c r="C746" s="162"/>
      <c r="D746" s="162"/>
      <c r="E746" s="166"/>
      <c r="F746" s="166"/>
      <c r="G746" s="162"/>
      <c r="H746" s="162"/>
      <c r="I746" s="162"/>
      <c r="J746" s="162"/>
      <c r="K746" s="162"/>
      <c r="L746" s="162"/>
      <c r="M746" s="162"/>
      <c r="N746" s="162"/>
      <c r="O746" s="162"/>
      <c r="P746" s="162"/>
      <c r="Q746" s="162"/>
      <c r="R746" s="162"/>
      <c r="S746" s="162"/>
      <c r="T746" s="162"/>
      <c r="U746" s="162"/>
      <c r="V746" s="162"/>
      <c r="W746" s="162"/>
      <c r="X746" s="162"/>
      <c r="Y746" s="162"/>
      <c r="Z746" s="162"/>
    </row>
    <row r="747" ht="18.75" customHeight="1">
      <c r="A747" s="162"/>
      <c r="B747" s="162"/>
      <c r="C747" s="162"/>
      <c r="D747" s="162"/>
      <c r="E747" s="166"/>
      <c r="F747" s="166"/>
      <c r="G747" s="162"/>
      <c r="H747" s="162"/>
      <c r="I747" s="162"/>
      <c r="J747" s="162"/>
      <c r="K747" s="162"/>
      <c r="L747" s="162"/>
      <c r="M747" s="162"/>
      <c r="N747" s="162"/>
      <c r="O747" s="162"/>
      <c r="P747" s="162"/>
      <c r="Q747" s="162"/>
      <c r="R747" s="162"/>
      <c r="S747" s="162"/>
      <c r="T747" s="162"/>
      <c r="U747" s="162"/>
      <c r="V747" s="162"/>
      <c r="W747" s="162"/>
      <c r="X747" s="162"/>
      <c r="Y747" s="162"/>
      <c r="Z747" s="162"/>
    </row>
    <row r="748" ht="18.75" customHeight="1">
      <c r="A748" s="162"/>
      <c r="B748" s="162"/>
      <c r="C748" s="162"/>
      <c r="D748" s="162"/>
      <c r="E748" s="166"/>
      <c r="F748" s="166"/>
      <c r="G748" s="162"/>
      <c r="H748" s="162"/>
      <c r="I748" s="162"/>
      <c r="J748" s="162"/>
      <c r="K748" s="162"/>
      <c r="L748" s="162"/>
      <c r="M748" s="162"/>
      <c r="N748" s="162"/>
      <c r="O748" s="162"/>
      <c r="P748" s="162"/>
      <c r="Q748" s="162"/>
      <c r="R748" s="162"/>
      <c r="S748" s="162"/>
      <c r="T748" s="162"/>
      <c r="U748" s="162"/>
      <c r="V748" s="162"/>
      <c r="W748" s="162"/>
      <c r="X748" s="162"/>
      <c r="Y748" s="162"/>
      <c r="Z748" s="162"/>
    </row>
    <row r="749" ht="18.75" customHeight="1">
      <c r="A749" s="162"/>
      <c r="B749" s="162"/>
      <c r="C749" s="162"/>
      <c r="D749" s="162"/>
      <c r="E749" s="166"/>
      <c r="F749" s="166"/>
      <c r="G749" s="162"/>
      <c r="H749" s="162"/>
      <c r="I749" s="162"/>
      <c r="J749" s="162"/>
      <c r="K749" s="162"/>
      <c r="L749" s="162"/>
      <c r="M749" s="162"/>
      <c r="N749" s="162"/>
      <c r="O749" s="162"/>
      <c r="P749" s="162"/>
      <c r="Q749" s="162"/>
      <c r="R749" s="162"/>
      <c r="S749" s="162"/>
      <c r="T749" s="162"/>
      <c r="U749" s="162"/>
      <c r="V749" s="162"/>
      <c r="W749" s="162"/>
      <c r="X749" s="162"/>
      <c r="Y749" s="162"/>
      <c r="Z749" s="162"/>
    </row>
    <row r="750" ht="18.75" customHeight="1">
      <c r="A750" s="162"/>
      <c r="B750" s="162"/>
      <c r="C750" s="162"/>
      <c r="D750" s="162"/>
      <c r="E750" s="166"/>
      <c r="F750" s="166"/>
      <c r="G750" s="162"/>
      <c r="H750" s="162"/>
      <c r="I750" s="162"/>
      <c r="J750" s="162"/>
      <c r="K750" s="162"/>
      <c r="L750" s="162"/>
      <c r="M750" s="162"/>
      <c r="N750" s="162"/>
      <c r="O750" s="162"/>
      <c r="P750" s="162"/>
      <c r="Q750" s="162"/>
      <c r="R750" s="162"/>
      <c r="S750" s="162"/>
      <c r="T750" s="162"/>
      <c r="U750" s="162"/>
      <c r="V750" s="162"/>
      <c r="W750" s="162"/>
      <c r="X750" s="162"/>
      <c r="Y750" s="162"/>
      <c r="Z750" s="162"/>
    </row>
    <row r="751" ht="18.75" customHeight="1">
      <c r="A751" s="162"/>
      <c r="B751" s="162"/>
      <c r="C751" s="162"/>
      <c r="D751" s="162"/>
      <c r="E751" s="166"/>
      <c r="F751" s="166"/>
      <c r="G751" s="162"/>
      <c r="H751" s="162"/>
      <c r="I751" s="162"/>
      <c r="J751" s="162"/>
      <c r="K751" s="162"/>
      <c r="L751" s="162"/>
      <c r="M751" s="162"/>
      <c r="N751" s="162"/>
      <c r="O751" s="162"/>
      <c r="P751" s="162"/>
      <c r="Q751" s="162"/>
      <c r="R751" s="162"/>
      <c r="S751" s="162"/>
      <c r="T751" s="162"/>
      <c r="U751" s="162"/>
      <c r="V751" s="162"/>
      <c r="W751" s="162"/>
      <c r="X751" s="162"/>
      <c r="Y751" s="162"/>
      <c r="Z751" s="162"/>
    </row>
    <row r="752" ht="18.75" customHeight="1">
      <c r="A752" s="162"/>
      <c r="B752" s="162"/>
      <c r="C752" s="162"/>
      <c r="D752" s="162"/>
      <c r="E752" s="166"/>
      <c r="F752" s="166"/>
      <c r="G752" s="162"/>
      <c r="H752" s="162"/>
      <c r="I752" s="162"/>
      <c r="J752" s="162"/>
      <c r="K752" s="162"/>
      <c r="L752" s="162"/>
      <c r="M752" s="162"/>
      <c r="N752" s="162"/>
      <c r="O752" s="162"/>
      <c r="P752" s="162"/>
      <c r="Q752" s="162"/>
      <c r="R752" s="162"/>
      <c r="S752" s="162"/>
      <c r="T752" s="162"/>
      <c r="U752" s="162"/>
      <c r="V752" s="162"/>
      <c r="W752" s="162"/>
      <c r="X752" s="162"/>
      <c r="Y752" s="162"/>
      <c r="Z752" s="162"/>
    </row>
    <row r="753" ht="18.75" customHeight="1">
      <c r="A753" s="162"/>
      <c r="B753" s="162"/>
      <c r="C753" s="162"/>
      <c r="D753" s="162"/>
      <c r="E753" s="166"/>
      <c r="F753" s="166"/>
      <c r="G753" s="162"/>
      <c r="H753" s="162"/>
      <c r="I753" s="162"/>
      <c r="J753" s="162"/>
      <c r="K753" s="162"/>
      <c r="L753" s="162"/>
      <c r="M753" s="162"/>
      <c r="N753" s="162"/>
      <c r="O753" s="162"/>
      <c r="P753" s="162"/>
      <c r="Q753" s="162"/>
      <c r="R753" s="162"/>
      <c r="S753" s="162"/>
      <c r="T753" s="162"/>
      <c r="U753" s="162"/>
      <c r="V753" s="162"/>
      <c r="W753" s="162"/>
      <c r="X753" s="162"/>
      <c r="Y753" s="162"/>
      <c r="Z753" s="162"/>
    </row>
    <row r="754" ht="18.75" customHeight="1">
      <c r="A754" s="162"/>
      <c r="B754" s="162"/>
      <c r="C754" s="162"/>
      <c r="D754" s="162"/>
      <c r="E754" s="166"/>
      <c r="F754" s="166"/>
      <c r="G754" s="162"/>
      <c r="H754" s="162"/>
      <c r="I754" s="162"/>
      <c r="J754" s="162"/>
      <c r="K754" s="162"/>
      <c r="L754" s="162"/>
      <c r="M754" s="162"/>
      <c r="N754" s="162"/>
      <c r="O754" s="162"/>
      <c r="P754" s="162"/>
      <c r="Q754" s="162"/>
      <c r="R754" s="162"/>
      <c r="S754" s="162"/>
      <c r="T754" s="162"/>
      <c r="U754" s="162"/>
      <c r="V754" s="162"/>
      <c r="W754" s="162"/>
      <c r="X754" s="162"/>
      <c r="Y754" s="162"/>
      <c r="Z754" s="162"/>
    </row>
    <row r="755" ht="18.75" customHeight="1">
      <c r="A755" s="162"/>
      <c r="B755" s="162"/>
      <c r="C755" s="162"/>
      <c r="D755" s="162"/>
      <c r="E755" s="166"/>
      <c r="F755" s="166"/>
      <c r="G755" s="162"/>
      <c r="H755" s="162"/>
      <c r="I755" s="162"/>
      <c r="J755" s="162"/>
      <c r="K755" s="162"/>
      <c r="L755" s="162"/>
      <c r="M755" s="162"/>
      <c r="N755" s="162"/>
      <c r="O755" s="162"/>
      <c r="P755" s="162"/>
      <c r="Q755" s="162"/>
      <c r="R755" s="162"/>
      <c r="S755" s="162"/>
      <c r="T755" s="162"/>
      <c r="U755" s="162"/>
      <c r="V755" s="162"/>
      <c r="W755" s="162"/>
      <c r="X755" s="162"/>
      <c r="Y755" s="162"/>
      <c r="Z755" s="162"/>
    </row>
    <row r="756" ht="18.75" customHeight="1">
      <c r="A756" s="162"/>
      <c r="B756" s="162"/>
      <c r="C756" s="162"/>
      <c r="D756" s="162"/>
      <c r="E756" s="166"/>
      <c r="F756" s="166"/>
      <c r="G756" s="162"/>
      <c r="H756" s="162"/>
      <c r="I756" s="162"/>
      <c r="J756" s="162"/>
      <c r="K756" s="162"/>
      <c r="L756" s="162"/>
      <c r="M756" s="162"/>
      <c r="N756" s="162"/>
      <c r="O756" s="162"/>
      <c r="P756" s="162"/>
      <c r="Q756" s="162"/>
      <c r="R756" s="162"/>
      <c r="S756" s="162"/>
      <c r="T756" s="162"/>
      <c r="U756" s="162"/>
      <c r="V756" s="162"/>
      <c r="W756" s="162"/>
      <c r="X756" s="162"/>
      <c r="Y756" s="162"/>
      <c r="Z756" s="162"/>
    </row>
    <row r="757" ht="18.75" customHeight="1">
      <c r="A757" s="162"/>
      <c r="B757" s="162"/>
      <c r="C757" s="162"/>
      <c r="D757" s="162"/>
      <c r="E757" s="166"/>
      <c r="F757" s="166"/>
      <c r="G757" s="162"/>
      <c r="H757" s="162"/>
      <c r="I757" s="162"/>
      <c r="J757" s="162"/>
      <c r="K757" s="162"/>
      <c r="L757" s="162"/>
      <c r="M757" s="162"/>
      <c r="N757" s="162"/>
      <c r="O757" s="162"/>
      <c r="P757" s="162"/>
      <c r="Q757" s="162"/>
      <c r="R757" s="162"/>
      <c r="S757" s="162"/>
      <c r="T757" s="162"/>
      <c r="U757" s="162"/>
      <c r="V757" s="162"/>
      <c r="W757" s="162"/>
      <c r="X757" s="162"/>
      <c r="Y757" s="162"/>
      <c r="Z757" s="162"/>
    </row>
    <row r="758" ht="18.75" customHeight="1">
      <c r="A758" s="162"/>
      <c r="B758" s="162"/>
      <c r="C758" s="162"/>
      <c r="D758" s="162"/>
      <c r="E758" s="166"/>
      <c r="F758" s="166"/>
      <c r="G758" s="162"/>
      <c r="H758" s="162"/>
      <c r="I758" s="162"/>
      <c r="J758" s="162"/>
      <c r="K758" s="162"/>
      <c r="L758" s="162"/>
      <c r="M758" s="162"/>
      <c r="N758" s="162"/>
      <c r="O758" s="162"/>
      <c r="P758" s="162"/>
      <c r="Q758" s="162"/>
      <c r="R758" s="162"/>
      <c r="S758" s="162"/>
      <c r="T758" s="162"/>
      <c r="U758" s="162"/>
      <c r="V758" s="162"/>
      <c r="W758" s="162"/>
      <c r="X758" s="162"/>
      <c r="Y758" s="162"/>
      <c r="Z758" s="162"/>
    </row>
    <row r="759" ht="18.75" customHeight="1">
      <c r="A759" s="162"/>
      <c r="B759" s="162"/>
      <c r="C759" s="162"/>
      <c r="D759" s="162"/>
      <c r="E759" s="166"/>
      <c r="F759" s="166"/>
      <c r="G759" s="162"/>
      <c r="H759" s="162"/>
      <c r="I759" s="162"/>
      <c r="J759" s="162"/>
      <c r="K759" s="162"/>
      <c r="L759" s="162"/>
      <c r="M759" s="162"/>
      <c r="N759" s="162"/>
      <c r="O759" s="162"/>
      <c r="P759" s="162"/>
      <c r="Q759" s="162"/>
      <c r="R759" s="162"/>
      <c r="S759" s="162"/>
      <c r="T759" s="162"/>
      <c r="U759" s="162"/>
      <c r="V759" s="162"/>
      <c r="W759" s="162"/>
      <c r="X759" s="162"/>
      <c r="Y759" s="162"/>
      <c r="Z759" s="162"/>
    </row>
    <row r="760" ht="18.75" customHeight="1">
      <c r="A760" s="162"/>
      <c r="B760" s="162"/>
      <c r="C760" s="162"/>
      <c r="D760" s="162"/>
      <c r="E760" s="166"/>
      <c r="F760" s="166"/>
      <c r="G760" s="162"/>
      <c r="H760" s="162"/>
      <c r="I760" s="162"/>
      <c r="J760" s="162"/>
      <c r="K760" s="162"/>
      <c r="L760" s="162"/>
      <c r="M760" s="162"/>
      <c r="N760" s="162"/>
      <c r="O760" s="162"/>
      <c r="P760" s="162"/>
      <c r="Q760" s="162"/>
      <c r="R760" s="162"/>
      <c r="S760" s="162"/>
      <c r="T760" s="162"/>
      <c r="U760" s="162"/>
      <c r="V760" s="162"/>
      <c r="W760" s="162"/>
      <c r="X760" s="162"/>
      <c r="Y760" s="162"/>
      <c r="Z760" s="162"/>
    </row>
    <row r="761" ht="18.75" customHeight="1">
      <c r="A761" s="162"/>
      <c r="B761" s="162"/>
      <c r="C761" s="162"/>
      <c r="D761" s="162"/>
      <c r="E761" s="166"/>
      <c r="F761" s="166"/>
      <c r="G761" s="162"/>
      <c r="H761" s="162"/>
      <c r="I761" s="162"/>
      <c r="J761" s="162"/>
      <c r="K761" s="162"/>
      <c r="L761" s="162"/>
      <c r="M761" s="162"/>
      <c r="N761" s="162"/>
      <c r="O761" s="162"/>
      <c r="P761" s="162"/>
      <c r="Q761" s="162"/>
      <c r="R761" s="162"/>
      <c r="S761" s="162"/>
      <c r="T761" s="162"/>
      <c r="U761" s="162"/>
      <c r="V761" s="162"/>
      <c r="W761" s="162"/>
      <c r="X761" s="162"/>
      <c r="Y761" s="162"/>
      <c r="Z761" s="162"/>
    </row>
    <row r="762" ht="18.75" customHeight="1">
      <c r="A762" s="162"/>
      <c r="B762" s="162"/>
      <c r="C762" s="162"/>
      <c r="D762" s="162"/>
      <c r="E762" s="166"/>
      <c r="F762" s="166"/>
      <c r="G762" s="162"/>
      <c r="H762" s="162"/>
      <c r="I762" s="162"/>
      <c r="J762" s="162"/>
      <c r="K762" s="162"/>
      <c r="L762" s="162"/>
      <c r="M762" s="162"/>
      <c r="N762" s="162"/>
      <c r="O762" s="162"/>
      <c r="P762" s="162"/>
      <c r="Q762" s="162"/>
      <c r="R762" s="162"/>
      <c r="S762" s="162"/>
      <c r="T762" s="162"/>
      <c r="U762" s="162"/>
      <c r="V762" s="162"/>
      <c r="W762" s="162"/>
      <c r="X762" s="162"/>
      <c r="Y762" s="162"/>
      <c r="Z762" s="162"/>
    </row>
    <row r="763" ht="18.75" customHeight="1">
      <c r="A763" s="162"/>
      <c r="B763" s="162"/>
      <c r="C763" s="162"/>
      <c r="D763" s="162"/>
      <c r="E763" s="166"/>
      <c r="F763" s="166"/>
      <c r="G763" s="162"/>
      <c r="H763" s="162"/>
      <c r="I763" s="162"/>
      <c r="J763" s="162"/>
      <c r="K763" s="162"/>
      <c r="L763" s="162"/>
      <c r="M763" s="162"/>
      <c r="N763" s="162"/>
      <c r="O763" s="162"/>
      <c r="P763" s="162"/>
      <c r="Q763" s="162"/>
      <c r="R763" s="162"/>
      <c r="S763" s="162"/>
      <c r="T763" s="162"/>
      <c r="U763" s="162"/>
      <c r="V763" s="162"/>
      <c r="W763" s="162"/>
      <c r="X763" s="162"/>
      <c r="Y763" s="162"/>
      <c r="Z763" s="162"/>
    </row>
    <row r="764" ht="18.75" customHeight="1">
      <c r="A764" s="162"/>
      <c r="B764" s="162"/>
      <c r="C764" s="162"/>
      <c r="D764" s="162"/>
      <c r="E764" s="166"/>
      <c r="F764" s="166"/>
      <c r="G764" s="162"/>
      <c r="H764" s="162"/>
      <c r="I764" s="162"/>
      <c r="J764" s="162"/>
      <c r="K764" s="162"/>
      <c r="L764" s="162"/>
      <c r="M764" s="162"/>
      <c r="N764" s="162"/>
      <c r="O764" s="162"/>
      <c r="P764" s="162"/>
      <c r="Q764" s="162"/>
      <c r="R764" s="162"/>
      <c r="S764" s="162"/>
      <c r="T764" s="162"/>
      <c r="U764" s="162"/>
      <c r="V764" s="162"/>
      <c r="W764" s="162"/>
      <c r="X764" s="162"/>
      <c r="Y764" s="162"/>
      <c r="Z764" s="162"/>
    </row>
    <row r="765" ht="18.75" customHeight="1">
      <c r="A765" s="162"/>
      <c r="B765" s="162"/>
      <c r="C765" s="162"/>
      <c r="D765" s="162"/>
      <c r="E765" s="166"/>
      <c r="F765" s="166"/>
      <c r="G765" s="162"/>
      <c r="H765" s="162"/>
      <c r="I765" s="162"/>
      <c r="J765" s="162"/>
      <c r="K765" s="162"/>
      <c r="L765" s="162"/>
      <c r="M765" s="162"/>
      <c r="N765" s="162"/>
      <c r="O765" s="162"/>
      <c r="P765" s="162"/>
      <c r="Q765" s="162"/>
      <c r="R765" s="162"/>
      <c r="S765" s="162"/>
      <c r="T765" s="162"/>
      <c r="U765" s="162"/>
      <c r="V765" s="162"/>
      <c r="W765" s="162"/>
      <c r="X765" s="162"/>
      <c r="Y765" s="162"/>
      <c r="Z765" s="162"/>
    </row>
    <row r="766" ht="18.75" customHeight="1">
      <c r="A766" s="162"/>
      <c r="B766" s="162"/>
      <c r="C766" s="162"/>
      <c r="D766" s="162"/>
      <c r="E766" s="166"/>
      <c r="F766" s="166"/>
      <c r="G766" s="162"/>
      <c r="H766" s="162"/>
      <c r="I766" s="162"/>
      <c r="J766" s="162"/>
      <c r="K766" s="162"/>
      <c r="L766" s="162"/>
      <c r="M766" s="162"/>
      <c r="N766" s="162"/>
      <c r="O766" s="162"/>
      <c r="P766" s="162"/>
      <c r="Q766" s="162"/>
      <c r="R766" s="162"/>
      <c r="S766" s="162"/>
      <c r="T766" s="162"/>
      <c r="U766" s="162"/>
      <c r="V766" s="162"/>
      <c r="W766" s="162"/>
      <c r="X766" s="162"/>
      <c r="Y766" s="162"/>
      <c r="Z766" s="162"/>
    </row>
    <row r="767" ht="18.75" customHeight="1">
      <c r="A767" s="162"/>
      <c r="B767" s="162"/>
      <c r="C767" s="162"/>
      <c r="D767" s="162"/>
      <c r="E767" s="166"/>
      <c r="F767" s="166"/>
      <c r="G767" s="162"/>
      <c r="H767" s="162"/>
      <c r="I767" s="162"/>
      <c r="J767" s="162"/>
      <c r="K767" s="162"/>
      <c r="L767" s="162"/>
      <c r="M767" s="162"/>
      <c r="N767" s="162"/>
      <c r="O767" s="162"/>
      <c r="P767" s="162"/>
      <c r="Q767" s="162"/>
      <c r="R767" s="162"/>
      <c r="S767" s="162"/>
      <c r="T767" s="162"/>
      <c r="U767" s="162"/>
      <c r="V767" s="162"/>
      <c r="W767" s="162"/>
      <c r="X767" s="162"/>
      <c r="Y767" s="162"/>
      <c r="Z767" s="162"/>
    </row>
    <row r="768" ht="18.75" customHeight="1">
      <c r="A768" s="162"/>
      <c r="B768" s="162"/>
      <c r="C768" s="162"/>
      <c r="D768" s="162"/>
      <c r="E768" s="166"/>
      <c r="F768" s="166"/>
      <c r="G768" s="162"/>
      <c r="H768" s="162"/>
      <c r="I768" s="162"/>
      <c r="J768" s="162"/>
      <c r="K768" s="162"/>
      <c r="L768" s="162"/>
      <c r="M768" s="162"/>
      <c r="N768" s="162"/>
      <c r="O768" s="162"/>
      <c r="P768" s="162"/>
      <c r="Q768" s="162"/>
      <c r="R768" s="162"/>
      <c r="S768" s="162"/>
      <c r="T768" s="162"/>
      <c r="U768" s="162"/>
      <c r="V768" s="162"/>
      <c r="W768" s="162"/>
      <c r="X768" s="162"/>
      <c r="Y768" s="162"/>
      <c r="Z768" s="162"/>
    </row>
    <row r="769" ht="18.75" customHeight="1">
      <c r="A769" s="162"/>
      <c r="B769" s="162"/>
      <c r="C769" s="162"/>
      <c r="D769" s="162"/>
      <c r="E769" s="166"/>
      <c r="F769" s="166"/>
      <c r="G769" s="162"/>
      <c r="H769" s="162"/>
      <c r="I769" s="162"/>
      <c r="J769" s="162"/>
      <c r="K769" s="162"/>
      <c r="L769" s="162"/>
      <c r="M769" s="162"/>
      <c r="N769" s="162"/>
      <c r="O769" s="162"/>
      <c r="P769" s="162"/>
      <c r="Q769" s="162"/>
      <c r="R769" s="162"/>
      <c r="S769" s="162"/>
      <c r="T769" s="162"/>
      <c r="U769" s="162"/>
      <c r="V769" s="162"/>
      <c r="W769" s="162"/>
      <c r="X769" s="162"/>
      <c r="Y769" s="162"/>
      <c r="Z769" s="162"/>
    </row>
    <row r="770" ht="18.75" customHeight="1">
      <c r="A770" s="162"/>
      <c r="B770" s="162"/>
      <c r="C770" s="162"/>
      <c r="D770" s="162"/>
      <c r="E770" s="166"/>
      <c r="F770" s="166"/>
      <c r="G770" s="162"/>
      <c r="H770" s="162"/>
      <c r="I770" s="162"/>
      <c r="J770" s="162"/>
      <c r="K770" s="162"/>
      <c r="L770" s="162"/>
      <c r="M770" s="162"/>
      <c r="N770" s="162"/>
      <c r="O770" s="162"/>
      <c r="P770" s="162"/>
      <c r="Q770" s="162"/>
      <c r="R770" s="162"/>
      <c r="S770" s="162"/>
      <c r="T770" s="162"/>
      <c r="U770" s="162"/>
      <c r="V770" s="162"/>
      <c r="W770" s="162"/>
      <c r="X770" s="162"/>
      <c r="Y770" s="162"/>
      <c r="Z770" s="162"/>
    </row>
    <row r="771" ht="18.75" customHeight="1">
      <c r="A771" s="162"/>
      <c r="B771" s="162"/>
      <c r="C771" s="162"/>
      <c r="D771" s="162"/>
      <c r="E771" s="166"/>
      <c r="F771" s="166"/>
      <c r="G771" s="162"/>
      <c r="H771" s="162"/>
      <c r="I771" s="162"/>
      <c r="J771" s="162"/>
      <c r="K771" s="162"/>
      <c r="L771" s="162"/>
      <c r="M771" s="162"/>
      <c r="N771" s="162"/>
      <c r="O771" s="162"/>
      <c r="P771" s="162"/>
      <c r="Q771" s="162"/>
      <c r="R771" s="162"/>
      <c r="S771" s="162"/>
      <c r="T771" s="162"/>
      <c r="U771" s="162"/>
      <c r="V771" s="162"/>
      <c r="W771" s="162"/>
      <c r="X771" s="162"/>
      <c r="Y771" s="162"/>
      <c r="Z771" s="162"/>
    </row>
    <row r="772" ht="18.75" customHeight="1">
      <c r="A772" s="162"/>
      <c r="B772" s="162"/>
      <c r="C772" s="162"/>
      <c r="D772" s="162"/>
      <c r="E772" s="166"/>
      <c r="F772" s="166"/>
      <c r="G772" s="162"/>
      <c r="H772" s="162"/>
      <c r="I772" s="162"/>
      <c r="J772" s="162"/>
      <c r="K772" s="162"/>
      <c r="L772" s="162"/>
      <c r="M772" s="162"/>
      <c r="N772" s="162"/>
      <c r="O772" s="162"/>
      <c r="P772" s="162"/>
      <c r="Q772" s="162"/>
      <c r="R772" s="162"/>
      <c r="S772" s="162"/>
      <c r="T772" s="162"/>
      <c r="U772" s="162"/>
      <c r="V772" s="162"/>
      <c r="W772" s="162"/>
      <c r="X772" s="162"/>
      <c r="Y772" s="162"/>
      <c r="Z772" s="162"/>
    </row>
    <row r="773" ht="18.75" customHeight="1">
      <c r="A773" s="162"/>
      <c r="B773" s="162"/>
      <c r="C773" s="162"/>
      <c r="D773" s="162"/>
      <c r="E773" s="166"/>
      <c r="F773" s="166"/>
      <c r="G773" s="162"/>
      <c r="H773" s="162"/>
      <c r="I773" s="162"/>
      <c r="J773" s="162"/>
      <c r="K773" s="162"/>
      <c r="L773" s="162"/>
      <c r="M773" s="162"/>
      <c r="N773" s="162"/>
      <c r="O773" s="162"/>
      <c r="P773" s="162"/>
      <c r="Q773" s="162"/>
      <c r="R773" s="162"/>
      <c r="S773" s="162"/>
      <c r="T773" s="162"/>
      <c r="U773" s="162"/>
      <c r="V773" s="162"/>
      <c r="W773" s="162"/>
      <c r="X773" s="162"/>
      <c r="Y773" s="162"/>
      <c r="Z773" s="162"/>
    </row>
    <row r="774" ht="18.75" customHeight="1">
      <c r="A774" s="162"/>
      <c r="B774" s="162"/>
      <c r="C774" s="162"/>
      <c r="D774" s="162"/>
      <c r="E774" s="166"/>
      <c r="F774" s="166"/>
      <c r="G774" s="162"/>
      <c r="H774" s="162"/>
      <c r="I774" s="162"/>
      <c r="J774" s="162"/>
      <c r="K774" s="162"/>
      <c r="L774" s="162"/>
      <c r="M774" s="162"/>
      <c r="N774" s="162"/>
      <c r="O774" s="162"/>
      <c r="P774" s="162"/>
      <c r="Q774" s="162"/>
      <c r="R774" s="162"/>
      <c r="S774" s="162"/>
      <c r="T774" s="162"/>
      <c r="U774" s="162"/>
      <c r="V774" s="162"/>
      <c r="W774" s="162"/>
      <c r="X774" s="162"/>
      <c r="Y774" s="162"/>
      <c r="Z774" s="162"/>
    </row>
    <row r="775" ht="18.75" customHeight="1">
      <c r="A775" s="162"/>
      <c r="B775" s="162"/>
      <c r="C775" s="162"/>
      <c r="D775" s="162"/>
      <c r="E775" s="166"/>
      <c r="F775" s="166"/>
      <c r="G775" s="162"/>
      <c r="H775" s="162"/>
      <c r="I775" s="162"/>
      <c r="J775" s="162"/>
      <c r="K775" s="162"/>
      <c r="L775" s="162"/>
      <c r="M775" s="162"/>
      <c r="N775" s="162"/>
      <c r="O775" s="162"/>
      <c r="P775" s="162"/>
      <c r="Q775" s="162"/>
      <c r="R775" s="162"/>
      <c r="S775" s="162"/>
      <c r="T775" s="162"/>
      <c r="U775" s="162"/>
      <c r="V775" s="162"/>
      <c r="W775" s="162"/>
      <c r="X775" s="162"/>
      <c r="Y775" s="162"/>
      <c r="Z775" s="162"/>
    </row>
    <row r="776" ht="18.75" customHeight="1">
      <c r="A776" s="162"/>
      <c r="B776" s="162"/>
      <c r="C776" s="162"/>
      <c r="D776" s="162"/>
      <c r="E776" s="166"/>
      <c r="F776" s="166"/>
      <c r="G776" s="162"/>
      <c r="H776" s="162"/>
      <c r="I776" s="162"/>
      <c r="J776" s="162"/>
      <c r="K776" s="162"/>
      <c r="L776" s="162"/>
      <c r="M776" s="162"/>
      <c r="N776" s="162"/>
      <c r="O776" s="162"/>
      <c r="P776" s="162"/>
      <c r="Q776" s="162"/>
      <c r="R776" s="162"/>
      <c r="S776" s="162"/>
      <c r="T776" s="162"/>
      <c r="U776" s="162"/>
      <c r="V776" s="162"/>
      <c r="W776" s="162"/>
      <c r="X776" s="162"/>
      <c r="Y776" s="162"/>
      <c r="Z776" s="162"/>
    </row>
    <row r="777" ht="18.75" customHeight="1">
      <c r="A777" s="162"/>
      <c r="B777" s="162"/>
      <c r="C777" s="162"/>
      <c r="D777" s="162"/>
      <c r="E777" s="166"/>
      <c r="F777" s="166"/>
      <c r="G777" s="162"/>
      <c r="H777" s="162"/>
      <c r="I777" s="162"/>
      <c r="J777" s="162"/>
      <c r="K777" s="162"/>
      <c r="L777" s="162"/>
      <c r="M777" s="162"/>
      <c r="N777" s="162"/>
      <c r="O777" s="162"/>
      <c r="P777" s="162"/>
      <c r="Q777" s="162"/>
      <c r="R777" s="162"/>
      <c r="S777" s="162"/>
      <c r="T777" s="162"/>
      <c r="U777" s="162"/>
      <c r="V777" s="162"/>
      <c r="W777" s="162"/>
      <c r="X777" s="162"/>
      <c r="Y777" s="162"/>
      <c r="Z777" s="162"/>
    </row>
    <row r="778" ht="18.75" customHeight="1">
      <c r="A778" s="162"/>
      <c r="B778" s="162"/>
      <c r="C778" s="162"/>
      <c r="D778" s="162"/>
      <c r="E778" s="166"/>
      <c r="F778" s="166"/>
      <c r="G778" s="162"/>
      <c r="H778" s="162"/>
      <c r="I778" s="162"/>
      <c r="J778" s="162"/>
      <c r="K778" s="162"/>
      <c r="L778" s="162"/>
      <c r="M778" s="162"/>
      <c r="N778" s="162"/>
      <c r="O778" s="162"/>
      <c r="P778" s="162"/>
      <c r="Q778" s="162"/>
      <c r="R778" s="162"/>
      <c r="S778" s="162"/>
      <c r="T778" s="162"/>
      <c r="U778" s="162"/>
      <c r="V778" s="162"/>
      <c r="W778" s="162"/>
      <c r="X778" s="162"/>
      <c r="Y778" s="162"/>
      <c r="Z778" s="162"/>
    </row>
    <row r="779" ht="18.75" customHeight="1">
      <c r="A779" s="162"/>
      <c r="B779" s="162"/>
      <c r="C779" s="162"/>
      <c r="D779" s="162"/>
      <c r="E779" s="166"/>
      <c r="F779" s="166"/>
      <c r="G779" s="162"/>
      <c r="H779" s="162"/>
      <c r="I779" s="162"/>
      <c r="J779" s="162"/>
      <c r="K779" s="162"/>
      <c r="L779" s="162"/>
      <c r="M779" s="162"/>
      <c r="N779" s="162"/>
      <c r="O779" s="162"/>
      <c r="P779" s="162"/>
      <c r="Q779" s="162"/>
      <c r="R779" s="162"/>
      <c r="S779" s="162"/>
      <c r="T779" s="162"/>
      <c r="U779" s="162"/>
      <c r="V779" s="162"/>
      <c r="W779" s="162"/>
      <c r="X779" s="162"/>
      <c r="Y779" s="162"/>
      <c r="Z779" s="162"/>
    </row>
    <row r="780" ht="18.75" customHeight="1">
      <c r="A780" s="162"/>
      <c r="B780" s="162"/>
      <c r="C780" s="162"/>
      <c r="D780" s="162"/>
      <c r="E780" s="166"/>
      <c r="F780" s="166"/>
      <c r="G780" s="162"/>
      <c r="H780" s="162"/>
      <c r="I780" s="162"/>
      <c r="J780" s="162"/>
      <c r="K780" s="162"/>
      <c r="L780" s="162"/>
      <c r="M780" s="162"/>
      <c r="N780" s="162"/>
      <c r="O780" s="162"/>
      <c r="P780" s="162"/>
      <c r="Q780" s="162"/>
      <c r="R780" s="162"/>
      <c r="S780" s="162"/>
      <c r="T780" s="162"/>
      <c r="U780" s="162"/>
      <c r="V780" s="162"/>
      <c r="W780" s="162"/>
      <c r="X780" s="162"/>
      <c r="Y780" s="162"/>
      <c r="Z780" s="162"/>
    </row>
    <row r="781" ht="18.75" customHeight="1">
      <c r="A781" s="162"/>
      <c r="B781" s="162"/>
      <c r="C781" s="162"/>
      <c r="D781" s="162"/>
      <c r="E781" s="166"/>
      <c r="F781" s="166"/>
      <c r="G781" s="162"/>
      <c r="H781" s="162"/>
      <c r="I781" s="162"/>
      <c r="J781" s="162"/>
      <c r="K781" s="162"/>
      <c r="L781" s="162"/>
      <c r="M781" s="162"/>
      <c r="N781" s="162"/>
      <c r="O781" s="162"/>
      <c r="P781" s="162"/>
      <c r="Q781" s="162"/>
      <c r="R781" s="162"/>
      <c r="S781" s="162"/>
      <c r="T781" s="162"/>
      <c r="U781" s="162"/>
      <c r="V781" s="162"/>
      <c r="W781" s="162"/>
      <c r="X781" s="162"/>
      <c r="Y781" s="162"/>
      <c r="Z781" s="162"/>
    </row>
    <row r="782" ht="18.75" customHeight="1">
      <c r="A782" s="162"/>
      <c r="B782" s="162"/>
      <c r="C782" s="162"/>
      <c r="D782" s="162"/>
      <c r="E782" s="166"/>
      <c r="F782" s="166"/>
      <c r="G782" s="162"/>
      <c r="H782" s="162"/>
      <c r="I782" s="162"/>
      <c r="J782" s="162"/>
      <c r="K782" s="162"/>
      <c r="L782" s="162"/>
      <c r="M782" s="162"/>
      <c r="N782" s="162"/>
      <c r="O782" s="162"/>
      <c r="P782" s="162"/>
      <c r="Q782" s="162"/>
      <c r="R782" s="162"/>
      <c r="S782" s="162"/>
      <c r="T782" s="162"/>
      <c r="U782" s="162"/>
      <c r="V782" s="162"/>
      <c r="W782" s="162"/>
      <c r="X782" s="162"/>
      <c r="Y782" s="162"/>
      <c r="Z782" s="162"/>
    </row>
    <row r="783" ht="18.75" customHeight="1">
      <c r="A783" s="162"/>
      <c r="B783" s="162"/>
      <c r="C783" s="162"/>
      <c r="D783" s="162"/>
      <c r="E783" s="166"/>
      <c r="F783" s="166"/>
      <c r="G783" s="162"/>
      <c r="H783" s="162"/>
      <c r="I783" s="162"/>
      <c r="J783" s="162"/>
      <c r="K783" s="162"/>
      <c r="L783" s="162"/>
      <c r="M783" s="162"/>
      <c r="N783" s="162"/>
      <c r="O783" s="162"/>
      <c r="P783" s="162"/>
      <c r="Q783" s="162"/>
      <c r="R783" s="162"/>
      <c r="S783" s="162"/>
      <c r="T783" s="162"/>
      <c r="U783" s="162"/>
      <c r="V783" s="162"/>
      <c r="W783" s="162"/>
      <c r="X783" s="162"/>
      <c r="Y783" s="162"/>
      <c r="Z783" s="162"/>
    </row>
    <row r="784" ht="18.75" customHeight="1">
      <c r="A784" s="162"/>
      <c r="B784" s="162"/>
      <c r="C784" s="162"/>
      <c r="D784" s="162"/>
      <c r="E784" s="166"/>
      <c r="F784" s="166"/>
      <c r="G784" s="162"/>
      <c r="H784" s="162"/>
      <c r="I784" s="162"/>
      <c r="J784" s="162"/>
      <c r="K784" s="162"/>
      <c r="L784" s="162"/>
      <c r="M784" s="162"/>
      <c r="N784" s="162"/>
      <c r="O784" s="162"/>
      <c r="P784" s="162"/>
      <c r="Q784" s="162"/>
      <c r="R784" s="162"/>
      <c r="S784" s="162"/>
      <c r="T784" s="162"/>
      <c r="U784" s="162"/>
      <c r="V784" s="162"/>
      <c r="W784" s="162"/>
      <c r="X784" s="162"/>
      <c r="Y784" s="162"/>
      <c r="Z784" s="162"/>
    </row>
    <row r="785" ht="18.75" customHeight="1">
      <c r="A785" s="162"/>
      <c r="B785" s="162"/>
      <c r="C785" s="162"/>
      <c r="D785" s="162"/>
      <c r="E785" s="166"/>
      <c r="F785" s="166"/>
      <c r="G785" s="162"/>
      <c r="H785" s="162"/>
      <c r="I785" s="162"/>
      <c r="J785" s="162"/>
      <c r="K785" s="162"/>
      <c r="L785" s="162"/>
      <c r="M785" s="162"/>
      <c r="N785" s="162"/>
      <c r="O785" s="162"/>
      <c r="P785" s="162"/>
      <c r="Q785" s="162"/>
      <c r="R785" s="162"/>
      <c r="S785" s="162"/>
      <c r="T785" s="162"/>
      <c r="U785" s="162"/>
      <c r="V785" s="162"/>
      <c r="W785" s="162"/>
      <c r="X785" s="162"/>
      <c r="Y785" s="162"/>
      <c r="Z785" s="162"/>
    </row>
    <row r="786" ht="18.75" customHeight="1">
      <c r="A786" s="162"/>
      <c r="B786" s="162"/>
      <c r="C786" s="162"/>
      <c r="D786" s="162"/>
      <c r="E786" s="166"/>
      <c r="F786" s="166"/>
      <c r="G786" s="162"/>
      <c r="H786" s="162"/>
      <c r="I786" s="162"/>
      <c r="J786" s="162"/>
      <c r="K786" s="162"/>
      <c r="L786" s="162"/>
      <c r="M786" s="162"/>
      <c r="N786" s="162"/>
      <c r="O786" s="162"/>
      <c r="P786" s="162"/>
      <c r="Q786" s="162"/>
      <c r="R786" s="162"/>
      <c r="S786" s="162"/>
      <c r="T786" s="162"/>
      <c r="U786" s="162"/>
      <c r="V786" s="162"/>
      <c r="W786" s="162"/>
      <c r="X786" s="162"/>
      <c r="Y786" s="162"/>
      <c r="Z786" s="162"/>
    </row>
    <row r="787" ht="18.75" customHeight="1">
      <c r="A787" s="162"/>
      <c r="B787" s="162"/>
      <c r="C787" s="162"/>
      <c r="D787" s="162"/>
      <c r="E787" s="166"/>
      <c r="F787" s="166"/>
      <c r="G787" s="162"/>
      <c r="H787" s="162"/>
      <c r="I787" s="162"/>
      <c r="J787" s="162"/>
      <c r="K787" s="162"/>
      <c r="L787" s="162"/>
      <c r="M787" s="162"/>
      <c r="N787" s="162"/>
      <c r="O787" s="162"/>
      <c r="P787" s="162"/>
      <c r="Q787" s="162"/>
      <c r="R787" s="162"/>
      <c r="S787" s="162"/>
      <c r="T787" s="162"/>
      <c r="U787" s="162"/>
      <c r="V787" s="162"/>
      <c r="W787" s="162"/>
      <c r="X787" s="162"/>
      <c r="Y787" s="162"/>
      <c r="Z787" s="162"/>
    </row>
    <row r="788" ht="18.75" customHeight="1">
      <c r="A788" s="162"/>
      <c r="B788" s="162"/>
      <c r="C788" s="162"/>
      <c r="D788" s="162"/>
      <c r="E788" s="166"/>
      <c r="F788" s="166"/>
      <c r="G788" s="162"/>
      <c r="H788" s="162"/>
      <c r="I788" s="162"/>
      <c r="J788" s="162"/>
      <c r="K788" s="162"/>
      <c r="L788" s="162"/>
      <c r="M788" s="162"/>
      <c r="N788" s="162"/>
      <c r="O788" s="162"/>
      <c r="P788" s="162"/>
      <c r="Q788" s="162"/>
      <c r="R788" s="162"/>
      <c r="S788" s="162"/>
      <c r="T788" s="162"/>
      <c r="U788" s="162"/>
      <c r="V788" s="162"/>
      <c r="W788" s="162"/>
      <c r="X788" s="162"/>
      <c r="Y788" s="162"/>
      <c r="Z788" s="162"/>
    </row>
    <row r="789" ht="18.75" customHeight="1">
      <c r="A789" s="162"/>
      <c r="B789" s="162"/>
      <c r="C789" s="162"/>
      <c r="D789" s="162"/>
      <c r="E789" s="166"/>
      <c r="F789" s="166"/>
      <c r="G789" s="162"/>
      <c r="H789" s="162"/>
      <c r="I789" s="162"/>
      <c r="J789" s="162"/>
      <c r="K789" s="162"/>
      <c r="L789" s="162"/>
      <c r="M789" s="162"/>
      <c r="N789" s="162"/>
      <c r="O789" s="162"/>
      <c r="P789" s="162"/>
      <c r="Q789" s="162"/>
      <c r="R789" s="162"/>
      <c r="S789" s="162"/>
      <c r="T789" s="162"/>
      <c r="U789" s="162"/>
      <c r="V789" s="162"/>
      <c r="W789" s="162"/>
      <c r="X789" s="162"/>
      <c r="Y789" s="162"/>
      <c r="Z789" s="162"/>
    </row>
    <row r="790" ht="18.75" customHeight="1">
      <c r="A790" s="162"/>
      <c r="B790" s="162"/>
      <c r="C790" s="162"/>
      <c r="D790" s="162"/>
      <c r="E790" s="166"/>
      <c r="F790" s="166"/>
      <c r="G790" s="162"/>
      <c r="H790" s="162"/>
      <c r="I790" s="162"/>
      <c r="J790" s="162"/>
      <c r="K790" s="162"/>
      <c r="L790" s="162"/>
      <c r="M790" s="162"/>
      <c r="N790" s="162"/>
      <c r="O790" s="162"/>
      <c r="P790" s="162"/>
      <c r="Q790" s="162"/>
      <c r="R790" s="162"/>
      <c r="S790" s="162"/>
      <c r="T790" s="162"/>
      <c r="U790" s="162"/>
      <c r="V790" s="162"/>
      <c r="W790" s="162"/>
      <c r="X790" s="162"/>
      <c r="Y790" s="162"/>
      <c r="Z790" s="162"/>
    </row>
    <row r="791" ht="18.75" customHeight="1">
      <c r="A791" s="162"/>
      <c r="B791" s="162"/>
      <c r="C791" s="162"/>
      <c r="D791" s="162"/>
      <c r="E791" s="166"/>
      <c r="F791" s="166"/>
      <c r="G791" s="162"/>
      <c r="H791" s="162"/>
      <c r="I791" s="162"/>
      <c r="J791" s="162"/>
      <c r="K791" s="162"/>
      <c r="L791" s="162"/>
      <c r="M791" s="162"/>
      <c r="N791" s="162"/>
      <c r="O791" s="162"/>
      <c r="P791" s="162"/>
      <c r="Q791" s="162"/>
      <c r="R791" s="162"/>
      <c r="S791" s="162"/>
      <c r="T791" s="162"/>
      <c r="U791" s="162"/>
      <c r="V791" s="162"/>
      <c r="W791" s="162"/>
      <c r="X791" s="162"/>
      <c r="Y791" s="162"/>
      <c r="Z791" s="162"/>
    </row>
    <row r="792" ht="18.75" customHeight="1">
      <c r="A792" s="162"/>
      <c r="B792" s="162"/>
      <c r="C792" s="162"/>
      <c r="D792" s="162"/>
      <c r="E792" s="166"/>
      <c r="F792" s="166"/>
      <c r="G792" s="162"/>
      <c r="H792" s="162"/>
      <c r="I792" s="162"/>
      <c r="J792" s="162"/>
      <c r="K792" s="162"/>
      <c r="L792" s="162"/>
      <c r="M792" s="162"/>
      <c r="N792" s="162"/>
      <c r="O792" s="162"/>
      <c r="P792" s="162"/>
      <c r="Q792" s="162"/>
      <c r="R792" s="162"/>
      <c r="S792" s="162"/>
      <c r="T792" s="162"/>
      <c r="U792" s="162"/>
      <c r="V792" s="162"/>
      <c r="W792" s="162"/>
      <c r="X792" s="162"/>
      <c r="Y792" s="162"/>
      <c r="Z792" s="162"/>
    </row>
    <row r="793" ht="18.75" customHeight="1">
      <c r="A793" s="162"/>
      <c r="B793" s="162"/>
      <c r="C793" s="162"/>
      <c r="D793" s="162"/>
      <c r="E793" s="166"/>
      <c r="F793" s="166"/>
      <c r="G793" s="162"/>
      <c r="H793" s="162"/>
      <c r="I793" s="162"/>
      <c r="J793" s="162"/>
      <c r="K793" s="162"/>
      <c r="L793" s="162"/>
      <c r="M793" s="162"/>
      <c r="N793" s="162"/>
      <c r="O793" s="162"/>
      <c r="P793" s="162"/>
      <c r="Q793" s="162"/>
      <c r="R793" s="162"/>
      <c r="S793" s="162"/>
      <c r="T793" s="162"/>
      <c r="U793" s="162"/>
      <c r="V793" s="162"/>
      <c r="W793" s="162"/>
      <c r="X793" s="162"/>
      <c r="Y793" s="162"/>
      <c r="Z793" s="162"/>
    </row>
    <row r="794" ht="18.75" customHeight="1">
      <c r="A794" s="162"/>
      <c r="B794" s="162"/>
      <c r="C794" s="162"/>
      <c r="D794" s="162"/>
      <c r="E794" s="166"/>
      <c r="F794" s="166"/>
      <c r="G794" s="162"/>
      <c r="H794" s="162"/>
      <c r="I794" s="162"/>
      <c r="J794" s="162"/>
      <c r="K794" s="162"/>
      <c r="L794" s="162"/>
      <c r="M794" s="162"/>
      <c r="N794" s="162"/>
      <c r="O794" s="162"/>
      <c r="P794" s="162"/>
      <c r="Q794" s="162"/>
      <c r="R794" s="162"/>
      <c r="S794" s="162"/>
      <c r="T794" s="162"/>
      <c r="U794" s="162"/>
      <c r="V794" s="162"/>
      <c r="W794" s="162"/>
      <c r="X794" s="162"/>
      <c r="Y794" s="162"/>
      <c r="Z794" s="162"/>
    </row>
    <row r="795" ht="18.75" customHeight="1">
      <c r="A795" s="162"/>
      <c r="B795" s="162"/>
      <c r="C795" s="162"/>
      <c r="D795" s="162"/>
      <c r="E795" s="166"/>
      <c r="F795" s="166"/>
      <c r="G795" s="162"/>
      <c r="H795" s="162"/>
      <c r="I795" s="162"/>
      <c r="J795" s="162"/>
      <c r="K795" s="162"/>
      <c r="L795" s="162"/>
      <c r="M795" s="162"/>
      <c r="N795" s="162"/>
      <c r="O795" s="162"/>
      <c r="P795" s="162"/>
      <c r="Q795" s="162"/>
      <c r="R795" s="162"/>
      <c r="S795" s="162"/>
      <c r="T795" s="162"/>
      <c r="U795" s="162"/>
      <c r="V795" s="162"/>
      <c r="W795" s="162"/>
      <c r="X795" s="162"/>
      <c r="Y795" s="162"/>
      <c r="Z795" s="162"/>
    </row>
    <row r="796" ht="18.75" customHeight="1">
      <c r="A796" s="162"/>
      <c r="B796" s="162"/>
      <c r="C796" s="162"/>
      <c r="D796" s="162"/>
      <c r="E796" s="166"/>
      <c r="F796" s="166"/>
      <c r="G796" s="162"/>
      <c r="H796" s="162"/>
      <c r="I796" s="162"/>
      <c r="J796" s="162"/>
      <c r="K796" s="162"/>
      <c r="L796" s="162"/>
      <c r="M796" s="162"/>
      <c r="N796" s="162"/>
      <c r="O796" s="162"/>
      <c r="P796" s="162"/>
      <c r="Q796" s="162"/>
      <c r="R796" s="162"/>
      <c r="S796" s="162"/>
      <c r="T796" s="162"/>
      <c r="U796" s="162"/>
      <c r="V796" s="162"/>
      <c r="W796" s="162"/>
      <c r="X796" s="162"/>
      <c r="Y796" s="162"/>
      <c r="Z796" s="162"/>
    </row>
    <row r="797" ht="18.75" customHeight="1">
      <c r="A797" s="162"/>
      <c r="B797" s="162"/>
      <c r="C797" s="162"/>
      <c r="D797" s="162"/>
      <c r="E797" s="166"/>
      <c r="F797" s="166"/>
      <c r="G797" s="162"/>
      <c r="H797" s="162"/>
      <c r="I797" s="162"/>
      <c r="J797" s="162"/>
      <c r="K797" s="162"/>
      <c r="L797" s="162"/>
      <c r="M797" s="162"/>
      <c r="N797" s="162"/>
      <c r="O797" s="162"/>
      <c r="P797" s="162"/>
      <c r="Q797" s="162"/>
      <c r="R797" s="162"/>
      <c r="S797" s="162"/>
      <c r="T797" s="162"/>
      <c r="U797" s="162"/>
      <c r="V797" s="162"/>
      <c r="W797" s="162"/>
      <c r="X797" s="162"/>
      <c r="Y797" s="162"/>
      <c r="Z797" s="162"/>
    </row>
    <row r="798" ht="18.75" customHeight="1">
      <c r="A798" s="162"/>
      <c r="B798" s="162"/>
      <c r="C798" s="162"/>
      <c r="D798" s="162"/>
      <c r="E798" s="166"/>
      <c r="F798" s="166"/>
      <c r="G798" s="162"/>
      <c r="H798" s="162"/>
      <c r="I798" s="162"/>
      <c r="J798" s="162"/>
      <c r="K798" s="162"/>
      <c r="L798" s="162"/>
      <c r="M798" s="162"/>
      <c r="N798" s="162"/>
      <c r="O798" s="162"/>
      <c r="P798" s="162"/>
      <c r="Q798" s="162"/>
      <c r="R798" s="162"/>
      <c r="S798" s="162"/>
      <c r="T798" s="162"/>
      <c r="U798" s="162"/>
      <c r="V798" s="162"/>
      <c r="W798" s="162"/>
      <c r="X798" s="162"/>
      <c r="Y798" s="162"/>
      <c r="Z798" s="162"/>
    </row>
    <row r="799" ht="18.75" customHeight="1">
      <c r="A799" s="162"/>
      <c r="B799" s="162"/>
      <c r="C799" s="162"/>
      <c r="D799" s="162"/>
      <c r="E799" s="166"/>
      <c r="F799" s="166"/>
      <c r="G799" s="162"/>
      <c r="H799" s="162"/>
      <c r="I799" s="162"/>
      <c r="J799" s="162"/>
      <c r="K799" s="162"/>
      <c r="L799" s="162"/>
      <c r="M799" s="162"/>
      <c r="N799" s="162"/>
      <c r="O799" s="162"/>
      <c r="P799" s="162"/>
      <c r="Q799" s="162"/>
      <c r="R799" s="162"/>
      <c r="S799" s="162"/>
      <c r="T799" s="162"/>
      <c r="U799" s="162"/>
      <c r="V799" s="162"/>
      <c r="W799" s="162"/>
      <c r="X799" s="162"/>
      <c r="Y799" s="162"/>
      <c r="Z799" s="162"/>
    </row>
    <row r="800" ht="18.75" customHeight="1">
      <c r="A800" s="162"/>
      <c r="B800" s="162"/>
      <c r="C800" s="162"/>
      <c r="D800" s="162"/>
      <c r="E800" s="166"/>
      <c r="F800" s="166"/>
      <c r="G800" s="162"/>
      <c r="H800" s="162"/>
      <c r="I800" s="162"/>
      <c r="J800" s="162"/>
      <c r="K800" s="162"/>
      <c r="L800" s="162"/>
      <c r="M800" s="162"/>
      <c r="N800" s="162"/>
      <c r="O800" s="162"/>
      <c r="P800" s="162"/>
      <c r="Q800" s="162"/>
      <c r="R800" s="162"/>
      <c r="S800" s="162"/>
      <c r="T800" s="162"/>
      <c r="U800" s="162"/>
      <c r="V800" s="162"/>
      <c r="W800" s="162"/>
      <c r="X800" s="162"/>
      <c r="Y800" s="162"/>
      <c r="Z800" s="162"/>
    </row>
    <row r="801" ht="18.75" customHeight="1">
      <c r="A801" s="162"/>
      <c r="B801" s="162"/>
      <c r="C801" s="162"/>
      <c r="D801" s="162"/>
      <c r="E801" s="166"/>
      <c r="F801" s="166"/>
      <c r="G801" s="162"/>
      <c r="H801" s="162"/>
      <c r="I801" s="162"/>
      <c r="J801" s="162"/>
      <c r="K801" s="162"/>
      <c r="L801" s="162"/>
      <c r="M801" s="162"/>
      <c r="N801" s="162"/>
      <c r="O801" s="162"/>
      <c r="P801" s="162"/>
      <c r="Q801" s="162"/>
      <c r="R801" s="162"/>
      <c r="S801" s="162"/>
      <c r="T801" s="162"/>
      <c r="U801" s="162"/>
      <c r="V801" s="162"/>
      <c r="W801" s="162"/>
      <c r="X801" s="162"/>
      <c r="Y801" s="162"/>
      <c r="Z801" s="162"/>
    </row>
    <row r="802" ht="18.75" customHeight="1">
      <c r="A802" s="162"/>
      <c r="B802" s="162"/>
      <c r="C802" s="162"/>
      <c r="D802" s="162"/>
      <c r="E802" s="166"/>
      <c r="F802" s="166"/>
      <c r="G802" s="162"/>
      <c r="H802" s="162"/>
      <c r="I802" s="162"/>
      <c r="J802" s="162"/>
      <c r="K802" s="162"/>
      <c r="L802" s="162"/>
      <c r="M802" s="162"/>
      <c r="N802" s="162"/>
      <c r="O802" s="162"/>
      <c r="P802" s="162"/>
      <c r="Q802" s="162"/>
      <c r="R802" s="162"/>
      <c r="S802" s="162"/>
      <c r="T802" s="162"/>
      <c r="U802" s="162"/>
      <c r="V802" s="162"/>
      <c r="W802" s="162"/>
      <c r="X802" s="162"/>
      <c r="Y802" s="162"/>
      <c r="Z802" s="162"/>
    </row>
    <row r="803" ht="18.75" customHeight="1">
      <c r="A803" s="162"/>
      <c r="B803" s="162"/>
      <c r="C803" s="162"/>
      <c r="D803" s="162"/>
      <c r="E803" s="166"/>
      <c r="F803" s="166"/>
      <c r="G803" s="162"/>
      <c r="H803" s="162"/>
      <c r="I803" s="162"/>
      <c r="J803" s="162"/>
      <c r="K803" s="162"/>
      <c r="L803" s="162"/>
      <c r="M803" s="162"/>
      <c r="N803" s="162"/>
      <c r="O803" s="162"/>
      <c r="P803" s="162"/>
      <c r="Q803" s="162"/>
      <c r="R803" s="162"/>
      <c r="S803" s="162"/>
      <c r="T803" s="162"/>
      <c r="U803" s="162"/>
      <c r="V803" s="162"/>
      <c r="W803" s="162"/>
      <c r="X803" s="162"/>
      <c r="Y803" s="162"/>
      <c r="Z803" s="162"/>
    </row>
    <row r="804" ht="18.75" customHeight="1">
      <c r="A804" s="162"/>
      <c r="B804" s="162"/>
      <c r="C804" s="162"/>
      <c r="D804" s="162"/>
      <c r="E804" s="166"/>
      <c r="F804" s="166"/>
      <c r="G804" s="162"/>
      <c r="H804" s="162"/>
      <c r="I804" s="162"/>
      <c r="J804" s="162"/>
      <c r="K804" s="162"/>
      <c r="L804" s="162"/>
      <c r="M804" s="162"/>
      <c r="N804" s="162"/>
      <c r="O804" s="162"/>
      <c r="P804" s="162"/>
      <c r="Q804" s="162"/>
      <c r="R804" s="162"/>
      <c r="S804" s="162"/>
      <c r="T804" s="162"/>
      <c r="U804" s="162"/>
      <c r="V804" s="162"/>
      <c r="W804" s="162"/>
      <c r="X804" s="162"/>
      <c r="Y804" s="162"/>
      <c r="Z804" s="162"/>
    </row>
    <row r="805" ht="18.75" customHeight="1">
      <c r="A805" s="162"/>
      <c r="B805" s="162"/>
      <c r="C805" s="162"/>
      <c r="D805" s="162"/>
      <c r="E805" s="166"/>
      <c r="F805" s="166"/>
      <c r="G805" s="162"/>
      <c r="H805" s="162"/>
      <c r="I805" s="162"/>
      <c r="J805" s="162"/>
      <c r="K805" s="162"/>
      <c r="L805" s="162"/>
      <c r="M805" s="162"/>
      <c r="N805" s="162"/>
      <c r="O805" s="162"/>
      <c r="P805" s="162"/>
      <c r="Q805" s="162"/>
      <c r="R805" s="162"/>
      <c r="S805" s="162"/>
      <c r="T805" s="162"/>
      <c r="U805" s="162"/>
      <c r="V805" s="162"/>
      <c r="W805" s="162"/>
      <c r="X805" s="162"/>
      <c r="Y805" s="162"/>
      <c r="Z805" s="162"/>
    </row>
    <row r="806" ht="18.75" customHeight="1">
      <c r="A806" s="162"/>
      <c r="B806" s="162"/>
      <c r="C806" s="162"/>
      <c r="D806" s="162"/>
      <c r="E806" s="166"/>
      <c r="F806" s="166"/>
      <c r="G806" s="162"/>
      <c r="H806" s="162"/>
      <c r="I806" s="162"/>
      <c r="J806" s="162"/>
      <c r="K806" s="162"/>
      <c r="L806" s="162"/>
      <c r="M806" s="162"/>
      <c r="N806" s="162"/>
      <c r="O806" s="162"/>
      <c r="P806" s="162"/>
      <c r="Q806" s="162"/>
      <c r="R806" s="162"/>
      <c r="S806" s="162"/>
      <c r="T806" s="162"/>
      <c r="U806" s="162"/>
      <c r="V806" s="162"/>
      <c r="W806" s="162"/>
      <c r="X806" s="162"/>
      <c r="Y806" s="162"/>
      <c r="Z806" s="162"/>
    </row>
    <row r="807" ht="18.75" customHeight="1">
      <c r="A807" s="162"/>
      <c r="B807" s="162"/>
      <c r="C807" s="162"/>
      <c r="D807" s="162"/>
      <c r="E807" s="166"/>
      <c r="F807" s="166"/>
      <c r="G807" s="162"/>
      <c r="H807" s="162"/>
      <c r="I807" s="162"/>
      <c r="J807" s="162"/>
      <c r="K807" s="162"/>
      <c r="L807" s="162"/>
      <c r="M807" s="162"/>
      <c r="N807" s="162"/>
      <c r="O807" s="162"/>
      <c r="P807" s="162"/>
      <c r="Q807" s="162"/>
      <c r="R807" s="162"/>
      <c r="S807" s="162"/>
      <c r="T807" s="162"/>
      <c r="U807" s="162"/>
      <c r="V807" s="162"/>
      <c r="W807" s="162"/>
      <c r="X807" s="162"/>
      <c r="Y807" s="162"/>
      <c r="Z807" s="162"/>
    </row>
    <row r="808" ht="18.75" customHeight="1">
      <c r="A808" s="162"/>
      <c r="B808" s="162"/>
      <c r="C808" s="162"/>
      <c r="D808" s="162"/>
      <c r="E808" s="166"/>
      <c r="F808" s="166"/>
      <c r="G808" s="162"/>
      <c r="H808" s="162"/>
      <c r="I808" s="162"/>
      <c r="J808" s="162"/>
      <c r="K808" s="162"/>
      <c r="L808" s="162"/>
      <c r="M808" s="162"/>
      <c r="N808" s="162"/>
      <c r="O808" s="162"/>
      <c r="P808" s="162"/>
      <c r="Q808" s="162"/>
      <c r="R808" s="162"/>
      <c r="S808" s="162"/>
      <c r="T808" s="162"/>
      <c r="U808" s="162"/>
      <c r="V808" s="162"/>
      <c r="W808" s="162"/>
      <c r="X808" s="162"/>
      <c r="Y808" s="162"/>
      <c r="Z808" s="162"/>
    </row>
    <row r="809" ht="18.75" customHeight="1">
      <c r="A809" s="162"/>
      <c r="B809" s="162"/>
      <c r="C809" s="162"/>
      <c r="D809" s="162"/>
      <c r="E809" s="166"/>
      <c r="F809" s="166"/>
      <c r="G809" s="162"/>
      <c r="H809" s="162"/>
      <c r="I809" s="162"/>
      <c r="J809" s="162"/>
      <c r="K809" s="162"/>
      <c r="L809" s="162"/>
      <c r="M809" s="162"/>
      <c r="N809" s="162"/>
      <c r="O809" s="162"/>
      <c r="P809" s="162"/>
      <c r="Q809" s="162"/>
      <c r="R809" s="162"/>
      <c r="S809" s="162"/>
      <c r="T809" s="162"/>
      <c r="U809" s="162"/>
      <c r="V809" s="162"/>
      <c r="W809" s="162"/>
      <c r="X809" s="162"/>
      <c r="Y809" s="162"/>
      <c r="Z809" s="162"/>
    </row>
    <row r="810" ht="18.75" customHeight="1">
      <c r="A810" s="162"/>
      <c r="B810" s="162"/>
      <c r="C810" s="162"/>
      <c r="D810" s="162"/>
      <c r="E810" s="166"/>
      <c r="F810" s="166"/>
      <c r="G810" s="162"/>
      <c r="H810" s="162"/>
      <c r="I810" s="162"/>
      <c r="J810" s="162"/>
      <c r="K810" s="162"/>
      <c r="L810" s="162"/>
      <c r="M810" s="162"/>
      <c r="N810" s="162"/>
      <c r="O810" s="162"/>
      <c r="P810" s="162"/>
      <c r="Q810" s="162"/>
      <c r="R810" s="162"/>
      <c r="S810" s="162"/>
      <c r="T810" s="162"/>
      <c r="U810" s="162"/>
      <c r="V810" s="162"/>
      <c r="W810" s="162"/>
      <c r="X810" s="162"/>
      <c r="Y810" s="162"/>
      <c r="Z810" s="162"/>
    </row>
    <row r="811" ht="18.75" customHeight="1">
      <c r="A811" s="162"/>
      <c r="B811" s="162"/>
      <c r="C811" s="162"/>
      <c r="D811" s="162"/>
      <c r="E811" s="166"/>
      <c r="F811" s="166"/>
      <c r="G811" s="162"/>
      <c r="H811" s="162"/>
      <c r="I811" s="162"/>
      <c r="J811" s="162"/>
      <c r="K811" s="162"/>
      <c r="L811" s="162"/>
      <c r="M811" s="162"/>
      <c r="N811" s="162"/>
      <c r="O811" s="162"/>
      <c r="P811" s="162"/>
      <c r="Q811" s="162"/>
      <c r="R811" s="162"/>
      <c r="S811" s="162"/>
      <c r="T811" s="162"/>
      <c r="U811" s="162"/>
      <c r="V811" s="162"/>
      <c r="W811" s="162"/>
      <c r="X811" s="162"/>
      <c r="Y811" s="162"/>
      <c r="Z811" s="162"/>
    </row>
    <row r="812" ht="18.75" customHeight="1">
      <c r="A812" s="162"/>
      <c r="B812" s="162"/>
      <c r="C812" s="162"/>
      <c r="D812" s="162"/>
      <c r="E812" s="166"/>
      <c r="F812" s="166"/>
      <c r="G812" s="162"/>
      <c r="H812" s="162"/>
      <c r="I812" s="162"/>
      <c r="J812" s="162"/>
      <c r="K812" s="162"/>
      <c r="L812" s="162"/>
      <c r="M812" s="162"/>
      <c r="N812" s="162"/>
      <c r="O812" s="162"/>
      <c r="P812" s="162"/>
      <c r="Q812" s="162"/>
      <c r="R812" s="162"/>
      <c r="S812" s="162"/>
      <c r="T812" s="162"/>
      <c r="U812" s="162"/>
      <c r="V812" s="162"/>
      <c r="W812" s="162"/>
      <c r="X812" s="162"/>
      <c r="Y812" s="162"/>
      <c r="Z812" s="162"/>
    </row>
    <row r="813" ht="18.75" customHeight="1">
      <c r="A813" s="162"/>
      <c r="B813" s="162"/>
      <c r="C813" s="162"/>
      <c r="D813" s="162"/>
      <c r="E813" s="166"/>
      <c r="F813" s="166"/>
      <c r="G813" s="162"/>
      <c r="H813" s="162"/>
      <c r="I813" s="162"/>
      <c r="J813" s="162"/>
      <c r="K813" s="162"/>
      <c r="L813" s="162"/>
      <c r="M813" s="162"/>
      <c r="N813" s="162"/>
      <c r="O813" s="162"/>
      <c r="P813" s="162"/>
      <c r="Q813" s="162"/>
      <c r="R813" s="162"/>
      <c r="S813" s="162"/>
      <c r="T813" s="162"/>
      <c r="U813" s="162"/>
      <c r="V813" s="162"/>
      <c r="W813" s="162"/>
      <c r="X813" s="162"/>
      <c r="Y813" s="162"/>
      <c r="Z813" s="162"/>
    </row>
    <row r="814" ht="18.75" customHeight="1">
      <c r="A814" s="162"/>
      <c r="B814" s="162"/>
      <c r="C814" s="162"/>
      <c r="D814" s="162"/>
      <c r="E814" s="166"/>
      <c r="F814" s="166"/>
      <c r="G814" s="162"/>
      <c r="H814" s="162"/>
      <c r="I814" s="162"/>
      <c r="J814" s="162"/>
      <c r="K814" s="162"/>
      <c r="L814" s="162"/>
      <c r="M814" s="162"/>
      <c r="N814" s="162"/>
      <c r="O814" s="162"/>
      <c r="P814" s="162"/>
      <c r="Q814" s="162"/>
      <c r="R814" s="162"/>
      <c r="S814" s="162"/>
      <c r="T814" s="162"/>
      <c r="U814" s="162"/>
      <c r="V814" s="162"/>
      <c r="W814" s="162"/>
      <c r="X814" s="162"/>
      <c r="Y814" s="162"/>
      <c r="Z814" s="162"/>
    </row>
    <row r="815" ht="18.75" customHeight="1">
      <c r="A815" s="162"/>
      <c r="B815" s="162"/>
      <c r="C815" s="162"/>
      <c r="D815" s="162"/>
      <c r="E815" s="166"/>
      <c r="F815" s="166"/>
      <c r="G815" s="162"/>
      <c r="H815" s="162"/>
      <c r="I815" s="162"/>
      <c r="J815" s="162"/>
      <c r="K815" s="162"/>
      <c r="L815" s="162"/>
      <c r="M815" s="162"/>
      <c r="N815" s="162"/>
      <c r="O815" s="162"/>
      <c r="P815" s="162"/>
      <c r="Q815" s="162"/>
      <c r="R815" s="162"/>
      <c r="S815" s="162"/>
      <c r="T815" s="162"/>
      <c r="U815" s="162"/>
      <c r="V815" s="162"/>
      <c r="W815" s="162"/>
      <c r="X815" s="162"/>
      <c r="Y815" s="162"/>
      <c r="Z815" s="162"/>
    </row>
    <row r="816" ht="18.75" customHeight="1">
      <c r="A816" s="162"/>
      <c r="B816" s="162"/>
      <c r="C816" s="162"/>
      <c r="D816" s="162"/>
      <c r="E816" s="166"/>
      <c r="F816" s="166"/>
      <c r="G816" s="162"/>
      <c r="H816" s="162"/>
      <c r="I816" s="162"/>
      <c r="J816" s="162"/>
      <c r="K816" s="162"/>
      <c r="L816" s="162"/>
      <c r="M816" s="162"/>
      <c r="N816" s="162"/>
      <c r="O816" s="162"/>
      <c r="P816" s="162"/>
      <c r="Q816" s="162"/>
      <c r="R816" s="162"/>
      <c r="S816" s="162"/>
      <c r="T816" s="162"/>
      <c r="U816" s="162"/>
      <c r="V816" s="162"/>
      <c r="W816" s="162"/>
      <c r="X816" s="162"/>
      <c r="Y816" s="162"/>
      <c r="Z816" s="162"/>
    </row>
    <row r="817" ht="18.75" customHeight="1">
      <c r="A817" s="162"/>
      <c r="B817" s="162"/>
      <c r="C817" s="162"/>
      <c r="D817" s="162"/>
      <c r="E817" s="166"/>
      <c r="F817" s="166"/>
      <c r="G817" s="162"/>
      <c r="H817" s="162"/>
      <c r="I817" s="162"/>
      <c r="J817" s="162"/>
      <c r="K817" s="162"/>
      <c r="L817" s="162"/>
      <c r="M817" s="162"/>
      <c r="N817" s="162"/>
      <c r="O817" s="162"/>
      <c r="P817" s="162"/>
      <c r="Q817" s="162"/>
      <c r="R817" s="162"/>
      <c r="S817" s="162"/>
      <c r="T817" s="162"/>
      <c r="U817" s="162"/>
      <c r="V817" s="162"/>
      <c r="W817" s="162"/>
      <c r="X817" s="162"/>
      <c r="Y817" s="162"/>
      <c r="Z817" s="162"/>
    </row>
    <row r="818" ht="18.75" customHeight="1">
      <c r="A818" s="162"/>
      <c r="B818" s="162"/>
      <c r="C818" s="162"/>
      <c r="D818" s="162"/>
      <c r="E818" s="166"/>
      <c r="F818" s="166"/>
      <c r="G818" s="162"/>
      <c r="H818" s="162"/>
      <c r="I818" s="162"/>
      <c r="J818" s="162"/>
      <c r="K818" s="162"/>
      <c r="L818" s="162"/>
      <c r="M818" s="162"/>
      <c r="N818" s="162"/>
      <c r="O818" s="162"/>
      <c r="P818" s="162"/>
      <c r="Q818" s="162"/>
      <c r="R818" s="162"/>
      <c r="S818" s="162"/>
      <c r="T818" s="162"/>
      <c r="U818" s="162"/>
      <c r="V818" s="162"/>
      <c r="W818" s="162"/>
      <c r="X818" s="162"/>
      <c r="Y818" s="162"/>
      <c r="Z818" s="162"/>
    </row>
    <row r="819" ht="18.75" customHeight="1">
      <c r="A819" s="162"/>
      <c r="B819" s="162"/>
      <c r="C819" s="162"/>
      <c r="D819" s="162"/>
      <c r="E819" s="166"/>
      <c r="F819" s="166"/>
      <c r="G819" s="162"/>
      <c r="H819" s="162"/>
      <c r="I819" s="162"/>
      <c r="J819" s="162"/>
      <c r="K819" s="162"/>
      <c r="L819" s="162"/>
      <c r="M819" s="162"/>
      <c r="N819" s="162"/>
      <c r="O819" s="162"/>
      <c r="P819" s="162"/>
      <c r="Q819" s="162"/>
      <c r="R819" s="162"/>
      <c r="S819" s="162"/>
      <c r="T819" s="162"/>
      <c r="U819" s="162"/>
      <c r="V819" s="162"/>
      <c r="W819" s="162"/>
      <c r="X819" s="162"/>
      <c r="Y819" s="162"/>
      <c r="Z819" s="162"/>
    </row>
    <row r="820" ht="18.75" customHeight="1">
      <c r="A820" s="162"/>
      <c r="B820" s="162"/>
      <c r="C820" s="162"/>
      <c r="D820" s="162"/>
      <c r="E820" s="166"/>
      <c r="F820" s="166"/>
      <c r="G820" s="162"/>
      <c r="H820" s="162"/>
      <c r="I820" s="162"/>
      <c r="J820" s="162"/>
      <c r="K820" s="162"/>
      <c r="L820" s="162"/>
      <c r="M820" s="162"/>
      <c r="N820" s="162"/>
      <c r="O820" s="162"/>
      <c r="P820" s="162"/>
      <c r="Q820" s="162"/>
      <c r="R820" s="162"/>
      <c r="S820" s="162"/>
      <c r="T820" s="162"/>
      <c r="U820" s="162"/>
      <c r="V820" s="162"/>
      <c r="W820" s="162"/>
      <c r="X820" s="162"/>
      <c r="Y820" s="162"/>
      <c r="Z820" s="162"/>
    </row>
    <row r="821" ht="18.75" customHeight="1">
      <c r="A821" s="162"/>
      <c r="B821" s="162"/>
      <c r="C821" s="162"/>
      <c r="D821" s="162"/>
      <c r="E821" s="166"/>
      <c r="F821" s="166"/>
      <c r="G821" s="162"/>
      <c r="H821" s="162"/>
      <c r="I821" s="162"/>
      <c r="J821" s="162"/>
      <c r="K821" s="162"/>
      <c r="L821" s="162"/>
      <c r="M821" s="162"/>
      <c r="N821" s="162"/>
      <c r="O821" s="162"/>
      <c r="P821" s="162"/>
      <c r="Q821" s="162"/>
      <c r="R821" s="162"/>
      <c r="S821" s="162"/>
      <c r="T821" s="162"/>
      <c r="U821" s="162"/>
      <c r="V821" s="162"/>
      <c r="W821" s="162"/>
      <c r="X821" s="162"/>
      <c r="Y821" s="162"/>
      <c r="Z821" s="162"/>
    </row>
    <row r="822" ht="18.75" customHeight="1">
      <c r="A822" s="162"/>
      <c r="B822" s="162"/>
      <c r="C822" s="162"/>
      <c r="D822" s="162"/>
      <c r="E822" s="166"/>
      <c r="F822" s="166"/>
      <c r="G822" s="162"/>
      <c r="H822" s="162"/>
      <c r="I822" s="162"/>
      <c r="J822" s="162"/>
      <c r="K822" s="162"/>
      <c r="L822" s="162"/>
      <c r="M822" s="162"/>
      <c r="N822" s="162"/>
      <c r="O822" s="162"/>
      <c r="P822" s="162"/>
      <c r="Q822" s="162"/>
      <c r="R822" s="162"/>
      <c r="S822" s="162"/>
      <c r="T822" s="162"/>
      <c r="U822" s="162"/>
      <c r="V822" s="162"/>
      <c r="W822" s="162"/>
      <c r="X822" s="162"/>
      <c r="Y822" s="162"/>
      <c r="Z822" s="162"/>
    </row>
    <row r="823" ht="18.75" customHeight="1">
      <c r="A823" s="162"/>
      <c r="B823" s="162"/>
      <c r="C823" s="162"/>
      <c r="D823" s="162"/>
      <c r="E823" s="166"/>
      <c r="F823" s="166"/>
      <c r="G823" s="162"/>
      <c r="H823" s="162"/>
      <c r="I823" s="162"/>
      <c r="J823" s="162"/>
      <c r="K823" s="162"/>
      <c r="L823" s="162"/>
      <c r="M823" s="162"/>
      <c r="N823" s="162"/>
      <c r="O823" s="162"/>
      <c r="P823" s="162"/>
      <c r="Q823" s="162"/>
      <c r="R823" s="162"/>
      <c r="S823" s="162"/>
      <c r="T823" s="162"/>
      <c r="U823" s="162"/>
      <c r="V823" s="162"/>
      <c r="W823" s="162"/>
      <c r="X823" s="162"/>
      <c r="Y823" s="162"/>
      <c r="Z823" s="162"/>
    </row>
    <row r="824" ht="18.75" customHeight="1">
      <c r="A824" s="162"/>
      <c r="B824" s="162"/>
      <c r="C824" s="162"/>
      <c r="D824" s="162"/>
      <c r="E824" s="166"/>
      <c r="F824" s="166"/>
      <c r="G824" s="162"/>
      <c r="H824" s="162"/>
      <c r="I824" s="162"/>
      <c r="J824" s="162"/>
      <c r="K824" s="162"/>
      <c r="L824" s="162"/>
      <c r="M824" s="162"/>
      <c r="N824" s="162"/>
      <c r="O824" s="162"/>
      <c r="P824" s="162"/>
      <c r="Q824" s="162"/>
      <c r="R824" s="162"/>
      <c r="S824" s="162"/>
      <c r="T824" s="162"/>
      <c r="U824" s="162"/>
      <c r="V824" s="162"/>
      <c r="W824" s="162"/>
      <c r="X824" s="162"/>
      <c r="Y824" s="162"/>
      <c r="Z824" s="162"/>
    </row>
    <row r="825" ht="18.75" customHeight="1">
      <c r="A825" s="162"/>
      <c r="B825" s="162"/>
      <c r="C825" s="162"/>
      <c r="D825" s="162"/>
      <c r="E825" s="166"/>
      <c r="F825" s="166"/>
      <c r="G825" s="162"/>
      <c r="H825" s="162"/>
      <c r="I825" s="162"/>
      <c r="J825" s="162"/>
      <c r="K825" s="162"/>
      <c r="L825" s="162"/>
      <c r="M825" s="162"/>
      <c r="N825" s="162"/>
      <c r="O825" s="162"/>
      <c r="P825" s="162"/>
      <c r="Q825" s="162"/>
      <c r="R825" s="162"/>
      <c r="S825" s="162"/>
      <c r="T825" s="162"/>
      <c r="U825" s="162"/>
      <c r="V825" s="162"/>
      <c r="W825" s="162"/>
      <c r="X825" s="162"/>
      <c r="Y825" s="162"/>
      <c r="Z825" s="162"/>
    </row>
    <row r="826" ht="18.75" customHeight="1">
      <c r="A826" s="162"/>
      <c r="B826" s="162"/>
      <c r="C826" s="162"/>
      <c r="D826" s="162"/>
      <c r="E826" s="166"/>
      <c r="F826" s="166"/>
      <c r="G826" s="162"/>
      <c r="H826" s="162"/>
      <c r="I826" s="162"/>
      <c r="J826" s="162"/>
      <c r="K826" s="162"/>
      <c r="L826" s="162"/>
      <c r="M826" s="162"/>
      <c r="N826" s="162"/>
      <c r="O826" s="162"/>
      <c r="P826" s="162"/>
      <c r="Q826" s="162"/>
      <c r="R826" s="162"/>
      <c r="S826" s="162"/>
      <c r="T826" s="162"/>
      <c r="U826" s="162"/>
      <c r="V826" s="162"/>
      <c r="W826" s="162"/>
      <c r="X826" s="162"/>
      <c r="Y826" s="162"/>
      <c r="Z826" s="162"/>
    </row>
    <row r="827" ht="18.75" customHeight="1">
      <c r="A827" s="162"/>
      <c r="B827" s="162"/>
      <c r="C827" s="162"/>
      <c r="D827" s="162"/>
      <c r="E827" s="166"/>
      <c r="F827" s="166"/>
      <c r="G827" s="162"/>
      <c r="H827" s="162"/>
      <c r="I827" s="162"/>
      <c r="J827" s="162"/>
      <c r="K827" s="162"/>
      <c r="L827" s="162"/>
      <c r="M827" s="162"/>
      <c r="N827" s="162"/>
      <c r="O827" s="162"/>
      <c r="P827" s="162"/>
      <c r="Q827" s="162"/>
      <c r="R827" s="162"/>
      <c r="S827" s="162"/>
      <c r="T827" s="162"/>
      <c r="U827" s="162"/>
      <c r="V827" s="162"/>
      <c r="W827" s="162"/>
      <c r="X827" s="162"/>
      <c r="Y827" s="162"/>
      <c r="Z827" s="162"/>
    </row>
    <row r="828" ht="18.75" customHeight="1">
      <c r="A828" s="162"/>
      <c r="B828" s="162"/>
      <c r="C828" s="162"/>
      <c r="D828" s="162"/>
      <c r="E828" s="166"/>
      <c r="F828" s="166"/>
      <c r="G828" s="162"/>
      <c r="H828" s="162"/>
      <c r="I828" s="162"/>
      <c r="J828" s="162"/>
      <c r="K828" s="162"/>
      <c r="L828" s="162"/>
      <c r="M828" s="162"/>
      <c r="N828" s="162"/>
      <c r="O828" s="162"/>
      <c r="P828" s="162"/>
      <c r="Q828" s="162"/>
      <c r="R828" s="162"/>
      <c r="S828" s="162"/>
      <c r="T828" s="162"/>
      <c r="U828" s="162"/>
      <c r="V828" s="162"/>
      <c r="W828" s="162"/>
      <c r="X828" s="162"/>
      <c r="Y828" s="162"/>
      <c r="Z828" s="162"/>
    </row>
    <row r="829" ht="18.75" customHeight="1">
      <c r="A829" s="162"/>
      <c r="B829" s="162"/>
      <c r="C829" s="162"/>
      <c r="D829" s="162"/>
      <c r="E829" s="166"/>
      <c r="F829" s="166"/>
      <c r="G829" s="162"/>
      <c r="H829" s="162"/>
      <c r="I829" s="162"/>
      <c r="J829" s="162"/>
      <c r="K829" s="162"/>
      <c r="L829" s="162"/>
      <c r="M829" s="162"/>
      <c r="N829" s="162"/>
      <c r="O829" s="162"/>
      <c r="P829" s="162"/>
      <c r="Q829" s="162"/>
      <c r="R829" s="162"/>
      <c r="S829" s="162"/>
      <c r="T829" s="162"/>
      <c r="U829" s="162"/>
      <c r="V829" s="162"/>
      <c r="W829" s="162"/>
      <c r="X829" s="162"/>
      <c r="Y829" s="162"/>
      <c r="Z829" s="162"/>
    </row>
    <row r="830" ht="18.75" customHeight="1">
      <c r="A830" s="162"/>
      <c r="B830" s="162"/>
      <c r="C830" s="162"/>
      <c r="D830" s="162"/>
      <c r="E830" s="166"/>
      <c r="F830" s="166"/>
      <c r="G830" s="162"/>
      <c r="H830" s="162"/>
      <c r="I830" s="162"/>
      <c r="J830" s="162"/>
      <c r="K830" s="162"/>
      <c r="L830" s="162"/>
      <c r="M830" s="162"/>
      <c r="N830" s="162"/>
      <c r="O830" s="162"/>
      <c r="P830" s="162"/>
      <c r="Q830" s="162"/>
      <c r="R830" s="162"/>
      <c r="S830" s="162"/>
      <c r="T830" s="162"/>
      <c r="U830" s="162"/>
      <c r="V830" s="162"/>
      <c r="W830" s="162"/>
      <c r="X830" s="162"/>
      <c r="Y830" s="162"/>
      <c r="Z830" s="162"/>
    </row>
    <row r="831" ht="18.75" customHeight="1">
      <c r="A831" s="162"/>
      <c r="B831" s="162"/>
      <c r="C831" s="162"/>
      <c r="D831" s="162"/>
      <c r="E831" s="166"/>
      <c r="F831" s="166"/>
      <c r="G831" s="162"/>
      <c r="H831" s="162"/>
      <c r="I831" s="162"/>
      <c r="J831" s="162"/>
      <c r="K831" s="162"/>
      <c r="L831" s="162"/>
      <c r="M831" s="162"/>
      <c r="N831" s="162"/>
      <c r="O831" s="162"/>
      <c r="P831" s="162"/>
      <c r="Q831" s="162"/>
      <c r="R831" s="162"/>
      <c r="S831" s="162"/>
      <c r="T831" s="162"/>
      <c r="U831" s="162"/>
      <c r="V831" s="162"/>
      <c r="W831" s="162"/>
      <c r="X831" s="162"/>
      <c r="Y831" s="162"/>
      <c r="Z831" s="162"/>
    </row>
    <row r="832" ht="18.75" customHeight="1">
      <c r="A832" s="162"/>
      <c r="B832" s="162"/>
      <c r="C832" s="162"/>
      <c r="D832" s="162"/>
      <c r="E832" s="166"/>
      <c r="F832" s="166"/>
      <c r="G832" s="162"/>
      <c r="H832" s="162"/>
      <c r="I832" s="162"/>
      <c r="J832" s="162"/>
      <c r="K832" s="162"/>
      <c r="L832" s="162"/>
      <c r="M832" s="162"/>
      <c r="N832" s="162"/>
      <c r="O832" s="162"/>
      <c r="P832" s="162"/>
      <c r="Q832" s="162"/>
      <c r="R832" s="162"/>
      <c r="S832" s="162"/>
      <c r="T832" s="162"/>
      <c r="U832" s="162"/>
      <c r="V832" s="162"/>
      <c r="W832" s="162"/>
      <c r="X832" s="162"/>
      <c r="Y832" s="162"/>
      <c r="Z832" s="162"/>
    </row>
    <row r="833" ht="18.75" customHeight="1">
      <c r="A833" s="162"/>
      <c r="B833" s="162"/>
      <c r="C833" s="162"/>
      <c r="D833" s="162"/>
      <c r="E833" s="166"/>
      <c r="F833" s="166"/>
      <c r="G833" s="162"/>
      <c r="H833" s="162"/>
      <c r="I833" s="162"/>
      <c r="J833" s="162"/>
      <c r="K833" s="162"/>
      <c r="L833" s="162"/>
      <c r="M833" s="162"/>
      <c r="N833" s="162"/>
      <c r="O833" s="162"/>
      <c r="P833" s="162"/>
      <c r="Q833" s="162"/>
      <c r="R833" s="162"/>
      <c r="S833" s="162"/>
      <c r="T833" s="162"/>
      <c r="U833" s="162"/>
      <c r="V833" s="162"/>
      <c r="W833" s="162"/>
      <c r="X833" s="162"/>
      <c r="Y833" s="162"/>
      <c r="Z833" s="162"/>
    </row>
    <row r="834" ht="18.75" customHeight="1">
      <c r="A834" s="162"/>
      <c r="B834" s="162"/>
      <c r="C834" s="162"/>
      <c r="D834" s="162"/>
      <c r="E834" s="166"/>
      <c r="F834" s="166"/>
      <c r="G834" s="162"/>
      <c r="H834" s="162"/>
      <c r="I834" s="162"/>
      <c r="J834" s="162"/>
      <c r="K834" s="162"/>
      <c r="L834" s="162"/>
      <c r="M834" s="162"/>
      <c r="N834" s="162"/>
      <c r="O834" s="162"/>
      <c r="P834" s="162"/>
      <c r="Q834" s="162"/>
      <c r="R834" s="162"/>
      <c r="S834" s="162"/>
      <c r="T834" s="162"/>
      <c r="U834" s="162"/>
      <c r="V834" s="162"/>
      <c r="W834" s="162"/>
      <c r="X834" s="162"/>
      <c r="Y834" s="162"/>
      <c r="Z834" s="162"/>
    </row>
    <row r="835" ht="18.75" customHeight="1">
      <c r="A835" s="162"/>
      <c r="B835" s="162"/>
      <c r="C835" s="162"/>
      <c r="D835" s="162"/>
      <c r="E835" s="166"/>
      <c r="F835" s="166"/>
      <c r="G835" s="162"/>
      <c r="H835" s="162"/>
      <c r="I835" s="162"/>
      <c r="J835" s="162"/>
      <c r="K835" s="162"/>
      <c r="L835" s="162"/>
      <c r="M835" s="162"/>
      <c r="N835" s="162"/>
      <c r="O835" s="162"/>
      <c r="P835" s="162"/>
      <c r="Q835" s="162"/>
      <c r="R835" s="162"/>
      <c r="S835" s="162"/>
      <c r="T835" s="162"/>
      <c r="U835" s="162"/>
      <c r="V835" s="162"/>
      <c r="W835" s="162"/>
      <c r="X835" s="162"/>
      <c r="Y835" s="162"/>
      <c r="Z835" s="162"/>
    </row>
    <row r="836" ht="18.75" customHeight="1">
      <c r="A836" s="162"/>
      <c r="B836" s="162"/>
      <c r="C836" s="162"/>
      <c r="D836" s="162"/>
      <c r="E836" s="166"/>
      <c r="F836" s="166"/>
      <c r="G836" s="162"/>
      <c r="H836" s="162"/>
      <c r="I836" s="162"/>
      <c r="J836" s="162"/>
      <c r="K836" s="162"/>
      <c r="L836" s="162"/>
      <c r="M836" s="162"/>
      <c r="N836" s="162"/>
      <c r="O836" s="162"/>
      <c r="P836" s="162"/>
      <c r="Q836" s="162"/>
      <c r="R836" s="162"/>
      <c r="S836" s="162"/>
      <c r="T836" s="162"/>
      <c r="U836" s="162"/>
      <c r="V836" s="162"/>
      <c r="W836" s="162"/>
      <c r="X836" s="162"/>
      <c r="Y836" s="162"/>
      <c r="Z836" s="162"/>
    </row>
    <row r="837" ht="18.75" customHeight="1">
      <c r="A837" s="162"/>
      <c r="B837" s="162"/>
      <c r="C837" s="162"/>
      <c r="D837" s="162"/>
      <c r="E837" s="166"/>
      <c r="F837" s="166"/>
      <c r="G837" s="162"/>
      <c r="H837" s="162"/>
      <c r="I837" s="162"/>
      <c r="J837" s="162"/>
      <c r="K837" s="162"/>
      <c r="L837" s="162"/>
      <c r="M837" s="162"/>
      <c r="N837" s="162"/>
      <c r="O837" s="162"/>
      <c r="P837" s="162"/>
      <c r="Q837" s="162"/>
      <c r="R837" s="162"/>
      <c r="S837" s="162"/>
      <c r="T837" s="162"/>
      <c r="U837" s="162"/>
      <c r="V837" s="162"/>
      <c r="W837" s="162"/>
      <c r="X837" s="162"/>
      <c r="Y837" s="162"/>
      <c r="Z837" s="162"/>
    </row>
    <row r="838" ht="18.75" customHeight="1">
      <c r="A838" s="162"/>
      <c r="B838" s="162"/>
      <c r="C838" s="162"/>
      <c r="D838" s="162"/>
      <c r="E838" s="166"/>
      <c r="F838" s="166"/>
      <c r="G838" s="162"/>
      <c r="H838" s="162"/>
      <c r="I838" s="162"/>
      <c r="J838" s="162"/>
      <c r="K838" s="162"/>
      <c r="L838" s="162"/>
      <c r="M838" s="162"/>
      <c r="N838" s="162"/>
      <c r="O838" s="162"/>
      <c r="P838" s="162"/>
      <c r="Q838" s="162"/>
      <c r="R838" s="162"/>
      <c r="S838" s="162"/>
      <c r="T838" s="162"/>
      <c r="U838" s="162"/>
      <c r="V838" s="162"/>
      <c r="W838" s="162"/>
      <c r="X838" s="162"/>
      <c r="Y838" s="162"/>
      <c r="Z838" s="162"/>
    </row>
    <row r="839" ht="18.75" customHeight="1">
      <c r="A839" s="162"/>
      <c r="B839" s="162"/>
      <c r="C839" s="162"/>
      <c r="D839" s="162"/>
      <c r="E839" s="166"/>
      <c r="F839" s="166"/>
      <c r="G839" s="162"/>
      <c r="H839" s="162"/>
      <c r="I839" s="162"/>
      <c r="J839" s="162"/>
      <c r="K839" s="162"/>
      <c r="L839" s="162"/>
      <c r="M839" s="162"/>
      <c r="N839" s="162"/>
      <c r="O839" s="162"/>
      <c r="P839" s="162"/>
      <c r="Q839" s="162"/>
      <c r="R839" s="162"/>
      <c r="S839" s="162"/>
      <c r="T839" s="162"/>
      <c r="U839" s="162"/>
      <c r="V839" s="162"/>
      <c r="W839" s="162"/>
      <c r="X839" s="162"/>
      <c r="Y839" s="162"/>
      <c r="Z839" s="162"/>
    </row>
    <row r="840" ht="18.75" customHeight="1">
      <c r="A840" s="162"/>
      <c r="B840" s="162"/>
      <c r="C840" s="162"/>
      <c r="D840" s="162"/>
      <c r="E840" s="166"/>
      <c r="F840" s="166"/>
      <c r="G840" s="162"/>
      <c r="H840" s="162"/>
      <c r="I840" s="162"/>
      <c r="J840" s="162"/>
      <c r="K840" s="162"/>
      <c r="L840" s="162"/>
      <c r="M840" s="162"/>
      <c r="N840" s="162"/>
      <c r="O840" s="162"/>
      <c r="P840" s="162"/>
      <c r="Q840" s="162"/>
      <c r="R840" s="162"/>
      <c r="S840" s="162"/>
      <c r="T840" s="162"/>
      <c r="U840" s="162"/>
      <c r="V840" s="162"/>
      <c r="W840" s="162"/>
      <c r="X840" s="162"/>
      <c r="Y840" s="162"/>
      <c r="Z840" s="162"/>
    </row>
    <row r="841" ht="18.75" customHeight="1">
      <c r="A841" s="162"/>
      <c r="B841" s="162"/>
      <c r="C841" s="162"/>
      <c r="D841" s="162"/>
      <c r="E841" s="166"/>
      <c r="F841" s="166"/>
      <c r="G841" s="162"/>
      <c r="H841" s="162"/>
      <c r="I841" s="162"/>
      <c r="J841" s="162"/>
      <c r="K841" s="162"/>
      <c r="L841" s="162"/>
      <c r="M841" s="162"/>
      <c r="N841" s="162"/>
      <c r="O841" s="162"/>
      <c r="P841" s="162"/>
      <c r="Q841" s="162"/>
      <c r="R841" s="162"/>
      <c r="S841" s="162"/>
      <c r="T841" s="162"/>
      <c r="U841" s="162"/>
      <c r="V841" s="162"/>
      <c r="W841" s="162"/>
      <c r="X841" s="162"/>
      <c r="Y841" s="162"/>
      <c r="Z841" s="162"/>
    </row>
    <row r="842" ht="18.75" customHeight="1">
      <c r="A842" s="162"/>
      <c r="B842" s="162"/>
      <c r="C842" s="162"/>
      <c r="D842" s="162"/>
      <c r="E842" s="166"/>
      <c r="F842" s="166"/>
      <c r="G842" s="162"/>
      <c r="H842" s="162"/>
      <c r="I842" s="162"/>
      <c r="J842" s="162"/>
      <c r="K842" s="162"/>
      <c r="L842" s="162"/>
      <c r="M842" s="162"/>
      <c r="N842" s="162"/>
      <c r="O842" s="162"/>
      <c r="P842" s="162"/>
      <c r="Q842" s="162"/>
      <c r="R842" s="162"/>
      <c r="S842" s="162"/>
      <c r="T842" s="162"/>
      <c r="U842" s="162"/>
      <c r="V842" s="162"/>
      <c r="W842" s="162"/>
      <c r="X842" s="162"/>
      <c r="Y842" s="162"/>
      <c r="Z842" s="162"/>
    </row>
    <row r="843" ht="18.75" customHeight="1">
      <c r="A843" s="162"/>
      <c r="B843" s="162"/>
      <c r="C843" s="162"/>
      <c r="D843" s="162"/>
      <c r="E843" s="166"/>
      <c r="F843" s="166"/>
      <c r="G843" s="162"/>
      <c r="H843" s="162"/>
      <c r="I843" s="162"/>
      <c r="J843" s="162"/>
      <c r="K843" s="162"/>
      <c r="L843" s="162"/>
      <c r="M843" s="162"/>
      <c r="N843" s="162"/>
      <c r="O843" s="162"/>
      <c r="P843" s="162"/>
      <c r="Q843" s="162"/>
      <c r="R843" s="162"/>
      <c r="S843" s="162"/>
      <c r="T843" s="162"/>
      <c r="U843" s="162"/>
      <c r="V843" s="162"/>
      <c r="W843" s="162"/>
      <c r="X843" s="162"/>
      <c r="Y843" s="162"/>
      <c r="Z843" s="162"/>
    </row>
    <row r="844" ht="18.75" customHeight="1">
      <c r="A844" s="162"/>
      <c r="B844" s="162"/>
      <c r="C844" s="162"/>
      <c r="D844" s="162"/>
      <c r="E844" s="166"/>
      <c r="F844" s="166"/>
      <c r="G844" s="162"/>
      <c r="H844" s="162"/>
      <c r="I844" s="162"/>
      <c r="J844" s="162"/>
      <c r="K844" s="162"/>
      <c r="L844" s="162"/>
      <c r="M844" s="162"/>
      <c r="N844" s="162"/>
      <c r="O844" s="162"/>
      <c r="P844" s="162"/>
      <c r="Q844" s="162"/>
      <c r="R844" s="162"/>
      <c r="S844" s="162"/>
      <c r="T844" s="162"/>
      <c r="U844" s="162"/>
      <c r="V844" s="162"/>
      <c r="W844" s="162"/>
      <c r="X844" s="162"/>
      <c r="Y844" s="162"/>
      <c r="Z844" s="162"/>
    </row>
    <row r="845" ht="18.75" customHeight="1">
      <c r="A845" s="162"/>
      <c r="B845" s="162"/>
      <c r="C845" s="162"/>
      <c r="D845" s="162"/>
      <c r="E845" s="166"/>
      <c r="F845" s="166"/>
      <c r="G845" s="162"/>
      <c r="H845" s="162"/>
      <c r="I845" s="162"/>
      <c r="J845" s="162"/>
      <c r="K845" s="162"/>
      <c r="L845" s="162"/>
      <c r="M845" s="162"/>
      <c r="N845" s="162"/>
      <c r="O845" s="162"/>
      <c r="P845" s="162"/>
      <c r="Q845" s="162"/>
      <c r="R845" s="162"/>
      <c r="S845" s="162"/>
      <c r="T845" s="162"/>
      <c r="U845" s="162"/>
      <c r="V845" s="162"/>
      <c r="W845" s="162"/>
      <c r="X845" s="162"/>
      <c r="Y845" s="162"/>
      <c r="Z845" s="162"/>
    </row>
    <row r="846" ht="18.75" customHeight="1">
      <c r="A846" s="162"/>
      <c r="B846" s="162"/>
      <c r="C846" s="162"/>
      <c r="D846" s="162"/>
      <c r="E846" s="166"/>
      <c r="F846" s="166"/>
      <c r="G846" s="162"/>
      <c r="H846" s="162"/>
      <c r="I846" s="162"/>
      <c r="J846" s="162"/>
      <c r="K846" s="162"/>
      <c r="L846" s="162"/>
      <c r="M846" s="162"/>
      <c r="N846" s="162"/>
      <c r="O846" s="162"/>
      <c r="P846" s="162"/>
      <c r="Q846" s="162"/>
      <c r="R846" s="162"/>
      <c r="S846" s="162"/>
      <c r="T846" s="162"/>
      <c r="U846" s="162"/>
      <c r="V846" s="162"/>
      <c r="W846" s="162"/>
      <c r="X846" s="162"/>
      <c r="Y846" s="162"/>
      <c r="Z846" s="162"/>
    </row>
    <row r="847" ht="18.75" customHeight="1">
      <c r="A847" s="162"/>
      <c r="B847" s="162"/>
      <c r="C847" s="162"/>
      <c r="D847" s="162"/>
      <c r="E847" s="166"/>
      <c r="F847" s="166"/>
      <c r="G847" s="162"/>
      <c r="H847" s="162"/>
      <c r="I847" s="162"/>
      <c r="J847" s="162"/>
      <c r="K847" s="162"/>
      <c r="L847" s="162"/>
      <c r="M847" s="162"/>
      <c r="N847" s="162"/>
      <c r="O847" s="162"/>
      <c r="P847" s="162"/>
      <c r="Q847" s="162"/>
      <c r="R847" s="162"/>
      <c r="S847" s="162"/>
      <c r="T847" s="162"/>
      <c r="U847" s="162"/>
      <c r="V847" s="162"/>
      <c r="W847" s="162"/>
      <c r="X847" s="162"/>
      <c r="Y847" s="162"/>
      <c r="Z847" s="162"/>
    </row>
    <row r="848" ht="18.75" customHeight="1">
      <c r="A848" s="162"/>
      <c r="B848" s="162"/>
      <c r="C848" s="162"/>
      <c r="D848" s="162"/>
      <c r="E848" s="166"/>
      <c r="F848" s="166"/>
      <c r="G848" s="162"/>
      <c r="H848" s="162"/>
      <c r="I848" s="162"/>
      <c r="J848" s="162"/>
      <c r="K848" s="162"/>
      <c r="L848" s="162"/>
      <c r="M848" s="162"/>
      <c r="N848" s="162"/>
      <c r="O848" s="162"/>
      <c r="P848" s="162"/>
      <c r="Q848" s="162"/>
      <c r="R848" s="162"/>
      <c r="S848" s="162"/>
      <c r="T848" s="162"/>
      <c r="U848" s="162"/>
      <c r="V848" s="162"/>
      <c r="W848" s="162"/>
      <c r="X848" s="162"/>
      <c r="Y848" s="162"/>
      <c r="Z848" s="162"/>
    </row>
    <row r="849" ht="18.75" customHeight="1">
      <c r="A849" s="162"/>
      <c r="B849" s="162"/>
      <c r="C849" s="162"/>
      <c r="D849" s="162"/>
      <c r="E849" s="166"/>
      <c r="F849" s="166"/>
      <c r="G849" s="162"/>
      <c r="H849" s="162"/>
      <c r="I849" s="162"/>
      <c r="J849" s="162"/>
      <c r="K849" s="162"/>
      <c r="L849" s="162"/>
      <c r="M849" s="162"/>
      <c r="N849" s="162"/>
      <c r="O849" s="162"/>
      <c r="P849" s="162"/>
      <c r="Q849" s="162"/>
      <c r="R849" s="162"/>
      <c r="S849" s="162"/>
      <c r="T849" s="162"/>
      <c r="U849" s="162"/>
      <c r="V849" s="162"/>
      <c r="W849" s="162"/>
      <c r="X849" s="162"/>
      <c r="Y849" s="162"/>
      <c r="Z849" s="162"/>
    </row>
    <row r="850" ht="18.75" customHeight="1">
      <c r="A850" s="162"/>
      <c r="B850" s="162"/>
      <c r="C850" s="162"/>
      <c r="D850" s="162"/>
      <c r="E850" s="166"/>
      <c r="F850" s="166"/>
      <c r="G850" s="162"/>
      <c r="H850" s="162"/>
      <c r="I850" s="162"/>
      <c r="J850" s="162"/>
      <c r="K850" s="162"/>
      <c r="L850" s="162"/>
      <c r="M850" s="162"/>
      <c r="N850" s="162"/>
      <c r="O850" s="162"/>
      <c r="P850" s="162"/>
      <c r="Q850" s="162"/>
      <c r="R850" s="162"/>
      <c r="S850" s="162"/>
      <c r="T850" s="162"/>
      <c r="U850" s="162"/>
      <c r="V850" s="162"/>
      <c r="W850" s="162"/>
      <c r="X850" s="162"/>
      <c r="Y850" s="162"/>
      <c r="Z850" s="162"/>
    </row>
    <row r="851" ht="18.75" customHeight="1">
      <c r="A851" s="162"/>
      <c r="B851" s="162"/>
      <c r="C851" s="162"/>
      <c r="D851" s="162"/>
      <c r="E851" s="166"/>
      <c r="F851" s="166"/>
      <c r="G851" s="162"/>
      <c r="H851" s="162"/>
      <c r="I851" s="162"/>
      <c r="J851" s="162"/>
      <c r="K851" s="162"/>
      <c r="L851" s="162"/>
      <c r="M851" s="162"/>
      <c r="N851" s="162"/>
      <c r="O851" s="162"/>
      <c r="P851" s="162"/>
      <c r="Q851" s="162"/>
      <c r="R851" s="162"/>
      <c r="S851" s="162"/>
      <c r="T851" s="162"/>
      <c r="U851" s="162"/>
      <c r="V851" s="162"/>
      <c r="W851" s="162"/>
      <c r="X851" s="162"/>
      <c r="Y851" s="162"/>
      <c r="Z851" s="162"/>
    </row>
    <row r="852" ht="18.75" customHeight="1">
      <c r="A852" s="162"/>
      <c r="B852" s="162"/>
      <c r="C852" s="162"/>
      <c r="D852" s="162"/>
      <c r="E852" s="166"/>
      <c r="F852" s="166"/>
      <c r="G852" s="162"/>
      <c r="H852" s="162"/>
      <c r="I852" s="162"/>
      <c r="J852" s="162"/>
      <c r="K852" s="162"/>
      <c r="L852" s="162"/>
      <c r="M852" s="162"/>
      <c r="N852" s="162"/>
      <c r="O852" s="162"/>
      <c r="P852" s="162"/>
      <c r="Q852" s="162"/>
      <c r="R852" s="162"/>
      <c r="S852" s="162"/>
      <c r="T852" s="162"/>
      <c r="U852" s="162"/>
      <c r="V852" s="162"/>
      <c r="W852" s="162"/>
      <c r="X852" s="162"/>
      <c r="Y852" s="162"/>
      <c r="Z852" s="162"/>
    </row>
    <row r="853" ht="18.75" customHeight="1">
      <c r="A853" s="162"/>
      <c r="B853" s="162"/>
      <c r="C853" s="162"/>
      <c r="D853" s="162"/>
      <c r="E853" s="166"/>
      <c r="F853" s="166"/>
      <c r="G853" s="162"/>
      <c r="H853" s="162"/>
      <c r="I853" s="162"/>
      <c r="J853" s="162"/>
      <c r="K853" s="162"/>
      <c r="L853" s="162"/>
      <c r="M853" s="162"/>
      <c r="N853" s="162"/>
      <c r="O853" s="162"/>
      <c r="P853" s="162"/>
      <c r="Q853" s="162"/>
      <c r="R853" s="162"/>
      <c r="S853" s="162"/>
      <c r="T853" s="162"/>
      <c r="U853" s="162"/>
      <c r="V853" s="162"/>
      <c r="W853" s="162"/>
      <c r="X853" s="162"/>
      <c r="Y853" s="162"/>
      <c r="Z853" s="162"/>
    </row>
    <row r="854" ht="18.75" customHeight="1">
      <c r="A854" s="162"/>
      <c r="B854" s="162"/>
      <c r="C854" s="162"/>
      <c r="D854" s="162"/>
      <c r="E854" s="166"/>
      <c r="F854" s="166"/>
      <c r="G854" s="162"/>
      <c r="H854" s="162"/>
      <c r="I854" s="162"/>
      <c r="J854" s="162"/>
      <c r="K854" s="162"/>
      <c r="L854" s="162"/>
      <c r="M854" s="162"/>
      <c r="N854" s="162"/>
      <c r="O854" s="162"/>
      <c r="P854" s="162"/>
      <c r="Q854" s="162"/>
      <c r="R854" s="162"/>
      <c r="S854" s="162"/>
      <c r="T854" s="162"/>
      <c r="U854" s="162"/>
      <c r="V854" s="162"/>
      <c r="W854" s="162"/>
      <c r="X854" s="162"/>
      <c r="Y854" s="162"/>
      <c r="Z854" s="162"/>
    </row>
    <row r="855" ht="18.75" customHeight="1">
      <c r="A855" s="162"/>
      <c r="B855" s="162"/>
      <c r="C855" s="162"/>
      <c r="D855" s="162"/>
      <c r="E855" s="166"/>
      <c r="F855" s="166"/>
      <c r="G855" s="162"/>
      <c r="H855" s="162"/>
      <c r="I855" s="162"/>
      <c r="J855" s="162"/>
      <c r="K855" s="162"/>
      <c r="L855" s="162"/>
      <c r="M855" s="162"/>
      <c r="N855" s="162"/>
      <c r="O855" s="162"/>
      <c r="P855" s="162"/>
      <c r="Q855" s="162"/>
      <c r="R855" s="162"/>
      <c r="S855" s="162"/>
      <c r="T855" s="162"/>
      <c r="U855" s="162"/>
      <c r="V855" s="162"/>
      <c r="W855" s="162"/>
      <c r="X855" s="162"/>
      <c r="Y855" s="162"/>
      <c r="Z855" s="162"/>
    </row>
    <row r="856" ht="18.75" customHeight="1">
      <c r="A856" s="162"/>
      <c r="B856" s="162"/>
      <c r="C856" s="162"/>
      <c r="D856" s="162"/>
      <c r="E856" s="166"/>
      <c r="F856" s="166"/>
      <c r="G856" s="162"/>
      <c r="H856" s="162"/>
      <c r="I856" s="162"/>
      <c r="J856" s="162"/>
      <c r="K856" s="162"/>
      <c r="L856" s="162"/>
      <c r="M856" s="162"/>
      <c r="N856" s="162"/>
      <c r="O856" s="162"/>
      <c r="P856" s="162"/>
      <c r="Q856" s="162"/>
      <c r="R856" s="162"/>
      <c r="S856" s="162"/>
      <c r="T856" s="162"/>
      <c r="U856" s="162"/>
      <c r="V856" s="162"/>
      <c r="W856" s="162"/>
      <c r="X856" s="162"/>
      <c r="Y856" s="162"/>
      <c r="Z856" s="162"/>
    </row>
    <row r="857" ht="18.75" customHeight="1">
      <c r="A857" s="162"/>
      <c r="B857" s="162"/>
      <c r="C857" s="162"/>
      <c r="D857" s="162"/>
      <c r="E857" s="166"/>
      <c r="F857" s="166"/>
      <c r="G857" s="162"/>
      <c r="H857" s="162"/>
      <c r="I857" s="162"/>
      <c r="J857" s="162"/>
      <c r="K857" s="162"/>
      <c r="L857" s="162"/>
      <c r="M857" s="162"/>
      <c r="N857" s="162"/>
      <c r="O857" s="162"/>
      <c r="P857" s="162"/>
      <c r="Q857" s="162"/>
      <c r="R857" s="162"/>
      <c r="S857" s="162"/>
      <c r="T857" s="162"/>
      <c r="U857" s="162"/>
      <c r="V857" s="162"/>
      <c r="W857" s="162"/>
      <c r="X857" s="162"/>
      <c r="Y857" s="162"/>
      <c r="Z857" s="162"/>
    </row>
    <row r="858" ht="18.75" customHeight="1">
      <c r="A858" s="162"/>
      <c r="B858" s="162"/>
      <c r="C858" s="162"/>
      <c r="D858" s="162"/>
      <c r="E858" s="166"/>
      <c r="F858" s="166"/>
      <c r="G858" s="162"/>
      <c r="H858" s="162"/>
      <c r="I858" s="162"/>
      <c r="J858" s="162"/>
      <c r="K858" s="162"/>
      <c r="L858" s="162"/>
      <c r="M858" s="162"/>
      <c r="N858" s="162"/>
      <c r="O858" s="162"/>
      <c r="P858" s="162"/>
      <c r="Q858" s="162"/>
      <c r="R858" s="162"/>
      <c r="S858" s="162"/>
      <c r="T858" s="162"/>
      <c r="U858" s="162"/>
      <c r="V858" s="162"/>
      <c r="W858" s="162"/>
      <c r="X858" s="162"/>
      <c r="Y858" s="162"/>
      <c r="Z858" s="162"/>
    </row>
    <row r="859" ht="18.75" customHeight="1">
      <c r="A859" s="162"/>
      <c r="B859" s="162"/>
      <c r="C859" s="162"/>
      <c r="D859" s="162"/>
      <c r="E859" s="166"/>
      <c r="F859" s="166"/>
      <c r="G859" s="162"/>
      <c r="H859" s="162"/>
      <c r="I859" s="162"/>
      <c r="J859" s="162"/>
      <c r="K859" s="162"/>
      <c r="L859" s="162"/>
      <c r="M859" s="162"/>
      <c r="N859" s="162"/>
      <c r="O859" s="162"/>
      <c r="P859" s="162"/>
      <c r="Q859" s="162"/>
      <c r="R859" s="162"/>
      <c r="S859" s="162"/>
      <c r="T859" s="162"/>
      <c r="U859" s="162"/>
      <c r="V859" s="162"/>
      <c r="W859" s="162"/>
      <c r="X859" s="162"/>
      <c r="Y859" s="162"/>
      <c r="Z859" s="162"/>
    </row>
    <row r="860" ht="18.75" customHeight="1">
      <c r="A860" s="162"/>
      <c r="B860" s="162"/>
      <c r="C860" s="162"/>
      <c r="D860" s="162"/>
      <c r="E860" s="166"/>
      <c r="F860" s="166"/>
      <c r="G860" s="162"/>
      <c r="H860" s="162"/>
      <c r="I860" s="162"/>
      <c r="J860" s="162"/>
      <c r="K860" s="162"/>
      <c r="L860" s="162"/>
      <c r="M860" s="162"/>
      <c r="N860" s="162"/>
      <c r="O860" s="162"/>
      <c r="P860" s="162"/>
      <c r="Q860" s="162"/>
      <c r="R860" s="162"/>
      <c r="S860" s="162"/>
      <c r="T860" s="162"/>
      <c r="U860" s="162"/>
      <c r="V860" s="162"/>
      <c r="W860" s="162"/>
      <c r="X860" s="162"/>
      <c r="Y860" s="162"/>
      <c r="Z860" s="162"/>
    </row>
    <row r="861" ht="18.75" customHeight="1">
      <c r="A861" s="162"/>
      <c r="B861" s="162"/>
      <c r="C861" s="162"/>
      <c r="D861" s="162"/>
      <c r="E861" s="166"/>
      <c r="F861" s="166"/>
      <c r="G861" s="162"/>
      <c r="H861" s="162"/>
      <c r="I861" s="162"/>
      <c r="J861" s="162"/>
      <c r="K861" s="162"/>
      <c r="L861" s="162"/>
      <c r="M861" s="162"/>
      <c r="N861" s="162"/>
      <c r="O861" s="162"/>
      <c r="P861" s="162"/>
      <c r="Q861" s="162"/>
      <c r="R861" s="162"/>
      <c r="S861" s="162"/>
      <c r="T861" s="162"/>
      <c r="U861" s="162"/>
      <c r="V861" s="162"/>
      <c r="W861" s="162"/>
      <c r="X861" s="162"/>
      <c r="Y861" s="162"/>
      <c r="Z861" s="162"/>
    </row>
    <row r="862" ht="18.75" customHeight="1">
      <c r="A862" s="162"/>
      <c r="B862" s="162"/>
      <c r="C862" s="162"/>
      <c r="D862" s="162"/>
      <c r="E862" s="166"/>
      <c r="F862" s="166"/>
      <c r="G862" s="162"/>
      <c r="H862" s="162"/>
      <c r="I862" s="162"/>
      <c r="J862" s="162"/>
      <c r="K862" s="162"/>
      <c r="L862" s="162"/>
      <c r="M862" s="162"/>
      <c r="N862" s="162"/>
      <c r="O862" s="162"/>
      <c r="P862" s="162"/>
      <c r="Q862" s="162"/>
      <c r="R862" s="162"/>
      <c r="S862" s="162"/>
      <c r="T862" s="162"/>
      <c r="U862" s="162"/>
      <c r="V862" s="162"/>
      <c r="W862" s="162"/>
      <c r="X862" s="162"/>
      <c r="Y862" s="162"/>
      <c r="Z862" s="162"/>
    </row>
    <row r="863" ht="18.75" customHeight="1">
      <c r="A863" s="162"/>
      <c r="B863" s="162"/>
      <c r="C863" s="162"/>
      <c r="D863" s="162"/>
      <c r="E863" s="166"/>
      <c r="F863" s="166"/>
      <c r="G863" s="162"/>
      <c r="H863" s="162"/>
      <c r="I863" s="162"/>
      <c r="J863" s="162"/>
      <c r="K863" s="162"/>
      <c r="L863" s="162"/>
      <c r="M863" s="162"/>
      <c r="N863" s="162"/>
      <c r="O863" s="162"/>
      <c r="P863" s="162"/>
      <c r="Q863" s="162"/>
      <c r="R863" s="162"/>
      <c r="S863" s="162"/>
      <c r="T863" s="162"/>
      <c r="U863" s="162"/>
      <c r="V863" s="162"/>
      <c r="W863" s="162"/>
      <c r="X863" s="162"/>
      <c r="Y863" s="162"/>
      <c r="Z863" s="162"/>
    </row>
    <row r="864" ht="18.75" customHeight="1">
      <c r="A864" s="162"/>
      <c r="B864" s="162"/>
      <c r="C864" s="162"/>
      <c r="D864" s="162"/>
      <c r="E864" s="166"/>
      <c r="F864" s="166"/>
      <c r="G864" s="162"/>
      <c r="H864" s="162"/>
      <c r="I864" s="162"/>
      <c r="J864" s="162"/>
      <c r="K864" s="162"/>
      <c r="L864" s="162"/>
      <c r="M864" s="162"/>
      <c r="N864" s="162"/>
      <c r="O864" s="162"/>
      <c r="P864" s="162"/>
      <c r="Q864" s="162"/>
      <c r="R864" s="162"/>
      <c r="S864" s="162"/>
      <c r="T864" s="162"/>
      <c r="U864" s="162"/>
      <c r="V864" s="162"/>
      <c r="W864" s="162"/>
      <c r="X864" s="162"/>
      <c r="Y864" s="162"/>
      <c r="Z864" s="162"/>
    </row>
    <row r="865" ht="18.75" customHeight="1">
      <c r="A865" s="162"/>
      <c r="B865" s="162"/>
      <c r="C865" s="162"/>
      <c r="D865" s="162"/>
      <c r="E865" s="166"/>
      <c r="F865" s="166"/>
      <c r="G865" s="162"/>
      <c r="H865" s="162"/>
      <c r="I865" s="162"/>
      <c r="J865" s="162"/>
      <c r="K865" s="162"/>
      <c r="L865" s="162"/>
      <c r="M865" s="162"/>
      <c r="N865" s="162"/>
      <c r="O865" s="162"/>
      <c r="P865" s="162"/>
      <c r="Q865" s="162"/>
      <c r="R865" s="162"/>
      <c r="S865" s="162"/>
      <c r="T865" s="162"/>
      <c r="U865" s="162"/>
      <c r="V865" s="162"/>
      <c r="W865" s="162"/>
      <c r="X865" s="162"/>
      <c r="Y865" s="162"/>
      <c r="Z865" s="162"/>
    </row>
    <row r="866" ht="18.75" customHeight="1">
      <c r="A866" s="162"/>
      <c r="B866" s="162"/>
      <c r="C866" s="162"/>
      <c r="D866" s="162"/>
      <c r="E866" s="166"/>
      <c r="F866" s="166"/>
      <c r="G866" s="162"/>
      <c r="H866" s="162"/>
      <c r="I866" s="162"/>
      <c r="J866" s="162"/>
      <c r="K866" s="162"/>
      <c r="L866" s="162"/>
      <c r="M866" s="162"/>
      <c r="N866" s="162"/>
      <c r="O866" s="162"/>
      <c r="P866" s="162"/>
      <c r="Q866" s="162"/>
      <c r="R866" s="162"/>
      <c r="S866" s="162"/>
      <c r="T866" s="162"/>
      <c r="U866" s="162"/>
      <c r="V866" s="162"/>
      <c r="W866" s="162"/>
      <c r="X866" s="162"/>
      <c r="Y866" s="162"/>
      <c r="Z866" s="162"/>
    </row>
    <row r="867" ht="18.75" customHeight="1">
      <c r="A867" s="162"/>
      <c r="B867" s="162"/>
      <c r="C867" s="162"/>
      <c r="D867" s="162"/>
      <c r="E867" s="166"/>
      <c r="F867" s="166"/>
      <c r="G867" s="162"/>
      <c r="H867" s="162"/>
      <c r="I867" s="162"/>
      <c r="J867" s="162"/>
      <c r="K867" s="162"/>
      <c r="L867" s="162"/>
      <c r="M867" s="162"/>
      <c r="N867" s="162"/>
      <c r="O867" s="162"/>
      <c r="P867" s="162"/>
      <c r="Q867" s="162"/>
      <c r="R867" s="162"/>
      <c r="S867" s="162"/>
      <c r="T867" s="162"/>
      <c r="U867" s="162"/>
      <c r="V867" s="162"/>
      <c r="W867" s="162"/>
      <c r="X867" s="162"/>
      <c r="Y867" s="162"/>
      <c r="Z867" s="162"/>
    </row>
    <row r="868" ht="18.75" customHeight="1">
      <c r="A868" s="162"/>
      <c r="B868" s="162"/>
      <c r="C868" s="162"/>
      <c r="D868" s="162"/>
      <c r="E868" s="166"/>
      <c r="F868" s="166"/>
      <c r="G868" s="162"/>
      <c r="H868" s="162"/>
      <c r="I868" s="162"/>
      <c r="J868" s="162"/>
      <c r="K868" s="162"/>
      <c r="L868" s="162"/>
      <c r="M868" s="162"/>
      <c r="N868" s="162"/>
      <c r="O868" s="162"/>
      <c r="P868" s="162"/>
      <c r="Q868" s="162"/>
      <c r="R868" s="162"/>
      <c r="S868" s="162"/>
      <c r="T868" s="162"/>
      <c r="U868" s="162"/>
      <c r="V868" s="162"/>
      <c r="W868" s="162"/>
      <c r="X868" s="162"/>
      <c r="Y868" s="162"/>
      <c r="Z868" s="162"/>
    </row>
    <row r="869" ht="18.75" customHeight="1">
      <c r="A869" s="162"/>
      <c r="B869" s="162"/>
      <c r="C869" s="162"/>
      <c r="D869" s="162"/>
      <c r="E869" s="166"/>
      <c r="F869" s="166"/>
      <c r="G869" s="162"/>
      <c r="H869" s="162"/>
      <c r="I869" s="162"/>
      <c r="J869" s="162"/>
      <c r="K869" s="162"/>
      <c r="L869" s="162"/>
      <c r="M869" s="162"/>
      <c r="N869" s="162"/>
      <c r="O869" s="162"/>
      <c r="P869" s="162"/>
      <c r="Q869" s="162"/>
      <c r="R869" s="162"/>
      <c r="S869" s="162"/>
      <c r="T869" s="162"/>
      <c r="U869" s="162"/>
      <c r="V869" s="162"/>
      <c r="W869" s="162"/>
      <c r="X869" s="162"/>
      <c r="Y869" s="162"/>
      <c r="Z869" s="162"/>
    </row>
    <row r="870" ht="18.75" customHeight="1">
      <c r="A870" s="162"/>
      <c r="B870" s="162"/>
      <c r="C870" s="162"/>
      <c r="D870" s="162"/>
      <c r="E870" s="166"/>
      <c r="F870" s="166"/>
      <c r="G870" s="162"/>
      <c r="H870" s="162"/>
      <c r="I870" s="162"/>
      <c r="J870" s="162"/>
      <c r="K870" s="162"/>
      <c r="L870" s="162"/>
      <c r="M870" s="162"/>
      <c r="N870" s="162"/>
      <c r="O870" s="162"/>
      <c r="P870" s="162"/>
      <c r="Q870" s="162"/>
      <c r="R870" s="162"/>
      <c r="S870" s="162"/>
      <c r="T870" s="162"/>
      <c r="U870" s="162"/>
      <c r="V870" s="162"/>
      <c r="W870" s="162"/>
      <c r="X870" s="162"/>
      <c r="Y870" s="162"/>
      <c r="Z870" s="162"/>
    </row>
    <row r="871" ht="18.75" customHeight="1">
      <c r="A871" s="162"/>
      <c r="B871" s="162"/>
      <c r="C871" s="162"/>
      <c r="D871" s="162"/>
      <c r="E871" s="166"/>
      <c r="F871" s="166"/>
      <c r="G871" s="162"/>
      <c r="H871" s="162"/>
      <c r="I871" s="162"/>
      <c r="J871" s="162"/>
      <c r="K871" s="162"/>
      <c r="L871" s="162"/>
      <c r="M871" s="162"/>
      <c r="N871" s="162"/>
      <c r="O871" s="162"/>
      <c r="P871" s="162"/>
      <c r="Q871" s="162"/>
      <c r="R871" s="162"/>
      <c r="S871" s="162"/>
      <c r="T871" s="162"/>
      <c r="U871" s="162"/>
      <c r="V871" s="162"/>
      <c r="W871" s="162"/>
      <c r="X871" s="162"/>
      <c r="Y871" s="162"/>
      <c r="Z871" s="162"/>
    </row>
    <row r="872" ht="18.75" customHeight="1">
      <c r="A872" s="162"/>
      <c r="B872" s="162"/>
      <c r="C872" s="162"/>
      <c r="D872" s="162"/>
      <c r="E872" s="166"/>
      <c r="F872" s="166"/>
      <c r="G872" s="162"/>
      <c r="H872" s="162"/>
      <c r="I872" s="162"/>
      <c r="J872" s="162"/>
      <c r="K872" s="162"/>
      <c r="L872" s="162"/>
      <c r="M872" s="162"/>
      <c r="N872" s="162"/>
      <c r="O872" s="162"/>
      <c r="P872" s="162"/>
      <c r="Q872" s="162"/>
      <c r="R872" s="162"/>
      <c r="S872" s="162"/>
      <c r="T872" s="162"/>
      <c r="U872" s="162"/>
      <c r="V872" s="162"/>
      <c r="W872" s="162"/>
      <c r="X872" s="162"/>
      <c r="Y872" s="162"/>
      <c r="Z872" s="162"/>
    </row>
    <row r="873" ht="18.75" customHeight="1">
      <c r="A873" s="162"/>
      <c r="B873" s="162"/>
      <c r="C873" s="162"/>
      <c r="D873" s="162"/>
      <c r="E873" s="166"/>
      <c r="F873" s="166"/>
      <c r="G873" s="162"/>
      <c r="H873" s="162"/>
      <c r="I873" s="162"/>
      <c r="J873" s="162"/>
      <c r="K873" s="162"/>
      <c r="L873" s="162"/>
      <c r="M873" s="162"/>
      <c r="N873" s="162"/>
      <c r="O873" s="162"/>
      <c r="P873" s="162"/>
      <c r="Q873" s="162"/>
      <c r="R873" s="162"/>
      <c r="S873" s="162"/>
      <c r="T873" s="162"/>
      <c r="U873" s="162"/>
      <c r="V873" s="162"/>
      <c r="W873" s="162"/>
      <c r="X873" s="162"/>
      <c r="Y873" s="162"/>
      <c r="Z873" s="162"/>
    </row>
    <row r="874" ht="18.75" customHeight="1">
      <c r="A874" s="162"/>
      <c r="B874" s="162"/>
      <c r="C874" s="162"/>
      <c r="D874" s="162"/>
      <c r="E874" s="166"/>
      <c r="F874" s="166"/>
      <c r="G874" s="162"/>
      <c r="H874" s="162"/>
      <c r="I874" s="162"/>
      <c r="J874" s="162"/>
      <c r="K874" s="162"/>
      <c r="L874" s="162"/>
      <c r="M874" s="162"/>
      <c r="N874" s="162"/>
      <c r="O874" s="162"/>
      <c r="P874" s="162"/>
      <c r="Q874" s="162"/>
      <c r="R874" s="162"/>
      <c r="S874" s="162"/>
      <c r="T874" s="162"/>
      <c r="U874" s="162"/>
      <c r="V874" s="162"/>
      <c r="W874" s="162"/>
      <c r="X874" s="162"/>
      <c r="Y874" s="162"/>
      <c r="Z874" s="162"/>
    </row>
    <row r="875" ht="18.75" customHeight="1">
      <c r="A875" s="162"/>
      <c r="B875" s="162"/>
      <c r="C875" s="162"/>
      <c r="D875" s="162"/>
      <c r="E875" s="166"/>
      <c r="F875" s="166"/>
      <c r="G875" s="162"/>
      <c r="H875" s="162"/>
      <c r="I875" s="162"/>
      <c r="J875" s="162"/>
      <c r="K875" s="162"/>
      <c r="L875" s="162"/>
      <c r="M875" s="162"/>
      <c r="N875" s="162"/>
      <c r="O875" s="162"/>
      <c r="P875" s="162"/>
      <c r="Q875" s="162"/>
      <c r="R875" s="162"/>
      <c r="S875" s="162"/>
      <c r="T875" s="162"/>
      <c r="U875" s="162"/>
      <c r="V875" s="162"/>
      <c r="W875" s="162"/>
      <c r="X875" s="162"/>
      <c r="Y875" s="162"/>
      <c r="Z875" s="162"/>
    </row>
    <row r="876" ht="18.75" customHeight="1">
      <c r="A876" s="162"/>
      <c r="B876" s="162"/>
      <c r="C876" s="162"/>
      <c r="D876" s="162"/>
      <c r="E876" s="166"/>
      <c r="F876" s="166"/>
      <c r="G876" s="162"/>
      <c r="H876" s="162"/>
      <c r="I876" s="162"/>
      <c r="J876" s="162"/>
      <c r="K876" s="162"/>
      <c r="L876" s="162"/>
      <c r="M876" s="162"/>
      <c r="N876" s="162"/>
      <c r="O876" s="162"/>
      <c r="P876" s="162"/>
      <c r="Q876" s="162"/>
      <c r="R876" s="162"/>
      <c r="S876" s="162"/>
      <c r="T876" s="162"/>
      <c r="U876" s="162"/>
      <c r="V876" s="162"/>
      <c r="W876" s="162"/>
      <c r="X876" s="162"/>
      <c r="Y876" s="162"/>
      <c r="Z876" s="162"/>
    </row>
    <row r="877" ht="18.75" customHeight="1">
      <c r="A877" s="162"/>
      <c r="B877" s="162"/>
      <c r="C877" s="162"/>
      <c r="D877" s="162"/>
      <c r="E877" s="166"/>
      <c r="F877" s="166"/>
      <c r="G877" s="162"/>
      <c r="H877" s="162"/>
      <c r="I877" s="162"/>
      <c r="J877" s="162"/>
      <c r="K877" s="162"/>
      <c r="L877" s="162"/>
      <c r="M877" s="162"/>
      <c r="N877" s="162"/>
      <c r="O877" s="162"/>
      <c r="P877" s="162"/>
      <c r="Q877" s="162"/>
      <c r="R877" s="162"/>
      <c r="S877" s="162"/>
      <c r="T877" s="162"/>
      <c r="U877" s="162"/>
      <c r="V877" s="162"/>
      <c r="W877" s="162"/>
      <c r="X877" s="162"/>
      <c r="Y877" s="162"/>
      <c r="Z877" s="162"/>
    </row>
    <row r="878" ht="18.75" customHeight="1">
      <c r="A878" s="162"/>
      <c r="B878" s="162"/>
      <c r="C878" s="162"/>
      <c r="D878" s="162"/>
      <c r="E878" s="166"/>
      <c r="F878" s="166"/>
      <c r="G878" s="162"/>
      <c r="H878" s="162"/>
      <c r="I878" s="162"/>
      <c r="J878" s="162"/>
      <c r="K878" s="162"/>
      <c r="L878" s="162"/>
      <c r="M878" s="162"/>
      <c r="N878" s="162"/>
      <c r="O878" s="162"/>
      <c r="P878" s="162"/>
      <c r="Q878" s="162"/>
      <c r="R878" s="162"/>
      <c r="S878" s="162"/>
      <c r="T878" s="162"/>
      <c r="U878" s="162"/>
      <c r="V878" s="162"/>
      <c r="W878" s="162"/>
      <c r="X878" s="162"/>
      <c r="Y878" s="162"/>
      <c r="Z878" s="162"/>
    </row>
    <row r="879" ht="18.75" customHeight="1">
      <c r="A879" s="162"/>
      <c r="B879" s="162"/>
      <c r="C879" s="162"/>
      <c r="D879" s="162"/>
      <c r="E879" s="166"/>
      <c r="F879" s="166"/>
      <c r="G879" s="162"/>
      <c r="H879" s="162"/>
      <c r="I879" s="162"/>
      <c r="J879" s="162"/>
      <c r="K879" s="162"/>
      <c r="L879" s="162"/>
      <c r="M879" s="162"/>
      <c r="N879" s="162"/>
      <c r="O879" s="162"/>
      <c r="P879" s="162"/>
      <c r="Q879" s="162"/>
      <c r="R879" s="162"/>
      <c r="S879" s="162"/>
      <c r="T879" s="162"/>
      <c r="U879" s="162"/>
      <c r="V879" s="162"/>
      <c r="W879" s="162"/>
      <c r="X879" s="162"/>
      <c r="Y879" s="162"/>
      <c r="Z879" s="162"/>
    </row>
    <row r="880" ht="18.75" customHeight="1">
      <c r="A880" s="162"/>
      <c r="B880" s="162"/>
      <c r="C880" s="162"/>
      <c r="D880" s="162"/>
      <c r="E880" s="166"/>
      <c r="F880" s="166"/>
      <c r="G880" s="162"/>
      <c r="H880" s="162"/>
      <c r="I880" s="162"/>
      <c r="J880" s="162"/>
      <c r="K880" s="162"/>
      <c r="L880" s="162"/>
      <c r="M880" s="162"/>
      <c r="N880" s="162"/>
      <c r="O880" s="162"/>
      <c r="P880" s="162"/>
      <c r="Q880" s="162"/>
      <c r="R880" s="162"/>
      <c r="S880" s="162"/>
      <c r="T880" s="162"/>
      <c r="U880" s="162"/>
      <c r="V880" s="162"/>
      <c r="W880" s="162"/>
      <c r="X880" s="162"/>
      <c r="Y880" s="162"/>
      <c r="Z880" s="162"/>
    </row>
    <row r="881" ht="18.75" customHeight="1">
      <c r="A881" s="162"/>
      <c r="B881" s="162"/>
      <c r="C881" s="162"/>
      <c r="D881" s="162"/>
      <c r="E881" s="166"/>
      <c r="F881" s="166"/>
      <c r="G881" s="162"/>
      <c r="H881" s="162"/>
      <c r="I881" s="162"/>
      <c r="J881" s="162"/>
      <c r="K881" s="162"/>
      <c r="L881" s="162"/>
      <c r="M881" s="162"/>
      <c r="N881" s="162"/>
      <c r="O881" s="162"/>
      <c r="P881" s="162"/>
      <c r="Q881" s="162"/>
      <c r="R881" s="162"/>
      <c r="S881" s="162"/>
      <c r="T881" s="162"/>
      <c r="U881" s="162"/>
      <c r="V881" s="162"/>
      <c r="W881" s="162"/>
      <c r="X881" s="162"/>
      <c r="Y881" s="162"/>
      <c r="Z881" s="162"/>
    </row>
    <row r="882" ht="18.75" customHeight="1">
      <c r="A882" s="162"/>
      <c r="B882" s="162"/>
      <c r="C882" s="162"/>
      <c r="D882" s="162"/>
      <c r="E882" s="166"/>
      <c r="F882" s="166"/>
      <c r="G882" s="162"/>
      <c r="H882" s="162"/>
      <c r="I882" s="162"/>
      <c r="J882" s="162"/>
      <c r="K882" s="162"/>
      <c r="L882" s="162"/>
      <c r="M882" s="162"/>
      <c r="N882" s="162"/>
      <c r="O882" s="162"/>
      <c r="P882" s="162"/>
      <c r="Q882" s="162"/>
      <c r="R882" s="162"/>
      <c r="S882" s="162"/>
      <c r="T882" s="162"/>
      <c r="U882" s="162"/>
      <c r="V882" s="162"/>
      <c r="W882" s="162"/>
      <c r="X882" s="162"/>
      <c r="Y882" s="162"/>
      <c r="Z882" s="162"/>
    </row>
    <row r="883" ht="18.75" customHeight="1">
      <c r="A883" s="162"/>
      <c r="B883" s="162"/>
      <c r="C883" s="162"/>
      <c r="D883" s="162"/>
      <c r="E883" s="166"/>
      <c r="F883" s="166"/>
      <c r="G883" s="162"/>
      <c r="H883" s="162"/>
      <c r="I883" s="162"/>
      <c r="J883" s="162"/>
      <c r="K883" s="162"/>
      <c r="L883" s="162"/>
      <c r="M883" s="162"/>
      <c r="N883" s="162"/>
      <c r="O883" s="162"/>
      <c r="P883" s="162"/>
      <c r="Q883" s="162"/>
      <c r="R883" s="162"/>
      <c r="S883" s="162"/>
      <c r="T883" s="162"/>
      <c r="U883" s="162"/>
      <c r="V883" s="162"/>
      <c r="W883" s="162"/>
      <c r="X883" s="162"/>
      <c r="Y883" s="162"/>
      <c r="Z883" s="162"/>
    </row>
    <row r="884" ht="18.75" customHeight="1">
      <c r="A884" s="162"/>
      <c r="B884" s="162"/>
      <c r="C884" s="162"/>
      <c r="D884" s="162"/>
      <c r="E884" s="166"/>
      <c r="F884" s="166"/>
      <c r="G884" s="162"/>
      <c r="H884" s="162"/>
      <c r="I884" s="162"/>
      <c r="J884" s="162"/>
      <c r="K884" s="162"/>
      <c r="L884" s="162"/>
      <c r="M884" s="162"/>
      <c r="N884" s="162"/>
      <c r="O884" s="162"/>
      <c r="P884" s="162"/>
      <c r="Q884" s="162"/>
      <c r="R884" s="162"/>
      <c r="S884" s="162"/>
      <c r="T884" s="162"/>
      <c r="U884" s="162"/>
      <c r="V884" s="162"/>
      <c r="W884" s="162"/>
      <c r="X884" s="162"/>
      <c r="Y884" s="162"/>
      <c r="Z884" s="162"/>
    </row>
    <row r="885" ht="18.75" customHeight="1">
      <c r="A885" s="162"/>
      <c r="B885" s="162"/>
      <c r="C885" s="162"/>
      <c r="D885" s="162"/>
      <c r="E885" s="166"/>
      <c r="F885" s="166"/>
      <c r="G885" s="162"/>
      <c r="H885" s="162"/>
      <c r="I885" s="162"/>
      <c r="J885" s="162"/>
      <c r="K885" s="162"/>
      <c r="L885" s="162"/>
      <c r="M885" s="162"/>
      <c r="N885" s="162"/>
      <c r="O885" s="162"/>
      <c r="P885" s="162"/>
      <c r="Q885" s="162"/>
      <c r="R885" s="162"/>
      <c r="S885" s="162"/>
      <c r="T885" s="162"/>
      <c r="U885" s="162"/>
      <c r="V885" s="162"/>
      <c r="W885" s="162"/>
      <c r="X885" s="162"/>
      <c r="Y885" s="162"/>
      <c r="Z885" s="162"/>
    </row>
    <row r="886" ht="18.75" customHeight="1">
      <c r="A886" s="162"/>
      <c r="B886" s="162"/>
      <c r="C886" s="162"/>
      <c r="D886" s="162"/>
      <c r="E886" s="166"/>
      <c r="F886" s="166"/>
      <c r="G886" s="162"/>
      <c r="H886" s="162"/>
      <c r="I886" s="162"/>
      <c r="J886" s="162"/>
      <c r="K886" s="162"/>
      <c r="L886" s="162"/>
      <c r="M886" s="162"/>
      <c r="N886" s="162"/>
      <c r="O886" s="162"/>
      <c r="P886" s="162"/>
      <c r="Q886" s="162"/>
      <c r="R886" s="162"/>
      <c r="S886" s="162"/>
      <c r="T886" s="162"/>
      <c r="U886" s="162"/>
      <c r="V886" s="162"/>
      <c r="W886" s="162"/>
      <c r="X886" s="162"/>
      <c r="Y886" s="162"/>
      <c r="Z886" s="162"/>
    </row>
    <row r="887" ht="18.75" customHeight="1">
      <c r="A887" s="162"/>
      <c r="B887" s="162"/>
      <c r="C887" s="162"/>
      <c r="D887" s="162"/>
      <c r="E887" s="166"/>
      <c r="F887" s="166"/>
      <c r="G887" s="162"/>
      <c r="H887" s="162"/>
      <c r="I887" s="162"/>
      <c r="J887" s="162"/>
      <c r="K887" s="162"/>
      <c r="L887" s="162"/>
      <c r="M887" s="162"/>
      <c r="N887" s="162"/>
      <c r="O887" s="162"/>
      <c r="P887" s="162"/>
      <c r="Q887" s="162"/>
      <c r="R887" s="162"/>
      <c r="S887" s="162"/>
      <c r="T887" s="162"/>
      <c r="U887" s="162"/>
      <c r="V887" s="162"/>
      <c r="W887" s="162"/>
      <c r="X887" s="162"/>
      <c r="Y887" s="162"/>
      <c r="Z887" s="162"/>
    </row>
    <row r="888" ht="18.75" customHeight="1">
      <c r="A888" s="162"/>
      <c r="B888" s="162"/>
      <c r="C888" s="162"/>
      <c r="D888" s="162"/>
      <c r="E888" s="166"/>
      <c r="F888" s="166"/>
      <c r="G888" s="162"/>
      <c r="H888" s="162"/>
      <c r="I888" s="162"/>
      <c r="J888" s="162"/>
      <c r="K888" s="162"/>
      <c r="L888" s="162"/>
      <c r="M888" s="162"/>
      <c r="N888" s="162"/>
      <c r="O888" s="162"/>
      <c r="P888" s="162"/>
      <c r="Q888" s="162"/>
      <c r="R888" s="162"/>
      <c r="S888" s="162"/>
      <c r="T888" s="162"/>
      <c r="U888" s="162"/>
      <c r="V888" s="162"/>
      <c r="W888" s="162"/>
      <c r="X888" s="162"/>
      <c r="Y888" s="162"/>
      <c r="Z888" s="162"/>
    </row>
    <row r="889" ht="18.75" customHeight="1">
      <c r="A889" s="162"/>
      <c r="B889" s="162"/>
      <c r="C889" s="162"/>
      <c r="D889" s="162"/>
      <c r="E889" s="166"/>
      <c r="F889" s="166"/>
      <c r="G889" s="162"/>
      <c r="H889" s="162"/>
      <c r="I889" s="162"/>
      <c r="J889" s="162"/>
      <c r="K889" s="162"/>
      <c r="L889" s="162"/>
      <c r="M889" s="162"/>
      <c r="N889" s="162"/>
      <c r="O889" s="162"/>
      <c r="P889" s="162"/>
      <c r="Q889" s="162"/>
      <c r="R889" s="162"/>
      <c r="S889" s="162"/>
      <c r="T889" s="162"/>
      <c r="U889" s="162"/>
      <c r="V889" s="162"/>
      <c r="W889" s="162"/>
      <c r="X889" s="162"/>
      <c r="Y889" s="162"/>
      <c r="Z889" s="162"/>
    </row>
    <row r="890" ht="18.75" customHeight="1">
      <c r="A890" s="162"/>
      <c r="B890" s="162"/>
      <c r="C890" s="162"/>
      <c r="D890" s="162"/>
      <c r="E890" s="166"/>
      <c r="F890" s="166"/>
      <c r="G890" s="162"/>
      <c r="H890" s="162"/>
      <c r="I890" s="162"/>
      <c r="J890" s="162"/>
      <c r="K890" s="162"/>
      <c r="L890" s="162"/>
      <c r="M890" s="162"/>
      <c r="N890" s="162"/>
      <c r="O890" s="162"/>
      <c r="P890" s="162"/>
      <c r="Q890" s="162"/>
      <c r="R890" s="162"/>
      <c r="S890" s="162"/>
      <c r="T890" s="162"/>
      <c r="U890" s="162"/>
      <c r="V890" s="162"/>
      <c r="W890" s="162"/>
      <c r="X890" s="162"/>
      <c r="Y890" s="162"/>
      <c r="Z890" s="162"/>
    </row>
    <row r="891" ht="18.75" customHeight="1">
      <c r="A891" s="162"/>
      <c r="B891" s="162"/>
      <c r="C891" s="162"/>
      <c r="D891" s="162"/>
      <c r="E891" s="166"/>
      <c r="F891" s="166"/>
      <c r="G891" s="162"/>
      <c r="H891" s="162"/>
      <c r="I891" s="162"/>
      <c r="J891" s="162"/>
      <c r="K891" s="162"/>
      <c r="L891" s="162"/>
      <c r="M891" s="162"/>
      <c r="N891" s="162"/>
      <c r="O891" s="162"/>
      <c r="P891" s="162"/>
      <c r="Q891" s="162"/>
      <c r="R891" s="162"/>
      <c r="S891" s="162"/>
      <c r="T891" s="162"/>
      <c r="U891" s="162"/>
      <c r="V891" s="162"/>
      <c r="W891" s="162"/>
      <c r="X891" s="162"/>
      <c r="Y891" s="162"/>
      <c r="Z891" s="162"/>
    </row>
    <row r="892" ht="18.75" customHeight="1">
      <c r="A892" s="162"/>
      <c r="B892" s="162"/>
      <c r="C892" s="162"/>
      <c r="D892" s="162"/>
      <c r="E892" s="166"/>
      <c r="F892" s="166"/>
      <c r="G892" s="162"/>
      <c r="H892" s="162"/>
      <c r="I892" s="162"/>
      <c r="J892" s="162"/>
      <c r="K892" s="162"/>
      <c r="L892" s="162"/>
      <c r="M892" s="162"/>
      <c r="N892" s="162"/>
      <c r="O892" s="162"/>
      <c r="P892" s="162"/>
      <c r="Q892" s="162"/>
      <c r="R892" s="162"/>
      <c r="S892" s="162"/>
      <c r="T892" s="162"/>
      <c r="U892" s="162"/>
      <c r="V892" s="162"/>
      <c r="W892" s="162"/>
      <c r="X892" s="162"/>
      <c r="Y892" s="162"/>
      <c r="Z892" s="162"/>
    </row>
    <row r="893" ht="18.75" customHeight="1">
      <c r="A893" s="162"/>
      <c r="B893" s="162"/>
      <c r="C893" s="162"/>
      <c r="D893" s="162"/>
      <c r="E893" s="166"/>
      <c r="F893" s="166"/>
      <c r="G893" s="162"/>
      <c r="H893" s="162"/>
      <c r="I893" s="162"/>
      <c r="J893" s="162"/>
      <c r="K893" s="162"/>
      <c r="L893" s="162"/>
      <c r="M893" s="162"/>
      <c r="N893" s="162"/>
      <c r="O893" s="162"/>
      <c r="P893" s="162"/>
      <c r="Q893" s="162"/>
      <c r="R893" s="162"/>
      <c r="S893" s="162"/>
      <c r="T893" s="162"/>
      <c r="U893" s="162"/>
      <c r="V893" s="162"/>
      <c r="W893" s="162"/>
      <c r="X893" s="162"/>
      <c r="Y893" s="162"/>
      <c r="Z893" s="162"/>
    </row>
    <row r="894" ht="18.75" customHeight="1">
      <c r="A894" s="162"/>
      <c r="B894" s="162"/>
      <c r="C894" s="162"/>
      <c r="D894" s="162"/>
      <c r="E894" s="166"/>
      <c r="F894" s="166"/>
      <c r="G894" s="162"/>
      <c r="H894" s="162"/>
      <c r="I894" s="162"/>
      <c r="J894" s="162"/>
      <c r="K894" s="162"/>
      <c r="L894" s="162"/>
      <c r="M894" s="162"/>
      <c r="N894" s="162"/>
      <c r="O894" s="162"/>
      <c r="P894" s="162"/>
      <c r="Q894" s="162"/>
      <c r="R894" s="162"/>
      <c r="S894" s="162"/>
      <c r="T894" s="162"/>
      <c r="U894" s="162"/>
      <c r="V894" s="162"/>
      <c r="W894" s="162"/>
      <c r="X894" s="162"/>
      <c r="Y894" s="162"/>
      <c r="Z894" s="162"/>
    </row>
    <row r="895" ht="18.75" customHeight="1">
      <c r="A895" s="162"/>
      <c r="B895" s="162"/>
      <c r="C895" s="162"/>
      <c r="D895" s="162"/>
      <c r="E895" s="166"/>
      <c r="F895" s="166"/>
      <c r="G895" s="162"/>
      <c r="H895" s="162"/>
      <c r="I895" s="162"/>
      <c r="J895" s="162"/>
      <c r="K895" s="162"/>
      <c r="L895" s="162"/>
      <c r="M895" s="162"/>
      <c r="N895" s="162"/>
      <c r="O895" s="162"/>
      <c r="P895" s="162"/>
      <c r="Q895" s="162"/>
      <c r="R895" s="162"/>
      <c r="S895" s="162"/>
      <c r="T895" s="162"/>
      <c r="U895" s="162"/>
      <c r="V895" s="162"/>
      <c r="W895" s="162"/>
      <c r="X895" s="162"/>
      <c r="Y895" s="162"/>
      <c r="Z895" s="162"/>
    </row>
    <row r="896" ht="18.75" customHeight="1">
      <c r="A896" s="162"/>
      <c r="B896" s="162"/>
      <c r="C896" s="162"/>
      <c r="D896" s="162"/>
      <c r="E896" s="166"/>
      <c r="F896" s="166"/>
      <c r="G896" s="162"/>
      <c r="H896" s="162"/>
      <c r="I896" s="162"/>
      <c r="J896" s="162"/>
      <c r="K896" s="162"/>
      <c r="L896" s="162"/>
      <c r="M896" s="162"/>
      <c r="N896" s="162"/>
      <c r="O896" s="162"/>
      <c r="P896" s="162"/>
      <c r="Q896" s="162"/>
      <c r="R896" s="162"/>
      <c r="S896" s="162"/>
      <c r="T896" s="162"/>
      <c r="U896" s="162"/>
      <c r="V896" s="162"/>
      <c r="W896" s="162"/>
      <c r="X896" s="162"/>
      <c r="Y896" s="162"/>
      <c r="Z896" s="162"/>
    </row>
    <row r="897" ht="18.75" customHeight="1">
      <c r="A897" s="162"/>
      <c r="B897" s="162"/>
      <c r="C897" s="162"/>
      <c r="D897" s="162"/>
      <c r="E897" s="166"/>
      <c r="F897" s="166"/>
      <c r="G897" s="162"/>
      <c r="H897" s="162"/>
      <c r="I897" s="162"/>
      <c r="J897" s="162"/>
      <c r="K897" s="162"/>
      <c r="L897" s="162"/>
      <c r="M897" s="162"/>
      <c r="N897" s="162"/>
      <c r="O897" s="162"/>
      <c r="P897" s="162"/>
      <c r="Q897" s="162"/>
      <c r="R897" s="162"/>
      <c r="S897" s="162"/>
      <c r="T897" s="162"/>
      <c r="U897" s="162"/>
      <c r="V897" s="162"/>
      <c r="W897" s="162"/>
      <c r="X897" s="162"/>
      <c r="Y897" s="162"/>
      <c r="Z897" s="162"/>
    </row>
    <row r="898" ht="18.75" customHeight="1">
      <c r="A898" s="162"/>
      <c r="B898" s="162"/>
      <c r="C898" s="162"/>
      <c r="D898" s="162"/>
      <c r="E898" s="166"/>
      <c r="F898" s="166"/>
      <c r="G898" s="162"/>
      <c r="H898" s="162"/>
      <c r="I898" s="162"/>
      <c r="J898" s="162"/>
      <c r="K898" s="162"/>
      <c r="L898" s="162"/>
      <c r="M898" s="162"/>
      <c r="N898" s="162"/>
      <c r="O898" s="162"/>
      <c r="P898" s="162"/>
      <c r="Q898" s="162"/>
      <c r="R898" s="162"/>
      <c r="S898" s="162"/>
      <c r="T898" s="162"/>
      <c r="U898" s="162"/>
      <c r="V898" s="162"/>
      <c r="W898" s="162"/>
      <c r="X898" s="162"/>
      <c r="Y898" s="162"/>
      <c r="Z898" s="162"/>
    </row>
    <row r="899" ht="18.75" customHeight="1">
      <c r="A899" s="162"/>
      <c r="B899" s="162"/>
      <c r="C899" s="162"/>
      <c r="D899" s="162"/>
      <c r="E899" s="166"/>
      <c r="F899" s="166"/>
      <c r="G899" s="162"/>
      <c r="H899" s="162"/>
      <c r="I899" s="162"/>
      <c r="J899" s="162"/>
      <c r="K899" s="162"/>
      <c r="L899" s="162"/>
      <c r="M899" s="162"/>
      <c r="N899" s="162"/>
      <c r="O899" s="162"/>
      <c r="P899" s="162"/>
      <c r="Q899" s="162"/>
      <c r="R899" s="162"/>
      <c r="S899" s="162"/>
      <c r="T899" s="162"/>
      <c r="U899" s="162"/>
      <c r="V899" s="162"/>
      <c r="W899" s="162"/>
      <c r="X899" s="162"/>
      <c r="Y899" s="162"/>
      <c r="Z899" s="162"/>
    </row>
    <row r="900" ht="18.75" customHeight="1">
      <c r="A900" s="162"/>
      <c r="B900" s="162"/>
      <c r="C900" s="162"/>
      <c r="D900" s="162"/>
      <c r="E900" s="166"/>
      <c r="F900" s="166"/>
      <c r="G900" s="162"/>
      <c r="H900" s="162"/>
      <c r="I900" s="162"/>
      <c r="J900" s="162"/>
      <c r="K900" s="162"/>
      <c r="L900" s="162"/>
      <c r="M900" s="162"/>
      <c r="N900" s="162"/>
      <c r="O900" s="162"/>
      <c r="P900" s="162"/>
      <c r="Q900" s="162"/>
      <c r="R900" s="162"/>
      <c r="S900" s="162"/>
      <c r="T900" s="162"/>
      <c r="U900" s="162"/>
      <c r="V900" s="162"/>
      <c r="W900" s="162"/>
      <c r="X900" s="162"/>
      <c r="Y900" s="162"/>
      <c r="Z900" s="162"/>
    </row>
    <row r="901" ht="18.75" customHeight="1">
      <c r="A901" s="162"/>
      <c r="B901" s="162"/>
      <c r="C901" s="162"/>
      <c r="D901" s="162"/>
      <c r="E901" s="166"/>
      <c r="F901" s="166"/>
      <c r="G901" s="162"/>
      <c r="H901" s="162"/>
      <c r="I901" s="162"/>
      <c r="J901" s="162"/>
      <c r="K901" s="162"/>
      <c r="L901" s="162"/>
      <c r="M901" s="162"/>
      <c r="N901" s="162"/>
      <c r="O901" s="162"/>
      <c r="P901" s="162"/>
      <c r="Q901" s="162"/>
      <c r="R901" s="162"/>
      <c r="S901" s="162"/>
      <c r="T901" s="162"/>
      <c r="U901" s="162"/>
      <c r="V901" s="162"/>
      <c r="W901" s="162"/>
      <c r="X901" s="162"/>
      <c r="Y901" s="162"/>
      <c r="Z901" s="162"/>
    </row>
    <row r="902" ht="18.75" customHeight="1">
      <c r="A902" s="162"/>
      <c r="B902" s="162"/>
      <c r="C902" s="162"/>
      <c r="D902" s="162"/>
      <c r="E902" s="166"/>
      <c r="F902" s="166"/>
      <c r="G902" s="162"/>
      <c r="H902" s="162"/>
      <c r="I902" s="162"/>
      <c r="J902" s="162"/>
      <c r="K902" s="162"/>
      <c r="L902" s="162"/>
      <c r="M902" s="162"/>
      <c r="N902" s="162"/>
      <c r="O902" s="162"/>
      <c r="P902" s="162"/>
      <c r="Q902" s="162"/>
      <c r="R902" s="162"/>
      <c r="S902" s="162"/>
      <c r="T902" s="162"/>
      <c r="U902" s="162"/>
      <c r="V902" s="162"/>
      <c r="W902" s="162"/>
      <c r="X902" s="162"/>
      <c r="Y902" s="162"/>
      <c r="Z902" s="162"/>
    </row>
    <row r="903" ht="18.75" customHeight="1">
      <c r="A903" s="162"/>
      <c r="B903" s="162"/>
      <c r="C903" s="162"/>
      <c r="D903" s="162"/>
      <c r="E903" s="166"/>
      <c r="F903" s="166"/>
      <c r="G903" s="162"/>
      <c r="H903" s="162"/>
      <c r="I903" s="162"/>
      <c r="J903" s="162"/>
      <c r="K903" s="162"/>
      <c r="L903" s="162"/>
      <c r="M903" s="162"/>
      <c r="N903" s="162"/>
      <c r="O903" s="162"/>
      <c r="P903" s="162"/>
      <c r="Q903" s="162"/>
      <c r="R903" s="162"/>
      <c r="S903" s="162"/>
      <c r="T903" s="162"/>
      <c r="U903" s="162"/>
      <c r="V903" s="162"/>
      <c r="W903" s="162"/>
      <c r="X903" s="162"/>
      <c r="Y903" s="162"/>
      <c r="Z903" s="162"/>
    </row>
    <row r="904" ht="18.75" customHeight="1">
      <c r="A904" s="162"/>
      <c r="B904" s="162"/>
      <c r="C904" s="162"/>
      <c r="D904" s="162"/>
      <c r="E904" s="166"/>
      <c r="F904" s="166"/>
      <c r="G904" s="162"/>
      <c r="H904" s="162"/>
      <c r="I904" s="162"/>
      <c r="J904" s="162"/>
      <c r="K904" s="162"/>
      <c r="L904" s="162"/>
      <c r="M904" s="162"/>
      <c r="N904" s="162"/>
      <c r="O904" s="162"/>
      <c r="P904" s="162"/>
      <c r="Q904" s="162"/>
      <c r="R904" s="162"/>
      <c r="S904" s="162"/>
      <c r="T904" s="162"/>
      <c r="U904" s="162"/>
      <c r="V904" s="162"/>
      <c r="W904" s="162"/>
      <c r="X904" s="162"/>
      <c r="Y904" s="162"/>
      <c r="Z904" s="162"/>
    </row>
    <row r="905" ht="18.75" customHeight="1">
      <c r="A905" s="162"/>
      <c r="B905" s="162"/>
      <c r="C905" s="162"/>
      <c r="D905" s="162"/>
      <c r="E905" s="166"/>
      <c r="F905" s="166"/>
      <c r="G905" s="162"/>
      <c r="H905" s="162"/>
      <c r="I905" s="162"/>
      <c r="J905" s="162"/>
      <c r="K905" s="162"/>
      <c r="L905" s="162"/>
      <c r="M905" s="162"/>
      <c r="N905" s="162"/>
      <c r="O905" s="162"/>
      <c r="P905" s="162"/>
      <c r="Q905" s="162"/>
      <c r="R905" s="162"/>
      <c r="S905" s="162"/>
      <c r="T905" s="162"/>
      <c r="U905" s="162"/>
      <c r="V905" s="162"/>
      <c r="W905" s="162"/>
      <c r="X905" s="162"/>
      <c r="Y905" s="162"/>
      <c r="Z905" s="162"/>
    </row>
    <row r="906" ht="18.75" customHeight="1">
      <c r="A906" s="162"/>
      <c r="B906" s="162"/>
      <c r="C906" s="162"/>
      <c r="D906" s="162"/>
      <c r="E906" s="166"/>
      <c r="F906" s="166"/>
      <c r="G906" s="162"/>
      <c r="H906" s="162"/>
      <c r="I906" s="162"/>
      <c r="J906" s="162"/>
      <c r="K906" s="162"/>
      <c r="L906" s="162"/>
      <c r="M906" s="162"/>
      <c r="N906" s="162"/>
      <c r="O906" s="162"/>
      <c r="P906" s="162"/>
      <c r="Q906" s="162"/>
      <c r="R906" s="162"/>
      <c r="S906" s="162"/>
      <c r="T906" s="162"/>
      <c r="U906" s="162"/>
      <c r="V906" s="162"/>
      <c r="W906" s="162"/>
      <c r="X906" s="162"/>
      <c r="Y906" s="162"/>
      <c r="Z906" s="162"/>
    </row>
    <row r="907" ht="18.75" customHeight="1">
      <c r="A907" s="162"/>
      <c r="B907" s="162"/>
      <c r="C907" s="162"/>
      <c r="D907" s="162"/>
      <c r="E907" s="166"/>
      <c r="F907" s="166"/>
      <c r="G907" s="162"/>
      <c r="H907" s="162"/>
      <c r="I907" s="162"/>
      <c r="J907" s="162"/>
      <c r="K907" s="162"/>
      <c r="L907" s="162"/>
      <c r="M907" s="162"/>
      <c r="N907" s="162"/>
      <c r="O907" s="162"/>
      <c r="P907" s="162"/>
      <c r="Q907" s="162"/>
      <c r="R907" s="162"/>
      <c r="S907" s="162"/>
      <c r="T907" s="162"/>
      <c r="U907" s="162"/>
      <c r="V907" s="162"/>
      <c r="W907" s="162"/>
      <c r="X907" s="162"/>
      <c r="Y907" s="162"/>
      <c r="Z907" s="162"/>
    </row>
    <row r="908" ht="18.75" customHeight="1">
      <c r="A908" s="162"/>
      <c r="B908" s="162"/>
      <c r="C908" s="162"/>
      <c r="D908" s="162"/>
      <c r="E908" s="166"/>
      <c r="F908" s="166"/>
      <c r="G908" s="162"/>
      <c r="H908" s="162"/>
      <c r="I908" s="162"/>
      <c r="J908" s="162"/>
      <c r="K908" s="162"/>
      <c r="L908" s="162"/>
      <c r="M908" s="162"/>
      <c r="N908" s="162"/>
      <c r="O908" s="162"/>
      <c r="P908" s="162"/>
      <c r="Q908" s="162"/>
      <c r="R908" s="162"/>
      <c r="S908" s="162"/>
      <c r="T908" s="162"/>
      <c r="U908" s="162"/>
      <c r="V908" s="162"/>
      <c r="W908" s="162"/>
      <c r="X908" s="162"/>
      <c r="Y908" s="162"/>
      <c r="Z908" s="162"/>
    </row>
    <row r="909" ht="18.75" customHeight="1">
      <c r="A909" s="162"/>
      <c r="B909" s="162"/>
      <c r="C909" s="162"/>
      <c r="D909" s="162"/>
      <c r="E909" s="166"/>
      <c r="F909" s="166"/>
      <c r="G909" s="162"/>
      <c r="H909" s="162"/>
      <c r="I909" s="162"/>
      <c r="J909" s="162"/>
      <c r="K909" s="162"/>
      <c r="L909" s="162"/>
      <c r="M909" s="162"/>
      <c r="N909" s="162"/>
      <c r="O909" s="162"/>
      <c r="P909" s="162"/>
      <c r="Q909" s="162"/>
      <c r="R909" s="162"/>
      <c r="S909" s="162"/>
      <c r="T909" s="162"/>
      <c r="U909" s="162"/>
      <c r="V909" s="162"/>
      <c r="W909" s="162"/>
      <c r="X909" s="162"/>
      <c r="Y909" s="162"/>
      <c r="Z909" s="162"/>
    </row>
    <row r="910" ht="18.75" customHeight="1">
      <c r="A910" s="162"/>
      <c r="B910" s="162"/>
      <c r="C910" s="162"/>
      <c r="D910" s="162"/>
      <c r="E910" s="166"/>
      <c r="F910" s="166"/>
      <c r="G910" s="162"/>
      <c r="H910" s="162"/>
      <c r="I910" s="162"/>
      <c r="J910" s="162"/>
      <c r="K910" s="162"/>
      <c r="L910" s="162"/>
      <c r="M910" s="162"/>
      <c r="N910" s="162"/>
      <c r="O910" s="162"/>
      <c r="P910" s="162"/>
      <c r="Q910" s="162"/>
      <c r="R910" s="162"/>
      <c r="S910" s="162"/>
      <c r="T910" s="162"/>
      <c r="U910" s="162"/>
      <c r="V910" s="162"/>
      <c r="W910" s="162"/>
      <c r="X910" s="162"/>
      <c r="Y910" s="162"/>
      <c r="Z910" s="162"/>
    </row>
    <row r="911" ht="18.75" customHeight="1">
      <c r="A911" s="162"/>
      <c r="B911" s="162"/>
      <c r="C911" s="162"/>
      <c r="D911" s="162"/>
      <c r="E911" s="166"/>
      <c r="F911" s="166"/>
      <c r="G911" s="162"/>
      <c r="H911" s="162"/>
      <c r="I911" s="162"/>
      <c r="J911" s="162"/>
      <c r="K911" s="162"/>
      <c r="L911" s="162"/>
      <c r="M911" s="162"/>
      <c r="N911" s="162"/>
      <c r="O911" s="162"/>
      <c r="P911" s="162"/>
      <c r="Q911" s="162"/>
      <c r="R911" s="162"/>
      <c r="S911" s="162"/>
      <c r="T911" s="162"/>
      <c r="U911" s="162"/>
      <c r="V911" s="162"/>
      <c r="W911" s="162"/>
      <c r="X911" s="162"/>
      <c r="Y911" s="162"/>
      <c r="Z911" s="162"/>
    </row>
    <row r="912" ht="18.75" customHeight="1">
      <c r="A912" s="162"/>
      <c r="B912" s="162"/>
      <c r="C912" s="162"/>
      <c r="D912" s="162"/>
      <c r="E912" s="166"/>
      <c r="F912" s="166"/>
      <c r="G912" s="162"/>
      <c r="H912" s="162"/>
      <c r="I912" s="162"/>
      <c r="J912" s="162"/>
      <c r="K912" s="162"/>
      <c r="L912" s="162"/>
      <c r="M912" s="162"/>
      <c r="N912" s="162"/>
      <c r="O912" s="162"/>
      <c r="P912" s="162"/>
      <c r="Q912" s="162"/>
      <c r="R912" s="162"/>
      <c r="S912" s="162"/>
      <c r="T912" s="162"/>
      <c r="U912" s="162"/>
      <c r="V912" s="162"/>
      <c r="W912" s="162"/>
      <c r="X912" s="162"/>
      <c r="Y912" s="162"/>
      <c r="Z912" s="162"/>
    </row>
    <row r="913" ht="18.75" customHeight="1">
      <c r="A913" s="162"/>
      <c r="B913" s="162"/>
      <c r="C913" s="162"/>
      <c r="D913" s="162"/>
      <c r="E913" s="166"/>
      <c r="F913" s="166"/>
      <c r="G913" s="162"/>
      <c r="H913" s="162"/>
      <c r="I913" s="162"/>
      <c r="J913" s="162"/>
      <c r="K913" s="162"/>
      <c r="L913" s="162"/>
      <c r="M913" s="162"/>
      <c r="N913" s="162"/>
      <c r="O913" s="162"/>
      <c r="P913" s="162"/>
      <c r="Q913" s="162"/>
      <c r="R913" s="162"/>
      <c r="S913" s="162"/>
      <c r="T913" s="162"/>
      <c r="U913" s="162"/>
      <c r="V913" s="162"/>
      <c r="W913" s="162"/>
      <c r="X913" s="162"/>
      <c r="Y913" s="162"/>
      <c r="Z913" s="162"/>
    </row>
    <row r="914" ht="18.75" customHeight="1">
      <c r="A914" s="162"/>
      <c r="B914" s="162"/>
      <c r="C914" s="162"/>
      <c r="D914" s="162"/>
      <c r="E914" s="166"/>
      <c r="F914" s="166"/>
      <c r="G914" s="162"/>
      <c r="H914" s="162"/>
      <c r="I914" s="162"/>
      <c r="J914" s="162"/>
      <c r="K914" s="162"/>
      <c r="L914" s="162"/>
      <c r="M914" s="162"/>
      <c r="N914" s="162"/>
      <c r="O914" s="162"/>
      <c r="P914" s="162"/>
      <c r="Q914" s="162"/>
      <c r="R914" s="162"/>
      <c r="S914" s="162"/>
      <c r="T914" s="162"/>
      <c r="U914" s="162"/>
      <c r="V914" s="162"/>
      <c r="W914" s="162"/>
      <c r="X914" s="162"/>
      <c r="Y914" s="162"/>
      <c r="Z914" s="162"/>
    </row>
    <row r="915" ht="18.75" customHeight="1">
      <c r="A915" s="162"/>
      <c r="B915" s="162"/>
      <c r="C915" s="162"/>
      <c r="D915" s="162"/>
      <c r="E915" s="166"/>
      <c r="F915" s="166"/>
      <c r="G915" s="162"/>
      <c r="H915" s="162"/>
      <c r="I915" s="162"/>
      <c r="J915" s="162"/>
      <c r="K915" s="162"/>
      <c r="L915" s="162"/>
      <c r="M915" s="162"/>
      <c r="N915" s="162"/>
      <c r="O915" s="162"/>
      <c r="P915" s="162"/>
      <c r="Q915" s="162"/>
      <c r="R915" s="162"/>
      <c r="S915" s="162"/>
      <c r="T915" s="162"/>
      <c r="U915" s="162"/>
      <c r="V915" s="162"/>
      <c r="W915" s="162"/>
      <c r="X915" s="162"/>
      <c r="Y915" s="162"/>
      <c r="Z915" s="162"/>
    </row>
    <row r="916" ht="18.75" customHeight="1">
      <c r="A916" s="162"/>
      <c r="B916" s="162"/>
      <c r="C916" s="162"/>
      <c r="D916" s="162"/>
      <c r="E916" s="166"/>
      <c r="F916" s="166"/>
      <c r="G916" s="162"/>
      <c r="H916" s="162"/>
      <c r="I916" s="162"/>
      <c r="J916" s="162"/>
      <c r="K916" s="162"/>
      <c r="L916" s="162"/>
      <c r="M916" s="162"/>
      <c r="N916" s="162"/>
      <c r="O916" s="162"/>
      <c r="P916" s="162"/>
      <c r="Q916" s="162"/>
      <c r="R916" s="162"/>
      <c r="S916" s="162"/>
      <c r="T916" s="162"/>
      <c r="U916" s="162"/>
      <c r="V916" s="162"/>
      <c r="W916" s="162"/>
      <c r="X916" s="162"/>
      <c r="Y916" s="162"/>
      <c r="Z916" s="162"/>
    </row>
    <row r="917" ht="18.75" customHeight="1">
      <c r="A917" s="162"/>
      <c r="B917" s="162"/>
      <c r="C917" s="162"/>
      <c r="D917" s="162"/>
      <c r="E917" s="166"/>
      <c r="F917" s="166"/>
      <c r="G917" s="162"/>
      <c r="H917" s="162"/>
      <c r="I917" s="162"/>
      <c r="J917" s="162"/>
      <c r="K917" s="162"/>
      <c r="L917" s="162"/>
      <c r="M917" s="162"/>
      <c r="N917" s="162"/>
      <c r="O917" s="162"/>
      <c r="P917" s="162"/>
      <c r="Q917" s="162"/>
      <c r="R917" s="162"/>
      <c r="S917" s="162"/>
      <c r="T917" s="162"/>
      <c r="U917" s="162"/>
      <c r="V917" s="162"/>
      <c r="W917" s="162"/>
      <c r="X917" s="162"/>
      <c r="Y917" s="162"/>
      <c r="Z917" s="162"/>
    </row>
    <row r="918" ht="18.75" customHeight="1">
      <c r="A918" s="162"/>
      <c r="B918" s="162"/>
      <c r="C918" s="162"/>
      <c r="D918" s="162"/>
      <c r="E918" s="166"/>
      <c r="F918" s="166"/>
      <c r="G918" s="162"/>
      <c r="H918" s="162"/>
      <c r="I918" s="162"/>
      <c r="J918" s="162"/>
      <c r="K918" s="162"/>
      <c r="L918" s="162"/>
      <c r="M918" s="162"/>
      <c r="N918" s="162"/>
      <c r="O918" s="162"/>
      <c r="P918" s="162"/>
      <c r="Q918" s="162"/>
      <c r="R918" s="162"/>
      <c r="S918" s="162"/>
      <c r="T918" s="162"/>
      <c r="U918" s="162"/>
      <c r="V918" s="162"/>
      <c r="W918" s="162"/>
      <c r="X918" s="162"/>
      <c r="Y918" s="162"/>
      <c r="Z918" s="162"/>
    </row>
    <row r="919" ht="18.75" customHeight="1">
      <c r="A919" s="162"/>
      <c r="B919" s="162"/>
      <c r="C919" s="162"/>
      <c r="D919" s="162"/>
      <c r="E919" s="166"/>
      <c r="F919" s="166"/>
      <c r="G919" s="162"/>
      <c r="H919" s="162"/>
      <c r="I919" s="162"/>
      <c r="J919" s="162"/>
      <c r="K919" s="162"/>
      <c r="L919" s="162"/>
      <c r="M919" s="162"/>
      <c r="N919" s="162"/>
      <c r="O919" s="162"/>
      <c r="P919" s="162"/>
      <c r="Q919" s="162"/>
      <c r="R919" s="162"/>
      <c r="S919" s="162"/>
      <c r="T919" s="162"/>
      <c r="U919" s="162"/>
      <c r="V919" s="162"/>
      <c r="W919" s="162"/>
      <c r="X919" s="162"/>
      <c r="Y919" s="162"/>
      <c r="Z919" s="162"/>
    </row>
    <row r="920" ht="18.75" customHeight="1">
      <c r="A920" s="162"/>
      <c r="B920" s="162"/>
      <c r="C920" s="162"/>
      <c r="D920" s="162"/>
      <c r="E920" s="166"/>
      <c r="F920" s="166"/>
      <c r="G920" s="162"/>
      <c r="H920" s="162"/>
      <c r="I920" s="162"/>
      <c r="J920" s="162"/>
      <c r="K920" s="162"/>
      <c r="L920" s="162"/>
      <c r="M920" s="162"/>
      <c r="N920" s="162"/>
      <c r="O920" s="162"/>
      <c r="P920" s="162"/>
      <c r="Q920" s="162"/>
      <c r="R920" s="162"/>
      <c r="S920" s="162"/>
      <c r="T920" s="162"/>
      <c r="U920" s="162"/>
      <c r="V920" s="162"/>
      <c r="W920" s="162"/>
      <c r="X920" s="162"/>
      <c r="Y920" s="162"/>
      <c r="Z920" s="162"/>
    </row>
    <row r="921" ht="18.75" customHeight="1">
      <c r="A921" s="162"/>
      <c r="B921" s="162"/>
      <c r="C921" s="162"/>
      <c r="D921" s="162"/>
      <c r="E921" s="166"/>
      <c r="F921" s="166"/>
      <c r="G921" s="162"/>
      <c r="H921" s="162"/>
      <c r="I921" s="162"/>
      <c r="J921" s="162"/>
      <c r="K921" s="162"/>
      <c r="L921" s="162"/>
      <c r="M921" s="162"/>
      <c r="N921" s="162"/>
      <c r="O921" s="162"/>
      <c r="P921" s="162"/>
      <c r="Q921" s="162"/>
      <c r="R921" s="162"/>
      <c r="S921" s="162"/>
      <c r="T921" s="162"/>
      <c r="U921" s="162"/>
      <c r="V921" s="162"/>
      <c r="W921" s="162"/>
      <c r="X921" s="162"/>
      <c r="Y921" s="162"/>
      <c r="Z921" s="162"/>
    </row>
    <row r="922" ht="18.75" customHeight="1">
      <c r="A922" s="162"/>
      <c r="B922" s="162"/>
      <c r="C922" s="162"/>
      <c r="D922" s="162"/>
      <c r="E922" s="166"/>
      <c r="F922" s="166"/>
      <c r="G922" s="162"/>
      <c r="H922" s="162"/>
      <c r="I922" s="162"/>
      <c r="J922" s="162"/>
      <c r="K922" s="162"/>
      <c r="L922" s="162"/>
      <c r="M922" s="162"/>
      <c r="N922" s="162"/>
      <c r="O922" s="162"/>
      <c r="P922" s="162"/>
      <c r="Q922" s="162"/>
      <c r="R922" s="162"/>
      <c r="S922" s="162"/>
      <c r="T922" s="162"/>
      <c r="U922" s="162"/>
      <c r="V922" s="162"/>
      <c r="W922" s="162"/>
      <c r="X922" s="162"/>
      <c r="Y922" s="162"/>
      <c r="Z922" s="162"/>
    </row>
    <row r="923" ht="18.75" customHeight="1">
      <c r="A923" s="162"/>
      <c r="B923" s="162"/>
      <c r="C923" s="162"/>
      <c r="D923" s="162"/>
      <c r="E923" s="166"/>
      <c r="F923" s="166"/>
      <c r="G923" s="162"/>
      <c r="H923" s="162"/>
      <c r="I923" s="162"/>
      <c r="J923" s="162"/>
      <c r="K923" s="162"/>
      <c r="L923" s="162"/>
      <c r="M923" s="162"/>
      <c r="N923" s="162"/>
      <c r="O923" s="162"/>
      <c r="P923" s="162"/>
      <c r="Q923" s="162"/>
      <c r="R923" s="162"/>
      <c r="S923" s="162"/>
      <c r="T923" s="162"/>
      <c r="U923" s="162"/>
      <c r="V923" s="162"/>
      <c r="W923" s="162"/>
      <c r="X923" s="162"/>
      <c r="Y923" s="162"/>
      <c r="Z923" s="162"/>
    </row>
    <row r="924" ht="18.75" customHeight="1">
      <c r="A924" s="162"/>
      <c r="B924" s="162"/>
      <c r="C924" s="162"/>
      <c r="D924" s="162"/>
      <c r="E924" s="166"/>
      <c r="F924" s="166"/>
      <c r="G924" s="162"/>
      <c r="H924" s="162"/>
      <c r="I924" s="162"/>
      <c r="J924" s="162"/>
      <c r="K924" s="162"/>
      <c r="L924" s="162"/>
      <c r="M924" s="162"/>
      <c r="N924" s="162"/>
      <c r="O924" s="162"/>
      <c r="P924" s="162"/>
      <c r="Q924" s="162"/>
      <c r="R924" s="162"/>
      <c r="S924" s="162"/>
      <c r="T924" s="162"/>
      <c r="U924" s="162"/>
      <c r="V924" s="162"/>
      <c r="W924" s="162"/>
      <c r="X924" s="162"/>
      <c r="Y924" s="162"/>
      <c r="Z924" s="162"/>
    </row>
    <row r="925" ht="18.75" customHeight="1">
      <c r="A925" s="162"/>
      <c r="B925" s="162"/>
      <c r="C925" s="162"/>
      <c r="D925" s="162"/>
      <c r="E925" s="166"/>
      <c r="F925" s="166"/>
      <c r="G925" s="162"/>
      <c r="H925" s="162"/>
      <c r="I925" s="162"/>
      <c r="J925" s="162"/>
      <c r="K925" s="162"/>
      <c r="L925" s="162"/>
      <c r="M925" s="162"/>
      <c r="N925" s="162"/>
      <c r="O925" s="162"/>
      <c r="P925" s="162"/>
      <c r="Q925" s="162"/>
      <c r="R925" s="162"/>
      <c r="S925" s="162"/>
      <c r="T925" s="162"/>
      <c r="U925" s="162"/>
      <c r="V925" s="162"/>
      <c r="W925" s="162"/>
      <c r="X925" s="162"/>
      <c r="Y925" s="162"/>
      <c r="Z925" s="162"/>
    </row>
    <row r="926" ht="18.75" customHeight="1">
      <c r="A926" s="162"/>
      <c r="B926" s="162"/>
      <c r="C926" s="162"/>
      <c r="D926" s="162"/>
      <c r="E926" s="166"/>
      <c r="F926" s="166"/>
      <c r="G926" s="162"/>
      <c r="H926" s="162"/>
      <c r="I926" s="162"/>
      <c r="J926" s="162"/>
      <c r="K926" s="162"/>
      <c r="L926" s="162"/>
      <c r="M926" s="162"/>
      <c r="N926" s="162"/>
      <c r="O926" s="162"/>
      <c r="P926" s="162"/>
      <c r="Q926" s="162"/>
      <c r="R926" s="162"/>
      <c r="S926" s="162"/>
      <c r="T926" s="162"/>
      <c r="U926" s="162"/>
      <c r="V926" s="162"/>
      <c r="W926" s="162"/>
      <c r="X926" s="162"/>
      <c r="Y926" s="162"/>
      <c r="Z926" s="162"/>
    </row>
    <row r="927" ht="18.75" customHeight="1">
      <c r="A927" s="162"/>
      <c r="B927" s="162"/>
      <c r="C927" s="162"/>
      <c r="D927" s="162"/>
      <c r="E927" s="166"/>
      <c r="F927" s="166"/>
      <c r="G927" s="162"/>
      <c r="H927" s="162"/>
      <c r="I927" s="162"/>
      <c r="J927" s="162"/>
      <c r="K927" s="162"/>
      <c r="L927" s="162"/>
      <c r="M927" s="162"/>
      <c r="N927" s="162"/>
      <c r="O927" s="162"/>
      <c r="P927" s="162"/>
      <c r="Q927" s="162"/>
      <c r="R927" s="162"/>
      <c r="S927" s="162"/>
      <c r="T927" s="162"/>
      <c r="U927" s="162"/>
      <c r="V927" s="162"/>
      <c r="W927" s="162"/>
      <c r="X927" s="162"/>
      <c r="Y927" s="162"/>
      <c r="Z927" s="162"/>
    </row>
    <row r="928" ht="18.75" customHeight="1">
      <c r="A928" s="162"/>
      <c r="B928" s="162"/>
      <c r="C928" s="162"/>
      <c r="D928" s="162"/>
      <c r="E928" s="166"/>
      <c r="F928" s="166"/>
      <c r="G928" s="162"/>
      <c r="H928" s="162"/>
      <c r="I928" s="162"/>
      <c r="J928" s="162"/>
      <c r="K928" s="162"/>
      <c r="L928" s="162"/>
      <c r="M928" s="162"/>
      <c r="N928" s="162"/>
      <c r="O928" s="162"/>
      <c r="P928" s="162"/>
      <c r="Q928" s="162"/>
      <c r="R928" s="162"/>
      <c r="S928" s="162"/>
      <c r="T928" s="162"/>
      <c r="U928" s="162"/>
      <c r="V928" s="162"/>
      <c r="W928" s="162"/>
      <c r="X928" s="162"/>
      <c r="Y928" s="162"/>
      <c r="Z928" s="162"/>
    </row>
    <row r="929" ht="18.75" customHeight="1">
      <c r="A929" s="162"/>
      <c r="B929" s="162"/>
      <c r="C929" s="162"/>
      <c r="D929" s="162"/>
      <c r="E929" s="166"/>
      <c r="F929" s="166"/>
      <c r="G929" s="162"/>
      <c r="H929" s="162"/>
      <c r="I929" s="162"/>
      <c r="J929" s="162"/>
      <c r="K929" s="162"/>
      <c r="L929" s="162"/>
      <c r="M929" s="162"/>
      <c r="N929" s="162"/>
      <c r="O929" s="162"/>
      <c r="P929" s="162"/>
      <c r="Q929" s="162"/>
      <c r="R929" s="162"/>
      <c r="S929" s="162"/>
      <c r="T929" s="162"/>
      <c r="U929" s="162"/>
      <c r="V929" s="162"/>
      <c r="W929" s="162"/>
      <c r="X929" s="162"/>
      <c r="Y929" s="162"/>
      <c r="Z929" s="162"/>
    </row>
    <row r="930" ht="18.75" customHeight="1">
      <c r="A930" s="162"/>
      <c r="B930" s="162"/>
      <c r="C930" s="162"/>
      <c r="D930" s="162"/>
      <c r="E930" s="166"/>
      <c r="F930" s="166"/>
      <c r="G930" s="162"/>
      <c r="H930" s="162"/>
      <c r="I930" s="162"/>
      <c r="J930" s="162"/>
      <c r="K930" s="162"/>
      <c r="L930" s="162"/>
      <c r="M930" s="162"/>
      <c r="N930" s="162"/>
      <c r="O930" s="162"/>
      <c r="P930" s="162"/>
      <c r="Q930" s="162"/>
      <c r="R930" s="162"/>
      <c r="S930" s="162"/>
      <c r="T930" s="162"/>
      <c r="U930" s="162"/>
      <c r="V930" s="162"/>
      <c r="W930" s="162"/>
      <c r="X930" s="162"/>
      <c r="Y930" s="162"/>
      <c r="Z930" s="162"/>
    </row>
    <row r="931" ht="18.75" customHeight="1">
      <c r="A931" s="162"/>
      <c r="B931" s="162"/>
      <c r="C931" s="162"/>
      <c r="D931" s="162"/>
      <c r="E931" s="166"/>
      <c r="F931" s="166"/>
      <c r="G931" s="162"/>
      <c r="H931" s="162"/>
      <c r="I931" s="162"/>
      <c r="J931" s="162"/>
      <c r="K931" s="162"/>
      <c r="L931" s="162"/>
      <c r="M931" s="162"/>
      <c r="N931" s="162"/>
      <c r="O931" s="162"/>
      <c r="P931" s="162"/>
      <c r="Q931" s="162"/>
      <c r="R931" s="162"/>
      <c r="S931" s="162"/>
      <c r="T931" s="162"/>
      <c r="U931" s="162"/>
      <c r="V931" s="162"/>
      <c r="W931" s="162"/>
      <c r="X931" s="162"/>
      <c r="Y931" s="162"/>
      <c r="Z931" s="162"/>
    </row>
    <row r="932" ht="18.75" customHeight="1">
      <c r="A932" s="162"/>
      <c r="B932" s="162"/>
      <c r="C932" s="162"/>
      <c r="D932" s="162"/>
      <c r="E932" s="166"/>
      <c r="F932" s="166"/>
      <c r="G932" s="162"/>
      <c r="H932" s="162"/>
      <c r="I932" s="162"/>
      <c r="J932" s="162"/>
      <c r="K932" s="162"/>
      <c r="L932" s="162"/>
      <c r="M932" s="162"/>
      <c r="N932" s="162"/>
      <c r="O932" s="162"/>
      <c r="P932" s="162"/>
      <c r="Q932" s="162"/>
      <c r="R932" s="162"/>
      <c r="S932" s="162"/>
      <c r="T932" s="162"/>
      <c r="U932" s="162"/>
      <c r="V932" s="162"/>
      <c r="W932" s="162"/>
      <c r="X932" s="162"/>
      <c r="Y932" s="162"/>
      <c r="Z932" s="162"/>
    </row>
    <row r="933" ht="18.75" customHeight="1">
      <c r="A933" s="162"/>
      <c r="B933" s="162"/>
      <c r="C933" s="162"/>
      <c r="D933" s="162"/>
      <c r="E933" s="166"/>
      <c r="F933" s="166"/>
      <c r="G933" s="162"/>
      <c r="H933" s="162"/>
      <c r="I933" s="162"/>
      <c r="J933" s="162"/>
      <c r="K933" s="162"/>
      <c r="L933" s="162"/>
      <c r="M933" s="162"/>
      <c r="N933" s="162"/>
      <c r="O933" s="162"/>
      <c r="P933" s="162"/>
      <c r="Q933" s="162"/>
      <c r="R933" s="162"/>
      <c r="S933" s="162"/>
      <c r="T933" s="162"/>
      <c r="U933" s="162"/>
      <c r="V933" s="162"/>
      <c r="W933" s="162"/>
      <c r="X933" s="162"/>
      <c r="Y933" s="162"/>
      <c r="Z933" s="162"/>
    </row>
    <row r="934" ht="18.75" customHeight="1">
      <c r="A934" s="162"/>
      <c r="B934" s="162"/>
      <c r="C934" s="162"/>
      <c r="D934" s="162"/>
      <c r="E934" s="166"/>
      <c r="F934" s="166"/>
      <c r="G934" s="162"/>
      <c r="H934" s="162"/>
      <c r="I934" s="162"/>
      <c r="J934" s="162"/>
      <c r="K934" s="162"/>
      <c r="L934" s="162"/>
      <c r="M934" s="162"/>
      <c r="N934" s="162"/>
      <c r="O934" s="162"/>
      <c r="P934" s="162"/>
      <c r="Q934" s="162"/>
      <c r="R934" s="162"/>
      <c r="S934" s="162"/>
      <c r="T934" s="162"/>
      <c r="U934" s="162"/>
      <c r="V934" s="162"/>
      <c r="W934" s="162"/>
      <c r="X934" s="162"/>
      <c r="Y934" s="162"/>
      <c r="Z934" s="162"/>
    </row>
    <row r="935" ht="18.75" customHeight="1">
      <c r="A935" s="162"/>
      <c r="B935" s="162"/>
      <c r="C935" s="162"/>
      <c r="D935" s="162"/>
      <c r="E935" s="166"/>
      <c r="F935" s="166"/>
      <c r="G935" s="162"/>
      <c r="H935" s="162"/>
      <c r="I935" s="162"/>
      <c r="J935" s="162"/>
      <c r="K935" s="162"/>
      <c r="L935" s="162"/>
      <c r="M935" s="162"/>
      <c r="N935" s="162"/>
      <c r="O935" s="162"/>
      <c r="P935" s="162"/>
      <c r="Q935" s="162"/>
      <c r="R935" s="162"/>
      <c r="S935" s="162"/>
      <c r="T935" s="162"/>
      <c r="U935" s="162"/>
      <c r="V935" s="162"/>
      <c r="W935" s="162"/>
      <c r="X935" s="162"/>
      <c r="Y935" s="162"/>
      <c r="Z935" s="162"/>
    </row>
    <row r="936" ht="18.75" customHeight="1">
      <c r="A936" s="162"/>
      <c r="B936" s="162"/>
      <c r="C936" s="162"/>
      <c r="D936" s="162"/>
      <c r="E936" s="166"/>
      <c r="F936" s="166"/>
      <c r="G936" s="162"/>
      <c r="H936" s="162"/>
      <c r="I936" s="162"/>
      <c r="J936" s="162"/>
      <c r="K936" s="162"/>
      <c r="L936" s="162"/>
      <c r="M936" s="162"/>
      <c r="N936" s="162"/>
      <c r="O936" s="162"/>
      <c r="P936" s="162"/>
      <c r="Q936" s="162"/>
      <c r="R936" s="162"/>
      <c r="S936" s="162"/>
      <c r="T936" s="162"/>
      <c r="U936" s="162"/>
      <c r="V936" s="162"/>
      <c r="W936" s="162"/>
      <c r="X936" s="162"/>
      <c r="Y936" s="162"/>
      <c r="Z936" s="162"/>
    </row>
    <row r="937" ht="18.75" customHeight="1">
      <c r="A937" s="162"/>
      <c r="B937" s="162"/>
      <c r="C937" s="162"/>
      <c r="D937" s="162"/>
      <c r="E937" s="166"/>
      <c r="F937" s="166"/>
      <c r="G937" s="162"/>
      <c r="H937" s="162"/>
      <c r="I937" s="162"/>
      <c r="J937" s="162"/>
      <c r="K937" s="162"/>
      <c r="L937" s="162"/>
      <c r="M937" s="162"/>
      <c r="N937" s="162"/>
      <c r="O937" s="162"/>
      <c r="P937" s="162"/>
      <c r="Q937" s="162"/>
      <c r="R937" s="162"/>
      <c r="S937" s="162"/>
      <c r="T937" s="162"/>
      <c r="U937" s="162"/>
      <c r="V937" s="162"/>
      <c r="W937" s="162"/>
      <c r="X937" s="162"/>
      <c r="Y937" s="162"/>
      <c r="Z937" s="162"/>
    </row>
    <row r="938" ht="18.75" customHeight="1">
      <c r="A938" s="162"/>
      <c r="B938" s="162"/>
      <c r="C938" s="162"/>
      <c r="D938" s="162"/>
      <c r="E938" s="166"/>
      <c r="F938" s="166"/>
      <c r="G938" s="162"/>
      <c r="H938" s="162"/>
      <c r="I938" s="162"/>
      <c r="J938" s="162"/>
      <c r="K938" s="162"/>
      <c r="L938" s="162"/>
      <c r="M938" s="162"/>
      <c r="N938" s="162"/>
      <c r="O938" s="162"/>
      <c r="P938" s="162"/>
      <c r="Q938" s="162"/>
      <c r="R938" s="162"/>
      <c r="S938" s="162"/>
      <c r="T938" s="162"/>
      <c r="U938" s="162"/>
      <c r="V938" s="162"/>
      <c r="W938" s="162"/>
      <c r="X938" s="162"/>
      <c r="Y938" s="162"/>
      <c r="Z938" s="162"/>
    </row>
    <row r="939" ht="18.75" customHeight="1">
      <c r="A939" s="162"/>
      <c r="B939" s="162"/>
      <c r="C939" s="162"/>
      <c r="D939" s="162"/>
      <c r="E939" s="166"/>
      <c r="F939" s="166"/>
      <c r="G939" s="162"/>
      <c r="H939" s="162"/>
      <c r="I939" s="162"/>
      <c r="J939" s="162"/>
      <c r="K939" s="162"/>
      <c r="L939" s="162"/>
      <c r="M939" s="162"/>
      <c r="N939" s="162"/>
      <c r="O939" s="162"/>
      <c r="P939" s="162"/>
      <c r="Q939" s="162"/>
      <c r="R939" s="162"/>
      <c r="S939" s="162"/>
      <c r="T939" s="162"/>
      <c r="U939" s="162"/>
      <c r="V939" s="162"/>
      <c r="W939" s="162"/>
      <c r="X939" s="162"/>
      <c r="Y939" s="162"/>
      <c r="Z939" s="162"/>
    </row>
    <row r="940" ht="18.75" customHeight="1">
      <c r="A940" s="162"/>
      <c r="B940" s="162"/>
      <c r="C940" s="162"/>
      <c r="D940" s="162"/>
      <c r="E940" s="166"/>
      <c r="F940" s="166"/>
      <c r="G940" s="162"/>
      <c r="H940" s="162"/>
      <c r="I940" s="162"/>
      <c r="J940" s="162"/>
      <c r="K940" s="162"/>
      <c r="L940" s="162"/>
      <c r="M940" s="162"/>
      <c r="N940" s="162"/>
      <c r="O940" s="162"/>
      <c r="P940" s="162"/>
      <c r="Q940" s="162"/>
      <c r="R940" s="162"/>
      <c r="S940" s="162"/>
      <c r="T940" s="162"/>
      <c r="U940" s="162"/>
      <c r="V940" s="162"/>
      <c r="W940" s="162"/>
      <c r="X940" s="162"/>
      <c r="Y940" s="162"/>
      <c r="Z940" s="162"/>
    </row>
    <row r="941" ht="18.75" customHeight="1">
      <c r="A941" s="162"/>
      <c r="B941" s="162"/>
      <c r="C941" s="162"/>
      <c r="D941" s="162"/>
      <c r="E941" s="166"/>
      <c r="F941" s="166"/>
      <c r="G941" s="162"/>
      <c r="H941" s="162"/>
      <c r="I941" s="162"/>
      <c r="J941" s="162"/>
      <c r="K941" s="162"/>
      <c r="L941" s="162"/>
      <c r="M941" s="162"/>
      <c r="N941" s="162"/>
      <c r="O941" s="162"/>
      <c r="P941" s="162"/>
      <c r="Q941" s="162"/>
      <c r="R941" s="162"/>
      <c r="S941" s="162"/>
      <c r="T941" s="162"/>
      <c r="U941" s="162"/>
      <c r="V941" s="162"/>
      <c r="W941" s="162"/>
      <c r="X941" s="162"/>
      <c r="Y941" s="162"/>
      <c r="Z941" s="162"/>
    </row>
    <row r="942" ht="18.75" customHeight="1">
      <c r="A942" s="162"/>
      <c r="B942" s="162"/>
      <c r="C942" s="162"/>
      <c r="D942" s="162"/>
      <c r="E942" s="166"/>
      <c r="F942" s="166"/>
      <c r="G942" s="162"/>
      <c r="H942" s="162"/>
      <c r="I942" s="162"/>
      <c r="J942" s="162"/>
      <c r="K942" s="162"/>
      <c r="L942" s="162"/>
      <c r="M942" s="162"/>
      <c r="N942" s="162"/>
      <c r="O942" s="162"/>
      <c r="P942" s="162"/>
      <c r="Q942" s="162"/>
      <c r="R942" s="162"/>
      <c r="S942" s="162"/>
      <c r="T942" s="162"/>
      <c r="U942" s="162"/>
      <c r="V942" s="162"/>
      <c r="W942" s="162"/>
      <c r="X942" s="162"/>
      <c r="Y942" s="162"/>
      <c r="Z942" s="162"/>
    </row>
    <row r="943" ht="18.75" customHeight="1">
      <c r="A943" s="162"/>
      <c r="B943" s="162"/>
      <c r="C943" s="162"/>
      <c r="D943" s="162"/>
      <c r="E943" s="166"/>
      <c r="F943" s="166"/>
      <c r="G943" s="162"/>
      <c r="H943" s="162"/>
      <c r="I943" s="162"/>
      <c r="J943" s="162"/>
      <c r="K943" s="162"/>
      <c r="L943" s="162"/>
      <c r="M943" s="162"/>
      <c r="N943" s="162"/>
      <c r="O943" s="162"/>
      <c r="P943" s="162"/>
      <c r="Q943" s="162"/>
      <c r="R943" s="162"/>
      <c r="S943" s="162"/>
      <c r="T943" s="162"/>
      <c r="U943" s="162"/>
      <c r="V943" s="162"/>
      <c r="W943" s="162"/>
      <c r="X943" s="162"/>
      <c r="Y943" s="162"/>
      <c r="Z943" s="162"/>
    </row>
    <row r="944" ht="18.75" customHeight="1">
      <c r="A944" s="162"/>
      <c r="B944" s="162"/>
      <c r="C944" s="162"/>
      <c r="D944" s="162"/>
      <c r="E944" s="166"/>
      <c r="F944" s="166"/>
      <c r="G944" s="162"/>
      <c r="H944" s="162"/>
      <c r="I944" s="162"/>
      <c r="J944" s="162"/>
      <c r="K944" s="162"/>
      <c r="L944" s="162"/>
      <c r="M944" s="162"/>
      <c r="N944" s="162"/>
      <c r="O944" s="162"/>
      <c r="P944" s="162"/>
      <c r="Q944" s="162"/>
      <c r="R944" s="162"/>
      <c r="S944" s="162"/>
      <c r="T944" s="162"/>
      <c r="U944" s="162"/>
      <c r="V944" s="162"/>
      <c r="W944" s="162"/>
      <c r="X944" s="162"/>
      <c r="Y944" s="162"/>
      <c r="Z944" s="162"/>
    </row>
    <row r="945" ht="18.75" customHeight="1">
      <c r="A945" s="162"/>
      <c r="B945" s="162"/>
      <c r="C945" s="162"/>
      <c r="D945" s="162"/>
      <c r="E945" s="166"/>
      <c r="F945" s="166"/>
      <c r="G945" s="162"/>
      <c r="H945" s="162"/>
      <c r="I945" s="162"/>
      <c r="J945" s="162"/>
      <c r="K945" s="162"/>
      <c r="L945" s="162"/>
      <c r="M945" s="162"/>
      <c r="N945" s="162"/>
      <c r="O945" s="162"/>
      <c r="P945" s="162"/>
      <c r="Q945" s="162"/>
      <c r="R945" s="162"/>
      <c r="S945" s="162"/>
      <c r="T945" s="162"/>
      <c r="U945" s="162"/>
      <c r="V945" s="162"/>
      <c r="W945" s="162"/>
      <c r="X945" s="162"/>
      <c r="Y945" s="162"/>
      <c r="Z945" s="162"/>
    </row>
    <row r="946" ht="18.75" customHeight="1">
      <c r="A946" s="162"/>
      <c r="B946" s="162"/>
      <c r="C946" s="162"/>
      <c r="D946" s="162"/>
      <c r="E946" s="166"/>
      <c r="F946" s="166"/>
      <c r="G946" s="162"/>
      <c r="H946" s="162"/>
      <c r="I946" s="162"/>
      <c r="J946" s="162"/>
      <c r="K946" s="162"/>
      <c r="L946" s="162"/>
      <c r="M946" s="162"/>
      <c r="N946" s="162"/>
      <c r="O946" s="162"/>
      <c r="P946" s="162"/>
      <c r="Q946" s="162"/>
      <c r="R946" s="162"/>
      <c r="S946" s="162"/>
      <c r="T946" s="162"/>
      <c r="U946" s="162"/>
      <c r="V946" s="162"/>
      <c r="W946" s="162"/>
      <c r="X946" s="162"/>
      <c r="Y946" s="162"/>
      <c r="Z946" s="162"/>
    </row>
    <row r="947" ht="18.75" customHeight="1">
      <c r="A947" s="162"/>
      <c r="B947" s="162"/>
      <c r="C947" s="162"/>
      <c r="D947" s="162"/>
      <c r="E947" s="166"/>
      <c r="F947" s="166"/>
      <c r="G947" s="162"/>
      <c r="H947" s="162"/>
      <c r="I947" s="162"/>
      <c r="J947" s="162"/>
      <c r="K947" s="162"/>
      <c r="L947" s="162"/>
      <c r="M947" s="162"/>
      <c r="N947" s="162"/>
      <c r="O947" s="162"/>
      <c r="P947" s="162"/>
      <c r="Q947" s="162"/>
      <c r="R947" s="162"/>
      <c r="S947" s="162"/>
      <c r="T947" s="162"/>
      <c r="U947" s="162"/>
      <c r="V947" s="162"/>
      <c r="W947" s="162"/>
      <c r="X947" s="162"/>
      <c r="Y947" s="162"/>
      <c r="Z947" s="162"/>
    </row>
    <row r="948" ht="18.75" customHeight="1">
      <c r="A948" s="162"/>
      <c r="B948" s="162"/>
      <c r="C948" s="162"/>
      <c r="D948" s="162"/>
      <c r="E948" s="166"/>
      <c r="F948" s="166"/>
      <c r="G948" s="162"/>
      <c r="H948" s="162"/>
      <c r="I948" s="162"/>
      <c r="J948" s="162"/>
      <c r="K948" s="162"/>
      <c r="L948" s="162"/>
      <c r="M948" s="162"/>
      <c r="N948" s="162"/>
      <c r="O948" s="162"/>
      <c r="P948" s="162"/>
      <c r="Q948" s="162"/>
      <c r="R948" s="162"/>
      <c r="S948" s="162"/>
      <c r="T948" s="162"/>
      <c r="U948" s="162"/>
      <c r="V948" s="162"/>
      <c r="W948" s="162"/>
      <c r="X948" s="162"/>
      <c r="Y948" s="162"/>
      <c r="Z948" s="162"/>
    </row>
    <row r="949" ht="18.75" customHeight="1">
      <c r="A949" s="162"/>
      <c r="B949" s="162"/>
      <c r="C949" s="162"/>
      <c r="D949" s="162"/>
      <c r="E949" s="166"/>
      <c r="F949" s="166"/>
      <c r="G949" s="162"/>
      <c r="H949" s="162"/>
      <c r="I949" s="162"/>
      <c r="J949" s="162"/>
      <c r="K949" s="162"/>
      <c r="L949" s="162"/>
      <c r="M949" s="162"/>
      <c r="N949" s="162"/>
      <c r="O949" s="162"/>
      <c r="P949" s="162"/>
      <c r="Q949" s="162"/>
      <c r="R949" s="162"/>
      <c r="S949" s="162"/>
      <c r="T949" s="162"/>
      <c r="U949" s="162"/>
      <c r="V949" s="162"/>
      <c r="W949" s="162"/>
      <c r="X949" s="162"/>
      <c r="Y949" s="162"/>
      <c r="Z949" s="162"/>
    </row>
    <row r="950" ht="18.75" customHeight="1">
      <c r="A950" s="162"/>
      <c r="B950" s="162"/>
      <c r="C950" s="162"/>
      <c r="D950" s="162"/>
      <c r="E950" s="166"/>
      <c r="F950" s="166"/>
      <c r="G950" s="162"/>
      <c r="H950" s="162"/>
      <c r="I950" s="162"/>
      <c r="J950" s="162"/>
      <c r="K950" s="162"/>
      <c r="L950" s="162"/>
      <c r="M950" s="162"/>
      <c r="N950" s="162"/>
      <c r="O950" s="162"/>
      <c r="P950" s="162"/>
      <c r="Q950" s="162"/>
      <c r="R950" s="162"/>
      <c r="S950" s="162"/>
      <c r="T950" s="162"/>
      <c r="U950" s="162"/>
      <c r="V950" s="162"/>
      <c r="W950" s="162"/>
      <c r="X950" s="162"/>
      <c r="Y950" s="162"/>
      <c r="Z950" s="162"/>
    </row>
    <row r="951" ht="18.75" customHeight="1">
      <c r="A951" s="162"/>
      <c r="B951" s="162"/>
      <c r="C951" s="162"/>
      <c r="D951" s="162"/>
      <c r="E951" s="166"/>
      <c r="F951" s="166"/>
      <c r="G951" s="162"/>
      <c r="H951" s="162"/>
      <c r="I951" s="162"/>
      <c r="J951" s="162"/>
      <c r="K951" s="162"/>
      <c r="L951" s="162"/>
      <c r="M951" s="162"/>
      <c r="N951" s="162"/>
      <c r="O951" s="162"/>
      <c r="P951" s="162"/>
      <c r="Q951" s="162"/>
      <c r="R951" s="162"/>
      <c r="S951" s="162"/>
      <c r="T951" s="162"/>
      <c r="U951" s="162"/>
      <c r="V951" s="162"/>
      <c r="W951" s="162"/>
      <c r="X951" s="162"/>
      <c r="Y951" s="162"/>
      <c r="Z951" s="162"/>
    </row>
    <row r="952" ht="18.75" customHeight="1">
      <c r="A952" s="162"/>
      <c r="B952" s="162"/>
      <c r="C952" s="162"/>
      <c r="D952" s="162"/>
      <c r="E952" s="166"/>
      <c r="F952" s="166"/>
      <c r="G952" s="162"/>
      <c r="H952" s="162"/>
      <c r="I952" s="162"/>
      <c r="J952" s="162"/>
      <c r="K952" s="162"/>
      <c r="L952" s="162"/>
      <c r="M952" s="162"/>
      <c r="N952" s="162"/>
      <c r="O952" s="162"/>
      <c r="P952" s="162"/>
      <c r="Q952" s="162"/>
      <c r="R952" s="162"/>
      <c r="S952" s="162"/>
      <c r="T952" s="162"/>
      <c r="U952" s="162"/>
      <c r="V952" s="162"/>
      <c r="W952" s="162"/>
      <c r="X952" s="162"/>
      <c r="Y952" s="162"/>
      <c r="Z952" s="162"/>
    </row>
    <row r="953" ht="18.75" customHeight="1">
      <c r="A953" s="162"/>
      <c r="B953" s="162"/>
      <c r="C953" s="162"/>
      <c r="D953" s="162"/>
      <c r="E953" s="166"/>
      <c r="F953" s="166"/>
      <c r="G953" s="162"/>
      <c r="H953" s="162"/>
      <c r="I953" s="162"/>
      <c r="J953" s="162"/>
      <c r="K953" s="162"/>
      <c r="L953" s="162"/>
      <c r="M953" s="162"/>
      <c r="N953" s="162"/>
      <c r="O953" s="162"/>
      <c r="P953" s="162"/>
      <c r="Q953" s="162"/>
      <c r="R953" s="162"/>
      <c r="S953" s="162"/>
      <c r="T953" s="162"/>
      <c r="U953" s="162"/>
      <c r="V953" s="162"/>
      <c r="W953" s="162"/>
      <c r="X953" s="162"/>
      <c r="Y953" s="162"/>
      <c r="Z953" s="162"/>
    </row>
    <row r="954" ht="18.75" customHeight="1">
      <c r="A954" s="162"/>
      <c r="B954" s="162"/>
      <c r="C954" s="162"/>
      <c r="D954" s="162"/>
      <c r="E954" s="166"/>
      <c r="F954" s="166"/>
      <c r="G954" s="162"/>
      <c r="H954" s="162"/>
      <c r="I954" s="162"/>
      <c r="J954" s="162"/>
      <c r="K954" s="162"/>
      <c r="L954" s="162"/>
      <c r="M954" s="162"/>
      <c r="N954" s="162"/>
      <c r="O954" s="162"/>
      <c r="P954" s="162"/>
      <c r="Q954" s="162"/>
      <c r="R954" s="162"/>
      <c r="S954" s="162"/>
      <c r="T954" s="162"/>
      <c r="U954" s="162"/>
      <c r="V954" s="162"/>
      <c r="W954" s="162"/>
      <c r="X954" s="162"/>
      <c r="Y954" s="162"/>
      <c r="Z954" s="162"/>
    </row>
    <row r="955" ht="18.75" customHeight="1">
      <c r="A955" s="162"/>
      <c r="B955" s="162"/>
      <c r="C955" s="162"/>
      <c r="D955" s="162"/>
      <c r="E955" s="166"/>
      <c r="F955" s="166"/>
      <c r="G955" s="162"/>
      <c r="H955" s="162"/>
      <c r="I955" s="162"/>
      <c r="J955" s="162"/>
      <c r="K955" s="162"/>
      <c r="L955" s="162"/>
      <c r="M955" s="162"/>
      <c r="N955" s="162"/>
      <c r="O955" s="162"/>
      <c r="P955" s="162"/>
      <c r="Q955" s="162"/>
      <c r="R955" s="162"/>
      <c r="S955" s="162"/>
      <c r="T955" s="162"/>
      <c r="U955" s="162"/>
      <c r="V955" s="162"/>
      <c r="W955" s="162"/>
      <c r="X955" s="162"/>
      <c r="Y955" s="162"/>
      <c r="Z955" s="162"/>
    </row>
    <row r="956" ht="18.75" customHeight="1">
      <c r="A956" s="162"/>
      <c r="B956" s="162"/>
      <c r="C956" s="162"/>
      <c r="D956" s="162"/>
      <c r="E956" s="166"/>
      <c r="F956" s="166"/>
      <c r="G956" s="162"/>
      <c r="H956" s="162"/>
      <c r="I956" s="162"/>
      <c r="J956" s="162"/>
      <c r="K956" s="162"/>
      <c r="L956" s="162"/>
      <c r="M956" s="162"/>
      <c r="N956" s="162"/>
      <c r="O956" s="162"/>
      <c r="P956" s="162"/>
      <c r="Q956" s="162"/>
      <c r="R956" s="162"/>
      <c r="S956" s="162"/>
      <c r="T956" s="162"/>
      <c r="U956" s="162"/>
      <c r="V956" s="162"/>
      <c r="W956" s="162"/>
      <c r="X956" s="162"/>
      <c r="Y956" s="162"/>
      <c r="Z956" s="162"/>
    </row>
    <row r="957" ht="18.75" customHeight="1">
      <c r="A957" s="162"/>
      <c r="B957" s="162"/>
      <c r="C957" s="162"/>
      <c r="D957" s="162"/>
      <c r="E957" s="166"/>
      <c r="F957" s="166"/>
      <c r="G957" s="162"/>
      <c r="H957" s="162"/>
      <c r="I957" s="162"/>
      <c r="J957" s="162"/>
      <c r="K957" s="162"/>
      <c r="L957" s="162"/>
      <c r="M957" s="162"/>
      <c r="N957" s="162"/>
      <c r="O957" s="162"/>
      <c r="P957" s="162"/>
      <c r="Q957" s="162"/>
      <c r="R957" s="162"/>
      <c r="S957" s="162"/>
      <c r="T957" s="162"/>
      <c r="U957" s="162"/>
      <c r="V957" s="162"/>
      <c r="W957" s="162"/>
      <c r="X957" s="162"/>
      <c r="Y957" s="162"/>
      <c r="Z957" s="162"/>
    </row>
    <row r="958" ht="18.75" customHeight="1">
      <c r="A958" s="162"/>
      <c r="B958" s="162"/>
      <c r="C958" s="162"/>
      <c r="D958" s="162"/>
      <c r="E958" s="166"/>
      <c r="F958" s="166"/>
      <c r="G958" s="162"/>
      <c r="H958" s="162"/>
      <c r="I958" s="162"/>
      <c r="J958" s="162"/>
      <c r="K958" s="162"/>
      <c r="L958" s="162"/>
      <c r="M958" s="162"/>
      <c r="N958" s="162"/>
      <c r="O958" s="162"/>
      <c r="P958" s="162"/>
      <c r="Q958" s="162"/>
      <c r="R958" s="162"/>
      <c r="S958" s="162"/>
      <c r="T958" s="162"/>
      <c r="U958" s="162"/>
      <c r="V958" s="162"/>
      <c r="W958" s="162"/>
      <c r="X958" s="162"/>
      <c r="Y958" s="162"/>
      <c r="Z958" s="162"/>
    </row>
    <row r="959" ht="18.75" customHeight="1">
      <c r="A959" s="162"/>
      <c r="B959" s="162"/>
      <c r="C959" s="162"/>
      <c r="D959" s="162"/>
      <c r="E959" s="166"/>
      <c r="F959" s="166"/>
      <c r="G959" s="162"/>
      <c r="H959" s="162"/>
      <c r="I959" s="162"/>
      <c r="J959" s="162"/>
      <c r="K959" s="162"/>
      <c r="L959" s="162"/>
      <c r="M959" s="162"/>
      <c r="N959" s="162"/>
      <c r="O959" s="162"/>
      <c r="P959" s="162"/>
      <c r="Q959" s="162"/>
      <c r="R959" s="162"/>
      <c r="S959" s="162"/>
      <c r="T959" s="162"/>
      <c r="U959" s="162"/>
      <c r="V959" s="162"/>
      <c r="W959" s="162"/>
      <c r="X959" s="162"/>
      <c r="Y959" s="162"/>
      <c r="Z959" s="162"/>
    </row>
    <row r="960" ht="18.75" customHeight="1">
      <c r="A960" s="162"/>
      <c r="B960" s="162"/>
      <c r="C960" s="162"/>
      <c r="D960" s="162"/>
      <c r="E960" s="166"/>
      <c r="F960" s="166"/>
      <c r="G960" s="162"/>
      <c r="H960" s="162"/>
      <c r="I960" s="162"/>
      <c r="J960" s="162"/>
      <c r="K960" s="162"/>
      <c r="L960" s="162"/>
      <c r="M960" s="162"/>
      <c r="N960" s="162"/>
      <c r="O960" s="162"/>
      <c r="P960" s="162"/>
      <c r="Q960" s="162"/>
      <c r="R960" s="162"/>
      <c r="S960" s="162"/>
      <c r="T960" s="162"/>
      <c r="U960" s="162"/>
      <c r="V960" s="162"/>
      <c r="W960" s="162"/>
      <c r="X960" s="162"/>
      <c r="Y960" s="162"/>
      <c r="Z960" s="162"/>
    </row>
    <row r="961" ht="18.75" customHeight="1">
      <c r="A961" s="162"/>
      <c r="B961" s="162"/>
      <c r="C961" s="162"/>
      <c r="D961" s="162"/>
      <c r="E961" s="166"/>
      <c r="F961" s="166"/>
      <c r="G961" s="162"/>
      <c r="H961" s="162"/>
      <c r="I961" s="162"/>
      <c r="J961" s="162"/>
      <c r="K961" s="162"/>
      <c r="L961" s="162"/>
      <c r="M961" s="162"/>
      <c r="N961" s="162"/>
      <c r="O961" s="162"/>
      <c r="P961" s="162"/>
      <c r="Q961" s="162"/>
      <c r="R961" s="162"/>
      <c r="S961" s="162"/>
      <c r="T961" s="162"/>
      <c r="U961" s="162"/>
      <c r="V961" s="162"/>
      <c r="W961" s="162"/>
      <c r="X961" s="162"/>
      <c r="Y961" s="162"/>
      <c r="Z961" s="162"/>
    </row>
    <row r="962" ht="18.75" customHeight="1">
      <c r="A962" s="162"/>
      <c r="B962" s="162"/>
      <c r="C962" s="162"/>
      <c r="D962" s="162"/>
      <c r="E962" s="166"/>
      <c r="F962" s="166"/>
      <c r="G962" s="162"/>
      <c r="H962" s="162"/>
      <c r="I962" s="162"/>
      <c r="J962" s="162"/>
      <c r="K962" s="162"/>
      <c r="L962" s="162"/>
      <c r="M962" s="162"/>
      <c r="N962" s="162"/>
      <c r="O962" s="162"/>
      <c r="P962" s="162"/>
      <c r="Q962" s="162"/>
      <c r="R962" s="162"/>
      <c r="S962" s="162"/>
      <c r="T962" s="162"/>
      <c r="U962" s="162"/>
      <c r="V962" s="162"/>
      <c r="W962" s="162"/>
      <c r="X962" s="162"/>
      <c r="Y962" s="162"/>
      <c r="Z962" s="162"/>
    </row>
    <row r="963" ht="18.75" customHeight="1">
      <c r="A963" s="162"/>
      <c r="B963" s="162"/>
      <c r="C963" s="162"/>
      <c r="D963" s="162"/>
      <c r="E963" s="166"/>
      <c r="F963" s="166"/>
      <c r="G963" s="162"/>
      <c r="H963" s="162"/>
      <c r="I963" s="162"/>
      <c r="J963" s="162"/>
      <c r="K963" s="162"/>
      <c r="L963" s="162"/>
      <c r="M963" s="162"/>
      <c r="N963" s="162"/>
      <c r="O963" s="162"/>
      <c r="P963" s="162"/>
      <c r="Q963" s="162"/>
      <c r="R963" s="162"/>
      <c r="S963" s="162"/>
      <c r="T963" s="162"/>
      <c r="U963" s="162"/>
      <c r="V963" s="162"/>
      <c r="W963" s="162"/>
      <c r="X963" s="162"/>
      <c r="Y963" s="162"/>
      <c r="Z963" s="162"/>
    </row>
    <row r="964" ht="18.75" customHeight="1">
      <c r="A964" s="162"/>
      <c r="B964" s="162"/>
      <c r="C964" s="162"/>
      <c r="D964" s="162"/>
      <c r="E964" s="166"/>
      <c r="F964" s="166"/>
      <c r="G964" s="162"/>
      <c r="H964" s="162"/>
      <c r="I964" s="162"/>
      <c r="J964" s="162"/>
      <c r="K964" s="162"/>
      <c r="L964" s="162"/>
      <c r="M964" s="162"/>
      <c r="N964" s="162"/>
      <c r="O964" s="162"/>
      <c r="P964" s="162"/>
      <c r="Q964" s="162"/>
      <c r="R964" s="162"/>
      <c r="S964" s="162"/>
      <c r="T964" s="162"/>
      <c r="U964" s="162"/>
      <c r="V964" s="162"/>
      <c r="W964" s="162"/>
      <c r="X964" s="162"/>
      <c r="Y964" s="162"/>
      <c r="Z964" s="162"/>
    </row>
    <row r="965" ht="18.75" customHeight="1">
      <c r="A965" s="162"/>
      <c r="B965" s="162"/>
      <c r="C965" s="162"/>
      <c r="D965" s="162"/>
      <c r="E965" s="166"/>
      <c r="F965" s="166"/>
      <c r="G965" s="162"/>
      <c r="H965" s="162"/>
      <c r="I965" s="162"/>
      <c r="J965" s="162"/>
      <c r="K965" s="162"/>
      <c r="L965" s="162"/>
      <c r="M965" s="162"/>
      <c r="N965" s="162"/>
      <c r="O965" s="162"/>
      <c r="P965" s="162"/>
      <c r="Q965" s="162"/>
      <c r="R965" s="162"/>
      <c r="S965" s="162"/>
      <c r="T965" s="162"/>
      <c r="U965" s="162"/>
      <c r="V965" s="162"/>
      <c r="W965" s="162"/>
      <c r="X965" s="162"/>
      <c r="Y965" s="162"/>
      <c r="Z965" s="162"/>
    </row>
    <row r="966" ht="18.75" customHeight="1">
      <c r="A966" s="162"/>
      <c r="B966" s="162"/>
      <c r="C966" s="162"/>
      <c r="D966" s="162"/>
      <c r="E966" s="166"/>
      <c r="F966" s="166"/>
      <c r="G966" s="162"/>
      <c r="H966" s="162"/>
      <c r="I966" s="162"/>
      <c r="J966" s="162"/>
      <c r="K966" s="162"/>
      <c r="L966" s="162"/>
      <c r="M966" s="162"/>
      <c r="N966" s="162"/>
      <c r="O966" s="162"/>
      <c r="P966" s="162"/>
      <c r="Q966" s="162"/>
      <c r="R966" s="162"/>
      <c r="S966" s="162"/>
      <c r="T966" s="162"/>
      <c r="U966" s="162"/>
      <c r="V966" s="162"/>
      <c r="W966" s="162"/>
      <c r="X966" s="162"/>
      <c r="Y966" s="162"/>
      <c r="Z966" s="162"/>
    </row>
    <row r="967" ht="18.75" customHeight="1">
      <c r="A967" s="162"/>
      <c r="B967" s="162"/>
      <c r="C967" s="162"/>
      <c r="D967" s="162"/>
      <c r="E967" s="166"/>
      <c r="F967" s="166"/>
      <c r="G967" s="162"/>
      <c r="H967" s="162"/>
      <c r="I967" s="162"/>
      <c r="J967" s="162"/>
      <c r="K967" s="162"/>
      <c r="L967" s="162"/>
      <c r="M967" s="162"/>
      <c r="N967" s="162"/>
      <c r="O967" s="162"/>
      <c r="P967" s="162"/>
      <c r="Q967" s="162"/>
      <c r="R967" s="162"/>
      <c r="S967" s="162"/>
      <c r="T967" s="162"/>
      <c r="U967" s="162"/>
      <c r="V967" s="162"/>
      <c r="W967" s="162"/>
      <c r="X967" s="162"/>
      <c r="Y967" s="162"/>
      <c r="Z967" s="162"/>
    </row>
    <row r="968" ht="18.75" customHeight="1">
      <c r="A968" s="162"/>
      <c r="B968" s="162"/>
      <c r="C968" s="162"/>
      <c r="D968" s="162"/>
      <c r="E968" s="166"/>
      <c r="F968" s="166"/>
      <c r="G968" s="162"/>
      <c r="H968" s="162"/>
      <c r="I968" s="162"/>
      <c r="J968" s="162"/>
      <c r="K968" s="162"/>
      <c r="L968" s="162"/>
      <c r="M968" s="162"/>
      <c r="N968" s="162"/>
      <c r="O968" s="162"/>
      <c r="P968" s="162"/>
      <c r="Q968" s="162"/>
      <c r="R968" s="162"/>
      <c r="S968" s="162"/>
      <c r="T968" s="162"/>
      <c r="U968" s="162"/>
      <c r="V968" s="162"/>
      <c r="W968" s="162"/>
      <c r="X968" s="162"/>
      <c r="Y968" s="162"/>
      <c r="Z968" s="162"/>
    </row>
    <row r="969" ht="18.75" customHeight="1">
      <c r="A969" s="162"/>
      <c r="B969" s="162"/>
      <c r="C969" s="162"/>
      <c r="D969" s="162"/>
      <c r="E969" s="166"/>
      <c r="F969" s="166"/>
      <c r="G969" s="162"/>
      <c r="H969" s="162"/>
      <c r="I969" s="162"/>
      <c r="J969" s="162"/>
      <c r="K969" s="162"/>
      <c r="L969" s="162"/>
      <c r="M969" s="162"/>
      <c r="N969" s="162"/>
      <c r="O969" s="162"/>
      <c r="P969" s="162"/>
      <c r="Q969" s="162"/>
      <c r="R969" s="162"/>
      <c r="S969" s="162"/>
      <c r="T969" s="162"/>
      <c r="U969" s="162"/>
      <c r="V969" s="162"/>
      <c r="W969" s="162"/>
      <c r="X969" s="162"/>
      <c r="Y969" s="162"/>
      <c r="Z969" s="162"/>
    </row>
    <row r="970" ht="18.75" customHeight="1">
      <c r="A970" s="162"/>
      <c r="B970" s="162"/>
      <c r="C970" s="162"/>
      <c r="D970" s="162"/>
      <c r="E970" s="166"/>
      <c r="F970" s="166"/>
      <c r="G970" s="162"/>
      <c r="H970" s="162"/>
      <c r="I970" s="162"/>
      <c r="J970" s="162"/>
      <c r="K970" s="162"/>
      <c r="L970" s="162"/>
      <c r="M970" s="162"/>
      <c r="N970" s="162"/>
      <c r="O970" s="162"/>
      <c r="P970" s="162"/>
      <c r="Q970" s="162"/>
      <c r="R970" s="162"/>
      <c r="S970" s="162"/>
      <c r="T970" s="162"/>
      <c r="U970" s="162"/>
      <c r="V970" s="162"/>
      <c r="W970" s="162"/>
      <c r="X970" s="162"/>
      <c r="Y970" s="162"/>
      <c r="Z970" s="162"/>
    </row>
    <row r="971" ht="18.75" customHeight="1">
      <c r="A971" s="162"/>
      <c r="B971" s="162"/>
      <c r="C971" s="162"/>
      <c r="D971" s="162"/>
      <c r="E971" s="166"/>
      <c r="F971" s="166"/>
      <c r="G971" s="162"/>
      <c r="H971" s="162"/>
      <c r="I971" s="162"/>
      <c r="J971" s="162"/>
      <c r="K971" s="162"/>
      <c r="L971" s="162"/>
      <c r="M971" s="162"/>
      <c r="N971" s="162"/>
      <c r="O971" s="162"/>
      <c r="P971" s="162"/>
      <c r="Q971" s="162"/>
      <c r="R971" s="162"/>
      <c r="S971" s="162"/>
      <c r="T971" s="162"/>
      <c r="U971" s="162"/>
      <c r="V971" s="162"/>
      <c r="W971" s="162"/>
      <c r="X971" s="162"/>
      <c r="Y971" s="162"/>
      <c r="Z971" s="162"/>
    </row>
    <row r="972" ht="18.75" customHeight="1">
      <c r="A972" s="162"/>
      <c r="B972" s="162"/>
      <c r="C972" s="162"/>
      <c r="D972" s="162"/>
      <c r="E972" s="166"/>
      <c r="F972" s="166"/>
      <c r="G972" s="162"/>
      <c r="H972" s="162"/>
      <c r="I972" s="162"/>
      <c r="J972" s="162"/>
      <c r="K972" s="162"/>
      <c r="L972" s="162"/>
      <c r="M972" s="162"/>
      <c r="N972" s="162"/>
      <c r="O972" s="162"/>
      <c r="P972" s="162"/>
      <c r="Q972" s="162"/>
      <c r="R972" s="162"/>
      <c r="S972" s="162"/>
      <c r="T972" s="162"/>
      <c r="U972" s="162"/>
      <c r="V972" s="162"/>
      <c r="W972" s="162"/>
      <c r="X972" s="162"/>
      <c r="Y972" s="162"/>
      <c r="Z972" s="162"/>
    </row>
    <row r="973" ht="18.75" customHeight="1">
      <c r="A973" s="162"/>
      <c r="B973" s="162"/>
      <c r="C973" s="162"/>
      <c r="D973" s="162"/>
      <c r="E973" s="166"/>
      <c r="F973" s="166"/>
      <c r="G973" s="162"/>
      <c r="H973" s="162"/>
      <c r="I973" s="162"/>
      <c r="J973" s="162"/>
      <c r="K973" s="162"/>
      <c r="L973" s="162"/>
      <c r="M973" s="162"/>
      <c r="N973" s="162"/>
      <c r="O973" s="162"/>
      <c r="P973" s="162"/>
      <c r="Q973" s="162"/>
      <c r="R973" s="162"/>
      <c r="S973" s="162"/>
      <c r="T973" s="162"/>
      <c r="U973" s="162"/>
      <c r="V973" s="162"/>
      <c r="W973" s="162"/>
      <c r="X973" s="162"/>
      <c r="Y973" s="162"/>
      <c r="Z973" s="162"/>
    </row>
    <row r="974" ht="18.75" customHeight="1">
      <c r="A974" s="162"/>
      <c r="B974" s="162"/>
      <c r="C974" s="162"/>
      <c r="D974" s="162"/>
      <c r="E974" s="166"/>
      <c r="F974" s="166"/>
      <c r="G974" s="162"/>
      <c r="H974" s="162"/>
      <c r="I974" s="162"/>
      <c r="J974" s="162"/>
      <c r="K974" s="162"/>
      <c r="L974" s="162"/>
      <c r="M974" s="162"/>
      <c r="N974" s="162"/>
      <c r="O974" s="162"/>
      <c r="P974" s="162"/>
      <c r="Q974" s="162"/>
      <c r="R974" s="162"/>
      <c r="S974" s="162"/>
      <c r="T974" s="162"/>
      <c r="U974" s="162"/>
      <c r="V974" s="162"/>
      <c r="W974" s="162"/>
      <c r="X974" s="162"/>
      <c r="Y974" s="162"/>
      <c r="Z974" s="162"/>
    </row>
    <row r="975" ht="18.75" customHeight="1">
      <c r="A975" s="162"/>
      <c r="B975" s="162"/>
      <c r="C975" s="162"/>
      <c r="D975" s="162"/>
      <c r="E975" s="166"/>
      <c r="F975" s="166"/>
      <c r="G975" s="162"/>
      <c r="H975" s="162"/>
      <c r="I975" s="162"/>
      <c r="J975" s="162"/>
      <c r="K975" s="162"/>
      <c r="L975" s="162"/>
      <c r="M975" s="162"/>
      <c r="N975" s="162"/>
      <c r="O975" s="162"/>
      <c r="P975" s="162"/>
      <c r="Q975" s="162"/>
      <c r="R975" s="162"/>
      <c r="S975" s="162"/>
      <c r="T975" s="162"/>
      <c r="U975" s="162"/>
      <c r="V975" s="162"/>
      <c r="W975" s="162"/>
      <c r="X975" s="162"/>
      <c r="Y975" s="162"/>
      <c r="Z975" s="162"/>
    </row>
    <row r="976" ht="18.75" customHeight="1">
      <c r="A976" s="162"/>
      <c r="B976" s="162"/>
      <c r="C976" s="162"/>
      <c r="D976" s="162"/>
      <c r="E976" s="166"/>
      <c r="F976" s="166"/>
      <c r="G976" s="162"/>
      <c r="H976" s="162"/>
      <c r="I976" s="162"/>
      <c r="J976" s="162"/>
      <c r="K976" s="162"/>
      <c r="L976" s="162"/>
      <c r="M976" s="162"/>
      <c r="N976" s="162"/>
      <c r="O976" s="162"/>
      <c r="P976" s="162"/>
      <c r="Q976" s="162"/>
      <c r="R976" s="162"/>
      <c r="S976" s="162"/>
      <c r="T976" s="162"/>
      <c r="U976" s="162"/>
      <c r="V976" s="162"/>
      <c r="W976" s="162"/>
      <c r="X976" s="162"/>
      <c r="Y976" s="162"/>
      <c r="Z976" s="162"/>
    </row>
    <row r="977" ht="18.75" customHeight="1">
      <c r="A977" s="162"/>
      <c r="B977" s="162"/>
      <c r="C977" s="162"/>
      <c r="D977" s="162"/>
      <c r="E977" s="166"/>
      <c r="F977" s="166"/>
      <c r="G977" s="162"/>
      <c r="H977" s="162"/>
      <c r="I977" s="162"/>
      <c r="J977" s="162"/>
      <c r="K977" s="162"/>
      <c r="L977" s="162"/>
      <c r="M977" s="162"/>
      <c r="N977" s="162"/>
      <c r="O977" s="162"/>
      <c r="P977" s="162"/>
      <c r="Q977" s="162"/>
      <c r="R977" s="162"/>
      <c r="S977" s="162"/>
      <c r="T977" s="162"/>
      <c r="U977" s="162"/>
      <c r="V977" s="162"/>
      <c r="W977" s="162"/>
      <c r="X977" s="162"/>
      <c r="Y977" s="162"/>
      <c r="Z977" s="162"/>
    </row>
    <row r="978" ht="18.75" customHeight="1">
      <c r="A978" s="162"/>
      <c r="B978" s="162"/>
      <c r="C978" s="162"/>
      <c r="D978" s="162"/>
      <c r="E978" s="166"/>
      <c r="F978" s="166"/>
      <c r="G978" s="162"/>
      <c r="H978" s="162"/>
      <c r="I978" s="162"/>
      <c r="J978" s="162"/>
      <c r="K978" s="162"/>
      <c r="L978" s="162"/>
      <c r="M978" s="162"/>
      <c r="N978" s="162"/>
      <c r="O978" s="162"/>
      <c r="P978" s="162"/>
      <c r="Q978" s="162"/>
      <c r="R978" s="162"/>
      <c r="S978" s="162"/>
      <c r="T978" s="162"/>
      <c r="U978" s="162"/>
      <c r="V978" s="162"/>
      <c r="W978" s="162"/>
      <c r="X978" s="162"/>
      <c r="Y978" s="162"/>
      <c r="Z978" s="162"/>
    </row>
    <row r="979" ht="18.75" customHeight="1">
      <c r="A979" s="162"/>
      <c r="B979" s="162"/>
      <c r="C979" s="162"/>
      <c r="D979" s="162"/>
      <c r="E979" s="166"/>
      <c r="F979" s="166"/>
      <c r="G979" s="162"/>
      <c r="H979" s="162"/>
      <c r="I979" s="162"/>
      <c r="J979" s="162"/>
      <c r="K979" s="162"/>
      <c r="L979" s="162"/>
      <c r="M979" s="162"/>
      <c r="N979" s="162"/>
      <c r="O979" s="162"/>
      <c r="P979" s="162"/>
      <c r="Q979" s="162"/>
      <c r="R979" s="162"/>
      <c r="S979" s="162"/>
      <c r="T979" s="162"/>
      <c r="U979" s="162"/>
      <c r="V979" s="162"/>
      <c r="W979" s="162"/>
      <c r="X979" s="162"/>
      <c r="Y979" s="162"/>
      <c r="Z979" s="162"/>
    </row>
    <row r="980" ht="18.75" customHeight="1">
      <c r="A980" s="162"/>
      <c r="B980" s="162"/>
      <c r="C980" s="162"/>
      <c r="D980" s="162"/>
      <c r="E980" s="166"/>
      <c r="F980" s="166"/>
      <c r="G980" s="162"/>
      <c r="H980" s="162"/>
      <c r="I980" s="162"/>
      <c r="J980" s="162"/>
      <c r="K980" s="162"/>
      <c r="L980" s="162"/>
      <c r="M980" s="162"/>
      <c r="N980" s="162"/>
      <c r="O980" s="162"/>
      <c r="P980" s="162"/>
      <c r="Q980" s="162"/>
      <c r="R980" s="162"/>
      <c r="S980" s="162"/>
      <c r="T980" s="162"/>
      <c r="U980" s="162"/>
      <c r="V980" s="162"/>
      <c r="W980" s="162"/>
      <c r="X980" s="162"/>
      <c r="Y980" s="162"/>
      <c r="Z980" s="162"/>
    </row>
    <row r="981" ht="18.75" customHeight="1">
      <c r="A981" s="162"/>
      <c r="B981" s="162"/>
      <c r="C981" s="162"/>
      <c r="D981" s="162"/>
      <c r="E981" s="166"/>
      <c r="F981" s="166"/>
      <c r="G981" s="162"/>
      <c r="H981" s="162"/>
      <c r="I981" s="162"/>
      <c r="J981" s="162"/>
      <c r="K981" s="162"/>
      <c r="L981" s="162"/>
      <c r="M981" s="162"/>
      <c r="N981" s="162"/>
      <c r="O981" s="162"/>
      <c r="P981" s="162"/>
      <c r="Q981" s="162"/>
      <c r="R981" s="162"/>
      <c r="S981" s="162"/>
      <c r="T981" s="162"/>
      <c r="U981" s="162"/>
      <c r="V981" s="162"/>
      <c r="W981" s="162"/>
      <c r="X981" s="162"/>
      <c r="Y981" s="162"/>
      <c r="Z981" s="162"/>
    </row>
    <row r="982" ht="18.75" customHeight="1">
      <c r="A982" s="162"/>
      <c r="B982" s="162"/>
      <c r="C982" s="162"/>
      <c r="D982" s="162"/>
      <c r="E982" s="166"/>
      <c r="F982" s="166"/>
      <c r="G982" s="162"/>
      <c r="H982" s="162"/>
      <c r="I982" s="162"/>
      <c r="J982" s="162"/>
      <c r="K982" s="162"/>
      <c r="L982" s="162"/>
      <c r="M982" s="162"/>
      <c r="N982" s="162"/>
      <c r="O982" s="162"/>
      <c r="P982" s="162"/>
      <c r="Q982" s="162"/>
      <c r="R982" s="162"/>
      <c r="S982" s="162"/>
      <c r="T982" s="162"/>
      <c r="U982" s="162"/>
      <c r="V982" s="162"/>
      <c r="W982" s="162"/>
      <c r="X982" s="162"/>
      <c r="Y982" s="162"/>
      <c r="Z982" s="162"/>
    </row>
    <row r="983" ht="18.75" customHeight="1">
      <c r="A983" s="162"/>
      <c r="B983" s="162"/>
      <c r="C983" s="162"/>
      <c r="D983" s="162"/>
      <c r="E983" s="166"/>
      <c r="F983" s="166"/>
      <c r="G983" s="162"/>
      <c r="H983" s="162"/>
      <c r="I983" s="162"/>
      <c r="J983" s="162"/>
      <c r="K983" s="162"/>
      <c r="L983" s="162"/>
      <c r="M983" s="162"/>
      <c r="N983" s="162"/>
      <c r="O983" s="162"/>
      <c r="P983" s="162"/>
      <c r="Q983" s="162"/>
      <c r="R983" s="162"/>
      <c r="S983" s="162"/>
      <c r="T983" s="162"/>
      <c r="U983" s="162"/>
      <c r="V983" s="162"/>
      <c r="W983" s="162"/>
      <c r="X983" s="162"/>
      <c r="Y983" s="162"/>
      <c r="Z983" s="162"/>
    </row>
    <row r="984" ht="18.75" customHeight="1">
      <c r="A984" s="162"/>
      <c r="B984" s="162"/>
      <c r="C984" s="162"/>
      <c r="D984" s="162"/>
      <c r="E984" s="166"/>
      <c r="F984" s="166"/>
      <c r="G984" s="162"/>
      <c r="H984" s="162"/>
      <c r="I984" s="162"/>
      <c r="J984" s="162"/>
      <c r="K984" s="162"/>
      <c r="L984" s="162"/>
      <c r="M984" s="162"/>
      <c r="N984" s="162"/>
      <c r="O984" s="162"/>
      <c r="P984" s="162"/>
      <c r="Q984" s="162"/>
      <c r="R984" s="162"/>
      <c r="S984" s="162"/>
      <c r="T984" s="162"/>
      <c r="U984" s="162"/>
      <c r="V984" s="162"/>
      <c r="W984" s="162"/>
      <c r="X984" s="162"/>
      <c r="Y984" s="162"/>
      <c r="Z984" s="162"/>
    </row>
    <row r="985" ht="18.75" customHeight="1">
      <c r="A985" s="162"/>
      <c r="B985" s="162"/>
      <c r="C985" s="162"/>
      <c r="D985" s="162"/>
      <c r="E985" s="166"/>
      <c r="F985" s="166"/>
      <c r="G985" s="162"/>
      <c r="H985" s="162"/>
      <c r="I985" s="162"/>
      <c r="J985" s="162"/>
      <c r="K985" s="162"/>
      <c r="L985" s="162"/>
      <c r="M985" s="162"/>
      <c r="N985" s="162"/>
      <c r="O985" s="162"/>
      <c r="P985" s="162"/>
      <c r="Q985" s="162"/>
      <c r="R985" s="162"/>
      <c r="S985" s="162"/>
      <c r="T985" s="162"/>
      <c r="U985" s="162"/>
      <c r="V985" s="162"/>
      <c r="W985" s="162"/>
      <c r="X985" s="162"/>
      <c r="Y985" s="162"/>
      <c r="Z985" s="162"/>
    </row>
    <row r="986" ht="18.75" customHeight="1">
      <c r="A986" s="162"/>
      <c r="B986" s="162"/>
      <c r="C986" s="162"/>
      <c r="D986" s="162"/>
      <c r="E986" s="166"/>
      <c r="F986" s="166"/>
      <c r="G986" s="162"/>
      <c r="H986" s="162"/>
      <c r="I986" s="162"/>
      <c r="J986" s="162"/>
      <c r="K986" s="162"/>
      <c r="L986" s="162"/>
      <c r="M986" s="162"/>
      <c r="N986" s="162"/>
      <c r="O986" s="162"/>
      <c r="P986" s="162"/>
      <c r="Q986" s="162"/>
      <c r="R986" s="162"/>
      <c r="S986" s="162"/>
      <c r="T986" s="162"/>
      <c r="U986" s="162"/>
      <c r="V986" s="162"/>
      <c r="W986" s="162"/>
      <c r="X986" s="162"/>
      <c r="Y986" s="162"/>
      <c r="Z986" s="162"/>
    </row>
    <row r="987" ht="18.75" customHeight="1">
      <c r="A987" s="162"/>
      <c r="B987" s="162"/>
      <c r="C987" s="162"/>
      <c r="D987" s="162"/>
      <c r="E987" s="166"/>
      <c r="F987" s="166"/>
      <c r="G987" s="162"/>
      <c r="H987" s="162"/>
      <c r="I987" s="162"/>
      <c r="J987" s="162"/>
      <c r="K987" s="162"/>
      <c r="L987" s="162"/>
      <c r="M987" s="162"/>
      <c r="N987" s="162"/>
      <c r="O987" s="162"/>
      <c r="P987" s="162"/>
      <c r="Q987" s="162"/>
      <c r="R987" s="162"/>
      <c r="S987" s="162"/>
      <c r="T987" s="162"/>
      <c r="U987" s="162"/>
      <c r="V987" s="162"/>
      <c r="W987" s="162"/>
      <c r="X987" s="162"/>
      <c r="Y987" s="162"/>
      <c r="Z987" s="162"/>
    </row>
    <row r="988" ht="18.75" customHeight="1">
      <c r="A988" s="162"/>
      <c r="B988" s="162"/>
      <c r="C988" s="162"/>
      <c r="D988" s="162"/>
      <c r="E988" s="166"/>
      <c r="F988" s="166"/>
      <c r="G988" s="162"/>
      <c r="H988" s="162"/>
      <c r="I988" s="162"/>
      <c r="J988" s="162"/>
      <c r="K988" s="162"/>
      <c r="L988" s="162"/>
      <c r="M988" s="162"/>
      <c r="N988" s="162"/>
      <c r="O988" s="162"/>
      <c r="P988" s="162"/>
      <c r="Q988" s="162"/>
      <c r="R988" s="162"/>
      <c r="S988" s="162"/>
      <c r="T988" s="162"/>
      <c r="U988" s="162"/>
      <c r="V988" s="162"/>
      <c r="W988" s="162"/>
      <c r="X988" s="162"/>
      <c r="Y988" s="162"/>
      <c r="Z988" s="162"/>
    </row>
    <row r="989" ht="18.75" customHeight="1">
      <c r="A989" s="162"/>
      <c r="B989" s="162"/>
      <c r="C989" s="162"/>
      <c r="D989" s="162"/>
      <c r="E989" s="166"/>
      <c r="F989" s="166"/>
      <c r="G989" s="162"/>
      <c r="H989" s="162"/>
      <c r="I989" s="162"/>
      <c r="J989" s="162"/>
      <c r="K989" s="162"/>
      <c r="L989" s="162"/>
      <c r="M989" s="162"/>
      <c r="N989" s="162"/>
      <c r="O989" s="162"/>
      <c r="P989" s="162"/>
      <c r="Q989" s="162"/>
      <c r="R989" s="162"/>
      <c r="S989" s="162"/>
      <c r="T989" s="162"/>
      <c r="U989" s="162"/>
      <c r="V989" s="162"/>
      <c r="W989" s="162"/>
      <c r="X989" s="162"/>
      <c r="Y989" s="162"/>
      <c r="Z989" s="162"/>
    </row>
    <row r="990" ht="18.75" customHeight="1">
      <c r="A990" s="162"/>
      <c r="B990" s="162"/>
      <c r="C990" s="162"/>
      <c r="D990" s="162"/>
      <c r="E990" s="166"/>
      <c r="F990" s="166"/>
      <c r="G990" s="162"/>
      <c r="H990" s="162"/>
      <c r="I990" s="162"/>
      <c r="J990" s="162"/>
      <c r="K990" s="162"/>
      <c r="L990" s="162"/>
      <c r="M990" s="162"/>
      <c r="N990" s="162"/>
      <c r="O990" s="162"/>
      <c r="P990" s="162"/>
      <c r="Q990" s="162"/>
      <c r="R990" s="162"/>
      <c r="S990" s="162"/>
      <c r="T990" s="162"/>
      <c r="U990" s="162"/>
      <c r="V990" s="162"/>
      <c r="W990" s="162"/>
      <c r="X990" s="162"/>
      <c r="Y990" s="162"/>
      <c r="Z990" s="162"/>
    </row>
    <row r="991" ht="18.75" customHeight="1">
      <c r="A991" s="162"/>
      <c r="B991" s="162"/>
      <c r="C991" s="162"/>
      <c r="D991" s="162"/>
      <c r="E991" s="166"/>
      <c r="F991" s="166"/>
      <c r="G991" s="162"/>
      <c r="H991" s="162"/>
      <c r="I991" s="162"/>
      <c r="J991" s="162"/>
      <c r="K991" s="162"/>
      <c r="L991" s="162"/>
      <c r="M991" s="162"/>
      <c r="N991" s="162"/>
      <c r="O991" s="162"/>
      <c r="P991" s="162"/>
      <c r="Q991" s="162"/>
      <c r="R991" s="162"/>
      <c r="S991" s="162"/>
      <c r="T991" s="162"/>
      <c r="U991" s="162"/>
      <c r="V991" s="162"/>
      <c r="W991" s="162"/>
      <c r="X991" s="162"/>
      <c r="Y991" s="162"/>
      <c r="Z991" s="162"/>
    </row>
    <row r="992" ht="18.75" customHeight="1">
      <c r="A992" s="162"/>
      <c r="B992" s="162"/>
      <c r="C992" s="162"/>
      <c r="D992" s="162"/>
      <c r="E992" s="166"/>
      <c r="F992" s="166"/>
      <c r="G992" s="162"/>
      <c r="H992" s="162"/>
      <c r="I992" s="162"/>
      <c r="J992" s="162"/>
      <c r="K992" s="162"/>
      <c r="L992" s="162"/>
      <c r="M992" s="162"/>
      <c r="N992" s="162"/>
      <c r="O992" s="162"/>
      <c r="P992" s="162"/>
      <c r="Q992" s="162"/>
      <c r="R992" s="162"/>
      <c r="S992" s="162"/>
      <c r="T992" s="162"/>
      <c r="U992" s="162"/>
      <c r="V992" s="162"/>
      <c r="W992" s="162"/>
      <c r="X992" s="162"/>
      <c r="Y992" s="162"/>
      <c r="Z992" s="162"/>
    </row>
    <row r="993" ht="18.75" customHeight="1">
      <c r="A993" s="162"/>
      <c r="B993" s="162"/>
      <c r="C993" s="162"/>
      <c r="D993" s="162"/>
      <c r="E993" s="166"/>
      <c r="F993" s="166"/>
      <c r="G993" s="162"/>
      <c r="H993" s="162"/>
      <c r="I993" s="162"/>
      <c r="J993" s="162"/>
      <c r="K993" s="162"/>
      <c r="L993" s="162"/>
      <c r="M993" s="162"/>
      <c r="N993" s="162"/>
      <c r="O993" s="162"/>
      <c r="P993" s="162"/>
      <c r="Q993" s="162"/>
      <c r="R993" s="162"/>
      <c r="S993" s="162"/>
      <c r="T993" s="162"/>
      <c r="U993" s="162"/>
      <c r="V993" s="162"/>
      <c r="W993" s="162"/>
      <c r="X993" s="162"/>
      <c r="Y993" s="162"/>
      <c r="Z993" s="162"/>
    </row>
    <row r="994" ht="18.75" customHeight="1">
      <c r="A994" s="162"/>
      <c r="B994" s="162"/>
      <c r="C994" s="162"/>
      <c r="D994" s="162"/>
      <c r="E994" s="166"/>
      <c r="F994" s="166"/>
      <c r="G994" s="162"/>
      <c r="H994" s="162"/>
      <c r="I994" s="162"/>
      <c r="J994" s="162"/>
      <c r="K994" s="162"/>
      <c r="L994" s="162"/>
      <c r="M994" s="162"/>
      <c r="N994" s="162"/>
      <c r="O994" s="162"/>
      <c r="P994" s="162"/>
      <c r="Q994" s="162"/>
      <c r="R994" s="162"/>
      <c r="S994" s="162"/>
      <c r="T994" s="162"/>
      <c r="U994" s="162"/>
      <c r="V994" s="162"/>
      <c r="W994" s="162"/>
      <c r="X994" s="162"/>
      <c r="Y994" s="162"/>
      <c r="Z994" s="162"/>
    </row>
    <row r="995" ht="18.75" customHeight="1">
      <c r="A995" s="162"/>
      <c r="B995" s="162"/>
      <c r="C995" s="162"/>
      <c r="D995" s="162"/>
      <c r="E995" s="166"/>
      <c r="F995" s="166"/>
      <c r="G995" s="162"/>
      <c r="H995" s="162"/>
      <c r="I995" s="162"/>
      <c r="J995" s="162"/>
      <c r="K995" s="162"/>
      <c r="L995" s="162"/>
      <c r="M995" s="162"/>
      <c r="N995" s="162"/>
      <c r="O995" s="162"/>
      <c r="P995" s="162"/>
      <c r="Q995" s="162"/>
      <c r="R995" s="162"/>
      <c r="S995" s="162"/>
      <c r="T995" s="162"/>
      <c r="U995" s="162"/>
      <c r="V995" s="162"/>
      <c r="W995" s="162"/>
      <c r="X995" s="162"/>
      <c r="Y995" s="162"/>
      <c r="Z995" s="162"/>
    </row>
    <row r="996" ht="18.75" customHeight="1">
      <c r="A996" s="162"/>
      <c r="B996" s="162"/>
      <c r="C996" s="162"/>
      <c r="D996" s="162"/>
      <c r="E996" s="166"/>
      <c r="F996" s="166"/>
      <c r="G996" s="162"/>
      <c r="H996" s="162"/>
      <c r="I996" s="162"/>
      <c r="J996" s="162"/>
      <c r="K996" s="162"/>
      <c r="L996" s="162"/>
      <c r="M996" s="162"/>
      <c r="N996" s="162"/>
      <c r="O996" s="162"/>
      <c r="P996" s="162"/>
      <c r="Q996" s="162"/>
      <c r="R996" s="162"/>
      <c r="S996" s="162"/>
      <c r="T996" s="162"/>
      <c r="U996" s="162"/>
      <c r="V996" s="162"/>
      <c r="W996" s="162"/>
      <c r="X996" s="162"/>
      <c r="Y996" s="162"/>
      <c r="Z996" s="162"/>
    </row>
    <row r="997" ht="18.75" customHeight="1">
      <c r="A997" s="162"/>
      <c r="B997" s="162"/>
      <c r="C997" s="162"/>
      <c r="D997" s="162"/>
      <c r="E997" s="166"/>
      <c r="F997" s="166"/>
      <c r="G997" s="162"/>
      <c r="H997" s="162"/>
      <c r="I997" s="162"/>
      <c r="J997" s="162"/>
      <c r="K997" s="162"/>
      <c r="L997" s="162"/>
      <c r="M997" s="162"/>
      <c r="N997" s="162"/>
      <c r="O997" s="162"/>
      <c r="P997" s="162"/>
      <c r="Q997" s="162"/>
      <c r="R997" s="162"/>
      <c r="S997" s="162"/>
      <c r="T997" s="162"/>
      <c r="U997" s="162"/>
      <c r="V997" s="162"/>
      <c r="W997" s="162"/>
      <c r="X997" s="162"/>
      <c r="Y997" s="162"/>
      <c r="Z997" s="162"/>
    </row>
    <row r="998" ht="18.75" customHeight="1">
      <c r="A998" s="162"/>
      <c r="B998" s="162"/>
      <c r="C998" s="162"/>
      <c r="D998" s="162"/>
      <c r="E998" s="166"/>
      <c r="F998" s="166"/>
      <c r="G998" s="162"/>
      <c r="H998" s="162"/>
      <c r="I998" s="162"/>
      <c r="J998" s="162"/>
      <c r="K998" s="162"/>
      <c r="L998" s="162"/>
      <c r="M998" s="162"/>
      <c r="N998" s="162"/>
      <c r="O998" s="162"/>
      <c r="P998" s="162"/>
      <c r="Q998" s="162"/>
      <c r="R998" s="162"/>
      <c r="S998" s="162"/>
      <c r="T998" s="162"/>
      <c r="U998" s="162"/>
      <c r="V998" s="162"/>
      <c r="W998" s="162"/>
      <c r="X998" s="162"/>
      <c r="Y998" s="162"/>
      <c r="Z998" s="162"/>
    </row>
    <row r="999" ht="18.75" customHeight="1">
      <c r="A999" s="162"/>
      <c r="B999" s="162"/>
      <c r="C999" s="162"/>
      <c r="D999" s="162"/>
      <c r="E999" s="166"/>
      <c r="F999" s="166"/>
      <c r="G999" s="162"/>
      <c r="H999" s="162"/>
      <c r="I999" s="162"/>
      <c r="J999" s="162"/>
      <c r="K999" s="162"/>
      <c r="L999" s="162"/>
      <c r="M999" s="162"/>
      <c r="N999" s="162"/>
      <c r="O999" s="162"/>
      <c r="P999" s="162"/>
      <c r="Q999" s="162"/>
      <c r="R999" s="162"/>
      <c r="S999" s="162"/>
      <c r="T999" s="162"/>
      <c r="U999" s="162"/>
      <c r="V999" s="162"/>
      <c r="W999" s="162"/>
      <c r="X999" s="162"/>
      <c r="Y999" s="162"/>
      <c r="Z999" s="162"/>
    </row>
    <row r="1000" ht="18.75" customHeight="1">
      <c r="A1000" s="162"/>
      <c r="B1000" s="162"/>
      <c r="C1000" s="162"/>
      <c r="D1000" s="162"/>
      <c r="E1000" s="166"/>
      <c r="F1000" s="166"/>
      <c r="G1000" s="162"/>
      <c r="H1000" s="162"/>
      <c r="I1000" s="162"/>
      <c r="J1000" s="162"/>
      <c r="K1000" s="162"/>
      <c r="L1000" s="162"/>
      <c r="M1000" s="162"/>
      <c r="N1000" s="162"/>
      <c r="O1000" s="162"/>
      <c r="P1000" s="162"/>
      <c r="Q1000" s="162"/>
      <c r="R1000" s="162"/>
      <c r="S1000" s="162"/>
      <c r="T1000" s="162"/>
      <c r="U1000" s="162"/>
      <c r="V1000" s="162"/>
      <c r="W1000" s="162"/>
      <c r="X1000" s="162"/>
      <c r="Y1000" s="162"/>
      <c r="Z1000" s="162"/>
    </row>
  </sheetData>
  <mergeCells count="1">
    <mergeCell ref="B1:F1"/>
  </mergeCells>
  <printOptions/>
  <pageMargins bottom="0.984251968503937" footer="0.0" header="0.0" left="0.7480314960629921" right="0.7480314960629921" top="0.7480314960629921"/>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52.71"/>
    <col customWidth="1" min="3" max="3" width="14.43"/>
    <col customWidth="1" min="4" max="4" width="19.43"/>
    <col customWidth="1" min="5" max="5" width="26.71"/>
    <col customWidth="1" min="6" max="6" width="12.86"/>
    <col customWidth="1" min="7" max="7" width="11.43"/>
    <col customWidth="1" min="8" max="8" width="18.71"/>
    <col customWidth="1" min="9" max="9" width="13.29"/>
    <col customWidth="1" min="10" max="26" width="11.43"/>
  </cols>
  <sheetData>
    <row r="1" ht="12.75" customHeight="1">
      <c r="A1" s="203"/>
      <c r="B1" s="204" t="s">
        <v>173</v>
      </c>
      <c r="C1" s="205"/>
      <c r="D1" s="205"/>
      <c r="E1" s="206" t="s">
        <v>201</v>
      </c>
      <c r="F1" s="203"/>
      <c r="G1" s="203"/>
      <c r="H1" s="203"/>
      <c r="I1" s="203"/>
      <c r="J1" s="203"/>
      <c r="K1" s="203"/>
      <c r="L1" s="203"/>
      <c r="M1" s="203"/>
      <c r="N1" s="203"/>
      <c r="O1" s="203"/>
      <c r="P1" s="203"/>
      <c r="Q1" s="203"/>
      <c r="R1" s="203"/>
      <c r="S1" s="203"/>
      <c r="T1" s="203"/>
      <c r="U1" s="203"/>
      <c r="V1" s="203"/>
      <c r="W1" s="203"/>
      <c r="X1" s="203"/>
      <c r="Y1" s="203"/>
      <c r="Z1" s="203"/>
    </row>
    <row r="2" ht="12.75" customHeight="1">
      <c r="A2" s="203"/>
      <c r="B2" s="204" t="s">
        <v>174</v>
      </c>
      <c r="C2" s="205"/>
      <c r="D2" s="205"/>
      <c r="E2" s="207"/>
      <c r="F2" s="203"/>
      <c r="G2" s="203"/>
      <c r="H2" s="203"/>
      <c r="I2" s="203"/>
      <c r="J2" s="203"/>
      <c r="K2" s="203"/>
      <c r="L2" s="203"/>
      <c r="M2" s="203"/>
      <c r="N2" s="203"/>
      <c r="O2" s="203"/>
      <c r="P2" s="203"/>
      <c r="Q2" s="203"/>
      <c r="R2" s="203"/>
      <c r="S2" s="203"/>
      <c r="T2" s="203"/>
      <c r="U2" s="203"/>
      <c r="V2" s="203"/>
      <c r="W2" s="203"/>
      <c r="X2" s="203"/>
      <c r="Y2" s="203"/>
      <c r="Z2" s="203"/>
    </row>
    <row r="3" ht="12.75" customHeight="1">
      <c r="A3" s="203"/>
      <c r="B3" s="208"/>
      <c r="C3" s="205"/>
      <c r="D3" s="205"/>
      <c r="E3" s="207"/>
      <c r="F3" s="203"/>
      <c r="G3" s="203"/>
      <c r="H3" s="203"/>
      <c r="I3" s="203"/>
      <c r="J3" s="203"/>
      <c r="K3" s="203"/>
      <c r="L3" s="203"/>
      <c r="M3" s="203"/>
      <c r="N3" s="203"/>
      <c r="O3" s="203"/>
      <c r="P3" s="203"/>
      <c r="Q3" s="203"/>
      <c r="R3" s="203"/>
      <c r="S3" s="203"/>
      <c r="T3" s="203"/>
      <c r="U3" s="203"/>
      <c r="V3" s="203"/>
      <c r="W3" s="203"/>
      <c r="X3" s="203"/>
      <c r="Y3" s="203"/>
      <c r="Z3" s="203"/>
    </row>
    <row r="4" ht="12.75" customHeight="1">
      <c r="A4" s="203"/>
      <c r="B4" s="209" t="s">
        <v>202</v>
      </c>
      <c r="C4" s="210"/>
      <c r="D4" s="210"/>
      <c r="E4" s="211"/>
      <c r="F4" s="203"/>
      <c r="G4" s="203"/>
      <c r="H4" s="203"/>
      <c r="I4" s="203"/>
      <c r="J4" s="203"/>
      <c r="K4" s="203"/>
      <c r="L4" s="203"/>
      <c r="M4" s="203"/>
      <c r="N4" s="203"/>
      <c r="O4" s="203"/>
      <c r="P4" s="203"/>
      <c r="Q4" s="203"/>
      <c r="R4" s="203"/>
      <c r="S4" s="203"/>
      <c r="T4" s="203"/>
      <c r="U4" s="203"/>
      <c r="V4" s="203"/>
      <c r="W4" s="203"/>
      <c r="X4" s="203"/>
      <c r="Y4" s="203"/>
      <c r="Z4" s="203"/>
    </row>
    <row r="5" ht="12.75" customHeight="1">
      <c r="A5" s="203"/>
      <c r="B5" s="205"/>
      <c r="C5" s="205"/>
      <c r="D5" s="205"/>
      <c r="E5" s="207"/>
      <c r="F5" s="203"/>
      <c r="G5" s="203"/>
      <c r="H5" s="203"/>
      <c r="I5" s="203"/>
      <c r="J5" s="203"/>
      <c r="K5" s="203"/>
      <c r="L5" s="203"/>
      <c r="M5" s="203"/>
      <c r="N5" s="203"/>
      <c r="O5" s="203"/>
      <c r="P5" s="203"/>
      <c r="Q5" s="203"/>
      <c r="R5" s="203"/>
      <c r="S5" s="203"/>
      <c r="T5" s="203"/>
      <c r="U5" s="203"/>
      <c r="V5" s="203"/>
      <c r="W5" s="203"/>
      <c r="X5" s="203"/>
      <c r="Y5" s="203"/>
      <c r="Z5" s="203"/>
    </row>
    <row r="6" ht="12.75" customHeight="1">
      <c r="A6" s="203"/>
      <c r="B6" s="205"/>
      <c r="C6" s="205"/>
      <c r="D6" s="205"/>
      <c r="E6" s="212" t="s">
        <v>203</v>
      </c>
      <c r="F6" s="203"/>
      <c r="G6" s="203"/>
      <c r="H6" s="203"/>
      <c r="I6" s="203"/>
      <c r="J6" s="203"/>
      <c r="K6" s="203"/>
      <c r="L6" s="203"/>
      <c r="M6" s="203"/>
      <c r="N6" s="203"/>
      <c r="O6" s="203"/>
      <c r="P6" s="203"/>
      <c r="Q6" s="203"/>
      <c r="R6" s="203"/>
      <c r="S6" s="203"/>
      <c r="T6" s="203"/>
      <c r="U6" s="203"/>
      <c r="V6" s="203"/>
      <c r="W6" s="203"/>
      <c r="X6" s="203"/>
      <c r="Y6" s="203"/>
      <c r="Z6" s="203"/>
    </row>
    <row r="7" ht="12.75" customHeight="1">
      <c r="A7" s="203"/>
      <c r="B7" s="213" t="s">
        <v>204</v>
      </c>
      <c r="C7" s="205"/>
      <c r="D7" s="205"/>
      <c r="E7" s="214">
        <f>-'Balance 2023'!J31</f>
        <v>-14970601</v>
      </c>
      <c r="F7" s="203"/>
      <c r="G7" s="203"/>
      <c r="H7" s="203"/>
      <c r="I7" s="203"/>
      <c r="J7" s="203"/>
      <c r="K7" s="203"/>
      <c r="L7" s="203"/>
      <c r="M7" s="203"/>
      <c r="N7" s="203"/>
      <c r="O7" s="203"/>
      <c r="P7" s="203"/>
      <c r="Q7" s="203"/>
      <c r="R7" s="203"/>
      <c r="S7" s="203"/>
      <c r="T7" s="203"/>
      <c r="U7" s="203"/>
      <c r="V7" s="203"/>
      <c r="W7" s="203"/>
      <c r="X7" s="203"/>
      <c r="Y7" s="203"/>
      <c r="Z7" s="203"/>
    </row>
    <row r="8" ht="12.75" customHeight="1">
      <c r="A8" s="203"/>
      <c r="B8" s="205"/>
      <c r="C8" s="205"/>
      <c r="D8" s="205"/>
      <c r="E8" s="207"/>
      <c r="F8" s="203"/>
      <c r="G8" s="203"/>
      <c r="H8" s="203"/>
      <c r="I8" s="203"/>
      <c r="J8" s="203"/>
      <c r="K8" s="203"/>
      <c r="L8" s="203"/>
      <c r="M8" s="203"/>
      <c r="N8" s="203"/>
      <c r="O8" s="203"/>
      <c r="P8" s="203"/>
      <c r="Q8" s="203"/>
      <c r="R8" s="203"/>
      <c r="S8" s="203"/>
      <c r="T8" s="203"/>
      <c r="U8" s="203"/>
      <c r="V8" s="203"/>
      <c r="W8" s="203"/>
      <c r="X8" s="203"/>
      <c r="Y8" s="203"/>
      <c r="Z8" s="203"/>
    </row>
    <row r="9" ht="12.75" customHeight="1">
      <c r="A9" s="203"/>
      <c r="B9" s="213" t="s">
        <v>205</v>
      </c>
      <c r="C9" s="205"/>
      <c r="D9" s="205"/>
      <c r="E9" s="207">
        <f>SUM(D10:D14)</f>
        <v>14462338</v>
      </c>
      <c r="F9" s="203"/>
      <c r="G9" s="203"/>
      <c r="H9" s="203"/>
      <c r="I9" s="203"/>
      <c r="J9" s="203"/>
      <c r="K9" s="203"/>
      <c r="L9" s="203"/>
      <c r="M9" s="203"/>
      <c r="N9" s="203"/>
      <c r="O9" s="203"/>
      <c r="P9" s="203"/>
      <c r="Q9" s="203"/>
      <c r="R9" s="203"/>
      <c r="S9" s="203"/>
      <c r="T9" s="203"/>
      <c r="U9" s="203"/>
      <c r="V9" s="203"/>
      <c r="W9" s="203"/>
      <c r="X9" s="203"/>
      <c r="Y9" s="203"/>
      <c r="Z9" s="203"/>
    </row>
    <row r="10" ht="12.75" customHeight="1">
      <c r="A10" s="203"/>
      <c r="B10" s="215"/>
      <c r="C10" s="205"/>
      <c r="D10" s="207"/>
      <c r="E10" s="207"/>
      <c r="F10" s="203"/>
      <c r="G10" s="203"/>
      <c r="H10" s="203"/>
      <c r="I10" s="203"/>
      <c r="J10" s="203"/>
      <c r="K10" s="203"/>
      <c r="L10" s="203"/>
      <c r="M10" s="203"/>
      <c r="N10" s="203"/>
      <c r="O10" s="203"/>
      <c r="P10" s="203"/>
      <c r="Q10" s="203"/>
      <c r="R10" s="203"/>
      <c r="S10" s="203"/>
      <c r="T10" s="203"/>
      <c r="U10" s="203"/>
      <c r="V10" s="203"/>
      <c r="W10" s="203"/>
      <c r="X10" s="203"/>
      <c r="Y10" s="203"/>
      <c r="Z10" s="203"/>
    </row>
    <row r="11" ht="12.75" customHeight="1">
      <c r="A11" s="203"/>
      <c r="B11" s="216" t="s">
        <v>206</v>
      </c>
      <c r="C11" s="205"/>
      <c r="D11" s="207">
        <v>0.0</v>
      </c>
      <c r="E11" s="207"/>
      <c r="F11" s="203"/>
      <c r="G11" s="203"/>
      <c r="H11" s="203"/>
      <c r="I11" s="203"/>
      <c r="J11" s="203"/>
      <c r="K11" s="203"/>
      <c r="L11" s="203"/>
      <c r="M11" s="203"/>
      <c r="N11" s="203"/>
      <c r="O11" s="203"/>
      <c r="P11" s="203"/>
      <c r="Q11" s="203"/>
      <c r="R11" s="203"/>
      <c r="S11" s="203"/>
      <c r="T11" s="203"/>
      <c r="U11" s="203"/>
      <c r="V11" s="203"/>
      <c r="W11" s="203"/>
      <c r="X11" s="203"/>
      <c r="Y11" s="203"/>
      <c r="Z11" s="203"/>
    </row>
    <row r="12" ht="12.75" customHeight="1">
      <c r="A12" s="203"/>
      <c r="B12" s="215" t="s">
        <v>207</v>
      </c>
      <c r="C12" s="205"/>
      <c r="D12" s="207">
        <f>+'Balance 2023'!I26</f>
        <v>626743</v>
      </c>
      <c r="E12" s="207"/>
      <c r="F12" s="203"/>
      <c r="G12" s="203"/>
      <c r="H12" s="203"/>
      <c r="I12" s="203"/>
      <c r="J12" s="203"/>
      <c r="K12" s="203"/>
      <c r="L12" s="203"/>
      <c r="M12" s="203"/>
      <c r="N12" s="203"/>
      <c r="O12" s="203"/>
      <c r="P12" s="203"/>
      <c r="Q12" s="203"/>
      <c r="R12" s="203"/>
      <c r="S12" s="203"/>
      <c r="T12" s="203"/>
      <c r="U12" s="203"/>
      <c r="V12" s="203"/>
      <c r="W12" s="203"/>
      <c r="X12" s="203"/>
      <c r="Y12" s="203"/>
      <c r="Z12" s="203"/>
    </row>
    <row r="13" ht="12.75" customHeight="1">
      <c r="A13" s="203"/>
      <c r="B13" s="215" t="s">
        <v>208</v>
      </c>
      <c r="C13" s="205"/>
      <c r="D13" s="207">
        <f>+'Balance 2023'!I28</f>
        <v>13554622</v>
      </c>
      <c r="E13" s="207"/>
      <c r="F13" s="203"/>
      <c r="G13" s="203"/>
      <c r="H13" s="203"/>
      <c r="I13" s="203"/>
      <c r="J13" s="203"/>
      <c r="K13" s="203"/>
      <c r="L13" s="203"/>
      <c r="M13" s="203"/>
      <c r="N13" s="203"/>
      <c r="O13" s="203"/>
      <c r="P13" s="203"/>
      <c r="Q13" s="203"/>
      <c r="R13" s="203"/>
      <c r="S13" s="203"/>
      <c r="T13" s="203"/>
      <c r="U13" s="203"/>
      <c r="V13" s="203"/>
      <c r="W13" s="203"/>
      <c r="X13" s="203"/>
      <c r="Y13" s="203"/>
      <c r="Z13" s="203"/>
    </row>
    <row r="14" ht="12.75" customHeight="1">
      <c r="A14" s="203"/>
      <c r="B14" s="215" t="s">
        <v>209</v>
      </c>
      <c r="C14" s="205"/>
      <c r="D14" s="211">
        <f>+'Balance 2023'!I29</f>
        <v>280973</v>
      </c>
      <c r="E14" s="207"/>
      <c r="F14" s="203"/>
      <c r="G14" s="203"/>
      <c r="H14" s="203"/>
      <c r="I14" s="203"/>
      <c r="J14" s="203"/>
      <c r="K14" s="203"/>
      <c r="L14" s="203"/>
      <c r="M14" s="203"/>
      <c r="N14" s="203"/>
      <c r="O14" s="203"/>
      <c r="P14" s="203"/>
      <c r="Q14" s="203"/>
      <c r="R14" s="203"/>
      <c r="S14" s="203"/>
      <c r="T14" s="203"/>
      <c r="U14" s="203"/>
      <c r="V14" s="203"/>
      <c r="W14" s="203"/>
      <c r="X14" s="203"/>
      <c r="Y14" s="203"/>
      <c r="Z14" s="203"/>
    </row>
    <row r="15" ht="12.75" customHeight="1">
      <c r="A15" s="203"/>
      <c r="B15" s="205"/>
      <c r="C15" s="205"/>
      <c r="D15" s="205"/>
      <c r="E15" s="207"/>
      <c r="F15" s="203"/>
      <c r="G15" s="203"/>
      <c r="H15" s="203"/>
      <c r="I15" s="203"/>
      <c r="J15" s="203"/>
      <c r="K15" s="203"/>
      <c r="L15" s="203"/>
      <c r="M15" s="203"/>
      <c r="N15" s="203"/>
      <c r="O15" s="203"/>
      <c r="P15" s="203"/>
      <c r="Q15" s="203"/>
      <c r="R15" s="203"/>
      <c r="S15" s="203"/>
      <c r="T15" s="203"/>
      <c r="U15" s="203"/>
      <c r="V15" s="203"/>
      <c r="W15" s="203"/>
      <c r="X15" s="203"/>
      <c r="Y15" s="203"/>
      <c r="Z15" s="203"/>
    </row>
    <row r="16" ht="12.75" customHeight="1">
      <c r="A16" s="203"/>
      <c r="B16" s="217" t="s">
        <v>210</v>
      </c>
      <c r="C16" s="205"/>
      <c r="D16" s="205"/>
      <c r="E16" s="207">
        <f>SUM(D17:D18)</f>
        <v>0</v>
      </c>
      <c r="F16" s="203"/>
      <c r="G16" s="203"/>
      <c r="H16" s="203"/>
      <c r="I16" s="203"/>
      <c r="J16" s="203"/>
      <c r="K16" s="203"/>
      <c r="L16" s="203"/>
      <c r="M16" s="203"/>
      <c r="N16" s="203"/>
      <c r="O16" s="203"/>
      <c r="P16" s="203"/>
      <c r="Q16" s="203"/>
      <c r="R16" s="203"/>
      <c r="S16" s="203"/>
      <c r="T16" s="203"/>
      <c r="U16" s="203"/>
      <c r="V16" s="203"/>
      <c r="W16" s="203"/>
      <c r="X16" s="203"/>
      <c r="Y16" s="203"/>
      <c r="Z16" s="203"/>
    </row>
    <row r="17" ht="12.75" customHeight="1">
      <c r="A17" s="203"/>
      <c r="B17" s="216" t="s">
        <v>211</v>
      </c>
      <c r="C17" s="205"/>
      <c r="D17" s="207"/>
      <c r="E17" s="207"/>
      <c r="F17" s="203"/>
      <c r="G17" s="203"/>
      <c r="H17" s="203"/>
      <c r="I17" s="203"/>
      <c r="J17" s="203"/>
      <c r="K17" s="203"/>
      <c r="L17" s="203"/>
      <c r="M17" s="203"/>
      <c r="N17" s="203"/>
      <c r="O17" s="203"/>
      <c r="P17" s="203"/>
      <c r="Q17" s="203"/>
      <c r="R17" s="203"/>
      <c r="S17" s="203"/>
      <c r="T17" s="203"/>
      <c r="U17" s="203"/>
      <c r="V17" s="203"/>
      <c r="W17" s="203"/>
      <c r="X17" s="203"/>
      <c r="Y17" s="203"/>
      <c r="Z17" s="203"/>
    </row>
    <row r="18" ht="12.75" customHeight="1">
      <c r="A18" s="203"/>
      <c r="B18" s="215" t="s">
        <v>212</v>
      </c>
      <c r="C18" s="207"/>
      <c r="D18" s="211"/>
      <c r="E18" s="207"/>
      <c r="F18" s="203"/>
      <c r="G18" s="203"/>
      <c r="H18" s="203"/>
      <c r="I18" s="203"/>
      <c r="J18" s="203"/>
      <c r="K18" s="203"/>
      <c r="L18" s="203"/>
      <c r="M18" s="203"/>
      <c r="N18" s="203"/>
      <c r="O18" s="203"/>
      <c r="P18" s="203"/>
      <c r="Q18" s="203"/>
      <c r="R18" s="203"/>
      <c r="S18" s="203"/>
      <c r="T18" s="203"/>
      <c r="U18" s="203"/>
      <c r="V18" s="203"/>
      <c r="W18" s="203"/>
      <c r="X18" s="203"/>
      <c r="Y18" s="203"/>
      <c r="Z18" s="203"/>
    </row>
    <row r="19" ht="12.75" customHeight="1">
      <c r="A19" s="203"/>
      <c r="B19" s="215"/>
      <c r="C19" s="207"/>
      <c r="D19" s="203"/>
      <c r="E19" s="207"/>
      <c r="F19" s="203"/>
      <c r="G19" s="203"/>
      <c r="H19" s="203"/>
      <c r="I19" s="203"/>
      <c r="J19" s="203"/>
      <c r="K19" s="203"/>
      <c r="L19" s="203"/>
      <c r="M19" s="203"/>
      <c r="N19" s="203"/>
      <c r="O19" s="203"/>
      <c r="P19" s="203"/>
      <c r="Q19" s="203"/>
      <c r="R19" s="203"/>
      <c r="S19" s="203"/>
      <c r="T19" s="203"/>
      <c r="U19" s="203"/>
      <c r="V19" s="203"/>
      <c r="W19" s="203"/>
      <c r="X19" s="203"/>
      <c r="Y19" s="203"/>
      <c r="Z19" s="203"/>
    </row>
    <row r="20" ht="12.75" customHeight="1">
      <c r="A20" s="203"/>
      <c r="B20" s="218" t="s">
        <v>213</v>
      </c>
      <c r="C20" s="208"/>
      <c r="D20" s="219"/>
      <c r="E20" s="220">
        <f>SUM(D21)</f>
        <v>0</v>
      </c>
      <c r="F20" s="203"/>
      <c r="G20" s="203"/>
      <c r="H20" s="203"/>
      <c r="I20" s="203"/>
      <c r="J20" s="203"/>
      <c r="K20" s="203"/>
      <c r="L20" s="203"/>
      <c r="M20" s="203"/>
      <c r="N20" s="203"/>
      <c r="O20" s="203"/>
      <c r="P20" s="203"/>
      <c r="Q20" s="203"/>
      <c r="R20" s="203"/>
      <c r="S20" s="203"/>
      <c r="T20" s="203"/>
      <c r="U20" s="203"/>
      <c r="V20" s="203"/>
      <c r="W20" s="203"/>
      <c r="X20" s="203"/>
      <c r="Y20" s="203"/>
      <c r="Z20" s="203"/>
    </row>
    <row r="21" ht="12.75" customHeight="1">
      <c r="A21" s="203"/>
      <c r="B21" s="221" t="s">
        <v>214</v>
      </c>
      <c r="C21" s="208"/>
      <c r="D21" s="222"/>
      <c r="E21" s="221"/>
      <c r="F21" s="203"/>
      <c r="G21" s="203"/>
      <c r="H21" s="203"/>
      <c r="I21" s="203"/>
      <c r="J21" s="223"/>
      <c r="K21" s="203"/>
      <c r="L21" s="203"/>
      <c r="M21" s="203"/>
      <c r="N21" s="203"/>
      <c r="O21" s="203"/>
      <c r="P21" s="203"/>
      <c r="Q21" s="203"/>
      <c r="R21" s="203"/>
      <c r="S21" s="203"/>
      <c r="T21" s="203"/>
      <c r="U21" s="203"/>
      <c r="V21" s="203"/>
      <c r="W21" s="203"/>
      <c r="X21" s="203"/>
      <c r="Y21" s="203"/>
      <c r="Z21" s="203"/>
    </row>
    <row r="22" ht="12.75" customHeight="1">
      <c r="A22" s="203"/>
      <c r="B22" s="221"/>
      <c r="C22" s="208"/>
      <c r="D22" s="221"/>
      <c r="E22" s="219"/>
      <c r="F22" s="203"/>
      <c r="G22" s="203"/>
      <c r="H22" s="203"/>
      <c r="I22" s="203"/>
      <c r="J22" s="203"/>
      <c r="K22" s="203"/>
      <c r="L22" s="203"/>
      <c r="M22" s="203"/>
      <c r="N22" s="203"/>
      <c r="O22" s="203"/>
      <c r="P22" s="203"/>
      <c r="Q22" s="203"/>
      <c r="R22" s="203"/>
      <c r="S22" s="203"/>
      <c r="T22" s="203"/>
      <c r="U22" s="203"/>
      <c r="V22" s="203"/>
      <c r="W22" s="203"/>
      <c r="X22" s="203"/>
      <c r="Y22" s="203"/>
      <c r="Z22" s="203"/>
    </row>
    <row r="23" ht="12.75" customHeight="1">
      <c r="A23" s="203"/>
      <c r="B23" s="224" t="s">
        <v>215</v>
      </c>
      <c r="C23" s="224"/>
      <c r="D23" s="224"/>
      <c r="E23" s="225">
        <f>SUM(E7:E22)</f>
        <v>-508263</v>
      </c>
      <c r="F23" s="226"/>
      <c r="G23" s="203"/>
      <c r="H23" s="223"/>
      <c r="I23" s="223"/>
      <c r="J23" s="203"/>
      <c r="K23" s="203"/>
      <c r="L23" s="203"/>
      <c r="M23" s="203"/>
      <c r="N23" s="203"/>
      <c r="O23" s="203"/>
      <c r="P23" s="203"/>
      <c r="Q23" s="203"/>
      <c r="R23" s="203"/>
      <c r="S23" s="203"/>
      <c r="T23" s="203"/>
      <c r="U23" s="203"/>
      <c r="V23" s="203"/>
      <c r="W23" s="203"/>
      <c r="X23" s="203"/>
      <c r="Y23" s="203"/>
      <c r="Z23" s="203"/>
    </row>
    <row r="24" ht="12.75" customHeight="1">
      <c r="A24" s="203"/>
      <c r="B24" s="218"/>
      <c r="C24" s="218"/>
      <c r="D24" s="218"/>
      <c r="E24" s="227"/>
      <c r="F24" s="203"/>
      <c r="G24" s="203"/>
      <c r="H24" s="203"/>
      <c r="I24" s="203"/>
      <c r="J24" s="203"/>
      <c r="K24" s="203"/>
      <c r="L24" s="203"/>
      <c r="M24" s="203"/>
      <c r="N24" s="203"/>
      <c r="O24" s="203"/>
      <c r="P24" s="203"/>
      <c r="Q24" s="203"/>
      <c r="R24" s="203"/>
      <c r="S24" s="203"/>
      <c r="T24" s="203"/>
      <c r="U24" s="203"/>
      <c r="V24" s="203"/>
      <c r="W24" s="203"/>
      <c r="X24" s="203"/>
      <c r="Y24" s="203"/>
      <c r="Z24" s="203"/>
    </row>
    <row r="25" ht="12.75" customHeight="1">
      <c r="A25" s="203"/>
      <c r="B25" s="218" t="s">
        <v>216</v>
      </c>
      <c r="C25" s="218"/>
      <c r="D25" s="218"/>
      <c r="E25" s="207">
        <f>-I31</f>
        <v>0</v>
      </c>
      <c r="F25" s="203"/>
      <c r="G25" s="203"/>
      <c r="H25" s="228" t="s">
        <v>217</v>
      </c>
      <c r="I25" s="203"/>
      <c r="J25" s="203"/>
      <c r="K25" s="203"/>
      <c r="L25" s="203"/>
      <c r="M25" s="203"/>
      <c r="N25" s="203"/>
      <c r="O25" s="203"/>
      <c r="P25" s="203"/>
      <c r="Q25" s="203"/>
      <c r="R25" s="203"/>
      <c r="S25" s="203"/>
      <c r="T25" s="203"/>
      <c r="U25" s="203"/>
      <c r="V25" s="203"/>
      <c r="W25" s="203"/>
      <c r="X25" s="203"/>
      <c r="Y25" s="203"/>
      <c r="Z25" s="203"/>
    </row>
    <row r="26" ht="12.75" customHeight="1">
      <c r="A26" s="203"/>
      <c r="B26" s="205"/>
      <c r="C26" s="205"/>
      <c r="D26" s="205"/>
      <c r="E26" s="207"/>
      <c r="F26" s="203"/>
      <c r="G26" s="203"/>
      <c r="H26" s="203" t="s">
        <v>218</v>
      </c>
      <c r="I26" s="229">
        <f>+E23</f>
        <v>-508263</v>
      </c>
      <c r="J26" s="203"/>
      <c r="K26" s="203"/>
      <c r="L26" s="203"/>
      <c r="M26" s="203"/>
      <c r="N26" s="203"/>
      <c r="O26" s="203"/>
      <c r="P26" s="203"/>
      <c r="Q26" s="203"/>
      <c r="R26" s="203"/>
      <c r="S26" s="203"/>
      <c r="T26" s="203"/>
      <c r="U26" s="203"/>
      <c r="V26" s="203"/>
      <c r="W26" s="203"/>
      <c r="X26" s="203"/>
      <c r="Y26" s="203"/>
      <c r="Z26" s="203"/>
    </row>
    <row r="27" ht="12.75" customHeight="1">
      <c r="A27" s="203"/>
      <c r="B27" s="230" t="s">
        <v>219</v>
      </c>
      <c r="C27" s="230"/>
      <c r="D27" s="230"/>
      <c r="E27" s="231">
        <f>+E23+E25</f>
        <v>-508263</v>
      </c>
      <c r="F27" s="232"/>
      <c r="G27" s="203"/>
      <c r="H27" s="203" t="s">
        <v>220</v>
      </c>
      <c r="I27" s="229"/>
      <c r="J27" s="203"/>
      <c r="K27" s="203"/>
      <c r="L27" s="203"/>
      <c r="M27" s="203"/>
      <c r="N27" s="203"/>
      <c r="O27" s="203"/>
      <c r="P27" s="203"/>
      <c r="Q27" s="203"/>
      <c r="R27" s="203"/>
      <c r="S27" s="203"/>
      <c r="T27" s="203"/>
      <c r="U27" s="203"/>
      <c r="V27" s="203"/>
      <c r="W27" s="203"/>
      <c r="X27" s="203"/>
      <c r="Y27" s="203"/>
      <c r="Z27" s="203"/>
    </row>
    <row r="28" ht="12.75" customHeight="1">
      <c r="A28" s="203"/>
      <c r="B28" s="205"/>
      <c r="C28" s="205"/>
      <c r="D28" s="205"/>
      <c r="E28" s="207"/>
      <c r="F28" s="226"/>
      <c r="G28" s="203"/>
      <c r="H28" s="203" t="s">
        <v>221</v>
      </c>
      <c r="I28" s="226">
        <f>-D13-D14</f>
        <v>-13835595</v>
      </c>
      <c r="J28" s="203"/>
      <c r="K28" s="203"/>
      <c r="L28" s="203"/>
      <c r="M28" s="203"/>
      <c r="N28" s="203"/>
      <c r="O28" s="203"/>
      <c r="P28" s="203"/>
      <c r="Q28" s="203"/>
      <c r="R28" s="203"/>
      <c r="S28" s="203"/>
      <c r="T28" s="203"/>
      <c r="U28" s="203"/>
      <c r="V28" s="203"/>
      <c r="W28" s="203"/>
      <c r="X28" s="203"/>
      <c r="Y28" s="203"/>
      <c r="Z28" s="203"/>
    </row>
    <row r="29" ht="12.75" customHeight="1">
      <c r="A29" s="203"/>
      <c r="B29" s="213" t="s">
        <v>222</v>
      </c>
      <c r="C29" s="213"/>
      <c r="D29" s="205"/>
      <c r="E29" s="214">
        <f>IF(E27&gt;0,E27*10%,0)</f>
        <v>0</v>
      </c>
      <c r="F29" s="203"/>
      <c r="G29" s="203"/>
      <c r="H29" s="203" t="s">
        <v>187</v>
      </c>
      <c r="I29" s="226">
        <f>-D12</f>
        <v>-626743</v>
      </c>
      <c r="J29" s="203"/>
      <c r="K29" s="203"/>
      <c r="L29" s="203"/>
      <c r="M29" s="203"/>
      <c r="N29" s="203"/>
      <c r="O29" s="203"/>
      <c r="P29" s="203"/>
      <c r="Q29" s="203"/>
      <c r="R29" s="203"/>
      <c r="S29" s="203"/>
      <c r="T29" s="203"/>
      <c r="U29" s="203"/>
      <c r="V29" s="203"/>
      <c r="W29" s="203"/>
      <c r="X29" s="203"/>
      <c r="Y29" s="203"/>
      <c r="Z29" s="203"/>
    </row>
    <row r="30" ht="12.75" customHeight="1">
      <c r="A30" s="203"/>
      <c r="B30" s="213"/>
      <c r="C30" s="213"/>
      <c r="D30" s="205"/>
      <c r="E30" s="207"/>
      <c r="F30" s="203"/>
      <c r="G30" s="203"/>
      <c r="H30" s="233" t="s">
        <v>223</v>
      </c>
      <c r="I30" s="234">
        <f>SUM(I26:I29)</f>
        <v>-14970601</v>
      </c>
      <c r="J30" s="203"/>
      <c r="K30" s="203"/>
      <c r="L30" s="203"/>
      <c r="M30" s="203"/>
      <c r="N30" s="203"/>
      <c r="O30" s="203"/>
      <c r="P30" s="203"/>
      <c r="Q30" s="203"/>
      <c r="R30" s="203"/>
      <c r="S30" s="203"/>
      <c r="T30" s="203"/>
      <c r="U30" s="203"/>
      <c r="V30" s="203"/>
      <c r="W30" s="203"/>
      <c r="X30" s="203"/>
      <c r="Y30" s="203"/>
      <c r="Z30" s="203"/>
    </row>
    <row r="31" ht="12.75" customHeight="1">
      <c r="A31" s="203"/>
      <c r="B31" s="213" t="s">
        <v>224</v>
      </c>
      <c r="C31" s="213"/>
      <c r="D31" s="205"/>
      <c r="E31" s="235">
        <f>-D21*35%</f>
        <v>0</v>
      </c>
      <c r="F31" s="203"/>
      <c r="G31" s="203"/>
      <c r="H31" s="236">
        <v>0.5</v>
      </c>
      <c r="I31" s="237">
        <f>IF(I30&gt;0,I30*0.5,0)</f>
        <v>0</v>
      </c>
      <c r="J31" s="203"/>
      <c r="K31" s="203"/>
      <c r="L31" s="203"/>
      <c r="M31" s="203"/>
      <c r="N31" s="203"/>
      <c r="O31" s="203"/>
      <c r="P31" s="203"/>
      <c r="Q31" s="203"/>
      <c r="R31" s="203"/>
      <c r="S31" s="203"/>
      <c r="T31" s="203"/>
      <c r="U31" s="203"/>
      <c r="V31" s="203"/>
      <c r="W31" s="203"/>
      <c r="X31" s="203"/>
      <c r="Y31" s="203"/>
      <c r="Z31" s="203"/>
    </row>
    <row r="32" ht="12.75" customHeight="1">
      <c r="A32" s="203"/>
      <c r="B32" s="213"/>
      <c r="C32" s="213"/>
      <c r="D32" s="205"/>
      <c r="E32" s="235"/>
      <c r="F32" s="203"/>
      <c r="G32" s="203"/>
      <c r="H32" s="203"/>
      <c r="I32" s="203"/>
      <c r="J32" s="203"/>
      <c r="K32" s="203"/>
      <c r="L32" s="203"/>
      <c r="M32" s="203"/>
      <c r="N32" s="203"/>
      <c r="O32" s="203"/>
      <c r="P32" s="203"/>
      <c r="Q32" s="203"/>
      <c r="R32" s="203"/>
      <c r="S32" s="203"/>
      <c r="T32" s="203"/>
      <c r="U32" s="203"/>
      <c r="V32" s="203"/>
      <c r="W32" s="203"/>
      <c r="X32" s="203"/>
      <c r="Y32" s="203"/>
      <c r="Z32" s="203"/>
    </row>
    <row r="33" ht="12.75" customHeight="1">
      <c r="A33" s="203"/>
      <c r="B33" s="213" t="s">
        <v>176</v>
      </c>
      <c r="C33" s="205"/>
      <c r="D33" s="205"/>
      <c r="E33" s="207"/>
      <c r="F33" s="203"/>
      <c r="G33" s="203"/>
      <c r="H33" s="203"/>
      <c r="I33" s="229"/>
      <c r="J33" s="203"/>
      <c r="K33" s="203"/>
      <c r="L33" s="203"/>
      <c r="M33" s="203"/>
      <c r="N33" s="203"/>
      <c r="O33" s="203"/>
      <c r="P33" s="203"/>
      <c r="Q33" s="203"/>
      <c r="R33" s="203"/>
      <c r="S33" s="203"/>
      <c r="T33" s="203"/>
      <c r="U33" s="203"/>
      <c r="V33" s="203"/>
      <c r="W33" s="203"/>
      <c r="X33" s="203"/>
      <c r="Y33" s="203"/>
      <c r="Z33" s="203"/>
    </row>
    <row r="34" ht="12.75" customHeight="1">
      <c r="A34" s="203"/>
      <c r="B34" s="215" t="s">
        <v>225</v>
      </c>
      <c r="C34" s="205"/>
      <c r="D34" s="205"/>
      <c r="E34" s="207">
        <v>0.0</v>
      </c>
      <c r="F34" s="203"/>
      <c r="G34" s="203"/>
      <c r="H34" s="203"/>
      <c r="I34" s="229"/>
      <c r="J34" s="203"/>
      <c r="K34" s="203"/>
      <c r="L34" s="203"/>
      <c r="M34" s="203"/>
      <c r="N34" s="203"/>
      <c r="O34" s="203"/>
      <c r="P34" s="203"/>
      <c r="Q34" s="203"/>
      <c r="R34" s="203"/>
      <c r="S34" s="203"/>
      <c r="T34" s="203"/>
      <c r="U34" s="203"/>
      <c r="V34" s="203"/>
      <c r="W34" s="203"/>
      <c r="X34" s="203"/>
      <c r="Y34" s="203"/>
      <c r="Z34" s="203"/>
    </row>
    <row r="35" ht="12.75" customHeight="1">
      <c r="A35" s="203"/>
      <c r="B35" s="205"/>
      <c r="C35" s="205"/>
      <c r="D35" s="205"/>
      <c r="E35" s="203"/>
      <c r="F35" s="203"/>
      <c r="G35" s="203"/>
      <c r="H35" s="203"/>
      <c r="I35" s="229"/>
      <c r="J35" s="203"/>
      <c r="K35" s="203"/>
      <c r="L35" s="203"/>
      <c r="M35" s="203"/>
      <c r="N35" s="203"/>
      <c r="O35" s="203"/>
      <c r="P35" s="203"/>
      <c r="Q35" s="203"/>
      <c r="R35" s="203"/>
      <c r="S35" s="203"/>
      <c r="T35" s="203"/>
      <c r="U35" s="203"/>
      <c r="V35" s="203"/>
      <c r="W35" s="203"/>
      <c r="X35" s="203"/>
      <c r="Y35" s="203"/>
      <c r="Z35" s="203"/>
    </row>
    <row r="36" ht="12.75" customHeight="1">
      <c r="A36" s="203"/>
      <c r="B36" s="238" t="s">
        <v>226</v>
      </c>
      <c r="C36" s="239"/>
      <c r="D36" s="239"/>
      <c r="E36" s="240">
        <f>SUM(E29:E34)</f>
        <v>0</v>
      </c>
      <c r="F36" s="203"/>
      <c r="G36" s="203"/>
      <c r="H36" s="203"/>
      <c r="I36" s="229"/>
      <c r="J36" s="203"/>
      <c r="K36" s="203"/>
      <c r="L36" s="203"/>
      <c r="M36" s="203"/>
      <c r="N36" s="203"/>
      <c r="O36" s="203"/>
      <c r="P36" s="203"/>
      <c r="Q36" s="203"/>
      <c r="R36" s="203"/>
      <c r="S36" s="203"/>
      <c r="T36" s="203"/>
      <c r="U36" s="203"/>
      <c r="V36" s="203"/>
      <c r="W36" s="203"/>
      <c r="X36" s="203"/>
      <c r="Y36" s="203"/>
      <c r="Z36" s="203"/>
    </row>
    <row r="37" ht="12.75" customHeight="1">
      <c r="A37" s="203"/>
      <c r="B37" s="213"/>
      <c r="C37" s="213"/>
      <c r="D37" s="213" t="s">
        <v>189</v>
      </c>
      <c r="E37" s="214">
        <f>+E36*0</f>
        <v>0</v>
      </c>
      <c r="F37" s="203"/>
      <c r="G37" s="203"/>
      <c r="H37" s="203"/>
      <c r="I37" s="229"/>
      <c r="J37" s="203"/>
      <c r="K37" s="203"/>
      <c r="L37" s="203"/>
      <c r="M37" s="203"/>
      <c r="N37" s="203"/>
      <c r="O37" s="203"/>
      <c r="P37" s="203"/>
      <c r="Q37" s="203"/>
      <c r="R37" s="203"/>
      <c r="S37" s="203"/>
      <c r="T37" s="203"/>
      <c r="U37" s="203"/>
      <c r="V37" s="203"/>
      <c r="W37" s="203"/>
      <c r="X37" s="203"/>
      <c r="Y37" s="203"/>
      <c r="Z37" s="203"/>
    </row>
    <row r="38" ht="12.75" customHeight="1">
      <c r="A38" s="203"/>
      <c r="B38" s="213"/>
      <c r="C38" s="213"/>
      <c r="D38" s="241" t="s">
        <v>227</v>
      </c>
      <c r="E38" s="242">
        <f>+E36+E37</f>
        <v>0</v>
      </c>
      <c r="F38" s="203"/>
      <c r="G38" s="203"/>
      <c r="H38" s="203"/>
      <c r="I38" s="229"/>
      <c r="J38" s="203"/>
      <c r="K38" s="203"/>
      <c r="L38" s="203"/>
      <c r="M38" s="203"/>
      <c r="N38" s="203"/>
      <c r="O38" s="203"/>
      <c r="P38" s="203"/>
      <c r="Q38" s="203"/>
      <c r="R38" s="203"/>
      <c r="S38" s="203"/>
      <c r="T38" s="203"/>
      <c r="U38" s="203"/>
      <c r="V38" s="203"/>
      <c r="W38" s="203"/>
      <c r="X38" s="203"/>
      <c r="Y38" s="203"/>
      <c r="Z38" s="203"/>
    </row>
    <row r="39" ht="12.75" customHeight="1">
      <c r="A39" s="203"/>
      <c r="B39" s="213"/>
      <c r="C39" s="213"/>
      <c r="D39" s="213"/>
      <c r="E39" s="214"/>
      <c r="F39" s="203"/>
      <c r="G39" s="203"/>
      <c r="H39" s="203"/>
      <c r="I39" s="229"/>
      <c r="J39" s="203"/>
      <c r="K39" s="203"/>
      <c r="L39" s="203"/>
      <c r="M39" s="203"/>
      <c r="N39" s="203"/>
      <c r="O39" s="203"/>
      <c r="P39" s="203"/>
      <c r="Q39" s="203"/>
      <c r="R39" s="203"/>
      <c r="S39" s="203"/>
      <c r="T39" s="203"/>
      <c r="U39" s="203"/>
      <c r="V39" s="203"/>
      <c r="W39" s="203"/>
      <c r="X39" s="203"/>
      <c r="Y39" s="203"/>
      <c r="Z39" s="203"/>
    </row>
    <row r="40" ht="12.75" customHeight="1">
      <c r="A40" s="203"/>
      <c r="B40" s="208"/>
      <c r="C40" s="208"/>
      <c r="D40" s="208"/>
      <c r="E40" s="243"/>
      <c r="F40" s="203"/>
      <c r="G40" s="203"/>
      <c r="H40" s="203"/>
      <c r="I40" s="229"/>
      <c r="J40" s="203"/>
      <c r="K40" s="203"/>
      <c r="L40" s="203"/>
      <c r="M40" s="203"/>
      <c r="N40" s="203"/>
      <c r="O40" s="203"/>
      <c r="P40" s="203"/>
      <c r="Q40" s="203"/>
      <c r="R40" s="203"/>
      <c r="S40" s="203"/>
      <c r="T40" s="203"/>
      <c r="U40" s="203"/>
      <c r="V40" s="203"/>
      <c r="W40" s="203"/>
      <c r="X40" s="203"/>
      <c r="Y40" s="203"/>
      <c r="Z40" s="203"/>
    </row>
    <row r="41" ht="12.75" customHeight="1">
      <c r="A41" s="203"/>
      <c r="B41" s="208"/>
      <c r="C41" s="208"/>
      <c r="D41" s="208"/>
      <c r="E41" s="243"/>
      <c r="F41" s="203"/>
      <c r="G41" s="203"/>
      <c r="H41" s="203"/>
      <c r="I41" s="229"/>
      <c r="J41" s="203"/>
      <c r="K41" s="203"/>
      <c r="L41" s="203"/>
      <c r="M41" s="203"/>
      <c r="N41" s="203"/>
      <c r="O41" s="203"/>
      <c r="P41" s="203"/>
      <c r="Q41" s="203"/>
      <c r="R41" s="203"/>
      <c r="S41" s="203"/>
      <c r="T41" s="203"/>
      <c r="U41" s="203"/>
      <c r="V41" s="203"/>
      <c r="W41" s="203"/>
      <c r="X41" s="203"/>
      <c r="Y41" s="203"/>
      <c r="Z41" s="203"/>
    </row>
    <row r="42" ht="12.75" customHeight="1">
      <c r="A42" s="203"/>
      <c r="B42" s="208"/>
      <c r="C42" s="208"/>
      <c r="D42" s="208"/>
      <c r="E42" s="243"/>
      <c r="F42" s="203"/>
      <c r="G42" s="203"/>
      <c r="H42" s="203"/>
      <c r="I42" s="229"/>
      <c r="J42" s="203"/>
      <c r="K42" s="203"/>
      <c r="L42" s="203"/>
      <c r="M42" s="203"/>
      <c r="N42" s="203"/>
      <c r="O42" s="203"/>
      <c r="P42" s="203"/>
      <c r="Q42" s="203"/>
      <c r="R42" s="203"/>
      <c r="S42" s="203"/>
      <c r="T42" s="203"/>
      <c r="U42" s="203"/>
      <c r="V42" s="203"/>
      <c r="W42" s="203"/>
      <c r="X42" s="203"/>
      <c r="Y42" s="203"/>
      <c r="Z42" s="203"/>
    </row>
    <row r="43" ht="12.75" customHeight="1">
      <c r="A43" s="203"/>
      <c r="B43" s="203"/>
      <c r="C43" s="203"/>
      <c r="D43" s="203"/>
      <c r="E43" s="203"/>
      <c r="F43" s="203"/>
      <c r="G43" s="203"/>
      <c r="H43" s="203"/>
      <c r="I43" s="203"/>
      <c r="J43" s="203"/>
      <c r="K43" s="203"/>
      <c r="L43" s="203"/>
      <c r="M43" s="203"/>
      <c r="N43" s="203"/>
      <c r="O43" s="203"/>
      <c r="P43" s="203"/>
      <c r="Q43" s="203"/>
      <c r="R43" s="203"/>
      <c r="S43" s="203"/>
      <c r="T43" s="203"/>
      <c r="U43" s="203"/>
      <c r="V43" s="203"/>
      <c r="W43" s="203"/>
      <c r="X43" s="203"/>
      <c r="Y43" s="203"/>
      <c r="Z43" s="203"/>
    </row>
    <row r="44" ht="12.75" customHeight="1">
      <c r="A44" s="203"/>
      <c r="B44" s="203"/>
      <c r="C44" s="203"/>
      <c r="D44" s="203"/>
      <c r="E44" s="203"/>
      <c r="F44" s="203"/>
      <c r="G44" s="203"/>
      <c r="H44" s="203"/>
      <c r="I44" s="203"/>
      <c r="J44" s="203"/>
      <c r="K44" s="203"/>
      <c r="L44" s="203"/>
      <c r="M44" s="203"/>
      <c r="N44" s="203"/>
      <c r="O44" s="203"/>
      <c r="P44" s="203"/>
      <c r="Q44" s="203"/>
      <c r="R44" s="203"/>
      <c r="S44" s="203"/>
      <c r="T44" s="203"/>
      <c r="U44" s="203"/>
      <c r="V44" s="203"/>
      <c r="W44" s="203"/>
      <c r="X44" s="203"/>
      <c r="Y44" s="203"/>
      <c r="Z44" s="203"/>
    </row>
    <row r="45" ht="12.75" customHeight="1">
      <c r="A45" s="203"/>
      <c r="B45" s="203"/>
      <c r="C45" s="203"/>
      <c r="D45" s="203"/>
      <c r="E45" s="203"/>
      <c r="F45" s="203"/>
      <c r="G45" s="203"/>
      <c r="H45" s="203"/>
      <c r="I45" s="203"/>
      <c r="J45" s="203"/>
      <c r="K45" s="203"/>
      <c r="L45" s="203"/>
      <c r="M45" s="203"/>
      <c r="N45" s="203"/>
      <c r="O45" s="203"/>
      <c r="P45" s="203"/>
      <c r="Q45" s="203"/>
      <c r="R45" s="203"/>
      <c r="S45" s="203"/>
      <c r="T45" s="203"/>
      <c r="U45" s="203"/>
      <c r="V45" s="203"/>
      <c r="W45" s="203"/>
      <c r="X45" s="203"/>
      <c r="Y45" s="203"/>
      <c r="Z45" s="203"/>
    </row>
    <row r="46" ht="12.75" customHeight="1">
      <c r="A46" s="203"/>
      <c r="B46" s="203"/>
      <c r="C46" s="203"/>
      <c r="D46" s="203"/>
      <c r="E46" s="203"/>
      <c r="F46" s="203"/>
      <c r="G46" s="203"/>
      <c r="H46" s="203"/>
      <c r="I46" s="203"/>
      <c r="J46" s="203"/>
      <c r="K46" s="203"/>
      <c r="L46" s="203"/>
      <c r="M46" s="203"/>
      <c r="N46" s="203"/>
      <c r="O46" s="203"/>
      <c r="P46" s="203"/>
      <c r="Q46" s="203"/>
      <c r="R46" s="203"/>
      <c r="S46" s="203"/>
      <c r="T46" s="203"/>
      <c r="U46" s="203"/>
      <c r="V46" s="203"/>
      <c r="W46" s="203"/>
      <c r="X46" s="203"/>
      <c r="Y46" s="203"/>
      <c r="Z46" s="203"/>
    </row>
    <row r="47" ht="12.75" customHeight="1">
      <c r="A47" s="203"/>
      <c r="B47" s="203"/>
      <c r="C47" s="203"/>
      <c r="D47" s="203"/>
      <c r="E47" s="203"/>
      <c r="F47" s="203"/>
      <c r="G47" s="203"/>
      <c r="H47" s="203"/>
      <c r="I47" s="203"/>
      <c r="J47" s="203"/>
      <c r="K47" s="203"/>
      <c r="L47" s="203"/>
      <c r="M47" s="203"/>
      <c r="N47" s="203"/>
      <c r="O47" s="203"/>
      <c r="P47" s="203"/>
      <c r="Q47" s="203"/>
      <c r="R47" s="203"/>
      <c r="S47" s="203"/>
      <c r="T47" s="203"/>
      <c r="U47" s="203"/>
      <c r="V47" s="203"/>
      <c r="W47" s="203"/>
      <c r="X47" s="203"/>
      <c r="Y47" s="203"/>
      <c r="Z47" s="203"/>
    </row>
    <row r="48" ht="12.75" customHeight="1">
      <c r="A48" s="203"/>
      <c r="B48" s="203"/>
      <c r="C48" s="203"/>
      <c r="D48" s="203"/>
      <c r="E48" s="203"/>
      <c r="F48" s="203"/>
      <c r="G48" s="203"/>
      <c r="H48" s="203"/>
      <c r="I48" s="203"/>
      <c r="J48" s="203"/>
      <c r="K48" s="203"/>
      <c r="L48" s="203"/>
      <c r="M48" s="203"/>
      <c r="N48" s="203"/>
      <c r="O48" s="203"/>
      <c r="P48" s="203"/>
      <c r="Q48" s="203"/>
      <c r="R48" s="203"/>
      <c r="S48" s="203"/>
      <c r="T48" s="203"/>
      <c r="U48" s="203"/>
      <c r="V48" s="203"/>
      <c r="W48" s="203"/>
      <c r="X48" s="203"/>
      <c r="Y48" s="203"/>
      <c r="Z48" s="203"/>
    </row>
    <row r="49" ht="12.75" customHeight="1">
      <c r="A49" s="203"/>
      <c r="B49" s="203"/>
      <c r="C49" s="203"/>
      <c r="D49" s="203"/>
      <c r="E49" s="203"/>
      <c r="F49" s="203"/>
      <c r="G49" s="203"/>
      <c r="H49" s="203"/>
      <c r="I49" s="203"/>
      <c r="J49" s="203"/>
      <c r="K49" s="203"/>
      <c r="L49" s="203"/>
      <c r="M49" s="203"/>
      <c r="N49" s="203"/>
      <c r="O49" s="203"/>
      <c r="P49" s="203"/>
      <c r="Q49" s="203"/>
      <c r="R49" s="203"/>
      <c r="S49" s="203"/>
      <c r="T49" s="203"/>
      <c r="U49" s="203"/>
      <c r="V49" s="203"/>
      <c r="W49" s="203"/>
      <c r="X49" s="203"/>
      <c r="Y49" s="203"/>
      <c r="Z49" s="203"/>
    </row>
    <row r="50" ht="12.75" customHeight="1">
      <c r="A50" s="203"/>
      <c r="B50" s="203"/>
      <c r="C50" s="203"/>
      <c r="D50" s="203"/>
      <c r="E50" s="203"/>
      <c r="F50" s="203"/>
      <c r="G50" s="203"/>
      <c r="H50" s="203"/>
      <c r="I50" s="203"/>
      <c r="J50" s="203"/>
      <c r="K50" s="203"/>
      <c r="L50" s="203"/>
      <c r="M50" s="203"/>
      <c r="N50" s="203"/>
      <c r="O50" s="203"/>
      <c r="P50" s="203"/>
      <c r="Q50" s="203"/>
      <c r="R50" s="203"/>
      <c r="S50" s="203"/>
      <c r="T50" s="203"/>
      <c r="U50" s="203"/>
      <c r="V50" s="203"/>
      <c r="W50" s="203"/>
      <c r="X50" s="203"/>
      <c r="Y50" s="203"/>
      <c r="Z50" s="203"/>
    </row>
    <row r="51" ht="12.75" customHeight="1">
      <c r="A51" s="203"/>
      <c r="B51" s="203"/>
      <c r="C51" s="203"/>
      <c r="D51" s="203"/>
      <c r="E51" s="203"/>
      <c r="F51" s="203"/>
      <c r="G51" s="203"/>
      <c r="H51" s="203"/>
      <c r="I51" s="203"/>
      <c r="J51" s="203"/>
      <c r="K51" s="203"/>
      <c r="L51" s="203"/>
      <c r="M51" s="203"/>
      <c r="N51" s="203"/>
      <c r="O51" s="203"/>
      <c r="P51" s="203"/>
      <c r="Q51" s="203"/>
      <c r="R51" s="203"/>
      <c r="S51" s="203"/>
      <c r="T51" s="203"/>
      <c r="U51" s="203"/>
      <c r="V51" s="203"/>
      <c r="W51" s="203"/>
      <c r="X51" s="203"/>
      <c r="Y51" s="203"/>
      <c r="Z51" s="203"/>
    </row>
    <row r="52" ht="12.75" customHeight="1">
      <c r="A52" s="203"/>
      <c r="B52" s="203"/>
      <c r="C52" s="203"/>
      <c r="D52" s="203"/>
      <c r="E52" s="203"/>
      <c r="F52" s="203"/>
      <c r="G52" s="203"/>
      <c r="H52" s="203"/>
      <c r="I52" s="203"/>
      <c r="J52" s="203"/>
      <c r="K52" s="203"/>
      <c r="L52" s="203"/>
      <c r="M52" s="203"/>
      <c r="N52" s="203"/>
      <c r="O52" s="203"/>
      <c r="P52" s="203"/>
      <c r="Q52" s="203"/>
      <c r="R52" s="203"/>
      <c r="S52" s="203"/>
      <c r="T52" s="203"/>
      <c r="U52" s="203"/>
      <c r="V52" s="203"/>
      <c r="W52" s="203"/>
      <c r="X52" s="203"/>
      <c r="Y52" s="203"/>
      <c r="Z52" s="203"/>
    </row>
    <row r="53" ht="12.75" customHeight="1">
      <c r="A53" s="203"/>
      <c r="B53" s="203"/>
      <c r="C53" s="203"/>
      <c r="D53" s="203"/>
      <c r="E53" s="203"/>
      <c r="F53" s="203"/>
      <c r="G53" s="203"/>
      <c r="H53" s="203"/>
      <c r="I53" s="203"/>
      <c r="J53" s="203"/>
      <c r="K53" s="203"/>
      <c r="L53" s="203"/>
      <c r="M53" s="203"/>
      <c r="N53" s="203"/>
      <c r="O53" s="203"/>
      <c r="P53" s="203"/>
      <c r="Q53" s="203"/>
      <c r="R53" s="203"/>
      <c r="S53" s="203"/>
      <c r="T53" s="203"/>
      <c r="U53" s="203"/>
      <c r="V53" s="203"/>
      <c r="W53" s="203"/>
      <c r="X53" s="203"/>
      <c r="Y53" s="203"/>
      <c r="Z53" s="203"/>
    </row>
    <row r="54" ht="12.75" customHeight="1">
      <c r="A54" s="203"/>
      <c r="B54" s="203"/>
      <c r="C54" s="203"/>
      <c r="D54" s="203"/>
      <c r="E54" s="203"/>
      <c r="F54" s="203"/>
      <c r="G54" s="203"/>
      <c r="H54" s="203"/>
      <c r="I54" s="203"/>
      <c r="J54" s="203"/>
      <c r="K54" s="203"/>
      <c r="L54" s="203"/>
      <c r="M54" s="203"/>
      <c r="N54" s="203"/>
      <c r="O54" s="203"/>
      <c r="P54" s="203"/>
      <c r="Q54" s="203"/>
      <c r="R54" s="203"/>
      <c r="S54" s="203"/>
      <c r="T54" s="203"/>
      <c r="U54" s="203"/>
      <c r="V54" s="203"/>
      <c r="W54" s="203"/>
      <c r="X54" s="203"/>
      <c r="Y54" s="203"/>
      <c r="Z54" s="203"/>
    </row>
    <row r="55" ht="12.75" customHeight="1">
      <c r="A55" s="203"/>
      <c r="B55" s="203"/>
      <c r="C55" s="203"/>
      <c r="D55" s="203"/>
      <c r="E55" s="203"/>
      <c r="F55" s="203"/>
      <c r="G55" s="203"/>
      <c r="H55" s="203"/>
      <c r="I55" s="203"/>
      <c r="J55" s="203"/>
      <c r="K55" s="203"/>
      <c r="L55" s="203"/>
      <c r="M55" s="203"/>
      <c r="N55" s="203"/>
      <c r="O55" s="203"/>
      <c r="P55" s="203"/>
      <c r="Q55" s="203"/>
      <c r="R55" s="203"/>
      <c r="S55" s="203"/>
      <c r="T55" s="203"/>
      <c r="U55" s="203"/>
      <c r="V55" s="203"/>
      <c r="W55" s="203"/>
      <c r="X55" s="203"/>
      <c r="Y55" s="203"/>
      <c r="Z55" s="203"/>
    </row>
    <row r="56" ht="12.75" customHeight="1">
      <c r="A56" s="203"/>
      <c r="B56" s="203"/>
      <c r="C56" s="203"/>
      <c r="D56" s="203"/>
      <c r="E56" s="203"/>
      <c r="F56" s="203"/>
      <c r="G56" s="203"/>
      <c r="H56" s="203"/>
      <c r="I56" s="203"/>
      <c r="J56" s="203"/>
      <c r="K56" s="203"/>
      <c r="L56" s="203"/>
      <c r="M56" s="203"/>
      <c r="N56" s="203"/>
      <c r="O56" s="203"/>
      <c r="P56" s="203"/>
      <c r="Q56" s="203"/>
      <c r="R56" s="203"/>
      <c r="S56" s="203"/>
      <c r="T56" s="203"/>
      <c r="U56" s="203"/>
      <c r="V56" s="203"/>
      <c r="W56" s="203"/>
      <c r="X56" s="203"/>
      <c r="Y56" s="203"/>
      <c r="Z56" s="203"/>
    </row>
    <row r="57" ht="12.75" customHeight="1">
      <c r="A57" s="203"/>
      <c r="B57" s="203"/>
      <c r="C57" s="203"/>
      <c r="D57" s="203"/>
      <c r="E57" s="203"/>
      <c r="F57" s="203"/>
      <c r="G57" s="203"/>
      <c r="H57" s="203"/>
      <c r="I57" s="203"/>
      <c r="J57" s="203"/>
      <c r="K57" s="203"/>
      <c r="L57" s="203"/>
      <c r="M57" s="203"/>
      <c r="N57" s="203"/>
      <c r="O57" s="203"/>
      <c r="P57" s="203"/>
      <c r="Q57" s="203"/>
      <c r="R57" s="203"/>
      <c r="S57" s="203"/>
      <c r="T57" s="203"/>
      <c r="U57" s="203"/>
      <c r="V57" s="203"/>
      <c r="W57" s="203"/>
      <c r="X57" s="203"/>
      <c r="Y57" s="203"/>
      <c r="Z57" s="203"/>
    </row>
    <row r="58" ht="12.75" customHeight="1">
      <c r="A58" s="203"/>
      <c r="B58" s="203"/>
      <c r="C58" s="203"/>
      <c r="D58" s="203"/>
      <c r="E58" s="203"/>
      <c r="F58" s="203"/>
      <c r="G58" s="203"/>
      <c r="H58" s="203"/>
      <c r="I58" s="203"/>
      <c r="J58" s="203"/>
      <c r="K58" s="203"/>
      <c r="L58" s="203"/>
      <c r="M58" s="203"/>
      <c r="N58" s="203"/>
      <c r="O58" s="203"/>
      <c r="P58" s="203"/>
      <c r="Q58" s="203"/>
      <c r="R58" s="203"/>
      <c r="S58" s="203"/>
      <c r="T58" s="203"/>
      <c r="U58" s="203"/>
      <c r="V58" s="203"/>
      <c r="W58" s="203"/>
      <c r="X58" s="203"/>
      <c r="Y58" s="203"/>
      <c r="Z58" s="203"/>
    </row>
    <row r="59" ht="12.75" customHeight="1">
      <c r="A59" s="203"/>
      <c r="B59" s="203"/>
      <c r="C59" s="203"/>
      <c r="D59" s="203"/>
      <c r="E59" s="203"/>
      <c r="F59" s="203"/>
      <c r="G59" s="203"/>
      <c r="H59" s="203"/>
      <c r="I59" s="203"/>
      <c r="J59" s="203"/>
      <c r="K59" s="203"/>
      <c r="L59" s="203"/>
      <c r="M59" s="203"/>
      <c r="N59" s="203"/>
      <c r="O59" s="203"/>
      <c r="P59" s="203"/>
      <c r="Q59" s="203"/>
      <c r="R59" s="203"/>
      <c r="S59" s="203"/>
      <c r="T59" s="203"/>
      <c r="U59" s="203"/>
      <c r="V59" s="203"/>
      <c r="W59" s="203"/>
      <c r="X59" s="203"/>
      <c r="Y59" s="203"/>
      <c r="Z59" s="203"/>
    </row>
    <row r="60" ht="12.75" customHeight="1">
      <c r="A60" s="203"/>
      <c r="B60" s="203"/>
      <c r="C60" s="203"/>
      <c r="D60" s="203"/>
      <c r="E60" s="203"/>
      <c r="F60" s="203"/>
      <c r="G60" s="203"/>
      <c r="H60" s="203"/>
      <c r="I60" s="203"/>
      <c r="J60" s="203"/>
      <c r="K60" s="203"/>
      <c r="L60" s="203"/>
      <c r="M60" s="203"/>
      <c r="N60" s="203"/>
      <c r="O60" s="203"/>
      <c r="P60" s="203"/>
      <c r="Q60" s="203"/>
      <c r="R60" s="203"/>
      <c r="S60" s="203"/>
      <c r="T60" s="203"/>
      <c r="U60" s="203"/>
      <c r="V60" s="203"/>
      <c r="W60" s="203"/>
      <c r="X60" s="203"/>
      <c r="Y60" s="203"/>
      <c r="Z60" s="203"/>
    </row>
    <row r="61" ht="12.75" customHeight="1">
      <c r="A61" s="203"/>
      <c r="B61" s="203"/>
      <c r="C61" s="203"/>
      <c r="D61" s="203"/>
      <c r="E61" s="203"/>
      <c r="F61" s="203"/>
      <c r="G61" s="203"/>
      <c r="H61" s="203"/>
      <c r="I61" s="203"/>
      <c r="J61" s="203"/>
      <c r="K61" s="203"/>
      <c r="L61" s="203"/>
      <c r="M61" s="203"/>
      <c r="N61" s="203"/>
      <c r="O61" s="203"/>
      <c r="P61" s="203"/>
      <c r="Q61" s="203"/>
      <c r="R61" s="203"/>
      <c r="S61" s="203"/>
      <c r="T61" s="203"/>
      <c r="U61" s="203"/>
      <c r="V61" s="203"/>
      <c r="W61" s="203"/>
      <c r="X61" s="203"/>
      <c r="Y61" s="203"/>
      <c r="Z61" s="203"/>
    </row>
    <row r="62" ht="12.75" customHeight="1">
      <c r="A62" s="203"/>
      <c r="B62" s="203"/>
      <c r="C62" s="203"/>
      <c r="D62" s="203"/>
      <c r="E62" s="203"/>
      <c r="F62" s="203"/>
      <c r="G62" s="203"/>
      <c r="H62" s="203"/>
      <c r="I62" s="203"/>
      <c r="J62" s="203"/>
      <c r="K62" s="203"/>
      <c r="L62" s="203"/>
      <c r="M62" s="203"/>
      <c r="N62" s="203"/>
      <c r="O62" s="203"/>
      <c r="P62" s="203"/>
      <c r="Q62" s="203"/>
      <c r="R62" s="203"/>
      <c r="S62" s="203"/>
      <c r="T62" s="203"/>
      <c r="U62" s="203"/>
      <c r="V62" s="203"/>
      <c r="W62" s="203"/>
      <c r="X62" s="203"/>
      <c r="Y62" s="203"/>
      <c r="Z62" s="203"/>
    </row>
    <row r="63" ht="12.75" customHeight="1">
      <c r="A63" s="203"/>
      <c r="B63" s="203"/>
      <c r="C63" s="203"/>
      <c r="D63" s="203"/>
      <c r="E63" s="203"/>
      <c r="F63" s="203"/>
      <c r="G63" s="203"/>
      <c r="H63" s="203"/>
      <c r="I63" s="203"/>
      <c r="J63" s="203"/>
      <c r="K63" s="203"/>
      <c r="L63" s="203"/>
      <c r="M63" s="203"/>
      <c r="N63" s="203"/>
      <c r="O63" s="203"/>
      <c r="P63" s="203"/>
      <c r="Q63" s="203"/>
      <c r="R63" s="203"/>
      <c r="S63" s="203"/>
      <c r="T63" s="203"/>
      <c r="U63" s="203"/>
      <c r="V63" s="203"/>
      <c r="W63" s="203"/>
      <c r="X63" s="203"/>
      <c r="Y63" s="203"/>
      <c r="Z63" s="203"/>
    </row>
    <row r="64" ht="12.75" customHeight="1">
      <c r="A64" s="203"/>
      <c r="B64" s="203"/>
      <c r="C64" s="203"/>
      <c r="D64" s="203"/>
      <c r="E64" s="203"/>
      <c r="F64" s="203"/>
      <c r="G64" s="203"/>
      <c r="H64" s="203"/>
      <c r="I64" s="203"/>
      <c r="J64" s="203"/>
      <c r="K64" s="203"/>
      <c r="L64" s="203"/>
      <c r="M64" s="203"/>
      <c r="N64" s="203"/>
      <c r="O64" s="203"/>
      <c r="P64" s="203"/>
      <c r="Q64" s="203"/>
      <c r="R64" s="203"/>
      <c r="S64" s="203"/>
      <c r="T64" s="203"/>
      <c r="U64" s="203"/>
      <c r="V64" s="203"/>
      <c r="W64" s="203"/>
      <c r="X64" s="203"/>
      <c r="Y64" s="203"/>
      <c r="Z64" s="203"/>
    </row>
    <row r="65" ht="12.75" customHeight="1">
      <c r="A65" s="203"/>
      <c r="B65" s="203"/>
      <c r="C65" s="203"/>
      <c r="D65" s="203"/>
      <c r="E65" s="203"/>
      <c r="F65" s="203"/>
      <c r="G65" s="203"/>
      <c r="H65" s="203"/>
      <c r="I65" s="203"/>
      <c r="J65" s="203"/>
      <c r="K65" s="203"/>
      <c r="L65" s="203"/>
      <c r="M65" s="203"/>
      <c r="N65" s="203"/>
      <c r="O65" s="203"/>
      <c r="P65" s="203"/>
      <c r="Q65" s="203"/>
      <c r="R65" s="203"/>
      <c r="S65" s="203"/>
      <c r="T65" s="203"/>
      <c r="U65" s="203"/>
      <c r="V65" s="203"/>
      <c r="W65" s="203"/>
      <c r="X65" s="203"/>
      <c r="Y65" s="203"/>
      <c r="Z65" s="203"/>
    </row>
    <row r="66" ht="12.75" customHeight="1">
      <c r="A66" s="203"/>
      <c r="B66" s="203"/>
      <c r="C66" s="203"/>
      <c r="D66" s="203"/>
      <c r="E66" s="203"/>
      <c r="F66" s="203"/>
      <c r="G66" s="203"/>
      <c r="H66" s="203"/>
      <c r="I66" s="203"/>
      <c r="J66" s="203"/>
      <c r="K66" s="203"/>
      <c r="L66" s="203"/>
      <c r="M66" s="203"/>
      <c r="N66" s="203"/>
      <c r="O66" s="203"/>
      <c r="P66" s="203"/>
      <c r="Q66" s="203"/>
      <c r="R66" s="203"/>
      <c r="S66" s="203"/>
      <c r="T66" s="203"/>
      <c r="U66" s="203"/>
      <c r="V66" s="203"/>
      <c r="W66" s="203"/>
      <c r="X66" s="203"/>
      <c r="Y66" s="203"/>
      <c r="Z66" s="203"/>
    </row>
    <row r="67" ht="12.75" customHeight="1">
      <c r="A67" s="203"/>
      <c r="B67" s="203"/>
      <c r="C67" s="203"/>
      <c r="D67" s="203"/>
      <c r="E67" s="203"/>
      <c r="F67" s="203"/>
      <c r="G67" s="203"/>
      <c r="H67" s="203"/>
      <c r="I67" s="203"/>
      <c r="J67" s="203"/>
      <c r="K67" s="203"/>
      <c r="L67" s="203"/>
      <c r="M67" s="203"/>
      <c r="N67" s="203"/>
      <c r="O67" s="203"/>
      <c r="P67" s="203"/>
      <c r="Q67" s="203"/>
      <c r="R67" s="203"/>
      <c r="S67" s="203"/>
      <c r="T67" s="203"/>
      <c r="U67" s="203"/>
      <c r="V67" s="203"/>
      <c r="W67" s="203"/>
      <c r="X67" s="203"/>
      <c r="Y67" s="203"/>
      <c r="Z67" s="203"/>
    </row>
    <row r="68" ht="12.75" customHeight="1">
      <c r="A68" s="203"/>
      <c r="B68" s="203"/>
      <c r="C68" s="203"/>
      <c r="D68" s="203"/>
      <c r="E68" s="203"/>
      <c r="F68" s="203"/>
      <c r="G68" s="203"/>
      <c r="H68" s="203"/>
      <c r="I68" s="203"/>
      <c r="J68" s="203"/>
      <c r="K68" s="203"/>
      <c r="L68" s="203"/>
      <c r="M68" s="203"/>
      <c r="N68" s="203"/>
      <c r="O68" s="203"/>
      <c r="P68" s="203"/>
      <c r="Q68" s="203"/>
      <c r="R68" s="203"/>
      <c r="S68" s="203"/>
      <c r="T68" s="203"/>
      <c r="U68" s="203"/>
      <c r="V68" s="203"/>
      <c r="W68" s="203"/>
      <c r="X68" s="203"/>
      <c r="Y68" s="203"/>
      <c r="Z68" s="203"/>
    </row>
    <row r="69" ht="12.75" customHeight="1">
      <c r="A69" s="203"/>
      <c r="B69" s="203"/>
      <c r="C69" s="203"/>
      <c r="D69" s="203"/>
      <c r="E69" s="203"/>
      <c r="F69" s="203"/>
      <c r="G69" s="203"/>
      <c r="H69" s="203"/>
      <c r="I69" s="203"/>
      <c r="J69" s="203"/>
      <c r="K69" s="203"/>
      <c r="L69" s="203"/>
      <c r="M69" s="203"/>
      <c r="N69" s="203"/>
      <c r="O69" s="203"/>
      <c r="P69" s="203"/>
      <c r="Q69" s="203"/>
      <c r="R69" s="203"/>
      <c r="S69" s="203"/>
      <c r="T69" s="203"/>
      <c r="U69" s="203"/>
      <c r="V69" s="203"/>
      <c r="W69" s="203"/>
      <c r="X69" s="203"/>
      <c r="Y69" s="203"/>
      <c r="Z69" s="203"/>
    </row>
    <row r="70" ht="12.75" customHeight="1">
      <c r="A70" s="203"/>
      <c r="B70" s="203"/>
      <c r="C70" s="203"/>
      <c r="D70" s="203"/>
      <c r="E70" s="203"/>
      <c r="F70" s="203"/>
      <c r="G70" s="203"/>
      <c r="H70" s="203"/>
      <c r="I70" s="203"/>
      <c r="J70" s="203"/>
      <c r="K70" s="203"/>
      <c r="L70" s="203"/>
      <c r="M70" s="203"/>
      <c r="N70" s="203"/>
      <c r="O70" s="203"/>
      <c r="P70" s="203"/>
      <c r="Q70" s="203"/>
      <c r="R70" s="203"/>
      <c r="S70" s="203"/>
      <c r="T70" s="203"/>
      <c r="U70" s="203"/>
      <c r="V70" s="203"/>
      <c r="W70" s="203"/>
      <c r="X70" s="203"/>
      <c r="Y70" s="203"/>
      <c r="Z70" s="203"/>
    </row>
    <row r="71" ht="12.75" customHeight="1">
      <c r="A71" s="203"/>
      <c r="B71" s="203"/>
      <c r="C71" s="203"/>
      <c r="D71" s="203"/>
      <c r="E71" s="203"/>
      <c r="F71" s="203"/>
      <c r="G71" s="203"/>
      <c r="H71" s="203"/>
      <c r="I71" s="203"/>
      <c r="J71" s="203"/>
      <c r="K71" s="203"/>
      <c r="L71" s="203"/>
      <c r="M71" s="203"/>
      <c r="N71" s="203"/>
      <c r="O71" s="203"/>
      <c r="P71" s="203"/>
      <c r="Q71" s="203"/>
      <c r="R71" s="203"/>
      <c r="S71" s="203"/>
      <c r="T71" s="203"/>
      <c r="U71" s="203"/>
      <c r="V71" s="203"/>
      <c r="W71" s="203"/>
      <c r="X71" s="203"/>
      <c r="Y71" s="203"/>
      <c r="Z71" s="203"/>
    </row>
    <row r="72" ht="12.75" customHeight="1">
      <c r="A72" s="203"/>
      <c r="B72" s="203"/>
      <c r="C72" s="203"/>
      <c r="D72" s="203"/>
      <c r="E72" s="203"/>
      <c r="F72" s="203"/>
      <c r="G72" s="203"/>
      <c r="H72" s="203"/>
      <c r="I72" s="203"/>
      <c r="J72" s="203"/>
      <c r="K72" s="203"/>
      <c r="L72" s="203"/>
      <c r="M72" s="203"/>
      <c r="N72" s="203"/>
      <c r="O72" s="203"/>
      <c r="P72" s="203"/>
      <c r="Q72" s="203"/>
      <c r="R72" s="203"/>
      <c r="S72" s="203"/>
      <c r="T72" s="203"/>
      <c r="U72" s="203"/>
      <c r="V72" s="203"/>
      <c r="W72" s="203"/>
      <c r="X72" s="203"/>
      <c r="Y72" s="203"/>
      <c r="Z72" s="203"/>
    </row>
    <row r="73" ht="12.75" customHeight="1">
      <c r="A73" s="203"/>
      <c r="B73" s="203"/>
      <c r="C73" s="203"/>
      <c r="D73" s="203"/>
      <c r="E73" s="203"/>
      <c r="F73" s="203"/>
      <c r="G73" s="203"/>
      <c r="H73" s="203"/>
      <c r="I73" s="203"/>
      <c r="J73" s="203"/>
      <c r="K73" s="203"/>
      <c r="L73" s="203"/>
      <c r="M73" s="203"/>
      <c r="N73" s="203"/>
      <c r="O73" s="203"/>
      <c r="P73" s="203"/>
      <c r="Q73" s="203"/>
      <c r="R73" s="203"/>
      <c r="S73" s="203"/>
      <c r="T73" s="203"/>
      <c r="U73" s="203"/>
      <c r="V73" s="203"/>
      <c r="W73" s="203"/>
      <c r="X73" s="203"/>
      <c r="Y73" s="203"/>
      <c r="Z73" s="203"/>
    </row>
    <row r="74" ht="12.75" customHeight="1">
      <c r="A74" s="203"/>
      <c r="B74" s="203"/>
      <c r="C74" s="203"/>
      <c r="D74" s="203"/>
      <c r="E74" s="203"/>
      <c r="F74" s="203"/>
      <c r="G74" s="203"/>
      <c r="H74" s="203"/>
      <c r="I74" s="203"/>
      <c r="J74" s="203"/>
      <c r="K74" s="203"/>
      <c r="L74" s="203"/>
      <c r="M74" s="203"/>
      <c r="N74" s="203"/>
      <c r="O74" s="203"/>
      <c r="P74" s="203"/>
      <c r="Q74" s="203"/>
      <c r="R74" s="203"/>
      <c r="S74" s="203"/>
      <c r="T74" s="203"/>
      <c r="U74" s="203"/>
      <c r="V74" s="203"/>
      <c r="W74" s="203"/>
      <c r="X74" s="203"/>
      <c r="Y74" s="203"/>
      <c r="Z74" s="203"/>
    </row>
    <row r="75" ht="12.75" customHeight="1">
      <c r="A75" s="203"/>
      <c r="B75" s="203"/>
      <c r="C75" s="203"/>
      <c r="D75" s="203"/>
      <c r="E75" s="203"/>
      <c r="F75" s="203"/>
      <c r="G75" s="203"/>
      <c r="H75" s="203"/>
      <c r="I75" s="203"/>
      <c r="J75" s="203"/>
      <c r="K75" s="203"/>
      <c r="L75" s="203"/>
      <c r="M75" s="203"/>
      <c r="N75" s="203"/>
      <c r="O75" s="203"/>
      <c r="P75" s="203"/>
      <c r="Q75" s="203"/>
      <c r="R75" s="203"/>
      <c r="S75" s="203"/>
      <c r="T75" s="203"/>
      <c r="U75" s="203"/>
      <c r="V75" s="203"/>
      <c r="W75" s="203"/>
      <c r="X75" s="203"/>
      <c r="Y75" s="203"/>
      <c r="Z75" s="203"/>
    </row>
    <row r="76" ht="12.75" customHeight="1">
      <c r="A76" s="203"/>
      <c r="B76" s="203"/>
      <c r="C76" s="203"/>
      <c r="D76" s="203"/>
      <c r="E76" s="203"/>
      <c r="F76" s="203"/>
      <c r="G76" s="203"/>
      <c r="H76" s="203"/>
      <c r="I76" s="203"/>
      <c r="J76" s="203"/>
      <c r="K76" s="203"/>
      <c r="L76" s="203"/>
      <c r="M76" s="203"/>
      <c r="N76" s="203"/>
      <c r="O76" s="203"/>
      <c r="P76" s="203"/>
      <c r="Q76" s="203"/>
      <c r="R76" s="203"/>
      <c r="S76" s="203"/>
      <c r="T76" s="203"/>
      <c r="U76" s="203"/>
      <c r="V76" s="203"/>
      <c r="W76" s="203"/>
      <c r="X76" s="203"/>
      <c r="Y76" s="203"/>
      <c r="Z76" s="203"/>
    </row>
    <row r="77" ht="12.75" customHeight="1">
      <c r="A77" s="203"/>
      <c r="B77" s="203"/>
      <c r="C77" s="203"/>
      <c r="D77" s="203"/>
      <c r="E77" s="203"/>
      <c r="F77" s="203"/>
      <c r="G77" s="203"/>
      <c r="H77" s="203"/>
      <c r="I77" s="203"/>
      <c r="J77" s="203"/>
      <c r="K77" s="203"/>
      <c r="L77" s="203"/>
      <c r="M77" s="203"/>
      <c r="N77" s="203"/>
      <c r="O77" s="203"/>
      <c r="P77" s="203"/>
      <c r="Q77" s="203"/>
      <c r="R77" s="203"/>
      <c r="S77" s="203"/>
      <c r="T77" s="203"/>
      <c r="U77" s="203"/>
      <c r="V77" s="203"/>
      <c r="W77" s="203"/>
      <c r="X77" s="203"/>
      <c r="Y77" s="203"/>
      <c r="Z77" s="203"/>
    </row>
    <row r="78" ht="12.75" customHeight="1">
      <c r="A78" s="203"/>
      <c r="B78" s="203"/>
      <c r="C78" s="203"/>
      <c r="D78" s="203"/>
      <c r="E78" s="203"/>
      <c r="F78" s="203"/>
      <c r="G78" s="203"/>
      <c r="H78" s="203"/>
      <c r="I78" s="203"/>
      <c r="J78" s="203"/>
      <c r="K78" s="203"/>
      <c r="L78" s="203"/>
      <c r="M78" s="203"/>
      <c r="N78" s="203"/>
      <c r="O78" s="203"/>
      <c r="P78" s="203"/>
      <c r="Q78" s="203"/>
      <c r="R78" s="203"/>
      <c r="S78" s="203"/>
      <c r="T78" s="203"/>
      <c r="U78" s="203"/>
      <c r="V78" s="203"/>
      <c r="W78" s="203"/>
      <c r="X78" s="203"/>
      <c r="Y78" s="203"/>
      <c r="Z78" s="203"/>
    </row>
    <row r="79" ht="12.75" customHeight="1">
      <c r="A79" s="203"/>
      <c r="B79" s="203"/>
      <c r="C79" s="203"/>
      <c r="D79" s="203"/>
      <c r="E79" s="203"/>
      <c r="F79" s="203"/>
      <c r="G79" s="203"/>
      <c r="H79" s="203"/>
      <c r="I79" s="203"/>
      <c r="J79" s="203"/>
      <c r="K79" s="203"/>
      <c r="L79" s="203"/>
      <c r="M79" s="203"/>
      <c r="N79" s="203"/>
      <c r="O79" s="203"/>
      <c r="P79" s="203"/>
      <c r="Q79" s="203"/>
      <c r="R79" s="203"/>
      <c r="S79" s="203"/>
      <c r="T79" s="203"/>
      <c r="U79" s="203"/>
      <c r="V79" s="203"/>
      <c r="W79" s="203"/>
      <c r="X79" s="203"/>
      <c r="Y79" s="203"/>
      <c r="Z79" s="203"/>
    </row>
    <row r="80" ht="12.75" customHeight="1">
      <c r="A80" s="203"/>
      <c r="B80" s="203"/>
      <c r="C80" s="203"/>
      <c r="D80" s="203"/>
      <c r="E80" s="203"/>
      <c r="F80" s="203"/>
      <c r="G80" s="203"/>
      <c r="H80" s="203"/>
      <c r="I80" s="203"/>
      <c r="J80" s="203"/>
      <c r="K80" s="203"/>
      <c r="L80" s="203"/>
      <c r="M80" s="203"/>
      <c r="N80" s="203"/>
      <c r="O80" s="203"/>
      <c r="P80" s="203"/>
      <c r="Q80" s="203"/>
      <c r="R80" s="203"/>
      <c r="S80" s="203"/>
      <c r="T80" s="203"/>
      <c r="U80" s="203"/>
      <c r="V80" s="203"/>
      <c r="W80" s="203"/>
      <c r="X80" s="203"/>
      <c r="Y80" s="203"/>
      <c r="Z80" s="203"/>
    </row>
    <row r="81" ht="12.75" customHeight="1">
      <c r="A81" s="203"/>
      <c r="B81" s="203"/>
      <c r="C81" s="203"/>
      <c r="D81" s="203"/>
      <c r="E81" s="203"/>
      <c r="F81" s="203"/>
      <c r="G81" s="203"/>
      <c r="H81" s="203"/>
      <c r="I81" s="203"/>
      <c r="J81" s="203"/>
      <c r="K81" s="203"/>
      <c r="L81" s="203"/>
      <c r="M81" s="203"/>
      <c r="N81" s="203"/>
      <c r="O81" s="203"/>
      <c r="P81" s="203"/>
      <c r="Q81" s="203"/>
      <c r="R81" s="203"/>
      <c r="S81" s="203"/>
      <c r="T81" s="203"/>
      <c r="U81" s="203"/>
      <c r="V81" s="203"/>
      <c r="W81" s="203"/>
      <c r="X81" s="203"/>
      <c r="Y81" s="203"/>
      <c r="Z81" s="203"/>
    </row>
    <row r="82" ht="12.75" customHeight="1">
      <c r="A82" s="203"/>
      <c r="B82" s="203"/>
      <c r="C82" s="203"/>
      <c r="D82" s="203"/>
      <c r="E82" s="203"/>
      <c r="F82" s="203"/>
      <c r="G82" s="203"/>
      <c r="H82" s="203"/>
      <c r="I82" s="203"/>
      <c r="J82" s="203"/>
      <c r="K82" s="203"/>
      <c r="L82" s="203"/>
      <c r="M82" s="203"/>
      <c r="N82" s="203"/>
      <c r="O82" s="203"/>
      <c r="P82" s="203"/>
      <c r="Q82" s="203"/>
      <c r="R82" s="203"/>
      <c r="S82" s="203"/>
      <c r="T82" s="203"/>
      <c r="U82" s="203"/>
      <c r="V82" s="203"/>
      <c r="W82" s="203"/>
      <c r="X82" s="203"/>
      <c r="Y82" s="203"/>
      <c r="Z82" s="203"/>
    </row>
    <row r="83" ht="12.75" customHeight="1">
      <c r="A83" s="203"/>
      <c r="B83" s="203"/>
      <c r="C83" s="203"/>
      <c r="D83" s="203"/>
      <c r="E83" s="203"/>
      <c r="F83" s="203"/>
      <c r="G83" s="203"/>
      <c r="H83" s="203"/>
      <c r="I83" s="203"/>
      <c r="J83" s="203"/>
      <c r="K83" s="203"/>
      <c r="L83" s="203"/>
      <c r="M83" s="203"/>
      <c r="N83" s="203"/>
      <c r="O83" s="203"/>
      <c r="P83" s="203"/>
      <c r="Q83" s="203"/>
      <c r="R83" s="203"/>
      <c r="S83" s="203"/>
      <c r="T83" s="203"/>
      <c r="U83" s="203"/>
      <c r="V83" s="203"/>
      <c r="W83" s="203"/>
      <c r="X83" s="203"/>
      <c r="Y83" s="203"/>
      <c r="Z83" s="203"/>
    </row>
    <row r="84" ht="12.75" customHeight="1">
      <c r="A84" s="203"/>
      <c r="B84" s="203"/>
      <c r="C84" s="203"/>
      <c r="D84" s="203"/>
      <c r="E84" s="203"/>
      <c r="F84" s="203"/>
      <c r="G84" s="203"/>
      <c r="H84" s="203"/>
      <c r="I84" s="203"/>
      <c r="J84" s="203"/>
      <c r="K84" s="203"/>
      <c r="L84" s="203"/>
      <c r="M84" s="203"/>
      <c r="N84" s="203"/>
      <c r="O84" s="203"/>
      <c r="P84" s="203"/>
      <c r="Q84" s="203"/>
      <c r="R84" s="203"/>
      <c r="S84" s="203"/>
      <c r="T84" s="203"/>
      <c r="U84" s="203"/>
      <c r="V84" s="203"/>
      <c r="W84" s="203"/>
      <c r="X84" s="203"/>
      <c r="Y84" s="203"/>
      <c r="Z84" s="203"/>
    </row>
    <row r="85" ht="12.75" customHeight="1">
      <c r="A85" s="203"/>
      <c r="B85" s="203"/>
      <c r="C85" s="203"/>
      <c r="D85" s="203"/>
      <c r="E85" s="203"/>
      <c r="F85" s="203"/>
      <c r="G85" s="203"/>
      <c r="H85" s="203"/>
      <c r="I85" s="203"/>
      <c r="J85" s="203"/>
      <c r="K85" s="203"/>
      <c r="L85" s="203"/>
      <c r="M85" s="203"/>
      <c r="N85" s="203"/>
      <c r="O85" s="203"/>
      <c r="P85" s="203"/>
      <c r="Q85" s="203"/>
      <c r="R85" s="203"/>
      <c r="S85" s="203"/>
      <c r="T85" s="203"/>
      <c r="U85" s="203"/>
      <c r="V85" s="203"/>
      <c r="W85" s="203"/>
      <c r="X85" s="203"/>
      <c r="Y85" s="203"/>
      <c r="Z85" s="203"/>
    </row>
    <row r="86" ht="12.75" customHeight="1">
      <c r="A86" s="203"/>
      <c r="B86" s="203"/>
      <c r="C86" s="203"/>
      <c r="D86" s="203"/>
      <c r="E86" s="203"/>
      <c r="F86" s="203"/>
      <c r="G86" s="203"/>
      <c r="H86" s="203"/>
      <c r="I86" s="203"/>
      <c r="J86" s="203"/>
      <c r="K86" s="203"/>
      <c r="L86" s="203"/>
      <c r="M86" s="203"/>
      <c r="N86" s="203"/>
      <c r="O86" s="203"/>
      <c r="P86" s="203"/>
      <c r="Q86" s="203"/>
      <c r="R86" s="203"/>
      <c r="S86" s="203"/>
      <c r="T86" s="203"/>
      <c r="U86" s="203"/>
      <c r="V86" s="203"/>
      <c r="W86" s="203"/>
      <c r="X86" s="203"/>
      <c r="Y86" s="203"/>
      <c r="Z86" s="203"/>
    </row>
    <row r="87" ht="12.75" customHeight="1">
      <c r="A87" s="203"/>
      <c r="B87" s="203"/>
      <c r="C87" s="203"/>
      <c r="D87" s="203"/>
      <c r="E87" s="203"/>
      <c r="F87" s="203"/>
      <c r="G87" s="203"/>
      <c r="H87" s="203"/>
      <c r="I87" s="203"/>
      <c r="J87" s="203"/>
      <c r="K87" s="203"/>
      <c r="L87" s="203"/>
      <c r="M87" s="203"/>
      <c r="N87" s="203"/>
      <c r="O87" s="203"/>
      <c r="P87" s="203"/>
      <c r="Q87" s="203"/>
      <c r="R87" s="203"/>
      <c r="S87" s="203"/>
      <c r="T87" s="203"/>
      <c r="U87" s="203"/>
      <c r="V87" s="203"/>
      <c r="W87" s="203"/>
      <c r="X87" s="203"/>
      <c r="Y87" s="203"/>
      <c r="Z87" s="203"/>
    </row>
    <row r="88" ht="12.75" customHeight="1">
      <c r="A88" s="203"/>
      <c r="B88" s="203"/>
      <c r="C88" s="203"/>
      <c r="D88" s="203"/>
      <c r="E88" s="203"/>
      <c r="F88" s="203"/>
      <c r="G88" s="203"/>
      <c r="H88" s="203"/>
      <c r="I88" s="203"/>
      <c r="J88" s="203"/>
      <c r="K88" s="203"/>
      <c r="L88" s="203"/>
      <c r="M88" s="203"/>
      <c r="N88" s="203"/>
      <c r="O88" s="203"/>
      <c r="P88" s="203"/>
      <c r="Q88" s="203"/>
      <c r="R88" s="203"/>
      <c r="S88" s="203"/>
      <c r="T88" s="203"/>
      <c r="U88" s="203"/>
      <c r="V88" s="203"/>
      <c r="W88" s="203"/>
      <c r="X88" s="203"/>
      <c r="Y88" s="203"/>
      <c r="Z88" s="203"/>
    </row>
    <row r="89" ht="12.75" customHeight="1">
      <c r="A89" s="203"/>
      <c r="B89" s="203"/>
      <c r="C89" s="203"/>
      <c r="D89" s="203"/>
      <c r="E89" s="203"/>
      <c r="F89" s="203"/>
      <c r="G89" s="203"/>
      <c r="H89" s="203"/>
      <c r="I89" s="203"/>
      <c r="J89" s="203"/>
      <c r="K89" s="203"/>
      <c r="L89" s="203"/>
      <c r="M89" s="203"/>
      <c r="N89" s="203"/>
      <c r="O89" s="203"/>
      <c r="P89" s="203"/>
      <c r="Q89" s="203"/>
      <c r="R89" s="203"/>
      <c r="S89" s="203"/>
      <c r="T89" s="203"/>
      <c r="U89" s="203"/>
      <c r="V89" s="203"/>
      <c r="W89" s="203"/>
      <c r="X89" s="203"/>
      <c r="Y89" s="203"/>
      <c r="Z89" s="203"/>
    </row>
    <row r="90" ht="12.75" customHeight="1">
      <c r="A90" s="203"/>
      <c r="B90" s="203"/>
      <c r="C90" s="203"/>
      <c r="D90" s="203"/>
      <c r="E90" s="203"/>
      <c r="F90" s="203"/>
      <c r="G90" s="203"/>
      <c r="H90" s="203"/>
      <c r="I90" s="203"/>
      <c r="J90" s="203"/>
      <c r="K90" s="203"/>
      <c r="L90" s="203"/>
      <c r="M90" s="203"/>
      <c r="N90" s="203"/>
      <c r="O90" s="203"/>
      <c r="P90" s="203"/>
      <c r="Q90" s="203"/>
      <c r="R90" s="203"/>
      <c r="S90" s="203"/>
      <c r="T90" s="203"/>
      <c r="U90" s="203"/>
      <c r="V90" s="203"/>
      <c r="W90" s="203"/>
      <c r="X90" s="203"/>
      <c r="Y90" s="203"/>
      <c r="Z90" s="203"/>
    </row>
    <row r="91" ht="12.75" customHeight="1">
      <c r="A91" s="203"/>
      <c r="B91" s="203"/>
      <c r="C91" s="203"/>
      <c r="D91" s="203"/>
      <c r="E91" s="203"/>
      <c r="F91" s="203"/>
      <c r="G91" s="203"/>
      <c r="H91" s="203"/>
      <c r="I91" s="203"/>
      <c r="J91" s="203"/>
      <c r="K91" s="203"/>
      <c r="L91" s="203"/>
      <c r="M91" s="203"/>
      <c r="N91" s="203"/>
      <c r="O91" s="203"/>
      <c r="P91" s="203"/>
      <c r="Q91" s="203"/>
      <c r="R91" s="203"/>
      <c r="S91" s="203"/>
      <c r="T91" s="203"/>
      <c r="U91" s="203"/>
      <c r="V91" s="203"/>
      <c r="W91" s="203"/>
      <c r="X91" s="203"/>
      <c r="Y91" s="203"/>
      <c r="Z91" s="203"/>
    </row>
    <row r="92" ht="12.75" customHeight="1">
      <c r="A92" s="203"/>
      <c r="B92" s="203"/>
      <c r="C92" s="203"/>
      <c r="D92" s="203"/>
      <c r="E92" s="203"/>
      <c r="F92" s="203"/>
      <c r="G92" s="203"/>
      <c r="H92" s="203"/>
      <c r="I92" s="203"/>
      <c r="J92" s="203"/>
      <c r="K92" s="203"/>
      <c r="L92" s="203"/>
      <c r="M92" s="203"/>
      <c r="N92" s="203"/>
      <c r="O92" s="203"/>
      <c r="P92" s="203"/>
      <c r="Q92" s="203"/>
      <c r="R92" s="203"/>
      <c r="S92" s="203"/>
      <c r="T92" s="203"/>
      <c r="U92" s="203"/>
      <c r="V92" s="203"/>
      <c r="W92" s="203"/>
      <c r="X92" s="203"/>
      <c r="Y92" s="203"/>
      <c r="Z92" s="203"/>
    </row>
    <row r="93" ht="12.75" customHeight="1">
      <c r="A93" s="203"/>
      <c r="B93" s="203"/>
      <c r="C93" s="203"/>
      <c r="D93" s="203"/>
      <c r="E93" s="203"/>
      <c r="F93" s="203"/>
      <c r="G93" s="203"/>
      <c r="H93" s="203"/>
      <c r="I93" s="203"/>
      <c r="J93" s="203"/>
      <c r="K93" s="203"/>
      <c r="L93" s="203"/>
      <c r="M93" s="203"/>
      <c r="N93" s="203"/>
      <c r="O93" s="203"/>
      <c r="P93" s="203"/>
      <c r="Q93" s="203"/>
      <c r="R93" s="203"/>
      <c r="S93" s="203"/>
      <c r="T93" s="203"/>
      <c r="U93" s="203"/>
      <c r="V93" s="203"/>
      <c r="W93" s="203"/>
      <c r="X93" s="203"/>
      <c r="Y93" s="203"/>
      <c r="Z93" s="203"/>
    </row>
    <row r="94" ht="12.75" customHeight="1">
      <c r="A94" s="203"/>
      <c r="B94" s="203"/>
      <c r="C94" s="203"/>
      <c r="D94" s="203"/>
      <c r="E94" s="203"/>
      <c r="F94" s="203"/>
      <c r="G94" s="203"/>
      <c r="H94" s="203"/>
      <c r="I94" s="203"/>
      <c r="J94" s="203"/>
      <c r="K94" s="203"/>
      <c r="L94" s="203"/>
      <c r="M94" s="203"/>
      <c r="N94" s="203"/>
      <c r="O94" s="203"/>
      <c r="P94" s="203"/>
      <c r="Q94" s="203"/>
      <c r="R94" s="203"/>
      <c r="S94" s="203"/>
      <c r="T94" s="203"/>
      <c r="U94" s="203"/>
      <c r="V94" s="203"/>
      <c r="W94" s="203"/>
      <c r="X94" s="203"/>
      <c r="Y94" s="203"/>
      <c r="Z94" s="203"/>
    </row>
    <row r="95" ht="12.75" customHeight="1">
      <c r="A95" s="203"/>
      <c r="B95" s="203"/>
      <c r="C95" s="203"/>
      <c r="D95" s="203"/>
      <c r="E95" s="203"/>
      <c r="F95" s="203"/>
      <c r="G95" s="203"/>
      <c r="H95" s="203"/>
      <c r="I95" s="203"/>
      <c r="J95" s="203"/>
      <c r="K95" s="203"/>
      <c r="L95" s="203"/>
      <c r="M95" s="203"/>
      <c r="N95" s="203"/>
      <c r="O95" s="203"/>
      <c r="P95" s="203"/>
      <c r="Q95" s="203"/>
      <c r="R95" s="203"/>
      <c r="S95" s="203"/>
      <c r="T95" s="203"/>
      <c r="U95" s="203"/>
      <c r="V95" s="203"/>
      <c r="W95" s="203"/>
      <c r="X95" s="203"/>
      <c r="Y95" s="203"/>
      <c r="Z95" s="203"/>
    </row>
    <row r="96" ht="12.75" customHeight="1">
      <c r="A96" s="203"/>
      <c r="B96" s="203"/>
      <c r="C96" s="203"/>
      <c r="D96" s="203"/>
      <c r="E96" s="203"/>
      <c r="F96" s="203"/>
      <c r="G96" s="203"/>
      <c r="H96" s="203"/>
      <c r="I96" s="203"/>
      <c r="J96" s="203"/>
      <c r="K96" s="203"/>
      <c r="L96" s="203"/>
      <c r="M96" s="203"/>
      <c r="N96" s="203"/>
      <c r="O96" s="203"/>
      <c r="P96" s="203"/>
      <c r="Q96" s="203"/>
      <c r="R96" s="203"/>
      <c r="S96" s="203"/>
      <c r="T96" s="203"/>
      <c r="U96" s="203"/>
      <c r="V96" s="203"/>
      <c r="W96" s="203"/>
      <c r="X96" s="203"/>
      <c r="Y96" s="203"/>
      <c r="Z96" s="203"/>
    </row>
    <row r="97" ht="12.75" customHeight="1">
      <c r="A97" s="203"/>
      <c r="B97" s="203"/>
      <c r="C97" s="203"/>
      <c r="D97" s="203"/>
      <c r="E97" s="203"/>
      <c r="F97" s="203"/>
      <c r="G97" s="203"/>
      <c r="H97" s="203"/>
      <c r="I97" s="203"/>
      <c r="J97" s="203"/>
      <c r="K97" s="203"/>
      <c r="L97" s="203"/>
      <c r="M97" s="203"/>
      <c r="N97" s="203"/>
      <c r="O97" s="203"/>
      <c r="P97" s="203"/>
      <c r="Q97" s="203"/>
      <c r="R97" s="203"/>
      <c r="S97" s="203"/>
      <c r="T97" s="203"/>
      <c r="U97" s="203"/>
      <c r="V97" s="203"/>
      <c r="W97" s="203"/>
      <c r="X97" s="203"/>
      <c r="Y97" s="203"/>
      <c r="Z97" s="203"/>
    </row>
    <row r="98" ht="12.75" customHeight="1">
      <c r="A98" s="203"/>
      <c r="B98" s="203"/>
      <c r="C98" s="203"/>
      <c r="D98" s="203"/>
      <c r="E98" s="203"/>
      <c r="F98" s="203"/>
      <c r="G98" s="203"/>
      <c r="H98" s="203"/>
      <c r="I98" s="203"/>
      <c r="J98" s="203"/>
      <c r="K98" s="203"/>
      <c r="L98" s="203"/>
      <c r="M98" s="203"/>
      <c r="N98" s="203"/>
      <c r="O98" s="203"/>
      <c r="P98" s="203"/>
      <c r="Q98" s="203"/>
      <c r="R98" s="203"/>
      <c r="S98" s="203"/>
      <c r="T98" s="203"/>
      <c r="U98" s="203"/>
      <c r="V98" s="203"/>
      <c r="W98" s="203"/>
      <c r="X98" s="203"/>
      <c r="Y98" s="203"/>
      <c r="Z98" s="203"/>
    </row>
    <row r="99" ht="12.75" customHeight="1">
      <c r="A99" s="203"/>
      <c r="B99" s="203"/>
      <c r="C99" s="203"/>
      <c r="D99" s="203"/>
      <c r="E99" s="203"/>
      <c r="F99" s="203"/>
      <c r="G99" s="203"/>
      <c r="H99" s="203"/>
      <c r="I99" s="203"/>
      <c r="J99" s="203"/>
      <c r="K99" s="203"/>
      <c r="L99" s="203"/>
      <c r="M99" s="203"/>
      <c r="N99" s="203"/>
      <c r="O99" s="203"/>
      <c r="P99" s="203"/>
      <c r="Q99" s="203"/>
      <c r="R99" s="203"/>
      <c r="S99" s="203"/>
      <c r="T99" s="203"/>
      <c r="U99" s="203"/>
      <c r="V99" s="203"/>
      <c r="W99" s="203"/>
      <c r="X99" s="203"/>
      <c r="Y99" s="203"/>
      <c r="Z99" s="203"/>
    </row>
    <row r="100" ht="12.75" customHeight="1">
      <c r="A100" s="203"/>
      <c r="B100" s="203"/>
      <c r="C100" s="203"/>
      <c r="D100" s="203"/>
      <c r="E100" s="203"/>
      <c r="F100" s="203"/>
      <c r="G100" s="203"/>
      <c r="H100" s="203"/>
      <c r="I100" s="203"/>
      <c r="J100" s="203"/>
      <c r="K100" s="203"/>
      <c r="L100" s="203"/>
      <c r="M100" s="203"/>
      <c r="N100" s="203"/>
      <c r="O100" s="203"/>
      <c r="P100" s="203"/>
      <c r="Q100" s="203"/>
      <c r="R100" s="203"/>
      <c r="S100" s="203"/>
      <c r="T100" s="203"/>
      <c r="U100" s="203"/>
      <c r="V100" s="203"/>
      <c r="W100" s="203"/>
      <c r="X100" s="203"/>
      <c r="Y100" s="203"/>
      <c r="Z100" s="203"/>
    </row>
    <row r="101" ht="12.75" customHeight="1">
      <c r="A101" s="203"/>
      <c r="B101" s="203"/>
      <c r="C101" s="203"/>
      <c r="D101" s="203"/>
      <c r="E101" s="203"/>
      <c r="F101" s="203"/>
      <c r="G101" s="203"/>
      <c r="H101" s="203"/>
      <c r="I101" s="203"/>
      <c r="J101" s="203"/>
      <c r="K101" s="203"/>
      <c r="L101" s="203"/>
      <c r="M101" s="203"/>
      <c r="N101" s="203"/>
      <c r="O101" s="203"/>
      <c r="P101" s="203"/>
      <c r="Q101" s="203"/>
      <c r="R101" s="203"/>
      <c r="S101" s="203"/>
      <c r="T101" s="203"/>
      <c r="U101" s="203"/>
      <c r="V101" s="203"/>
      <c r="W101" s="203"/>
      <c r="X101" s="203"/>
      <c r="Y101" s="203"/>
      <c r="Z101" s="203"/>
    </row>
    <row r="102" ht="12.75" customHeight="1">
      <c r="A102" s="203"/>
      <c r="B102" s="203"/>
      <c r="C102" s="203"/>
      <c r="D102" s="203"/>
      <c r="E102" s="203"/>
      <c r="F102" s="203"/>
      <c r="G102" s="203"/>
      <c r="H102" s="203"/>
      <c r="I102" s="203"/>
      <c r="J102" s="203"/>
      <c r="K102" s="203"/>
      <c r="L102" s="203"/>
      <c r="M102" s="203"/>
      <c r="N102" s="203"/>
      <c r="O102" s="203"/>
      <c r="P102" s="203"/>
      <c r="Q102" s="203"/>
      <c r="R102" s="203"/>
      <c r="S102" s="203"/>
      <c r="T102" s="203"/>
      <c r="U102" s="203"/>
      <c r="V102" s="203"/>
      <c r="W102" s="203"/>
      <c r="X102" s="203"/>
      <c r="Y102" s="203"/>
      <c r="Z102" s="203"/>
    </row>
    <row r="103" ht="12.75" customHeight="1">
      <c r="A103" s="203"/>
      <c r="B103" s="203"/>
      <c r="C103" s="203"/>
      <c r="D103" s="203"/>
      <c r="E103" s="203"/>
      <c r="F103" s="203"/>
      <c r="G103" s="203"/>
      <c r="H103" s="203"/>
      <c r="I103" s="203"/>
      <c r="J103" s="203"/>
      <c r="K103" s="203"/>
      <c r="L103" s="203"/>
      <c r="M103" s="203"/>
      <c r="N103" s="203"/>
      <c r="O103" s="203"/>
      <c r="P103" s="203"/>
      <c r="Q103" s="203"/>
      <c r="R103" s="203"/>
      <c r="S103" s="203"/>
      <c r="T103" s="203"/>
      <c r="U103" s="203"/>
      <c r="V103" s="203"/>
      <c r="W103" s="203"/>
      <c r="X103" s="203"/>
      <c r="Y103" s="203"/>
      <c r="Z103" s="203"/>
    </row>
    <row r="104" ht="12.75" customHeight="1">
      <c r="A104" s="203"/>
      <c r="B104" s="203"/>
      <c r="C104" s="203"/>
      <c r="D104" s="203"/>
      <c r="E104" s="203"/>
      <c r="F104" s="203"/>
      <c r="G104" s="203"/>
      <c r="H104" s="203"/>
      <c r="I104" s="203"/>
      <c r="J104" s="203"/>
      <c r="K104" s="203"/>
      <c r="L104" s="203"/>
      <c r="M104" s="203"/>
      <c r="N104" s="203"/>
      <c r="O104" s="203"/>
      <c r="P104" s="203"/>
      <c r="Q104" s="203"/>
      <c r="R104" s="203"/>
      <c r="S104" s="203"/>
      <c r="T104" s="203"/>
      <c r="U104" s="203"/>
      <c r="V104" s="203"/>
      <c r="W104" s="203"/>
      <c r="X104" s="203"/>
      <c r="Y104" s="203"/>
      <c r="Z104" s="203"/>
    </row>
    <row r="105" ht="12.75" customHeight="1">
      <c r="A105" s="203"/>
      <c r="B105" s="203"/>
      <c r="C105" s="203"/>
      <c r="D105" s="203"/>
      <c r="E105" s="203"/>
      <c r="F105" s="203"/>
      <c r="G105" s="203"/>
      <c r="H105" s="203"/>
      <c r="I105" s="203"/>
      <c r="J105" s="203"/>
      <c r="K105" s="203"/>
      <c r="L105" s="203"/>
      <c r="M105" s="203"/>
      <c r="N105" s="203"/>
      <c r="O105" s="203"/>
      <c r="P105" s="203"/>
      <c r="Q105" s="203"/>
      <c r="R105" s="203"/>
      <c r="S105" s="203"/>
      <c r="T105" s="203"/>
      <c r="U105" s="203"/>
      <c r="V105" s="203"/>
      <c r="W105" s="203"/>
      <c r="X105" s="203"/>
      <c r="Y105" s="203"/>
      <c r="Z105" s="203"/>
    </row>
    <row r="106" ht="12.75" customHeight="1">
      <c r="A106" s="203"/>
      <c r="B106" s="203"/>
      <c r="C106" s="203"/>
      <c r="D106" s="203"/>
      <c r="E106" s="203"/>
      <c r="F106" s="203"/>
      <c r="G106" s="203"/>
      <c r="H106" s="203"/>
      <c r="I106" s="203"/>
      <c r="J106" s="203"/>
      <c r="K106" s="203"/>
      <c r="L106" s="203"/>
      <c r="M106" s="203"/>
      <c r="N106" s="203"/>
      <c r="O106" s="203"/>
      <c r="P106" s="203"/>
      <c r="Q106" s="203"/>
      <c r="R106" s="203"/>
      <c r="S106" s="203"/>
      <c r="T106" s="203"/>
      <c r="U106" s="203"/>
      <c r="V106" s="203"/>
      <c r="W106" s="203"/>
      <c r="X106" s="203"/>
      <c r="Y106" s="203"/>
      <c r="Z106" s="203"/>
    </row>
    <row r="107" ht="12.75" customHeight="1">
      <c r="A107" s="203"/>
      <c r="B107" s="203"/>
      <c r="C107" s="203"/>
      <c r="D107" s="203"/>
      <c r="E107" s="203"/>
      <c r="F107" s="203"/>
      <c r="G107" s="203"/>
      <c r="H107" s="203"/>
      <c r="I107" s="203"/>
      <c r="J107" s="203"/>
      <c r="K107" s="203"/>
      <c r="L107" s="203"/>
      <c r="M107" s="203"/>
      <c r="N107" s="203"/>
      <c r="O107" s="203"/>
      <c r="P107" s="203"/>
      <c r="Q107" s="203"/>
      <c r="R107" s="203"/>
      <c r="S107" s="203"/>
      <c r="T107" s="203"/>
      <c r="U107" s="203"/>
      <c r="V107" s="203"/>
      <c r="W107" s="203"/>
      <c r="X107" s="203"/>
      <c r="Y107" s="203"/>
      <c r="Z107" s="203"/>
    </row>
    <row r="108" ht="12.75" customHeight="1">
      <c r="A108" s="203"/>
      <c r="B108" s="203"/>
      <c r="C108" s="203"/>
      <c r="D108" s="203"/>
      <c r="E108" s="203"/>
      <c r="F108" s="203"/>
      <c r="G108" s="203"/>
      <c r="H108" s="203"/>
      <c r="I108" s="203"/>
      <c r="J108" s="203"/>
      <c r="K108" s="203"/>
      <c r="L108" s="203"/>
      <c r="M108" s="203"/>
      <c r="N108" s="203"/>
      <c r="O108" s="203"/>
      <c r="P108" s="203"/>
      <c r="Q108" s="203"/>
      <c r="R108" s="203"/>
      <c r="S108" s="203"/>
      <c r="T108" s="203"/>
      <c r="U108" s="203"/>
      <c r="V108" s="203"/>
      <c r="W108" s="203"/>
      <c r="X108" s="203"/>
      <c r="Y108" s="203"/>
      <c r="Z108" s="203"/>
    </row>
    <row r="109" ht="12.75" customHeight="1">
      <c r="A109" s="203"/>
      <c r="B109" s="203"/>
      <c r="C109" s="203"/>
      <c r="D109" s="203"/>
      <c r="E109" s="203"/>
      <c r="F109" s="203"/>
      <c r="G109" s="203"/>
      <c r="H109" s="203"/>
      <c r="I109" s="203"/>
      <c r="J109" s="203"/>
      <c r="K109" s="203"/>
      <c r="L109" s="203"/>
      <c r="M109" s="203"/>
      <c r="N109" s="203"/>
      <c r="O109" s="203"/>
      <c r="P109" s="203"/>
      <c r="Q109" s="203"/>
      <c r="R109" s="203"/>
      <c r="S109" s="203"/>
      <c r="T109" s="203"/>
      <c r="U109" s="203"/>
      <c r="V109" s="203"/>
      <c r="W109" s="203"/>
      <c r="X109" s="203"/>
      <c r="Y109" s="203"/>
      <c r="Z109" s="203"/>
    </row>
    <row r="110" ht="12.75" customHeight="1">
      <c r="A110" s="203"/>
      <c r="B110" s="203"/>
      <c r="C110" s="203"/>
      <c r="D110" s="203"/>
      <c r="E110" s="203"/>
      <c r="F110" s="203"/>
      <c r="G110" s="203"/>
      <c r="H110" s="203"/>
      <c r="I110" s="203"/>
      <c r="J110" s="203"/>
      <c r="K110" s="203"/>
      <c r="L110" s="203"/>
      <c r="M110" s="203"/>
      <c r="N110" s="203"/>
      <c r="O110" s="203"/>
      <c r="P110" s="203"/>
      <c r="Q110" s="203"/>
      <c r="R110" s="203"/>
      <c r="S110" s="203"/>
      <c r="T110" s="203"/>
      <c r="U110" s="203"/>
      <c r="V110" s="203"/>
      <c r="W110" s="203"/>
      <c r="X110" s="203"/>
      <c r="Y110" s="203"/>
      <c r="Z110" s="203"/>
    </row>
    <row r="111" ht="12.75" customHeight="1">
      <c r="A111" s="203"/>
      <c r="B111" s="203"/>
      <c r="C111" s="203"/>
      <c r="D111" s="203"/>
      <c r="E111" s="203"/>
      <c r="F111" s="203"/>
      <c r="G111" s="203"/>
      <c r="H111" s="203"/>
      <c r="I111" s="203"/>
      <c r="J111" s="203"/>
      <c r="K111" s="203"/>
      <c r="L111" s="203"/>
      <c r="M111" s="203"/>
      <c r="N111" s="203"/>
      <c r="O111" s="203"/>
      <c r="P111" s="203"/>
      <c r="Q111" s="203"/>
      <c r="R111" s="203"/>
      <c r="S111" s="203"/>
      <c r="T111" s="203"/>
      <c r="U111" s="203"/>
      <c r="V111" s="203"/>
      <c r="W111" s="203"/>
      <c r="X111" s="203"/>
      <c r="Y111" s="203"/>
      <c r="Z111" s="203"/>
    </row>
    <row r="112" ht="12.75" customHeight="1">
      <c r="A112" s="203"/>
      <c r="B112" s="203"/>
      <c r="C112" s="203"/>
      <c r="D112" s="203"/>
      <c r="E112" s="203"/>
      <c r="F112" s="203"/>
      <c r="G112" s="203"/>
      <c r="H112" s="203"/>
      <c r="I112" s="203"/>
      <c r="J112" s="203"/>
      <c r="K112" s="203"/>
      <c r="L112" s="203"/>
      <c r="M112" s="203"/>
      <c r="N112" s="203"/>
      <c r="O112" s="203"/>
      <c r="P112" s="203"/>
      <c r="Q112" s="203"/>
      <c r="R112" s="203"/>
      <c r="S112" s="203"/>
      <c r="T112" s="203"/>
      <c r="U112" s="203"/>
      <c r="V112" s="203"/>
      <c r="W112" s="203"/>
      <c r="X112" s="203"/>
      <c r="Y112" s="203"/>
      <c r="Z112" s="203"/>
    </row>
    <row r="113" ht="12.75" customHeight="1">
      <c r="A113" s="203"/>
      <c r="B113" s="203"/>
      <c r="C113" s="203"/>
      <c r="D113" s="203"/>
      <c r="E113" s="203"/>
      <c r="F113" s="203"/>
      <c r="G113" s="203"/>
      <c r="H113" s="203"/>
      <c r="I113" s="203"/>
      <c r="J113" s="203"/>
      <c r="K113" s="203"/>
      <c r="L113" s="203"/>
      <c r="M113" s="203"/>
      <c r="N113" s="203"/>
      <c r="O113" s="203"/>
      <c r="P113" s="203"/>
      <c r="Q113" s="203"/>
      <c r="R113" s="203"/>
      <c r="S113" s="203"/>
      <c r="T113" s="203"/>
      <c r="U113" s="203"/>
      <c r="V113" s="203"/>
      <c r="W113" s="203"/>
      <c r="X113" s="203"/>
      <c r="Y113" s="203"/>
      <c r="Z113" s="203"/>
    </row>
    <row r="114" ht="12.75" customHeight="1">
      <c r="A114" s="203"/>
      <c r="B114" s="203"/>
      <c r="C114" s="203"/>
      <c r="D114" s="203"/>
      <c r="E114" s="203"/>
      <c r="F114" s="203"/>
      <c r="G114" s="203"/>
      <c r="H114" s="203"/>
      <c r="I114" s="203"/>
      <c r="J114" s="203"/>
      <c r="K114" s="203"/>
      <c r="L114" s="203"/>
      <c r="M114" s="203"/>
      <c r="N114" s="203"/>
      <c r="O114" s="203"/>
      <c r="P114" s="203"/>
      <c r="Q114" s="203"/>
      <c r="R114" s="203"/>
      <c r="S114" s="203"/>
      <c r="T114" s="203"/>
      <c r="U114" s="203"/>
      <c r="V114" s="203"/>
      <c r="W114" s="203"/>
      <c r="X114" s="203"/>
      <c r="Y114" s="203"/>
      <c r="Z114" s="203"/>
    </row>
    <row r="115" ht="12.75" customHeight="1">
      <c r="A115" s="203"/>
      <c r="B115" s="203"/>
      <c r="C115" s="203"/>
      <c r="D115" s="203"/>
      <c r="E115" s="203"/>
      <c r="F115" s="203"/>
      <c r="G115" s="203"/>
      <c r="H115" s="203"/>
      <c r="I115" s="203"/>
      <c r="J115" s="203"/>
      <c r="K115" s="203"/>
      <c r="L115" s="203"/>
      <c r="M115" s="203"/>
      <c r="N115" s="203"/>
      <c r="O115" s="203"/>
      <c r="P115" s="203"/>
      <c r="Q115" s="203"/>
      <c r="R115" s="203"/>
      <c r="S115" s="203"/>
      <c r="T115" s="203"/>
      <c r="U115" s="203"/>
      <c r="V115" s="203"/>
      <c r="W115" s="203"/>
      <c r="X115" s="203"/>
      <c r="Y115" s="203"/>
      <c r="Z115" s="203"/>
    </row>
    <row r="116" ht="12.75" customHeight="1">
      <c r="A116" s="203"/>
      <c r="B116" s="203"/>
      <c r="C116" s="203"/>
      <c r="D116" s="203"/>
      <c r="E116" s="203"/>
      <c r="F116" s="203"/>
      <c r="G116" s="203"/>
      <c r="H116" s="203"/>
      <c r="I116" s="203"/>
      <c r="J116" s="203"/>
      <c r="K116" s="203"/>
      <c r="L116" s="203"/>
      <c r="M116" s="203"/>
      <c r="N116" s="203"/>
      <c r="O116" s="203"/>
      <c r="P116" s="203"/>
      <c r="Q116" s="203"/>
      <c r="R116" s="203"/>
      <c r="S116" s="203"/>
      <c r="T116" s="203"/>
      <c r="U116" s="203"/>
      <c r="V116" s="203"/>
      <c r="W116" s="203"/>
      <c r="X116" s="203"/>
      <c r="Y116" s="203"/>
      <c r="Z116" s="203"/>
    </row>
    <row r="117" ht="12.75" customHeight="1">
      <c r="A117" s="203"/>
      <c r="B117" s="203"/>
      <c r="C117" s="203"/>
      <c r="D117" s="203"/>
      <c r="E117" s="203"/>
      <c r="F117" s="203"/>
      <c r="G117" s="203"/>
      <c r="H117" s="203"/>
      <c r="I117" s="203"/>
      <c r="J117" s="203"/>
      <c r="K117" s="203"/>
      <c r="L117" s="203"/>
      <c r="M117" s="203"/>
      <c r="N117" s="203"/>
      <c r="O117" s="203"/>
      <c r="P117" s="203"/>
      <c r="Q117" s="203"/>
      <c r="R117" s="203"/>
      <c r="S117" s="203"/>
      <c r="T117" s="203"/>
      <c r="U117" s="203"/>
      <c r="V117" s="203"/>
      <c r="W117" s="203"/>
      <c r="X117" s="203"/>
      <c r="Y117" s="203"/>
      <c r="Z117" s="203"/>
    </row>
    <row r="118" ht="12.75" customHeight="1">
      <c r="A118" s="203"/>
      <c r="B118" s="203"/>
      <c r="C118" s="203"/>
      <c r="D118" s="203"/>
      <c r="E118" s="203"/>
      <c r="F118" s="203"/>
      <c r="G118" s="203"/>
      <c r="H118" s="203"/>
      <c r="I118" s="203"/>
      <c r="J118" s="203"/>
      <c r="K118" s="203"/>
      <c r="L118" s="203"/>
      <c r="M118" s="203"/>
      <c r="N118" s="203"/>
      <c r="O118" s="203"/>
      <c r="P118" s="203"/>
      <c r="Q118" s="203"/>
      <c r="R118" s="203"/>
      <c r="S118" s="203"/>
      <c r="T118" s="203"/>
      <c r="U118" s="203"/>
      <c r="V118" s="203"/>
      <c r="W118" s="203"/>
      <c r="X118" s="203"/>
      <c r="Y118" s="203"/>
      <c r="Z118" s="203"/>
    </row>
    <row r="119" ht="12.75" customHeight="1">
      <c r="A119" s="203"/>
      <c r="B119" s="203"/>
      <c r="C119" s="203"/>
      <c r="D119" s="203"/>
      <c r="E119" s="203"/>
      <c r="F119" s="203"/>
      <c r="G119" s="203"/>
      <c r="H119" s="203"/>
      <c r="I119" s="203"/>
      <c r="J119" s="203"/>
      <c r="K119" s="203"/>
      <c r="L119" s="203"/>
      <c r="M119" s="203"/>
      <c r="N119" s="203"/>
      <c r="O119" s="203"/>
      <c r="P119" s="203"/>
      <c r="Q119" s="203"/>
      <c r="R119" s="203"/>
      <c r="S119" s="203"/>
      <c r="T119" s="203"/>
      <c r="U119" s="203"/>
      <c r="V119" s="203"/>
      <c r="W119" s="203"/>
      <c r="X119" s="203"/>
      <c r="Y119" s="203"/>
      <c r="Z119" s="203"/>
    </row>
    <row r="120" ht="12.75" customHeight="1">
      <c r="A120" s="203"/>
      <c r="B120" s="203"/>
      <c r="C120" s="203"/>
      <c r="D120" s="203"/>
      <c r="E120" s="203"/>
      <c r="F120" s="203"/>
      <c r="G120" s="203"/>
      <c r="H120" s="203"/>
      <c r="I120" s="203"/>
      <c r="J120" s="203"/>
      <c r="K120" s="203"/>
      <c r="L120" s="203"/>
      <c r="M120" s="203"/>
      <c r="N120" s="203"/>
      <c r="O120" s="203"/>
      <c r="P120" s="203"/>
      <c r="Q120" s="203"/>
      <c r="R120" s="203"/>
      <c r="S120" s="203"/>
      <c r="T120" s="203"/>
      <c r="U120" s="203"/>
      <c r="V120" s="203"/>
      <c r="W120" s="203"/>
      <c r="X120" s="203"/>
      <c r="Y120" s="203"/>
      <c r="Z120" s="203"/>
    </row>
    <row r="121" ht="12.75" customHeight="1">
      <c r="A121" s="203"/>
      <c r="B121" s="203"/>
      <c r="C121" s="203"/>
      <c r="D121" s="203"/>
      <c r="E121" s="203"/>
      <c r="F121" s="203"/>
      <c r="G121" s="203"/>
      <c r="H121" s="203"/>
      <c r="I121" s="203"/>
      <c r="J121" s="203"/>
      <c r="K121" s="203"/>
      <c r="L121" s="203"/>
      <c r="M121" s="203"/>
      <c r="N121" s="203"/>
      <c r="O121" s="203"/>
      <c r="P121" s="203"/>
      <c r="Q121" s="203"/>
      <c r="R121" s="203"/>
      <c r="S121" s="203"/>
      <c r="T121" s="203"/>
      <c r="U121" s="203"/>
      <c r="V121" s="203"/>
      <c r="W121" s="203"/>
      <c r="X121" s="203"/>
      <c r="Y121" s="203"/>
      <c r="Z121" s="203"/>
    </row>
    <row r="122" ht="12.75" customHeight="1">
      <c r="A122" s="203"/>
      <c r="B122" s="203"/>
      <c r="C122" s="203"/>
      <c r="D122" s="203"/>
      <c r="E122" s="203"/>
      <c r="F122" s="203"/>
      <c r="G122" s="203"/>
      <c r="H122" s="203"/>
      <c r="I122" s="203"/>
      <c r="J122" s="203"/>
      <c r="K122" s="203"/>
      <c r="L122" s="203"/>
      <c r="M122" s="203"/>
      <c r="N122" s="203"/>
      <c r="O122" s="203"/>
      <c r="P122" s="203"/>
      <c r="Q122" s="203"/>
      <c r="R122" s="203"/>
      <c r="S122" s="203"/>
      <c r="T122" s="203"/>
      <c r="U122" s="203"/>
      <c r="V122" s="203"/>
      <c r="W122" s="203"/>
      <c r="X122" s="203"/>
      <c r="Y122" s="203"/>
      <c r="Z122" s="203"/>
    </row>
    <row r="123" ht="12.75" customHeight="1">
      <c r="A123" s="203"/>
      <c r="B123" s="203"/>
      <c r="C123" s="203"/>
      <c r="D123" s="203"/>
      <c r="E123" s="203"/>
      <c r="F123" s="203"/>
      <c r="G123" s="203"/>
      <c r="H123" s="203"/>
      <c r="I123" s="203"/>
      <c r="J123" s="203"/>
      <c r="K123" s="203"/>
      <c r="L123" s="203"/>
      <c r="M123" s="203"/>
      <c r="N123" s="203"/>
      <c r="O123" s="203"/>
      <c r="P123" s="203"/>
      <c r="Q123" s="203"/>
      <c r="R123" s="203"/>
      <c r="S123" s="203"/>
      <c r="T123" s="203"/>
      <c r="U123" s="203"/>
      <c r="V123" s="203"/>
      <c r="W123" s="203"/>
      <c r="X123" s="203"/>
      <c r="Y123" s="203"/>
      <c r="Z123" s="203"/>
    </row>
    <row r="124" ht="12.75" customHeight="1">
      <c r="A124" s="203"/>
      <c r="B124" s="203"/>
      <c r="C124" s="203"/>
      <c r="D124" s="203"/>
      <c r="E124" s="203"/>
      <c r="F124" s="203"/>
      <c r="G124" s="203"/>
      <c r="H124" s="203"/>
      <c r="I124" s="203"/>
      <c r="J124" s="203"/>
      <c r="K124" s="203"/>
      <c r="L124" s="203"/>
      <c r="M124" s="203"/>
      <c r="N124" s="203"/>
      <c r="O124" s="203"/>
      <c r="P124" s="203"/>
      <c r="Q124" s="203"/>
      <c r="R124" s="203"/>
      <c r="S124" s="203"/>
      <c r="T124" s="203"/>
      <c r="U124" s="203"/>
      <c r="V124" s="203"/>
      <c r="W124" s="203"/>
      <c r="X124" s="203"/>
      <c r="Y124" s="203"/>
      <c r="Z124" s="203"/>
    </row>
    <row r="125" ht="12.75" customHeight="1">
      <c r="A125" s="203"/>
      <c r="B125" s="203"/>
      <c r="C125" s="203"/>
      <c r="D125" s="203"/>
      <c r="E125" s="203"/>
      <c r="F125" s="203"/>
      <c r="G125" s="203"/>
      <c r="H125" s="203"/>
      <c r="I125" s="203"/>
      <c r="J125" s="203"/>
      <c r="K125" s="203"/>
      <c r="L125" s="203"/>
      <c r="M125" s="203"/>
      <c r="N125" s="203"/>
      <c r="O125" s="203"/>
      <c r="P125" s="203"/>
      <c r="Q125" s="203"/>
      <c r="R125" s="203"/>
      <c r="S125" s="203"/>
      <c r="T125" s="203"/>
      <c r="U125" s="203"/>
      <c r="V125" s="203"/>
      <c r="W125" s="203"/>
      <c r="X125" s="203"/>
      <c r="Y125" s="203"/>
      <c r="Z125" s="203"/>
    </row>
    <row r="126" ht="12.75" customHeight="1">
      <c r="A126" s="203"/>
      <c r="B126" s="203"/>
      <c r="C126" s="203"/>
      <c r="D126" s="203"/>
      <c r="E126" s="203"/>
      <c r="F126" s="203"/>
      <c r="G126" s="203"/>
      <c r="H126" s="203"/>
      <c r="I126" s="203"/>
      <c r="J126" s="203"/>
      <c r="K126" s="203"/>
      <c r="L126" s="203"/>
      <c r="M126" s="203"/>
      <c r="N126" s="203"/>
      <c r="O126" s="203"/>
      <c r="P126" s="203"/>
      <c r="Q126" s="203"/>
      <c r="R126" s="203"/>
      <c r="S126" s="203"/>
      <c r="T126" s="203"/>
      <c r="U126" s="203"/>
      <c r="V126" s="203"/>
      <c r="W126" s="203"/>
      <c r="X126" s="203"/>
      <c r="Y126" s="203"/>
      <c r="Z126" s="203"/>
    </row>
    <row r="127" ht="12.75" customHeight="1">
      <c r="A127" s="203"/>
      <c r="B127" s="203"/>
      <c r="C127" s="203"/>
      <c r="D127" s="203"/>
      <c r="E127" s="203"/>
      <c r="F127" s="203"/>
      <c r="G127" s="203"/>
      <c r="H127" s="203"/>
      <c r="I127" s="203"/>
      <c r="J127" s="203"/>
      <c r="K127" s="203"/>
      <c r="L127" s="203"/>
      <c r="M127" s="203"/>
      <c r="N127" s="203"/>
      <c r="O127" s="203"/>
      <c r="P127" s="203"/>
      <c r="Q127" s="203"/>
      <c r="R127" s="203"/>
      <c r="S127" s="203"/>
      <c r="T127" s="203"/>
      <c r="U127" s="203"/>
      <c r="V127" s="203"/>
      <c r="W127" s="203"/>
      <c r="X127" s="203"/>
      <c r="Y127" s="203"/>
      <c r="Z127" s="203"/>
    </row>
    <row r="128" ht="12.75" customHeight="1">
      <c r="A128" s="203"/>
      <c r="B128" s="203"/>
      <c r="C128" s="203"/>
      <c r="D128" s="203"/>
      <c r="E128" s="203"/>
      <c r="F128" s="203"/>
      <c r="G128" s="203"/>
      <c r="H128" s="203"/>
      <c r="I128" s="203"/>
      <c r="J128" s="203"/>
      <c r="K128" s="203"/>
      <c r="L128" s="203"/>
      <c r="M128" s="203"/>
      <c r="N128" s="203"/>
      <c r="O128" s="203"/>
      <c r="P128" s="203"/>
      <c r="Q128" s="203"/>
      <c r="R128" s="203"/>
      <c r="S128" s="203"/>
      <c r="T128" s="203"/>
      <c r="U128" s="203"/>
      <c r="V128" s="203"/>
      <c r="W128" s="203"/>
      <c r="X128" s="203"/>
      <c r="Y128" s="203"/>
      <c r="Z128" s="203"/>
    </row>
    <row r="129" ht="12.75" customHeight="1">
      <c r="A129" s="203"/>
      <c r="B129" s="203"/>
      <c r="C129" s="203"/>
      <c r="D129" s="203"/>
      <c r="E129" s="203"/>
      <c r="F129" s="203"/>
      <c r="G129" s="203"/>
      <c r="H129" s="203"/>
      <c r="I129" s="203"/>
      <c r="J129" s="203"/>
      <c r="K129" s="203"/>
      <c r="L129" s="203"/>
      <c r="M129" s="203"/>
      <c r="N129" s="203"/>
      <c r="O129" s="203"/>
      <c r="P129" s="203"/>
      <c r="Q129" s="203"/>
      <c r="R129" s="203"/>
      <c r="S129" s="203"/>
      <c r="T129" s="203"/>
      <c r="U129" s="203"/>
      <c r="V129" s="203"/>
      <c r="W129" s="203"/>
      <c r="X129" s="203"/>
      <c r="Y129" s="203"/>
      <c r="Z129" s="203"/>
    </row>
    <row r="130" ht="12.75" customHeight="1">
      <c r="A130" s="203"/>
      <c r="B130" s="203"/>
      <c r="C130" s="203"/>
      <c r="D130" s="203"/>
      <c r="E130" s="203"/>
      <c r="F130" s="203"/>
      <c r="G130" s="203"/>
      <c r="H130" s="203"/>
      <c r="I130" s="203"/>
      <c r="J130" s="203"/>
      <c r="K130" s="203"/>
      <c r="L130" s="203"/>
      <c r="M130" s="203"/>
      <c r="N130" s="203"/>
      <c r="O130" s="203"/>
      <c r="P130" s="203"/>
      <c r="Q130" s="203"/>
      <c r="R130" s="203"/>
      <c r="S130" s="203"/>
      <c r="T130" s="203"/>
      <c r="U130" s="203"/>
      <c r="V130" s="203"/>
      <c r="W130" s="203"/>
      <c r="X130" s="203"/>
      <c r="Y130" s="203"/>
      <c r="Z130" s="203"/>
    </row>
    <row r="131" ht="12.75" customHeight="1">
      <c r="A131" s="203"/>
      <c r="B131" s="203"/>
      <c r="C131" s="203"/>
      <c r="D131" s="203"/>
      <c r="E131" s="203"/>
      <c r="F131" s="203"/>
      <c r="G131" s="203"/>
      <c r="H131" s="203"/>
      <c r="I131" s="203"/>
      <c r="J131" s="203"/>
      <c r="K131" s="203"/>
      <c r="L131" s="203"/>
      <c r="M131" s="203"/>
      <c r="N131" s="203"/>
      <c r="O131" s="203"/>
      <c r="P131" s="203"/>
      <c r="Q131" s="203"/>
      <c r="R131" s="203"/>
      <c r="S131" s="203"/>
      <c r="T131" s="203"/>
      <c r="U131" s="203"/>
      <c r="V131" s="203"/>
      <c r="W131" s="203"/>
      <c r="X131" s="203"/>
      <c r="Y131" s="203"/>
      <c r="Z131" s="203"/>
    </row>
    <row r="132" ht="12.75" customHeight="1">
      <c r="A132" s="203"/>
      <c r="B132" s="203"/>
      <c r="C132" s="203"/>
      <c r="D132" s="203"/>
      <c r="E132" s="203"/>
      <c r="F132" s="203"/>
      <c r="G132" s="203"/>
      <c r="H132" s="203"/>
      <c r="I132" s="203"/>
      <c r="J132" s="203"/>
      <c r="K132" s="203"/>
      <c r="L132" s="203"/>
      <c r="M132" s="203"/>
      <c r="N132" s="203"/>
      <c r="O132" s="203"/>
      <c r="P132" s="203"/>
      <c r="Q132" s="203"/>
      <c r="R132" s="203"/>
      <c r="S132" s="203"/>
      <c r="T132" s="203"/>
      <c r="U132" s="203"/>
      <c r="V132" s="203"/>
      <c r="W132" s="203"/>
      <c r="X132" s="203"/>
      <c r="Y132" s="203"/>
      <c r="Z132" s="203"/>
    </row>
    <row r="133" ht="12.75" customHeight="1">
      <c r="A133" s="203"/>
      <c r="B133" s="203"/>
      <c r="C133" s="203"/>
      <c r="D133" s="203"/>
      <c r="E133" s="203"/>
      <c r="F133" s="203"/>
      <c r="G133" s="203"/>
      <c r="H133" s="203"/>
      <c r="I133" s="203"/>
      <c r="J133" s="203"/>
      <c r="K133" s="203"/>
      <c r="L133" s="203"/>
      <c r="M133" s="203"/>
      <c r="N133" s="203"/>
      <c r="O133" s="203"/>
      <c r="P133" s="203"/>
      <c r="Q133" s="203"/>
      <c r="R133" s="203"/>
      <c r="S133" s="203"/>
      <c r="T133" s="203"/>
      <c r="U133" s="203"/>
      <c r="V133" s="203"/>
      <c r="W133" s="203"/>
      <c r="X133" s="203"/>
      <c r="Y133" s="203"/>
      <c r="Z133" s="203"/>
    </row>
    <row r="134" ht="12.75" customHeight="1">
      <c r="A134" s="203"/>
      <c r="B134" s="203"/>
      <c r="C134" s="203"/>
      <c r="D134" s="203"/>
      <c r="E134" s="203"/>
      <c r="F134" s="203"/>
      <c r="G134" s="203"/>
      <c r="H134" s="203"/>
      <c r="I134" s="203"/>
      <c r="J134" s="203"/>
      <c r="K134" s="203"/>
      <c r="L134" s="203"/>
      <c r="M134" s="203"/>
      <c r="N134" s="203"/>
      <c r="O134" s="203"/>
      <c r="P134" s="203"/>
      <c r="Q134" s="203"/>
      <c r="R134" s="203"/>
      <c r="S134" s="203"/>
      <c r="T134" s="203"/>
      <c r="U134" s="203"/>
      <c r="V134" s="203"/>
      <c r="W134" s="203"/>
      <c r="X134" s="203"/>
      <c r="Y134" s="203"/>
      <c r="Z134" s="203"/>
    </row>
    <row r="135" ht="12.75" customHeight="1">
      <c r="A135" s="203"/>
      <c r="B135" s="203"/>
      <c r="C135" s="203"/>
      <c r="D135" s="203"/>
      <c r="E135" s="203"/>
      <c r="F135" s="203"/>
      <c r="G135" s="203"/>
      <c r="H135" s="203"/>
      <c r="I135" s="203"/>
      <c r="J135" s="203"/>
      <c r="K135" s="203"/>
      <c r="L135" s="203"/>
      <c r="M135" s="203"/>
      <c r="N135" s="203"/>
      <c r="O135" s="203"/>
      <c r="P135" s="203"/>
      <c r="Q135" s="203"/>
      <c r="R135" s="203"/>
      <c r="S135" s="203"/>
      <c r="T135" s="203"/>
      <c r="U135" s="203"/>
      <c r="V135" s="203"/>
      <c r="W135" s="203"/>
      <c r="X135" s="203"/>
      <c r="Y135" s="203"/>
      <c r="Z135" s="203"/>
    </row>
    <row r="136" ht="12.75" customHeight="1">
      <c r="A136" s="203"/>
      <c r="B136" s="203"/>
      <c r="C136" s="203"/>
      <c r="D136" s="203"/>
      <c r="E136" s="203"/>
      <c r="F136" s="203"/>
      <c r="G136" s="203"/>
      <c r="H136" s="203"/>
      <c r="I136" s="203"/>
      <c r="J136" s="203"/>
      <c r="K136" s="203"/>
      <c r="L136" s="203"/>
      <c r="M136" s="203"/>
      <c r="N136" s="203"/>
      <c r="O136" s="203"/>
      <c r="P136" s="203"/>
      <c r="Q136" s="203"/>
      <c r="R136" s="203"/>
      <c r="S136" s="203"/>
      <c r="T136" s="203"/>
      <c r="U136" s="203"/>
      <c r="V136" s="203"/>
      <c r="W136" s="203"/>
      <c r="X136" s="203"/>
      <c r="Y136" s="203"/>
      <c r="Z136" s="203"/>
    </row>
    <row r="137" ht="12.75" customHeight="1">
      <c r="A137" s="203"/>
      <c r="B137" s="203"/>
      <c r="C137" s="203"/>
      <c r="D137" s="203"/>
      <c r="E137" s="203"/>
      <c r="F137" s="203"/>
      <c r="G137" s="203"/>
      <c r="H137" s="203"/>
      <c r="I137" s="203"/>
      <c r="J137" s="203"/>
      <c r="K137" s="203"/>
      <c r="L137" s="203"/>
      <c r="M137" s="203"/>
      <c r="N137" s="203"/>
      <c r="O137" s="203"/>
      <c r="P137" s="203"/>
      <c r="Q137" s="203"/>
      <c r="R137" s="203"/>
      <c r="S137" s="203"/>
      <c r="T137" s="203"/>
      <c r="U137" s="203"/>
      <c r="V137" s="203"/>
      <c r="W137" s="203"/>
      <c r="X137" s="203"/>
      <c r="Y137" s="203"/>
      <c r="Z137" s="203"/>
    </row>
    <row r="138" ht="12.75" customHeight="1">
      <c r="A138" s="203"/>
      <c r="B138" s="203"/>
      <c r="C138" s="203"/>
      <c r="D138" s="203"/>
      <c r="E138" s="203"/>
      <c r="F138" s="203"/>
      <c r="G138" s="203"/>
      <c r="H138" s="203"/>
      <c r="I138" s="203"/>
      <c r="J138" s="203"/>
      <c r="K138" s="203"/>
      <c r="L138" s="203"/>
      <c r="M138" s="203"/>
      <c r="N138" s="203"/>
      <c r="O138" s="203"/>
      <c r="P138" s="203"/>
      <c r="Q138" s="203"/>
      <c r="R138" s="203"/>
      <c r="S138" s="203"/>
      <c r="T138" s="203"/>
      <c r="U138" s="203"/>
      <c r="V138" s="203"/>
      <c r="W138" s="203"/>
      <c r="X138" s="203"/>
      <c r="Y138" s="203"/>
      <c r="Z138" s="203"/>
    </row>
    <row r="139" ht="12.75" customHeight="1">
      <c r="A139" s="203"/>
      <c r="B139" s="203"/>
      <c r="C139" s="203"/>
      <c r="D139" s="203"/>
      <c r="E139" s="203"/>
      <c r="F139" s="203"/>
      <c r="G139" s="203"/>
      <c r="H139" s="203"/>
      <c r="I139" s="203"/>
      <c r="J139" s="203"/>
      <c r="K139" s="203"/>
      <c r="L139" s="203"/>
      <c r="M139" s="203"/>
      <c r="N139" s="203"/>
      <c r="O139" s="203"/>
      <c r="P139" s="203"/>
      <c r="Q139" s="203"/>
      <c r="R139" s="203"/>
      <c r="S139" s="203"/>
      <c r="T139" s="203"/>
      <c r="U139" s="203"/>
      <c r="V139" s="203"/>
      <c r="W139" s="203"/>
      <c r="X139" s="203"/>
      <c r="Y139" s="203"/>
      <c r="Z139" s="203"/>
    </row>
    <row r="140" ht="12.75" customHeight="1">
      <c r="A140" s="203"/>
      <c r="B140" s="203"/>
      <c r="C140" s="203"/>
      <c r="D140" s="203"/>
      <c r="E140" s="203"/>
      <c r="F140" s="203"/>
      <c r="G140" s="203"/>
      <c r="H140" s="203"/>
      <c r="I140" s="203"/>
      <c r="J140" s="203"/>
      <c r="K140" s="203"/>
      <c r="L140" s="203"/>
      <c r="M140" s="203"/>
      <c r="N140" s="203"/>
      <c r="O140" s="203"/>
      <c r="P140" s="203"/>
      <c r="Q140" s="203"/>
      <c r="R140" s="203"/>
      <c r="S140" s="203"/>
      <c r="T140" s="203"/>
      <c r="U140" s="203"/>
      <c r="V140" s="203"/>
      <c r="W140" s="203"/>
      <c r="X140" s="203"/>
      <c r="Y140" s="203"/>
      <c r="Z140" s="203"/>
    </row>
    <row r="141" ht="12.75" customHeight="1">
      <c r="A141" s="203"/>
      <c r="B141" s="203"/>
      <c r="C141" s="203"/>
      <c r="D141" s="203"/>
      <c r="E141" s="203"/>
      <c r="F141" s="203"/>
      <c r="G141" s="203"/>
      <c r="H141" s="203"/>
      <c r="I141" s="203"/>
      <c r="J141" s="203"/>
      <c r="K141" s="203"/>
      <c r="L141" s="203"/>
      <c r="M141" s="203"/>
      <c r="N141" s="203"/>
      <c r="O141" s="203"/>
      <c r="P141" s="203"/>
      <c r="Q141" s="203"/>
      <c r="R141" s="203"/>
      <c r="S141" s="203"/>
      <c r="T141" s="203"/>
      <c r="U141" s="203"/>
      <c r="V141" s="203"/>
      <c r="W141" s="203"/>
      <c r="X141" s="203"/>
      <c r="Y141" s="203"/>
      <c r="Z141" s="203"/>
    </row>
    <row r="142" ht="12.75" customHeight="1">
      <c r="A142" s="203"/>
      <c r="B142" s="203"/>
      <c r="C142" s="203"/>
      <c r="D142" s="203"/>
      <c r="E142" s="203"/>
      <c r="F142" s="203"/>
      <c r="G142" s="203"/>
      <c r="H142" s="203"/>
      <c r="I142" s="203"/>
      <c r="J142" s="203"/>
      <c r="K142" s="203"/>
      <c r="L142" s="203"/>
      <c r="M142" s="203"/>
      <c r="N142" s="203"/>
      <c r="O142" s="203"/>
      <c r="P142" s="203"/>
      <c r="Q142" s="203"/>
      <c r="R142" s="203"/>
      <c r="S142" s="203"/>
      <c r="T142" s="203"/>
      <c r="U142" s="203"/>
      <c r="V142" s="203"/>
      <c r="W142" s="203"/>
      <c r="X142" s="203"/>
      <c r="Y142" s="203"/>
      <c r="Z142" s="203"/>
    </row>
    <row r="143" ht="12.75" customHeight="1">
      <c r="A143" s="203"/>
      <c r="B143" s="203"/>
      <c r="C143" s="203"/>
      <c r="D143" s="203"/>
      <c r="E143" s="203"/>
      <c r="F143" s="203"/>
      <c r="G143" s="203"/>
      <c r="H143" s="203"/>
      <c r="I143" s="203"/>
      <c r="J143" s="203"/>
      <c r="K143" s="203"/>
      <c r="L143" s="203"/>
      <c r="M143" s="203"/>
      <c r="N143" s="203"/>
      <c r="O143" s="203"/>
      <c r="P143" s="203"/>
      <c r="Q143" s="203"/>
      <c r="R143" s="203"/>
      <c r="S143" s="203"/>
      <c r="T143" s="203"/>
      <c r="U143" s="203"/>
      <c r="V143" s="203"/>
      <c r="W143" s="203"/>
      <c r="X143" s="203"/>
      <c r="Y143" s="203"/>
      <c r="Z143" s="203"/>
    </row>
    <row r="144" ht="12.75" customHeight="1">
      <c r="A144" s="203"/>
      <c r="B144" s="203"/>
      <c r="C144" s="203"/>
      <c r="D144" s="203"/>
      <c r="E144" s="203"/>
      <c r="F144" s="203"/>
      <c r="G144" s="203"/>
      <c r="H144" s="203"/>
      <c r="I144" s="203"/>
      <c r="J144" s="203"/>
      <c r="K144" s="203"/>
      <c r="L144" s="203"/>
      <c r="M144" s="203"/>
      <c r="N144" s="203"/>
      <c r="O144" s="203"/>
      <c r="P144" s="203"/>
      <c r="Q144" s="203"/>
      <c r="R144" s="203"/>
      <c r="S144" s="203"/>
      <c r="T144" s="203"/>
      <c r="U144" s="203"/>
      <c r="V144" s="203"/>
      <c r="W144" s="203"/>
      <c r="X144" s="203"/>
      <c r="Y144" s="203"/>
      <c r="Z144" s="203"/>
    </row>
    <row r="145" ht="12.75" customHeight="1">
      <c r="A145" s="203"/>
      <c r="B145" s="203"/>
      <c r="C145" s="203"/>
      <c r="D145" s="203"/>
      <c r="E145" s="203"/>
      <c r="F145" s="203"/>
      <c r="G145" s="203"/>
      <c r="H145" s="203"/>
      <c r="I145" s="203"/>
      <c r="J145" s="203"/>
      <c r="K145" s="203"/>
      <c r="L145" s="203"/>
      <c r="M145" s="203"/>
      <c r="N145" s="203"/>
      <c r="O145" s="203"/>
      <c r="P145" s="203"/>
      <c r="Q145" s="203"/>
      <c r="R145" s="203"/>
      <c r="S145" s="203"/>
      <c r="T145" s="203"/>
      <c r="U145" s="203"/>
      <c r="V145" s="203"/>
      <c r="W145" s="203"/>
      <c r="X145" s="203"/>
      <c r="Y145" s="203"/>
      <c r="Z145" s="203"/>
    </row>
    <row r="146" ht="12.75" customHeight="1">
      <c r="A146" s="203"/>
      <c r="B146" s="203"/>
      <c r="C146" s="203"/>
      <c r="D146" s="203"/>
      <c r="E146" s="203"/>
      <c r="F146" s="203"/>
      <c r="G146" s="203"/>
      <c r="H146" s="203"/>
      <c r="I146" s="203"/>
      <c r="J146" s="203"/>
      <c r="K146" s="203"/>
      <c r="L146" s="203"/>
      <c r="M146" s="203"/>
      <c r="N146" s="203"/>
      <c r="O146" s="203"/>
      <c r="P146" s="203"/>
      <c r="Q146" s="203"/>
      <c r="R146" s="203"/>
      <c r="S146" s="203"/>
      <c r="T146" s="203"/>
      <c r="U146" s="203"/>
      <c r="V146" s="203"/>
      <c r="W146" s="203"/>
      <c r="X146" s="203"/>
      <c r="Y146" s="203"/>
      <c r="Z146" s="203"/>
    </row>
    <row r="147" ht="12.75" customHeight="1">
      <c r="A147" s="203"/>
      <c r="B147" s="203"/>
      <c r="C147" s="203"/>
      <c r="D147" s="203"/>
      <c r="E147" s="203"/>
      <c r="F147" s="203"/>
      <c r="G147" s="203"/>
      <c r="H147" s="203"/>
      <c r="I147" s="203"/>
      <c r="J147" s="203"/>
      <c r="K147" s="203"/>
      <c r="L147" s="203"/>
      <c r="M147" s="203"/>
      <c r="N147" s="203"/>
      <c r="O147" s="203"/>
      <c r="P147" s="203"/>
      <c r="Q147" s="203"/>
      <c r="R147" s="203"/>
      <c r="S147" s="203"/>
      <c r="T147" s="203"/>
      <c r="U147" s="203"/>
      <c r="V147" s="203"/>
      <c r="W147" s="203"/>
      <c r="X147" s="203"/>
      <c r="Y147" s="203"/>
      <c r="Z147" s="203"/>
    </row>
    <row r="148" ht="12.75" customHeight="1">
      <c r="A148" s="203"/>
      <c r="B148" s="203"/>
      <c r="C148" s="203"/>
      <c r="D148" s="203"/>
      <c r="E148" s="203"/>
      <c r="F148" s="203"/>
      <c r="G148" s="203"/>
      <c r="H148" s="203"/>
      <c r="I148" s="203"/>
      <c r="J148" s="203"/>
      <c r="K148" s="203"/>
      <c r="L148" s="203"/>
      <c r="M148" s="203"/>
      <c r="N148" s="203"/>
      <c r="O148" s="203"/>
      <c r="P148" s="203"/>
      <c r="Q148" s="203"/>
      <c r="R148" s="203"/>
      <c r="S148" s="203"/>
      <c r="T148" s="203"/>
      <c r="U148" s="203"/>
      <c r="V148" s="203"/>
      <c r="W148" s="203"/>
      <c r="X148" s="203"/>
      <c r="Y148" s="203"/>
      <c r="Z148" s="203"/>
    </row>
    <row r="149" ht="12.75" customHeight="1">
      <c r="A149" s="203"/>
      <c r="B149" s="203"/>
      <c r="C149" s="203"/>
      <c r="D149" s="203"/>
      <c r="E149" s="203"/>
      <c r="F149" s="203"/>
      <c r="G149" s="203"/>
      <c r="H149" s="203"/>
      <c r="I149" s="203"/>
      <c r="J149" s="203"/>
      <c r="K149" s="203"/>
      <c r="L149" s="203"/>
      <c r="M149" s="203"/>
      <c r="N149" s="203"/>
      <c r="O149" s="203"/>
      <c r="P149" s="203"/>
      <c r="Q149" s="203"/>
      <c r="R149" s="203"/>
      <c r="S149" s="203"/>
      <c r="T149" s="203"/>
      <c r="U149" s="203"/>
      <c r="V149" s="203"/>
      <c r="W149" s="203"/>
      <c r="X149" s="203"/>
      <c r="Y149" s="203"/>
      <c r="Z149" s="203"/>
    </row>
    <row r="150" ht="12.75" customHeight="1">
      <c r="A150" s="203"/>
      <c r="B150" s="203"/>
      <c r="C150" s="203"/>
      <c r="D150" s="203"/>
      <c r="E150" s="203"/>
      <c r="F150" s="203"/>
      <c r="G150" s="203"/>
      <c r="H150" s="203"/>
      <c r="I150" s="203"/>
      <c r="J150" s="203"/>
      <c r="K150" s="203"/>
      <c r="L150" s="203"/>
      <c r="M150" s="203"/>
      <c r="N150" s="203"/>
      <c r="O150" s="203"/>
      <c r="P150" s="203"/>
      <c r="Q150" s="203"/>
      <c r="R150" s="203"/>
      <c r="S150" s="203"/>
      <c r="T150" s="203"/>
      <c r="U150" s="203"/>
      <c r="V150" s="203"/>
      <c r="W150" s="203"/>
      <c r="X150" s="203"/>
      <c r="Y150" s="203"/>
      <c r="Z150" s="203"/>
    </row>
    <row r="151" ht="12.75" customHeight="1">
      <c r="A151" s="203"/>
      <c r="B151" s="203"/>
      <c r="C151" s="203"/>
      <c r="D151" s="203"/>
      <c r="E151" s="203"/>
      <c r="F151" s="203"/>
      <c r="G151" s="203"/>
      <c r="H151" s="203"/>
      <c r="I151" s="203"/>
      <c r="J151" s="203"/>
      <c r="K151" s="203"/>
      <c r="L151" s="203"/>
      <c r="M151" s="203"/>
      <c r="N151" s="203"/>
      <c r="O151" s="203"/>
      <c r="P151" s="203"/>
      <c r="Q151" s="203"/>
      <c r="R151" s="203"/>
      <c r="S151" s="203"/>
      <c r="T151" s="203"/>
      <c r="U151" s="203"/>
      <c r="V151" s="203"/>
      <c r="W151" s="203"/>
      <c r="X151" s="203"/>
      <c r="Y151" s="203"/>
      <c r="Z151" s="203"/>
    </row>
    <row r="152" ht="12.75" customHeight="1">
      <c r="A152" s="203"/>
      <c r="B152" s="203"/>
      <c r="C152" s="203"/>
      <c r="D152" s="203"/>
      <c r="E152" s="203"/>
      <c r="F152" s="203"/>
      <c r="G152" s="203"/>
      <c r="H152" s="203"/>
      <c r="I152" s="203"/>
      <c r="J152" s="203"/>
      <c r="K152" s="203"/>
      <c r="L152" s="203"/>
      <c r="M152" s="203"/>
      <c r="N152" s="203"/>
      <c r="O152" s="203"/>
      <c r="P152" s="203"/>
      <c r="Q152" s="203"/>
      <c r="R152" s="203"/>
      <c r="S152" s="203"/>
      <c r="T152" s="203"/>
      <c r="U152" s="203"/>
      <c r="V152" s="203"/>
      <c r="W152" s="203"/>
      <c r="X152" s="203"/>
      <c r="Y152" s="203"/>
      <c r="Z152" s="203"/>
    </row>
    <row r="153" ht="12.75" customHeight="1">
      <c r="A153" s="203"/>
      <c r="B153" s="203"/>
      <c r="C153" s="203"/>
      <c r="D153" s="203"/>
      <c r="E153" s="203"/>
      <c r="F153" s="203"/>
      <c r="G153" s="203"/>
      <c r="H153" s="203"/>
      <c r="I153" s="203"/>
      <c r="J153" s="203"/>
      <c r="K153" s="203"/>
      <c r="L153" s="203"/>
      <c r="M153" s="203"/>
      <c r="N153" s="203"/>
      <c r="O153" s="203"/>
      <c r="P153" s="203"/>
      <c r="Q153" s="203"/>
      <c r="R153" s="203"/>
      <c r="S153" s="203"/>
      <c r="T153" s="203"/>
      <c r="U153" s="203"/>
      <c r="V153" s="203"/>
      <c r="W153" s="203"/>
      <c r="X153" s="203"/>
      <c r="Y153" s="203"/>
      <c r="Z153" s="203"/>
    </row>
    <row r="154" ht="12.75" customHeight="1">
      <c r="A154" s="203"/>
      <c r="B154" s="203"/>
      <c r="C154" s="203"/>
      <c r="D154" s="203"/>
      <c r="E154" s="203"/>
      <c r="F154" s="203"/>
      <c r="G154" s="203"/>
      <c r="H154" s="203"/>
      <c r="I154" s="203"/>
      <c r="J154" s="203"/>
      <c r="K154" s="203"/>
      <c r="L154" s="203"/>
      <c r="M154" s="203"/>
      <c r="N154" s="203"/>
      <c r="O154" s="203"/>
      <c r="P154" s="203"/>
      <c r="Q154" s="203"/>
      <c r="R154" s="203"/>
      <c r="S154" s="203"/>
      <c r="T154" s="203"/>
      <c r="U154" s="203"/>
      <c r="V154" s="203"/>
      <c r="W154" s="203"/>
      <c r="X154" s="203"/>
      <c r="Y154" s="203"/>
      <c r="Z154" s="203"/>
    </row>
    <row r="155" ht="12.75" customHeight="1">
      <c r="A155" s="203"/>
      <c r="B155" s="203"/>
      <c r="C155" s="203"/>
      <c r="D155" s="203"/>
      <c r="E155" s="203"/>
      <c r="F155" s="203"/>
      <c r="G155" s="203"/>
      <c r="H155" s="203"/>
      <c r="I155" s="203"/>
      <c r="J155" s="203"/>
      <c r="K155" s="203"/>
      <c r="L155" s="203"/>
      <c r="M155" s="203"/>
      <c r="N155" s="203"/>
      <c r="O155" s="203"/>
      <c r="P155" s="203"/>
      <c r="Q155" s="203"/>
      <c r="R155" s="203"/>
      <c r="S155" s="203"/>
      <c r="T155" s="203"/>
      <c r="U155" s="203"/>
      <c r="V155" s="203"/>
      <c r="W155" s="203"/>
      <c r="X155" s="203"/>
      <c r="Y155" s="203"/>
      <c r="Z155" s="203"/>
    </row>
    <row r="156" ht="12.75" customHeight="1">
      <c r="A156" s="203"/>
      <c r="B156" s="203"/>
      <c r="C156" s="203"/>
      <c r="D156" s="203"/>
      <c r="E156" s="203"/>
      <c r="F156" s="203"/>
      <c r="G156" s="203"/>
      <c r="H156" s="203"/>
      <c r="I156" s="203"/>
      <c r="J156" s="203"/>
      <c r="K156" s="203"/>
      <c r="L156" s="203"/>
      <c r="M156" s="203"/>
      <c r="N156" s="203"/>
      <c r="O156" s="203"/>
      <c r="P156" s="203"/>
      <c r="Q156" s="203"/>
      <c r="R156" s="203"/>
      <c r="S156" s="203"/>
      <c r="T156" s="203"/>
      <c r="U156" s="203"/>
      <c r="V156" s="203"/>
      <c r="W156" s="203"/>
      <c r="X156" s="203"/>
      <c r="Y156" s="203"/>
      <c r="Z156" s="203"/>
    </row>
    <row r="157" ht="12.75" customHeight="1">
      <c r="A157" s="203"/>
      <c r="B157" s="203"/>
      <c r="C157" s="203"/>
      <c r="D157" s="203"/>
      <c r="E157" s="203"/>
      <c r="F157" s="203"/>
      <c r="G157" s="203"/>
      <c r="H157" s="203"/>
      <c r="I157" s="203"/>
      <c r="J157" s="203"/>
      <c r="K157" s="203"/>
      <c r="L157" s="203"/>
      <c r="M157" s="203"/>
      <c r="N157" s="203"/>
      <c r="O157" s="203"/>
      <c r="P157" s="203"/>
      <c r="Q157" s="203"/>
      <c r="R157" s="203"/>
      <c r="S157" s="203"/>
      <c r="T157" s="203"/>
      <c r="U157" s="203"/>
      <c r="V157" s="203"/>
      <c r="W157" s="203"/>
      <c r="X157" s="203"/>
      <c r="Y157" s="203"/>
      <c r="Z157" s="203"/>
    </row>
    <row r="158" ht="12.75" customHeight="1">
      <c r="A158" s="203"/>
      <c r="B158" s="203"/>
      <c r="C158" s="203"/>
      <c r="D158" s="203"/>
      <c r="E158" s="203"/>
      <c r="F158" s="203"/>
      <c r="G158" s="203"/>
      <c r="H158" s="203"/>
      <c r="I158" s="203"/>
      <c r="J158" s="203"/>
      <c r="K158" s="203"/>
      <c r="L158" s="203"/>
      <c r="M158" s="203"/>
      <c r="N158" s="203"/>
      <c r="O158" s="203"/>
      <c r="P158" s="203"/>
      <c r="Q158" s="203"/>
      <c r="R158" s="203"/>
      <c r="S158" s="203"/>
      <c r="T158" s="203"/>
      <c r="U158" s="203"/>
      <c r="V158" s="203"/>
      <c r="W158" s="203"/>
      <c r="X158" s="203"/>
      <c r="Y158" s="203"/>
      <c r="Z158" s="203"/>
    </row>
    <row r="159" ht="12.75" customHeight="1">
      <c r="A159" s="203"/>
      <c r="B159" s="203"/>
      <c r="C159" s="203"/>
      <c r="D159" s="203"/>
      <c r="E159" s="203"/>
      <c r="F159" s="203"/>
      <c r="G159" s="203"/>
      <c r="H159" s="203"/>
      <c r="I159" s="203"/>
      <c r="J159" s="203"/>
      <c r="K159" s="203"/>
      <c r="L159" s="203"/>
      <c r="M159" s="203"/>
      <c r="N159" s="203"/>
      <c r="O159" s="203"/>
      <c r="P159" s="203"/>
      <c r="Q159" s="203"/>
      <c r="R159" s="203"/>
      <c r="S159" s="203"/>
      <c r="T159" s="203"/>
      <c r="U159" s="203"/>
      <c r="V159" s="203"/>
      <c r="W159" s="203"/>
      <c r="X159" s="203"/>
      <c r="Y159" s="203"/>
      <c r="Z159" s="203"/>
    </row>
    <row r="160" ht="12.75" customHeight="1">
      <c r="A160" s="203"/>
      <c r="B160" s="203"/>
      <c r="C160" s="203"/>
      <c r="D160" s="203"/>
      <c r="E160" s="203"/>
      <c r="F160" s="203"/>
      <c r="G160" s="203"/>
      <c r="H160" s="203"/>
      <c r="I160" s="203"/>
      <c r="J160" s="203"/>
      <c r="K160" s="203"/>
      <c r="L160" s="203"/>
      <c r="M160" s="203"/>
      <c r="N160" s="203"/>
      <c r="O160" s="203"/>
      <c r="P160" s="203"/>
      <c r="Q160" s="203"/>
      <c r="R160" s="203"/>
      <c r="S160" s="203"/>
      <c r="T160" s="203"/>
      <c r="U160" s="203"/>
      <c r="V160" s="203"/>
      <c r="W160" s="203"/>
      <c r="X160" s="203"/>
      <c r="Y160" s="203"/>
      <c r="Z160" s="203"/>
    </row>
    <row r="161" ht="12.75" customHeight="1">
      <c r="A161" s="203"/>
      <c r="B161" s="203"/>
      <c r="C161" s="203"/>
      <c r="D161" s="203"/>
      <c r="E161" s="203"/>
      <c r="F161" s="203"/>
      <c r="G161" s="203"/>
      <c r="H161" s="203"/>
      <c r="I161" s="203"/>
      <c r="J161" s="203"/>
      <c r="K161" s="203"/>
      <c r="L161" s="203"/>
      <c r="M161" s="203"/>
      <c r="N161" s="203"/>
      <c r="O161" s="203"/>
      <c r="P161" s="203"/>
      <c r="Q161" s="203"/>
      <c r="R161" s="203"/>
      <c r="S161" s="203"/>
      <c r="T161" s="203"/>
      <c r="U161" s="203"/>
      <c r="V161" s="203"/>
      <c r="W161" s="203"/>
      <c r="X161" s="203"/>
      <c r="Y161" s="203"/>
      <c r="Z161" s="203"/>
    </row>
    <row r="162" ht="12.75" customHeight="1">
      <c r="A162" s="203"/>
      <c r="B162" s="203"/>
      <c r="C162" s="203"/>
      <c r="D162" s="203"/>
      <c r="E162" s="203"/>
      <c r="F162" s="203"/>
      <c r="G162" s="203"/>
      <c r="H162" s="203"/>
      <c r="I162" s="203"/>
      <c r="J162" s="203"/>
      <c r="K162" s="203"/>
      <c r="L162" s="203"/>
      <c r="M162" s="203"/>
      <c r="N162" s="203"/>
      <c r="O162" s="203"/>
      <c r="P162" s="203"/>
      <c r="Q162" s="203"/>
      <c r="R162" s="203"/>
      <c r="S162" s="203"/>
      <c r="T162" s="203"/>
      <c r="U162" s="203"/>
      <c r="V162" s="203"/>
      <c r="W162" s="203"/>
      <c r="X162" s="203"/>
      <c r="Y162" s="203"/>
      <c r="Z162" s="203"/>
    </row>
    <row r="163" ht="12.75" customHeight="1">
      <c r="A163" s="203"/>
      <c r="B163" s="203"/>
      <c r="C163" s="203"/>
      <c r="D163" s="203"/>
      <c r="E163" s="203"/>
      <c r="F163" s="203"/>
      <c r="G163" s="203"/>
      <c r="H163" s="203"/>
      <c r="I163" s="203"/>
      <c r="J163" s="203"/>
      <c r="K163" s="203"/>
      <c r="L163" s="203"/>
      <c r="M163" s="203"/>
      <c r="N163" s="203"/>
      <c r="O163" s="203"/>
      <c r="P163" s="203"/>
      <c r="Q163" s="203"/>
      <c r="R163" s="203"/>
      <c r="S163" s="203"/>
      <c r="T163" s="203"/>
      <c r="U163" s="203"/>
      <c r="V163" s="203"/>
      <c r="W163" s="203"/>
      <c r="X163" s="203"/>
      <c r="Y163" s="203"/>
      <c r="Z163" s="203"/>
    </row>
    <row r="164" ht="12.75" customHeight="1">
      <c r="A164" s="203"/>
      <c r="B164" s="203"/>
      <c r="C164" s="203"/>
      <c r="D164" s="203"/>
      <c r="E164" s="203"/>
      <c r="F164" s="203"/>
      <c r="G164" s="203"/>
      <c r="H164" s="203"/>
      <c r="I164" s="203"/>
      <c r="J164" s="203"/>
      <c r="K164" s="203"/>
      <c r="L164" s="203"/>
      <c r="M164" s="203"/>
      <c r="N164" s="203"/>
      <c r="O164" s="203"/>
      <c r="P164" s="203"/>
      <c r="Q164" s="203"/>
      <c r="R164" s="203"/>
      <c r="S164" s="203"/>
      <c r="T164" s="203"/>
      <c r="U164" s="203"/>
      <c r="V164" s="203"/>
      <c r="W164" s="203"/>
      <c r="X164" s="203"/>
      <c r="Y164" s="203"/>
      <c r="Z164" s="203"/>
    </row>
    <row r="165" ht="12.75" customHeight="1">
      <c r="A165" s="203"/>
      <c r="B165" s="203"/>
      <c r="C165" s="203"/>
      <c r="D165" s="203"/>
      <c r="E165" s="203"/>
      <c r="F165" s="203"/>
      <c r="G165" s="203"/>
      <c r="H165" s="203"/>
      <c r="I165" s="203"/>
      <c r="J165" s="203"/>
      <c r="K165" s="203"/>
      <c r="L165" s="203"/>
      <c r="M165" s="203"/>
      <c r="N165" s="203"/>
      <c r="O165" s="203"/>
      <c r="P165" s="203"/>
      <c r="Q165" s="203"/>
      <c r="R165" s="203"/>
      <c r="S165" s="203"/>
      <c r="T165" s="203"/>
      <c r="U165" s="203"/>
      <c r="V165" s="203"/>
      <c r="W165" s="203"/>
      <c r="X165" s="203"/>
      <c r="Y165" s="203"/>
      <c r="Z165" s="203"/>
    </row>
    <row r="166" ht="12.75" customHeight="1">
      <c r="A166" s="203"/>
      <c r="B166" s="203"/>
      <c r="C166" s="203"/>
      <c r="D166" s="203"/>
      <c r="E166" s="203"/>
      <c r="F166" s="203"/>
      <c r="G166" s="203"/>
      <c r="H166" s="203"/>
      <c r="I166" s="203"/>
      <c r="J166" s="203"/>
      <c r="K166" s="203"/>
      <c r="L166" s="203"/>
      <c r="M166" s="203"/>
      <c r="N166" s="203"/>
      <c r="O166" s="203"/>
      <c r="P166" s="203"/>
      <c r="Q166" s="203"/>
      <c r="R166" s="203"/>
      <c r="S166" s="203"/>
      <c r="T166" s="203"/>
      <c r="U166" s="203"/>
      <c r="V166" s="203"/>
      <c r="W166" s="203"/>
      <c r="X166" s="203"/>
      <c r="Y166" s="203"/>
      <c r="Z166" s="203"/>
    </row>
    <row r="167" ht="12.75" customHeight="1">
      <c r="A167" s="203"/>
      <c r="B167" s="203"/>
      <c r="C167" s="203"/>
      <c r="D167" s="203"/>
      <c r="E167" s="203"/>
      <c r="F167" s="203"/>
      <c r="G167" s="203"/>
      <c r="H167" s="203"/>
      <c r="I167" s="203"/>
      <c r="J167" s="203"/>
      <c r="K167" s="203"/>
      <c r="L167" s="203"/>
      <c r="M167" s="203"/>
      <c r="N167" s="203"/>
      <c r="O167" s="203"/>
      <c r="P167" s="203"/>
      <c r="Q167" s="203"/>
      <c r="R167" s="203"/>
      <c r="S167" s="203"/>
      <c r="T167" s="203"/>
      <c r="U167" s="203"/>
      <c r="V167" s="203"/>
      <c r="W167" s="203"/>
      <c r="X167" s="203"/>
      <c r="Y167" s="203"/>
      <c r="Z167" s="203"/>
    </row>
    <row r="168" ht="12.75" customHeight="1">
      <c r="A168" s="203"/>
      <c r="B168" s="203"/>
      <c r="C168" s="203"/>
      <c r="D168" s="203"/>
      <c r="E168" s="203"/>
      <c r="F168" s="203"/>
      <c r="G168" s="203"/>
      <c r="H168" s="203"/>
      <c r="I168" s="203"/>
      <c r="J168" s="203"/>
      <c r="K168" s="203"/>
      <c r="L168" s="203"/>
      <c r="M168" s="203"/>
      <c r="N168" s="203"/>
      <c r="O168" s="203"/>
      <c r="P168" s="203"/>
      <c r="Q168" s="203"/>
      <c r="R168" s="203"/>
      <c r="S168" s="203"/>
      <c r="T168" s="203"/>
      <c r="U168" s="203"/>
      <c r="V168" s="203"/>
      <c r="W168" s="203"/>
      <c r="X168" s="203"/>
      <c r="Y168" s="203"/>
      <c r="Z168" s="203"/>
    </row>
    <row r="169" ht="12.75" customHeight="1">
      <c r="A169" s="203"/>
      <c r="B169" s="203"/>
      <c r="C169" s="203"/>
      <c r="D169" s="203"/>
      <c r="E169" s="203"/>
      <c r="F169" s="203"/>
      <c r="G169" s="203"/>
      <c r="H169" s="203"/>
      <c r="I169" s="203"/>
      <c r="J169" s="203"/>
      <c r="K169" s="203"/>
      <c r="L169" s="203"/>
      <c r="M169" s="203"/>
      <c r="N169" s="203"/>
      <c r="O169" s="203"/>
      <c r="P169" s="203"/>
      <c r="Q169" s="203"/>
      <c r="R169" s="203"/>
      <c r="S169" s="203"/>
      <c r="T169" s="203"/>
      <c r="U169" s="203"/>
      <c r="V169" s="203"/>
      <c r="W169" s="203"/>
      <c r="X169" s="203"/>
      <c r="Y169" s="203"/>
      <c r="Z169" s="203"/>
    </row>
    <row r="170" ht="12.75" customHeight="1">
      <c r="A170" s="203"/>
      <c r="B170" s="203"/>
      <c r="C170" s="203"/>
      <c r="D170" s="203"/>
      <c r="E170" s="203"/>
      <c r="F170" s="203"/>
      <c r="G170" s="203"/>
      <c r="H170" s="203"/>
      <c r="I170" s="203"/>
      <c r="J170" s="203"/>
      <c r="K170" s="203"/>
      <c r="L170" s="203"/>
      <c r="M170" s="203"/>
      <c r="N170" s="203"/>
      <c r="O170" s="203"/>
      <c r="P170" s="203"/>
      <c r="Q170" s="203"/>
      <c r="R170" s="203"/>
      <c r="S170" s="203"/>
      <c r="T170" s="203"/>
      <c r="U170" s="203"/>
      <c r="V170" s="203"/>
      <c r="W170" s="203"/>
      <c r="X170" s="203"/>
      <c r="Y170" s="203"/>
      <c r="Z170" s="203"/>
    </row>
    <row r="171" ht="12.75" customHeight="1">
      <c r="A171" s="203"/>
      <c r="B171" s="203"/>
      <c r="C171" s="203"/>
      <c r="D171" s="203"/>
      <c r="E171" s="203"/>
      <c r="F171" s="203"/>
      <c r="G171" s="203"/>
      <c r="H171" s="203"/>
      <c r="I171" s="203"/>
      <c r="J171" s="203"/>
      <c r="K171" s="203"/>
      <c r="L171" s="203"/>
      <c r="M171" s="203"/>
      <c r="N171" s="203"/>
      <c r="O171" s="203"/>
      <c r="P171" s="203"/>
      <c r="Q171" s="203"/>
      <c r="R171" s="203"/>
      <c r="S171" s="203"/>
      <c r="T171" s="203"/>
      <c r="U171" s="203"/>
      <c r="V171" s="203"/>
      <c r="W171" s="203"/>
      <c r="X171" s="203"/>
      <c r="Y171" s="203"/>
      <c r="Z171" s="203"/>
    </row>
    <row r="172" ht="12.75" customHeight="1">
      <c r="A172" s="203"/>
      <c r="B172" s="203"/>
      <c r="C172" s="203"/>
      <c r="D172" s="203"/>
      <c r="E172" s="203"/>
      <c r="F172" s="203"/>
      <c r="G172" s="203"/>
      <c r="H172" s="203"/>
      <c r="I172" s="203"/>
      <c r="J172" s="203"/>
      <c r="K172" s="203"/>
      <c r="L172" s="203"/>
      <c r="M172" s="203"/>
      <c r="N172" s="203"/>
      <c r="O172" s="203"/>
      <c r="P172" s="203"/>
      <c r="Q172" s="203"/>
      <c r="R172" s="203"/>
      <c r="S172" s="203"/>
      <c r="T172" s="203"/>
      <c r="U172" s="203"/>
      <c r="V172" s="203"/>
      <c r="W172" s="203"/>
      <c r="X172" s="203"/>
      <c r="Y172" s="203"/>
      <c r="Z172" s="203"/>
    </row>
    <row r="173" ht="12.75" customHeight="1">
      <c r="A173" s="203"/>
      <c r="B173" s="203"/>
      <c r="C173" s="203"/>
      <c r="D173" s="203"/>
      <c r="E173" s="203"/>
      <c r="F173" s="203"/>
      <c r="G173" s="203"/>
      <c r="H173" s="203"/>
      <c r="I173" s="203"/>
      <c r="J173" s="203"/>
      <c r="K173" s="203"/>
      <c r="L173" s="203"/>
      <c r="M173" s="203"/>
      <c r="N173" s="203"/>
      <c r="O173" s="203"/>
      <c r="P173" s="203"/>
      <c r="Q173" s="203"/>
      <c r="R173" s="203"/>
      <c r="S173" s="203"/>
      <c r="T173" s="203"/>
      <c r="U173" s="203"/>
      <c r="V173" s="203"/>
      <c r="W173" s="203"/>
      <c r="X173" s="203"/>
      <c r="Y173" s="203"/>
      <c r="Z173" s="203"/>
    </row>
    <row r="174" ht="12.75" customHeight="1">
      <c r="A174" s="203"/>
      <c r="B174" s="203"/>
      <c r="C174" s="203"/>
      <c r="D174" s="203"/>
      <c r="E174" s="203"/>
      <c r="F174" s="203"/>
      <c r="G174" s="203"/>
      <c r="H174" s="203"/>
      <c r="I174" s="203"/>
      <c r="J174" s="203"/>
      <c r="K174" s="203"/>
      <c r="L174" s="203"/>
      <c r="M174" s="203"/>
      <c r="N174" s="203"/>
      <c r="O174" s="203"/>
      <c r="P174" s="203"/>
      <c r="Q174" s="203"/>
      <c r="R174" s="203"/>
      <c r="S174" s="203"/>
      <c r="T174" s="203"/>
      <c r="U174" s="203"/>
      <c r="V174" s="203"/>
      <c r="W174" s="203"/>
      <c r="X174" s="203"/>
      <c r="Y174" s="203"/>
      <c r="Z174" s="203"/>
    </row>
    <row r="175" ht="12.75" customHeight="1">
      <c r="A175" s="203"/>
      <c r="B175" s="203"/>
      <c r="C175" s="203"/>
      <c r="D175" s="203"/>
      <c r="E175" s="203"/>
      <c r="F175" s="203"/>
      <c r="G175" s="203"/>
      <c r="H175" s="203"/>
      <c r="I175" s="203"/>
      <c r="J175" s="203"/>
      <c r="K175" s="203"/>
      <c r="L175" s="203"/>
      <c r="M175" s="203"/>
      <c r="N175" s="203"/>
      <c r="O175" s="203"/>
      <c r="P175" s="203"/>
      <c r="Q175" s="203"/>
      <c r="R175" s="203"/>
      <c r="S175" s="203"/>
      <c r="T175" s="203"/>
      <c r="U175" s="203"/>
      <c r="V175" s="203"/>
      <c r="W175" s="203"/>
      <c r="X175" s="203"/>
      <c r="Y175" s="203"/>
      <c r="Z175" s="203"/>
    </row>
    <row r="176" ht="12.75" customHeight="1">
      <c r="A176" s="203"/>
      <c r="B176" s="203"/>
      <c r="C176" s="203"/>
      <c r="D176" s="203"/>
      <c r="E176" s="203"/>
      <c r="F176" s="203"/>
      <c r="G176" s="203"/>
      <c r="H176" s="203"/>
      <c r="I176" s="203"/>
      <c r="J176" s="203"/>
      <c r="K176" s="203"/>
      <c r="L176" s="203"/>
      <c r="M176" s="203"/>
      <c r="N176" s="203"/>
      <c r="O176" s="203"/>
      <c r="P176" s="203"/>
      <c r="Q176" s="203"/>
      <c r="R176" s="203"/>
      <c r="S176" s="203"/>
      <c r="T176" s="203"/>
      <c r="U176" s="203"/>
      <c r="V176" s="203"/>
      <c r="W176" s="203"/>
      <c r="X176" s="203"/>
      <c r="Y176" s="203"/>
      <c r="Z176" s="203"/>
    </row>
    <row r="177" ht="12.75" customHeight="1">
      <c r="A177" s="203"/>
      <c r="B177" s="203"/>
      <c r="C177" s="203"/>
      <c r="D177" s="203"/>
      <c r="E177" s="203"/>
      <c r="F177" s="203"/>
      <c r="G177" s="203"/>
      <c r="H177" s="203"/>
      <c r="I177" s="203"/>
      <c r="J177" s="203"/>
      <c r="K177" s="203"/>
      <c r="L177" s="203"/>
      <c r="M177" s="203"/>
      <c r="N177" s="203"/>
      <c r="O177" s="203"/>
      <c r="P177" s="203"/>
      <c r="Q177" s="203"/>
      <c r="R177" s="203"/>
      <c r="S177" s="203"/>
      <c r="T177" s="203"/>
      <c r="U177" s="203"/>
      <c r="V177" s="203"/>
      <c r="W177" s="203"/>
      <c r="X177" s="203"/>
      <c r="Y177" s="203"/>
      <c r="Z177" s="203"/>
    </row>
    <row r="178" ht="12.75" customHeight="1">
      <c r="A178" s="203"/>
      <c r="B178" s="203"/>
      <c r="C178" s="203"/>
      <c r="D178" s="203"/>
      <c r="E178" s="203"/>
      <c r="F178" s="203"/>
      <c r="G178" s="203"/>
      <c r="H178" s="203"/>
      <c r="I178" s="203"/>
      <c r="J178" s="203"/>
      <c r="K178" s="203"/>
      <c r="L178" s="203"/>
      <c r="M178" s="203"/>
      <c r="N178" s="203"/>
      <c r="O178" s="203"/>
      <c r="P178" s="203"/>
      <c r="Q178" s="203"/>
      <c r="R178" s="203"/>
      <c r="S178" s="203"/>
      <c r="T178" s="203"/>
      <c r="U178" s="203"/>
      <c r="V178" s="203"/>
      <c r="W178" s="203"/>
      <c r="X178" s="203"/>
      <c r="Y178" s="203"/>
      <c r="Z178" s="203"/>
    </row>
    <row r="179" ht="12.75" customHeight="1">
      <c r="A179" s="203"/>
      <c r="B179" s="203"/>
      <c r="C179" s="203"/>
      <c r="D179" s="203"/>
      <c r="E179" s="203"/>
      <c r="F179" s="203"/>
      <c r="G179" s="203"/>
      <c r="H179" s="203"/>
      <c r="I179" s="203"/>
      <c r="J179" s="203"/>
      <c r="K179" s="203"/>
      <c r="L179" s="203"/>
      <c r="M179" s="203"/>
      <c r="N179" s="203"/>
      <c r="O179" s="203"/>
      <c r="P179" s="203"/>
      <c r="Q179" s="203"/>
      <c r="R179" s="203"/>
      <c r="S179" s="203"/>
      <c r="T179" s="203"/>
      <c r="U179" s="203"/>
      <c r="V179" s="203"/>
      <c r="W179" s="203"/>
      <c r="X179" s="203"/>
      <c r="Y179" s="203"/>
      <c r="Z179" s="203"/>
    </row>
    <row r="180" ht="12.75" customHeight="1">
      <c r="A180" s="203"/>
      <c r="B180" s="203"/>
      <c r="C180" s="203"/>
      <c r="D180" s="203"/>
      <c r="E180" s="203"/>
      <c r="F180" s="203"/>
      <c r="G180" s="203"/>
      <c r="H180" s="203"/>
      <c r="I180" s="203"/>
      <c r="J180" s="203"/>
      <c r="K180" s="203"/>
      <c r="L180" s="203"/>
      <c r="M180" s="203"/>
      <c r="N180" s="203"/>
      <c r="O180" s="203"/>
      <c r="P180" s="203"/>
      <c r="Q180" s="203"/>
      <c r="R180" s="203"/>
      <c r="S180" s="203"/>
      <c r="T180" s="203"/>
      <c r="U180" s="203"/>
      <c r="V180" s="203"/>
      <c r="W180" s="203"/>
      <c r="X180" s="203"/>
      <c r="Y180" s="203"/>
      <c r="Z180" s="203"/>
    </row>
    <row r="181" ht="12.75" customHeight="1">
      <c r="A181" s="203"/>
      <c r="B181" s="203"/>
      <c r="C181" s="203"/>
      <c r="D181" s="203"/>
      <c r="E181" s="203"/>
      <c r="F181" s="203"/>
      <c r="G181" s="203"/>
      <c r="H181" s="203"/>
      <c r="I181" s="203"/>
      <c r="J181" s="203"/>
      <c r="K181" s="203"/>
      <c r="L181" s="203"/>
      <c r="M181" s="203"/>
      <c r="N181" s="203"/>
      <c r="O181" s="203"/>
      <c r="P181" s="203"/>
      <c r="Q181" s="203"/>
      <c r="R181" s="203"/>
      <c r="S181" s="203"/>
      <c r="T181" s="203"/>
      <c r="U181" s="203"/>
      <c r="V181" s="203"/>
      <c r="W181" s="203"/>
      <c r="X181" s="203"/>
      <c r="Y181" s="203"/>
      <c r="Z181" s="203"/>
    </row>
    <row r="182" ht="12.75" customHeight="1">
      <c r="A182" s="203"/>
      <c r="B182" s="203"/>
      <c r="C182" s="203"/>
      <c r="D182" s="203"/>
      <c r="E182" s="203"/>
      <c r="F182" s="203"/>
      <c r="G182" s="203"/>
      <c r="H182" s="203"/>
      <c r="I182" s="203"/>
      <c r="J182" s="203"/>
      <c r="K182" s="203"/>
      <c r="L182" s="203"/>
      <c r="M182" s="203"/>
      <c r="N182" s="203"/>
      <c r="O182" s="203"/>
      <c r="P182" s="203"/>
      <c r="Q182" s="203"/>
      <c r="R182" s="203"/>
      <c r="S182" s="203"/>
      <c r="T182" s="203"/>
      <c r="U182" s="203"/>
      <c r="V182" s="203"/>
      <c r="W182" s="203"/>
      <c r="X182" s="203"/>
      <c r="Y182" s="203"/>
      <c r="Z182" s="203"/>
    </row>
    <row r="183" ht="12.75" customHeight="1">
      <c r="A183" s="203"/>
      <c r="B183" s="203"/>
      <c r="C183" s="203"/>
      <c r="D183" s="203"/>
      <c r="E183" s="203"/>
      <c r="F183" s="203"/>
      <c r="G183" s="203"/>
      <c r="H183" s="203"/>
      <c r="I183" s="203"/>
      <c r="J183" s="203"/>
      <c r="K183" s="203"/>
      <c r="L183" s="203"/>
      <c r="M183" s="203"/>
      <c r="N183" s="203"/>
      <c r="O183" s="203"/>
      <c r="P183" s="203"/>
      <c r="Q183" s="203"/>
      <c r="R183" s="203"/>
      <c r="S183" s="203"/>
      <c r="T183" s="203"/>
      <c r="U183" s="203"/>
      <c r="V183" s="203"/>
      <c r="W183" s="203"/>
      <c r="X183" s="203"/>
      <c r="Y183" s="203"/>
      <c r="Z183" s="203"/>
    </row>
    <row r="184" ht="12.75" customHeight="1">
      <c r="A184" s="203"/>
      <c r="B184" s="203"/>
      <c r="C184" s="203"/>
      <c r="D184" s="203"/>
      <c r="E184" s="203"/>
      <c r="F184" s="203"/>
      <c r="G184" s="203"/>
      <c r="H184" s="203"/>
      <c r="I184" s="203"/>
      <c r="J184" s="203"/>
      <c r="K184" s="203"/>
      <c r="L184" s="203"/>
      <c r="M184" s="203"/>
      <c r="N184" s="203"/>
      <c r="O184" s="203"/>
      <c r="P184" s="203"/>
      <c r="Q184" s="203"/>
      <c r="R184" s="203"/>
      <c r="S184" s="203"/>
      <c r="T184" s="203"/>
      <c r="U184" s="203"/>
      <c r="V184" s="203"/>
      <c r="W184" s="203"/>
      <c r="X184" s="203"/>
      <c r="Y184" s="203"/>
      <c r="Z184" s="203"/>
    </row>
    <row r="185" ht="12.75" customHeight="1">
      <c r="A185" s="203"/>
      <c r="B185" s="203"/>
      <c r="C185" s="203"/>
      <c r="D185" s="203"/>
      <c r="E185" s="203"/>
      <c r="F185" s="203"/>
      <c r="G185" s="203"/>
      <c r="H185" s="203"/>
      <c r="I185" s="203"/>
      <c r="J185" s="203"/>
      <c r="K185" s="203"/>
      <c r="L185" s="203"/>
      <c r="M185" s="203"/>
      <c r="N185" s="203"/>
      <c r="O185" s="203"/>
      <c r="P185" s="203"/>
      <c r="Q185" s="203"/>
      <c r="R185" s="203"/>
      <c r="S185" s="203"/>
      <c r="T185" s="203"/>
      <c r="U185" s="203"/>
      <c r="V185" s="203"/>
      <c r="W185" s="203"/>
      <c r="X185" s="203"/>
      <c r="Y185" s="203"/>
      <c r="Z185" s="203"/>
    </row>
    <row r="186" ht="12.75" customHeight="1">
      <c r="A186" s="203"/>
      <c r="B186" s="203"/>
      <c r="C186" s="203"/>
      <c r="D186" s="203"/>
      <c r="E186" s="203"/>
      <c r="F186" s="203"/>
      <c r="G186" s="203"/>
      <c r="H186" s="203"/>
      <c r="I186" s="203"/>
      <c r="J186" s="203"/>
      <c r="K186" s="203"/>
      <c r="L186" s="203"/>
      <c r="M186" s="203"/>
      <c r="N186" s="203"/>
      <c r="O186" s="203"/>
      <c r="P186" s="203"/>
      <c r="Q186" s="203"/>
      <c r="R186" s="203"/>
      <c r="S186" s="203"/>
      <c r="T186" s="203"/>
      <c r="U186" s="203"/>
      <c r="V186" s="203"/>
      <c r="W186" s="203"/>
      <c r="X186" s="203"/>
      <c r="Y186" s="203"/>
      <c r="Z186" s="203"/>
    </row>
    <row r="187" ht="12.75" customHeight="1">
      <c r="A187" s="203"/>
      <c r="B187" s="203"/>
      <c r="C187" s="203"/>
      <c r="D187" s="203"/>
      <c r="E187" s="203"/>
      <c r="F187" s="203"/>
      <c r="G187" s="203"/>
      <c r="H187" s="203"/>
      <c r="I187" s="203"/>
      <c r="J187" s="203"/>
      <c r="K187" s="203"/>
      <c r="L187" s="203"/>
      <c r="M187" s="203"/>
      <c r="N187" s="203"/>
      <c r="O187" s="203"/>
      <c r="P187" s="203"/>
      <c r="Q187" s="203"/>
      <c r="R187" s="203"/>
      <c r="S187" s="203"/>
      <c r="T187" s="203"/>
      <c r="U187" s="203"/>
      <c r="V187" s="203"/>
      <c r="W187" s="203"/>
      <c r="X187" s="203"/>
      <c r="Y187" s="203"/>
      <c r="Z187" s="203"/>
    </row>
    <row r="188" ht="12.75" customHeight="1">
      <c r="A188" s="203"/>
      <c r="B188" s="203"/>
      <c r="C188" s="203"/>
      <c r="D188" s="203"/>
      <c r="E188" s="203"/>
      <c r="F188" s="203"/>
      <c r="G188" s="203"/>
      <c r="H188" s="203"/>
      <c r="I188" s="203"/>
      <c r="J188" s="203"/>
      <c r="K188" s="203"/>
      <c r="L188" s="203"/>
      <c r="M188" s="203"/>
      <c r="N188" s="203"/>
      <c r="O188" s="203"/>
      <c r="P188" s="203"/>
      <c r="Q188" s="203"/>
      <c r="R188" s="203"/>
      <c r="S188" s="203"/>
      <c r="T188" s="203"/>
      <c r="U188" s="203"/>
      <c r="V188" s="203"/>
      <c r="W188" s="203"/>
      <c r="X188" s="203"/>
      <c r="Y188" s="203"/>
      <c r="Z188" s="203"/>
    </row>
    <row r="189" ht="12.75" customHeight="1">
      <c r="A189" s="203"/>
      <c r="B189" s="203"/>
      <c r="C189" s="203"/>
      <c r="D189" s="203"/>
      <c r="E189" s="203"/>
      <c r="F189" s="203"/>
      <c r="G189" s="203"/>
      <c r="H189" s="203"/>
      <c r="I189" s="203"/>
      <c r="J189" s="203"/>
      <c r="K189" s="203"/>
      <c r="L189" s="203"/>
      <c r="M189" s="203"/>
      <c r="N189" s="203"/>
      <c r="O189" s="203"/>
      <c r="P189" s="203"/>
      <c r="Q189" s="203"/>
      <c r="R189" s="203"/>
      <c r="S189" s="203"/>
      <c r="T189" s="203"/>
      <c r="U189" s="203"/>
      <c r="V189" s="203"/>
      <c r="W189" s="203"/>
      <c r="X189" s="203"/>
      <c r="Y189" s="203"/>
      <c r="Z189" s="203"/>
    </row>
    <row r="190" ht="12.75" customHeight="1">
      <c r="A190" s="203"/>
      <c r="B190" s="203"/>
      <c r="C190" s="203"/>
      <c r="D190" s="203"/>
      <c r="E190" s="203"/>
      <c r="F190" s="203"/>
      <c r="G190" s="203"/>
      <c r="H190" s="203"/>
      <c r="I190" s="203"/>
      <c r="J190" s="203"/>
      <c r="K190" s="203"/>
      <c r="L190" s="203"/>
      <c r="M190" s="203"/>
      <c r="N190" s="203"/>
      <c r="O190" s="203"/>
      <c r="P190" s="203"/>
      <c r="Q190" s="203"/>
      <c r="R190" s="203"/>
      <c r="S190" s="203"/>
      <c r="T190" s="203"/>
      <c r="U190" s="203"/>
      <c r="V190" s="203"/>
      <c r="W190" s="203"/>
      <c r="X190" s="203"/>
      <c r="Y190" s="203"/>
      <c r="Z190" s="203"/>
    </row>
    <row r="191" ht="12.75" customHeight="1">
      <c r="A191" s="203"/>
      <c r="B191" s="203"/>
      <c r="C191" s="203"/>
      <c r="D191" s="203"/>
      <c r="E191" s="203"/>
      <c r="F191" s="203"/>
      <c r="G191" s="203"/>
      <c r="H191" s="203"/>
      <c r="I191" s="203"/>
      <c r="J191" s="203"/>
      <c r="K191" s="203"/>
      <c r="L191" s="203"/>
      <c r="M191" s="203"/>
      <c r="N191" s="203"/>
      <c r="O191" s="203"/>
      <c r="P191" s="203"/>
      <c r="Q191" s="203"/>
      <c r="R191" s="203"/>
      <c r="S191" s="203"/>
      <c r="T191" s="203"/>
      <c r="U191" s="203"/>
      <c r="V191" s="203"/>
      <c r="W191" s="203"/>
      <c r="X191" s="203"/>
      <c r="Y191" s="203"/>
      <c r="Z191" s="203"/>
    </row>
    <row r="192" ht="12.75" customHeight="1">
      <c r="A192" s="203"/>
      <c r="B192" s="203"/>
      <c r="C192" s="203"/>
      <c r="D192" s="203"/>
      <c r="E192" s="203"/>
      <c r="F192" s="203"/>
      <c r="G192" s="203"/>
      <c r="H192" s="203"/>
      <c r="I192" s="203"/>
      <c r="J192" s="203"/>
      <c r="K192" s="203"/>
      <c r="L192" s="203"/>
      <c r="M192" s="203"/>
      <c r="N192" s="203"/>
      <c r="O192" s="203"/>
      <c r="P192" s="203"/>
      <c r="Q192" s="203"/>
      <c r="R192" s="203"/>
      <c r="S192" s="203"/>
      <c r="T192" s="203"/>
      <c r="U192" s="203"/>
      <c r="V192" s="203"/>
      <c r="W192" s="203"/>
      <c r="X192" s="203"/>
      <c r="Y192" s="203"/>
      <c r="Z192" s="203"/>
    </row>
    <row r="193" ht="12.75" customHeight="1">
      <c r="A193" s="203"/>
      <c r="B193" s="203"/>
      <c r="C193" s="203"/>
      <c r="D193" s="203"/>
      <c r="E193" s="203"/>
      <c r="F193" s="203"/>
      <c r="G193" s="203"/>
      <c r="H193" s="203"/>
      <c r="I193" s="203"/>
      <c r="J193" s="203"/>
      <c r="K193" s="203"/>
      <c r="L193" s="203"/>
      <c r="M193" s="203"/>
      <c r="N193" s="203"/>
      <c r="O193" s="203"/>
      <c r="P193" s="203"/>
      <c r="Q193" s="203"/>
      <c r="R193" s="203"/>
      <c r="S193" s="203"/>
      <c r="T193" s="203"/>
      <c r="U193" s="203"/>
      <c r="V193" s="203"/>
      <c r="W193" s="203"/>
      <c r="X193" s="203"/>
      <c r="Y193" s="203"/>
      <c r="Z193" s="203"/>
    </row>
    <row r="194" ht="12.75" customHeight="1">
      <c r="A194" s="203"/>
      <c r="B194" s="203"/>
      <c r="C194" s="203"/>
      <c r="D194" s="203"/>
      <c r="E194" s="203"/>
      <c r="F194" s="203"/>
      <c r="G194" s="203"/>
      <c r="H194" s="203"/>
      <c r="I194" s="203"/>
      <c r="J194" s="203"/>
      <c r="K194" s="203"/>
      <c r="L194" s="203"/>
      <c r="M194" s="203"/>
      <c r="N194" s="203"/>
      <c r="O194" s="203"/>
      <c r="P194" s="203"/>
      <c r="Q194" s="203"/>
      <c r="R194" s="203"/>
      <c r="S194" s="203"/>
      <c r="T194" s="203"/>
      <c r="U194" s="203"/>
      <c r="V194" s="203"/>
      <c r="W194" s="203"/>
      <c r="X194" s="203"/>
      <c r="Y194" s="203"/>
      <c r="Z194" s="203"/>
    </row>
    <row r="195" ht="12.75" customHeight="1">
      <c r="A195" s="203"/>
      <c r="B195" s="203"/>
      <c r="C195" s="203"/>
      <c r="D195" s="203"/>
      <c r="E195" s="203"/>
      <c r="F195" s="203"/>
      <c r="G195" s="203"/>
      <c r="H195" s="203"/>
      <c r="I195" s="203"/>
      <c r="J195" s="203"/>
      <c r="K195" s="203"/>
      <c r="L195" s="203"/>
      <c r="M195" s="203"/>
      <c r="N195" s="203"/>
      <c r="O195" s="203"/>
      <c r="P195" s="203"/>
      <c r="Q195" s="203"/>
      <c r="R195" s="203"/>
      <c r="S195" s="203"/>
      <c r="T195" s="203"/>
      <c r="U195" s="203"/>
      <c r="V195" s="203"/>
      <c r="W195" s="203"/>
      <c r="X195" s="203"/>
      <c r="Y195" s="203"/>
      <c r="Z195" s="203"/>
    </row>
    <row r="196" ht="12.75" customHeight="1">
      <c r="A196" s="203"/>
      <c r="B196" s="203"/>
      <c r="C196" s="203"/>
      <c r="D196" s="203"/>
      <c r="E196" s="203"/>
      <c r="F196" s="203"/>
      <c r="G196" s="203"/>
      <c r="H196" s="203"/>
      <c r="I196" s="203"/>
      <c r="J196" s="203"/>
      <c r="K196" s="203"/>
      <c r="L196" s="203"/>
      <c r="M196" s="203"/>
      <c r="N196" s="203"/>
      <c r="O196" s="203"/>
      <c r="P196" s="203"/>
      <c r="Q196" s="203"/>
      <c r="R196" s="203"/>
      <c r="S196" s="203"/>
      <c r="T196" s="203"/>
      <c r="U196" s="203"/>
      <c r="V196" s="203"/>
      <c r="W196" s="203"/>
      <c r="X196" s="203"/>
      <c r="Y196" s="203"/>
      <c r="Z196" s="203"/>
    </row>
    <row r="197" ht="12.75" customHeight="1">
      <c r="A197" s="203"/>
      <c r="B197" s="203"/>
      <c r="C197" s="203"/>
      <c r="D197" s="203"/>
      <c r="E197" s="203"/>
      <c r="F197" s="203"/>
      <c r="G197" s="203"/>
      <c r="H197" s="203"/>
      <c r="I197" s="203"/>
      <c r="J197" s="203"/>
      <c r="K197" s="203"/>
      <c r="L197" s="203"/>
      <c r="M197" s="203"/>
      <c r="N197" s="203"/>
      <c r="O197" s="203"/>
      <c r="P197" s="203"/>
      <c r="Q197" s="203"/>
      <c r="R197" s="203"/>
      <c r="S197" s="203"/>
      <c r="T197" s="203"/>
      <c r="U197" s="203"/>
      <c r="V197" s="203"/>
      <c r="W197" s="203"/>
      <c r="X197" s="203"/>
      <c r="Y197" s="203"/>
      <c r="Z197" s="203"/>
    </row>
    <row r="198" ht="12.75" customHeight="1">
      <c r="A198" s="203"/>
      <c r="B198" s="203"/>
      <c r="C198" s="203"/>
      <c r="D198" s="203"/>
      <c r="E198" s="203"/>
      <c r="F198" s="203"/>
      <c r="G198" s="203"/>
      <c r="H198" s="203"/>
      <c r="I198" s="203"/>
      <c r="J198" s="203"/>
      <c r="K198" s="203"/>
      <c r="L198" s="203"/>
      <c r="M198" s="203"/>
      <c r="N198" s="203"/>
      <c r="O198" s="203"/>
      <c r="P198" s="203"/>
      <c r="Q198" s="203"/>
      <c r="R198" s="203"/>
      <c r="S198" s="203"/>
      <c r="T198" s="203"/>
      <c r="U198" s="203"/>
      <c r="V198" s="203"/>
      <c r="W198" s="203"/>
      <c r="X198" s="203"/>
      <c r="Y198" s="203"/>
      <c r="Z198" s="203"/>
    </row>
    <row r="199" ht="12.75" customHeight="1">
      <c r="A199" s="203"/>
      <c r="B199" s="203"/>
      <c r="C199" s="203"/>
      <c r="D199" s="203"/>
      <c r="E199" s="203"/>
      <c r="F199" s="203"/>
      <c r="G199" s="203"/>
      <c r="H199" s="203"/>
      <c r="I199" s="203"/>
      <c r="J199" s="203"/>
      <c r="K199" s="203"/>
      <c r="L199" s="203"/>
      <c r="M199" s="203"/>
      <c r="N199" s="203"/>
      <c r="O199" s="203"/>
      <c r="P199" s="203"/>
      <c r="Q199" s="203"/>
      <c r="R199" s="203"/>
      <c r="S199" s="203"/>
      <c r="T199" s="203"/>
      <c r="U199" s="203"/>
      <c r="V199" s="203"/>
      <c r="W199" s="203"/>
      <c r="X199" s="203"/>
      <c r="Y199" s="203"/>
      <c r="Z199" s="203"/>
    </row>
    <row r="200" ht="12.75" customHeight="1">
      <c r="A200" s="203"/>
      <c r="B200" s="203"/>
      <c r="C200" s="203"/>
      <c r="D200" s="203"/>
      <c r="E200" s="203"/>
      <c r="F200" s="203"/>
      <c r="G200" s="203"/>
      <c r="H200" s="203"/>
      <c r="I200" s="203"/>
      <c r="J200" s="203"/>
      <c r="K200" s="203"/>
      <c r="L200" s="203"/>
      <c r="M200" s="203"/>
      <c r="N200" s="203"/>
      <c r="O200" s="203"/>
      <c r="P200" s="203"/>
      <c r="Q200" s="203"/>
      <c r="R200" s="203"/>
      <c r="S200" s="203"/>
      <c r="T200" s="203"/>
      <c r="U200" s="203"/>
      <c r="V200" s="203"/>
      <c r="W200" s="203"/>
      <c r="X200" s="203"/>
      <c r="Y200" s="203"/>
      <c r="Z200" s="203"/>
    </row>
    <row r="201" ht="12.75" customHeight="1">
      <c r="A201" s="203"/>
      <c r="B201" s="203"/>
      <c r="C201" s="203"/>
      <c r="D201" s="203"/>
      <c r="E201" s="203"/>
      <c r="F201" s="203"/>
      <c r="G201" s="203"/>
      <c r="H201" s="203"/>
      <c r="I201" s="203"/>
      <c r="J201" s="203"/>
      <c r="K201" s="203"/>
      <c r="L201" s="203"/>
      <c r="M201" s="203"/>
      <c r="N201" s="203"/>
      <c r="O201" s="203"/>
      <c r="P201" s="203"/>
      <c r="Q201" s="203"/>
      <c r="R201" s="203"/>
      <c r="S201" s="203"/>
      <c r="T201" s="203"/>
      <c r="U201" s="203"/>
      <c r="V201" s="203"/>
      <c r="W201" s="203"/>
      <c r="X201" s="203"/>
      <c r="Y201" s="203"/>
      <c r="Z201" s="203"/>
    </row>
    <row r="202" ht="12.75" customHeight="1">
      <c r="A202" s="203"/>
      <c r="B202" s="203"/>
      <c r="C202" s="203"/>
      <c r="D202" s="203"/>
      <c r="E202" s="203"/>
      <c r="F202" s="203"/>
      <c r="G202" s="203"/>
      <c r="H202" s="203"/>
      <c r="I202" s="203"/>
      <c r="J202" s="203"/>
      <c r="K202" s="203"/>
      <c r="L202" s="203"/>
      <c r="M202" s="203"/>
      <c r="N202" s="203"/>
      <c r="O202" s="203"/>
      <c r="P202" s="203"/>
      <c r="Q202" s="203"/>
      <c r="R202" s="203"/>
      <c r="S202" s="203"/>
      <c r="T202" s="203"/>
      <c r="U202" s="203"/>
      <c r="V202" s="203"/>
      <c r="W202" s="203"/>
      <c r="X202" s="203"/>
      <c r="Y202" s="203"/>
      <c r="Z202" s="203"/>
    </row>
    <row r="203" ht="12.75" customHeight="1">
      <c r="A203" s="203"/>
      <c r="B203" s="203"/>
      <c r="C203" s="203"/>
      <c r="D203" s="203"/>
      <c r="E203" s="203"/>
      <c r="F203" s="203"/>
      <c r="G203" s="203"/>
      <c r="H203" s="203"/>
      <c r="I203" s="203"/>
      <c r="J203" s="203"/>
      <c r="K203" s="203"/>
      <c r="L203" s="203"/>
      <c r="M203" s="203"/>
      <c r="N203" s="203"/>
      <c r="O203" s="203"/>
      <c r="P203" s="203"/>
      <c r="Q203" s="203"/>
      <c r="R203" s="203"/>
      <c r="S203" s="203"/>
      <c r="T203" s="203"/>
      <c r="U203" s="203"/>
      <c r="V203" s="203"/>
      <c r="W203" s="203"/>
      <c r="X203" s="203"/>
      <c r="Y203" s="203"/>
      <c r="Z203" s="203"/>
    </row>
    <row r="204" ht="12.75" customHeight="1">
      <c r="A204" s="203"/>
      <c r="B204" s="203"/>
      <c r="C204" s="203"/>
      <c r="D204" s="203"/>
      <c r="E204" s="203"/>
      <c r="F204" s="203"/>
      <c r="G204" s="203"/>
      <c r="H204" s="203"/>
      <c r="I204" s="203"/>
      <c r="J204" s="203"/>
      <c r="K204" s="203"/>
      <c r="L204" s="203"/>
      <c r="M204" s="203"/>
      <c r="N204" s="203"/>
      <c r="O204" s="203"/>
      <c r="P204" s="203"/>
      <c r="Q204" s="203"/>
      <c r="R204" s="203"/>
      <c r="S204" s="203"/>
      <c r="T204" s="203"/>
      <c r="U204" s="203"/>
      <c r="V204" s="203"/>
      <c r="W204" s="203"/>
      <c r="X204" s="203"/>
      <c r="Y204" s="203"/>
      <c r="Z204" s="203"/>
    </row>
    <row r="205" ht="12.75" customHeight="1">
      <c r="A205" s="203"/>
      <c r="B205" s="203"/>
      <c r="C205" s="203"/>
      <c r="D205" s="203"/>
      <c r="E205" s="203"/>
      <c r="F205" s="203"/>
      <c r="G205" s="203"/>
      <c r="H205" s="203"/>
      <c r="I205" s="203"/>
      <c r="J205" s="203"/>
      <c r="K205" s="203"/>
      <c r="L205" s="203"/>
      <c r="M205" s="203"/>
      <c r="N205" s="203"/>
      <c r="O205" s="203"/>
      <c r="P205" s="203"/>
      <c r="Q205" s="203"/>
      <c r="R205" s="203"/>
      <c r="S205" s="203"/>
      <c r="T205" s="203"/>
      <c r="U205" s="203"/>
      <c r="V205" s="203"/>
      <c r="W205" s="203"/>
      <c r="X205" s="203"/>
      <c r="Y205" s="203"/>
      <c r="Z205" s="203"/>
    </row>
    <row r="206" ht="12.75" customHeight="1">
      <c r="A206" s="203"/>
      <c r="B206" s="203"/>
      <c r="C206" s="203"/>
      <c r="D206" s="203"/>
      <c r="E206" s="203"/>
      <c r="F206" s="203"/>
      <c r="G206" s="203"/>
      <c r="H206" s="203"/>
      <c r="I206" s="203"/>
      <c r="J206" s="203"/>
      <c r="K206" s="203"/>
      <c r="L206" s="203"/>
      <c r="M206" s="203"/>
      <c r="N206" s="203"/>
      <c r="O206" s="203"/>
      <c r="P206" s="203"/>
      <c r="Q206" s="203"/>
      <c r="R206" s="203"/>
      <c r="S206" s="203"/>
      <c r="T206" s="203"/>
      <c r="U206" s="203"/>
      <c r="V206" s="203"/>
      <c r="W206" s="203"/>
      <c r="X206" s="203"/>
      <c r="Y206" s="203"/>
      <c r="Z206" s="203"/>
    </row>
    <row r="207" ht="12.75" customHeight="1">
      <c r="A207" s="203"/>
      <c r="B207" s="203"/>
      <c r="C207" s="203"/>
      <c r="D207" s="203"/>
      <c r="E207" s="203"/>
      <c r="F207" s="203"/>
      <c r="G207" s="203"/>
      <c r="H207" s="203"/>
      <c r="I207" s="203"/>
      <c r="J207" s="203"/>
      <c r="K207" s="203"/>
      <c r="L207" s="203"/>
      <c r="M207" s="203"/>
      <c r="N207" s="203"/>
      <c r="O207" s="203"/>
      <c r="P207" s="203"/>
      <c r="Q207" s="203"/>
      <c r="R207" s="203"/>
      <c r="S207" s="203"/>
      <c r="T207" s="203"/>
      <c r="U207" s="203"/>
      <c r="V207" s="203"/>
      <c r="W207" s="203"/>
      <c r="X207" s="203"/>
      <c r="Y207" s="203"/>
      <c r="Z207" s="203"/>
    </row>
    <row r="208" ht="12.75" customHeight="1">
      <c r="A208" s="203"/>
      <c r="B208" s="203"/>
      <c r="C208" s="203"/>
      <c r="D208" s="203"/>
      <c r="E208" s="203"/>
      <c r="F208" s="203"/>
      <c r="G208" s="203"/>
      <c r="H208" s="203"/>
      <c r="I208" s="203"/>
      <c r="J208" s="203"/>
      <c r="K208" s="203"/>
      <c r="L208" s="203"/>
      <c r="M208" s="203"/>
      <c r="N208" s="203"/>
      <c r="O208" s="203"/>
      <c r="P208" s="203"/>
      <c r="Q208" s="203"/>
      <c r="R208" s="203"/>
      <c r="S208" s="203"/>
      <c r="T208" s="203"/>
      <c r="U208" s="203"/>
      <c r="V208" s="203"/>
      <c r="W208" s="203"/>
      <c r="X208" s="203"/>
      <c r="Y208" s="203"/>
      <c r="Z208" s="203"/>
    </row>
    <row r="209" ht="12.75" customHeight="1">
      <c r="A209" s="203"/>
      <c r="B209" s="203"/>
      <c r="C209" s="203"/>
      <c r="D209" s="203"/>
      <c r="E209" s="203"/>
      <c r="F209" s="203"/>
      <c r="G209" s="203"/>
      <c r="H209" s="203"/>
      <c r="I209" s="203"/>
      <c r="J209" s="203"/>
      <c r="K209" s="203"/>
      <c r="L209" s="203"/>
      <c r="M209" s="203"/>
      <c r="N209" s="203"/>
      <c r="O209" s="203"/>
      <c r="P209" s="203"/>
      <c r="Q209" s="203"/>
      <c r="R209" s="203"/>
      <c r="S209" s="203"/>
      <c r="T209" s="203"/>
      <c r="U209" s="203"/>
      <c r="V209" s="203"/>
      <c r="W209" s="203"/>
      <c r="X209" s="203"/>
      <c r="Y209" s="203"/>
      <c r="Z209" s="203"/>
    </row>
    <row r="210" ht="12.75" customHeight="1">
      <c r="A210" s="203"/>
      <c r="B210" s="203"/>
      <c r="C210" s="203"/>
      <c r="D210" s="203"/>
      <c r="E210" s="203"/>
      <c r="F210" s="203"/>
      <c r="G210" s="203"/>
      <c r="H210" s="203"/>
      <c r="I210" s="203"/>
      <c r="J210" s="203"/>
      <c r="K210" s="203"/>
      <c r="L210" s="203"/>
      <c r="M210" s="203"/>
      <c r="N210" s="203"/>
      <c r="O210" s="203"/>
      <c r="P210" s="203"/>
      <c r="Q210" s="203"/>
      <c r="R210" s="203"/>
      <c r="S210" s="203"/>
      <c r="T210" s="203"/>
      <c r="U210" s="203"/>
      <c r="V210" s="203"/>
      <c r="W210" s="203"/>
      <c r="X210" s="203"/>
      <c r="Y210" s="203"/>
      <c r="Z210" s="203"/>
    </row>
    <row r="211" ht="12.75" customHeight="1">
      <c r="A211" s="203"/>
      <c r="B211" s="203"/>
      <c r="C211" s="203"/>
      <c r="D211" s="203"/>
      <c r="E211" s="203"/>
      <c r="F211" s="203"/>
      <c r="G211" s="203"/>
      <c r="H211" s="203"/>
      <c r="I211" s="203"/>
      <c r="J211" s="203"/>
      <c r="K211" s="203"/>
      <c r="L211" s="203"/>
      <c r="M211" s="203"/>
      <c r="N211" s="203"/>
      <c r="O211" s="203"/>
      <c r="P211" s="203"/>
      <c r="Q211" s="203"/>
      <c r="R211" s="203"/>
      <c r="S211" s="203"/>
      <c r="T211" s="203"/>
      <c r="U211" s="203"/>
      <c r="V211" s="203"/>
      <c r="W211" s="203"/>
      <c r="X211" s="203"/>
      <c r="Y211" s="203"/>
      <c r="Z211" s="203"/>
    </row>
    <row r="212" ht="12.75" customHeight="1">
      <c r="A212" s="203"/>
      <c r="B212" s="203"/>
      <c r="C212" s="203"/>
      <c r="D212" s="203"/>
      <c r="E212" s="203"/>
      <c r="F212" s="203"/>
      <c r="G212" s="203"/>
      <c r="H212" s="203"/>
      <c r="I212" s="203"/>
      <c r="J212" s="203"/>
      <c r="K212" s="203"/>
      <c r="L212" s="203"/>
      <c r="M212" s="203"/>
      <c r="N212" s="203"/>
      <c r="O212" s="203"/>
      <c r="P212" s="203"/>
      <c r="Q212" s="203"/>
      <c r="R212" s="203"/>
      <c r="S212" s="203"/>
      <c r="T212" s="203"/>
      <c r="U212" s="203"/>
      <c r="V212" s="203"/>
      <c r="W212" s="203"/>
      <c r="X212" s="203"/>
      <c r="Y212" s="203"/>
      <c r="Z212" s="203"/>
    </row>
    <row r="213" ht="12.75" customHeight="1">
      <c r="A213" s="203"/>
      <c r="B213" s="203"/>
      <c r="C213" s="203"/>
      <c r="D213" s="203"/>
      <c r="E213" s="203"/>
      <c r="F213" s="203"/>
      <c r="G213" s="203"/>
      <c r="H213" s="203"/>
      <c r="I213" s="203"/>
      <c r="J213" s="203"/>
      <c r="K213" s="203"/>
      <c r="L213" s="203"/>
      <c r="M213" s="203"/>
      <c r="N213" s="203"/>
      <c r="O213" s="203"/>
      <c r="P213" s="203"/>
      <c r="Q213" s="203"/>
      <c r="R213" s="203"/>
      <c r="S213" s="203"/>
      <c r="T213" s="203"/>
      <c r="U213" s="203"/>
      <c r="V213" s="203"/>
      <c r="W213" s="203"/>
      <c r="X213" s="203"/>
      <c r="Y213" s="203"/>
      <c r="Z213" s="203"/>
    </row>
    <row r="214" ht="12.75" customHeight="1">
      <c r="A214" s="203"/>
      <c r="B214" s="203"/>
      <c r="C214" s="203"/>
      <c r="D214" s="203"/>
      <c r="E214" s="203"/>
      <c r="F214" s="203"/>
      <c r="G214" s="203"/>
      <c r="H214" s="203"/>
      <c r="I214" s="203"/>
      <c r="J214" s="203"/>
      <c r="K214" s="203"/>
      <c r="L214" s="203"/>
      <c r="M214" s="203"/>
      <c r="N214" s="203"/>
      <c r="O214" s="203"/>
      <c r="P214" s="203"/>
      <c r="Q214" s="203"/>
      <c r="R214" s="203"/>
      <c r="S214" s="203"/>
      <c r="T214" s="203"/>
      <c r="U214" s="203"/>
      <c r="V214" s="203"/>
      <c r="W214" s="203"/>
      <c r="X214" s="203"/>
      <c r="Y214" s="203"/>
      <c r="Z214" s="203"/>
    </row>
    <row r="215" ht="12.75" customHeight="1">
      <c r="A215" s="203"/>
      <c r="B215" s="203"/>
      <c r="C215" s="203"/>
      <c r="D215" s="203"/>
      <c r="E215" s="203"/>
      <c r="F215" s="203"/>
      <c r="G215" s="203"/>
      <c r="H215" s="203"/>
      <c r="I215" s="203"/>
      <c r="J215" s="203"/>
      <c r="K215" s="203"/>
      <c r="L215" s="203"/>
      <c r="M215" s="203"/>
      <c r="N215" s="203"/>
      <c r="O215" s="203"/>
      <c r="P215" s="203"/>
      <c r="Q215" s="203"/>
      <c r="R215" s="203"/>
      <c r="S215" s="203"/>
      <c r="T215" s="203"/>
      <c r="U215" s="203"/>
      <c r="V215" s="203"/>
      <c r="W215" s="203"/>
      <c r="X215" s="203"/>
      <c r="Y215" s="203"/>
      <c r="Z215" s="203"/>
    </row>
    <row r="216" ht="12.75" customHeight="1">
      <c r="A216" s="203"/>
      <c r="B216" s="203"/>
      <c r="C216" s="203"/>
      <c r="D216" s="203"/>
      <c r="E216" s="203"/>
      <c r="F216" s="203"/>
      <c r="G216" s="203"/>
      <c r="H216" s="203"/>
      <c r="I216" s="203"/>
      <c r="J216" s="203"/>
      <c r="K216" s="203"/>
      <c r="L216" s="203"/>
      <c r="M216" s="203"/>
      <c r="N216" s="203"/>
      <c r="O216" s="203"/>
      <c r="P216" s="203"/>
      <c r="Q216" s="203"/>
      <c r="R216" s="203"/>
      <c r="S216" s="203"/>
      <c r="T216" s="203"/>
      <c r="U216" s="203"/>
      <c r="V216" s="203"/>
      <c r="W216" s="203"/>
      <c r="X216" s="203"/>
      <c r="Y216" s="203"/>
      <c r="Z216" s="203"/>
    </row>
    <row r="217" ht="12.75" customHeight="1">
      <c r="A217" s="203"/>
      <c r="B217" s="203"/>
      <c r="C217" s="203"/>
      <c r="D217" s="203"/>
      <c r="E217" s="203"/>
      <c r="F217" s="203"/>
      <c r="G217" s="203"/>
      <c r="H217" s="203"/>
      <c r="I217" s="203"/>
      <c r="J217" s="203"/>
      <c r="K217" s="203"/>
      <c r="L217" s="203"/>
      <c r="M217" s="203"/>
      <c r="N217" s="203"/>
      <c r="O217" s="203"/>
      <c r="P217" s="203"/>
      <c r="Q217" s="203"/>
      <c r="R217" s="203"/>
      <c r="S217" s="203"/>
      <c r="T217" s="203"/>
      <c r="U217" s="203"/>
      <c r="V217" s="203"/>
      <c r="W217" s="203"/>
      <c r="X217" s="203"/>
      <c r="Y217" s="203"/>
      <c r="Z217" s="203"/>
    </row>
    <row r="218" ht="12.75" customHeight="1">
      <c r="A218" s="203"/>
      <c r="B218" s="203"/>
      <c r="C218" s="203"/>
      <c r="D218" s="203"/>
      <c r="E218" s="203"/>
      <c r="F218" s="203"/>
      <c r="G218" s="203"/>
      <c r="H218" s="203"/>
      <c r="I218" s="203"/>
      <c r="J218" s="203"/>
      <c r="K218" s="203"/>
      <c r="L218" s="203"/>
      <c r="M218" s="203"/>
      <c r="N218" s="203"/>
      <c r="O218" s="203"/>
      <c r="P218" s="203"/>
      <c r="Q218" s="203"/>
      <c r="R218" s="203"/>
      <c r="S218" s="203"/>
      <c r="T218" s="203"/>
      <c r="U218" s="203"/>
      <c r="V218" s="203"/>
      <c r="W218" s="203"/>
      <c r="X218" s="203"/>
      <c r="Y218" s="203"/>
      <c r="Z218" s="203"/>
    </row>
    <row r="219" ht="12.75" customHeight="1">
      <c r="A219" s="203"/>
      <c r="B219" s="203"/>
      <c r="C219" s="203"/>
      <c r="D219" s="203"/>
      <c r="E219" s="203"/>
      <c r="F219" s="203"/>
      <c r="G219" s="203"/>
      <c r="H219" s="203"/>
      <c r="I219" s="203"/>
      <c r="J219" s="203"/>
      <c r="K219" s="203"/>
      <c r="L219" s="203"/>
      <c r="M219" s="203"/>
      <c r="N219" s="203"/>
      <c r="O219" s="203"/>
      <c r="P219" s="203"/>
      <c r="Q219" s="203"/>
      <c r="R219" s="203"/>
      <c r="S219" s="203"/>
      <c r="T219" s="203"/>
      <c r="U219" s="203"/>
      <c r="V219" s="203"/>
      <c r="W219" s="203"/>
      <c r="X219" s="203"/>
      <c r="Y219" s="203"/>
      <c r="Z219" s="203"/>
    </row>
    <row r="220" ht="12.75" customHeight="1">
      <c r="A220" s="203"/>
      <c r="B220" s="203"/>
      <c r="C220" s="203"/>
      <c r="D220" s="203"/>
      <c r="E220" s="203"/>
      <c r="F220" s="203"/>
      <c r="G220" s="203"/>
      <c r="H220" s="203"/>
      <c r="I220" s="203"/>
      <c r="J220" s="203"/>
      <c r="K220" s="203"/>
      <c r="L220" s="203"/>
      <c r="M220" s="203"/>
      <c r="N220" s="203"/>
      <c r="O220" s="203"/>
      <c r="P220" s="203"/>
      <c r="Q220" s="203"/>
      <c r="R220" s="203"/>
      <c r="S220" s="203"/>
      <c r="T220" s="203"/>
      <c r="U220" s="203"/>
      <c r="V220" s="203"/>
      <c r="W220" s="203"/>
      <c r="X220" s="203"/>
      <c r="Y220" s="203"/>
      <c r="Z220" s="203"/>
    </row>
    <row r="221" ht="12.75" customHeight="1">
      <c r="A221" s="203"/>
      <c r="B221" s="203"/>
      <c r="C221" s="203"/>
      <c r="D221" s="203"/>
      <c r="E221" s="203"/>
      <c r="F221" s="203"/>
      <c r="G221" s="203"/>
      <c r="H221" s="203"/>
      <c r="I221" s="203"/>
      <c r="J221" s="203"/>
      <c r="K221" s="203"/>
      <c r="L221" s="203"/>
      <c r="M221" s="203"/>
      <c r="N221" s="203"/>
      <c r="O221" s="203"/>
      <c r="P221" s="203"/>
      <c r="Q221" s="203"/>
      <c r="R221" s="203"/>
      <c r="S221" s="203"/>
      <c r="T221" s="203"/>
      <c r="U221" s="203"/>
      <c r="V221" s="203"/>
      <c r="W221" s="203"/>
      <c r="X221" s="203"/>
      <c r="Y221" s="203"/>
      <c r="Z221" s="203"/>
    </row>
    <row r="222" ht="12.75" customHeight="1">
      <c r="A222" s="203"/>
      <c r="B222" s="203"/>
      <c r="C222" s="203"/>
      <c r="D222" s="203"/>
      <c r="E222" s="203"/>
      <c r="F222" s="203"/>
      <c r="G222" s="203"/>
      <c r="H222" s="203"/>
      <c r="I222" s="203"/>
      <c r="J222" s="203"/>
      <c r="K222" s="203"/>
      <c r="L222" s="203"/>
      <c r="M222" s="203"/>
      <c r="N222" s="203"/>
      <c r="O222" s="203"/>
      <c r="P222" s="203"/>
      <c r="Q222" s="203"/>
      <c r="R222" s="203"/>
      <c r="S222" s="203"/>
      <c r="T222" s="203"/>
      <c r="U222" s="203"/>
      <c r="V222" s="203"/>
      <c r="W222" s="203"/>
      <c r="X222" s="203"/>
      <c r="Y222" s="203"/>
      <c r="Z222" s="203"/>
    </row>
    <row r="223" ht="12.75" customHeight="1">
      <c r="A223" s="203"/>
      <c r="B223" s="203"/>
      <c r="C223" s="203"/>
      <c r="D223" s="203"/>
      <c r="E223" s="203"/>
      <c r="F223" s="203"/>
      <c r="G223" s="203"/>
      <c r="H223" s="203"/>
      <c r="I223" s="203"/>
      <c r="J223" s="203"/>
      <c r="K223" s="203"/>
      <c r="L223" s="203"/>
      <c r="M223" s="203"/>
      <c r="N223" s="203"/>
      <c r="O223" s="203"/>
      <c r="P223" s="203"/>
      <c r="Q223" s="203"/>
      <c r="R223" s="203"/>
      <c r="S223" s="203"/>
      <c r="T223" s="203"/>
      <c r="U223" s="203"/>
      <c r="V223" s="203"/>
      <c r="W223" s="203"/>
      <c r="X223" s="203"/>
      <c r="Y223" s="203"/>
      <c r="Z223" s="203"/>
    </row>
    <row r="224" ht="12.75" customHeight="1">
      <c r="A224" s="203"/>
      <c r="B224" s="203"/>
      <c r="C224" s="203"/>
      <c r="D224" s="203"/>
      <c r="E224" s="203"/>
      <c r="F224" s="203"/>
      <c r="G224" s="203"/>
      <c r="H224" s="203"/>
      <c r="I224" s="203"/>
      <c r="J224" s="203"/>
      <c r="K224" s="203"/>
      <c r="L224" s="203"/>
      <c r="M224" s="203"/>
      <c r="N224" s="203"/>
      <c r="O224" s="203"/>
      <c r="P224" s="203"/>
      <c r="Q224" s="203"/>
      <c r="R224" s="203"/>
      <c r="S224" s="203"/>
      <c r="T224" s="203"/>
      <c r="U224" s="203"/>
      <c r="V224" s="203"/>
      <c r="W224" s="203"/>
      <c r="X224" s="203"/>
      <c r="Y224" s="203"/>
      <c r="Z224" s="203"/>
    </row>
    <row r="225" ht="12.75" customHeight="1">
      <c r="A225" s="203"/>
      <c r="B225" s="203"/>
      <c r="C225" s="203"/>
      <c r="D225" s="203"/>
      <c r="E225" s="203"/>
      <c r="F225" s="203"/>
      <c r="G225" s="203"/>
      <c r="H225" s="203"/>
      <c r="I225" s="203"/>
      <c r="J225" s="203"/>
      <c r="K225" s="203"/>
      <c r="L225" s="203"/>
      <c r="M225" s="203"/>
      <c r="N225" s="203"/>
      <c r="O225" s="203"/>
      <c r="P225" s="203"/>
      <c r="Q225" s="203"/>
      <c r="R225" s="203"/>
      <c r="S225" s="203"/>
      <c r="T225" s="203"/>
      <c r="U225" s="203"/>
      <c r="V225" s="203"/>
      <c r="W225" s="203"/>
      <c r="X225" s="203"/>
      <c r="Y225" s="203"/>
      <c r="Z225" s="203"/>
    </row>
    <row r="226" ht="12.75" customHeight="1">
      <c r="A226" s="203"/>
      <c r="B226" s="203"/>
      <c r="C226" s="203"/>
      <c r="D226" s="203"/>
      <c r="E226" s="203"/>
      <c r="F226" s="203"/>
      <c r="G226" s="203"/>
      <c r="H226" s="203"/>
      <c r="I226" s="203"/>
      <c r="J226" s="203"/>
      <c r="K226" s="203"/>
      <c r="L226" s="203"/>
      <c r="M226" s="203"/>
      <c r="N226" s="203"/>
      <c r="O226" s="203"/>
      <c r="P226" s="203"/>
      <c r="Q226" s="203"/>
      <c r="R226" s="203"/>
      <c r="S226" s="203"/>
      <c r="T226" s="203"/>
      <c r="U226" s="203"/>
      <c r="V226" s="203"/>
      <c r="W226" s="203"/>
      <c r="X226" s="203"/>
      <c r="Y226" s="203"/>
      <c r="Z226" s="203"/>
    </row>
    <row r="227" ht="12.75" customHeight="1">
      <c r="A227" s="203"/>
      <c r="B227" s="203"/>
      <c r="C227" s="203"/>
      <c r="D227" s="203"/>
      <c r="E227" s="203"/>
      <c r="F227" s="203"/>
      <c r="G227" s="203"/>
      <c r="H227" s="203"/>
      <c r="I227" s="203"/>
      <c r="J227" s="203"/>
      <c r="K227" s="203"/>
      <c r="L227" s="203"/>
      <c r="M227" s="203"/>
      <c r="N227" s="203"/>
      <c r="O227" s="203"/>
      <c r="P227" s="203"/>
      <c r="Q227" s="203"/>
      <c r="R227" s="203"/>
      <c r="S227" s="203"/>
      <c r="T227" s="203"/>
      <c r="U227" s="203"/>
      <c r="V227" s="203"/>
      <c r="W227" s="203"/>
      <c r="X227" s="203"/>
      <c r="Y227" s="203"/>
      <c r="Z227" s="203"/>
    </row>
    <row r="228" ht="12.75" customHeight="1">
      <c r="A228" s="203"/>
      <c r="B228" s="203"/>
      <c r="C228" s="203"/>
      <c r="D228" s="203"/>
      <c r="E228" s="203"/>
      <c r="F228" s="203"/>
      <c r="G228" s="203"/>
      <c r="H228" s="203"/>
      <c r="I228" s="203"/>
      <c r="J228" s="203"/>
      <c r="K228" s="203"/>
      <c r="L228" s="203"/>
      <c r="M228" s="203"/>
      <c r="N228" s="203"/>
      <c r="O228" s="203"/>
      <c r="P228" s="203"/>
      <c r="Q228" s="203"/>
      <c r="R228" s="203"/>
      <c r="S228" s="203"/>
      <c r="T228" s="203"/>
      <c r="U228" s="203"/>
      <c r="V228" s="203"/>
      <c r="W228" s="203"/>
      <c r="X228" s="203"/>
      <c r="Y228" s="203"/>
      <c r="Z228" s="203"/>
    </row>
    <row r="229" ht="12.75" customHeight="1">
      <c r="A229" s="203"/>
      <c r="B229" s="203"/>
      <c r="C229" s="203"/>
      <c r="D229" s="203"/>
      <c r="E229" s="203"/>
      <c r="F229" s="203"/>
      <c r="G229" s="203"/>
      <c r="H229" s="203"/>
      <c r="I229" s="203"/>
      <c r="J229" s="203"/>
      <c r="K229" s="203"/>
      <c r="L229" s="203"/>
      <c r="M229" s="203"/>
      <c r="N229" s="203"/>
      <c r="O229" s="203"/>
      <c r="P229" s="203"/>
      <c r="Q229" s="203"/>
      <c r="R229" s="203"/>
      <c r="S229" s="203"/>
      <c r="T229" s="203"/>
      <c r="U229" s="203"/>
      <c r="V229" s="203"/>
      <c r="W229" s="203"/>
      <c r="X229" s="203"/>
      <c r="Y229" s="203"/>
      <c r="Z229" s="203"/>
    </row>
    <row r="230" ht="12.75" customHeight="1">
      <c r="A230" s="203"/>
      <c r="B230" s="203"/>
      <c r="C230" s="203"/>
      <c r="D230" s="203"/>
      <c r="E230" s="203"/>
      <c r="F230" s="203"/>
      <c r="G230" s="203"/>
      <c r="H230" s="203"/>
      <c r="I230" s="203"/>
      <c r="J230" s="203"/>
      <c r="K230" s="203"/>
      <c r="L230" s="203"/>
      <c r="M230" s="203"/>
      <c r="N230" s="203"/>
      <c r="O230" s="203"/>
      <c r="P230" s="203"/>
      <c r="Q230" s="203"/>
      <c r="R230" s="203"/>
      <c r="S230" s="203"/>
      <c r="T230" s="203"/>
      <c r="U230" s="203"/>
      <c r="V230" s="203"/>
      <c r="W230" s="203"/>
      <c r="X230" s="203"/>
      <c r="Y230" s="203"/>
      <c r="Z230" s="203"/>
    </row>
    <row r="231" ht="12.75" customHeight="1">
      <c r="A231" s="203"/>
      <c r="B231" s="203"/>
      <c r="C231" s="203"/>
      <c r="D231" s="203"/>
      <c r="E231" s="203"/>
      <c r="F231" s="203"/>
      <c r="G231" s="203"/>
      <c r="H231" s="203"/>
      <c r="I231" s="203"/>
      <c r="J231" s="203"/>
      <c r="K231" s="203"/>
      <c r="L231" s="203"/>
      <c r="M231" s="203"/>
      <c r="N231" s="203"/>
      <c r="O231" s="203"/>
      <c r="P231" s="203"/>
      <c r="Q231" s="203"/>
      <c r="R231" s="203"/>
      <c r="S231" s="203"/>
      <c r="T231" s="203"/>
      <c r="U231" s="203"/>
      <c r="V231" s="203"/>
      <c r="W231" s="203"/>
      <c r="X231" s="203"/>
      <c r="Y231" s="203"/>
      <c r="Z231" s="203"/>
    </row>
    <row r="232" ht="12.75" customHeight="1">
      <c r="A232" s="203"/>
      <c r="B232" s="203"/>
      <c r="C232" s="203"/>
      <c r="D232" s="203"/>
      <c r="E232" s="203"/>
      <c r="F232" s="203"/>
      <c r="G232" s="203"/>
      <c r="H232" s="203"/>
      <c r="I232" s="203"/>
      <c r="J232" s="203"/>
      <c r="K232" s="203"/>
      <c r="L232" s="203"/>
      <c r="M232" s="203"/>
      <c r="N232" s="203"/>
      <c r="O232" s="203"/>
      <c r="P232" s="203"/>
      <c r="Q232" s="203"/>
      <c r="R232" s="203"/>
      <c r="S232" s="203"/>
      <c r="T232" s="203"/>
      <c r="U232" s="203"/>
      <c r="V232" s="203"/>
      <c r="W232" s="203"/>
      <c r="X232" s="203"/>
      <c r="Y232" s="203"/>
      <c r="Z232" s="203"/>
    </row>
    <row r="233" ht="12.75" customHeight="1">
      <c r="A233" s="203"/>
      <c r="B233" s="203"/>
      <c r="C233" s="203"/>
      <c r="D233" s="203"/>
      <c r="E233" s="203"/>
      <c r="F233" s="203"/>
      <c r="G233" s="203"/>
      <c r="H233" s="203"/>
      <c r="I233" s="203"/>
      <c r="J233" s="203"/>
      <c r="K233" s="203"/>
      <c r="L233" s="203"/>
      <c r="M233" s="203"/>
      <c r="N233" s="203"/>
      <c r="O233" s="203"/>
      <c r="P233" s="203"/>
      <c r="Q233" s="203"/>
      <c r="R233" s="203"/>
      <c r="S233" s="203"/>
      <c r="T233" s="203"/>
      <c r="U233" s="203"/>
      <c r="V233" s="203"/>
      <c r="W233" s="203"/>
      <c r="X233" s="203"/>
      <c r="Y233" s="203"/>
      <c r="Z233" s="203"/>
    </row>
    <row r="234" ht="12.75" customHeight="1">
      <c r="A234" s="203"/>
      <c r="B234" s="203"/>
      <c r="C234" s="203"/>
      <c r="D234" s="203"/>
      <c r="E234" s="203"/>
      <c r="F234" s="203"/>
      <c r="G234" s="203"/>
      <c r="H234" s="203"/>
      <c r="I234" s="203"/>
      <c r="J234" s="203"/>
      <c r="K234" s="203"/>
      <c r="L234" s="203"/>
      <c r="M234" s="203"/>
      <c r="N234" s="203"/>
      <c r="O234" s="203"/>
      <c r="P234" s="203"/>
      <c r="Q234" s="203"/>
      <c r="R234" s="203"/>
      <c r="S234" s="203"/>
      <c r="T234" s="203"/>
      <c r="U234" s="203"/>
      <c r="V234" s="203"/>
      <c r="W234" s="203"/>
      <c r="X234" s="203"/>
      <c r="Y234" s="203"/>
      <c r="Z234" s="203"/>
    </row>
    <row r="235" ht="12.75" customHeight="1">
      <c r="A235" s="203"/>
      <c r="B235" s="203"/>
      <c r="C235" s="203"/>
      <c r="D235" s="203"/>
      <c r="E235" s="203"/>
      <c r="F235" s="203"/>
      <c r="G235" s="203"/>
      <c r="H235" s="203"/>
      <c r="I235" s="203"/>
      <c r="J235" s="203"/>
      <c r="K235" s="203"/>
      <c r="L235" s="203"/>
      <c r="M235" s="203"/>
      <c r="N235" s="203"/>
      <c r="O235" s="203"/>
      <c r="P235" s="203"/>
      <c r="Q235" s="203"/>
      <c r="R235" s="203"/>
      <c r="S235" s="203"/>
      <c r="T235" s="203"/>
      <c r="U235" s="203"/>
      <c r="V235" s="203"/>
      <c r="W235" s="203"/>
      <c r="X235" s="203"/>
      <c r="Y235" s="203"/>
      <c r="Z235" s="203"/>
    </row>
    <row r="236" ht="12.75" customHeight="1">
      <c r="A236" s="203"/>
      <c r="B236" s="203"/>
      <c r="C236" s="203"/>
      <c r="D236" s="203"/>
      <c r="E236" s="203"/>
      <c r="F236" s="203"/>
      <c r="G236" s="203"/>
      <c r="H236" s="203"/>
      <c r="I236" s="203"/>
      <c r="J236" s="203"/>
      <c r="K236" s="203"/>
      <c r="L236" s="203"/>
      <c r="M236" s="203"/>
      <c r="N236" s="203"/>
      <c r="O236" s="203"/>
      <c r="P236" s="203"/>
      <c r="Q236" s="203"/>
      <c r="R236" s="203"/>
      <c r="S236" s="203"/>
      <c r="T236" s="203"/>
      <c r="U236" s="203"/>
      <c r="V236" s="203"/>
      <c r="W236" s="203"/>
      <c r="X236" s="203"/>
      <c r="Y236" s="203"/>
      <c r="Z236" s="203"/>
    </row>
    <row r="237" ht="12.75" customHeight="1">
      <c r="A237" s="203"/>
      <c r="B237" s="203"/>
      <c r="C237" s="203"/>
      <c r="D237" s="203"/>
      <c r="E237" s="203"/>
      <c r="F237" s="203"/>
      <c r="G237" s="203"/>
      <c r="H237" s="203"/>
      <c r="I237" s="203"/>
      <c r="J237" s="203"/>
      <c r="K237" s="203"/>
      <c r="L237" s="203"/>
      <c r="M237" s="203"/>
      <c r="N237" s="203"/>
      <c r="O237" s="203"/>
      <c r="P237" s="203"/>
      <c r="Q237" s="203"/>
      <c r="R237" s="203"/>
      <c r="S237" s="203"/>
      <c r="T237" s="203"/>
      <c r="U237" s="203"/>
      <c r="V237" s="203"/>
      <c r="W237" s="203"/>
      <c r="X237" s="203"/>
      <c r="Y237" s="203"/>
      <c r="Z237" s="203"/>
    </row>
    <row r="238" ht="12.75" customHeight="1">
      <c r="A238" s="203"/>
      <c r="B238" s="203"/>
      <c r="C238" s="203"/>
      <c r="D238" s="203"/>
      <c r="E238" s="203"/>
      <c r="F238" s="203"/>
      <c r="G238" s="203"/>
      <c r="H238" s="203"/>
      <c r="I238" s="203"/>
      <c r="J238" s="203"/>
      <c r="K238" s="203"/>
      <c r="L238" s="203"/>
      <c r="M238" s="203"/>
      <c r="N238" s="203"/>
      <c r="O238" s="203"/>
      <c r="P238" s="203"/>
      <c r="Q238" s="203"/>
      <c r="R238" s="203"/>
      <c r="S238" s="203"/>
      <c r="T238" s="203"/>
      <c r="U238" s="203"/>
      <c r="V238" s="203"/>
      <c r="W238" s="203"/>
      <c r="X238" s="203"/>
      <c r="Y238" s="203"/>
      <c r="Z238" s="203"/>
    </row>
    <row r="239" ht="12.75" customHeight="1">
      <c r="A239" s="203"/>
      <c r="B239" s="203"/>
      <c r="C239" s="203"/>
      <c r="D239" s="203"/>
      <c r="E239" s="203"/>
      <c r="F239" s="203"/>
      <c r="G239" s="203"/>
      <c r="H239" s="203"/>
      <c r="I239" s="203"/>
      <c r="J239" s="203"/>
      <c r="K239" s="203"/>
      <c r="L239" s="203"/>
      <c r="M239" s="203"/>
      <c r="N239" s="203"/>
      <c r="O239" s="203"/>
      <c r="P239" s="203"/>
      <c r="Q239" s="203"/>
      <c r="R239" s="203"/>
      <c r="S239" s="203"/>
      <c r="T239" s="203"/>
      <c r="U239" s="203"/>
      <c r="V239" s="203"/>
      <c r="W239" s="203"/>
      <c r="X239" s="203"/>
      <c r="Y239" s="203"/>
      <c r="Z239" s="203"/>
    </row>
    <row r="240" ht="12.75" customHeight="1">
      <c r="A240" s="203"/>
      <c r="B240" s="203"/>
      <c r="C240" s="203"/>
      <c r="D240" s="203"/>
      <c r="E240" s="203"/>
      <c r="F240" s="203"/>
      <c r="G240" s="203"/>
      <c r="H240" s="203"/>
      <c r="I240" s="203"/>
      <c r="J240" s="203"/>
      <c r="K240" s="203"/>
      <c r="L240" s="203"/>
      <c r="M240" s="203"/>
      <c r="N240" s="203"/>
      <c r="O240" s="203"/>
      <c r="P240" s="203"/>
      <c r="Q240" s="203"/>
      <c r="R240" s="203"/>
      <c r="S240" s="203"/>
      <c r="T240" s="203"/>
      <c r="U240" s="203"/>
      <c r="V240" s="203"/>
      <c r="W240" s="203"/>
      <c r="X240" s="203"/>
      <c r="Y240" s="203"/>
      <c r="Z240" s="203"/>
    </row>
    <row r="241" ht="12.75" customHeight="1">
      <c r="A241" s="203"/>
      <c r="B241" s="203"/>
      <c r="C241" s="203"/>
      <c r="D241" s="203"/>
      <c r="E241" s="203"/>
      <c r="F241" s="203"/>
      <c r="G241" s="203"/>
      <c r="H241" s="203"/>
      <c r="I241" s="203"/>
      <c r="J241" s="203"/>
      <c r="K241" s="203"/>
      <c r="L241" s="203"/>
      <c r="M241" s="203"/>
      <c r="N241" s="203"/>
      <c r="O241" s="203"/>
      <c r="P241" s="203"/>
      <c r="Q241" s="203"/>
      <c r="R241" s="203"/>
      <c r="S241" s="203"/>
      <c r="T241" s="203"/>
      <c r="U241" s="203"/>
      <c r="V241" s="203"/>
      <c r="W241" s="203"/>
      <c r="X241" s="203"/>
      <c r="Y241" s="203"/>
      <c r="Z241" s="203"/>
    </row>
    <row r="242" ht="12.75" customHeight="1">
      <c r="A242" s="203"/>
      <c r="B242" s="203"/>
      <c r="C242" s="203"/>
      <c r="D242" s="203"/>
      <c r="E242" s="203"/>
      <c r="F242" s="203"/>
      <c r="G242" s="203"/>
      <c r="H242" s="203"/>
      <c r="I242" s="203"/>
      <c r="J242" s="203"/>
      <c r="K242" s="203"/>
      <c r="L242" s="203"/>
      <c r="M242" s="203"/>
      <c r="N242" s="203"/>
      <c r="O242" s="203"/>
      <c r="P242" s="203"/>
      <c r="Q242" s="203"/>
      <c r="R242" s="203"/>
      <c r="S242" s="203"/>
      <c r="T242" s="203"/>
      <c r="U242" s="203"/>
      <c r="V242" s="203"/>
      <c r="W242" s="203"/>
      <c r="X242" s="203"/>
      <c r="Y242" s="203"/>
      <c r="Z242" s="203"/>
    </row>
    <row r="243" ht="12.75" customHeight="1">
      <c r="A243" s="203"/>
      <c r="B243" s="203"/>
      <c r="C243" s="203"/>
      <c r="D243" s="203"/>
      <c r="E243" s="203"/>
      <c r="F243" s="203"/>
      <c r="G243" s="203"/>
      <c r="H243" s="203"/>
      <c r="I243" s="203"/>
      <c r="J243" s="203"/>
      <c r="K243" s="203"/>
      <c r="L243" s="203"/>
      <c r="M243" s="203"/>
      <c r="N243" s="203"/>
      <c r="O243" s="203"/>
      <c r="P243" s="203"/>
      <c r="Q243" s="203"/>
      <c r="R243" s="203"/>
      <c r="S243" s="203"/>
      <c r="T243" s="203"/>
      <c r="U243" s="203"/>
      <c r="V243" s="203"/>
      <c r="W243" s="203"/>
      <c r="X243" s="203"/>
      <c r="Y243" s="203"/>
      <c r="Z243" s="203"/>
    </row>
    <row r="244" ht="12.75" customHeight="1">
      <c r="A244" s="203"/>
      <c r="B244" s="203"/>
      <c r="C244" s="203"/>
      <c r="D244" s="203"/>
      <c r="E244" s="203"/>
      <c r="F244" s="203"/>
      <c r="G244" s="203"/>
      <c r="H244" s="203"/>
      <c r="I244" s="203"/>
      <c r="J244" s="203"/>
      <c r="K244" s="203"/>
      <c r="L244" s="203"/>
      <c r="M244" s="203"/>
      <c r="N244" s="203"/>
      <c r="O244" s="203"/>
      <c r="P244" s="203"/>
      <c r="Q244" s="203"/>
      <c r="R244" s="203"/>
      <c r="S244" s="203"/>
      <c r="T244" s="203"/>
      <c r="U244" s="203"/>
      <c r="V244" s="203"/>
      <c r="W244" s="203"/>
      <c r="X244" s="203"/>
      <c r="Y244" s="203"/>
      <c r="Z244" s="203"/>
    </row>
    <row r="245" ht="12.75" customHeight="1">
      <c r="A245" s="203"/>
      <c r="B245" s="203"/>
      <c r="C245" s="203"/>
      <c r="D245" s="203"/>
      <c r="E245" s="203"/>
      <c r="F245" s="203"/>
      <c r="G245" s="203"/>
      <c r="H245" s="203"/>
      <c r="I245" s="203"/>
      <c r="J245" s="203"/>
      <c r="K245" s="203"/>
      <c r="L245" s="203"/>
      <c r="M245" s="203"/>
      <c r="N245" s="203"/>
      <c r="O245" s="203"/>
      <c r="P245" s="203"/>
      <c r="Q245" s="203"/>
      <c r="R245" s="203"/>
      <c r="S245" s="203"/>
      <c r="T245" s="203"/>
      <c r="U245" s="203"/>
      <c r="V245" s="203"/>
      <c r="W245" s="203"/>
      <c r="X245" s="203"/>
      <c r="Y245" s="203"/>
      <c r="Z245" s="203"/>
    </row>
    <row r="246" ht="12.75" customHeight="1">
      <c r="A246" s="203"/>
      <c r="B246" s="203"/>
      <c r="C246" s="203"/>
      <c r="D246" s="203"/>
      <c r="E246" s="203"/>
      <c r="F246" s="203"/>
      <c r="G246" s="203"/>
      <c r="H246" s="203"/>
      <c r="I246" s="203"/>
      <c r="J246" s="203"/>
      <c r="K246" s="203"/>
      <c r="L246" s="203"/>
      <c r="M246" s="203"/>
      <c r="N246" s="203"/>
      <c r="O246" s="203"/>
      <c r="P246" s="203"/>
      <c r="Q246" s="203"/>
      <c r="R246" s="203"/>
      <c r="S246" s="203"/>
      <c r="T246" s="203"/>
      <c r="U246" s="203"/>
      <c r="V246" s="203"/>
      <c r="W246" s="203"/>
      <c r="X246" s="203"/>
      <c r="Y246" s="203"/>
      <c r="Z246" s="203"/>
    </row>
    <row r="247" ht="12.75" customHeight="1">
      <c r="A247" s="203"/>
      <c r="B247" s="203"/>
      <c r="C247" s="203"/>
      <c r="D247" s="203"/>
      <c r="E247" s="203"/>
      <c r="F247" s="203"/>
      <c r="G247" s="203"/>
      <c r="H247" s="203"/>
      <c r="I247" s="203"/>
      <c r="J247" s="203"/>
      <c r="K247" s="203"/>
      <c r="L247" s="203"/>
      <c r="M247" s="203"/>
      <c r="N247" s="203"/>
      <c r="O247" s="203"/>
      <c r="P247" s="203"/>
      <c r="Q247" s="203"/>
      <c r="R247" s="203"/>
      <c r="S247" s="203"/>
      <c r="T247" s="203"/>
      <c r="U247" s="203"/>
      <c r="V247" s="203"/>
      <c r="W247" s="203"/>
      <c r="X247" s="203"/>
      <c r="Y247" s="203"/>
      <c r="Z247" s="203"/>
    </row>
    <row r="248" ht="12.75" customHeight="1">
      <c r="A248" s="203"/>
      <c r="B248" s="203"/>
      <c r="C248" s="203"/>
      <c r="D248" s="203"/>
      <c r="E248" s="203"/>
      <c r="F248" s="203"/>
      <c r="G248" s="203"/>
      <c r="H248" s="203"/>
      <c r="I248" s="203"/>
      <c r="J248" s="203"/>
      <c r="K248" s="203"/>
      <c r="L248" s="203"/>
      <c r="M248" s="203"/>
      <c r="N248" s="203"/>
      <c r="O248" s="203"/>
      <c r="P248" s="203"/>
      <c r="Q248" s="203"/>
      <c r="R248" s="203"/>
      <c r="S248" s="203"/>
      <c r="T248" s="203"/>
      <c r="U248" s="203"/>
      <c r="V248" s="203"/>
      <c r="W248" s="203"/>
      <c r="X248" s="203"/>
      <c r="Y248" s="203"/>
      <c r="Z248" s="203"/>
    </row>
    <row r="249" ht="12.75" customHeight="1">
      <c r="A249" s="203"/>
      <c r="B249" s="203"/>
      <c r="C249" s="203"/>
      <c r="D249" s="203"/>
      <c r="E249" s="203"/>
      <c r="F249" s="203"/>
      <c r="G249" s="203"/>
      <c r="H249" s="203"/>
      <c r="I249" s="203"/>
      <c r="J249" s="203"/>
      <c r="K249" s="203"/>
      <c r="L249" s="203"/>
      <c r="M249" s="203"/>
      <c r="N249" s="203"/>
      <c r="O249" s="203"/>
      <c r="P249" s="203"/>
      <c r="Q249" s="203"/>
      <c r="R249" s="203"/>
      <c r="S249" s="203"/>
      <c r="T249" s="203"/>
      <c r="U249" s="203"/>
      <c r="V249" s="203"/>
      <c r="W249" s="203"/>
      <c r="X249" s="203"/>
      <c r="Y249" s="203"/>
      <c r="Z249" s="203"/>
    </row>
    <row r="250" ht="12.75" customHeight="1">
      <c r="A250" s="203"/>
      <c r="B250" s="203"/>
      <c r="C250" s="203"/>
      <c r="D250" s="203"/>
      <c r="E250" s="203"/>
      <c r="F250" s="203"/>
      <c r="G250" s="203"/>
      <c r="H250" s="203"/>
      <c r="I250" s="203"/>
      <c r="J250" s="203"/>
      <c r="K250" s="203"/>
      <c r="L250" s="203"/>
      <c r="M250" s="203"/>
      <c r="N250" s="203"/>
      <c r="O250" s="203"/>
      <c r="P250" s="203"/>
      <c r="Q250" s="203"/>
      <c r="R250" s="203"/>
      <c r="S250" s="203"/>
      <c r="T250" s="203"/>
      <c r="U250" s="203"/>
      <c r="V250" s="203"/>
      <c r="W250" s="203"/>
      <c r="X250" s="203"/>
      <c r="Y250" s="203"/>
      <c r="Z250" s="203"/>
    </row>
    <row r="251" ht="12.75" customHeight="1">
      <c r="A251" s="203"/>
      <c r="B251" s="203"/>
      <c r="C251" s="203"/>
      <c r="D251" s="203"/>
      <c r="E251" s="203"/>
      <c r="F251" s="203"/>
      <c r="G251" s="203"/>
      <c r="H251" s="203"/>
      <c r="I251" s="203"/>
      <c r="J251" s="203"/>
      <c r="K251" s="203"/>
      <c r="L251" s="203"/>
      <c r="M251" s="203"/>
      <c r="N251" s="203"/>
      <c r="O251" s="203"/>
      <c r="P251" s="203"/>
      <c r="Q251" s="203"/>
      <c r="R251" s="203"/>
      <c r="S251" s="203"/>
      <c r="T251" s="203"/>
      <c r="U251" s="203"/>
      <c r="V251" s="203"/>
      <c r="W251" s="203"/>
      <c r="X251" s="203"/>
      <c r="Y251" s="203"/>
      <c r="Z251" s="203"/>
    </row>
    <row r="252" ht="12.75" customHeight="1">
      <c r="A252" s="203"/>
      <c r="B252" s="203"/>
      <c r="C252" s="203"/>
      <c r="D252" s="203"/>
      <c r="E252" s="203"/>
      <c r="F252" s="203"/>
      <c r="G252" s="203"/>
      <c r="H252" s="203"/>
      <c r="I252" s="203"/>
      <c r="J252" s="203"/>
      <c r="K252" s="203"/>
      <c r="L252" s="203"/>
      <c r="M252" s="203"/>
      <c r="N252" s="203"/>
      <c r="O252" s="203"/>
      <c r="P252" s="203"/>
      <c r="Q252" s="203"/>
      <c r="R252" s="203"/>
      <c r="S252" s="203"/>
      <c r="T252" s="203"/>
      <c r="U252" s="203"/>
      <c r="V252" s="203"/>
      <c r="W252" s="203"/>
      <c r="X252" s="203"/>
      <c r="Y252" s="203"/>
      <c r="Z252" s="203"/>
    </row>
    <row r="253" ht="12.75" customHeight="1">
      <c r="A253" s="203"/>
      <c r="B253" s="203"/>
      <c r="C253" s="203"/>
      <c r="D253" s="203"/>
      <c r="E253" s="203"/>
      <c r="F253" s="203"/>
      <c r="G253" s="203"/>
      <c r="H253" s="203"/>
      <c r="I253" s="203"/>
      <c r="J253" s="203"/>
      <c r="K253" s="203"/>
      <c r="L253" s="203"/>
      <c r="M253" s="203"/>
      <c r="N253" s="203"/>
      <c r="O253" s="203"/>
      <c r="P253" s="203"/>
      <c r="Q253" s="203"/>
      <c r="R253" s="203"/>
      <c r="S253" s="203"/>
      <c r="T253" s="203"/>
      <c r="U253" s="203"/>
      <c r="V253" s="203"/>
      <c r="W253" s="203"/>
      <c r="X253" s="203"/>
      <c r="Y253" s="203"/>
      <c r="Z253" s="203"/>
    </row>
    <row r="254" ht="12.75" customHeight="1">
      <c r="A254" s="203"/>
      <c r="B254" s="203"/>
      <c r="C254" s="203"/>
      <c r="D254" s="203"/>
      <c r="E254" s="203"/>
      <c r="F254" s="203"/>
      <c r="G254" s="203"/>
      <c r="H254" s="203"/>
      <c r="I254" s="203"/>
      <c r="J254" s="203"/>
      <c r="K254" s="203"/>
      <c r="L254" s="203"/>
      <c r="M254" s="203"/>
      <c r="N254" s="203"/>
      <c r="O254" s="203"/>
      <c r="P254" s="203"/>
      <c r="Q254" s="203"/>
      <c r="R254" s="203"/>
      <c r="S254" s="203"/>
      <c r="T254" s="203"/>
      <c r="U254" s="203"/>
      <c r="V254" s="203"/>
      <c r="W254" s="203"/>
      <c r="X254" s="203"/>
      <c r="Y254" s="203"/>
      <c r="Z254" s="203"/>
    </row>
    <row r="255" ht="12.75" customHeight="1">
      <c r="A255" s="203"/>
      <c r="B255" s="203"/>
      <c r="C255" s="203"/>
      <c r="D255" s="203"/>
      <c r="E255" s="203"/>
      <c r="F255" s="203"/>
      <c r="G255" s="203"/>
      <c r="H255" s="203"/>
      <c r="I255" s="203"/>
      <c r="J255" s="203"/>
      <c r="K255" s="203"/>
      <c r="L255" s="203"/>
      <c r="M255" s="203"/>
      <c r="N255" s="203"/>
      <c r="O255" s="203"/>
      <c r="P255" s="203"/>
      <c r="Q255" s="203"/>
      <c r="R255" s="203"/>
      <c r="S255" s="203"/>
      <c r="T255" s="203"/>
      <c r="U255" s="203"/>
      <c r="V255" s="203"/>
      <c r="W255" s="203"/>
      <c r="X255" s="203"/>
      <c r="Y255" s="203"/>
      <c r="Z255" s="203"/>
    </row>
    <row r="256" ht="12.75" customHeight="1">
      <c r="A256" s="203"/>
      <c r="B256" s="203"/>
      <c r="C256" s="203"/>
      <c r="D256" s="203"/>
      <c r="E256" s="203"/>
      <c r="F256" s="203"/>
      <c r="G256" s="203"/>
      <c r="H256" s="203"/>
      <c r="I256" s="203"/>
      <c r="J256" s="203"/>
      <c r="K256" s="203"/>
      <c r="L256" s="203"/>
      <c r="M256" s="203"/>
      <c r="N256" s="203"/>
      <c r="O256" s="203"/>
      <c r="P256" s="203"/>
      <c r="Q256" s="203"/>
      <c r="R256" s="203"/>
      <c r="S256" s="203"/>
      <c r="T256" s="203"/>
      <c r="U256" s="203"/>
      <c r="V256" s="203"/>
      <c r="W256" s="203"/>
      <c r="X256" s="203"/>
      <c r="Y256" s="203"/>
      <c r="Z256" s="203"/>
    </row>
    <row r="257" ht="12.75" customHeight="1">
      <c r="A257" s="203"/>
      <c r="B257" s="203"/>
      <c r="C257" s="203"/>
      <c r="D257" s="203"/>
      <c r="E257" s="203"/>
      <c r="F257" s="203"/>
      <c r="G257" s="203"/>
      <c r="H257" s="203"/>
      <c r="I257" s="203"/>
      <c r="J257" s="203"/>
      <c r="K257" s="203"/>
      <c r="L257" s="203"/>
      <c r="M257" s="203"/>
      <c r="N257" s="203"/>
      <c r="O257" s="203"/>
      <c r="P257" s="203"/>
      <c r="Q257" s="203"/>
      <c r="R257" s="203"/>
      <c r="S257" s="203"/>
      <c r="T257" s="203"/>
      <c r="U257" s="203"/>
      <c r="V257" s="203"/>
      <c r="W257" s="203"/>
      <c r="X257" s="203"/>
      <c r="Y257" s="203"/>
      <c r="Z257" s="203"/>
    </row>
    <row r="258" ht="12.75" customHeight="1">
      <c r="A258" s="203"/>
      <c r="B258" s="203"/>
      <c r="C258" s="203"/>
      <c r="D258" s="203"/>
      <c r="E258" s="203"/>
      <c r="F258" s="203"/>
      <c r="G258" s="203"/>
      <c r="H258" s="203"/>
      <c r="I258" s="203"/>
      <c r="J258" s="203"/>
      <c r="K258" s="203"/>
      <c r="L258" s="203"/>
      <c r="M258" s="203"/>
      <c r="N258" s="203"/>
      <c r="O258" s="203"/>
      <c r="P258" s="203"/>
      <c r="Q258" s="203"/>
      <c r="R258" s="203"/>
      <c r="S258" s="203"/>
      <c r="T258" s="203"/>
      <c r="U258" s="203"/>
      <c r="V258" s="203"/>
      <c r="W258" s="203"/>
      <c r="X258" s="203"/>
      <c r="Y258" s="203"/>
      <c r="Z258" s="203"/>
    </row>
    <row r="259" ht="12.75" customHeight="1">
      <c r="A259" s="203"/>
      <c r="B259" s="203"/>
      <c r="C259" s="203"/>
      <c r="D259" s="203"/>
      <c r="E259" s="203"/>
      <c r="F259" s="203"/>
      <c r="G259" s="203"/>
      <c r="H259" s="203"/>
      <c r="I259" s="203"/>
      <c r="J259" s="203"/>
      <c r="K259" s="203"/>
      <c r="L259" s="203"/>
      <c r="M259" s="203"/>
      <c r="N259" s="203"/>
      <c r="O259" s="203"/>
      <c r="P259" s="203"/>
      <c r="Q259" s="203"/>
      <c r="R259" s="203"/>
      <c r="S259" s="203"/>
      <c r="T259" s="203"/>
      <c r="U259" s="203"/>
      <c r="V259" s="203"/>
      <c r="W259" s="203"/>
      <c r="X259" s="203"/>
      <c r="Y259" s="203"/>
      <c r="Z259" s="203"/>
    </row>
    <row r="260" ht="12.75" customHeight="1">
      <c r="A260" s="203"/>
      <c r="B260" s="203"/>
      <c r="C260" s="203"/>
      <c r="D260" s="203"/>
      <c r="E260" s="203"/>
      <c r="F260" s="203"/>
      <c r="G260" s="203"/>
      <c r="H260" s="203"/>
      <c r="I260" s="203"/>
      <c r="J260" s="203"/>
      <c r="K260" s="203"/>
      <c r="L260" s="203"/>
      <c r="M260" s="203"/>
      <c r="N260" s="203"/>
      <c r="O260" s="203"/>
      <c r="P260" s="203"/>
      <c r="Q260" s="203"/>
      <c r="R260" s="203"/>
      <c r="S260" s="203"/>
      <c r="T260" s="203"/>
      <c r="U260" s="203"/>
      <c r="V260" s="203"/>
      <c r="W260" s="203"/>
      <c r="X260" s="203"/>
      <c r="Y260" s="203"/>
      <c r="Z260" s="203"/>
    </row>
    <row r="261" ht="12.75" customHeight="1">
      <c r="A261" s="203"/>
      <c r="B261" s="203"/>
      <c r="C261" s="203"/>
      <c r="D261" s="203"/>
      <c r="E261" s="203"/>
      <c r="F261" s="203"/>
      <c r="G261" s="203"/>
      <c r="H261" s="203"/>
      <c r="I261" s="203"/>
      <c r="J261" s="203"/>
      <c r="K261" s="203"/>
      <c r="L261" s="203"/>
      <c r="M261" s="203"/>
      <c r="N261" s="203"/>
      <c r="O261" s="203"/>
      <c r="P261" s="203"/>
      <c r="Q261" s="203"/>
      <c r="R261" s="203"/>
      <c r="S261" s="203"/>
      <c r="T261" s="203"/>
      <c r="U261" s="203"/>
      <c r="V261" s="203"/>
      <c r="W261" s="203"/>
      <c r="X261" s="203"/>
      <c r="Y261" s="203"/>
      <c r="Z261" s="203"/>
    </row>
    <row r="262" ht="12.75" customHeight="1">
      <c r="A262" s="203"/>
      <c r="B262" s="203"/>
      <c r="C262" s="203"/>
      <c r="D262" s="203"/>
      <c r="E262" s="203"/>
      <c r="F262" s="203"/>
      <c r="G262" s="203"/>
      <c r="H262" s="203"/>
      <c r="I262" s="203"/>
      <c r="J262" s="203"/>
      <c r="K262" s="203"/>
      <c r="L262" s="203"/>
      <c r="M262" s="203"/>
      <c r="N262" s="203"/>
      <c r="O262" s="203"/>
      <c r="P262" s="203"/>
      <c r="Q262" s="203"/>
      <c r="R262" s="203"/>
      <c r="S262" s="203"/>
      <c r="T262" s="203"/>
      <c r="U262" s="203"/>
      <c r="V262" s="203"/>
      <c r="W262" s="203"/>
      <c r="X262" s="203"/>
      <c r="Y262" s="203"/>
      <c r="Z262" s="203"/>
    </row>
    <row r="263" ht="12.75" customHeight="1">
      <c r="A263" s="203"/>
      <c r="B263" s="203"/>
      <c r="C263" s="203"/>
      <c r="D263" s="203"/>
      <c r="E263" s="203"/>
      <c r="F263" s="203"/>
      <c r="G263" s="203"/>
      <c r="H263" s="203"/>
      <c r="I263" s="203"/>
      <c r="J263" s="203"/>
      <c r="K263" s="203"/>
      <c r="L263" s="203"/>
      <c r="M263" s="203"/>
      <c r="N263" s="203"/>
      <c r="O263" s="203"/>
      <c r="P263" s="203"/>
      <c r="Q263" s="203"/>
      <c r="R263" s="203"/>
      <c r="S263" s="203"/>
      <c r="T263" s="203"/>
      <c r="U263" s="203"/>
      <c r="V263" s="203"/>
      <c r="W263" s="203"/>
      <c r="X263" s="203"/>
      <c r="Y263" s="203"/>
      <c r="Z263" s="203"/>
    </row>
    <row r="264" ht="12.75" customHeight="1">
      <c r="A264" s="203"/>
      <c r="B264" s="203"/>
      <c r="C264" s="203"/>
      <c r="D264" s="203"/>
      <c r="E264" s="203"/>
      <c r="F264" s="203"/>
      <c r="G264" s="203"/>
      <c r="H264" s="203"/>
      <c r="I264" s="203"/>
      <c r="J264" s="203"/>
      <c r="K264" s="203"/>
      <c r="L264" s="203"/>
      <c r="M264" s="203"/>
      <c r="N264" s="203"/>
      <c r="O264" s="203"/>
      <c r="P264" s="203"/>
      <c r="Q264" s="203"/>
      <c r="R264" s="203"/>
      <c r="S264" s="203"/>
      <c r="T264" s="203"/>
      <c r="U264" s="203"/>
      <c r="V264" s="203"/>
      <c r="W264" s="203"/>
      <c r="X264" s="203"/>
      <c r="Y264" s="203"/>
      <c r="Z264" s="203"/>
    </row>
    <row r="265" ht="12.75" customHeight="1">
      <c r="A265" s="203"/>
      <c r="B265" s="203"/>
      <c r="C265" s="203"/>
      <c r="D265" s="203"/>
      <c r="E265" s="203"/>
      <c r="F265" s="203"/>
      <c r="G265" s="203"/>
      <c r="H265" s="203"/>
      <c r="I265" s="203"/>
      <c r="J265" s="203"/>
      <c r="K265" s="203"/>
      <c r="L265" s="203"/>
      <c r="M265" s="203"/>
      <c r="N265" s="203"/>
      <c r="O265" s="203"/>
      <c r="P265" s="203"/>
      <c r="Q265" s="203"/>
      <c r="R265" s="203"/>
      <c r="S265" s="203"/>
      <c r="T265" s="203"/>
      <c r="U265" s="203"/>
      <c r="V265" s="203"/>
      <c r="W265" s="203"/>
      <c r="X265" s="203"/>
      <c r="Y265" s="203"/>
      <c r="Z265" s="203"/>
    </row>
    <row r="266" ht="12.75" customHeight="1">
      <c r="A266" s="203"/>
      <c r="B266" s="203"/>
      <c r="C266" s="203"/>
      <c r="D266" s="203"/>
      <c r="E266" s="203"/>
      <c r="F266" s="203"/>
      <c r="G266" s="203"/>
      <c r="H266" s="203"/>
      <c r="I266" s="203"/>
      <c r="J266" s="203"/>
      <c r="K266" s="203"/>
      <c r="L266" s="203"/>
      <c r="M266" s="203"/>
      <c r="N266" s="203"/>
      <c r="O266" s="203"/>
      <c r="P266" s="203"/>
      <c r="Q266" s="203"/>
      <c r="R266" s="203"/>
      <c r="S266" s="203"/>
      <c r="T266" s="203"/>
      <c r="U266" s="203"/>
      <c r="V266" s="203"/>
      <c r="W266" s="203"/>
      <c r="X266" s="203"/>
      <c r="Y266" s="203"/>
      <c r="Z266" s="203"/>
    </row>
    <row r="267" ht="12.75" customHeight="1">
      <c r="A267" s="203"/>
      <c r="B267" s="203"/>
      <c r="C267" s="203"/>
      <c r="D267" s="203"/>
      <c r="E267" s="203"/>
      <c r="F267" s="203"/>
      <c r="G267" s="203"/>
      <c r="H267" s="203"/>
      <c r="I267" s="203"/>
      <c r="J267" s="203"/>
      <c r="K267" s="203"/>
      <c r="L267" s="203"/>
      <c r="M267" s="203"/>
      <c r="N267" s="203"/>
      <c r="O267" s="203"/>
      <c r="P267" s="203"/>
      <c r="Q267" s="203"/>
      <c r="R267" s="203"/>
      <c r="S267" s="203"/>
      <c r="T267" s="203"/>
      <c r="U267" s="203"/>
      <c r="V267" s="203"/>
      <c r="W267" s="203"/>
      <c r="X267" s="203"/>
      <c r="Y267" s="203"/>
      <c r="Z267" s="203"/>
    </row>
    <row r="268" ht="12.75" customHeight="1">
      <c r="A268" s="203"/>
      <c r="B268" s="203"/>
      <c r="C268" s="203"/>
      <c r="D268" s="203"/>
      <c r="E268" s="203"/>
      <c r="F268" s="203"/>
      <c r="G268" s="203"/>
      <c r="H268" s="203"/>
      <c r="I268" s="203"/>
      <c r="J268" s="203"/>
      <c r="K268" s="203"/>
      <c r="L268" s="203"/>
      <c r="M268" s="203"/>
      <c r="N268" s="203"/>
      <c r="O268" s="203"/>
      <c r="P268" s="203"/>
      <c r="Q268" s="203"/>
      <c r="R268" s="203"/>
      <c r="S268" s="203"/>
      <c r="T268" s="203"/>
      <c r="U268" s="203"/>
      <c r="V268" s="203"/>
      <c r="W268" s="203"/>
      <c r="X268" s="203"/>
      <c r="Y268" s="203"/>
      <c r="Z268" s="203"/>
    </row>
    <row r="269" ht="12.75" customHeight="1">
      <c r="A269" s="203"/>
      <c r="B269" s="203"/>
      <c r="C269" s="203"/>
      <c r="D269" s="203"/>
      <c r="E269" s="203"/>
      <c r="F269" s="203"/>
      <c r="G269" s="203"/>
      <c r="H269" s="203"/>
      <c r="I269" s="203"/>
      <c r="J269" s="203"/>
      <c r="K269" s="203"/>
      <c r="L269" s="203"/>
      <c r="M269" s="203"/>
      <c r="N269" s="203"/>
      <c r="O269" s="203"/>
      <c r="P269" s="203"/>
      <c r="Q269" s="203"/>
      <c r="R269" s="203"/>
      <c r="S269" s="203"/>
      <c r="T269" s="203"/>
      <c r="U269" s="203"/>
      <c r="V269" s="203"/>
      <c r="W269" s="203"/>
      <c r="X269" s="203"/>
      <c r="Y269" s="203"/>
      <c r="Z269" s="203"/>
    </row>
    <row r="270" ht="12.75" customHeight="1">
      <c r="A270" s="203"/>
      <c r="B270" s="203"/>
      <c r="C270" s="203"/>
      <c r="D270" s="203"/>
      <c r="E270" s="203"/>
      <c r="F270" s="203"/>
      <c r="G270" s="203"/>
      <c r="H270" s="203"/>
      <c r="I270" s="203"/>
      <c r="J270" s="203"/>
      <c r="K270" s="203"/>
      <c r="L270" s="203"/>
      <c r="M270" s="203"/>
      <c r="N270" s="203"/>
      <c r="O270" s="203"/>
      <c r="P270" s="203"/>
      <c r="Q270" s="203"/>
      <c r="R270" s="203"/>
      <c r="S270" s="203"/>
      <c r="T270" s="203"/>
      <c r="U270" s="203"/>
      <c r="V270" s="203"/>
      <c r="W270" s="203"/>
      <c r="X270" s="203"/>
      <c r="Y270" s="203"/>
      <c r="Z270" s="203"/>
    </row>
    <row r="271" ht="12.75" customHeight="1">
      <c r="A271" s="203"/>
      <c r="B271" s="203"/>
      <c r="C271" s="203"/>
      <c r="D271" s="203"/>
      <c r="E271" s="203"/>
      <c r="F271" s="203"/>
      <c r="G271" s="203"/>
      <c r="H271" s="203"/>
      <c r="I271" s="203"/>
      <c r="J271" s="203"/>
      <c r="K271" s="203"/>
      <c r="L271" s="203"/>
      <c r="M271" s="203"/>
      <c r="N271" s="203"/>
      <c r="O271" s="203"/>
      <c r="P271" s="203"/>
      <c r="Q271" s="203"/>
      <c r="R271" s="203"/>
      <c r="S271" s="203"/>
      <c r="T271" s="203"/>
      <c r="U271" s="203"/>
      <c r="V271" s="203"/>
      <c r="W271" s="203"/>
      <c r="X271" s="203"/>
      <c r="Y271" s="203"/>
      <c r="Z271" s="203"/>
    </row>
    <row r="272" ht="12.75" customHeight="1">
      <c r="A272" s="203"/>
      <c r="B272" s="203"/>
      <c r="C272" s="203"/>
      <c r="D272" s="203"/>
      <c r="E272" s="203"/>
      <c r="F272" s="203"/>
      <c r="G272" s="203"/>
      <c r="H272" s="203"/>
      <c r="I272" s="203"/>
      <c r="J272" s="203"/>
      <c r="K272" s="203"/>
      <c r="L272" s="203"/>
      <c r="M272" s="203"/>
      <c r="N272" s="203"/>
      <c r="O272" s="203"/>
      <c r="P272" s="203"/>
      <c r="Q272" s="203"/>
      <c r="R272" s="203"/>
      <c r="S272" s="203"/>
      <c r="T272" s="203"/>
      <c r="U272" s="203"/>
      <c r="V272" s="203"/>
      <c r="W272" s="203"/>
      <c r="X272" s="203"/>
      <c r="Y272" s="203"/>
      <c r="Z272" s="203"/>
    </row>
    <row r="273" ht="12.75" customHeight="1">
      <c r="A273" s="203"/>
      <c r="B273" s="203"/>
      <c r="C273" s="203"/>
      <c r="D273" s="203"/>
      <c r="E273" s="203"/>
      <c r="F273" s="203"/>
      <c r="G273" s="203"/>
      <c r="H273" s="203"/>
      <c r="I273" s="203"/>
      <c r="J273" s="203"/>
      <c r="K273" s="203"/>
      <c r="L273" s="203"/>
      <c r="M273" s="203"/>
      <c r="N273" s="203"/>
      <c r="O273" s="203"/>
      <c r="P273" s="203"/>
      <c r="Q273" s="203"/>
      <c r="R273" s="203"/>
      <c r="S273" s="203"/>
      <c r="T273" s="203"/>
      <c r="U273" s="203"/>
      <c r="V273" s="203"/>
      <c r="W273" s="203"/>
      <c r="X273" s="203"/>
      <c r="Y273" s="203"/>
      <c r="Z273" s="203"/>
    </row>
    <row r="274" ht="12.75" customHeight="1">
      <c r="A274" s="203"/>
      <c r="B274" s="203"/>
      <c r="C274" s="203"/>
      <c r="D274" s="203"/>
      <c r="E274" s="203"/>
      <c r="F274" s="203"/>
      <c r="G274" s="203"/>
      <c r="H274" s="203"/>
      <c r="I274" s="203"/>
      <c r="J274" s="203"/>
      <c r="K274" s="203"/>
      <c r="L274" s="203"/>
      <c r="M274" s="203"/>
      <c r="N274" s="203"/>
      <c r="O274" s="203"/>
      <c r="P274" s="203"/>
      <c r="Q274" s="203"/>
      <c r="R274" s="203"/>
      <c r="S274" s="203"/>
      <c r="T274" s="203"/>
      <c r="U274" s="203"/>
      <c r="V274" s="203"/>
      <c r="W274" s="203"/>
      <c r="X274" s="203"/>
      <c r="Y274" s="203"/>
      <c r="Z274" s="203"/>
    </row>
    <row r="275" ht="12.75" customHeight="1">
      <c r="A275" s="203"/>
      <c r="B275" s="203"/>
      <c r="C275" s="203"/>
      <c r="D275" s="203"/>
      <c r="E275" s="203"/>
      <c r="F275" s="203"/>
      <c r="G275" s="203"/>
      <c r="H275" s="203"/>
      <c r="I275" s="203"/>
      <c r="J275" s="203"/>
      <c r="K275" s="203"/>
      <c r="L275" s="203"/>
      <c r="M275" s="203"/>
      <c r="N275" s="203"/>
      <c r="O275" s="203"/>
      <c r="P275" s="203"/>
      <c r="Q275" s="203"/>
      <c r="R275" s="203"/>
      <c r="S275" s="203"/>
      <c r="T275" s="203"/>
      <c r="U275" s="203"/>
      <c r="V275" s="203"/>
      <c r="W275" s="203"/>
      <c r="X275" s="203"/>
      <c r="Y275" s="203"/>
      <c r="Z275" s="203"/>
    </row>
    <row r="276" ht="12.75" customHeight="1">
      <c r="A276" s="203"/>
      <c r="B276" s="203"/>
      <c r="C276" s="203"/>
      <c r="D276" s="203"/>
      <c r="E276" s="203"/>
      <c r="F276" s="203"/>
      <c r="G276" s="203"/>
      <c r="H276" s="203"/>
      <c r="I276" s="203"/>
      <c r="J276" s="203"/>
      <c r="K276" s="203"/>
      <c r="L276" s="203"/>
      <c r="M276" s="203"/>
      <c r="N276" s="203"/>
      <c r="O276" s="203"/>
      <c r="P276" s="203"/>
      <c r="Q276" s="203"/>
      <c r="R276" s="203"/>
      <c r="S276" s="203"/>
      <c r="T276" s="203"/>
      <c r="U276" s="203"/>
      <c r="V276" s="203"/>
      <c r="W276" s="203"/>
      <c r="X276" s="203"/>
      <c r="Y276" s="203"/>
      <c r="Z276" s="203"/>
    </row>
    <row r="277" ht="12.75" customHeight="1">
      <c r="A277" s="203"/>
      <c r="B277" s="203"/>
      <c r="C277" s="203"/>
      <c r="D277" s="203"/>
      <c r="E277" s="203"/>
      <c r="F277" s="203"/>
      <c r="G277" s="203"/>
      <c r="H277" s="203"/>
      <c r="I277" s="203"/>
      <c r="J277" s="203"/>
      <c r="K277" s="203"/>
      <c r="L277" s="203"/>
      <c r="M277" s="203"/>
      <c r="N277" s="203"/>
      <c r="O277" s="203"/>
      <c r="P277" s="203"/>
      <c r="Q277" s="203"/>
      <c r="R277" s="203"/>
      <c r="S277" s="203"/>
      <c r="T277" s="203"/>
      <c r="U277" s="203"/>
      <c r="V277" s="203"/>
      <c r="W277" s="203"/>
      <c r="X277" s="203"/>
      <c r="Y277" s="203"/>
      <c r="Z277" s="203"/>
    </row>
    <row r="278" ht="12.75" customHeight="1">
      <c r="A278" s="203"/>
      <c r="B278" s="203"/>
      <c r="C278" s="203"/>
      <c r="D278" s="203"/>
      <c r="E278" s="203"/>
      <c r="F278" s="203"/>
      <c r="G278" s="203"/>
      <c r="H278" s="203"/>
      <c r="I278" s="203"/>
      <c r="J278" s="203"/>
      <c r="K278" s="203"/>
      <c r="L278" s="203"/>
      <c r="M278" s="203"/>
      <c r="N278" s="203"/>
      <c r="O278" s="203"/>
      <c r="P278" s="203"/>
      <c r="Q278" s="203"/>
      <c r="R278" s="203"/>
      <c r="S278" s="203"/>
      <c r="T278" s="203"/>
      <c r="U278" s="203"/>
      <c r="V278" s="203"/>
      <c r="W278" s="203"/>
      <c r="X278" s="203"/>
      <c r="Y278" s="203"/>
      <c r="Z278" s="203"/>
    </row>
    <row r="279" ht="12.75" customHeight="1">
      <c r="A279" s="203"/>
      <c r="B279" s="203"/>
      <c r="C279" s="203"/>
      <c r="D279" s="203"/>
      <c r="E279" s="203"/>
      <c r="F279" s="203"/>
      <c r="G279" s="203"/>
      <c r="H279" s="203"/>
      <c r="I279" s="203"/>
      <c r="J279" s="203"/>
      <c r="K279" s="203"/>
      <c r="L279" s="203"/>
      <c r="M279" s="203"/>
      <c r="N279" s="203"/>
      <c r="O279" s="203"/>
      <c r="P279" s="203"/>
      <c r="Q279" s="203"/>
      <c r="R279" s="203"/>
      <c r="S279" s="203"/>
      <c r="T279" s="203"/>
      <c r="U279" s="203"/>
      <c r="V279" s="203"/>
      <c r="W279" s="203"/>
      <c r="X279" s="203"/>
      <c r="Y279" s="203"/>
      <c r="Z279" s="203"/>
    </row>
    <row r="280" ht="12.75" customHeight="1">
      <c r="A280" s="203"/>
      <c r="B280" s="203"/>
      <c r="C280" s="203"/>
      <c r="D280" s="203"/>
      <c r="E280" s="203"/>
      <c r="F280" s="203"/>
      <c r="G280" s="203"/>
      <c r="H280" s="203"/>
      <c r="I280" s="203"/>
      <c r="J280" s="203"/>
      <c r="K280" s="203"/>
      <c r="L280" s="203"/>
      <c r="M280" s="203"/>
      <c r="N280" s="203"/>
      <c r="O280" s="203"/>
      <c r="P280" s="203"/>
      <c r="Q280" s="203"/>
      <c r="R280" s="203"/>
      <c r="S280" s="203"/>
      <c r="T280" s="203"/>
      <c r="U280" s="203"/>
      <c r="V280" s="203"/>
      <c r="W280" s="203"/>
      <c r="X280" s="203"/>
      <c r="Y280" s="203"/>
      <c r="Z280" s="203"/>
    </row>
    <row r="281" ht="12.75" customHeight="1">
      <c r="A281" s="203"/>
      <c r="B281" s="203"/>
      <c r="C281" s="203"/>
      <c r="D281" s="203"/>
      <c r="E281" s="203"/>
      <c r="F281" s="203"/>
      <c r="G281" s="203"/>
      <c r="H281" s="203"/>
      <c r="I281" s="203"/>
      <c r="J281" s="203"/>
      <c r="K281" s="203"/>
      <c r="L281" s="203"/>
      <c r="M281" s="203"/>
      <c r="N281" s="203"/>
      <c r="O281" s="203"/>
      <c r="P281" s="203"/>
      <c r="Q281" s="203"/>
      <c r="R281" s="203"/>
      <c r="S281" s="203"/>
      <c r="T281" s="203"/>
      <c r="U281" s="203"/>
      <c r="V281" s="203"/>
      <c r="W281" s="203"/>
      <c r="X281" s="203"/>
      <c r="Y281" s="203"/>
      <c r="Z281" s="203"/>
    </row>
    <row r="282" ht="12.75" customHeight="1">
      <c r="A282" s="203"/>
      <c r="B282" s="203"/>
      <c r="C282" s="203"/>
      <c r="D282" s="203"/>
      <c r="E282" s="203"/>
      <c r="F282" s="203"/>
      <c r="G282" s="203"/>
      <c r="H282" s="203"/>
      <c r="I282" s="203"/>
      <c r="J282" s="203"/>
      <c r="K282" s="203"/>
      <c r="L282" s="203"/>
      <c r="M282" s="203"/>
      <c r="N282" s="203"/>
      <c r="O282" s="203"/>
      <c r="P282" s="203"/>
      <c r="Q282" s="203"/>
      <c r="R282" s="203"/>
      <c r="S282" s="203"/>
      <c r="T282" s="203"/>
      <c r="U282" s="203"/>
      <c r="V282" s="203"/>
      <c r="W282" s="203"/>
      <c r="X282" s="203"/>
      <c r="Y282" s="203"/>
      <c r="Z282" s="203"/>
    </row>
    <row r="283" ht="12.75" customHeight="1">
      <c r="A283" s="203"/>
      <c r="B283" s="203"/>
      <c r="C283" s="203"/>
      <c r="D283" s="203"/>
      <c r="E283" s="203"/>
      <c r="F283" s="203"/>
      <c r="G283" s="203"/>
      <c r="H283" s="203"/>
      <c r="I283" s="203"/>
      <c r="J283" s="203"/>
      <c r="K283" s="203"/>
      <c r="L283" s="203"/>
      <c r="M283" s="203"/>
      <c r="N283" s="203"/>
      <c r="O283" s="203"/>
      <c r="P283" s="203"/>
      <c r="Q283" s="203"/>
      <c r="R283" s="203"/>
      <c r="S283" s="203"/>
      <c r="T283" s="203"/>
      <c r="U283" s="203"/>
      <c r="V283" s="203"/>
      <c r="W283" s="203"/>
      <c r="X283" s="203"/>
      <c r="Y283" s="203"/>
      <c r="Z283" s="203"/>
    </row>
    <row r="284" ht="12.75" customHeight="1">
      <c r="A284" s="203"/>
      <c r="B284" s="203"/>
      <c r="C284" s="203"/>
      <c r="D284" s="203"/>
      <c r="E284" s="203"/>
      <c r="F284" s="203"/>
      <c r="G284" s="203"/>
      <c r="H284" s="203"/>
      <c r="I284" s="203"/>
      <c r="J284" s="203"/>
      <c r="K284" s="203"/>
      <c r="L284" s="203"/>
      <c r="M284" s="203"/>
      <c r="N284" s="203"/>
      <c r="O284" s="203"/>
      <c r="P284" s="203"/>
      <c r="Q284" s="203"/>
      <c r="R284" s="203"/>
      <c r="S284" s="203"/>
      <c r="T284" s="203"/>
      <c r="U284" s="203"/>
      <c r="V284" s="203"/>
      <c r="W284" s="203"/>
      <c r="X284" s="203"/>
      <c r="Y284" s="203"/>
      <c r="Z284" s="203"/>
    </row>
    <row r="285" ht="12.75" customHeight="1">
      <c r="A285" s="203"/>
      <c r="B285" s="203"/>
      <c r="C285" s="203"/>
      <c r="D285" s="203"/>
      <c r="E285" s="203"/>
      <c r="F285" s="203"/>
      <c r="G285" s="203"/>
      <c r="H285" s="203"/>
      <c r="I285" s="203"/>
      <c r="J285" s="203"/>
      <c r="K285" s="203"/>
      <c r="L285" s="203"/>
      <c r="M285" s="203"/>
      <c r="N285" s="203"/>
      <c r="O285" s="203"/>
      <c r="P285" s="203"/>
      <c r="Q285" s="203"/>
      <c r="R285" s="203"/>
      <c r="S285" s="203"/>
      <c r="T285" s="203"/>
      <c r="U285" s="203"/>
      <c r="V285" s="203"/>
      <c r="W285" s="203"/>
      <c r="X285" s="203"/>
      <c r="Y285" s="203"/>
      <c r="Z285" s="203"/>
    </row>
    <row r="286" ht="12.75" customHeight="1">
      <c r="A286" s="203"/>
      <c r="B286" s="203"/>
      <c r="C286" s="203"/>
      <c r="D286" s="203"/>
      <c r="E286" s="203"/>
      <c r="F286" s="203"/>
      <c r="G286" s="203"/>
      <c r="H286" s="203"/>
      <c r="I286" s="203"/>
      <c r="J286" s="203"/>
      <c r="K286" s="203"/>
      <c r="L286" s="203"/>
      <c r="M286" s="203"/>
      <c r="N286" s="203"/>
      <c r="O286" s="203"/>
      <c r="P286" s="203"/>
      <c r="Q286" s="203"/>
      <c r="R286" s="203"/>
      <c r="S286" s="203"/>
      <c r="T286" s="203"/>
      <c r="U286" s="203"/>
      <c r="V286" s="203"/>
      <c r="W286" s="203"/>
      <c r="X286" s="203"/>
      <c r="Y286" s="203"/>
      <c r="Z286" s="203"/>
    </row>
    <row r="287" ht="12.75" customHeight="1">
      <c r="A287" s="203"/>
      <c r="B287" s="203"/>
      <c r="C287" s="203"/>
      <c r="D287" s="203"/>
      <c r="E287" s="203"/>
      <c r="F287" s="203"/>
      <c r="G287" s="203"/>
      <c r="H287" s="203"/>
      <c r="I287" s="203"/>
      <c r="J287" s="203"/>
      <c r="K287" s="203"/>
      <c r="L287" s="203"/>
      <c r="M287" s="203"/>
      <c r="N287" s="203"/>
      <c r="O287" s="203"/>
      <c r="P287" s="203"/>
      <c r="Q287" s="203"/>
      <c r="R287" s="203"/>
      <c r="S287" s="203"/>
      <c r="T287" s="203"/>
      <c r="U287" s="203"/>
      <c r="V287" s="203"/>
      <c r="W287" s="203"/>
      <c r="X287" s="203"/>
      <c r="Y287" s="203"/>
      <c r="Z287" s="203"/>
    </row>
    <row r="288" ht="12.75" customHeight="1">
      <c r="A288" s="203"/>
      <c r="B288" s="203"/>
      <c r="C288" s="203"/>
      <c r="D288" s="203"/>
      <c r="E288" s="203"/>
      <c r="F288" s="203"/>
      <c r="G288" s="203"/>
      <c r="H288" s="203"/>
      <c r="I288" s="203"/>
      <c r="J288" s="203"/>
      <c r="K288" s="203"/>
      <c r="L288" s="203"/>
      <c r="M288" s="203"/>
      <c r="N288" s="203"/>
      <c r="O288" s="203"/>
      <c r="P288" s="203"/>
      <c r="Q288" s="203"/>
      <c r="R288" s="203"/>
      <c r="S288" s="203"/>
      <c r="T288" s="203"/>
      <c r="U288" s="203"/>
      <c r="V288" s="203"/>
      <c r="W288" s="203"/>
      <c r="X288" s="203"/>
      <c r="Y288" s="203"/>
      <c r="Z288" s="203"/>
    </row>
    <row r="289" ht="12.75" customHeight="1">
      <c r="A289" s="203"/>
      <c r="B289" s="203"/>
      <c r="C289" s="203"/>
      <c r="D289" s="203"/>
      <c r="E289" s="203"/>
      <c r="F289" s="203"/>
      <c r="G289" s="203"/>
      <c r="H289" s="203"/>
      <c r="I289" s="203"/>
      <c r="J289" s="203"/>
      <c r="K289" s="203"/>
      <c r="L289" s="203"/>
      <c r="M289" s="203"/>
      <c r="N289" s="203"/>
      <c r="O289" s="203"/>
      <c r="P289" s="203"/>
      <c r="Q289" s="203"/>
      <c r="R289" s="203"/>
      <c r="S289" s="203"/>
      <c r="T289" s="203"/>
      <c r="U289" s="203"/>
      <c r="V289" s="203"/>
      <c r="W289" s="203"/>
      <c r="X289" s="203"/>
      <c r="Y289" s="203"/>
      <c r="Z289" s="203"/>
    </row>
    <row r="290" ht="12.75" customHeight="1">
      <c r="A290" s="203"/>
      <c r="B290" s="203"/>
      <c r="C290" s="203"/>
      <c r="D290" s="203"/>
      <c r="E290" s="203"/>
      <c r="F290" s="203"/>
      <c r="G290" s="203"/>
      <c r="H290" s="203"/>
      <c r="I290" s="203"/>
      <c r="J290" s="203"/>
      <c r="K290" s="203"/>
      <c r="L290" s="203"/>
      <c r="M290" s="203"/>
      <c r="N290" s="203"/>
      <c r="O290" s="203"/>
      <c r="P290" s="203"/>
      <c r="Q290" s="203"/>
      <c r="R290" s="203"/>
      <c r="S290" s="203"/>
      <c r="T290" s="203"/>
      <c r="U290" s="203"/>
      <c r="V290" s="203"/>
      <c r="W290" s="203"/>
      <c r="X290" s="203"/>
      <c r="Y290" s="203"/>
      <c r="Z290" s="203"/>
    </row>
    <row r="291" ht="12.75" customHeight="1">
      <c r="A291" s="203"/>
      <c r="B291" s="203"/>
      <c r="C291" s="203"/>
      <c r="D291" s="203"/>
      <c r="E291" s="203"/>
      <c r="F291" s="203"/>
      <c r="G291" s="203"/>
      <c r="H291" s="203"/>
      <c r="I291" s="203"/>
      <c r="J291" s="203"/>
      <c r="K291" s="203"/>
      <c r="L291" s="203"/>
      <c r="M291" s="203"/>
      <c r="N291" s="203"/>
      <c r="O291" s="203"/>
      <c r="P291" s="203"/>
      <c r="Q291" s="203"/>
      <c r="R291" s="203"/>
      <c r="S291" s="203"/>
      <c r="T291" s="203"/>
      <c r="U291" s="203"/>
      <c r="V291" s="203"/>
      <c r="W291" s="203"/>
      <c r="X291" s="203"/>
      <c r="Y291" s="203"/>
      <c r="Z291" s="203"/>
    </row>
    <row r="292" ht="12.75" customHeight="1">
      <c r="A292" s="203"/>
      <c r="B292" s="203"/>
      <c r="C292" s="203"/>
      <c r="D292" s="203"/>
      <c r="E292" s="203"/>
      <c r="F292" s="203"/>
      <c r="G292" s="203"/>
      <c r="H292" s="203"/>
      <c r="I292" s="203"/>
      <c r="J292" s="203"/>
      <c r="K292" s="203"/>
      <c r="L292" s="203"/>
      <c r="M292" s="203"/>
      <c r="N292" s="203"/>
      <c r="O292" s="203"/>
      <c r="P292" s="203"/>
      <c r="Q292" s="203"/>
      <c r="R292" s="203"/>
      <c r="S292" s="203"/>
      <c r="T292" s="203"/>
      <c r="U292" s="203"/>
      <c r="V292" s="203"/>
      <c r="W292" s="203"/>
      <c r="X292" s="203"/>
      <c r="Y292" s="203"/>
      <c r="Z292" s="203"/>
    </row>
    <row r="293" ht="12.75" customHeight="1">
      <c r="A293" s="203"/>
      <c r="B293" s="203"/>
      <c r="C293" s="203"/>
      <c r="D293" s="203"/>
      <c r="E293" s="203"/>
      <c r="F293" s="203"/>
      <c r="G293" s="203"/>
      <c r="H293" s="203"/>
      <c r="I293" s="203"/>
      <c r="J293" s="203"/>
      <c r="K293" s="203"/>
      <c r="L293" s="203"/>
      <c r="M293" s="203"/>
      <c r="N293" s="203"/>
      <c r="O293" s="203"/>
      <c r="P293" s="203"/>
      <c r="Q293" s="203"/>
      <c r="R293" s="203"/>
      <c r="S293" s="203"/>
      <c r="T293" s="203"/>
      <c r="U293" s="203"/>
      <c r="V293" s="203"/>
      <c r="W293" s="203"/>
      <c r="X293" s="203"/>
      <c r="Y293" s="203"/>
      <c r="Z293" s="203"/>
    </row>
    <row r="294" ht="12.75" customHeight="1">
      <c r="A294" s="203"/>
      <c r="B294" s="203"/>
      <c r="C294" s="203"/>
      <c r="D294" s="203"/>
      <c r="E294" s="203"/>
      <c r="F294" s="203"/>
      <c r="G294" s="203"/>
      <c r="H294" s="203"/>
      <c r="I294" s="203"/>
      <c r="J294" s="203"/>
      <c r="K294" s="203"/>
      <c r="L294" s="203"/>
      <c r="M294" s="203"/>
      <c r="N294" s="203"/>
      <c r="O294" s="203"/>
      <c r="P294" s="203"/>
      <c r="Q294" s="203"/>
      <c r="R294" s="203"/>
      <c r="S294" s="203"/>
      <c r="T294" s="203"/>
      <c r="U294" s="203"/>
      <c r="V294" s="203"/>
      <c r="W294" s="203"/>
      <c r="X294" s="203"/>
      <c r="Y294" s="203"/>
      <c r="Z294" s="203"/>
    </row>
    <row r="295" ht="12.75" customHeight="1">
      <c r="A295" s="203"/>
      <c r="B295" s="203"/>
      <c r="C295" s="203"/>
      <c r="D295" s="203"/>
      <c r="E295" s="203"/>
      <c r="F295" s="203"/>
      <c r="G295" s="203"/>
      <c r="H295" s="203"/>
      <c r="I295" s="203"/>
      <c r="J295" s="203"/>
      <c r="K295" s="203"/>
      <c r="L295" s="203"/>
      <c r="M295" s="203"/>
      <c r="N295" s="203"/>
      <c r="O295" s="203"/>
      <c r="P295" s="203"/>
      <c r="Q295" s="203"/>
      <c r="R295" s="203"/>
      <c r="S295" s="203"/>
      <c r="T295" s="203"/>
      <c r="U295" s="203"/>
      <c r="V295" s="203"/>
      <c r="W295" s="203"/>
      <c r="X295" s="203"/>
      <c r="Y295" s="203"/>
      <c r="Z295" s="203"/>
    </row>
    <row r="296" ht="12.75" customHeight="1">
      <c r="A296" s="203"/>
      <c r="B296" s="203"/>
      <c r="C296" s="203"/>
      <c r="D296" s="203"/>
      <c r="E296" s="203"/>
      <c r="F296" s="203"/>
      <c r="G296" s="203"/>
      <c r="H296" s="203"/>
      <c r="I296" s="203"/>
      <c r="J296" s="203"/>
      <c r="K296" s="203"/>
      <c r="L296" s="203"/>
      <c r="M296" s="203"/>
      <c r="N296" s="203"/>
      <c r="O296" s="203"/>
      <c r="P296" s="203"/>
      <c r="Q296" s="203"/>
      <c r="R296" s="203"/>
      <c r="S296" s="203"/>
      <c r="T296" s="203"/>
      <c r="U296" s="203"/>
      <c r="V296" s="203"/>
      <c r="W296" s="203"/>
      <c r="X296" s="203"/>
      <c r="Y296" s="203"/>
      <c r="Z296" s="203"/>
    </row>
    <row r="297" ht="12.75" customHeight="1">
      <c r="A297" s="203"/>
      <c r="B297" s="203"/>
      <c r="C297" s="203"/>
      <c r="D297" s="203"/>
      <c r="E297" s="203"/>
      <c r="F297" s="203"/>
      <c r="G297" s="203"/>
      <c r="H297" s="203"/>
      <c r="I297" s="203"/>
      <c r="J297" s="203"/>
      <c r="K297" s="203"/>
      <c r="L297" s="203"/>
      <c r="M297" s="203"/>
      <c r="N297" s="203"/>
      <c r="O297" s="203"/>
      <c r="P297" s="203"/>
      <c r="Q297" s="203"/>
      <c r="R297" s="203"/>
      <c r="S297" s="203"/>
      <c r="T297" s="203"/>
      <c r="U297" s="203"/>
      <c r="V297" s="203"/>
      <c r="W297" s="203"/>
      <c r="X297" s="203"/>
      <c r="Y297" s="203"/>
      <c r="Z297" s="203"/>
    </row>
    <row r="298" ht="12.75" customHeight="1">
      <c r="A298" s="203"/>
      <c r="B298" s="203"/>
      <c r="C298" s="203"/>
      <c r="D298" s="203"/>
      <c r="E298" s="203"/>
      <c r="F298" s="203"/>
      <c r="G298" s="203"/>
      <c r="H298" s="203"/>
      <c r="I298" s="203"/>
      <c r="J298" s="203"/>
      <c r="K298" s="203"/>
      <c r="L298" s="203"/>
      <c r="M298" s="203"/>
      <c r="N298" s="203"/>
      <c r="O298" s="203"/>
      <c r="P298" s="203"/>
      <c r="Q298" s="203"/>
      <c r="R298" s="203"/>
      <c r="S298" s="203"/>
      <c r="T298" s="203"/>
      <c r="U298" s="203"/>
      <c r="V298" s="203"/>
      <c r="W298" s="203"/>
      <c r="X298" s="203"/>
      <c r="Y298" s="203"/>
      <c r="Z298" s="203"/>
    </row>
    <row r="299" ht="12.75" customHeight="1">
      <c r="A299" s="203"/>
      <c r="B299" s="203"/>
      <c r="C299" s="203"/>
      <c r="D299" s="203"/>
      <c r="E299" s="203"/>
      <c r="F299" s="203"/>
      <c r="G299" s="203"/>
      <c r="H299" s="203"/>
      <c r="I299" s="203"/>
      <c r="J299" s="203"/>
      <c r="K299" s="203"/>
      <c r="L299" s="203"/>
      <c r="M299" s="203"/>
      <c r="N299" s="203"/>
      <c r="O299" s="203"/>
      <c r="P299" s="203"/>
      <c r="Q299" s="203"/>
      <c r="R299" s="203"/>
      <c r="S299" s="203"/>
      <c r="T299" s="203"/>
      <c r="U299" s="203"/>
      <c r="V299" s="203"/>
      <c r="W299" s="203"/>
      <c r="X299" s="203"/>
      <c r="Y299" s="203"/>
      <c r="Z299" s="203"/>
    </row>
    <row r="300" ht="12.75" customHeight="1">
      <c r="A300" s="203"/>
      <c r="B300" s="203"/>
      <c r="C300" s="203"/>
      <c r="D300" s="203"/>
      <c r="E300" s="203"/>
      <c r="F300" s="203"/>
      <c r="G300" s="203"/>
      <c r="H300" s="203"/>
      <c r="I300" s="203"/>
      <c r="J300" s="203"/>
      <c r="K300" s="203"/>
      <c r="L300" s="203"/>
      <c r="M300" s="203"/>
      <c r="N300" s="203"/>
      <c r="O300" s="203"/>
      <c r="P300" s="203"/>
      <c r="Q300" s="203"/>
      <c r="R300" s="203"/>
      <c r="S300" s="203"/>
      <c r="T300" s="203"/>
      <c r="U300" s="203"/>
      <c r="V300" s="203"/>
      <c r="W300" s="203"/>
      <c r="X300" s="203"/>
      <c r="Y300" s="203"/>
      <c r="Z300" s="203"/>
    </row>
    <row r="301" ht="12.75" customHeight="1">
      <c r="A301" s="203"/>
      <c r="B301" s="203"/>
      <c r="C301" s="203"/>
      <c r="D301" s="203"/>
      <c r="E301" s="203"/>
      <c r="F301" s="203"/>
      <c r="G301" s="203"/>
      <c r="H301" s="203"/>
      <c r="I301" s="203"/>
      <c r="J301" s="203"/>
      <c r="K301" s="203"/>
      <c r="L301" s="203"/>
      <c r="M301" s="203"/>
      <c r="N301" s="203"/>
      <c r="O301" s="203"/>
      <c r="P301" s="203"/>
      <c r="Q301" s="203"/>
      <c r="R301" s="203"/>
      <c r="S301" s="203"/>
      <c r="T301" s="203"/>
      <c r="U301" s="203"/>
      <c r="V301" s="203"/>
      <c r="W301" s="203"/>
      <c r="X301" s="203"/>
      <c r="Y301" s="203"/>
      <c r="Z301" s="203"/>
    </row>
    <row r="302" ht="12.75" customHeight="1">
      <c r="A302" s="203"/>
      <c r="B302" s="203"/>
      <c r="C302" s="203"/>
      <c r="D302" s="203"/>
      <c r="E302" s="203"/>
      <c r="F302" s="203"/>
      <c r="G302" s="203"/>
      <c r="H302" s="203"/>
      <c r="I302" s="203"/>
      <c r="J302" s="203"/>
      <c r="K302" s="203"/>
      <c r="L302" s="203"/>
      <c r="M302" s="203"/>
      <c r="N302" s="203"/>
      <c r="O302" s="203"/>
      <c r="P302" s="203"/>
      <c r="Q302" s="203"/>
      <c r="R302" s="203"/>
      <c r="S302" s="203"/>
      <c r="T302" s="203"/>
      <c r="U302" s="203"/>
      <c r="V302" s="203"/>
      <c r="W302" s="203"/>
      <c r="X302" s="203"/>
      <c r="Y302" s="203"/>
      <c r="Z302" s="203"/>
    </row>
    <row r="303" ht="12.75" customHeight="1">
      <c r="A303" s="203"/>
      <c r="B303" s="203"/>
      <c r="C303" s="203"/>
      <c r="D303" s="203"/>
      <c r="E303" s="203"/>
      <c r="F303" s="203"/>
      <c r="G303" s="203"/>
      <c r="H303" s="203"/>
      <c r="I303" s="203"/>
      <c r="J303" s="203"/>
      <c r="K303" s="203"/>
      <c r="L303" s="203"/>
      <c r="M303" s="203"/>
      <c r="N303" s="203"/>
      <c r="O303" s="203"/>
      <c r="P303" s="203"/>
      <c r="Q303" s="203"/>
      <c r="R303" s="203"/>
      <c r="S303" s="203"/>
      <c r="T303" s="203"/>
      <c r="U303" s="203"/>
      <c r="V303" s="203"/>
      <c r="W303" s="203"/>
      <c r="X303" s="203"/>
      <c r="Y303" s="203"/>
      <c r="Z303" s="203"/>
    </row>
    <row r="304" ht="12.75" customHeight="1">
      <c r="A304" s="203"/>
      <c r="B304" s="203"/>
      <c r="C304" s="203"/>
      <c r="D304" s="203"/>
      <c r="E304" s="203"/>
      <c r="F304" s="203"/>
      <c r="G304" s="203"/>
      <c r="H304" s="203"/>
      <c r="I304" s="203"/>
      <c r="J304" s="203"/>
      <c r="K304" s="203"/>
      <c r="L304" s="203"/>
      <c r="M304" s="203"/>
      <c r="N304" s="203"/>
      <c r="O304" s="203"/>
      <c r="P304" s="203"/>
      <c r="Q304" s="203"/>
      <c r="R304" s="203"/>
      <c r="S304" s="203"/>
      <c r="T304" s="203"/>
      <c r="U304" s="203"/>
      <c r="V304" s="203"/>
      <c r="W304" s="203"/>
      <c r="X304" s="203"/>
      <c r="Y304" s="203"/>
      <c r="Z304" s="203"/>
    </row>
    <row r="305" ht="12.75" customHeight="1">
      <c r="A305" s="203"/>
      <c r="B305" s="203"/>
      <c r="C305" s="203"/>
      <c r="D305" s="203"/>
      <c r="E305" s="203"/>
      <c r="F305" s="203"/>
      <c r="G305" s="203"/>
      <c r="H305" s="203"/>
      <c r="I305" s="203"/>
      <c r="J305" s="203"/>
      <c r="K305" s="203"/>
      <c r="L305" s="203"/>
      <c r="M305" s="203"/>
      <c r="N305" s="203"/>
      <c r="O305" s="203"/>
      <c r="P305" s="203"/>
      <c r="Q305" s="203"/>
      <c r="R305" s="203"/>
      <c r="S305" s="203"/>
      <c r="T305" s="203"/>
      <c r="U305" s="203"/>
      <c r="V305" s="203"/>
      <c r="W305" s="203"/>
      <c r="X305" s="203"/>
      <c r="Y305" s="203"/>
      <c r="Z305" s="203"/>
    </row>
    <row r="306" ht="12.75" customHeight="1">
      <c r="A306" s="203"/>
      <c r="B306" s="203"/>
      <c r="C306" s="203"/>
      <c r="D306" s="203"/>
      <c r="E306" s="203"/>
      <c r="F306" s="203"/>
      <c r="G306" s="203"/>
      <c r="H306" s="203"/>
      <c r="I306" s="203"/>
      <c r="J306" s="203"/>
      <c r="K306" s="203"/>
      <c r="L306" s="203"/>
      <c r="M306" s="203"/>
      <c r="N306" s="203"/>
      <c r="O306" s="203"/>
      <c r="P306" s="203"/>
      <c r="Q306" s="203"/>
      <c r="R306" s="203"/>
      <c r="S306" s="203"/>
      <c r="T306" s="203"/>
      <c r="U306" s="203"/>
      <c r="V306" s="203"/>
      <c r="W306" s="203"/>
      <c r="X306" s="203"/>
      <c r="Y306" s="203"/>
      <c r="Z306" s="203"/>
    </row>
    <row r="307" ht="12.75" customHeight="1">
      <c r="A307" s="203"/>
      <c r="B307" s="203"/>
      <c r="C307" s="203"/>
      <c r="D307" s="203"/>
      <c r="E307" s="203"/>
      <c r="F307" s="203"/>
      <c r="G307" s="203"/>
      <c r="H307" s="203"/>
      <c r="I307" s="203"/>
      <c r="J307" s="203"/>
      <c r="K307" s="203"/>
      <c r="L307" s="203"/>
      <c r="M307" s="203"/>
      <c r="N307" s="203"/>
      <c r="O307" s="203"/>
      <c r="P307" s="203"/>
      <c r="Q307" s="203"/>
      <c r="R307" s="203"/>
      <c r="S307" s="203"/>
      <c r="T307" s="203"/>
      <c r="U307" s="203"/>
      <c r="V307" s="203"/>
      <c r="W307" s="203"/>
      <c r="X307" s="203"/>
      <c r="Y307" s="203"/>
      <c r="Z307" s="203"/>
    </row>
    <row r="308" ht="12.75" customHeight="1">
      <c r="A308" s="203"/>
      <c r="B308" s="203"/>
      <c r="C308" s="203"/>
      <c r="D308" s="203"/>
      <c r="E308" s="203"/>
      <c r="F308" s="203"/>
      <c r="G308" s="203"/>
      <c r="H308" s="203"/>
      <c r="I308" s="203"/>
      <c r="J308" s="203"/>
      <c r="K308" s="203"/>
      <c r="L308" s="203"/>
      <c r="M308" s="203"/>
      <c r="N308" s="203"/>
      <c r="O308" s="203"/>
      <c r="P308" s="203"/>
      <c r="Q308" s="203"/>
      <c r="R308" s="203"/>
      <c r="S308" s="203"/>
      <c r="T308" s="203"/>
      <c r="U308" s="203"/>
      <c r="V308" s="203"/>
      <c r="W308" s="203"/>
      <c r="X308" s="203"/>
      <c r="Y308" s="203"/>
      <c r="Z308" s="203"/>
    </row>
    <row r="309" ht="12.75" customHeight="1">
      <c r="A309" s="203"/>
      <c r="B309" s="203"/>
      <c r="C309" s="203"/>
      <c r="D309" s="203"/>
      <c r="E309" s="203"/>
      <c r="F309" s="203"/>
      <c r="G309" s="203"/>
      <c r="H309" s="203"/>
      <c r="I309" s="203"/>
      <c r="J309" s="203"/>
      <c r="K309" s="203"/>
      <c r="L309" s="203"/>
      <c r="M309" s="203"/>
      <c r="N309" s="203"/>
      <c r="O309" s="203"/>
      <c r="P309" s="203"/>
      <c r="Q309" s="203"/>
      <c r="R309" s="203"/>
      <c r="S309" s="203"/>
      <c r="T309" s="203"/>
      <c r="U309" s="203"/>
      <c r="V309" s="203"/>
      <c r="W309" s="203"/>
      <c r="X309" s="203"/>
      <c r="Y309" s="203"/>
      <c r="Z309" s="203"/>
    </row>
    <row r="310" ht="12.75" customHeight="1">
      <c r="A310" s="203"/>
      <c r="B310" s="203"/>
      <c r="C310" s="203"/>
      <c r="D310" s="203"/>
      <c r="E310" s="203"/>
      <c r="F310" s="203"/>
      <c r="G310" s="203"/>
      <c r="H310" s="203"/>
      <c r="I310" s="203"/>
      <c r="J310" s="203"/>
      <c r="K310" s="203"/>
      <c r="L310" s="203"/>
      <c r="M310" s="203"/>
      <c r="N310" s="203"/>
      <c r="O310" s="203"/>
      <c r="P310" s="203"/>
      <c r="Q310" s="203"/>
      <c r="R310" s="203"/>
      <c r="S310" s="203"/>
      <c r="T310" s="203"/>
      <c r="U310" s="203"/>
      <c r="V310" s="203"/>
      <c r="W310" s="203"/>
      <c r="X310" s="203"/>
      <c r="Y310" s="203"/>
      <c r="Z310" s="203"/>
    </row>
    <row r="311" ht="12.75" customHeight="1">
      <c r="A311" s="203"/>
      <c r="B311" s="203"/>
      <c r="C311" s="203"/>
      <c r="D311" s="203"/>
      <c r="E311" s="203"/>
      <c r="F311" s="203"/>
      <c r="G311" s="203"/>
      <c r="H311" s="203"/>
      <c r="I311" s="203"/>
      <c r="J311" s="203"/>
      <c r="K311" s="203"/>
      <c r="L311" s="203"/>
      <c r="M311" s="203"/>
      <c r="N311" s="203"/>
      <c r="O311" s="203"/>
      <c r="P311" s="203"/>
      <c r="Q311" s="203"/>
      <c r="R311" s="203"/>
      <c r="S311" s="203"/>
      <c r="T311" s="203"/>
      <c r="U311" s="203"/>
      <c r="V311" s="203"/>
      <c r="W311" s="203"/>
      <c r="X311" s="203"/>
      <c r="Y311" s="203"/>
      <c r="Z311" s="203"/>
    </row>
    <row r="312" ht="12.75" customHeight="1">
      <c r="A312" s="203"/>
      <c r="B312" s="203"/>
      <c r="C312" s="203"/>
      <c r="D312" s="203"/>
      <c r="E312" s="203"/>
      <c r="F312" s="203"/>
      <c r="G312" s="203"/>
      <c r="H312" s="203"/>
      <c r="I312" s="203"/>
      <c r="J312" s="203"/>
      <c r="K312" s="203"/>
      <c r="L312" s="203"/>
      <c r="M312" s="203"/>
      <c r="N312" s="203"/>
      <c r="O312" s="203"/>
      <c r="P312" s="203"/>
      <c r="Q312" s="203"/>
      <c r="R312" s="203"/>
      <c r="S312" s="203"/>
      <c r="T312" s="203"/>
      <c r="U312" s="203"/>
      <c r="V312" s="203"/>
      <c r="W312" s="203"/>
      <c r="X312" s="203"/>
      <c r="Y312" s="203"/>
      <c r="Z312" s="203"/>
    </row>
    <row r="313" ht="12.75" customHeight="1">
      <c r="A313" s="203"/>
      <c r="B313" s="203"/>
      <c r="C313" s="203"/>
      <c r="D313" s="203"/>
      <c r="E313" s="203"/>
      <c r="F313" s="203"/>
      <c r="G313" s="203"/>
      <c r="H313" s="203"/>
      <c r="I313" s="203"/>
      <c r="J313" s="203"/>
      <c r="K313" s="203"/>
      <c r="L313" s="203"/>
      <c r="M313" s="203"/>
      <c r="N313" s="203"/>
      <c r="O313" s="203"/>
      <c r="P313" s="203"/>
      <c r="Q313" s="203"/>
      <c r="R313" s="203"/>
      <c r="S313" s="203"/>
      <c r="T313" s="203"/>
      <c r="U313" s="203"/>
      <c r="V313" s="203"/>
      <c r="W313" s="203"/>
      <c r="X313" s="203"/>
      <c r="Y313" s="203"/>
      <c r="Z313" s="203"/>
    </row>
    <row r="314" ht="12.75" customHeight="1">
      <c r="A314" s="203"/>
      <c r="B314" s="203"/>
      <c r="C314" s="203"/>
      <c r="D314" s="203"/>
      <c r="E314" s="203"/>
      <c r="F314" s="203"/>
      <c r="G314" s="203"/>
      <c r="H314" s="203"/>
      <c r="I314" s="203"/>
      <c r="J314" s="203"/>
      <c r="K314" s="203"/>
      <c r="L314" s="203"/>
      <c r="M314" s="203"/>
      <c r="N314" s="203"/>
      <c r="O314" s="203"/>
      <c r="P314" s="203"/>
      <c r="Q314" s="203"/>
      <c r="R314" s="203"/>
      <c r="S314" s="203"/>
      <c r="T314" s="203"/>
      <c r="U314" s="203"/>
      <c r="V314" s="203"/>
      <c r="W314" s="203"/>
      <c r="X314" s="203"/>
      <c r="Y314" s="203"/>
      <c r="Z314" s="203"/>
    </row>
    <row r="315" ht="12.75" customHeight="1">
      <c r="A315" s="203"/>
      <c r="B315" s="203"/>
      <c r="C315" s="203"/>
      <c r="D315" s="203"/>
      <c r="E315" s="203"/>
      <c r="F315" s="203"/>
      <c r="G315" s="203"/>
      <c r="H315" s="203"/>
      <c r="I315" s="203"/>
      <c r="J315" s="203"/>
      <c r="K315" s="203"/>
      <c r="L315" s="203"/>
      <c r="M315" s="203"/>
      <c r="N315" s="203"/>
      <c r="O315" s="203"/>
      <c r="P315" s="203"/>
      <c r="Q315" s="203"/>
      <c r="R315" s="203"/>
      <c r="S315" s="203"/>
      <c r="T315" s="203"/>
      <c r="U315" s="203"/>
      <c r="V315" s="203"/>
      <c r="W315" s="203"/>
      <c r="X315" s="203"/>
      <c r="Y315" s="203"/>
      <c r="Z315" s="203"/>
    </row>
    <row r="316" ht="12.75" customHeight="1">
      <c r="A316" s="203"/>
      <c r="B316" s="203"/>
      <c r="C316" s="203"/>
      <c r="D316" s="203"/>
      <c r="E316" s="203"/>
      <c r="F316" s="203"/>
      <c r="G316" s="203"/>
      <c r="H316" s="203"/>
      <c r="I316" s="203"/>
      <c r="J316" s="203"/>
      <c r="K316" s="203"/>
      <c r="L316" s="203"/>
      <c r="M316" s="203"/>
      <c r="N316" s="203"/>
      <c r="O316" s="203"/>
      <c r="P316" s="203"/>
      <c r="Q316" s="203"/>
      <c r="R316" s="203"/>
      <c r="S316" s="203"/>
      <c r="T316" s="203"/>
      <c r="U316" s="203"/>
      <c r="V316" s="203"/>
      <c r="W316" s="203"/>
      <c r="X316" s="203"/>
      <c r="Y316" s="203"/>
      <c r="Z316" s="203"/>
    </row>
    <row r="317" ht="12.75" customHeight="1">
      <c r="A317" s="203"/>
      <c r="B317" s="203"/>
      <c r="C317" s="203"/>
      <c r="D317" s="203"/>
      <c r="E317" s="203"/>
      <c r="F317" s="203"/>
      <c r="G317" s="203"/>
      <c r="H317" s="203"/>
      <c r="I317" s="203"/>
      <c r="J317" s="203"/>
      <c r="K317" s="203"/>
      <c r="L317" s="203"/>
      <c r="M317" s="203"/>
      <c r="N317" s="203"/>
      <c r="O317" s="203"/>
      <c r="P317" s="203"/>
      <c r="Q317" s="203"/>
      <c r="R317" s="203"/>
      <c r="S317" s="203"/>
      <c r="T317" s="203"/>
      <c r="U317" s="203"/>
      <c r="V317" s="203"/>
      <c r="W317" s="203"/>
      <c r="X317" s="203"/>
      <c r="Y317" s="203"/>
      <c r="Z317" s="203"/>
    </row>
    <row r="318" ht="12.75" customHeight="1">
      <c r="A318" s="203"/>
      <c r="B318" s="203"/>
      <c r="C318" s="203"/>
      <c r="D318" s="203"/>
      <c r="E318" s="203"/>
      <c r="F318" s="203"/>
      <c r="G318" s="203"/>
      <c r="H318" s="203"/>
      <c r="I318" s="203"/>
      <c r="J318" s="203"/>
      <c r="K318" s="203"/>
      <c r="L318" s="203"/>
      <c r="M318" s="203"/>
      <c r="N318" s="203"/>
      <c r="O318" s="203"/>
      <c r="P318" s="203"/>
      <c r="Q318" s="203"/>
      <c r="R318" s="203"/>
      <c r="S318" s="203"/>
      <c r="T318" s="203"/>
      <c r="U318" s="203"/>
      <c r="V318" s="203"/>
      <c r="W318" s="203"/>
      <c r="X318" s="203"/>
      <c r="Y318" s="203"/>
      <c r="Z318" s="203"/>
    </row>
    <row r="319" ht="12.75" customHeight="1">
      <c r="A319" s="203"/>
      <c r="B319" s="203"/>
      <c r="C319" s="203"/>
      <c r="D319" s="203"/>
      <c r="E319" s="203"/>
      <c r="F319" s="203"/>
      <c r="G319" s="203"/>
      <c r="H319" s="203"/>
      <c r="I319" s="203"/>
      <c r="J319" s="203"/>
      <c r="K319" s="203"/>
      <c r="L319" s="203"/>
      <c r="M319" s="203"/>
      <c r="N319" s="203"/>
      <c r="O319" s="203"/>
      <c r="P319" s="203"/>
      <c r="Q319" s="203"/>
      <c r="R319" s="203"/>
      <c r="S319" s="203"/>
      <c r="T319" s="203"/>
      <c r="U319" s="203"/>
      <c r="V319" s="203"/>
      <c r="W319" s="203"/>
      <c r="X319" s="203"/>
      <c r="Y319" s="203"/>
      <c r="Z319" s="203"/>
    </row>
    <row r="320" ht="12.75" customHeight="1">
      <c r="A320" s="203"/>
      <c r="B320" s="203"/>
      <c r="C320" s="203"/>
      <c r="D320" s="203"/>
      <c r="E320" s="203"/>
      <c r="F320" s="203"/>
      <c r="G320" s="203"/>
      <c r="H320" s="203"/>
      <c r="I320" s="203"/>
      <c r="J320" s="203"/>
      <c r="K320" s="203"/>
      <c r="L320" s="203"/>
      <c r="M320" s="203"/>
      <c r="N320" s="203"/>
      <c r="O320" s="203"/>
      <c r="P320" s="203"/>
      <c r="Q320" s="203"/>
      <c r="R320" s="203"/>
      <c r="S320" s="203"/>
      <c r="T320" s="203"/>
      <c r="U320" s="203"/>
      <c r="V320" s="203"/>
      <c r="W320" s="203"/>
      <c r="X320" s="203"/>
      <c r="Y320" s="203"/>
      <c r="Z320" s="203"/>
    </row>
    <row r="321" ht="12.75" customHeight="1">
      <c r="A321" s="203"/>
      <c r="B321" s="203"/>
      <c r="C321" s="203"/>
      <c r="D321" s="203"/>
      <c r="E321" s="203"/>
      <c r="F321" s="203"/>
      <c r="G321" s="203"/>
      <c r="H321" s="203"/>
      <c r="I321" s="203"/>
      <c r="J321" s="203"/>
      <c r="K321" s="203"/>
      <c r="L321" s="203"/>
      <c r="M321" s="203"/>
      <c r="N321" s="203"/>
      <c r="O321" s="203"/>
      <c r="P321" s="203"/>
      <c r="Q321" s="203"/>
      <c r="R321" s="203"/>
      <c r="S321" s="203"/>
      <c r="T321" s="203"/>
      <c r="U321" s="203"/>
      <c r="V321" s="203"/>
      <c r="W321" s="203"/>
      <c r="X321" s="203"/>
      <c r="Y321" s="203"/>
      <c r="Z321" s="203"/>
    </row>
    <row r="322" ht="12.75" customHeight="1">
      <c r="A322" s="203"/>
      <c r="B322" s="203"/>
      <c r="C322" s="203"/>
      <c r="D322" s="203"/>
      <c r="E322" s="203"/>
      <c r="F322" s="203"/>
      <c r="G322" s="203"/>
      <c r="H322" s="203"/>
      <c r="I322" s="203"/>
      <c r="J322" s="203"/>
      <c r="K322" s="203"/>
      <c r="L322" s="203"/>
      <c r="M322" s="203"/>
      <c r="N322" s="203"/>
      <c r="O322" s="203"/>
      <c r="P322" s="203"/>
      <c r="Q322" s="203"/>
      <c r="R322" s="203"/>
      <c r="S322" s="203"/>
      <c r="T322" s="203"/>
      <c r="U322" s="203"/>
      <c r="V322" s="203"/>
      <c r="W322" s="203"/>
      <c r="X322" s="203"/>
      <c r="Y322" s="203"/>
      <c r="Z322" s="203"/>
    </row>
    <row r="323" ht="12.75" customHeight="1">
      <c r="A323" s="203"/>
      <c r="B323" s="203"/>
      <c r="C323" s="203"/>
      <c r="D323" s="203"/>
      <c r="E323" s="203"/>
      <c r="F323" s="203"/>
      <c r="G323" s="203"/>
      <c r="H323" s="203"/>
      <c r="I323" s="203"/>
      <c r="J323" s="203"/>
      <c r="K323" s="203"/>
      <c r="L323" s="203"/>
      <c r="M323" s="203"/>
      <c r="N323" s="203"/>
      <c r="O323" s="203"/>
      <c r="P323" s="203"/>
      <c r="Q323" s="203"/>
      <c r="R323" s="203"/>
      <c r="S323" s="203"/>
      <c r="T323" s="203"/>
      <c r="U323" s="203"/>
      <c r="V323" s="203"/>
      <c r="W323" s="203"/>
      <c r="X323" s="203"/>
      <c r="Y323" s="203"/>
      <c r="Z323" s="203"/>
    </row>
    <row r="324" ht="12.75" customHeight="1">
      <c r="A324" s="203"/>
      <c r="B324" s="203"/>
      <c r="C324" s="203"/>
      <c r="D324" s="203"/>
      <c r="E324" s="203"/>
      <c r="F324" s="203"/>
      <c r="G324" s="203"/>
      <c r="H324" s="203"/>
      <c r="I324" s="203"/>
      <c r="J324" s="203"/>
      <c r="K324" s="203"/>
      <c r="L324" s="203"/>
      <c r="M324" s="203"/>
      <c r="N324" s="203"/>
      <c r="O324" s="203"/>
      <c r="P324" s="203"/>
      <c r="Q324" s="203"/>
      <c r="R324" s="203"/>
      <c r="S324" s="203"/>
      <c r="T324" s="203"/>
      <c r="U324" s="203"/>
      <c r="V324" s="203"/>
      <c r="W324" s="203"/>
      <c r="X324" s="203"/>
      <c r="Y324" s="203"/>
      <c r="Z324" s="203"/>
    </row>
    <row r="325" ht="12.75" customHeight="1">
      <c r="A325" s="203"/>
      <c r="B325" s="203"/>
      <c r="C325" s="203"/>
      <c r="D325" s="203"/>
      <c r="E325" s="203"/>
      <c r="F325" s="203"/>
      <c r="G325" s="203"/>
      <c r="H325" s="203"/>
      <c r="I325" s="203"/>
      <c r="J325" s="203"/>
      <c r="K325" s="203"/>
      <c r="L325" s="203"/>
      <c r="M325" s="203"/>
      <c r="N325" s="203"/>
      <c r="O325" s="203"/>
      <c r="P325" s="203"/>
      <c r="Q325" s="203"/>
      <c r="R325" s="203"/>
      <c r="S325" s="203"/>
      <c r="T325" s="203"/>
      <c r="U325" s="203"/>
      <c r="V325" s="203"/>
      <c r="W325" s="203"/>
      <c r="X325" s="203"/>
      <c r="Y325" s="203"/>
      <c r="Z325" s="203"/>
    </row>
    <row r="326" ht="12.75" customHeight="1">
      <c r="A326" s="203"/>
      <c r="B326" s="203"/>
      <c r="C326" s="203"/>
      <c r="D326" s="203"/>
      <c r="E326" s="203"/>
      <c r="F326" s="203"/>
      <c r="G326" s="203"/>
      <c r="H326" s="203"/>
      <c r="I326" s="203"/>
      <c r="J326" s="203"/>
      <c r="K326" s="203"/>
      <c r="L326" s="203"/>
      <c r="M326" s="203"/>
      <c r="N326" s="203"/>
      <c r="O326" s="203"/>
      <c r="P326" s="203"/>
      <c r="Q326" s="203"/>
      <c r="R326" s="203"/>
      <c r="S326" s="203"/>
      <c r="T326" s="203"/>
      <c r="U326" s="203"/>
      <c r="V326" s="203"/>
      <c r="W326" s="203"/>
      <c r="X326" s="203"/>
      <c r="Y326" s="203"/>
      <c r="Z326" s="203"/>
    </row>
    <row r="327" ht="12.75" customHeight="1">
      <c r="A327" s="203"/>
      <c r="B327" s="203"/>
      <c r="C327" s="203"/>
      <c r="D327" s="203"/>
      <c r="E327" s="203"/>
      <c r="F327" s="203"/>
      <c r="G327" s="203"/>
      <c r="H327" s="203"/>
      <c r="I327" s="203"/>
      <c r="J327" s="203"/>
      <c r="K327" s="203"/>
      <c r="L327" s="203"/>
      <c r="M327" s="203"/>
      <c r="N327" s="203"/>
      <c r="O327" s="203"/>
      <c r="P327" s="203"/>
      <c r="Q327" s="203"/>
      <c r="R327" s="203"/>
      <c r="S327" s="203"/>
      <c r="T327" s="203"/>
      <c r="U327" s="203"/>
      <c r="V327" s="203"/>
      <c r="W327" s="203"/>
      <c r="X327" s="203"/>
      <c r="Y327" s="203"/>
      <c r="Z327" s="203"/>
    </row>
    <row r="328" ht="12.75" customHeight="1">
      <c r="A328" s="203"/>
      <c r="B328" s="203"/>
      <c r="C328" s="203"/>
      <c r="D328" s="203"/>
      <c r="E328" s="203"/>
      <c r="F328" s="203"/>
      <c r="G328" s="203"/>
      <c r="H328" s="203"/>
      <c r="I328" s="203"/>
      <c r="J328" s="203"/>
      <c r="K328" s="203"/>
      <c r="L328" s="203"/>
      <c r="M328" s="203"/>
      <c r="N328" s="203"/>
      <c r="O328" s="203"/>
      <c r="P328" s="203"/>
      <c r="Q328" s="203"/>
      <c r="R328" s="203"/>
      <c r="S328" s="203"/>
      <c r="T328" s="203"/>
      <c r="U328" s="203"/>
      <c r="V328" s="203"/>
      <c r="W328" s="203"/>
      <c r="X328" s="203"/>
      <c r="Y328" s="203"/>
      <c r="Z328" s="203"/>
    </row>
    <row r="329" ht="12.75" customHeight="1">
      <c r="A329" s="203"/>
      <c r="B329" s="203"/>
      <c r="C329" s="203"/>
      <c r="D329" s="203"/>
      <c r="E329" s="203"/>
      <c r="F329" s="203"/>
      <c r="G329" s="203"/>
      <c r="H329" s="203"/>
      <c r="I329" s="203"/>
      <c r="J329" s="203"/>
      <c r="K329" s="203"/>
      <c r="L329" s="203"/>
      <c r="M329" s="203"/>
      <c r="N329" s="203"/>
      <c r="O329" s="203"/>
      <c r="P329" s="203"/>
      <c r="Q329" s="203"/>
      <c r="R329" s="203"/>
      <c r="S329" s="203"/>
      <c r="T329" s="203"/>
      <c r="U329" s="203"/>
      <c r="V329" s="203"/>
      <c r="W329" s="203"/>
      <c r="X329" s="203"/>
      <c r="Y329" s="203"/>
      <c r="Z329" s="203"/>
    </row>
    <row r="330" ht="12.75" customHeight="1">
      <c r="A330" s="203"/>
      <c r="B330" s="203"/>
      <c r="C330" s="203"/>
      <c r="D330" s="203"/>
      <c r="E330" s="203"/>
      <c r="F330" s="203"/>
      <c r="G330" s="203"/>
      <c r="H330" s="203"/>
      <c r="I330" s="203"/>
      <c r="J330" s="203"/>
      <c r="K330" s="203"/>
      <c r="L330" s="203"/>
      <c r="M330" s="203"/>
      <c r="N330" s="203"/>
      <c r="O330" s="203"/>
      <c r="P330" s="203"/>
      <c r="Q330" s="203"/>
      <c r="R330" s="203"/>
      <c r="S330" s="203"/>
      <c r="T330" s="203"/>
      <c r="U330" s="203"/>
      <c r="V330" s="203"/>
      <c r="W330" s="203"/>
      <c r="X330" s="203"/>
      <c r="Y330" s="203"/>
      <c r="Z330" s="203"/>
    </row>
    <row r="331" ht="12.75" customHeight="1">
      <c r="A331" s="203"/>
      <c r="B331" s="203"/>
      <c r="C331" s="203"/>
      <c r="D331" s="203"/>
      <c r="E331" s="203"/>
      <c r="F331" s="203"/>
      <c r="G331" s="203"/>
      <c r="H331" s="203"/>
      <c r="I331" s="203"/>
      <c r="J331" s="203"/>
      <c r="K331" s="203"/>
      <c r="L331" s="203"/>
      <c r="M331" s="203"/>
      <c r="N331" s="203"/>
      <c r="O331" s="203"/>
      <c r="P331" s="203"/>
      <c r="Q331" s="203"/>
      <c r="R331" s="203"/>
      <c r="S331" s="203"/>
      <c r="T331" s="203"/>
      <c r="U331" s="203"/>
      <c r="V331" s="203"/>
      <c r="W331" s="203"/>
      <c r="X331" s="203"/>
      <c r="Y331" s="203"/>
      <c r="Z331" s="203"/>
    </row>
    <row r="332" ht="12.75" customHeight="1">
      <c r="A332" s="203"/>
      <c r="B332" s="203"/>
      <c r="C332" s="203"/>
      <c r="D332" s="203"/>
      <c r="E332" s="203"/>
      <c r="F332" s="203"/>
      <c r="G332" s="203"/>
      <c r="H332" s="203"/>
      <c r="I332" s="203"/>
      <c r="J332" s="203"/>
      <c r="K332" s="203"/>
      <c r="L332" s="203"/>
      <c r="M332" s="203"/>
      <c r="N332" s="203"/>
      <c r="O332" s="203"/>
      <c r="P332" s="203"/>
      <c r="Q332" s="203"/>
      <c r="R332" s="203"/>
      <c r="S332" s="203"/>
      <c r="T332" s="203"/>
      <c r="U332" s="203"/>
      <c r="V332" s="203"/>
      <c r="W332" s="203"/>
      <c r="X332" s="203"/>
      <c r="Y332" s="203"/>
      <c r="Z332" s="203"/>
    </row>
    <row r="333" ht="12.75" customHeight="1">
      <c r="A333" s="203"/>
      <c r="B333" s="203"/>
      <c r="C333" s="203"/>
      <c r="D333" s="203"/>
      <c r="E333" s="203"/>
      <c r="F333" s="203"/>
      <c r="G333" s="203"/>
      <c r="H333" s="203"/>
      <c r="I333" s="203"/>
      <c r="J333" s="203"/>
      <c r="K333" s="203"/>
      <c r="L333" s="203"/>
      <c r="M333" s="203"/>
      <c r="N333" s="203"/>
      <c r="O333" s="203"/>
      <c r="P333" s="203"/>
      <c r="Q333" s="203"/>
      <c r="R333" s="203"/>
      <c r="S333" s="203"/>
      <c r="T333" s="203"/>
      <c r="U333" s="203"/>
      <c r="V333" s="203"/>
      <c r="W333" s="203"/>
      <c r="X333" s="203"/>
      <c r="Y333" s="203"/>
      <c r="Z333" s="203"/>
    </row>
    <row r="334" ht="12.75" customHeight="1">
      <c r="A334" s="203"/>
      <c r="B334" s="203"/>
      <c r="C334" s="203"/>
      <c r="D334" s="203"/>
      <c r="E334" s="203"/>
      <c r="F334" s="203"/>
      <c r="G334" s="203"/>
      <c r="H334" s="203"/>
      <c r="I334" s="203"/>
      <c r="J334" s="203"/>
      <c r="K334" s="203"/>
      <c r="L334" s="203"/>
      <c r="M334" s="203"/>
      <c r="N334" s="203"/>
      <c r="O334" s="203"/>
      <c r="P334" s="203"/>
      <c r="Q334" s="203"/>
      <c r="R334" s="203"/>
      <c r="S334" s="203"/>
      <c r="T334" s="203"/>
      <c r="U334" s="203"/>
      <c r="V334" s="203"/>
      <c r="W334" s="203"/>
      <c r="X334" s="203"/>
      <c r="Y334" s="203"/>
      <c r="Z334" s="203"/>
    </row>
    <row r="335" ht="12.75" customHeight="1">
      <c r="A335" s="203"/>
      <c r="B335" s="203"/>
      <c r="C335" s="203"/>
      <c r="D335" s="203"/>
      <c r="E335" s="203"/>
      <c r="F335" s="203"/>
      <c r="G335" s="203"/>
      <c r="H335" s="203"/>
      <c r="I335" s="203"/>
      <c r="J335" s="203"/>
      <c r="K335" s="203"/>
      <c r="L335" s="203"/>
      <c r="M335" s="203"/>
      <c r="N335" s="203"/>
      <c r="O335" s="203"/>
      <c r="P335" s="203"/>
      <c r="Q335" s="203"/>
      <c r="R335" s="203"/>
      <c r="S335" s="203"/>
      <c r="T335" s="203"/>
      <c r="U335" s="203"/>
      <c r="V335" s="203"/>
      <c r="W335" s="203"/>
      <c r="X335" s="203"/>
      <c r="Y335" s="203"/>
      <c r="Z335" s="203"/>
    </row>
    <row r="336" ht="12.75" customHeight="1">
      <c r="A336" s="203"/>
      <c r="B336" s="203"/>
      <c r="C336" s="203"/>
      <c r="D336" s="203"/>
      <c r="E336" s="203"/>
      <c r="F336" s="203"/>
      <c r="G336" s="203"/>
      <c r="H336" s="203"/>
      <c r="I336" s="203"/>
      <c r="J336" s="203"/>
      <c r="K336" s="203"/>
      <c r="L336" s="203"/>
      <c r="M336" s="203"/>
      <c r="N336" s="203"/>
      <c r="O336" s="203"/>
      <c r="P336" s="203"/>
      <c r="Q336" s="203"/>
      <c r="R336" s="203"/>
      <c r="S336" s="203"/>
      <c r="T336" s="203"/>
      <c r="U336" s="203"/>
      <c r="V336" s="203"/>
      <c r="W336" s="203"/>
      <c r="X336" s="203"/>
      <c r="Y336" s="203"/>
      <c r="Z336" s="203"/>
    </row>
    <row r="337" ht="12.75" customHeight="1">
      <c r="A337" s="203"/>
      <c r="B337" s="203"/>
      <c r="C337" s="203"/>
      <c r="D337" s="203"/>
      <c r="E337" s="203"/>
      <c r="F337" s="203"/>
      <c r="G337" s="203"/>
      <c r="H337" s="203"/>
      <c r="I337" s="203"/>
      <c r="J337" s="203"/>
      <c r="K337" s="203"/>
      <c r="L337" s="203"/>
      <c r="M337" s="203"/>
      <c r="N337" s="203"/>
      <c r="O337" s="203"/>
      <c r="P337" s="203"/>
      <c r="Q337" s="203"/>
      <c r="R337" s="203"/>
      <c r="S337" s="203"/>
      <c r="T337" s="203"/>
      <c r="U337" s="203"/>
      <c r="V337" s="203"/>
      <c r="W337" s="203"/>
      <c r="X337" s="203"/>
      <c r="Y337" s="203"/>
      <c r="Z337" s="203"/>
    </row>
    <row r="338" ht="12.75" customHeight="1">
      <c r="A338" s="203"/>
      <c r="B338" s="203"/>
      <c r="C338" s="203"/>
      <c r="D338" s="203"/>
      <c r="E338" s="203"/>
      <c r="F338" s="203"/>
      <c r="G338" s="203"/>
      <c r="H338" s="203"/>
      <c r="I338" s="203"/>
      <c r="J338" s="203"/>
      <c r="K338" s="203"/>
      <c r="L338" s="203"/>
      <c r="M338" s="203"/>
      <c r="N338" s="203"/>
      <c r="O338" s="203"/>
      <c r="P338" s="203"/>
      <c r="Q338" s="203"/>
      <c r="R338" s="203"/>
      <c r="S338" s="203"/>
      <c r="T338" s="203"/>
      <c r="U338" s="203"/>
      <c r="V338" s="203"/>
      <c r="W338" s="203"/>
      <c r="X338" s="203"/>
      <c r="Y338" s="203"/>
      <c r="Z338" s="203"/>
    </row>
    <row r="339" ht="12.75" customHeight="1">
      <c r="A339" s="203"/>
      <c r="B339" s="203"/>
      <c r="C339" s="203"/>
      <c r="D339" s="203"/>
      <c r="E339" s="203"/>
      <c r="F339" s="203"/>
      <c r="G339" s="203"/>
      <c r="H339" s="203"/>
      <c r="I339" s="203"/>
      <c r="J339" s="203"/>
      <c r="K339" s="203"/>
      <c r="L339" s="203"/>
      <c r="M339" s="203"/>
      <c r="N339" s="203"/>
      <c r="O339" s="203"/>
      <c r="P339" s="203"/>
      <c r="Q339" s="203"/>
      <c r="R339" s="203"/>
      <c r="S339" s="203"/>
      <c r="T339" s="203"/>
      <c r="U339" s="203"/>
      <c r="V339" s="203"/>
      <c r="W339" s="203"/>
      <c r="X339" s="203"/>
      <c r="Y339" s="203"/>
      <c r="Z339" s="203"/>
    </row>
    <row r="340" ht="12.75" customHeight="1">
      <c r="A340" s="203"/>
      <c r="B340" s="203"/>
      <c r="C340" s="203"/>
      <c r="D340" s="203"/>
      <c r="E340" s="203"/>
      <c r="F340" s="203"/>
      <c r="G340" s="203"/>
      <c r="H340" s="203"/>
      <c r="I340" s="203"/>
      <c r="J340" s="203"/>
      <c r="K340" s="203"/>
      <c r="L340" s="203"/>
      <c r="M340" s="203"/>
      <c r="N340" s="203"/>
      <c r="O340" s="203"/>
      <c r="P340" s="203"/>
      <c r="Q340" s="203"/>
      <c r="R340" s="203"/>
      <c r="S340" s="203"/>
      <c r="T340" s="203"/>
      <c r="U340" s="203"/>
      <c r="V340" s="203"/>
      <c r="W340" s="203"/>
      <c r="X340" s="203"/>
      <c r="Y340" s="203"/>
      <c r="Z340" s="203"/>
    </row>
    <row r="341" ht="12.75" customHeight="1">
      <c r="A341" s="203"/>
      <c r="B341" s="203"/>
      <c r="C341" s="203"/>
      <c r="D341" s="203"/>
      <c r="E341" s="203"/>
      <c r="F341" s="203"/>
      <c r="G341" s="203"/>
      <c r="H341" s="203"/>
      <c r="I341" s="203"/>
      <c r="J341" s="203"/>
      <c r="K341" s="203"/>
      <c r="L341" s="203"/>
      <c r="M341" s="203"/>
      <c r="N341" s="203"/>
      <c r="O341" s="203"/>
      <c r="P341" s="203"/>
      <c r="Q341" s="203"/>
      <c r="R341" s="203"/>
      <c r="S341" s="203"/>
      <c r="T341" s="203"/>
      <c r="U341" s="203"/>
      <c r="V341" s="203"/>
      <c r="W341" s="203"/>
      <c r="X341" s="203"/>
      <c r="Y341" s="203"/>
      <c r="Z341" s="203"/>
    </row>
    <row r="342" ht="12.75" customHeight="1">
      <c r="A342" s="203"/>
      <c r="B342" s="203"/>
      <c r="C342" s="203"/>
      <c r="D342" s="203"/>
      <c r="E342" s="203"/>
      <c r="F342" s="203"/>
      <c r="G342" s="203"/>
      <c r="H342" s="203"/>
      <c r="I342" s="203"/>
      <c r="J342" s="203"/>
      <c r="K342" s="203"/>
      <c r="L342" s="203"/>
      <c r="M342" s="203"/>
      <c r="N342" s="203"/>
      <c r="O342" s="203"/>
      <c r="P342" s="203"/>
      <c r="Q342" s="203"/>
      <c r="R342" s="203"/>
      <c r="S342" s="203"/>
      <c r="T342" s="203"/>
      <c r="U342" s="203"/>
      <c r="V342" s="203"/>
      <c r="W342" s="203"/>
      <c r="X342" s="203"/>
      <c r="Y342" s="203"/>
      <c r="Z342" s="203"/>
    </row>
    <row r="343" ht="12.75" customHeight="1">
      <c r="A343" s="203"/>
      <c r="B343" s="203"/>
      <c r="C343" s="203"/>
      <c r="D343" s="203"/>
      <c r="E343" s="203"/>
      <c r="F343" s="203"/>
      <c r="G343" s="203"/>
      <c r="H343" s="203"/>
      <c r="I343" s="203"/>
      <c r="J343" s="203"/>
      <c r="K343" s="203"/>
      <c r="L343" s="203"/>
      <c r="M343" s="203"/>
      <c r="N343" s="203"/>
      <c r="O343" s="203"/>
      <c r="P343" s="203"/>
      <c r="Q343" s="203"/>
      <c r="R343" s="203"/>
      <c r="S343" s="203"/>
      <c r="T343" s="203"/>
      <c r="U343" s="203"/>
      <c r="V343" s="203"/>
      <c r="W343" s="203"/>
      <c r="X343" s="203"/>
      <c r="Y343" s="203"/>
      <c r="Z343" s="203"/>
    </row>
    <row r="344" ht="12.75" customHeight="1">
      <c r="A344" s="203"/>
      <c r="B344" s="203"/>
      <c r="C344" s="203"/>
      <c r="D344" s="203"/>
      <c r="E344" s="203"/>
      <c r="F344" s="203"/>
      <c r="G344" s="203"/>
      <c r="H344" s="203"/>
      <c r="I344" s="203"/>
      <c r="J344" s="203"/>
      <c r="K344" s="203"/>
      <c r="L344" s="203"/>
      <c r="M344" s="203"/>
      <c r="N344" s="203"/>
      <c r="O344" s="203"/>
      <c r="P344" s="203"/>
      <c r="Q344" s="203"/>
      <c r="R344" s="203"/>
      <c r="S344" s="203"/>
      <c r="T344" s="203"/>
      <c r="U344" s="203"/>
      <c r="V344" s="203"/>
      <c r="W344" s="203"/>
      <c r="X344" s="203"/>
      <c r="Y344" s="203"/>
      <c r="Z344" s="203"/>
    </row>
    <row r="345" ht="12.75" customHeight="1">
      <c r="A345" s="203"/>
      <c r="B345" s="203"/>
      <c r="C345" s="203"/>
      <c r="D345" s="203"/>
      <c r="E345" s="203"/>
      <c r="F345" s="203"/>
      <c r="G345" s="203"/>
      <c r="H345" s="203"/>
      <c r="I345" s="203"/>
      <c r="J345" s="203"/>
      <c r="K345" s="203"/>
      <c r="L345" s="203"/>
      <c r="M345" s="203"/>
      <c r="N345" s="203"/>
      <c r="O345" s="203"/>
      <c r="P345" s="203"/>
      <c r="Q345" s="203"/>
      <c r="R345" s="203"/>
      <c r="S345" s="203"/>
      <c r="T345" s="203"/>
      <c r="U345" s="203"/>
      <c r="V345" s="203"/>
      <c r="W345" s="203"/>
      <c r="X345" s="203"/>
      <c r="Y345" s="203"/>
      <c r="Z345" s="203"/>
    </row>
    <row r="346" ht="12.75" customHeight="1">
      <c r="A346" s="203"/>
      <c r="B346" s="203"/>
      <c r="C346" s="203"/>
      <c r="D346" s="203"/>
      <c r="E346" s="203"/>
      <c r="F346" s="203"/>
      <c r="G346" s="203"/>
      <c r="H346" s="203"/>
      <c r="I346" s="203"/>
      <c r="J346" s="203"/>
      <c r="K346" s="203"/>
      <c r="L346" s="203"/>
      <c r="M346" s="203"/>
      <c r="N346" s="203"/>
      <c r="O346" s="203"/>
      <c r="P346" s="203"/>
      <c r="Q346" s="203"/>
      <c r="R346" s="203"/>
      <c r="S346" s="203"/>
      <c r="T346" s="203"/>
      <c r="U346" s="203"/>
      <c r="V346" s="203"/>
      <c r="W346" s="203"/>
      <c r="X346" s="203"/>
      <c r="Y346" s="203"/>
      <c r="Z346" s="203"/>
    </row>
    <row r="347" ht="12.75" customHeight="1">
      <c r="A347" s="203"/>
      <c r="B347" s="203"/>
      <c r="C347" s="203"/>
      <c r="D347" s="203"/>
      <c r="E347" s="203"/>
      <c r="F347" s="203"/>
      <c r="G347" s="203"/>
      <c r="H347" s="203"/>
      <c r="I347" s="203"/>
      <c r="J347" s="203"/>
      <c r="K347" s="203"/>
      <c r="L347" s="203"/>
      <c r="M347" s="203"/>
      <c r="N347" s="203"/>
      <c r="O347" s="203"/>
      <c r="P347" s="203"/>
      <c r="Q347" s="203"/>
      <c r="R347" s="203"/>
      <c r="S347" s="203"/>
      <c r="T347" s="203"/>
      <c r="U347" s="203"/>
      <c r="V347" s="203"/>
      <c r="W347" s="203"/>
      <c r="X347" s="203"/>
      <c r="Y347" s="203"/>
      <c r="Z347" s="203"/>
    </row>
    <row r="348" ht="12.75" customHeight="1">
      <c r="A348" s="203"/>
      <c r="B348" s="203"/>
      <c r="C348" s="203"/>
      <c r="D348" s="203"/>
      <c r="E348" s="203"/>
      <c r="F348" s="203"/>
      <c r="G348" s="203"/>
      <c r="H348" s="203"/>
      <c r="I348" s="203"/>
      <c r="J348" s="203"/>
      <c r="K348" s="203"/>
      <c r="L348" s="203"/>
      <c r="M348" s="203"/>
      <c r="N348" s="203"/>
      <c r="O348" s="203"/>
      <c r="P348" s="203"/>
      <c r="Q348" s="203"/>
      <c r="R348" s="203"/>
      <c r="S348" s="203"/>
      <c r="T348" s="203"/>
      <c r="U348" s="203"/>
      <c r="V348" s="203"/>
      <c r="W348" s="203"/>
      <c r="X348" s="203"/>
      <c r="Y348" s="203"/>
      <c r="Z348" s="203"/>
    </row>
    <row r="349" ht="12.75" customHeight="1">
      <c r="A349" s="203"/>
      <c r="B349" s="203"/>
      <c r="C349" s="203"/>
      <c r="D349" s="203"/>
      <c r="E349" s="203"/>
      <c r="F349" s="203"/>
      <c r="G349" s="203"/>
      <c r="H349" s="203"/>
      <c r="I349" s="203"/>
      <c r="J349" s="203"/>
      <c r="K349" s="203"/>
      <c r="L349" s="203"/>
      <c r="M349" s="203"/>
      <c r="N349" s="203"/>
      <c r="O349" s="203"/>
      <c r="P349" s="203"/>
      <c r="Q349" s="203"/>
      <c r="R349" s="203"/>
      <c r="S349" s="203"/>
      <c r="T349" s="203"/>
      <c r="U349" s="203"/>
      <c r="V349" s="203"/>
      <c r="W349" s="203"/>
      <c r="X349" s="203"/>
      <c r="Y349" s="203"/>
      <c r="Z349" s="203"/>
    </row>
    <row r="350" ht="12.75" customHeight="1">
      <c r="A350" s="203"/>
      <c r="B350" s="203"/>
      <c r="C350" s="203"/>
      <c r="D350" s="203"/>
      <c r="E350" s="203"/>
      <c r="F350" s="203"/>
      <c r="G350" s="203"/>
      <c r="H350" s="203"/>
      <c r="I350" s="203"/>
      <c r="J350" s="203"/>
      <c r="K350" s="203"/>
      <c r="L350" s="203"/>
      <c r="M350" s="203"/>
      <c r="N350" s="203"/>
      <c r="O350" s="203"/>
      <c r="P350" s="203"/>
      <c r="Q350" s="203"/>
      <c r="R350" s="203"/>
      <c r="S350" s="203"/>
      <c r="T350" s="203"/>
      <c r="U350" s="203"/>
      <c r="V350" s="203"/>
      <c r="W350" s="203"/>
      <c r="X350" s="203"/>
      <c r="Y350" s="203"/>
      <c r="Z350" s="203"/>
    </row>
    <row r="351" ht="12.75" customHeight="1">
      <c r="A351" s="203"/>
      <c r="B351" s="203"/>
      <c r="C351" s="203"/>
      <c r="D351" s="203"/>
      <c r="E351" s="203"/>
      <c r="F351" s="203"/>
      <c r="G351" s="203"/>
      <c r="H351" s="203"/>
      <c r="I351" s="203"/>
      <c r="J351" s="203"/>
      <c r="K351" s="203"/>
      <c r="L351" s="203"/>
      <c r="M351" s="203"/>
      <c r="N351" s="203"/>
      <c r="O351" s="203"/>
      <c r="P351" s="203"/>
      <c r="Q351" s="203"/>
      <c r="R351" s="203"/>
      <c r="S351" s="203"/>
      <c r="T351" s="203"/>
      <c r="U351" s="203"/>
      <c r="V351" s="203"/>
      <c r="W351" s="203"/>
      <c r="X351" s="203"/>
      <c r="Y351" s="203"/>
      <c r="Z351" s="203"/>
    </row>
    <row r="352" ht="12.75" customHeight="1">
      <c r="A352" s="203"/>
      <c r="B352" s="203"/>
      <c r="C352" s="203"/>
      <c r="D352" s="203"/>
      <c r="E352" s="203"/>
      <c r="F352" s="203"/>
      <c r="G352" s="203"/>
      <c r="H352" s="203"/>
      <c r="I352" s="203"/>
      <c r="J352" s="203"/>
      <c r="K352" s="203"/>
      <c r="L352" s="203"/>
      <c r="M352" s="203"/>
      <c r="N352" s="203"/>
      <c r="O352" s="203"/>
      <c r="P352" s="203"/>
      <c r="Q352" s="203"/>
      <c r="R352" s="203"/>
      <c r="S352" s="203"/>
      <c r="T352" s="203"/>
      <c r="U352" s="203"/>
      <c r="V352" s="203"/>
      <c r="W352" s="203"/>
      <c r="X352" s="203"/>
      <c r="Y352" s="203"/>
      <c r="Z352" s="203"/>
    </row>
    <row r="353" ht="12.75" customHeight="1">
      <c r="A353" s="203"/>
      <c r="B353" s="203"/>
      <c r="C353" s="203"/>
      <c r="D353" s="203"/>
      <c r="E353" s="203"/>
      <c r="F353" s="203"/>
      <c r="G353" s="203"/>
      <c r="H353" s="203"/>
      <c r="I353" s="203"/>
      <c r="J353" s="203"/>
      <c r="K353" s="203"/>
      <c r="L353" s="203"/>
      <c r="M353" s="203"/>
      <c r="N353" s="203"/>
      <c r="O353" s="203"/>
      <c r="P353" s="203"/>
      <c r="Q353" s="203"/>
      <c r="R353" s="203"/>
      <c r="S353" s="203"/>
      <c r="T353" s="203"/>
      <c r="U353" s="203"/>
      <c r="V353" s="203"/>
      <c r="W353" s="203"/>
      <c r="X353" s="203"/>
      <c r="Y353" s="203"/>
      <c r="Z353" s="203"/>
    </row>
    <row r="354" ht="12.75" customHeight="1">
      <c r="A354" s="203"/>
      <c r="B354" s="203"/>
      <c r="C354" s="203"/>
      <c r="D354" s="203"/>
      <c r="E354" s="203"/>
      <c r="F354" s="203"/>
      <c r="G354" s="203"/>
      <c r="H354" s="203"/>
      <c r="I354" s="203"/>
      <c r="J354" s="203"/>
      <c r="K354" s="203"/>
      <c r="L354" s="203"/>
      <c r="M354" s="203"/>
      <c r="N354" s="203"/>
      <c r="O354" s="203"/>
      <c r="P354" s="203"/>
      <c r="Q354" s="203"/>
      <c r="R354" s="203"/>
      <c r="S354" s="203"/>
      <c r="T354" s="203"/>
      <c r="U354" s="203"/>
      <c r="V354" s="203"/>
      <c r="W354" s="203"/>
      <c r="X354" s="203"/>
      <c r="Y354" s="203"/>
      <c r="Z354" s="203"/>
    </row>
    <row r="355" ht="12.75" customHeight="1">
      <c r="A355" s="203"/>
      <c r="B355" s="203"/>
      <c r="C355" s="203"/>
      <c r="D355" s="203"/>
      <c r="E355" s="203"/>
      <c r="F355" s="203"/>
      <c r="G355" s="203"/>
      <c r="H355" s="203"/>
      <c r="I355" s="203"/>
      <c r="J355" s="203"/>
      <c r="K355" s="203"/>
      <c r="L355" s="203"/>
      <c r="M355" s="203"/>
      <c r="N355" s="203"/>
      <c r="O355" s="203"/>
      <c r="P355" s="203"/>
      <c r="Q355" s="203"/>
      <c r="R355" s="203"/>
      <c r="S355" s="203"/>
      <c r="T355" s="203"/>
      <c r="U355" s="203"/>
      <c r="V355" s="203"/>
      <c r="W355" s="203"/>
      <c r="X355" s="203"/>
      <c r="Y355" s="203"/>
      <c r="Z355" s="203"/>
    </row>
    <row r="356" ht="12.75" customHeight="1">
      <c r="A356" s="203"/>
      <c r="B356" s="203"/>
      <c r="C356" s="203"/>
      <c r="D356" s="203"/>
      <c r="E356" s="203"/>
      <c r="F356" s="203"/>
      <c r="G356" s="203"/>
      <c r="H356" s="203"/>
      <c r="I356" s="203"/>
      <c r="J356" s="203"/>
      <c r="K356" s="203"/>
      <c r="L356" s="203"/>
      <c r="M356" s="203"/>
      <c r="N356" s="203"/>
      <c r="O356" s="203"/>
      <c r="P356" s="203"/>
      <c r="Q356" s="203"/>
      <c r="R356" s="203"/>
      <c r="S356" s="203"/>
      <c r="T356" s="203"/>
      <c r="U356" s="203"/>
      <c r="V356" s="203"/>
      <c r="W356" s="203"/>
      <c r="X356" s="203"/>
      <c r="Y356" s="203"/>
      <c r="Z356" s="203"/>
    </row>
    <row r="357" ht="12.75" customHeight="1">
      <c r="A357" s="203"/>
      <c r="B357" s="203"/>
      <c r="C357" s="203"/>
      <c r="D357" s="203"/>
      <c r="E357" s="203"/>
      <c r="F357" s="203"/>
      <c r="G357" s="203"/>
      <c r="H357" s="203"/>
      <c r="I357" s="203"/>
      <c r="J357" s="203"/>
      <c r="K357" s="203"/>
      <c r="L357" s="203"/>
      <c r="M357" s="203"/>
      <c r="N357" s="203"/>
      <c r="O357" s="203"/>
      <c r="P357" s="203"/>
      <c r="Q357" s="203"/>
      <c r="R357" s="203"/>
      <c r="S357" s="203"/>
      <c r="T357" s="203"/>
      <c r="U357" s="203"/>
      <c r="V357" s="203"/>
      <c r="W357" s="203"/>
      <c r="X357" s="203"/>
      <c r="Y357" s="203"/>
      <c r="Z357" s="203"/>
    </row>
    <row r="358" ht="12.75" customHeight="1">
      <c r="A358" s="203"/>
      <c r="B358" s="203"/>
      <c r="C358" s="203"/>
      <c r="D358" s="203"/>
      <c r="E358" s="203"/>
      <c r="F358" s="203"/>
      <c r="G358" s="203"/>
      <c r="H358" s="203"/>
      <c r="I358" s="203"/>
      <c r="J358" s="203"/>
      <c r="K358" s="203"/>
      <c r="L358" s="203"/>
      <c r="M358" s="203"/>
      <c r="N358" s="203"/>
      <c r="O358" s="203"/>
      <c r="P358" s="203"/>
      <c r="Q358" s="203"/>
      <c r="R358" s="203"/>
      <c r="S358" s="203"/>
      <c r="T358" s="203"/>
      <c r="U358" s="203"/>
      <c r="V358" s="203"/>
      <c r="W358" s="203"/>
      <c r="X358" s="203"/>
      <c r="Y358" s="203"/>
      <c r="Z358" s="203"/>
    </row>
    <row r="359" ht="12.75" customHeight="1">
      <c r="A359" s="203"/>
      <c r="B359" s="203"/>
      <c r="C359" s="203"/>
      <c r="D359" s="203"/>
      <c r="E359" s="203"/>
      <c r="F359" s="203"/>
      <c r="G359" s="203"/>
      <c r="H359" s="203"/>
      <c r="I359" s="203"/>
      <c r="J359" s="203"/>
      <c r="K359" s="203"/>
      <c r="L359" s="203"/>
      <c r="M359" s="203"/>
      <c r="N359" s="203"/>
      <c r="O359" s="203"/>
      <c r="P359" s="203"/>
      <c r="Q359" s="203"/>
      <c r="R359" s="203"/>
      <c r="S359" s="203"/>
      <c r="T359" s="203"/>
      <c r="U359" s="203"/>
      <c r="V359" s="203"/>
      <c r="W359" s="203"/>
      <c r="X359" s="203"/>
      <c r="Y359" s="203"/>
      <c r="Z359" s="203"/>
    </row>
    <row r="360" ht="12.75" customHeight="1">
      <c r="A360" s="203"/>
      <c r="B360" s="203"/>
      <c r="C360" s="203"/>
      <c r="D360" s="203"/>
      <c r="E360" s="203"/>
      <c r="F360" s="203"/>
      <c r="G360" s="203"/>
      <c r="H360" s="203"/>
      <c r="I360" s="203"/>
      <c r="J360" s="203"/>
      <c r="K360" s="203"/>
      <c r="L360" s="203"/>
      <c r="M360" s="203"/>
      <c r="N360" s="203"/>
      <c r="O360" s="203"/>
      <c r="P360" s="203"/>
      <c r="Q360" s="203"/>
      <c r="R360" s="203"/>
      <c r="S360" s="203"/>
      <c r="T360" s="203"/>
      <c r="U360" s="203"/>
      <c r="V360" s="203"/>
      <c r="W360" s="203"/>
      <c r="X360" s="203"/>
      <c r="Y360" s="203"/>
      <c r="Z360" s="203"/>
    </row>
    <row r="361" ht="12.75" customHeight="1">
      <c r="A361" s="203"/>
      <c r="B361" s="203"/>
      <c r="C361" s="203"/>
      <c r="D361" s="203"/>
      <c r="E361" s="203"/>
      <c r="F361" s="203"/>
      <c r="G361" s="203"/>
      <c r="H361" s="203"/>
      <c r="I361" s="203"/>
      <c r="J361" s="203"/>
      <c r="K361" s="203"/>
      <c r="L361" s="203"/>
      <c r="M361" s="203"/>
      <c r="N361" s="203"/>
      <c r="O361" s="203"/>
      <c r="P361" s="203"/>
      <c r="Q361" s="203"/>
      <c r="R361" s="203"/>
      <c r="S361" s="203"/>
      <c r="T361" s="203"/>
      <c r="U361" s="203"/>
      <c r="V361" s="203"/>
      <c r="W361" s="203"/>
      <c r="X361" s="203"/>
      <c r="Y361" s="203"/>
      <c r="Z361" s="203"/>
    </row>
    <row r="362" ht="12.75" customHeight="1">
      <c r="A362" s="203"/>
      <c r="B362" s="203"/>
      <c r="C362" s="203"/>
      <c r="D362" s="203"/>
      <c r="E362" s="203"/>
      <c r="F362" s="203"/>
      <c r="G362" s="203"/>
      <c r="H362" s="203"/>
      <c r="I362" s="203"/>
      <c r="J362" s="203"/>
      <c r="K362" s="203"/>
      <c r="L362" s="203"/>
      <c r="M362" s="203"/>
      <c r="N362" s="203"/>
      <c r="O362" s="203"/>
      <c r="P362" s="203"/>
      <c r="Q362" s="203"/>
      <c r="R362" s="203"/>
      <c r="S362" s="203"/>
      <c r="T362" s="203"/>
      <c r="U362" s="203"/>
      <c r="V362" s="203"/>
      <c r="W362" s="203"/>
      <c r="X362" s="203"/>
      <c r="Y362" s="203"/>
      <c r="Z362" s="203"/>
    </row>
    <row r="363" ht="12.75" customHeight="1">
      <c r="A363" s="203"/>
      <c r="B363" s="203"/>
      <c r="C363" s="203"/>
      <c r="D363" s="203"/>
      <c r="E363" s="203"/>
      <c r="F363" s="203"/>
      <c r="G363" s="203"/>
      <c r="H363" s="203"/>
      <c r="I363" s="203"/>
      <c r="J363" s="203"/>
      <c r="K363" s="203"/>
      <c r="L363" s="203"/>
      <c r="M363" s="203"/>
      <c r="N363" s="203"/>
      <c r="O363" s="203"/>
      <c r="P363" s="203"/>
      <c r="Q363" s="203"/>
      <c r="R363" s="203"/>
      <c r="S363" s="203"/>
      <c r="T363" s="203"/>
      <c r="U363" s="203"/>
      <c r="V363" s="203"/>
      <c r="W363" s="203"/>
      <c r="X363" s="203"/>
      <c r="Y363" s="203"/>
      <c r="Z363" s="203"/>
    </row>
    <row r="364" ht="12.75" customHeight="1">
      <c r="A364" s="203"/>
      <c r="B364" s="203"/>
      <c r="C364" s="203"/>
      <c r="D364" s="203"/>
      <c r="E364" s="203"/>
      <c r="F364" s="203"/>
      <c r="G364" s="203"/>
      <c r="H364" s="203"/>
      <c r="I364" s="203"/>
      <c r="J364" s="203"/>
      <c r="K364" s="203"/>
      <c r="L364" s="203"/>
      <c r="M364" s="203"/>
      <c r="N364" s="203"/>
      <c r="O364" s="203"/>
      <c r="P364" s="203"/>
      <c r="Q364" s="203"/>
      <c r="R364" s="203"/>
      <c r="S364" s="203"/>
      <c r="T364" s="203"/>
      <c r="U364" s="203"/>
      <c r="V364" s="203"/>
      <c r="W364" s="203"/>
      <c r="X364" s="203"/>
      <c r="Y364" s="203"/>
      <c r="Z364" s="203"/>
    </row>
    <row r="365" ht="12.75" customHeight="1">
      <c r="A365" s="203"/>
      <c r="B365" s="203"/>
      <c r="C365" s="203"/>
      <c r="D365" s="203"/>
      <c r="E365" s="203"/>
      <c r="F365" s="203"/>
      <c r="G365" s="203"/>
      <c r="H365" s="203"/>
      <c r="I365" s="203"/>
      <c r="J365" s="203"/>
      <c r="K365" s="203"/>
      <c r="L365" s="203"/>
      <c r="M365" s="203"/>
      <c r="N365" s="203"/>
      <c r="O365" s="203"/>
      <c r="P365" s="203"/>
      <c r="Q365" s="203"/>
      <c r="R365" s="203"/>
      <c r="S365" s="203"/>
      <c r="T365" s="203"/>
      <c r="U365" s="203"/>
      <c r="V365" s="203"/>
      <c r="W365" s="203"/>
      <c r="X365" s="203"/>
      <c r="Y365" s="203"/>
      <c r="Z365" s="203"/>
    </row>
    <row r="366" ht="12.75" customHeight="1">
      <c r="A366" s="203"/>
      <c r="B366" s="203"/>
      <c r="C366" s="203"/>
      <c r="D366" s="203"/>
      <c r="E366" s="203"/>
      <c r="F366" s="203"/>
      <c r="G366" s="203"/>
      <c r="H366" s="203"/>
      <c r="I366" s="203"/>
      <c r="J366" s="203"/>
      <c r="K366" s="203"/>
      <c r="L366" s="203"/>
      <c r="M366" s="203"/>
      <c r="N366" s="203"/>
      <c r="O366" s="203"/>
      <c r="P366" s="203"/>
      <c r="Q366" s="203"/>
      <c r="R366" s="203"/>
      <c r="S366" s="203"/>
      <c r="T366" s="203"/>
      <c r="U366" s="203"/>
      <c r="V366" s="203"/>
      <c r="W366" s="203"/>
      <c r="X366" s="203"/>
      <c r="Y366" s="203"/>
      <c r="Z366" s="203"/>
    </row>
    <row r="367" ht="12.75" customHeight="1">
      <c r="A367" s="203"/>
      <c r="B367" s="203"/>
      <c r="C367" s="203"/>
      <c r="D367" s="203"/>
      <c r="E367" s="203"/>
      <c r="F367" s="203"/>
      <c r="G367" s="203"/>
      <c r="H367" s="203"/>
      <c r="I367" s="203"/>
      <c r="J367" s="203"/>
      <c r="K367" s="203"/>
      <c r="L367" s="203"/>
      <c r="M367" s="203"/>
      <c r="N367" s="203"/>
      <c r="O367" s="203"/>
      <c r="P367" s="203"/>
      <c r="Q367" s="203"/>
      <c r="R367" s="203"/>
      <c r="S367" s="203"/>
      <c r="T367" s="203"/>
      <c r="U367" s="203"/>
      <c r="V367" s="203"/>
      <c r="W367" s="203"/>
      <c r="X367" s="203"/>
      <c r="Y367" s="203"/>
      <c r="Z367" s="203"/>
    </row>
    <row r="368" ht="12.75" customHeight="1">
      <c r="A368" s="203"/>
      <c r="B368" s="203"/>
      <c r="C368" s="203"/>
      <c r="D368" s="203"/>
      <c r="E368" s="203"/>
      <c r="F368" s="203"/>
      <c r="G368" s="203"/>
      <c r="H368" s="203"/>
      <c r="I368" s="203"/>
      <c r="J368" s="203"/>
      <c r="K368" s="203"/>
      <c r="L368" s="203"/>
      <c r="M368" s="203"/>
      <c r="N368" s="203"/>
      <c r="O368" s="203"/>
      <c r="P368" s="203"/>
      <c r="Q368" s="203"/>
      <c r="R368" s="203"/>
      <c r="S368" s="203"/>
      <c r="T368" s="203"/>
      <c r="U368" s="203"/>
      <c r="V368" s="203"/>
      <c r="W368" s="203"/>
      <c r="X368" s="203"/>
      <c r="Y368" s="203"/>
      <c r="Z368" s="203"/>
    </row>
    <row r="369" ht="12.75" customHeight="1">
      <c r="A369" s="203"/>
      <c r="B369" s="203"/>
      <c r="C369" s="203"/>
      <c r="D369" s="203"/>
      <c r="E369" s="203"/>
      <c r="F369" s="203"/>
      <c r="G369" s="203"/>
      <c r="H369" s="203"/>
      <c r="I369" s="203"/>
      <c r="J369" s="203"/>
      <c r="K369" s="203"/>
      <c r="L369" s="203"/>
      <c r="M369" s="203"/>
      <c r="N369" s="203"/>
      <c r="O369" s="203"/>
      <c r="P369" s="203"/>
      <c r="Q369" s="203"/>
      <c r="R369" s="203"/>
      <c r="S369" s="203"/>
      <c r="T369" s="203"/>
      <c r="U369" s="203"/>
      <c r="V369" s="203"/>
      <c r="W369" s="203"/>
      <c r="X369" s="203"/>
      <c r="Y369" s="203"/>
      <c r="Z369" s="203"/>
    </row>
    <row r="370" ht="12.75" customHeight="1">
      <c r="A370" s="203"/>
      <c r="B370" s="203"/>
      <c r="C370" s="203"/>
      <c r="D370" s="203"/>
      <c r="E370" s="203"/>
      <c r="F370" s="203"/>
      <c r="G370" s="203"/>
      <c r="H370" s="203"/>
      <c r="I370" s="203"/>
      <c r="J370" s="203"/>
      <c r="K370" s="203"/>
      <c r="L370" s="203"/>
      <c r="M370" s="203"/>
      <c r="N370" s="203"/>
      <c r="O370" s="203"/>
      <c r="P370" s="203"/>
      <c r="Q370" s="203"/>
      <c r="R370" s="203"/>
      <c r="S370" s="203"/>
      <c r="T370" s="203"/>
      <c r="U370" s="203"/>
      <c r="V370" s="203"/>
      <c r="W370" s="203"/>
      <c r="X370" s="203"/>
      <c r="Y370" s="203"/>
      <c r="Z370" s="203"/>
    </row>
    <row r="371" ht="12.75" customHeight="1">
      <c r="A371" s="203"/>
      <c r="B371" s="203"/>
      <c r="C371" s="203"/>
      <c r="D371" s="203"/>
      <c r="E371" s="203"/>
      <c r="F371" s="203"/>
      <c r="G371" s="203"/>
      <c r="H371" s="203"/>
      <c r="I371" s="203"/>
      <c r="J371" s="203"/>
      <c r="K371" s="203"/>
      <c r="L371" s="203"/>
      <c r="M371" s="203"/>
      <c r="N371" s="203"/>
      <c r="O371" s="203"/>
      <c r="P371" s="203"/>
      <c r="Q371" s="203"/>
      <c r="R371" s="203"/>
      <c r="S371" s="203"/>
      <c r="T371" s="203"/>
      <c r="U371" s="203"/>
      <c r="V371" s="203"/>
      <c r="W371" s="203"/>
      <c r="X371" s="203"/>
      <c r="Y371" s="203"/>
      <c r="Z371" s="203"/>
    </row>
    <row r="372" ht="12.75" customHeight="1">
      <c r="A372" s="203"/>
      <c r="B372" s="203"/>
      <c r="C372" s="203"/>
      <c r="D372" s="203"/>
      <c r="E372" s="203"/>
      <c r="F372" s="203"/>
      <c r="G372" s="203"/>
      <c r="H372" s="203"/>
      <c r="I372" s="203"/>
      <c r="J372" s="203"/>
      <c r="K372" s="203"/>
      <c r="L372" s="203"/>
      <c r="M372" s="203"/>
      <c r="N372" s="203"/>
      <c r="O372" s="203"/>
      <c r="P372" s="203"/>
      <c r="Q372" s="203"/>
      <c r="R372" s="203"/>
      <c r="S372" s="203"/>
      <c r="T372" s="203"/>
      <c r="U372" s="203"/>
      <c r="V372" s="203"/>
      <c r="W372" s="203"/>
      <c r="X372" s="203"/>
      <c r="Y372" s="203"/>
      <c r="Z372" s="203"/>
    </row>
    <row r="373" ht="12.75" customHeight="1">
      <c r="A373" s="203"/>
      <c r="B373" s="203"/>
      <c r="C373" s="203"/>
      <c r="D373" s="203"/>
      <c r="E373" s="203"/>
      <c r="F373" s="203"/>
      <c r="G373" s="203"/>
      <c r="H373" s="203"/>
      <c r="I373" s="203"/>
      <c r="J373" s="203"/>
      <c r="K373" s="203"/>
      <c r="L373" s="203"/>
      <c r="M373" s="203"/>
      <c r="N373" s="203"/>
      <c r="O373" s="203"/>
      <c r="P373" s="203"/>
      <c r="Q373" s="203"/>
      <c r="R373" s="203"/>
      <c r="S373" s="203"/>
      <c r="T373" s="203"/>
      <c r="U373" s="203"/>
      <c r="V373" s="203"/>
      <c r="W373" s="203"/>
      <c r="X373" s="203"/>
      <c r="Y373" s="203"/>
      <c r="Z373" s="203"/>
    </row>
    <row r="374" ht="12.75" customHeight="1">
      <c r="A374" s="203"/>
      <c r="B374" s="203"/>
      <c r="C374" s="203"/>
      <c r="D374" s="203"/>
      <c r="E374" s="203"/>
      <c r="F374" s="203"/>
      <c r="G374" s="203"/>
      <c r="H374" s="203"/>
      <c r="I374" s="203"/>
      <c r="J374" s="203"/>
      <c r="K374" s="203"/>
      <c r="L374" s="203"/>
      <c r="M374" s="203"/>
      <c r="N374" s="203"/>
      <c r="O374" s="203"/>
      <c r="P374" s="203"/>
      <c r="Q374" s="203"/>
      <c r="R374" s="203"/>
      <c r="S374" s="203"/>
      <c r="T374" s="203"/>
      <c r="U374" s="203"/>
      <c r="V374" s="203"/>
      <c r="W374" s="203"/>
      <c r="X374" s="203"/>
      <c r="Y374" s="203"/>
      <c r="Z374" s="203"/>
    </row>
    <row r="375" ht="12.75" customHeight="1">
      <c r="A375" s="203"/>
      <c r="B375" s="203"/>
      <c r="C375" s="203"/>
      <c r="D375" s="203"/>
      <c r="E375" s="203"/>
      <c r="F375" s="203"/>
      <c r="G375" s="203"/>
      <c r="H375" s="203"/>
      <c r="I375" s="203"/>
      <c r="J375" s="203"/>
      <c r="K375" s="203"/>
      <c r="L375" s="203"/>
      <c r="M375" s="203"/>
      <c r="N375" s="203"/>
      <c r="O375" s="203"/>
      <c r="P375" s="203"/>
      <c r="Q375" s="203"/>
      <c r="R375" s="203"/>
      <c r="S375" s="203"/>
      <c r="T375" s="203"/>
      <c r="U375" s="203"/>
      <c r="V375" s="203"/>
      <c r="W375" s="203"/>
      <c r="X375" s="203"/>
      <c r="Y375" s="203"/>
      <c r="Z375" s="203"/>
    </row>
    <row r="376" ht="12.75" customHeight="1">
      <c r="A376" s="203"/>
      <c r="B376" s="203"/>
      <c r="C376" s="203"/>
      <c r="D376" s="203"/>
      <c r="E376" s="203"/>
      <c r="F376" s="203"/>
      <c r="G376" s="203"/>
      <c r="H376" s="203"/>
      <c r="I376" s="203"/>
      <c r="J376" s="203"/>
      <c r="K376" s="203"/>
      <c r="L376" s="203"/>
      <c r="M376" s="203"/>
      <c r="N376" s="203"/>
      <c r="O376" s="203"/>
      <c r="P376" s="203"/>
      <c r="Q376" s="203"/>
      <c r="R376" s="203"/>
      <c r="S376" s="203"/>
      <c r="T376" s="203"/>
      <c r="U376" s="203"/>
      <c r="V376" s="203"/>
      <c r="W376" s="203"/>
      <c r="X376" s="203"/>
      <c r="Y376" s="203"/>
      <c r="Z376" s="203"/>
    </row>
    <row r="377" ht="12.75" customHeight="1">
      <c r="A377" s="203"/>
      <c r="B377" s="203"/>
      <c r="C377" s="203"/>
      <c r="D377" s="203"/>
      <c r="E377" s="203"/>
      <c r="F377" s="203"/>
      <c r="G377" s="203"/>
      <c r="H377" s="203"/>
      <c r="I377" s="203"/>
      <c r="J377" s="203"/>
      <c r="K377" s="203"/>
      <c r="L377" s="203"/>
      <c r="M377" s="203"/>
      <c r="N377" s="203"/>
      <c r="O377" s="203"/>
      <c r="P377" s="203"/>
      <c r="Q377" s="203"/>
      <c r="R377" s="203"/>
      <c r="S377" s="203"/>
      <c r="T377" s="203"/>
      <c r="U377" s="203"/>
      <c r="V377" s="203"/>
      <c r="W377" s="203"/>
      <c r="X377" s="203"/>
      <c r="Y377" s="203"/>
      <c r="Z377" s="203"/>
    </row>
    <row r="378" ht="12.75" customHeight="1">
      <c r="A378" s="203"/>
      <c r="B378" s="203"/>
      <c r="C378" s="203"/>
      <c r="D378" s="203"/>
      <c r="E378" s="203"/>
      <c r="F378" s="203"/>
      <c r="G378" s="203"/>
      <c r="H378" s="203"/>
      <c r="I378" s="203"/>
      <c r="J378" s="203"/>
      <c r="K378" s="203"/>
      <c r="L378" s="203"/>
      <c r="M378" s="203"/>
      <c r="N378" s="203"/>
      <c r="O378" s="203"/>
      <c r="P378" s="203"/>
      <c r="Q378" s="203"/>
      <c r="R378" s="203"/>
      <c r="S378" s="203"/>
      <c r="T378" s="203"/>
      <c r="U378" s="203"/>
      <c r="V378" s="203"/>
      <c r="W378" s="203"/>
      <c r="X378" s="203"/>
      <c r="Y378" s="203"/>
      <c r="Z378" s="203"/>
    </row>
    <row r="379" ht="12.75" customHeight="1">
      <c r="A379" s="203"/>
      <c r="B379" s="203"/>
      <c r="C379" s="203"/>
      <c r="D379" s="203"/>
      <c r="E379" s="203"/>
      <c r="F379" s="203"/>
      <c r="G379" s="203"/>
      <c r="H379" s="203"/>
      <c r="I379" s="203"/>
      <c r="J379" s="203"/>
      <c r="K379" s="203"/>
      <c r="L379" s="203"/>
      <c r="M379" s="203"/>
      <c r="N379" s="203"/>
      <c r="O379" s="203"/>
      <c r="P379" s="203"/>
      <c r="Q379" s="203"/>
      <c r="R379" s="203"/>
      <c r="S379" s="203"/>
      <c r="T379" s="203"/>
      <c r="U379" s="203"/>
      <c r="V379" s="203"/>
      <c r="W379" s="203"/>
      <c r="X379" s="203"/>
      <c r="Y379" s="203"/>
      <c r="Z379" s="203"/>
    </row>
    <row r="380" ht="12.75" customHeight="1">
      <c r="A380" s="203"/>
      <c r="B380" s="203"/>
      <c r="C380" s="203"/>
      <c r="D380" s="203"/>
      <c r="E380" s="203"/>
      <c r="F380" s="203"/>
      <c r="G380" s="203"/>
      <c r="H380" s="203"/>
      <c r="I380" s="203"/>
      <c r="J380" s="203"/>
      <c r="K380" s="203"/>
      <c r="L380" s="203"/>
      <c r="M380" s="203"/>
      <c r="N380" s="203"/>
      <c r="O380" s="203"/>
      <c r="P380" s="203"/>
      <c r="Q380" s="203"/>
      <c r="R380" s="203"/>
      <c r="S380" s="203"/>
      <c r="T380" s="203"/>
      <c r="U380" s="203"/>
      <c r="V380" s="203"/>
      <c r="W380" s="203"/>
      <c r="X380" s="203"/>
      <c r="Y380" s="203"/>
      <c r="Z380" s="203"/>
    </row>
    <row r="381" ht="12.75" customHeight="1">
      <c r="A381" s="203"/>
      <c r="B381" s="203"/>
      <c r="C381" s="203"/>
      <c r="D381" s="203"/>
      <c r="E381" s="203"/>
      <c r="F381" s="203"/>
      <c r="G381" s="203"/>
      <c r="H381" s="203"/>
      <c r="I381" s="203"/>
      <c r="J381" s="203"/>
      <c r="K381" s="203"/>
      <c r="L381" s="203"/>
      <c r="M381" s="203"/>
      <c r="N381" s="203"/>
      <c r="O381" s="203"/>
      <c r="P381" s="203"/>
      <c r="Q381" s="203"/>
      <c r="R381" s="203"/>
      <c r="S381" s="203"/>
      <c r="T381" s="203"/>
      <c r="U381" s="203"/>
      <c r="V381" s="203"/>
      <c r="W381" s="203"/>
      <c r="X381" s="203"/>
      <c r="Y381" s="203"/>
      <c r="Z381" s="203"/>
    </row>
    <row r="382" ht="12.75" customHeight="1">
      <c r="A382" s="203"/>
      <c r="B382" s="203"/>
      <c r="C382" s="203"/>
      <c r="D382" s="203"/>
      <c r="E382" s="203"/>
      <c r="F382" s="203"/>
      <c r="G382" s="203"/>
      <c r="H382" s="203"/>
      <c r="I382" s="203"/>
      <c r="J382" s="203"/>
      <c r="K382" s="203"/>
      <c r="L382" s="203"/>
      <c r="M382" s="203"/>
      <c r="N382" s="203"/>
      <c r="O382" s="203"/>
      <c r="P382" s="203"/>
      <c r="Q382" s="203"/>
      <c r="R382" s="203"/>
      <c r="S382" s="203"/>
      <c r="T382" s="203"/>
      <c r="U382" s="203"/>
      <c r="V382" s="203"/>
      <c r="W382" s="203"/>
      <c r="X382" s="203"/>
      <c r="Y382" s="203"/>
      <c r="Z382" s="203"/>
    </row>
    <row r="383" ht="12.75" customHeight="1">
      <c r="A383" s="203"/>
      <c r="B383" s="203"/>
      <c r="C383" s="203"/>
      <c r="D383" s="203"/>
      <c r="E383" s="203"/>
      <c r="F383" s="203"/>
      <c r="G383" s="203"/>
      <c r="H383" s="203"/>
      <c r="I383" s="203"/>
      <c r="J383" s="203"/>
      <c r="K383" s="203"/>
      <c r="L383" s="203"/>
      <c r="M383" s="203"/>
      <c r="N383" s="203"/>
      <c r="O383" s="203"/>
      <c r="P383" s="203"/>
      <c r="Q383" s="203"/>
      <c r="R383" s="203"/>
      <c r="S383" s="203"/>
      <c r="T383" s="203"/>
      <c r="U383" s="203"/>
      <c r="V383" s="203"/>
      <c r="W383" s="203"/>
      <c r="X383" s="203"/>
      <c r="Y383" s="203"/>
      <c r="Z383" s="203"/>
    </row>
    <row r="384" ht="12.75" customHeight="1">
      <c r="A384" s="203"/>
      <c r="B384" s="203"/>
      <c r="C384" s="203"/>
      <c r="D384" s="203"/>
      <c r="E384" s="203"/>
      <c r="F384" s="203"/>
      <c r="G384" s="203"/>
      <c r="H384" s="203"/>
      <c r="I384" s="203"/>
      <c r="J384" s="203"/>
      <c r="K384" s="203"/>
      <c r="L384" s="203"/>
      <c r="M384" s="203"/>
      <c r="N384" s="203"/>
      <c r="O384" s="203"/>
      <c r="P384" s="203"/>
      <c r="Q384" s="203"/>
      <c r="R384" s="203"/>
      <c r="S384" s="203"/>
      <c r="T384" s="203"/>
      <c r="U384" s="203"/>
      <c r="V384" s="203"/>
      <c r="W384" s="203"/>
      <c r="X384" s="203"/>
      <c r="Y384" s="203"/>
      <c r="Z384" s="203"/>
    </row>
    <row r="385" ht="12.75" customHeight="1">
      <c r="A385" s="203"/>
      <c r="B385" s="203"/>
      <c r="C385" s="203"/>
      <c r="D385" s="203"/>
      <c r="E385" s="203"/>
      <c r="F385" s="203"/>
      <c r="G385" s="203"/>
      <c r="H385" s="203"/>
      <c r="I385" s="203"/>
      <c r="J385" s="203"/>
      <c r="K385" s="203"/>
      <c r="L385" s="203"/>
      <c r="M385" s="203"/>
      <c r="N385" s="203"/>
      <c r="O385" s="203"/>
      <c r="P385" s="203"/>
      <c r="Q385" s="203"/>
      <c r="R385" s="203"/>
      <c r="S385" s="203"/>
      <c r="T385" s="203"/>
      <c r="U385" s="203"/>
      <c r="V385" s="203"/>
      <c r="W385" s="203"/>
      <c r="X385" s="203"/>
      <c r="Y385" s="203"/>
      <c r="Z385" s="203"/>
    </row>
    <row r="386" ht="12.75" customHeight="1">
      <c r="A386" s="203"/>
      <c r="B386" s="203"/>
      <c r="C386" s="203"/>
      <c r="D386" s="203"/>
      <c r="E386" s="203"/>
      <c r="F386" s="203"/>
      <c r="G386" s="203"/>
      <c r="H386" s="203"/>
      <c r="I386" s="203"/>
      <c r="J386" s="203"/>
      <c r="K386" s="203"/>
      <c r="L386" s="203"/>
      <c r="M386" s="203"/>
      <c r="N386" s="203"/>
      <c r="O386" s="203"/>
      <c r="P386" s="203"/>
      <c r="Q386" s="203"/>
      <c r="R386" s="203"/>
      <c r="S386" s="203"/>
      <c r="T386" s="203"/>
      <c r="U386" s="203"/>
      <c r="V386" s="203"/>
      <c r="W386" s="203"/>
      <c r="X386" s="203"/>
      <c r="Y386" s="203"/>
      <c r="Z386" s="203"/>
    </row>
    <row r="387" ht="12.75" customHeight="1">
      <c r="A387" s="203"/>
      <c r="B387" s="203"/>
      <c r="C387" s="203"/>
      <c r="D387" s="203"/>
      <c r="E387" s="203"/>
      <c r="F387" s="203"/>
      <c r="G387" s="203"/>
      <c r="H387" s="203"/>
      <c r="I387" s="203"/>
      <c r="J387" s="203"/>
      <c r="K387" s="203"/>
      <c r="L387" s="203"/>
      <c r="M387" s="203"/>
      <c r="N387" s="203"/>
      <c r="O387" s="203"/>
      <c r="P387" s="203"/>
      <c r="Q387" s="203"/>
      <c r="R387" s="203"/>
      <c r="S387" s="203"/>
      <c r="T387" s="203"/>
      <c r="U387" s="203"/>
      <c r="V387" s="203"/>
      <c r="W387" s="203"/>
      <c r="X387" s="203"/>
      <c r="Y387" s="203"/>
      <c r="Z387" s="203"/>
    </row>
    <row r="388" ht="12.75" customHeight="1">
      <c r="A388" s="203"/>
      <c r="B388" s="203"/>
      <c r="C388" s="203"/>
      <c r="D388" s="203"/>
      <c r="E388" s="203"/>
      <c r="F388" s="203"/>
      <c r="G388" s="203"/>
      <c r="H388" s="203"/>
      <c r="I388" s="203"/>
      <c r="J388" s="203"/>
      <c r="K388" s="203"/>
      <c r="L388" s="203"/>
      <c r="M388" s="203"/>
      <c r="N388" s="203"/>
      <c r="O388" s="203"/>
      <c r="P388" s="203"/>
      <c r="Q388" s="203"/>
      <c r="R388" s="203"/>
      <c r="S388" s="203"/>
      <c r="T388" s="203"/>
      <c r="U388" s="203"/>
      <c r="V388" s="203"/>
      <c r="W388" s="203"/>
      <c r="X388" s="203"/>
      <c r="Y388" s="203"/>
      <c r="Z388" s="203"/>
    </row>
    <row r="389" ht="12.75" customHeight="1">
      <c r="A389" s="203"/>
      <c r="B389" s="203"/>
      <c r="C389" s="203"/>
      <c r="D389" s="203"/>
      <c r="E389" s="203"/>
      <c r="F389" s="203"/>
      <c r="G389" s="203"/>
      <c r="H389" s="203"/>
      <c r="I389" s="203"/>
      <c r="J389" s="203"/>
      <c r="K389" s="203"/>
      <c r="L389" s="203"/>
      <c r="M389" s="203"/>
      <c r="N389" s="203"/>
      <c r="O389" s="203"/>
      <c r="P389" s="203"/>
      <c r="Q389" s="203"/>
      <c r="R389" s="203"/>
      <c r="S389" s="203"/>
      <c r="T389" s="203"/>
      <c r="U389" s="203"/>
      <c r="V389" s="203"/>
      <c r="W389" s="203"/>
      <c r="X389" s="203"/>
      <c r="Y389" s="203"/>
      <c r="Z389" s="203"/>
    </row>
    <row r="390" ht="12.75" customHeight="1">
      <c r="A390" s="203"/>
      <c r="B390" s="203"/>
      <c r="C390" s="203"/>
      <c r="D390" s="203"/>
      <c r="E390" s="203"/>
      <c r="F390" s="203"/>
      <c r="G390" s="203"/>
      <c r="H390" s="203"/>
      <c r="I390" s="203"/>
      <c r="J390" s="203"/>
      <c r="K390" s="203"/>
      <c r="L390" s="203"/>
      <c r="M390" s="203"/>
      <c r="N390" s="203"/>
      <c r="O390" s="203"/>
      <c r="P390" s="203"/>
      <c r="Q390" s="203"/>
      <c r="R390" s="203"/>
      <c r="S390" s="203"/>
      <c r="T390" s="203"/>
      <c r="U390" s="203"/>
      <c r="V390" s="203"/>
      <c r="W390" s="203"/>
      <c r="X390" s="203"/>
      <c r="Y390" s="203"/>
      <c r="Z390" s="203"/>
    </row>
    <row r="391" ht="12.75" customHeight="1">
      <c r="A391" s="203"/>
      <c r="B391" s="203"/>
      <c r="C391" s="203"/>
      <c r="D391" s="203"/>
      <c r="E391" s="203"/>
      <c r="F391" s="203"/>
      <c r="G391" s="203"/>
      <c r="H391" s="203"/>
      <c r="I391" s="203"/>
      <c r="J391" s="203"/>
      <c r="K391" s="203"/>
      <c r="L391" s="203"/>
      <c r="M391" s="203"/>
      <c r="N391" s="203"/>
      <c r="O391" s="203"/>
      <c r="P391" s="203"/>
      <c r="Q391" s="203"/>
      <c r="R391" s="203"/>
      <c r="S391" s="203"/>
      <c r="T391" s="203"/>
      <c r="U391" s="203"/>
      <c r="V391" s="203"/>
      <c r="W391" s="203"/>
      <c r="X391" s="203"/>
      <c r="Y391" s="203"/>
      <c r="Z391" s="203"/>
    </row>
    <row r="392" ht="12.75" customHeight="1">
      <c r="A392" s="203"/>
      <c r="B392" s="203"/>
      <c r="C392" s="203"/>
      <c r="D392" s="203"/>
      <c r="E392" s="203"/>
      <c r="F392" s="203"/>
      <c r="G392" s="203"/>
      <c r="H392" s="203"/>
      <c r="I392" s="203"/>
      <c r="J392" s="203"/>
      <c r="K392" s="203"/>
      <c r="L392" s="203"/>
      <c r="M392" s="203"/>
      <c r="N392" s="203"/>
      <c r="O392" s="203"/>
      <c r="P392" s="203"/>
      <c r="Q392" s="203"/>
      <c r="R392" s="203"/>
      <c r="S392" s="203"/>
      <c r="T392" s="203"/>
      <c r="U392" s="203"/>
      <c r="V392" s="203"/>
      <c r="W392" s="203"/>
      <c r="X392" s="203"/>
      <c r="Y392" s="203"/>
      <c r="Z392" s="203"/>
    </row>
    <row r="393" ht="12.75" customHeight="1">
      <c r="A393" s="203"/>
      <c r="B393" s="203"/>
      <c r="C393" s="203"/>
      <c r="D393" s="203"/>
      <c r="E393" s="203"/>
      <c r="F393" s="203"/>
      <c r="G393" s="203"/>
      <c r="H393" s="203"/>
      <c r="I393" s="203"/>
      <c r="J393" s="203"/>
      <c r="K393" s="203"/>
      <c r="L393" s="203"/>
      <c r="M393" s="203"/>
      <c r="N393" s="203"/>
      <c r="O393" s="203"/>
      <c r="P393" s="203"/>
      <c r="Q393" s="203"/>
      <c r="R393" s="203"/>
      <c r="S393" s="203"/>
      <c r="T393" s="203"/>
      <c r="U393" s="203"/>
      <c r="V393" s="203"/>
      <c r="W393" s="203"/>
      <c r="X393" s="203"/>
      <c r="Y393" s="203"/>
      <c r="Z393" s="203"/>
    </row>
    <row r="394" ht="12.75" customHeight="1">
      <c r="A394" s="203"/>
      <c r="B394" s="203"/>
      <c r="C394" s="203"/>
      <c r="D394" s="203"/>
      <c r="E394" s="203"/>
      <c r="F394" s="203"/>
      <c r="G394" s="203"/>
      <c r="H394" s="203"/>
      <c r="I394" s="203"/>
      <c r="J394" s="203"/>
      <c r="K394" s="203"/>
      <c r="L394" s="203"/>
      <c r="M394" s="203"/>
      <c r="N394" s="203"/>
      <c r="O394" s="203"/>
      <c r="P394" s="203"/>
      <c r="Q394" s="203"/>
      <c r="R394" s="203"/>
      <c r="S394" s="203"/>
      <c r="T394" s="203"/>
      <c r="U394" s="203"/>
      <c r="V394" s="203"/>
      <c r="W394" s="203"/>
      <c r="X394" s="203"/>
      <c r="Y394" s="203"/>
      <c r="Z394" s="203"/>
    </row>
    <row r="395" ht="12.75" customHeight="1">
      <c r="A395" s="203"/>
      <c r="B395" s="203"/>
      <c r="C395" s="203"/>
      <c r="D395" s="203"/>
      <c r="E395" s="203"/>
      <c r="F395" s="203"/>
      <c r="G395" s="203"/>
      <c r="H395" s="203"/>
      <c r="I395" s="203"/>
      <c r="J395" s="203"/>
      <c r="K395" s="203"/>
      <c r="L395" s="203"/>
      <c r="M395" s="203"/>
      <c r="N395" s="203"/>
      <c r="O395" s="203"/>
      <c r="P395" s="203"/>
      <c r="Q395" s="203"/>
      <c r="R395" s="203"/>
      <c r="S395" s="203"/>
      <c r="T395" s="203"/>
      <c r="U395" s="203"/>
      <c r="V395" s="203"/>
      <c r="W395" s="203"/>
      <c r="X395" s="203"/>
      <c r="Y395" s="203"/>
      <c r="Z395" s="203"/>
    </row>
    <row r="396" ht="12.75" customHeight="1">
      <c r="A396" s="203"/>
      <c r="B396" s="203"/>
      <c r="C396" s="203"/>
      <c r="D396" s="203"/>
      <c r="E396" s="203"/>
      <c r="F396" s="203"/>
      <c r="G396" s="203"/>
      <c r="H396" s="203"/>
      <c r="I396" s="203"/>
      <c r="J396" s="203"/>
      <c r="K396" s="203"/>
      <c r="L396" s="203"/>
      <c r="M396" s="203"/>
      <c r="N396" s="203"/>
      <c r="O396" s="203"/>
      <c r="P396" s="203"/>
      <c r="Q396" s="203"/>
      <c r="R396" s="203"/>
      <c r="S396" s="203"/>
      <c r="T396" s="203"/>
      <c r="U396" s="203"/>
      <c r="V396" s="203"/>
      <c r="W396" s="203"/>
      <c r="X396" s="203"/>
      <c r="Y396" s="203"/>
      <c r="Z396" s="203"/>
    </row>
    <row r="397" ht="12.75" customHeight="1">
      <c r="A397" s="203"/>
      <c r="B397" s="203"/>
      <c r="C397" s="203"/>
      <c r="D397" s="203"/>
      <c r="E397" s="203"/>
      <c r="F397" s="203"/>
      <c r="G397" s="203"/>
      <c r="H397" s="203"/>
      <c r="I397" s="203"/>
      <c r="J397" s="203"/>
      <c r="K397" s="203"/>
      <c r="L397" s="203"/>
      <c r="M397" s="203"/>
      <c r="N397" s="203"/>
      <c r="O397" s="203"/>
      <c r="P397" s="203"/>
      <c r="Q397" s="203"/>
      <c r="R397" s="203"/>
      <c r="S397" s="203"/>
      <c r="T397" s="203"/>
      <c r="U397" s="203"/>
      <c r="V397" s="203"/>
      <c r="W397" s="203"/>
      <c r="X397" s="203"/>
      <c r="Y397" s="203"/>
      <c r="Z397" s="203"/>
    </row>
    <row r="398" ht="12.75" customHeight="1">
      <c r="A398" s="203"/>
      <c r="B398" s="203"/>
      <c r="C398" s="203"/>
      <c r="D398" s="203"/>
      <c r="E398" s="203"/>
      <c r="F398" s="203"/>
      <c r="G398" s="203"/>
      <c r="H398" s="203"/>
      <c r="I398" s="203"/>
      <c r="J398" s="203"/>
      <c r="K398" s="203"/>
      <c r="L398" s="203"/>
      <c r="M398" s="203"/>
      <c r="N398" s="203"/>
      <c r="O398" s="203"/>
      <c r="P398" s="203"/>
      <c r="Q398" s="203"/>
      <c r="R398" s="203"/>
      <c r="S398" s="203"/>
      <c r="T398" s="203"/>
      <c r="U398" s="203"/>
      <c r="V398" s="203"/>
      <c r="W398" s="203"/>
      <c r="X398" s="203"/>
      <c r="Y398" s="203"/>
      <c r="Z398" s="203"/>
    </row>
    <row r="399" ht="12.75" customHeight="1">
      <c r="A399" s="203"/>
      <c r="B399" s="203"/>
      <c r="C399" s="203"/>
      <c r="D399" s="203"/>
      <c r="E399" s="203"/>
      <c r="F399" s="203"/>
      <c r="G399" s="203"/>
      <c r="H399" s="203"/>
      <c r="I399" s="203"/>
      <c r="J399" s="203"/>
      <c r="K399" s="203"/>
      <c r="L399" s="203"/>
      <c r="M399" s="203"/>
      <c r="N399" s="203"/>
      <c r="O399" s="203"/>
      <c r="P399" s="203"/>
      <c r="Q399" s="203"/>
      <c r="R399" s="203"/>
      <c r="S399" s="203"/>
      <c r="T399" s="203"/>
      <c r="U399" s="203"/>
      <c r="V399" s="203"/>
      <c r="W399" s="203"/>
      <c r="X399" s="203"/>
      <c r="Y399" s="203"/>
      <c r="Z399" s="203"/>
    </row>
    <row r="400" ht="12.75" customHeight="1">
      <c r="A400" s="203"/>
      <c r="B400" s="203"/>
      <c r="C400" s="203"/>
      <c r="D400" s="203"/>
      <c r="E400" s="203"/>
      <c r="F400" s="203"/>
      <c r="G400" s="203"/>
      <c r="H400" s="203"/>
      <c r="I400" s="203"/>
      <c r="J400" s="203"/>
      <c r="K400" s="203"/>
      <c r="L400" s="203"/>
      <c r="M400" s="203"/>
      <c r="N400" s="203"/>
      <c r="O400" s="203"/>
      <c r="P400" s="203"/>
      <c r="Q400" s="203"/>
      <c r="R400" s="203"/>
      <c r="S400" s="203"/>
      <c r="T400" s="203"/>
      <c r="U400" s="203"/>
      <c r="V400" s="203"/>
      <c r="W400" s="203"/>
      <c r="X400" s="203"/>
      <c r="Y400" s="203"/>
      <c r="Z400" s="203"/>
    </row>
    <row r="401" ht="12.75" customHeight="1">
      <c r="A401" s="203"/>
      <c r="B401" s="203"/>
      <c r="C401" s="203"/>
      <c r="D401" s="203"/>
      <c r="E401" s="203"/>
      <c r="F401" s="203"/>
      <c r="G401" s="203"/>
      <c r="H401" s="203"/>
      <c r="I401" s="203"/>
      <c r="J401" s="203"/>
      <c r="K401" s="203"/>
      <c r="L401" s="203"/>
      <c r="M401" s="203"/>
      <c r="N401" s="203"/>
      <c r="O401" s="203"/>
      <c r="P401" s="203"/>
      <c r="Q401" s="203"/>
      <c r="R401" s="203"/>
      <c r="S401" s="203"/>
      <c r="T401" s="203"/>
      <c r="U401" s="203"/>
      <c r="V401" s="203"/>
      <c r="W401" s="203"/>
      <c r="X401" s="203"/>
      <c r="Y401" s="203"/>
      <c r="Z401" s="203"/>
    </row>
    <row r="402" ht="12.75" customHeight="1">
      <c r="A402" s="203"/>
      <c r="B402" s="203"/>
      <c r="C402" s="203"/>
      <c r="D402" s="203"/>
      <c r="E402" s="203"/>
      <c r="F402" s="203"/>
      <c r="G402" s="203"/>
      <c r="H402" s="203"/>
      <c r="I402" s="203"/>
      <c r="J402" s="203"/>
      <c r="K402" s="203"/>
      <c r="L402" s="203"/>
      <c r="M402" s="203"/>
      <c r="N402" s="203"/>
      <c r="O402" s="203"/>
      <c r="P402" s="203"/>
      <c r="Q402" s="203"/>
      <c r="R402" s="203"/>
      <c r="S402" s="203"/>
      <c r="T402" s="203"/>
      <c r="U402" s="203"/>
      <c r="V402" s="203"/>
      <c r="W402" s="203"/>
      <c r="X402" s="203"/>
      <c r="Y402" s="203"/>
      <c r="Z402" s="203"/>
    </row>
    <row r="403" ht="12.75" customHeight="1">
      <c r="A403" s="203"/>
      <c r="B403" s="203"/>
      <c r="C403" s="203"/>
      <c r="D403" s="203"/>
      <c r="E403" s="203"/>
      <c r="F403" s="203"/>
      <c r="G403" s="203"/>
      <c r="H403" s="203"/>
      <c r="I403" s="203"/>
      <c r="J403" s="203"/>
      <c r="K403" s="203"/>
      <c r="L403" s="203"/>
      <c r="M403" s="203"/>
      <c r="N403" s="203"/>
      <c r="O403" s="203"/>
      <c r="P403" s="203"/>
      <c r="Q403" s="203"/>
      <c r="R403" s="203"/>
      <c r="S403" s="203"/>
      <c r="T403" s="203"/>
      <c r="U403" s="203"/>
      <c r="V403" s="203"/>
      <c r="W403" s="203"/>
      <c r="X403" s="203"/>
      <c r="Y403" s="203"/>
      <c r="Z403" s="203"/>
    </row>
    <row r="404" ht="12.75" customHeight="1">
      <c r="A404" s="203"/>
      <c r="B404" s="203"/>
      <c r="C404" s="203"/>
      <c r="D404" s="203"/>
      <c r="E404" s="203"/>
      <c r="F404" s="203"/>
      <c r="G404" s="203"/>
      <c r="H404" s="203"/>
      <c r="I404" s="203"/>
      <c r="J404" s="203"/>
      <c r="K404" s="203"/>
      <c r="L404" s="203"/>
      <c r="M404" s="203"/>
      <c r="N404" s="203"/>
      <c r="O404" s="203"/>
      <c r="P404" s="203"/>
      <c r="Q404" s="203"/>
      <c r="R404" s="203"/>
      <c r="S404" s="203"/>
      <c r="T404" s="203"/>
      <c r="U404" s="203"/>
      <c r="V404" s="203"/>
      <c r="W404" s="203"/>
      <c r="X404" s="203"/>
      <c r="Y404" s="203"/>
      <c r="Z404" s="203"/>
    </row>
    <row r="405" ht="12.75" customHeight="1">
      <c r="A405" s="203"/>
      <c r="B405" s="203"/>
      <c r="C405" s="203"/>
      <c r="D405" s="203"/>
      <c r="E405" s="203"/>
      <c r="F405" s="203"/>
      <c r="G405" s="203"/>
      <c r="H405" s="203"/>
      <c r="I405" s="203"/>
      <c r="J405" s="203"/>
      <c r="K405" s="203"/>
      <c r="L405" s="203"/>
      <c r="M405" s="203"/>
      <c r="N405" s="203"/>
      <c r="O405" s="203"/>
      <c r="P405" s="203"/>
      <c r="Q405" s="203"/>
      <c r="R405" s="203"/>
      <c r="S405" s="203"/>
      <c r="T405" s="203"/>
      <c r="U405" s="203"/>
      <c r="V405" s="203"/>
      <c r="W405" s="203"/>
      <c r="X405" s="203"/>
      <c r="Y405" s="203"/>
      <c r="Z405" s="203"/>
    </row>
    <row r="406" ht="12.75" customHeight="1">
      <c r="A406" s="203"/>
      <c r="B406" s="203"/>
      <c r="C406" s="203"/>
      <c r="D406" s="203"/>
      <c r="E406" s="203"/>
      <c r="F406" s="203"/>
      <c r="G406" s="203"/>
      <c r="H406" s="203"/>
      <c r="I406" s="203"/>
      <c r="J406" s="203"/>
      <c r="K406" s="203"/>
      <c r="L406" s="203"/>
      <c r="M406" s="203"/>
      <c r="N406" s="203"/>
      <c r="O406" s="203"/>
      <c r="P406" s="203"/>
      <c r="Q406" s="203"/>
      <c r="R406" s="203"/>
      <c r="S406" s="203"/>
      <c r="T406" s="203"/>
      <c r="U406" s="203"/>
      <c r="V406" s="203"/>
      <c r="W406" s="203"/>
      <c r="X406" s="203"/>
      <c r="Y406" s="203"/>
      <c r="Z406" s="203"/>
    </row>
    <row r="407" ht="12.75" customHeight="1">
      <c r="A407" s="203"/>
      <c r="B407" s="203"/>
      <c r="C407" s="203"/>
      <c r="D407" s="203"/>
      <c r="E407" s="203"/>
      <c r="F407" s="203"/>
      <c r="G407" s="203"/>
      <c r="H407" s="203"/>
      <c r="I407" s="203"/>
      <c r="J407" s="203"/>
      <c r="K407" s="203"/>
      <c r="L407" s="203"/>
      <c r="M407" s="203"/>
      <c r="N407" s="203"/>
      <c r="O407" s="203"/>
      <c r="P407" s="203"/>
      <c r="Q407" s="203"/>
      <c r="R407" s="203"/>
      <c r="S407" s="203"/>
      <c r="T407" s="203"/>
      <c r="U407" s="203"/>
      <c r="V407" s="203"/>
      <c r="W407" s="203"/>
      <c r="X407" s="203"/>
      <c r="Y407" s="203"/>
      <c r="Z407" s="203"/>
    </row>
    <row r="408" ht="12.75" customHeight="1">
      <c r="A408" s="203"/>
      <c r="B408" s="203"/>
      <c r="C408" s="203"/>
      <c r="D408" s="203"/>
      <c r="E408" s="203"/>
      <c r="F408" s="203"/>
      <c r="G408" s="203"/>
      <c r="H408" s="203"/>
      <c r="I408" s="203"/>
      <c r="J408" s="203"/>
      <c r="K408" s="203"/>
      <c r="L408" s="203"/>
      <c r="M408" s="203"/>
      <c r="N408" s="203"/>
      <c r="O408" s="203"/>
      <c r="P408" s="203"/>
      <c r="Q408" s="203"/>
      <c r="R408" s="203"/>
      <c r="S408" s="203"/>
      <c r="T408" s="203"/>
      <c r="U408" s="203"/>
      <c r="V408" s="203"/>
      <c r="W408" s="203"/>
      <c r="X408" s="203"/>
      <c r="Y408" s="203"/>
      <c r="Z408" s="203"/>
    </row>
    <row r="409" ht="12.75" customHeight="1">
      <c r="A409" s="203"/>
      <c r="B409" s="203"/>
      <c r="C409" s="203"/>
      <c r="D409" s="203"/>
      <c r="E409" s="203"/>
      <c r="F409" s="203"/>
      <c r="G409" s="203"/>
      <c r="H409" s="203"/>
      <c r="I409" s="203"/>
      <c r="J409" s="203"/>
      <c r="K409" s="203"/>
      <c r="L409" s="203"/>
      <c r="M409" s="203"/>
      <c r="N409" s="203"/>
      <c r="O409" s="203"/>
      <c r="P409" s="203"/>
      <c r="Q409" s="203"/>
      <c r="R409" s="203"/>
      <c r="S409" s="203"/>
      <c r="T409" s="203"/>
      <c r="U409" s="203"/>
      <c r="V409" s="203"/>
      <c r="W409" s="203"/>
      <c r="X409" s="203"/>
      <c r="Y409" s="203"/>
      <c r="Z409" s="203"/>
    </row>
    <row r="410" ht="12.75" customHeight="1">
      <c r="A410" s="203"/>
      <c r="B410" s="203"/>
      <c r="C410" s="203"/>
      <c r="D410" s="203"/>
      <c r="E410" s="203"/>
      <c r="F410" s="203"/>
      <c r="G410" s="203"/>
      <c r="H410" s="203"/>
      <c r="I410" s="203"/>
      <c r="J410" s="203"/>
      <c r="K410" s="203"/>
      <c r="L410" s="203"/>
      <c r="M410" s="203"/>
      <c r="N410" s="203"/>
      <c r="O410" s="203"/>
      <c r="P410" s="203"/>
      <c r="Q410" s="203"/>
      <c r="R410" s="203"/>
      <c r="S410" s="203"/>
      <c r="T410" s="203"/>
      <c r="U410" s="203"/>
      <c r="V410" s="203"/>
      <c r="W410" s="203"/>
      <c r="X410" s="203"/>
      <c r="Y410" s="203"/>
      <c r="Z410" s="203"/>
    </row>
    <row r="411" ht="12.75" customHeight="1">
      <c r="A411" s="203"/>
      <c r="B411" s="203"/>
      <c r="C411" s="203"/>
      <c r="D411" s="203"/>
      <c r="E411" s="203"/>
      <c r="F411" s="203"/>
      <c r="G411" s="203"/>
      <c r="H411" s="203"/>
      <c r="I411" s="203"/>
      <c r="J411" s="203"/>
      <c r="K411" s="203"/>
      <c r="L411" s="203"/>
      <c r="M411" s="203"/>
      <c r="N411" s="203"/>
      <c r="O411" s="203"/>
      <c r="P411" s="203"/>
      <c r="Q411" s="203"/>
      <c r="R411" s="203"/>
      <c r="S411" s="203"/>
      <c r="T411" s="203"/>
      <c r="U411" s="203"/>
      <c r="V411" s="203"/>
      <c r="W411" s="203"/>
      <c r="X411" s="203"/>
      <c r="Y411" s="203"/>
      <c r="Z411" s="203"/>
    </row>
    <row r="412" ht="12.75" customHeight="1">
      <c r="A412" s="203"/>
      <c r="B412" s="203"/>
      <c r="C412" s="203"/>
      <c r="D412" s="203"/>
      <c r="E412" s="203"/>
      <c r="F412" s="203"/>
      <c r="G412" s="203"/>
      <c r="H412" s="203"/>
      <c r="I412" s="203"/>
      <c r="J412" s="203"/>
      <c r="K412" s="203"/>
      <c r="L412" s="203"/>
      <c r="M412" s="203"/>
      <c r="N412" s="203"/>
      <c r="O412" s="203"/>
      <c r="P412" s="203"/>
      <c r="Q412" s="203"/>
      <c r="R412" s="203"/>
      <c r="S412" s="203"/>
      <c r="T412" s="203"/>
      <c r="U412" s="203"/>
      <c r="V412" s="203"/>
      <c r="W412" s="203"/>
      <c r="X412" s="203"/>
      <c r="Y412" s="203"/>
      <c r="Z412" s="203"/>
    </row>
    <row r="413" ht="12.75" customHeight="1">
      <c r="A413" s="203"/>
      <c r="B413" s="203"/>
      <c r="C413" s="203"/>
      <c r="D413" s="203"/>
      <c r="E413" s="203"/>
      <c r="F413" s="203"/>
      <c r="G413" s="203"/>
      <c r="H413" s="203"/>
      <c r="I413" s="203"/>
      <c r="J413" s="203"/>
      <c r="K413" s="203"/>
      <c r="L413" s="203"/>
      <c r="M413" s="203"/>
      <c r="N413" s="203"/>
      <c r="O413" s="203"/>
      <c r="P413" s="203"/>
      <c r="Q413" s="203"/>
      <c r="R413" s="203"/>
      <c r="S413" s="203"/>
      <c r="T413" s="203"/>
      <c r="U413" s="203"/>
      <c r="V413" s="203"/>
      <c r="W413" s="203"/>
      <c r="X413" s="203"/>
      <c r="Y413" s="203"/>
      <c r="Z413" s="203"/>
    </row>
    <row r="414" ht="12.75" customHeight="1">
      <c r="A414" s="203"/>
      <c r="B414" s="203"/>
      <c r="C414" s="203"/>
      <c r="D414" s="203"/>
      <c r="E414" s="203"/>
      <c r="F414" s="203"/>
      <c r="G414" s="203"/>
      <c r="H414" s="203"/>
      <c r="I414" s="203"/>
      <c r="J414" s="203"/>
      <c r="K414" s="203"/>
      <c r="L414" s="203"/>
      <c r="M414" s="203"/>
      <c r="N414" s="203"/>
      <c r="O414" s="203"/>
      <c r="P414" s="203"/>
      <c r="Q414" s="203"/>
      <c r="R414" s="203"/>
      <c r="S414" s="203"/>
      <c r="T414" s="203"/>
      <c r="U414" s="203"/>
      <c r="V414" s="203"/>
      <c r="W414" s="203"/>
      <c r="X414" s="203"/>
      <c r="Y414" s="203"/>
      <c r="Z414" s="203"/>
    </row>
    <row r="415" ht="12.75" customHeight="1">
      <c r="A415" s="203"/>
      <c r="B415" s="203"/>
      <c r="C415" s="203"/>
      <c r="D415" s="203"/>
      <c r="E415" s="203"/>
      <c r="F415" s="203"/>
      <c r="G415" s="203"/>
      <c r="H415" s="203"/>
      <c r="I415" s="203"/>
      <c r="J415" s="203"/>
      <c r="K415" s="203"/>
      <c r="L415" s="203"/>
      <c r="M415" s="203"/>
      <c r="N415" s="203"/>
      <c r="O415" s="203"/>
      <c r="P415" s="203"/>
      <c r="Q415" s="203"/>
      <c r="R415" s="203"/>
      <c r="S415" s="203"/>
      <c r="T415" s="203"/>
      <c r="U415" s="203"/>
      <c r="V415" s="203"/>
      <c r="W415" s="203"/>
      <c r="X415" s="203"/>
      <c r="Y415" s="203"/>
      <c r="Z415" s="203"/>
    </row>
    <row r="416" ht="12.75" customHeight="1">
      <c r="A416" s="203"/>
      <c r="B416" s="203"/>
      <c r="C416" s="203"/>
      <c r="D416" s="203"/>
      <c r="E416" s="203"/>
      <c r="F416" s="203"/>
      <c r="G416" s="203"/>
      <c r="H416" s="203"/>
      <c r="I416" s="203"/>
      <c r="J416" s="203"/>
      <c r="K416" s="203"/>
      <c r="L416" s="203"/>
      <c r="M416" s="203"/>
      <c r="N416" s="203"/>
      <c r="O416" s="203"/>
      <c r="P416" s="203"/>
      <c r="Q416" s="203"/>
      <c r="R416" s="203"/>
      <c r="S416" s="203"/>
      <c r="T416" s="203"/>
      <c r="U416" s="203"/>
      <c r="V416" s="203"/>
      <c r="W416" s="203"/>
      <c r="X416" s="203"/>
      <c r="Y416" s="203"/>
      <c r="Z416" s="203"/>
    </row>
    <row r="417" ht="12.75" customHeight="1">
      <c r="A417" s="203"/>
      <c r="B417" s="203"/>
      <c r="C417" s="203"/>
      <c r="D417" s="203"/>
      <c r="E417" s="203"/>
      <c r="F417" s="203"/>
      <c r="G417" s="203"/>
      <c r="H417" s="203"/>
      <c r="I417" s="203"/>
      <c r="J417" s="203"/>
      <c r="K417" s="203"/>
      <c r="L417" s="203"/>
      <c r="M417" s="203"/>
      <c r="N417" s="203"/>
      <c r="O417" s="203"/>
      <c r="P417" s="203"/>
      <c r="Q417" s="203"/>
      <c r="R417" s="203"/>
      <c r="S417" s="203"/>
      <c r="T417" s="203"/>
      <c r="U417" s="203"/>
      <c r="V417" s="203"/>
      <c r="W417" s="203"/>
      <c r="X417" s="203"/>
      <c r="Y417" s="203"/>
      <c r="Z417" s="203"/>
    </row>
    <row r="418" ht="12.75" customHeight="1">
      <c r="A418" s="203"/>
      <c r="B418" s="203"/>
      <c r="C418" s="203"/>
      <c r="D418" s="203"/>
      <c r="E418" s="203"/>
      <c r="F418" s="203"/>
      <c r="G418" s="203"/>
      <c r="H418" s="203"/>
      <c r="I418" s="203"/>
      <c r="J418" s="203"/>
      <c r="K418" s="203"/>
      <c r="L418" s="203"/>
      <c r="M418" s="203"/>
      <c r="N418" s="203"/>
      <c r="O418" s="203"/>
      <c r="P418" s="203"/>
      <c r="Q418" s="203"/>
      <c r="R418" s="203"/>
      <c r="S418" s="203"/>
      <c r="T418" s="203"/>
      <c r="U418" s="203"/>
      <c r="V418" s="203"/>
      <c r="W418" s="203"/>
      <c r="X418" s="203"/>
      <c r="Y418" s="203"/>
      <c r="Z418" s="203"/>
    </row>
    <row r="419" ht="12.75" customHeight="1">
      <c r="A419" s="203"/>
      <c r="B419" s="203"/>
      <c r="C419" s="203"/>
      <c r="D419" s="203"/>
      <c r="E419" s="203"/>
      <c r="F419" s="203"/>
      <c r="G419" s="203"/>
      <c r="H419" s="203"/>
      <c r="I419" s="203"/>
      <c r="J419" s="203"/>
      <c r="K419" s="203"/>
      <c r="L419" s="203"/>
      <c r="M419" s="203"/>
      <c r="N419" s="203"/>
      <c r="O419" s="203"/>
      <c r="P419" s="203"/>
      <c r="Q419" s="203"/>
      <c r="R419" s="203"/>
      <c r="S419" s="203"/>
      <c r="T419" s="203"/>
      <c r="U419" s="203"/>
      <c r="V419" s="203"/>
      <c r="W419" s="203"/>
      <c r="X419" s="203"/>
      <c r="Y419" s="203"/>
      <c r="Z419" s="203"/>
    </row>
    <row r="420" ht="12.75" customHeight="1">
      <c r="A420" s="203"/>
      <c r="B420" s="203"/>
      <c r="C420" s="203"/>
      <c r="D420" s="203"/>
      <c r="E420" s="203"/>
      <c r="F420" s="203"/>
      <c r="G420" s="203"/>
      <c r="H420" s="203"/>
      <c r="I420" s="203"/>
      <c r="J420" s="203"/>
      <c r="K420" s="203"/>
      <c r="L420" s="203"/>
      <c r="M420" s="203"/>
      <c r="N420" s="203"/>
      <c r="O420" s="203"/>
      <c r="P420" s="203"/>
      <c r="Q420" s="203"/>
      <c r="R420" s="203"/>
      <c r="S420" s="203"/>
      <c r="T420" s="203"/>
      <c r="U420" s="203"/>
      <c r="V420" s="203"/>
      <c r="W420" s="203"/>
      <c r="X420" s="203"/>
      <c r="Y420" s="203"/>
      <c r="Z420" s="203"/>
    </row>
    <row r="421" ht="12.75" customHeight="1">
      <c r="A421" s="203"/>
      <c r="B421" s="203"/>
      <c r="C421" s="203"/>
      <c r="D421" s="203"/>
      <c r="E421" s="203"/>
      <c r="F421" s="203"/>
      <c r="G421" s="203"/>
      <c r="H421" s="203"/>
      <c r="I421" s="203"/>
      <c r="J421" s="203"/>
      <c r="K421" s="203"/>
      <c r="L421" s="203"/>
      <c r="M421" s="203"/>
      <c r="N421" s="203"/>
      <c r="O421" s="203"/>
      <c r="P421" s="203"/>
      <c r="Q421" s="203"/>
      <c r="R421" s="203"/>
      <c r="S421" s="203"/>
      <c r="T421" s="203"/>
      <c r="U421" s="203"/>
      <c r="V421" s="203"/>
      <c r="W421" s="203"/>
      <c r="X421" s="203"/>
      <c r="Y421" s="203"/>
      <c r="Z421" s="203"/>
    </row>
    <row r="422" ht="12.75" customHeight="1">
      <c r="A422" s="203"/>
      <c r="B422" s="203"/>
      <c r="C422" s="203"/>
      <c r="D422" s="203"/>
      <c r="E422" s="203"/>
      <c r="F422" s="203"/>
      <c r="G422" s="203"/>
      <c r="H422" s="203"/>
      <c r="I422" s="203"/>
      <c r="J422" s="203"/>
      <c r="K422" s="203"/>
      <c r="L422" s="203"/>
      <c r="M422" s="203"/>
      <c r="N422" s="203"/>
      <c r="O422" s="203"/>
      <c r="P422" s="203"/>
      <c r="Q422" s="203"/>
      <c r="R422" s="203"/>
      <c r="S422" s="203"/>
      <c r="T422" s="203"/>
      <c r="U422" s="203"/>
      <c r="V422" s="203"/>
      <c r="W422" s="203"/>
      <c r="X422" s="203"/>
      <c r="Y422" s="203"/>
      <c r="Z422" s="203"/>
    </row>
    <row r="423" ht="12.75" customHeight="1">
      <c r="A423" s="203"/>
      <c r="B423" s="203"/>
      <c r="C423" s="203"/>
      <c r="D423" s="203"/>
      <c r="E423" s="203"/>
      <c r="F423" s="203"/>
      <c r="G423" s="203"/>
      <c r="H423" s="203"/>
      <c r="I423" s="203"/>
      <c r="J423" s="203"/>
      <c r="K423" s="203"/>
      <c r="L423" s="203"/>
      <c r="M423" s="203"/>
      <c r="N423" s="203"/>
      <c r="O423" s="203"/>
      <c r="P423" s="203"/>
      <c r="Q423" s="203"/>
      <c r="R423" s="203"/>
      <c r="S423" s="203"/>
      <c r="T423" s="203"/>
      <c r="U423" s="203"/>
      <c r="V423" s="203"/>
      <c r="W423" s="203"/>
      <c r="X423" s="203"/>
      <c r="Y423" s="203"/>
      <c r="Z423" s="203"/>
    </row>
    <row r="424" ht="12.75" customHeight="1">
      <c r="A424" s="203"/>
      <c r="B424" s="203"/>
      <c r="C424" s="203"/>
      <c r="D424" s="203"/>
      <c r="E424" s="203"/>
      <c r="F424" s="203"/>
      <c r="G424" s="203"/>
      <c r="H424" s="203"/>
      <c r="I424" s="203"/>
      <c r="J424" s="203"/>
      <c r="K424" s="203"/>
      <c r="L424" s="203"/>
      <c r="M424" s="203"/>
      <c r="N424" s="203"/>
      <c r="O424" s="203"/>
      <c r="P424" s="203"/>
      <c r="Q424" s="203"/>
      <c r="R424" s="203"/>
      <c r="S424" s="203"/>
      <c r="T424" s="203"/>
      <c r="U424" s="203"/>
      <c r="V424" s="203"/>
      <c r="W424" s="203"/>
      <c r="X424" s="203"/>
      <c r="Y424" s="203"/>
      <c r="Z424" s="203"/>
    </row>
    <row r="425" ht="12.75" customHeight="1">
      <c r="A425" s="203"/>
      <c r="B425" s="203"/>
      <c r="C425" s="203"/>
      <c r="D425" s="203"/>
      <c r="E425" s="203"/>
      <c r="F425" s="203"/>
      <c r="G425" s="203"/>
      <c r="H425" s="203"/>
      <c r="I425" s="203"/>
      <c r="J425" s="203"/>
      <c r="K425" s="203"/>
      <c r="L425" s="203"/>
      <c r="M425" s="203"/>
      <c r="N425" s="203"/>
      <c r="O425" s="203"/>
      <c r="P425" s="203"/>
      <c r="Q425" s="203"/>
      <c r="R425" s="203"/>
      <c r="S425" s="203"/>
      <c r="T425" s="203"/>
      <c r="U425" s="203"/>
      <c r="V425" s="203"/>
      <c r="W425" s="203"/>
      <c r="X425" s="203"/>
      <c r="Y425" s="203"/>
      <c r="Z425" s="203"/>
    </row>
    <row r="426" ht="12.75" customHeight="1">
      <c r="A426" s="203"/>
      <c r="B426" s="203"/>
      <c r="C426" s="203"/>
      <c r="D426" s="203"/>
      <c r="E426" s="203"/>
      <c r="F426" s="203"/>
      <c r="G426" s="203"/>
      <c r="H426" s="203"/>
      <c r="I426" s="203"/>
      <c r="J426" s="203"/>
      <c r="K426" s="203"/>
      <c r="L426" s="203"/>
      <c r="M426" s="203"/>
      <c r="N426" s="203"/>
      <c r="O426" s="203"/>
      <c r="P426" s="203"/>
      <c r="Q426" s="203"/>
      <c r="R426" s="203"/>
      <c r="S426" s="203"/>
      <c r="T426" s="203"/>
      <c r="U426" s="203"/>
      <c r="V426" s="203"/>
      <c r="W426" s="203"/>
      <c r="X426" s="203"/>
      <c r="Y426" s="203"/>
      <c r="Z426" s="203"/>
    </row>
    <row r="427" ht="12.75" customHeight="1">
      <c r="A427" s="203"/>
      <c r="B427" s="203"/>
      <c r="C427" s="203"/>
      <c r="D427" s="203"/>
      <c r="E427" s="203"/>
      <c r="F427" s="203"/>
      <c r="G427" s="203"/>
      <c r="H427" s="203"/>
      <c r="I427" s="203"/>
      <c r="J427" s="203"/>
      <c r="K427" s="203"/>
      <c r="L427" s="203"/>
      <c r="M427" s="203"/>
      <c r="N427" s="203"/>
      <c r="O427" s="203"/>
      <c r="P427" s="203"/>
      <c r="Q427" s="203"/>
      <c r="R427" s="203"/>
      <c r="S427" s="203"/>
      <c r="T427" s="203"/>
      <c r="U427" s="203"/>
      <c r="V427" s="203"/>
      <c r="W427" s="203"/>
      <c r="X427" s="203"/>
      <c r="Y427" s="203"/>
      <c r="Z427" s="203"/>
    </row>
    <row r="428" ht="12.75" customHeight="1">
      <c r="A428" s="203"/>
      <c r="B428" s="203"/>
      <c r="C428" s="203"/>
      <c r="D428" s="203"/>
      <c r="E428" s="203"/>
      <c r="F428" s="203"/>
      <c r="G428" s="203"/>
      <c r="H428" s="203"/>
      <c r="I428" s="203"/>
      <c r="J428" s="203"/>
      <c r="K428" s="203"/>
      <c r="L428" s="203"/>
      <c r="M428" s="203"/>
      <c r="N428" s="203"/>
      <c r="O428" s="203"/>
      <c r="P428" s="203"/>
      <c r="Q428" s="203"/>
      <c r="R428" s="203"/>
      <c r="S428" s="203"/>
      <c r="T428" s="203"/>
      <c r="U428" s="203"/>
      <c r="V428" s="203"/>
      <c r="W428" s="203"/>
      <c r="X428" s="203"/>
      <c r="Y428" s="203"/>
      <c r="Z428" s="203"/>
    </row>
    <row r="429" ht="12.75" customHeight="1">
      <c r="A429" s="203"/>
      <c r="B429" s="203"/>
      <c r="C429" s="203"/>
      <c r="D429" s="203"/>
      <c r="E429" s="203"/>
      <c r="F429" s="203"/>
      <c r="G429" s="203"/>
      <c r="H429" s="203"/>
      <c r="I429" s="203"/>
      <c r="J429" s="203"/>
      <c r="K429" s="203"/>
      <c r="L429" s="203"/>
      <c r="M429" s="203"/>
      <c r="N429" s="203"/>
      <c r="O429" s="203"/>
      <c r="P429" s="203"/>
      <c r="Q429" s="203"/>
      <c r="R429" s="203"/>
      <c r="S429" s="203"/>
      <c r="T429" s="203"/>
      <c r="U429" s="203"/>
      <c r="V429" s="203"/>
      <c r="W429" s="203"/>
      <c r="X429" s="203"/>
      <c r="Y429" s="203"/>
      <c r="Z429" s="203"/>
    </row>
    <row r="430" ht="12.75" customHeight="1">
      <c r="A430" s="203"/>
      <c r="B430" s="203"/>
      <c r="C430" s="203"/>
      <c r="D430" s="203"/>
      <c r="E430" s="203"/>
      <c r="F430" s="203"/>
      <c r="G430" s="203"/>
      <c r="H430" s="203"/>
      <c r="I430" s="203"/>
      <c r="J430" s="203"/>
      <c r="K430" s="203"/>
      <c r="L430" s="203"/>
      <c r="M430" s="203"/>
      <c r="N430" s="203"/>
      <c r="O430" s="203"/>
      <c r="P430" s="203"/>
      <c r="Q430" s="203"/>
      <c r="R430" s="203"/>
      <c r="S430" s="203"/>
      <c r="T430" s="203"/>
      <c r="U430" s="203"/>
      <c r="V430" s="203"/>
      <c r="W430" s="203"/>
      <c r="X430" s="203"/>
      <c r="Y430" s="203"/>
      <c r="Z430" s="203"/>
    </row>
    <row r="431" ht="12.75" customHeight="1">
      <c r="A431" s="203"/>
      <c r="B431" s="203"/>
      <c r="C431" s="203"/>
      <c r="D431" s="203"/>
      <c r="E431" s="203"/>
      <c r="F431" s="203"/>
      <c r="G431" s="203"/>
      <c r="H431" s="203"/>
      <c r="I431" s="203"/>
      <c r="J431" s="203"/>
      <c r="K431" s="203"/>
      <c r="L431" s="203"/>
      <c r="M431" s="203"/>
      <c r="N431" s="203"/>
      <c r="O431" s="203"/>
      <c r="P431" s="203"/>
      <c r="Q431" s="203"/>
      <c r="R431" s="203"/>
      <c r="S431" s="203"/>
      <c r="T431" s="203"/>
      <c r="U431" s="203"/>
      <c r="V431" s="203"/>
      <c r="W431" s="203"/>
      <c r="X431" s="203"/>
      <c r="Y431" s="203"/>
      <c r="Z431" s="203"/>
    </row>
    <row r="432" ht="12.75" customHeight="1">
      <c r="A432" s="203"/>
      <c r="B432" s="203"/>
      <c r="C432" s="203"/>
      <c r="D432" s="203"/>
      <c r="E432" s="203"/>
      <c r="F432" s="203"/>
      <c r="G432" s="203"/>
      <c r="H432" s="203"/>
      <c r="I432" s="203"/>
      <c r="J432" s="203"/>
      <c r="K432" s="203"/>
      <c r="L432" s="203"/>
      <c r="M432" s="203"/>
      <c r="N432" s="203"/>
      <c r="O432" s="203"/>
      <c r="P432" s="203"/>
      <c r="Q432" s="203"/>
      <c r="R432" s="203"/>
      <c r="S432" s="203"/>
      <c r="T432" s="203"/>
      <c r="U432" s="203"/>
      <c r="V432" s="203"/>
      <c r="W432" s="203"/>
      <c r="X432" s="203"/>
      <c r="Y432" s="203"/>
      <c r="Z432" s="203"/>
    </row>
    <row r="433" ht="12.75" customHeight="1">
      <c r="A433" s="203"/>
      <c r="B433" s="203"/>
      <c r="C433" s="203"/>
      <c r="D433" s="203"/>
      <c r="E433" s="203"/>
      <c r="F433" s="203"/>
      <c r="G433" s="203"/>
      <c r="H433" s="203"/>
      <c r="I433" s="203"/>
      <c r="J433" s="203"/>
      <c r="K433" s="203"/>
      <c r="L433" s="203"/>
      <c r="M433" s="203"/>
      <c r="N433" s="203"/>
      <c r="O433" s="203"/>
      <c r="P433" s="203"/>
      <c r="Q433" s="203"/>
      <c r="R433" s="203"/>
      <c r="S433" s="203"/>
      <c r="T433" s="203"/>
      <c r="U433" s="203"/>
      <c r="V433" s="203"/>
      <c r="W433" s="203"/>
      <c r="X433" s="203"/>
      <c r="Y433" s="203"/>
      <c r="Z433" s="203"/>
    </row>
    <row r="434" ht="12.75" customHeight="1">
      <c r="A434" s="203"/>
      <c r="B434" s="203"/>
      <c r="C434" s="203"/>
      <c r="D434" s="203"/>
      <c r="E434" s="203"/>
      <c r="F434" s="203"/>
      <c r="G434" s="203"/>
      <c r="H434" s="203"/>
      <c r="I434" s="203"/>
      <c r="J434" s="203"/>
      <c r="K434" s="203"/>
      <c r="L434" s="203"/>
      <c r="M434" s="203"/>
      <c r="N434" s="203"/>
      <c r="O434" s="203"/>
      <c r="P434" s="203"/>
      <c r="Q434" s="203"/>
      <c r="R434" s="203"/>
      <c r="S434" s="203"/>
      <c r="T434" s="203"/>
      <c r="U434" s="203"/>
      <c r="V434" s="203"/>
      <c r="W434" s="203"/>
      <c r="X434" s="203"/>
      <c r="Y434" s="203"/>
      <c r="Z434" s="203"/>
    </row>
    <row r="435" ht="12.75" customHeight="1">
      <c r="A435" s="203"/>
      <c r="B435" s="203"/>
      <c r="C435" s="203"/>
      <c r="D435" s="203"/>
      <c r="E435" s="203"/>
      <c r="F435" s="203"/>
      <c r="G435" s="203"/>
      <c r="H435" s="203"/>
      <c r="I435" s="203"/>
      <c r="J435" s="203"/>
      <c r="K435" s="203"/>
      <c r="L435" s="203"/>
      <c r="M435" s="203"/>
      <c r="N435" s="203"/>
      <c r="O435" s="203"/>
      <c r="P435" s="203"/>
      <c r="Q435" s="203"/>
      <c r="R435" s="203"/>
      <c r="S435" s="203"/>
      <c r="T435" s="203"/>
      <c r="U435" s="203"/>
      <c r="V435" s="203"/>
      <c r="W435" s="203"/>
      <c r="X435" s="203"/>
      <c r="Y435" s="203"/>
      <c r="Z435" s="203"/>
    </row>
    <row r="436" ht="12.75" customHeight="1">
      <c r="A436" s="203"/>
      <c r="B436" s="203"/>
      <c r="C436" s="203"/>
      <c r="D436" s="203"/>
      <c r="E436" s="203"/>
      <c r="F436" s="203"/>
      <c r="G436" s="203"/>
      <c r="H436" s="203"/>
      <c r="I436" s="203"/>
      <c r="J436" s="203"/>
      <c r="K436" s="203"/>
      <c r="L436" s="203"/>
      <c r="M436" s="203"/>
      <c r="N436" s="203"/>
      <c r="O436" s="203"/>
      <c r="P436" s="203"/>
      <c r="Q436" s="203"/>
      <c r="R436" s="203"/>
      <c r="S436" s="203"/>
      <c r="T436" s="203"/>
      <c r="U436" s="203"/>
      <c r="V436" s="203"/>
      <c r="W436" s="203"/>
      <c r="X436" s="203"/>
      <c r="Y436" s="203"/>
      <c r="Z436" s="203"/>
    </row>
    <row r="437" ht="12.75" customHeight="1">
      <c r="A437" s="203"/>
      <c r="B437" s="203"/>
      <c r="C437" s="203"/>
      <c r="D437" s="203"/>
      <c r="E437" s="203"/>
      <c r="F437" s="203"/>
      <c r="G437" s="203"/>
      <c r="H437" s="203"/>
      <c r="I437" s="203"/>
      <c r="J437" s="203"/>
      <c r="K437" s="203"/>
      <c r="L437" s="203"/>
      <c r="M437" s="203"/>
      <c r="N437" s="203"/>
      <c r="O437" s="203"/>
      <c r="P437" s="203"/>
      <c r="Q437" s="203"/>
      <c r="R437" s="203"/>
      <c r="S437" s="203"/>
      <c r="T437" s="203"/>
      <c r="U437" s="203"/>
      <c r="V437" s="203"/>
      <c r="W437" s="203"/>
      <c r="X437" s="203"/>
      <c r="Y437" s="203"/>
      <c r="Z437" s="203"/>
    </row>
    <row r="438" ht="12.75" customHeight="1">
      <c r="A438" s="203"/>
      <c r="B438" s="203"/>
      <c r="C438" s="203"/>
      <c r="D438" s="203"/>
      <c r="E438" s="203"/>
      <c r="F438" s="203"/>
      <c r="G438" s="203"/>
      <c r="H438" s="203"/>
      <c r="I438" s="203"/>
      <c r="J438" s="203"/>
      <c r="K438" s="203"/>
      <c r="L438" s="203"/>
      <c r="M438" s="203"/>
      <c r="N438" s="203"/>
      <c r="O438" s="203"/>
      <c r="P438" s="203"/>
      <c r="Q438" s="203"/>
      <c r="R438" s="203"/>
      <c r="S438" s="203"/>
      <c r="T438" s="203"/>
      <c r="U438" s="203"/>
      <c r="V438" s="203"/>
      <c r="W438" s="203"/>
      <c r="X438" s="203"/>
      <c r="Y438" s="203"/>
      <c r="Z438" s="203"/>
    </row>
    <row r="439" ht="12.75" customHeight="1">
      <c r="A439" s="203"/>
      <c r="B439" s="203"/>
      <c r="C439" s="203"/>
      <c r="D439" s="203"/>
      <c r="E439" s="203"/>
      <c r="F439" s="203"/>
      <c r="G439" s="203"/>
      <c r="H439" s="203"/>
      <c r="I439" s="203"/>
      <c r="J439" s="203"/>
      <c r="K439" s="203"/>
      <c r="L439" s="203"/>
      <c r="M439" s="203"/>
      <c r="N439" s="203"/>
      <c r="O439" s="203"/>
      <c r="P439" s="203"/>
      <c r="Q439" s="203"/>
      <c r="R439" s="203"/>
      <c r="S439" s="203"/>
      <c r="T439" s="203"/>
      <c r="U439" s="203"/>
      <c r="V439" s="203"/>
      <c r="W439" s="203"/>
      <c r="X439" s="203"/>
      <c r="Y439" s="203"/>
      <c r="Z439" s="203"/>
    </row>
    <row r="440" ht="12.75" customHeight="1">
      <c r="A440" s="203"/>
      <c r="B440" s="203"/>
      <c r="C440" s="203"/>
      <c r="D440" s="203"/>
      <c r="E440" s="203"/>
      <c r="F440" s="203"/>
      <c r="G440" s="203"/>
      <c r="H440" s="203"/>
      <c r="I440" s="203"/>
      <c r="J440" s="203"/>
      <c r="K440" s="203"/>
      <c r="L440" s="203"/>
      <c r="M440" s="203"/>
      <c r="N440" s="203"/>
      <c r="O440" s="203"/>
      <c r="P440" s="203"/>
      <c r="Q440" s="203"/>
      <c r="R440" s="203"/>
      <c r="S440" s="203"/>
      <c r="T440" s="203"/>
      <c r="U440" s="203"/>
      <c r="V440" s="203"/>
      <c r="W440" s="203"/>
      <c r="X440" s="203"/>
      <c r="Y440" s="203"/>
      <c r="Z440" s="203"/>
    </row>
    <row r="441" ht="12.75" customHeight="1">
      <c r="A441" s="203"/>
      <c r="B441" s="203"/>
      <c r="C441" s="203"/>
      <c r="D441" s="203"/>
      <c r="E441" s="203"/>
      <c r="F441" s="203"/>
      <c r="G441" s="203"/>
      <c r="H441" s="203"/>
      <c r="I441" s="203"/>
      <c r="J441" s="203"/>
      <c r="K441" s="203"/>
      <c r="L441" s="203"/>
      <c r="M441" s="203"/>
      <c r="N441" s="203"/>
      <c r="O441" s="203"/>
      <c r="P441" s="203"/>
      <c r="Q441" s="203"/>
      <c r="R441" s="203"/>
      <c r="S441" s="203"/>
      <c r="T441" s="203"/>
      <c r="U441" s="203"/>
      <c r="V441" s="203"/>
      <c r="W441" s="203"/>
      <c r="X441" s="203"/>
      <c r="Y441" s="203"/>
      <c r="Z441" s="203"/>
    </row>
    <row r="442" ht="12.75" customHeight="1">
      <c r="A442" s="203"/>
      <c r="B442" s="203"/>
      <c r="C442" s="203"/>
      <c r="D442" s="203"/>
      <c r="E442" s="203"/>
      <c r="F442" s="203"/>
      <c r="G442" s="203"/>
      <c r="H442" s="203"/>
      <c r="I442" s="203"/>
      <c r="J442" s="203"/>
      <c r="K442" s="203"/>
      <c r="L442" s="203"/>
      <c r="M442" s="203"/>
      <c r="N442" s="203"/>
      <c r="O442" s="203"/>
      <c r="P442" s="203"/>
      <c r="Q442" s="203"/>
      <c r="R442" s="203"/>
      <c r="S442" s="203"/>
      <c r="T442" s="203"/>
      <c r="U442" s="203"/>
      <c r="V442" s="203"/>
      <c r="W442" s="203"/>
      <c r="X442" s="203"/>
      <c r="Y442" s="203"/>
      <c r="Z442" s="203"/>
    </row>
    <row r="443" ht="12.75" customHeight="1">
      <c r="A443" s="203"/>
      <c r="B443" s="203"/>
      <c r="C443" s="203"/>
      <c r="D443" s="203"/>
      <c r="E443" s="203"/>
      <c r="F443" s="203"/>
      <c r="G443" s="203"/>
      <c r="H443" s="203"/>
      <c r="I443" s="203"/>
      <c r="J443" s="203"/>
      <c r="K443" s="203"/>
      <c r="L443" s="203"/>
      <c r="M443" s="203"/>
      <c r="N443" s="203"/>
      <c r="O443" s="203"/>
      <c r="P443" s="203"/>
      <c r="Q443" s="203"/>
      <c r="R443" s="203"/>
      <c r="S443" s="203"/>
      <c r="T443" s="203"/>
      <c r="U443" s="203"/>
      <c r="V443" s="203"/>
      <c r="W443" s="203"/>
      <c r="X443" s="203"/>
      <c r="Y443" s="203"/>
      <c r="Z443" s="203"/>
    </row>
    <row r="444" ht="12.75" customHeight="1">
      <c r="A444" s="203"/>
      <c r="B444" s="203"/>
      <c r="C444" s="203"/>
      <c r="D444" s="203"/>
      <c r="E444" s="203"/>
      <c r="F444" s="203"/>
      <c r="G444" s="203"/>
      <c r="H444" s="203"/>
      <c r="I444" s="203"/>
      <c r="J444" s="203"/>
      <c r="K444" s="203"/>
      <c r="L444" s="203"/>
      <c r="M444" s="203"/>
      <c r="N444" s="203"/>
      <c r="O444" s="203"/>
      <c r="P444" s="203"/>
      <c r="Q444" s="203"/>
      <c r="R444" s="203"/>
      <c r="S444" s="203"/>
      <c r="T444" s="203"/>
      <c r="U444" s="203"/>
      <c r="V444" s="203"/>
      <c r="W444" s="203"/>
      <c r="X444" s="203"/>
      <c r="Y444" s="203"/>
      <c r="Z444" s="203"/>
    </row>
    <row r="445" ht="12.75" customHeight="1">
      <c r="A445" s="203"/>
      <c r="B445" s="203"/>
      <c r="C445" s="203"/>
      <c r="D445" s="203"/>
      <c r="E445" s="203"/>
      <c r="F445" s="203"/>
      <c r="G445" s="203"/>
      <c r="H445" s="203"/>
      <c r="I445" s="203"/>
      <c r="J445" s="203"/>
      <c r="K445" s="203"/>
      <c r="L445" s="203"/>
      <c r="M445" s="203"/>
      <c r="N445" s="203"/>
      <c r="O445" s="203"/>
      <c r="P445" s="203"/>
      <c r="Q445" s="203"/>
      <c r="R445" s="203"/>
      <c r="S445" s="203"/>
      <c r="T445" s="203"/>
      <c r="U445" s="203"/>
      <c r="V445" s="203"/>
      <c r="W445" s="203"/>
      <c r="X445" s="203"/>
      <c r="Y445" s="203"/>
      <c r="Z445" s="203"/>
    </row>
    <row r="446" ht="12.75" customHeight="1">
      <c r="A446" s="203"/>
      <c r="B446" s="203"/>
      <c r="C446" s="203"/>
      <c r="D446" s="203"/>
      <c r="E446" s="203"/>
      <c r="F446" s="203"/>
      <c r="G446" s="203"/>
      <c r="H446" s="203"/>
      <c r="I446" s="203"/>
      <c r="J446" s="203"/>
      <c r="K446" s="203"/>
      <c r="L446" s="203"/>
      <c r="M446" s="203"/>
      <c r="N446" s="203"/>
      <c r="O446" s="203"/>
      <c r="P446" s="203"/>
      <c r="Q446" s="203"/>
      <c r="R446" s="203"/>
      <c r="S446" s="203"/>
      <c r="T446" s="203"/>
      <c r="U446" s="203"/>
      <c r="V446" s="203"/>
      <c r="W446" s="203"/>
      <c r="X446" s="203"/>
      <c r="Y446" s="203"/>
      <c r="Z446" s="203"/>
    </row>
    <row r="447" ht="12.75" customHeight="1">
      <c r="A447" s="203"/>
      <c r="B447" s="203"/>
      <c r="C447" s="203"/>
      <c r="D447" s="203"/>
      <c r="E447" s="203"/>
      <c r="F447" s="203"/>
      <c r="G447" s="203"/>
      <c r="H447" s="203"/>
      <c r="I447" s="203"/>
      <c r="J447" s="203"/>
      <c r="K447" s="203"/>
      <c r="L447" s="203"/>
      <c r="M447" s="203"/>
      <c r="N447" s="203"/>
      <c r="O447" s="203"/>
      <c r="P447" s="203"/>
      <c r="Q447" s="203"/>
      <c r="R447" s="203"/>
      <c r="S447" s="203"/>
      <c r="T447" s="203"/>
      <c r="U447" s="203"/>
      <c r="V447" s="203"/>
      <c r="W447" s="203"/>
      <c r="X447" s="203"/>
      <c r="Y447" s="203"/>
      <c r="Z447" s="203"/>
    </row>
    <row r="448" ht="12.75" customHeight="1">
      <c r="A448" s="203"/>
      <c r="B448" s="203"/>
      <c r="C448" s="203"/>
      <c r="D448" s="203"/>
      <c r="E448" s="203"/>
      <c r="F448" s="203"/>
      <c r="G448" s="203"/>
      <c r="H448" s="203"/>
      <c r="I448" s="203"/>
      <c r="J448" s="203"/>
      <c r="K448" s="203"/>
      <c r="L448" s="203"/>
      <c r="M448" s="203"/>
      <c r="N448" s="203"/>
      <c r="O448" s="203"/>
      <c r="P448" s="203"/>
      <c r="Q448" s="203"/>
      <c r="R448" s="203"/>
      <c r="S448" s="203"/>
      <c r="T448" s="203"/>
      <c r="U448" s="203"/>
      <c r="V448" s="203"/>
      <c r="W448" s="203"/>
      <c r="X448" s="203"/>
      <c r="Y448" s="203"/>
      <c r="Z448" s="203"/>
    </row>
    <row r="449" ht="12.75" customHeight="1">
      <c r="A449" s="203"/>
      <c r="B449" s="203"/>
      <c r="C449" s="203"/>
      <c r="D449" s="203"/>
      <c r="E449" s="203"/>
      <c r="F449" s="203"/>
      <c r="G449" s="203"/>
      <c r="H449" s="203"/>
      <c r="I449" s="203"/>
      <c r="J449" s="203"/>
      <c r="K449" s="203"/>
      <c r="L449" s="203"/>
      <c r="M449" s="203"/>
      <c r="N449" s="203"/>
      <c r="O449" s="203"/>
      <c r="P449" s="203"/>
      <c r="Q449" s="203"/>
      <c r="R449" s="203"/>
      <c r="S449" s="203"/>
      <c r="T449" s="203"/>
      <c r="U449" s="203"/>
      <c r="V449" s="203"/>
      <c r="W449" s="203"/>
      <c r="X449" s="203"/>
      <c r="Y449" s="203"/>
      <c r="Z449" s="203"/>
    </row>
    <row r="450" ht="12.75" customHeight="1">
      <c r="A450" s="203"/>
      <c r="B450" s="203"/>
      <c r="C450" s="203"/>
      <c r="D450" s="203"/>
      <c r="E450" s="203"/>
      <c r="F450" s="203"/>
      <c r="G450" s="203"/>
      <c r="H450" s="203"/>
      <c r="I450" s="203"/>
      <c r="J450" s="203"/>
      <c r="K450" s="203"/>
      <c r="L450" s="203"/>
      <c r="M450" s="203"/>
      <c r="N450" s="203"/>
      <c r="O450" s="203"/>
      <c r="P450" s="203"/>
      <c r="Q450" s="203"/>
      <c r="R450" s="203"/>
      <c r="S450" s="203"/>
      <c r="T450" s="203"/>
      <c r="U450" s="203"/>
      <c r="V450" s="203"/>
      <c r="W450" s="203"/>
      <c r="X450" s="203"/>
      <c r="Y450" s="203"/>
      <c r="Z450" s="203"/>
    </row>
    <row r="451" ht="12.75" customHeight="1">
      <c r="A451" s="203"/>
      <c r="B451" s="203"/>
      <c r="C451" s="203"/>
      <c r="D451" s="203"/>
      <c r="E451" s="203"/>
      <c r="F451" s="203"/>
      <c r="G451" s="203"/>
      <c r="H451" s="203"/>
      <c r="I451" s="203"/>
      <c r="J451" s="203"/>
      <c r="K451" s="203"/>
      <c r="L451" s="203"/>
      <c r="M451" s="203"/>
      <c r="N451" s="203"/>
      <c r="O451" s="203"/>
      <c r="P451" s="203"/>
      <c r="Q451" s="203"/>
      <c r="R451" s="203"/>
      <c r="S451" s="203"/>
      <c r="T451" s="203"/>
      <c r="U451" s="203"/>
      <c r="V451" s="203"/>
      <c r="W451" s="203"/>
      <c r="X451" s="203"/>
      <c r="Y451" s="203"/>
      <c r="Z451" s="203"/>
    </row>
    <row r="452" ht="12.75" customHeight="1">
      <c r="A452" s="203"/>
      <c r="B452" s="203"/>
      <c r="C452" s="203"/>
      <c r="D452" s="203"/>
      <c r="E452" s="203"/>
      <c r="F452" s="203"/>
      <c r="G452" s="203"/>
      <c r="H452" s="203"/>
      <c r="I452" s="203"/>
      <c r="J452" s="203"/>
      <c r="K452" s="203"/>
      <c r="L452" s="203"/>
      <c r="M452" s="203"/>
      <c r="N452" s="203"/>
      <c r="O452" s="203"/>
      <c r="P452" s="203"/>
      <c r="Q452" s="203"/>
      <c r="R452" s="203"/>
      <c r="S452" s="203"/>
      <c r="T452" s="203"/>
      <c r="U452" s="203"/>
      <c r="V452" s="203"/>
      <c r="W452" s="203"/>
      <c r="X452" s="203"/>
      <c r="Y452" s="203"/>
      <c r="Z452" s="203"/>
    </row>
    <row r="453" ht="12.75" customHeight="1">
      <c r="A453" s="203"/>
      <c r="B453" s="203"/>
      <c r="C453" s="203"/>
      <c r="D453" s="203"/>
      <c r="E453" s="203"/>
      <c r="F453" s="203"/>
      <c r="G453" s="203"/>
      <c r="H453" s="203"/>
      <c r="I453" s="203"/>
      <c r="J453" s="203"/>
      <c r="K453" s="203"/>
      <c r="L453" s="203"/>
      <c r="M453" s="203"/>
      <c r="N453" s="203"/>
      <c r="O453" s="203"/>
      <c r="P453" s="203"/>
      <c r="Q453" s="203"/>
      <c r="R453" s="203"/>
      <c r="S453" s="203"/>
      <c r="T453" s="203"/>
      <c r="U453" s="203"/>
      <c r="V453" s="203"/>
      <c r="W453" s="203"/>
      <c r="X453" s="203"/>
      <c r="Y453" s="203"/>
      <c r="Z453" s="203"/>
    </row>
    <row r="454" ht="12.75" customHeight="1">
      <c r="A454" s="203"/>
      <c r="B454" s="203"/>
      <c r="C454" s="203"/>
      <c r="D454" s="203"/>
      <c r="E454" s="203"/>
      <c r="F454" s="203"/>
      <c r="G454" s="203"/>
      <c r="H454" s="203"/>
      <c r="I454" s="203"/>
      <c r="J454" s="203"/>
      <c r="K454" s="203"/>
      <c r="L454" s="203"/>
      <c r="M454" s="203"/>
      <c r="N454" s="203"/>
      <c r="O454" s="203"/>
      <c r="P454" s="203"/>
      <c r="Q454" s="203"/>
      <c r="R454" s="203"/>
      <c r="S454" s="203"/>
      <c r="T454" s="203"/>
      <c r="U454" s="203"/>
      <c r="V454" s="203"/>
      <c r="W454" s="203"/>
      <c r="X454" s="203"/>
      <c r="Y454" s="203"/>
      <c r="Z454" s="203"/>
    </row>
    <row r="455" ht="12.75" customHeight="1">
      <c r="A455" s="203"/>
      <c r="B455" s="203"/>
      <c r="C455" s="203"/>
      <c r="D455" s="203"/>
      <c r="E455" s="203"/>
      <c r="F455" s="203"/>
      <c r="G455" s="203"/>
      <c r="H455" s="203"/>
      <c r="I455" s="203"/>
      <c r="J455" s="203"/>
      <c r="K455" s="203"/>
      <c r="L455" s="203"/>
      <c r="M455" s="203"/>
      <c r="N455" s="203"/>
      <c r="O455" s="203"/>
      <c r="P455" s="203"/>
      <c r="Q455" s="203"/>
      <c r="R455" s="203"/>
      <c r="S455" s="203"/>
      <c r="T455" s="203"/>
      <c r="U455" s="203"/>
      <c r="V455" s="203"/>
      <c r="W455" s="203"/>
      <c r="X455" s="203"/>
      <c r="Y455" s="203"/>
      <c r="Z455" s="203"/>
    </row>
    <row r="456" ht="12.75" customHeight="1">
      <c r="A456" s="203"/>
      <c r="B456" s="203"/>
      <c r="C456" s="203"/>
      <c r="D456" s="203"/>
      <c r="E456" s="203"/>
      <c r="F456" s="203"/>
      <c r="G456" s="203"/>
      <c r="H456" s="203"/>
      <c r="I456" s="203"/>
      <c r="J456" s="203"/>
      <c r="K456" s="203"/>
      <c r="L456" s="203"/>
      <c r="M456" s="203"/>
      <c r="N456" s="203"/>
      <c r="O456" s="203"/>
      <c r="P456" s="203"/>
      <c r="Q456" s="203"/>
      <c r="R456" s="203"/>
      <c r="S456" s="203"/>
      <c r="T456" s="203"/>
      <c r="U456" s="203"/>
      <c r="V456" s="203"/>
      <c r="W456" s="203"/>
      <c r="X456" s="203"/>
      <c r="Y456" s="203"/>
      <c r="Z456" s="203"/>
    </row>
    <row r="457" ht="12.75" customHeight="1">
      <c r="A457" s="203"/>
      <c r="B457" s="203"/>
      <c r="C457" s="203"/>
      <c r="D457" s="203"/>
      <c r="E457" s="203"/>
      <c r="F457" s="203"/>
      <c r="G457" s="203"/>
      <c r="H457" s="203"/>
      <c r="I457" s="203"/>
      <c r="J457" s="203"/>
      <c r="K457" s="203"/>
      <c r="L457" s="203"/>
      <c r="M457" s="203"/>
      <c r="N457" s="203"/>
      <c r="O457" s="203"/>
      <c r="P457" s="203"/>
      <c r="Q457" s="203"/>
      <c r="R457" s="203"/>
      <c r="S457" s="203"/>
      <c r="T457" s="203"/>
      <c r="U457" s="203"/>
      <c r="V457" s="203"/>
      <c r="W457" s="203"/>
      <c r="X457" s="203"/>
      <c r="Y457" s="203"/>
      <c r="Z457" s="203"/>
    </row>
    <row r="458" ht="12.75" customHeight="1">
      <c r="A458" s="203"/>
      <c r="B458" s="203"/>
      <c r="C458" s="203"/>
      <c r="D458" s="203"/>
      <c r="E458" s="203"/>
      <c r="F458" s="203"/>
      <c r="G458" s="203"/>
      <c r="H458" s="203"/>
      <c r="I458" s="203"/>
      <c r="J458" s="203"/>
      <c r="K458" s="203"/>
      <c r="L458" s="203"/>
      <c r="M458" s="203"/>
      <c r="N458" s="203"/>
      <c r="O458" s="203"/>
      <c r="P458" s="203"/>
      <c r="Q458" s="203"/>
      <c r="R458" s="203"/>
      <c r="S458" s="203"/>
      <c r="T458" s="203"/>
      <c r="U458" s="203"/>
      <c r="V458" s="203"/>
      <c r="W458" s="203"/>
      <c r="X458" s="203"/>
      <c r="Y458" s="203"/>
      <c r="Z458" s="203"/>
    </row>
    <row r="459" ht="12.75" customHeight="1">
      <c r="A459" s="203"/>
      <c r="B459" s="203"/>
      <c r="C459" s="203"/>
      <c r="D459" s="203"/>
      <c r="E459" s="203"/>
      <c r="F459" s="203"/>
      <c r="G459" s="203"/>
      <c r="H459" s="203"/>
      <c r="I459" s="203"/>
      <c r="J459" s="203"/>
      <c r="K459" s="203"/>
      <c r="L459" s="203"/>
      <c r="M459" s="203"/>
      <c r="N459" s="203"/>
      <c r="O459" s="203"/>
      <c r="P459" s="203"/>
      <c r="Q459" s="203"/>
      <c r="R459" s="203"/>
      <c r="S459" s="203"/>
      <c r="T459" s="203"/>
      <c r="U459" s="203"/>
      <c r="V459" s="203"/>
      <c r="W459" s="203"/>
      <c r="X459" s="203"/>
      <c r="Y459" s="203"/>
      <c r="Z459" s="203"/>
    </row>
    <row r="460" ht="12.75" customHeight="1">
      <c r="A460" s="203"/>
      <c r="B460" s="203"/>
      <c r="C460" s="203"/>
      <c r="D460" s="203"/>
      <c r="E460" s="203"/>
      <c r="F460" s="203"/>
      <c r="G460" s="203"/>
      <c r="H460" s="203"/>
      <c r="I460" s="203"/>
      <c r="J460" s="203"/>
      <c r="K460" s="203"/>
      <c r="L460" s="203"/>
      <c r="M460" s="203"/>
      <c r="N460" s="203"/>
      <c r="O460" s="203"/>
      <c r="P460" s="203"/>
      <c r="Q460" s="203"/>
      <c r="R460" s="203"/>
      <c r="S460" s="203"/>
      <c r="T460" s="203"/>
      <c r="U460" s="203"/>
      <c r="V460" s="203"/>
      <c r="W460" s="203"/>
      <c r="X460" s="203"/>
      <c r="Y460" s="203"/>
      <c r="Z460" s="203"/>
    </row>
    <row r="461" ht="12.75" customHeight="1">
      <c r="A461" s="203"/>
      <c r="B461" s="203"/>
      <c r="C461" s="203"/>
      <c r="D461" s="203"/>
      <c r="E461" s="203"/>
      <c r="F461" s="203"/>
      <c r="G461" s="203"/>
      <c r="H461" s="203"/>
      <c r="I461" s="203"/>
      <c r="J461" s="203"/>
      <c r="K461" s="203"/>
      <c r="L461" s="203"/>
      <c r="M461" s="203"/>
      <c r="N461" s="203"/>
      <c r="O461" s="203"/>
      <c r="P461" s="203"/>
      <c r="Q461" s="203"/>
      <c r="R461" s="203"/>
      <c r="S461" s="203"/>
      <c r="T461" s="203"/>
      <c r="U461" s="203"/>
      <c r="V461" s="203"/>
      <c r="W461" s="203"/>
      <c r="X461" s="203"/>
      <c r="Y461" s="203"/>
      <c r="Z461" s="203"/>
    </row>
    <row r="462" ht="12.75" customHeight="1">
      <c r="A462" s="203"/>
      <c r="B462" s="203"/>
      <c r="C462" s="203"/>
      <c r="D462" s="203"/>
      <c r="E462" s="203"/>
      <c r="F462" s="203"/>
      <c r="G462" s="203"/>
      <c r="H462" s="203"/>
      <c r="I462" s="203"/>
      <c r="J462" s="203"/>
      <c r="K462" s="203"/>
      <c r="L462" s="203"/>
      <c r="M462" s="203"/>
      <c r="N462" s="203"/>
      <c r="O462" s="203"/>
      <c r="P462" s="203"/>
      <c r="Q462" s="203"/>
      <c r="R462" s="203"/>
      <c r="S462" s="203"/>
      <c r="T462" s="203"/>
      <c r="U462" s="203"/>
      <c r="V462" s="203"/>
      <c r="W462" s="203"/>
      <c r="X462" s="203"/>
      <c r="Y462" s="203"/>
      <c r="Z462" s="203"/>
    </row>
    <row r="463" ht="12.75" customHeight="1">
      <c r="A463" s="203"/>
      <c r="B463" s="203"/>
      <c r="C463" s="203"/>
      <c r="D463" s="203"/>
      <c r="E463" s="203"/>
      <c r="F463" s="203"/>
      <c r="G463" s="203"/>
      <c r="H463" s="203"/>
      <c r="I463" s="203"/>
      <c r="J463" s="203"/>
      <c r="K463" s="203"/>
      <c r="L463" s="203"/>
      <c r="M463" s="203"/>
      <c r="N463" s="203"/>
      <c r="O463" s="203"/>
      <c r="P463" s="203"/>
      <c r="Q463" s="203"/>
      <c r="R463" s="203"/>
      <c r="S463" s="203"/>
      <c r="T463" s="203"/>
      <c r="U463" s="203"/>
      <c r="V463" s="203"/>
      <c r="W463" s="203"/>
      <c r="X463" s="203"/>
      <c r="Y463" s="203"/>
      <c r="Z463" s="203"/>
    </row>
    <row r="464" ht="12.75" customHeight="1">
      <c r="A464" s="203"/>
      <c r="B464" s="203"/>
      <c r="C464" s="203"/>
      <c r="D464" s="203"/>
      <c r="E464" s="203"/>
      <c r="F464" s="203"/>
      <c r="G464" s="203"/>
      <c r="H464" s="203"/>
      <c r="I464" s="203"/>
      <c r="J464" s="203"/>
      <c r="K464" s="203"/>
      <c r="L464" s="203"/>
      <c r="M464" s="203"/>
      <c r="N464" s="203"/>
      <c r="O464" s="203"/>
      <c r="P464" s="203"/>
      <c r="Q464" s="203"/>
      <c r="R464" s="203"/>
      <c r="S464" s="203"/>
      <c r="T464" s="203"/>
      <c r="U464" s="203"/>
      <c r="V464" s="203"/>
      <c r="W464" s="203"/>
      <c r="X464" s="203"/>
      <c r="Y464" s="203"/>
      <c r="Z464" s="203"/>
    </row>
    <row r="465" ht="12.75" customHeight="1">
      <c r="A465" s="203"/>
      <c r="B465" s="203"/>
      <c r="C465" s="203"/>
      <c r="D465" s="203"/>
      <c r="E465" s="203"/>
      <c r="F465" s="203"/>
      <c r="G465" s="203"/>
      <c r="H465" s="203"/>
      <c r="I465" s="203"/>
      <c r="J465" s="203"/>
      <c r="K465" s="203"/>
      <c r="L465" s="203"/>
      <c r="M465" s="203"/>
      <c r="N465" s="203"/>
      <c r="O465" s="203"/>
      <c r="P465" s="203"/>
      <c r="Q465" s="203"/>
      <c r="R465" s="203"/>
      <c r="S465" s="203"/>
      <c r="T465" s="203"/>
      <c r="U465" s="203"/>
      <c r="V465" s="203"/>
      <c r="W465" s="203"/>
      <c r="X465" s="203"/>
      <c r="Y465" s="203"/>
      <c r="Z465" s="203"/>
    </row>
    <row r="466" ht="12.75" customHeight="1">
      <c r="A466" s="203"/>
      <c r="B466" s="203"/>
      <c r="C466" s="203"/>
      <c r="D466" s="203"/>
      <c r="E466" s="203"/>
      <c r="F466" s="203"/>
      <c r="G466" s="203"/>
      <c r="H466" s="203"/>
      <c r="I466" s="203"/>
      <c r="J466" s="203"/>
      <c r="K466" s="203"/>
      <c r="L466" s="203"/>
      <c r="M466" s="203"/>
      <c r="N466" s="203"/>
      <c r="O466" s="203"/>
      <c r="P466" s="203"/>
      <c r="Q466" s="203"/>
      <c r="R466" s="203"/>
      <c r="S466" s="203"/>
      <c r="T466" s="203"/>
      <c r="U466" s="203"/>
      <c r="V466" s="203"/>
      <c r="W466" s="203"/>
      <c r="X466" s="203"/>
      <c r="Y466" s="203"/>
      <c r="Z466" s="203"/>
    </row>
    <row r="467" ht="12.75" customHeight="1">
      <c r="A467" s="203"/>
      <c r="B467" s="203"/>
      <c r="C467" s="203"/>
      <c r="D467" s="203"/>
      <c r="E467" s="203"/>
      <c r="F467" s="203"/>
      <c r="G467" s="203"/>
      <c r="H467" s="203"/>
      <c r="I467" s="203"/>
      <c r="J467" s="203"/>
      <c r="K467" s="203"/>
      <c r="L467" s="203"/>
      <c r="M467" s="203"/>
      <c r="N467" s="203"/>
      <c r="O467" s="203"/>
      <c r="P467" s="203"/>
      <c r="Q467" s="203"/>
      <c r="R467" s="203"/>
      <c r="S467" s="203"/>
      <c r="T467" s="203"/>
      <c r="U467" s="203"/>
      <c r="V467" s="203"/>
      <c r="W467" s="203"/>
      <c r="X467" s="203"/>
      <c r="Y467" s="203"/>
      <c r="Z467" s="203"/>
    </row>
    <row r="468" ht="12.75" customHeight="1">
      <c r="A468" s="203"/>
      <c r="B468" s="203"/>
      <c r="C468" s="203"/>
      <c r="D468" s="203"/>
      <c r="E468" s="203"/>
      <c r="F468" s="203"/>
      <c r="G468" s="203"/>
      <c r="H468" s="203"/>
      <c r="I468" s="203"/>
      <c r="J468" s="203"/>
      <c r="K468" s="203"/>
      <c r="L468" s="203"/>
      <c r="M468" s="203"/>
      <c r="N468" s="203"/>
      <c r="O468" s="203"/>
      <c r="P468" s="203"/>
      <c r="Q468" s="203"/>
      <c r="R468" s="203"/>
      <c r="S468" s="203"/>
      <c r="T468" s="203"/>
      <c r="U468" s="203"/>
      <c r="V468" s="203"/>
      <c r="W468" s="203"/>
      <c r="X468" s="203"/>
      <c r="Y468" s="203"/>
      <c r="Z468" s="203"/>
    </row>
    <row r="469" ht="12.75" customHeight="1">
      <c r="A469" s="203"/>
      <c r="B469" s="203"/>
      <c r="C469" s="203"/>
      <c r="D469" s="203"/>
      <c r="E469" s="203"/>
      <c r="F469" s="203"/>
      <c r="G469" s="203"/>
      <c r="H469" s="203"/>
      <c r="I469" s="203"/>
      <c r="J469" s="203"/>
      <c r="K469" s="203"/>
      <c r="L469" s="203"/>
      <c r="M469" s="203"/>
      <c r="N469" s="203"/>
      <c r="O469" s="203"/>
      <c r="P469" s="203"/>
      <c r="Q469" s="203"/>
      <c r="R469" s="203"/>
      <c r="S469" s="203"/>
      <c r="T469" s="203"/>
      <c r="U469" s="203"/>
      <c r="V469" s="203"/>
      <c r="W469" s="203"/>
      <c r="X469" s="203"/>
      <c r="Y469" s="203"/>
      <c r="Z469" s="203"/>
    </row>
    <row r="470" ht="12.75" customHeight="1">
      <c r="A470" s="203"/>
      <c r="B470" s="203"/>
      <c r="C470" s="203"/>
      <c r="D470" s="203"/>
      <c r="E470" s="203"/>
      <c r="F470" s="203"/>
      <c r="G470" s="203"/>
      <c r="H470" s="203"/>
      <c r="I470" s="203"/>
      <c r="J470" s="203"/>
      <c r="K470" s="203"/>
      <c r="L470" s="203"/>
      <c r="M470" s="203"/>
      <c r="N470" s="203"/>
      <c r="O470" s="203"/>
      <c r="P470" s="203"/>
      <c r="Q470" s="203"/>
      <c r="R470" s="203"/>
      <c r="S470" s="203"/>
      <c r="T470" s="203"/>
      <c r="U470" s="203"/>
      <c r="V470" s="203"/>
      <c r="W470" s="203"/>
      <c r="X470" s="203"/>
      <c r="Y470" s="203"/>
      <c r="Z470" s="203"/>
    </row>
    <row r="471" ht="12.75" customHeight="1">
      <c r="A471" s="203"/>
      <c r="B471" s="203"/>
      <c r="C471" s="203"/>
      <c r="D471" s="203"/>
      <c r="E471" s="203"/>
      <c r="F471" s="203"/>
      <c r="G471" s="203"/>
      <c r="H471" s="203"/>
      <c r="I471" s="203"/>
      <c r="J471" s="203"/>
      <c r="K471" s="203"/>
      <c r="L471" s="203"/>
      <c r="M471" s="203"/>
      <c r="N471" s="203"/>
      <c r="O471" s="203"/>
      <c r="P471" s="203"/>
      <c r="Q471" s="203"/>
      <c r="R471" s="203"/>
      <c r="S471" s="203"/>
      <c r="T471" s="203"/>
      <c r="U471" s="203"/>
      <c r="V471" s="203"/>
      <c r="W471" s="203"/>
      <c r="X471" s="203"/>
      <c r="Y471" s="203"/>
      <c r="Z471" s="203"/>
    </row>
    <row r="472" ht="12.75" customHeight="1">
      <c r="A472" s="203"/>
      <c r="B472" s="203"/>
      <c r="C472" s="203"/>
      <c r="D472" s="203"/>
      <c r="E472" s="203"/>
      <c r="F472" s="203"/>
      <c r="G472" s="203"/>
      <c r="H472" s="203"/>
      <c r="I472" s="203"/>
      <c r="J472" s="203"/>
      <c r="K472" s="203"/>
      <c r="L472" s="203"/>
      <c r="M472" s="203"/>
      <c r="N472" s="203"/>
      <c r="O472" s="203"/>
      <c r="P472" s="203"/>
      <c r="Q472" s="203"/>
      <c r="R472" s="203"/>
      <c r="S472" s="203"/>
      <c r="T472" s="203"/>
      <c r="U472" s="203"/>
      <c r="V472" s="203"/>
      <c r="W472" s="203"/>
      <c r="X472" s="203"/>
      <c r="Y472" s="203"/>
      <c r="Z472" s="203"/>
    </row>
    <row r="473" ht="12.75" customHeight="1">
      <c r="A473" s="203"/>
      <c r="B473" s="203"/>
      <c r="C473" s="203"/>
      <c r="D473" s="203"/>
      <c r="E473" s="203"/>
      <c r="F473" s="203"/>
      <c r="G473" s="203"/>
      <c r="H473" s="203"/>
      <c r="I473" s="203"/>
      <c r="J473" s="203"/>
      <c r="K473" s="203"/>
      <c r="L473" s="203"/>
      <c r="M473" s="203"/>
      <c r="N473" s="203"/>
      <c r="O473" s="203"/>
      <c r="P473" s="203"/>
      <c r="Q473" s="203"/>
      <c r="R473" s="203"/>
      <c r="S473" s="203"/>
      <c r="T473" s="203"/>
      <c r="U473" s="203"/>
      <c r="V473" s="203"/>
      <c r="W473" s="203"/>
      <c r="X473" s="203"/>
      <c r="Y473" s="203"/>
      <c r="Z473" s="203"/>
    </row>
    <row r="474" ht="12.75" customHeight="1">
      <c r="A474" s="203"/>
      <c r="B474" s="203"/>
      <c r="C474" s="203"/>
      <c r="D474" s="203"/>
      <c r="E474" s="203"/>
      <c r="F474" s="203"/>
      <c r="G474" s="203"/>
      <c r="H474" s="203"/>
      <c r="I474" s="203"/>
      <c r="J474" s="203"/>
      <c r="K474" s="203"/>
      <c r="L474" s="203"/>
      <c r="M474" s="203"/>
      <c r="N474" s="203"/>
      <c r="O474" s="203"/>
      <c r="P474" s="203"/>
      <c r="Q474" s="203"/>
      <c r="R474" s="203"/>
      <c r="S474" s="203"/>
      <c r="T474" s="203"/>
      <c r="U474" s="203"/>
      <c r="V474" s="203"/>
      <c r="W474" s="203"/>
      <c r="X474" s="203"/>
      <c r="Y474" s="203"/>
      <c r="Z474" s="203"/>
    </row>
    <row r="475" ht="12.75" customHeight="1">
      <c r="A475" s="203"/>
      <c r="B475" s="203"/>
      <c r="C475" s="203"/>
      <c r="D475" s="203"/>
      <c r="E475" s="203"/>
      <c r="F475" s="203"/>
      <c r="G475" s="203"/>
      <c r="H475" s="203"/>
      <c r="I475" s="203"/>
      <c r="J475" s="203"/>
      <c r="K475" s="203"/>
      <c r="L475" s="203"/>
      <c r="M475" s="203"/>
      <c r="N475" s="203"/>
      <c r="O475" s="203"/>
      <c r="P475" s="203"/>
      <c r="Q475" s="203"/>
      <c r="R475" s="203"/>
      <c r="S475" s="203"/>
      <c r="T475" s="203"/>
      <c r="U475" s="203"/>
      <c r="V475" s="203"/>
      <c r="W475" s="203"/>
      <c r="X475" s="203"/>
      <c r="Y475" s="203"/>
      <c r="Z475" s="203"/>
    </row>
    <row r="476" ht="12.75" customHeight="1">
      <c r="A476" s="203"/>
      <c r="B476" s="203"/>
      <c r="C476" s="203"/>
      <c r="D476" s="203"/>
      <c r="E476" s="203"/>
      <c r="F476" s="203"/>
      <c r="G476" s="203"/>
      <c r="H476" s="203"/>
      <c r="I476" s="203"/>
      <c r="J476" s="203"/>
      <c r="K476" s="203"/>
      <c r="L476" s="203"/>
      <c r="M476" s="203"/>
      <c r="N476" s="203"/>
      <c r="O476" s="203"/>
      <c r="P476" s="203"/>
      <c r="Q476" s="203"/>
      <c r="R476" s="203"/>
      <c r="S476" s="203"/>
      <c r="T476" s="203"/>
      <c r="U476" s="203"/>
      <c r="V476" s="203"/>
      <c r="W476" s="203"/>
      <c r="X476" s="203"/>
      <c r="Y476" s="203"/>
      <c r="Z476" s="203"/>
    </row>
    <row r="477" ht="12.75" customHeight="1">
      <c r="A477" s="203"/>
      <c r="B477" s="203"/>
      <c r="C477" s="203"/>
      <c r="D477" s="203"/>
      <c r="E477" s="203"/>
      <c r="F477" s="203"/>
      <c r="G477" s="203"/>
      <c r="H477" s="203"/>
      <c r="I477" s="203"/>
      <c r="J477" s="203"/>
      <c r="K477" s="203"/>
      <c r="L477" s="203"/>
      <c r="M477" s="203"/>
      <c r="N477" s="203"/>
      <c r="O477" s="203"/>
      <c r="P477" s="203"/>
      <c r="Q477" s="203"/>
      <c r="R477" s="203"/>
      <c r="S477" s="203"/>
      <c r="T477" s="203"/>
      <c r="U477" s="203"/>
      <c r="V477" s="203"/>
      <c r="W477" s="203"/>
      <c r="X477" s="203"/>
      <c r="Y477" s="203"/>
      <c r="Z477" s="203"/>
    </row>
    <row r="478" ht="12.75" customHeight="1">
      <c r="A478" s="203"/>
      <c r="B478" s="203"/>
      <c r="C478" s="203"/>
      <c r="D478" s="203"/>
      <c r="E478" s="203"/>
      <c r="F478" s="203"/>
      <c r="G478" s="203"/>
      <c r="H478" s="203"/>
      <c r="I478" s="203"/>
      <c r="J478" s="203"/>
      <c r="K478" s="203"/>
      <c r="L478" s="203"/>
      <c r="M478" s="203"/>
      <c r="N478" s="203"/>
      <c r="O478" s="203"/>
      <c r="P478" s="203"/>
      <c r="Q478" s="203"/>
      <c r="R478" s="203"/>
      <c r="S478" s="203"/>
      <c r="T478" s="203"/>
      <c r="U478" s="203"/>
      <c r="V478" s="203"/>
      <c r="W478" s="203"/>
      <c r="X478" s="203"/>
      <c r="Y478" s="203"/>
      <c r="Z478" s="203"/>
    </row>
    <row r="479" ht="12.75" customHeight="1">
      <c r="A479" s="203"/>
      <c r="B479" s="203"/>
      <c r="C479" s="203"/>
      <c r="D479" s="203"/>
      <c r="E479" s="203"/>
      <c r="F479" s="203"/>
      <c r="G479" s="203"/>
      <c r="H479" s="203"/>
      <c r="I479" s="203"/>
      <c r="J479" s="203"/>
      <c r="K479" s="203"/>
      <c r="L479" s="203"/>
      <c r="M479" s="203"/>
      <c r="N479" s="203"/>
      <c r="O479" s="203"/>
      <c r="P479" s="203"/>
      <c r="Q479" s="203"/>
      <c r="R479" s="203"/>
      <c r="S479" s="203"/>
      <c r="T479" s="203"/>
      <c r="U479" s="203"/>
      <c r="V479" s="203"/>
      <c r="W479" s="203"/>
      <c r="X479" s="203"/>
      <c r="Y479" s="203"/>
      <c r="Z479" s="203"/>
    </row>
    <row r="480" ht="12.75" customHeight="1">
      <c r="A480" s="203"/>
      <c r="B480" s="203"/>
      <c r="C480" s="203"/>
      <c r="D480" s="203"/>
      <c r="E480" s="203"/>
      <c r="F480" s="203"/>
      <c r="G480" s="203"/>
      <c r="H480" s="203"/>
      <c r="I480" s="203"/>
      <c r="J480" s="203"/>
      <c r="K480" s="203"/>
      <c r="L480" s="203"/>
      <c r="M480" s="203"/>
      <c r="N480" s="203"/>
      <c r="O480" s="203"/>
      <c r="P480" s="203"/>
      <c r="Q480" s="203"/>
      <c r="R480" s="203"/>
      <c r="S480" s="203"/>
      <c r="T480" s="203"/>
      <c r="U480" s="203"/>
      <c r="V480" s="203"/>
      <c r="W480" s="203"/>
      <c r="X480" s="203"/>
      <c r="Y480" s="203"/>
      <c r="Z480" s="203"/>
    </row>
    <row r="481" ht="12.75" customHeight="1">
      <c r="A481" s="203"/>
      <c r="B481" s="203"/>
      <c r="C481" s="203"/>
      <c r="D481" s="203"/>
      <c r="E481" s="203"/>
      <c r="F481" s="203"/>
      <c r="G481" s="203"/>
      <c r="H481" s="203"/>
      <c r="I481" s="203"/>
      <c r="J481" s="203"/>
      <c r="K481" s="203"/>
      <c r="L481" s="203"/>
      <c r="M481" s="203"/>
      <c r="N481" s="203"/>
      <c r="O481" s="203"/>
      <c r="P481" s="203"/>
      <c r="Q481" s="203"/>
      <c r="R481" s="203"/>
      <c r="S481" s="203"/>
      <c r="T481" s="203"/>
      <c r="U481" s="203"/>
      <c r="V481" s="203"/>
      <c r="W481" s="203"/>
      <c r="X481" s="203"/>
      <c r="Y481" s="203"/>
      <c r="Z481" s="203"/>
    </row>
    <row r="482" ht="12.75" customHeight="1">
      <c r="A482" s="203"/>
      <c r="B482" s="203"/>
      <c r="C482" s="203"/>
      <c r="D482" s="203"/>
      <c r="E482" s="203"/>
      <c r="F482" s="203"/>
      <c r="G482" s="203"/>
      <c r="H482" s="203"/>
      <c r="I482" s="203"/>
      <c r="J482" s="203"/>
      <c r="K482" s="203"/>
      <c r="L482" s="203"/>
      <c r="M482" s="203"/>
      <c r="N482" s="203"/>
      <c r="O482" s="203"/>
      <c r="P482" s="203"/>
      <c r="Q482" s="203"/>
      <c r="R482" s="203"/>
      <c r="S482" s="203"/>
      <c r="T482" s="203"/>
      <c r="U482" s="203"/>
      <c r="V482" s="203"/>
      <c r="W482" s="203"/>
      <c r="X482" s="203"/>
      <c r="Y482" s="203"/>
      <c r="Z482" s="203"/>
    </row>
    <row r="483" ht="12.75" customHeight="1">
      <c r="A483" s="203"/>
      <c r="B483" s="203"/>
      <c r="C483" s="203"/>
      <c r="D483" s="203"/>
      <c r="E483" s="203"/>
      <c r="F483" s="203"/>
      <c r="G483" s="203"/>
      <c r="H483" s="203"/>
      <c r="I483" s="203"/>
      <c r="J483" s="203"/>
      <c r="K483" s="203"/>
      <c r="L483" s="203"/>
      <c r="M483" s="203"/>
      <c r="N483" s="203"/>
      <c r="O483" s="203"/>
      <c r="P483" s="203"/>
      <c r="Q483" s="203"/>
      <c r="R483" s="203"/>
      <c r="S483" s="203"/>
      <c r="T483" s="203"/>
      <c r="U483" s="203"/>
      <c r="V483" s="203"/>
      <c r="W483" s="203"/>
      <c r="X483" s="203"/>
      <c r="Y483" s="203"/>
      <c r="Z483" s="203"/>
    </row>
    <row r="484" ht="12.75" customHeight="1">
      <c r="A484" s="203"/>
      <c r="B484" s="203"/>
      <c r="C484" s="203"/>
      <c r="D484" s="203"/>
      <c r="E484" s="203"/>
      <c r="F484" s="203"/>
      <c r="G484" s="203"/>
      <c r="H484" s="203"/>
      <c r="I484" s="203"/>
      <c r="J484" s="203"/>
      <c r="K484" s="203"/>
      <c r="L484" s="203"/>
      <c r="M484" s="203"/>
      <c r="N484" s="203"/>
      <c r="O484" s="203"/>
      <c r="P484" s="203"/>
      <c r="Q484" s="203"/>
      <c r="R484" s="203"/>
      <c r="S484" s="203"/>
      <c r="T484" s="203"/>
      <c r="U484" s="203"/>
      <c r="V484" s="203"/>
      <c r="W484" s="203"/>
      <c r="X484" s="203"/>
      <c r="Y484" s="203"/>
      <c r="Z484" s="203"/>
    </row>
    <row r="485" ht="12.75" customHeight="1">
      <c r="A485" s="203"/>
      <c r="B485" s="203"/>
      <c r="C485" s="203"/>
      <c r="D485" s="203"/>
      <c r="E485" s="203"/>
      <c r="F485" s="203"/>
      <c r="G485" s="203"/>
      <c r="H485" s="203"/>
      <c r="I485" s="203"/>
      <c r="J485" s="203"/>
      <c r="K485" s="203"/>
      <c r="L485" s="203"/>
      <c r="M485" s="203"/>
      <c r="N485" s="203"/>
      <c r="O485" s="203"/>
      <c r="P485" s="203"/>
      <c r="Q485" s="203"/>
      <c r="R485" s="203"/>
      <c r="S485" s="203"/>
      <c r="T485" s="203"/>
      <c r="U485" s="203"/>
      <c r="V485" s="203"/>
      <c r="W485" s="203"/>
      <c r="X485" s="203"/>
      <c r="Y485" s="203"/>
      <c r="Z485" s="203"/>
    </row>
    <row r="486" ht="12.75" customHeight="1">
      <c r="A486" s="203"/>
      <c r="B486" s="203"/>
      <c r="C486" s="203"/>
      <c r="D486" s="203"/>
      <c r="E486" s="203"/>
      <c r="F486" s="203"/>
      <c r="G486" s="203"/>
      <c r="H486" s="203"/>
      <c r="I486" s="203"/>
      <c r="J486" s="203"/>
      <c r="K486" s="203"/>
      <c r="L486" s="203"/>
      <c r="M486" s="203"/>
      <c r="N486" s="203"/>
      <c r="O486" s="203"/>
      <c r="P486" s="203"/>
      <c r="Q486" s="203"/>
      <c r="R486" s="203"/>
      <c r="S486" s="203"/>
      <c r="T486" s="203"/>
      <c r="U486" s="203"/>
      <c r="V486" s="203"/>
      <c r="W486" s="203"/>
      <c r="X486" s="203"/>
      <c r="Y486" s="203"/>
      <c r="Z486" s="203"/>
    </row>
    <row r="487" ht="12.75" customHeight="1">
      <c r="A487" s="203"/>
      <c r="B487" s="203"/>
      <c r="C487" s="203"/>
      <c r="D487" s="203"/>
      <c r="E487" s="203"/>
      <c r="F487" s="203"/>
      <c r="G487" s="203"/>
      <c r="H487" s="203"/>
      <c r="I487" s="203"/>
      <c r="J487" s="203"/>
      <c r="K487" s="203"/>
      <c r="L487" s="203"/>
      <c r="M487" s="203"/>
      <c r="N487" s="203"/>
      <c r="O487" s="203"/>
      <c r="P487" s="203"/>
      <c r="Q487" s="203"/>
      <c r="R487" s="203"/>
      <c r="S487" s="203"/>
      <c r="T487" s="203"/>
      <c r="U487" s="203"/>
      <c r="V487" s="203"/>
      <c r="W487" s="203"/>
      <c r="X487" s="203"/>
      <c r="Y487" s="203"/>
      <c r="Z487" s="203"/>
    </row>
    <row r="488" ht="12.75" customHeight="1">
      <c r="A488" s="203"/>
      <c r="B488" s="203"/>
      <c r="C488" s="203"/>
      <c r="D488" s="203"/>
      <c r="E488" s="203"/>
      <c r="F488" s="203"/>
      <c r="G488" s="203"/>
      <c r="H488" s="203"/>
      <c r="I488" s="203"/>
      <c r="J488" s="203"/>
      <c r="K488" s="203"/>
      <c r="L488" s="203"/>
      <c r="M488" s="203"/>
      <c r="N488" s="203"/>
      <c r="O488" s="203"/>
      <c r="P488" s="203"/>
      <c r="Q488" s="203"/>
      <c r="R488" s="203"/>
      <c r="S488" s="203"/>
      <c r="T488" s="203"/>
      <c r="U488" s="203"/>
      <c r="V488" s="203"/>
      <c r="W488" s="203"/>
      <c r="X488" s="203"/>
      <c r="Y488" s="203"/>
      <c r="Z488" s="203"/>
    </row>
    <row r="489" ht="12.75" customHeight="1">
      <c r="A489" s="203"/>
      <c r="B489" s="203"/>
      <c r="C489" s="203"/>
      <c r="D489" s="203"/>
      <c r="E489" s="203"/>
      <c r="F489" s="203"/>
      <c r="G489" s="203"/>
      <c r="H489" s="203"/>
      <c r="I489" s="203"/>
      <c r="J489" s="203"/>
      <c r="K489" s="203"/>
      <c r="L489" s="203"/>
      <c r="M489" s="203"/>
      <c r="N489" s="203"/>
      <c r="O489" s="203"/>
      <c r="P489" s="203"/>
      <c r="Q489" s="203"/>
      <c r="R489" s="203"/>
      <c r="S489" s="203"/>
      <c r="T489" s="203"/>
      <c r="U489" s="203"/>
      <c r="V489" s="203"/>
      <c r="W489" s="203"/>
      <c r="X489" s="203"/>
      <c r="Y489" s="203"/>
      <c r="Z489" s="203"/>
    </row>
    <row r="490" ht="12.75" customHeight="1">
      <c r="A490" s="203"/>
      <c r="B490" s="203"/>
      <c r="C490" s="203"/>
      <c r="D490" s="203"/>
      <c r="E490" s="203"/>
      <c r="F490" s="203"/>
      <c r="G490" s="203"/>
      <c r="H490" s="203"/>
      <c r="I490" s="203"/>
      <c r="J490" s="203"/>
      <c r="K490" s="203"/>
      <c r="L490" s="203"/>
      <c r="M490" s="203"/>
      <c r="N490" s="203"/>
      <c r="O490" s="203"/>
      <c r="P490" s="203"/>
      <c r="Q490" s="203"/>
      <c r="R490" s="203"/>
      <c r="S490" s="203"/>
      <c r="T490" s="203"/>
      <c r="U490" s="203"/>
      <c r="V490" s="203"/>
      <c r="W490" s="203"/>
      <c r="X490" s="203"/>
      <c r="Y490" s="203"/>
      <c r="Z490" s="203"/>
    </row>
    <row r="491" ht="12.75" customHeight="1">
      <c r="A491" s="203"/>
      <c r="B491" s="203"/>
      <c r="C491" s="203"/>
      <c r="D491" s="203"/>
      <c r="E491" s="203"/>
      <c r="F491" s="203"/>
      <c r="G491" s="203"/>
      <c r="H491" s="203"/>
      <c r="I491" s="203"/>
      <c r="J491" s="203"/>
      <c r="K491" s="203"/>
      <c r="L491" s="203"/>
      <c r="M491" s="203"/>
      <c r="N491" s="203"/>
      <c r="O491" s="203"/>
      <c r="P491" s="203"/>
      <c r="Q491" s="203"/>
      <c r="R491" s="203"/>
      <c r="S491" s="203"/>
      <c r="T491" s="203"/>
      <c r="U491" s="203"/>
      <c r="V491" s="203"/>
      <c r="W491" s="203"/>
      <c r="X491" s="203"/>
      <c r="Y491" s="203"/>
      <c r="Z491" s="203"/>
    </row>
    <row r="492" ht="12.75" customHeight="1">
      <c r="A492" s="203"/>
      <c r="B492" s="203"/>
      <c r="C492" s="203"/>
      <c r="D492" s="203"/>
      <c r="E492" s="203"/>
      <c r="F492" s="203"/>
      <c r="G492" s="203"/>
      <c r="H492" s="203"/>
      <c r="I492" s="203"/>
      <c r="J492" s="203"/>
      <c r="K492" s="203"/>
      <c r="L492" s="203"/>
      <c r="M492" s="203"/>
      <c r="N492" s="203"/>
      <c r="O492" s="203"/>
      <c r="P492" s="203"/>
      <c r="Q492" s="203"/>
      <c r="R492" s="203"/>
      <c r="S492" s="203"/>
      <c r="T492" s="203"/>
      <c r="U492" s="203"/>
      <c r="V492" s="203"/>
      <c r="W492" s="203"/>
      <c r="X492" s="203"/>
      <c r="Y492" s="203"/>
      <c r="Z492" s="203"/>
    </row>
    <row r="493" ht="12.75" customHeight="1">
      <c r="A493" s="203"/>
      <c r="B493" s="203"/>
      <c r="C493" s="203"/>
      <c r="D493" s="203"/>
      <c r="E493" s="203"/>
      <c r="F493" s="203"/>
      <c r="G493" s="203"/>
      <c r="H493" s="203"/>
      <c r="I493" s="203"/>
      <c r="J493" s="203"/>
      <c r="K493" s="203"/>
      <c r="L493" s="203"/>
      <c r="M493" s="203"/>
      <c r="N493" s="203"/>
      <c r="O493" s="203"/>
      <c r="P493" s="203"/>
      <c r="Q493" s="203"/>
      <c r="R493" s="203"/>
      <c r="S493" s="203"/>
      <c r="T493" s="203"/>
      <c r="U493" s="203"/>
      <c r="V493" s="203"/>
      <c r="W493" s="203"/>
      <c r="X493" s="203"/>
      <c r="Y493" s="203"/>
      <c r="Z493" s="203"/>
    </row>
    <row r="494" ht="12.75" customHeight="1">
      <c r="A494" s="203"/>
      <c r="B494" s="203"/>
      <c r="C494" s="203"/>
      <c r="D494" s="203"/>
      <c r="E494" s="203"/>
      <c r="F494" s="203"/>
      <c r="G494" s="203"/>
      <c r="H494" s="203"/>
      <c r="I494" s="203"/>
      <c r="J494" s="203"/>
      <c r="K494" s="203"/>
      <c r="L494" s="203"/>
      <c r="M494" s="203"/>
      <c r="N494" s="203"/>
      <c r="O494" s="203"/>
      <c r="P494" s="203"/>
      <c r="Q494" s="203"/>
      <c r="R494" s="203"/>
      <c r="S494" s="203"/>
      <c r="T494" s="203"/>
      <c r="U494" s="203"/>
      <c r="V494" s="203"/>
      <c r="W494" s="203"/>
      <c r="X494" s="203"/>
      <c r="Y494" s="203"/>
      <c r="Z494" s="203"/>
    </row>
    <row r="495" ht="12.75" customHeight="1">
      <c r="A495" s="203"/>
      <c r="B495" s="203"/>
      <c r="C495" s="203"/>
      <c r="D495" s="203"/>
      <c r="E495" s="203"/>
      <c r="F495" s="203"/>
      <c r="G495" s="203"/>
      <c r="H495" s="203"/>
      <c r="I495" s="203"/>
      <c r="J495" s="203"/>
      <c r="K495" s="203"/>
      <c r="L495" s="203"/>
      <c r="M495" s="203"/>
      <c r="N495" s="203"/>
      <c r="O495" s="203"/>
      <c r="P495" s="203"/>
      <c r="Q495" s="203"/>
      <c r="R495" s="203"/>
      <c r="S495" s="203"/>
      <c r="T495" s="203"/>
      <c r="U495" s="203"/>
      <c r="V495" s="203"/>
      <c r="W495" s="203"/>
      <c r="X495" s="203"/>
      <c r="Y495" s="203"/>
      <c r="Z495" s="203"/>
    </row>
    <row r="496" ht="12.75" customHeight="1">
      <c r="A496" s="203"/>
      <c r="B496" s="203"/>
      <c r="C496" s="203"/>
      <c r="D496" s="203"/>
      <c r="E496" s="203"/>
      <c r="F496" s="203"/>
      <c r="G496" s="203"/>
      <c r="H496" s="203"/>
      <c r="I496" s="203"/>
      <c r="J496" s="203"/>
      <c r="K496" s="203"/>
      <c r="L496" s="203"/>
      <c r="M496" s="203"/>
      <c r="N496" s="203"/>
      <c r="O496" s="203"/>
      <c r="P496" s="203"/>
      <c r="Q496" s="203"/>
      <c r="R496" s="203"/>
      <c r="S496" s="203"/>
      <c r="T496" s="203"/>
      <c r="U496" s="203"/>
      <c r="V496" s="203"/>
      <c r="W496" s="203"/>
      <c r="X496" s="203"/>
      <c r="Y496" s="203"/>
      <c r="Z496" s="203"/>
    </row>
    <row r="497" ht="12.75" customHeight="1">
      <c r="A497" s="203"/>
      <c r="B497" s="203"/>
      <c r="C497" s="203"/>
      <c r="D497" s="203"/>
      <c r="E497" s="203"/>
      <c r="F497" s="203"/>
      <c r="G497" s="203"/>
      <c r="H497" s="203"/>
      <c r="I497" s="203"/>
      <c r="J497" s="203"/>
      <c r="K497" s="203"/>
      <c r="L497" s="203"/>
      <c r="M497" s="203"/>
      <c r="N497" s="203"/>
      <c r="O497" s="203"/>
      <c r="P497" s="203"/>
      <c r="Q497" s="203"/>
      <c r="R497" s="203"/>
      <c r="S497" s="203"/>
      <c r="T497" s="203"/>
      <c r="U497" s="203"/>
      <c r="V497" s="203"/>
      <c r="W497" s="203"/>
      <c r="X497" s="203"/>
      <c r="Y497" s="203"/>
      <c r="Z497" s="203"/>
    </row>
    <row r="498" ht="12.75" customHeight="1">
      <c r="A498" s="203"/>
      <c r="B498" s="203"/>
      <c r="C498" s="203"/>
      <c r="D498" s="203"/>
      <c r="E498" s="203"/>
      <c r="F498" s="203"/>
      <c r="G498" s="203"/>
      <c r="H498" s="203"/>
      <c r="I498" s="203"/>
      <c r="J498" s="203"/>
      <c r="K498" s="203"/>
      <c r="L498" s="203"/>
      <c r="M498" s="203"/>
      <c r="N498" s="203"/>
      <c r="O498" s="203"/>
      <c r="P498" s="203"/>
      <c r="Q498" s="203"/>
      <c r="R498" s="203"/>
      <c r="S498" s="203"/>
      <c r="T498" s="203"/>
      <c r="U498" s="203"/>
      <c r="V498" s="203"/>
      <c r="W498" s="203"/>
      <c r="X498" s="203"/>
      <c r="Y498" s="203"/>
      <c r="Z498" s="203"/>
    </row>
    <row r="499" ht="12.75" customHeight="1">
      <c r="A499" s="203"/>
      <c r="B499" s="203"/>
      <c r="C499" s="203"/>
      <c r="D499" s="203"/>
      <c r="E499" s="203"/>
      <c r="F499" s="203"/>
      <c r="G499" s="203"/>
      <c r="H499" s="203"/>
      <c r="I499" s="203"/>
      <c r="J499" s="203"/>
      <c r="K499" s="203"/>
      <c r="L499" s="203"/>
      <c r="M499" s="203"/>
      <c r="N499" s="203"/>
      <c r="O499" s="203"/>
      <c r="P499" s="203"/>
      <c r="Q499" s="203"/>
      <c r="R499" s="203"/>
      <c r="S499" s="203"/>
      <c r="T499" s="203"/>
      <c r="U499" s="203"/>
      <c r="V499" s="203"/>
      <c r="W499" s="203"/>
      <c r="X499" s="203"/>
      <c r="Y499" s="203"/>
      <c r="Z499" s="203"/>
    </row>
    <row r="500" ht="12.75" customHeight="1">
      <c r="A500" s="203"/>
      <c r="B500" s="203"/>
      <c r="C500" s="203"/>
      <c r="D500" s="203"/>
      <c r="E500" s="203"/>
      <c r="F500" s="203"/>
      <c r="G500" s="203"/>
      <c r="H500" s="203"/>
      <c r="I500" s="203"/>
      <c r="J500" s="203"/>
      <c r="K500" s="203"/>
      <c r="L500" s="203"/>
      <c r="M500" s="203"/>
      <c r="N500" s="203"/>
      <c r="O500" s="203"/>
      <c r="P500" s="203"/>
      <c r="Q500" s="203"/>
      <c r="R500" s="203"/>
      <c r="S500" s="203"/>
      <c r="T500" s="203"/>
      <c r="U500" s="203"/>
      <c r="V500" s="203"/>
      <c r="W500" s="203"/>
      <c r="X500" s="203"/>
      <c r="Y500" s="203"/>
      <c r="Z500" s="203"/>
    </row>
    <row r="501" ht="12.75" customHeight="1">
      <c r="A501" s="203"/>
      <c r="B501" s="203"/>
      <c r="C501" s="203"/>
      <c r="D501" s="203"/>
      <c r="E501" s="203"/>
      <c r="F501" s="203"/>
      <c r="G501" s="203"/>
      <c r="H501" s="203"/>
      <c r="I501" s="203"/>
      <c r="J501" s="203"/>
      <c r="K501" s="203"/>
      <c r="L501" s="203"/>
      <c r="M501" s="203"/>
      <c r="N501" s="203"/>
      <c r="O501" s="203"/>
      <c r="P501" s="203"/>
      <c r="Q501" s="203"/>
      <c r="R501" s="203"/>
      <c r="S501" s="203"/>
      <c r="T501" s="203"/>
      <c r="U501" s="203"/>
      <c r="V501" s="203"/>
      <c r="W501" s="203"/>
      <c r="X501" s="203"/>
      <c r="Y501" s="203"/>
      <c r="Z501" s="203"/>
    </row>
    <row r="502" ht="12.75" customHeight="1">
      <c r="A502" s="203"/>
      <c r="B502" s="203"/>
      <c r="C502" s="203"/>
      <c r="D502" s="203"/>
      <c r="E502" s="203"/>
      <c r="F502" s="203"/>
      <c r="G502" s="203"/>
      <c r="H502" s="203"/>
      <c r="I502" s="203"/>
      <c r="J502" s="203"/>
      <c r="K502" s="203"/>
      <c r="L502" s="203"/>
      <c r="M502" s="203"/>
      <c r="N502" s="203"/>
      <c r="O502" s="203"/>
      <c r="P502" s="203"/>
      <c r="Q502" s="203"/>
      <c r="R502" s="203"/>
      <c r="S502" s="203"/>
      <c r="T502" s="203"/>
      <c r="U502" s="203"/>
      <c r="V502" s="203"/>
      <c r="W502" s="203"/>
      <c r="X502" s="203"/>
      <c r="Y502" s="203"/>
      <c r="Z502" s="203"/>
    </row>
    <row r="503" ht="12.75" customHeight="1">
      <c r="A503" s="203"/>
      <c r="B503" s="203"/>
      <c r="C503" s="203"/>
      <c r="D503" s="203"/>
      <c r="E503" s="203"/>
      <c r="F503" s="203"/>
      <c r="G503" s="203"/>
      <c r="H503" s="203"/>
      <c r="I503" s="203"/>
      <c r="J503" s="203"/>
      <c r="K503" s="203"/>
      <c r="L503" s="203"/>
      <c r="M503" s="203"/>
      <c r="N503" s="203"/>
      <c r="O503" s="203"/>
      <c r="P503" s="203"/>
      <c r="Q503" s="203"/>
      <c r="R503" s="203"/>
      <c r="S503" s="203"/>
      <c r="T503" s="203"/>
      <c r="U503" s="203"/>
      <c r="V503" s="203"/>
      <c r="W503" s="203"/>
      <c r="X503" s="203"/>
      <c r="Y503" s="203"/>
      <c r="Z503" s="203"/>
    </row>
    <row r="504" ht="12.75" customHeight="1">
      <c r="A504" s="203"/>
      <c r="B504" s="203"/>
      <c r="C504" s="203"/>
      <c r="D504" s="203"/>
      <c r="E504" s="203"/>
      <c r="F504" s="203"/>
      <c r="G504" s="203"/>
      <c r="H504" s="203"/>
      <c r="I504" s="203"/>
      <c r="J504" s="203"/>
      <c r="K504" s="203"/>
      <c r="L504" s="203"/>
      <c r="M504" s="203"/>
      <c r="N504" s="203"/>
      <c r="O504" s="203"/>
      <c r="P504" s="203"/>
      <c r="Q504" s="203"/>
      <c r="R504" s="203"/>
      <c r="S504" s="203"/>
      <c r="T504" s="203"/>
      <c r="U504" s="203"/>
      <c r="V504" s="203"/>
      <c r="W504" s="203"/>
      <c r="X504" s="203"/>
      <c r="Y504" s="203"/>
      <c r="Z504" s="203"/>
    </row>
    <row r="505" ht="12.75" customHeight="1">
      <c r="A505" s="203"/>
      <c r="B505" s="203"/>
      <c r="C505" s="203"/>
      <c r="D505" s="203"/>
      <c r="E505" s="203"/>
      <c r="F505" s="203"/>
      <c r="G505" s="203"/>
      <c r="H505" s="203"/>
      <c r="I505" s="203"/>
      <c r="J505" s="203"/>
      <c r="K505" s="203"/>
      <c r="L505" s="203"/>
      <c r="M505" s="203"/>
      <c r="N505" s="203"/>
      <c r="O505" s="203"/>
      <c r="P505" s="203"/>
      <c r="Q505" s="203"/>
      <c r="R505" s="203"/>
      <c r="S505" s="203"/>
      <c r="T505" s="203"/>
      <c r="U505" s="203"/>
      <c r="V505" s="203"/>
      <c r="W505" s="203"/>
      <c r="X505" s="203"/>
      <c r="Y505" s="203"/>
      <c r="Z505" s="203"/>
    </row>
    <row r="506" ht="12.75" customHeight="1">
      <c r="A506" s="203"/>
      <c r="B506" s="203"/>
      <c r="C506" s="203"/>
      <c r="D506" s="203"/>
      <c r="E506" s="203"/>
      <c r="F506" s="203"/>
      <c r="G506" s="203"/>
      <c r="H506" s="203"/>
      <c r="I506" s="203"/>
      <c r="J506" s="203"/>
      <c r="K506" s="203"/>
      <c r="L506" s="203"/>
      <c r="M506" s="203"/>
      <c r="N506" s="203"/>
      <c r="O506" s="203"/>
      <c r="P506" s="203"/>
      <c r="Q506" s="203"/>
      <c r="R506" s="203"/>
      <c r="S506" s="203"/>
      <c r="T506" s="203"/>
      <c r="U506" s="203"/>
      <c r="V506" s="203"/>
      <c r="W506" s="203"/>
      <c r="X506" s="203"/>
      <c r="Y506" s="203"/>
      <c r="Z506" s="203"/>
    </row>
    <row r="507" ht="12.75" customHeight="1">
      <c r="A507" s="203"/>
      <c r="B507" s="203"/>
      <c r="C507" s="203"/>
      <c r="D507" s="203"/>
      <c r="E507" s="203"/>
      <c r="F507" s="203"/>
      <c r="G507" s="203"/>
      <c r="H507" s="203"/>
      <c r="I507" s="203"/>
      <c r="J507" s="203"/>
      <c r="K507" s="203"/>
      <c r="L507" s="203"/>
      <c r="M507" s="203"/>
      <c r="N507" s="203"/>
      <c r="O507" s="203"/>
      <c r="P507" s="203"/>
      <c r="Q507" s="203"/>
      <c r="R507" s="203"/>
      <c r="S507" s="203"/>
      <c r="T507" s="203"/>
      <c r="U507" s="203"/>
      <c r="V507" s="203"/>
      <c r="W507" s="203"/>
      <c r="X507" s="203"/>
      <c r="Y507" s="203"/>
      <c r="Z507" s="203"/>
    </row>
    <row r="508" ht="12.75" customHeight="1">
      <c r="A508" s="203"/>
      <c r="B508" s="203"/>
      <c r="C508" s="203"/>
      <c r="D508" s="203"/>
      <c r="E508" s="203"/>
      <c r="F508" s="203"/>
      <c r="G508" s="203"/>
      <c r="H508" s="203"/>
      <c r="I508" s="203"/>
      <c r="J508" s="203"/>
      <c r="K508" s="203"/>
      <c r="L508" s="203"/>
      <c r="M508" s="203"/>
      <c r="N508" s="203"/>
      <c r="O508" s="203"/>
      <c r="P508" s="203"/>
      <c r="Q508" s="203"/>
      <c r="R508" s="203"/>
      <c r="S508" s="203"/>
      <c r="T508" s="203"/>
      <c r="U508" s="203"/>
      <c r="V508" s="203"/>
      <c r="W508" s="203"/>
      <c r="X508" s="203"/>
      <c r="Y508" s="203"/>
      <c r="Z508" s="203"/>
    </row>
    <row r="509" ht="12.75" customHeight="1">
      <c r="A509" s="203"/>
      <c r="B509" s="203"/>
      <c r="C509" s="203"/>
      <c r="D509" s="203"/>
      <c r="E509" s="203"/>
      <c r="F509" s="203"/>
      <c r="G509" s="203"/>
      <c r="H509" s="203"/>
      <c r="I509" s="203"/>
      <c r="J509" s="203"/>
      <c r="K509" s="203"/>
      <c r="L509" s="203"/>
      <c r="M509" s="203"/>
      <c r="N509" s="203"/>
      <c r="O509" s="203"/>
      <c r="P509" s="203"/>
      <c r="Q509" s="203"/>
      <c r="R509" s="203"/>
      <c r="S509" s="203"/>
      <c r="T509" s="203"/>
      <c r="U509" s="203"/>
      <c r="V509" s="203"/>
      <c r="W509" s="203"/>
      <c r="X509" s="203"/>
      <c r="Y509" s="203"/>
      <c r="Z509" s="203"/>
    </row>
    <row r="510" ht="12.75" customHeight="1">
      <c r="A510" s="203"/>
      <c r="B510" s="203"/>
      <c r="C510" s="203"/>
      <c r="D510" s="203"/>
      <c r="E510" s="203"/>
      <c r="F510" s="203"/>
      <c r="G510" s="203"/>
      <c r="H510" s="203"/>
      <c r="I510" s="203"/>
      <c r="J510" s="203"/>
      <c r="K510" s="203"/>
      <c r="L510" s="203"/>
      <c r="M510" s="203"/>
      <c r="N510" s="203"/>
      <c r="O510" s="203"/>
      <c r="P510" s="203"/>
      <c r="Q510" s="203"/>
      <c r="R510" s="203"/>
      <c r="S510" s="203"/>
      <c r="T510" s="203"/>
      <c r="U510" s="203"/>
      <c r="V510" s="203"/>
      <c r="W510" s="203"/>
      <c r="X510" s="203"/>
      <c r="Y510" s="203"/>
      <c r="Z510" s="203"/>
    </row>
    <row r="511" ht="12.75" customHeight="1">
      <c r="A511" s="203"/>
      <c r="B511" s="203"/>
      <c r="C511" s="203"/>
      <c r="D511" s="203"/>
      <c r="E511" s="203"/>
      <c r="F511" s="203"/>
      <c r="G511" s="203"/>
      <c r="H511" s="203"/>
      <c r="I511" s="203"/>
      <c r="J511" s="203"/>
      <c r="K511" s="203"/>
      <c r="L511" s="203"/>
      <c r="M511" s="203"/>
      <c r="N511" s="203"/>
      <c r="O511" s="203"/>
      <c r="P511" s="203"/>
      <c r="Q511" s="203"/>
      <c r="R511" s="203"/>
      <c r="S511" s="203"/>
      <c r="T511" s="203"/>
      <c r="U511" s="203"/>
      <c r="V511" s="203"/>
      <c r="W511" s="203"/>
      <c r="X511" s="203"/>
      <c r="Y511" s="203"/>
      <c r="Z511" s="203"/>
    </row>
    <row r="512" ht="12.75" customHeight="1">
      <c r="A512" s="203"/>
      <c r="B512" s="203"/>
      <c r="C512" s="203"/>
      <c r="D512" s="203"/>
      <c r="E512" s="203"/>
      <c r="F512" s="203"/>
      <c r="G512" s="203"/>
      <c r="H512" s="203"/>
      <c r="I512" s="203"/>
      <c r="J512" s="203"/>
      <c r="K512" s="203"/>
      <c r="L512" s="203"/>
      <c r="M512" s="203"/>
      <c r="N512" s="203"/>
      <c r="O512" s="203"/>
      <c r="P512" s="203"/>
      <c r="Q512" s="203"/>
      <c r="R512" s="203"/>
      <c r="S512" s="203"/>
      <c r="T512" s="203"/>
      <c r="U512" s="203"/>
      <c r="V512" s="203"/>
      <c r="W512" s="203"/>
      <c r="X512" s="203"/>
      <c r="Y512" s="203"/>
      <c r="Z512" s="203"/>
    </row>
    <row r="513" ht="12.75" customHeight="1">
      <c r="A513" s="203"/>
      <c r="B513" s="203"/>
      <c r="C513" s="203"/>
      <c r="D513" s="203"/>
      <c r="E513" s="203"/>
      <c r="F513" s="203"/>
      <c r="G513" s="203"/>
      <c r="H513" s="203"/>
      <c r="I513" s="203"/>
      <c r="J513" s="203"/>
      <c r="K513" s="203"/>
      <c r="L513" s="203"/>
      <c r="M513" s="203"/>
      <c r="N513" s="203"/>
      <c r="O513" s="203"/>
      <c r="P513" s="203"/>
      <c r="Q513" s="203"/>
      <c r="R513" s="203"/>
      <c r="S513" s="203"/>
      <c r="T513" s="203"/>
      <c r="U513" s="203"/>
      <c r="V513" s="203"/>
      <c r="W513" s="203"/>
      <c r="X513" s="203"/>
      <c r="Y513" s="203"/>
      <c r="Z513" s="203"/>
    </row>
    <row r="514" ht="12.75" customHeight="1">
      <c r="A514" s="203"/>
      <c r="B514" s="203"/>
      <c r="C514" s="203"/>
      <c r="D514" s="203"/>
      <c r="E514" s="203"/>
      <c r="F514" s="203"/>
      <c r="G514" s="203"/>
      <c r="H514" s="203"/>
      <c r="I514" s="203"/>
      <c r="J514" s="203"/>
      <c r="K514" s="203"/>
      <c r="L514" s="203"/>
      <c r="M514" s="203"/>
      <c r="N514" s="203"/>
      <c r="O514" s="203"/>
      <c r="P514" s="203"/>
      <c r="Q514" s="203"/>
      <c r="R514" s="203"/>
      <c r="S514" s="203"/>
      <c r="T514" s="203"/>
      <c r="U514" s="203"/>
      <c r="V514" s="203"/>
      <c r="W514" s="203"/>
      <c r="X514" s="203"/>
      <c r="Y514" s="203"/>
      <c r="Z514" s="203"/>
    </row>
    <row r="515" ht="12.75" customHeight="1">
      <c r="A515" s="203"/>
      <c r="B515" s="203"/>
      <c r="C515" s="203"/>
      <c r="D515" s="203"/>
      <c r="E515" s="203"/>
      <c r="F515" s="203"/>
      <c r="G515" s="203"/>
      <c r="H515" s="203"/>
      <c r="I515" s="203"/>
      <c r="J515" s="203"/>
      <c r="K515" s="203"/>
      <c r="L515" s="203"/>
      <c r="M515" s="203"/>
      <c r="N515" s="203"/>
      <c r="O515" s="203"/>
      <c r="P515" s="203"/>
      <c r="Q515" s="203"/>
      <c r="R515" s="203"/>
      <c r="S515" s="203"/>
      <c r="T515" s="203"/>
      <c r="U515" s="203"/>
      <c r="V515" s="203"/>
      <c r="W515" s="203"/>
      <c r="X515" s="203"/>
      <c r="Y515" s="203"/>
      <c r="Z515" s="203"/>
    </row>
    <row r="516" ht="12.75" customHeight="1">
      <c r="A516" s="203"/>
      <c r="B516" s="203"/>
      <c r="C516" s="203"/>
      <c r="D516" s="203"/>
      <c r="E516" s="203"/>
      <c r="F516" s="203"/>
      <c r="G516" s="203"/>
      <c r="H516" s="203"/>
      <c r="I516" s="203"/>
      <c r="J516" s="203"/>
      <c r="K516" s="203"/>
      <c r="L516" s="203"/>
      <c r="M516" s="203"/>
      <c r="N516" s="203"/>
      <c r="O516" s="203"/>
      <c r="P516" s="203"/>
      <c r="Q516" s="203"/>
      <c r="R516" s="203"/>
      <c r="S516" s="203"/>
      <c r="T516" s="203"/>
      <c r="U516" s="203"/>
      <c r="V516" s="203"/>
      <c r="W516" s="203"/>
      <c r="X516" s="203"/>
      <c r="Y516" s="203"/>
      <c r="Z516" s="203"/>
    </row>
    <row r="517" ht="12.75" customHeight="1">
      <c r="A517" s="203"/>
      <c r="B517" s="203"/>
      <c r="C517" s="203"/>
      <c r="D517" s="203"/>
      <c r="E517" s="203"/>
      <c r="F517" s="203"/>
      <c r="G517" s="203"/>
      <c r="H517" s="203"/>
      <c r="I517" s="203"/>
      <c r="J517" s="203"/>
      <c r="K517" s="203"/>
      <c r="L517" s="203"/>
      <c r="M517" s="203"/>
      <c r="N517" s="203"/>
      <c r="O517" s="203"/>
      <c r="P517" s="203"/>
      <c r="Q517" s="203"/>
      <c r="R517" s="203"/>
      <c r="S517" s="203"/>
      <c r="T517" s="203"/>
      <c r="U517" s="203"/>
      <c r="V517" s="203"/>
      <c r="W517" s="203"/>
      <c r="X517" s="203"/>
      <c r="Y517" s="203"/>
      <c r="Z517" s="203"/>
    </row>
    <row r="518" ht="12.75" customHeight="1">
      <c r="A518" s="203"/>
      <c r="B518" s="203"/>
      <c r="C518" s="203"/>
      <c r="D518" s="203"/>
      <c r="E518" s="203"/>
      <c r="F518" s="203"/>
      <c r="G518" s="203"/>
      <c r="H518" s="203"/>
      <c r="I518" s="203"/>
      <c r="J518" s="203"/>
      <c r="K518" s="203"/>
      <c r="L518" s="203"/>
      <c r="M518" s="203"/>
      <c r="N518" s="203"/>
      <c r="O518" s="203"/>
      <c r="P518" s="203"/>
      <c r="Q518" s="203"/>
      <c r="R518" s="203"/>
      <c r="S518" s="203"/>
      <c r="T518" s="203"/>
      <c r="U518" s="203"/>
      <c r="V518" s="203"/>
      <c r="W518" s="203"/>
      <c r="X518" s="203"/>
      <c r="Y518" s="203"/>
      <c r="Z518" s="203"/>
    </row>
    <row r="519" ht="12.75" customHeight="1">
      <c r="A519" s="203"/>
      <c r="B519" s="203"/>
      <c r="C519" s="203"/>
      <c r="D519" s="203"/>
      <c r="E519" s="203"/>
      <c r="F519" s="203"/>
      <c r="G519" s="203"/>
      <c r="H519" s="203"/>
      <c r="I519" s="203"/>
      <c r="J519" s="203"/>
      <c r="K519" s="203"/>
      <c r="L519" s="203"/>
      <c r="M519" s="203"/>
      <c r="N519" s="203"/>
      <c r="O519" s="203"/>
      <c r="P519" s="203"/>
      <c r="Q519" s="203"/>
      <c r="R519" s="203"/>
      <c r="S519" s="203"/>
      <c r="T519" s="203"/>
      <c r="U519" s="203"/>
      <c r="V519" s="203"/>
      <c r="W519" s="203"/>
      <c r="X519" s="203"/>
      <c r="Y519" s="203"/>
      <c r="Z519" s="203"/>
    </row>
    <row r="520" ht="12.75" customHeight="1">
      <c r="A520" s="203"/>
      <c r="B520" s="203"/>
      <c r="C520" s="203"/>
      <c r="D520" s="203"/>
      <c r="E520" s="203"/>
      <c r="F520" s="203"/>
      <c r="G520" s="203"/>
      <c r="H520" s="203"/>
      <c r="I520" s="203"/>
      <c r="J520" s="203"/>
      <c r="K520" s="203"/>
      <c r="L520" s="203"/>
      <c r="M520" s="203"/>
      <c r="N520" s="203"/>
      <c r="O520" s="203"/>
      <c r="P520" s="203"/>
      <c r="Q520" s="203"/>
      <c r="R520" s="203"/>
      <c r="S520" s="203"/>
      <c r="T520" s="203"/>
      <c r="U520" s="203"/>
      <c r="V520" s="203"/>
      <c r="W520" s="203"/>
      <c r="X520" s="203"/>
      <c r="Y520" s="203"/>
      <c r="Z520" s="203"/>
    </row>
    <row r="521" ht="12.75" customHeight="1">
      <c r="A521" s="203"/>
      <c r="B521" s="203"/>
      <c r="C521" s="203"/>
      <c r="D521" s="203"/>
      <c r="E521" s="203"/>
      <c r="F521" s="203"/>
      <c r="G521" s="203"/>
      <c r="H521" s="203"/>
      <c r="I521" s="203"/>
      <c r="J521" s="203"/>
      <c r="K521" s="203"/>
      <c r="L521" s="203"/>
      <c r="M521" s="203"/>
      <c r="N521" s="203"/>
      <c r="O521" s="203"/>
      <c r="P521" s="203"/>
      <c r="Q521" s="203"/>
      <c r="R521" s="203"/>
      <c r="S521" s="203"/>
      <c r="T521" s="203"/>
      <c r="U521" s="203"/>
      <c r="V521" s="203"/>
      <c r="W521" s="203"/>
      <c r="X521" s="203"/>
      <c r="Y521" s="203"/>
      <c r="Z521" s="203"/>
    </row>
    <row r="522" ht="12.75" customHeight="1">
      <c r="A522" s="203"/>
      <c r="B522" s="203"/>
      <c r="C522" s="203"/>
      <c r="D522" s="203"/>
      <c r="E522" s="203"/>
      <c r="F522" s="203"/>
      <c r="G522" s="203"/>
      <c r="H522" s="203"/>
      <c r="I522" s="203"/>
      <c r="J522" s="203"/>
      <c r="K522" s="203"/>
      <c r="L522" s="203"/>
      <c r="M522" s="203"/>
      <c r="N522" s="203"/>
      <c r="O522" s="203"/>
      <c r="P522" s="203"/>
      <c r="Q522" s="203"/>
      <c r="R522" s="203"/>
      <c r="S522" s="203"/>
      <c r="T522" s="203"/>
      <c r="U522" s="203"/>
      <c r="V522" s="203"/>
      <c r="W522" s="203"/>
      <c r="X522" s="203"/>
      <c r="Y522" s="203"/>
      <c r="Z522" s="203"/>
    </row>
    <row r="523" ht="12.75" customHeight="1">
      <c r="A523" s="203"/>
      <c r="B523" s="203"/>
      <c r="C523" s="203"/>
      <c r="D523" s="203"/>
      <c r="E523" s="203"/>
      <c r="F523" s="203"/>
      <c r="G523" s="203"/>
      <c r="H523" s="203"/>
      <c r="I523" s="203"/>
      <c r="J523" s="203"/>
      <c r="K523" s="203"/>
      <c r="L523" s="203"/>
      <c r="M523" s="203"/>
      <c r="N523" s="203"/>
      <c r="O523" s="203"/>
      <c r="P523" s="203"/>
      <c r="Q523" s="203"/>
      <c r="R523" s="203"/>
      <c r="S523" s="203"/>
      <c r="T523" s="203"/>
      <c r="U523" s="203"/>
      <c r="V523" s="203"/>
      <c r="W523" s="203"/>
      <c r="X523" s="203"/>
      <c r="Y523" s="203"/>
      <c r="Z523" s="203"/>
    </row>
    <row r="524" ht="12.75" customHeight="1">
      <c r="A524" s="203"/>
      <c r="B524" s="203"/>
      <c r="C524" s="203"/>
      <c r="D524" s="203"/>
      <c r="E524" s="203"/>
      <c r="F524" s="203"/>
      <c r="G524" s="203"/>
      <c r="H524" s="203"/>
      <c r="I524" s="203"/>
      <c r="J524" s="203"/>
      <c r="K524" s="203"/>
      <c r="L524" s="203"/>
      <c r="M524" s="203"/>
      <c r="N524" s="203"/>
      <c r="O524" s="203"/>
      <c r="P524" s="203"/>
      <c r="Q524" s="203"/>
      <c r="R524" s="203"/>
      <c r="S524" s="203"/>
      <c r="T524" s="203"/>
      <c r="U524" s="203"/>
      <c r="V524" s="203"/>
      <c r="W524" s="203"/>
      <c r="X524" s="203"/>
      <c r="Y524" s="203"/>
      <c r="Z524" s="203"/>
    </row>
    <row r="525" ht="12.75" customHeight="1">
      <c r="A525" s="203"/>
      <c r="B525" s="203"/>
      <c r="C525" s="203"/>
      <c r="D525" s="203"/>
      <c r="E525" s="203"/>
      <c r="F525" s="203"/>
      <c r="G525" s="203"/>
      <c r="H525" s="203"/>
      <c r="I525" s="203"/>
      <c r="J525" s="203"/>
      <c r="K525" s="203"/>
      <c r="L525" s="203"/>
      <c r="M525" s="203"/>
      <c r="N525" s="203"/>
      <c r="O525" s="203"/>
      <c r="P525" s="203"/>
      <c r="Q525" s="203"/>
      <c r="R525" s="203"/>
      <c r="S525" s="203"/>
      <c r="T525" s="203"/>
      <c r="U525" s="203"/>
      <c r="V525" s="203"/>
      <c r="W525" s="203"/>
      <c r="X525" s="203"/>
      <c r="Y525" s="203"/>
      <c r="Z525" s="203"/>
    </row>
    <row r="526" ht="12.75" customHeight="1">
      <c r="A526" s="203"/>
      <c r="B526" s="203"/>
      <c r="C526" s="203"/>
      <c r="D526" s="203"/>
      <c r="E526" s="203"/>
      <c r="F526" s="203"/>
      <c r="G526" s="203"/>
      <c r="H526" s="203"/>
      <c r="I526" s="203"/>
      <c r="J526" s="203"/>
      <c r="K526" s="203"/>
      <c r="L526" s="203"/>
      <c r="M526" s="203"/>
      <c r="N526" s="203"/>
      <c r="O526" s="203"/>
      <c r="P526" s="203"/>
      <c r="Q526" s="203"/>
      <c r="R526" s="203"/>
      <c r="S526" s="203"/>
      <c r="T526" s="203"/>
      <c r="U526" s="203"/>
      <c r="V526" s="203"/>
      <c r="W526" s="203"/>
      <c r="X526" s="203"/>
      <c r="Y526" s="203"/>
      <c r="Z526" s="203"/>
    </row>
    <row r="527" ht="12.75" customHeight="1">
      <c r="A527" s="203"/>
      <c r="B527" s="203"/>
      <c r="C527" s="203"/>
      <c r="D527" s="203"/>
      <c r="E527" s="203"/>
      <c r="F527" s="203"/>
      <c r="G527" s="203"/>
      <c r="H527" s="203"/>
      <c r="I527" s="203"/>
      <c r="J527" s="203"/>
      <c r="K527" s="203"/>
      <c r="L527" s="203"/>
      <c r="M527" s="203"/>
      <c r="N527" s="203"/>
      <c r="O527" s="203"/>
      <c r="P527" s="203"/>
      <c r="Q527" s="203"/>
      <c r="R527" s="203"/>
      <c r="S527" s="203"/>
      <c r="T527" s="203"/>
      <c r="U527" s="203"/>
      <c r="V527" s="203"/>
      <c r="W527" s="203"/>
      <c r="X527" s="203"/>
      <c r="Y527" s="203"/>
      <c r="Z527" s="203"/>
    </row>
    <row r="528" ht="12.75" customHeight="1">
      <c r="A528" s="203"/>
      <c r="B528" s="203"/>
      <c r="C528" s="203"/>
      <c r="D528" s="203"/>
      <c r="E528" s="203"/>
      <c r="F528" s="203"/>
      <c r="G528" s="203"/>
      <c r="H528" s="203"/>
      <c r="I528" s="203"/>
      <c r="J528" s="203"/>
      <c r="K528" s="203"/>
      <c r="L528" s="203"/>
      <c r="M528" s="203"/>
      <c r="N528" s="203"/>
      <c r="O528" s="203"/>
      <c r="P528" s="203"/>
      <c r="Q528" s="203"/>
      <c r="R528" s="203"/>
      <c r="S528" s="203"/>
      <c r="T528" s="203"/>
      <c r="U528" s="203"/>
      <c r="V528" s="203"/>
      <c r="W528" s="203"/>
      <c r="X528" s="203"/>
      <c r="Y528" s="203"/>
      <c r="Z528" s="203"/>
    </row>
    <row r="529" ht="12.75" customHeight="1">
      <c r="A529" s="203"/>
      <c r="B529" s="203"/>
      <c r="C529" s="203"/>
      <c r="D529" s="203"/>
      <c r="E529" s="203"/>
      <c r="F529" s="203"/>
      <c r="G529" s="203"/>
      <c r="H529" s="203"/>
      <c r="I529" s="203"/>
      <c r="J529" s="203"/>
      <c r="K529" s="203"/>
      <c r="L529" s="203"/>
      <c r="M529" s="203"/>
      <c r="N529" s="203"/>
      <c r="O529" s="203"/>
      <c r="P529" s="203"/>
      <c r="Q529" s="203"/>
      <c r="R529" s="203"/>
      <c r="S529" s="203"/>
      <c r="T529" s="203"/>
      <c r="U529" s="203"/>
      <c r="V529" s="203"/>
      <c r="W529" s="203"/>
      <c r="X529" s="203"/>
      <c r="Y529" s="203"/>
      <c r="Z529" s="203"/>
    </row>
    <row r="530" ht="12.75" customHeight="1">
      <c r="A530" s="203"/>
      <c r="B530" s="203"/>
      <c r="C530" s="203"/>
      <c r="D530" s="203"/>
      <c r="E530" s="203"/>
      <c r="F530" s="203"/>
      <c r="G530" s="203"/>
      <c r="H530" s="203"/>
      <c r="I530" s="203"/>
      <c r="J530" s="203"/>
      <c r="K530" s="203"/>
      <c r="L530" s="203"/>
      <c r="M530" s="203"/>
      <c r="N530" s="203"/>
      <c r="O530" s="203"/>
      <c r="P530" s="203"/>
      <c r="Q530" s="203"/>
      <c r="R530" s="203"/>
      <c r="S530" s="203"/>
      <c r="T530" s="203"/>
      <c r="U530" s="203"/>
      <c r="V530" s="203"/>
      <c r="W530" s="203"/>
      <c r="X530" s="203"/>
      <c r="Y530" s="203"/>
      <c r="Z530" s="203"/>
    </row>
    <row r="531" ht="12.75" customHeight="1">
      <c r="A531" s="203"/>
      <c r="B531" s="203"/>
      <c r="C531" s="203"/>
      <c r="D531" s="203"/>
      <c r="E531" s="203"/>
      <c r="F531" s="203"/>
      <c r="G531" s="203"/>
      <c r="H531" s="203"/>
      <c r="I531" s="203"/>
      <c r="J531" s="203"/>
      <c r="K531" s="203"/>
      <c r="L531" s="203"/>
      <c r="M531" s="203"/>
      <c r="N531" s="203"/>
      <c r="O531" s="203"/>
      <c r="P531" s="203"/>
      <c r="Q531" s="203"/>
      <c r="R531" s="203"/>
      <c r="S531" s="203"/>
      <c r="T531" s="203"/>
      <c r="U531" s="203"/>
      <c r="V531" s="203"/>
      <c r="W531" s="203"/>
      <c r="X531" s="203"/>
      <c r="Y531" s="203"/>
      <c r="Z531" s="203"/>
    </row>
    <row r="532" ht="12.75" customHeight="1">
      <c r="A532" s="203"/>
      <c r="B532" s="203"/>
      <c r="C532" s="203"/>
      <c r="D532" s="203"/>
      <c r="E532" s="203"/>
      <c r="F532" s="203"/>
      <c r="G532" s="203"/>
      <c r="H532" s="203"/>
      <c r="I532" s="203"/>
      <c r="J532" s="203"/>
      <c r="K532" s="203"/>
      <c r="L532" s="203"/>
      <c r="M532" s="203"/>
      <c r="N532" s="203"/>
      <c r="O532" s="203"/>
      <c r="P532" s="203"/>
      <c r="Q532" s="203"/>
      <c r="R532" s="203"/>
      <c r="S532" s="203"/>
      <c r="T532" s="203"/>
      <c r="U532" s="203"/>
      <c r="V532" s="203"/>
      <c r="W532" s="203"/>
      <c r="X532" s="203"/>
      <c r="Y532" s="203"/>
      <c r="Z532" s="203"/>
    </row>
    <row r="533" ht="12.75" customHeight="1">
      <c r="A533" s="203"/>
      <c r="B533" s="203"/>
      <c r="C533" s="203"/>
      <c r="D533" s="203"/>
      <c r="E533" s="203"/>
      <c r="F533" s="203"/>
      <c r="G533" s="203"/>
      <c r="H533" s="203"/>
      <c r="I533" s="203"/>
      <c r="J533" s="203"/>
      <c r="K533" s="203"/>
      <c r="L533" s="203"/>
      <c r="M533" s="203"/>
      <c r="N533" s="203"/>
      <c r="O533" s="203"/>
      <c r="P533" s="203"/>
      <c r="Q533" s="203"/>
      <c r="R533" s="203"/>
      <c r="S533" s="203"/>
      <c r="T533" s="203"/>
      <c r="U533" s="203"/>
      <c r="V533" s="203"/>
      <c r="W533" s="203"/>
      <c r="X533" s="203"/>
      <c r="Y533" s="203"/>
      <c r="Z533" s="203"/>
    </row>
    <row r="534" ht="12.75" customHeight="1">
      <c r="A534" s="203"/>
      <c r="B534" s="203"/>
      <c r="C534" s="203"/>
      <c r="D534" s="203"/>
      <c r="E534" s="203"/>
      <c r="F534" s="203"/>
      <c r="G534" s="203"/>
      <c r="H534" s="203"/>
      <c r="I534" s="203"/>
      <c r="J534" s="203"/>
      <c r="K534" s="203"/>
      <c r="L534" s="203"/>
      <c r="M534" s="203"/>
      <c r="N534" s="203"/>
      <c r="O534" s="203"/>
      <c r="P534" s="203"/>
      <c r="Q534" s="203"/>
      <c r="R534" s="203"/>
      <c r="S534" s="203"/>
      <c r="T534" s="203"/>
      <c r="U534" s="203"/>
      <c r="V534" s="203"/>
      <c r="W534" s="203"/>
      <c r="X534" s="203"/>
      <c r="Y534" s="203"/>
      <c r="Z534" s="203"/>
    </row>
    <row r="535" ht="12.75" customHeight="1">
      <c r="A535" s="203"/>
      <c r="B535" s="203"/>
      <c r="C535" s="203"/>
      <c r="D535" s="203"/>
      <c r="E535" s="203"/>
      <c r="F535" s="203"/>
      <c r="G535" s="203"/>
      <c r="H535" s="203"/>
      <c r="I535" s="203"/>
      <c r="J535" s="203"/>
      <c r="K535" s="203"/>
      <c r="L535" s="203"/>
      <c r="M535" s="203"/>
      <c r="N535" s="203"/>
      <c r="O535" s="203"/>
      <c r="P535" s="203"/>
      <c r="Q535" s="203"/>
      <c r="R535" s="203"/>
      <c r="S535" s="203"/>
      <c r="T535" s="203"/>
      <c r="U535" s="203"/>
      <c r="V535" s="203"/>
      <c r="W535" s="203"/>
      <c r="X535" s="203"/>
      <c r="Y535" s="203"/>
      <c r="Z535" s="203"/>
    </row>
    <row r="536" ht="12.75" customHeight="1">
      <c r="A536" s="203"/>
      <c r="B536" s="203"/>
      <c r="C536" s="203"/>
      <c r="D536" s="203"/>
      <c r="E536" s="203"/>
      <c r="F536" s="203"/>
      <c r="G536" s="203"/>
      <c r="H536" s="203"/>
      <c r="I536" s="203"/>
      <c r="J536" s="203"/>
      <c r="K536" s="203"/>
      <c r="L536" s="203"/>
      <c r="M536" s="203"/>
      <c r="N536" s="203"/>
      <c r="O536" s="203"/>
      <c r="P536" s="203"/>
      <c r="Q536" s="203"/>
      <c r="R536" s="203"/>
      <c r="S536" s="203"/>
      <c r="T536" s="203"/>
      <c r="U536" s="203"/>
      <c r="V536" s="203"/>
      <c r="W536" s="203"/>
      <c r="X536" s="203"/>
      <c r="Y536" s="203"/>
      <c r="Z536" s="203"/>
    </row>
    <row r="537" ht="12.75" customHeight="1">
      <c r="A537" s="203"/>
      <c r="B537" s="203"/>
      <c r="C537" s="203"/>
      <c r="D537" s="203"/>
      <c r="E537" s="203"/>
      <c r="F537" s="203"/>
      <c r="G537" s="203"/>
      <c r="H537" s="203"/>
      <c r="I537" s="203"/>
      <c r="J537" s="203"/>
      <c r="K537" s="203"/>
      <c r="L537" s="203"/>
      <c r="M537" s="203"/>
      <c r="N537" s="203"/>
      <c r="O537" s="203"/>
      <c r="P537" s="203"/>
      <c r="Q537" s="203"/>
      <c r="R537" s="203"/>
      <c r="S537" s="203"/>
      <c r="T537" s="203"/>
      <c r="U537" s="203"/>
      <c r="V537" s="203"/>
      <c r="W537" s="203"/>
      <c r="X537" s="203"/>
      <c r="Y537" s="203"/>
      <c r="Z537" s="203"/>
    </row>
    <row r="538" ht="12.75" customHeight="1">
      <c r="A538" s="203"/>
      <c r="B538" s="203"/>
      <c r="C538" s="203"/>
      <c r="D538" s="203"/>
      <c r="E538" s="203"/>
      <c r="F538" s="203"/>
      <c r="G538" s="203"/>
      <c r="H538" s="203"/>
      <c r="I538" s="203"/>
      <c r="J538" s="203"/>
      <c r="K538" s="203"/>
      <c r="L538" s="203"/>
      <c r="M538" s="203"/>
      <c r="N538" s="203"/>
      <c r="O538" s="203"/>
      <c r="P538" s="203"/>
      <c r="Q538" s="203"/>
      <c r="R538" s="203"/>
      <c r="S538" s="203"/>
      <c r="T538" s="203"/>
      <c r="U538" s="203"/>
      <c r="V538" s="203"/>
      <c r="W538" s="203"/>
      <c r="X538" s="203"/>
      <c r="Y538" s="203"/>
      <c r="Z538" s="203"/>
    </row>
    <row r="539" ht="12.75" customHeight="1">
      <c r="A539" s="203"/>
      <c r="B539" s="203"/>
      <c r="C539" s="203"/>
      <c r="D539" s="203"/>
      <c r="E539" s="203"/>
      <c r="F539" s="203"/>
      <c r="G539" s="203"/>
      <c r="H539" s="203"/>
      <c r="I539" s="203"/>
      <c r="J539" s="203"/>
      <c r="K539" s="203"/>
      <c r="L539" s="203"/>
      <c r="M539" s="203"/>
      <c r="N539" s="203"/>
      <c r="O539" s="203"/>
      <c r="P539" s="203"/>
      <c r="Q539" s="203"/>
      <c r="R539" s="203"/>
      <c r="S539" s="203"/>
      <c r="T539" s="203"/>
      <c r="U539" s="203"/>
      <c r="V539" s="203"/>
      <c r="W539" s="203"/>
      <c r="X539" s="203"/>
      <c r="Y539" s="203"/>
      <c r="Z539" s="203"/>
    </row>
    <row r="540" ht="12.75" customHeight="1">
      <c r="A540" s="203"/>
      <c r="B540" s="203"/>
      <c r="C540" s="203"/>
      <c r="D540" s="203"/>
      <c r="E540" s="203"/>
      <c r="F540" s="203"/>
      <c r="G540" s="203"/>
      <c r="H540" s="203"/>
      <c r="I540" s="203"/>
      <c r="J540" s="203"/>
      <c r="K540" s="203"/>
      <c r="L540" s="203"/>
      <c r="M540" s="203"/>
      <c r="N540" s="203"/>
      <c r="O540" s="203"/>
      <c r="P540" s="203"/>
      <c r="Q540" s="203"/>
      <c r="R540" s="203"/>
      <c r="S540" s="203"/>
      <c r="T540" s="203"/>
      <c r="U540" s="203"/>
      <c r="V540" s="203"/>
      <c r="W540" s="203"/>
      <c r="X540" s="203"/>
      <c r="Y540" s="203"/>
      <c r="Z540" s="203"/>
    </row>
    <row r="541" ht="12.75" customHeight="1">
      <c r="A541" s="203"/>
      <c r="B541" s="203"/>
      <c r="C541" s="203"/>
      <c r="D541" s="203"/>
      <c r="E541" s="203"/>
      <c r="F541" s="203"/>
      <c r="G541" s="203"/>
      <c r="H541" s="203"/>
      <c r="I541" s="203"/>
      <c r="J541" s="203"/>
      <c r="K541" s="203"/>
      <c r="L541" s="203"/>
      <c r="M541" s="203"/>
      <c r="N541" s="203"/>
      <c r="O541" s="203"/>
      <c r="P541" s="203"/>
      <c r="Q541" s="203"/>
      <c r="R541" s="203"/>
      <c r="S541" s="203"/>
      <c r="T541" s="203"/>
      <c r="U541" s="203"/>
      <c r="V541" s="203"/>
      <c r="W541" s="203"/>
      <c r="X541" s="203"/>
      <c r="Y541" s="203"/>
      <c r="Z541" s="203"/>
    </row>
    <row r="542" ht="12.75" customHeight="1">
      <c r="A542" s="203"/>
      <c r="B542" s="203"/>
      <c r="C542" s="203"/>
      <c r="D542" s="203"/>
      <c r="E542" s="203"/>
      <c r="F542" s="203"/>
      <c r="G542" s="203"/>
      <c r="H542" s="203"/>
      <c r="I542" s="203"/>
      <c r="J542" s="203"/>
      <c r="K542" s="203"/>
      <c r="L542" s="203"/>
      <c r="M542" s="203"/>
      <c r="N542" s="203"/>
      <c r="O542" s="203"/>
      <c r="P542" s="203"/>
      <c r="Q542" s="203"/>
      <c r="R542" s="203"/>
      <c r="S542" s="203"/>
      <c r="T542" s="203"/>
      <c r="U542" s="203"/>
      <c r="V542" s="203"/>
      <c r="W542" s="203"/>
      <c r="X542" s="203"/>
      <c r="Y542" s="203"/>
      <c r="Z542" s="203"/>
    </row>
    <row r="543" ht="12.75" customHeight="1">
      <c r="A543" s="203"/>
      <c r="B543" s="203"/>
      <c r="C543" s="203"/>
      <c r="D543" s="203"/>
      <c r="E543" s="203"/>
      <c r="F543" s="203"/>
      <c r="G543" s="203"/>
      <c r="H543" s="203"/>
      <c r="I543" s="203"/>
      <c r="J543" s="203"/>
      <c r="K543" s="203"/>
      <c r="L543" s="203"/>
      <c r="M543" s="203"/>
      <c r="N543" s="203"/>
      <c r="O543" s="203"/>
      <c r="P543" s="203"/>
      <c r="Q543" s="203"/>
      <c r="R543" s="203"/>
      <c r="S543" s="203"/>
      <c r="T543" s="203"/>
      <c r="U543" s="203"/>
      <c r="V543" s="203"/>
      <c r="W543" s="203"/>
      <c r="X543" s="203"/>
      <c r="Y543" s="203"/>
      <c r="Z543" s="203"/>
    </row>
    <row r="544" ht="12.75" customHeight="1">
      <c r="A544" s="203"/>
      <c r="B544" s="203"/>
      <c r="C544" s="203"/>
      <c r="D544" s="203"/>
      <c r="E544" s="203"/>
      <c r="F544" s="203"/>
      <c r="G544" s="203"/>
      <c r="H544" s="203"/>
      <c r="I544" s="203"/>
      <c r="J544" s="203"/>
      <c r="K544" s="203"/>
      <c r="L544" s="203"/>
      <c r="M544" s="203"/>
      <c r="N544" s="203"/>
      <c r="O544" s="203"/>
      <c r="P544" s="203"/>
      <c r="Q544" s="203"/>
      <c r="R544" s="203"/>
      <c r="S544" s="203"/>
      <c r="T544" s="203"/>
      <c r="U544" s="203"/>
      <c r="V544" s="203"/>
      <c r="W544" s="203"/>
      <c r="X544" s="203"/>
      <c r="Y544" s="203"/>
      <c r="Z544" s="203"/>
    </row>
    <row r="545" ht="12.75" customHeight="1">
      <c r="A545" s="203"/>
      <c r="B545" s="203"/>
      <c r="C545" s="203"/>
      <c r="D545" s="203"/>
      <c r="E545" s="203"/>
      <c r="F545" s="203"/>
      <c r="G545" s="203"/>
      <c r="H545" s="203"/>
      <c r="I545" s="203"/>
      <c r="J545" s="203"/>
      <c r="K545" s="203"/>
      <c r="L545" s="203"/>
      <c r="M545" s="203"/>
      <c r="N545" s="203"/>
      <c r="O545" s="203"/>
      <c r="P545" s="203"/>
      <c r="Q545" s="203"/>
      <c r="R545" s="203"/>
      <c r="S545" s="203"/>
      <c r="T545" s="203"/>
      <c r="U545" s="203"/>
      <c r="V545" s="203"/>
      <c r="W545" s="203"/>
      <c r="X545" s="203"/>
      <c r="Y545" s="203"/>
      <c r="Z545" s="203"/>
    </row>
    <row r="546" ht="12.75" customHeight="1">
      <c r="A546" s="203"/>
      <c r="B546" s="203"/>
      <c r="C546" s="203"/>
      <c r="D546" s="203"/>
      <c r="E546" s="203"/>
      <c r="F546" s="203"/>
      <c r="G546" s="203"/>
      <c r="H546" s="203"/>
      <c r="I546" s="203"/>
      <c r="J546" s="203"/>
      <c r="K546" s="203"/>
      <c r="L546" s="203"/>
      <c r="M546" s="203"/>
      <c r="N546" s="203"/>
      <c r="O546" s="203"/>
      <c r="P546" s="203"/>
      <c r="Q546" s="203"/>
      <c r="R546" s="203"/>
      <c r="S546" s="203"/>
      <c r="T546" s="203"/>
      <c r="U546" s="203"/>
      <c r="V546" s="203"/>
      <c r="W546" s="203"/>
      <c r="X546" s="203"/>
      <c r="Y546" s="203"/>
      <c r="Z546" s="203"/>
    </row>
    <row r="547" ht="12.75" customHeight="1">
      <c r="A547" s="203"/>
      <c r="B547" s="203"/>
      <c r="C547" s="203"/>
      <c r="D547" s="203"/>
      <c r="E547" s="203"/>
      <c r="F547" s="203"/>
      <c r="G547" s="203"/>
      <c r="H547" s="203"/>
      <c r="I547" s="203"/>
      <c r="J547" s="203"/>
      <c r="K547" s="203"/>
      <c r="L547" s="203"/>
      <c r="M547" s="203"/>
      <c r="N547" s="203"/>
      <c r="O547" s="203"/>
      <c r="P547" s="203"/>
      <c r="Q547" s="203"/>
      <c r="R547" s="203"/>
      <c r="S547" s="203"/>
      <c r="T547" s="203"/>
      <c r="U547" s="203"/>
      <c r="V547" s="203"/>
      <c r="W547" s="203"/>
      <c r="X547" s="203"/>
      <c r="Y547" s="203"/>
      <c r="Z547" s="203"/>
    </row>
    <row r="548" ht="12.75" customHeight="1">
      <c r="A548" s="203"/>
      <c r="B548" s="203"/>
      <c r="C548" s="203"/>
      <c r="D548" s="203"/>
      <c r="E548" s="203"/>
      <c r="F548" s="203"/>
      <c r="G548" s="203"/>
      <c r="H548" s="203"/>
      <c r="I548" s="203"/>
      <c r="J548" s="203"/>
      <c r="K548" s="203"/>
      <c r="L548" s="203"/>
      <c r="M548" s="203"/>
      <c r="N548" s="203"/>
      <c r="O548" s="203"/>
      <c r="P548" s="203"/>
      <c r="Q548" s="203"/>
      <c r="R548" s="203"/>
      <c r="S548" s="203"/>
      <c r="T548" s="203"/>
      <c r="U548" s="203"/>
      <c r="V548" s="203"/>
      <c r="W548" s="203"/>
      <c r="X548" s="203"/>
      <c r="Y548" s="203"/>
      <c r="Z548" s="203"/>
    </row>
    <row r="549" ht="12.75" customHeight="1">
      <c r="A549" s="203"/>
      <c r="B549" s="203"/>
      <c r="C549" s="203"/>
      <c r="D549" s="203"/>
      <c r="E549" s="203"/>
      <c r="F549" s="203"/>
      <c r="G549" s="203"/>
      <c r="H549" s="203"/>
      <c r="I549" s="203"/>
      <c r="J549" s="203"/>
      <c r="K549" s="203"/>
      <c r="L549" s="203"/>
      <c r="M549" s="203"/>
      <c r="N549" s="203"/>
      <c r="O549" s="203"/>
      <c r="P549" s="203"/>
      <c r="Q549" s="203"/>
      <c r="R549" s="203"/>
      <c r="S549" s="203"/>
      <c r="T549" s="203"/>
      <c r="U549" s="203"/>
      <c r="V549" s="203"/>
      <c r="W549" s="203"/>
      <c r="X549" s="203"/>
      <c r="Y549" s="203"/>
      <c r="Z549" s="203"/>
    </row>
    <row r="550" ht="12.75" customHeight="1">
      <c r="A550" s="203"/>
      <c r="B550" s="203"/>
      <c r="C550" s="203"/>
      <c r="D550" s="203"/>
      <c r="E550" s="203"/>
      <c r="F550" s="203"/>
      <c r="G550" s="203"/>
      <c r="H550" s="203"/>
      <c r="I550" s="203"/>
      <c r="J550" s="203"/>
      <c r="K550" s="203"/>
      <c r="L550" s="203"/>
      <c r="M550" s="203"/>
      <c r="N550" s="203"/>
      <c r="O550" s="203"/>
      <c r="P550" s="203"/>
      <c r="Q550" s="203"/>
      <c r="R550" s="203"/>
      <c r="S550" s="203"/>
      <c r="T550" s="203"/>
      <c r="U550" s="203"/>
      <c r="V550" s="203"/>
      <c r="W550" s="203"/>
      <c r="X550" s="203"/>
      <c r="Y550" s="203"/>
      <c r="Z550" s="203"/>
    </row>
    <row r="551" ht="12.75" customHeight="1">
      <c r="A551" s="203"/>
      <c r="B551" s="203"/>
      <c r="C551" s="203"/>
      <c r="D551" s="203"/>
      <c r="E551" s="203"/>
      <c r="F551" s="203"/>
      <c r="G551" s="203"/>
      <c r="H551" s="203"/>
      <c r="I551" s="203"/>
      <c r="J551" s="203"/>
      <c r="K551" s="203"/>
      <c r="L551" s="203"/>
      <c r="M551" s="203"/>
      <c r="N551" s="203"/>
      <c r="O551" s="203"/>
      <c r="P551" s="203"/>
      <c r="Q551" s="203"/>
      <c r="R551" s="203"/>
      <c r="S551" s="203"/>
      <c r="T551" s="203"/>
      <c r="U551" s="203"/>
      <c r="V551" s="203"/>
      <c r="W551" s="203"/>
      <c r="X551" s="203"/>
      <c r="Y551" s="203"/>
      <c r="Z551" s="203"/>
    </row>
    <row r="552" ht="12.75" customHeight="1">
      <c r="A552" s="203"/>
      <c r="B552" s="203"/>
      <c r="C552" s="203"/>
      <c r="D552" s="203"/>
      <c r="E552" s="203"/>
      <c r="F552" s="203"/>
      <c r="G552" s="203"/>
      <c r="H552" s="203"/>
      <c r="I552" s="203"/>
      <c r="J552" s="203"/>
      <c r="K552" s="203"/>
      <c r="L552" s="203"/>
      <c r="M552" s="203"/>
      <c r="N552" s="203"/>
      <c r="O552" s="203"/>
      <c r="P552" s="203"/>
      <c r="Q552" s="203"/>
      <c r="R552" s="203"/>
      <c r="S552" s="203"/>
      <c r="T552" s="203"/>
      <c r="U552" s="203"/>
      <c r="V552" s="203"/>
      <c r="W552" s="203"/>
      <c r="X552" s="203"/>
      <c r="Y552" s="203"/>
      <c r="Z552" s="203"/>
    </row>
    <row r="553" ht="12.75" customHeight="1">
      <c r="A553" s="203"/>
      <c r="B553" s="203"/>
      <c r="C553" s="203"/>
      <c r="D553" s="203"/>
      <c r="E553" s="203"/>
      <c r="F553" s="203"/>
      <c r="G553" s="203"/>
      <c r="H553" s="203"/>
      <c r="I553" s="203"/>
      <c r="J553" s="203"/>
      <c r="K553" s="203"/>
      <c r="L553" s="203"/>
      <c r="M553" s="203"/>
      <c r="N553" s="203"/>
      <c r="O553" s="203"/>
      <c r="P553" s="203"/>
      <c r="Q553" s="203"/>
      <c r="R553" s="203"/>
      <c r="S553" s="203"/>
      <c r="T553" s="203"/>
      <c r="U553" s="203"/>
      <c r="V553" s="203"/>
      <c r="W553" s="203"/>
      <c r="X553" s="203"/>
      <c r="Y553" s="203"/>
      <c r="Z553" s="203"/>
    </row>
    <row r="554" ht="12.75" customHeight="1">
      <c r="A554" s="203"/>
      <c r="B554" s="203"/>
      <c r="C554" s="203"/>
      <c r="D554" s="203"/>
      <c r="E554" s="203"/>
      <c r="F554" s="203"/>
      <c r="G554" s="203"/>
      <c r="H554" s="203"/>
      <c r="I554" s="203"/>
      <c r="J554" s="203"/>
      <c r="K554" s="203"/>
      <c r="L554" s="203"/>
      <c r="M554" s="203"/>
      <c r="N554" s="203"/>
      <c r="O554" s="203"/>
      <c r="P554" s="203"/>
      <c r="Q554" s="203"/>
      <c r="R554" s="203"/>
      <c r="S554" s="203"/>
      <c r="T554" s="203"/>
      <c r="U554" s="203"/>
      <c r="V554" s="203"/>
      <c r="W554" s="203"/>
      <c r="X554" s="203"/>
      <c r="Y554" s="203"/>
      <c r="Z554" s="203"/>
    </row>
    <row r="555" ht="12.75" customHeight="1">
      <c r="A555" s="203"/>
      <c r="B555" s="203"/>
      <c r="C555" s="203"/>
      <c r="D555" s="203"/>
      <c r="E555" s="203"/>
      <c r="F555" s="203"/>
      <c r="G555" s="203"/>
      <c r="H555" s="203"/>
      <c r="I555" s="203"/>
      <c r="J555" s="203"/>
      <c r="K555" s="203"/>
      <c r="L555" s="203"/>
      <c r="M555" s="203"/>
      <c r="N555" s="203"/>
      <c r="O555" s="203"/>
      <c r="P555" s="203"/>
      <c r="Q555" s="203"/>
      <c r="R555" s="203"/>
      <c r="S555" s="203"/>
      <c r="T555" s="203"/>
      <c r="U555" s="203"/>
      <c r="V555" s="203"/>
      <c r="W555" s="203"/>
      <c r="X555" s="203"/>
      <c r="Y555" s="203"/>
      <c r="Z555" s="203"/>
    </row>
    <row r="556" ht="12.75" customHeight="1">
      <c r="A556" s="203"/>
      <c r="B556" s="203"/>
      <c r="C556" s="203"/>
      <c r="D556" s="203"/>
      <c r="E556" s="203"/>
      <c r="F556" s="203"/>
      <c r="G556" s="203"/>
      <c r="H556" s="203"/>
      <c r="I556" s="203"/>
      <c r="J556" s="203"/>
      <c r="K556" s="203"/>
      <c r="L556" s="203"/>
      <c r="M556" s="203"/>
      <c r="N556" s="203"/>
      <c r="O556" s="203"/>
      <c r="P556" s="203"/>
      <c r="Q556" s="203"/>
      <c r="R556" s="203"/>
      <c r="S556" s="203"/>
      <c r="T556" s="203"/>
      <c r="U556" s="203"/>
      <c r="V556" s="203"/>
      <c r="W556" s="203"/>
      <c r="X556" s="203"/>
      <c r="Y556" s="203"/>
      <c r="Z556" s="203"/>
    </row>
    <row r="557" ht="12.75" customHeight="1">
      <c r="A557" s="203"/>
      <c r="B557" s="203"/>
      <c r="C557" s="203"/>
      <c r="D557" s="203"/>
      <c r="E557" s="203"/>
      <c r="F557" s="203"/>
      <c r="G557" s="203"/>
      <c r="H557" s="203"/>
      <c r="I557" s="203"/>
      <c r="J557" s="203"/>
      <c r="K557" s="203"/>
      <c r="L557" s="203"/>
      <c r="M557" s="203"/>
      <c r="N557" s="203"/>
      <c r="O557" s="203"/>
      <c r="P557" s="203"/>
      <c r="Q557" s="203"/>
      <c r="R557" s="203"/>
      <c r="S557" s="203"/>
      <c r="T557" s="203"/>
      <c r="U557" s="203"/>
      <c r="V557" s="203"/>
      <c r="W557" s="203"/>
      <c r="X557" s="203"/>
      <c r="Y557" s="203"/>
      <c r="Z557" s="203"/>
    </row>
    <row r="558" ht="12.75" customHeight="1">
      <c r="A558" s="203"/>
      <c r="B558" s="203"/>
      <c r="C558" s="203"/>
      <c r="D558" s="203"/>
      <c r="E558" s="203"/>
      <c r="F558" s="203"/>
      <c r="G558" s="203"/>
      <c r="H558" s="203"/>
      <c r="I558" s="203"/>
      <c r="J558" s="203"/>
      <c r="K558" s="203"/>
      <c r="L558" s="203"/>
      <c r="M558" s="203"/>
      <c r="N558" s="203"/>
      <c r="O558" s="203"/>
      <c r="P558" s="203"/>
      <c r="Q558" s="203"/>
      <c r="R558" s="203"/>
      <c r="S558" s="203"/>
      <c r="T558" s="203"/>
      <c r="U558" s="203"/>
      <c r="V558" s="203"/>
      <c r="W558" s="203"/>
      <c r="X558" s="203"/>
      <c r="Y558" s="203"/>
      <c r="Z558" s="203"/>
    </row>
    <row r="559" ht="12.75" customHeight="1">
      <c r="A559" s="203"/>
      <c r="B559" s="203"/>
      <c r="C559" s="203"/>
      <c r="D559" s="203"/>
      <c r="E559" s="203"/>
      <c r="F559" s="203"/>
      <c r="G559" s="203"/>
      <c r="H559" s="203"/>
      <c r="I559" s="203"/>
      <c r="J559" s="203"/>
      <c r="K559" s="203"/>
      <c r="L559" s="203"/>
      <c r="M559" s="203"/>
      <c r="N559" s="203"/>
      <c r="O559" s="203"/>
      <c r="P559" s="203"/>
      <c r="Q559" s="203"/>
      <c r="R559" s="203"/>
      <c r="S559" s="203"/>
      <c r="T559" s="203"/>
      <c r="U559" s="203"/>
      <c r="V559" s="203"/>
      <c r="W559" s="203"/>
      <c r="X559" s="203"/>
      <c r="Y559" s="203"/>
      <c r="Z559" s="203"/>
    </row>
    <row r="560" ht="12.75" customHeight="1">
      <c r="A560" s="203"/>
      <c r="B560" s="203"/>
      <c r="C560" s="203"/>
      <c r="D560" s="203"/>
      <c r="E560" s="203"/>
      <c r="F560" s="203"/>
      <c r="G560" s="203"/>
      <c r="H560" s="203"/>
      <c r="I560" s="203"/>
      <c r="J560" s="203"/>
      <c r="K560" s="203"/>
      <c r="L560" s="203"/>
      <c r="M560" s="203"/>
      <c r="N560" s="203"/>
      <c r="O560" s="203"/>
      <c r="P560" s="203"/>
      <c r="Q560" s="203"/>
      <c r="R560" s="203"/>
      <c r="S560" s="203"/>
      <c r="T560" s="203"/>
      <c r="U560" s="203"/>
      <c r="V560" s="203"/>
      <c r="W560" s="203"/>
      <c r="X560" s="203"/>
      <c r="Y560" s="203"/>
      <c r="Z560" s="203"/>
    </row>
    <row r="561" ht="12.75" customHeight="1">
      <c r="A561" s="203"/>
      <c r="B561" s="203"/>
      <c r="C561" s="203"/>
      <c r="D561" s="203"/>
      <c r="E561" s="203"/>
      <c r="F561" s="203"/>
      <c r="G561" s="203"/>
      <c r="H561" s="203"/>
      <c r="I561" s="203"/>
      <c r="J561" s="203"/>
      <c r="K561" s="203"/>
      <c r="L561" s="203"/>
      <c r="M561" s="203"/>
      <c r="N561" s="203"/>
      <c r="O561" s="203"/>
      <c r="P561" s="203"/>
      <c r="Q561" s="203"/>
      <c r="R561" s="203"/>
      <c r="S561" s="203"/>
      <c r="T561" s="203"/>
      <c r="U561" s="203"/>
      <c r="V561" s="203"/>
      <c r="W561" s="203"/>
      <c r="X561" s="203"/>
      <c r="Y561" s="203"/>
      <c r="Z561" s="203"/>
    </row>
    <row r="562" ht="12.75" customHeight="1">
      <c r="A562" s="203"/>
      <c r="B562" s="203"/>
      <c r="C562" s="203"/>
      <c r="D562" s="203"/>
      <c r="E562" s="203"/>
      <c r="F562" s="203"/>
      <c r="G562" s="203"/>
      <c r="H562" s="203"/>
      <c r="I562" s="203"/>
      <c r="J562" s="203"/>
      <c r="K562" s="203"/>
      <c r="L562" s="203"/>
      <c r="M562" s="203"/>
      <c r="N562" s="203"/>
      <c r="O562" s="203"/>
      <c r="P562" s="203"/>
      <c r="Q562" s="203"/>
      <c r="R562" s="203"/>
      <c r="S562" s="203"/>
      <c r="T562" s="203"/>
      <c r="U562" s="203"/>
      <c r="V562" s="203"/>
      <c r="W562" s="203"/>
      <c r="X562" s="203"/>
      <c r="Y562" s="203"/>
      <c r="Z562" s="203"/>
    </row>
    <row r="563" ht="12.75" customHeight="1">
      <c r="A563" s="203"/>
      <c r="B563" s="203"/>
      <c r="C563" s="203"/>
      <c r="D563" s="203"/>
      <c r="E563" s="203"/>
      <c r="F563" s="203"/>
      <c r="G563" s="203"/>
      <c r="H563" s="203"/>
      <c r="I563" s="203"/>
      <c r="J563" s="203"/>
      <c r="K563" s="203"/>
      <c r="L563" s="203"/>
      <c r="M563" s="203"/>
      <c r="N563" s="203"/>
      <c r="O563" s="203"/>
      <c r="P563" s="203"/>
      <c r="Q563" s="203"/>
      <c r="R563" s="203"/>
      <c r="S563" s="203"/>
      <c r="T563" s="203"/>
      <c r="U563" s="203"/>
      <c r="V563" s="203"/>
      <c r="W563" s="203"/>
      <c r="X563" s="203"/>
      <c r="Y563" s="203"/>
      <c r="Z563" s="203"/>
    </row>
    <row r="564" ht="12.75" customHeight="1">
      <c r="A564" s="203"/>
      <c r="B564" s="203"/>
      <c r="C564" s="203"/>
      <c r="D564" s="203"/>
      <c r="E564" s="203"/>
      <c r="F564" s="203"/>
      <c r="G564" s="203"/>
      <c r="H564" s="203"/>
      <c r="I564" s="203"/>
      <c r="J564" s="203"/>
      <c r="K564" s="203"/>
      <c r="L564" s="203"/>
      <c r="M564" s="203"/>
      <c r="N564" s="203"/>
      <c r="O564" s="203"/>
      <c r="P564" s="203"/>
      <c r="Q564" s="203"/>
      <c r="R564" s="203"/>
      <c r="S564" s="203"/>
      <c r="T564" s="203"/>
      <c r="U564" s="203"/>
      <c r="V564" s="203"/>
      <c r="W564" s="203"/>
      <c r="X564" s="203"/>
      <c r="Y564" s="203"/>
      <c r="Z564" s="203"/>
    </row>
    <row r="565" ht="12.75" customHeight="1">
      <c r="A565" s="203"/>
      <c r="B565" s="203"/>
      <c r="C565" s="203"/>
      <c r="D565" s="203"/>
      <c r="E565" s="203"/>
      <c r="F565" s="203"/>
      <c r="G565" s="203"/>
      <c r="H565" s="203"/>
      <c r="I565" s="203"/>
      <c r="J565" s="203"/>
      <c r="K565" s="203"/>
      <c r="L565" s="203"/>
      <c r="M565" s="203"/>
      <c r="N565" s="203"/>
      <c r="O565" s="203"/>
      <c r="P565" s="203"/>
      <c r="Q565" s="203"/>
      <c r="R565" s="203"/>
      <c r="S565" s="203"/>
      <c r="T565" s="203"/>
      <c r="U565" s="203"/>
      <c r="V565" s="203"/>
      <c r="W565" s="203"/>
      <c r="X565" s="203"/>
      <c r="Y565" s="203"/>
      <c r="Z565" s="203"/>
    </row>
    <row r="566" ht="12.75" customHeight="1">
      <c r="A566" s="203"/>
      <c r="B566" s="203"/>
      <c r="C566" s="203"/>
      <c r="D566" s="203"/>
      <c r="E566" s="203"/>
      <c r="F566" s="203"/>
      <c r="G566" s="203"/>
      <c r="H566" s="203"/>
      <c r="I566" s="203"/>
      <c r="J566" s="203"/>
      <c r="K566" s="203"/>
      <c r="L566" s="203"/>
      <c r="M566" s="203"/>
      <c r="N566" s="203"/>
      <c r="O566" s="203"/>
      <c r="P566" s="203"/>
      <c r="Q566" s="203"/>
      <c r="R566" s="203"/>
      <c r="S566" s="203"/>
      <c r="T566" s="203"/>
      <c r="U566" s="203"/>
      <c r="V566" s="203"/>
      <c r="W566" s="203"/>
      <c r="X566" s="203"/>
      <c r="Y566" s="203"/>
      <c r="Z566" s="203"/>
    </row>
    <row r="567" ht="12.75" customHeight="1">
      <c r="A567" s="203"/>
      <c r="B567" s="203"/>
      <c r="C567" s="203"/>
      <c r="D567" s="203"/>
      <c r="E567" s="203"/>
      <c r="F567" s="203"/>
      <c r="G567" s="203"/>
      <c r="H567" s="203"/>
      <c r="I567" s="203"/>
      <c r="J567" s="203"/>
      <c r="K567" s="203"/>
      <c r="L567" s="203"/>
      <c r="M567" s="203"/>
      <c r="N567" s="203"/>
      <c r="O567" s="203"/>
      <c r="P567" s="203"/>
      <c r="Q567" s="203"/>
      <c r="R567" s="203"/>
      <c r="S567" s="203"/>
      <c r="T567" s="203"/>
      <c r="U567" s="203"/>
      <c r="V567" s="203"/>
      <c r="W567" s="203"/>
      <c r="X567" s="203"/>
      <c r="Y567" s="203"/>
      <c r="Z567" s="203"/>
    </row>
    <row r="568" ht="12.75" customHeight="1">
      <c r="A568" s="203"/>
      <c r="B568" s="203"/>
      <c r="C568" s="203"/>
      <c r="D568" s="203"/>
      <c r="E568" s="203"/>
      <c r="F568" s="203"/>
      <c r="G568" s="203"/>
      <c r="H568" s="203"/>
      <c r="I568" s="203"/>
      <c r="J568" s="203"/>
      <c r="K568" s="203"/>
      <c r="L568" s="203"/>
      <c r="M568" s="203"/>
      <c r="N568" s="203"/>
      <c r="O568" s="203"/>
      <c r="P568" s="203"/>
      <c r="Q568" s="203"/>
      <c r="R568" s="203"/>
      <c r="S568" s="203"/>
      <c r="T568" s="203"/>
      <c r="U568" s="203"/>
      <c r="V568" s="203"/>
      <c r="W568" s="203"/>
      <c r="X568" s="203"/>
      <c r="Y568" s="203"/>
      <c r="Z568" s="203"/>
    </row>
    <row r="569" ht="12.75" customHeight="1">
      <c r="A569" s="203"/>
      <c r="B569" s="203"/>
      <c r="C569" s="203"/>
      <c r="D569" s="203"/>
      <c r="E569" s="203"/>
      <c r="F569" s="203"/>
      <c r="G569" s="203"/>
      <c r="H569" s="203"/>
      <c r="I569" s="203"/>
      <c r="J569" s="203"/>
      <c r="K569" s="203"/>
      <c r="L569" s="203"/>
      <c r="M569" s="203"/>
      <c r="N569" s="203"/>
      <c r="O569" s="203"/>
      <c r="P569" s="203"/>
      <c r="Q569" s="203"/>
      <c r="R569" s="203"/>
      <c r="S569" s="203"/>
      <c r="T569" s="203"/>
      <c r="U569" s="203"/>
      <c r="V569" s="203"/>
      <c r="W569" s="203"/>
      <c r="X569" s="203"/>
      <c r="Y569" s="203"/>
      <c r="Z569" s="203"/>
    </row>
    <row r="570" ht="12.75" customHeight="1">
      <c r="A570" s="203"/>
      <c r="B570" s="203"/>
      <c r="C570" s="203"/>
      <c r="D570" s="203"/>
      <c r="E570" s="203"/>
      <c r="F570" s="203"/>
      <c r="G570" s="203"/>
      <c r="H570" s="203"/>
      <c r="I570" s="203"/>
      <c r="J570" s="203"/>
      <c r="K570" s="203"/>
      <c r="L570" s="203"/>
      <c r="M570" s="203"/>
      <c r="N570" s="203"/>
      <c r="O570" s="203"/>
      <c r="P570" s="203"/>
      <c r="Q570" s="203"/>
      <c r="R570" s="203"/>
      <c r="S570" s="203"/>
      <c r="T570" s="203"/>
      <c r="U570" s="203"/>
      <c r="V570" s="203"/>
      <c r="W570" s="203"/>
      <c r="X570" s="203"/>
      <c r="Y570" s="203"/>
      <c r="Z570" s="203"/>
    </row>
    <row r="571" ht="12.75" customHeight="1">
      <c r="A571" s="203"/>
      <c r="B571" s="203"/>
      <c r="C571" s="203"/>
      <c r="D571" s="203"/>
      <c r="E571" s="203"/>
      <c r="F571" s="203"/>
      <c r="G571" s="203"/>
      <c r="H571" s="203"/>
      <c r="I571" s="203"/>
      <c r="J571" s="203"/>
      <c r="K571" s="203"/>
      <c r="L571" s="203"/>
      <c r="M571" s="203"/>
      <c r="N571" s="203"/>
      <c r="O571" s="203"/>
      <c r="P571" s="203"/>
      <c r="Q571" s="203"/>
      <c r="R571" s="203"/>
      <c r="S571" s="203"/>
      <c r="T571" s="203"/>
      <c r="U571" s="203"/>
      <c r="V571" s="203"/>
      <c r="W571" s="203"/>
      <c r="X571" s="203"/>
      <c r="Y571" s="203"/>
      <c r="Z571" s="203"/>
    </row>
    <row r="572" ht="12.75" customHeight="1">
      <c r="A572" s="203"/>
      <c r="B572" s="203"/>
      <c r="C572" s="203"/>
      <c r="D572" s="203"/>
      <c r="E572" s="203"/>
      <c r="F572" s="203"/>
      <c r="G572" s="203"/>
      <c r="H572" s="203"/>
      <c r="I572" s="203"/>
      <c r="J572" s="203"/>
      <c r="K572" s="203"/>
      <c r="L572" s="203"/>
      <c r="M572" s="203"/>
      <c r="N572" s="203"/>
      <c r="O572" s="203"/>
      <c r="P572" s="203"/>
      <c r="Q572" s="203"/>
      <c r="R572" s="203"/>
      <c r="S572" s="203"/>
      <c r="T572" s="203"/>
      <c r="U572" s="203"/>
      <c r="V572" s="203"/>
      <c r="W572" s="203"/>
      <c r="X572" s="203"/>
      <c r="Y572" s="203"/>
      <c r="Z572" s="203"/>
    </row>
    <row r="573" ht="12.75" customHeight="1">
      <c r="A573" s="203"/>
      <c r="B573" s="203"/>
      <c r="C573" s="203"/>
      <c r="D573" s="203"/>
      <c r="E573" s="203"/>
      <c r="F573" s="203"/>
      <c r="G573" s="203"/>
      <c r="H573" s="203"/>
      <c r="I573" s="203"/>
      <c r="J573" s="203"/>
      <c r="K573" s="203"/>
      <c r="L573" s="203"/>
      <c r="M573" s="203"/>
      <c r="N573" s="203"/>
      <c r="O573" s="203"/>
      <c r="P573" s="203"/>
      <c r="Q573" s="203"/>
      <c r="R573" s="203"/>
      <c r="S573" s="203"/>
      <c r="T573" s="203"/>
      <c r="U573" s="203"/>
      <c r="V573" s="203"/>
      <c r="W573" s="203"/>
      <c r="X573" s="203"/>
      <c r="Y573" s="203"/>
      <c r="Z573" s="203"/>
    </row>
    <row r="574" ht="12.75" customHeight="1">
      <c r="A574" s="203"/>
      <c r="B574" s="203"/>
      <c r="C574" s="203"/>
      <c r="D574" s="203"/>
      <c r="E574" s="203"/>
      <c r="F574" s="203"/>
      <c r="G574" s="203"/>
      <c r="H574" s="203"/>
      <c r="I574" s="203"/>
      <c r="J574" s="203"/>
      <c r="K574" s="203"/>
      <c r="L574" s="203"/>
      <c r="M574" s="203"/>
      <c r="N574" s="203"/>
      <c r="O574" s="203"/>
      <c r="P574" s="203"/>
      <c r="Q574" s="203"/>
      <c r="R574" s="203"/>
      <c r="S574" s="203"/>
      <c r="T574" s="203"/>
      <c r="U574" s="203"/>
      <c r="V574" s="203"/>
      <c r="W574" s="203"/>
      <c r="X574" s="203"/>
      <c r="Y574" s="203"/>
      <c r="Z574" s="203"/>
    </row>
    <row r="575" ht="12.75" customHeight="1">
      <c r="A575" s="203"/>
      <c r="B575" s="203"/>
      <c r="C575" s="203"/>
      <c r="D575" s="203"/>
      <c r="E575" s="203"/>
      <c r="F575" s="203"/>
      <c r="G575" s="203"/>
      <c r="H575" s="203"/>
      <c r="I575" s="203"/>
      <c r="J575" s="203"/>
      <c r="K575" s="203"/>
      <c r="L575" s="203"/>
      <c r="M575" s="203"/>
      <c r="N575" s="203"/>
      <c r="O575" s="203"/>
      <c r="P575" s="203"/>
      <c r="Q575" s="203"/>
      <c r="R575" s="203"/>
      <c r="S575" s="203"/>
      <c r="T575" s="203"/>
      <c r="U575" s="203"/>
      <c r="V575" s="203"/>
      <c r="W575" s="203"/>
      <c r="X575" s="203"/>
      <c r="Y575" s="203"/>
      <c r="Z575" s="203"/>
    </row>
    <row r="576" ht="12.75" customHeight="1">
      <c r="A576" s="203"/>
      <c r="B576" s="203"/>
      <c r="C576" s="203"/>
      <c r="D576" s="203"/>
      <c r="E576" s="203"/>
      <c r="F576" s="203"/>
      <c r="G576" s="203"/>
      <c r="H576" s="203"/>
      <c r="I576" s="203"/>
      <c r="J576" s="203"/>
      <c r="K576" s="203"/>
      <c r="L576" s="203"/>
      <c r="M576" s="203"/>
      <c r="N576" s="203"/>
      <c r="O576" s="203"/>
      <c r="P576" s="203"/>
      <c r="Q576" s="203"/>
      <c r="R576" s="203"/>
      <c r="S576" s="203"/>
      <c r="T576" s="203"/>
      <c r="U576" s="203"/>
      <c r="V576" s="203"/>
      <c r="W576" s="203"/>
      <c r="X576" s="203"/>
      <c r="Y576" s="203"/>
      <c r="Z576" s="203"/>
    </row>
    <row r="577" ht="12.75" customHeight="1">
      <c r="A577" s="203"/>
      <c r="B577" s="203"/>
      <c r="C577" s="203"/>
      <c r="D577" s="203"/>
      <c r="E577" s="203"/>
      <c r="F577" s="203"/>
      <c r="G577" s="203"/>
      <c r="H577" s="203"/>
      <c r="I577" s="203"/>
      <c r="J577" s="203"/>
      <c r="K577" s="203"/>
      <c r="L577" s="203"/>
      <c r="M577" s="203"/>
      <c r="N577" s="203"/>
      <c r="O577" s="203"/>
      <c r="P577" s="203"/>
      <c r="Q577" s="203"/>
      <c r="R577" s="203"/>
      <c r="S577" s="203"/>
      <c r="T577" s="203"/>
      <c r="U577" s="203"/>
      <c r="V577" s="203"/>
      <c r="W577" s="203"/>
      <c r="X577" s="203"/>
      <c r="Y577" s="203"/>
      <c r="Z577" s="203"/>
    </row>
    <row r="578" ht="12.75" customHeight="1">
      <c r="A578" s="203"/>
      <c r="B578" s="203"/>
      <c r="C578" s="203"/>
      <c r="D578" s="203"/>
      <c r="E578" s="203"/>
      <c r="F578" s="203"/>
      <c r="G578" s="203"/>
      <c r="H578" s="203"/>
      <c r="I578" s="203"/>
      <c r="J578" s="203"/>
      <c r="K578" s="203"/>
      <c r="L578" s="203"/>
      <c r="M578" s="203"/>
      <c r="N578" s="203"/>
      <c r="O578" s="203"/>
      <c r="P578" s="203"/>
      <c r="Q578" s="203"/>
      <c r="R578" s="203"/>
      <c r="S578" s="203"/>
      <c r="T578" s="203"/>
      <c r="U578" s="203"/>
      <c r="V578" s="203"/>
      <c r="W578" s="203"/>
      <c r="X578" s="203"/>
      <c r="Y578" s="203"/>
      <c r="Z578" s="203"/>
    </row>
    <row r="579" ht="12.75" customHeight="1">
      <c r="A579" s="203"/>
      <c r="B579" s="203"/>
      <c r="C579" s="203"/>
      <c r="D579" s="203"/>
      <c r="E579" s="203"/>
      <c r="F579" s="203"/>
      <c r="G579" s="203"/>
      <c r="H579" s="203"/>
      <c r="I579" s="203"/>
      <c r="J579" s="203"/>
      <c r="K579" s="203"/>
      <c r="L579" s="203"/>
      <c r="M579" s="203"/>
      <c r="N579" s="203"/>
      <c r="O579" s="203"/>
      <c r="P579" s="203"/>
      <c r="Q579" s="203"/>
      <c r="R579" s="203"/>
      <c r="S579" s="203"/>
      <c r="T579" s="203"/>
      <c r="U579" s="203"/>
      <c r="V579" s="203"/>
      <c r="W579" s="203"/>
      <c r="X579" s="203"/>
      <c r="Y579" s="203"/>
      <c r="Z579" s="203"/>
    </row>
    <row r="580" ht="12.75" customHeight="1">
      <c r="A580" s="203"/>
      <c r="B580" s="203"/>
      <c r="C580" s="203"/>
      <c r="D580" s="203"/>
      <c r="E580" s="203"/>
      <c r="F580" s="203"/>
      <c r="G580" s="203"/>
      <c r="H580" s="203"/>
      <c r="I580" s="203"/>
      <c r="J580" s="203"/>
      <c r="K580" s="203"/>
      <c r="L580" s="203"/>
      <c r="M580" s="203"/>
      <c r="N580" s="203"/>
      <c r="O580" s="203"/>
      <c r="P580" s="203"/>
      <c r="Q580" s="203"/>
      <c r="R580" s="203"/>
      <c r="S580" s="203"/>
      <c r="T580" s="203"/>
      <c r="U580" s="203"/>
      <c r="V580" s="203"/>
      <c r="W580" s="203"/>
      <c r="X580" s="203"/>
      <c r="Y580" s="203"/>
      <c r="Z580" s="203"/>
    </row>
    <row r="581" ht="12.75" customHeight="1">
      <c r="A581" s="203"/>
      <c r="B581" s="203"/>
      <c r="C581" s="203"/>
      <c r="D581" s="203"/>
      <c r="E581" s="203"/>
      <c r="F581" s="203"/>
      <c r="G581" s="203"/>
      <c r="H581" s="203"/>
      <c r="I581" s="203"/>
      <c r="J581" s="203"/>
      <c r="K581" s="203"/>
      <c r="L581" s="203"/>
      <c r="M581" s="203"/>
      <c r="N581" s="203"/>
      <c r="O581" s="203"/>
      <c r="P581" s="203"/>
      <c r="Q581" s="203"/>
      <c r="R581" s="203"/>
      <c r="S581" s="203"/>
      <c r="T581" s="203"/>
      <c r="U581" s="203"/>
      <c r="V581" s="203"/>
      <c r="W581" s="203"/>
      <c r="X581" s="203"/>
      <c r="Y581" s="203"/>
      <c r="Z581" s="203"/>
    </row>
    <row r="582" ht="12.75" customHeight="1">
      <c r="A582" s="203"/>
      <c r="B582" s="203"/>
      <c r="C582" s="203"/>
      <c r="D582" s="203"/>
      <c r="E582" s="203"/>
      <c r="F582" s="203"/>
      <c r="G582" s="203"/>
      <c r="H582" s="203"/>
      <c r="I582" s="203"/>
      <c r="J582" s="203"/>
      <c r="K582" s="203"/>
      <c r="L582" s="203"/>
      <c r="M582" s="203"/>
      <c r="N582" s="203"/>
      <c r="O582" s="203"/>
      <c r="P582" s="203"/>
      <c r="Q582" s="203"/>
      <c r="R582" s="203"/>
      <c r="S582" s="203"/>
      <c r="T582" s="203"/>
      <c r="U582" s="203"/>
      <c r="V582" s="203"/>
      <c r="W582" s="203"/>
      <c r="X582" s="203"/>
      <c r="Y582" s="203"/>
      <c r="Z582" s="203"/>
    </row>
    <row r="583" ht="12.75" customHeight="1">
      <c r="A583" s="203"/>
      <c r="B583" s="203"/>
      <c r="C583" s="203"/>
      <c r="D583" s="203"/>
      <c r="E583" s="203"/>
      <c r="F583" s="203"/>
      <c r="G583" s="203"/>
      <c r="H583" s="203"/>
      <c r="I583" s="203"/>
      <c r="J583" s="203"/>
      <c r="K583" s="203"/>
      <c r="L583" s="203"/>
      <c r="M583" s="203"/>
      <c r="N583" s="203"/>
      <c r="O583" s="203"/>
      <c r="P583" s="203"/>
      <c r="Q583" s="203"/>
      <c r="R583" s="203"/>
      <c r="S583" s="203"/>
      <c r="T583" s="203"/>
      <c r="U583" s="203"/>
      <c r="V583" s="203"/>
      <c r="W583" s="203"/>
      <c r="X583" s="203"/>
      <c r="Y583" s="203"/>
      <c r="Z583" s="203"/>
    </row>
    <row r="584" ht="12.75" customHeight="1">
      <c r="A584" s="203"/>
      <c r="B584" s="203"/>
      <c r="C584" s="203"/>
      <c r="D584" s="203"/>
      <c r="E584" s="203"/>
      <c r="F584" s="203"/>
      <c r="G584" s="203"/>
      <c r="H584" s="203"/>
      <c r="I584" s="203"/>
      <c r="J584" s="203"/>
      <c r="K584" s="203"/>
      <c r="L584" s="203"/>
      <c r="M584" s="203"/>
      <c r="N584" s="203"/>
      <c r="O584" s="203"/>
      <c r="P584" s="203"/>
      <c r="Q584" s="203"/>
      <c r="R584" s="203"/>
      <c r="S584" s="203"/>
      <c r="T584" s="203"/>
      <c r="U584" s="203"/>
      <c r="V584" s="203"/>
      <c r="W584" s="203"/>
      <c r="X584" s="203"/>
      <c r="Y584" s="203"/>
      <c r="Z584" s="203"/>
    </row>
    <row r="585" ht="12.75" customHeight="1">
      <c r="A585" s="203"/>
      <c r="B585" s="203"/>
      <c r="C585" s="203"/>
      <c r="D585" s="203"/>
      <c r="E585" s="203"/>
      <c r="F585" s="203"/>
      <c r="G585" s="203"/>
      <c r="H585" s="203"/>
      <c r="I585" s="203"/>
      <c r="J585" s="203"/>
      <c r="K585" s="203"/>
      <c r="L585" s="203"/>
      <c r="M585" s="203"/>
      <c r="N585" s="203"/>
      <c r="O585" s="203"/>
      <c r="P585" s="203"/>
      <c r="Q585" s="203"/>
      <c r="R585" s="203"/>
      <c r="S585" s="203"/>
      <c r="T585" s="203"/>
      <c r="U585" s="203"/>
      <c r="V585" s="203"/>
      <c r="W585" s="203"/>
      <c r="X585" s="203"/>
      <c r="Y585" s="203"/>
      <c r="Z585" s="203"/>
    </row>
    <row r="586" ht="12.75" customHeight="1">
      <c r="A586" s="203"/>
      <c r="B586" s="203"/>
      <c r="C586" s="203"/>
      <c r="D586" s="203"/>
      <c r="E586" s="203"/>
      <c r="F586" s="203"/>
      <c r="G586" s="203"/>
      <c r="H586" s="203"/>
      <c r="I586" s="203"/>
      <c r="J586" s="203"/>
      <c r="K586" s="203"/>
      <c r="L586" s="203"/>
      <c r="M586" s="203"/>
      <c r="N586" s="203"/>
      <c r="O586" s="203"/>
      <c r="P586" s="203"/>
      <c r="Q586" s="203"/>
      <c r="R586" s="203"/>
      <c r="S586" s="203"/>
      <c r="T586" s="203"/>
      <c r="U586" s="203"/>
      <c r="V586" s="203"/>
      <c r="W586" s="203"/>
      <c r="X586" s="203"/>
      <c r="Y586" s="203"/>
      <c r="Z586" s="203"/>
    </row>
    <row r="587" ht="12.75" customHeight="1">
      <c r="A587" s="203"/>
      <c r="B587" s="203"/>
      <c r="C587" s="203"/>
      <c r="D587" s="203"/>
      <c r="E587" s="203"/>
      <c r="F587" s="203"/>
      <c r="G587" s="203"/>
      <c r="H587" s="203"/>
      <c r="I587" s="203"/>
      <c r="J587" s="203"/>
      <c r="K587" s="203"/>
      <c r="L587" s="203"/>
      <c r="M587" s="203"/>
      <c r="N587" s="203"/>
      <c r="O587" s="203"/>
      <c r="P587" s="203"/>
      <c r="Q587" s="203"/>
      <c r="R587" s="203"/>
      <c r="S587" s="203"/>
      <c r="T587" s="203"/>
      <c r="U587" s="203"/>
      <c r="V587" s="203"/>
      <c r="W587" s="203"/>
      <c r="X587" s="203"/>
      <c r="Y587" s="203"/>
      <c r="Z587" s="203"/>
    </row>
    <row r="588" ht="12.75" customHeight="1">
      <c r="A588" s="203"/>
      <c r="B588" s="203"/>
      <c r="C588" s="203"/>
      <c r="D588" s="203"/>
      <c r="E588" s="203"/>
      <c r="F588" s="203"/>
      <c r="G588" s="203"/>
      <c r="H588" s="203"/>
      <c r="I588" s="203"/>
      <c r="J588" s="203"/>
      <c r="K588" s="203"/>
      <c r="L588" s="203"/>
      <c r="M588" s="203"/>
      <c r="N588" s="203"/>
      <c r="O588" s="203"/>
      <c r="P588" s="203"/>
      <c r="Q588" s="203"/>
      <c r="R588" s="203"/>
      <c r="S588" s="203"/>
      <c r="T588" s="203"/>
      <c r="U588" s="203"/>
      <c r="V588" s="203"/>
      <c r="W588" s="203"/>
      <c r="X588" s="203"/>
      <c r="Y588" s="203"/>
      <c r="Z588" s="203"/>
    </row>
    <row r="589" ht="12.75" customHeight="1">
      <c r="A589" s="203"/>
      <c r="B589" s="203"/>
      <c r="C589" s="203"/>
      <c r="D589" s="203"/>
      <c r="E589" s="203"/>
      <c r="F589" s="203"/>
      <c r="G589" s="203"/>
      <c r="H589" s="203"/>
      <c r="I589" s="203"/>
      <c r="J589" s="203"/>
      <c r="K589" s="203"/>
      <c r="L589" s="203"/>
      <c r="M589" s="203"/>
      <c r="N589" s="203"/>
      <c r="O589" s="203"/>
      <c r="P589" s="203"/>
      <c r="Q589" s="203"/>
      <c r="R589" s="203"/>
      <c r="S589" s="203"/>
      <c r="T589" s="203"/>
      <c r="U589" s="203"/>
      <c r="V589" s="203"/>
      <c r="W589" s="203"/>
      <c r="X589" s="203"/>
      <c r="Y589" s="203"/>
      <c r="Z589" s="203"/>
    </row>
    <row r="590" ht="12.75" customHeight="1">
      <c r="A590" s="203"/>
      <c r="B590" s="203"/>
      <c r="C590" s="203"/>
      <c r="D590" s="203"/>
      <c r="E590" s="203"/>
      <c r="F590" s="203"/>
      <c r="G590" s="203"/>
      <c r="H590" s="203"/>
      <c r="I590" s="203"/>
      <c r="J590" s="203"/>
      <c r="K590" s="203"/>
      <c r="L590" s="203"/>
      <c r="M590" s="203"/>
      <c r="N590" s="203"/>
      <c r="O590" s="203"/>
      <c r="P590" s="203"/>
      <c r="Q590" s="203"/>
      <c r="R590" s="203"/>
      <c r="S590" s="203"/>
      <c r="T590" s="203"/>
      <c r="U590" s="203"/>
      <c r="V590" s="203"/>
      <c r="W590" s="203"/>
      <c r="X590" s="203"/>
      <c r="Y590" s="203"/>
      <c r="Z590" s="203"/>
    </row>
    <row r="591" ht="12.75" customHeight="1">
      <c r="A591" s="203"/>
      <c r="B591" s="203"/>
      <c r="C591" s="203"/>
      <c r="D591" s="203"/>
      <c r="E591" s="203"/>
      <c r="F591" s="203"/>
      <c r="G591" s="203"/>
      <c r="H591" s="203"/>
      <c r="I591" s="203"/>
      <c r="J591" s="203"/>
      <c r="K591" s="203"/>
      <c r="L591" s="203"/>
      <c r="M591" s="203"/>
      <c r="N591" s="203"/>
      <c r="O591" s="203"/>
      <c r="P591" s="203"/>
      <c r="Q591" s="203"/>
      <c r="R591" s="203"/>
      <c r="S591" s="203"/>
      <c r="T591" s="203"/>
      <c r="U591" s="203"/>
      <c r="V591" s="203"/>
      <c r="W591" s="203"/>
      <c r="X591" s="203"/>
      <c r="Y591" s="203"/>
      <c r="Z591" s="203"/>
    </row>
    <row r="592" ht="12.75" customHeight="1">
      <c r="A592" s="203"/>
      <c r="B592" s="203"/>
      <c r="C592" s="203"/>
      <c r="D592" s="203"/>
      <c r="E592" s="203"/>
      <c r="F592" s="203"/>
      <c r="G592" s="203"/>
      <c r="H592" s="203"/>
      <c r="I592" s="203"/>
      <c r="J592" s="203"/>
      <c r="K592" s="203"/>
      <c r="L592" s="203"/>
      <c r="M592" s="203"/>
      <c r="N592" s="203"/>
      <c r="O592" s="203"/>
      <c r="P592" s="203"/>
      <c r="Q592" s="203"/>
      <c r="R592" s="203"/>
      <c r="S592" s="203"/>
      <c r="T592" s="203"/>
      <c r="U592" s="203"/>
      <c r="V592" s="203"/>
      <c r="W592" s="203"/>
      <c r="X592" s="203"/>
      <c r="Y592" s="203"/>
      <c r="Z592" s="203"/>
    </row>
    <row r="593" ht="12.75" customHeight="1">
      <c r="A593" s="203"/>
      <c r="B593" s="203"/>
      <c r="C593" s="203"/>
      <c r="D593" s="203"/>
      <c r="E593" s="203"/>
      <c r="F593" s="203"/>
      <c r="G593" s="203"/>
      <c r="H593" s="203"/>
      <c r="I593" s="203"/>
      <c r="J593" s="203"/>
      <c r="K593" s="203"/>
      <c r="L593" s="203"/>
      <c r="M593" s="203"/>
      <c r="N593" s="203"/>
      <c r="O593" s="203"/>
      <c r="P593" s="203"/>
      <c r="Q593" s="203"/>
      <c r="R593" s="203"/>
      <c r="S593" s="203"/>
      <c r="T593" s="203"/>
      <c r="U593" s="203"/>
      <c r="V593" s="203"/>
      <c r="W593" s="203"/>
      <c r="X593" s="203"/>
      <c r="Y593" s="203"/>
      <c r="Z593" s="203"/>
    </row>
    <row r="594" ht="12.75" customHeight="1">
      <c r="A594" s="203"/>
      <c r="B594" s="203"/>
      <c r="C594" s="203"/>
      <c r="D594" s="203"/>
      <c r="E594" s="203"/>
      <c r="F594" s="203"/>
      <c r="G594" s="203"/>
      <c r="H594" s="203"/>
      <c r="I594" s="203"/>
      <c r="J594" s="203"/>
      <c r="K594" s="203"/>
      <c r="L594" s="203"/>
      <c r="M594" s="203"/>
      <c r="N594" s="203"/>
      <c r="O594" s="203"/>
      <c r="P594" s="203"/>
      <c r="Q594" s="203"/>
      <c r="R594" s="203"/>
      <c r="S594" s="203"/>
      <c r="T594" s="203"/>
      <c r="U594" s="203"/>
      <c r="V594" s="203"/>
      <c r="W594" s="203"/>
      <c r="X594" s="203"/>
      <c r="Y594" s="203"/>
      <c r="Z594" s="203"/>
    </row>
    <row r="595" ht="12.75" customHeight="1">
      <c r="A595" s="203"/>
      <c r="B595" s="203"/>
      <c r="C595" s="203"/>
      <c r="D595" s="203"/>
      <c r="E595" s="203"/>
      <c r="F595" s="203"/>
      <c r="G595" s="203"/>
      <c r="H595" s="203"/>
      <c r="I595" s="203"/>
      <c r="J595" s="203"/>
      <c r="K595" s="203"/>
      <c r="L595" s="203"/>
      <c r="M595" s="203"/>
      <c r="N595" s="203"/>
      <c r="O595" s="203"/>
      <c r="P595" s="203"/>
      <c r="Q595" s="203"/>
      <c r="R595" s="203"/>
      <c r="S595" s="203"/>
      <c r="T595" s="203"/>
      <c r="U595" s="203"/>
      <c r="V595" s="203"/>
      <c r="W595" s="203"/>
      <c r="X595" s="203"/>
      <c r="Y595" s="203"/>
      <c r="Z595" s="203"/>
    </row>
    <row r="596" ht="12.75" customHeight="1">
      <c r="A596" s="203"/>
      <c r="B596" s="203"/>
      <c r="C596" s="203"/>
      <c r="D596" s="203"/>
      <c r="E596" s="203"/>
      <c r="F596" s="203"/>
      <c r="G596" s="203"/>
      <c r="H596" s="203"/>
      <c r="I596" s="203"/>
      <c r="J596" s="203"/>
      <c r="K596" s="203"/>
      <c r="L596" s="203"/>
      <c r="M596" s="203"/>
      <c r="N596" s="203"/>
      <c r="O596" s="203"/>
      <c r="P596" s="203"/>
      <c r="Q596" s="203"/>
      <c r="R596" s="203"/>
      <c r="S596" s="203"/>
      <c r="T596" s="203"/>
      <c r="U596" s="203"/>
      <c r="V596" s="203"/>
      <c r="W596" s="203"/>
      <c r="X596" s="203"/>
      <c r="Y596" s="203"/>
      <c r="Z596" s="203"/>
    </row>
    <row r="597" ht="12.75" customHeight="1">
      <c r="A597" s="203"/>
      <c r="B597" s="203"/>
      <c r="C597" s="203"/>
      <c r="D597" s="203"/>
      <c r="E597" s="203"/>
      <c r="F597" s="203"/>
      <c r="G597" s="203"/>
      <c r="H597" s="203"/>
      <c r="I597" s="203"/>
      <c r="J597" s="203"/>
      <c r="K597" s="203"/>
      <c r="L597" s="203"/>
      <c r="M597" s="203"/>
      <c r="N597" s="203"/>
      <c r="O597" s="203"/>
      <c r="P597" s="203"/>
      <c r="Q597" s="203"/>
      <c r="R597" s="203"/>
      <c r="S597" s="203"/>
      <c r="T597" s="203"/>
      <c r="U597" s="203"/>
      <c r="V597" s="203"/>
      <c r="W597" s="203"/>
      <c r="X597" s="203"/>
      <c r="Y597" s="203"/>
      <c r="Z597" s="203"/>
    </row>
    <row r="598" ht="12.75" customHeight="1">
      <c r="A598" s="203"/>
      <c r="B598" s="203"/>
      <c r="C598" s="203"/>
      <c r="D598" s="203"/>
      <c r="E598" s="203"/>
      <c r="F598" s="203"/>
      <c r="G598" s="203"/>
      <c r="H598" s="203"/>
      <c r="I598" s="203"/>
      <c r="J598" s="203"/>
      <c r="K598" s="203"/>
      <c r="L598" s="203"/>
      <c r="M598" s="203"/>
      <c r="N598" s="203"/>
      <c r="O598" s="203"/>
      <c r="P598" s="203"/>
      <c r="Q598" s="203"/>
      <c r="R598" s="203"/>
      <c r="S598" s="203"/>
      <c r="T598" s="203"/>
      <c r="U598" s="203"/>
      <c r="V598" s="203"/>
      <c r="W598" s="203"/>
      <c r="X598" s="203"/>
      <c r="Y598" s="203"/>
      <c r="Z598" s="203"/>
    </row>
    <row r="599" ht="12.75" customHeight="1">
      <c r="A599" s="203"/>
      <c r="B599" s="203"/>
      <c r="C599" s="203"/>
      <c r="D599" s="203"/>
      <c r="E599" s="203"/>
      <c r="F599" s="203"/>
      <c r="G599" s="203"/>
      <c r="H599" s="203"/>
      <c r="I599" s="203"/>
      <c r="J599" s="203"/>
      <c r="K599" s="203"/>
      <c r="L599" s="203"/>
      <c r="M599" s="203"/>
      <c r="N599" s="203"/>
      <c r="O599" s="203"/>
      <c r="P599" s="203"/>
      <c r="Q599" s="203"/>
      <c r="R599" s="203"/>
      <c r="S599" s="203"/>
      <c r="T599" s="203"/>
      <c r="U599" s="203"/>
      <c r="V599" s="203"/>
      <c r="W599" s="203"/>
      <c r="X599" s="203"/>
      <c r="Y599" s="203"/>
      <c r="Z599" s="203"/>
    </row>
    <row r="600" ht="12.75" customHeight="1">
      <c r="A600" s="203"/>
      <c r="B600" s="203"/>
      <c r="C600" s="203"/>
      <c r="D600" s="203"/>
      <c r="E600" s="203"/>
      <c r="F600" s="203"/>
      <c r="G600" s="203"/>
      <c r="H600" s="203"/>
      <c r="I600" s="203"/>
      <c r="J600" s="203"/>
      <c r="K600" s="203"/>
      <c r="L600" s="203"/>
      <c r="M600" s="203"/>
      <c r="N600" s="203"/>
      <c r="O600" s="203"/>
      <c r="P600" s="203"/>
      <c r="Q600" s="203"/>
      <c r="R600" s="203"/>
      <c r="S600" s="203"/>
      <c r="T600" s="203"/>
      <c r="U600" s="203"/>
      <c r="V600" s="203"/>
      <c r="W600" s="203"/>
      <c r="X600" s="203"/>
      <c r="Y600" s="203"/>
      <c r="Z600" s="203"/>
    </row>
    <row r="601" ht="12.75" customHeight="1">
      <c r="A601" s="203"/>
      <c r="B601" s="203"/>
      <c r="C601" s="203"/>
      <c r="D601" s="203"/>
      <c r="E601" s="203"/>
      <c r="F601" s="203"/>
      <c r="G601" s="203"/>
      <c r="H601" s="203"/>
      <c r="I601" s="203"/>
      <c r="J601" s="203"/>
      <c r="K601" s="203"/>
      <c r="L601" s="203"/>
      <c r="M601" s="203"/>
      <c r="N601" s="203"/>
      <c r="O601" s="203"/>
      <c r="P601" s="203"/>
      <c r="Q601" s="203"/>
      <c r="R601" s="203"/>
      <c r="S601" s="203"/>
      <c r="T601" s="203"/>
      <c r="U601" s="203"/>
      <c r="V601" s="203"/>
      <c r="W601" s="203"/>
      <c r="X601" s="203"/>
      <c r="Y601" s="203"/>
      <c r="Z601" s="203"/>
    </row>
    <row r="602" ht="12.75" customHeight="1">
      <c r="A602" s="203"/>
      <c r="B602" s="203"/>
      <c r="C602" s="203"/>
      <c r="D602" s="203"/>
      <c r="E602" s="203"/>
      <c r="F602" s="203"/>
      <c r="G602" s="203"/>
      <c r="H602" s="203"/>
      <c r="I602" s="203"/>
      <c r="J602" s="203"/>
      <c r="K602" s="203"/>
      <c r="L602" s="203"/>
      <c r="M602" s="203"/>
      <c r="N602" s="203"/>
      <c r="O602" s="203"/>
      <c r="P602" s="203"/>
      <c r="Q602" s="203"/>
      <c r="R602" s="203"/>
      <c r="S602" s="203"/>
      <c r="T602" s="203"/>
      <c r="U602" s="203"/>
      <c r="V602" s="203"/>
      <c r="W602" s="203"/>
      <c r="X602" s="203"/>
      <c r="Y602" s="203"/>
      <c r="Z602" s="203"/>
    </row>
    <row r="603" ht="12.75" customHeight="1">
      <c r="A603" s="203"/>
      <c r="B603" s="203"/>
      <c r="C603" s="203"/>
      <c r="D603" s="203"/>
      <c r="E603" s="203"/>
      <c r="F603" s="203"/>
      <c r="G603" s="203"/>
      <c r="H603" s="203"/>
      <c r="I603" s="203"/>
      <c r="J603" s="203"/>
      <c r="K603" s="203"/>
      <c r="L603" s="203"/>
      <c r="M603" s="203"/>
      <c r="N603" s="203"/>
      <c r="O603" s="203"/>
      <c r="P603" s="203"/>
      <c r="Q603" s="203"/>
      <c r="R603" s="203"/>
      <c r="S603" s="203"/>
      <c r="T603" s="203"/>
      <c r="U603" s="203"/>
      <c r="V603" s="203"/>
      <c r="W603" s="203"/>
      <c r="X603" s="203"/>
      <c r="Y603" s="203"/>
      <c r="Z603" s="203"/>
    </row>
    <row r="604" ht="12.75" customHeight="1">
      <c r="A604" s="203"/>
      <c r="B604" s="203"/>
      <c r="C604" s="203"/>
      <c r="D604" s="203"/>
      <c r="E604" s="203"/>
      <c r="F604" s="203"/>
      <c r="G604" s="203"/>
      <c r="H604" s="203"/>
      <c r="I604" s="203"/>
      <c r="J604" s="203"/>
      <c r="K604" s="203"/>
      <c r="L604" s="203"/>
      <c r="M604" s="203"/>
      <c r="N604" s="203"/>
      <c r="O604" s="203"/>
      <c r="P604" s="203"/>
      <c r="Q604" s="203"/>
      <c r="R604" s="203"/>
      <c r="S604" s="203"/>
      <c r="T604" s="203"/>
      <c r="U604" s="203"/>
      <c r="V604" s="203"/>
      <c r="W604" s="203"/>
      <c r="X604" s="203"/>
      <c r="Y604" s="203"/>
      <c r="Z604" s="203"/>
    </row>
    <row r="605" ht="12.75" customHeight="1">
      <c r="A605" s="203"/>
      <c r="B605" s="203"/>
      <c r="C605" s="203"/>
      <c r="D605" s="203"/>
      <c r="E605" s="203"/>
      <c r="F605" s="203"/>
      <c r="G605" s="203"/>
      <c r="H605" s="203"/>
      <c r="I605" s="203"/>
      <c r="J605" s="203"/>
      <c r="K605" s="203"/>
      <c r="L605" s="203"/>
      <c r="M605" s="203"/>
      <c r="N605" s="203"/>
      <c r="O605" s="203"/>
      <c r="P605" s="203"/>
      <c r="Q605" s="203"/>
      <c r="R605" s="203"/>
      <c r="S605" s="203"/>
      <c r="T605" s="203"/>
      <c r="U605" s="203"/>
      <c r="V605" s="203"/>
      <c r="W605" s="203"/>
      <c r="X605" s="203"/>
      <c r="Y605" s="203"/>
      <c r="Z605" s="203"/>
    </row>
    <row r="606" ht="12.75" customHeight="1">
      <c r="A606" s="203"/>
      <c r="B606" s="203"/>
      <c r="C606" s="203"/>
      <c r="D606" s="203"/>
      <c r="E606" s="203"/>
      <c r="F606" s="203"/>
      <c r="G606" s="203"/>
      <c r="H606" s="203"/>
      <c r="I606" s="203"/>
      <c r="J606" s="203"/>
      <c r="K606" s="203"/>
      <c r="L606" s="203"/>
      <c r="M606" s="203"/>
      <c r="N606" s="203"/>
      <c r="O606" s="203"/>
      <c r="P606" s="203"/>
      <c r="Q606" s="203"/>
      <c r="R606" s="203"/>
      <c r="S606" s="203"/>
      <c r="T606" s="203"/>
      <c r="U606" s="203"/>
      <c r="V606" s="203"/>
      <c r="W606" s="203"/>
      <c r="X606" s="203"/>
      <c r="Y606" s="203"/>
      <c r="Z606" s="203"/>
    </row>
    <row r="607" ht="12.75" customHeight="1">
      <c r="A607" s="203"/>
      <c r="B607" s="203"/>
      <c r="C607" s="203"/>
      <c r="D607" s="203"/>
      <c r="E607" s="203"/>
      <c r="F607" s="203"/>
      <c r="G607" s="203"/>
      <c r="H607" s="203"/>
      <c r="I607" s="203"/>
      <c r="J607" s="203"/>
      <c r="K607" s="203"/>
      <c r="L607" s="203"/>
      <c r="M607" s="203"/>
      <c r="N607" s="203"/>
      <c r="O607" s="203"/>
      <c r="P607" s="203"/>
      <c r="Q607" s="203"/>
      <c r="R607" s="203"/>
      <c r="S607" s="203"/>
      <c r="T607" s="203"/>
      <c r="U607" s="203"/>
      <c r="V607" s="203"/>
      <c r="W607" s="203"/>
      <c r="X607" s="203"/>
      <c r="Y607" s="203"/>
      <c r="Z607" s="203"/>
    </row>
    <row r="608" ht="12.75" customHeight="1">
      <c r="A608" s="203"/>
      <c r="B608" s="203"/>
      <c r="C608" s="203"/>
      <c r="D608" s="203"/>
      <c r="E608" s="203"/>
      <c r="F608" s="203"/>
      <c r="G608" s="203"/>
      <c r="H608" s="203"/>
      <c r="I608" s="203"/>
      <c r="J608" s="203"/>
      <c r="K608" s="203"/>
      <c r="L608" s="203"/>
      <c r="M608" s="203"/>
      <c r="N608" s="203"/>
      <c r="O608" s="203"/>
      <c r="P608" s="203"/>
      <c r="Q608" s="203"/>
      <c r="R608" s="203"/>
      <c r="S608" s="203"/>
      <c r="T608" s="203"/>
      <c r="U608" s="203"/>
      <c r="V608" s="203"/>
      <c r="W608" s="203"/>
      <c r="X608" s="203"/>
      <c r="Y608" s="203"/>
      <c r="Z608" s="203"/>
    </row>
    <row r="609" ht="12.75" customHeight="1">
      <c r="A609" s="203"/>
      <c r="B609" s="203"/>
      <c r="C609" s="203"/>
      <c r="D609" s="203"/>
      <c r="E609" s="203"/>
      <c r="F609" s="203"/>
      <c r="G609" s="203"/>
      <c r="H609" s="203"/>
      <c r="I609" s="203"/>
      <c r="J609" s="203"/>
      <c r="K609" s="203"/>
      <c r="L609" s="203"/>
      <c r="M609" s="203"/>
      <c r="N609" s="203"/>
      <c r="O609" s="203"/>
      <c r="P609" s="203"/>
      <c r="Q609" s="203"/>
      <c r="R609" s="203"/>
      <c r="S609" s="203"/>
      <c r="T609" s="203"/>
      <c r="U609" s="203"/>
      <c r="V609" s="203"/>
      <c r="W609" s="203"/>
      <c r="X609" s="203"/>
      <c r="Y609" s="203"/>
      <c r="Z609" s="203"/>
    </row>
    <row r="610" ht="12.75" customHeight="1">
      <c r="A610" s="203"/>
      <c r="B610" s="203"/>
      <c r="C610" s="203"/>
      <c r="D610" s="203"/>
      <c r="E610" s="203"/>
      <c r="F610" s="203"/>
      <c r="G610" s="203"/>
      <c r="H610" s="203"/>
      <c r="I610" s="203"/>
      <c r="J610" s="203"/>
      <c r="K610" s="203"/>
      <c r="L610" s="203"/>
      <c r="M610" s="203"/>
      <c r="N610" s="203"/>
      <c r="O610" s="203"/>
      <c r="P610" s="203"/>
      <c r="Q610" s="203"/>
      <c r="R610" s="203"/>
      <c r="S610" s="203"/>
      <c r="T610" s="203"/>
      <c r="U610" s="203"/>
      <c r="V610" s="203"/>
      <c r="W610" s="203"/>
      <c r="X610" s="203"/>
      <c r="Y610" s="203"/>
      <c r="Z610" s="203"/>
    </row>
    <row r="611" ht="12.75" customHeight="1">
      <c r="A611" s="203"/>
      <c r="B611" s="203"/>
      <c r="C611" s="203"/>
      <c r="D611" s="203"/>
      <c r="E611" s="203"/>
      <c r="F611" s="203"/>
      <c r="G611" s="203"/>
      <c r="H611" s="203"/>
      <c r="I611" s="203"/>
      <c r="J611" s="203"/>
      <c r="K611" s="203"/>
      <c r="L611" s="203"/>
      <c r="M611" s="203"/>
      <c r="N611" s="203"/>
      <c r="O611" s="203"/>
      <c r="P611" s="203"/>
      <c r="Q611" s="203"/>
      <c r="R611" s="203"/>
      <c r="S611" s="203"/>
      <c r="T611" s="203"/>
      <c r="U611" s="203"/>
      <c r="V611" s="203"/>
      <c r="W611" s="203"/>
      <c r="X611" s="203"/>
      <c r="Y611" s="203"/>
      <c r="Z611" s="203"/>
    </row>
    <row r="612" ht="12.75" customHeight="1">
      <c r="A612" s="203"/>
      <c r="B612" s="203"/>
      <c r="C612" s="203"/>
      <c r="D612" s="203"/>
      <c r="E612" s="203"/>
      <c r="F612" s="203"/>
      <c r="G612" s="203"/>
      <c r="H612" s="203"/>
      <c r="I612" s="203"/>
      <c r="J612" s="203"/>
      <c r="K612" s="203"/>
      <c r="L612" s="203"/>
      <c r="M612" s="203"/>
      <c r="N612" s="203"/>
      <c r="O612" s="203"/>
      <c r="P612" s="203"/>
      <c r="Q612" s="203"/>
      <c r="R612" s="203"/>
      <c r="S612" s="203"/>
      <c r="T612" s="203"/>
      <c r="U612" s="203"/>
      <c r="V612" s="203"/>
      <c r="W612" s="203"/>
      <c r="X612" s="203"/>
      <c r="Y612" s="203"/>
      <c r="Z612" s="203"/>
    </row>
    <row r="613" ht="12.75" customHeight="1">
      <c r="A613" s="203"/>
      <c r="B613" s="203"/>
      <c r="C613" s="203"/>
      <c r="D613" s="203"/>
      <c r="E613" s="203"/>
      <c r="F613" s="203"/>
      <c r="G613" s="203"/>
      <c r="H613" s="203"/>
      <c r="I613" s="203"/>
      <c r="J613" s="203"/>
      <c r="K613" s="203"/>
      <c r="L613" s="203"/>
      <c r="M613" s="203"/>
      <c r="N613" s="203"/>
      <c r="O613" s="203"/>
      <c r="P613" s="203"/>
      <c r="Q613" s="203"/>
      <c r="R613" s="203"/>
      <c r="S613" s="203"/>
      <c r="T613" s="203"/>
      <c r="U613" s="203"/>
      <c r="V613" s="203"/>
      <c r="W613" s="203"/>
      <c r="X613" s="203"/>
      <c r="Y613" s="203"/>
      <c r="Z613" s="203"/>
    </row>
    <row r="614" ht="12.75" customHeight="1">
      <c r="A614" s="203"/>
      <c r="B614" s="203"/>
      <c r="C614" s="203"/>
      <c r="D614" s="203"/>
      <c r="E614" s="203"/>
      <c r="F614" s="203"/>
      <c r="G614" s="203"/>
      <c r="H614" s="203"/>
      <c r="I614" s="203"/>
      <c r="J614" s="203"/>
      <c r="K614" s="203"/>
      <c r="L614" s="203"/>
      <c r="M614" s="203"/>
      <c r="N614" s="203"/>
      <c r="O614" s="203"/>
      <c r="P614" s="203"/>
      <c r="Q614" s="203"/>
      <c r="R614" s="203"/>
      <c r="S614" s="203"/>
      <c r="T614" s="203"/>
      <c r="U614" s="203"/>
      <c r="V614" s="203"/>
      <c r="W614" s="203"/>
      <c r="X614" s="203"/>
      <c r="Y614" s="203"/>
      <c r="Z614" s="203"/>
    </row>
    <row r="615" ht="12.75" customHeight="1">
      <c r="A615" s="203"/>
      <c r="B615" s="203"/>
      <c r="C615" s="203"/>
      <c r="D615" s="203"/>
      <c r="E615" s="203"/>
      <c r="F615" s="203"/>
      <c r="G615" s="203"/>
      <c r="H615" s="203"/>
      <c r="I615" s="203"/>
      <c r="J615" s="203"/>
      <c r="K615" s="203"/>
      <c r="L615" s="203"/>
      <c r="M615" s="203"/>
      <c r="N615" s="203"/>
      <c r="O615" s="203"/>
      <c r="P615" s="203"/>
      <c r="Q615" s="203"/>
      <c r="R615" s="203"/>
      <c r="S615" s="203"/>
      <c r="T615" s="203"/>
      <c r="U615" s="203"/>
      <c r="V615" s="203"/>
      <c r="W615" s="203"/>
      <c r="X615" s="203"/>
      <c r="Y615" s="203"/>
      <c r="Z615" s="203"/>
    </row>
    <row r="616" ht="12.75" customHeight="1">
      <c r="A616" s="203"/>
      <c r="B616" s="203"/>
      <c r="C616" s="203"/>
      <c r="D616" s="203"/>
      <c r="E616" s="203"/>
      <c r="F616" s="203"/>
      <c r="G616" s="203"/>
      <c r="H616" s="203"/>
      <c r="I616" s="203"/>
      <c r="J616" s="203"/>
      <c r="K616" s="203"/>
      <c r="L616" s="203"/>
      <c r="M616" s="203"/>
      <c r="N616" s="203"/>
      <c r="O616" s="203"/>
      <c r="P616" s="203"/>
      <c r="Q616" s="203"/>
      <c r="R616" s="203"/>
      <c r="S616" s="203"/>
      <c r="T616" s="203"/>
      <c r="U616" s="203"/>
      <c r="V616" s="203"/>
      <c r="W616" s="203"/>
      <c r="X616" s="203"/>
      <c r="Y616" s="203"/>
      <c r="Z616" s="203"/>
    </row>
    <row r="617" ht="12.75" customHeight="1">
      <c r="A617" s="203"/>
      <c r="B617" s="203"/>
      <c r="C617" s="203"/>
      <c r="D617" s="203"/>
      <c r="E617" s="203"/>
      <c r="F617" s="203"/>
      <c r="G617" s="203"/>
      <c r="H617" s="203"/>
      <c r="I617" s="203"/>
      <c r="J617" s="203"/>
      <c r="K617" s="203"/>
      <c r="L617" s="203"/>
      <c r="M617" s="203"/>
      <c r="N617" s="203"/>
      <c r="O617" s="203"/>
      <c r="P617" s="203"/>
      <c r="Q617" s="203"/>
      <c r="R617" s="203"/>
      <c r="S617" s="203"/>
      <c r="T617" s="203"/>
      <c r="U617" s="203"/>
      <c r="V617" s="203"/>
      <c r="W617" s="203"/>
      <c r="X617" s="203"/>
      <c r="Y617" s="203"/>
      <c r="Z617" s="203"/>
    </row>
    <row r="618" ht="12.75" customHeight="1">
      <c r="A618" s="203"/>
      <c r="B618" s="203"/>
      <c r="C618" s="203"/>
      <c r="D618" s="203"/>
      <c r="E618" s="203"/>
      <c r="F618" s="203"/>
      <c r="G618" s="203"/>
      <c r="H618" s="203"/>
      <c r="I618" s="203"/>
      <c r="J618" s="203"/>
      <c r="K618" s="203"/>
      <c r="L618" s="203"/>
      <c r="M618" s="203"/>
      <c r="N618" s="203"/>
      <c r="O618" s="203"/>
      <c r="P618" s="203"/>
      <c r="Q618" s="203"/>
      <c r="R618" s="203"/>
      <c r="S618" s="203"/>
      <c r="T618" s="203"/>
      <c r="U618" s="203"/>
      <c r="V618" s="203"/>
      <c r="W618" s="203"/>
      <c r="X618" s="203"/>
      <c r="Y618" s="203"/>
      <c r="Z618" s="203"/>
    </row>
    <row r="619" ht="12.75" customHeight="1">
      <c r="A619" s="203"/>
      <c r="B619" s="203"/>
      <c r="C619" s="203"/>
      <c r="D619" s="203"/>
      <c r="E619" s="203"/>
      <c r="F619" s="203"/>
      <c r="G619" s="203"/>
      <c r="H619" s="203"/>
      <c r="I619" s="203"/>
      <c r="J619" s="203"/>
      <c r="K619" s="203"/>
      <c r="L619" s="203"/>
      <c r="M619" s="203"/>
      <c r="N619" s="203"/>
      <c r="O619" s="203"/>
      <c r="P619" s="203"/>
      <c r="Q619" s="203"/>
      <c r="R619" s="203"/>
      <c r="S619" s="203"/>
      <c r="T619" s="203"/>
      <c r="U619" s="203"/>
      <c r="V619" s="203"/>
      <c r="W619" s="203"/>
      <c r="X619" s="203"/>
      <c r="Y619" s="203"/>
      <c r="Z619" s="203"/>
    </row>
    <row r="620" ht="12.75" customHeight="1">
      <c r="A620" s="203"/>
      <c r="B620" s="203"/>
      <c r="C620" s="203"/>
      <c r="D620" s="203"/>
      <c r="E620" s="203"/>
      <c r="F620" s="203"/>
      <c r="G620" s="203"/>
      <c r="H620" s="203"/>
      <c r="I620" s="203"/>
      <c r="J620" s="203"/>
      <c r="K620" s="203"/>
      <c r="L620" s="203"/>
      <c r="M620" s="203"/>
      <c r="N620" s="203"/>
      <c r="O620" s="203"/>
      <c r="P620" s="203"/>
      <c r="Q620" s="203"/>
      <c r="R620" s="203"/>
      <c r="S620" s="203"/>
      <c r="T620" s="203"/>
      <c r="U620" s="203"/>
      <c r="V620" s="203"/>
      <c r="W620" s="203"/>
      <c r="X620" s="203"/>
      <c r="Y620" s="203"/>
      <c r="Z620" s="203"/>
    </row>
    <row r="621" ht="12.75" customHeight="1">
      <c r="A621" s="203"/>
      <c r="B621" s="203"/>
      <c r="C621" s="203"/>
      <c r="D621" s="203"/>
      <c r="E621" s="203"/>
      <c r="F621" s="203"/>
      <c r="G621" s="203"/>
      <c r="H621" s="203"/>
      <c r="I621" s="203"/>
      <c r="J621" s="203"/>
      <c r="K621" s="203"/>
      <c r="L621" s="203"/>
      <c r="M621" s="203"/>
      <c r="N621" s="203"/>
      <c r="O621" s="203"/>
      <c r="P621" s="203"/>
      <c r="Q621" s="203"/>
      <c r="R621" s="203"/>
      <c r="S621" s="203"/>
      <c r="T621" s="203"/>
      <c r="U621" s="203"/>
      <c r="V621" s="203"/>
      <c r="W621" s="203"/>
      <c r="X621" s="203"/>
      <c r="Y621" s="203"/>
      <c r="Z621" s="203"/>
    </row>
    <row r="622" ht="12.75" customHeight="1">
      <c r="A622" s="203"/>
      <c r="B622" s="203"/>
      <c r="C622" s="203"/>
      <c r="D622" s="203"/>
      <c r="E622" s="203"/>
      <c r="F622" s="203"/>
      <c r="G622" s="203"/>
      <c r="H622" s="203"/>
      <c r="I622" s="203"/>
      <c r="J622" s="203"/>
      <c r="K622" s="203"/>
      <c r="L622" s="203"/>
      <c r="M622" s="203"/>
      <c r="N622" s="203"/>
      <c r="O622" s="203"/>
      <c r="P622" s="203"/>
      <c r="Q622" s="203"/>
      <c r="R622" s="203"/>
      <c r="S622" s="203"/>
      <c r="T622" s="203"/>
      <c r="U622" s="203"/>
      <c r="V622" s="203"/>
      <c r="W622" s="203"/>
      <c r="X622" s="203"/>
      <c r="Y622" s="203"/>
      <c r="Z622" s="203"/>
    </row>
    <row r="623" ht="12.75" customHeight="1">
      <c r="A623" s="203"/>
      <c r="B623" s="203"/>
      <c r="C623" s="203"/>
      <c r="D623" s="203"/>
      <c r="E623" s="203"/>
      <c r="F623" s="203"/>
      <c r="G623" s="203"/>
      <c r="H623" s="203"/>
      <c r="I623" s="203"/>
      <c r="J623" s="203"/>
      <c r="K623" s="203"/>
      <c r="L623" s="203"/>
      <c r="M623" s="203"/>
      <c r="N623" s="203"/>
      <c r="O623" s="203"/>
      <c r="P623" s="203"/>
      <c r="Q623" s="203"/>
      <c r="R623" s="203"/>
      <c r="S623" s="203"/>
      <c r="T623" s="203"/>
      <c r="U623" s="203"/>
      <c r="V623" s="203"/>
      <c r="W623" s="203"/>
      <c r="X623" s="203"/>
      <c r="Y623" s="203"/>
      <c r="Z623" s="203"/>
    </row>
    <row r="624" ht="12.75" customHeight="1">
      <c r="A624" s="203"/>
      <c r="B624" s="203"/>
      <c r="C624" s="203"/>
      <c r="D624" s="203"/>
      <c r="E624" s="203"/>
      <c r="F624" s="203"/>
      <c r="G624" s="203"/>
      <c r="H624" s="203"/>
      <c r="I624" s="203"/>
      <c r="J624" s="203"/>
      <c r="K624" s="203"/>
      <c r="L624" s="203"/>
      <c r="M624" s="203"/>
      <c r="N624" s="203"/>
      <c r="O624" s="203"/>
      <c r="P624" s="203"/>
      <c r="Q624" s="203"/>
      <c r="R624" s="203"/>
      <c r="S624" s="203"/>
      <c r="T624" s="203"/>
      <c r="U624" s="203"/>
      <c r="V624" s="203"/>
      <c r="W624" s="203"/>
      <c r="X624" s="203"/>
      <c r="Y624" s="203"/>
      <c r="Z624" s="203"/>
    </row>
    <row r="625" ht="12.75" customHeight="1">
      <c r="A625" s="203"/>
      <c r="B625" s="203"/>
      <c r="C625" s="203"/>
      <c r="D625" s="203"/>
      <c r="E625" s="203"/>
      <c r="F625" s="203"/>
      <c r="G625" s="203"/>
      <c r="H625" s="203"/>
      <c r="I625" s="203"/>
      <c r="J625" s="203"/>
      <c r="K625" s="203"/>
      <c r="L625" s="203"/>
      <c r="M625" s="203"/>
      <c r="N625" s="203"/>
      <c r="O625" s="203"/>
      <c r="P625" s="203"/>
      <c r="Q625" s="203"/>
      <c r="R625" s="203"/>
      <c r="S625" s="203"/>
      <c r="T625" s="203"/>
      <c r="U625" s="203"/>
      <c r="V625" s="203"/>
      <c r="W625" s="203"/>
      <c r="X625" s="203"/>
      <c r="Y625" s="203"/>
      <c r="Z625" s="203"/>
    </row>
    <row r="626" ht="12.75" customHeight="1">
      <c r="A626" s="203"/>
      <c r="B626" s="203"/>
      <c r="C626" s="203"/>
      <c r="D626" s="203"/>
      <c r="E626" s="203"/>
      <c r="F626" s="203"/>
      <c r="G626" s="203"/>
      <c r="H626" s="203"/>
      <c r="I626" s="203"/>
      <c r="J626" s="203"/>
      <c r="K626" s="203"/>
      <c r="L626" s="203"/>
      <c r="M626" s="203"/>
      <c r="N626" s="203"/>
      <c r="O626" s="203"/>
      <c r="P626" s="203"/>
      <c r="Q626" s="203"/>
      <c r="R626" s="203"/>
      <c r="S626" s="203"/>
      <c r="T626" s="203"/>
      <c r="U626" s="203"/>
      <c r="V626" s="203"/>
      <c r="W626" s="203"/>
      <c r="X626" s="203"/>
      <c r="Y626" s="203"/>
      <c r="Z626" s="203"/>
    </row>
    <row r="627" ht="12.75" customHeight="1">
      <c r="A627" s="203"/>
      <c r="B627" s="203"/>
      <c r="C627" s="203"/>
      <c r="D627" s="203"/>
      <c r="E627" s="203"/>
      <c r="F627" s="203"/>
      <c r="G627" s="203"/>
      <c r="H627" s="203"/>
      <c r="I627" s="203"/>
      <c r="J627" s="203"/>
      <c r="K627" s="203"/>
      <c r="L627" s="203"/>
      <c r="M627" s="203"/>
      <c r="N627" s="203"/>
      <c r="O627" s="203"/>
      <c r="P627" s="203"/>
      <c r="Q627" s="203"/>
      <c r="R627" s="203"/>
      <c r="S627" s="203"/>
      <c r="T627" s="203"/>
      <c r="U627" s="203"/>
      <c r="V627" s="203"/>
      <c r="W627" s="203"/>
      <c r="X627" s="203"/>
      <c r="Y627" s="203"/>
      <c r="Z627" s="203"/>
    </row>
    <row r="628" ht="12.75" customHeight="1">
      <c r="A628" s="203"/>
      <c r="B628" s="203"/>
      <c r="C628" s="203"/>
      <c r="D628" s="203"/>
      <c r="E628" s="203"/>
      <c r="F628" s="203"/>
      <c r="G628" s="203"/>
      <c r="H628" s="203"/>
      <c r="I628" s="203"/>
      <c r="J628" s="203"/>
      <c r="K628" s="203"/>
      <c r="L628" s="203"/>
      <c r="M628" s="203"/>
      <c r="N628" s="203"/>
      <c r="O628" s="203"/>
      <c r="P628" s="203"/>
      <c r="Q628" s="203"/>
      <c r="R628" s="203"/>
      <c r="S628" s="203"/>
      <c r="T628" s="203"/>
      <c r="U628" s="203"/>
      <c r="V628" s="203"/>
      <c r="W628" s="203"/>
      <c r="X628" s="203"/>
      <c r="Y628" s="203"/>
      <c r="Z628" s="203"/>
    </row>
    <row r="629" ht="12.75" customHeight="1">
      <c r="A629" s="203"/>
      <c r="B629" s="203"/>
      <c r="C629" s="203"/>
      <c r="D629" s="203"/>
      <c r="E629" s="203"/>
      <c r="F629" s="203"/>
      <c r="G629" s="203"/>
      <c r="H629" s="203"/>
      <c r="I629" s="203"/>
      <c r="J629" s="203"/>
      <c r="K629" s="203"/>
      <c r="L629" s="203"/>
      <c r="M629" s="203"/>
      <c r="N629" s="203"/>
      <c r="O629" s="203"/>
      <c r="P629" s="203"/>
      <c r="Q629" s="203"/>
      <c r="R629" s="203"/>
      <c r="S629" s="203"/>
      <c r="T629" s="203"/>
      <c r="U629" s="203"/>
      <c r="V629" s="203"/>
      <c r="W629" s="203"/>
      <c r="X629" s="203"/>
      <c r="Y629" s="203"/>
      <c r="Z629" s="203"/>
    </row>
    <row r="630" ht="12.75" customHeight="1">
      <c r="A630" s="203"/>
      <c r="B630" s="203"/>
      <c r="C630" s="203"/>
      <c r="D630" s="203"/>
      <c r="E630" s="203"/>
      <c r="F630" s="203"/>
      <c r="G630" s="203"/>
      <c r="H630" s="203"/>
      <c r="I630" s="203"/>
      <c r="J630" s="203"/>
      <c r="K630" s="203"/>
      <c r="L630" s="203"/>
      <c r="M630" s="203"/>
      <c r="N630" s="203"/>
      <c r="O630" s="203"/>
      <c r="P630" s="203"/>
      <c r="Q630" s="203"/>
      <c r="R630" s="203"/>
      <c r="S630" s="203"/>
      <c r="T630" s="203"/>
      <c r="U630" s="203"/>
      <c r="V630" s="203"/>
      <c r="W630" s="203"/>
      <c r="X630" s="203"/>
      <c r="Y630" s="203"/>
      <c r="Z630" s="203"/>
    </row>
    <row r="631" ht="12.75" customHeight="1">
      <c r="A631" s="203"/>
      <c r="B631" s="203"/>
      <c r="C631" s="203"/>
      <c r="D631" s="203"/>
      <c r="E631" s="203"/>
      <c r="F631" s="203"/>
      <c r="G631" s="203"/>
      <c r="H631" s="203"/>
      <c r="I631" s="203"/>
      <c r="J631" s="203"/>
      <c r="K631" s="203"/>
      <c r="L631" s="203"/>
      <c r="M631" s="203"/>
      <c r="N631" s="203"/>
      <c r="O631" s="203"/>
      <c r="P631" s="203"/>
      <c r="Q631" s="203"/>
      <c r="R631" s="203"/>
      <c r="S631" s="203"/>
      <c r="T631" s="203"/>
      <c r="U631" s="203"/>
      <c r="V631" s="203"/>
      <c r="W631" s="203"/>
      <c r="X631" s="203"/>
      <c r="Y631" s="203"/>
      <c r="Z631" s="203"/>
    </row>
    <row r="632" ht="12.75" customHeight="1">
      <c r="A632" s="203"/>
      <c r="B632" s="203"/>
      <c r="C632" s="203"/>
      <c r="D632" s="203"/>
      <c r="E632" s="203"/>
      <c r="F632" s="203"/>
      <c r="G632" s="203"/>
      <c r="H632" s="203"/>
      <c r="I632" s="203"/>
      <c r="J632" s="203"/>
      <c r="K632" s="203"/>
      <c r="L632" s="203"/>
      <c r="M632" s="203"/>
      <c r="N632" s="203"/>
      <c r="O632" s="203"/>
      <c r="P632" s="203"/>
      <c r="Q632" s="203"/>
      <c r="R632" s="203"/>
      <c r="S632" s="203"/>
      <c r="T632" s="203"/>
      <c r="U632" s="203"/>
      <c r="V632" s="203"/>
      <c r="W632" s="203"/>
      <c r="X632" s="203"/>
      <c r="Y632" s="203"/>
      <c r="Z632" s="203"/>
    </row>
    <row r="633" ht="12.75" customHeight="1">
      <c r="A633" s="203"/>
      <c r="B633" s="203"/>
      <c r="C633" s="203"/>
      <c r="D633" s="203"/>
      <c r="E633" s="203"/>
      <c r="F633" s="203"/>
      <c r="G633" s="203"/>
      <c r="H633" s="203"/>
      <c r="I633" s="203"/>
      <c r="J633" s="203"/>
      <c r="K633" s="203"/>
      <c r="L633" s="203"/>
      <c r="M633" s="203"/>
      <c r="N633" s="203"/>
      <c r="O633" s="203"/>
      <c r="P633" s="203"/>
      <c r="Q633" s="203"/>
      <c r="R633" s="203"/>
      <c r="S633" s="203"/>
      <c r="T633" s="203"/>
      <c r="U633" s="203"/>
      <c r="V633" s="203"/>
      <c r="W633" s="203"/>
      <c r="X633" s="203"/>
      <c r="Y633" s="203"/>
      <c r="Z633" s="203"/>
    </row>
    <row r="634" ht="12.75" customHeight="1">
      <c r="A634" s="203"/>
      <c r="B634" s="203"/>
      <c r="C634" s="203"/>
      <c r="D634" s="203"/>
      <c r="E634" s="203"/>
      <c r="F634" s="203"/>
      <c r="G634" s="203"/>
      <c r="H634" s="203"/>
      <c r="I634" s="203"/>
      <c r="J634" s="203"/>
      <c r="K634" s="203"/>
      <c r="L634" s="203"/>
      <c r="M634" s="203"/>
      <c r="N634" s="203"/>
      <c r="O634" s="203"/>
      <c r="P634" s="203"/>
      <c r="Q634" s="203"/>
      <c r="R634" s="203"/>
      <c r="S634" s="203"/>
      <c r="T634" s="203"/>
      <c r="U634" s="203"/>
      <c r="V634" s="203"/>
      <c r="W634" s="203"/>
      <c r="X634" s="203"/>
      <c r="Y634" s="203"/>
      <c r="Z634" s="203"/>
    </row>
    <row r="635" ht="12.75" customHeight="1">
      <c r="A635" s="203"/>
      <c r="B635" s="203"/>
      <c r="C635" s="203"/>
      <c r="D635" s="203"/>
      <c r="E635" s="203"/>
      <c r="F635" s="203"/>
      <c r="G635" s="203"/>
      <c r="H635" s="203"/>
      <c r="I635" s="203"/>
      <c r="J635" s="203"/>
      <c r="K635" s="203"/>
      <c r="L635" s="203"/>
      <c r="M635" s="203"/>
      <c r="N635" s="203"/>
      <c r="O635" s="203"/>
      <c r="P635" s="203"/>
      <c r="Q635" s="203"/>
      <c r="R635" s="203"/>
      <c r="S635" s="203"/>
      <c r="T635" s="203"/>
      <c r="U635" s="203"/>
      <c r="V635" s="203"/>
      <c r="W635" s="203"/>
      <c r="X635" s="203"/>
      <c r="Y635" s="203"/>
      <c r="Z635" s="203"/>
    </row>
    <row r="636" ht="12.75" customHeight="1">
      <c r="A636" s="203"/>
      <c r="B636" s="203"/>
      <c r="C636" s="203"/>
      <c r="D636" s="203"/>
      <c r="E636" s="203"/>
      <c r="F636" s="203"/>
      <c r="G636" s="203"/>
      <c r="H636" s="203"/>
      <c r="I636" s="203"/>
      <c r="J636" s="203"/>
      <c r="K636" s="203"/>
      <c r="L636" s="203"/>
      <c r="M636" s="203"/>
      <c r="N636" s="203"/>
      <c r="O636" s="203"/>
      <c r="P636" s="203"/>
      <c r="Q636" s="203"/>
      <c r="R636" s="203"/>
      <c r="S636" s="203"/>
      <c r="T636" s="203"/>
      <c r="U636" s="203"/>
      <c r="V636" s="203"/>
      <c r="W636" s="203"/>
      <c r="X636" s="203"/>
      <c r="Y636" s="203"/>
      <c r="Z636" s="203"/>
    </row>
    <row r="637" ht="12.75" customHeight="1">
      <c r="A637" s="203"/>
      <c r="B637" s="203"/>
      <c r="C637" s="203"/>
      <c r="D637" s="203"/>
      <c r="E637" s="203"/>
      <c r="F637" s="203"/>
      <c r="G637" s="203"/>
      <c r="H637" s="203"/>
      <c r="I637" s="203"/>
      <c r="J637" s="203"/>
      <c r="K637" s="203"/>
      <c r="L637" s="203"/>
      <c r="M637" s="203"/>
      <c r="N637" s="203"/>
      <c r="O637" s="203"/>
      <c r="P637" s="203"/>
      <c r="Q637" s="203"/>
      <c r="R637" s="203"/>
      <c r="S637" s="203"/>
      <c r="T637" s="203"/>
      <c r="U637" s="203"/>
      <c r="V637" s="203"/>
      <c r="W637" s="203"/>
      <c r="X637" s="203"/>
      <c r="Y637" s="203"/>
      <c r="Z637" s="203"/>
    </row>
    <row r="638" ht="12.75" customHeight="1">
      <c r="A638" s="203"/>
      <c r="B638" s="203"/>
      <c r="C638" s="203"/>
      <c r="D638" s="203"/>
      <c r="E638" s="203"/>
      <c r="F638" s="203"/>
      <c r="G638" s="203"/>
      <c r="H638" s="203"/>
      <c r="I638" s="203"/>
      <c r="J638" s="203"/>
      <c r="K638" s="203"/>
      <c r="L638" s="203"/>
      <c r="M638" s="203"/>
      <c r="N638" s="203"/>
      <c r="O638" s="203"/>
      <c r="P638" s="203"/>
      <c r="Q638" s="203"/>
      <c r="R638" s="203"/>
      <c r="S638" s="203"/>
      <c r="T638" s="203"/>
      <c r="U638" s="203"/>
      <c r="V638" s="203"/>
      <c r="W638" s="203"/>
      <c r="X638" s="203"/>
      <c r="Y638" s="203"/>
      <c r="Z638" s="203"/>
    </row>
    <row r="639" ht="12.75" customHeight="1">
      <c r="A639" s="203"/>
      <c r="B639" s="203"/>
      <c r="C639" s="203"/>
      <c r="D639" s="203"/>
      <c r="E639" s="203"/>
      <c r="F639" s="203"/>
      <c r="G639" s="203"/>
      <c r="H639" s="203"/>
      <c r="I639" s="203"/>
      <c r="J639" s="203"/>
      <c r="K639" s="203"/>
      <c r="L639" s="203"/>
      <c r="M639" s="203"/>
      <c r="N639" s="203"/>
      <c r="O639" s="203"/>
      <c r="P639" s="203"/>
      <c r="Q639" s="203"/>
      <c r="R639" s="203"/>
      <c r="S639" s="203"/>
      <c r="T639" s="203"/>
      <c r="U639" s="203"/>
      <c r="V639" s="203"/>
      <c r="W639" s="203"/>
      <c r="X639" s="203"/>
      <c r="Y639" s="203"/>
      <c r="Z639" s="203"/>
    </row>
    <row r="640" ht="12.75" customHeight="1">
      <c r="A640" s="203"/>
      <c r="B640" s="203"/>
      <c r="C640" s="203"/>
      <c r="D640" s="203"/>
      <c r="E640" s="203"/>
      <c r="F640" s="203"/>
      <c r="G640" s="203"/>
      <c r="H640" s="203"/>
      <c r="I640" s="203"/>
      <c r="J640" s="203"/>
      <c r="K640" s="203"/>
      <c r="L640" s="203"/>
      <c r="M640" s="203"/>
      <c r="N640" s="203"/>
      <c r="O640" s="203"/>
      <c r="P640" s="203"/>
      <c r="Q640" s="203"/>
      <c r="R640" s="203"/>
      <c r="S640" s="203"/>
      <c r="T640" s="203"/>
      <c r="U640" s="203"/>
      <c r="V640" s="203"/>
      <c r="W640" s="203"/>
      <c r="X640" s="203"/>
      <c r="Y640" s="203"/>
      <c r="Z640" s="203"/>
    </row>
    <row r="641" ht="12.75" customHeight="1">
      <c r="A641" s="203"/>
      <c r="B641" s="203"/>
      <c r="C641" s="203"/>
      <c r="D641" s="203"/>
      <c r="E641" s="203"/>
      <c r="F641" s="203"/>
      <c r="G641" s="203"/>
      <c r="H641" s="203"/>
      <c r="I641" s="203"/>
      <c r="J641" s="203"/>
      <c r="K641" s="203"/>
      <c r="L641" s="203"/>
      <c r="M641" s="203"/>
      <c r="N641" s="203"/>
      <c r="O641" s="203"/>
      <c r="P641" s="203"/>
      <c r="Q641" s="203"/>
      <c r="R641" s="203"/>
      <c r="S641" s="203"/>
      <c r="T641" s="203"/>
      <c r="U641" s="203"/>
      <c r="V641" s="203"/>
      <c r="W641" s="203"/>
      <c r="X641" s="203"/>
      <c r="Y641" s="203"/>
      <c r="Z641" s="203"/>
    </row>
    <row r="642" ht="12.75" customHeight="1">
      <c r="A642" s="203"/>
      <c r="B642" s="203"/>
      <c r="C642" s="203"/>
      <c r="D642" s="203"/>
      <c r="E642" s="203"/>
      <c r="F642" s="203"/>
      <c r="G642" s="203"/>
      <c r="H642" s="203"/>
      <c r="I642" s="203"/>
      <c r="J642" s="203"/>
      <c r="K642" s="203"/>
      <c r="L642" s="203"/>
      <c r="M642" s="203"/>
      <c r="N642" s="203"/>
      <c r="O642" s="203"/>
      <c r="P642" s="203"/>
      <c r="Q642" s="203"/>
      <c r="R642" s="203"/>
      <c r="S642" s="203"/>
      <c r="T642" s="203"/>
      <c r="U642" s="203"/>
      <c r="V642" s="203"/>
      <c r="W642" s="203"/>
      <c r="X642" s="203"/>
      <c r="Y642" s="203"/>
      <c r="Z642" s="203"/>
    </row>
    <row r="643" ht="12.75" customHeight="1">
      <c r="A643" s="203"/>
      <c r="B643" s="203"/>
      <c r="C643" s="203"/>
      <c r="D643" s="203"/>
      <c r="E643" s="203"/>
      <c r="F643" s="203"/>
      <c r="G643" s="203"/>
      <c r="H643" s="203"/>
      <c r="I643" s="203"/>
      <c r="J643" s="203"/>
      <c r="K643" s="203"/>
      <c r="L643" s="203"/>
      <c r="M643" s="203"/>
      <c r="N643" s="203"/>
      <c r="O643" s="203"/>
      <c r="P643" s="203"/>
      <c r="Q643" s="203"/>
      <c r="R643" s="203"/>
      <c r="S643" s="203"/>
      <c r="T643" s="203"/>
      <c r="U643" s="203"/>
      <c r="V643" s="203"/>
      <c r="W643" s="203"/>
      <c r="X643" s="203"/>
      <c r="Y643" s="203"/>
      <c r="Z643" s="203"/>
    </row>
    <row r="644" ht="12.75" customHeight="1">
      <c r="A644" s="203"/>
      <c r="B644" s="203"/>
      <c r="C644" s="203"/>
      <c r="D644" s="203"/>
      <c r="E644" s="203"/>
      <c r="F644" s="203"/>
      <c r="G644" s="203"/>
      <c r="H644" s="203"/>
      <c r="I644" s="203"/>
      <c r="J644" s="203"/>
      <c r="K644" s="203"/>
      <c r="L644" s="203"/>
      <c r="M644" s="203"/>
      <c r="N644" s="203"/>
      <c r="O644" s="203"/>
      <c r="P644" s="203"/>
      <c r="Q644" s="203"/>
      <c r="R644" s="203"/>
      <c r="S644" s="203"/>
      <c r="T644" s="203"/>
      <c r="U644" s="203"/>
      <c r="V644" s="203"/>
      <c r="W644" s="203"/>
      <c r="X644" s="203"/>
      <c r="Y644" s="203"/>
      <c r="Z644" s="203"/>
    </row>
    <row r="645" ht="12.75" customHeight="1">
      <c r="A645" s="203"/>
      <c r="B645" s="203"/>
      <c r="C645" s="203"/>
      <c r="D645" s="203"/>
      <c r="E645" s="203"/>
      <c r="F645" s="203"/>
      <c r="G645" s="203"/>
      <c r="H645" s="203"/>
      <c r="I645" s="203"/>
      <c r="J645" s="203"/>
      <c r="K645" s="203"/>
      <c r="L645" s="203"/>
      <c r="M645" s="203"/>
      <c r="N645" s="203"/>
      <c r="O645" s="203"/>
      <c r="P645" s="203"/>
      <c r="Q645" s="203"/>
      <c r="R645" s="203"/>
      <c r="S645" s="203"/>
      <c r="T645" s="203"/>
      <c r="U645" s="203"/>
      <c r="V645" s="203"/>
      <c r="W645" s="203"/>
      <c r="X645" s="203"/>
      <c r="Y645" s="203"/>
      <c r="Z645" s="203"/>
    </row>
    <row r="646" ht="12.75" customHeight="1">
      <c r="A646" s="203"/>
      <c r="B646" s="203"/>
      <c r="C646" s="203"/>
      <c r="D646" s="203"/>
      <c r="E646" s="203"/>
      <c r="F646" s="203"/>
      <c r="G646" s="203"/>
      <c r="H646" s="203"/>
      <c r="I646" s="203"/>
      <c r="J646" s="203"/>
      <c r="K646" s="203"/>
      <c r="L646" s="203"/>
      <c r="M646" s="203"/>
      <c r="N646" s="203"/>
      <c r="O646" s="203"/>
      <c r="P646" s="203"/>
      <c r="Q646" s="203"/>
      <c r="R646" s="203"/>
      <c r="S646" s="203"/>
      <c r="T646" s="203"/>
      <c r="U646" s="203"/>
      <c r="V646" s="203"/>
      <c r="W646" s="203"/>
      <c r="X646" s="203"/>
      <c r="Y646" s="203"/>
      <c r="Z646" s="203"/>
    </row>
    <row r="647" ht="12.75" customHeight="1">
      <c r="A647" s="203"/>
      <c r="B647" s="203"/>
      <c r="C647" s="203"/>
      <c r="D647" s="203"/>
      <c r="E647" s="203"/>
      <c r="F647" s="203"/>
      <c r="G647" s="203"/>
      <c r="H647" s="203"/>
      <c r="I647" s="203"/>
      <c r="J647" s="203"/>
      <c r="K647" s="203"/>
      <c r="L647" s="203"/>
      <c r="M647" s="203"/>
      <c r="N647" s="203"/>
      <c r="O647" s="203"/>
      <c r="P647" s="203"/>
      <c r="Q647" s="203"/>
      <c r="R647" s="203"/>
      <c r="S647" s="203"/>
      <c r="T647" s="203"/>
      <c r="U647" s="203"/>
      <c r="V647" s="203"/>
      <c r="W647" s="203"/>
      <c r="X647" s="203"/>
      <c r="Y647" s="203"/>
      <c r="Z647" s="203"/>
    </row>
    <row r="648" ht="12.75" customHeight="1">
      <c r="A648" s="203"/>
      <c r="B648" s="203"/>
      <c r="C648" s="203"/>
      <c r="D648" s="203"/>
      <c r="E648" s="203"/>
      <c r="F648" s="203"/>
      <c r="G648" s="203"/>
      <c r="H648" s="203"/>
      <c r="I648" s="203"/>
      <c r="J648" s="203"/>
      <c r="K648" s="203"/>
      <c r="L648" s="203"/>
      <c r="M648" s="203"/>
      <c r="N648" s="203"/>
      <c r="O648" s="203"/>
      <c r="P648" s="203"/>
      <c r="Q648" s="203"/>
      <c r="R648" s="203"/>
      <c r="S648" s="203"/>
      <c r="T648" s="203"/>
      <c r="U648" s="203"/>
      <c r="V648" s="203"/>
      <c r="W648" s="203"/>
      <c r="X648" s="203"/>
      <c r="Y648" s="203"/>
      <c r="Z648" s="203"/>
    </row>
    <row r="649" ht="12.75" customHeight="1">
      <c r="A649" s="203"/>
      <c r="B649" s="203"/>
      <c r="C649" s="203"/>
      <c r="D649" s="203"/>
      <c r="E649" s="203"/>
      <c r="F649" s="203"/>
      <c r="G649" s="203"/>
      <c r="H649" s="203"/>
      <c r="I649" s="203"/>
      <c r="J649" s="203"/>
      <c r="K649" s="203"/>
      <c r="L649" s="203"/>
      <c r="M649" s="203"/>
      <c r="N649" s="203"/>
      <c r="O649" s="203"/>
      <c r="P649" s="203"/>
      <c r="Q649" s="203"/>
      <c r="R649" s="203"/>
      <c r="S649" s="203"/>
      <c r="T649" s="203"/>
      <c r="U649" s="203"/>
      <c r="V649" s="203"/>
      <c r="W649" s="203"/>
      <c r="X649" s="203"/>
      <c r="Y649" s="203"/>
      <c r="Z649" s="203"/>
    </row>
    <row r="650" ht="12.75" customHeight="1">
      <c r="A650" s="203"/>
      <c r="B650" s="203"/>
      <c r="C650" s="203"/>
      <c r="D650" s="203"/>
      <c r="E650" s="203"/>
      <c r="F650" s="203"/>
      <c r="G650" s="203"/>
      <c r="H650" s="203"/>
      <c r="I650" s="203"/>
      <c r="J650" s="203"/>
      <c r="K650" s="203"/>
      <c r="L650" s="203"/>
      <c r="M650" s="203"/>
      <c r="N650" s="203"/>
      <c r="O650" s="203"/>
      <c r="P650" s="203"/>
      <c r="Q650" s="203"/>
      <c r="R650" s="203"/>
      <c r="S650" s="203"/>
      <c r="T650" s="203"/>
      <c r="U650" s="203"/>
      <c r="V650" s="203"/>
      <c r="W650" s="203"/>
      <c r="X650" s="203"/>
      <c r="Y650" s="203"/>
      <c r="Z650" s="203"/>
    </row>
    <row r="651" ht="12.75" customHeight="1">
      <c r="A651" s="203"/>
      <c r="B651" s="203"/>
      <c r="C651" s="203"/>
      <c r="D651" s="203"/>
      <c r="E651" s="203"/>
      <c r="F651" s="203"/>
      <c r="G651" s="203"/>
      <c r="H651" s="203"/>
      <c r="I651" s="203"/>
      <c r="J651" s="203"/>
      <c r="K651" s="203"/>
      <c r="L651" s="203"/>
      <c r="M651" s="203"/>
      <c r="N651" s="203"/>
      <c r="O651" s="203"/>
      <c r="P651" s="203"/>
      <c r="Q651" s="203"/>
      <c r="R651" s="203"/>
      <c r="S651" s="203"/>
      <c r="T651" s="203"/>
      <c r="U651" s="203"/>
      <c r="V651" s="203"/>
      <c r="W651" s="203"/>
      <c r="X651" s="203"/>
      <c r="Y651" s="203"/>
      <c r="Z651" s="203"/>
    </row>
    <row r="652" ht="12.75" customHeight="1">
      <c r="A652" s="203"/>
      <c r="B652" s="203"/>
      <c r="C652" s="203"/>
      <c r="D652" s="203"/>
      <c r="E652" s="203"/>
      <c r="F652" s="203"/>
      <c r="G652" s="203"/>
      <c r="H652" s="203"/>
      <c r="I652" s="203"/>
      <c r="J652" s="203"/>
      <c r="K652" s="203"/>
      <c r="L652" s="203"/>
      <c r="M652" s="203"/>
      <c r="N652" s="203"/>
      <c r="O652" s="203"/>
      <c r="P652" s="203"/>
      <c r="Q652" s="203"/>
      <c r="R652" s="203"/>
      <c r="S652" s="203"/>
      <c r="T652" s="203"/>
      <c r="U652" s="203"/>
      <c r="V652" s="203"/>
      <c r="W652" s="203"/>
      <c r="X652" s="203"/>
      <c r="Y652" s="203"/>
      <c r="Z652" s="203"/>
    </row>
    <row r="653" ht="12.75" customHeight="1">
      <c r="A653" s="203"/>
      <c r="B653" s="203"/>
      <c r="C653" s="203"/>
      <c r="D653" s="203"/>
      <c r="E653" s="203"/>
      <c r="F653" s="203"/>
      <c r="G653" s="203"/>
      <c r="H653" s="203"/>
      <c r="I653" s="203"/>
      <c r="J653" s="203"/>
      <c r="K653" s="203"/>
      <c r="L653" s="203"/>
      <c r="M653" s="203"/>
      <c r="N653" s="203"/>
      <c r="O653" s="203"/>
      <c r="P653" s="203"/>
      <c r="Q653" s="203"/>
      <c r="R653" s="203"/>
      <c r="S653" s="203"/>
      <c r="T653" s="203"/>
      <c r="U653" s="203"/>
      <c r="V653" s="203"/>
      <c r="W653" s="203"/>
      <c r="X653" s="203"/>
      <c r="Y653" s="203"/>
      <c r="Z653" s="203"/>
    </row>
    <row r="654" ht="12.75" customHeight="1">
      <c r="A654" s="203"/>
      <c r="B654" s="203"/>
      <c r="C654" s="203"/>
      <c r="D654" s="203"/>
      <c r="E654" s="203"/>
      <c r="F654" s="203"/>
      <c r="G654" s="203"/>
      <c r="H654" s="203"/>
      <c r="I654" s="203"/>
      <c r="J654" s="203"/>
      <c r="K654" s="203"/>
      <c r="L654" s="203"/>
      <c r="M654" s="203"/>
      <c r="N654" s="203"/>
      <c r="O654" s="203"/>
      <c r="P654" s="203"/>
      <c r="Q654" s="203"/>
      <c r="R654" s="203"/>
      <c r="S654" s="203"/>
      <c r="T654" s="203"/>
      <c r="U654" s="203"/>
      <c r="V654" s="203"/>
      <c r="W654" s="203"/>
      <c r="X654" s="203"/>
      <c r="Y654" s="203"/>
      <c r="Z654" s="203"/>
    </row>
    <row r="655" ht="12.75" customHeight="1">
      <c r="A655" s="203"/>
      <c r="B655" s="203"/>
      <c r="C655" s="203"/>
      <c r="D655" s="203"/>
      <c r="E655" s="203"/>
      <c r="F655" s="203"/>
      <c r="G655" s="203"/>
      <c r="H655" s="203"/>
      <c r="I655" s="203"/>
      <c r="J655" s="203"/>
      <c r="K655" s="203"/>
      <c r="L655" s="203"/>
      <c r="M655" s="203"/>
      <c r="N655" s="203"/>
      <c r="O655" s="203"/>
      <c r="P655" s="203"/>
      <c r="Q655" s="203"/>
      <c r="R655" s="203"/>
      <c r="S655" s="203"/>
      <c r="T655" s="203"/>
      <c r="U655" s="203"/>
      <c r="V655" s="203"/>
      <c r="W655" s="203"/>
      <c r="X655" s="203"/>
      <c r="Y655" s="203"/>
      <c r="Z655" s="203"/>
    </row>
    <row r="656" ht="12.75" customHeight="1">
      <c r="A656" s="203"/>
      <c r="B656" s="203"/>
      <c r="C656" s="203"/>
      <c r="D656" s="203"/>
      <c r="E656" s="203"/>
      <c r="F656" s="203"/>
      <c r="G656" s="203"/>
      <c r="H656" s="203"/>
      <c r="I656" s="203"/>
      <c r="J656" s="203"/>
      <c r="K656" s="203"/>
      <c r="L656" s="203"/>
      <c r="M656" s="203"/>
      <c r="N656" s="203"/>
      <c r="O656" s="203"/>
      <c r="P656" s="203"/>
      <c r="Q656" s="203"/>
      <c r="R656" s="203"/>
      <c r="S656" s="203"/>
      <c r="T656" s="203"/>
      <c r="U656" s="203"/>
      <c r="V656" s="203"/>
      <c r="W656" s="203"/>
      <c r="X656" s="203"/>
      <c r="Y656" s="203"/>
      <c r="Z656" s="203"/>
    </row>
    <row r="657" ht="12.75" customHeight="1">
      <c r="A657" s="203"/>
      <c r="B657" s="203"/>
      <c r="C657" s="203"/>
      <c r="D657" s="203"/>
      <c r="E657" s="203"/>
      <c r="F657" s="203"/>
      <c r="G657" s="203"/>
      <c r="H657" s="203"/>
      <c r="I657" s="203"/>
      <c r="J657" s="203"/>
      <c r="K657" s="203"/>
      <c r="L657" s="203"/>
      <c r="M657" s="203"/>
      <c r="N657" s="203"/>
      <c r="O657" s="203"/>
      <c r="P657" s="203"/>
      <c r="Q657" s="203"/>
      <c r="R657" s="203"/>
      <c r="S657" s="203"/>
      <c r="T657" s="203"/>
      <c r="U657" s="203"/>
      <c r="V657" s="203"/>
      <c r="W657" s="203"/>
      <c r="X657" s="203"/>
      <c r="Y657" s="203"/>
      <c r="Z657" s="203"/>
    </row>
    <row r="658" ht="12.75" customHeight="1">
      <c r="A658" s="203"/>
      <c r="B658" s="203"/>
      <c r="C658" s="203"/>
      <c r="D658" s="203"/>
      <c r="E658" s="203"/>
      <c r="F658" s="203"/>
      <c r="G658" s="203"/>
      <c r="H658" s="203"/>
      <c r="I658" s="203"/>
      <c r="J658" s="203"/>
      <c r="K658" s="203"/>
      <c r="L658" s="203"/>
      <c r="M658" s="203"/>
      <c r="N658" s="203"/>
      <c r="O658" s="203"/>
      <c r="P658" s="203"/>
      <c r="Q658" s="203"/>
      <c r="R658" s="203"/>
      <c r="S658" s="203"/>
      <c r="T658" s="203"/>
      <c r="U658" s="203"/>
      <c r="V658" s="203"/>
      <c r="W658" s="203"/>
      <c r="X658" s="203"/>
      <c r="Y658" s="203"/>
      <c r="Z658" s="203"/>
    </row>
    <row r="659" ht="12.75" customHeight="1">
      <c r="A659" s="203"/>
      <c r="B659" s="203"/>
      <c r="C659" s="203"/>
      <c r="D659" s="203"/>
      <c r="E659" s="203"/>
      <c r="F659" s="203"/>
      <c r="G659" s="203"/>
      <c r="H659" s="203"/>
      <c r="I659" s="203"/>
      <c r="J659" s="203"/>
      <c r="K659" s="203"/>
      <c r="L659" s="203"/>
      <c r="M659" s="203"/>
      <c r="N659" s="203"/>
      <c r="O659" s="203"/>
      <c r="P659" s="203"/>
      <c r="Q659" s="203"/>
      <c r="R659" s="203"/>
      <c r="S659" s="203"/>
      <c r="T659" s="203"/>
      <c r="U659" s="203"/>
      <c r="V659" s="203"/>
      <c r="W659" s="203"/>
      <c r="X659" s="203"/>
      <c r="Y659" s="203"/>
      <c r="Z659" s="203"/>
    </row>
    <row r="660" ht="12.75" customHeight="1">
      <c r="A660" s="203"/>
      <c r="B660" s="203"/>
      <c r="C660" s="203"/>
      <c r="D660" s="203"/>
      <c r="E660" s="203"/>
      <c r="F660" s="203"/>
      <c r="G660" s="203"/>
      <c r="H660" s="203"/>
      <c r="I660" s="203"/>
      <c r="J660" s="203"/>
      <c r="K660" s="203"/>
      <c r="L660" s="203"/>
      <c r="M660" s="203"/>
      <c r="N660" s="203"/>
      <c r="O660" s="203"/>
      <c r="P660" s="203"/>
      <c r="Q660" s="203"/>
      <c r="R660" s="203"/>
      <c r="S660" s="203"/>
      <c r="T660" s="203"/>
      <c r="U660" s="203"/>
      <c r="V660" s="203"/>
      <c r="W660" s="203"/>
      <c r="X660" s="203"/>
      <c r="Y660" s="203"/>
      <c r="Z660" s="203"/>
    </row>
    <row r="661" ht="12.75" customHeight="1">
      <c r="A661" s="203"/>
      <c r="B661" s="203"/>
      <c r="C661" s="203"/>
      <c r="D661" s="203"/>
      <c r="E661" s="203"/>
      <c r="F661" s="203"/>
      <c r="G661" s="203"/>
      <c r="H661" s="203"/>
      <c r="I661" s="203"/>
      <c r="J661" s="203"/>
      <c r="K661" s="203"/>
      <c r="L661" s="203"/>
      <c r="M661" s="203"/>
      <c r="N661" s="203"/>
      <c r="O661" s="203"/>
      <c r="P661" s="203"/>
      <c r="Q661" s="203"/>
      <c r="R661" s="203"/>
      <c r="S661" s="203"/>
      <c r="T661" s="203"/>
      <c r="U661" s="203"/>
      <c r="V661" s="203"/>
      <c r="W661" s="203"/>
      <c r="X661" s="203"/>
      <c r="Y661" s="203"/>
      <c r="Z661" s="203"/>
    </row>
    <row r="662" ht="12.75" customHeight="1">
      <c r="A662" s="203"/>
      <c r="B662" s="203"/>
      <c r="C662" s="203"/>
      <c r="D662" s="203"/>
      <c r="E662" s="203"/>
      <c r="F662" s="203"/>
      <c r="G662" s="203"/>
      <c r="H662" s="203"/>
      <c r="I662" s="203"/>
      <c r="J662" s="203"/>
      <c r="K662" s="203"/>
      <c r="L662" s="203"/>
      <c r="M662" s="203"/>
      <c r="N662" s="203"/>
      <c r="O662" s="203"/>
      <c r="P662" s="203"/>
      <c r="Q662" s="203"/>
      <c r="R662" s="203"/>
      <c r="S662" s="203"/>
      <c r="T662" s="203"/>
      <c r="U662" s="203"/>
      <c r="V662" s="203"/>
      <c r="W662" s="203"/>
      <c r="X662" s="203"/>
      <c r="Y662" s="203"/>
      <c r="Z662" s="203"/>
    </row>
    <row r="663" ht="12.75" customHeight="1">
      <c r="A663" s="203"/>
      <c r="B663" s="203"/>
      <c r="C663" s="203"/>
      <c r="D663" s="203"/>
      <c r="E663" s="203"/>
      <c r="F663" s="203"/>
      <c r="G663" s="203"/>
      <c r="H663" s="203"/>
      <c r="I663" s="203"/>
      <c r="J663" s="203"/>
      <c r="K663" s="203"/>
      <c r="L663" s="203"/>
      <c r="M663" s="203"/>
      <c r="N663" s="203"/>
      <c r="O663" s="203"/>
      <c r="P663" s="203"/>
      <c r="Q663" s="203"/>
      <c r="R663" s="203"/>
      <c r="S663" s="203"/>
      <c r="T663" s="203"/>
      <c r="U663" s="203"/>
      <c r="V663" s="203"/>
      <c r="W663" s="203"/>
      <c r="X663" s="203"/>
      <c r="Y663" s="203"/>
      <c r="Z663" s="203"/>
    </row>
    <row r="664" ht="12.75" customHeight="1">
      <c r="A664" s="203"/>
      <c r="B664" s="203"/>
      <c r="C664" s="203"/>
      <c r="D664" s="203"/>
      <c r="E664" s="203"/>
      <c r="F664" s="203"/>
      <c r="G664" s="203"/>
      <c r="H664" s="203"/>
      <c r="I664" s="203"/>
      <c r="J664" s="203"/>
      <c r="K664" s="203"/>
      <c r="L664" s="203"/>
      <c r="M664" s="203"/>
      <c r="N664" s="203"/>
      <c r="O664" s="203"/>
      <c r="P664" s="203"/>
      <c r="Q664" s="203"/>
      <c r="R664" s="203"/>
      <c r="S664" s="203"/>
      <c r="T664" s="203"/>
      <c r="U664" s="203"/>
      <c r="V664" s="203"/>
      <c r="W664" s="203"/>
      <c r="X664" s="203"/>
      <c r="Y664" s="203"/>
      <c r="Z664" s="203"/>
    </row>
    <row r="665" ht="12.75" customHeight="1">
      <c r="A665" s="203"/>
      <c r="B665" s="203"/>
      <c r="C665" s="203"/>
      <c r="D665" s="203"/>
      <c r="E665" s="203"/>
      <c r="F665" s="203"/>
      <c r="G665" s="203"/>
      <c r="H665" s="203"/>
      <c r="I665" s="203"/>
      <c r="J665" s="203"/>
      <c r="K665" s="203"/>
      <c r="L665" s="203"/>
      <c r="M665" s="203"/>
      <c r="N665" s="203"/>
      <c r="O665" s="203"/>
      <c r="P665" s="203"/>
      <c r="Q665" s="203"/>
      <c r="R665" s="203"/>
      <c r="S665" s="203"/>
      <c r="T665" s="203"/>
      <c r="U665" s="203"/>
      <c r="V665" s="203"/>
      <c r="W665" s="203"/>
      <c r="X665" s="203"/>
      <c r="Y665" s="203"/>
      <c r="Z665" s="203"/>
    </row>
    <row r="666" ht="12.75" customHeight="1">
      <c r="A666" s="203"/>
      <c r="B666" s="203"/>
      <c r="C666" s="203"/>
      <c r="D666" s="203"/>
      <c r="E666" s="203"/>
      <c r="F666" s="203"/>
      <c r="G666" s="203"/>
      <c r="H666" s="203"/>
      <c r="I666" s="203"/>
      <c r="J666" s="203"/>
      <c r="K666" s="203"/>
      <c r="L666" s="203"/>
      <c r="M666" s="203"/>
      <c r="N666" s="203"/>
      <c r="O666" s="203"/>
      <c r="P666" s="203"/>
      <c r="Q666" s="203"/>
      <c r="R666" s="203"/>
      <c r="S666" s="203"/>
      <c r="T666" s="203"/>
      <c r="U666" s="203"/>
      <c r="V666" s="203"/>
      <c r="W666" s="203"/>
      <c r="X666" s="203"/>
      <c r="Y666" s="203"/>
      <c r="Z666" s="203"/>
    </row>
    <row r="667" ht="12.75" customHeight="1">
      <c r="A667" s="203"/>
      <c r="B667" s="203"/>
      <c r="C667" s="203"/>
      <c r="D667" s="203"/>
      <c r="E667" s="203"/>
      <c r="F667" s="203"/>
      <c r="G667" s="203"/>
      <c r="H667" s="203"/>
      <c r="I667" s="203"/>
      <c r="J667" s="203"/>
      <c r="K667" s="203"/>
      <c r="L667" s="203"/>
      <c r="M667" s="203"/>
      <c r="N667" s="203"/>
      <c r="O667" s="203"/>
      <c r="P667" s="203"/>
      <c r="Q667" s="203"/>
      <c r="R667" s="203"/>
      <c r="S667" s="203"/>
      <c r="T667" s="203"/>
      <c r="U667" s="203"/>
      <c r="V667" s="203"/>
      <c r="W667" s="203"/>
      <c r="X667" s="203"/>
      <c r="Y667" s="203"/>
      <c r="Z667" s="203"/>
    </row>
    <row r="668" ht="12.75" customHeight="1">
      <c r="A668" s="203"/>
      <c r="B668" s="203"/>
      <c r="C668" s="203"/>
      <c r="D668" s="203"/>
      <c r="E668" s="203"/>
      <c r="F668" s="203"/>
      <c r="G668" s="203"/>
      <c r="H668" s="203"/>
      <c r="I668" s="203"/>
      <c r="J668" s="203"/>
      <c r="K668" s="203"/>
      <c r="L668" s="203"/>
      <c r="M668" s="203"/>
      <c r="N668" s="203"/>
      <c r="O668" s="203"/>
      <c r="P668" s="203"/>
      <c r="Q668" s="203"/>
      <c r="R668" s="203"/>
      <c r="S668" s="203"/>
      <c r="T668" s="203"/>
      <c r="U668" s="203"/>
      <c r="V668" s="203"/>
      <c r="W668" s="203"/>
      <c r="X668" s="203"/>
      <c r="Y668" s="203"/>
      <c r="Z668" s="203"/>
    </row>
    <row r="669" ht="12.75" customHeight="1">
      <c r="A669" s="203"/>
      <c r="B669" s="203"/>
      <c r="C669" s="203"/>
      <c r="D669" s="203"/>
      <c r="E669" s="203"/>
      <c r="F669" s="203"/>
      <c r="G669" s="203"/>
      <c r="H669" s="203"/>
      <c r="I669" s="203"/>
      <c r="J669" s="203"/>
      <c r="K669" s="203"/>
      <c r="L669" s="203"/>
      <c r="M669" s="203"/>
      <c r="N669" s="203"/>
      <c r="O669" s="203"/>
      <c r="P669" s="203"/>
      <c r="Q669" s="203"/>
      <c r="R669" s="203"/>
      <c r="S669" s="203"/>
      <c r="T669" s="203"/>
      <c r="U669" s="203"/>
      <c r="V669" s="203"/>
      <c r="W669" s="203"/>
      <c r="X669" s="203"/>
      <c r="Y669" s="203"/>
      <c r="Z669" s="203"/>
    </row>
    <row r="670" ht="12.75" customHeight="1">
      <c r="A670" s="203"/>
      <c r="B670" s="203"/>
      <c r="C670" s="203"/>
      <c r="D670" s="203"/>
      <c r="E670" s="203"/>
      <c r="F670" s="203"/>
      <c r="G670" s="203"/>
      <c r="H670" s="203"/>
      <c r="I670" s="203"/>
      <c r="J670" s="203"/>
      <c r="K670" s="203"/>
      <c r="L670" s="203"/>
      <c r="M670" s="203"/>
      <c r="N670" s="203"/>
      <c r="O670" s="203"/>
      <c r="P670" s="203"/>
      <c r="Q670" s="203"/>
      <c r="R670" s="203"/>
      <c r="S670" s="203"/>
      <c r="T670" s="203"/>
      <c r="U670" s="203"/>
      <c r="V670" s="203"/>
      <c r="W670" s="203"/>
      <c r="X670" s="203"/>
      <c r="Y670" s="203"/>
      <c r="Z670" s="203"/>
    </row>
    <row r="671" ht="12.75" customHeight="1">
      <c r="A671" s="203"/>
      <c r="B671" s="203"/>
      <c r="C671" s="203"/>
      <c r="D671" s="203"/>
      <c r="E671" s="203"/>
      <c r="F671" s="203"/>
      <c r="G671" s="203"/>
      <c r="H671" s="203"/>
      <c r="I671" s="203"/>
      <c r="J671" s="203"/>
      <c r="K671" s="203"/>
      <c r="L671" s="203"/>
      <c r="M671" s="203"/>
      <c r="N671" s="203"/>
      <c r="O671" s="203"/>
      <c r="P671" s="203"/>
      <c r="Q671" s="203"/>
      <c r="R671" s="203"/>
      <c r="S671" s="203"/>
      <c r="T671" s="203"/>
      <c r="U671" s="203"/>
      <c r="V671" s="203"/>
      <c r="W671" s="203"/>
      <c r="X671" s="203"/>
      <c r="Y671" s="203"/>
      <c r="Z671" s="203"/>
    </row>
    <row r="672" ht="12.75" customHeight="1">
      <c r="A672" s="203"/>
      <c r="B672" s="203"/>
      <c r="C672" s="203"/>
      <c r="D672" s="203"/>
      <c r="E672" s="203"/>
      <c r="F672" s="203"/>
      <c r="G672" s="203"/>
      <c r="H672" s="203"/>
      <c r="I672" s="203"/>
      <c r="J672" s="203"/>
      <c r="K672" s="203"/>
      <c r="L672" s="203"/>
      <c r="M672" s="203"/>
      <c r="N672" s="203"/>
      <c r="O672" s="203"/>
      <c r="P672" s="203"/>
      <c r="Q672" s="203"/>
      <c r="R672" s="203"/>
      <c r="S672" s="203"/>
      <c r="T672" s="203"/>
      <c r="U672" s="203"/>
      <c r="V672" s="203"/>
      <c r="W672" s="203"/>
      <c r="X672" s="203"/>
      <c r="Y672" s="203"/>
      <c r="Z672" s="203"/>
    </row>
    <row r="673" ht="12.75" customHeight="1">
      <c r="A673" s="203"/>
      <c r="B673" s="203"/>
      <c r="C673" s="203"/>
      <c r="D673" s="203"/>
      <c r="E673" s="203"/>
      <c r="F673" s="203"/>
      <c r="G673" s="203"/>
      <c r="H673" s="203"/>
      <c r="I673" s="203"/>
      <c r="J673" s="203"/>
      <c r="K673" s="203"/>
      <c r="L673" s="203"/>
      <c r="M673" s="203"/>
      <c r="N673" s="203"/>
      <c r="O673" s="203"/>
      <c r="P673" s="203"/>
      <c r="Q673" s="203"/>
      <c r="R673" s="203"/>
      <c r="S673" s="203"/>
      <c r="T673" s="203"/>
      <c r="U673" s="203"/>
      <c r="V673" s="203"/>
      <c r="W673" s="203"/>
      <c r="X673" s="203"/>
      <c r="Y673" s="203"/>
      <c r="Z673" s="203"/>
    </row>
    <row r="674" ht="12.75" customHeight="1">
      <c r="A674" s="203"/>
      <c r="B674" s="203"/>
      <c r="C674" s="203"/>
      <c r="D674" s="203"/>
      <c r="E674" s="203"/>
      <c r="F674" s="203"/>
      <c r="G674" s="203"/>
      <c r="H674" s="203"/>
      <c r="I674" s="203"/>
      <c r="J674" s="203"/>
      <c r="K674" s="203"/>
      <c r="L674" s="203"/>
      <c r="M674" s="203"/>
      <c r="N674" s="203"/>
      <c r="O674" s="203"/>
      <c r="P674" s="203"/>
      <c r="Q674" s="203"/>
      <c r="R674" s="203"/>
      <c r="S674" s="203"/>
      <c r="T674" s="203"/>
      <c r="U674" s="203"/>
      <c r="V674" s="203"/>
      <c r="W674" s="203"/>
      <c r="X674" s="203"/>
      <c r="Y674" s="203"/>
      <c r="Z674" s="203"/>
    </row>
    <row r="675" ht="12.75" customHeight="1">
      <c r="A675" s="203"/>
      <c r="B675" s="203"/>
      <c r="C675" s="203"/>
      <c r="D675" s="203"/>
      <c r="E675" s="203"/>
      <c r="F675" s="203"/>
      <c r="G675" s="203"/>
      <c r="H675" s="203"/>
      <c r="I675" s="203"/>
      <c r="J675" s="203"/>
      <c r="K675" s="203"/>
      <c r="L675" s="203"/>
      <c r="M675" s="203"/>
      <c r="N675" s="203"/>
      <c r="O675" s="203"/>
      <c r="P675" s="203"/>
      <c r="Q675" s="203"/>
      <c r="R675" s="203"/>
      <c r="S675" s="203"/>
      <c r="T675" s="203"/>
      <c r="U675" s="203"/>
      <c r="V675" s="203"/>
      <c r="W675" s="203"/>
      <c r="X675" s="203"/>
      <c r="Y675" s="203"/>
      <c r="Z675" s="203"/>
    </row>
    <row r="676" ht="12.75" customHeight="1">
      <c r="A676" s="203"/>
      <c r="B676" s="203"/>
      <c r="C676" s="203"/>
      <c r="D676" s="203"/>
      <c r="E676" s="203"/>
      <c r="F676" s="203"/>
      <c r="G676" s="203"/>
      <c r="H676" s="203"/>
      <c r="I676" s="203"/>
      <c r="J676" s="203"/>
      <c r="K676" s="203"/>
      <c r="L676" s="203"/>
      <c r="M676" s="203"/>
      <c r="N676" s="203"/>
      <c r="O676" s="203"/>
      <c r="P676" s="203"/>
      <c r="Q676" s="203"/>
      <c r="R676" s="203"/>
      <c r="S676" s="203"/>
      <c r="T676" s="203"/>
      <c r="U676" s="203"/>
      <c r="V676" s="203"/>
      <c r="W676" s="203"/>
      <c r="X676" s="203"/>
      <c r="Y676" s="203"/>
      <c r="Z676" s="203"/>
    </row>
    <row r="677" ht="12.75" customHeight="1">
      <c r="A677" s="203"/>
      <c r="B677" s="203"/>
      <c r="C677" s="203"/>
      <c r="D677" s="203"/>
      <c r="E677" s="203"/>
      <c r="F677" s="203"/>
      <c r="G677" s="203"/>
      <c r="H677" s="203"/>
      <c r="I677" s="203"/>
      <c r="J677" s="203"/>
      <c r="K677" s="203"/>
      <c r="L677" s="203"/>
      <c r="M677" s="203"/>
      <c r="N677" s="203"/>
      <c r="O677" s="203"/>
      <c r="P677" s="203"/>
      <c r="Q677" s="203"/>
      <c r="R677" s="203"/>
      <c r="S677" s="203"/>
      <c r="T677" s="203"/>
      <c r="U677" s="203"/>
      <c r="V677" s="203"/>
      <c r="W677" s="203"/>
      <c r="X677" s="203"/>
      <c r="Y677" s="203"/>
      <c r="Z677" s="203"/>
    </row>
    <row r="678" ht="12.75" customHeight="1">
      <c r="A678" s="203"/>
      <c r="B678" s="203"/>
      <c r="C678" s="203"/>
      <c r="D678" s="203"/>
      <c r="E678" s="203"/>
      <c r="F678" s="203"/>
      <c r="G678" s="203"/>
      <c r="H678" s="203"/>
      <c r="I678" s="203"/>
      <c r="J678" s="203"/>
      <c r="K678" s="203"/>
      <c r="L678" s="203"/>
      <c r="M678" s="203"/>
      <c r="N678" s="203"/>
      <c r="O678" s="203"/>
      <c r="P678" s="203"/>
      <c r="Q678" s="203"/>
      <c r="R678" s="203"/>
      <c r="S678" s="203"/>
      <c r="T678" s="203"/>
      <c r="U678" s="203"/>
      <c r="V678" s="203"/>
      <c r="W678" s="203"/>
      <c r="X678" s="203"/>
      <c r="Y678" s="203"/>
      <c r="Z678" s="203"/>
    </row>
    <row r="679" ht="12.75" customHeight="1">
      <c r="A679" s="203"/>
      <c r="B679" s="203"/>
      <c r="C679" s="203"/>
      <c r="D679" s="203"/>
      <c r="E679" s="203"/>
      <c r="F679" s="203"/>
      <c r="G679" s="203"/>
      <c r="H679" s="203"/>
      <c r="I679" s="203"/>
      <c r="J679" s="203"/>
      <c r="K679" s="203"/>
      <c r="L679" s="203"/>
      <c r="M679" s="203"/>
      <c r="N679" s="203"/>
      <c r="O679" s="203"/>
      <c r="P679" s="203"/>
      <c r="Q679" s="203"/>
      <c r="R679" s="203"/>
      <c r="S679" s="203"/>
      <c r="T679" s="203"/>
      <c r="U679" s="203"/>
      <c r="V679" s="203"/>
      <c r="W679" s="203"/>
      <c r="X679" s="203"/>
      <c r="Y679" s="203"/>
      <c r="Z679" s="203"/>
    </row>
    <row r="680" ht="12.75" customHeight="1">
      <c r="A680" s="203"/>
      <c r="B680" s="203"/>
      <c r="C680" s="203"/>
      <c r="D680" s="203"/>
      <c r="E680" s="203"/>
      <c r="F680" s="203"/>
      <c r="G680" s="203"/>
      <c r="H680" s="203"/>
      <c r="I680" s="203"/>
      <c r="J680" s="203"/>
      <c r="K680" s="203"/>
      <c r="L680" s="203"/>
      <c r="M680" s="203"/>
      <c r="N680" s="203"/>
      <c r="O680" s="203"/>
      <c r="P680" s="203"/>
      <c r="Q680" s="203"/>
      <c r="R680" s="203"/>
      <c r="S680" s="203"/>
      <c r="T680" s="203"/>
      <c r="U680" s="203"/>
      <c r="V680" s="203"/>
      <c r="W680" s="203"/>
      <c r="X680" s="203"/>
      <c r="Y680" s="203"/>
      <c r="Z680" s="203"/>
    </row>
    <row r="681" ht="12.75" customHeight="1">
      <c r="A681" s="203"/>
      <c r="B681" s="203"/>
      <c r="C681" s="203"/>
      <c r="D681" s="203"/>
      <c r="E681" s="203"/>
      <c r="F681" s="203"/>
      <c r="G681" s="203"/>
      <c r="H681" s="203"/>
      <c r="I681" s="203"/>
      <c r="J681" s="203"/>
      <c r="K681" s="203"/>
      <c r="L681" s="203"/>
      <c r="M681" s="203"/>
      <c r="N681" s="203"/>
      <c r="O681" s="203"/>
      <c r="P681" s="203"/>
      <c r="Q681" s="203"/>
      <c r="R681" s="203"/>
      <c r="S681" s="203"/>
      <c r="T681" s="203"/>
      <c r="U681" s="203"/>
      <c r="V681" s="203"/>
      <c r="W681" s="203"/>
      <c r="X681" s="203"/>
      <c r="Y681" s="203"/>
      <c r="Z681" s="203"/>
    </row>
    <row r="682" ht="12.75" customHeight="1">
      <c r="A682" s="203"/>
      <c r="B682" s="203"/>
      <c r="C682" s="203"/>
      <c r="D682" s="203"/>
      <c r="E682" s="203"/>
      <c r="F682" s="203"/>
      <c r="G682" s="203"/>
      <c r="H682" s="203"/>
      <c r="I682" s="203"/>
      <c r="J682" s="203"/>
      <c r="K682" s="203"/>
      <c r="L682" s="203"/>
      <c r="M682" s="203"/>
      <c r="N682" s="203"/>
      <c r="O682" s="203"/>
      <c r="P682" s="203"/>
      <c r="Q682" s="203"/>
      <c r="R682" s="203"/>
      <c r="S682" s="203"/>
      <c r="T682" s="203"/>
      <c r="U682" s="203"/>
      <c r="V682" s="203"/>
      <c r="W682" s="203"/>
      <c r="X682" s="203"/>
      <c r="Y682" s="203"/>
      <c r="Z682" s="203"/>
    </row>
    <row r="683" ht="12.75" customHeight="1">
      <c r="A683" s="203"/>
      <c r="B683" s="203"/>
      <c r="C683" s="203"/>
      <c r="D683" s="203"/>
      <c r="E683" s="203"/>
      <c r="F683" s="203"/>
      <c r="G683" s="203"/>
      <c r="H683" s="203"/>
      <c r="I683" s="203"/>
      <c r="J683" s="203"/>
      <c r="K683" s="203"/>
      <c r="L683" s="203"/>
      <c r="M683" s="203"/>
      <c r="N683" s="203"/>
      <c r="O683" s="203"/>
      <c r="P683" s="203"/>
      <c r="Q683" s="203"/>
      <c r="R683" s="203"/>
      <c r="S683" s="203"/>
      <c r="T683" s="203"/>
      <c r="U683" s="203"/>
      <c r="V683" s="203"/>
      <c r="W683" s="203"/>
      <c r="X683" s="203"/>
      <c r="Y683" s="203"/>
      <c r="Z683" s="203"/>
    </row>
    <row r="684" ht="12.75" customHeight="1">
      <c r="A684" s="203"/>
      <c r="B684" s="203"/>
      <c r="C684" s="203"/>
      <c r="D684" s="203"/>
      <c r="E684" s="203"/>
      <c r="F684" s="203"/>
      <c r="G684" s="203"/>
      <c r="H684" s="203"/>
      <c r="I684" s="203"/>
      <c r="J684" s="203"/>
      <c r="K684" s="203"/>
      <c r="L684" s="203"/>
      <c r="M684" s="203"/>
      <c r="N684" s="203"/>
      <c r="O684" s="203"/>
      <c r="P684" s="203"/>
      <c r="Q684" s="203"/>
      <c r="R684" s="203"/>
      <c r="S684" s="203"/>
      <c r="T684" s="203"/>
      <c r="U684" s="203"/>
      <c r="V684" s="203"/>
      <c r="W684" s="203"/>
      <c r="X684" s="203"/>
      <c r="Y684" s="203"/>
      <c r="Z684" s="203"/>
    </row>
    <row r="685" ht="12.75" customHeight="1">
      <c r="A685" s="203"/>
      <c r="B685" s="203"/>
      <c r="C685" s="203"/>
      <c r="D685" s="203"/>
      <c r="E685" s="203"/>
      <c r="F685" s="203"/>
      <c r="G685" s="203"/>
      <c r="H685" s="203"/>
      <c r="I685" s="203"/>
      <c r="J685" s="203"/>
      <c r="K685" s="203"/>
      <c r="L685" s="203"/>
      <c r="M685" s="203"/>
      <c r="N685" s="203"/>
      <c r="O685" s="203"/>
      <c r="P685" s="203"/>
      <c r="Q685" s="203"/>
      <c r="R685" s="203"/>
      <c r="S685" s="203"/>
      <c r="T685" s="203"/>
      <c r="U685" s="203"/>
      <c r="V685" s="203"/>
      <c r="W685" s="203"/>
      <c r="X685" s="203"/>
      <c r="Y685" s="203"/>
      <c r="Z685" s="203"/>
    </row>
    <row r="686" ht="12.75" customHeight="1">
      <c r="A686" s="203"/>
      <c r="B686" s="203"/>
      <c r="C686" s="203"/>
      <c r="D686" s="203"/>
      <c r="E686" s="203"/>
      <c r="F686" s="203"/>
      <c r="G686" s="203"/>
      <c r="H686" s="203"/>
      <c r="I686" s="203"/>
      <c r="J686" s="203"/>
      <c r="K686" s="203"/>
      <c r="L686" s="203"/>
      <c r="M686" s="203"/>
      <c r="N686" s="203"/>
      <c r="O686" s="203"/>
      <c r="P686" s="203"/>
      <c r="Q686" s="203"/>
      <c r="R686" s="203"/>
      <c r="S686" s="203"/>
      <c r="T686" s="203"/>
      <c r="U686" s="203"/>
      <c r="V686" s="203"/>
      <c r="W686" s="203"/>
      <c r="X686" s="203"/>
      <c r="Y686" s="203"/>
      <c r="Z686" s="203"/>
    </row>
    <row r="687" ht="12.75" customHeight="1">
      <c r="A687" s="203"/>
      <c r="B687" s="203"/>
      <c r="C687" s="203"/>
      <c r="D687" s="203"/>
      <c r="E687" s="203"/>
      <c r="F687" s="203"/>
      <c r="G687" s="203"/>
      <c r="H687" s="203"/>
      <c r="I687" s="203"/>
      <c r="J687" s="203"/>
      <c r="K687" s="203"/>
      <c r="L687" s="203"/>
      <c r="M687" s="203"/>
      <c r="N687" s="203"/>
      <c r="O687" s="203"/>
      <c r="P687" s="203"/>
      <c r="Q687" s="203"/>
      <c r="R687" s="203"/>
      <c r="S687" s="203"/>
      <c r="T687" s="203"/>
      <c r="U687" s="203"/>
      <c r="V687" s="203"/>
      <c r="W687" s="203"/>
      <c r="X687" s="203"/>
      <c r="Y687" s="203"/>
      <c r="Z687" s="203"/>
    </row>
    <row r="688" ht="12.75" customHeight="1">
      <c r="A688" s="203"/>
      <c r="B688" s="203"/>
      <c r="C688" s="203"/>
      <c r="D688" s="203"/>
      <c r="E688" s="203"/>
      <c r="F688" s="203"/>
      <c r="G688" s="203"/>
      <c r="H688" s="203"/>
      <c r="I688" s="203"/>
      <c r="J688" s="203"/>
      <c r="K688" s="203"/>
      <c r="L688" s="203"/>
      <c r="M688" s="203"/>
      <c r="N688" s="203"/>
      <c r="O688" s="203"/>
      <c r="P688" s="203"/>
      <c r="Q688" s="203"/>
      <c r="R688" s="203"/>
      <c r="S688" s="203"/>
      <c r="T688" s="203"/>
      <c r="U688" s="203"/>
      <c r="V688" s="203"/>
      <c r="W688" s="203"/>
      <c r="X688" s="203"/>
      <c r="Y688" s="203"/>
      <c r="Z688" s="203"/>
    </row>
    <row r="689" ht="12.75" customHeight="1">
      <c r="A689" s="203"/>
      <c r="B689" s="203"/>
      <c r="C689" s="203"/>
      <c r="D689" s="203"/>
      <c r="E689" s="203"/>
      <c r="F689" s="203"/>
      <c r="G689" s="203"/>
      <c r="H689" s="203"/>
      <c r="I689" s="203"/>
      <c r="J689" s="203"/>
      <c r="K689" s="203"/>
      <c r="L689" s="203"/>
      <c r="M689" s="203"/>
      <c r="N689" s="203"/>
      <c r="O689" s="203"/>
      <c r="P689" s="203"/>
      <c r="Q689" s="203"/>
      <c r="R689" s="203"/>
      <c r="S689" s="203"/>
      <c r="T689" s="203"/>
      <c r="U689" s="203"/>
      <c r="V689" s="203"/>
      <c r="W689" s="203"/>
      <c r="X689" s="203"/>
      <c r="Y689" s="203"/>
      <c r="Z689" s="203"/>
    </row>
    <row r="690" ht="12.75" customHeight="1">
      <c r="A690" s="203"/>
      <c r="B690" s="203"/>
      <c r="C690" s="203"/>
      <c r="D690" s="203"/>
      <c r="E690" s="203"/>
      <c r="F690" s="203"/>
      <c r="G690" s="203"/>
      <c r="H690" s="203"/>
      <c r="I690" s="203"/>
      <c r="J690" s="203"/>
      <c r="K690" s="203"/>
      <c r="L690" s="203"/>
      <c r="M690" s="203"/>
      <c r="N690" s="203"/>
      <c r="O690" s="203"/>
      <c r="P690" s="203"/>
      <c r="Q690" s="203"/>
      <c r="R690" s="203"/>
      <c r="S690" s="203"/>
      <c r="T690" s="203"/>
      <c r="U690" s="203"/>
      <c r="V690" s="203"/>
      <c r="W690" s="203"/>
      <c r="X690" s="203"/>
      <c r="Y690" s="203"/>
      <c r="Z690" s="203"/>
    </row>
    <row r="691" ht="12.75" customHeight="1">
      <c r="A691" s="203"/>
      <c r="B691" s="203"/>
      <c r="C691" s="203"/>
      <c r="D691" s="203"/>
      <c r="E691" s="203"/>
      <c r="F691" s="203"/>
      <c r="G691" s="203"/>
      <c r="H691" s="203"/>
      <c r="I691" s="203"/>
      <c r="J691" s="203"/>
      <c r="K691" s="203"/>
      <c r="L691" s="203"/>
      <c r="M691" s="203"/>
      <c r="N691" s="203"/>
      <c r="O691" s="203"/>
      <c r="P691" s="203"/>
      <c r="Q691" s="203"/>
      <c r="R691" s="203"/>
      <c r="S691" s="203"/>
      <c r="T691" s="203"/>
      <c r="U691" s="203"/>
      <c r="V691" s="203"/>
      <c r="W691" s="203"/>
      <c r="X691" s="203"/>
      <c r="Y691" s="203"/>
      <c r="Z691" s="203"/>
    </row>
    <row r="692" ht="12.75" customHeight="1">
      <c r="A692" s="203"/>
      <c r="B692" s="203"/>
      <c r="C692" s="203"/>
      <c r="D692" s="203"/>
      <c r="E692" s="203"/>
      <c r="F692" s="203"/>
      <c r="G692" s="203"/>
      <c r="H692" s="203"/>
      <c r="I692" s="203"/>
      <c r="J692" s="203"/>
      <c r="K692" s="203"/>
      <c r="L692" s="203"/>
      <c r="M692" s="203"/>
      <c r="N692" s="203"/>
      <c r="O692" s="203"/>
      <c r="P692" s="203"/>
      <c r="Q692" s="203"/>
      <c r="R692" s="203"/>
      <c r="S692" s="203"/>
      <c r="T692" s="203"/>
      <c r="U692" s="203"/>
      <c r="V692" s="203"/>
      <c r="W692" s="203"/>
      <c r="X692" s="203"/>
      <c r="Y692" s="203"/>
      <c r="Z692" s="203"/>
    </row>
    <row r="693" ht="12.75" customHeight="1">
      <c r="A693" s="203"/>
      <c r="B693" s="203"/>
      <c r="C693" s="203"/>
      <c r="D693" s="203"/>
      <c r="E693" s="203"/>
      <c r="F693" s="203"/>
      <c r="G693" s="203"/>
      <c r="H693" s="203"/>
      <c r="I693" s="203"/>
      <c r="J693" s="203"/>
      <c r="K693" s="203"/>
      <c r="L693" s="203"/>
      <c r="M693" s="203"/>
      <c r="N693" s="203"/>
      <c r="O693" s="203"/>
      <c r="P693" s="203"/>
      <c r="Q693" s="203"/>
      <c r="R693" s="203"/>
      <c r="S693" s="203"/>
      <c r="T693" s="203"/>
      <c r="U693" s="203"/>
      <c r="V693" s="203"/>
      <c r="W693" s="203"/>
      <c r="X693" s="203"/>
      <c r="Y693" s="203"/>
      <c r="Z693" s="203"/>
    </row>
    <row r="694" ht="12.75" customHeight="1">
      <c r="A694" s="203"/>
      <c r="B694" s="203"/>
      <c r="C694" s="203"/>
      <c r="D694" s="203"/>
      <c r="E694" s="203"/>
      <c r="F694" s="203"/>
      <c r="G694" s="203"/>
      <c r="H694" s="203"/>
      <c r="I694" s="203"/>
      <c r="J694" s="203"/>
      <c r="K694" s="203"/>
      <c r="L694" s="203"/>
      <c r="M694" s="203"/>
      <c r="N694" s="203"/>
      <c r="O694" s="203"/>
      <c r="P694" s="203"/>
      <c r="Q694" s="203"/>
      <c r="R694" s="203"/>
      <c r="S694" s="203"/>
      <c r="T694" s="203"/>
      <c r="U694" s="203"/>
      <c r="V694" s="203"/>
      <c r="W694" s="203"/>
      <c r="X694" s="203"/>
      <c r="Y694" s="203"/>
      <c r="Z694" s="203"/>
    </row>
    <row r="695" ht="12.75" customHeight="1">
      <c r="A695" s="203"/>
      <c r="B695" s="203"/>
      <c r="C695" s="203"/>
      <c r="D695" s="203"/>
      <c r="E695" s="203"/>
      <c r="F695" s="203"/>
      <c r="G695" s="203"/>
      <c r="H695" s="203"/>
      <c r="I695" s="203"/>
      <c r="J695" s="203"/>
      <c r="K695" s="203"/>
      <c r="L695" s="203"/>
      <c r="M695" s="203"/>
      <c r="N695" s="203"/>
      <c r="O695" s="203"/>
      <c r="P695" s="203"/>
      <c r="Q695" s="203"/>
      <c r="R695" s="203"/>
      <c r="S695" s="203"/>
      <c r="T695" s="203"/>
      <c r="U695" s="203"/>
      <c r="V695" s="203"/>
      <c r="W695" s="203"/>
      <c r="X695" s="203"/>
      <c r="Y695" s="203"/>
      <c r="Z695" s="203"/>
    </row>
    <row r="696" ht="12.75" customHeight="1">
      <c r="A696" s="203"/>
      <c r="B696" s="203"/>
      <c r="C696" s="203"/>
      <c r="D696" s="203"/>
      <c r="E696" s="203"/>
      <c r="F696" s="203"/>
      <c r="G696" s="203"/>
      <c r="H696" s="203"/>
      <c r="I696" s="203"/>
      <c r="J696" s="203"/>
      <c r="K696" s="203"/>
      <c r="L696" s="203"/>
      <c r="M696" s="203"/>
      <c r="N696" s="203"/>
      <c r="O696" s="203"/>
      <c r="P696" s="203"/>
      <c r="Q696" s="203"/>
      <c r="R696" s="203"/>
      <c r="S696" s="203"/>
      <c r="T696" s="203"/>
      <c r="U696" s="203"/>
      <c r="V696" s="203"/>
      <c r="W696" s="203"/>
      <c r="X696" s="203"/>
      <c r="Y696" s="203"/>
      <c r="Z696" s="203"/>
    </row>
    <row r="697" ht="12.75" customHeight="1">
      <c r="A697" s="203"/>
      <c r="B697" s="203"/>
      <c r="C697" s="203"/>
      <c r="D697" s="203"/>
      <c r="E697" s="203"/>
      <c r="F697" s="203"/>
      <c r="G697" s="203"/>
      <c r="H697" s="203"/>
      <c r="I697" s="203"/>
      <c r="J697" s="203"/>
      <c r="K697" s="203"/>
      <c r="L697" s="203"/>
      <c r="M697" s="203"/>
      <c r="N697" s="203"/>
      <c r="O697" s="203"/>
      <c r="P697" s="203"/>
      <c r="Q697" s="203"/>
      <c r="R697" s="203"/>
      <c r="S697" s="203"/>
      <c r="T697" s="203"/>
      <c r="U697" s="203"/>
      <c r="V697" s="203"/>
      <c r="W697" s="203"/>
      <c r="X697" s="203"/>
      <c r="Y697" s="203"/>
      <c r="Z697" s="203"/>
    </row>
    <row r="698" ht="12.75" customHeight="1">
      <c r="A698" s="203"/>
      <c r="B698" s="203"/>
      <c r="C698" s="203"/>
      <c r="D698" s="203"/>
      <c r="E698" s="203"/>
      <c r="F698" s="203"/>
      <c r="G698" s="203"/>
      <c r="H698" s="203"/>
      <c r="I698" s="203"/>
      <c r="J698" s="203"/>
      <c r="K698" s="203"/>
      <c r="L698" s="203"/>
      <c r="M698" s="203"/>
      <c r="N698" s="203"/>
      <c r="O698" s="203"/>
      <c r="P698" s="203"/>
      <c r="Q698" s="203"/>
      <c r="R698" s="203"/>
      <c r="S698" s="203"/>
      <c r="T698" s="203"/>
      <c r="U698" s="203"/>
      <c r="V698" s="203"/>
      <c r="W698" s="203"/>
      <c r="X698" s="203"/>
      <c r="Y698" s="203"/>
      <c r="Z698" s="203"/>
    </row>
    <row r="699" ht="12.75" customHeight="1">
      <c r="A699" s="203"/>
      <c r="B699" s="203"/>
      <c r="C699" s="203"/>
      <c r="D699" s="203"/>
      <c r="E699" s="203"/>
      <c r="F699" s="203"/>
      <c r="G699" s="203"/>
      <c r="H699" s="203"/>
      <c r="I699" s="203"/>
      <c r="J699" s="203"/>
      <c r="K699" s="203"/>
      <c r="L699" s="203"/>
      <c r="M699" s="203"/>
      <c r="N699" s="203"/>
      <c r="O699" s="203"/>
      <c r="P699" s="203"/>
      <c r="Q699" s="203"/>
      <c r="R699" s="203"/>
      <c r="S699" s="203"/>
      <c r="T699" s="203"/>
      <c r="U699" s="203"/>
      <c r="V699" s="203"/>
      <c r="W699" s="203"/>
      <c r="X699" s="203"/>
      <c r="Y699" s="203"/>
      <c r="Z699" s="203"/>
    </row>
    <row r="700" ht="12.75" customHeight="1">
      <c r="A700" s="203"/>
      <c r="B700" s="203"/>
      <c r="C700" s="203"/>
      <c r="D700" s="203"/>
      <c r="E700" s="203"/>
      <c r="F700" s="203"/>
      <c r="G700" s="203"/>
      <c r="H700" s="203"/>
      <c r="I700" s="203"/>
      <c r="J700" s="203"/>
      <c r="K700" s="203"/>
      <c r="L700" s="203"/>
      <c r="M700" s="203"/>
      <c r="N700" s="203"/>
      <c r="O700" s="203"/>
      <c r="P700" s="203"/>
      <c r="Q700" s="203"/>
      <c r="R700" s="203"/>
      <c r="S700" s="203"/>
      <c r="T700" s="203"/>
      <c r="U700" s="203"/>
      <c r="V700" s="203"/>
      <c r="W700" s="203"/>
      <c r="X700" s="203"/>
      <c r="Y700" s="203"/>
      <c r="Z700" s="203"/>
    </row>
    <row r="701" ht="12.75" customHeight="1">
      <c r="A701" s="203"/>
      <c r="B701" s="203"/>
      <c r="C701" s="203"/>
      <c r="D701" s="203"/>
      <c r="E701" s="203"/>
      <c r="F701" s="203"/>
      <c r="G701" s="203"/>
      <c r="H701" s="203"/>
      <c r="I701" s="203"/>
      <c r="J701" s="203"/>
      <c r="K701" s="203"/>
      <c r="L701" s="203"/>
      <c r="M701" s="203"/>
      <c r="N701" s="203"/>
      <c r="O701" s="203"/>
      <c r="P701" s="203"/>
      <c r="Q701" s="203"/>
      <c r="R701" s="203"/>
      <c r="S701" s="203"/>
      <c r="T701" s="203"/>
      <c r="U701" s="203"/>
      <c r="V701" s="203"/>
      <c r="W701" s="203"/>
      <c r="X701" s="203"/>
      <c r="Y701" s="203"/>
      <c r="Z701" s="203"/>
    </row>
    <row r="702" ht="12.75" customHeight="1">
      <c r="A702" s="203"/>
      <c r="B702" s="203"/>
      <c r="C702" s="203"/>
      <c r="D702" s="203"/>
      <c r="E702" s="203"/>
      <c r="F702" s="203"/>
      <c r="G702" s="203"/>
      <c r="H702" s="203"/>
      <c r="I702" s="203"/>
      <c r="J702" s="203"/>
      <c r="K702" s="203"/>
      <c r="L702" s="203"/>
      <c r="M702" s="203"/>
      <c r="N702" s="203"/>
      <c r="O702" s="203"/>
      <c r="P702" s="203"/>
      <c r="Q702" s="203"/>
      <c r="R702" s="203"/>
      <c r="S702" s="203"/>
      <c r="T702" s="203"/>
      <c r="U702" s="203"/>
      <c r="V702" s="203"/>
      <c r="W702" s="203"/>
      <c r="X702" s="203"/>
      <c r="Y702" s="203"/>
      <c r="Z702" s="203"/>
    </row>
    <row r="703" ht="12.75" customHeight="1">
      <c r="A703" s="203"/>
      <c r="B703" s="203"/>
      <c r="C703" s="203"/>
      <c r="D703" s="203"/>
      <c r="E703" s="203"/>
      <c r="F703" s="203"/>
      <c r="G703" s="203"/>
      <c r="H703" s="203"/>
      <c r="I703" s="203"/>
      <c r="J703" s="203"/>
      <c r="K703" s="203"/>
      <c r="L703" s="203"/>
      <c r="M703" s="203"/>
      <c r="N703" s="203"/>
      <c r="O703" s="203"/>
      <c r="P703" s="203"/>
      <c r="Q703" s="203"/>
      <c r="R703" s="203"/>
      <c r="S703" s="203"/>
      <c r="T703" s="203"/>
      <c r="U703" s="203"/>
      <c r="V703" s="203"/>
      <c r="W703" s="203"/>
      <c r="X703" s="203"/>
      <c r="Y703" s="203"/>
      <c r="Z703" s="203"/>
    </row>
    <row r="704" ht="12.75" customHeight="1">
      <c r="A704" s="203"/>
      <c r="B704" s="203"/>
      <c r="C704" s="203"/>
      <c r="D704" s="203"/>
      <c r="E704" s="203"/>
      <c r="F704" s="203"/>
      <c r="G704" s="203"/>
      <c r="H704" s="203"/>
      <c r="I704" s="203"/>
      <c r="J704" s="203"/>
      <c r="K704" s="203"/>
      <c r="L704" s="203"/>
      <c r="M704" s="203"/>
      <c r="N704" s="203"/>
      <c r="O704" s="203"/>
      <c r="P704" s="203"/>
      <c r="Q704" s="203"/>
      <c r="R704" s="203"/>
      <c r="S704" s="203"/>
      <c r="T704" s="203"/>
      <c r="U704" s="203"/>
      <c r="V704" s="203"/>
      <c r="W704" s="203"/>
      <c r="X704" s="203"/>
      <c r="Y704" s="203"/>
      <c r="Z704" s="203"/>
    </row>
    <row r="705" ht="12.75" customHeight="1">
      <c r="A705" s="203"/>
      <c r="B705" s="203"/>
      <c r="C705" s="203"/>
      <c r="D705" s="203"/>
      <c r="E705" s="203"/>
      <c r="F705" s="203"/>
      <c r="G705" s="203"/>
      <c r="H705" s="203"/>
      <c r="I705" s="203"/>
      <c r="J705" s="203"/>
      <c r="K705" s="203"/>
      <c r="L705" s="203"/>
      <c r="M705" s="203"/>
      <c r="N705" s="203"/>
      <c r="O705" s="203"/>
      <c r="P705" s="203"/>
      <c r="Q705" s="203"/>
      <c r="R705" s="203"/>
      <c r="S705" s="203"/>
      <c r="T705" s="203"/>
      <c r="U705" s="203"/>
      <c r="V705" s="203"/>
      <c r="W705" s="203"/>
      <c r="X705" s="203"/>
      <c r="Y705" s="203"/>
      <c r="Z705" s="203"/>
    </row>
    <row r="706" ht="12.75" customHeight="1">
      <c r="A706" s="203"/>
      <c r="B706" s="203"/>
      <c r="C706" s="203"/>
      <c r="D706" s="203"/>
      <c r="E706" s="203"/>
      <c r="F706" s="203"/>
      <c r="G706" s="203"/>
      <c r="H706" s="203"/>
      <c r="I706" s="203"/>
      <c r="J706" s="203"/>
      <c r="K706" s="203"/>
      <c r="L706" s="203"/>
      <c r="M706" s="203"/>
      <c r="N706" s="203"/>
      <c r="O706" s="203"/>
      <c r="P706" s="203"/>
      <c r="Q706" s="203"/>
      <c r="R706" s="203"/>
      <c r="S706" s="203"/>
      <c r="T706" s="203"/>
      <c r="U706" s="203"/>
      <c r="V706" s="203"/>
      <c r="W706" s="203"/>
      <c r="X706" s="203"/>
      <c r="Y706" s="203"/>
      <c r="Z706" s="203"/>
    </row>
    <row r="707" ht="12.75" customHeight="1">
      <c r="A707" s="203"/>
      <c r="B707" s="203"/>
      <c r="C707" s="203"/>
      <c r="D707" s="203"/>
      <c r="E707" s="203"/>
      <c r="F707" s="203"/>
      <c r="G707" s="203"/>
      <c r="H707" s="203"/>
      <c r="I707" s="203"/>
      <c r="J707" s="203"/>
      <c r="K707" s="203"/>
      <c r="L707" s="203"/>
      <c r="M707" s="203"/>
      <c r="N707" s="203"/>
      <c r="O707" s="203"/>
      <c r="P707" s="203"/>
      <c r="Q707" s="203"/>
      <c r="R707" s="203"/>
      <c r="S707" s="203"/>
      <c r="T707" s="203"/>
      <c r="U707" s="203"/>
      <c r="V707" s="203"/>
      <c r="W707" s="203"/>
      <c r="X707" s="203"/>
      <c r="Y707" s="203"/>
      <c r="Z707" s="203"/>
    </row>
    <row r="708" ht="12.75" customHeight="1">
      <c r="A708" s="203"/>
      <c r="B708" s="203"/>
      <c r="C708" s="203"/>
      <c r="D708" s="203"/>
      <c r="E708" s="203"/>
      <c r="F708" s="203"/>
      <c r="G708" s="203"/>
      <c r="H708" s="203"/>
      <c r="I708" s="203"/>
      <c r="J708" s="203"/>
      <c r="K708" s="203"/>
      <c r="L708" s="203"/>
      <c r="M708" s="203"/>
      <c r="N708" s="203"/>
      <c r="O708" s="203"/>
      <c r="P708" s="203"/>
      <c r="Q708" s="203"/>
      <c r="R708" s="203"/>
      <c r="S708" s="203"/>
      <c r="T708" s="203"/>
      <c r="U708" s="203"/>
      <c r="V708" s="203"/>
      <c r="W708" s="203"/>
      <c r="X708" s="203"/>
      <c r="Y708" s="203"/>
      <c r="Z708" s="203"/>
    </row>
    <row r="709" ht="12.75" customHeight="1">
      <c r="A709" s="203"/>
      <c r="B709" s="203"/>
      <c r="C709" s="203"/>
      <c r="D709" s="203"/>
      <c r="E709" s="203"/>
      <c r="F709" s="203"/>
      <c r="G709" s="203"/>
      <c r="H709" s="203"/>
      <c r="I709" s="203"/>
      <c r="J709" s="203"/>
      <c r="K709" s="203"/>
      <c r="L709" s="203"/>
      <c r="M709" s="203"/>
      <c r="N709" s="203"/>
      <c r="O709" s="203"/>
      <c r="P709" s="203"/>
      <c r="Q709" s="203"/>
      <c r="R709" s="203"/>
      <c r="S709" s="203"/>
      <c r="T709" s="203"/>
      <c r="U709" s="203"/>
      <c r="V709" s="203"/>
      <c r="W709" s="203"/>
      <c r="X709" s="203"/>
      <c r="Y709" s="203"/>
      <c r="Z709" s="203"/>
    </row>
    <row r="710" ht="12.75" customHeight="1">
      <c r="A710" s="203"/>
      <c r="B710" s="203"/>
      <c r="C710" s="203"/>
      <c r="D710" s="203"/>
      <c r="E710" s="203"/>
      <c r="F710" s="203"/>
      <c r="G710" s="203"/>
      <c r="H710" s="203"/>
      <c r="I710" s="203"/>
      <c r="J710" s="203"/>
      <c r="K710" s="203"/>
      <c r="L710" s="203"/>
      <c r="M710" s="203"/>
      <c r="N710" s="203"/>
      <c r="O710" s="203"/>
      <c r="P710" s="203"/>
      <c r="Q710" s="203"/>
      <c r="R710" s="203"/>
      <c r="S710" s="203"/>
      <c r="T710" s="203"/>
      <c r="U710" s="203"/>
      <c r="V710" s="203"/>
      <c r="W710" s="203"/>
      <c r="X710" s="203"/>
      <c r="Y710" s="203"/>
      <c r="Z710" s="203"/>
    </row>
    <row r="711" ht="12.75" customHeight="1">
      <c r="A711" s="203"/>
      <c r="B711" s="203"/>
      <c r="C711" s="203"/>
      <c r="D711" s="203"/>
      <c r="E711" s="203"/>
      <c r="F711" s="203"/>
      <c r="G711" s="203"/>
      <c r="H711" s="203"/>
      <c r="I711" s="203"/>
      <c r="J711" s="203"/>
      <c r="K711" s="203"/>
      <c r="L711" s="203"/>
      <c r="M711" s="203"/>
      <c r="N711" s="203"/>
      <c r="O711" s="203"/>
      <c r="P711" s="203"/>
      <c r="Q711" s="203"/>
      <c r="R711" s="203"/>
      <c r="S711" s="203"/>
      <c r="T711" s="203"/>
      <c r="U711" s="203"/>
      <c r="V711" s="203"/>
      <c r="W711" s="203"/>
      <c r="X711" s="203"/>
      <c r="Y711" s="203"/>
      <c r="Z711" s="203"/>
    </row>
    <row r="712" ht="12.75" customHeight="1">
      <c r="A712" s="203"/>
      <c r="B712" s="203"/>
      <c r="C712" s="203"/>
      <c r="D712" s="203"/>
      <c r="E712" s="203"/>
      <c r="F712" s="203"/>
      <c r="G712" s="203"/>
      <c r="H712" s="203"/>
      <c r="I712" s="203"/>
      <c r="J712" s="203"/>
      <c r="K712" s="203"/>
      <c r="L712" s="203"/>
      <c r="M712" s="203"/>
      <c r="N712" s="203"/>
      <c r="O712" s="203"/>
      <c r="P712" s="203"/>
      <c r="Q712" s="203"/>
      <c r="R712" s="203"/>
      <c r="S712" s="203"/>
      <c r="T712" s="203"/>
      <c r="U712" s="203"/>
      <c r="V712" s="203"/>
      <c r="W712" s="203"/>
      <c r="X712" s="203"/>
      <c r="Y712" s="203"/>
      <c r="Z712" s="203"/>
    </row>
    <row r="713" ht="12.75" customHeight="1">
      <c r="A713" s="203"/>
      <c r="B713" s="203"/>
      <c r="C713" s="203"/>
      <c r="D713" s="203"/>
      <c r="E713" s="203"/>
      <c r="F713" s="203"/>
      <c r="G713" s="203"/>
      <c r="H713" s="203"/>
      <c r="I713" s="203"/>
      <c r="J713" s="203"/>
      <c r="K713" s="203"/>
      <c r="L713" s="203"/>
      <c r="M713" s="203"/>
      <c r="N713" s="203"/>
      <c r="O713" s="203"/>
      <c r="P713" s="203"/>
      <c r="Q713" s="203"/>
      <c r="R713" s="203"/>
      <c r="S713" s="203"/>
      <c r="T713" s="203"/>
      <c r="U713" s="203"/>
      <c r="V713" s="203"/>
      <c r="W713" s="203"/>
      <c r="X713" s="203"/>
      <c r="Y713" s="203"/>
      <c r="Z713" s="203"/>
    </row>
    <row r="714" ht="12.75" customHeight="1">
      <c r="A714" s="203"/>
      <c r="B714" s="203"/>
      <c r="C714" s="203"/>
      <c r="D714" s="203"/>
      <c r="E714" s="203"/>
      <c r="F714" s="203"/>
      <c r="G714" s="203"/>
      <c r="H714" s="203"/>
      <c r="I714" s="203"/>
      <c r="J714" s="203"/>
      <c r="K714" s="203"/>
      <c r="L714" s="203"/>
      <c r="M714" s="203"/>
      <c r="N714" s="203"/>
      <c r="O714" s="203"/>
      <c r="P714" s="203"/>
      <c r="Q714" s="203"/>
      <c r="R714" s="203"/>
      <c r="S714" s="203"/>
      <c r="T714" s="203"/>
      <c r="U714" s="203"/>
      <c r="V714" s="203"/>
      <c r="W714" s="203"/>
      <c r="X714" s="203"/>
      <c r="Y714" s="203"/>
      <c r="Z714" s="203"/>
    </row>
    <row r="715" ht="12.75" customHeight="1">
      <c r="A715" s="203"/>
      <c r="B715" s="203"/>
      <c r="C715" s="203"/>
      <c r="D715" s="203"/>
      <c r="E715" s="203"/>
      <c r="F715" s="203"/>
      <c r="G715" s="203"/>
      <c r="H715" s="203"/>
      <c r="I715" s="203"/>
      <c r="J715" s="203"/>
      <c r="K715" s="203"/>
      <c r="L715" s="203"/>
      <c r="M715" s="203"/>
      <c r="N715" s="203"/>
      <c r="O715" s="203"/>
      <c r="P715" s="203"/>
      <c r="Q715" s="203"/>
      <c r="R715" s="203"/>
      <c r="S715" s="203"/>
      <c r="T715" s="203"/>
      <c r="U715" s="203"/>
      <c r="V715" s="203"/>
      <c r="W715" s="203"/>
      <c r="X715" s="203"/>
      <c r="Y715" s="203"/>
      <c r="Z715" s="203"/>
    </row>
    <row r="716" ht="12.75" customHeight="1">
      <c r="A716" s="203"/>
      <c r="B716" s="203"/>
      <c r="C716" s="203"/>
      <c r="D716" s="203"/>
      <c r="E716" s="203"/>
      <c r="F716" s="203"/>
      <c r="G716" s="203"/>
      <c r="H716" s="203"/>
      <c r="I716" s="203"/>
      <c r="J716" s="203"/>
      <c r="K716" s="203"/>
      <c r="L716" s="203"/>
      <c r="M716" s="203"/>
      <c r="N716" s="203"/>
      <c r="O716" s="203"/>
      <c r="P716" s="203"/>
      <c r="Q716" s="203"/>
      <c r="R716" s="203"/>
      <c r="S716" s="203"/>
      <c r="T716" s="203"/>
      <c r="U716" s="203"/>
      <c r="V716" s="203"/>
      <c r="W716" s="203"/>
      <c r="X716" s="203"/>
      <c r="Y716" s="203"/>
      <c r="Z716" s="203"/>
    </row>
    <row r="717" ht="12.75" customHeight="1">
      <c r="A717" s="203"/>
      <c r="B717" s="203"/>
      <c r="C717" s="203"/>
      <c r="D717" s="203"/>
      <c r="E717" s="203"/>
      <c r="F717" s="203"/>
      <c r="G717" s="203"/>
      <c r="H717" s="203"/>
      <c r="I717" s="203"/>
      <c r="J717" s="203"/>
      <c r="K717" s="203"/>
      <c r="L717" s="203"/>
      <c r="M717" s="203"/>
      <c r="N717" s="203"/>
      <c r="O717" s="203"/>
      <c r="P717" s="203"/>
      <c r="Q717" s="203"/>
      <c r="R717" s="203"/>
      <c r="S717" s="203"/>
      <c r="T717" s="203"/>
      <c r="U717" s="203"/>
      <c r="V717" s="203"/>
      <c r="W717" s="203"/>
      <c r="X717" s="203"/>
      <c r="Y717" s="203"/>
      <c r="Z717" s="203"/>
    </row>
    <row r="718" ht="12.75" customHeight="1">
      <c r="A718" s="203"/>
      <c r="B718" s="203"/>
      <c r="C718" s="203"/>
      <c r="D718" s="203"/>
      <c r="E718" s="203"/>
      <c r="F718" s="203"/>
      <c r="G718" s="203"/>
      <c r="H718" s="203"/>
      <c r="I718" s="203"/>
      <c r="J718" s="203"/>
      <c r="K718" s="203"/>
      <c r="L718" s="203"/>
      <c r="M718" s="203"/>
      <c r="N718" s="203"/>
      <c r="O718" s="203"/>
      <c r="P718" s="203"/>
      <c r="Q718" s="203"/>
      <c r="R718" s="203"/>
      <c r="S718" s="203"/>
      <c r="T718" s="203"/>
      <c r="U718" s="203"/>
      <c r="V718" s="203"/>
      <c r="W718" s="203"/>
      <c r="X718" s="203"/>
      <c r="Y718" s="203"/>
      <c r="Z718" s="203"/>
    </row>
    <row r="719" ht="12.75" customHeight="1">
      <c r="A719" s="203"/>
      <c r="B719" s="203"/>
      <c r="C719" s="203"/>
      <c r="D719" s="203"/>
      <c r="E719" s="203"/>
      <c r="F719" s="203"/>
      <c r="G719" s="203"/>
      <c r="H719" s="203"/>
      <c r="I719" s="203"/>
      <c r="J719" s="203"/>
      <c r="K719" s="203"/>
      <c r="L719" s="203"/>
      <c r="M719" s="203"/>
      <c r="N719" s="203"/>
      <c r="O719" s="203"/>
      <c r="P719" s="203"/>
      <c r="Q719" s="203"/>
      <c r="R719" s="203"/>
      <c r="S719" s="203"/>
      <c r="T719" s="203"/>
      <c r="U719" s="203"/>
      <c r="V719" s="203"/>
      <c r="W719" s="203"/>
      <c r="X719" s="203"/>
      <c r="Y719" s="203"/>
      <c r="Z719" s="203"/>
    </row>
    <row r="720" ht="12.75" customHeight="1">
      <c r="A720" s="203"/>
      <c r="B720" s="203"/>
      <c r="C720" s="203"/>
      <c r="D720" s="203"/>
      <c r="E720" s="203"/>
      <c r="F720" s="203"/>
      <c r="G720" s="203"/>
      <c r="H720" s="203"/>
      <c r="I720" s="203"/>
      <c r="J720" s="203"/>
      <c r="K720" s="203"/>
      <c r="L720" s="203"/>
      <c r="M720" s="203"/>
      <c r="N720" s="203"/>
      <c r="O720" s="203"/>
      <c r="P720" s="203"/>
      <c r="Q720" s="203"/>
      <c r="R720" s="203"/>
      <c r="S720" s="203"/>
      <c r="T720" s="203"/>
      <c r="U720" s="203"/>
      <c r="V720" s="203"/>
      <c r="W720" s="203"/>
      <c r="X720" s="203"/>
      <c r="Y720" s="203"/>
      <c r="Z720" s="203"/>
    </row>
    <row r="721" ht="12.75" customHeight="1">
      <c r="A721" s="203"/>
      <c r="B721" s="203"/>
      <c r="C721" s="203"/>
      <c r="D721" s="203"/>
      <c r="E721" s="203"/>
      <c r="F721" s="203"/>
      <c r="G721" s="203"/>
      <c r="H721" s="203"/>
      <c r="I721" s="203"/>
      <c r="J721" s="203"/>
      <c r="K721" s="203"/>
      <c r="L721" s="203"/>
      <c r="M721" s="203"/>
      <c r="N721" s="203"/>
      <c r="O721" s="203"/>
      <c r="P721" s="203"/>
      <c r="Q721" s="203"/>
      <c r="R721" s="203"/>
      <c r="S721" s="203"/>
      <c r="T721" s="203"/>
      <c r="U721" s="203"/>
      <c r="V721" s="203"/>
      <c r="W721" s="203"/>
      <c r="X721" s="203"/>
      <c r="Y721" s="203"/>
      <c r="Z721" s="203"/>
    </row>
    <row r="722" ht="12.75" customHeight="1">
      <c r="A722" s="203"/>
      <c r="B722" s="203"/>
      <c r="C722" s="203"/>
      <c r="D722" s="203"/>
      <c r="E722" s="203"/>
      <c r="F722" s="203"/>
      <c r="G722" s="203"/>
      <c r="H722" s="203"/>
      <c r="I722" s="203"/>
      <c r="J722" s="203"/>
      <c r="K722" s="203"/>
      <c r="L722" s="203"/>
      <c r="M722" s="203"/>
      <c r="N722" s="203"/>
      <c r="O722" s="203"/>
      <c r="P722" s="203"/>
      <c r="Q722" s="203"/>
      <c r="R722" s="203"/>
      <c r="S722" s="203"/>
      <c r="T722" s="203"/>
      <c r="U722" s="203"/>
      <c r="V722" s="203"/>
      <c r="W722" s="203"/>
      <c r="X722" s="203"/>
      <c r="Y722" s="203"/>
      <c r="Z722" s="203"/>
    </row>
    <row r="723" ht="12.75" customHeight="1">
      <c r="A723" s="203"/>
      <c r="B723" s="203"/>
      <c r="C723" s="203"/>
      <c r="D723" s="203"/>
      <c r="E723" s="203"/>
      <c r="F723" s="203"/>
      <c r="G723" s="203"/>
      <c r="H723" s="203"/>
      <c r="I723" s="203"/>
      <c r="J723" s="203"/>
      <c r="K723" s="203"/>
      <c r="L723" s="203"/>
      <c r="M723" s="203"/>
      <c r="N723" s="203"/>
      <c r="O723" s="203"/>
      <c r="P723" s="203"/>
      <c r="Q723" s="203"/>
      <c r="R723" s="203"/>
      <c r="S723" s="203"/>
      <c r="T723" s="203"/>
      <c r="U723" s="203"/>
      <c r="V723" s="203"/>
      <c r="W723" s="203"/>
      <c r="X723" s="203"/>
      <c r="Y723" s="203"/>
      <c r="Z723" s="203"/>
    </row>
    <row r="724" ht="12.75" customHeight="1">
      <c r="A724" s="203"/>
      <c r="B724" s="203"/>
      <c r="C724" s="203"/>
      <c r="D724" s="203"/>
      <c r="E724" s="203"/>
      <c r="F724" s="203"/>
      <c r="G724" s="203"/>
      <c r="H724" s="203"/>
      <c r="I724" s="203"/>
      <c r="J724" s="203"/>
      <c r="K724" s="203"/>
      <c r="L724" s="203"/>
      <c r="M724" s="203"/>
      <c r="N724" s="203"/>
      <c r="O724" s="203"/>
      <c r="P724" s="203"/>
      <c r="Q724" s="203"/>
      <c r="R724" s="203"/>
      <c r="S724" s="203"/>
      <c r="T724" s="203"/>
      <c r="U724" s="203"/>
      <c r="V724" s="203"/>
      <c r="W724" s="203"/>
      <c r="X724" s="203"/>
      <c r="Y724" s="203"/>
      <c r="Z724" s="203"/>
    </row>
    <row r="725" ht="12.75" customHeight="1">
      <c r="A725" s="203"/>
      <c r="B725" s="203"/>
      <c r="C725" s="203"/>
      <c r="D725" s="203"/>
      <c r="E725" s="203"/>
      <c r="F725" s="203"/>
      <c r="G725" s="203"/>
      <c r="H725" s="203"/>
      <c r="I725" s="203"/>
      <c r="J725" s="203"/>
      <c r="K725" s="203"/>
      <c r="L725" s="203"/>
      <c r="M725" s="203"/>
      <c r="N725" s="203"/>
      <c r="O725" s="203"/>
      <c r="P725" s="203"/>
      <c r="Q725" s="203"/>
      <c r="R725" s="203"/>
      <c r="S725" s="203"/>
      <c r="T725" s="203"/>
      <c r="U725" s="203"/>
      <c r="V725" s="203"/>
      <c r="W725" s="203"/>
      <c r="X725" s="203"/>
      <c r="Y725" s="203"/>
      <c r="Z725" s="203"/>
    </row>
    <row r="726" ht="12.75" customHeight="1">
      <c r="A726" s="203"/>
      <c r="B726" s="203"/>
      <c r="C726" s="203"/>
      <c r="D726" s="203"/>
      <c r="E726" s="203"/>
      <c r="F726" s="203"/>
      <c r="G726" s="203"/>
      <c r="H726" s="203"/>
      <c r="I726" s="203"/>
      <c r="J726" s="203"/>
      <c r="K726" s="203"/>
      <c r="L726" s="203"/>
      <c r="M726" s="203"/>
      <c r="N726" s="203"/>
      <c r="O726" s="203"/>
      <c r="P726" s="203"/>
      <c r="Q726" s="203"/>
      <c r="R726" s="203"/>
      <c r="S726" s="203"/>
      <c r="T726" s="203"/>
      <c r="U726" s="203"/>
      <c r="V726" s="203"/>
      <c r="W726" s="203"/>
      <c r="X726" s="203"/>
      <c r="Y726" s="203"/>
      <c r="Z726" s="203"/>
    </row>
    <row r="727" ht="12.75" customHeight="1">
      <c r="A727" s="203"/>
      <c r="B727" s="203"/>
      <c r="C727" s="203"/>
      <c r="D727" s="203"/>
      <c r="E727" s="203"/>
      <c r="F727" s="203"/>
      <c r="G727" s="203"/>
      <c r="H727" s="203"/>
      <c r="I727" s="203"/>
      <c r="J727" s="203"/>
      <c r="K727" s="203"/>
      <c r="L727" s="203"/>
      <c r="M727" s="203"/>
      <c r="N727" s="203"/>
      <c r="O727" s="203"/>
      <c r="P727" s="203"/>
      <c r="Q727" s="203"/>
      <c r="R727" s="203"/>
      <c r="S727" s="203"/>
      <c r="T727" s="203"/>
      <c r="U727" s="203"/>
      <c r="V727" s="203"/>
      <c r="W727" s="203"/>
      <c r="X727" s="203"/>
      <c r="Y727" s="203"/>
      <c r="Z727" s="203"/>
    </row>
    <row r="728" ht="12.75" customHeight="1">
      <c r="A728" s="203"/>
      <c r="B728" s="203"/>
      <c r="C728" s="203"/>
      <c r="D728" s="203"/>
      <c r="E728" s="203"/>
      <c r="F728" s="203"/>
      <c r="G728" s="203"/>
      <c r="H728" s="203"/>
      <c r="I728" s="203"/>
      <c r="J728" s="203"/>
      <c r="K728" s="203"/>
      <c r="L728" s="203"/>
      <c r="M728" s="203"/>
      <c r="N728" s="203"/>
      <c r="O728" s="203"/>
      <c r="P728" s="203"/>
      <c r="Q728" s="203"/>
      <c r="R728" s="203"/>
      <c r="S728" s="203"/>
      <c r="T728" s="203"/>
      <c r="U728" s="203"/>
      <c r="V728" s="203"/>
      <c r="W728" s="203"/>
      <c r="X728" s="203"/>
      <c r="Y728" s="203"/>
      <c r="Z728" s="203"/>
    </row>
    <row r="729" ht="12.75" customHeight="1">
      <c r="A729" s="203"/>
      <c r="B729" s="203"/>
      <c r="C729" s="203"/>
      <c r="D729" s="203"/>
      <c r="E729" s="203"/>
      <c r="F729" s="203"/>
      <c r="G729" s="203"/>
      <c r="H729" s="203"/>
      <c r="I729" s="203"/>
      <c r="J729" s="203"/>
      <c r="K729" s="203"/>
      <c r="L729" s="203"/>
      <c r="M729" s="203"/>
      <c r="N729" s="203"/>
      <c r="O729" s="203"/>
      <c r="P729" s="203"/>
      <c r="Q729" s="203"/>
      <c r="R729" s="203"/>
      <c r="S729" s="203"/>
      <c r="T729" s="203"/>
      <c r="U729" s="203"/>
      <c r="V729" s="203"/>
      <c r="W729" s="203"/>
      <c r="X729" s="203"/>
      <c r="Y729" s="203"/>
      <c r="Z729" s="203"/>
    </row>
    <row r="730" ht="12.75" customHeight="1">
      <c r="A730" s="203"/>
      <c r="B730" s="203"/>
      <c r="C730" s="203"/>
      <c r="D730" s="203"/>
      <c r="E730" s="203"/>
      <c r="F730" s="203"/>
      <c r="G730" s="203"/>
      <c r="H730" s="203"/>
      <c r="I730" s="203"/>
      <c r="J730" s="203"/>
      <c r="K730" s="203"/>
      <c r="L730" s="203"/>
      <c r="M730" s="203"/>
      <c r="N730" s="203"/>
      <c r="O730" s="203"/>
      <c r="P730" s="203"/>
      <c r="Q730" s="203"/>
      <c r="R730" s="203"/>
      <c r="S730" s="203"/>
      <c r="T730" s="203"/>
      <c r="U730" s="203"/>
      <c r="V730" s="203"/>
      <c r="W730" s="203"/>
      <c r="X730" s="203"/>
      <c r="Y730" s="203"/>
      <c r="Z730" s="203"/>
    </row>
    <row r="731" ht="12.75" customHeight="1">
      <c r="A731" s="203"/>
      <c r="B731" s="203"/>
      <c r="C731" s="203"/>
      <c r="D731" s="203"/>
      <c r="E731" s="203"/>
      <c r="F731" s="203"/>
      <c r="G731" s="203"/>
      <c r="H731" s="203"/>
      <c r="I731" s="203"/>
      <c r="J731" s="203"/>
      <c r="K731" s="203"/>
      <c r="L731" s="203"/>
      <c r="M731" s="203"/>
      <c r="N731" s="203"/>
      <c r="O731" s="203"/>
      <c r="P731" s="203"/>
      <c r="Q731" s="203"/>
      <c r="R731" s="203"/>
      <c r="S731" s="203"/>
      <c r="T731" s="203"/>
      <c r="U731" s="203"/>
      <c r="V731" s="203"/>
      <c r="W731" s="203"/>
      <c r="X731" s="203"/>
      <c r="Y731" s="203"/>
      <c r="Z731" s="203"/>
    </row>
    <row r="732" ht="12.75" customHeight="1">
      <c r="A732" s="203"/>
      <c r="B732" s="203"/>
      <c r="C732" s="203"/>
      <c r="D732" s="203"/>
      <c r="E732" s="203"/>
      <c r="F732" s="203"/>
      <c r="G732" s="203"/>
      <c r="H732" s="203"/>
      <c r="I732" s="203"/>
      <c r="J732" s="203"/>
      <c r="K732" s="203"/>
      <c r="L732" s="203"/>
      <c r="M732" s="203"/>
      <c r="N732" s="203"/>
      <c r="O732" s="203"/>
      <c r="P732" s="203"/>
      <c r="Q732" s="203"/>
      <c r="R732" s="203"/>
      <c r="S732" s="203"/>
      <c r="T732" s="203"/>
      <c r="U732" s="203"/>
      <c r="V732" s="203"/>
      <c r="W732" s="203"/>
      <c r="X732" s="203"/>
      <c r="Y732" s="203"/>
      <c r="Z732" s="203"/>
    </row>
    <row r="733" ht="12.75" customHeight="1">
      <c r="A733" s="203"/>
      <c r="B733" s="203"/>
      <c r="C733" s="203"/>
      <c r="D733" s="203"/>
      <c r="E733" s="203"/>
      <c r="F733" s="203"/>
      <c r="G733" s="203"/>
      <c r="H733" s="203"/>
      <c r="I733" s="203"/>
      <c r="J733" s="203"/>
      <c r="K733" s="203"/>
      <c r="L733" s="203"/>
      <c r="M733" s="203"/>
      <c r="N733" s="203"/>
      <c r="O733" s="203"/>
      <c r="P733" s="203"/>
      <c r="Q733" s="203"/>
      <c r="R733" s="203"/>
      <c r="S733" s="203"/>
      <c r="T733" s="203"/>
      <c r="U733" s="203"/>
      <c r="V733" s="203"/>
      <c r="W733" s="203"/>
      <c r="X733" s="203"/>
      <c r="Y733" s="203"/>
      <c r="Z733" s="203"/>
    </row>
    <row r="734" ht="12.75" customHeight="1">
      <c r="A734" s="203"/>
      <c r="B734" s="203"/>
      <c r="C734" s="203"/>
      <c r="D734" s="203"/>
      <c r="E734" s="203"/>
      <c r="F734" s="203"/>
      <c r="G734" s="203"/>
      <c r="H734" s="203"/>
      <c r="I734" s="203"/>
      <c r="J734" s="203"/>
      <c r="K734" s="203"/>
      <c r="L734" s="203"/>
      <c r="M734" s="203"/>
      <c r="N734" s="203"/>
      <c r="O734" s="203"/>
      <c r="P734" s="203"/>
      <c r="Q734" s="203"/>
      <c r="R734" s="203"/>
      <c r="S734" s="203"/>
      <c r="T734" s="203"/>
      <c r="U734" s="203"/>
      <c r="V734" s="203"/>
      <c r="W734" s="203"/>
      <c r="X734" s="203"/>
      <c r="Y734" s="203"/>
      <c r="Z734" s="203"/>
    </row>
    <row r="735" ht="12.75" customHeight="1">
      <c r="A735" s="203"/>
      <c r="B735" s="203"/>
      <c r="C735" s="203"/>
      <c r="D735" s="203"/>
      <c r="E735" s="203"/>
      <c r="F735" s="203"/>
      <c r="G735" s="203"/>
      <c r="H735" s="203"/>
      <c r="I735" s="203"/>
      <c r="J735" s="203"/>
      <c r="K735" s="203"/>
      <c r="L735" s="203"/>
      <c r="M735" s="203"/>
      <c r="N735" s="203"/>
      <c r="O735" s="203"/>
      <c r="P735" s="203"/>
      <c r="Q735" s="203"/>
      <c r="R735" s="203"/>
      <c r="S735" s="203"/>
      <c r="T735" s="203"/>
      <c r="U735" s="203"/>
      <c r="V735" s="203"/>
      <c r="W735" s="203"/>
      <c r="X735" s="203"/>
      <c r="Y735" s="203"/>
      <c r="Z735" s="203"/>
    </row>
    <row r="736" ht="12.75" customHeight="1">
      <c r="A736" s="203"/>
      <c r="B736" s="203"/>
      <c r="C736" s="203"/>
      <c r="D736" s="203"/>
      <c r="E736" s="203"/>
      <c r="F736" s="203"/>
      <c r="G736" s="203"/>
      <c r="H736" s="203"/>
      <c r="I736" s="203"/>
      <c r="J736" s="203"/>
      <c r="K736" s="203"/>
      <c r="L736" s="203"/>
      <c r="M736" s="203"/>
      <c r="N736" s="203"/>
      <c r="O736" s="203"/>
      <c r="P736" s="203"/>
      <c r="Q736" s="203"/>
      <c r="R736" s="203"/>
      <c r="S736" s="203"/>
      <c r="T736" s="203"/>
      <c r="U736" s="203"/>
      <c r="V736" s="203"/>
      <c r="W736" s="203"/>
      <c r="X736" s="203"/>
      <c r="Y736" s="203"/>
      <c r="Z736" s="203"/>
    </row>
    <row r="737" ht="12.75" customHeight="1">
      <c r="A737" s="203"/>
      <c r="B737" s="203"/>
      <c r="C737" s="203"/>
      <c r="D737" s="203"/>
      <c r="E737" s="203"/>
      <c r="F737" s="203"/>
      <c r="G737" s="203"/>
      <c r="H737" s="203"/>
      <c r="I737" s="203"/>
      <c r="J737" s="203"/>
      <c r="K737" s="203"/>
      <c r="L737" s="203"/>
      <c r="M737" s="203"/>
      <c r="N737" s="203"/>
      <c r="O737" s="203"/>
      <c r="P737" s="203"/>
      <c r="Q737" s="203"/>
      <c r="R737" s="203"/>
      <c r="S737" s="203"/>
      <c r="T737" s="203"/>
      <c r="U737" s="203"/>
      <c r="V737" s="203"/>
      <c r="W737" s="203"/>
      <c r="X737" s="203"/>
      <c r="Y737" s="203"/>
      <c r="Z737" s="203"/>
    </row>
    <row r="738" ht="12.75" customHeight="1">
      <c r="A738" s="203"/>
      <c r="B738" s="203"/>
      <c r="C738" s="203"/>
      <c r="D738" s="203"/>
      <c r="E738" s="203"/>
      <c r="F738" s="203"/>
      <c r="G738" s="203"/>
      <c r="H738" s="203"/>
      <c r="I738" s="203"/>
      <c r="J738" s="203"/>
      <c r="K738" s="203"/>
      <c r="L738" s="203"/>
      <c r="M738" s="203"/>
      <c r="N738" s="203"/>
      <c r="O738" s="203"/>
      <c r="P738" s="203"/>
      <c r="Q738" s="203"/>
      <c r="R738" s="203"/>
      <c r="S738" s="203"/>
      <c r="T738" s="203"/>
      <c r="U738" s="203"/>
      <c r="V738" s="203"/>
      <c r="W738" s="203"/>
      <c r="X738" s="203"/>
      <c r="Y738" s="203"/>
      <c r="Z738" s="203"/>
    </row>
    <row r="739" ht="12.75" customHeight="1">
      <c r="A739" s="203"/>
      <c r="B739" s="203"/>
      <c r="C739" s="203"/>
      <c r="D739" s="203"/>
      <c r="E739" s="203"/>
      <c r="F739" s="203"/>
      <c r="G739" s="203"/>
      <c r="H739" s="203"/>
      <c r="I739" s="203"/>
      <c r="J739" s="203"/>
      <c r="K739" s="203"/>
      <c r="L739" s="203"/>
      <c r="M739" s="203"/>
      <c r="N739" s="203"/>
      <c r="O739" s="203"/>
      <c r="P739" s="203"/>
      <c r="Q739" s="203"/>
      <c r="R739" s="203"/>
      <c r="S739" s="203"/>
      <c r="T739" s="203"/>
      <c r="U739" s="203"/>
      <c r="V739" s="203"/>
      <c r="W739" s="203"/>
      <c r="X739" s="203"/>
      <c r="Y739" s="203"/>
      <c r="Z739" s="203"/>
    </row>
    <row r="740" ht="12.75" customHeight="1">
      <c r="A740" s="203"/>
      <c r="B740" s="203"/>
      <c r="C740" s="203"/>
      <c r="D740" s="203"/>
      <c r="E740" s="203"/>
      <c r="F740" s="203"/>
      <c r="G740" s="203"/>
      <c r="H740" s="203"/>
      <c r="I740" s="203"/>
      <c r="J740" s="203"/>
      <c r="K740" s="203"/>
      <c r="L740" s="203"/>
      <c r="M740" s="203"/>
      <c r="N740" s="203"/>
      <c r="O740" s="203"/>
      <c r="P740" s="203"/>
      <c r="Q740" s="203"/>
      <c r="R740" s="203"/>
      <c r="S740" s="203"/>
      <c r="T740" s="203"/>
      <c r="U740" s="203"/>
      <c r="V740" s="203"/>
      <c r="W740" s="203"/>
      <c r="X740" s="203"/>
      <c r="Y740" s="203"/>
      <c r="Z740" s="203"/>
    </row>
    <row r="741" ht="12.75" customHeight="1">
      <c r="A741" s="203"/>
      <c r="B741" s="203"/>
      <c r="C741" s="203"/>
      <c r="D741" s="203"/>
      <c r="E741" s="203"/>
      <c r="F741" s="203"/>
      <c r="G741" s="203"/>
      <c r="H741" s="203"/>
      <c r="I741" s="203"/>
      <c r="J741" s="203"/>
      <c r="K741" s="203"/>
      <c r="L741" s="203"/>
      <c r="M741" s="203"/>
      <c r="N741" s="203"/>
      <c r="O741" s="203"/>
      <c r="P741" s="203"/>
      <c r="Q741" s="203"/>
      <c r="R741" s="203"/>
      <c r="S741" s="203"/>
      <c r="T741" s="203"/>
      <c r="U741" s="203"/>
      <c r="V741" s="203"/>
      <c r="W741" s="203"/>
      <c r="X741" s="203"/>
      <c r="Y741" s="203"/>
      <c r="Z741" s="203"/>
    </row>
    <row r="742" ht="12.75" customHeight="1">
      <c r="A742" s="203"/>
      <c r="B742" s="203"/>
      <c r="C742" s="203"/>
      <c r="D742" s="203"/>
      <c r="E742" s="203"/>
      <c r="F742" s="203"/>
      <c r="G742" s="203"/>
      <c r="H742" s="203"/>
      <c r="I742" s="203"/>
      <c r="J742" s="203"/>
      <c r="K742" s="203"/>
      <c r="L742" s="203"/>
      <c r="M742" s="203"/>
      <c r="N742" s="203"/>
      <c r="O742" s="203"/>
      <c r="P742" s="203"/>
      <c r="Q742" s="203"/>
      <c r="R742" s="203"/>
      <c r="S742" s="203"/>
      <c r="T742" s="203"/>
      <c r="U742" s="203"/>
      <c r="V742" s="203"/>
      <c r="W742" s="203"/>
      <c r="X742" s="203"/>
      <c r="Y742" s="203"/>
      <c r="Z742" s="203"/>
    </row>
    <row r="743" ht="12.75" customHeight="1">
      <c r="A743" s="203"/>
      <c r="B743" s="203"/>
      <c r="C743" s="203"/>
      <c r="D743" s="203"/>
      <c r="E743" s="203"/>
      <c r="F743" s="203"/>
      <c r="G743" s="203"/>
      <c r="H743" s="203"/>
      <c r="I743" s="203"/>
      <c r="J743" s="203"/>
      <c r="K743" s="203"/>
      <c r="L743" s="203"/>
      <c r="M743" s="203"/>
      <c r="N743" s="203"/>
      <c r="O743" s="203"/>
      <c r="P743" s="203"/>
      <c r="Q743" s="203"/>
      <c r="R743" s="203"/>
      <c r="S743" s="203"/>
      <c r="T743" s="203"/>
      <c r="U743" s="203"/>
      <c r="V743" s="203"/>
      <c r="W743" s="203"/>
      <c r="X743" s="203"/>
      <c r="Y743" s="203"/>
      <c r="Z743" s="203"/>
    </row>
    <row r="744" ht="12.75" customHeight="1">
      <c r="A744" s="203"/>
      <c r="B744" s="203"/>
      <c r="C744" s="203"/>
      <c r="D744" s="203"/>
      <c r="E744" s="203"/>
      <c r="F744" s="203"/>
      <c r="G744" s="203"/>
      <c r="H744" s="203"/>
      <c r="I744" s="203"/>
      <c r="J744" s="203"/>
      <c r="K744" s="203"/>
      <c r="L744" s="203"/>
      <c r="M744" s="203"/>
      <c r="N744" s="203"/>
      <c r="O744" s="203"/>
      <c r="P744" s="203"/>
      <c r="Q744" s="203"/>
      <c r="R744" s="203"/>
      <c r="S744" s="203"/>
      <c r="T744" s="203"/>
      <c r="U744" s="203"/>
      <c r="V744" s="203"/>
      <c r="W744" s="203"/>
      <c r="X744" s="203"/>
      <c r="Y744" s="203"/>
      <c r="Z744" s="203"/>
    </row>
    <row r="745" ht="12.75" customHeight="1">
      <c r="A745" s="203"/>
      <c r="B745" s="203"/>
      <c r="C745" s="203"/>
      <c r="D745" s="203"/>
      <c r="E745" s="203"/>
      <c r="F745" s="203"/>
      <c r="G745" s="203"/>
      <c r="H745" s="203"/>
      <c r="I745" s="203"/>
      <c r="J745" s="203"/>
      <c r="K745" s="203"/>
      <c r="L745" s="203"/>
      <c r="M745" s="203"/>
      <c r="N745" s="203"/>
      <c r="O745" s="203"/>
      <c r="P745" s="203"/>
      <c r="Q745" s="203"/>
      <c r="R745" s="203"/>
      <c r="S745" s="203"/>
      <c r="T745" s="203"/>
      <c r="U745" s="203"/>
      <c r="V745" s="203"/>
      <c r="W745" s="203"/>
      <c r="X745" s="203"/>
      <c r="Y745" s="203"/>
      <c r="Z745" s="203"/>
    </row>
    <row r="746" ht="12.75" customHeight="1">
      <c r="A746" s="203"/>
      <c r="B746" s="203"/>
      <c r="C746" s="203"/>
      <c r="D746" s="203"/>
      <c r="E746" s="203"/>
      <c r="F746" s="203"/>
      <c r="G746" s="203"/>
      <c r="H746" s="203"/>
      <c r="I746" s="203"/>
      <c r="J746" s="203"/>
      <c r="K746" s="203"/>
      <c r="L746" s="203"/>
      <c r="M746" s="203"/>
      <c r="N746" s="203"/>
      <c r="O746" s="203"/>
      <c r="P746" s="203"/>
      <c r="Q746" s="203"/>
      <c r="R746" s="203"/>
      <c r="S746" s="203"/>
      <c r="T746" s="203"/>
      <c r="U746" s="203"/>
      <c r="V746" s="203"/>
      <c r="W746" s="203"/>
      <c r="X746" s="203"/>
      <c r="Y746" s="203"/>
      <c r="Z746" s="203"/>
    </row>
    <row r="747" ht="12.75" customHeight="1">
      <c r="A747" s="203"/>
      <c r="B747" s="203"/>
      <c r="C747" s="203"/>
      <c r="D747" s="203"/>
      <c r="E747" s="203"/>
      <c r="F747" s="203"/>
      <c r="G747" s="203"/>
      <c r="H747" s="203"/>
      <c r="I747" s="203"/>
      <c r="J747" s="203"/>
      <c r="K747" s="203"/>
      <c r="L747" s="203"/>
      <c r="M747" s="203"/>
      <c r="N747" s="203"/>
      <c r="O747" s="203"/>
      <c r="P747" s="203"/>
      <c r="Q747" s="203"/>
      <c r="R747" s="203"/>
      <c r="S747" s="203"/>
      <c r="T747" s="203"/>
      <c r="U747" s="203"/>
      <c r="V747" s="203"/>
      <c r="W747" s="203"/>
      <c r="X747" s="203"/>
      <c r="Y747" s="203"/>
      <c r="Z747" s="203"/>
    </row>
    <row r="748" ht="12.75" customHeight="1">
      <c r="A748" s="203"/>
      <c r="B748" s="203"/>
      <c r="C748" s="203"/>
      <c r="D748" s="203"/>
      <c r="E748" s="203"/>
      <c r="F748" s="203"/>
      <c r="G748" s="203"/>
      <c r="H748" s="203"/>
      <c r="I748" s="203"/>
      <c r="J748" s="203"/>
      <c r="K748" s="203"/>
      <c r="L748" s="203"/>
      <c r="M748" s="203"/>
      <c r="N748" s="203"/>
      <c r="O748" s="203"/>
      <c r="P748" s="203"/>
      <c r="Q748" s="203"/>
      <c r="R748" s="203"/>
      <c r="S748" s="203"/>
      <c r="T748" s="203"/>
      <c r="U748" s="203"/>
      <c r="V748" s="203"/>
      <c r="W748" s="203"/>
      <c r="X748" s="203"/>
      <c r="Y748" s="203"/>
      <c r="Z748" s="203"/>
    </row>
    <row r="749" ht="12.75" customHeight="1">
      <c r="A749" s="203"/>
      <c r="B749" s="203"/>
      <c r="C749" s="203"/>
      <c r="D749" s="203"/>
      <c r="E749" s="203"/>
      <c r="F749" s="203"/>
      <c r="G749" s="203"/>
      <c r="H749" s="203"/>
      <c r="I749" s="203"/>
      <c r="J749" s="203"/>
      <c r="K749" s="203"/>
      <c r="L749" s="203"/>
      <c r="M749" s="203"/>
      <c r="N749" s="203"/>
      <c r="O749" s="203"/>
      <c r="P749" s="203"/>
      <c r="Q749" s="203"/>
      <c r="R749" s="203"/>
      <c r="S749" s="203"/>
      <c r="T749" s="203"/>
      <c r="U749" s="203"/>
      <c r="V749" s="203"/>
      <c r="W749" s="203"/>
      <c r="X749" s="203"/>
      <c r="Y749" s="203"/>
      <c r="Z749" s="203"/>
    </row>
    <row r="750" ht="12.75" customHeight="1">
      <c r="A750" s="203"/>
      <c r="B750" s="203"/>
      <c r="C750" s="203"/>
      <c r="D750" s="203"/>
      <c r="E750" s="203"/>
      <c r="F750" s="203"/>
      <c r="G750" s="203"/>
      <c r="H750" s="203"/>
      <c r="I750" s="203"/>
      <c r="J750" s="203"/>
      <c r="K750" s="203"/>
      <c r="L750" s="203"/>
      <c r="M750" s="203"/>
      <c r="N750" s="203"/>
      <c r="O750" s="203"/>
      <c r="P750" s="203"/>
      <c r="Q750" s="203"/>
      <c r="R750" s="203"/>
      <c r="S750" s="203"/>
      <c r="T750" s="203"/>
      <c r="U750" s="203"/>
      <c r="V750" s="203"/>
      <c r="W750" s="203"/>
      <c r="X750" s="203"/>
      <c r="Y750" s="203"/>
      <c r="Z750" s="203"/>
    </row>
    <row r="751" ht="12.75" customHeight="1">
      <c r="A751" s="203"/>
      <c r="B751" s="203"/>
      <c r="C751" s="203"/>
      <c r="D751" s="203"/>
      <c r="E751" s="203"/>
      <c r="F751" s="203"/>
      <c r="G751" s="203"/>
      <c r="H751" s="203"/>
      <c r="I751" s="203"/>
      <c r="J751" s="203"/>
      <c r="K751" s="203"/>
      <c r="L751" s="203"/>
      <c r="M751" s="203"/>
      <c r="N751" s="203"/>
      <c r="O751" s="203"/>
      <c r="P751" s="203"/>
      <c r="Q751" s="203"/>
      <c r="R751" s="203"/>
      <c r="S751" s="203"/>
      <c r="T751" s="203"/>
      <c r="U751" s="203"/>
      <c r="V751" s="203"/>
      <c r="W751" s="203"/>
      <c r="X751" s="203"/>
      <c r="Y751" s="203"/>
      <c r="Z751" s="203"/>
    </row>
    <row r="752" ht="12.75" customHeight="1">
      <c r="A752" s="203"/>
      <c r="B752" s="203"/>
      <c r="C752" s="203"/>
      <c r="D752" s="203"/>
      <c r="E752" s="203"/>
      <c r="F752" s="203"/>
      <c r="G752" s="203"/>
      <c r="H752" s="203"/>
      <c r="I752" s="203"/>
      <c r="J752" s="203"/>
      <c r="K752" s="203"/>
      <c r="L752" s="203"/>
      <c r="M752" s="203"/>
      <c r="N752" s="203"/>
      <c r="O752" s="203"/>
      <c r="P752" s="203"/>
      <c r="Q752" s="203"/>
      <c r="R752" s="203"/>
      <c r="S752" s="203"/>
      <c r="T752" s="203"/>
      <c r="U752" s="203"/>
      <c r="V752" s="203"/>
      <c r="W752" s="203"/>
      <c r="X752" s="203"/>
      <c r="Y752" s="203"/>
      <c r="Z752" s="203"/>
    </row>
    <row r="753" ht="12.75" customHeight="1">
      <c r="A753" s="203"/>
      <c r="B753" s="203"/>
      <c r="C753" s="203"/>
      <c r="D753" s="203"/>
      <c r="E753" s="203"/>
      <c r="F753" s="203"/>
      <c r="G753" s="203"/>
      <c r="H753" s="203"/>
      <c r="I753" s="203"/>
      <c r="J753" s="203"/>
      <c r="K753" s="203"/>
      <c r="L753" s="203"/>
      <c r="M753" s="203"/>
      <c r="N753" s="203"/>
      <c r="O753" s="203"/>
      <c r="P753" s="203"/>
      <c r="Q753" s="203"/>
      <c r="R753" s="203"/>
      <c r="S753" s="203"/>
      <c r="T753" s="203"/>
      <c r="U753" s="203"/>
      <c r="V753" s="203"/>
      <c r="W753" s="203"/>
      <c r="X753" s="203"/>
      <c r="Y753" s="203"/>
      <c r="Z753" s="203"/>
    </row>
    <row r="754" ht="12.75" customHeight="1">
      <c r="A754" s="203"/>
      <c r="B754" s="203"/>
      <c r="C754" s="203"/>
      <c r="D754" s="203"/>
      <c r="E754" s="203"/>
      <c r="F754" s="203"/>
      <c r="G754" s="203"/>
      <c r="H754" s="203"/>
      <c r="I754" s="203"/>
      <c r="J754" s="203"/>
      <c r="K754" s="203"/>
      <c r="L754" s="203"/>
      <c r="M754" s="203"/>
      <c r="N754" s="203"/>
      <c r="O754" s="203"/>
      <c r="P754" s="203"/>
      <c r="Q754" s="203"/>
      <c r="R754" s="203"/>
      <c r="S754" s="203"/>
      <c r="T754" s="203"/>
      <c r="U754" s="203"/>
      <c r="V754" s="203"/>
      <c r="W754" s="203"/>
      <c r="X754" s="203"/>
      <c r="Y754" s="203"/>
      <c r="Z754" s="203"/>
    </row>
    <row r="755" ht="12.75" customHeight="1">
      <c r="A755" s="203"/>
      <c r="B755" s="203"/>
      <c r="C755" s="203"/>
      <c r="D755" s="203"/>
      <c r="E755" s="203"/>
      <c r="F755" s="203"/>
      <c r="G755" s="203"/>
      <c r="H755" s="203"/>
      <c r="I755" s="203"/>
      <c r="J755" s="203"/>
      <c r="K755" s="203"/>
      <c r="L755" s="203"/>
      <c r="M755" s="203"/>
      <c r="N755" s="203"/>
      <c r="O755" s="203"/>
      <c r="P755" s="203"/>
      <c r="Q755" s="203"/>
      <c r="R755" s="203"/>
      <c r="S755" s="203"/>
      <c r="T755" s="203"/>
      <c r="U755" s="203"/>
      <c r="V755" s="203"/>
      <c r="W755" s="203"/>
      <c r="X755" s="203"/>
      <c r="Y755" s="203"/>
      <c r="Z755" s="203"/>
    </row>
    <row r="756" ht="12.75" customHeight="1">
      <c r="A756" s="203"/>
      <c r="B756" s="203"/>
      <c r="C756" s="203"/>
      <c r="D756" s="203"/>
      <c r="E756" s="203"/>
      <c r="F756" s="203"/>
      <c r="G756" s="203"/>
      <c r="H756" s="203"/>
      <c r="I756" s="203"/>
      <c r="J756" s="203"/>
      <c r="K756" s="203"/>
      <c r="L756" s="203"/>
      <c r="M756" s="203"/>
      <c r="N756" s="203"/>
      <c r="O756" s="203"/>
      <c r="P756" s="203"/>
      <c r="Q756" s="203"/>
      <c r="R756" s="203"/>
      <c r="S756" s="203"/>
      <c r="T756" s="203"/>
      <c r="U756" s="203"/>
      <c r="V756" s="203"/>
      <c r="W756" s="203"/>
      <c r="X756" s="203"/>
      <c r="Y756" s="203"/>
      <c r="Z756" s="203"/>
    </row>
    <row r="757" ht="12.75" customHeight="1">
      <c r="A757" s="203"/>
      <c r="B757" s="203"/>
      <c r="C757" s="203"/>
      <c r="D757" s="203"/>
      <c r="E757" s="203"/>
      <c r="F757" s="203"/>
      <c r="G757" s="203"/>
      <c r="H757" s="203"/>
      <c r="I757" s="203"/>
      <c r="J757" s="203"/>
      <c r="K757" s="203"/>
      <c r="L757" s="203"/>
      <c r="M757" s="203"/>
      <c r="N757" s="203"/>
      <c r="O757" s="203"/>
      <c r="P757" s="203"/>
      <c r="Q757" s="203"/>
      <c r="R757" s="203"/>
      <c r="S757" s="203"/>
      <c r="T757" s="203"/>
      <c r="U757" s="203"/>
      <c r="V757" s="203"/>
      <c r="W757" s="203"/>
      <c r="X757" s="203"/>
      <c r="Y757" s="203"/>
      <c r="Z757" s="203"/>
    </row>
    <row r="758" ht="12.75" customHeight="1">
      <c r="A758" s="203"/>
      <c r="B758" s="203"/>
      <c r="C758" s="203"/>
      <c r="D758" s="203"/>
      <c r="E758" s="203"/>
      <c r="F758" s="203"/>
      <c r="G758" s="203"/>
      <c r="H758" s="203"/>
      <c r="I758" s="203"/>
      <c r="J758" s="203"/>
      <c r="K758" s="203"/>
      <c r="L758" s="203"/>
      <c r="M758" s="203"/>
      <c r="N758" s="203"/>
      <c r="O758" s="203"/>
      <c r="P758" s="203"/>
      <c r="Q758" s="203"/>
      <c r="R758" s="203"/>
      <c r="S758" s="203"/>
      <c r="T758" s="203"/>
      <c r="U758" s="203"/>
      <c r="V758" s="203"/>
      <c r="W758" s="203"/>
      <c r="X758" s="203"/>
      <c r="Y758" s="203"/>
      <c r="Z758" s="203"/>
    </row>
    <row r="759" ht="12.75" customHeight="1">
      <c r="A759" s="203"/>
      <c r="B759" s="203"/>
      <c r="C759" s="203"/>
      <c r="D759" s="203"/>
      <c r="E759" s="203"/>
      <c r="F759" s="203"/>
      <c r="G759" s="203"/>
      <c r="H759" s="203"/>
      <c r="I759" s="203"/>
      <c r="J759" s="203"/>
      <c r="K759" s="203"/>
      <c r="L759" s="203"/>
      <c r="M759" s="203"/>
      <c r="N759" s="203"/>
      <c r="O759" s="203"/>
      <c r="P759" s="203"/>
      <c r="Q759" s="203"/>
      <c r="R759" s="203"/>
      <c r="S759" s="203"/>
      <c r="T759" s="203"/>
      <c r="U759" s="203"/>
      <c r="V759" s="203"/>
      <c r="W759" s="203"/>
      <c r="X759" s="203"/>
      <c r="Y759" s="203"/>
      <c r="Z759" s="203"/>
    </row>
    <row r="760" ht="12.75" customHeight="1">
      <c r="A760" s="203"/>
      <c r="B760" s="203"/>
      <c r="C760" s="203"/>
      <c r="D760" s="203"/>
      <c r="E760" s="203"/>
      <c r="F760" s="203"/>
      <c r="G760" s="203"/>
      <c r="H760" s="203"/>
      <c r="I760" s="203"/>
      <c r="J760" s="203"/>
      <c r="K760" s="203"/>
      <c r="L760" s="203"/>
      <c r="M760" s="203"/>
      <c r="N760" s="203"/>
      <c r="O760" s="203"/>
      <c r="P760" s="203"/>
      <c r="Q760" s="203"/>
      <c r="R760" s="203"/>
      <c r="S760" s="203"/>
      <c r="T760" s="203"/>
      <c r="U760" s="203"/>
      <c r="V760" s="203"/>
      <c r="W760" s="203"/>
      <c r="X760" s="203"/>
      <c r="Y760" s="203"/>
      <c r="Z760" s="203"/>
    </row>
    <row r="761" ht="12.75" customHeight="1">
      <c r="A761" s="203"/>
      <c r="B761" s="203"/>
      <c r="C761" s="203"/>
      <c r="D761" s="203"/>
      <c r="E761" s="203"/>
      <c r="F761" s="203"/>
      <c r="G761" s="203"/>
      <c r="H761" s="203"/>
      <c r="I761" s="203"/>
      <c r="J761" s="203"/>
      <c r="K761" s="203"/>
      <c r="L761" s="203"/>
      <c r="M761" s="203"/>
      <c r="N761" s="203"/>
      <c r="O761" s="203"/>
      <c r="P761" s="203"/>
      <c r="Q761" s="203"/>
      <c r="R761" s="203"/>
      <c r="S761" s="203"/>
      <c r="T761" s="203"/>
      <c r="U761" s="203"/>
      <c r="V761" s="203"/>
      <c r="W761" s="203"/>
      <c r="X761" s="203"/>
      <c r="Y761" s="203"/>
      <c r="Z761" s="203"/>
    </row>
    <row r="762" ht="12.75" customHeight="1">
      <c r="A762" s="203"/>
      <c r="B762" s="203"/>
      <c r="C762" s="203"/>
      <c r="D762" s="203"/>
      <c r="E762" s="203"/>
      <c r="F762" s="203"/>
      <c r="G762" s="203"/>
      <c r="H762" s="203"/>
      <c r="I762" s="203"/>
      <c r="J762" s="203"/>
      <c r="K762" s="203"/>
      <c r="L762" s="203"/>
      <c r="M762" s="203"/>
      <c r="N762" s="203"/>
      <c r="O762" s="203"/>
      <c r="P762" s="203"/>
      <c r="Q762" s="203"/>
      <c r="R762" s="203"/>
      <c r="S762" s="203"/>
      <c r="T762" s="203"/>
      <c r="U762" s="203"/>
      <c r="V762" s="203"/>
      <c r="W762" s="203"/>
      <c r="X762" s="203"/>
      <c r="Y762" s="203"/>
      <c r="Z762" s="203"/>
    </row>
    <row r="763" ht="12.75" customHeight="1">
      <c r="A763" s="203"/>
      <c r="B763" s="203"/>
      <c r="C763" s="203"/>
      <c r="D763" s="203"/>
      <c r="E763" s="203"/>
      <c r="F763" s="203"/>
      <c r="G763" s="203"/>
      <c r="H763" s="203"/>
      <c r="I763" s="203"/>
      <c r="J763" s="203"/>
      <c r="K763" s="203"/>
      <c r="L763" s="203"/>
      <c r="M763" s="203"/>
      <c r="N763" s="203"/>
      <c r="O763" s="203"/>
      <c r="P763" s="203"/>
      <c r="Q763" s="203"/>
      <c r="R763" s="203"/>
      <c r="S763" s="203"/>
      <c r="T763" s="203"/>
      <c r="U763" s="203"/>
      <c r="V763" s="203"/>
      <c r="W763" s="203"/>
      <c r="X763" s="203"/>
      <c r="Y763" s="203"/>
      <c r="Z763" s="203"/>
    </row>
    <row r="764" ht="12.75" customHeight="1">
      <c r="A764" s="203"/>
      <c r="B764" s="203"/>
      <c r="C764" s="203"/>
      <c r="D764" s="203"/>
      <c r="E764" s="203"/>
      <c r="F764" s="203"/>
      <c r="G764" s="203"/>
      <c r="H764" s="203"/>
      <c r="I764" s="203"/>
      <c r="J764" s="203"/>
      <c r="K764" s="203"/>
      <c r="L764" s="203"/>
      <c r="M764" s="203"/>
      <c r="N764" s="203"/>
      <c r="O764" s="203"/>
      <c r="P764" s="203"/>
      <c r="Q764" s="203"/>
      <c r="R764" s="203"/>
      <c r="S764" s="203"/>
      <c r="T764" s="203"/>
      <c r="U764" s="203"/>
      <c r="V764" s="203"/>
      <c r="W764" s="203"/>
      <c r="X764" s="203"/>
      <c r="Y764" s="203"/>
      <c r="Z764" s="203"/>
    </row>
    <row r="765" ht="12.75" customHeight="1">
      <c r="A765" s="203"/>
      <c r="B765" s="203"/>
      <c r="C765" s="203"/>
      <c r="D765" s="203"/>
      <c r="E765" s="203"/>
      <c r="F765" s="203"/>
      <c r="G765" s="203"/>
      <c r="H765" s="203"/>
      <c r="I765" s="203"/>
      <c r="J765" s="203"/>
      <c r="K765" s="203"/>
      <c r="L765" s="203"/>
      <c r="M765" s="203"/>
      <c r="N765" s="203"/>
      <c r="O765" s="203"/>
      <c r="P765" s="203"/>
      <c r="Q765" s="203"/>
      <c r="R765" s="203"/>
      <c r="S765" s="203"/>
      <c r="T765" s="203"/>
      <c r="U765" s="203"/>
      <c r="V765" s="203"/>
      <c r="W765" s="203"/>
      <c r="X765" s="203"/>
      <c r="Y765" s="203"/>
      <c r="Z765" s="203"/>
    </row>
    <row r="766" ht="12.75" customHeight="1">
      <c r="A766" s="203"/>
      <c r="B766" s="203"/>
      <c r="C766" s="203"/>
      <c r="D766" s="203"/>
      <c r="E766" s="203"/>
      <c r="F766" s="203"/>
      <c r="G766" s="203"/>
      <c r="H766" s="203"/>
      <c r="I766" s="203"/>
      <c r="J766" s="203"/>
      <c r="K766" s="203"/>
      <c r="L766" s="203"/>
      <c r="M766" s="203"/>
      <c r="N766" s="203"/>
      <c r="O766" s="203"/>
      <c r="P766" s="203"/>
      <c r="Q766" s="203"/>
      <c r="R766" s="203"/>
      <c r="S766" s="203"/>
      <c r="T766" s="203"/>
      <c r="U766" s="203"/>
      <c r="V766" s="203"/>
      <c r="W766" s="203"/>
      <c r="X766" s="203"/>
      <c r="Y766" s="203"/>
      <c r="Z766" s="203"/>
    </row>
    <row r="767" ht="12.75" customHeight="1">
      <c r="A767" s="203"/>
      <c r="B767" s="203"/>
      <c r="C767" s="203"/>
      <c r="D767" s="203"/>
      <c r="E767" s="203"/>
      <c r="F767" s="203"/>
      <c r="G767" s="203"/>
      <c r="H767" s="203"/>
      <c r="I767" s="203"/>
      <c r="J767" s="203"/>
      <c r="K767" s="203"/>
      <c r="L767" s="203"/>
      <c r="M767" s="203"/>
      <c r="N767" s="203"/>
      <c r="O767" s="203"/>
      <c r="P767" s="203"/>
      <c r="Q767" s="203"/>
      <c r="R767" s="203"/>
      <c r="S767" s="203"/>
      <c r="T767" s="203"/>
      <c r="U767" s="203"/>
      <c r="V767" s="203"/>
      <c r="W767" s="203"/>
      <c r="X767" s="203"/>
      <c r="Y767" s="203"/>
      <c r="Z767" s="203"/>
    </row>
    <row r="768" ht="12.75" customHeight="1">
      <c r="A768" s="203"/>
      <c r="B768" s="203"/>
      <c r="C768" s="203"/>
      <c r="D768" s="203"/>
      <c r="E768" s="203"/>
      <c r="F768" s="203"/>
      <c r="G768" s="203"/>
      <c r="H768" s="203"/>
      <c r="I768" s="203"/>
      <c r="J768" s="203"/>
      <c r="K768" s="203"/>
      <c r="L768" s="203"/>
      <c r="M768" s="203"/>
      <c r="N768" s="203"/>
      <c r="O768" s="203"/>
      <c r="P768" s="203"/>
      <c r="Q768" s="203"/>
      <c r="R768" s="203"/>
      <c r="S768" s="203"/>
      <c r="T768" s="203"/>
      <c r="U768" s="203"/>
      <c r="V768" s="203"/>
      <c r="W768" s="203"/>
      <c r="X768" s="203"/>
      <c r="Y768" s="203"/>
      <c r="Z768" s="203"/>
    </row>
    <row r="769" ht="12.75" customHeight="1">
      <c r="A769" s="203"/>
      <c r="B769" s="203"/>
      <c r="C769" s="203"/>
      <c r="D769" s="203"/>
      <c r="E769" s="203"/>
      <c r="F769" s="203"/>
      <c r="G769" s="203"/>
      <c r="H769" s="203"/>
      <c r="I769" s="203"/>
      <c r="J769" s="203"/>
      <c r="K769" s="203"/>
      <c r="L769" s="203"/>
      <c r="M769" s="203"/>
      <c r="N769" s="203"/>
      <c r="O769" s="203"/>
      <c r="P769" s="203"/>
      <c r="Q769" s="203"/>
      <c r="R769" s="203"/>
      <c r="S769" s="203"/>
      <c r="T769" s="203"/>
      <c r="U769" s="203"/>
      <c r="V769" s="203"/>
      <c r="W769" s="203"/>
      <c r="X769" s="203"/>
      <c r="Y769" s="203"/>
      <c r="Z769" s="203"/>
    </row>
    <row r="770" ht="12.75" customHeight="1">
      <c r="A770" s="203"/>
      <c r="B770" s="203"/>
      <c r="C770" s="203"/>
      <c r="D770" s="203"/>
      <c r="E770" s="203"/>
      <c r="F770" s="203"/>
      <c r="G770" s="203"/>
      <c r="H770" s="203"/>
      <c r="I770" s="203"/>
      <c r="J770" s="203"/>
      <c r="K770" s="203"/>
      <c r="L770" s="203"/>
      <c r="M770" s="203"/>
      <c r="N770" s="203"/>
      <c r="O770" s="203"/>
      <c r="P770" s="203"/>
      <c r="Q770" s="203"/>
      <c r="R770" s="203"/>
      <c r="S770" s="203"/>
      <c r="T770" s="203"/>
      <c r="U770" s="203"/>
      <c r="V770" s="203"/>
      <c r="W770" s="203"/>
      <c r="X770" s="203"/>
      <c r="Y770" s="203"/>
      <c r="Z770" s="203"/>
    </row>
    <row r="771" ht="12.75" customHeight="1">
      <c r="A771" s="203"/>
      <c r="B771" s="203"/>
      <c r="C771" s="203"/>
      <c r="D771" s="203"/>
      <c r="E771" s="203"/>
      <c r="F771" s="203"/>
      <c r="G771" s="203"/>
      <c r="H771" s="203"/>
      <c r="I771" s="203"/>
      <c r="J771" s="203"/>
      <c r="K771" s="203"/>
      <c r="L771" s="203"/>
      <c r="M771" s="203"/>
      <c r="N771" s="203"/>
      <c r="O771" s="203"/>
      <c r="P771" s="203"/>
      <c r="Q771" s="203"/>
      <c r="R771" s="203"/>
      <c r="S771" s="203"/>
      <c r="T771" s="203"/>
      <c r="U771" s="203"/>
      <c r="V771" s="203"/>
      <c r="W771" s="203"/>
      <c r="X771" s="203"/>
      <c r="Y771" s="203"/>
      <c r="Z771" s="203"/>
    </row>
    <row r="772" ht="12.75" customHeight="1">
      <c r="A772" s="203"/>
      <c r="B772" s="203"/>
      <c r="C772" s="203"/>
      <c r="D772" s="203"/>
      <c r="E772" s="203"/>
      <c r="F772" s="203"/>
      <c r="G772" s="203"/>
      <c r="H772" s="203"/>
      <c r="I772" s="203"/>
      <c r="J772" s="203"/>
      <c r="K772" s="203"/>
      <c r="L772" s="203"/>
      <c r="M772" s="203"/>
      <c r="N772" s="203"/>
      <c r="O772" s="203"/>
      <c r="P772" s="203"/>
      <c r="Q772" s="203"/>
      <c r="R772" s="203"/>
      <c r="S772" s="203"/>
      <c r="T772" s="203"/>
      <c r="U772" s="203"/>
      <c r="V772" s="203"/>
      <c r="W772" s="203"/>
      <c r="X772" s="203"/>
      <c r="Y772" s="203"/>
      <c r="Z772" s="203"/>
    </row>
    <row r="773" ht="12.75" customHeight="1">
      <c r="A773" s="203"/>
      <c r="B773" s="203"/>
      <c r="C773" s="203"/>
      <c r="D773" s="203"/>
      <c r="E773" s="203"/>
      <c r="F773" s="203"/>
      <c r="G773" s="203"/>
      <c r="H773" s="203"/>
      <c r="I773" s="203"/>
      <c r="J773" s="203"/>
      <c r="K773" s="203"/>
      <c r="L773" s="203"/>
      <c r="M773" s="203"/>
      <c r="N773" s="203"/>
      <c r="O773" s="203"/>
      <c r="P773" s="203"/>
      <c r="Q773" s="203"/>
      <c r="R773" s="203"/>
      <c r="S773" s="203"/>
      <c r="T773" s="203"/>
      <c r="U773" s="203"/>
      <c r="V773" s="203"/>
      <c r="W773" s="203"/>
      <c r="X773" s="203"/>
      <c r="Y773" s="203"/>
      <c r="Z773" s="203"/>
    </row>
    <row r="774" ht="12.75" customHeight="1">
      <c r="A774" s="203"/>
      <c r="B774" s="203"/>
      <c r="C774" s="203"/>
      <c r="D774" s="203"/>
      <c r="E774" s="203"/>
      <c r="F774" s="203"/>
      <c r="G774" s="203"/>
      <c r="H774" s="203"/>
      <c r="I774" s="203"/>
      <c r="J774" s="203"/>
      <c r="K774" s="203"/>
      <c r="L774" s="203"/>
      <c r="M774" s="203"/>
      <c r="N774" s="203"/>
      <c r="O774" s="203"/>
      <c r="P774" s="203"/>
      <c r="Q774" s="203"/>
      <c r="R774" s="203"/>
      <c r="S774" s="203"/>
      <c r="T774" s="203"/>
      <c r="U774" s="203"/>
      <c r="V774" s="203"/>
      <c r="W774" s="203"/>
      <c r="X774" s="203"/>
      <c r="Y774" s="203"/>
      <c r="Z774" s="203"/>
    </row>
    <row r="775" ht="12.75" customHeight="1">
      <c r="A775" s="203"/>
      <c r="B775" s="203"/>
      <c r="C775" s="203"/>
      <c r="D775" s="203"/>
      <c r="E775" s="203"/>
      <c r="F775" s="203"/>
      <c r="G775" s="203"/>
      <c r="H775" s="203"/>
      <c r="I775" s="203"/>
      <c r="J775" s="203"/>
      <c r="K775" s="203"/>
      <c r="L775" s="203"/>
      <c r="M775" s="203"/>
      <c r="N775" s="203"/>
      <c r="O775" s="203"/>
      <c r="P775" s="203"/>
      <c r="Q775" s="203"/>
      <c r="R775" s="203"/>
      <c r="S775" s="203"/>
      <c r="T775" s="203"/>
      <c r="U775" s="203"/>
      <c r="V775" s="203"/>
      <c r="W775" s="203"/>
      <c r="X775" s="203"/>
      <c r="Y775" s="203"/>
      <c r="Z775" s="203"/>
    </row>
    <row r="776" ht="12.75" customHeight="1">
      <c r="A776" s="203"/>
      <c r="B776" s="203"/>
      <c r="C776" s="203"/>
      <c r="D776" s="203"/>
      <c r="E776" s="203"/>
      <c r="F776" s="203"/>
      <c r="G776" s="203"/>
      <c r="H776" s="203"/>
      <c r="I776" s="203"/>
      <c r="J776" s="203"/>
      <c r="K776" s="203"/>
      <c r="L776" s="203"/>
      <c r="M776" s="203"/>
      <c r="N776" s="203"/>
      <c r="O776" s="203"/>
      <c r="P776" s="203"/>
      <c r="Q776" s="203"/>
      <c r="R776" s="203"/>
      <c r="S776" s="203"/>
      <c r="T776" s="203"/>
      <c r="U776" s="203"/>
      <c r="V776" s="203"/>
      <c r="W776" s="203"/>
      <c r="X776" s="203"/>
      <c r="Y776" s="203"/>
      <c r="Z776" s="203"/>
    </row>
    <row r="777" ht="12.75" customHeight="1">
      <c r="A777" s="203"/>
      <c r="B777" s="203"/>
      <c r="C777" s="203"/>
      <c r="D777" s="203"/>
      <c r="E777" s="203"/>
      <c r="F777" s="203"/>
      <c r="G777" s="203"/>
      <c r="H777" s="203"/>
      <c r="I777" s="203"/>
      <c r="J777" s="203"/>
      <c r="K777" s="203"/>
      <c r="L777" s="203"/>
      <c r="M777" s="203"/>
      <c r="N777" s="203"/>
      <c r="O777" s="203"/>
      <c r="P777" s="203"/>
      <c r="Q777" s="203"/>
      <c r="R777" s="203"/>
      <c r="S777" s="203"/>
      <c r="T777" s="203"/>
      <c r="U777" s="203"/>
      <c r="V777" s="203"/>
      <c r="W777" s="203"/>
      <c r="X777" s="203"/>
      <c r="Y777" s="203"/>
      <c r="Z777" s="203"/>
    </row>
    <row r="778" ht="12.75" customHeight="1">
      <c r="A778" s="203"/>
      <c r="B778" s="203"/>
      <c r="C778" s="203"/>
      <c r="D778" s="203"/>
      <c r="E778" s="203"/>
      <c r="F778" s="203"/>
      <c r="G778" s="203"/>
      <c r="H778" s="203"/>
      <c r="I778" s="203"/>
      <c r="J778" s="203"/>
      <c r="K778" s="203"/>
      <c r="L778" s="203"/>
      <c r="M778" s="203"/>
      <c r="N778" s="203"/>
      <c r="O778" s="203"/>
      <c r="P778" s="203"/>
      <c r="Q778" s="203"/>
      <c r="R778" s="203"/>
      <c r="S778" s="203"/>
      <c r="T778" s="203"/>
      <c r="U778" s="203"/>
      <c r="V778" s="203"/>
      <c r="W778" s="203"/>
      <c r="X778" s="203"/>
      <c r="Y778" s="203"/>
      <c r="Z778" s="203"/>
    </row>
    <row r="779" ht="12.75" customHeight="1">
      <c r="A779" s="203"/>
      <c r="B779" s="203"/>
      <c r="C779" s="203"/>
      <c r="D779" s="203"/>
      <c r="E779" s="203"/>
      <c r="F779" s="203"/>
      <c r="G779" s="203"/>
      <c r="H779" s="203"/>
      <c r="I779" s="203"/>
      <c r="J779" s="203"/>
      <c r="K779" s="203"/>
      <c r="L779" s="203"/>
      <c r="M779" s="203"/>
      <c r="N779" s="203"/>
      <c r="O779" s="203"/>
      <c r="P779" s="203"/>
      <c r="Q779" s="203"/>
      <c r="R779" s="203"/>
      <c r="S779" s="203"/>
      <c r="T779" s="203"/>
      <c r="U779" s="203"/>
      <c r="V779" s="203"/>
      <c r="W779" s="203"/>
      <c r="X779" s="203"/>
      <c r="Y779" s="203"/>
      <c r="Z779" s="203"/>
    </row>
    <row r="780" ht="12.75" customHeight="1">
      <c r="A780" s="203"/>
      <c r="B780" s="203"/>
      <c r="C780" s="203"/>
      <c r="D780" s="203"/>
      <c r="E780" s="203"/>
      <c r="F780" s="203"/>
      <c r="G780" s="203"/>
      <c r="H780" s="203"/>
      <c r="I780" s="203"/>
      <c r="J780" s="203"/>
      <c r="K780" s="203"/>
      <c r="L780" s="203"/>
      <c r="M780" s="203"/>
      <c r="N780" s="203"/>
      <c r="O780" s="203"/>
      <c r="P780" s="203"/>
      <c r="Q780" s="203"/>
      <c r="R780" s="203"/>
      <c r="S780" s="203"/>
      <c r="T780" s="203"/>
      <c r="U780" s="203"/>
      <c r="V780" s="203"/>
      <c r="W780" s="203"/>
      <c r="X780" s="203"/>
      <c r="Y780" s="203"/>
      <c r="Z780" s="203"/>
    </row>
    <row r="781" ht="12.75" customHeight="1">
      <c r="A781" s="203"/>
      <c r="B781" s="203"/>
      <c r="C781" s="203"/>
      <c r="D781" s="203"/>
      <c r="E781" s="203"/>
      <c r="F781" s="203"/>
      <c r="G781" s="203"/>
      <c r="H781" s="203"/>
      <c r="I781" s="203"/>
      <c r="J781" s="203"/>
      <c r="K781" s="203"/>
      <c r="L781" s="203"/>
      <c r="M781" s="203"/>
      <c r="N781" s="203"/>
      <c r="O781" s="203"/>
      <c r="P781" s="203"/>
      <c r="Q781" s="203"/>
      <c r="R781" s="203"/>
      <c r="S781" s="203"/>
      <c r="T781" s="203"/>
      <c r="U781" s="203"/>
      <c r="V781" s="203"/>
      <c r="W781" s="203"/>
      <c r="X781" s="203"/>
      <c r="Y781" s="203"/>
      <c r="Z781" s="203"/>
    </row>
    <row r="782" ht="12.75" customHeight="1">
      <c r="A782" s="203"/>
      <c r="B782" s="203"/>
      <c r="C782" s="203"/>
      <c r="D782" s="203"/>
      <c r="E782" s="203"/>
      <c r="F782" s="203"/>
      <c r="G782" s="203"/>
      <c r="H782" s="203"/>
      <c r="I782" s="203"/>
      <c r="J782" s="203"/>
      <c r="K782" s="203"/>
      <c r="L782" s="203"/>
      <c r="M782" s="203"/>
      <c r="N782" s="203"/>
      <c r="O782" s="203"/>
      <c r="P782" s="203"/>
      <c r="Q782" s="203"/>
      <c r="R782" s="203"/>
      <c r="S782" s="203"/>
      <c r="T782" s="203"/>
      <c r="U782" s="203"/>
      <c r="V782" s="203"/>
      <c r="W782" s="203"/>
      <c r="X782" s="203"/>
      <c r="Y782" s="203"/>
      <c r="Z782" s="203"/>
    </row>
    <row r="783" ht="12.75" customHeight="1">
      <c r="A783" s="203"/>
      <c r="B783" s="203"/>
      <c r="C783" s="203"/>
      <c r="D783" s="203"/>
      <c r="E783" s="203"/>
      <c r="F783" s="203"/>
      <c r="G783" s="203"/>
      <c r="H783" s="203"/>
      <c r="I783" s="203"/>
      <c r="J783" s="203"/>
      <c r="K783" s="203"/>
      <c r="L783" s="203"/>
      <c r="M783" s="203"/>
      <c r="N783" s="203"/>
      <c r="O783" s="203"/>
      <c r="P783" s="203"/>
      <c r="Q783" s="203"/>
      <c r="R783" s="203"/>
      <c r="S783" s="203"/>
      <c r="T783" s="203"/>
      <c r="U783" s="203"/>
      <c r="V783" s="203"/>
      <c r="W783" s="203"/>
      <c r="X783" s="203"/>
      <c r="Y783" s="203"/>
      <c r="Z783" s="203"/>
    </row>
    <row r="784" ht="12.75" customHeight="1">
      <c r="A784" s="203"/>
      <c r="B784" s="203"/>
      <c r="C784" s="203"/>
      <c r="D784" s="203"/>
      <c r="E784" s="203"/>
      <c r="F784" s="203"/>
      <c r="G784" s="203"/>
      <c r="H784" s="203"/>
      <c r="I784" s="203"/>
      <c r="J784" s="203"/>
      <c r="K784" s="203"/>
      <c r="L784" s="203"/>
      <c r="M784" s="203"/>
      <c r="N784" s="203"/>
      <c r="O784" s="203"/>
      <c r="P784" s="203"/>
      <c r="Q784" s="203"/>
      <c r="R784" s="203"/>
      <c r="S784" s="203"/>
      <c r="T784" s="203"/>
      <c r="U784" s="203"/>
      <c r="V784" s="203"/>
      <c r="W784" s="203"/>
      <c r="X784" s="203"/>
      <c r="Y784" s="203"/>
      <c r="Z784" s="203"/>
    </row>
    <row r="785" ht="12.75" customHeight="1">
      <c r="A785" s="203"/>
      <c r="B785" s="203"/>
      <c r="C785" s="203"/>
      <c r="D785" s="203"/>
      <c r="E785" s="203"/>
      <c r="F785" s="203"/>
      <c r="G785" s="203"/>
      <c r="H785" s="203"/>
      <c r="I785" s="203"/>
      <c r="J785" s="203"/>
      <c r="K785" s="203"/>
      <c r="L785" s="203"/>
      <c r="M785" s="203"/>
      <c r="N785" s="203"/>
      <c r="O785" s="203"/>
      <c r="P785" s="203"/>
      <c r="Q785" s="203"/>
      <c r="R785" s="203"/>
      <c r="S785" s="203"/>
      <c r="T785" s="203"/>
      <c r="U785" s="203"/>
      <c r="V785" s="203"/>
      <c r="W785" s="203"/>
      <c r="X785" s="203"/>
      <c r="Y785" s="203"/>
      <c r="Z785" s="203"/>
    </row>
    <row r="786" ht="12.75" customHeight="1">
      <c r="A786" s="203"/>
      <c r="B786" s="203"/>
      <c r="C786" s="203"/>
      <c r="D786" s="203"/>
      <c r="E786" s="203"/>
      <c r="F786" s="203"/>
      <c r="G786" s="203"/>
      <c r="H786" s="203"/>
      <c r="I786" s="203"/>
      <c r="J786" s="203"/>
      <c r="K786" s="203"/>
      <c r="L786" s="203"/>
      <c r="M786" s="203"/>
      <c r="N786" s="203"/>
      <c r="O786" s="203"/>
      <c r="P786" s="203"/>
      <c r="Q786" s="203"/>
      <c r="R786" s="203"/>
      <c r="S786" s="203"/>
      <c r="T786" s="203"/>
      <c r="U786" s="203"/>
      <c r="V786" s="203"/>
      <c r="W786" s="203"/>
      <c r="X786" s="203"/>
      <c r="Y786" s="203"/>
      <c r="Z786" s="203"/>
    </row>
    <row r="787" ht="12.75" customHeight="1">
      <c r="A787" s="203"/>
      <c r="B787" s="203"/>
      <c r="C787" s="203"/>
      <c r="D787" s="203"/>
      <c r="E787" s="203"/>
      <c r="F787" s="203"/>
      <c r="G787" s="203"/>
      <c r="H787" s="203"/>
      <c r="I787" s="203"/>
      <c r="J787" s="203"/>
      <c r="K787" s="203"/>
      <c r="L787" s="203"/>
      <c r="M787" s="203"/>
      <c r="N787" s="203"/>
      <c r="O787" s="203"/>
      <c r="P787" s="203"/>
      <c r="Q787" s="203"/>
      <c r="R787" s="203"/>
      <c r="S787" s="203"/>
      <c r="T787" s="203"/>
      <c r="U787" s="203"/>
      <c r="V787" s="203"/>
      <c r="W787" s="203"/>
      <c r="X787" s="203"/>
      <c r="Y787" s="203"/>
      <c r="Z787" s="203"/>
    </row>
    <row r="788" ht="12.75" customHeight="1">
      <c r="A788" s="203"/>
      <c r="B788" s="203"/>
      <c r="C788" s="203"/>
      <c r="D788" s="203"/>
      <c r="E788" s="203"/>
      <c r="F788" s="203"/>
      <c r="G788" s="203"/>
      <c r="H788" s="203"/>
      <c r="I788" s="203"/>
      <c r="J788" s="203"/>
      <c r="K788" s="203"/>
      <c r="L788" s="203"/>
      <c r="M788" s="203"/>
      <c r="N788" s="203"/>
      <c r="O788" s="203"/>
      <c r="P788" s="203"/>
      <c r="Q788" s="203"/>
      <c r="R788" s="203"/>
      <c r="S788" s="203"/>
      <c r="T788" s="203"/>
      <c r="U788" s="203"/>
      <c r="V788" s="203"/>
      <c r="W788" s="203"/>
      <c r="X788" s="203"/>
      <c r="Y788" s="203"/>
      <c r="Z788" s="203"/>
    </row>
    <row r="789" ht="12.75" customHeight="1">
      <c r="A789" s="203"/>
      <c r="B789" s="203"/>
      <c r="C789" s="203"/>
      <c r="D789" s="203"/>
      <c r="E789" s="203"/>
      <c r="F789" s="203"/>
      <c r="G789" s="203"/>
      <c r="H789" s="203"/>
      <c r="I789" s="203"/>
      <c r="J789" s="203"/>
      <c r="K789" s="203"/>
      <c r="L789" s="203"/>
      <c r="M789" s="203"/>
      <c r="N789" s="203"/>
      <c r="O789" s="203"/>
      <c r="P789" s="203"/>
      <c r="Q789" s="203"/>
      <c r="R789" s="203"/>
      <c r="S789" s="203"/>
      <c r="T789" s="203"/>
      <c r="U789" s="203"/>
      <c r="V789" s="203"/>
      <c r="W789" s="203"/>
      <c r="X789" s="203"/>
      <c r="Y789" s="203"/>
      <c r="Z789" s="203"/>
    </row>
    <row r="790" ht="12.75" customHeight="1">
      <c r="A790" s="203"/>
      <c r="B790" s="203"/>
      <c r="C790" s="203"/>
      <c r="D790" s="203"/>
      <c r="E790" s="203"/>
      <c r="F790" s="203"/>
      <c r="G790" s="203"/>
      <c r="H790" s="203"/>
      <c r="I790" s="203"/>
      <c r="J790" s="203"/>
      <c r="K790" s="203"/>
      <c r="L790" s="203"/>
      <c r="M790" s="203"/>
      <c r="N790" s="203"/>
      <c r="O790" s="203"/>
      <c r="P790" s="203"/>
      <c r="Q790" s="203"/>
      <c r="R790" s="203"/>
      <c r="S790" s="203"/>
      <c r="T790" s="203"/>
      <c r="U790" s="203"/>
      <c r="V790" s="203"/>
      <c r="W790" s="203"/>
      <c r="X790" s="203"/>
      <c r="Y790" s="203"/>
      <c r="Z790" s="203"/>
    </row>
    <row r="791" ht="12.75" customHeight="1">
      <c r="A791" s="203"/>
      <c r="B791" s="203"/>
      <c r="C791" s="203"/>
      <c r="D791" s="203"/>
      <c r="E791" s="203"/>
      <c r="F791" s="203"/>
      <c r="G791" s="203"/>
      <c r="H791" s="203"/>
      <c r="I791" s="203"/>
      <c r="J791" s="203"/>
      <c r="K791" s="203"/>
      <c r="L791" s="203"/>
      <c r="M791" s="203"/>
      <c r="N791" s="203"/>
      <c r="O791" s="203"/>
      <c r="P791" s="203"/>
      <c r="Q791" s="203"/>
      <c r="R791" s="203"/>
      <c r="S791" s="203"/>
      <c r="T791" s="203"/>
      <c r="U791" s="203"/>
      <c r="V791" s="203"/>
      <c r="W791" s="203"/>
      <c r="X791" s="203"/>
      <c r="Y791" s="203"/>
      <c r="Z791" s="203"/>
    </row>
    <row r="792" ht="12.75" customHeight="1">
      <c r="A792" s="203"/>
      <c r="B792" s="203"/>
      <c r="C792" s="203"/>
      <c r="D792" s="203"/>
      <c r="E792" s="203"/>
      <c r="F792" s="203"/>
      <c r="G792" s="203"/>
      <c r="H792" s="203"/>
      <c r="I792" s="203"/>
      <c r="J792" s="203"/>
      <c r="K792" s="203"/>
      <c r="L792" s="203"/>
      <c r="M792" s="203"/>
      <c r="N792" s="203"/>
      <c r="O792" s="203"/>
      <c r="P792" s="203"/>
      <c r="Q792" s="203"/>
      <c r="R792" s="203"/>
      <c r="S792" s="203"/>
      <c r="T792" s="203"/>
      <c r="U792" s="203"/>
      <c r="V792" s="203"/>
      <c r="W792" s="203"/>
      <c r="X792" s="203"/>
      <c r="Y792" s="203"/>
      <c r="Z792" s="203"/>
    </row>
    <row r="793" ht="12.75" customHeight="1">
      <c r="A793" s="203"/>
      <c r="B793" s="203"/>
      <c r="C793" s="203"/>
      <c r="D793" s="203"/>
      <c r="E793" s="203"/>
      <c r="F793" s="203"/>
      <c r="G793" s="203"/>
      <c r="H793" s="203"/>
      <c r="I793" s="203"/>
      <c r="J793" s="203"/>
      <c r="K793" s="203"/>
      <c r="L793" s="203"/>
      <c r="M793" s="203"/>
      <c r="N793" s="203"/>
      <c r="O793" s="203"/>
      <c r="P793" s="203"/>
      <c r="Q793" s="203"/>
      <c r="R793" s="203"/>
      <c r="S793" s="203"/>
      <c r="T793" s="203"/>
      <c r="U793" s="203"/>
      <c r="V793" s="203"/>
      <c r="W793" s="203"/>
      <c r="X793" s="203"/>
      <c r="Y793" s="203"/>
      <c r="Z793" s="203"/>
    </row>
    <row r="794" ht="12.75" customHeight="1">
      <c r="A794" s="203"/>
      <c r="B794" s="203"/>
      <c r="C794" s="203"/>
      <c r="D794" s="203"/>
      <c r="E794" s="203"/>
      <c r="F794" s="203"/>
      <c r="G794" s="203"/>
      <c r="H794" s="203"/>
      <c r="I794" s="203"/>
      <c r="J794" s="203"/>
      <c r="K794" s="203"/>
      <c r="L794" s="203"/>
      <c r="M794" s="203"/>
      <c r="N794" s="203"/>
      <c r="O794" s="203"/>
      <c r="P794" s="203"/>
      <c r="Q794" s="203"/>
      <c r="R794" s="203"/>
      <c r="S794" s="203"/>
      <c r="T794" s="203"/>
      <c r="U794" s="203"/>
      <c r="V794" s="203"/>
      <c r="W794" s="203"/>
      <c r="X794" s="203"/>
      <c r="Y794" s="203"/>
      <c r="Z794" s="203"/>
    </row>
    <row r="795" ht="12.75" customHeight="1">
      <c r="A795" s="203"/>
      <c r="B795" s="203"/>
      <c r="C795" s="203"/>
      <c r="D795" s="203"/>
      <c r="E795" s="203"/>
      <c r="F795" s="203"/>
      <c r="G795" s="203"/>
      <c r="H795" s="203"/>
      <c r="I795" s="203"/>
      <c r="J795" s="203"/>
      <c r="K795" s="203"/>
      <c r="L795" s="203"/>
      <c r="M795" s="203"/>
      <c r="N795" s="203"/>
      <c r="O795" s="203"/>
      <c r="P795" s="203"/>
      <c r="Q795" s="203"/>
      <c r="R795" s="203"/>
      <c r="S795" s="203"/>
      <c r="T795" s="203"/>
      <c r="U795" s="203"/>
      <c r="V795" s="203"/>
      <c r="W795" s="203"/>
      <c r="X795" s="203"/>
      <c r="Y795" s="203"/>
      <c r="Z795" s="203"/>
    </row>
    <row r="796" ht="12.75" customHeight="1">
      <c r="A796" s="203"/>
      <c r="B796" s="203"/>
      <c r="C796" s="203"/>
      <c r="D796" s="203"/>
      <c r="E796" s="203"/>
      <c r="F796" s="203"/>
      <c r="G796" s="203"/>
      <c r="H796" s="203"/>
      <c r="I796" s="203"/>
      <c r="J796" s="203"/>
      <c r="K796" s="203"/>
      <c r="L796" s="203"/>
      <c r="M796" s="203"/>
      <c r="N796" s="203"/>
      <c r="O796" s="203"/>
      <c r="P796" s="203"/>
      <c r="Q796" s="203"/>
      <c r="R796" s="203"/>
      <c r="S796" s="203"/>
      <c r="T796" s="203"/>
      <c r="U796" s="203"/>
      <c r="V796" s="203"/>
      <c r="W796" s="203"/>
      <c r="X796" s="203"/>
      <c r="Y796" s="203"/>
      <c r="Z796" s="203"/>
    </row>
    <row r="797" ht="12.75" customHeight="1">
      <c r="A797" s="203"/>
      <c r="B797" s="203"/>
      <c r="C797" s="203"/>
      <c r="D797" s="203"/>
      <c r="E797" s="203"/>
      <c r="F797" s="203"/>
      <c r="G797" s="203"/>
      <c r="H797" s="203"/>
      <c r="I797" s="203"/>
      <c r="J797" s="203"/>
      <c r="K797" s="203"/>
      <c r="L797" s="203"/>
      <c r="M797" s="203"/>
      <c r="N797" s="203"/>
      <c r="O797" s="203"/>
      <c r="P797" s="203"/>
      <c r="Q797" s="203"/>
      <c r="R797" s="203"/>
      <c r="S797" s="203"/>
      <c r="T797" s="203"/>
      <c r="U797" s="203"/>
      <c r="V797" s="203"/>
      <c r="W797" s="203"/>
      <c r="X797" s="203"/>
      <c r="Y797" s="203"/>
      <c r="Z797" s="203"/>
    </row>
    <row r="798" ht="12.75" customHeight="1">
      <c r="A798" s="203"/>
      <c r="B798" s="203"/>
      <c r="C798" s="203"/>
      <c r="D798" s="203"/>
      <c r="E798" s="203"/>
      <c r="F798" s="203"/>
      <c r="G798" s="203"/>
      <c r="H798" s="203"/>
      <c r="I798" s="203"/>
      <c r="J798" s="203"/>
      <c r="K798" s="203"/>
      <c r="L798" s="203"/>
      <c r="M798" s="203"/>
      <c r="N798" s="203"/>
      <c r="O798" s="203"/>
      <c r="P798" s="203"/>
      <c r="Q798" s="203"/>
      <c r="R798" s="203"/>
      <c r="S798" s="203"/>
      <c r="T798" s="203"/>
      <c r="U798" s="203"/>
      <c r="V798" s="203"/>
      <c r="W798" s="203"/>
      <c r="X798" s="203"/>
      <c r="Y798" s="203"/>
      <c r="Z798" s="203"/>
    </row>
    <row r="799" ht="12.75" customHeight="1">
      <c r="A799" s="203"/>
      <c r="B799" s="203"/>
      <c r="C799" s="203"/>
      <c r="D799" s="203"/>
      <c r="E799" s="203"/>
      <c r="F799" s="203"/>
      <c r="G799" s="203"/>
      <c r="H799" s="203"/>
      <c r="I799" s="203"/>
      <c r="J799" s="203"/>
      <c r="K799" s="203"/>
      <c r="L799" s="203"/>
      <c r="M799" s="203"/>
      <c r="N799" s="203"/>
      <c r="O799" s="203"/>
      <c r="P799" s="203"/>
      <c r="Q799" s="203"/>
      <c r="R799" s="203"/>
      <c r="S799" s="203"/>
      <c r="T799" s="203"/>
      <c r="U799" s="203"/>
      <c r="V799" s="203"/>
      <c r="W799" s="203"/>
      <c r="X799" s="203"/>
      <c r="Y799" s="203"/>
      <c r="Z799" s="203"/>
    </row>
    <row r="800" ht="12.75" customHeight="1">
      <c r="A800" s="203"/>
      <c r="B800" s="203"/>
      <c r="C800" s="203"/>
      <c r="D800" s="203"/>
      <c r="E800" s="203"/>
      <c r="F800" s="203"/>
      <c r="G800" s="203"/>
      <c r="H800" s="203"/>
      <c r="I800" s="203"/>
      <c r="J800" s="203"/>
      <c r="K800" s="203"/>
      <c r="L800" s="203"/>
      <c r="M800" s="203"/>
      <c r="N800" s="203"/>
      <c r="O800" s="203"/>
      <c r="P800" s="203"/>
      <c r="Q800" s="203"/>
      <c r="R800" s="203"/>
      <c r="S800" s="203"/>
      <c r="T800" s="203"/>
      <c r="U800" s="203"/>
      <c r="V800" s="203"/>
      <c r="W800" s="203"/>
      <c r="X800" s="203"/>
      <c r="Y800" s="203"/>
      <c r="Z800" s="203"/>
    </row>
    <row r="801" ht="12.75" customHeight="1">
      <c r="A801" s="203"/>
      <c r="B801" s="203"/>
      <c r="C801" s="203"/>
      <c r="D801" s="203"/>
      <c r="E801" s="203"/>
      <c r="F801" s="203"/>
      <c r="G801" s="203"/>
      <c r="H801" s="203"/>
      <c r="I801" s="203"/>
      <c r="J801" s="203"/>
      <c r="K801" s="203"/>
      <c r="L801" s="203"/>
      <c r="M801" s="203"/>
      <c r="N801" s="203"/>
      <c r="O801" s="203"/>
      <c r="P801" s="203"/>
      <c r="Q801" s="203"/>
      <c r="R801" s="203"/>
      <c r="S801" s="203"/>
      <c r="T801" s="203"/>
      <c r="U801" s="203"/>
      <c r="V801" s="203"/>
      <c r="W801" s="203"/>
      <c r="X801" s="203"/>
      <c r="Y801" s="203"/>
      <c r="Z801" s="203"/>
    </row>
    <row r="802" ht="12.75" customHeight="1">
      <c r="A802" s="203"/>
      <c r="B802" s="203"/>
      <c r="C802" s="203"/>
      <c r="D802" s="203"/>
      <c r="E802" s="203"/>
      <c r="F802" s="203"/>
      <c r="G802" s="203"/>
      <c r="H802" s="203"/>
      <c r="I802" s="203"/>
      <c r="J802" s="203"/>
      <c r="K802" s="203"/>
      <c r="L802" s="203"/>
      <c r="M802" s="203"/>
      <c r="N802" s="203"/>
      <c r="O802" s="203"/>
      <c r="P802" s="203"/>
      <c r="Q802" s="203"/>
      <c r="R802" s="203"/>
      <c r="S802" s="203"/>
      <c r="T802" s="203"/>
      <c r="U802" s="203"/>
      <c r="V802" s="203"/>
      <c r="W802" s="203"/>
      <c r="X802" s="203"/>
      <c r="Y802" s="203"/>
      <c r="Z802" s="203"/>
    </row>
    <row r="803" ht="12.75" customHeight="1">
      <c r="A803" s="203"/>
      <c r="B803" s="203"/>
      <c r="C803" s="203"/>
      <c r="D803" s="203"/>
      <c r="E803" s="203"/>
      <c r="F803" s="203"/>
      <c r="G803" s="203"/>
      <c r="H803" s="203"/>
      <c r="I803" s="203"/>
      <c r="J803" s="203"/>
      <c r="K803" s="203"/>
      <c r="L803" s="203"/>
      <c r="M803" s="203"/>
      <c r="N803" s="203"/>
      <c r="O803" s="203"/>
      <c r="P803" s="203"/>
      <c r="Q803" s="203"/>
      <c r="R803" s="203"/>
      <c r="S803" s="203"/>
      <c r="T803" s="203"/>
      <c r="U803" s="203"/>
      <c r="V803" s="203"/>
      <c r="W803" s="203"/>
      <c r="X803" s="203"/>
      <c r="Y803" s="203"/>
      <c r="Z803" s="203"/>
    </row>
    <row r="804" ht="12.75" customHeight="1">
      <c r="A804" s="203"/>
      <c r="B804" s="203"/>
      <c r="C804" s="203"/>
      <c r="D804" s="203"/>
      <c r="E804" s="203"/>
      <c r="F804" s="203"/>
      <c r="G804" s="203"/>
      <c r="H804" s="203"/>
      <c r="I804" s="203"/>
      <c r="J804" s="203"/>
      <c r="K804" s="203"/>
      <c r="L804" s="203"/>
      <c r="M804" s="203"/>
      <c r="N804" s="203"/>
      <c r="O804" s="203"/>
      <c r="P804" s="203"/>
      <c r="Q804" s="203"/>
      <c r="R804" s="203"/>
      <c r="S804" s="203"/>
      <c r="T804" s="203"/>
      <c r="U804" s="203"/>
      <c r="V804" s="203"/>
      <c r="W804" s="203"/>
      <c r="X804" s="203"/>
      <c r="Y804" s="203"/>
      <c r="Z804" s="203"/>
    </row>
    <row r="805" ht="12.75" customHeight="1">
      <c r="A805" s="203"/>
      <c r="B805" s="203"/>
      <c r="C805" s="203"/>
      <c r="D805" s="203"/>
      <c r="E805" s="203"/>
      <c r="F805" s="203"/>
      <c r="G805" s="203"/>
      <c r="H805" s="203"/>
      <c r="I805" s="203"/>
      <c r="J805" s="203"/>
      <c r="K805" s="203"/>
      <c r="L805" s="203"/>
      <c r="M805" s="203"/>
      <c r="N805" s="203"/>
      <c r="O805" s="203"/>
      <c r="P805" s="203"/>
      <c r="Q805" s="203"/>
      <c r="R805" s="203"/>
      <c r="S805" s="203"/>
      <c r="T805" s="203"/>
      <c r="U805" s="203"/>
      <c r="V805" s="203"/>
      <c r="W805" s="203"/>
      <c r="X805" s="203"/>
      <c r="Y805" s="203"/>
      <c r="Z805" s="203"/>
    </row>
    <row r="806" ht="12.75" customHeight="1">
      <c r="A806" s="203"/>
      <c r="B806" s="203"/>
      <c r="C806" s="203"/>
      <c r="D806" s="203"/>
      <c r="E806" s="203"/>
      <c r="F806" s="203"/>
      <c r="G806" s="203"/>
      <c r="H806" s="203"/>
      <c r="I806" s="203"/>
      <c r="J806" s="203"/>
      <c r="K806" s="203"/>
      <c r="L806" s="203"/>
      <c r="M806" s="203"/>
      <c r="N806" s="203"/>
      <c r="O806" s="203"/>
      <c r="P806" s="203"/>
      <c r="Q806" s="203"/>
      <c r="R806" s="203"/>
      <c r="S806" s="203"/>
      <c r="T806" s="203"/>
      <c r="U806" s="203"/>
      <c r="V806" s="203"/>
      <c r="W806" s="203"/>
      <c r="X806" s="203"/>
      <c r="Y806" s="203"/>
      <c r="Z806" s="203"/>
    </row>
    <row r="807" ht="12.75" customHeight="1">
      <c r="A807" s="203"/>
      <c r="B807" s="203"/>
      <c r="C807" s="203"/>
      <c r="D807" s="203"/>
      <c r="E807" s="203"/>
      <c r="F807" s="203"/>
      <c r="G807" s="203"/>
      <c r="H807" s="203"/>
      <c r="I807" s="203"/>
      <c r="J807" s="203"/>
      <c r="K807" s="203"/>
      <c r="L807" s="203"/>
      <c r="M807" s="203"/>
      <c r="N807" s="203"/>
      <c r="O807" s="203"/>
      <c r="P807" s="203"/>
      <c r="Q807" s="203"/>
      <c r="R807" s="203"/>
      <c r="S807" s="203"/>
      <c r="T807" s="203"/>
      <c r="U807" s="203"/>
      <c r="V807" s="203"/>
      <c r="W807" s="203"/>
      <c r="X807" s="203"/>
      <c r="Y807" s="203"/>
      <c r="Z807" s="203"/>
    </row>
    <row r="808" ht="12.75" customHeight="1">
      <c r="A808" s="203"/>
      <c r="B808" s="203"/>
      <c r="C808" s="203"/>
      <c r="D808" s="203"/>
      <c r="E808" s="203"/>
      <c r="F808" s="203"/>
      <c r="G808" s="203"/>
      <c r="H808" s="203"/>
      <c r="I808" s="203"/>
      <c r="J808" s="203"/>
      <c r="K808" s="203"/>
      <c r="L808" s="203"/>
      <c r="M808" s="203"/>
      <c r="N808" s="203"/>
      <c r="O808" s="203"/>
      <c r="P808" s="203"/>
      <c r="Q808" s="203"/>
      <c r="R808" s="203"/>
      <c r="S808" s="203"/>
      <c r="T808" s="203"/>
      <c r="U808" s="203"/>
      <c r="V808" s="203"/>
      <c r="W808" s="203"/>
      <c r="X808" s="203"/>
      <c r="Y808" s="203"/>
      <c r="Z808" s="203"/>
    </row>
    <row r="809" ht="12.75" customHeight="1">
      <c r="A809" s="203"/>
      <c r="B809" s="203"/>
      <c r="C809" s="203"/>
      <c r="D809" s="203"/>
      <c r="E809" s="203"/>
      <c r="F809" s="203"/>
      <c r="G809" s="203"/>
      <c r="H809" s="203"/>
      <c r="I809" s="203"/>
      <c r="J809" s="203"/>
      <c r="K809" s="203"/>
      <c r="L809" s="203"/>
      <c r="M809" s="203"/>
      <c r="N809" s="203"/>
      <c r="O809" s="203"/>
      <c r="P809" s="203"/>
      <c r="Q809" s="203"/>
      <c r="R809" s="203"/>
      <c r="S809" s="203"/>
      <c r="T809" s="203"/>
      <c r="U809" s="203"/>
      <c r="V809" s="203"/>
      <c r="W809" s="203"/>
      <c r="X809" s="203"/>
      <c r="Y809" s="203"/>
      <c r="Z809" s="203"/>
    </row>
    <row r="810" ht="12.75" customHeight="1">
      <c r="A810" s="203"/>
      <c r="B810" s="203"/>
      <c r="C810" s="203"/>
      <c r="D810" s="203"/>
      <c r="E810" s="203"/>
      <c r="F810" s="203"/>
      <c r="G810" s="203"/>
      <c r="H810" s="203"/>
      <c r="I810" s="203"/>
      <c r="J810" s="203"/>
      <c r="K810" s="203"/>
      <c r="L810" s="203"/>
      <c r="M810" s="203"/>
      <c r="N810" s="203"/>
      <c r="O810" s="203"/>
      <c r="P810" s="203"/>
      <c r="Q810" s="203"/>
      <c r="R810" s="203"/>
      <c r="S810" s="203"/>
      <c r="T810" s="203"/>
      <c r="U810" s="203"/>
      <c r="V810" s="203"/>
      <c r="W810" s="203"/>
      <c r="X810" s="203"/>
      <c r="Y810" s="203"/>
      <c r="Z810" s="203"/>
    </row>
    <row r="811" ht="12.75" customHeight="1">
      <c r="A811" s="203"/>
      <c r="B811" s="203"/>
      <c r="C811" s="203"/>
      <c r="D811" s="203"/>
      <c r="E811" s="203"/>
      <c r="F811" s="203"/>
      <c r="G811" s="203"/>
      <c r="H811" s="203"/>
      <c r="I811" s="203"/>
      <c r="J811" s="203"/>
      <c r="K811" s="203"/>
      <c r="L811" s="203"/>
      <c r="M811" s="203"/>
      <c r="N811" s="203"/>
      <c r="O811" s="203"/>
      <c r="P811" s="203"/>
      <c r="Q811" s="203"/>
      <c r="R811" s="203"/>
      <c r="S811" s="203"/>
      <c r="T811" s="203"/>
      <c r="U811" s="203"/>
      <c r="V811" s="203"/>
      <c r="W811" s="203"/>
      <c r="X811" s="203"/>
      <c r="Y811" s="203"/>
      <c r="Z811" s="203"/>
    </row>
    <row r="812" ht="12.75" customHeight="1">
      <c r="A812" s="203"/>
      <c r="B812" s="203"/>
      <c r="C812" s="203"/>
      <c r="D812" s="203"/>
      <c r="E812" s="203"/>
      <c r="F812" s="203"/>
      <c r="G812" s="203"/>
      <c r="H812" s="203"/>
      <c r="I812" s="203"/>
      <c r="J812" s="203"/>
      <c r="K812" s="203"/>
      <c r="L812" s="203"/>
      <c r="M812" s="203"/>
      <c r="N812" s="203"/>
      <c r="O812" s="203"/>
      <c r="P812" s="203"/>
      <c r="Q812" s="203"/>
      <c r="R812" s="203"/>
      <c r="S812" s="203"/>
      <c r="T812" s="203"/>
      <c r="U812" s="203"/>
      <c r="V812" s="203"/>
      <c r="W812" s="203"/>
      <c r="X812" s="203"/>
      <c r="Y812" s="203"/>
      <c r="Z812" s="203"/>
    </row>
    <row r="813" ht="12.75" customHeight="1">
      <c r="A813" s="203"/>
      <c r="B813" s="203"/>
      <c r="C813" s="203"/>
      <c r="D813" s="203"/>
      <c r="E813" s="203"/>
      <c r="F813" s="203"/>
      <c r="G813" s="203"/>
      <c r="H813" s="203"/>
      <c r="I813" s="203"/>
      <c r="J813" s="203"/>
      <c r="K813" s="203"/>
      <c r="L813" s="203"/>
      <c r="M813" s="203"/>
      <c r="N813" s="203"/>
      <c r="O813" s="203"/>
      <c r="P813" s="203"/>
      <c r="Q813" s="203"/>
      <c r="R813" s="203"/>
      <c r="S813" s="203"/>
      <c r="T813" s="203"/>
      <c r="U813" s="203"/>
      <c r="V813" s="203"/>
      <c r="W813" s="203"/>
      <c r="X813" s="203"/>
      <c r="Y813" s="203"/>
      <c r="Z813" s="203"/>
    </row>
    <row r="814" ht="12.75" customHeight="1">
      <c r="A814" s="203"/>
      <c r="B814" s="203"/>
      <c r="C814" s="203"/>
      <c r="D814" s="203"/>
      <c r="E814" s="203"/>
      <c r="F814" s="203"/>
      <c r="G814" s="203"/>
      <c r="H814" s="203"/>
      <c r="I814" s="203"/>
      <c r="J814" s="203"/>
      <c r="K814" s="203"/>
      <c r="L814" s="203"/>
      <c r="M814" s="203"/>
      <c r="N814" s="203"/>
      <c r="O814" s="203"/>
      <c r="P814" s="203"/>
      <c r="Q814" s="203"/>
      <c r="R814" s="203"/>
      <c r="S814" s="203"/>
      <c r="T814" s="203"/>
      <c r="U814" s="203"/>
      <c r="V814" s="203"/>
      <c r="W814" s="203"/>
      <c r="X814" s="203"/>
      <c r="Y814" s="203"/>
      <c r="Z814" s="203"/>
    </row>
    <row r="815" ht="12.75" customHeight="1">
      <c r="A815" s="203"/>
      <c r="B815" s="203"/>
      <c r="C815" s="203"/>
      <c r="D815" s="203"/>
      <c r="E815" s="203"/>
      <c r="F815" s="203"/>
      <c r="G815" s="203"/>
      <c r="H815" s="203"/>
      <c r="I815" s="203"/>
      <c r="J815" s="203"/>
      <c r="K815" s="203"/>
      <c r="L815" s="203"/>
      <c r="M815" s="203"/>
      <c r="N815" s="203"/>
      <c r="O815" s="203"/>
      <c r="P815" s="203"/>
      <c r="Q815" s="203"/>
      <c r="R815" s="203"/>
      <c r="S815" s="203"/>
      <c r="T815" s="203"/>
      <c r="U815" s="203"/>
      <c r="V815" s="203"/>
      <c r="W815" s="203"/>
      <c r="X815" s="203"/>
      <c r="Y815" s="203"/>
      <c r="Z815" s="203"/>
    </row>
    <row r="816" ht="12.75" customHeight="1">
      <c r="A816" s="203"/>
      <c r="B816" s="203"/>
      <c r="C816" s="203"/>
      <c r="D816" s="203"/>
      <c r="E816" s="203"/>
      <c r="F816" s="203"/>
      <c r="G816" s="203"/>
      <c r="H816" s="203"/>
      <c r="I816" s="203"/>
      <c r="J816" s="203"/>
      <c r="K816" s="203"/>
      <c r="L816" s="203"/>
      <c r="M816" s="203"/>
      <c r="N816" s="203"/>
      <c r="O816" s="203"/>
      <c r="P816" s="203"/>
      <c r="Q816" s="203"/>
      <c r="R816" s="203"/>
      <c r="S816" s="203"/>
      <c r="T816" s="203"/>
      <c r="U816" s="203"/>
      <c r="V816" s="203"/>
      <c r="W816" s="203"/>
      <c r="X816" s="203"/>
      <c r="Y816" s="203"/>
      <c r="Z816" s="203"/>
    </row>
    <row r="817" ht="12.75" customHeight="1">
      <c r="A817" s="203"/>
      <c r="B817" s="203"/>
      <c r="C817" s="203"/>
      <c r="D817" s="203"/>
      <c r="E817" s="203"/>
      <c r="F817" s="203"/>
      <c r="G817" s="203"/>
      <c r="H817" s="203"/>
      <c r="I817" s="203"/>
      <c r="J817" s="203"/>
      <c r="K817" s="203"/>
      <c r="L817" s="203"/>
      <c r="M817" s="203"/>
      <c r="N817" s="203"/>
      <c r="O817" s="203"/>
      <c r="P817" s="203"/>
      <c r="Q817" s="203"/>
      <c r="R817" s="203"/>
      <c r="S817" s="203"/>
      <c r="T817" s="203"/>
      <c r="U817" s="203"/>
      <c r="V817" s="203"/>
      <c r="W817" s="203"/>
      <c r="X817" s="203"/>
      <c r="Y817" s="203"/>
      <c r="Z817" s="203"/>
    </row>
    <row r="818" ht="12.75" customHeight="1">
      <c r="A818" s="203"/>
      <c r="B818" s="203"/>
      <c r="C818" s="203"/>
      <c r="D818" s="203"/>
      <c r="E818" s="203"/>
      <c r="F818" s="203"/>
      <c r="G818" s="203"/>
      <c r="H818" s="203"/>
      <c r="I818" s="203"/>
      <c r="J818" s="203"/>
      <c r="K818" s="203"/>
      <c r="L818" s="203"/>
      <c r="M818" s="203"/>
      <c r="N818" s="203"/>
      <c r="O818" s="203"/>
      <c r="P818" s="203"/>
      <c r="Q818" s="203"/>
      <c r="R818" s="203"/>
      <c r="S818" s="203"/>
      <c r="T818" s="203"/>
      <c r="U818" s="203"/>
      <c r="V818" s="203"/>
      <c r="W818" s="203"/>
      <c r="X818" s="203"/>
      <c r="Y818" s="203"/>
      <c r="Z818" s="203"/>
    </row>
    <row r="819" ht="12.75" customHeight="1">
      <c r="A819" s="203"/>
      <c r="B819" s="203"/>
      <c r="C819" s="203"/>
      <c r="D819" s="203"/>
      <c r="E819" s="203"/>
      <c r="F819" s="203"/>
      <c r="G819" s="203"/>
      <c r="H819" s="203"/>
      <c r="I819" s="203"/>
      <c r="J819" s="203"/>
      <c r="K819" s="203"/>
      <c r="L819" s="203"/>
      <c r="M819" s="203"/>
      <c r="N819" s="203"/>
      <c r="O819" s="203"/>
      <c r="P819" s="203"/>
      <c r="Q819" s="203"/>
      <c r="R819" s="203"/>
      <c r="S819" s="203"/>
      <c r="T819" s="203"/>
      <c r="U819" s="203"/>
      <c r="V819" s="203"/>
      <c r="W819" s="203"/>
      <c r="X819" s="203"/>
      <c r="Y819" s="203"/>
      <c r="Z819" s="203"/>
    </row>
    <row r="820" ht="12.75" customHeight="1">
      <c r="A820" s="203"/>
      <c r="B820" s="203"/>
      <c r="C820" s="203"/>
      <c r="D820" s="203"/>
      <c r="E820" s="203"/>
      <c r="F820" s="203"/>
      <c r="G820" s="203"/>
      <c r="H820" s="203"/>
      <c r="I820" s="203"/>
      <c r="J820" s="203"/>
      <c r="K820" s="203"/>
      <c r="L820" s="203"/>
      <c r="M820" s="203"/>
      <c r="N820" s="203"/>
      <c r="O820" s="203"/>
      <c r="P820" s="203"/>
      <c r="Q820" s="203"/>
      <c r="R820" s="203"/>
      <c r="S820" s="203"/>
      <c r="T820" s="203"/>
      <c r="U820" s="203"/>
      <c r="V820" s="203"/>
      <c r="W820" s="203"/>
      <c r="X820" s="203"/>
      <c r="Y820" s="203"/>
      <c r="Z820" s="203"/>
    </row>
    <row r="821" ht="12.75" customHeight="1">
      <c r="A821" s="203"/>
      <c r="B821" s="203"/>
      <c r="C821" s="203"/>
      <c r="D821" s="203"/>
      <c r="E821" s="203"/>
      <c r="F821" s="203"/>
      <c r="G821" s="203"/>
      <c r="H821" s="203"/>
      <c r="I821" s="203"/>
      <c r="J821" s="203"/>
      <c r="K821" s="203"/>
      <c r="L821" s="203"/>
      <c r="M821" s="203"/>
      <c r="N821" s="203"/>
      <c r="O821" s="203"/>
      <c r="P821" s="203"/>
      <c r="Q821" s="203"/>
      <c r="R821" s="203"/>
      <c r="S821" s="203"/>
      <c r="T821" s="203"/>
      <c r="U821" s="203"/>
      <c r="V821" s="203"/>
      <c r="W821" s="203"/>
      <c r="X821" s="203"/>
      <c r="Y821" s="203"/>
      <c r="Z821" s="203"/>
    </row>
    <row r="822" ht="12.75" customHeight="1">
      <c r="A822" s="203"/>
      <c r="B822" s="203"/>
      <c r="C822" s="203"/>
      <c r="D822" s="203"/>
      <c r="E822" s="203"/>
      <c r="F822" s="203"/>
      <c r="G822" s="203"/>
      <c r="H822" s="203"/>
      <c r="I822" s="203"/>
      <c r="J822" s="203"/>
      <c r="K822" s="203"/>
      <c r="L822" s="203"/>
      <c r="M822" s="203"/>
      <c r="N822" s="203"/>
      <c r="O822" s="203"/>
      <c r="P822" s="203"/>
      <c r="Q822" s="203"/>
      <c r="R822" s="203"/>
      <c r="S822" s="203"/>
      <c r="T822" s="203"/>
      <c r="U822" s="203"/>
      <c r="V822" s="203"/>
      <c r="W822" s="203"/>
      <c r="X822" s="203"/>
      <c r="Y822" s="203"/>
      <c r="Z822" s="203"/>
    </row>
    <row r="823" ht="12.75" customHeight="1">
      <c r="A823" s="203"/>
      <c r="B823" s="203"/>
      <c r="C823" s="203"/>
      <c r="D823" s="203"/>
      <c r="E823" s="203"/>
      <c r="F823" s="203"/>
      <c r="G823" s="203"/>
      <c r="H823" s="203"/>
      <c r="I823" s="203"/>
      <c r="J823" s="203"/>
      <c r="K823" s="203"/>
      <c r="L823" s="203"/>
      <c r="M823" s="203"/>
      <c r="N823" s="203"/>
      <c r="O823" s="203"/>
      <c r="P823" s="203"/>
      <c r="Q823" s="203"/>
      <c r="R823" s="203"/>
      <c r="S823" s="203"/>
      <c r="T823" s="203"/>
      <c r="U823" s="203"/>
      <c r="V823" s="203"/>
      <c r="W823" s="203"/>
      <c r="X823" s="203"/>
      <c r="Y823" s="203"/>
      <c r="Z823" s="203"/>
    </row>
    <row r="824" ht="12.75" customHeight="1">
      <c r="A824" s="203"/>
      <c r="B824" s="203"/>
      <c r="C824" s="203"/>
      <c r="D824" s="203"/>
      <c r="E824" s="203"/>
      <c r="F824" s="203"/>
      <c r="G824" s="203"/>
      <c r="H824" s="203"/>
      <c r="I824" s="203"/>
      <c r="J824" s="203"/>
      <c r="K824" s="203"/>
      <c r="L824" s="203"/>
      <c r="M824" s="203"/>
      <c r="N824" s="203"/>
      <c r="O824" s="203"/>
      <c r="P824" s="203"/>
      <c r="Q824" s="203"/>
      <c r="R824" s="203"/>
      <c r="S824" s="203"/>
      <c r="T824" s="203"/>
      <c r="U824" s="203"/>
      <c r="V824" s="203"/>
      <c r="W824" s="203"/>
      <c r="X824" s="203"/>
      <c r="Y824" s="203"/>
      <c r="Z824" s="203"/>
    </row>
    <row r="825" ht="12.75" customHeight="1">
      <c r="A825" s="203"/>
      <c r="B825" s="203"/>
      <c r="C825" s="203"/>
      <c r="D825" s="203"/>
      <c r="E825" s="203"/>
      <c r="F825" s="203"/>
      <c r="G825" s="203"/>
      <c r="H825" s="203"/>
      <c r="I825" s="203"/>
      <c r="J825" s="203"/>
      <c r="K825" s="203"/>
      <c r="L825" s="203"/>
      <c r="M825" s="203"/>
      <c r="N825" s="203"/>
      <c r="O825" s="203"/>
      <c r="P825" s="203"/>
      <c r="Q825" s="203"/>
      <c r="R825" s="203"/>
      <c r="S825" s="203"/>
      <c r="T825" s="203"/>
      <c r="U825" s="203"/>
      <c r="V825" s="203"/>
      <c r="W825" s="203"/>
      <c r="X825" s="203"/>
      <c r="Y825" s="203"/>
      <c r="Z825" s="203"/>
    </row>
    <row r="826" ht="12.75" customHeight="1">
      <c r="A826" s="203"/>
      <c r="B826" s="203"/>
      <c r="C826" s="203"/>
      <c r="D826" s="203"/>
      <c r="E826" s="203"/>
      <c r="F826" s="203"/>
      <c r="G826" s="203"/>
      <c r="H826" s="203"/>
      <c r="I826" s="203"/>
      <c r="J826" s="203"/>
      <c r="K826" s="203"/>
      <c r="L826" s="203"/>
      <c r="M826" s="203"/>
      <c r="N826" s="203"/>
      <c r="O826" s="203"/>
      <c r="P826" s="203"/>
      <c r="Q826" s="203"/>
      <c r="R826" s="203"/>
      <c r="S826" s="203"/>
      <c r="T826" s="203"/>
      <c r="U826" s="203"/>
      <c r="V826" s="203"/>
      <c r="W826" s="203"/>
      <c r="X826" s="203"/>
      <c r="Y826" s="203"/>
      <c r="Z826" s="203"/>
    </row>
    <row r="827" ht="12.75" customHeight="1">
      <c r="A827" s="203"/>
      <c r="B827" s="203"/>
      <c r="C827" s="203"/>
      <c r="D827" s="203"/>
      <c r="E827" s="203"/>
      <c r="F827" s="203"/>
      <c r="G827" s="203"/>
      <c r="H827" s="203"/>
      <c r="I827" s="203"/>
      <c r="J827" s="203"/>
      <c r="K827" s="203"/>
      <c r="L827" s="203"/>
      <c r="M827" s="203"/>
      <c r="N827" s="203"/>
      <c r="O827" s="203"/>
      <c r="P827" s="203"/>
      <c r="Q827" s="203"/>
      <c r="R827" s="203"/>
      <c r="S827" s="203"/>
      <c r="T827" s="203"/>
      <c r="U827" s="203"/>
      <c r="V827" s="203"/>
      <c r="W827" s="203"/>
      <c r="X827" s="203"/>
      <c r="Y827" s="203"/>
      <c r="Z827" s="203"/>
    </row>
    <row r="828" ht="12.75" customHeight="1">
      <c r="A828" s="203"/>
      <c r="B828" s="203"/>
      <c r="C828" s="203"/>
      <c r="D828" s="203"/>
      <c r="E828" s="203"/>
      <c r="F828" s="203"/>
      <c r="G828" s="203"/>
      <c r="H828" s="203"/>
      <c r="I828" s="203"/>
      <c r="J828" s="203"/>
      <c r="K828" s="203"/>
      <c r="L828" s="203"/>
      <c r="M828" s="203"/>
      <c r="N828" s="203"/>
      <c r="O828" s="203"/>
      <c r="P828" s="203"/>
      <c r="Q828" s="203"/>
      <c r="R828" s="203"/>
      <c r="S828" s="203"/>
      <c r="T828" s="203"/>
      <c r="U828" s="203"/>
      <c r="V828" s="203"/>
      <c r="W828" s="203"/>
      <c r="X828" s="203"/>
      <c r="Y828" s="203"/>
      <c r="Z828" s="203"/>
    </row>
    <row r="829" ht="12.75" customHeight="1">
      <c r="A829" s="203"/>
      <c r="B829" s="203"/>
      <c r="C829" s="203"/>
      <c r="D829" s="203"/>
      <c r="E829" s="203"/>
      <c r="F829" s="203"/>
      <c r="G829" s="203"/>
      <c r="H829" s="203"/>
      <c r="I829" s="203"/>
      <c r="J829" s="203"/>
      <c r="K829" s="203"/>
      <c r="L829" s="203"/>
      <c r="M829" s="203"/>
      <c r="N829" s="203"/>
      <c r="O829" s="203"/>
      <c r="P829" s="203"/>
      <c r="Q829" s="203"/>
      <c r="R829" s="203"/>
      <c r="S829" s="203"/>
      <c r="T829" s="203"/>
      <c r="U829" s="203"/>
      <c r="V829" s="203"/>
      <c r="W829" s="203"/>
      <c r="X829" s="203"/>
      <c r="Y829" s="203"/>
      <c r="Z829" s="203"/>
    </row>
    <row r="830" ht="12.75" customHeight="1">
      <c r="A830" s="203"/>
      <c r="B830" s="203"/>
      <c r="C830" s="203"/>
      <c r="D830" s="203"/>
      <c r="E830" s="203"/>
      <c r="F830" s="203"/>
      <c r="G830" s="203"/>
      <c r="H830" s="203"/>
      <c r="I830" s="203"/>
      <c r="J830" s="203"/>
      <c r="K830" s="203"/>
      <c r="L830" s="203"/>
      <c r="M830" s="203"/>
      <c r="N830" s="203"/>
      <c r="O830" s="203"/>
      <c r="P830" s="203"/>
      <c r="Q830" s="203"/>
      <c r="R830" s="203"/>
      <c r="S830" s="203"/>
      <c r="T830" s="203"/>
      <c r="U830" s="203"/>
      <c r="V830" s="203"/>
      <c r="W830" s="203"/>
      <c r="X830" s="203"/>
      <c r="Y830" s="203"/>
      <c r="Z830" s="203"/>
    </row>
    <row r="831" ht="12.75" customHeight="1">
      <c r="A831" s="203"/>
      <c r="B831" s="203"/>
      <c r="C831" s="203"/>
      <c r="D831" s="203"/>
      <c r="E831" s="203"/>
      <c r="F831" s="203"/>
      <c r="G831" s="203"/>
      <c r="H831" s="203"/>
      <c r="I831" s="203"/>
      <c r="J831" s="203"/>
      <c r="K831" s="203"/>
      <c r="L831" s="203"/>
      <c r="M831" s="203"/>
      <c r="N831" s="203"/>
      <c r="O831" s="203"/>
      <c r="P831" s="203"/>
      <c r="Q831" s="203"/>
      <c r="R831" s="203"/>
      <c r="S831" s="203"/>
      <c r="T831" s="203"/>
      <c r="U831" s="203"/>
      <c r="V831" s="203"/>
      <c r="W831" s="203"/>
      <c r="X831" s="203"/>
      <c r="Y831" s="203"/>
      <c r="Z831" s="203"/>
    </row>
    <row r="832" ht="12.75" customHeight="1">
      <c r="A832" s="203"/>
      <c r="B832" s="203"/>
      <c r="C832" s="203"/>
      <c r="D832" s="203"/>
      <c r="E832" s="203"/>
      <c r="F832" s="203"/>
      <c r="G832" s="203"/>
      <c r="H832" s="203"/>
      <c r="I832" s="203"/>
      <c r="J832" s="203"/>
      <c r="K832" s="203"/>
      <c r="L832" s="203"/>
      <c r="M832" s="203"/>
      <c r="N832" s="203"/>
      <c r="O832" s="203"/>
      <c r="P832" s="203"/>
      <c r="Q832" s="203"/>
      <c r="R832" s="203"/>
      <c r="S832" s="203"/>
      <c r="T832" s="203"/>
      <c r="U832" s="203"/>
      <c r="V832" s="203"/>
      <c r="W832" s="203"/>
      <c r="X832" s="203"/>
      <c r="Y832" s="203"/>
      <c r="Z832" s="203"/>
    </row>
    <row r="833" ht="12.75" customHeight="1">
      <c r="A833" s="203"/>
      <c r="B833" s="203"/>
      <c r="C833" s="203"/>
      <c r="D833" s="203"/>
      <c r="E833" s="203"/>
      <c r="F833" s="203"/>
      <c r="G833" s="203"/>
      <c r="H833" s="203"/>
      <c r="I833" s="203"/>
      <c r="J833" s="203"/>
      <c r="K833" s="203"/>
      <c r="L833" s="203"/>
      <c r="M833" s="203"/>
      <c r="N833" s="203"/>
      <c r="O833" s="203"/>
      <c r="P833" s="203"/>
      <c r="Q833" s="203"/>
      <c r="R833" s="203"/>
      <c r="S833" s="203"/>
      <c r="T833" s="203"/>
      <c r="U833" s="203"/>
      <c r="V833" s="203"/>
      <c r="W833" s="203"/>
      <c r="X833" s="203"/>
      <c r="Y833" s="203"/>
      <c r="Z833" s="203"/>
    </row>
    <row r="834" ht="12.75" customHeight="1">
      <c r="A834" s="203"/>
      <c r="B834" s="203"/>
      <c r="C834" s="203"/>
      <c r="D834" s="203"/>
      <c r="E834" s="203"/>
      <c r="F834" s="203"/>
      <c r="G834" s="203"/>
      <c r="H834" s="203"/>
      <c r="I834" s="203"/>
      <c r="J834" s="203"/>
      <c r="K834" s="203"/>
      <c r="L834" s="203"/>
      <c r="M834" s="203"/>
      <c r="N834" s="203"/>
      <c r="O834" s="203"/>
      <c r="P834" s="203"/>
      <c r="Q834" s="203"/>
      <c r="R834" s="203"/>
      <c r="S834" s="203"/>
      <c r="T834" s="203"/>
      <c r="U834" s="203"/>
      <c r="V834" s="203"/>
      <c r="W834" s="203"/>
      <c r="X834" s="203"/>
      <c r="Y834" s="203"/>
      <c r="Z834" s="203"/>
    </row>
    <row r="835" ht="12.75" customHeight="1">
      <c r="A835" s="203"/>
      <c r="B835" s="203"/>
      <c r="C835" s="203"/>
      <c r="D835" s="203"/>
      <c r="E835" s="203"/>
      <c r="F835" s="203"/>
      <c r="G835" s="203"/>
      <c r="H835" s="203"/>
      <c r="I835" s="203"/>
      <c r="J835" s="203"/>
      <c r="K835" s="203"/>
      <c r="L835" s="203"/>
      <c r="M835" s="203"/>
      <c r="N835" s="203"/>
      <c r="O835" s="203"/>
      <c r="P835" s="203"/>
      <c r="Q835" s="203"/>
      <c r="R835" s="203"/>
      <c r="S835" s="203"/>
      <c r="T835" s="203"/>
      <c r="U835" s="203"/>
      <c r="V835" s="203"/>
      <c r="W835" s="203"/>
      <c r="X835" s="203"/>
      <c r="Y835" s="203"/>
      <c r="Z835" s="203"/>
    </row>
    <row r="836" ht="12.75" customHeight="1">
      <c r="A836" s="203"/>
      <c r="B836" s="203"/>
      <c r="C836" s="203"/>
      <c r="D836" s="203"/>
      <c r="E836" s="203"/>
      <c r="F836" s="203"/>
      <c r="G836" s="203"/>
      <c r="H836" s="203"/>
      <c r="I836" s="203"/>
      <c r="J836" s="203"/>
      <c r="K836" s="203"/>
      <c r="L836" s="203"/>
      <c r="M836" s="203"/>
      <c r="N836" s="203"/>
      <c r="O836" s="203"/>
      <c r="P836" s="203"/>
      <c r="Q836" s="203"/>
      <c r="R836" s="203"/>
      <c r="S836" s="203"/>
      <c r="T836" s="203"/>
      <c r="U836" s="203"/>
      <c r="V836" s="203"/>
      <c r="W836" s="203"/>
      <c r="X836" s="203"/>
      <c r="Y836" s="203"/>
      <c r="Z836" s="203"/>
    </row>
    <row r="837" ht="12.75" customHeight="1">
      <c r="A837" s="203"/>
      <c r="B837" s="203"/>
      <c r="C837" s="203"/>
      <c r="D837" s="203"/>
      <c r="E837" s="203"/>
      <c r="F837" s="203"/>
      <c r="G837" s="203"/>
      <c r="H837" s="203"/>
      <c r="I837" s="203"/>
      <c r="J837" s="203"/>
      <c r="K837" s="203"/>
      <c r="L837" s="203"/>
      <c r="M837" s="203"/>
      <c r="N837" s="203"/>
      <c r="O837" s="203"/>
      <c r="P837" s="203"/>
      <c r="Q837" s="203"/>
      <c r="R837" s="203"/>
      <c r="S837" s="203"/>
      <c r="T837" s="203"/>
      <c r="U837" s="203"/>
      <c r="V837" s="203"/>
      <c r="W837" s="203"/>
      <c r="X837" s="203"/>
      <c r="Y837" s="203"/>
      <c r="Z837" s="203"/>
    </row>
    <row r="838" ht="12.75" customHeight="1">
      <c r="A838" s="203"/>
      <c r="B838" s="203"/>
      <c r="C838" s="203"/>
      <c r="D838" s="203"/>
      <c r="E838" s="203"/>
      <c r="F838" s="203"/>
      <c r="G838" s="203"/>
      <c r="H838" s="203"/>
      <c r="I838" s="203"/>
      <c r="J838" s="203"/>
      <c r="K838" s="203"/>
      <c r="L838" s="203"/>
      <c r="M838" s="203"/>
      <c r="N838" s="203"/>
      <c r="O838" s="203"/>
      <c r="P838" s="203"/>
      <c r="Q838" s="203"/>
      <c r="R838" s="203"/>
      <c r="S838" s="203"/>
      <c r="T838" s="203"/>
      <c r="U838" s="203"/>
      <c r="V838" s="203"/>
      <c r="W838" s="203"/>
      <c r="X838" s="203"/>
      <c r="Y838" s="203"/>
      <c r="Z838" s="203"/>
    </row>
    <row r="839" ht="12.75" customHeight="1">
      <c r="A839" s="203"/>
      <c r="B839" s="203"/>
      <c r="C839" s="203"/>
      <c r="D839" s="203"/>
      <c r="E839" s="203"/>
      <c r="F839" s="203"/>
      <c r="G839" s="203"/>
      <c r="H839" s="203"/>
      <c r="I839" s="203"/>
      <c r="J839" s="203"/>
      <c r="K839" s="203"/>
      <c r="L839" s="203"/>
      <c r="M839" s="203"/>
      <c r="N839" s="203"/>
      <c r="O839" s="203"/>
      <c r="P839" s="203"/>
      <c r="Q839" s="203"/>
      <c r="R839" s="203"/>
      <c r="S839" s="203"/>
      <c r="T839" s="203"/>
      <c r="U839" s="203"/>
      <c r="V839" s="203"/>
      <c r="W839" s="203"/>
      <c r="X839" s="203"/>
      <c r="Y839" s="203"/>
      <c r="Z839" s="203"/>
    </row>
    <row r="840" ht="12.75" customHeight="1">
      <c r="A840" s="203"/>
      <c r="B840" s="203"/>
      <c r="C840" s="203"/>
      <c r="D840" s="203"/>
      <c r="E840" s="203"/>
      <c r="F840" s="203"/>
      <c r="G840" s="203"/>
      <c r="H840" s="203"/>
      <c r="I840" s="203"/>
      <c r="J840" s="203"/>
      <c r="K840" s="203"/>
      <c r="L840" s="203"/>
      <c r="M840" s="203"/>
      <c r="N840" s="203"/>
      <c r="O840" s="203"/>
      <c r="P840" s="203"/>
      <c r="Q840" s="203"/>
      <c r="R840" s="203"/>
      <c r="S840" s="203"/>
      <c r="T840" s="203"/>
      <c r="U840" s="203"/>
      <c r="V840" s="203"/>
      <c r="W840" s="203"/>
      <c r="X840" s="203"/>
      <c r="Y840" s="203"/>
      <c r="Z840" s="203"/>
    </row>
    <row r="841" ht="12.75" customHeight="1">
      <c r="A841" s="203"/>
      <c r="B841" s="203"/>
      <c r="C841" s="203"/>
      <c r="D841" s="203"/>
      <c r="E841" s="203"/>
      <c r="F841" s="203"/>
      <c r="G841" s="203"/>
      <c r="H841" s="203"/>
      <c r="I841" s="203"/>
      <c r="J841" s="203"/>
      <c r="K841" s="203"/>
      <c r="L841" s="203"/>
      <c r="M841" s="203"/>
      <c r="N841" s="203"/>
      <c r="O841" s="203"/>
      <c r="P841" s="203"/>
      <c r="Q841" s="203"/>
      <c r="R841" s="203"/>
      <c r="S841" s="203"/>
      <c r="T841" s="203"/>
      <c r="U841" s="203"/>
      <c r="V841" s="203"/>
      <c r="W841" s="203"/>
      <c r="X841" s="203"/>
      <c r="Y841" s="203"/>
      <c r="Z841" s="203"/>
    </row>
    <row r="842" ht="12.75" customHeight="1">
      <c r="A842" s="203"/>
      <c r="B842" s="203"/>
      <c r="C842" s="203"/>
      <c r="D842" s="203"/>
      <c r="E842" s="203"/>
      <c r="F842" s="203"/>
      <c r="G842" s="203"/>
      <c r="H842" s="203"/>
      <c r="I842" s="203"/>
      <c r="J842" s="203"/>
      <c r="K842" s="203"/>
      <c r="L842" s="203"/>
      <c r="M842" s="203"/>
      <c r="N842" s="203"/>
      <c r="O842" s="203"/>
      <c r="P842" s="203"/>
      <c r="Q842" s="203"/>
      <c r="R842" s="203"/>
      <c r="S842" s="203"/>
      <c r="T842" s="203"/>
      <c r="U842" s="203"/>
      <c r="V842" s="203"/>
      <c r="W842" s="203"/>
      <c r="X842" s="203"/>
      <c r="Y842" s="203"/>
      <c r="Z842" s="203"/>
    </row>
    <row r="843" ht="12.75" customHeight="1">
      <c r="A843" s="203"/>
      <c r="B843" s="203"/>
      <c r="C843" s="203"/>
      <c r="D843" s="203"/>
      <c r="E843" s="203"/>
      <c r="F843" s="203"/>
      <c r="G843" s="203"/>
      <c r="H843" s="203"/>
      <c r="I843" s="203"/>
      <c r="J843" s="203"/>
      <c r="K843" s="203"/>
      <c r="L843" s="203"/>
      <c r="M843" s="203"/>
      <c r="N843" s="203"/>
      <c r="O843" s="203"/>
      <c r="P843" s="203"/>
      <c r="Q843" s="203"/>
      <c r="R843" s="203"/>
      <c r="S843" s="203"/>
      <c r="T843" s="203"/>
      <c r="U843" s="203"/>
      <c r="V843" s="203"/>
      <c r="W843" s="203"/>
      <c r="X843" s="203"/>
      <c r="Y843" s="203"/>
      <c r="Z843" s="203"/>
    </row>
    <row r="844" ht="12.75" customHeight="1">
      <c r="A844" s="203"/>
      <c r="B844" s="203"/>
      <c r="C844" s="203"/>
      <c r="D844" s="203"/>
      <c r="E844" s="203"/>
      <c r="F844" s="203"/>
      <c r="G844" s="203"/>
      <c r="H844" s="203"/>
      <c r="I844" s="203"/>
      <c r="J844" s="203"/>
      <c r="K844" s="203"/>
      <c r="L844" s="203"/>
      <c r="M844" s="203"/>
      <c r="N844" s="203"/>
      <c r="O844" s="203"/>
      <c r="P844" s="203"/>
      <c r="Q844" s="203"/>
      <c r="R844" s="203"/>
      <c r="S844" s="203"/>
      <c r="T844" s="203"/>
      <c r="U844" s="203"/>
      <c r="V844" s="203"/>
      <c r="W844" s="203"/>
      <c r="X844" s="203"/>
      <c r="Y844" s="203"/>
      <c r="Z844" s="203"/>
    </row>
    <row r="845" ht="12.75" customHeight="1">
      <c r="A845" s="203"/>
      <c r="B845" s="203"/>
      <c r="C845" s="203"/>
      <c r="D845" s="203"/>
      <c r="E845" s="203"/>
      <c r="F845" s="203"/>
      <c r="G845" s="203"/>
      <c r="H845" s="203"/>
      <c r="I845" s="203"/>
      <c r="J845" s="203"/>
      <c r="K845" s="203"/>
      <c r="L845" s="203"/>
      <c r="M845" s="203"/>
      <c r="N845" s="203"/>
      <c r="O845" s="203"/>
      <c r="P845" s="203"/>
      <c r="Q845" s="203"/>
      <c r="R845" s="203"/>
      <c r="S845" s="203"/>
      <c r="T845" s="203"/>
      <c r="U845" s="203"/>
      <c r="V845" s="203"/>
      <c r="W845" s="203"/>
      <c r="X845" s="203"/>
      <c r="Y845" s="203"/>
      <c r="Z845" s="203"/>
    </row>
    <row r="846" ht="12.75" customHeight="1">
      <c r="A846" s="203"/>
      <c r="B846" s="203"/>
      <c r="C846" s="203"/>
      <c r="D846" s="203"/>
      <c r="E846" s="203"/>
      <c r="F846" s="203"/>
      <c r="G846" s="203"/>
      <c r="H846" s="203"/>
      <c r="I846" s="203"/>
      <c r="J846" s="203"/>
      <c r="K846" s="203"/>
      <c r="L846" s="203"/>
      <c r="M846" s="203"/>
      <c r="N846" s="203"/>
      <c r="O846" s="203"/>
      <c r="P846" s="203"/>
      <c r="Q846" s="203"/>
      <c r="R846" s="203"/>
      <c r="S846" s="203"/>
      <c r="T846" s="203"/>
      <c r="U846" s="203"/>
      <c r="V846" s="203"/>
      <c r="W846" s="203"/>
      <c r="X846" s="203"/>
      <c r="Y846" s="203"/>
      <c r="Z846" s="203"/>
    </row>
    <row r="847" ht="12.75" customHeight="1">
      <c r="A847" s="203"/>
      <c r="B847" s="203"/>
      <c r="C847" s="203"/>
      <c r="D847" s="203"/>
      <c r="E847" s="203"/>
      <c r="F847" s="203"/>
      <c r="G847" s="203"/>
      <c r="H847" s="203"/>
      <c r="I847" s="203"/>
      <c r="J847" s="203"/>
      <c r="K847" s="203"/>
      <c r="L847" s="203"/>
      <c r="M847" s="203"/>
      <c r="N847" s="203"/>
      <c r="O847" s="203"/>
      <c r="P847" s="203"/>
      <c r="Q847" s="203"/>
      <c r="R847" s="203"/>
      <c r="S847" s="203"/>
      <c r="T847" s="203"/>
      <c r="U847" s="203"/>
      <c r="V847" s="203"/>
      <c r="W847" s="203"/>
      <c r="X847" s="203"/>
      <c r="Y847" s="203"/>
      <c r="Z847" s="203"/>
    </row>
    <row r="848" ht="12.75" customHeight="1">
      <c r="A848" s="203"/>
      <c r="B848" s="203"/>
      <c r="C848" s="203"/>
      <c r="D848" s="203"/>
      <c r="E848" s="203"/>
      <c r="F848" s="203"/>
      <c r="G848" s="203"/>
      <c r="H848" s="203"/>
      <c r="I848" s="203"/>
      <c r="J848" s="203"/>
      <c r="K848" s="203"/>
      <c r="L848" s="203"/>
      <c r="M848" s="203"/>
      <c r="N848" s="203"/>
      <c r="O848" s="203"/>
      <c r="P848" s="203"/>
      <c r="Q848" s="203"/>
      <c r="R848" s="203"/>
      <c r="S848" s="203"/>
      <c r="T848" s="203"/>
      <c r="U848" s="203"/>
      <c r="V848" s="203"/>
      <c r="W848" s="203"/>
      <c r="X848" s="203"/>
      <c r="Y848" s="203"/>
      <c r="Z848" s="203"/>
    </row>
    <row r="849" ht="12.75" customHeight="1">
      <c r="A849" s="203"/>
      <c r="B849" s="203"/>
      <c r="C849" s="203"/>
      <c r="D849" s="203"/>
      <c r="E849" s="203"/>
      <c r="F849" s="203"/>
      <c r="G849" s="203"/>
      <c r="H849" s="203"/>
      <c r="I849" s="203"/>
      <c r="J849" s="203"/>
      <c r="K849" s="203"/>
      <c r="L849" s="203"/>
      <c r="M849" s="203"/>
      <c r="N849" s="203"/>
      <c r="O849" s="203"/>
      <c r="P849" s="203"/>
      <c r="Q849" s="203"/>
      <c r="R849" s="203"/>
      <c r="S849" s="203"/>
      <c r="T849" s="203"/>
      <c r="U849" s="203"/>
      <c r="V849" s="203"/>
      <c r="W849" s="203"/>
      <c r="X849" s="203"/>
      <c r="Y849" s="203"/>
      <c r="Z849" s="203"/>
    </row>
    <row r="850" ht="12.75" customHeight="1">
      <c r="A850" s="203"/>
      <c r="B850" s="203"/>
      <c r="C850" s="203"/>
      <c r="D850" s="203"/>
      <c r="E850" s="203"/>
      <c r="F850" s="203"/>
      <c r="G850" s="203"/>
      <c r="H850" s="203"/>
      <c r="I850" s="203"/>
      <c r="J850" s="203"/>
      <c r="K850" s="203"/>
      <c r="L850" s="203"/>
      <c r="M850" s="203"/>
      <c r="N850" s="203"/>
      <c r="O850" s="203"/>
      <c r="P850" s="203"/>
      <c r="Q850" s="203"/>
      <c r="R850" s="203"/>
      <c r="S850" s="203"/>
      <c r="T850" s="203"/>
      <c r="U850" s="203"/>
      <c r="V850" s="203"/>
      <c r="W850" s="203"/>
      <c r="X850" s="203"/>
      <c r="Y850" s="203"/>
      <c r="Z850" s="203"/>
    </row>
    <row r="851" ht="12.75" customHeight="1">
      <c r="A851" s="203"/>
      <c r="B851" s="203"/>
      <c r="C851" s="203"/>
      <c r="D851" s="203"/>
      <c r="E851" s="203"/>
      <c r="F851" s="203"/>
      <c r="G851" s="203"/>
      <c r="H851" s="203"/>
      <c r="I851" s="203"/>
      <c r="J851" s="203"/>
      <c r="K851" s="203"/>
      <c r="L851" s="203"/>
      <c r="M851" s="203"/>
      <c r="N851" s="203"/>
      <c r="O851" s="203"/>
      <c r="P851" s="203"/>
      <c r="Q851" s="203"/>
      <c r="R851" s="203"/>
      <c r="S851" s="203"/>
      <c r="T851" s="203"/>
      <c r="U851" s="203"/>
      <c r="V851" s="203"/>
      <c r="W851" s="203"/>
      <c r="X851" s="203"/>
      <c r="Y851" s="203"/>
      <c r="Z851" s="203"/>
    </row>
    <row r="852" ht="12.75" customHeight="1">
      <c r="A852" s="203"/>
      <c r="B852" s="203"/>
      <c r="C852" s="203"/>
      <c r="D852" s="203"/>
      <c r="E852" s="203"/>
      <c r="F852" s="203"/>
      <c r="G852" s="203"/>
      <c r="H852" s="203"/>
      <c r="I852" s="203"/>
      <c r="J852" s="203"/>
      <c r="K852" s="203"/>
      <c r="L852" s="203"/>
      <c r="M852" s="203"/>
      <c r="N852" s="203"/>
      <c r="O852" s="203"/>
      <c r="P852" s="203"/>
      <c r="Q852" s="203"/>
      <c r="R852" s="203"/>
      <c r="S852" s="203"/>
      <c r="T852" s="203"/>
      <c r="U852" s="203"/>
      <c r="V852" s="203"/>
      <c r="W852" s="203"/>
      <c r="X852" s="203"/>
      <c r="Y852" s="203"/>
      <c r="Z852" s="203"/>
    </row>
    <row r="853" ht="12.75" customHeight="1">
      <c r="A853" s="203"/>
      <c r="B853" s="203"/>
      <c r="C853" s="203"/>
      <c r="D853" s="203"/>
      <c r="E853" s="203"/>
      <c r="F853" s="203"/>
      <c r="G853" s="203"/>
      <c r="H853" s="203"/>
      <c r="I853" s="203"/>
      <c r="J853" s="203"/>
      <c r="K853" s="203"/>
      <c r="L853" s="203"/>
      <c r="M853" s="203"/>
      <c r="N853" s="203"/>
      <c r="O853" s="203"/>
      <c r="P853" s="203"/>
      <c r="Q853" s="203"/>
      <c r="R853" s="203"/>
      <c r="S853" s="203"/>
      <c r="T853" s="203"/>
      <c r="U853" s="203"/>
      <c r="V853" s="203"/>
      <c r="W853" s="203"/>
      <c r="X853" s="203"/>
      <c r="Y853" s="203"/>
      <c r="Z853" s="203"/>
    </row>
    <row r="854" ht="12.75" customHeight="1">
      <c r="A854" s="203"/>
      <c r="B854" s="203"/>
      <c r="C854" s="203"/>
      <c r="D854" s="203"/>
      <c r="E854" s="203"/>
      <c r="F854" s="203"/>
      <c r="G854" s="203"/>
      <c r="H854" s="203"/>
      <c r="I854" s="203"/>
      <c r="J854" s="203"/>
      <c r="K854" s="203"/>
      <c r="L854" s="203"/>
      <c r="M854" s="203"/>
      <c r="N854" s="203"/>
      <c r="O854" s="203"/>
      <c r="P854" s="203"/>
      <c r="Q854" s="203"/>
      <c r="R854" s="203"/>
      <c r="S854" s="203"/>
      <c r="T854" s="203"/>
      <c r="U854" s="203"/>
      <c r="V854" s="203"/>
      <c r="W854" s="203"/>
      <c r="X854" s="203"/>
      <c r="Y854" s="203"/>
      <c r="Z854" s="203"/>
    </row>
    <row r="855" ht="12.75" customHeight="1">
      <c r="A855" s="203"/>
      <c r="B855" s="203"/>
      <c r="C855" s="203"/>
      <c r="D855" s="203"/>
      <c r="E855" s="203"/>
      <c r="F855" s="203"/>
      <c r="G855" s="203"/>
      <c r="H855" s="203"/>
      <c r="I855" s="203"/>
      <c r="J855" s="203"/>
      <c r="K855" s="203"/>
      <c r="L855" s="203"/>
      <c r="M855" s="203"/>
      <c r="N855" s="203"/>
      <c r="O855" s="203"/>
      <c r="P855" s="203"/>
      <c r="Q855" s="203"/>
      <c r="R855" s="203"/>
      <c r="S855" s="203"/>
      <c r="T855" s="203"/>
      <c r="U855" s="203"/>
      <c r="V855" s="203"/>
      <c r="W855" s="203"/>
      <c r="X855" s="203"/>
      <c r="Y855" s="203"/>
      <c r="Z855" s="203"/>
    </row>
    <row r="856" ht="12.75" customHeight="1">
      <c r="A856" s="203"/>
      <c r="B856" s="203"/>
      <c r="C856" s="203"/>
      <c r="D856" s="203"/>
      <c r="E856" s="203"/>
      <c r="F856" s="203"/>
      <c r="G856" s="203"/>
      <c r="H856" s="203"/>
      <c r="I856" s="203"/>
      <c r="J856" s="203"/>
      <c r="K856" s="203"/>
      <c r="L856" s="203"/>
      <c r="M856" s="203"/>
      <c r="N856" s="203"/>
      <c r="O856" s="203"/>
      <c r="P856" s="203"/>
      <c r="Q856" s="203"/>
      <c r="R856" s="203"/>
      <c r="S856" s="203"/>
      <c r="T856" s="203"/>
      <c r="U856" s="203"/>
      <c r="V856" s="203"/>
      <c r="W856" s="203"/>
      <c r="X856" s="203"/>
      <c r="Y856" s="203"/>
      <c r="Z856" s="203"/>
    </row>
    <row r="857" ht="12.75" customHeight="1">
      <c r="A857" s="203"/>
      <c r="B857" s="203"/>
      <c r="C857" s="203"/>
      <c r="D857" s="203"/>
      <c r="E857" s="203"/>
      <c r="F857" s="203"/>
      <c r="G857" s="203"/>
      <c r="H857" s="203"/>
      <c r="I857" s="203"/>
      <c r="J857" s="203"/>
      <c r="K857" s="203"/>
      <c r="L857" s="203"/>
      <c r="M857" s="203"/>
      <c r="N857" s="203"/>
      <c r="O857" s="203"/>
      <c r="P857" s="203"/>
      <c r="Q857" s="203"/>
      <c r="R857" s="203"/>
      <c r="S857" s="203"/>
      <c r="T857" s="203"/>
      <c r="U857" s="203"/>
      <c r="V857" s="203"/>
      <c r="W857" s="203"/>
      <c r="X857" s="203"/>
      <c r="Y857" s="203"/>
      <c r="Z857" s="203"/>
    </row>
    <row r="858" ht="12.75" customHeight="1">
      <c r="A858" s="203"/>
      <c r="B858" s="203"/>
      <c r="C858" s="203"/>
      <c r="D858" s="203"/>
      <c r="E858" s="203"/>
      <c r="F858" s="203"/>
      <c r="G858" s="203"/>
      <c r="H858" s="203"/>
      <c r="I858" s="203"/>
      <c r="J858" s="203"/>
      <c r="K858" s="203"/>
      <c r="L858" s="203"/>
      <c r="M858" s="203"/>
      <c r="N858" s="203"/>
      <c r="O858" s="203"/>
      <c r="P858" s="203"/>
      <c r="Q858" s="203"/>
      <c r="R858" s="203"/>
      <c r="S858" s="203"/>
      <c r="T858" s="203"/>
      <c r="U858" s="203"/>
      <c r="V858" s="203"/>
      <c r="W858" s="203"/>
      <c r="X858" s="203"/>
      <c r="Y858" s="203"/>
      <c r="Z858" s="203"/>
    </row>
    <row r="859" ht="12.75" customHeight="1">
      <c r="A859" s="203"/>
      <c r="B859" s="203"/>
      <c r="C859" s="203"/>
      <c r="D859" s="203"/>
      <c r="E859" s="203"/>
      <c r="F859" s="203"/>
      <c r="G859" s="203"/>
      <c r="H859" s="203"/>
      <c r="I859" s="203"/>
      <c r="J859" s="203"/>
      <c r="K859" s="203"/>
      <c r="L859" s="203"/>
      <c r="M859" s="203"/>
      <c r="N859" s="203"/>
      <c r="O859" s="203"/>
      <c r="P859" s="203"/>
      <c r="Q859" s="203"/>
      <c r="R859" s="203"/>
      <c r="S859" s="203"/>
      <c r="T859" s="203"/>
      <c r="U859" s="203"/>
      <c r="V859" s="203"/>
      <c r="W859" s="203"/>
      <c r="X859" s="203"/>
      <c r="Y859" s="203"/>
      <c r="Z859" s="203"/>
    </row>
    <row r="860" ht="12.75" customHeight="1">
      <c r="A860" s="203"/>
      <c r="B860" s="203"/>
      <c r="C860" s="203"/>
      <c r="D860" s="203"/>
      <c r="E860" s="203"/>
      <c r="F860" s="203"/>
      <c r="G860" s="203"/>
      <c r="H860" s="203"/>
      <c r="I860" s="203"/>
      <c r="J860" s="203"/>
      <c r="K860" s="203"/>
      <c r="L860" s="203"/>
      <c r="M860" s="203"/>
      <c r="N860" s="203"/>
      <c r="O860" s="203"/>
      <c r="P860" s="203"/>
      <c r="Q860" s="203"/>
      <c r="R860" s="203"/>
      <c r="S860" s="203"/>
      <c r="T860" s="203"/>
      <c r="U860" s="203"/>
      <c r="V860" s="203"/>
      <c r="W860" s="203"/>
      <c r="X860" s="203"/>
      <c r="Y860" s="203"/>
      <c r="Z860" s="203"/>
    </row>
    <row r="861" ht="12.75" customHeight="1">
      <c r="A861" s="203"/>
      <c r="B861" s="203"/>
      <c r="C861" s="203"/>
      <c r="D861" s="203"/>
      <c r="E861" s="203"/>
      <c r="F861" s="203"/>
      <c r="G861" s="203"/>
      <c r="H861" s="203"/>
      <c r="I861" s="203"/>
      <c r="J861" s="203"/>
      <c r="K861" s="203"/>
      <c r="L861" s="203"/>
      <c r="M861" s="203"/>
      <c r="N861" s="203"/>
      <c r="O861" s="203"/>
      <c r="P861" s="203"/>
      <c r="Q861" s="203"/>
      <c r="R861" s="203"/>
      <c r="S861" s="203"/>
      <c r="T861" s="203"/>
      <c r="U861" s="203"/>
      <c r="V861" s="203"/>
      <c r="W861" s="203"/>
      <c r="X861" s="203"/>
      <c r="Y861" s="203"/>
      <c r="Z861" s="203"/>
    </row>
    <row r="862" ht="12.75" customHeight="1">
      <c r="A862" s="203"/>
      <c r="B862" s="203"/>
      <c r="C862" s="203"/>
      <c r="D862" s="203"/>
      <c r="E862" s="203"/>
      <c r="F862" s="203"/>
      <c r="G862" s="203"/>
      <c r="H862" s="203"/>
      <c r="I862" s="203"/>
      <c r="J862" s="203"/>
      <c r="K862" s="203"/>
      <c r="L862" s="203"/>
      <c r="M862" s="203"/>
      <c r="N862" s="203"/>
      <c r="O862" s="203"/>
      <c r="P862" s="203"/>
      <c r="Q862" s="203"/>
      <c r="R862" s="203"/>
      <c r="S862" s="203"/>
      <c r="T862" s="203"/>
      <c r="U862" s="203"/>
      <c r="V862" s="203"/>
      <c r="W862" s="203"/>
      <c r="X862" s="203"/>
      <c r="Y862" s="203"/>
      <c r="Z862" s="203"/>
    </row>
    <row r="863" ht="12.75" customHeight="1">
      <c r="A863" s="203"/>
      <c r="B863" s="203"/>
      <c r="C863" s="203"/>
      <c r="D863" s="203"/>
      <c r="E863" s="203"/>
      <c r="F863" s="203"/>
      <c r="G863" s="203"/>
      <c r="H863" s="203"/>
      <c r="I863" s="203"/>
      <c r="J863" s="203"/>
      <c r="K863" s="203"/>
      <c r="L863" s="203"/>
      <c r="M863" s="203"/>
      <c r="N863" s="203"/>
      <c r="O863" s="203"/>
      <c r="P863" s="203"/>
      <c r="Q863" s="203"/>
      <c r="R863" s="203"/>
      <c r="S863" s="203"/>
      <c r="T863" s="203"/>
      <c r="U863" s="203"/>
      <c r="V863" s="203"/>
      <c r="W863" s="203"/>
      <c r="X863" s="203"/>
      <c r="Y863" s="203"/>
      <c r="Z863" s="203"/>
    </row>
    <row r="864" ht="12.75" customHeight="1">
      <c r="A864" s="203"/>
      <c r="B864" s="203"/>
      <c r="C864" s="203"/>
      <c r="D864" s="203"/>
      <c r="E864" s="203"/>
      <c r="F864" s="203"/>
      <c r="G864" s="203"/>
      <c r="H864" s="203"/>
      <c r="I864" s="203"/>
      <c r="J864" s="203"/>
      <c r="K864" s="203"/>
      <c r="L864" s="203"/>
      <c r="M864" s="203"/>
      <c r="N864" s="203"/>
      <c r="O864" s="203"/>
      <c r="P864" s="203"/>
      <c r="Q864" s="203"/>
      <c r="R864" s="203"/>
      <c r="S864" s="203"/>
      <c r="T864" s="203"/>
      <c r="U864" s="203"/>
      <c r="V864" s="203"/>
      <c r="W864" s="203"/>
      <c r="X864" s="203"/>
      <c r="Y864" s="203"/>
      <c r="Z864" s="203"/>
    </row>
    <row r="865" ht="12.75" customHeight="1">
      <c r="A865" s="203"/>
      <c r="B865" s="203"/>
      <c r="C865" s="203"/>
      <c r="D865" s="203"/>
      <c r="E865" s="203"/>
      <c r="F865" s="203"/>
      <c r="G865" s="203"/>
      <c r="H865" s="203"/>
      <c r="I865" s="203"/>
      <c r="J865" s="203"/>
      <c r="K865" s="203"/>
      <c r="L865" s="203"/>
      <c r="M865" s="203"/>
      <c r="N865" s="203"/>
      <c r="O865" s="203"/>
      <c r="P865" s="203"/>
      <c r="Q865" s="203"/>
      <c r="R865" s="203"/>
      <c r="S865" s="203"/>
      <c r="T865" s="203"/>
      <c r="U865" s="203"/>
      <c r="V865" s="203"/>
      <c r="W865" s="203"/>
      <c r="X865" s="203"/>
      <c r="Y865" s="203"/>
      <c r="Z865" s="203"/>
    </row>
    <row r="866" ht="12.75" customHeight="1">
      <c r="A866" s="203"/>
      <c r="B866" s="203"/>
      <c r="C866" s="203"/>
      <c r="D866" s="203"/>
      <c r="E866" s="203"/>
      <c r="F866" s="203"/>
      <c r="G866" s="203"/>
      <c r="H866" s="203"/>
      <c r="I866" s="203"/>
      <c r="J866" s="203"/>
      <c r="K866" s="203"/>
      <c r="L866" s="203"/>
      <c r="M866" s="203"/>
      <c r="N866" s="203"/>
      <c r="O866" s="203"/>
      <c r="P866" s="203"/>
      <c r="Q866" s="203"/>
      <c r="R866" s="203"/>
      <c r="S866" s="203"/>
      <c r="T866" s="203"/>
      <c r="U866" s="203"/>
      <c r="V866" s="203"/>
      <c r="W866" s="203"/>
      <c r="X866" s="203"/>
      <c r="Y866" s="203"/>
      <c r="Z866" s="203"/>
    </row>
    <row r="867" ht="12.75" customHeight="1">
      <c r="A867" s="203"/>
      <c r="B867" s="203"/>
      <c r="C867" s="203"/>
      <c r="D867" s="203"/>
      <c r="E867" s="203"/>
      <c r="F867" s="203"/>
      <c r="G867" s="203"/>
      <c r="H867" s="203"/>
      <c r="I867" s="203"/>
      <c r="J867" s="203"/>
      <c r="K867" s="203"/>
      <c r="L867" s="203"/>
      <c r="M867" s="203"/>
      <c r="N867" s="203"/>
      <c r="O867" s="203"/>
      <c r="P867" s="203"/>
      <c r="Q867" s="203"/>
      <c r="R867" s="203"/>
      <c r="S867" s="203"/>
      <c r="T867" s="203"/>
      <c r="U867" s="203"/>
      <c r="V867" s="203"/>
      <c r="W867" s="203"/>
      <c r="X867" s="203"/>
      <c r="Y867" s="203"/>
      <c r="Z867" s="203"/>
    </row>
    <row r="868" ht="12.75" customHeight="1">
      <c r="A868" s="203"/>
      <c r="B868" s="203"/>
      <c r="C868" s="203"/>
      <c r="D868" s="203"/>
      <c r="E868" s="203"/>
      <c r="F868" s="203"/>
      <c r="G868" s="203"/>
      <c r="H868" s="203"/>
      <c r="I868" s="203"/>
      <c r="J868" s="203"/>
      <c r="K868" s="203"/>
      <c r="L868" s="203"/>
      <c r="M868" s="203"/>
      <c r="N868" s="203"/>
      <c r="O868" s="203"/>
      <c r="P868" s="203"/>
      <c r="Q868" s="203"/>
      <c r="R868" s="203"/>
      <c r="S868" s="203"/>
      <c r="T868" s="203"/>
      <c r="U868" s="203"/>
      <c r="V868" s="203"/>
      <c r="W868" s="203"/>
      <c r="X868" s="203"/>
      <c r="Y868" s="203"/>
      <c r="Z868" s="203"/>
    </row>
    <row r="869" ht="12.75" customHeight="1">
      <c r="A869" s="203"/>
      <c r="B869" s="203"/>
      <c r="C869" s="203"/>
      <c r="D869" s="203"/>
      <c r="E869" s="203"/>
      <c r="F869" s="203"/>
      <c r="G869" s="203"/>
      <c r="H869" s="203"/>
      <c r="I869" s="203"/>
      <c r="J869" s="203"/>
      <c r="K869" s="203"/>
      <c r="L869" s="203"/>
      <c r="M869" s="203"/>
      <c r="N869" s="203"/>
      <c r="O869" s="203"/>
      <c r="P869" s="203"/>
      <c r="Q869" s="203"/>
      <c r="R869" s="203"/>
      <c r="S869" s="203"/>
      <c r="T869" s="203"/>
      <c r="U869" s="203"/>
      <c r="V869" s="203"/>
      <c r="W869" s="203"/>
      <c r="X869" s="203"/>
      <c r="Y869" s="203"/>
      <c r="Z869" s="203"/>
    </row>
    <row r="870" ht="12.75" customHeight="1">
      <c r="A870" s="203"/>
      <c r="B870" s="203"/>
      <c r="C870" s="203"/>
      <c r="D870" s="203"/>
      <c r="E870" s="203"/>
      <c r="F870" s="203"/>
      <c r="G870" s="203"/>
      <c r="H870" s="203"/>
      <c r="I870" s="203"/>
      <c r="J870" s="203"/>
      <c r="K870" s="203"/>
      <c r="L870" s="203"/>
      <c r="M870" s="203"/>
      <c r="N870" s="203"/>
      <c r="O870" s="203"/>
      <c r="P870" s="203"/>
      <c r="Q870" s="203"/>
      <c r="R870" s="203"/>
      <c r="S870" s="203"/>
      <c r="T870" s="203"/>
      <c r="U870" s="203"/>
      <c r="V870" s="203"/>
      <c r="W870" s="203"/>
      <c r="X870" s="203"/>
      <c r="Y870" s="203"/>
      <c r="Z870" s="203"/>
    </row>
    <row r="871" ht="12.75" customHeight="1">
      <c r="A871" s="203"/>
      <c r="B871" s="203"/>
      <c r="C871" s="203"/>
      <c r="D871" s="203"/>
      <c r="E871" s="203"/>
      <c r="F871" s="203"/>
      <c r="G871" s="203"/>
      <c r="H871" s="203"/>
      <c r="I871" s="203"/>
      <c r="J871" s="203"/>
      <c r="K871" s="203"/>
      <c r="L871" s="203"/>
      <c r="M871" s="203"/>
      <c r="N871" s="203"/>
      <c r="O871" s="203"/>
      <c r="P871" s="203"/>
      <c r="Q871" s="203"/>
      <c r="R871" s="203"/>
      <c r="S871" s="203"/>
      <c r="T871" s="203"/>
      <c r="U871" s="203"/>
      <c r="V871" s="203"/>
      <c r="W871" s="203"/>
      <c r="X871" s="203"/>
      <c r="Y871" s="203"/>
      <c r="Z871" s="203"/>
    </row>
    <row r="872" ht="12.75" customHeight="1">
      <c r="A872" s="203"/>
      <c r="B872" s="203"/>
      <c r="C872" s="203"/>
      <c r="D872" s="203"/>
      <c r="E872" s="203"/>
      <c r="F872" s="203"/>
      <c r="G872" s="203"/>
      <c r="H872" s="203"/>
      <c r="I872" s="203"/>
      <c r="J872" s="203"/>
      <c r="K872" s="203"/>
      <c r="L872" s="203"/>
      <c r="M872" s="203"/>
      <c r="N872" s="203"/>
      <c r="O872" s="203"/>
      <c r="P872" s="203"/>
      <c r="Q872" s="203"/>
      <c r="R872" s="203"/>
      <c r="S872" s="203"/>
      <c r="T872" s="203"/>
      <c r="U872" s="203"/>
      <c r="V872" s="203"/>
      <c r="W872" s="203"/>
      <c r="X872" s="203"/>
      <c r="Y872" s="203"/>
      <c r="Z872" s="203"/>
    </row>
    <row r="873" ht="12.75" customHeight="1">
      <c r="A873" s="203"/>
      <c r="B873" s="203"/>
      <c r="C873" s="203"/>
      <c r="D873" s="203"/>
      <c r="E873" s="203"/>
      <c r="F873" s="203"/>
      <c r="G873" s="203"/>
      <c r="H873" s="203"/>
      <c r="I873" s="203"/>
      <c r="J873" s="203"/>
      <c r="K873" s="203"/>
      <c r="L873" s="203"/>
      <c r="M873" s="203"/>
      <c r="N873" s="203"/>
      <c r="O873" s="203"/>
      <c r="P873" s="203"/>
      <c r="Q873" s="203"/>
      <c r="R873" s="203"/>
      <c r="S873" s="203"/>
      <c r="T873" s="203"/>
      <c r="U873" s="203"/>
      <c r="V873" s="203"/>
      <c r="W873" s="203"/>
      <c r="X873" s="203"/>
      <c r="Y873" s="203"/>
      <c r="Z873" s="203"/>
    </row>
    <row r="874" ht="12.75" customHeight="1">
      <c r="A874" s="203"/>
      <c r="B874" s="203"/>
      <c r="C874" s="203"/>
      <c r="D874" s="203"/>
      <c r="E874" s="203"/>
      <c r="F874" s="203"/>
      <c r="G874" s="203"/>
      <c r="H874" s="203"/>
      <c r="I874" s="203"/>
      <c r="J874" s="203"/>
      <c r="K874" s="203"/>
      <c r="L874" s="203"/>
      <c r="M874" s="203"/>
      <c r="N874" s="203"/>
      <c r="O874" s="203"/>
      <c r="P874" s="203"/>
      <c r="Q874" s="203"/>
      <c r="R874" s="203"/>
      <c r="S874" s="203"/>
      <c r="T874" s="203"/>
      <c r="U874" s="203"/>
      <c r="V874" s="203"/>
      <c r="W874" s="203"/>
      <c r="X874" s="203"/>
      <c r="Y874" s="203"/>
      <c r="Z874" s="203"/>
    </row>
    <row r="875" ht="12.75" customHeight="1">
      <c r="A875" s="203"/>
      <c r="B875" s="203"/>
      <c r="C875" s="203"/>
      <c r="D875" s="203"/>
      <c r="E875" s="203"/>
      <c r="F875" s="203"/>
      <c r="G875" s="203"/>
      <c r="H875" s="203"/>
      <c r="I875" s="203"/>
      <c r="J875" s="203"/>
      <c r="K875" s="203"/>
      <c r="L875" s="203"/>
      <c r="M875" s="203"/>
      <c r="N875" s="203"/>
      <c r="O875" s="203"/>
      <c r="P875" s="203"/>
      <c r="Q875" s="203"/>
      <c r="R875" s="203"/>
      <c r="S875" s="203"/>
      <c r="T875" s="203"/>
      <c r="U875" s="203"/>
      <c r="V875" s="203"/>
      <c r="W875" s="203"/>
      <c r="X875" s="203"/>
      <c r="Y875" s="203"/>
      <c r="Z875" s="203"/>
    </row>
    <row r="876" ht="12.75" customHeight="1">
      <c r="A876" s="203"/>
      <c r="B876" s="203"/>
      <c r="C876" s="203"/>
      <c r="D876" s="203"/>
      <c r="E876" s="203"/>
      <c r="F876" s="203"/>
      <c r="G876" s="203"/>
      <c r="H876" s="203"/>
      <c r="I876" s="203"/>
      <c r="J876" s="203"/>
      <c r="K876" s="203"/>
      <c r="L876" s="203"/>
      <c r="M876" s="203"/>
      <c r="N876" s="203"/>
      <c r="O876" s="203"/>
      <c r="P876" s="203"/>
      <c r="Q876" s="203"/>
      <c r="R876" s="203"/>
      <c r="S876" s="203"/>
      <c r="T876" s="203"/>
      <c r="U876" s="203"/>
      <c r="V876" s="203"/>
      <c r="W876" s="203"/>
      <c r="X876" s="203"/>
      <c r="Y876" s="203"/>
      <c r="Z876" s="203"/>
    </row>
    <row r="877" ht="12.75" customHeight="1">
      <c r="A877" s="203"/>
      <c r="B877" s="203"/>
      <c r="C877" s="203"/>
      <c r="D877" s="203"/>
      <c r="E877" s="203"/>
      <c r="F877" s="203"/>
      <c r="G877" s="203"/>
      <c r="H877" s="203"/>
      <c r="I877" s="203"/>
      <c r="J877" s="203"/>
      <c r="K877" s="203"/>
      <c r="L877" s="203"/>
      <c r="M877" s="203"/>
      <c r="N877" s="203"/>
      <c r="O877" s="203"/>
      <c r="P877" s="203"/>
      <c r="Q877" s="203"/>
      <c r="R877" s="203"/>
      <c r="S877" s="203"/>
      <c r="T877" s="203"/>
      <c r="U877" s="203"/>
      <c r="V877" s="203"/>
      <c r="W877" s="203"/>
      <c r="X877" s="203"/>
      <c r="Y877" s="203"/>
      <c r="Z877" s="203"/>
    </row>
    <row r="878" ht="12.75" customHeight="1">
      <c r="A878" s="203"/>
      <c r="B878" s="203"/>
      <c r="C878" s="203"/>
      <c r="D878" s="203"/>
      <c r="E878" s="203"/>
      <c r="F878" s="203"/>
      <c r="G878" s="203"/>
      <c r="H878" s="203"/>
      <c r="I878" s="203"/>
      <c r="J878" s="203"/>
      <c r="K878" s="203"/>
      <c r="L878" s="203"/>
      <c r="M878" s="203"/>
      <c r="N878" s="203"/>
      <c r="O878" s="203"/>
      <c r="P878" s="203"/>
      <c r="Q878" s="203"/>
      <c r="R878" s="203"/>
      <c r="S878" s="203"/>
      <c r="T878" s="203"/>
      <c r="U878" s="203"/>
      <c r="V878" s="203"/>
      <c r="W878" s="203"/>
      <c r="X878" s="203"/>
      <c r="Y878" s="203"/>
      <c r="Z878" s="203"/>
    </row>
    <row r="879" ht="12.75" customHeight="1">
      <c r="A879" s="203"/>
      <c r="B879" s="203"/>
      <c r="C879" s="203"/>
      <c r="D879" s="203"/>
      <c r="E879" s="203"/>
      <c r="F879" s="203"/>
      <c r="G879" s="203"/>
      <c r="H879" s="203"/>
      <c r="I879" s="203"/>
      <c r="J879" s="203"/>
      <c r="K879" s="203"/>
      <c r="L879" s="203"/>
      <c r="M879" s="203"/>
      <c r="N879" s="203"/>
      <c r="O879" s="203"/>
      <c r="P879" s="203"/>
      <c r="Q879" s="203"/>
      <c r="R879" s="203"/>
      <c r="S879" s="203"/>
      <c r="T879" s="203"/>
      <c r="U879" s="203"/>
      <c r="V879" s="203"/>
      <c r="W879" s="203"/>
      <c r="X879" s="203"/>
      <c r="Y879" s="203"/>
      <c r="Z879" s="203"/>
    </row>
    <row r="880" ht="12.75" customHeight="1">
      <c r="A880" s="203"/>
      <c r="B880" s="203"/>
      <c r="C880" s="203"/>
      <c r="D880" s="203"/>
      <c r="E880" s="203"/>
      <c r="F880" s="203"/>
      <c r="G880" s="203"/>
      <c r="H880" s="203"/>
      <c r="I880" s="203"/>
      <c r="J880" s="203"/>
      <c r="K880" s="203"/>
      <c r="L880" s="203"/>
      <c r="M880" s="203"/>
      <c r="N880" s="203"/>
      <c r="O880" s="203"/>
      <c r="P880" s="203"/>
      <c r="Q880" s="203"/>
      <c r="R880" s="203"/>
      <c r="S880" s="203"/>
      <c r="T880" s="203"/>
      <c r="U880" s="203"/>
      <c r="V880" s="203"/>
      <c r="W880" s="203"/>
      <c r="X880" s="203"/>
      <c r="Y880" s="203"/>
      <c r="Z880" s="203"/>
    </row>
    <row r="881" ht="12.75" customHeight="1">
      <c r="A881" s="203"/>
      <c r="B881" s="203"/>
      <c r="C881" s="203"/>
      <c r="D881" s="203"/>
      <c r="E881" s="203"/>
      <c r="F881" s="203"/>
      <c r="G881" s="203"/>
      <c r="H881" s="203"/>
      <c r="I881" s="203"/>
      <c r="J881" s="203"/>
      <c r="K881" s="203"/>
      <c r="L881" s="203"/>
      <c r="M881" s="203"/>
      <c r="N881" s="203"/>
      <c r="O881" s="203"/>
      <c r="P881" s="203"/>
      <c r="Q881" s="203"/>
      <c r="R881" s="203"/>
      <c r="S881" s="203"/>
      <c r="T881" s="203"/>
      <c r="U881" s="203"/>
      <c r="V881" s="203"/>
      <c r="W881" s="203"/>
      <c r="X881" s="203"/>
      <c r="Y881" s="203"/>
      <c r="Z881" s="203"/>
    </row>
    <row r="882" ht="12.75" customHeight="1">
      <c r="A882" s="203"/>
      <c r="B882" s="203"/>
      <c r="C882" s="203"/>
      <c r="D882" s="203"/>
      <c r="E882" s="203"/>
      <c r="F882" s="203"/>
      <c r="G882" s="203"/>
      <c r="H882" s="203"/>
      <c r="I882" s="203"/>
      <c r="J882" s="203"/>
      <c r="K882" s="203"/>
      <c r="L882" s="203"/>
      <c r="M882" s="203"/>
      <c r="N882" s="203"/>
      <c r="O882" s="203"/>
      <c r="P882" s="203"/>
      <c r="Q882" s="203"/>
      <c r="R882" s="203"/>
      <c r="S882" s="203"/>
      <c r="T882" s="203"/>
      <c r="U882" s="203"/>
      <c r="V882" s="203"/>
      <c r="W882" s="203"/>
      <c r="X882" s="203"/>
      <c r="Y882" s="203"/>
      <c r="Z882" s="203"/>
    </row>
    <row r="883" ht="12.75" customHeight="1">
      <c r="A883" s="203"/>
      <c r="B883" s="203"/>
      <c r="C883" s="203"/>
      <c r="D883" s="203"/>
      <c r="E883" s="203"/>
      <c r="F883" s="203"/>
      <c r="G883" s="203"/>
      <c r="H883" s="203"/>
      <c r="I883" s="203"/>
      <c r="J883" s="203"/>
      <c r="K883" s="203"/>
      <c r="L883" s="203"/>
      <c r="M883" s="203"/>
      <c r="N883" s="203"/>
      <c r="O883" s="203"/>
      <c r="P883" s="203"/>
      <c r="Q883" s="203"/>
      <c r="R883" s="203"/>
      <c r="S883" s="203"/>
      <c r="T883" s="203"/>
      <c r="U883" s="203"/>
      <c r="V883" s="203"/>
      <c r="W883" s="203"/>
      <c r="X883" s="203"/>
      <c r="Y883" s="203"/>
      <c r="Z883" s="203"/>
    </row>
    <row r="884" ht="12.75" customHeight="1">
      <c r="A884" s="203"/>
      <c r="B884" s="203"/>
      <c r="C884" s="203"/>
      <c r="D884" s="203"/>
      <c r="E884" s="203"/>
      <c r="F884" s="203"/>
      <c r="G884" s="203"/>
      <c r="H884" s="203"/>
      <c r="I884" s="203"/>
      <c r="J884" s="203"/>
      <c r="K884" s="203"/>
      <c r="L884" s="203"/>
      <c r="M884" s="203"/>
      <c r="N884" s="203"/>
      <c r="O884" s="203"/>
      <c r="P884" s="203"/>
      <c r="Q884" s="203"/>
      <c r="R884" s="203"/>
      <c r="S884" s="203"/>
      <c r="T884" s="203"/>
      <c r="U884" s="203"/>
      <c r="V884" s="203"/>
      <c r="W884" s="203"/>
      <c r="X884" s="203"/>
      <c r="Y884" s="203"/>
      <c r="Z884" s="203"/>
    </row>
    <row r="885" ht="12.75" customHeight="1">
      <c r="A885" s="203"/>
      <c r="B885" s="203"/>
      <c r="C885" s="203"/>
      <c r="D885" s="203"/>
      <c r="E885" s="203"/>
      <c r="F885" s="203"/>
      <c r="G885" s="203"/>
      <c r="H885" s="203"/>
      <c r="I885" s="203"/>
      <c r="J885" s="203"/>
      <c r="K885" s="203"/>
      <c r="L885" s="203"/>
      <c r="M885" s="203"/>
      <c r="N885" s="203"/>
      <c r="O885" s="203"/>
      <c r="P885" s="203"/>
      <c r="Q885" s="203"/>
      <c r="R885" s="203"/>
      <c r="S885" s="203"/>
      <c r="T885" s="203"/>
      <c r="U885" s="203"/>
      <c r="V885" s="203"/>
      <c r="W885" s="203"/>
      <c r="X885" s="203"/>
      <c r="Y885" s="203"/>
      <c r="Z885" s="203"/>
    </row>
    <row r="886" ht="12.75" customHeight="1">
      <c r="A886" s="203"/>
      <c r="B886" s="203"/>
      <c r="C886" s="203"/>
      <c r="D886" s="203"/>
      <c r="E886" s="203"/>
      <c r="F886" s="203"/>
      <c r="G886" s="203"/>
      <c r="H886" s="203"/>
      <c r="I886" s="203"/>
      <c r="J886" s="203"/>
      <c r="K886" s="203"/>
      <c r="L886" s="203"/>
      <c r="M886" s="203"/>
      <c r="N886" s="203"/>
      <c r="O886" s="203"/>
      <c r="P886" s="203"/>
      <c r="Q886" s="203"/>
      <c r="R886" s="203"/>
      <c r="S886" s="203"/>
      <c r="T886" s="203"/>
      <c r="U886" s="203"/>
      <c r="V886" s="203"/>
      <c r="W886" s="203"/>
      <c r="X886" s="203"/>
      <c r="Y886" s="203"/>
      <c r="Z886" s="203"/>
    </row>
    <row r="887" ht="12.75" customHeight="1">
      <c r="A887" s="203"/>
      <c r="B887" s="203"/>
      <c r="C887" s="203"/>
      <c r="D887" s="203"/>
      <c r="E887" s="203"/>
      <c r="F887" s="203"/>
      <c r="G887" s="203"/>
      <c r="H887" s="203"/>
      <c r="I887" s="203"/>
      <c r="J887" s="203"/>
      <c r="K887" s="203"/>
      <c r="L887" s="203"/>
      <c r="M887" s="203"/>
      <c r="N887" s="203"/>
      <c r="O887" s="203"/>
      <c r="P887" s="203"/>
      <c r="Q887" s="203"/>
      <c r="R887" s="203"/>
      <c r="S887" s="203"/>
      <c r="T887" s="203"/>
      <c r="U887" s="203"/>
      <c r="V887" s="203"/>
      <c r="W887" s="203"/>
      <c r="X887" s="203"/>
      <c r="Y887" s="203"/>
      <c r="Z887" s="203"/>
    </row>
    <row r="888" ht="12.75" customHeight="1">
      <c r="A888" s="203"/>
      <c r="B888" s="203"/>
      <c r="C888" s="203"/>
      <c r="D888" s="203"/>
      <c r="E888" s="203"/>
      <c r="F888" s="203"/>
      <c r="G888" s="203"/>
      <c r="H888" s="203"/>
      <c r="I888" s="203"/>
      <c r="J888" s="203"/>
      <c r="K888" s="203"/>
      <c r="L888" s="203"/>
      <c r="M888" s="203"/>
      <c r="N888" s="203"/>
      <c r="O888" s="203"/>
      <c r="P888" s="203"/>
      <c r="Q888" s="203"/>
      <c r="R888" s="203"/>
      <c r="S888" s="203"/>
      <c r="T888" s="203"/>
      <c r="U888" s="203"/>
      <c r="V888" s="203"/>
      <c r="W888" s="203"/>
      <c r="X888" s="203"/>
      <c r="Y888" s="203"/>
      <c r="Z888" s="203"/>
    </row>
    <row r="889" ht="12.75" customHeight="1">
      <c r="A889" s="203"/>
      <c r="B889" s="203"/>
      <c r="C889" s="203"/>
      <c r="D889" s="203"/>
      <c r="E889" s="203"/>
      <c r="F889" s="203"/>
      <c r="G889" s="203"/>
      <c r="H889" s="203"/>
      <c r="I889" s="203"/>
      <c r="J889" s="203"/>
      <c r="K889" s="203"/>
      <c r="L889" s="203"/>
      <c r="M889" s="203"/>
      <c r="N889" s="203"/>
      <c r="O889" s="203"/>
      <c r="P889" s="203"/>
      <c r="Q889" s="203"/>
      <c r="R889" s="203"/>
      <c r="S889" s="203"/>
      <c r="T889" s="203"/>
      <c r="U889" s="203"/>
      <c r="V889" s="203"/>
      <c r="W889" s="203"/>
      <c r="X889" s="203"/>
      <c r="Y889" s="203"/>
      <c r="Z889" s="203"/>
    </row>
    <row r="890" ht="12.75" customHeight="1">
      <c r="A890" s="203"/>
      <c r="B890" s="203"/>
      <c r="C890" s="203"/>
      <c r="D890" s="203"/>
      <c r="E890" s="203"/>
      <c r="F890" s="203"/>
      <c r="G890" s="203"/>
      <c r="H890" s="203"/>
      <c r="I890" s="203"/>
      <c r="J890" s="203"/>
      <c r="K890" s="203"/>
      <c r="L890" s="203"/>
      <c r="M890" s="203"/>
      <c r="N890" s="203"/>
      <c r="O890" s="203"/>
      <c r="P890" s="203"/>
      <c r="Q890" s="203"/>
      <c r="R890" s="203"/>
      <c r="S890" s="203"/>
      <c r="T890" s="203"/>
      <c r="U890" s="203"/>
      <c r="V890" s="203"/>
      <c r="W890" s="203"/>
      <c r="X890" s="203"/>
      <c r="Y890" s="203"/>
      <c r="Z890" s="203"/>
    </row>
    <row r="891" ht="12.75" customHeight="1">
      <c r="A891" s="203"/>
      <c r="B891" s="203"/>
      <c r="C891" s="203"/>
      <c r="D891" s="203"/>
      <c r="E891" s="203"/>
      <c r="F891" s="203"/>
      <c r="G891" s="203"/>
      <c r="H891" s="203"/>
      <c r="I891" s="203"/>
      <c r="J891" s="203"/>
      <c r="K891" s="203"/>
      <c r="L891" s="203"/>
      <c r="M891" s="203"/>
      <c r="N891" s="203"/>
      <c r="O891" s="203"/>
      <c r="P891" s="203"/>
      <c r="Q891" s="203"/>
      <c r="R891" s="203"/>
      <c r="S891" s="203"/>
      <c r="T891" s="203"/>
      <c r="U891" s="203"/>
      <c r="V891" s="203"/>
      <c r="W891" s="203"/>
      <c r="X891" s="203"/>
      <c r="Y891" s="203"/>
      <c r="Z891" s="203"/>
    </row>
    <row r="892" ht="12.75" customHeight="1">
      <c r="A892" s="203"/>
      <c r="B892" s="203"/>
      <c r="C892" s="203"/>
      <c r="D892" s="203"/>
      <c r="E892" s="203"/>
      <c r="F892" s="203"/>
      <c r="G892" s="203"/>
      <c r="H892" s="203"/>
      <c r="I892" s="203"/>
      <c r="J892" s="203"/>
      <c r="K892" s="203"/>
      <c r="L892" s="203"/>
      <c r="M892" s="203"/>
      <c r="N892" s="203"/>
      <c r="O892" s="203"/>
      <c r="P892" s="203"/>
      <c r="Q892" s="203"/>
      <c r="R892" s="203"/>
      <c r="S892" s="203"/>
      <c r="T892" s="203"/>
      <c r="U892" s="203"/>
      <c r="V892" s="203"/>
      <c r="W892" s="203"/>
      <c r="X892" s="203"/>
      <c r="Y892" s="203"/>
      <c r="Z892" s="203"/>
    </row>
    <row r="893" ht="12.75" customHeight="1">
      <c r="A893" s="203"/>
      <c r="B893" s="203"/>
      <c r="C893" s="203"/>
      <c r="D893" s="203"/>
      <c r="E893" s="203"/>
      <c r="F893" s="203"/>
      <c r="G893" s="203"/>
      <c r="H893" s="203"/>
      <c r="I893" s="203"/>
      <c r="J893" s="203"/>
      <c r="K893" s="203"/>
      <c r="L893" s="203"/>
      <c r="M893" s="203"/>
      <c r="N893" s="203"/>
      <c r="O893" s="203"/>
      <c r="P893" s="203"/>
      <c r="Q893" s="203"/>
      <c r="R893" s="203"/>
      <c r="S893" s="203"/>
      <c r="T893" s="203"/>
      <c r="U893" s="203"/>
      <c r="V893" s="203"/>
      <c r="W893" s="203"/>
      <c r="X893" s="203"/>
      <c r="Y893" s="203"/>
      <c r="Z893" s="203"/>
    </row>
    <row r="894" ht="12.75" customHeight="1">
      <c r="A894" s="203"/>
      <c r="B894" s="203"/>
      <c r="C894" s="203"/>
      <c r="D894" s="203"/>
      <c r="E894" s="203"/>
      <c r="F894" s="203"/>
      <c r="G894" s="203"/>
      <c r="H894" s="203"/>
      <c r="I894" s="203"/>
      <c r="J894" s="203"/>
      <c r="K894" s="203"/>
      <c r="L894" s="203"/>
      <c r="M894" s="203"/>
      <c r="N894" s="203"/>
      <c r="O894" s="203"/>
      <c r="P894" s="203"/>
      <c r="Q894" s="203"/>
      <c r="R894" s="203"/>
      <c r="S894" s="203"/>
      <c r="T894" s="203"/>
      <c r="U894" s="203"/>
      <c r="V894" s="203"/>
      <c r="W894" s="203"/>
      <c r="X894" s="203"/>
      <c r="Y894" s="203"/>
      <c r="Z894" s="203"/>
    </row>
    <row r="895" ht="12.75" customHeight="1">
      <c r="A895" s="203"/>
      <c r="B895" s="203"/>
      <c r="C895" s="203"/>
      <c r="D895" s="203"/>
      <c r="E895" s="203"/>
      <c r="F895" s="203"/>
      <c r="G895" s="203"/>
      <c r="H895" s="203"/>
      <c r="I895" s="203"/>
      <c r="J895" s="203"/>
      <c r="K895" s="203"/>
      <c r="L895" s="203"/>
      <c r="M895" s="203"/>
      <c r="N895" s="203"/>
      <c r="O895" s="203"/>
      <c r="P895" s="203"/>
      <c r="Q895" s="203"/>
      <c r="R895" s="203"/>
      <c r="S895" s="203"/>
      <c r="T895" s="203"/>
      <c r="U895" s="203"/>
      <c r="V895" s="203"/>
      <c r="W895" s="203"/>
      <c r="X895" s="203"/>
      <c r="Y895" s="203"/>
      <c r="Z895" s="203"/>
    </row>
    <row r="896" ht="12.75" customHeight="1">
      <c r="A896" s="203"/>
      <c r="B896" s="203"/>
      <c r="C896" s="203"/>
      <c r="D896" s="203"/>
      <c r="E896" s="203"/>
      <c r="F896" s="203"/>
      <c r="G896" s="203"/>
      <c r="H896" s="203"/>
      <c r="I896" s="203"/>
      <c r="J896" s="203"/>
      <c r="K896" s="203"/>
      <c r="L896" s="203"/>
      <c r="M896" s="203"/>
      <c r="N896" s="203"/>
      <c r="O896" s="203"/>
      <c r="P896" s="203"/>
      <c r="Q896" s="203"/>
      <c r="R896" s="203"/>
      <c r="S896" s="203"/>
      <c r="T896" s="203"/>
      <c r="U896" s="203"/>
      <c r="V896" s="203"/>
      <c r="W896" s="203"/>
      <c r="X896" s="203"/>
      <c r="Y896" s="203"/>
      <c r="Z896" s="203"/>
    </row>
    <row r="897" ht="12.75" customHeight="1">
      <c r="A897" s="203"/>
      <c r="B897" s="203"/>
      <c r="C897" s="203"/>
      <c r="D897" s="203"/>
      <c r="E897" s="203"/>
      <c r="F897" s="203"/>
      <c r="G897" s="203"/>
      <c r="H897" s="203"/>
      <c r="I897" s="203"/>
      <c r="J897" s="203"/>
      <c r="K897" s="203"/>
      <c r="L897" s="203"/>
      <c r="M897" s="203"/>
      <c r="N897" s="203"/>
      <c r="O897" s="203"/>
      <c r="P897" s="203"/>
      <c r="Q897" s="203"/>
      <c r="R897" s="203"/>
      <c r="S897" s="203"/>
      <c r="T897" s="203"/>
      <c r="U897" s="203"/>
      <c r="V897" s="203"/>
      <c r="W897" s="203"/>
      <c r="X897" s="203"/>
      <c r="Y897" s="203"/>
      <c r="Z897" s="203"/>
    </row>
    <row r="898" ht="12.75" customHeight="1">
      <c r="A898" s="203"/>
      <c r="B898" s="203"/>
      <c r="C898" s="203"/>
      <c r="D898" s="203"/>
      <c r="E898" s="203"/>
      <c r="F898" s="203"/>
      <c r="G898" s="203"/>
      <c r="H898" s="203"/>
      <c r="I898" s="203"/>
      <c r="J898" s="203"/>
      <c r="K898" s="203"/>
      <c r="L898" s="203"/>
      <c r="M898" s="203"/>
      <c r="N898" s="203"/>
      <c r="O898" s="203"/>
      <c r="P898" s="203"/>
      <c r="Q898" s="203"/>
      <c r="R898" s="203"/>
      <c r="S898" s="203"/>
      <c r="T898" s="203"/>
      <c r="U898" s="203"/>
      <c r="V898" s="203"/>
      <c r="W898" s="203"/>
      <c r="X898" s="203"/>
      <c r="Y898" s="203"/>
      <c r="Z898" s="203"/>
    </row>
    <row r="899" ht="12.75" customHeight="1">
      <c r="A899" s="203"/>
      <c r="B899" s="203"/>
      <c r="C899" s="203"/>
      <c r="D899" s="203"/>
      <c r="E899" s="203"/>
      <c r="F899" s="203"/>
      <c r="G899" s="203"/>
      <c r="H899" s="203"/>
      <c r="I899" s="203"/>
      <c r="J899" s="203"/>
      <c r="K899" s="203"/>
      <c r="L899" s="203"/>
      <c r="M899" s="203"/>
      <c r="N899" s="203"/>
      <c r="O899" s="203"/>
      <c r="P899" s="203"/>
      <c r="Q899" s="203"/>
      <c r="R899" s="203"/>
      <c r="S899" s="203"/>
      <c r="T899" s="203"/>
      <c r="U899" s="203"/>
      <c r="V899" s="203"/>
      <c r="W899" s="203"/>
      <c r="X899" s="203"/>
      <c r="Y899" s="203"/>
      <c r="Z899" s="203"/>
    </row>
    <row r="900" ht="12.75" customHeight="1">
      <c r="A900" s="203"/>
      <c r="B900" s="203"/>
      <c r="C900" s="203"/>
      <c r="D900" s="203"/>
      <c r="E900" s="203"/>
      <c r="F900" s="203"/>
      <c r="G900" s="203"/>
      <c r="H900" s="203"/>
      <c r="I900" s="203"/>
      <c r="J900" s="203"/>
      <c r="K900" s="203"/>
      <c r="L900" s="203"/>
      <c r="M900" s="203"/>
      <c r="N900" s="203"/>
      <c r="O900" s="203"/>
      <c r="P900" s="203"/>
      <c r="Q900" s="203"/>
      <c r="R900" s="203"/>
      <c r="S900" s="203"/>
      <c r="T900" s="203"/>
      <c r="U900" s="203"/>
      <c r="V900" s="203"/>
      <c r="W900" s="203"/>
      <c r="X900" s="203"/>
      <c r="Y900" s="203"/>
      <c r="Z900" s="203"/>
    </row>
    <row r="901" ht="12.75" customHeight="1">
      <c r="A901" s="203"/>
      <c r="B901" s="203"/>
      <c r="C901" s="203"/>
      <c r="D901" s="203"/>
      <c r="E901" s="203"/>
      <c r="F901" s="203"/>
      <c r="G901" s="203"/>
      <c r="H901" s="203"/>
      <c r="I901" s="203"/>
      <c r="J901" s="203"/>
      <c r="K901" s="203"/>
      <c r="L901" s="203"/>
      <c r="M901" s="203"/>
      <c r="N901" s="203"/>
      <c r="O901" s="203"/>
      <c r="P901" s="203"/>
      <c r="Q901" s="203"/>
      <c r="R901" s="203"/>
      <c r="S901" s="203"/>
      <c r="T901" s="203"/>
      <c r="U901" s="203"/>
      <c r="V901" s="203"/>
      <c r="W901" s="203"/>
      <c r="X901" s="203"/>
      <c r="Y901" s="203"/>
      <c r="Z901" s="203"/>
    </row>
    <row r="902" ht="12.75" customHeight="1">
      <c r="A902" s="203"/>
      <c r="B902" s="203"/>
      <c r="C902" s="203"/>
      <c r="D902" s="203"/>
      <c r="E902" s="203"/>
      <c r="F902" s="203"/>
      <c r="G902" s="203"/>
      <c r="H902" s="203"/>
      <c r="I902" s="203"/>
      <c r="J902" s="203"/>
      <c r="K902" s="203"/>
      <c r="L902" s="203"/>
      <c r="M902" s="203"/>
      <c r="N902" s="203"/>
      <c r="O902" s="203"/>
      <c r="P902" s="203"/>
      <c r="Q902" s="203"/>
      <c r="R902" s="203"/>
      <c r="S902" s="203"/>
      <c r="T902" s="203"/>
      <c r="U902" s="203"/>
      <c r="V902" s="203"/>
      <c r="W902" s="203"/>
      <c r="X902" s="203"/>
      <c r="Y902" s="203"/>
      <c r="Z902" s="203"/>
    </row>
    <row r="903" ht="12.75" customHeight="1">
      <c r="A903" s="203"/>
      <c r="B903" s="203"/>
      <c r="C903" s="203"/>
      <c r="D903" s="203"/>
      <c r="E903" s="203"/>
      <c r="F903" s="203"/>
      <c r="G903" s="203"/>
      <c r="H903" s="203"/>
      <c r="I903" s="203"/>
      <c r="J903" s="203"/>
      <c r="K903" s="203"/>
      <c r="L903" s="203"/>
      <c r="M903" s="203"/>
      <c r="N903" s="203"/>
      <c r="O903" s="203"/>
      <c r="P903" s="203"/>
      <c r="Q903" s="203"/>
      <c r="R903" s="203"/>
      <c r="S903" s="203"/>
      <c r="T903" s="203"/>
      <c r="U903" s="203"/>
      <c r="V903" s="203"/>
      <c r="W903" s="203"/>
      <c r="X903" s="203"/>
      <c r="Y903" s="203"/>
      <c r="Z903" s="203"/>
    </row>
    <row r="904" ht="12.75" customHeight="1">
      <c r="A904" s="203"/>
      <c r="B904" s="203"/>
      <c r="C904" s="203"/>
      <c r="D904" s="203"/>
      <c r="E904" s="203"/>
      <c r="F904" s="203"/>
      <c r="G904" s="203"/>
      <c r="H904" s="203"/>
      <c r="I904" s="203"/>
      <c r="J904" s="203"/>
      <c r="K904" s="203"/>
      <c r="L904" s="203"/>
      <c r="M904" s="203"/>
      <c r="N904" s="203"/>
      <c r="O904" s="203"/>
      <c r="P904" s="203"/>
      <c r="Q904" s="203"/>
      <c r="R904" s="203"/>
      <c r="S904" s="203"/>
      <c r="T904" s="203"/>
      <c r="U904" s="203"/>
      <c r="V904" s="203"/>
      <c r="W904" s="203"/>
      <c r="X904" s="203"/>
      <c r="Y904" s="203"/>
      <c r="Z904" s="203"/>
    </row>
    <row r="905" ht="12.75" customHeight="1">
      <c r="A905" s="203"/>
      <c r="B905" s="203"/>
      <c r="C905" s="203"/>
      <c r="D905" s="203"/>
      <c r="E905" s="203"/>
      <c r="F905" s="203"/>
      <c r="G905" s="203"/>
      <c r="H905" s="203"/>
      <c r="I905" s="203"/>
      <c r="J905" s="203"/>
      <c r="K905" s="203"/>
      <c r="L905" s="203"/>
      <c r="M905" s="203"/>
      <c r="N905" s="203"/>
      <c r="O905" s="203"/>
      <c r="P905" s="203"/>
      <c r="Q905" s="203"/>
      <c r="R905" s="203"/>
      <c r="S905" s="203"/>
      <c r="T905" s="203"/>
      <c r="U905" s="203"/>
      <c r="V905" s="203"/>
      <c r="W905" s="203"/>
      <c r="X905" s="203"/>
      <c r="Y905" s="203"/>
      <c r="Z905" s="203"/>
    </row>
    <row r="906" ht="12.75" customHeight="1">
      <c r="A906" s="203"/>
      <c r="B906" s="203"/>
      <c r="C906" s="203"/>
      <c r="D906" s="203"/>
      <c r="E906" s="203"/>
      <c r="F906" s="203"/>
      <c r="G906" s="203"/>
      <c r="H906" s="203"/>
      <c r="I906" s="203"/>
      <c r="J906" s="203"/>
      <c r="K906" s="203"/>
      <c r="L906" s="203"/>
      <c r="M906" s="203"/>
      <c r="N906" s="203"/>
      <c r="O906" s="203"/>
      <c r="P906" s="203"/>
      <c r="Q906" s="203"/>
      <c r="R906" s="203"/>
      <c r="S906" s="203"/>
      <c r="T906" s="203"/>
      <c r="U906" s="203"/>
      <c r="V906" s="203"/>
      <c r="W906" s="203"/>
      <c r="X906" s="203"/>
      <c r="Y906" s="203"/>
      <c r="Z906" s="203"/>
    </row>
    <row r="907" ht="12.75" customHeight="1">
      <c r="A907" s="203"/>
      <c r="B907" s="203"/>
      <c r="C907" s="203"/>
      <c r="D907" s="203"/>
      <c r="E907" s="203"/>
      <c r="F907" s="203"/>
      <c r="G907" s="203"/>
      <c r="H907" s="203"/>
      <c r="I907" s="203"/>
      <c r="J907" s="203"/>
      <c r="K907" s="203"/>
      <c r="L907" s="203"/>
      <c r="M907" s="203"/>
      <c r="N907" s="203"/>
      <c r="O907" s="203"/>
      <c r="P907" s="203"/>
      <c r="Q907" s="203"/>
      <c r="R907" s="203"/>
      <c r="S907" s="203"/>
      <c r="T907" s="203"/>
      <c r="U907" s="203"/>
      <c r="V907" s="203"/>
      <c r="W907" s="203"/>
      <c r="X907" s="203"/>
      <c r="Y907" s="203"/>
      <c r="Z907" s="203"/>
    </row>
    <row r="908" ht="12.75" customHeight="1">
      <c r="A908" s="203"/>
      <c r="B908" s="203"/>
      <c r="C908" s="203"/>
      <c r="D908" s="203"/>
      <c r="E908" s="203"/>
      <c r="F908" s="203"/>
      <c r="G908" s="203"/>
      <c r="H908" s="203"/>
      <c r="I908" s="203"/>
      <c r="J908" s="203"/>
      <c r="K908" s="203"/>
      <c r="L908" s="203"/>
      <c r="M908" s="203"/>
      <c r="N908" s="203"/>
      <c r="O908" s="203"/>
      <c r="P908" s="203"/>
      <c r="Q908" s="203"/>
      <c r="R908" s="203"/>
      <c r="S908" s="203"/>
      <c r="T908" s="203"/>
      <c r="U908" s="203"/>
      <c r="V908" s="203"/>
      <c r="W908" s="203"/>
      <c r="X908" s="203"/>
      <c r="Y908" s="203"/>
      <c r="Z908" s="203"/>
    </row>
    <row r="909" ht="12.75" customHeight="1">
      <c r="A909" s="203"/>
      <c r="B909" s="203"/>
      <c r="C909" s="203"/>
      <c r="D909" s="203"/>
      <c r="E909" s="203"/>
      <c r="F909" s="203"/>
      <c r="G909" s="203"/>
      <c r="H909" s="203"/>
      <c r="I909" s="203"/>
      <c r="J909" s="203"/>
      <c r="K909" s="203"/>
      <c r="L909" s="203"/>
      <c r="M909" s="203"/>
      <c r="N909" s="203"/>
      <c r="O909" s="203"/>
      <c r="P909" s="203"/>
      <c r="Q909" s="203"/>
      <c r="R909" s="203"/>
      <c r="S909" s="203"/>
      <c r="T909" s="203"/>
      <c r="U909" s="203"/>
      <c r="V909" s="203"/>
      <c r="W909" s="203"/>
      <c r="X909" s="203"/>
      <c r="Y909" s="203"/>
      <c r="Z909" s="203"/>
    </row>
    <row r="910" ht="12.75" customHeight="1">
      <c r="A910" s="203"/>
      <c r="B910" s="203"/>
      <c r="C910" s="203"/>
      <c r="D910" s="203"/>
      <c r="E910" s="203"/>
      <c r="F910" s="203"/>
      <c r="G910" s="203"/>
      <c r="H910" s="203"/>
      <c r="I910" s="203"/>
      <c r="J910" s="203"/>
      <c r="K910" s="203"/>
      <c r="L910" s="203"/>
      <c r="M910" s="203"/>
      <c r="N910" s="203"/>
      <c r="O910" s="203"/>
      <c r="P910" s="203"/>
      <c r="Q910" s="203"/>
      <c r="R910" s="203"/>
      <c r="S910" s="203"/>
      <c r="T910" s="203"/>
      <c r="U910" s="203"/>
      <c r="V910" s="203"/>
      <c r="W910" s="203"/>
      <c r="X910" s="203"/>
      <c r="Y910" s="203"/>
      <c r="Z910" s="203"/>
    </row>
    <row r="911" ht="12.75" customHeight="1">
      <c r="A911" s="203"/>
      <c r="B911" s="203"/>
      <c r="C911" s="203"/>
      <c r="D911" s="203"/>
      <c r="E911" s="203"/>
      <c r="F911" s="203"/>
      <c r="G911" s="203"/>
      <c r="H911" s="203"/>
      <c r="I911" s="203"/>
      <c r="J911" s="203"/>
      <c r="K911" s="203"/>
      <c r="L911" s="203"/>
      <c r="M911" s="203"/>
      <c r="N911" s="203"/>
      <c r="O911" s="203"/>
      <c r="P911" s="203"/>
      <c r="Q911" s="203"/>
      <c r="R911" s="203"/>
      <c r="S911" s="203"/>
      <c r="T911" s="203"/>
      <c r="U911" s="203"/>
      <c r="V911" s="203"/>
      <c r="W911" s="203"/>
      <c r="X911" s="203"/>
      <c r="Y911" s="203"/>
      <c r="Z911" s="203"/>
    </row>
    <row r="912" ht="12.75" customHeight="1">
      <c r="A912" s="203"/>
      <c r="B912" s="203"/>
      <c r="C912" s="203"/>
      <c r="D912" s="203"/>
      <c r="E912" s="203"/>
      <c r="F912" s="203"/>
      <c r="G912" s="203"/>
      <c r="H912" s="203"/>
      <c r="I912" s="203"/>
      <c r="J912" s="203"/>
      <c r="K912" s="203"/>
      <c r="L912" s="203"/>
      <c r="M912" s="203"/>
      <c r="N912" s="203"/>
      <c r="O912" s="203"/>
      <c r="P912" s="203"/>
      <c r="Q912" s="203"/>
      <c r="R912" s="203"/>
      <c r="S912" s="203"/>
      <c r="T912" s="203"/>
      <c r="U912" s="203"/>
      <c r="V912" s="203"/>
      <c r="W912" s="203"/>
      <c r="X912" s="203"/>
      <c r="Y912" s="203"/>
      <c r="Z912" s="203"/>
    </row>
    <row r="913" ht="12.75" customHeight="1">
      <c r="A913" s="203"/>
      <c r="B913" s="203"/>
      <c r="C913" s="203"/>
      <c r="D913" s="203"/>
      <c r="E913" s="203"/>
      <c r="F913" s="203"/>
      <c r="G913" s="203"/>
      <c r="H913" s="203"/>
      <c r="I913" s="203"/>
      <c r="J913" s="203"/>
      <c r="K913" s="203"/>
      <c r="L913" s="203"/>
      <c r="M913" s="203"/>
      <c r="N913" s="203"/>
      <c r="O913" s="203"/>
      <c r="P913" s="203"/>
      <c r="Q913" s="203"/>
      <c r="R913" s="203"/>
      <c r="S913" s="203"/>
      <c r="T913" s="203"/>
      <c r="U913" s="203"/>
      <c r="V913" s="203"/>
      <c r="W913" s="203"/>
      <c r="X913" s="203"/>
      <c r="Y913" s="203"/>
      <c r="Z913" s="203"/>
    </row>
    <row r="914" ht="12.75" customHeight="1">
      <c r="A914" s="203"/>
      <c r="B914" s="203"/>
      <c r="C914" s="203"/>
      <c r="D914" s="203"/>
      <c r="E914" s="203"/>
      <c r="F914" s="203"/>
      <c r="G914" s="203"/>
      <c r="H914" s="203"/>
      <c r="I914" s="203"/>
      <c r="J914" s="203"/>
      <c r="K914" s="203"/>
      <c r="L914" s="203"/>
      <c r="M914" s="203"/>
      <c r="N914" s="203"/>
      <c r="O914" s="203"/>
      <c r="P914" s="203"/>
      <c r="Q914" s="203"/>
      <c r="R914" s="203"/>
      <c r="S914" s="203"/>
      <c r="T914" s="203"/>
      <c r="U914" s="203"/>
      <c r="V914" s="203"/>
      <c r="W914" s="203"/>
      <c r="X914" s="203"/>
      <c r="Y914" s="203"/>
      <c r="Z914" s="203"/>
    </row>
    <row r="915" ht="12.75" customHeight="1">
      <c r="A915" s="203"/>
      <c r="B915" s="203"/>
      <c r="C915" s="203"/>
      <c r="D915" s="203"/>
      <c r="E915" s="203"/>
      <c r="F915" s="203"/>
      <c r="G915" s="203"/>
      <c r="H915" s="203"/>
      <c r="I915" s="203"/>
      <c r="J915" s="203"/>
      <c r="K915" s="203"/>
      <c r="L915" s="203"/>
      <c r="M915" s="203"/>
      <c r="N915" s="203"/>
      <c r="O915" s="203"/>
      <c r="P915" s="203"/>
      <c r="Q915" s="203"/>
      <c r="R915" s="203"/>
      <c r="S915" s="203"/>
      <c r="T915" s="203"/>
      <c r="U915" s="203"/>
      <c r="V915" s="203"/>
      <c r="W915" s="203"/>
      <c r="X915" s="203"/>
      <c r="Y915" s="203"/>
      <c r="Z915" s="203"/>
    </row>
    <row r="916" ht="12.75" customHeight="1">
      <c r="A916" s="203"/>
      <c r="B916" s="203"/>
      <c r="C916" s="203"/>
      <c r="D916" s="203"/>
      <c r="E916" s="203"/>
      <c r="F916" s="203"/>
      <c r="G916" s="203"/>
      <c r="H916" s="203"/>
      <c r="I916" s="203"/>
      <c r="J916" s="203"/>
      <c r="K916" s="203"/>
      <c r="L916" s="203"/>
      <c r="M916" s="203"/>
      <c r="N916" s="203"/>
      <c r="O916" s="203"/>
      <c r="P916" s="203"/>
      <c r="Q916" s="203"/>
      <c r="R916" s="203"/>
      <c r="S916" s="203"/>
      <c r="T916" s="203"/>
      <c r="U916" s="203"/>
      <c r="V916" s="203"/>
      <c r="W916" s="203"/>
      <c r="X916" s="203"/>
      <c r="Y916" s="203"/>
      <c r="Z916" s="203"/>
    </row>
    <row r="917" ht="12.75" customHeight="1">
      <c r="A917" s="203"/>
      <c r="B917" s="203"/>
      <c r="C917" s="203"/>
      <c r="D917" s="203"/>
      <c r="E917" s="203"/>
      <c r="F917" s="203"/>
      <c r="G917" s="203"/>
      <c r="H917" s="203"/>
      <c r="I917" s="203"/>
      <c r="J917" s="203"/>
      <c r="K917" s="203"/>
      <c r="L917" s="203"/>
      <c r="M917" s="203"/>
      <c r="N917" s="203"/>
      <c r="O917" s="203"/>
      <c r="P917" s="203"/>
      <c r="Q917" s="203"/>
      <c r="R917" s="203"/>
      <c r="S917" s="203"/>
      <c r="T917" s="203"/>
      <c r="U917" s="203"/>
      <c r="V917" s="203"/>
      <c r="W917" s="203"/>
      <c r="X917" s="203"/>
      <c r="Y917" s="203"/>
      <c r="Z917" s="203"/>
    </row>
    <row r="918" ht="12.75" customHeight="1">
      <c r="A918" s="203"/>
      <c r="B918" s="203"/>
      <c r="C918" s="203"/>
      <c r="D918" s="203"/>
      <c r="E918" s="203"/>
      <c r="F918" s="203"/>
      <c r="G918" s="203"/>
      <c r="H918" s="203"/>
      <c r="I918" s="203"/>
      <c r="J918" s="203"/>
      <c r="K918" s="203"/>
      <c r="L918" s="203"/>
      <c r="M918" s="203"/>
      <c r="N918" s="203"/>
      <c r="O918" s="203"/>
      <c r="P918" s="203"/>
      <c r="Q918" s="203"/>
      <c r="R918" s="203"/>
      <c r="S918" s="203"/>
      <c r="T918" s="203"/>
      <c r="U918" s="203"/>
      <c r="V918" s="203"/>
      <c r="W918" s="203"/>
      <c r="X918" s="203"/>
      <c r="Y918" s="203"/>
      <c r="Z918" s="203"/>
    </row>
    <row r="919" ht="12.75" customHeight="1">
      <c r="A919" s="203"/>
      <c r="B919" s="203"/>
      <c r="C919" s="203"/>
      <c r="D919" s="203"/>
      <c r="E919" s="203"/>
      <c r="F919" s="203"/>
      <c r="G919" s="203"/>
      <c r="H919" s="203"/>
      <c r="I919" s="203"/>
      <c r="J919" s="203"/>
      <c r="K919" s="203"/>
      <c r="L919" s="203"/>
      <c r="M919" s="203"/>
      <c r="N919" s="203"/>
      <c r="O919" s="203"/>
      <c r="P919" s="203"/>
      <c r="Q919" s="203"/>
      <c r="R919" s="203"/>
      <c r="S919" s="203"/>
      <c r="T919" s="203"/>
      <c r="U919" s="203"/>
      <c r="V919" s="203"/>
      <c r="W919" s="203"/>
      <c r="X919" s="203"/>
      <c r="Y919" s="203"/>
      <c r="Z919" s="203"/>
    </row>
    <row r="920" ht="12.75" customHeight="1">
      <c r="A920" s="203"/>
      <c r="B920" s="203"/>
      <c r="C920" s="203"/>
      <c r="D920" s="203"/>
      <c r="E920" s="203"/>
      <c r="F920" s="203"/>
      <c r="G920" s="203"/>
      <c r="H920" s="203"/>
      <c r="I920" s="203"/>
      <c r="J920" s="203"/>
      <c r="K920" s="203"/>
      <c r="L920" s="203"/>
      <c r="M920" s="203"/>
      <c r="N920" s="203"/>
      <c r="O920" s="203"/>
      <c r="P920" s="203"/>
      <c r="Q920" s="203"/>
      <c r="R920" s="203"/>
      <c r="S920" s="203"/>
      <c r="T920" s="203"/>
      <c r="U920" s="203"/>
      <c r="V920" s="203"/>
      <c r="W920" s="203"/>
      <c r="X920" s="203"/>
      <c r="Y920" s="203"/>
      <c r="Z920" s="203"/>
    </row>
    <row r="921" ht="12.75" customHeight="1">
      <c r="A921" s="203"/>
      <c r="B921" s="203"/>
      <c r="C921" s="203"/>
      <c r="D921" s="203"/>
      <c r="E921" s="203"/>
      <c r="F921" s="203"/>
      <c r="G921" s="203"/>
      <c r="H921" s="203"/>
      <c r="I921" s="203"/>
      <c r="J921" s="203"/>
      <c r="K921" s="203"/>
      <c r="L921" s="203"/>
      <c r="M921" s="203"/>
      <c r="N921" s="203"/>
      <c r="O921" s="203"/>
      <c r="P921" s="203"/>
      <c r="Q921" s="203"/>
      <c r="R921" s="203"/>
      <c r="S921" s="203"/>
      <c r="T921" s="203"/>
      <c r="U921" s="203"/>
      <c r="V921" s="203"/>
      <c r="W921" s="203"/>
      <c r="X921" s="203"/>
      <c r="Y921" s="203"/>
      <c r="Z921" s="203"/>
    </row>
    <row r="922" ht="12.75" customHeight="1">
      <c r="A922" s="203"/>
      <c r="B922" s="203"/>
      <c r="C922" s="203"/>
      <c r="D922" s="203"/>
      <c r="E922" s="203"/>
      <c r="F922" s="203"/>
      <c r="G922" s="203"/>
      <c r="H922" s="203"/>
      <c r="I922" s="203"/>
      <c r="J922" s="203"/>
      <c r="K922" s="203"/>
      <c r="L922" s="203"/>
      <c r="M922" s="203"/>
      <c r="N922" s="203"/>
      <c r="O922" s="203"/>
      <c r="P922" s="203"/>
      <c r="Q922" s="203"/>
      <c r="R922" s="203"/>
      <c r="S922" s="203"/>
      <c r="T922" s="203"/>
      <c r="U922" s="203"/>
      <c r="V922" s="203"/>
      <c r="W922" s="203"/>
      <c r="X922" s="203"/>
      <c r="Y922" s="203"/>
      <c r="Z922" s="203"/>
    </row>
    <row r="923" ht="12.75" customHeight="1">
      <c r="A923" s="203"/>
      <c r="B923" s="203"/>
      <c r="C923" s="203"/>
      <c r="D923" s="203"/>
      <c r="E923" s="203"/>
      <c r="F923" s="203"/>
      <c r="G923" s="203"/>
      <c r="H923" s="203"/>
      <c r="I923" s="203"/>
      <c r="J923" s="203"/>
      <c r="K923" s="203"/>
      <c r="L923" s="203"/>
      <c r="M923" s="203"/>
      <c r="N923" s="203"/>
      <c r="O923" s="203"/>
      <c r="P923" s="203"/>
      <c r="Q923" s="203"/>
      <c r="R923" s="203"/>
      <c r="S923" s="203"/>
      <c r="T923" s="203"/>
      <c r="U923" s="203"/>
      <c r="V923" s="203"/>
      <c r="W923" s="203"/>
      <c r="X923" s="203"/>
      <c r="Y923" s="203"/>
      <c r="Z923" s="203"/>
    </row>
    <row r="924" ht="12.75" customHeight="1">
      <c r="A924" s="203"/>
      <c r="B924" s="203"/>
      <c r="C924" s="203"/>
      <c r="D924" s="203"/>
      <c r="E924" s="203"/>
      <c r="F924" s="203"/>
      <c r="G924" s="203"/>
      <c r="H924" s="203"/>
      <c r="I924" s="203"/>
      <c r="J924" s="203"/>
      <c r="K924" s="203"/>
      <c r="L924" s="203"/>
      <c r="M924" s="203"/>
      <c r="N924" s="203"/>
      <c r="O924" s="203"/>
      <c r="P924" s="203"/>
      <c r="Q924" s="203"/>
      <c r="R924" s="203"/>
      <c r="S924" s="203"/>
      <c r="T924" s="203"/>
      <c r="U924" s="203"/>
      <c r="V924" s="203"/>
      <c r="W924" s="203"/>
      <c r="X924" s="203"/>
      <c r="Y924" s="203"/>
      <c r="Z924" s="203"/>
    </row>
    <row r="925" ht="12.75" customHeight="1">
      <c r="A925" s="203"/>
      <c r="B925" s="203"/>
      <c r="C925" s="203"/>
      <c r="D925" s="203"/>
      <c r="E925" s="203"/>
      <c r="F925" s="203"/>
      <c r="G925" s="203"/>
      <c r="H925" s="203"/>
      <c r="I925" s="203"/>
      <c r="J925" s="203"/>
      <c r="K925" s="203"/>
      <c r="L925" s="203"/>
      <c r="M925" s="203"/>
      <c r="N925" s="203"/>
      <c r="O925" s="203"/>
      <c r="P925" s="203"/>
      <c r="Q925" s="203"/>
      <c r="R925" s="203"/>
      <c r="S925" s="203"/>
      <c r="T925" s="203"/>
      <c r="U925" s="203"/>
      <c r="V925" s="203"/>
      <c r="W925" s="203"/>
      <c r="X925" s="203"/>
      <c r="Y925" s="203"/>
      <c r="Z925" s="203"/>
    </row>
    <row r="926" ht="12.75" customHeight="1">
      <c r="A926" s="203"/>
      <c r="B926" s="203"/>
      <c r="C926" s="203"/>
      <c r="D926" s="203"/>
      <c r="E926" s="203"/>
      <c r="F926" s="203"/>
      <c r="G926" s="203"/>
      <c r="H926" s="203"/>
      <c r="I926" s="203"/>
      <c r="J926" s="203"/>
      <c r="K926" s="203"/>
      <c r="L926" s="203"/>
      <c r="M926" s="203"/>
      <c r="N926" s="203"/>
      <c r="O926" s="203"/>
      <c r="P926" s="203"/>
      <c r="Q926" s="203"/>
      <c r="R926" s="203"/>
      <c r="S926" s="203"/>
      <c r="T926" s="203"/>
      <c r="U926" s="203"/>
      <c r="V926" s="203"/>
      <c r="W926" s="203"/>
      <c r="X926" s="203"/>
      <c r="Y926" s="203"/>
      <c r="Z926" s="203"/>
    </row>
    <row r="927" ht="12.75" customHeight="1">
      <c r="A927" s="203"/>
      <c r="B927" s="203"/>
      <c r="C927" s="203"/>
      <c r="D927" s="203"/>
      <c r="E927" s="203"/>
      <c r="F927" s="203"/>
      <c r="G927" s="203"/>
      <c r="H927" s="203"/>
      <c r="I927" s="203"/>
      <c r="J927" s="203"/>
      <c r="K927" s="203"/>
      <c r="L927" s="203"/>
      <c r="M927" s="203"/>
      <c r="N927" s="203"/>
      <c r="O927" s="203"/>
      <c r="P927" s="203"/>
      <c r="Q927" s="203"/>
      <c r="R927" s="203"/>
      <c r="S927" s="203"/>
      <c r="T927" s="203"/>
      <c r="U927" s="203"/>
      <c r="V927" s="203"/>
      <c r="W927" s="203"/>
      <c r="X927" s="203"/>
      <c r="Y927" s="203"/>
      <c r="Z927" s="203"/>
    </row>
    <row r="928" ht="12.75" customHeight="1">
      <c r="A928" s="203"/>
      <c r="B928" s="203"/>
      <c r="C928" s="203"/>
      <c r="D928" s="203"/>
      <c r="E928" s="203"/>
      <c r="F928" s="203"/>
      <c r="G928" s="203"/>
      <c r="H928" s="203"/>
      <c r="I928" s="203"/>
      <c r="J928" s="203"/>
      <c r="K928" s="203"/>
      <c r="L928" s="203"/>
      <c r="M928" s="203"/>
      <c r="N928" s="203"/>
      <c r="O928" s="203"/>
      <c r="P928" s="203"/>
      <c r="Q928" s="203"/>
      <c r="R928" s="203"/>
      <c r="S928" s="203"/>
      <c r="T928" s="203"/>
      <c r="U928" s="203"/>
      <c r="V928" s="203"/>
      <c r="W928" s="203"/>
      <c r="X928" s="203"/>
      <c r="Y928" s="203"/>
      <c r="Z928" s="203"/>
    </row>
    <row r="929" ht="12.75" customHeight="1">
      <c r="A929" s="203"/>
      <c r="B929" s="203"/>
      <c r="C929" s="203"/>
      <c r="D929" s="203"/>
      <c r="E929" s="203"/>
      <c r="F929" s="203"/>
      <c r="G929" s="203"/>
      <c r="H929" s="203"/>
      <c r="I929" s="203"/>
      <c r="J929" s="203"/>
      <c r="K929" s="203"/>
      <c r="L929" s="203"/>
      <c r="M929" s="203"/>
      <c r="N929" s="203"/>
      <c r="O929" s="203"/>
      <c r="P929" s="203"/>
      <c r="Q929" s="203"/>
      <c r="R929" s="203"/>
      <c r="S929" s="203"/>
      <c r="T929" s="203"/>
      <c r="U929" s="203"/>
      <c r="V929" s="203"/>
      <c r="W929" s="203"/>
      <c r="X929" s="203"/>
      <c r="Y929" s="203"/>
      <c r="Z929" s="203"/>
    </row>
    <row r="930" ht="12.75" customHeight="1">
      <c r="A930" s="203"/>
      <c r="B930" s="203"/>
      <c r="C930" s="203"/>
      <c r="D930" s="203"/>
      <c r="E930" s="203"/>
      <c r="F930" s="203"/>
      <c r="G930" s="203"/>
      <c r="H930" s="203"/>
      <c r="I930" s="203"/>
      <c r="J930" s="203"/>
      <c r="K930" s="203"/>
      <c r="L930" s="203"/>
      <c r="M930" s="203"/>
      <c r="N930" s="203"/>
      <c r="O930" s="203"/>
      <c r="P930" s="203"/>
      <c r="Q930" s="203"/>
      <c r="R930" s="203"/>
      <c r="S930" s="203"/>
      <c r="T930" s="203"/>
      <c r="U930" s="203"/>
      <c r="V930" s="203"/>
      <c r="W930" s="203"/>
      <c r="X930" s="203"/>
      <c r="Y930" s="203"/>
      <c r="Z930" s="203"/>
    </row>
    <row r="931" ht="12.75" customHeight="1">
      <c r="A931" s="203"/>
      <c r="B931" s="203"/>
      <c r="C931" s="203"/>
      <c r="D931" s="203"/>
      <c r="E931" s="203"/>
      <c r="F931" s="203"/>
      <c r="G931" s="203"/>
      <c r="H931" s="203"/>
      <c r="I931" s="203"/>
      <c r="J931" s="203"/>
      <c r="K931" s="203"/>
      <c r="L931" s="203"/>
      <c r="M931" s="203"/>
      <c r="N931" s="203"/>
      <c r="O931" s="203"/>
      <c r="P931" s="203"/>
      <c r="Q931" s="203"/>
      <c r="R931" s="203"/>
      <c r="S931" s="203"/>
      <c r="T931" s="203"/>
      <c r="U931" s="203"/>
      <c r="V931" s="203"/>
      <c r="W931" s="203"/>
      <c r="X931" s="203"/>
      <c r="Y931" s="203"/>
      <c r="Z931" s="203"/>
    </row>
    <row r="932" ht="12.75" customHeight="1">
      <c r="A932" s="203"/>
      <c r="B932" s="203"/>
      <c r="C932" s="203"/>
      <c r="D932" s="203"/>
      <c r="E932" s="203"/>
      <c r="F932" s="203"/>
      <c r="G932" s="203"/>
      <c r="H932" s="203"/>
      <c r="I932" s="203"/>
      <c r="J932" s="203"/>
      <c r="K932" s="203"/>
      <c r="L932" s="203"/>
      <c r="M932" s="203"/>
      <c r="N932" s="203"/>
      <c r="O932" s="203"/>
      <c r="P932" s="203"/>
      <c r="Q932" s="203"/>
      <c r="R932" s="203"/>
      <c r="S932" s="203"/>
      <c r="T932" s="203"/>
      <c r="U932" s="203"/>
      <c r="V932" s="203"/>
      <c r="W932" s="203"/>
      <c r="X932" s="203"/>
      <c r="Y932" s="203"/>
      <c r="Z932" s="203"/>
    </row>
    <row r="933" ht="12.75" customHeight="1">
      <c r="A933" s="203"/>
      <c r="B933" s="203"/>
      <c r="C933" s="203"/>
      <c r="D933" s="203"/>
      <c r="E933" s="203"/>
      <c r="F933" s="203"/>
      <c r="G933" s="203"/>
      <c r="H933" s="203"/>
      <c r="I933" s="203"/>
      <c r="J933" s="203"/>
      <c r="K933" s="203"/>
      <c r="L933" s="203"/>
      <c r="M933" s="203"/>
      <c r="N933" s="203"/>
      <c r="O933" s="203"/>
      <c r="P933" s="203"/>
      <c r="Q933" s="203"/>
      <c r="R933" s="203"/>
      <c r="S933" s="203"/>
      <c r="T933" s="203"/>
      <c r="U933" s="203"/>
      <c r="V933" s="203"/>
      <c r="W933" s="203"/>
      <c r="X933" s="203"/>
      <c r="Y933" s="203"/>
      <c r="Z933" s="203"/>
    </row>
    <row r="934" ht="12.75" customHeight="1">
      <c r="A934" s="203"/>
      <c r="B934" s="203"/>
      <c r="C934" s="203"/>
      <c r="D934" s="203"/>
      <c r="E934" s="203"/>
      <c r="F934" s="203"/>
      <c r="G934" s="203"/>
      <c r="H934" s="203"/>
      <c r="I934" s="203"/>
      <c r="J934" s="203"/>
      <c r="K934" s="203"/>
      <c r="L934" s="203"/>
      <c r="M934" s="203"/>
      <c r="N934" s="203"/>
      <c r="O934" s="203"/>
      <c r="P934" s="203"/>
      <c r="Q934" s="203"/>
      <c r="R934" s="203"/>
      <c r="S934" s="203"/>
      <c r="T934" s="203"/>
      <c r="U934" s="203"/>
      <c r="V934" s="203"/>
      <c r="W934" s="203"/>
      <c r="X934" s="203"/>
      <c r="Y934" s="203"/>
      <c r="Z934" s="203"/>
    </row>
    <row r="935" ht="12.75" customHeight="1">
      <c r="A935" s="203"/>
      <c r="B935" s="203"/>
      <c r="C935" s="203"/>
      <c r="D935" s="203"/>
      <c r="E935" s="203"/>
      <c r="F935" s="203"/>
      <c r="G935" s="203"/>
      <c r="H935" s="203"/>
      <c r="I935" s="203"/>
      <c r="J935" s="203"/>
      <c r="K935" s="203"/>
      <c r="L935" s="203"/>
      <c r="M935" s="203"/>
      <c r="N935" s="203"/>
      <c r="O935" s="203"/>
      <c r="P935" s="203"/>
      <c r="Q935" s="203"/>
      <c r="R935" s="203"/>
      <c r="S935" s="203"/>
      <c r="T935" s="203"/>
      <c r="U935" s="203"/>
      <c r="V935" s="203"/>
      <c r="W935" s="203"/>
      <c r="X935" s="203"/>
      <c r="Y935" s="203"/>
      <c r="Z935" s="203"/>
    </row>
    <row r="936" ht="12.75" customHeight="1">
      <c r="A936" s="203"/>
      <c r="B936" s="203"/>
      <c r="C936" s="203"/>
      <c r="D936" s="203"/>
      <c r="E936" s="203"/>
      <c r="F936" s="203"/>
      <c r="G936" s="203"/>
      <c r="H936" s="203"/>
      <c r="I936" s="203"/>
      <c r="J936" s="203"/>
      <c r="K936" s="203"/>
      <c r="L936" s="203"/>
      <c r="M936" s="203"/>
      <c r="N936" s="203"/>
      <c r="O936" s="203"/>
      <c r="P936" s="203"/>
      <c r="Q936" s="203"/>
      <c r="R936" s="203"/>
      <c r="S936" s="203"/>
      <c r="T936" s="203"/>
      <c r="U936" s="203"/>
      <c r="V936" s="203"/>
      <c r="W936" s="203"/>
      <c r="X936" s="203"/>
      <c r="Y936" s="203"/>
      <c r="Z936" s="203"/>
    </row>
    <row r="937" ht="12.75" customHeight="1">
      <c r="A937" s="203"/>
      <c r="B937" s="203"/>
      <c r="C937" s="203"/>
      <c r="D937" s="203"/>
      <c r="E937" s="203"/>
      <c r="F937" s="203"/>
      <c r="G937" s="203"/>
      <c r="H937" s="203"/>
      <c r="I937" s="203"/>
      <c r="J937" s="203"/>
      <c r="K937" s="203"/>
      <c r="L937" s="203"/>
      <c r="M937" s="203"/>
      <c r="N937" s="203"/>
      <c r="O937" s="203"/>
      <c r="P937" s="203"/>
      <c r="Q937" s="203"/>
      <c r="R937" s="203"/>
      <c r="S937" s="203"/>
      <c r="T937" s="203"/>
      <c r="U937" s="203"/>
      <c r="V937" s="203"/>
      <c r="W937" s="203"/>
      <c r="X937" s="203"/>
      <c r="Y937" s="203"/>
      <c r="Z937" s="203"/>
    </row>
    <row r="938" ht="12.75" customHeight="1">
      <c r="A938" s="203"/>
      <c r="B938" s="203"/>
      <c r="C938" s="203"/>
      <c r="D938" s="203"/>
      <c r="E938" s="203"/>
      <c r="F938" s="203"/>
      <c r="G938" s="203"/>
      <c r="H938" s="203"/>
      <c r="I938" s="203"/>
      <c r="J938" s="203"/>
      <c r="K938" s="203"/>
      <c r="L938" s="203"/>
      <c r="M938" s="203"/>
      <c r="N938" s="203"/>
      <c r="O938" s="203"/>
      <c r="P938" s="203"/>
      <c r="Q938" s="203"/>
      <c r="R938" s="203"/>
      <c r="S938" s="203"/>
      <c r="T938" s="203"/>
      <c r="U938" s="203"/>
      <c r="V938" s="203"/>
      <c r="W938" s="203"/>
      <c r="X938" s="203"/>
      <c r="Y938" s="203"/>
      <c r="Z938" s="203"/>
    </row>
    <row r="939" ht="12.75" customHeight="1">
      <c r="A939" s="203"/>
      <c r="B939" s="203"/>
      <c r="C939" s="203"/>
      <c r="D939" s="203"/>
      <c r="E939" s="203"/>
      <c r="F939" s="203"/>
      <c r="G939" s="203"/>
      <c r="H939" s="203"/>
      <c r="I939" s="203"/>
      <c r="J939" s="203"/>
      <c r="K939" s="203"/>
      <c r="L939" s="203"/>
      <c r="M939" s="203"/>
      <c r="N939" s="203"/>
      <c r="O939" s="203"/>
      <c r="P939" s="203"/>
      <c r="Q939" s="203"/>
      <c r="R939" s="203"/>
      <c r="S939" s="203"/>
      <c r="T939" s="203"/>
      <c r="U939" s="203"/>
      <c r="V939" s="203"/>
      <c r="W939" s="203"/>
      <c r="X939" s="203"/>
      <c r="Y939" s="203"/>
      <c r="Z939" s="203"/>
    </row>
    <row r="940" ht="12.75" customHeight="1">
      <c r="A940" s="203"/>
      <c r="B940" s="203"/>
      <c r="C940" s="203"/>
      <c r="D940" s="203"/>
      <c r="E940" s="203"/>
      <c r="F940" s="203"/>
      <c r="G940" s="203"/>
      <c r="H940" s="203"/>
      <c r="I940" s="203"/>
      <c r="J940" s="203"/>
      <c r="K940" s="203"/>
      <c r="L940" s="203"/>
      <c r="M940" s="203"/>
      <c r="N940" s="203"/>
      <c r="O940" s="203"/>
      <c r="P940" s="203"/>
      <c r="Q940" s="203"/>
      <c r="R940" s="203"/>
      <c r="S940" s="203"/>
      <c r="T940" s="203"/>
      <c r="U940" s="203"/>
      <c r="V940" s="203"/>
      <c r="W940" s="203"/>
      <c r="X940" s="203"/>
      <c r="Y940" s="203"/>
      <c r="Z940" s="203"/>
    </row>
    <row r="941" ht="12.75" customHeight="1">
      <c r="A941" s="203"/>
      <c r="B941" s="203"/>
      <c r="C941" s="203"/>
      <c r="D941" s="203"/>
      <c r="E941" s="203"/>
      <c r="F941" s="203"/>
      <c r="G941" s="203"/>
      <c r="H941" s="203"/>
      <c r="I941" s="203"/>
      <c r="J941" s="203"/>
      <c r="K941" s="203"/>
      <c r="L941" s="203"/>
      <c r="M941" s="203"/>
      <c r="N941" s="203"/>
      <c r="O941" s="203"/>
      <c r="P941" s="203"/>
      <c r="Q941" s="203"/>
      <c r="R941" s="203"/>
      <c r="S941" s="203"/>
      <c r="T941" s="203"/>
      <c r="U941" s="203"/>
      <c r="V941" s="203"/>
      <c r="W941" s="203"/>
      <c r="X941" s="203"/>
      <c r="Y941" s="203"/>
      <c r="Z941" s="203"/>
    </row>
    <row r="942" ht="12.75" customHeight="1">
      <c r="A942" s="203"/>
      <c r="B942" s="203"/>
      <c r="C942" s="203"/>
      <c r="D942" s="203"/>
      <c r="E942" s="203"/>
      <c r="F942" s="203"/>
      <c r="G942" s="203"/>
      <c r="H942" s="203"/>
      <c r="I942" s="203"/>
      <c r="J942" s="203"/>
      <c r="K942" s="203"/>
      <c r="L942" s="203"/>
      <c r="M942" s="203"/>
      <c r="N942" s="203"/>
      <c r="O942" s="203"/>
      <c r="P942" s="203"/>
      <c r="Q942" s="203"/>
      <c r="R942" s="203"/>
      <c r="S942" s="203"/>
      <c r="T942" s="203"/>
      <c r="U942" s="203"/>
      <c r="V942" s="203"/>
      <c r="W942" s="203"/>
      <c r="X942" s="203"/>
      <c r="Y942" s="203"/>
      <c r="Z942" s="203"/>
    </row>
    <row r="943" ht="12.75" customHeight="1">
      <c r="A943" s="203"/>
      <c r="B943" s="203"/>
      <c r="C943" s="203"/>
      <c r="D943" s="203"/>
      <c r="E943" s="203"/>
      <c r="F943" s="203"/>
      <c r="G943" s="203"/>
      <c r="H943" s="203"/>
      <c r="I943" s="203"/>
      <c r="J943" s="203"/>
      <c r="K943" s="203"/>
      <c r="L943" s="203"/>
      <c r="M943" s="203"/>
      <c r="N943" s="203"/>
      <c r="O943" s="203"/>
      <c r="P943" s="203"/>
      <c r="Q943" s="203"/>
      <c r="R943" s="203"/>
      <c r="S943" s="203"/>
      <c r="T943" s="203"/>
      <c r="U943" s="203"/>
      <c r="V943" s="203"/>
      <c r="W943" s="203"/>
      <c r="X943" s="203"/>
      <c r="Y943" s="203"/>
      <c r="Z943" s="203"/>
    </row>
    <row r="944" ht="12.75" customHeight="1">
      <c r="A944" s="203"/>
      <c r="B944" s="203"/>
      <c r="C944" s="203"/>
      <c r="D944" s="203"/>
      <c r="E944" s="203"/>
      <c r="F944" s="203"/>
      <c r="G944" s="203"/>
      <c r="H944" s="203"/>
      <c r="I944" s="203"/>
      <c r="J944" s="203"/>
      <c r="K944" s="203"/>
      <c r="L944" s="203"/>
      <c r="M944" s="203"/>
      <c r="N944" s="203"/>
      <c r="O944" s="203"/>
      <c r="P944" s="203"/>
      <c r="Q944" s="203"/>
      <c r="R944" s="203"/>
      <c r="S944" s="203"/>
      <c r="T944" s="203"/>
      <c r="U944" s="203"/>
      <c r="V944" s="203"/>
      <c r="W944" s="203"/>
      <c r="X944" s="203"/>
      <c r="Y944" s="203"/>
      <c r="Z944" s="203"/>
    </row>
    <row r="945" ht="12.75" customHeight="1">
      <c r="A945" s="203"/>
      <c r="B945" s="203"/>
      <c r="C945" s="203"/>
      <c r="D945" s="203"/>
      <c r="E945" s="203"/>
      <c r="F945" s="203"/>
      <c r="G945" s="203"/>
      <c r="H945" s="203"/>
      <c r="I945" s="203"/>
      <c r="J945" s="203"/>
      <c r="K945" s="203"/>
      <c r="L945" s="203"/>
      <c r="M945" s="203"/>
      <c r="N945" s="203"/>
      <c r="O945" s="203"/>
      <c r="P945" s="203"/>
      <c r="Q945" s="203"/>
      <c r="R945" s="203"/>
      <c r="S945" s="203"/>
      <c r="T945" s="203"/>
      <c r="U945" s="203"/>
      <c r="V945" s="203"/>
      <c r="W945" s="203"/>
      <c r="X945" s="203"/>
      <c r="Y945" s="203"/>
      <c r="Z945" s="203"/>
    </row>
    <row r="946" ht="12.75" customHeight="1">
      <c r="A946" s="203"/>
      <c r="B946" s="203"/>
      <c r="C946" s="203"/>
      <c r="D946" s="203"/>
      <c r="E946" s="203"/>
      <c r="F946" s="203"/>
      <c r="G946" s="203"/>
      <c r="H946" s="203"/>
      <c r="I946" s="203"/>
      <c r="J946" s="203"/>
      <c r="K946" s="203"/>
      <c r="L946" s="203"/>
      <c r="M946" s="203"/>
      <c r="N946" s="203"/>
      <c r="O946" s="203"/>
      <c r="P946" s="203"/>
      <c r="Q946" s="203"/>
      <c r="R946" s="203"/>
      <c r="S946" s="203"/>
      <c r="T946" s="203"/>
      <c r="U946" s="203"/>
      <c r="V946" s="203"/>
      <c r="W946" s="203"/>
      <c r="X946" s="203"/>
      <c r="Y946" s="203"/>
      <c r="Z946" s="203"/>
    </row>
    <row r="947" ht="12.75" customHeight="1">
      <c r="A947" s="203"/>
      <c r="B947" s="203"/>
      <c r="C947" s="203"/>
      <c r="D947" s="203"/>
      <c r="E947" s="203"/>
      <c r="F947" s="203"/>
      <c r="G947" s="203"/>
      <c r="H947" s="203"/>
      <c r="I947" s="203"/>
      <c r="J947" s="203"/>
      <c r="K947" s="203"/>
      <c r="L947" s="203"/>
      <c r="M947" s="203"/>
      <c r="N947" s="203"/>
      <c r="O947" s="203"/>
      <c r="P947" s="203"/>
      <c r="Q947" s="203"/>
      <c r="R947" s="203"/>
      <c r="S947" s="203"/>
      <c r="T947" s="203"/>
      <c r="U947" s="203"/>
      <c r="V947" s="203"/>
      <c r="W947" s="203"/>
      <c r="X947" s="203"/>
      <c r="Y947" s="203"/>
      <c r="Z947" s="203"/>
    </row>
    <row r="948" ht="12.75" customHeight="1">
      <c r="A948" s="203"/>
      <c r="B948" s="203"/>
      <c r="C948" s="203"/>
      <c r="D948" s="203"/>
      <c r="E948" s="203"/>
      <c r="F948" s="203"/>
      <c r="G948" s="203"/>
      <c r="H948" s="203"/>
      <c r="I948" s="203"/>
      <c r="J948" s="203"/>
      <c r="K948" s="203"/>
      <c r="L948" s="203"/>
      <c r="M948" s="203"/>
      <c r="N948" s="203"/>
      <c r="O948" s="203"/>
      <c r="P948" s="203"/>
      <c r="Q948" s="203"/>
      <c r="R948" s="203"/>
      <c r="S948" s="203"/>
      <c r="T948" s="203"/>
      <c r="U948" s="203"/>
      <c r="V948" s="203"/>
      <c r="W948" s="203"/>
      <c r="X948" s="203"/>
      <c r="Y948" s="203"/>
      <c r="Z948" s="203"/>
    </row>
    <row r="949" ht="12.75" customHeight="1">
      <c r="A949" s="203"/>
      <c r="B949" s="203"/>
      <c r="C949" s="203"/>
      <c r="D949" s="203"/>
      <c r="E949" s="203"/>
      <c r="F949" s="203"/>
      <c r="G949" s="203"/>
      <c r="H949" s="203"/>
      <c r="I949" s="203"/>
      <c r="J949" s="203"/>
      <c r="K949" s="203"/>
      <c r="L949" s="203"/>
      <c r="M949" s="203"/>
      <c r="N949" s="203"/>
      <c r="O949" s="203"/>
      <c r="P949" s="203"/>
      <c r="Q949" s="203"/>
      <c r="R949" s="203"/>
      <c r="S949" s="203"/>
      <c r="T949" s="203"/>
      <c r="U949" s="203"/>
      <c r="V949" s="203"/>
      <c r="W949" s="203"/>
      <c r="X949" s="203"/>
      <c r="Y949" s="203"/>
      <c r="Z949" s="203"/>
    </row>
    <row r="950" ht="12.75" customHeight="1">
      <c r="A950" s="203"/>
      <c r="B950" s="203"/>
      <c r="C950" s="203"/>
      <c r="D950" s="203"/>
      <c r="E950" s="203"/>
      <c r="F950" s="203"/>
      <c r="G950" s="203"/>
      <c r="H950" s="203"/>
      <c r="I950" s="203"/>
      <c r="J950" s="203"/>
      <c r="K950" s="203"/>
      <c r="L950" s="203"/>
      <c r="M950" s="203"/>
      <c r="N950" s="203"/>
      <c r="O950" s="203"/>
      <c r="P950" s="203"/>
      <c r="Q950" s="203"/>
      <c r="R950" s="203"/>
      <c r="S950" s="203"/>
      <c r="T950" s="203"/>
      <c r="U950" s="203"/>
      <c r="V950" s="203"/>
      <c r="W950" s="203"/>
      <c r="X950" s="203"/>
      <c r="Y950" s="203"/>
      <c r="Z950" s="203"/>
    </row>
    <row r="951" ht="12.75" customHeight="1">
      <c r="A951" s="203"/>
      <c r="B951" s="203"/>
      <c r="C951" s="203"/>
      <c r="D951" s="203"/>
      <c r="E951" s="203"/>
      <c r="F951" s="203"/>
      <c r="G951" s="203"/>
      <c r="H951" s="203"/>
      <c r="I951" s="203"/>
      <c r="J951" s="203"/>
      <c r="K951" s="203"/>
      <c r="L951" s="203"/>
      <c r="M951" s="203"/>
      <c r="N951" s="203"/>
      <c r="O951" s="203"/>
      <c r="P951" s="203"/>
      <c r="Q951" s="203"/>
      <c r="R951" s="203"/>
      <c r="S951" s="203"/>
      <c r="T951" s="203"/>
      <c r="U951" s="203"/>
      <c r="V951" s="203"/>
      <c r="W951" s="203"/>
      <c r="X951" s="203"/>
      <c r="Y951" s="203"/>
      <c r="Z951" s="203"/>
    </row>
    <row r="952" ht="12.75" customHeight="1">
      <c r="A952" s="203"/>
      <c r="B952" s="203"/>
      <c r="C952" s="203"/>
      <c r="D952" s="203"/>
      <c r="E952" s="203"/>
      <c r="F952" s="203"/>
      <c r="G952" s="203"/>
      <c r="H952" s="203"/>
      <c r="I952" s="203"/>
      <c r="J952" s="203"/>
      <c r="K952" s="203"/>
      <c r="L952" s="203"/>
      <c r="M952" s="203"/>
      <c r="N952" s="203"/>
      <c r="O952" s="203"/>
      <c r="P952" s="203"/>
      <c r="Q952" s="203"/>
      <c r="R952" s="203"/>
      <c r="S952" s="203"/>
      <c r="T952" s="203"/>
      <c r="U952" s="203"/>
      <c r="V952" s="203"/>
      <c r="W952" s="203"/>
      <c r="X952" s="203"/>
      <c r="Y952" s="203"/>
      <c r="Z952" s="203"/>
    </row>
    <row r="953" ht="12.75" customHeight="1">
      <c r="A953" s="203"/>
      <c r="B953" s="203"/>
      <c r="C953" s="203"/>
      <c r="D953" s="203"/>
      <c r="E953" s="203"/>
      <c r="F953" s="203"/>
      <c r="G953" s="203"/>
      <c r="H953" s="203"/>
      <c r="I953" s="203"/>
      <c r="J953" s="203"/>
      <c r="K953" s="203"/>
      <c r="L953" s="203"/>
      <c r="M953" s="203"/>
      <c r="N953" s="203"/>
      <c r="O953" s="203"/>
      <c r="P953" s="203"/>
      <c r="Q953" s="203"/>
      <c r="R953" s="203"/>
      <c r="S953" s="203"/>
      <c r="T953" s="203"/>
      <c r="U953" s="203"/>
      <c r="V953" s="203"/>
      <c r="W953" s="203"/>
      <c r="X953" s="203"/>
      <c r="Y953" s="203"/>
      <c r="Z953" s="203"/>
    </row>
    <row r="954" ht="12.75" customHeight="1">
      <c r="A954" s="203"/>
      <c r="B954" s="203"/>
      <c r="C954" s="203"/>
      <c r="D954" s="203"/>
      <c r="E954" s="203"/>
      <c r="F954" s="203"/>
      <c r="G954" s="203"/>
      <c r="H954" s="203"/>
      <c r="I954" s="203"/>
      <c r="J954" s="203"/>
      <c r="K954" s="203"/>
      <c r="L954" s="203"/>
      <c r="M954" s="203"/>
      <c r="N954" s="203"/>
      <c r="O954" s="203"/>
      <c r="P954" s="203"/>
      <c r="Q954" s="203"/>
      <c r="R954" s="203"/>
      <c r="S954" s="203"/>
      <c r="T954" s="203"/>
      <c r="U954" s="203"/>
      <c r="V954" s="203"/>
      <c r="W954" s="203"/>
      <c r="X954" s="203"/>
      <c r="Y954" s="203"/>
      <c r="Z954" s="203"/>
    </row>
    <row r="955" ht="12.75" customHeight="1">
      <c r="A955" s="203"/>
      <c r="B955" s="203"/>
      <c r="C955" s="203"/>
      <c r="D955" s="203"/>
      <c r="E955" s="203"/>
      <c r="F955" s="203"/>
      <c r="G955" s="203"/>
      <c r="H955" s="203"/>
      <c r="I955" s="203"/>
      <c r="J955" s="203"/>
      <c r="K955" s="203"/>
      <c r="L955" s="203"/>
      <c r="M955" s="203"/>
      <c r="N955" s="203"/>
      <c r="O955" s="203"/>
      <c r="P955" s="203"/>
      <c r="Q955" s="203"/>
      <c r="R955" s="203"/>
      <c r="S955" s="203"/>
      <c r="T955" s="203"/>
      <c r="U955" s="203"/>
      <c r="V955" s="203"/>
      <c r="W955" s="203"/>
      <c r="X955" s="203"/>
      <c r="Y955" s="203"/>
      <c r="Z955" s="203"/>
    </row>
    <row r="956" ht="12.75" customHeight="1">
      <c r="A956" s="203"/>
      <c r="B956" s="203"/>
      <c r="C956" s="203"/>
      <c r="D956" s="203"/>
      <c r="E956" s="203"/>
      <c r="F956" s="203"/>
      <c r="G956" s="203"/>
      <c r="H956" s="203"/>
      <c r="I956" s="203"/>
      <c r="J956" s="203"/>
      <c r="K956" s="203"/>
      <c r="L956" s="203"/>
      <c r="M956" s="203"/>
      <c r="N956" s="203"/>
      <c r="O956" s="203"/>
      <c r="P956" s="203"/>
      <c r="Q956" s="203"/>
      <c r="R956" s="203"/>
      <c r="S956" s="203"/>
      <c r="T956" s="203"/>
      <c r="U956" s="203"/>
      <c r="V956" s="203"/>
      <c r="W956" s="203"/>
      <c r="X956" s="203"/>
      <c r="Y956" s="203"/>
      <c r="Z956" s="203"/>
    </row>
    <row r="957" ht="12.75" customHeight="1">
      <c r="A957" s="203"/>
      <c r="B957" s="203"/>
      <c r="C957" s="203"/>
      <c r="D957" s="203"/>
      <c r="E957" s="203"/>
      <c r="F957" s="203"/>
      <c r="G957" s="203"/>
      <c r="H957" s="203"/>
      <c r="I957" s="203"/>
      <c r="J957" s="203"/>
      <c r="K957" s="203"/>
      <c r="L957" s="203"/>
      <c r="M957" s="203"/>
      <c r="N957" s="203"/>
      <c r="O957" s="203"/>
      <c r="P957" s="203"/>
      <c r="Q957" s="203"/>
      <c r="R957" s="203"/>
      <c r="S957" s="203"/>
      <c r="T957" s="203"/>
      <c r="U957" s="203"/>
      <c r="V957" s="203"/>
      <c r="W957" s="203"/>
      <c r="X957" s="203"/>
      <c r="Y957" s="203"/>
      <c r="Z957" s="203"/>
    </row>
    <row r="958" ht="12.75" customHeight="1">
      <c r="A958" s="203"/>
      <c r="B958" s="203"/>
      <c r="C958" s="203"/>
      <c r="D958" s="203"/>
      <c r="E958" s="203"/>
      <c r="F958" s="203"/>
      <c r="G958" s="203"/>
      <c r="H958" s="203"/>
      <c r="I958" s="203"/>
      <c r="J958" s="203"/>
      <c r="K958" s="203"/>
      <c r="L958" s="203"/>
      <c r="M958" s="203"/>
      <c r="N958" s="203"/>
      <c r="O958" s="203"/>
      <c r="P958" s="203"/>
      <c r="Q958" s="203"/>
      <c r="R958" s="203"/>
      <c r="S958" s="203"/>
      <c r="T958" s="203"/>
      <c r="U958" s="203"/>
      <c r="V958" s="203"/>
      <c r="W958" s="203"/>
      <c r="X958" s="203"/>
      <c r="Y958" s="203"/>
      <c r="Z958" s="203"/>
    </row>
    <row r="959" ht="12.75" customHeight="1">
      <c r="A959" s="203"/>
      <c r="B959" s="203"/>
      <c r="C959" s="203"/>
      <c r="D959" s="203"/>
      <c r="E959" s="203"/>
      <c r="F959" s="203"/>
      <c r="G959" s="203"/>
      <c r="H959" s="203"/>
      <c r="I959" s="203"/>
      <c r="J959" s="203"/>
      <c r="K959" s="203"/>
      <c r="L959" s="203"/>
      <c r="M959" s="203"/>
      <c r="N959" s="203"/>
      <c r="O959" s="203"/>
      <c r="P959" s="203"/>
      <c r="Q959" s="203"/>
      <c r="R959" s="203"/>
      <c r="S959" s="203"/>
      <c r="T959" s="203"/>
      <c r="U959" s="203"/>
      <c r="V959" s="203"/>
      <c r="W959" s="203"/>
      <c r="X959" s="203"/>
      <c r="Y959" s="203"/>
      <c r="Z959" s="203"/>
    </row>
    <row r="960" ht="12.75" customHeight="1">
      <c r="A960" s="203"/>
      <c r="B960" s="203"/>
      <c r="C960" s="203"/>
      <c r="D960" s="203"/>
      <c r="E960" s="203"/>
      <c r="F960" s="203"/>
      <c r="G960" s="203"/>
      <c r="H960" s="203"/>
      <c r="I960" s="203"/>
      <c r="J960" s="203"/>
      <c r="K960" s="203"/>
      <c r="L960" s="203"/>
      <c r="M960" s="203"/>
      <c r="N960" s="203"/>
      <c r="O960" s="203"/>
      <c r="P960" s="203"/>
      <c r="Q960" s="203"/>
      <c r="R960" s="203"/>
      <c r="S960" s="203"/>
      <c r="T960" s="203"/>
      <c r="U960" s="203"/>
      <c r="V960" s="203"/>
      <c r="W960" s="203"/>
      <c r="X960" s="203"/>
      <c r="Y960" s="203"/>
      <c r="Z960" s="203"/>
    </row>
    <row r="961" ht="12.75" customHeight="1">
      <c r="A961" s="203"/>
      <c r="B961" s="203"/>
      <c r="C961" s="203"/>
      <c r="D961" s="203"/>
      <c r="E961" s="203"/>
      <c r="F961" s="203"/>
      <c r="G961" s="203"/>
      <c r="H961" s="203"/>
      <c r="I961" s="203"/>
      <c r="J961" s="203"/>
      <c r="K961" s="203"/>
      <c r="L961" s="203"/>
      <c r="M961" s="203"/>
      <c r="N961" s="203"/>
      <c r="O961" s="203"/>
      <c r="P961" s="203"/>
      <c r="Q961" s="203"/>
      <c r="R961" s="203"/>
      <c r="S961" s="203"/>
      <c r="T961" s="203"/>
      <c r="U961" s="203"/>
      <c r="V961" s="203"/>
      <c r="W961" s="203"/>
      <c r="X961" s="203"/>
      <c r="Y961" s="203"/>
      <c r="Z961" s="203"/>
    </row>
    <row r="962" ht="12.75" customHeight="1">
      <c r="A962" s="203"/>
      <c r="B962" s="203"/>
      <c r="C962" s="203"/>
      <c r="D962" s="203"/>
      <c r="E962" s="203"/>
      <c r="F962" s="203"/>
      <c r="G962" s="203"/>
      <c r="H962" s="203"/>
      <c r="I962" s="203"/>
      <c r="J962" s="203"/>
      <c r="K962" s="203"/>
      <c r="L962" s="203"/>
      <c r="M962" s="203"/>
      <c r="N962" s="203"/>
      <c r="O962" s="203"/>
      <c r="P962" s="203"/>
      <c r="Q962" s="203"/>
      <c r="R962" s="203"/>
      <c r="S962" s="203"/>
      <c r="T962" s="203"/>
      <c r="U962" s="203"/>
      <c r="V962" s="203"/>
      <c r="W962" s="203"/>
      <c r="X962" s="203"/>
      <c r="Y962" s="203"/>
      <c r="Z962" s="203"/>
    </row>
    <row r="963" ht="12.75" customHeight="1">
      <c r="A963" s="203"/>
      <c r="B963" s="203"/>
      <c r="C963" s="203"/>
      <c r="D963" s="203"/>
      <c r="E963" s="203"/>
      <c r="F963" s="203"/>
      <c r="G963" s="203"/>
      <c r="H963" s="203"/>
      <c r="I963" s="203"/>
      <c r="J963" s="203"/>
      <c r="K963" s="203"/>
      <c r="L963" s="203"/>
      <c r="M963" s="203"/>
      <c r="N963" s="203"/>
      <c r="O963" s="203"/>
      <c r="P963" s="203"/>
      <c r="Q963" s="203"/>
      <c r="R963" s="203"/>
      <c r="S963" s="203"/>
      <c r="T963" s="203"/>
      <c r="U963" s="203"/>
      <c r="V963" s="203"/>
      <c r="W963" s="203"/>
      <c r="X963" s="203"/>
      <c r="Y963" s="203"/>
      <c r="Z963" s="203"/>
    </row>
    <row r="964" ht="12.75" customHeight="1">
      <c r="A964" s="203"/>
      <c r="B964" s="203"/>
      <c r="C964" s="203"/>
      <c r="D964" s="203"/>
      <c r="E964" s="203"/>
      <c r="F964" s="203"/>
      <c r="G964" s="203"/>
      <c r="H964" s="203"/>
      <c r="I964" s="203"/>
      <c r="J964" s="203"/>
      <c r="K964" s="203"/>
      <c r="L964" s="203"/>
      <c r="M964" s="203"/>
      <c r="N964" s="203"/>
      <c r="O964" s="203"/>
      <c r="P964" s="203"/>
      <c r="Q964" s="203"/>
      <c r="R964" s="203"/>
      <c r="S964" s="203"/>
      <c r="T964" s="203"/>
      <c r="U964" s="203"/>
      <c r="V964" s="203"/>
      <c r="W964" s="203"/>
      <c r="X964" s="203"/>
      <c r="Y964" s="203"/>
      <c r="Z964" s="203"/>
    </row>
    <row r="965" ht="12.75" customHeight="1">
      <c r="A965" s="203"/>
      <c r="B965" s="203"/>
      <c r="C965" s="203"/>
      <c r="D965" s="203"/>
      <c r="E965" s="203"/>
      <c r="F965" s="203"/>
      <c r="G965" s="203"/>
      <c r="H965" s="203"/>
      <c r="I965" s="203"/>
      <c r="J965" s="203"/>
      <c r="K965" s="203"/>
      <c r="L965" s="203"/>
      <c r="M965" s="203"/>
      <c r="N965" s="203"/>
      <c r="O965" s="203"/>
      <c r="P965" s="203"/>
      <c r="Q965" s="203"/>
      <c r="R965" s="203"/>
      <c r="S965" s="203"/>
      <c r="T965" s="203"/>
      <c r="U965" s="203"/>
      <c r="V965" s="203"/>
      <c r="W965" s="203"/>
      <c r="X965" s="203"/>
      <c r="Y965" s="203"/>
      <c r="Z965" s="203"/>
    </row>
    <row r="966" ht="12.75" customHeight="1">
      <c r="A966" s="203"/>
      <c r="B966" s="203"/>
      <c r="C966" s="203"/>
      <c r="D966" s="203"/>
      <c r="E966" s="203"/>
      <c r="F966" s="203"/>
      <c r="G966" s="203"/>
      <c r="H966" s="203"/>
      <c r="I966" s="203"/>
      <c r="J966" s="203"/>
      <c r="K966" s="203"/>
      <c r="L966" s="203"/>
      <c r="M966" s="203"/>
      <c r="N966" s="203"/>
      <c r="O966" s="203"/>
      <c r="P966" s="203"/>
      <c r="Q966" s="203"/>
      <c r="R966" s="203"/>
      <c r="S966" s="203"/>
      <c r="T966" s="203"/>
      <c r="U966" s="203"/>
      <c r="V966" s="203"/>
      <c r="W966" s="203"/>
      <c r="X966" s="203"/>
      <c r="Y966" s="203"/>
      <c r="Z966" s="203"/>
    </row>
    <row r="967" ht="12.75" customHeight="1">
      <c r="A967" s="203"/>
      <c r="B967" s="203"/>
      <c r="C967" s="203"/>
      <c r="D967" s="203"/>
      <c r="E967" s="203"/>
      <c r="F967" s="203"/>
      <c r="G967" s="203"/>
      <c r="H967" s="203"/>
      <c r="I967" s="203"/>
      <c r="J967" s="203"/>
      <c r="K967" s="203"/>
      <c r="L967" s="203"/>
      <c r="M967" s="203"/>
      <c r="N967" s="203"/>
      <c r="O967" s="203"/>
      <c r="P967" s="203"/>
      <c r="Q967" s="203"/>
      <c r="R967" s="203"/>
      <c r="S967" s="203"/>
      <c r="T967" s="203"/>
      <c r="U967" s="203"/>
      <c r="V967" s="203"/>
      <c r="W967" s="203"/>
      <c r="X967" s="203"/>
      <c r="Y967" s="203"/>
      <c r="Z967" s="203"/>
    </row>
    <row r="968" ht="12.75" customHeight="1">
      <c r="A968" s="203"/>
      <c r="B968" s="203"/>
      <c r="C968" s="203"/>
      <c r="D968" s="203"/>
      <c r="E968" s="203"/>
      <c r="F968" s="203"/>
      <c r="G968" s="203"/>
      <c r="H968" s="203"/>
      <c r="I968" s="203"/>
      <c r="J968" s="203"/>
      <c r="K968" s="203"/>
      <c r="L968" s="203"/>
      <c r="M968" s="203"/>
      <c r="N968" s="203"/>
      <c r="O968" s="203"/>
      <c r="P968" s="203"/>
      <c r="Q968" s="203"/>
      <c r="R968" s="203"/>
      <c r="S968" s="203"/>
      <c r="T968" s="203"/>
      <c r="U968" s="203"/>
      <c r="V968" s="203"/>
      <c r="W968" s="203"/>
      <c r="X968" s="203"/>
      <c r="Y968" s="203"/>
      <c r="Z968" s="203"/>
    </row>
    <row r="969" ht="12.75" customHeight="1">
      <c r="A969" s="203"/>
      <c r="B969" s="203"/>
      <c r="C969" s="203"/>
      <c r="D969" s="203"/>
      <c r="E969" s="203"/>
      <c r="F969" s="203"/>
      <c r="G969" s="203"/>
      <c r="H969" s="203"/>
      <c r="I969" s="203"/>
      <c r="J969" s="203"/>
      <c r="K969" s="203"/>
      <c r="L969" s="203"/>
      <c r="M969" s="203"/>
      <c r="N969" s="203"/>
      <c r="O969" s="203"/>
      <c r="P969" s="203"/>
      <c r="Q969" s="203"/>
      <c r="R969" s="203"/>
      <c r="S969" s="203"/>
      <c r="T969" s="203"/>
      <c r="U969" s="203"/>
      <c r="V969" s="203"/>
      <c r="W969" s="203"/>
      <c r="X969" s="203"/>
      <c r="Y969" s="203"/>
      <c r="Z969" s="203"/>
    </row>
    <row r="970" ht="12.75" customHeight="1">
      <c r="A970" s="203"/>
      <c r="B970" s="203"/>
      <c r="C970" s="203"/>
      <c r="D970" s="203"/>
      <c r="E970" s="203"/>
      <c r="F970" s="203"/>
      <c r="G970" s="203"/>
      <c r="H970" s="203"/>
      <c r="I970" s="203"/>
      <c r="J970" s="203"/>
      <c r="K970" s="203"/>
      <c r="L970" s="203"/>
      <c r="M970" s="203"/>
      <c r="N970" s="203"/>
      <c r="O970" s="203"/>
      <c r="P970" s="203"/>
      <c r="Q970" s="203"/>
      <c r="R970" s="203"/>
      <c r="S970" s="203"/>
      <c r="T970" s="203"/>
      <c r="U970" s="203"/>
      <c r="V970" s="203"/>
      <c r="W970" s="203"/>
      <c r="X970" s="203"/>
      <c r="Y970" s="203"/>
      <c r="Z970" s="203"/>
    </row>
    <row r="971" ht="12.75" customHeight="1">
      <c r="A971" s="203"/>
      <c r="B971" s="203"/>
      <c r="C971" s="203"/>
      <c r="D971" s="203"/>
      <c r="E971" s="203"/>
      <c r="F971" s="203"/>
      <c r="G971" s="203"/>
      <c r="H971" s="203"/>
      <c r="I971" s="203"/>
      <c r="J971" s="203"/>
      <c r="K971" s="203"/>
      <c r="L971" s="203"/>
      <c r="M971" s="203"/>
      <c r="N971" s="203"/>
      <c r="O971" s="203"/>
      <c r="P971" s="203"/>
      <c r="Q971" s="203"/>
      <c r="R971" s="203"/>
      <c r="S971" s="203"/>
      <c r="T971" s="203"/>
      <c r="U971" s="203"/>
      <c r="V971" s="203"/>
      <c r="W971" s="203"/>
      <c r="X971" s="203"/>
      <c r="Y971" s="203"/>
      <c r="Z971" s="203"/>
    </row>
    <row r="972" ht="12.75" customHeight="1">
      <c r="A972" s="203"/>
      <c r="B972" s="203"/>
      <c r="C972" s="203"/>
      <c r="D972" s="203"/>
      <c r="E972" s="203"/>
      <c r="F972" s="203"/>
      <c r="G972" s="203"/>
      <c r="H972" s="203"/>
      <c r="I972" s="203"/>
      <c r="J972" s="203"/>
      <c r="K972" s="203"/>
      <c r="L972" s="203"/>
      <c r="M972" s="203"/>
      <c r="N972" s="203"/>
      <c r="O972" s="203"/>
      <c r="P972" s="203"/>
      <c r="Q972" s="203"/>
      <c r="R972" s="203"/>
      <c r="S972" s="203"/>
      <c r="T972" s="203"/>
      <c r="U972" s="203"/>
      <c r="V972" s="203"/>
      <c r="W972" s="203"/>
      <c r="X972" s="203"/>
      <c r="Y972" s="203"/>
      <c r="Z972" s="203"/>
    </row>
    <row r="973" ht="12.75" customHeight="1">
      <c r="A973" s="203"/>
      <c r="B973" s="203"/>
      <c r="C973" s="203"/>
      <c r="D973" s="203"/>
      <c r="E973" s="203"/>
      <c r="F973" s="203"/>
      <c r="G973" s="203"/>
      <c r="H973" s="203"/>
      <c r="I973" s="203"/>
      <c r="J973" s="203"/>
      <c r="K973" s="203"/>
      <c r="L973" s="203"/>
      <c r="M973" s="203"/>
      <c r="N973" s="203"/>
      <c r="O973" s="203"/>
      <c r="P973" s="203"/>
      <c r="Q973" s="203"/>
      <c r="R973" s="203"/>
      <c r="S973" s="203"/>
      <c r="T973" s="203"/>
      <c r="U973" s="203"/>
      <c r="V973" s="203"/>
      <c r="W973" s="203"/>
      <c r="X973" s="203"/>
      <c r="Y973" s="203"/>
      <c r="Z973" s="203"/>
    </row>
    <row r="974" ht="12.75" customHeight="1">
      <c r="A974" s="203"/>
      <c r="B974" s="203"/>
      <c r="C974" s="203"/>
      <c r="D974" s="203"/>
      <c r="E974" s="203"/>
      <c r="F974" s="203"/>
      <c r="G974" s="203"/>
      <c r="H974" s="203"/>
      <c r="I974" s="203"/>
      <c r="J974" s="203"/>
      <c r="K974" s="203"/>
      <c r="L974" s="203"/>
      <c r="M974" s="203"/>
      <c r="N974" s="203"/>
      <c r="O974" s="203"/>
      <c r="P974" s="203"/>
      <c r="Q974" s="203"/>
      <c r="R974" s="203"/>
      <c r="S974" s="203"/>
      <c r="T974" s="203"/>
      <c r="U974" s="203"/>
      <c r="V974" s="203"/>
      <c r="W974" s="203"/>
      <c r="X974" s="203"/>
      <c r="Y974" s="203"/>
      <c r="Z974" s="203"/>
    </row>
    <row r="975" ht="12.75" customHeight="1">
      <c r="A975" s="203"/>
      <c r="B975" s="203"/>
      <c r="C975" s="203"/>
      <c r="D975" s="203"/>
      <c r="E975" s="203"/>
      <c r="F975" s="203"/>
      <c r="G975" s="203"/>
      <c r="H975" s="203"/>
      <c r="I975" s="203"/>
      <c r="J975" s="203"/>
      <c r="K975" s="203"/>
      <c r="L975" s="203"/>
      <c r="M975" s="203"/>
      <c r="N975" s="203"/>
      <c r="O975" s="203"/>
      <c r="P975" s="203"/>
      <c r="Q975" s="203"/>
      <c r="R975" s="203"/>
      <c r="S975" s="203"/>
      <c r="T975" s="203"/>
      <c r="U975" s="203"/>
      <c r="V975" s="203"/>
      <c r="W975" s="203"/>
      <c r="X975" s="203"/>
      <c r="Y975" s="203"/>
      <c r="Z975" s="203"/>
    </row>
    <row r="976" ht="12.75" customHeight="1">
      <c r="A976" s="203"/>
      <c r="B976" s="203"/>
      <c r="C976" s="203"/>
      <c r="D976" s="203"/>
      <c r="E976" s="203"/>
      <c r="F976" s="203"/>
      <c r="G976" s="203"/>
      <c r="H976" s="203"/>
      <c r="I976" s="203"/>
      <c r="J976" s="203"/>
      <c r="K976" s="203"/>
      <c r="L976" s="203"/>
      <c r="M976" s="203"/>
      <c r="N976" s="203"/>
      <c r="O976" s="203"/>
      <c r="P976" s="203"/>
      <c r="Q976" s="203"/>
      <c r="R976" s="203"/>
      <c r="S976" s="203"/>
      <c r="T976" s="203"/>
      <c r="U976" s="203"/>
      <c r="V976" s="203"/>
      <c r="W976" s="203"/>
      <c r="X976" s="203"/>
      <c r="Y976" s="203"/>
      <c r="Z976" s="203"/>
    </row>
    <row r="977" ht="12.75" customHeight="1">
      <c r="A977" s="203"/>
      <c r="B977" s="203"/>
      <c r="C977" s="203"/>
      <c r="D977" s="203"/>
      <c r="E977" s="203"/>
      <c r="F977" s="203"/>
      <c r="G977" s="203"/>
      <c r="H977" s="203"/>
      <c r="I977" s="203"/>
      <c r="J977" s="203"/>
      <c r="K977" s="203"/>
      <c r="L977" s="203"/>
      <c r="M977" s="203"/>
      <c r="N977" s="203"/>
      <c r="O977" s="203"/>
      <c r="P977" s="203"/>
      <c r="Q977" s="203"/>
      <c r="R977" s="203"/>
      <c r="S977" s="203"/>
      <c r="T977" s="203"/>
      <c r="U977" s="203"/>
      <c r="V977" s="203"/>
      <c r="W977" s="203"/>
      <c r="X977" s="203"/>
      <c r="Y977" s="203"/>
      <c r="Z977" s="203"/>
    </row>
    <row r="978" ht="12.75" customHeight="1">
      <c r="A978" s="203"/>
      <c r="B978" s="203"/>
      <c r="C978" s="203"/>
      <c r="D978" s="203"/>
      <c r="E978" s="203"/>
      <c r="F978" s="203"/>
      <c r="G978" s="203"/>
      <c r="H978" s="203"/>
      <c r="I978" s="203"/>
      <c r="J978" s="203"/>
      <c r="K978" s="203"/>
      <c r="L978" s="203"/>
      <c r="M978" s="203"/>
      <c r="N978" s="203"/>
      <c r="O978" s="203"/>
      <c r="P978" s="203"/>
      <c r="Q978" s="203"/>
      <c r="R978" s="203"/>
      <c r="S978" s="203"/>
      <c r="T978" s="203"/>
      <c r="U978" s="203"/>
      <c r="V978" s="203"/>
      <c r="W978" s="203"/>
      <c r="X978" s="203"/>
      <c r="Y978" s="203"/>
      <c r="Z978" s="203"/>
    </row>
    <row r="979" ht="12.75" customHeight="1">
      <c r="A979" s="203"/>
      <c r="B979" s="203"/>
      <c r="C979" s="203"/>
      <c r="D979" s="203"/>
      <c r="E979" s="203"/>
      <c r="F979" s="203"/>
      <c r="G979" s="203"/>
      <c r="H979" s="203"/>
      <c r="I979" s="203"/>
      <c r="J979" s="203"/>
      <c r="K979" s="203"/>
      <c r="L979" s="203"/>
      <c r="M979" s="203"/>
      <c r="N979" s="203"/>
      <c r="O979" s="203"/>
      <c r="P979" s="203"/>
      <c r="Q979" s="203"/>
      <c r="R979" s="203"/>
      <c r="S979" s="203"/>
      <c r="T979" s="203"/>
      <c r="U979" s="203"/>
      <c r="V979" s="203"/>
      <c r="W979" s="203"/>
      <c r="X979" s="203"/>
      <c r="Y979" s="203"/>
      <c r="Z979" s="203"/>
    </row>
    <row r="980" ht="12.75" customHeight="1">
      <c r="A980" s="203"/>
      <c r="B980" s="203"/>
      <c r="C980" s="203"/>
      <c r="D980" s="203"/>
      <c r="E980" s="203"/>
      <c r="F980" s="203"/>
      <c r="G980" s="203"/>
      <c r="H980" s="203"/>
      <c r="I980" s="203"/>
      <c r="J980" s="203"/>
      <c r="K980" s="203"/>
      <c r="L980" s="203"/>
      <c r="M980" s="203"/>
      <c r="N980" s="203"/>
      <c r="O980" s="203"/>
      <c r="P980" s="203"/>
      <c r="Q980" s="203"/>
      <c r="R980" s="203"/>
      <c r="S980" s="203"/>
      <c r="T980" s="203"/>
      <c r="U980" s="203"/>
      <c r="V980" s="203"/>
      <c r="W980" s="203"/>
      <c r="X980" s="203"/>
      <c r="Y980" s="203"/>
      <c r="Z980" s="203"/>
    </row>
    <row r="981" ht="12.75" customHeight="1">
      <c r="A981" s="203"/>
      <c r="B981" s="203"/>
      <c r="C981" s="203"/>
      <c r="D981" s="203"/>
      <c r="E981" s="203"/>
      <c r="F981" s="203"/>
      <c r="G981" s="203"/>
      <c r="H981" s="203"/>
      <c r="I981" s="203"/>
      <c r="J981" s="203"/>
      <c r="K981" s="203"/>
      <c r="L981" s="203"/>
      <c r="M981" s="203"/>
      <c r="N981" s="203"/>
      <c r="O981" s="203"/>
      <c r="P981" s="203"/>
      <c r="Q981" s="203"/>
      <c r="R981" s="203"/>
      <c r="S981" s="203"/>
      <c r="T981" s="203"/>
      <c r="U981" s="203"/>
      <c r="V981" s="203"/>
      <c r="W981" s="203"/>
      <c r="X981" s="203"/>
      <c r="Y981" s="203"/>
      <c r="Z981" s="203"/>
    </row>
    <row r="982" ht="12.75" customHeight="1">
      <c r="A982" s="203"/>
      <c r="B982" s="203"/>
      <c r="C982" s="203"/>
      <c r="D982" s="203"/>
      <c r="E982" s="203"/>
      <c r="F982" s="203"/>
      <c r="G982" s="203"/>
      <c r="H982" s="203"/>
      <c r="I982" s="203"/>
      <c r="J982" s="203"/>
      <c r="K982" s="203"/>
      <c r="L982" s="203"/>
      <c r="M982" s="203"/>
      <c r="N982" s="203"/>
      <c r="O982" s="203"/>
      <c r="P982" s="203"/>
      <c r="Q982" s="203"/>
      <c r="R982" s="203"/>
      <c r="S982" s="203"/>
      <c r="T982" s="203"/>
      <c r="U982" s="203"/>
      <c r="V982" s="203"/>
      <c r="W982" s="203"/>
      <c r="X982" s="203"/>
      <c r="Y982" s="203"/>
      <c r="Z982" s="203"/>
    </row>
    <row r="983" ht="12.75" customHeight="1">
      <c r="A983" s="203"/>
      <c r="B983" s="203"/>
      <c r="C983" s="203"/>
      <c r="D983" s="203"/>
      <c r="E983" s="203"/>
      <c r="F983" s="203"/>
      <c r="G983" s="203"/>
      <c r="H983" s="203"/>
      <c r="I983" s="203"/>
      <c r="J983" s="203"/>
      <c r="K983" s="203"/>
      <c r="L983" s="203"/>
      <c r="M983" s="203"/>
      <c r="N983" s="203"/>
      <c r="O983" s="203"/>
      <c r="P983" s="203"/>
      <c r="Q983" s="203"/>
      <c r="R983" s="203"/>
      <c r="S983" s="203"/>
      <c r="T983" s="203"/>
      <c r="U983" s="203"/>
      <c r="V983" s="203"/>
      <c r="W983" s="203"/>
      <c r="X983" s="203"/>
      <c r="Y983" s="203"/>
      <c r="Z983" s="203"/>
    </row>
    <row r="984" ht="12.75" customHeight="1">
      <c r="A984" s="203"/>
      <c r="B984" s="203"/>
      <c r="C984" s="203"/>
      <c r="D984" s="203"/>
      <c r="E984" s="203"/>
      <c r="F984" s="203"/>
      <c r="G984" s="203"/>
      <c r="H984" s="203"/>
      <c r="I984" s="203"/>
      <c r="J984" s="203"/>
      <c r="K984" s="203"/>
      <c r="L984" s="203"/>
      <c r="M984" s="203"/>
      <c r="N984" s="203"/>
      <c r="O984" s="203"/>
      <c r="P984" s="203"/>
      <c r="Q984" s="203"/>
      <c r="R984" s="203"/>
      <c r="S984" s="203"/>
      <c r="T984" s="203"/>
      <c r="U984" s="203"/>
      <c r="V984" s="203"/>
      <c r="W984" s="203"/>
      <c r="X984" s="203"/>
      <c r="Y984" s="203"/>
      <c r="Z984" s="203"/>
    </row>
    <row r="985" ht="12.75" customHeight="1">
      <c r="A985" s="203"/>
      <c r="B985" s="203"/>
      <c r="C985" s="203"/>
      <c r="D985" s="203"/>
      <c r="E985" s="203"/>
      <c r="F985" s="203"/>
      <c r="G985" s="203"/>
      <c r="H985" s="203"/>
      <c r="I985" s="203"/>
      <c r="J985" s="203"/>
      <c r="K985" s="203"/>
      <c r="L985" s="203"/>
      <c r="M985" s="203"/>
      <c r="N985" s="203"/>
      <c r="O985" s="203"/>
      <c r="P985" s="203"/>
      <c r="Q985" s="203"/>
      <c r="R985" s="203"/>
      <c r="S985" s="203"/>
      <c r="T985" s="203"/>
      <c r="U985" s="203"/>
      <c r="V985" s="203"/>
      <c r="W985" s="203"/>
      <c r="X985" s="203"/>
      <c r="Y985" s="203"/>
      <c r="Z985" s="203"/>
    </row>
    <row r="986" ht="12.75" customHeight="1">
      <c r="A986" s="203"/>
      <c r="B986" s="203"/>
      <c r="C986" s="203"/>
      <c r="D986" s="203"/>
      <c r="E986" s="203"/>
      <c r="F986" s="203"/>
      <c r="G986" s="203"/>
      <c r="H986" s="203"/>
      <c r="I986" s="203"/>
      <c r="J986" s="203"/>
      <c r="K986" s="203"/>
      <c r="L986" s="203"/>
      <c r="M986" s="203"/>
      <c r="N986" s="203"/>
      <c r="O986" s="203"/>
      <c r="P986" s="203"/>
      <c r="Q986" s="203"/>
      <c r="R986" s="203"/>
      <c r="S986" s="203"/>
      <c r="T986" s="203"/>
      <c r="U986" s="203"/>
      <c r="V986" s="203"/>
      <c r="W986" s="203"/>
      <c r="X986" s="203"/>
      <c r="Y986" s="203"/>
      <c r="Z986" s="203"/>
    </row>
    <row r="987" ht="12.75" customHeight="1">
      <c r="A987" s="203"/>
      <c r="B987" s="203"/>
      <c r="C987" s="203"/>
      <c r="D987" s="203"/>
      <c r="E987" s="203"/>
      <c r="F987" s="203"/>
      <c r="G987" s="203"/>
      <c r="H987" s="203"/>
      <c r="I987" s="203"/>
      <c r="J987" s="203"/>
      <c r="K987" s="203"/>
      <c r="L987" s="203"/>
      <c r="M987" s="203"/>
      <c r="N987" s="203"/>
      <c r="O987" s="203"/>
      <c r="P987" s="203"/>
      <c r="Q987" s="203"/>
      <c r="R987" s="203"/>
      <c r="S987" s="203"/>
      <c r="T987" s="203"/>
      <c r="U987" s="203"/>
      <c r="V987" s="203"/>
      <c r="W987" s="203"/>
      <c r="X987" s="203"/>
      <c r="Y987" s="203"/>
      <c r="Z987" s="203"/>
    </row>
    <row r="988" ht="12.75" customHeight="1">
      <c r="A988" s="203"/>
      <c r="B988" s="203"/>
      <c r="C988" s="203"/>
      <c r="D988" s="203"/>
      <c r="E988" s="203"/>
      <c r="F988" s="203"/>
      <c r="G988" s="203"/>
      <c r="H988" s="203"/>
      <c r="I988" s="203"/>
      <c r="J988" s="203"/>
      <c r="K988" s="203"/>
      <c r="L988" s="203"/>
      <c r="M988" s="203"/>
      <c r="N988" s="203"/>
      <c r="O988" s="203"/>
      <c r="P988" s="203"/>
      <c r="Q988" s="203"/>
      <c r="R988" s="203"/>
      <c r="S988" s="203"/>
      <c r="T988" s="203"/>
      <c r="U988" s="203"/>
      <c r="V988" s="203"/>
      <c r="W988" s="203"/>
      <c r="X988" s="203"/>
      <c r="Y988" s="203"/>
      <c r="Z988" s="203"/>
    </row>
    <row r="989" ht="12.75" customHeight="1">
      <c r="A989" s="203"/>
      <c r="B989" s="203"/>
      <c r="C989" s="203"/>
      <c r="D989" s="203"/>
      <c r="E989" s="203"/>
      <c r="F989" s="203"/>
      <c r="G989" s="203"/>
      <c r="H989" s="203"/>
      <c r="I989" s="203"/>
      <c r="J989" s="203"/>
      <c r="K989" s="203"/>
      <c r="L989" s="203"/>
      <c r="M989" s="203"/>
      <c r="N989" s="203"/>
      <c r="O989" s="203"/>
      <c r="P989" s="203"/>
      <c r="Q989" s="203"/>
      <c r="R989" s="203"/>
      <c r="S989" s="203"/>
      <c r="T989" s="203"/>
      <c r="U989" s="203"/>
      <c r="V989" s="203"/>
      <c r="W989" s="203"/>
      <c r="X989" s="203"/>
      <c r="Y989" s="203"/>
      <c r="Z989" s="203"/>
    </row>
    <row r="990" ht="12.75" customHeight="1">
      <c r="A990" s="203"/>
      <c r="B990" s="203"/>
      <c r="C990" s="203"/>
      <c r="D990" s="203"/>
      <c r="E990" s="203"/>
      <c r="F990" s="203"/>
      <c r="G990" s="203"/>
      <c r="H990" s="203"/>
      <c r="I990" s="203"/>
      <c r="J990" s="203"/>
      <c r="K990" s="203"/>
      <c r="L990" s="203"/>
      <c r="M990" s="203"/>
      <c r="N990" s="203"/>
      <c r="O990" s="203"/>
      <c r="P990" s="203"/>
      <c r="Q990" s="203"/>
      <c r="R990" s="203"/>
      <c r="S990" s="203"/>
      <c r="T990" s="203"/>
      <c r="U990" s="203"/>
      <c r="V990" s="203"/>
      <c r="W990" s="203"/>
      <c r="X990" s="203"/>
      <c r="Y990" s="203"/>
      <c r="Z990" s="203"/>
    </row>
    <row r="991" ht="12.75" customHeight="1">
      <c r="A991" s="203"/>
      <c r="B991" s="203"/>
      <c r="C991" s="203"/>
      <c r="D991" s="203"/>
      <c r="E991" s="203"/>
      <c r="F991" s="203"/>
      <c r="G991" s="203"/>
      <c r="H991" s="203"/>
      <c r="I991" s="203"/>
      <c r="J991" s="203"/>
      <c r="K991" s="203"/>
      <c r="L991" s="203"/>
      <c r="M991" s="203"/>
      <c r="N991" s="203"/>
      <c r="O991" s="203"/>
      <c r="P991" s="203"/>
      <c r="Q991" s="203"/>
      <c r="R991" s="203"/>
      <c r="S991" s="203"/>
      <c r="T991" s="203"/>
      <c r="U991" s="203"/>
      <c r="V991" s="203"/>
      <c r="W991" s="203"/>
      <c r="X991" s="203"/>
      <c r="Y991" s="203"/>
      <c r="Z991" s="203"/>
    </row>
    <row r="992" ht="12.75" customHeight="1">
      <c r="A992" s="203"/>
      <c r="B992" s="203"/>
      <c r="C992" s="203"/>
      <c r="D992" s="203"/>
      <c r="E992" s="203"/>
      <c r="F992" s="203"/>
      <c r="G992" s="203"/>
      <c r="H992" s="203"/>
      <c r="I992" s="203"/>
      <c r="J992" s="203"/>
      <c r="K992" s="203"/>
      <c r="L992" s="203"/>
      <c r="M992" s="203"/>
      <c r="N992" s="203"/>
      <c r="O992" s="203"/>
      <c r="P992" s="203"/>
      <c r="Q992" s="203"/>
      <c r="R992" s="203"/>
      <c r="S992" s="203"/>
      <c r="T992" s="203"/>
      <c r="U992" s="203"/>
      <c r="V992" s="203"/>
      <c r="W992" s="203"/>
      <c r="X992" s="203"/>
      <c r="Y992" s="203"/>
      <c r="Z992" s="203"/>
    </row>
    <row r="993" ht="12.75" customHeight="1">
      <c r="A993" s="203"/>
      <c r="B993" s="203"/>
      <c r="C993" s="203"/>
      <c r="D993" s="203"/>
      <c r="E993" s="203"/>
      <c r="F993" s="203"/>
      <c r="G993" s="203"/>
      <c r="H993" s="203"/>
      <c r="I993" s="203"/>
      <c r="J993" s="203"/>
      <c r="K993" s="203"/>
      <c r="L993" s="203"/>
      <c r="M993" s="203"/>
      <c r="N993" s="203"/>
      <c r="O993" s="203"/>
      <c r="P993" s="203"/>
      <c r="Q993" s="203"/>
      <c r="R993" s="203"/>
      <c r="S993" s="203"/>
      <c r="T993" s="203"/>
      <c r="U993" s="203"/>
      <c r="V993" s="203"/>
      <c r="W993" s="203"/>
      <c r="X993" s="203"/>
      <c r="Y993" s="203"/>
      <c r="Z993" s="203"/>
    </row>
    <row r="994" ht="12.75" customHeight="1">
      <c r="A994" s="203"/>
      <c r="B994" s="203"/>
      <c r="C994" s="203"/>
      <c r="D994" s="203"/>
      <c r="E994" s="203"/>
      <c r="F994" s="203"/>
      <c r="G994" s="203"/>
      <c r="H994" s="203"/>
      <c r="I994" s="203"/>
      <c r="J994" s="203"/>
      <c r="K994" s="203"/>
      <c r="L994" s="203"/>
      <c r="M994" s="203"/>
      <c r="N994" s="203"/>
      <c r="O994" s="203"/>
      <c r="P994" s="203"/>
      <c r="Q994" s="203"/>
      <c r="R994" s="203"/>
      <c r="S994" s="203"/>
      <c r="T994" s="203"/>
      <c r="U994" s="203"/>
      <c r="V994" s="203"/>
      <c r="W994" s="203"/>
      <c r="X994" s="203"/>
      <c r="Y994" s="203"/>
      <c r="Z994" s="203"/>
    </row>
    <row r="995" ht="12.75" customHeight="1">
      <c r="A995" s="203"/>
      <c r="B995" s="203"/>
      <c r="C995" s="203"/>
      <c r="D995" s="203"/>
      <c r="E995" s="203"/>
      <c r="F995" s="203"/>
      <c r="G995" s="203"/>
      <c r="H995" s="203"/>
      <c r="I995" s="203"/>
      <c r="J995" s="203"/>
      <c r="K995" s="203"/>
      <c r="L995" s="203"/>
      <c r="M995" s="203"/>
      <c r="N995" s="203"/>
      <c r="O995" s="203"/>
      <c r="P995" s="203"/>
      <c r="Q995" s="203"/>
      <c r="R995" s="203"/>
      <c r="S995" s="203"/>
      <c r="T995" s="203"/>
      <c r="U995" s="203"/>
      <c r="V995" s="203"/>
      <c r="W995" s="203"/>
      <c r="X995" s="203"/>
      <c r="Y995" s="203"/>
      <c r="Z995" s="203"/>
    </row>
    <row r="996" ht="12.75" customHeight="1">
      <c r="A996" s="203"/>
      <c r="B996" s="203"/>
      <c r="C996" s="203"/>
      <c r="D996" s="203"/>
      <c r="E996" s="203"/>
      <c r="F996" s="203"/>
      <c r="G996" s="203"/>
      <c r="H996" s="203"/>
      <c r="I996" s="203"/>
      <c r="J996" s="203"/>
      <c r="K996" s="203"/>
      <c r="L996" s="203"/>
      <c r="M996" s="203"/>
      <c r="N996" s="203"/>
      <c r="O996" s="203"/>
      <c r="P996" s="203"/>
      <c r="Q996" s="203"/>
      <c r="R996" s="203"/>
      <c r="S996" s="203"/>
      <c r="T996" s="203"/>
      <c r="U996" s="203"/>
      <c r="V996" s="203"/>
      <c r="W996" s="203"/>
      <c r="X996" s="203"/>
      <c r="Y996" s="203"/>
      <c r="Z996" s="203"/>
    </row>
    <row r="997" ht="12.75" customHeight="1">
      <c r="A997" s="203"/>
      <c r="B997" s="203"/>
      <c r="C997" s="203"/>
      <c r="D997" s="203"/>
      <c r="E997" s="203"/>
      <c r="F997" s="203"/>
      <c r="G997" s="203"/>
      <c r="H997" s="203"/>
      <c r="I997" s="203"/>
      <c r="J997" s="203"/>
      <c r="K997" s="203"/>
      <c r="L997" s="203"/>
      <c r="M997" s="203"/>
      <c r="N997" s="203"/>
      <c r="O997" s="203"/>
      <c r="P997" s="203"/>
      <c r="Q997" s="203"/>
      <c r="R997" s="203"/>
      <c r="S997" s="203"/>
      <c r="T997" s="203"/>
      <c r="U997" s="203"/>
      <c r="V997" s="203"/>
      <c r="W997" s="203"/>
      <c r="X997" s="203"/>
      <c r="Y997" s="203"/>
      <c r="Z997" s="203"/>
    </row>
    <row r="998" ht="12.75" customHeight="1">
      <c r="A998" s="203"/>
      <c r="B998" s="203"/>
      <c r="C998" s="203"/>
      <c r="D998" s="203"/>
      <c r="E998" s="203"/>
      <c r="F998" s="203"/>
      <c r="G998" s="203"/>
      <c r="H998" s="203"/>
      <c r="I998" s="203"/>
      <c r="J998" s="203"/>
      <c r="K998" s="203"/>
      <c r="L998" s="203"/>
      <c r="M998" s="203"/>
      <c r="N998" s="203"/>
      <c r="O998" s="203"/>
      <c r="P998" s="203"/>
      <c r="Q998" s="203"/>
      <c r="R998" s="203"/>
      <c r="S998" s="203"/>
      <c r="T998" s="203"/>
      <c r="U998" s="203"/>
      <c r="V998" s="203"/>
      <c r="W998" s="203"/>
      <c r="X998" s="203"/>
      <c r="Y998" s="203"/>
      <c r="Z998" s="203"/>
    </row>
    <row r="999" ht="12.75" customHeight="1">
      <c r="A999" s="203"/>
      <c r="B999" s="203"/>
      <c r="C999" s="203"/>
      <c r="D999" s="203"/>
      <c r="E999" s="203"/>
      <c r="F999" s="203"/>
      <c r="G999" s="203"/>
      <c r="H999" s="203"/>
      <c r="I999" s="203"/>
      <c r="J999" s="203"/>
      <c r="K999" s="203"/>
      <c r="L999" s="203"/>
      <c r="M999" s="203"/>
      <c r="N999" s="203"/>
      <c r="O999" s="203"/>
      <c r="P999" s="203"/>
      <c r="Q999" s="203"/>
      <c r="R999" s="203"/>
      <c r="S999" s="203"/>
      <c r="T999" s="203"/>
      <c r="U999" s="203"/>
      <c r="V999" s="203"/>
      <c r="W999" s="203"/>
      <c r="X999" s="203"/>
      <c r="Y999" s="203"/>
      <c r="Z999" s="203"/>
    </row>
    <row r="1000" ht="12.75" customHeight="1">
      <c r="A1000" s="203"/>
      <c r="B1000" s="203"/>
      <c r="C1000" s="203"/>
      <c r="D1000" s="203"/>
      <c r="E1000" s="203"/>
      <c r="F1000" s="203"/>
      <c r="G1000" s="203"/>
      <c r="H1000" s="203"/>
      <c r="I1000" s="203"/>
      <c r="J1000" s="203"/>
      <c r="K1000" s="203"/>
      <c r="L1000" s="203"/>
      <c r="M1000" s="203"/>
      <c r="N1000" s="203"/>
      <c r="O1000" s="203"/>
      <c r="P1000" s="203"/>
      <c r="Q1000" s="203"/>
      <c r="R1000" s="203"/>
      <c r="S1000" s="203"/>
      <c r="T1000" s="203"/>
      <c r="U1000" s="203"/>
      <c r="V1000" s="203"/>
      <c r="W1000" s="203"/>
      <c r="X1000" s="203"/>
      <c r="Y1000" s="203"/>
      <c r="Z1000" s="203"/>
    </row>
  </sheetData>
  <printOptions/>
  <pageMargins bottom="0.75" footer="0.0" header="0.0" left="0.7" right="0.7" top="0.75"/>
  <pageSetup orientation="landscape"/>
  <colBreaks count="1" manualBreakCount="1">
    <brk id="8" man="1"/>
  </col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57"/>
    <col customWidth="1" min="2" max="2" width="49.14"/>
    <col customWidth="1" min="3" max="9" width="11.43"/>
    <col customWidth="1" min="10" max="10" width="12.14"/>
    <col customWidth="1" min="11" max="12" width="11.43"/>
    <col customWidth="1" min="13" max="26" width="10.71"/>
  </cols>
  <sheetData>
    <row r="1" ht="11.25" customHeight="1">
      <c r="A1" s="244"/>
      <c r="B1" s="244"/>
      <c r="C1" s="244"/>
      <c r="D1" s="244"/>
      <c r="E1" s="244"/>
      <c r="F1" s="244"/>
      <c r="G1" s="244"/>
      <c r="H1" s="244"/>
      <c r="I1" s="244"/>
      <c r="J1" s="244"/>
      <c r="K1" s="244"/>
      <c r="L1" s="244"/>
      <c r="M1" s="244"/>
      <c r="N1" s="244"/>
      <c r="O1" s="244"/>
      <c r="P1" s="244"/>
      <c r="Q1" s="244"/>
      <c r="R1" s="244"/>
      <c r="S1" s="244"/>
      <c r="T1" s="244"/>
      <c r="U1" s="244"/>
      <c r="V1" s="244"/>
      <c r="W1" s="244"/>
      <c r="X1" s="244"/>
      <c r="Y1" s="244"/>
      <c r="Z1" s="244"/>
    </row>
    <row r="2" ht="11.25" customHeight="1">
      <c r="A2" s="245" t="s">
        <v>228</v>
      </c>
      <c r="B2" s="164"/>
      <c r="C2" s="164"/>
      <c r="D2" s="164"/>
      <c r="E2" s="164"/>
      <c r="F2" s="164"/>
      <c r="G2" s="164"/>
      <c r="H2" s="164"/>
      <c r="I2" s="164"/>
      <c r="J2" s="165"/>
      <c r="K2" s="244"/>
      <c r="L2" s="244"/>
      <c r="M2" s="244"/>
      <c r="N2" s="244"/>
      <c r="O2" s="244"/>
      <c r="P2" s="244"/>
      <c r="Q2" s="244"/>
      <c r="R2" s="244"/>
      <c r="S2" s="244"/>
      <c r="T2" s="244"/>
      <c r="U2" s="244"/>
      <c r="V2" s="244"/>
      <c r="W2" s="244"/>
      <c r="X2" s="244"/>
      <c r="Y2" s="244"/>
      <c r="Z2" s="244"/>
    </row>
    <row r="3" ht="11.25" customHeight="1">
      <c r="A3" s="246" t="s">
        <v>229</v>
      </c>
      <c r="B3" s="164"/>
      <c r="C3" s="164"/>
      <c r="D3" s="164"/>
      <c r="E3" s="164"/>
      <c r="F3" s="164"/>
      <c r="G3" s="164"/>
      <c r="H3" s="164"/>
      <c r="I3" s="164"/>
      <c r="J3" s="165"/>
      <c r="K3" s="244"/>
      <c r="L3" s="247" t="str">
        <f>A3</f>
        <v>77.213.284-0 TREGUALEMU SPA</v>
      </c>
      <c r="M3" s="244"/>
      <c r="N3" s="244"/>
      <c r="O3" s="244"/>
      <c r="P3" s="244"/>
      <c r="Q3" s="244"/>
      <c r="R3" s="244"/>
      <c r="S3" s="244"/>
      <c r="T3" s="244"/>
      <c r="U3" s="244"/>
      <c r="V3" s="244"/>
      <c r="W3" s="244"/>
      <c r="X3" s="244"/>
      <c r="Y3" s="244"/>
      <c r="Z3" s="244"/>
    </row>
    <row r="4" ht="16.5" customHeight="1">
      <c r="A4" s="248"/>
      <c r="B4" s="248"/>
      <c r="C4" s="249" t="s">
        <v>230</v>
      </c>
      <c r="D4" s="250"/>
      <c r="E4" s="249" t="s">
        <v>231</v>
      </c>
      <c r="F4" s="250"/>
      <c r="G4" s="249" t="s">
        <v>232</v>
      </c>
      <c r="H4" s="250"/>
      <c r="I4" s="249" t="s">
        <v>233</v>
      </c>
      <c r="J4" s="250"/>
      <c r="K4" s="248"/>
      <c r="L4" s="248"/>
      <c r="M4" s="248"/>
      <c r="N4" s="248"/>
      <c r="O4" s="248"/>
      <c r="P4" s="248"/>
      <c r="Q4" s="248"/>
      <c r="R4" s="248"/>
      <c r="S4" s="248"/>
      <c r="T4" s="248"/>
      <c r="U4" s="248"/>
      <c r="V4" s="248"/>
      <c r="W4" s="248"/>
      <c r="X4" s="248"/>
      <c r="Y4" s="248"/>
      <c r="Z4" s="248"/>
    </row>
    <row r="5" ht="16.5" customHeight="1">
      <c r="A5" s="251"/>
      <c r="B5" s="252" t="s">
        <v>234</v>
      </c>
      <c r="C5" s="252" t="s">
        <v>235</v>
      </c>
      <c r="D5" s="252" t="s">
        <v>236</v>
      </c>
      <c r="E5" s="252" t="s">
        <v>237</v>
      </c>
      <c r="F5" s="252" t="s">
        <v>238</v>
      </c>
      <c r="G5" s="252" t="s">
        <v>239</v>
      </c>
      <c r="H5" s="252" t="s">
        <v>240</v>
      </c>
      <c r="I5" s="252" t="s">
        <v>241</v>
      </c>
      <c r="J5" s="252" t="s">
        <v>242</v>
      </c>
      <c r="K5" s="248"/>
      <c r="L5" s="248"/>
      <c r="M5" s="248"/>
      <c r="N5" s="248"/>
      <c r="O5" s="248"/>
      <c r="P5" s="248"/>
      <c r="Q5" s="248"/>
      <c r="R5" s="248"/>
      <c r="S5" s="248"/>
      <c r="T5" s="248"/>
      <c r="U5" s="248"/>
      <c r="V5" s="248"/>
      <c r="W5" s="248"/>
      <c r="X5" s="248"/>
      <c r="Y5" s="248"/>
      <c r="Z5" s="248"/>
    </row>
    <row r="6" ht="11.25" customHeight="1">
      <c r="A6" s="244"/>
      <c r="B6" s="253" t="s">
        <v>243</v>
      </c>
      <c r="C6" s="254">
        <v>593571.0</v>
      </c>
      <c r="D6" s="254">
        <v>0.0</v>
      </c>
      <c r="E6" s="254">
        <v>593571.0</v>
      </c>
      <c r="F6" s="254">
        <v>0.0</v>
      </c>
      <c r="G6" s="254">
        <v>593571.0</v>
      </c>
      <c r="H6" s="254">
        <v>0.0</v>
      </c>
      <c r="I6" s="254">
        <v>0.0</v>
      </c>
      <c r="J6" s="254">
        <v>0.0</v>
      </c>
      <c r="K6" s="244"/>
      <c r="L6" s="244"/>
      <c r="M6" s="244"/>
      <c r="N6" s="244"/>
      <c r="O6" s="244"/>
      <c r="P6" s="244"/>
      <c r="Q6" s="244"/>
      <c r="R6" s="244"/>
      <c r="S6" s="244"/>
      <c r="T6" s="244"/>
      <c r="U6" s="244"/>
      <c r="V6" s="244"/>
      <c r="W6" s="244"/>
      <c r="X6" s="244"/>
      <c r="Y6" s="244"/>
      <c r="Z6" s="244"/>
    </row>
    <row r="7" ht="11.25" customHeight="1">
      <c r="A7" s="244"/>
      <c r="B7" s="255" t="s">
        <v>244</v>
      </c>
      <c r="C7" s="256">
        <v>7.4541665E7</v>
      </c>
      <c r="D7" s="256">
        <v>7.4383356E7</v>
      </c>
      <c r="E7" s="256">
        <v>158309.0</v>
      </c>
      <c r="F7" s="256">
        <v>0.0</v>
      </c>
      <c r="G7" s="256">
        <v>158309.0</v>
      </c>
      <c r="H7" s="256">
        <v>0.0</v>
      </c>
      <c r="I7" s="256">
        <v>0.0</v>
      </c>
      <c r="J7" s="256">
        <v>0.0</v>
      </c>
      <c r="K7" s="244"/>
      <c r="L7" s="244"/>
      <c r="M7" s="244"/>
      <c r="N7" s="244"/>
      <c r="O7" s="244"/>
      <c r="P7" s="244"/>
      <c r="Q7" s="244"/>
      <c r="R7" s="244"/>
      <c r="S7" s="244"/>
      <c r="T7" s="244"/>
      <c r="U7" s="244"/>
      <c r="V7" s="244"/>
      <c r="W7" s="244"/>
      <c r="X7" s="244"/>
      <c r="Y7" s="244"/>
      <c r="Z7" s="244"/>
    </row>
    <row r="8" ht="11.25" customHeight="1">
      <c r="A8" s="244"/>
      <c r="B8" s="255" t="s">
        <v>245</v>
      </c>
      <c r="C8" s="256">
        <v>100000.0</v>
      </c>
      <c r="D8" s="256">
        <v>100000.0</v>
      </c>
      <c r="E8" s="256">
        <v>0.0</v>
      </c>
      <c r="F8" s="256">
        <v>0.0</v>
      </c>
      <c r="G8" s="256">
        <v>0.0</v>
      </c>
      <c r="H8" s="256">
        <v>0.0</v>
      </c>
      <c r="I8" s="256">
        <v>0.0</v>
      </c>
      <c r="J8" s="256">
        <v>0.0</v>
      </c>
      <c r="K8" s="244"/>
      <c r="L8" s="244"/>
      <c r="M8" s="244"/>
      <c r="N8" s="244"/>
      <c r="O8" s="244"/>
      <c r="P8" s="244"/>
      <c r="Q8" s="244"/>
      <c r="R8" s="244"/>
      <c r="S8" s="244"/>
      <c r="T8" s="244"/>
      <c r="U8" s="244"/>
      <c r="V8" s="244"/>
      <c r="W8" s="244"/>
      <c r="X8" s="244"/>
      <c r="Y8" s="244"/>
      <c r="Z8" s="244"/>
    </row>
    <row r="9" ht="10.5" customHeight="1">
      <c r="A9" s="244"/>
      <c r="B9" s="255" t="s">
        <v>246</v>
      </c>
      <c r="C9" s="256">
        <v>1.9948641E7</v>
      </c>
      <c r="D9" s="256">
        <v>1.6517303E7</v>
      </c>
      <c r="E9" s="256">
        <v>3431338.0</v>
      </c>
      <c r="F9" s="256">
        <v>0.0</v>
      </c>
      <c r="G9" s="256">
        <v>3431338.0</v>
      </c>
      <c r="H9" s="256">
        <v>0.0</v>
      </c>
      <c r="I9" s="256">
        <v>0.0</v>
      </c>
      <c r="J9" s="256">
        <v>0.0</v>
      </c>
      <c r="K9" s="244"/>
      <c r="L9" s="244"/>
      <c r="M9" s="244"/>
      <c r="N9" s="244"/>
      <c r="O9" s="244"/>
      <c r="P9" s="244"/>
      <c r="Q9" s="244"/>
      <c r="R9" s="244"/>
      <c r="S9" s="244"/>
      <c r="T9" s="244"/>
      <c r="U9" s="244"/>
      <c r="V9" s="244"/>
      <c r="W9" s="244"/>
      <c r="X9" s="244"/>
      <c r="Y9" s="244"/>
      <c r="Z9" s="244"/>
    </row>
    <row r="10" ht="11.25" customHeight="1">
      <c r="A10" s="244"/>
      <c r="B10" s="255" t="s">
        <v>247</v>
      </c>
      <c r="C10" s="256">
        <v>2.42712837E8</v>
      </c>
      <c r="D10" s="256">
        <v>7.3575001E7</v>
      </c>
      <c r="E10" s="256">
        <v>1.69137836E8</v>
      </c>
      <c r="F10" s="256">
        <v>0.0</v>
      </c>
      <c r="G10" s="256">
        <v>1.69137836E8</v>
      </c>
      <c r="H10" s="256">
        <v>0.0</v>
      </c>
      <c r="I10" s="256">
        <v>0.0</v>
      </c>
      <c r="J10" s="256">
        <v>0.0</v>
      </c>
      <c r="K10" s="244"/>
      <c r="L10" s="244"/>
      <c r="M10" s="244"/>
      <c r="N10" s="244"/>
      <c r="O10" s="244"/>
      <c r="P10" s="244"/>
      <c r="Q10" s="244"/>
      <c r="R10" s="244"/>
      <c r="S10" s="244"/>
      <c r="T10" s="244"/>
      <c r="U10" s="244"/>
      <c r="V10" s="244"/>
      <c r="W10" s="244"/>
      <c r="X10" s="244"/>
      <c r="Y10" s="244"/>
      <c r="Z10" s="244"/>
    </row>
    <row r="11" ht="11.25" customHeight="1">
      <c r="A11" s="244"/>
      <c r="B11" s="255" t="s">
        <v>248</v>
      </c>
      <c r="C11" s="256">
        <v>3.8060302E7</v>
      </c>
      <c r="D11" s="256">
        <v>0.0</v>
      </c>
      <c r="E11" s="256">
        <v>3.8060302E7</v>
      </c>
      <c r="F11" s="256">
        <v>0.0</v>
      </c>
      <c r="G11" s="256">
        <v>3.8060302E7</v>
      </c>
      <c r="H11" s="256">
        <v>0.0</v>
      </c>
      <c r="I11" s="256">
        <v>0.0</v>
      </c>
      <c r="J11" s="256">
        <v>0.0</v>
      </c>
      <c r="K11" s="244"/>
      <c r="L11" s="244"/>
      <c r="M11" s="244"/>
      <c r="N11" s="244"/>
      <c r="O11" s="244"/>
      <c r="P11" s="244"/>
      <c r="Q11" s="244"/>
      <c r="R11" s="244"/>
      <c r="S11" s="244"/>
      <c r="T11" s="244"/>
      <c r="U11" s="244"/>
      <c r="V11" s="244"/>
      <c r="W11" s="244"/>
      <c r="X11" s="244"/>
      <c r="Y11" s="244"/>
      <c r="Z11" s="244"/>
    </row>
    <row r="12" ht="11.25" customHeight="1">
      <c r="A12" s="244"/>
      <c r="B12" s="255" t="s">
        <v>249</v>
      </c>
      <c r="C12" s="256">
        <v>174957.0</v>
      </c>
      <c r="D12" s="256">
        <v>174957.0</v>
      </c>
      <c r="E12" s="256">
        <v>0.0</v>
      </c>
      <c r="F12" s="256">
        <v>0.0</v>
      </c>
      <c r="G12" s="256">
        <v>0.0</v>
      </c>
      <c r="H12" s="256">
        <v>0.0</v>
      </c>
      <c r="I12" s="256">
        <v>0.0</v>
      </c>
      <c r="J12" s="256">
        <v>0.0</v>
      </c>
      <c r="K12" s="244"/>
      <c r="L12" s="244"/>
      <c r="M12" s="244"/>
      <c r="N12" s="244"/>
      <c r="O12" s="244"/>
      <c r="P12" s="244"/>
      <c r="Q12" s="244"/>
      <c r="R12" s="244"/>
      <c r="S12" s="244"/>
      <c r="T12" s="244"/>
      <c r="U12" s="244"/>
      <c r="V12" s="244"/>
      <c r="W12" s="244"/>
      <c r="X12" s="244"/>
      <c r="Y12" s="244"/>
      <c r="Z12" s="244"/>
    </row>
    <row r="13" ht="11.25" customHeight="1">
      <c r="A13" s="244"/>
      <c r="B13" s="255" t="s">
        <v>250</v>
      </c>
      <c r="C13" s="256">
        <v>12569.0</v>
      </c>
      <c r="D13" s="256">
        <v>12569.0</v>
      </c>
      <c r="E13" s="256">
        <v>0.0</v>
      </c>
      <c r="F13" s="256">
        <v>0.0</v>
      </c>
      <c r="G13" s="256">
        <v>0.0</v>
      </c>
      <c r="H13" s="256">
        <v>0.0</v>
      </c>
      <c r="I13" s="256">
        <v>0.0</v>
      </c>
      <c r="J13" s="256">
        <v>0.0</v>
      </c>
      <c r="K13" s="244"/>
      <c r="L13" s="244"/>
      <c r="M13" s="244"/>
      <c r="N13" s="244"/>
      <c r="O13" s="244"/>
      <c r="P13" s="244"/>
      <c r="Q13" s="244"/>
      <c r="R13" s="244"/>
      <c r="S13" s="244"/>
      <c r="T13" s="244"/>
      <c r="U13" s="244"/>
      <c r="V13" s="244"/>
      <c r="W13" s="244"/>
      <c r="X13" s="244"/>
      <c r="Y13" s="244"/>
      <c r="Z13" s="244"/>
    </row>
    <row r="14" ht="11.25" customHeight="1">
      <c r="A14" s="244"/>
      <c r="B14" s="257" t="s">
        <v>251</v>
      </c>
      <c r="C14" s="258">
        <v>1.92024015E8</v>
      </c>
      <c r="D14" s="258">
        <v>1.094375E8</v>
      </c>
      <c r="E14" s="258">
        <v>8.2586515E7</v>
      </c>
      <c r="F14" s="258">
        <v>0.0</v>
      </c>
      <c r="G14" s="258">
        <v>8.2586515E7</v>
      </c>
      <c r="H14" s="258">
        <v>0.0</v>
      </c>
      <c r="I14" s="258">
        <v>0.0</v>
      </c>
      <c r="J14" s="258">
        <v>0.0</v>
      </c>
      <c r="K14" s="244"/>
      <c r="L14" s="244"/>
      <c r="M14" s="244"/>
      <c r="N14" s="244"/>
      <c r="O14" s="244"/>
      <c r="P14" s="244"/>
      <c r="Q14" s="244"/>
      <c r="R14" s="244"/>
      <c r="S14" s="244"/>
      <c r="T14" s="244"/>
      <c r="U14" s="244"/>
      <c r="V14" s="244"/>
      <c r="W14" s="244"/>
      <c r="X14" s="244"/>
      <c r="Y14" s="244"/>
      <c r="Z14" s="244"/>
    </row>
    <row r="15" ht="11.25" customHeight="1">
      <c r="A15" s="244"/>
      <c r="B15" s="255" t="s">
        <v>252</v>
      </c>
      <c r="C15" s="256">
        <v>40000.0</v>
      </c>
      <c r="D15" s="256">
        <v>40000.0</v>
      </c>
      <c r="E15" s="256">
        <v>0.0</v>
      </c>
      <c r="F15" s="256">
        <v>0.0</v>
      </c>
      <c r="G15" s="256">
        <v>0.0</v>
      </c>
      <c r="H15" s="256">
        <v>0.0</v>
      </c>
      <c r="I15" s="256">
        <v>0.0</v>
      </c>
      <c r="J15" s="256">
        <v>0.0</v>
      </c>
      <c r="K15" s="244"/>
      <c r="L15" s="244"/>
      <c r="M15" s="244"/>
      <c r="N15" s="244"/>
      <c r="O15" s="244"/>
      <c r="P15" s="244"/>
      <c r="Q15" s="244"/>
      <c r="R15" s="244"/>
      <c r="S15" s="244"/>
      <c r="T15" s="244"/>
      <c r="U15" s="244"/>
      <c r="V15" s="244"/>
      <c r="W15" s="244"/>
      <c r="X15" s="244"/>
      <c r="Y15" s="244"/>
      <c r="Z15" s="244"/>
    </row>
    <row r="16" ht="11.25" customHeight="1">
      <c r="A16" s="244"/>
      <c r="B16" s="255" t="s">
        <v>253</v>
      </c>
      <c r="C16" s="256">
        <v>1.4287381E7</v>
      </c>
      <c r="D16" s="256">
        <v>1.4287381E7</v>
      </c>
      <c r="E16" s="256">
        <v>0.0</v>
      </c>
      <c r="F16" s="256">
        <v>0.0</v>
      </c>
      <c r="G16" s="256">
        <v>0.0</v>
      </c>
      <c r="H16" s="256">
        <v>0.0</v>
      </c>
      <c r="I16" s="256">
        <v>0.0</v>
      </c>
      <c r="J16" s="256">
        <v>0.0</v>
      </c>
      <c r="K16" s="259">
        <f>+'Balance 2023'!$H16-G17</f>
        <v>0</v>
      </c>
      <c r="L16" s="244"/>
      <c r="M16" s="244"/>
      <c r="N16" s="244"/>
      <c r="O16" s="244"/>
      <c r="P16" s="244"/>
      <c r="Q16" s="244"/>
      <c r="R16" s="244"/>
      <c r="S16" s="244"/>
      <c r="T16" s="244"/>
      <c r="U16" s="244"/>
      <c r="V16" s="244"/>
      <c r="W16" s="244"/>
      <c r="X16" s="244"/>
      <c r="Y16" s="244"/>
      <c r="Z16" s="244"/>
    </row>
    <row r="17" ht="14.25" customHeight="1">
      <c r="A17" s="244"/>
      <c r="B17" s="255" t="s">
        <v>254</v>
      </c>
      <c r="C17" s="256">
        <v>7247558.0</v>
      </c>
      <c r="D17" s="256">
        <v>1.4287381E7</v>
      </c>
      <c r="E17" s="256">
        <v>0.0</v>
      </c>
      <c r="F17" s="256">
        <v>7039823.0</v>
      </c>
      <c r="G17" s="256">
        <v>0.0</v>
      </c>
      <c r="H17" s="256">
        <v>7039823.0</v>
      </c>
      <c r="I17" s="256">
        <v>0.0</v>
      </c>
      <c r="J17" s="256">
        <v>0.0</v>
      </c>
      <c r="K17" s="259"/>
      <c r="L17" s="244"/>
      <c r="M17" s="244"/>
      <c r="N17" s="244"/>
      <c r="O17" s="244"/>
      <c r="P17" s="244"/>
      <c r="Q17" s="244"/>
      <c r="R17" s="244"/>
      <c r="S17" s="244"/>
      <c r="T17" s="244"/>
      <c r="U17" s="244"/>
      <c r="V17" s="244"/>
      <c r="W17" s="244"/>
      <c r="X17" s="244"/>
      <c r="Y17" s="244"/>
      <c r="Z17" s="244"/>
    </row>
    <row r="18" ht="11.25" customHeight="1">
      <c r="A18" s="244"/>
      <c r="B18" s="255" t="s">
        <v>255</v>
      </c>
      <c r="C18" s="256">
        <v>456263.0</v>
      </c>
      <c r="D18" s="256">
        <v>456263.0</v>
      </c>
      <c r="E18" s="256">
        <v>0.0</v>
      </c>
      <c r="F18" s="256">
        <v>0.0</v>
      </c>
      <c r="G18" s="256">
        <v>0.0</v>
      </c>
      <c r="H18" s="256">
        <v>0.0</v>
      </c>
      <c r="I18" s="256">
        <v>0.0</v>
      </c>
      <c r="J18" s="256">
        <v>0.0</v>
      </c>
      <c r="K18" s="244"/>
      <c r="L18" s="244"/>
      <c r="M18" s="244"/>
      <c r="N18" s="244"/>
      <c r="O18" s="244"/>
      <c r="P18" s="244"/>
      <c r="Q18" s="244"/>
      <c r="R18" s="244"/>
      <c r="S18" s="244"/>
      <c r="T18" s="244"/>
      <c r="U18" s="244"/>
      <c r="V18" s="244"/>
      <c r="W18" s="244"/>
      <c r="X18" s="244"/>
      <c r="Y18" s="244"/>
      <c r="Z18" s="244"/>
    </row>
    <row r="19" ht="11.25" customHeight="1">
      <c r="A19" s="244"/>
      <c r="B19" s="257" t="s">
        <v>256</v>
      </c>
      <c r="C19" s="258">
        <v>0.0</v>
      </c>
      <c r="D19" s="258">
        <v>100000.0</v>
      </c>
      <c r="E19" s="258">
        <v>0.0</v>
      </c>
      <c r="F19" s="258">
        <v>100000.0</v>
      </c>
      <c r="G19" s="258">
        <v>0.0</v>
      </c>
      <c r="H19" s="258">
        <v>100000.0</v>
      </c>
      <c r="I19" s="258">
        <v>0.0</v>
      </c>
      <c r="J19" s="258">
        <v>0.0</v>
      </c>
      <c r="K19" s="244"/>
      <c r="L19" s="244"/>
      <c r="M19" s="244"/>
      <c r="N19" s="244"/>
      <c r="O19" s="244"/>
      <c r="P19" s="244"/>
      <c r="Q19" s="244"/>
      <c r="R19" s="244"/>
      <c r="S19" s="244"/>
      <c r="T19" s="244"/>
      <c r="U19" s="244"/>
      <c r="V19" s="244"/>
      <c r="W19" s="244"/>
      <c r="X19" s="244"/>
      <c r="Y19" s="244"/>
      <c r="Z19" s="244"/>
    </row>
    <row r="20" ht="11.25" customHeight="1">
      <c r="A20" s="244"/>
      <c r="B20" s="257" t="s">
        <v>257</v>
      </c>
      <c r="C20" s="258">
        <v>1.3515393E8</v>
      </c>
      <c r="D20" s="258">
        <v>1.3515393E8</v>
      </c>
      <c r="E20" s="258">
        <v>0.0</v>
      </c>
      <c r="F20" s="258">
        <v>0.0</v>
      </c>
      <c r="G20" s="258">
        <v>0.0</v>
      </c>
      <c r="H20" s="258">
        <v>0.0</v>
      </c>
      <c r="I20" s="258">
        <v>0.0</v>
      </c>
      <c r="J20" s="258">
        <v>0.0</v>
      </c>
      <c r="K20" s="244"/>
      <c r="L20" s="244"/>
      <c r="M20" s="244"/>
      <c r="N20" s="244"/>
      <c r="O20" s="244"/>
      <c r="P20" s="244"/>
      <c r="Q20" s="244"/>
      <c r="R20" s="244"/>
      <c r="S20" s="244"/>
      <c r="T20" s="244"/>
      <c r="U20" s="244"/>
      <c r="V20" s="244"/>
      <c r="W20" s="244"/>
      <c r="X20" s="244"/>
      <c r="Y20" s="244"/>
      <c r="Z20" s="244"/>
    </row>
    <row r="21" ht="11.25" customHeight="1">
      <c r="A21" s="244"/>
      <c r="B21" s="257" t="s">
        <v>258</v>
      </c>
      <c r="C21" s="258">
        <v>0.0</v>
      </c>
      <c r="D21" s="258">
        <v>3.01798649E8</v>
      </c>
      <c r="E21" s="258">
        <v>0.0</v>
      </c>
      <c r="F21" s="258">
        <v>3.01798649E8</v>
      </c>
      <c r="G21" s="258">
        <v>0.0</v>
      </c>
      <c r="H21" s="258">
        <v>3.01798649E8</v>
      </c>
      <c r="I21" s="258">
        <v>0.0</v>
      </c>
      <c r="J21" s="258">
        <v>0.0</v>
      </c>
      <c r="K21" s="244"/>
      <c r="L21" s="244"/>
      <c r="M21" s="244"/>
      <c r="N21" s="244"/>
      <c r="O21" s="244"/>
      <c r="P21" s="244"/>
      <c r="Q21" s="244"/>
      <c r="R21" s="244"/>
      <c r="S21" s="244"/>
      <c r="T21" s="244"/>
      <c r="U21" s="244"/>
      <c r="V21" s="244"/>
      <c r="W21" s="244"/>
      <c r="X21" s="244"/>
      <c r="Y21" s="244"/>
      <c r="Z21" s="244"/>
    </row>
    <row r="22" ht="11.25" customHeight="1">
      <c r="A22" s="244"/>
      <c r="B22" s="255" t="s">
        <v>259</v>
      </c>
      <c r="C22" s="256">
        <v>357211.0</v>
      </c>
      <c r="D22" s="256">
        <v>0.0</v>
      </c>
      <c r="E22" s="256">
        <v>357211.0</v>
      </c>
      <c r="F22" s="256">
        <v>0.0</v>
      </c>
      <c r="G22" s="256">
        <v>0.0</v>
      </c>
      <c r="H22" s="256">
        <v>0.0</v>
      </c>
      <c r="I22" s="256">
        <v>357211.0</v>
      </c>
      <c r="J22" s="256">
        <v>0.0</v>
      </c>
      <c r="K22" s="244"/>
      <c r="L22" s="244"/>
      <c r="M22" s="244"/>
      <c r="N22" s="244"/>
      <c r="O22" s="244"/>
      <c r="P22" s="244"/>
      <c r="Q22" s="244"/>
      <c r="R22" s="244"/>
      <c r="S22" s="244"/>
      <c r="T22" s="244"/>
      <c r="U22" s="244"/>
      <c r="V22" s="244"/>
      <c r="W22" s="244"/>
      <c r="X22" s="244"/>
      <c r="Y22" s="244"/>
      <c r="Z22" s="244"/>
    </row>
    <row r="23" ht="11.25" customHeight="1">
      <c r="A23" s="244"/>
      <c r="B23" s="255" t="s">
        <v>260</v>
      </c>
      <c r="C23" s="256">
        <v>12000.0</v>
      </c>
      <c r="D23" s="256">
        <v>0.0</v>
      </c>
      <c r="E23" s="256">
        <v>12000.0</v>
      </c>
      <c r="F23" s="256">
        <v>0.0</v>
      </c>
      <c r="G23" s="256">
        <v>0.0</v>
      </c>
      <c r="H23" s="256">
        <v>0.0</v>
      </c>
      <c r="I23" s="256">
        <v>12000.0</v>
      </c>
      <c r="J23" s="256">
        <v>0.0</v>
      </c>
      <c r="K23" s="244"/>
      <c r="L23" s="244"/>
      <c r="M23" s="244"/>
      <c r="N23" s="244"/>
      <c r="O23" s="244"/>
      <c r="P23" s="244"/>
      <c r="Q23" s="244"/>
      <c r="R23" s="244"/>
      <c r="S23" s="244"/>
      <c r="T23" s="244"/>
      <c r="U23" s="244"/>
      <c r="V23" s="244"/>
      <c r="W23" s="244"/>
      <c r="X23" s="244"/>
      <c r="Y23" s="244"/>
      <c r="Z23" s="244"/>
    </row>
    <row r="24" ht="11.25" customHeight="1">
      <c r="A24" s="244"/>
      <c r="B24" s="255" t="s">
        <v>261</v>
      </c>
      <c r="C24" s="256">
        <v>40000.0</v>
      </c>
      <c r="D24" s="256">
        <v>0.0</v>
      </c>
      <c r="E24" s="256">
        <v>40000.0</v>
      </c>
      <c r="F24" s="256">
        <v>0.0</v>
      </c>
      <c r="G24" s="256">
        <v>0.0</v>
      </c>
      <c r="H24" s="256">
        <v>0.0</v>
      </c>
      <c r="I24" s="256">
        <v>40000.0</v>
      </c>
      <c r="J24" s="256">
        <v>0.0</v>
      </c>
      <c r="K24" s="244"/>
      <c r="L24" s="244"/>
      <c r="M24" s="244"/>
      <c r="N24" s="244"/>
      <c r="O24" s="244"/>
      <c r="P24" s="244"/>
      <c r="Q24" s="244"/>
      <c r="R24" s="244"/>
      <c r="S24" s="244"/>
      <c r="T24" s="244"/>
      <c r="U24" s="244"/>
      <c r="V24" s="244"/>
      <c r="W24" s="244"/>
      <c r="X24" s="244"/>
      <c r="Y24" s="244"/>
      <c r="Z24" s="244"/>
    </row>
    <row r="25" ht="11.25" customHeight="1">
      <c r="A25" s="244"/>
      <c r="B25" s="255" t="s">
        <v>262</v>
      </c>
      <c r="C25" s="256">
        <v>86483.0</v>
      </c>
      <c r="D25" s="256">
        <v>0.0</v>
      </c>
      <c r="E25" s="256">
        <v>86483.0</v>
      </c>
      <c r="F25" s="256">
        <v>0.0</v>
      </c>
      <c r="G25" s="256">
        <v>0.0</v>
      </c>
      <c r="H25" s="256">
        <v>0.0</v>
      </c>
      <c r="I25" s="256">
        <v>86483.0</v>
      </c>
      <c r="J25" s="256">
        <v>0.0</v>
      </c>
      <c r="K25" s="244"/>
      <c r="L25" s="244"/>
      <c r="M25" s="244"/>
      <c r="N25" s="244"/>
      <c r="O25" s="244"/>
      <c r="P25" s="244"/>
      <c r="Q25" s="244"/>
      <c r="R25" s="244"/>
      <c r="S25" s="244"/>
      <c r="T25" s="244"/>
      <c r="U25" s="244"/>
      <c r="V25" s="244"/>
      <c r="W25" s="244"/>
      <c r="X25" s="244"/>
      <c r="Y25" s="244"/>
      <c r="Z25" s="244"/>
    </row>
    <row r="26" ht="11.25" customHeight="1">
      <c r="A26" s="244"/>
      <c r="B26" s="260" t="s">
        <v>263</v>
      </c>
      <c r="C26" s="261">
        <v>626743.0</v>
      </c>
      <c r="D26" s="261">
        <v>0.0</v>
      </c>
      <c r="E26" s="261">
        <v>626743.0</v>
      </c>
      <c r="F26" s="261">
        <v>0.0</v>
      </c>
      <c r="G26" s="261">
        <v>0.0</v>
      </c>
      <c r="H26" s="261">
        <v>0.0</v>
      </c>
      <c r="I26" s="261">
        <v>626743.0</v>
      </c>
      <c r="J26" s="261">
        <v>0.0</v>
      </c>
      <c r="K26" s="244"/>
      <c r="L26" s="244"/>
      <c r="M26" s="244"/>
      <c r="N26" s="244"/>
      <c r="O26" s="244"/>
      <c r="P26" s="244"/>
      <c r="Q26" s="244"/>
      <c r="R26" s="244"/>
      <c r="S26" s="244"/>
      <c r="T26" s="244"/>
      <c r="U26" s="244"/>
      <c r="V26" s="244"/>
      <c r="W26" s="244"/>
      <c r="X26" s="244"/>
      <c r="Y26" s="244"/>
      <c r="Z26" s="244"/>
    </row>
    <row r="27" ht="11.25" customHeight="1">
      <c r="A27" s="244"/>
      <c r="B27" s="255" t="s">
        <v>264</v>
      </c>
      <c r="C27" s="256">
        <v>12569.0</v>
      </c>
      <c r="D27" s="256">
        <v>0.0</v>
      </c>
      <c r="E27" s="256">
        <v>12569.0</v>
      </c>
      <c r="F27" s="256">
        <v>0.0</v>
      </c>
      <c r="G27" s="256">
        <v>0.0</v>
      </c>
      <c r="H27" s="256">
        <v>0.0</v>
      </c>
      <c r="I27" s="256">
        <v>12569.0</v>
      </c>
      <c r="J27" s="256">
        <v>0.0</v>
      </c>
      <c r="K27" s="244"/>
      <c r="L27" s="244"/>
      <c r="M27" s="244"/>
      <c r="N27" s="244"/>
      <c r="O27" s="244"/>
      <c r="P27" s="244"/>
      <c r="Q27" s="244"/>
      <c r="R27" s="244"/>
      <c r="S27" s="244"/>
      <c r="T27" s="244"/>
      <c r="U27" s="244"/>
      <c r="V27" s="244"/>
      <c r="W27" s="244"/>
      <c r="X27" s="244"/>
      <c r="Y27" s="244"/>
      <c r="Z27" s="244"/>
    </row>
    <row r="28" ht="11.25" customHeight="1">
      <c r="A28" s="244"/>
      <c r="B28" s="260" t="s">
        <v>265</v>
      </c>
      <c r="C28" s="261">
        <v>1.3554622E7</v>
      </c>
      <c r="D28" s="261">
        <v>0.0</v>
      </c>
      <c r="E28" s="261">
        <v>1.3554622E7</v>
      </c>
      <c r="F28" s="261">
        <v>0.0</v>
      </c>
      <c r="G28" s="261">
        <v>0.0</v>
      </c>
      <c r="H28" s="261">
        <v>0.0</v>
      </c>
      <c r="I28" s="261">
        <v>1.3554622E7</v>
      </c>
      <c r="J28" s="261">
        <v>0.0</v>
      </c>
      <c r="K28" s="244"/>
      <c r="L28" s="244"/>
      <c r="M28" s="244"/>
      <c r="N28" s="244"/>
      <c r="O28" s="244"/>
      <c r="P28" s="244"/>
      <c r="Q28" s="244"/>
      <c r="R28" s="244"/>
      <c r="S28" s="244"/>
      <c r="T28" s="244"/>
      <c r="U28" s="244"/>
      <c r="V28" s="244"/>
      <c r="W28" s="244"/>
      <c r="X28" s="244"/>
      <c r="Y28" s="244"/>
      <c r="Z28" s="244"/>
    </row>
    <row r="29" ht="11.25" customHeight="1">
      <c r="A29" s="244"/>
      <c r="B29" s="260" t="s">
        <v>266</v>
      </c>
      <c r="C29" s="261">
        <v>280973.0</v>
      </c>
      <c r="D29" s="261">
        <v>0.0</v>
      </c>
      <c r="E29" s="261">
        <v>280973.0</v>
      </c>
      <c r="F29" s="261">
        <v>0.0</v>
      </c>
      <c r="G29" s="261">
        <v>0.0</v>
      </c>
      <c r="H29" s="261">
        <v>0.0</v>
      </c>
      <c r="I29" s="261">
        <v>280973.0</v>
      </c>
      <c r="J29" s="261">
        <v>0.0</v>
      </c>
      <c r="K29" s="244"/>
      <c r="L29" s="244"/>
      <c r="M29" s="244"/>
      <c r="N29" s="244"/>
      <c r="O29" s="244"/>
      <c r="P29" s="244"/>
      <c r="Q29" s="244"/>
      <c r="R29" s="244"/>
      <c r="S29" s="244"/>
      <c r="T29" s="244"/>
      <c r="U29" s="244"/>
      <c r="V29" s="244"/>
      <c r="W29" s="244"/>
      <c r="X29" s="244"/>
      <c r="Y29" s="244"/>
      <c r="Z29" s="244"/>
    </row>
    <row r="30" ht="11.25" customHeight="1">
      <c r="A30" s="244"/>
      <c r="B30" s="262" t="s">
        <v>267</v>
      </c>
      <c r="C30" s="263">
        <f>SUM('Balance 2023'!$C$6:$C$29)</f>
        <v>740324290</v>
      </c>
      <c r="D30" s="263">
        <f>SUM('Balance 2023'!$D$6:$D$29)</f>
        <v>740324290</v>
      </c>
      <c r="E30" s="263">
        <f>SUM('Balance 2023'!$E$6:$E$29)</f>
        <v>308938472</v>
      </c>
      <c r="F30" s="263">
        <f>SUM('Balance 2023'!$F$6:$F$29)</f>
        <v>308938472</v>
      </c>
      <c r="G30" s="263">
        <f>SUM('Balance 2023'!$G$6:$G$29)</f>
        <v>293967871</v>
      </c>
      <c r="H30" s="263">
        <f>SUM('Balance 2023'!$H$6:$H$29)</f>
        <v>308938472</v>
      </c>
      <c r="I30" s="263">
        <f>SUM('Balance 2023'!$I$6:$I$29)</f>
        <v>14970601</v>
      </c>
      <c r="J30" s="263">
        <f>SUM('Balance 2023'!$J$6:$J$29)</f>
        <v>0</v>
      </c>
      <c r="K30" s="244"/>
      <c r="L30" s="244"/>
      <c r="M30" s="244"/>
      <c r="N30" s="244"/>
      <c r="O30" s="244"/>
      <c r="P30" s="244"/>
      <c r="Q30" s="244"/>
      <c r="R30" s="244"/>
      <c r="S30" s="244"/>
      <c r="T30" s="244"/>
      <c r="U30" s="244"/>
      <c r="V30" s="244"/>
      <c r="W30" s="244"/>
      <c r="X30" s="244"/>
      <c r="Y30" s="244"/>
      <c r="Z30" s="244"/>
    </row>
    <row r="31" ht="11.25" customHeight="1">
      <c r="A31" s="244"/>
      <c r="B31" s="264" t="str">
        <f>IF(H31="","Perdida Ejercicio","Ganancia Ejercicio")</f>
        <v>Perdida Ejercicio</v>
      </c>
      <c r="C31" s="265"/>
      <c r="D31" s="265"/>
      <c r="E31" s="265"/>
      <c r="F31" s="265"/>
      <c r="G31" s="265">
        <f>IF(G30&lt;H30,H30-G30,"")</f>
        <v>14970601</v>
      </c>
      <c r="H31" s="265" t="str">
        <f>IF(G30&gt;H30,G30-H30,"")</f>
        <v/>
      </c>
      <c r="I31" s="265" t="str">
        <f>IF(I30&lt;J30,J30-I30,"")</f>
        <v/>
      </c>
      <c r="J31" s="265">
        <f>IF(I30&gt;J30,I30-J30,"")</f>
        <v>14970601</v>
      </c>
      <c r="K31" s="244"/>
      <c r="L31" s="244"/>
      <c r="M31" s="244"/>
      <c r="N31" s="244"/>
      <c r="O31" s="244"/>
      <c r="P31" s="244"/>
      <c r="Q31" s="244"/>
      <c r="R31" s="244"/>
      <c r="S31" s="244"/>
      <c r="T31" s="244"/>
      <c r="U31" s="244"/>
      <c r="V31" s="244"/>
      <c r="W31" s="244"/>
      <c r="X31" s="244"/>
      <c r="Y31" s="244"/>
      <c r="Z31" s="244"/>
    </row>
    <row r="32" ht="11.25" customHeight="1">
      <c r="A32" s="244"/>
      <c r="B32" s="262" t="s">
        <v>268</v>
      </c>
      <c r="C32" s="263">
        <f t="shared" ref="C32:J32" si="1">SUM(C30:C31)</f>
        <v>740324290</v>
      </c>
      <c r="D32" s="263">
        <f t="shared" si="1"/>
        <v>740324290</v>
      </c>
      <c r="E32" s="263">
        <f t="shared" si="1"/>
        <v>308938472</v>
      </c>
      <c r="F32" s="263">
        <f t="shared" si="1"/>
        <v>308938472</v>
      </c>
      <c r="G32" s="263">
        <f t="shared" si="1"/>
        <v>308938472</v>
      </c>
      <c r="H32" s="263">
        <f t="shared" si="1"/>
        <v>308938472</v>
      </c>
      <c r="I32" s="263">
        <f t="shared" si="1"/>
        <v>14970601</v>
      </c>
      <c r="J32" s="263">
        <f t="shared" si="1"/>
        <v>14970601</v>
      </c>
      <c r="K32" s="244"/>
      <c r="L32" s="244"/>
      <c r="M32" s="244"/>
      <c r="N32" s="244"/>
      <c r="O32" s="244"/>
      <c r="P32" s="244"/>
      <c r="Q32" s="244"/>
      <c r="R32" s="244"/>
      <c r="S32" s="244"/>
      <c r="T32" s="244"/>
      <c r="U32" s="244"/>
      <c r="V32" s="244"/>
      <c r="W32" s="244"/>
      <c r="X32" s="244"/>
      <c r="Y32" s="244"/>
      <c r="Z32" s="244"/>
    </row>
    <row r="33" ht="11.25" customHeight="1">
      <c r="A33" s="244"/>
      <c r="B33" s="244"/>
      <c r="C33" s="266"/>
      <c r="D33" s="266"/>
      <c r="E33" s="266"/>
      <c r="F33" s="266"/>
      <c r="G33" s="266"/>
      <c r="H33" s="266"/>
      <c r="I33" s="266"/>
      <c r="J33" s="266"/>
      <c r="K33" s="244"/>
      <c r="L33" s="244"/>
      <c r="M33" s="244"/>
      <c r="N33" s="244"/>
      <c r="O33" s="244"/>
      <c r="P33" s="244"/>
      <c r="Q33" s="244"/>
      <c r="R33" s="244"/>
      <c r="S33" s="244"/>
      <c r="T33" s="244"/>
      <c r="U33" s="244"/>
      <c r="V33" s="244"/>
      <c r="W33" s="244"/>
      <c r="X33" s="244"/>
      <c r="Y33" s="244"/>
      <c r="Z33" s="244"/>
    </row>
    <row r="34" ht="11.25" customHeight="1">
      <c r="A34" s="244"/>
      <c r="B34" s="244"/>
      <c r="C34" s="266"/>
      <c r="D34" s="266"/>
      <c r="E34" s="266"/>
      <c r="F34" s="266"/>
      <c r="G34" s="266"/>
      <c r="H34" s="266"/>
      <c r="I34" s="266"/>
      <c r="J34" s="266"/>
      <c r="K34" s="244"/>
      <c r="L34" s="244"/>
      <c r="M34" s="244"/>
      <c r="N34" s="244"/>
      <c r="O34" s="244"/>
      <c r="P34" s="244"/>
      <c r="Q34" s="244"/>
      <c r="R34" s="244"/>
      <c r="S34" s="244"/>
      <c r="T34" s="244"/>
      <c r="U34" s="244"/>
      <c r="V34" s="244"/>
      <c r="W34" s="244"/>
      <c r="X34" s="244"/>
      <c r="Y34" s="244"/>
      <c r="Z34" s="244"/>
    </row>
    <row r="35" ht="11.25" customHeight="1">
      <c r="A35" s="244"/>
      <c r="B35" s="244"/>
      <c r="C35" s="266"/>
      <c r="D35" s="266"/>
      <c r="E35" s="266"/>
      <c r="F35" s="266"/>
      <c r="G35" s="266"/>
      <c r="H35" s="266"/>
      <c r="I35" s="266"/>
      <c r="J35" s="266"/>
      <c r="K35" s="244"/>
      <c r="L35" s="244"/>
      <c r="M35" s="244"/>
      <c r="N35" s="244"/>
      <c r="O35" s="244"/>
      <c r="P35" s="244"/>
      <c r="Q35" s="244"/>
      <c r="R35" s="244"/>
      <c r="S35" s="244"/>
      <c r="T35" s="244"/>
      <c r="U35" s="244"/>
      <c r="V35" s="244"/>
      <c r="W35" s="244"/>
      <c r="X35" s="244"/>
      <c r="Y35" s="244"/>
      <c r="Z35" s="244"/>
    </row>
    <row r="36" ht="11.25" customHeight="1">
      <c r="A36" s="244"/>
      <c r="B36" s="244"/>
      <c r="C36" s="266"/>
      <c r="D36" s="266"/>
      <c r="E36" s="266"/>
      <c r="F36" s="266"/>
      <c r="G36" s="266"/>
      <c r="H36" s="266"/>
      <c r="I36" s="266"/>
      <c r="J36" s="266"/>
      <c r="K36" s="244"/>
      <c r="L36" s="244"/>
      <c r="M36" s="244"/>
      <c r="N36" s="244"/>
      <c r="O36" s="244"/>
      <c r="P36" s="244"/>
      <c r="Q36" s="244"/>
      <c r="R36" s="244"/>
      <c r="S36" s="244"/>
      <c r="T36" s="244"/>
      <c r="U36" s="244"/>
      <c r="V36" s="244"/>
      <c r="W36" s="244"/>
      <c r="X36" s="244"/>
      <c r="Y36" s="244"/>
      <c r="Z36" s="244"/>
    </row>
    <row r="37" ht="11.25" customHeight="1">
      <c r="A37" s="244"/>
      <c r="B37" s="244"/>
      <c r="C37" s="266"/>
      <c r="D37" s="266"/>
      <c r="E37" s="266"/>
      <c r="F37" s="266"/>
      <c r="G37" s="266"/>
      <c r="H37" s="266"/>
      <c r="I37" s="266"/>
      <c r="J37" s="266"/>
      <c r="K37" s="244"/>
      <c r="L37" s="244"/>
      <c r="M37" s="244"/>
      <c r="N37" s="244"/>
      <c r="O37" s="244"/>
      <c r="P37" s="244"/>
      <c r="Q37" s="244"/>
      <c r="R37" s="244"/>
      <c r="S37" s="244"/>
      <c r="T37" s="244"/>
      <c r="U37" s="244"/>
      <c r="V37" s="244"/>
      <c r="W37" s="244"/>
      <c r="X37" s="244"/>
      <c r="Y37" s="244"/>
      <c r="Z37" s="244"/>
    </row>
    <row r="38" ht="11.25" customHeight="1">
      <c r="A38" s="244"/>
      <c r="B38" s="244"/>
      <c r="C38" s="266"/>
      <c r="D38" s="266"/>
      <c r="E38" s="266"/>
      <c r="F38" s="266"/>
      <c r="G38" s="266"/>
      <c r="H38" s="266"/>
      <c r="I38" s="266"/>
      <c r="J38" s="266"/>
      <c r="K38" s="244"/>
      <c r="L38" s="244"/>
      <c r="M38" s="244"/>
      <c r="N38" s="244"/>
      <c r="O38" s="244"/>
      <c r="P38" s="244"/>
      <c r="Q38" s="244"/>
      <c r="R38" s="244"/>
      <c r="S38" s="244"/>
      <c r="T38" s="244"/>
      <c r="U38" s="244"/>
      <c r="V38" s="244"/>
      <c r="W38" s="244"/>
      <c r="X38" s="244"/>
      <c r="Y38" s="244"/>
      <c r="Z38" s="244"/>
    </row>
    <row r="39" ht="11.25" customHeight="1">
      <c r="A39" s="244"/>
      <c r="B39" s="244"/>
      <c r="C39" s="266"/>
      <c r="D39" s="266"/>
      <c r="E39" s="266"/>
      <c r="F39" s="266"/>
      <c r="G39" s="266"/>
      <c r="H39" s="266"/>
      <c r="I39" s="266"/>
      <c r="J39" s="266"/>
      <c r="K39" s="244"/>
      <c r="L39" s="244"/>
      <c r="M39" s="244"/>
      <c r="N39" s="244"/>
      <c r="O39" s="244"/>
      <c r="P39" s="244"/>
      <c r="Q39" s="244"/>
      <c r="R39" s="244"/>
      <c r="S39" s="244"/>
      <c r="T39" s="244"/>
      <c r="U39" s="244"/>
      <c r="V39" s="244"/>
      <c r="W39" s="244"/>
      <c r="X39" s="244"/>
      <c r="Y39" s="244"/>
      <c r="Z39" s="244"/>
    </row>
    <row r="40" ht="11.25" customHeight="1">
      <c r="A40" s="244"/>
      <c r="B40" s="244"/>
      <c r="C40" s="266"/>
      <c r="D40" s="266"/>
      <c r="E40" s="266"/>
      <c r="F40" s="266"/>
      <c r="G40" s="266"/>
      <c r="H40" s="266"/>
      <c r="I40" s="266"/>
      <c r="J40" s="266"/>
      <c r="K40" s="244"/>
      <c r="L40" s="244"/>
      <c r="M40" s="244"/>
      <c r="N40" s="244"/>
      <c r="O40" s="244"/>
      <c r="P40" s="244"/>
      <c r="Q40" s="244"/>
      <c r="R40" s="244"/>
      <c r="S40" s="244"/>
      <c r="T40" s="244"/>
      <c r="U40" s="244"/>
      <c r="V40" s="244"/>
      <c r="W40" s="244"/>
      <c r="X40" s="244"/>
      <c r="Y40" s="244"/>
      <c r="Z40" s="244"/>
    </row>
    <row r="41" ht="11.25" customHeight="1">
      <c r="A41" s="244"/>
      <c r="B41" s="244"/>
      <c r="C41" s="266"/>
      <c r="D41" s="266"/>
      <c r="E41" s="266"/>
      <c r="F41" s="266"/>
      <c r="G41" s="266"/>
      <c r="H41" s="266"/>
      <c r="I41" s="266"/>
      <c r="J41" s="266"/>
      <c r="K41" s="244"/>
      <c r="L41" s="244"/>
      <c r="M41" s="244"/>
      <c r="N41" s="244"/>
      <c r="O41" s="244"/>
      <c r="P41" s="244"/>
      <c r="Q41" s="244"/>
      <c r="R41" s="244"/>
      <c r="S41" s="244"/>
      <c r="T41" s="244"/>
      <c r="U41" s="244"/>
      <c r="V41" s="244"/>
      <c r="W41" s="244"/>
      <c r="X41" s="244"/>
      <c r="Y41" s="244"/>
      <c r="Z41" s="244"/>
    </row>
    <row r="42" ht="11.25" customHeight="1">
      <c r="A42" s="244"/>
      <c r="B42" s="244"/>
      <c r="C42" s="266"/>
      <c r="D42" s="266"/>
      <c r="E42" s="266"/>
      <c r="F42" s="266"/>
      <c r="G42" s="266"/>
      <c r="H42" s="266"/>
      <c r="I42" s="266"/>
      <c r="J42" s="266"/>
      <c r="K42" s="244"/>
      <c r="L42" s="244"/>
      <c r="M42" s="244"/>
      <c r="N42" s="244"/>
      <c r="O42" s="244"/>
      <c r="P42" s="244"/>
      <c r="Q42" s="244"/>
      <c r="R42" s="244"/>
      <c r="S42" s="244"/>
      <c r="T42" s="244"/>
      <c r="U42" s="244"/>
      <c r="V42" s="244"/>
      <c r="W42" s="244"/>
      <c r="X42" s="244"/>
      <c r="Y42" s="244"/>
      <c r="Z42" s="244"/>
    </row>
    <row r="43" ht="11.25" customHeight="1">
      <c r="A43" s="244"/>
      <c r="B43" s="244"/>
      <c r="C43" s="266"/>
      <c r="D43" s="266"/>
      <c r="E43" s="266"/>
      <c r="F43" s="266"/>
      <c r="G43" s="266"/>
      <c r="H43" s="266"/>
      <c r="I43" s="266"/>
      <c r="J43" s="266"/>
      <c r="K43" s="244"/>
      <c r="L43" s="244"/>
      <c r="M43" s="244"/>
      <c r="N43" s="244"/>
      <c r="O43" s="244"/>
      <c r="P43" s="244"/>
      <c r="Q43" s="244"/>
      <c r="R43" s="244"/>
      <c r="S43" s="244"/>
      <c r="T43" s="244"/>
      <c r="U43" s="244"/>
      <c r="V43" s="244"/>
      <c r="W43" s="244"/>
      <c r="X43" s="244"/>
      <c r="Y43" s="244"/>
      <c r="Z43" s="244"/>
    </row>
    <row r="44" ht="11.25" customHeight="1">
      <c r="A44" s="244"/>
      <c r="B44" s="244"/>
      <c r="C44" s="266"/>
      <c r="D44" s="266"/>
      <c r="E44" s="266"/>
      <c r="F44" s="266"/>
      <c r="G44" s="266"/>
      <c r="H44" s="266"/>
      <c r="I44" s="266"/>
      <c r="J44" s="266"/>
      <c r="K44" s="244"/>
      <c r="L44" s="244"/>
      <c r="M44" s="244"/>
      <c r="N44" s="244"/>
      <c r="O44" s="244"/>
      <c r="P44" s="244"/>
      <c r="Q44" s="244"/>
      <c r="R44" s="244"/>
      <c r="S44" s="244"/>
      <c r="T44" s="244"/>
      <c r="U44" s="244"/>
      <c r="V44" s="244"/>
      <c r="W44" s="244"/>
      <c r="X44" s="244"/>
      <c r="Y44" s="244"/>
      <c r="Z44" s="244"/>
    </row>
    <row r="45" ht="11.25" customHeight="1">
      <c r="A45" s="244"/>
      <c r="B45" s="244"/>
      <c r="C45" s="266"/>
      <c r="D45" s="266"/>
      <c r="E45" s="266"/>
      <c r="F45" s="266"/>
      <c r="G45" s="266"/>
      <c r="H45" s="266"/>
      <c r="I45" s="266"/>
      <c r="J45" s="266"/>
      <c r="K45" s="244"/>
      <c r="L45" s="244"/>
      <c r="M45" s="244"/>
      <c r="N45" s="244"/>
      <c r="O45" s="244"/>
      <c r="P45" s="244"/>
      <c r="Q45" s="244"/>
      <c r="R45" s="244"/>
      <c r="S45" s="244"/>
      <c r="T45" s="244"/>
      <c r="U45" s="244"/>
      <c r="V45" s="244"/>
      <c r="W45" s="244"/>
      <c r="X45" s="244"/>
      <c r="Y45" s="244"/>
      <c r="Z45" s="244"/>
    </row>
    <row r="46" ht="11.25" customHeight="1">
      <c r="A46" s="244"/>
      <c r="B46" s="244"/>
      <c r="C46" s="266"/>
      <c r="D46" s="266"/>
      <c r="E46" s="266"/>
      <c r="F46" s="266"/>
      <c r="G46" s="266"/>
      <c r="H46" s="266"/>
      <c r="I46" s="266"/>
      <c r="J46" s="266"/>
      <c r="K46" s="244"/>
      <c r="L46" s="244"/>
      <c r="M46" s="244"/>
      <c r="N46" s="244"/>
      <c r="O46" s="244"/>
      <c r="P46" s="244"/>
      <c r="Q46" s="244"/>
      <c r="R46" s="244"/>
      <c r="S46" s="244"/>
      <c r="T46" s="244"/>
      <c r="U46" s="244"/>
      <c r="V46" s="244"/>
      <c r="W46" s="244"/>
      <c r="X46" s="244"/>
      <c r="Y46" s="244"/>
      <c r="Z46" s="244"/>
    </row>
    <row r="47" ht="11.25" customHeight="1">
      <c r="A47" s="244"/>
      <c r="B47" s="244"/>
      <c r="C47" s="266"/>
      <c r="D47" s="266"/>
      <c r="E47" s="266"/>
      <c r="F47" s="266"/>
      <c r="G47" s="266"/>
      <c r="H47" s="266"/>
      <c r="I47" s="266"/>
      <c r="J47" s="266"/>
      <c r="K47" s="244"/>
      <c r="L47" s="244"/>
      <c r="M47" s="244"/>
      <c r="N47" s="244"/>
      <c r="O47" s="244"/>
      <c r="P47" s="244"/>
      <c r="Q47" s="244"/>
      <c r="R47" s="244"/>
      <c r="S47" s="244"/>
      <c r="T47" s="244"/>
      <c r="U47" s="244"/>
      <c r="V47" s="244"/>
      <c r="W47" s="244"/>
      <c r="X47" s="244"/>
      <c r="Y47" s="244"/>
      <c r="Z47" s="244"/>
    </row>
    <row r="48" ht="11.25" customHeight="1">
      <c r="A48" s="244"/>
      <c r="B48" s="244"/>
      <c r="C48" s="266"/>
      <c r="D48" s="266"/>
      <c r="E48" s="266"/>
      <c r="F48" s="266"/>
      <c r="G48" s="266"/>
      <c r="H48" s="266"/>
      <c r="I48" s="266"/>
      <c r="J48" s="266"/>
      <c r="K48" s="244"/>
      <c r="L48" s="244"/>
      <c r="M48" s="244"/>
      <c r="N48" s="244"/>
      <c r="O48" s="244"/>
      <c r="P48" s="244"/>
      <c r="Q48" s="244"/>
      <c r="R48" s="244"/>
      <c r="S48" s="244"/>
      <c r="T48" s="244"/>
      <c r="U48" s="244"/>
      <c r="V48" s="244"/>
      <c r="W48" s="244"/>
      <c r="X48" s="244"/>
      <c r="Y48" s="244"/>
      <c r="Z48" s="244"/>
    </row>
    <row r="49" ht="11.25" customHeight="1">
      <c r="A49" s="244"/>
      <c r="B49" s="244"/>
      <c r="C49" s="266"/>
      <c r="D49" s="266"/>
      <c r="E49" s="266"/>
      <c r="F49" s="266"/>
      <c r="G49" s="266"/>
      <c r="H49" s="266"/>
      <c r="I49" s="266"/>
      <c r="J49" s="266"/>
      <c r="K49" s="244"/>
      <c r="L49" s="244"/>
      <c r="M49" s="244"/>
      <c r="N49" s="244"/>
      <c r="O49" s="244"/>
      <c r="P49" s="244"/>
      <c r="Q49" s="244"/>
      <c r="R49" s="244"/>
      <c r="S49" s="244"/>
      <c r="T49" s="244"/>
      <c r="U49" s="244"/>
      <c r="V49" s="244"/>
      <c r="W49" s="244"/>
      <c r="X49" s="244"/>
      <c r="Y49" s="244"/>
      <c r="Z49" s="244"/>
    </row>
    <row r="50" ht="11.25" customHeight="1">
      <c r="A50" s="244"/>
      <c r="B50" s="244"/>
      <c r="C50" s="266"/>
      <c r="D50" s="266"/>
      <c r="E50" s="266"/>
      <c r="F50" s="266"/>
      <c r="G50" s="266"/>
      <c r="H50" s="266"/>
      <c r="I50" s="266"/>
      <c r="J50" s="266"/>
      <c r="K50" s="244"/>
      <c r="L50" s="244"/>
      <c r="M50" s="244"/>
      <c r="N50" s="244"/>
      <c r="O50" s="244"/>
      <c r="P50" s="244"/>
      <c r="Q50" s="244"/>
      <c r="R50" s="244"/>
      <c r="S50" s="244"/>
      <c r="T50" s="244"/>
      <c r="U50" s="244"/>
      <c r="V50" s="244"/>
      <c r="W50" s="244"/>
      <c r="X50" s="244"/>
      <c r="Y50" s="244"/>
      <c r="Z50" s="244"/>
    </row>
    <row r="51" ht="11.25" customHeight="1">
      <c r="A51" s="244"/>
      <c r="B51" s="244"/>
      <c r="C51" s="266"/>
      <c r="D51" s="266"/>
      <c r="E51" s="266"/>
      <c r="F51" s="266"/>
      <c r="G51" s="266"/>
      <c r="H51" s="266"/>
      <c r="I51" s="266"/>
      <c r="J51" s="266"/>
      <c r="K51" s="244"/>
      <c r="L51" s="244"/>
      <c r="M51" s="244"/>
      <c r="N51" s="244"/>
      <c r="O51" s="244"/>
      <c r="P51" s="244"/>
      <c r="Q51" s="244"/>
      <c r="R51" s="244"/>
      <c r="S51" s="244"/>
      <c r="T51" s="244"/>
      <c r="U51" s="244"/>
      <c r="V51" s="244"/>
      <c r="W51" s="244"/>
      <c r="X51" s="244"/>
      <c r="Y51" s="244"/>
      <c r="Z51" s="244"/>
    </row>
    <row r="52" ht="11.25" customHeight="1">
      <c r="A52" s="244"/>
      <c r="B52" s="244"/>
      <c r="C52" s="266"/>
      <c r="D52" s="266"/>
      <c r="E52" s="266"/>
      <c r="F52" s="266"/>
      <c r="G52" s="266"/>
      <c r="H52" s="266"/>
      <c r="I52" s="266"/>
      <c r="J52" s="266"/>
      <c r="K52" s="244"/>
      <c r="L52" s="244"/>
      <c r="M52" s="244"/>
      <c r="N52" s="244"/>
      <c r="O52" s="244"/>
      <c r="P52" s="244"/>
      <c r="Q52" s="244"/>
      <c r="R52" s="244"/>
      <c r="S52" s="244"/>
      <c r="T52" s="244"/>
      <c r="U52" s="244"/>
      <c r="V52" s="244"/>
      <c r="W52" s="244"/>
      <c r="X52" s="244"/>
      <c r="Y52" s="244"/>
      <c r="Z52" s="244"/>
    </row>
    <row r="53" ht="11.25" customHeight="1">
      <c r="A53" s="244"/>
      <c r="B53" s="244"/>
      <c r="C53" s="266"/>
      <c r="D53" s="266"/>
      <c r="E53" s="266"/>
      <c r="F53" s="266"/>
      <c r="G53" s="266"/>
      <c r="H53" s="266"/>
      <c r="I53" s="266"/>
      <c r="J53" s="266"/>
      <c r="K53" s="244"/>
      <c r="L53" s="244"/>
      <c r="M53" s="244"/>
      <c r="N53" s="244"/>
      <c r="O53" s="244"/>
      <c r="P53" s="244"/>
      <c r="Q53" s="244"/>
      <c r="R53" s="244"/>
      <c r="S53" s="244"/>
      <c r="T53" s="244"/>
      <c r="U53" s="244"/>
      <c r="V53" s="244"/>
      <c r="W53" s="244"/>
      <c r="X53" s="244"/>
      <c r="Y53" s="244"/>
      <c r="Z53" s="244"/>
    </row>
    <row r="54" ht="11.25" customHeight="1">
      <c r="A54" s="244"/>
      <c r="B54" s="244"/>
      <c r="C54" s="266"/>
      <c r="D54" s="266"/>
      <c r="E54" s="266"/>
      <c r="F54" s="266"/>
      <c r="G54" s="266"/>
      <c r="H54" s="266"/>
      <c r="I54" s="266"/>
      <c r="J54" s="266"/>
      <c r="K54" s="244"/>
      <c r="L54" s="244"/>
      <c r="M54" s="244"/>
      <c r="N54" s="244"/>
      <c r="O54" s="244"/>
      <c r="P54" s="244"/>
      <c r="Q54" s="244"/>
      <c r="R54" s="244"/>
      <c r="S54" s="244"/>
      <c r="T54" s="244"/>
      <c r="U54" s="244"/>
      <c r="V54" s="244"/>
      <c r="W54" s="244"/>
      <c r="X54" s="244"/>
      <c r="Y54" s="244"/>
      <c r="Z54" s="244"/>
    </row>
    <row r="55" ht="11.25" customHeight="1">
      <c r="A55" s="244"/>
      <c r="B55" s="244"/>
      <c r="C55" s="266"/>
      <c r="D55" s="266"/>
      <c r="E55" s="266"/>
      <c r="F55" s="266"/>
      <c r="G55" s="266"/>
      <c r="H55" s="266"/>
      <c r="I55" s="266"/>
      <c r="J55" s="266"/>
      <c r="K55" s="244"/>
      <c r="L55" s="244"/>
      <c r="M55" s="244"/>
      <c r="N55" s="244"/>
      <c r="O55" s="244"/>
      <c r="P55" s="244"/>
      <c r="Q55" s="244"/>
      <c r="R55" s="244"/>
      <c r="S55" s="244"/>
      <c r="T55" s="244"/>
      <c r="U55" s="244"/>
      <c r="V55" s="244"/>
      <c r="W55" s="244"/>
      <c r="X55" s="244"/>
      <c r="Y55" s="244"/>
      <c r="Z55" s="244"/>
    </row>
    <row r="56" ht="11.25" customHeight="1">
      <c r="A56" s="244"/>
      <c r="B56" s="244"/>
      <c r="C56" s="266"/>
      <c r="D56" s="266"/>
      <c r="E56" s="266"/>
      <c r="F56" s="266"/>
      <c r="G56" s="266"/>
      <c r="H56" s="266"/>
      <c r="I56" s="266"/>
      <c r="J56" s="266"/>
      <c r="K56" s="244"/>
      <c r="L56" s="244"/>
      <c r="M56" s="244"/>
      <c r="N56" s="244"/>
      <c r="O56" s="244"/>
      <c r="P56" s="244"/>
      <c r="Q56" s="244"/>
      <c r="R56" s="244"/>
      <c r="S56" s="244"/>
      <c r="T56" s="244"/>
      <c r="U56" s="244"/>
      <c r="V56" s="244"/>
      <c r="W56" s="244"/>
      <c r="X56" s="244"/>
      <c r="Y56" s="244"/>
      <c r="Z56" s="244"/>
    </row>
    <row r="57" ht="11.25" customHeight="1">
      <c r="A57" s="244"/>
      <c r="B57" s="244"/>
      <c r="C57" s="266"/>
      <c r="D57" s="266"/>
      <c r="E57" s="266"/>
      <c r="F57" s="266"/>
      <c r="G57" s="266"/>
      <c r="H57" s="266"/>
      <c r="I57" s="266"/>
      <c r="J57" s="266"/>
      <c r="K57" s="244"/>
      <c r="L57" s="244"/>
      <c r="M57" s="244"/>
      <c r="N57" s="244"/>
      <c r="O57" s="244"/>
      <c r="P57" s="244"/>
      <c r="Q57" s="244"/>
      <c r="R57" s="244"/>
      <c r="S57" s="244"/>
      <c r="T57" s="244"/>
      <c r="U57" s="244"/>
      <c r="V57" s="244"/>
      <c r="W57" s="244"/>
      <c r="X57" s="244"/>
      <c r="Y57" s="244"/>
      <c r="Z57" s="244"/>
    </row>
    <row r="58" ht="11.25" customHeight="1">
      <c r="A58" s="244"/>
      <c r="B58" s="244"/>
      <c r="C58" s="266"/>
      <c r="D58" s="266"/>
      <c r="E58" s="266"/>
      <c r="F58" s="266"/>
      <c r="G58" s="266"/>
      <c r="H58" s="266"/>
      <c r="I58" s="266"/>
      <c r="J58" s="266"/>
      <c r="K58" s="244"/>
      <c r="L58" s="244"/>
      <c r="M58" s="244"/>
      <c r="N58" s="244"/>
      <c r="O58" s="244"/>
      <c r="P58" s="244"/>
      <c r="Q58" s="244"/>
      <c r="R58" s="244"/>
      <c r="S58" s="244"/>
      <c r="T58" s="244"/>
      <c r="U58" s="244"/>
      <c r="V58" s="244"/>
      <c r="W58" s="244"/>
      <c r="X58" s="244"/>
      <c r="Y58" s="244"/>
      <c r="Z58" s="244"/>
    </row>
    <row r="59" ht="11.25" customHeight="1">
      <c r="A59" s="244"/>
      <c r="B59" s="244"/>
      <c r="C59" s="266"/>
      <c r="D59" s="266"/>
      <c r="E59" s="266"/>
      <c r="F59" s="266"/>
      <c r="G59" s="266"/>
      <c r="H59" s="266"/>
      <c r="I59" s="266"/>
      <c r="J59" s="266"/>
      <c r="K59" s="244"/>
      <c r="L59" s="244"/>
      <c r="M59" s="244"/>
      <c r="N59" s="244"/>
      <c r="O59" s="244"/>
      <c r="P59" s="244"/>
      <c r="Q59" s="244"/>
      <c r="R59" s="244"/>
      <c r="S59" s="244"/>
      <c r="T59" s="244"/>
      <c r="U59" s="244"/>
      <c r="V59" s="244"/>
      <c r="W59" s="244"/>
      <c r="X59" s="244"/>
      <c r="Y59" s="244"/>
      <c r="Z59" s="244"/>
    </row>
    <row r="60" ht="11.25" customHeight="1">
      <c r="A60" s="244"/>
      <c r="B60" s="244"/>
      <c r="C60" s="266"/>
      <c r="D60" s="266"/>
      <c r="E60" s="266"/>
      <c r="F60" s="266"/>
      <c r="G60" s="266"/>
      <c r="H60" s="266"/>
      <c r="I60" s="266"/>
      <c r="J60" s="266"/>
      <c r="K60" s="244"/>
      <c r="L60" s="244"/>
      <c r="M60" s="244"/>
      <c r="N60" s="244"/>
      <c r="O60" s="244"/>
      <c r="P60" s="244"/>
      <c r="Q60" s="244"/>
      <c r="R60" s="244"/>
      <c r="S60" s="244"/>
      <c r="T60" s="244"/>
      <c r="U60" s="244"/>
      <c r="V60" s="244"/>
      <c r="W60" s="244"/>
      <c r="X60" s="244"/>
      <c r="Y60" s="244"/>
      <c r="Z60" s="244"/>
    </row>
    <row r="61" ht="11.25" customHeight="1">
      <c r="A61" s="244"/>
      <c r="B61" s="244"/>
      <c r="C61" s="266"/>
      <c r="D61" s="266"/>
      <c r="E61" s="266"/>
      <c r="F61" s="266"/>
      <c r="G61" s="266"/>
      <c r="H61" s="266"/>
      <c r="I61" s="266"/>
      <c r="J61" s="266"/>
      <c r="K61" s="244"/>
      <c r="L61" s="244"/>
      <c r="M61" s="244"/>
      <c r="N61" s="244"/>
      <c r="O61" s="244"/>
      <c r="P61" s="244"/>
      <c r="Q61" s="244"/>
      <c r="R61" s="244"/>
      <c r="S61" s="244"/>
      <c r="T61" s="244"/>
      <c r="U61" s="244"/>
      <c r="V61" s="244"/>
      <c r="W61" s="244"/>
      <c r="X61" s="244"/>
      <c r="Y61" s="244"/>
      <c r="Z61" s="244"/>
    </row>
    <row r="62" ht="11.25" customHeight="1">
      <c r="A62" s="244"/>
      <c r="B62" s="244"/>
      <c r="C62" s="266"/>
      <c r="D62" s="266"/>
      <c r="E62" s="266"/>
      <c r="F62" s="266"/>
      <c r="G62" s="266"/>
      <c r="H62" s="266"/>
      <c r="I62" s="266"/>
      <c r="J62" s="266"/>
      <c r="K62" s="244"/>
      <c r="L62" s="244"/>
      <c r="M62" s="244"/>
      <c r="N62" s="244"/>
      <c r="O62" s="244"/>
      <c r="P62" s="244"/>
      <c r="Q62" s="244"/>
      <c r="R62" s="244"/>
      <c r="S62" s="244"/>
      <c r="T62" s="244"/>
      <c r="U62" s="244"/>
      <c r="V62" s="244"/>
      <c r="W62" s="244"/>
      <c r="X62" s="244"/>
      <c r="Y62" s="244"/>
      <c r="Z62" s="244"/>
    </row>
    <row r="63" ht="11.25" customHeight="1">
      <c r="A63" s="244"/>
      <c r="B63" s="244"/>
      <c r="C63" s="266"/>
      <c r="D63" s="266"/>
      <c r="E63" s="266"/>
      <c r="F63" s="266"/>
      <c r="G63" s="266"/>
      <c r="H63" s="266"/>
      <c r="I63" s="266"/>
      <c r="J63" s="266"/>
      <c r="K63" s="244"/>
      <c r="L63" s="244"/>
      <c r="M63" s="244"/>
      <c r="N63" s="244"/>
      <c r="O63" s="244"/>
      <c r="P63" s="244"/>
      <c r="Q63" s="244"/>
      <c r="R63" s="244"/>
      <c r="S63" s="244"/>
      <c r="T63" s="244"/>
      <c r="U63" s="244"/>
      <c r="V63" s="244"/>
      <c r="W63" s="244"/>
      <c r="X63" s="244"/>
      <c r="Y63" s="244"/>
      <c r="Z63" s="244"/>
    </row>
    <row r="64" ht="11.25" customHeight="1">
      <c r="A64" s="244"/>
      <c r="B64" s="244"/>
      <c r="C64" s="266"/>
      <c r="D64" s="266"/>
      <c r="E64" s="266"/>
      <c r="F64" s="266"/>
      <c r="G64" s="266"/>
      <c r="H64" s="266"/>
      <c r="I64" s="266"/>
      <c r="J64" s="266"/>
      <c r="K64" s="244"/>
      <c r="L64" s="244"/>
      <c r="M64" s="244"/>
      <c r="N64" s="244"/>
      <c r="O64" s="244"/>
      <c r="P64" s="244"/>
      <c r="Q64" s="244"/>
      <c r="R64" s="244"/>
      <c r="S64" s="244"/>
      <c r="T64" s="244"/>
      <c r="U64" s="244"/>
      <c r="V64" s="244"/>
      <c r="W64" s="244"/>
      <c r="X64" s="244"/>
      <c r="Y64" s="244"/>
      <c r="Z64" s="244"/>
    </row>
    <row r="65" ht="11.25" customHeight="1">
      <c r="A65" s="244"/>
      <c r="B65" s="244"/>
      <c r="C65" s="266"/>
      <c r="D65" s="266"/>
      <c r="E65" s="266"/>
      <c r="F65" s="266"/>
      <c r="G65" s="266"/>
      <c r="H65" s="266"/>
      <c r="I65" s="266"/>
      <c r="J65" s="266"/>
      <c r="K65" s="244"/>
      <c r="L65" s="244"/>
      <c r="M65" s="244"/>
      <c r="N65" s="244"/>
      <c r="O65" s="244"/>
      <c r="P65" s="244"/>
      <c r="Q65" s="244"/>
      <c r="R65" s="244"/>
      <c r="S65" s="244"/>
      <c r="T65" s="244"/>
      <c r="U65" s="244"/>
      <c r="V65" s="244"/>
      <c r="W65" s="244"/>
      <c r="X65" s="244"/>
      <c r="Y65" s="244"/>
      <c r="Z65" s="244"/>
    </row>
    <row r="66" ht="11.25" customHeight="1">
      <c r="A66" s="244"/>
      <c r="B66" s="244"/>
      <c r="C66" s="266"/>
      <c r="D66" s="266"/>
      <c r="E66" s="266"/>
      <c r="F66" s="266"/>
      <c r="G66" s="266"/>
      <c r="H66" s="266"/>
      <c r="I66" s="266"/>
      <c r="J66" s="266"/>
      <c r="K66" s="244"/>
      <c r="L66" s="244"/>
      <c r="M66" s="244"/>
      <c r="N66" s="244"/>
      <c r="O66" s="244"/>
      <c r="P66" s="244"/>
      <c r="Q66" s="244"/>
      <c r="R66" s="244"/>
      <c r="S66" s="244"/>
      <c r="T66" s="244"/>
      <c r="U66" s="244"/>
      <c r="V66" s="244"/>
      <c r="W66" s="244"/>
      <c r="X66" s="244"/>
      <c r="Y66" s="244"/>
      <c r="Z66" s="244"/>
    </row>
    <row r="67" ht="11.25" customHeight="1">
      <c r="A67" s="244"/>
      <c r="B67" s="244"/>
      <c r="C67" s="266"/>
      <c r="D67" s="266"/>
      <c r="E67" s="266"/>
      <c r="F67" s="266"/>
      <c r="G67" s="266"/>
      <c r="H67" s="266"/>
      <c r="I67" s="266"/>
      <c r="J67" s="266"/>
      <c r="K67" s="244"/>
      <c r="L67" s="244"/>
      <c r="M67" s="244"/>
      <c r="N67" s="244"/>
      <c r="O67" s="244"/>
      <c r="P67" s="244"/>
      <c r="Q67" s="244"/>
      <c r="R67" s="244"/>
      <c r="S67" s="244"/>
      <c r="T67" s="244"/>
      <c r="U67" s="244"/>
      <c r="V67" s="244"/>
      <c r="W67" s="244"/>
      <c r="X67" s="244"/>
      <c r="Y67" s="244"/>
      <c r="Z67" s="244"/>
    </row>
    <row r="68" ht="11.25" customHeight="1">
      <c r="A68" s="244"/>
      <c r="B68" s="244"/>
      <c r="C68" s="266"/>
      <c r="D68" s="266"/>
      <c r="E68" s="266"/>
      <c r="F68" s="266"/>
      <c r="G68" s="266"/>
      <c r="H68" s="266"/>
      <c r="I68" s="266"/>
      <c r="J68" s="266"/>
      <c r="K68" s="244"/>
      <c r="L68" s="244"/>
      <c r="M68" s="244"/>
      <c r="N68" s="244"/>
      <c r="O68" s="244"/>
      <c r="P68" s="244"/>
      <c r="Q68" s="244"/>
      <c r="R68" s="244"/>
      <c r="S68" s="244"/>
      <c r="T68" s="244"/>
      <c r="U68" s="244"/>
      <c r="V68" s="244"/>
      <c r="W68" s="244"/>
      <c r="X68" s="244"/>
      <c r="Y68" s="244"/>
      <c r="Z68" s="244"/>
    </row>
    <row r="69" ht="11.25" customHeight="1">
      <c r="A69" s="244"/>
      <c r="B69" s="244"/>
      <c r="C69" s="266"/>
      <c r="D69" s="266"/>
      <c r="E69" s="266"/>
      <c r="F69" s="266"/>
      <c r="G69" s="266"/>
      <c r="H69" s="266"/>
      <c r="I69" s="266"/>
      <c r="J69" s="266"/>
      <c r="K69" s="244"/>
      <c r="L69" s="244"/>
      <c r="M69" s="244"/>
      <c r="N69" s="244"/>
      <c r="O69" s="244"/>
      <c r="P69" s="244"/>
      <c r="Q69" s="244"/>
      <c r="R69" s="244"/>
      <c r="S69" s="244"/>
      <c r="T69" s="244"/>
      <c r="U69" s="244"/>
      <c r="V69" s="244"/>
      <c r="W69" s="244"/>
      <c r="X69" s="244"/>
      <c r="Y69" s="244"/>
      <c r="Z69" s="244"/>
    </row>
    <row r="70" ht="11.25" customHeight="1">
      <c r="A70" s="244"/>
      <c r="B70" s="244"/>
      <c r="C70" s="266"/>
      <c r="D70" s="266"/>
      <c r="E70" s="266"/>
      <c r="F70" s="266"/>
      <c r="G70" s="266"/>
      <c r="H70" s="266"/>
      <c r="I70" s="266"/>
      <c r="J70" s="266"/>
      <c r="K70" s="244"/>
      <c r="L70" s="244"/>
      <c r="M70" s="244"/>
      <c r="N70" s="244"/>
      <c r="O70" s="244"/>
      <c r="P70" s="244"/>
      <c r="Q70" s="244"/>
      <c r="R70" s="244"/>
      <c r="S70" s="244"/>
      <c r="T70" s="244"/>
      <c r="U70" s="244"/>
      <c r="V70" s="244"/>
      <c r="W70" s="244"/>
      <c r="X70" s="244"/>
      <c r="Y70" s="244"/>
      <c r="Z70" s="244"/>
    </row>
    <row r="71" ht="11.25" customHeight="1">
      <c r="A71" s="244"/>
      <c r="B71" s="244"/>
      <c r="C71" s="266"/>
      <c r="D71" s="266"/>
      <c r="E71" s="266"/>
      <c r="F71" s="266"/>
      <c r="G71" s="266"/>
      <c r="H71" s="266"/>
      <c r="I71" s="266"/>
      <c r="J71" s="266"/>
      <c r="K71" s="244"/>
      <c r="L71" s="244"/>
      <c r="M71" s="244"/>
      <c r="N71" s="244"/>
      <c r="O71" s="244"/>
      <c r="P71" s="244"/>
      <c r="Q71" s="244"/>
      <c r="R71" s="244"/>
      <c r="S71" s="244"/>
      <c r="T71" s="244"/>
      <c r="U71" s="244"/>
      <c r="V71" s="244"/>
      <c r="W71" s="244"/>
      <c r="X71" s="244"/>
      <c r="Y71" s="244"/>
      <c r="Z71" s="244"/>
    </row>
    <row r="72" ht="11.25" customHeight="1">
      <c r="A72" s="244"/>
      <c r="B72" s="244"/>
      <c r="C72" s="266"/>
      <c r="D72" s="266"/>
      <c r="E72" s="266"/>
      <c r="F72" s="266"/>
      <c r="G72" s="266"/>
      <c r="H72" s="266"/>
      <c r="I72" s="266"/>
      <c r="J72" s="266"/>
      <c r="K72" s="244"/>
      <c r="L72" s="244"/>
      <c r="M72" s="244"/>
      <c r="N72" s="244"/>
      <c r="O72" s="244"/>
      <c r="P72" s="244"/>
      <c r="Q72" s="244"/>
      <c r="R72" s="244"/>
      <c r="S72" s="244"/>
      <c r="T72" s="244"/>
      <c r="U72" s="244"/>
      <c r="V72" s="244"/>
      <c r="W72" s="244"/>
      <c r="X72" s="244"/>
      <c r="Y72" s="244"/>
      <c r="Z72" s="244"/>
    </row>
    <row r="73" ht="11.25" customHeight="1">
      <c r="A73" s="244"/>
      <c r="B73" s="244"/>
      <c r="C73" s="266"/>
      <c r="D73" s="266"/>
      <c r="E73" s="266"/>
      <c r="F73" s="266"/>
      <c r="G73" s="266"/>
      <c r="H73" s="266"/>
      <c r="I73" s="266"/>
      <c r="J73" s="266"/>
      <c r="K73" s="244"/>
      <c r="L73" s="244"/>
      <c r="M73" s="244"/>
      <c r="N73" s="244"/>
      <c r="O73" s="244"/>
      <c r="P73" s="244"/>
      <c r="Q73" s="244"/>
      <c r="R73" s="244"/>
      <c r="S73" s="244"/>
      <c r="T73" s="244"/>
      <c r="U73" s="244"/>
      <c r="V73" s="244"/>
      <c r="W73" s="244"/>
      <c r="X73" s="244"/>
      <c r="Y73" s="244"/>
      <c r="Z73" s="244"/>
    </row>
    <row r="74" ht="11.25" customHeight="1">
      <c r="A74" s="244"/>
      <c r="B74" s="244"/>
      <c r="C74" s="266"/>
      <c r="D74" s="266"/>
      <c r="E74" s="266"/>
      <c r="F74" s="266"/>
      <c r="G74" s="266"/>
      <c r="H74" s="266"/>
      <c r="I74" s="266"/>
      <c r="J74" s="266"/>
      <c r="K74" s="244"/>
      <c r="L74" s="244"/>
      <c r="M74" s="244"/>
      <c r="N74" s="244"/>
      <c r="O74" s="244"/>
      <c r="P74" s="244"/>
      <c r="Q74" s="244"/>
      <c r="R74" s="244"/>
      <c r="S74" s="244"/>
      <c r="T74" s="244"/>
      <c r="U74" s="244"/>
      <c r="V74" s="244"/>
      <c r="W74" s="244"/>
      <c r="X74" s="244"/>
      <c r="Y74" s="244"/>
      <c r="Z74" s="244"/>
    </row>
    <row r="75" ht="11.25" customHeight="1">
      <c r="A75" s="244"/>
      <c r="B75" s="244"/>
      <c r="C75" s="266"/>
      <c r="D75" s="266"/>
      <c r="E75" s="266"/>
      <c r="F75" s="266"/>
      <c r="G75" s="266"/>
      <c r="H75" s="266"/>
      <c r="I75" s="266"/>
      <c r="J75" s="266"/>
      <c r="K75" s="244"/>
      <c r="L75" s="244"/>
      <c r="M75" s="244"/>
      <c r="N75" s="244"/>
      <c r="O75" s="244"/>
      <c r="P75" s="244"/>
      <c r="Q75" s="244"/>
      <c r="R75" s="244"/>
      <c r="S75" s="244"/>
      <c r="T75" s="244"/>
      <c r="U75" s="244"/>
      <c r="V75" s="244"/>
      <c r="W75" s="244"/>
      <c r="X75" s="244"/>
      <c r="Y75" s="244"/>
      <c r="Z75" s="244"/>
    </row>
    <row r="76" ht="11.25" customHeight="1">
      <c r="A76" s="244"/>
      <c r="B76" s="244"/>
      <c r="C76" s="266"/>
      <c r="D76" s="266"/>
      <c r="E76" s="266"/>
      <c r="F76" s="266"/>
      <c r="G76" s="266"/>
      <c r="H76" s="266"/>
      <c r="I76" s="266"/>
      <c r="J76" s="266"/>
      <c r="K76" s="244"/>
      <c r="L76" s="244"/>
      <c r="M76" s="244"/>
      <c r="N76" s="244"/>
      <c r="O76" s="244"/>
      <c r="P76" s="244"/>
      <c r="Q76" s="244"/>
      <c r="R76" s="244"/>
      <c r="S76" s="244"/>
      <c r="T76" s="244"/>
      <c r="U76" s="244"/>
      <c r="V76" s="244"/>
      <c r="W76" s="244"/>
      <c r="X76" s="244"/>
      <c r="Y76" s="244"/>
      <c r="Z76" s="244"/>
    </row>
    <row r="77" ht="11.25" customHeight="1">
      <c r="A77" s="244"/>
      <c r="B77" s="244"/>
      <c r="C77" s="266"/>
      <c r="D77" s="266"/>
      <c r="E77" s="266"/>
      <c r="F77" s="266"/>
      <c r="G77" s="266"/>
      <c r="H77" s="266"/>
      <c r="I77" s="266"/>
      <c r="J77" s="266"/>
      <c r="K77" s="244"/>
      <c r="L77" s="244"/>
      <c r="M77" s="244"/>
      <c r="N77" s="244"/>
      <c r="O77" s="244"/>
      <c r="P77" s="244"/>
      <c r="Q77" s="244"/>
      <c r="R77" s="244"/>
      <c r="S77" s="244"/>
      <c r="T77" s="244"/>
      <c r="U77" s="244"/>
      <c r="V77" s="244"/>
      <c r="W77" s="244"/>
      <c r="X77" s="244"/>
      <c r="Y77" s="244"/>
      <c r="Z77" s="244"/>
    </row>
    <row r="78" ht="11.25" customHeight="1">
      <c r="A78" s="244"/>
      <c r="B78" s="244"/>
      <c r="C78" s="266"/>
      <c r="D78" s="266"/>
      <c r="E78" s="266"/>
      <c r="F78" s="266"/>
      <c r="G78" s="266"/>
      <c r="H78" s="266"/>
      <c r="I78" s="266"/>
      <c r="J78" s="266"/>
      <c r="K78" s="244"/>
      <c r="L78" s="244"/>
      <c r="M78" s="244"/>
      <c r="N78" s="244"/>
      <c r="O78" s="244"/>
      <c r="P78" s="244"/>
      <c r="Q78" s="244"/>
      <c r="R78" s="244"/>
      <c r="S78" s="244"/>
      <c r="T78" s="244"/>
      <c r="U78" s="244"/>
      <c r="V78" s="244"/>
      <c r="W78" s="244"/>
      <c r="X78" s="244"/>
      <c r="Y78" s="244"/>
      <c r="Z78" s="244"/>
    </row>
    <row r="79" ht="11.25" customHeight="1">
      <c r="A79" s="244"/>
      <c r="B79" s="244"/>
      <c r="C79" s="266"/>
      <c r="D79" s="266"/>
      <c r="E79" s="266"/>
      <c r="F79" s="266"/>
      <c r="G79" s="266"/>
      <c r="H79" s="266"/>
      <c r="I79" s="266"/>
      <c r="J79" s="266"/>
      <c r="K79" s="244"/>
      <c r="L79" s="244"/>
      <c r="M79" s="244"/>
      <c r="N79" s="244"/>
      <c r="O79" s="244"/>
      <c r="P79" s="244"/>
      <c r="Q79" s="244"/>
      <c r="R79" s="244"/>
      <c r="S79" s="244"/>
      <c r="T79" s="244"/>
      <c r="U79" s="244"/>
      <c r="V79" s="244"/>
      <c r="W79" s="244"/>
      <c r="X79" s="244"/>
      <c r="Y79" s="244"/>
      <c r="Z79" s="244"/>
    </row>
    <row r="80" ht="11.25" customHeight="1">
      <c r="A80" s="244"/>
      <c r="B80" s="244"/>
      <c r="C80" s="266"/>
      <c r="D80" s="266"/>
      <c r="E80" s="266"/>
      <c r="F80" s="266"/>
      <c r="G80" s="266"/>
      <c r="H80" s="266"/>
      <c r="I80" s="266"/>
      <c r="J80" s="266"/>
      <c r="K80" s="244"/>
      <c r="L80" s="244"/>
      <c r="M80" s="244"/>
      <c r="N80" s="244"/>
      <c r="O80" s="244"/>
      <c r="P80" s="244"/>
      <c r="Q80" s="244"/>
      <c r="R80" s="244"/>
      <c r="S80" s="244"/>
      <c r="T80" s="244"/>
      <c r="U80" s="244"/>
      <c r="V80" s="244"/>
      <c r="W80" s="244"/>
      <c r="X80" s="244"/>
      <c r="Y80" s="244"/>
      <c r="Z80" s="244"/>
    </row>
    <row r="81" ht="11.25" customHeight="1">
      <c r="A81" s="244"/>
      <c r="B81" s="244"/>
      <c r="C81" s="266"/>
      <c r="D81" s="266"/>
      <c r="E81" s="266"/>
      <c r="F81" s="266"/>
      <c r="G81" s="266"/>
      <c r="H81" s="266"/>
      <c r="I81" s="266"/>
      <c r="J81" s="266"/>
      <c r="K81" s="244"/>
      <c r="L81" s="244"/>
      <c r="M81" s="244"/>
      <c r="N81" s="244"/>
      <c r="O81" s="244"/>
      <c r="P81" s="244"/>
      <c r="Q81" s="244"/>
      <c r="R81" s="244"/>
      <c r="S81" s="244"/>
      <c r="T81" s="244"/>
      <c r="U81" s="244"/>
      <c r="V81" s="244"/>
      <c r="W81" s="244"/>
      <c r="X81" s="244"/>
      <c r="Y81" s="244"/>
      <c r="Z81" s="244"/>
    </row>
    <row r="82" ht="11.25" customHeight="1">
      <c r="A82" s="244"/>
      <c r="B82" s="244"/>
      <c r="C82" s="266"/>
      <c r="D82" s="266"/>
      <c r="E82" s="266"/>
      <c r="F82" s="266"/>
      <c r="G82" s="266"/>
      <c r="H82" s="266"/>
      <c r="I82" s="266"/>
      <c r="J82" s="266"/>
      <c r="K82" s="244"/>
      <c r="L82" s="244"/>
      <c r="M82" s="244"/>
      <c r="N82" s="244"/>
      <c r="O82" s="244"/>
      <c r="P82" s="244"/>
      <c r="Q82" s="244"/>
      <c r="R82" s="244"/>
      <c r="S82" s="244"/>
      <c r="T82" s="244"/>
      <c r="U82" s="244"/>
      <c r="V82" s="244"/>
      <c r="W82" s="244"/>
      <c r="X82" s="244"/>
      <c r="Y82" s="244"/>
      <c r="Z82" s="244"/>
    </row>
    <row r="83" ht="11.25" customHeight="1">
      <c r="A83" s="244"/>
      <c r="B83" s="244"/>
      <c r="C83" s="266"/>
      <c r="D83" s="266"/>
      <c r="E83" s="266"/>
      <c r="F83" s="266"/>
      <c r="G83" s="266"/>
      <c r="H83" s="266"/>
      <c r="I83" s="266"/>
      <c r="J83" s="266"/>
      <c r="K83" s="244"/>
      <c r="L83" s="244"/>
      <c r="M83" s="244"/>
      <c r="N83" s="244"/>
      <c r="O83" s="244"/>
      <c r="P83" s="244"/>
      <c r="Q83" s="244"/>
      <c r="R83" s="244"/>
      <c r="S83" s="244"/>
      <c r="T83" s="244"/>
      <c r="U83" s="244"/>
      <c r="V83" s="244"/>
      <c r="W83" s="244"/>
      <c r="X83" s="244"/>
      <c r="Y83" s="244"/>
      <c r="Z83" s="244"/>
    </row>
    <row r="84" ht="11.25" customHeight="1">
      <c r="A84" s="244"/>
      <c r="B84" s="244"/>
      <c r="C84" s="266"/>
      <c r="D84" s="266"/>
      <c r="E84" s="266"/>
      <c r="F84" s="266"/>
      <c r="G84" s="266"/>
      <c r="H84" s="266"/>
      <c r="I84" s="266"/>
      <c r="J84" s="266"/>
      <c r="K84" s="244"/>
      <c r="L84" s="244"/>
      <c r="M84" s="244"/>
      <c r="N84" s="244"/>
      <c r="O84" s="244"/>
      <c r="P84" s="244"/>
      <c r="Q84" s="244"/>
      <c r="R84" s="244"/>
      <c r="S84" s="244"/>
      <c r="T84" s="244"/>
      <c r="U84" s="244"/>
      <c r="V84" s="244"/>
      <c r="W84" s="244"/>
      <c r="X84" s="244"/>
      <c r="Y84" s="244"/>
      <c r="Z84" s="244"/>
    </row>
    <row r="85" ht="11.25" customHeight="1">
      <c r="A85" s="244"/>
      <c r="B85" s="244"/>
      <c r="C85" s="266"/>
      <c r="D85" s="266"/>
      <c r="E85" s="266"/>
      <c r="F85" s="266"/>
      <c r="G85" s="266"/>
      <c r="H85" s="266"/>
      <c r="I85" s="266"/>
      <c r="J85" s="266"/>
      <c r="K85" s="244"/>
      <c r="L85" s="244"/>
      <c r="M85" s="244"/>
      <c r="N85" s="244"/>
      <c r="O85" s="244"/>
      <c r="P85" s="244"/>
      <c r="Q85" s="244"/>
      <c r="R85" s="244"/>
      <c r="S85" s="244"/>
      <c r="T85" s="244"/>
      <c r="U85" s="244"/>
      <c r="V85" s="244"/>
      <c r="W85" s="244"/>
      <c r="X85" s="244"/>
      <c r="Y85" s="244"/>
      <c r="Z85" s="244"/>
    </row>
    <row r="86" ht="11.25" customHeight="1">
      <c r="A86" s="244"/>
      <c r="B86" s="244"/>
      <c r="C86" s="266"/>
      <c r="D86" s="266"/>
      <c r="E86" s="266"/>
      <c r="F86" s="266"/>
      <c r="G86" s="266"/>
      <c r="H86" s="266"/>
      <c r="I86" s="266"/>
      <c r="J86" s="266"/>
      <c r="K86" s="244"/>
      <c r="L86" s="244"/>
      <c r="M86" s="244"/>
      <c r="N86" s="244"/>
      <c r="O86" s="244"/>
      <c r="P86" s="244"/>
      <c r="Q86" s="244"/>
      <c r="R86" s="244"/>
      <c r="S86" s="244"/>
      <c r="T86" s="244"/>
      <c r="U86" s="244"/>
      <c r="V86" s="244"/>
      <c r="W86" s="244"/>
      <c r="X86" s="244"/>
      <c r="Y86" s="244"/>
      <c r="Z86" s="244"/>
    </row>
    <row r="87" ht="11.25" customHeight="1">
      <c r="A87" s="244"/>
      <c r="B87" s="244"/>
      <c r="C87" s="266"/>
      <c r="D87" s="266"/>
      <c r="E87" s="266"/>
      <c r="F87" s="266"/>
      <c r="G87" s="266"/>
      <c r="H87" s="266"/>
      <c r="I87" s="266"/>
      <c r="J87" s="266"/>
      <c r="K87" s="244"/>
      <c r="L87" s="244"/>
      <c r="M87" s="244"/>
      <c r="N87" s="244"/>
      <c r="O87" s="244"/>
      <c r="P87" s="244"/>
      <c r="Q87" s="244"/>
      <c r="R87" s="244"/>
      <c r="S87" s="244"/>
      <c r="T87" s="244"/>
      <c r="U87" s="244"/>
      <c r="V87" s="244"/>
      <c r="W87" s="244"/>
      <c r="X87" s="244"/>
      <c r="Y87" s="244"/>
      <c r="Z87" s="244"/>
    </row>
    <row r="88" ht="11.25" customHeight="1">
      <c r="A88" s="244"/>
      <c r="B88" s="244"/>
      <c r="C88" s="266"/>
      <c r="D88" s="266"/>
      <c r="E88" s="266"/>
      <c r="F88" s="266"/>
      <c r="G88" s="266"/>
      <c r="H88" s="266"/>
      <c r="I88" s="266"/>
      <c r="J88" s="266"/>
      <c r="K88" s="244"/>
      <c r="L88" s="244"/>
      <c r="M88" s="244"/>
      <c r="N88" s="244"/>
      <c r="O88" s="244"/>
      <c r="P88" s="244"/>
      <c r="Q88" s="244"/>
      <c r="R88" s="244"/>
      <c r="S88" s="244"/>
      <c r="T88" s="244"/>
      <c r="U88" s="244"/>
      <c r="V88" s="244"/>
      <c r="W88" s="244"/>
      <c r="X88" s="244"/>
      <c r="Y88" s="244"/>
      <c r="Z88" s="244"/>
    </row>
    <row r="89" ht="11.25" customHeight="1">
      <c r="A89" s="244"/>
      <c r="B89" s="244"/>
      <c r="C89" s="266"/>
      <c r="D89" s="266"/>
      <c r="E89" s="266"/>
      <c r="F89" s="266"/>
      <c r="G89" s="266"/>
      <c r="H89" s="266"/>
      <c r="I89" s="266"/>
      <c r="J89" s="266"/>
      <c r="K89" s="244"/>
      <c r="L89" s="244"/>
      <c r="M89" s="244"/>
      <c r="N89" s="244"/>
      <c r="O89" s="244"/>
      <c r="P89" s="244"/>
      <c r="Q89" s="244"/>
      <c r="R89" s="244"/>
      <c r="S89" s="244"/>
      <c r="T89" s="244"/>
      <c r="U89" s="244"/>
      <c r="V89" s="244"/>
      <c r="W89" s="244"/>
      <c r="X89" s="244"/>
      <c r="Y89" s="244"/>
      <c r="Z89" s="244"/>
    </row>
    <row r="90" ht="11.25" customHeight="1">
      <c r="A90" s="244"/>
      <c r="B90" s="244"/>
      <c r="C90" s="266"/>
      <c r="D90" s="266"/>
      <c r="E90" s="266"/>
      <c r="F90" s="266"/>
      <c r="G90" s="266"/>
      <c r="H90" s="266"/>
      <c r="I90" s="266"/>
      <c r="J90" s="266"/>
      <c r="K90" s="244"/>
      <c r="L90" s="244"/>
      <c r="M90" s="244"/>
      <c r="N90" s="244"/>
      <c r="O90" s="244"/>
      <c r="P90" s="244"/>
      <c r="Q90" s="244"/>
      <c r="R90" s="244"/>
      <c r="S90" s="244"/>
      <c r="T90" s="244"/>
      <c r="U90" s="244"/>
      <c r="V90" s="244"/>
      <c r="W90" s="244"/>
      <c r="X90" s="244"/>
      <c r="Y90" s="244"/>
      <c r="Z90" s="244"/>
    </row>
    <row r="91" ht="11.25" customHeight="1">
      <c r="A91" s="244"/>
      <c r="B91" s="244"/>
      <c r="C91" s="266"/>
      <c r="D91" s="266"/>
      <c r="E91" s="266"/>
      <c r="F91" s="266"/>
      <c r="G91" s="266"/>
      <c r="H91" s="266"/>
      <c r="I91" s="266"/>
      <c r="J91" s="266"/>
      <c r="K91" s="244"/>
      <c r="L91" s="244"/>
      <c r="M91" s="244"/>
      <c r="N91" s="244"/>
      <c r="O91" s="244"/>
      <c r="P91" s="244"/>
      <c r="Q91" s="244"/>
      <c r="R91" s="244"/>
      <c r="S91" s="244"/>
      <c r="T91" s="244"/>
      <c r="U91" s="244"/>
      <c r="V91" s="244"/>
      <c r="W91" s="244"/>
      <c r="X91" s="244"/>
      <c r="Y91" s="244"/>
      <c r="Z91" s="244"/>
    </row>
    <row r="92" ht="11.25" customHeight="1">
      <c r="A92" s="244"/>
      <c r="B92" s="244"/>
      <c r="C92" s="266"/>
      <c r="D92" s="266"/>
      <c r="E92" s="266"/>
      <c r="F92" s="266"/>
      <c r="G92" s="266"/>
      <c r="H92" s="266"/>
      <c r="I92" s="266"/>
      <c r="J92" s="266"/>
      <c r="K92" s="244"/>
      <c r="L92" s="244"/>
      <c r="M92" s="244"/>
      <c r="N92" s="244"/>
      <c r="O92" s="244"/>
      <c r="P92" s="244"/>
      <c r="Q92" s="244"/>
      <c r="R92" s="244"/>
      <c r="S92" s="244"/>
      <c r="T92" s="244"/>
      <c r="U92" s="244"/>
      <c r="V92" s="244"/>
      <c r="W92" s="244"/>
      <c r="X92" s="244"/>
      <c r="Y92" s="244"/>
      <c r="Z92" s="244"/>
    </row>
    <row r="93" ht="11.25" customHeight="1">
      <c r="A93" s="244"/>
      <c r="B93" s="244"/>
      <c r="C93" s="266"/>
      <c r="D93" s="266"/>
      <c r="E93" s="266"/>
      <c r="F93" s="266"/>
      <c r="G93" s="266"/>
      <c r="H93" s="266"/>
      <c r="I93" s="266"/>
      <c r="J93" s="266"/>
      <c r="K93" s="244"/>
      <c r="L93" s="244"/>
      <c r="M93" s="244"/>
      <c r="N93" s="244"/>
      <c r="O93" s="244"/>
      <c r="P93" s="244"/>
      <c r="Q93" s="244"/>
      <c r="R93" s="244"/>
      <c r="S93" s="244"/>
      <c r="T93" s="244"/>
      <c r="U93" s="244"/>
      <c r="V93" s="244"/>
      <c r="W93" s="244"/>
      <c r="X93" s="244"/>
      <c r="Y93" s="244"/>
      <c r="Z93" s="244"/>
    </row>
    <row r="94" ht="11.25" customHeight="1">
      <c r="A94" s="244"/>
      <c r="B94" s="244"/>
      <c r="C94" s="266"/>
      <c r="D94" s="266"/>
      <c r="E94" s="266"/>
      <c r="F94" s="266"/>
      <c r="G94" s="266"/>
      <c r="H94" s="266"/>
      <c r="I94" s="266"/>
      <c r="J94" s="266"/>
      <c r="K94" s="244"/>
      <c r="L94" s="244"/>
      <c r="M94" s="244"/>
      <c r="N94" s="244"/>
      <c r="O94" s="244"/>
      <c r="P94" s="244"/>
      <c r="Q94" s="244"/>
      <c r="R94" s="244"/>
      <c r="S94" s="244"/>
      <c r="T94" s="244"/>
      <c r="U94" s="244"/>
      <c r="V94" s="244"/>
      <c r="W94" s="244"/>
      <c r="X94" s="244"/>
      <c r="Y94" s="244"/>
      <c r="Z94" s="244"/>
    </row>
    <row r="95" ht="11.25" customHeight="1">
      <c r="A95" s="244"/>
      <c r="B95" s="244"/>
      <c r="C95" s="266"/>
      <c r="D95" s="266"/>
      <c r="E95" s="266"/>
      <c r="F95" s="266"/>
      <c r="G95" s="266"/>
      <c r="H95" s="266"/>
      <c r="I95" s="266"/>
      <c r="J95" s="266"/>
      <c r="K95" s="244"/>
      <c r="L95" s="244"/>
      <c r="M95" s="244"/>
      <c r="N95" s="244"/>
      <c r="O95" s="244"/>
      <c r="P95" s="244"/>
      <c r="Q95" s="244"/>
      <c r="R95" s="244"/>
      <c r="S95" s="244"/>
      <c r="T95" s="244"/>
      <c r="U95" s="244"/>
      <c r="V95" s="244"/>
      <c r="W95" s="244"/>
      <c r="X95" s="244"/>
      <c r="Y95" s="244"/>
      <c r="Z95" s="244"/>
    </row>
    <row r="96" ht="11.25" customHeight="1">
      <c r="A96" s="244"/>
      <c r="B96" s="244"/>
      <c r="C96" s="266"/>
      <c r="D96" s="266"/>
      <c r="E96" s="266"/>
      <c r="F96" s="266"/>
      <c r="G96" s="266"/>
      <c r="H96" s="266"/>
      <c r="I96" s="266"/>
      <c r="J96" s="266"/>
      <c r="K96" s="244"/>
      <c r="L96" s="244"/>
      <c r="M96" s="244"/>
      <c r="N96" s="244"/>
      <c r="O96" s="244"/>
      <c r="P96" s="244"/>
      <c r="Q96" s="244"/>
      <c r="R96" s="244"/>
      <c r="S96" s="244"/>
      <c r="T96" s="244"/>
      <c r="U96" s="244"/>
      <c r="V96" s="244"/>
      <c r="W96" s="244"/>
      <c r="X96" s="244"/>
      <c r="Y96" s="244"/>
      <c r="Z96" s="244"/>
    </row>
    <row r="97" ht="11.25" customHeight="1">
      <c r="A97" s="244"/>
      <c r="B97" s="244"/>
      <c r="C97" s="266"/>
      <c r="D97" s="266"/>
      <c r="E97" s="266"/>
      <c r="F97" s="266"/>
      <c r="G97" s="266"/>
      <c r="H97" s="266"/>
      <c r="I97" s="266"/>
      <c r="J97" s="266"/>
      <c r="K97" s="244"/>
      <c r="L97" s="244"/>
      <c r="M97" s="244"/>
      <c r="N97" s="244"/>
      <c r="O97" s="244"/>
      <c r="P97" s="244"/>
      <c r="Q97" s="244"/>
      <c r="R97" s="244"/>
      <c r="S97" s="244"/>
      <c r="T97" s="244"/>
      <c r="U97" s="244"/>
      <c r="V97" s="244"/>
      <c r="W97" s="244"/>
      <c r="X97" s="244"/>
      <c r="Y97" s="244"/>
      <c r="Z97" s="244"/>
    </row>
    <row r="98" ht="11.25" customHeight="1">
      <c r="A98" s="244"/>
      <c r="B98" s="244"/>
      <c r="C98" s="266"/>
      <c r="D98" s="266"/>
      <c r="E98" s="266"/>
      <c r="F98" s="266"/>
      <c r="G98" s="266"/>
      <c r="H98" s="266"/>
      <c r="I98" s="266"/>
      <c r="J98" s="266"/>
      <c r="K98" s="244"/>
      <c r="L98" s="244"/>
      <c r="M98" s="244"/>
      <c r="N98" s="244"/>
      <c r="O98" s="244"/>
      <c r="P98" s="244"/>
      <c r="Q98" s="244"/>
      <c r="R98" s="244"/>
      <c r="S98" s="244"/>
      <c r="T98" s="244"/>
      <c r="U98" s="244"/>
      <c r="V98" s="244"/>
      <c r="W98" s="244"/>
      <c r="X98" s="244"/>
      <c r="Y98" s="244"/>
      <c r="Z98" s="244"/>
    </row>
    <row r="99" ht="11.25" customHeight="1">
      <c r="A99" s="244"/>
      <c r="B99" s="244"/>
      <c r="C99" s="266"/>
      <c r="D99" s="266"/>
      <c r="E99" s="266"/>
      <c r="F99" s="266"/>
      <c r="G99" s="266"/>
      <c r="H99" s="266"/>
      <c r="I99" s="266"/>
      <c r="J99" s="266"/>
      <c r="K99" s="244"/>
      <c r="L99" s="244"/>
      <c r="M99" s="244"/>
      <c r="N99" s="244"/>
      <c r="O99" s="244"/>
      <c r="P99" s="244"/>
      <c r="Q99" s="244"/>
      <c r="R99" s="244"/>
      <c r="S99" s="244"/>
      <c r="T99" s="244"/>
      <c r="U99" s="244"/>
      <c r="V99" s="244"/>
      <c r="W99" s="244"/>
      <c r="X99" s="244"/>
      <c r="Y99" s="244"/>
      <c r="Z99" s="244"/>
    </row>
    <row r="100" ht="11.25" customHeight="1">
      <c r="A100" s="244"/>
      <c r="B100" s="244"/>
      <c r="C100" s="266"/>
      <c r="D100" s="266"/>
      <c r="E100" s="266"/>
      <c r="F100" s="266"/>
      <c r="G100" s="266"/>
      <c r="H100" s="266"/>
      <c r="I100" s="266"/>
      <c r="J100" s="266"/>
      <c r="K100" s="244"/>
      <c r="L100" s="244"/>
      <c r="M100" s="244"/>
      <c r="N100" s="244"/>
      <c r="O100" s="244"/>
      <c r="P100" s="244"/>
      <c r="Q100" s="244"/>
      <c r="R100" s="244"/>
      <c r="S100" s="244"/>
      <c r="T100" s="244"/>
      <c r="U100" s="244"/>
      <c r="V100" s="244"/>
      <c r="W100" s="244"/>
      <c r="X100" s="244"/>
      <c r="Y100" s="244"/>
      <c r="Z100" s="244"/>
    </row>
    <row r="101" ht="11.25" customHeight="1">
      <c r="A101" s="244"/>
      <c r="B101" s="244"/>
      <c r="C101" s="266"/>
      <c r="D101" s="266"/>
      <c r="E101" s="266"/>
      <c r="F101" s="266"/>
      <c r="G101" s="266"/>
      <c r="H101" s="266"/>
      <c r="I101" s="266"/>
      <c r="J101" s="266"/>
      <c r="K101" s="244"/>
      <c r="L101" s="244"/>
      <c r="M101" s="244"/>
      <c r="N101" s="244"/>
      <c r="O101" s="244"/>
      <c r="P101" s="244"/>
      <c r="Q101" s="244"/>
      <c r="R101" s="244"/>
      <c r="S101" s="244"/>
      <c r="T101" s="244"/>
      <c r="U101" s="244"/>
      <c r="V101" s="244"/>
      <c r="W101" s="244"/>
      <c r="X101" s="244"/>
      <c r="Y101" s="244"/>
      <c r="Z101" s="244"/>
    </row>
    <row r="102" ht="11.25" customHeight="1">
      <c r="A102" s="244"/>
      <c r="B102" s="244"/>
      <c r="C102" s="266"/>
      <c r="D102" s="266"/>
      <c r="E102" s="266"/>
      <c r="F102" s="266"/>
      <c r="G102" s="266"/>
      <c r="H102" s="266"/>
      <c r="I102" s="266"/>
      <c r="J102" s="266"/>
      <c r="K102" s="244"/>
      <c r="L102" s="244"/>
      <c r="M102" s="244"/>
      <c r="N102" s="244"/>
      <c r="O102" s="244"/>
      <c r="P102" s="244"/>
      <c r="Q102" s="244"/>
      <c r="R102" s="244"/>
      <c r="S102" s="244"/>
      <c r="T102" s="244"/>
      <c r="U102" s="244"/>
      <c r="V102" s="244"/>
      <c r="W102" s="244"/>
      <c r="X102" s="244"/>
      <c r="Y102" s="244"/>
      <c r="Z102" s="244"/>
    </row>
    <row r="103" ht="11.25" customHeight="1">
      <c r="A103" s="244"/>
      <c r="B103" s="244"/>
      <c r="C103" s="266"/>
      <c r="D103" s="266"/>
      <c r="E103" s="266"/>
      <c r="F103" s="266"/>
      <c r="G103" s="266"/>
      <c r="H103" s="266"/>
      <c r="I103" s="266"/>
      <c r="J103" s="266"/>
      <c r="K103" s="244"/>
      <c r="L103" s="244"/>
      <c r="M103" s="244"/>
      <c r="N103" s="244"/>
      <c r="O103" s="244"/>
      <c r="P103" s="244"/>
      <c r="Q103" s="244"/>
      <c r="R103" s="244"/>
      <c r="S103" s="244"/>
      <c r="T103" s="244"/>
      <c r="U103" s="244"/>
      <c r="V103" s="244"/>
      <c r="W103" s="244"/>
      <c r="X103" s="244"/>
      <c r="Y103" s="244"/>
      <c r="Z103" s="244"/>
    </row>
    <row r="104" ht="11.25" customHeight="1">
      <c r="A104" s="244"/>
      <c r="B104" s="244"/>
      <c r="C104" s="266"/>
      <c r="D104" s="266"/>
      <c r="E104" s="266"/>
      <c r="F104" s="266"/>
      <c r="G104" s="266"/>
      <c r="H104" s="266"/>
      <c r="I104" s="266"/>
      <c r="J104" s="266"/>
      <c r="K104" s="244"/>
      <c r="L104" s="244"/>
      <c r="M104" s="244"/>
      <c r="N104" s="244"/>
      <c r="O104" s="244"/>
      <c r="P104" s="244"/>
      <c r="Q104" s="244"/>
      <c r="R104" s="244"/>
      <c r="S104" s="244"/>
      <c r="T104" s="244"/>
      <c r="U104" s="244"/>
      <c r="V104" s="244"/>
      <c r="W104" s="244"/>
      <c r="X104" s="244"/>
      <c r="Y104" s="244"/>
      <c r="Z104" s="244"/>
    </row>
    <row r="105" ht="11.25" customHeight="1">
      <c r="A105" s="244"/>
      <c r="B105" s="244"/>
      <c r="C105" s="266"/>
      <c r="D105" s="266"/>
      <c r="E105" s="266"/>
      <c r="F105" s="266"/>
      <c r="G105" s="266"/>
      <c r="H105" s="266"/>
      <c r="I105" s="266"/>
      <c r="J105" s="266"/>
      <c r="K105" s="244"/>
      <c r="L105" s="244"/>
      <c r="M105" s="244"/>
      <c r="N105" s="244"/>
      <c r="O105" s="244"/>
      <c r="P105" s="244"/>
      <c r="Q105" s="244"/>
      <c r="R105" s="244"/>
      <c r="S105" s="244"/>
      <c r="T105" s="244"/>
      <c r="U105" s="244"/>
      <c r="V105" s="244"/>
      <c r="W105" s="244"/>
      <c r="X105" s="244"/>
      <c r="Y105" s="244"/>
      <c r="Z105" s="244"/>
    </row>
    <row r="106" ht="11.25" customHeight="1">
      <c r="A106" s="244"/>
      <c r="B106" s="244"/>
      <c r="C106" s="266"/>
      <c r="D106" s="266"/>
      <c r="E106" s="266"/>
      <c r="F106" s="266"/>
      <c r="G106" s="266"/>
      <c r="H106" s="266"/>
      <c r="I106" s="266"/>
      <c r="J106" s="266"/>
      <c r="K106" s="244"/>
      <c r="L106" s="244"/>
      <c r="M106" s="244"/>
      <c r="N106" s="244"/>
      <c r="O106" s="244"/>
      <c r="P106" s="244"/>
      <c r="Q106" s="244"/>
      <c r="R106" s="244"/>
      <c r="S106" s="244"/>
      <c r="T106" s="244"/>
      <c r="U106" s="244"/>
      <c r="V106" s="244"/>
      <c r="W106" s="244"/>
      <c r="X106" s="244"/>
      <c r="Y106" s="244"/>
      <c r="Z106" s="244"/>
    </row>
    <row r="107" ht="11.25" customHeight="1">
      <c r="A107" s="244"/>
      <c r="B107" s="244"/>
      <c r="C107" s="266"/>
      <c r="D107" s="266"/>
      <c r="E107" s="266"/>
      <c r="F107" s="266"/>
      <c r="G107" s="266"/>
      <c r="H107" s="266"/>
      <c r="I107" s="266"/>
      <c r="J107" s="266"/>
      <c r="K107" s="244"/>
      <c r="L107" s="244"/>
      <c r="M107" s="244"/>
      <c r="N107" s="244"/>
      <c r="O107" s="244"/>
      <c r="P107" s="244"/>
      <c r="Q107" s="244"/>
      <c r="R107" s="244"/>
      <c r="S107" s="244"/>
      <c r="T107" s="244"/>
      <c r="U107" s="244"/>
      <c r="V107" s="244"/>
      <c r="W107" s="244"/>
      <c r="X107" s="244"/>
      <c r="Y107" s="244"/>
      <c r="Z107" s="244"/>
    </row>
    <row r="108" ht="11.25" customHeight="1">
      <c r="A108" s="244"/>
      <c r="B108" s="244"/>
      <c r="C108" s="266"/>
      <c r="D108" s="266"/>
      <c r="E108" s="266"/>
      <c r="F108" s="266"/>
      <c r="G108" s="266"/>
      <c r="H108" s="266"/>
      <c r="I108" s="266"/>
      <c r="J108" s="266"/>
      <c r="K108" s="244"/>
      <c r="L108" s="244"/>
      <c r="M108" s="244"/>
      <c r="N108" s="244"/>
      <c r="O108" s="244"/>
      <c r="P108" s="244"/>
      <c r="Q108" s="244"/>
      <c r="R108" s="244"/>
      <c r="S108" s="244"/>
      <c r="T108" s="244"/>
      <c r="U108" s="244"/>
      <c r="V108" s="244"/>
      <c r="W108" s="244"/>
      <c r="X108" s="244"/>
      <c r="Y108" s="244"/>
      <c r="Z108" s="244"/>
    </row>
    <row r="109" ht="11.25" customHeight="1">
      <c r="A109" s="244"/>
      <c r="B109" s="244"/>
      <c r="C109" s="266"/>
      <c r="D109" s="266"/>
      <c r="E109" s="266"/>
      <c r="F109" s="266"/>
      <c r="G109" s="266"/>
      <c r="H109" s="266"/>
      <c r="I109" s="266"/>
      <c r="J109" s="266"/>
      <c r="K109" s="244"/>
      <c r="L109" s="244"/>
      <c r="M109" s="244"/>
      <c r="N109" s="244"/>
      <c r="O109" s="244"/>
      <c r="P109" s="244"/>
      <c r="Q109" s="244"/>
      <c r="R109" s="244"/>
      <c r="S109" s="244"/>
      <c r="T109" s="244"/>
      <c r="U109" s="244"/>
      <c r="V109" s="244"/>
      <c r="W109" s="244"/>
      <c r="X109" s="244"/>
      <c r="Y109" s="244"/>
      <c r="Z109" s="244"/>
    </row>
    <row r="110" ht="11.25" customHeight="1">
      <c r="A110" s="244"/>
      <c r="B110" s="244"/>
      <c r="C110" s="266"/>
      <c r="D110" s="266"/>
      <c r="E110" s="266"/>
      <c r="F110" s="266"/>
      <c r="G110" s="266"/>
      <c r="H110" s="266"/>
      <c r="I110" s="266"/>
      <c r="J110" s="266"/>
      <c r="K110" s="244"/>
      <c r="L110" s="244"/>
      <c r="M110" s="244"/>
      <c r="N110" s="244"/>
      <c r="O110" s="244"/>
      <c r="P110" s="244"/>
      <c r="Q110" s="244"/>
      <c r="R110" s="244"/>
      <c r="S110" s="244"/>
      <c r="T110" s="244"/>
      <c r="U110" s="244"/>
      <c r="V110" s="244"/>
      <c r="W110" s="244"/>
      <c r="X110" s="244"/>
      <c r="Y110" s="244"/>
      <c r="Z110" s="244"/>
    </row>
    <row r="111" ht="11.25" customHeight="1">
      <c r="A111" s="244"/>
      <c r="B111" s="244"/>
      <c r="C111" s="266"/>
      <c r="D111" s="266"/>
      <c r="E111" s="266"/>
      <c r="F111" s="266"/>
      <c r="G111" s="266"/>
      <c r="H111" s="266"/>
      <c r="I111" s="266"/>
      <c r="J111" s="266"/>
      <c r="K111" s="244"/>
      <c r="L111" s="244"/>
      <c r="M111" s="244"/>
      <c r="N111" s="244"/>
      <c r="O111" s="244"/>
      <c r="P111" s="244"/>
      <c r="Q111" s="244"/>
      <c r="R111" s="244"/>
      <c r="S111" s="244"/>
      <c r="T111" s="244"/>
      <c r="U111" s="244"/>
      <c r="V111" s="244"/>
      <c r="W111" s="244"/>
      <c r="X111" s="244"/>
      <c r="Y111" s="244"/>
      <c r="Z111" s="244"/>
    </row>
    <row r="112" ht="11.25" customHeight="1">
      <c r="A112" s="244"/>
      <c r="B112" s="244"/>
      <c r="C112" s="266"/>
      <c r="D112" s="266"/>
      <c r="E112" s="266"/>
      <c r="F112" s="266"/>
      <c r="G112" s="266"/>
      <c r="H112" s="266"/>
      <c r="I112" s="266"/>
      <c r="J112" s="266"/>
      <c r="K112" s="244"/>
      <c r="L112" s="244"/>
      <c r="M112" s="244"/>
      <c r="N112" s="244"/>
      <c r="O112" s="244"/>
      <c r="P112" s="244"/>
      <c r="Q112" s="244"/>
      <c r="R112" s="244"/>
      <c r="S112" s="244"/>
      <c r="T112" s="244"/>
      <c r="U112" s="244"/>
      <c r="V112" s="244"/>
      <c r="W112" s="244"/>
      <c r="X112" s="244"/>
      <c r="Y112" s="244"/>
      <c r="Z112" s="244"/>
    </row>
    <row r="113" ht="11.25" customHeight="1">
      <c r="A113" s="244"/>
      <c r="B113" s="244"/>
      <c r="C113" s="266"/>
      <c r="D113" s="266"/>
      <c r="E113" s="266"/>
      <c r="F113" s="266"/>
      <c r="G113" s="266"/>
      <c r="H113" s="266"/>
      <c r="I113" s="266"/>
      <c r="J113" s="266"/>
      <c r="K113" s="244"/>
      <c r="L113" s="244"/>
      <c r="M113" s="244"/>
      <c r="N113" s="244"/>
      <c r="O113" s="244"/>
      <c r="P113" s="244"/>
      <c r="Q113" s="244"/>
      <c r="R113" s="244"/>
      <c r="S113" s="244"/>
      <c r="T113" s="244"/>
      <c r="U113" s="244"/>
      <c r="V113" s="244"/>
      <c r="W113" s="244"/>
      <c r="X113" s="244"/>
      <c r="Y113" s="244"/>
      <c r="Z113" s="244"/>
    </row>
    <row r="114" ht="11.25" customHeight="1">
      <c r="A114" s="244"/>
      <c r="B114" s="244"/>
      <c r="C114" s="266"/>
      <c r="D114" s="266"/>
      <c r="E114" s="266"/>
      <c r="F114" s="266"/>
      <c r="G114" s="266"/>
      <c r="H114" s="266"/>
      <c r="I114" s="266"/>
      <c r="J114" s="266"/>
      <c r="K114" s="244"/>
      <c r="L114" s="244"/>
      <c r="M114" s="244"/>
      <c r="N114" s="244"/>
      <c r="O114" s="244"/>
      <c r="P114" s="244"/>
      <c r="Q114" s="244"/>
      <c r="R114" s="244"/>
      <c r="S114" s="244"/>
      <c r="T114" s="244"/>
      <c r="U114" s="244"/>
      <c r="V114" s="244"/>
      <c r="W114" s="244"/>
      <c r="X114" s="244"/>
      <c r="Y114" s="244"/>
      <c r="Z114" s="244"/>
    </row>
    <row r="115" ht="11.25" customHeight="1">
      <c r="A115" s="244"/>
      <c r="B115" s="244"/>
      <c r="C115" s="266"/>
      <c r="D115" s="266"/>
      <c r="E115" s="266"/>
      <c r="F115" s="266"/>
      <c r="G115" s="266"/>
      <c r="H115" s="266"/>
      <c r="I115" s="266"/>
      <c r="J115" s="266"/>
      <c r="K115" s="244"/>
      <c r="L115" s="244"/>
      <c r="M115" s="244"/>
      <c r="N115" s="244"/>
      <c r="O115" s="244"/>
      <c r="P115" s="244"/>
      <c r="Q115" s="244"/>
      <c r="R115" s="244"/>
      <c r="S115" s="244"/>
      <c r="T115" s="244"/>
      <c r="U115" s="244"/>
      <c r="V115" s="244"/>
      <c r="W115" s="244"/>
      <c r="X115" s="244"/>
      <c r="Y115" s="244"/>
      <c r="Z115" s="244"/>
    </row>
    <row r="116" ht="11.25" customHeight="1">
      <c r="A116" s="244"/>
      <c r="B116" s="244"/>
      <c r="C116" s="266"/>
      <c r="D116" s="266"/>
      <c r="E116" s="266"/>
      <c r="F116" s="266"/>
      <c r="G116" s="266"/>
      <c r="H116" s="266"/>
      <c r="I116" s="266"/>
      <c r="J116" s="266"/>
      <c r="K116" s="244"/>
      <c r="L116" s="244"/>
      <c r="M116" s="244"/>
      <c r="N116" s="244"/>
      <c r="O116" s="244"/>
      <c r="P116" s="244"/>
      <c r="Q116" s="244"/>
      <c r="R116" s="244"/>
      <c r="S116" s="244"/>
      <c r="T116" s="244"/>
      <c r="U116" s="244"/>
      <c r="V116" s="244"/>
      <c r="W116" s="244"/>
      <c r="X116" s="244"/>
      <c r="Y116" s="244"/>
      <c r="Z116" s="244"/>
    </row>
    <row r="117" ht="11.25" customHeight="1">
      <c r="A117" s="244"/>
      <c r="B117" s="244"/>
      <c r="C117" s="266"/>
      <c r="D117" s="266"/>
      <c r="E117" s="266"/>
      <c r="F117" s="266"/>
      <c r="G117" s="266"/>
      <c r="H117" s="266"/>
      <c r="I117" s="266"/>
      <c r="J117" s="266"/>
      <c r="K117" s="244"/>
      <c r="L117" s="244"/>
      <c r="M117" s="244"/>
      <c r="N117" s="244"/>
      <c r="O117" s="244"/>
      <c r="P117" s="244"/>
      <c r="Q117" s="244"/>
      <c r="R117" s="244"/>
      <c r="S117" s="244"/>
      <c r="T117" s="244"/>
      <c r="U117" s="244"/>
      <c r="V117" s="244"/>
      <c r="W117" s="244"/>
      <c r="X117" s="244"/>
      <c r="Y117" s="244"/>
      <c r="Z117" s="244"/>
    </row>
    <row r="118" ht="11.25" customHeight="1">
      <c r="A118" s="244"/>
      <c r="B118" s="244"/>
      <c r="C118" s="266"/>
      <c r="D118" s="266"/>
      <c r="E118" s="266"/>
      <c r="F118" s="266"/>
      <c r="G118" s="266"/>
      <c r="H118" s="266"/>
      <c r="I118" s="266"/>
      <c r="J118" s="266"/>
      <c r="K118" s="244"/>
      <c r="L118" s="244"/>
      <c r="M118" s="244"/>
      <c r="N118" s="244"/>
      <c r="O118" s="244"/>
      <c r="P118" s="244"/>
      <c r="Q118" s="244"/>
      <c r="R118" s="244"/>
      <c r="S118" s="244"/>
      <c r="T118" s="244"/>
      <c r="U118" s="244"/>
      <c r="V118" s="244"/>
      <c r="W118" s="244"/>
      <c r="X118" s="244"/>
      <c r="Y118" s="244"/>
      <c r="Z118" s="244"/>
    </row>
    <row r="119" ht="11.25" customHeight="1">
      <c r="A119" s="244"/>
      <c r="B119" s="244"/>
      <c r="C119" s="266"/>
      <c r="D119" s="266"/>
      <c r="E119" s="266"/>
      <c r="F119" s="266"/>
      <c r="G119" s="266"/>
      <c r="H119" s="266"/>
      <c r="I119" s="266"/>
      <c r="J119" s="266"/>
      <c r="K119" s="244"/>
      <c r="L119" s="244"/>
      <c r="M119" s="244"/>
      <c r="N119" s="244"/>
      <c r="O119" s="244"/>
      <c r="P119" s="244"/>
      <c r="Q119" s="244"/>
      <c r="R119" s="244"/>
      <c r="S119" s="244"/>
      <c r="T119" s="244"/>
      <c r="U119" s="244"/>
      <c r="V119" s="244"/>
      <c r="W119" s="244"/>
      <c r="X119" s="244"/>
      <c r="Y119" s="244"/>
      <c r="Z119" s="244"/>
    </row>
    <row r="120" ht="11.25" customHeight="1">
      <c r="A120" s="244"/>
      <c r="B120" s="244"/>
      <c r="C120" s="266"/>
      <c r="D120" s="266"/>
      <c r="E120" s="266"/>
      <c r="F120" s="266"/>
      <c r="G120" s="266"/>
      <c r="H120" s="266"/>
      <c r="I120" s="266"/>
      <c r="J120" s="266"/>
      <c r="K120" s="244"/>
      <c r="L120" s="244"/>
      <c r="M120" s="244"/>
      <c r="N120" s="244"/>
      <c r="O120" s="244"/>
      <c r="P120" s="244"/>
      <c r="Q120" s="244"/>
      <c r="R120" s="244"/>
      <c r="S120" s="244"/>
      <c r="T120" s="244"/>
      <c r="U120" s="244"/>
      <c r="V120" s="244"/>
      <c r="W120" s="244"/>
      <c r="X120" s="244"/>
      <c r="Y120" s="244"/>
      <c r="Z120" s="244"/>
    </row>
    <row r="121" ht="11.25" customHeight="1">
      <c r="A121" s="244"/>
      <c r="B121" s="244"/>
      <c r="C121" s="266"/>
      <c r="D121" s="266"/>
      <c r="E121" s="266"/>
      <c r="F121" s="266"/>
      <c r="G121" s="266"/>
      <c r="H121" s="266"/>
      <c r="I121" s="266"/>
      <c r="J121" s="266"/>
      <c r="K121" s="244"/>
      <c r="L121" s="244"/>
      <c r="M121" s="244"/>
      <c r="N121" s="244"/>
      <c r="O121" s="244"/>
      <c r="P121" s="244"/>
      <c r="Q121" s="244"/>
      <c r="R121" s="244"/>
      <c r="S121" s="244"/>
      <c r="T121" s="244"/>
      <c r="U121" s="244"/>
      <c r="V121" s="244"/>
      <c r="W121" s="244"/>
      <c r="X121" s="244"/>
      <c r="Y121" s="244"/>
      <c r="Z121" s="244"/>
    </row>
    <row r="122" ht="11.25" customHeight="1">
      <c r="A122" s="244"/>
      <c r="B122" s="244"/>
      <c r="C122" s="266"/>
      <c r="D122" s="266"/>
      <c r="E122" s="266"/>
      <c r="F122" s="266"/>
      <c r="G122" s="266"/>
      <c r="H122" s="266"/>
      <c r="I122" s="266"/>
      <c r="J122" s="266"/>
      <c r="K122" s="244"/>
      <c r="L122" s="244"/>
      <c r="M122" s="244"/>
      <c r="N122" s="244"/>
      <c r="O122" s="244"/>
      <c r="P122" s="244"/>
      <c r="Q122" s="244"/>
      <c r="R122" s="244"/>
      <c r="S122" s="244"/>
      <c r="T122" s="244"/>
      <c r="U122" s="244"/>
      <c r="V122" s="244"/>
      <c r="W122" s="244"/>
      <c r="X122" s="244"/>
      <c r="Y122" s="244"/>
      <c r="Z122" s="244"/>
    </row>
    <row r="123" ht="11.25" customHeight="1">
      <c r="A123" s="244"/>
      <c r="B123" s="244"/>
      <c r="C123" s="266"/>
      <c r="D123" s="266"/>
      <c r="E123" s="266"/>
      <c r="F123" s="266"/>
      <c r="G123" s="266"/>
      <c r="H123" s="266"/>
      <c r="I123" s="266"/>
      <c r="J123" s="266"/>
      <c r="K123" s="244"/>
      <c r="L123" s="244"/>
      <c r="M123" s="244"/>
      <c r="N123" s="244"/>
      <c r="O123" s="244"/>
      <c r="P123" s="244"/>
      <c r="Q123" s="244"/>
      <c r="R123" s="244"/>
      <c r="S123" s="244"/>
      <c r="T123" s="244"/>
      <c r="U123" s="244"/>
      <c r="V123" s="244"/>
      <c r="W123" s="244"/>
      <c r="X123" s="244"/>
      <c r="Y123" s="244"/>
      <c r="Z123" s="244"/>
    </row>
    <row r="124" ht="11.25" customHeight="1">
      <c r="A124" s="244"/>
      <c r="B124" s="244"/>
      <c r="C124" s="266"/>
      <c r="D124" s="266"/>
      <c r="E124" s="266"/>
      <c r="F124" s="266"/>
      <c r="G124" s="266"/>
      <c r="H124" s="266"/>
      <c r="I124" s="266"/>
      <c r="J124" s="266"/>
      <c r="K124" s="244"/>
      <c r="L124" s="244"/>
      <c r="M124" s="244"/>
      <c r="N124" s="244"/>
      <c r="O124" s="244"/>
      <c r="P124" s="244"/>
      <c r="Q124" s="244"/>
      <c r="R124" s="244"/>
      <c r="S124" s="244"/>
      <c r="T124" s="244"/>
      <c r="U124" s="244"/>
      <c r="V124" s="244"/>
      <c r="W124" s="244"/>
      <c r="X124" s="244"/>
      <c r="Y124" s="244"/>
      <c r="Z124" s="244"/>
    </row>
    <row r="125" ht="11.25" customHeight="1">
      <c r="A125" s="244"/>
      <c r="B125" s="244"/>
      <c r="C125" s="266"/>
      <c r="D125" s="266"/>
      <c r="E125" s="266"/>
      <c r="F125" s="266"/>
      <c r="G125" s="266"/>
      <c r="H125" s="266"/>
      <c r="I125" s="266"/>
      <c r="J125" s="266"/>
      <c r="K125" s="244"/>
      <c r="L125" s="244"/>
      <c r="M125" s="244"/>
      <c r="N125" s="244"/>
      <c r="O125" s="244"/>
      <c r="P125" s="244"/>
      <c r="Q125" s="244"/>
      <c r="R125" s="244"/>
      <c r="S125" s="244"/>
      <c r="T125" s="244"/>
      <c r="U125" s="244"/>
      <c r="V125" s="244"/>
      <c r="W125" s="244"/>
      <c r="X125" s="244"/>
      <c r="Y125" s="244"/>
      <c r="Z125" s="244"/>
    </row>
    <row r="126" ht="11.25" customHeight="1">
      <c r="A126" s="244"/>
      <c r="B126" s="244"/>
      <c r="C126" s="266"/>
      <c r="D126" s="266"/>
      <c r="E126" s="266"/>
      <c r="F126" s="266"/>
      <c r="G126" s="266"/>
      <c r="H126" s="266"/>
      <c r="I126" s="266"/>
      <c r="J126" s="266"/>
      <c r="K126" s="244"/>
      <c r="L126" s="244"/>
      <c r="M126" s="244"/>
      <c r="N126" s="244"/>
      <c r="O126" s="244"/>
      <c r="P126" s="244"/>
      <c r="Q126" s="244"/>
      <c r="R126" s="244"/>
      <c r="S126" s="244"/>
      <c r="T126" s="244"/>
      <c r="U126" s="244"/>
      <c r="V126" s="244"/>
      <c r="W126" s="244"/>
      <c r="X126" s="244"/>
      <c r="Y126" s="244"/>
      <c r="Z126" s="244"/>
    </row>
    <row r="127" ht="11.25" customHeight="1">
      <c r="A127" s="244"/>
      <c r="B127" s="244"/>
      <c r="C127" s="266"/>
      <c r="D127" s="266"/>
      <c r="E127" s="266"/>
      <c r="F127" s="266"/>
      <c r="G127" s="266"/>
      <c r="H127" s="266"/>
      <c r="I127" s="266"/>
      <c r="J127" s="266"/>
      <c r="K127" s="244"/>
      <c r="L127" s="244"/>
      <c r="M127" s="244"/>
      <c r="N127" s="244"/>
      <c r="O127" s="244"/>
      <c r="P127" s="244"/>
      <c r="Q127" s="244"/>
      <c r="R127" s="244"/>
      <c r="S127" s="244"/>
      <c r="T127" s="244"/>
      <c r="U127" s="244"/>
      <c r="V127" s="244"/>
      <c r="W127" s="244"/>
      <c r="X127" s="244"/>
      <c r="Y127" s="244"/>
      <c r="Z127" s="244"/>
    </row>
    <row r="128" ht="11.25" customHeight="1">
      <c r="A128" s="244"/>
      <c r="B128" s="244"/>
      <c r="C128" s="266"/>
      <c r="D128" s="266"/>
      <c r="E128" s="266"/>
      <c r="F128" s="266"/>
      <c r="G128" s="266"/>
      <c r="H128" s="266"/>
      <c r="I128" s="266"/>
      <c r="J128" s="266"/>
      <c r="K128" s="244"/>
      <c r="L128" s="244"/>
      <c r="M128" s="244"/>
      <c r="N128" s="244"/>
      <c r="O128" s="244"/>
      <c r="P128" s="244"/>
      <c r="Q128" s="244"/>
      <c r="R128" s="244"/>
      <c r="S128" s="244"/>
      <c r="T128" s="244"/>
      <c r="U128" s="244"/>
      <c r="V128" s="244"/>
      <c r="W128" s="244"/>
      <c r="X128" s="244"/>
      <c r="Y128" s="244"/>
      <c r="Z128" s="244"/>
    </row>
    <row r="129" ht="11.25" customHeight="1">
      <c r="A129" s="244"/>
      <c r="B129" s="244"/>
      <c r="C129" s="266"/>
      <c r="D129" s="266"/>
      <c r="E129" s="266"/>
      <c r="F129" s="266"/>
      <c r="G129" s="266"/>
      <c r="H129" s="266"/>
      <c r="I129" s="266"/>
      <c r="J129" s="266"/>
      <c r="K129" s="244"/>
      <c r="L129" s="244"/>
      <c r="M129" s="244"/>
      <c r="N129" s="244"/>
      <c r="O129" s="244"/>
      <c r="P129" s="244"/>
      <c r="Q129" s="244"/>
      <c r="R129" s="244"/>
      <c r="S129" s="244"/>
      <c r="T129" s="244"/>
      <c r="U129" s="244"/>
      <c r="V129" s="244"/>
      <c r="W129" s="244"/>
      <c r="X129" s="244"/>
      <c r="Y129" s="244"/>
      <c r="Z129" s="244"/>
    </row>
    <row r="130" ht="11.25" customHeight="1">
      <c r="A130" s="244"/>
      <c r="B130" s="244"/>
      <c r="C130" s="266"/>
      <c r="D130" s="266"/>
      <c r="E130" s="266"/>
      <c r="F130" s="266"/>
      <c r="G130" s="266"/>
      <c r="H130" s="266"/>
      <c r="I130" s="266"/>
      <c r="J130" s="266"/>
      <c r="K130" s="244"/>
      <c r="L130" s="244"/>
      <c r="M130" s="244"/>
      <c r="N130" s="244"/>
      <c r="O130" s="244"/>
      <c r="P130" s="244"/>
      <c r="Q130" s="244"/>
      <c r="R130" s="244"/>
      <c r="S130" s="244"/>
      <c r="T130" s="244"/>
      <c r="U130" s="244"/>
      <c r="V130" s="244"/>
      <c r="W130" s="244"/>
      <c r="X130" s="244"/>
      <c r="Y130" s="244"/>
      <c r="Z130" s="244"/>
    </row>
    <row r="131" ht="11.25" customHeight="1">
      <c r="A131" s="244"/>
      <c r="B131" s="244"/>
      <c r="C131" s="266"/>
      <c r="D131" s="266"/>
      <c r="E131" s="266"/>
      <c r="F131" s="266"/>
      <c r="G131" s="266"/>
      <c r="H131" s="266"/>
      <c r="I131" s="266"/>
      <c r="J131" s="266"/>
      <c r="K131" s="244"/>
      <c r="L131" s="244"/>
      <c r="M131" s="244"/>
      <c r="N131" s="244"/>
      <c r="O131" s="244"/>
      <c r="P131" s="244"/>
      <c r="Q131" s="244"/>
      <c r="R131" s="244"/>
      <c r="S131" s="244"/>
      <c r="T131" s="244"/>
      <c r="U131" s="244"/>
      <c r="V131" s="244"/>
      <c r="W131" s="244"/>
      <c r="X131" s="244"/>
      <c r="Y131" s="244"/>
      <c r="Z131" s="244"/>
    </row>
    <row r="132" ht="11.25" customHeight="1">
      <c r="A132" s="244"/>
      <c r="B132" s="244"/>
      <c r="C132" s="266"/>
      <c r="D132" s="266"/>
      <c r="E132" s="266"/>
      <c r="F132" s="266"/>
      <c r="G132" s="266"/>
      <c r="H132" s="266"/>
      <c r="I132" s="266"/>
      <c r="J132" s="266"/>
      <c r="K132" s="244"/>
      <c r="L132" s="244"/>
      <c r="M132" s="244"/>
      <c r="N132" s="244"/>
      <c r="O132" s="244"/>
      <c r="P132" s="244"/>
      <c r="Q132" s="244"/>
      <c r="R132" s="244"/>
      <c r="S132" s="244"/>
      <c r="T132" s="244"/>
      <c r="U132" s="244"/>
      <c r="V132" s="244"/>
      <c r="W132" s="244"/>
      <c r="X132" s="244"/>
      <c r="Y132" s="244"/>
      <c r="Z132" s="244"/>
    </row>
    <row r="133" ht="11.25" customHeight="1">
      <c r="A133" s="244"/>
      <c r="B133" s="244"/>
      <c r="C133" s="266"/>
      <c r="D133" s="266"/>
      <c r="E133" s="266"/>
      <c r="F133" s="266"/>
      <c r="G133" s="266"/>
      <c r="H133" s="266"/>
      <c r="I133" s="266"/>
      <c r="J133" s="266"/>
      <c r="K133" s="244"/>
      <c r="L133" s="244"/>
      <c r="M133" s="244"/>
      <c r="N133" s="244"/>
      <c r="O133" s="244"/>
      <c r="P133" s="244"/>
      <c r="Q133" s="244"/>
      <c r="R133" s="244"/>
      <c r="S133" s="244"/>
      <c r="T133" s="244"/>
      <c r="U133" s="244"/>
      <c r="V133" s="244"/>
      <c r="W133" s="244"/>
      <c r="X133" s="244"/>
      <c r="Y133" s="244"/>
      <c r="Z133" s="244"/>
    </row>
    <row r="134" ht="11.25" customHeight="1">
      <c r="A134" s="244"/>
      <c r="B134" s="244"/>
      <c r="C134" s="266"/>
      <c r="D134" s="266"/>
      <c r="E134" s="266"/>
      <c r="F134" s="266"/>
      <c r="G134" s="266"/>
      <c r="H134" s="266"/>
      <c r="I134" s="266"/>
      <c r="J134" s="266"/>
      <c r="K134" s="244"/>
      <c r="L134" s="244"/>
      <c r="M134" s="244"/>
      <c r="N134" s="244"/>
      <c r="O134" s="244"/>
      <c r="P134" s="244"/>
      <c r="Q134" s="244"/>
      <c r="R134" s="244"/>
      <c r="S134" s="244"/>
      <c r="T134" s="244"/>
      <c r="U134" s="244"/>
      <c r="V134" s="244"/>
      <c r="W134" s="244"/>
      <c r="X134" s="244"/>
      <c r="Y134" s="244"/>
      <c r="Z134" s="244"/>
    </row>
    <row r="135" ht="11.25" customHeight="1">
      <c r="A135" s="244"/>
      <c r="B135" s="244"/>
      <c r="C135" s="266"/>
      <c r="D135" s="266"/>
      <c r="E135" s="266"/>
      <c r="F135" s="266"/>
      <c r="G135" s="266"/>
      <c r="H135" s="266"/>
      <c r="I135" s="266"/>
      <c r="J135" s="266"/>
      <c r="K135" s="244"/>
      <c r="L135" s="244"/>
      <c r="M135" s="244"/>
      <c r="N135" s="244"/>
      <c r="O135" s="244"/>
      <c r="P135" s="244"/>
      <c r="Q135" s="244"/>
      <c r="R135" s="244"/>
      <c r="S135" s="244"/>
      <c r="T135" s="244"/>
      <c r="U135" s="244"/>
      <c r="V135" s="244"/>
      <c r="W135" s="244"/>
      <c r="X135" s="244"/>
      <c r="Y135" s="244"/>
      <c r="Z135" s="244"/>
    </row>
    <row r="136" ht="11.25" customHeight="1">
      <c r="A136" s="244"/>
      <c r="B136" s="244"/>
      <c r="C136" s="266"/>
      <c r="D136" s="266"/>
      <c r="E136" s="266"/>
      <c r="F136" s="266"/>
      <c r="G136" s="266"/>
      <c r="H136" s="266"/>
      <c r="I136" s="266"/>
      <c r="J136" s="266"/>
      <c r="K136" s="244"/>
      <c r="L136" s="244"/>
      <c r="M136" s="244"/>
      <c r="N136" s="244"/>
      <c r="O136" s="244"/>
      <c r="P136" s="244"/>
      <c r="Q136" s="244"/>
      <c r="R136" s="244"/>
      <c r="S136" s="244"/>
      <c r="T136" s="244"/>
      <c r="U136" s="244"/>
      <c r="V136" s="244"/>
      <c r="W136" s="244"/>
      <c r="X136" s="244"/>
      <c r="Y136" s="244"/>
      <c r="Z136" s="244"/>
    </row>
    <row r="137" ht="11.25" customHeight="1">
      <c r="A137" s="244"/>
      <c r="B137" s="244"/>
      <c r="C137" s="266"/>
      <c r="D137" s="266"/>
      <c r="E137" s="266"/>
      <c r="F137" s="266"/>
      <c r="G137" s="266"/>
      <c r="H137" s="266"/>
      <c r="I137" s="266"/>
      <c r="J137" s="266"/>
      <c r="K137" s="244"/>
      <c r="L137" s="244"/>
      <c r="M137" s="244"/>
      <c r="N137" s="244"/>
      <c r="O137" s="244"/>
      <c r="P137" s="244"/>
      <c r="Q137" s="244"/>
      <c r="R137" s="244"/>
      <c r="S137" s="244"/>
      <c r="T137" s="244"/>
      <c r="U137" s="244"/>
      <c r="V137" s="244"/>
      <c r="W137" s="244"/>
      <c r="X137" s="244"/>
      <c r="Y137" s="244"/>
      <c r="Z137" s="244"/>
    </row>
    <row r="138" ht="11.25" customHeight="1">
      <c r="A138" s="244"/>
      <c r="B138" s="244"/>
      <c r="C138" s="266"/>
      <c r="D138" s="266"/>
      <c r="E138" s="266"/>
      <c r="F138" s="266"/>
      <c r="G138" s="266"/>
      <c r="H138" s="266"/>
      <c r="I138" s="266"/>
      <c r="J138" s="266"/>
      <c r="K138" s="244"/>
      <c r="L138" s="244"/>
      <c r="M138" s="244"/>
      <c r="N138" s="244"/>
      <c r="O138" s="244"/>
      <c r="P138" s="244"/>
      <c r="Q138" s="244"/>
      <c r="R138" s="244"/>
      <c r="S138" s="244"/>
      <c r="T138" s="244"/>
      <c r="U138" s="244"/>
      <c r="V138" s="244"/>
      <c r="W138" s="244"/>
      <c r="X138" s="244"/>
      <c r="Y138" s="244"/>
      <c r="Z138" s="244"/>
    </row>
    <row r="139" ht="11.25" customHeight="1">
      <c r="A139" s="244"/>
      <c r="B139" s="244"/>
      <c r="C139" s="266"/>
      <c r="D139" s="266"/>
      <c r="E139" s="266"/>
      <c r="F139" s="266"/>
      <c r="G139" s="266"/>
      <c r="H139" s="266"/>
      <c r="I139" s="266"/>
      <c r="J139" s="266"/>
      <c r="K139" s="244"/>
      <c r="L139" s="244"/>
      <c r="M139" s="244"/>
      <c r="N139" s="244"/>
      <c r="O139" s="244"/>
      <c r="P139" s="244"/>
      <c r="Q139" s="244"/>
      <c r="R139" s="244"/>
      <c r="S139" s="244"/>
      <c r="T139" s="244"/>
      <c r="U139" s="244"/>
      <c r="V139" s="244"/>
      <c r="W139" s="244"/>
      <c r="X139" s="244"/>
      <c r="Y139" s="244"/>
      <c r="Z139" s="244"/>
    </row>
    <row r="140" ht="11.25" customHeight="1">
      <c r="A140" s="244"/>
      <c r="B140" s="244"/>
      <c r="C140" s="266"/>
      <c r="D140" s="266"/>
      <c r="E140" s="266"/>
      <c r="F140" s="266"/>
      <c r="G140" s="266"/>
      <c r="H140" s="266"/>
      <c r="I140" s="266"/>
      <c r="J140" s="266"/>
      <c r="K140" s="244"/>
      <c r="L140" s="244"/>
      <c r="M140" s="244"/>
      <c r="N140" s="244"/>
      <c r="O140" s="244"/>
      <c r="P140" s="244"/>
      <c r="Q140" s="244"/>
      <c r="R140" s="244"/>
      <c r="S140" s="244"/>
      <c r="T140" s="244"/>
      <c r="U140" s="244"/>
      <c r="V140" s="244"/>
      <c r="W140" s="244"/>
      <c r="X140" s="244"/>
      <c r="Y140" s="244"/>
      <c r="Z140" s="244"/>
    </row>
    <row r="141" ht="11.25" customHeight="1">
      <c r="A141" s="244"/>
      <c r="B141" s="244"/>
      <c r="C141" s="266"/>
      <c r="D141" s="266"/>
      <c r="E141" s="266"/>
      <c r="F141" s="266"/>
      <c r="G141" s="266"/>
      <c r="H141" s="266"/>
      <c r="I141" s="266"/>
      <c r="J141" s="266"/>
      <c r="K141" s="244"/>
      <c r="L141" s="244"/>
      <c r="M141" s="244"/>
      <c r="N141" s="244"/>
      <c r="O141" s="244"/>
      <c r="P141" s="244"/>
      <c r="Q141" s="244"/>
      <c r="R141" s="244"/>
      <c r="S141" s="244"/>
      <c r="T141" s="244"/>
      <c r="U141" s="244"/>
      <c r="V141" s="244"/>
      <c r="W141" s="244"/>
      <c r="X141" s="244"/>
      <c r="Y141" s="244"/>
      <c r="Z141" s="244"/>
    </row>
    <row r="142" ht="11.25" customHeight="1">
      <c r="A142" s="244"/>
      <c r="B142" s="244"/>
      <c r="C142" s="266"/>
      <c r="D142" s="266"/>
      <c r="E142" s="266"/>
      <c r="F142" s="266"/>
      <c r="G142" s="266"/>
      <c r="H142" s="266"/>
      <c r="I142" s="266"/>
      <c r="J142" s="266"/>
      <c r="K142" s="244"/>
      <c r="L142" s="244"/>
      <c r="M142" s="244"/>
      <c r="N142" s="244"/>
      <c r="O142" s="244"/>
      <c r="P142" s="244"/>
      <c r="Q142" s="244"/>
      <c r="R142" s="244"/>
      <c r="S142" s="244"/>
      <c r="T142" s="244"/>
      <c r="U142" s="244"/>
      <c r="V142" s="244"/>
      <c r="W142" s="244"/>
      <c r="X142" s="244"/>
      <c r="Y142" s="244"/>
      <c r="Z142" s="244"/>
    </row>
    <row r="143" ht="11.25" customHeight="1">
      <c r="A143" s="244"/>
      <c r="B143" s="244"/>
      <c r="C143" s="266"/>
      <c r="D143" s="266"/>
      <c r="E143" s="266"/>
      <c r="F143" s="266"/>
      <c r="G143" s="266"/>
      <c r="H143" s="266"/>
      <c r="I143" s="266"/>
      <c r="J143" s="266"/>
      <c r="K143" s="244"/>
      <c r="L143" s="244"/>
      <c r="M143" s="244"/>
      <c r="N143" s="244"/>
      <c r="O143" s="244"/>
      <c r="P143" s="244"/>
      <c r="Q143" s="244"/>
      <c r="R143" s="244"/>
      <c r="S143" s="244"/>
      <c r="T143" s="244"/>
      <c r="U143" s="244"/>
      <c r="V143" s="244"/>
      <c r="W143" s="244"/>
      <c r="X143" s="244"/>
      <c r="Y143" s="244"/>
      <c r="Z143" s="244"/>
    </row>
    <row r="144" ht="11.25" customHeight="1">
      <c r="A144" s="244"/>
      <c r="B144" s="244"/>
      <c r="C144" s="266"/>
      <c r="D144" s="266"/>
      <c r="E144" s="266"/>
      <c r="F144" s="266"/>
      <c r="G144" s="266"/>
      <c r="H144" s="266"/>
      <c r="I144" s="266"/>
      <c r="J144" s="266"/>
      <c r="K144" s="244"/>
      <c r="L144" s="244"/>
      <c r="M144" s="244"/>
      <c r="N144" s="244"/>
      <c r="O144" s="244"/>
      <c r="P144" s="244"/>
      <c r="Q144" s="244"/>
      <c r="R144" s="244"/>
      <c r="S144" s="244"/>
      <c r="T144" s="244"/>
      <c r="U144" s="244"/>
      <c r="V144" s="244"/>
      <c r="W144" s="244"/>
      <c r="X144" s="244"/>
      <c r="Y144" s="244"/>
      <c r="Z144" s="244"/>
    </row>
    <row r="145" ht="11.25" customHeight="1">
      <c r="A145" s="244"/>
      <c r="B145" s="244"/>
      <c r="C145" s="266"/>
      <c r="D145" s="266"/>
      <c r="E145" s="266"/>
      <c r="F145" s="266"/>
      <c r="G145" s="266"/>
      <c r="H145" s="266"/>
      <c r="I145" s="266"/>
      <c r="J145" s="266"/>
      <c r="K145" s="244"/>
      <c r="L145" s="244"/>
      <c r="M145" s="244"/>
      <c r="N145" s="244"/>
      <c r="O145" s="244"/>
      <c r="P145" s="244"/>
      <c r="Q145" s="244"/>
      <c r="R145" s="244"/>
      <c r="S145" s="244"/>
      <c r="T145" s="244"/>
      <c r="U145" s="244"/>
      <c r="V145" s="244"/>
      <c r="W145" s="244"/>
      <c r="X145" s="244"/>
      <c r="Y145" s="244"/>
      <c r="Z145" s="244"/>
    </row>
    <row r="146" ht="11.25" customHeight="1">
      <c r="A146" s="244"/>
      <c r="B146" s="244"/>
      <c r="C146" s="266"/>
      <c r="D146" s="266"/>
      <c r="E146" s="266"/>
      <c r="F146" s="266"/>
      <c r="G146" s="266"/>
      <c r="H146" s="266"/>
      <c r="I146" s="266"/>
      <c r="J146" s="266"/>
      <c r="K146" s="244"/>
      <c r="L146" s="244"/>
      <c r="M146" s="244"/>
      <c r="N146" s="244"/>
      <c r="O146" s="244"/>
      <c r="P146" s="244"/>
      <c r="Q146" s="244"/>
      <c r="R146" s="244"/>
      <c r="S146" s="244"/>
      <c r="T146" s="244"/>
      <c r="U146" s="244"/>
      <c r="V146" s="244"/>
      <c r="W146" s="244"/>
      <c r="X146" s="244"/>
      <c r="Y146" s="244"/>
      <c r="Z146" s="244"/>
    </row>
    <row r="147" ht="11.25" customHeight="1">
      <c r="A147" s="244"/>
      <c r="B147" s="244"/>
      <c r="C147" s="266"/>
      <c r="D147" s="266"/>
      <c r="E147" s="266"/>
      <c r="F147" s="266"/>
      <c r="G147" s="266"/>
      <c r="H147" s="266"/>
      <c r="I147" s="266"/>
      <c r="J147" s="266"/>
      <c r="K147" s="244"/>
      <c r="L147" s="244"/>
      <c r="M147" s="244"/>
      <c r="N147" s="244"/>
      <c r="O147" s="244"/>
      <c r="P147" s="244"/>
      <c r="Q147" s="244"/>
      <c r="R147" s="244"/>
      <c r="S147" s="244"/>
      <c r="T147" s="244"/>
      <c r="U147" s="244"/>
      <c r="V147" s="244"/>
      <c r="W147" s="244"/>
      <c r="X147" s="244"/>
      <c r="Y147" s="244"/>
      <c r="Z147" s="244"/>
    </row>
    <row r="148" ht="11.25" customHeight="1">
      <c r="A148" s="244"/>
      <c r="B148" s="244"/>
      <c r="C148" s="266"/>
      <c r="D148" s="266"/>
      <c r="E148" s="266"/>
      <c r="F148" s="266"/>
      <c r="G148" s="266"/>
      <c r="H148" s="266"/>
      <c r="I148" s="266"/>
      <c r="J148" s="266"/>
      <c r="K148" s="244"/>
      <c r="L148" s="244"/>
      <c r="M148" s="244"/>
      <c r="N148" s="244"/>
      <c r="O148" s="244"/>
      <c r="P148" s="244"/>
      <c r="Q148" s="244"/>
      <c r="R148" s="244"/>
      <c r="S148" s="244"/>
      <c r="T148" s="244"/>
      <c r="U148" s="244"/>
      <c r="V148" s="244"/>
      <c r="W148" s="244"/>
      <c r="X148" s="244"/>
      <c r="Y148" s="244"/>
      <c r="Z148" s="244"/>
    </row>
    <row r="149" ht="11.25" customHeight="1">
      <c r="A149" s="244"/>
      <c r="B149" s="244"/>
      <c r="C149" s="266"/>
      <c r="D149" s="266"/>
      <c r="E149" s="266"/>
      <c r="F149" s="266"/>
      <c r="G149" s="266"/>
      <c r="H149" s="266"/>
      <c r="I149" s="266"/>
      <c r="J149" s="266"/>
      <c r="K149" s="244"/>
      <c r="L149" s="244"/>
      <c r="M149" s="244"/>
      <c r="N149" s="244"/>
      <c r="O149" s="244"/>
      <c r="P149" s="244"/>
      <c r="Q149" s="244"/>
      <c r="R149" s="244"/>
      <c r="S149" s="244"/>
      <c r="T149" s="244"/>
      <c r="U149" s="244"/>
      <c r="V149" s="244"/>
      <c r="W149" s="244"/>
      <c r="X149" s="244"/>
      <c r="Y149" s="244"/>
      <c r="Z149" s="244"/>
    </row>
    <row r="150" ht="11.25" customHeight="1">
      <c r="A150" s="244"/>
      <c r="B150" s="244"/>
      <c r="C150" s="266"/>
      <c r="D150" s="266"/>
      <c r="E150" s="266"/>
      <c r="F150" s="266"/>
      <c r="G150" s="266"/>
      <c r="H150" s="266"/>
      <c r="I150" s="266"/>
      <c r="J150" s="266"/>
      <c r="K150" s="244"/>
      <c r="L150" s="244"/>
      <c r="M150" s="244"/>
      <c r="N150" s="244"/>
      <c r="O150" s="244"/>
      <c r="P150" s="244"/>
      <c r="Q150" s="244"/>
      <c r="R150" s="244"/>
      <c r="S150" s="244"/>
      <c r="T150" s="244"/>
      <c r="U150" s="244"/>
      <c r="V150" s="244"/>
      <c r="W150" s="244"/>
      <c r="X150" s="244"/>
      <c r="Y150" s="244"/>
      <c r="Z150" s="244"/>
    </row>
    <row r="151" ht="11.25" customHeight="1">
      <c r="A151" s="244"/>
      <c r="B151" s="244"/>
      <c r="C151" s="266"/>
      <c r="D151" s="266"/>
      <c r="E151" s="266"/>
      <c r="F151" s="266"/>
      <c r="G151" s="266"/>
      <c r="H151" s="266"/>
      <c r="I151" s="266"/>
      <c r="J151" s="266"/>
      <c r="K151" s="244"/>
      <c r="L151" s="244"/>
      <c r="M151" s="244"/>
      <c r="N151" s="244"/>
      <c r="O151" s="244"/>
      <c r="P151" s="244"/>
      <c r="Q151" s="244"/>
      <c r="R151" s="244"/>
      <c r="S151" s="244"/>
      <c r="T151" s="244"/>
      <c r="U151" s="244"/>
      <c r="V151" s="244"/>
      <c r="W151" s="244"/>
      <c r="X151" s="244"/>
      <c r="Y151" s="244"/>
      <c r="Z151" s="244"/>
    </row>
    <row r="152" ht="11.25" customHeight="1">
      <c r="A152" s="244"/>
      <c r="B152" s="244"/>
      <c r="C152" s="266"/>
      <c r="D152" s="266"/>
      <c r="E152" s="266"/>
      <c r="F152" s="266"/>
      <c r="G152" s="266"/>
      <c r="H152" s="266"/>
      <c r="I152" s="266"/>
      <c r="J152" s="266"/>
      <c r="K152" s="244"/>
      <c r="L152" s="244"/>
      <c r="M152" s="244"/>
      <c r="N152" s="244"/>
      <c r="O152" s="244"/>
      <c r="P152" s="244"/>
      <c r="Q152" s="244"/>
      <c r="R152" s="244"/>
      <c r="S152" s="244"/>
      <c r="T152" s="244"/>
      <c r="U152" s="244"/>
      <c r="V152" s="244"/>
      <c r="W152" s="244"/>
      <c r="X152" s="244"/>
      <c r="Y152" s="244"/>
      <c r="Z152" s="244"/>
    </row>
    <row r="153" ht="11.25" customHeight="1">
      <c r="A153" s="244"/>
      <c r="B153" s="244"/>
      <c r="C153" s="266"/>
      <c r="D153" s="266"/>
      <c r="E153" s="266"/>
      <c r="F153" s="266"/>
      <c r="G153" s="266"/>
      <c r="H153" s="266"/>
      <c r="I153" s="266"/>
      <c r="J153" s="266"/>
      <c r="K153" s="244"/>
      <c r="L153" s="244"/>
      <c r="M153" s="244"/>
      <c r="N153" s="244"/>
      <c r="O153" s="244"/>
      <c r="P153" s="244"/>
      <c r="Q153" s="244"/>
      <c r="R153" s="244"/>
      <c r="S153" s="244"/>
      <c r="T153" s="244"/>
      <c r="U153" s="244"/>
      <c r="V153" s="244"/>
      <c r="W153" s="244"/>
      <c r="X153" s="244"/>
      <c r="Y153" s="244"/>
      <c r="Z153" s="244"/>
    </row>
    <row r="154" ht="11.25" customHeight="1">
      <c r="A154" s="244"/>
      <c r="B154" s="244"/>
      <c r="C154" s="266"/>
      <c r="D154" s="266"/>
      <c r="E154" s="266"/>
      <c r="F154" s="266"/>
      <c r="G154" s="266"/>
      <c r="H154" s="266"/>
      <c r="I154" s="266"/>
      <c r="J154" s="266"/>
      <c r="K154" s="244"/>
      <c r="L154" s="244"/>
      <c r="M154" s="244"/>
      <c r="N154" s="244"/>
      <c r="O154" s="244"/>
      <c r="P154" s="244"/>
      <c r="Q154" s="244"/>
      <c r="R154" s="244"/>
      <c r="S154" s="244"/>
      <c r="T154" s="244"/>
      <c r="U154" s="244"/>
      <c r="V154" s="244"/>
      <c r="W154" s="244"/>
      <c r="X154" s="244"/>
      <c r="Y154" s="244"/>
      <c r="Z154" s="244"/>
    </row>
    <row r="155" ht="11.25" customHeight="1">
      <c r="A155" s="244"/>
      <c r="B155" s="244"/>
      <c r="C155" s="266"/>
      <c r="D155" s="266"/>
      <c r="E155" s="266"/>
      <c r="F155" s="266"/>
      <c r="G155" s="266"/>
      <c r="H155" s="266"/>
      <c r="I155" s="266"/>
      <c r="J155" s="266"/>
      <c r="K155" s="244"/>
      <c r="L155" s="244"/>
      <c r="M155" s="244"/>
      <c r="N155" s="244"/>
      <c r="O155" s="244"/>
      <c r="P155" s="244"/>
      <c r="Q155" s="244"/>
      <c r="R155" s="244"/>
      <c r="S155" s="244"/>
      <c r="T155" s="244"/>
      <c r="U155" s="244"/>
      <c r="V155" s="244"/>
      <c r="W155" s="244"/>
      <c r="X155" s="244"/>
      <c r="Y155" s="244"/>
      <c r="Z155" s="244"/>
    </row>
    <row r="156" ht="11.25" customHeight="1">
      <c r="A156" s="244"/>
      <c r="B156" s="244"/>
      <c r="C156" s="266"/>
      <c r="D156" s="266"/>
      <c r="E156" s="266"/>
      <c r="F156" s="266"/>
      <c r="G156" s="266"/>
      <c r="H156" s="266"/>
      <c r="I156" s="266"/>
      <c r="J156" s="266"/>
      <c r="K156" s="244"/>
      <c r="L156" s="244"/>
      <c r="M156" s="244"/>
      <c r="N156" s="244"/>
      <c r="O156" s="244"/>
      <c r="P156" s="244"/>
      <c r="Q156" s="244"/>
      <c r="R156" s="244"/>
      <c r="S156" s="244"/>
      <c r="T156" s="244"/>
      <c r="U156" s="244"/>
      <c r="V156" s="244"/>
      <c r="W156" s="244"/>
      <c r="X156" s="244"/>
      <c r="Y156" s="244"/>
      <c r="Z156" s="244"/>
    </row>
    <row r="157" ht="11.25" customHeight="1">
      <c r="A157" s="244"/>
      <c r="B157" s="244"/>
      <c r="C157" s="266"/>
      <c r="D157" s="266"/>
      <c r="E157" s="266"/>
      <c r="F157" s="266"/>
      <c r="G157" s="266"/>
      <c r="H157" s="266"/>
      <c r="I157" s="266"/>
      <c r="J157" s="266"/>
      <c r="K157" s="244"/>
      <c r="L157" s="244"/>
      <c r="M157" s="244"/>
      <c r="N157" s="244"/>
      <c r="O157" s="244"/>
      <c r="P157" s="244"/>
      <c r="Q157" s="244"/>
      <c r="R157" s="244"/>
      <c r="S157" s="244"/>
      <c r="T157" s="244"/>
      <c r="U157" s="244"/>
      <c r="V157" s="244"/>
      <c r="W157" s="244"/>
      <c r="X157" s="244"/>
      <c r="Y157" s="244"/>
      <c r="Z157" s="244"/>
    </row>
    <row r="158" ht="11.25" customHeight="1">
      <c r="A158" s="244"/>
      <c r="B158" s="244"/>
      <c r="C158" s="266"/>
      <c r="D158" s="266"/>
      <c r="E158" s="266"/>
      <c r="F158" s="266"/>
      <c r="G158" s="266"/>
      <c r="H158" s="266"/>
      <c r="I158" s="266"/>
      <c r="J158" s="266"/>
      <c r="K158" s="244"/>
      <c r="L158" s="244"/>
      <c r="M158" s="244"/>
      <c r="N158" s="244"/>
      <c r="O158" s="244"/>
      <c r="P158" s="244"/>
      <c r="Q158" s="244"/>
      <c r="R158" s="244"/>
      <c r="S158" s="244"/>
      <c r="T158" s="244"/>
      <c r="U158" s="244"/>
      <c r="V158" s="244"/>
      <c r="W158" s="244"/>
      <c r="X158" s="244"/>
      <c r="Y158" s="244"/>
      <c r="Z158" s="244"/>
    </row>
    <row r="159" ht="11.25" customHeight="1">
      <c r="A159" s="244"/>
      <c r="B159" s="244"/>
      <c r="C159" s="266"/>
      <c r="D159" s="266"/>
      <c r="E159" s="266"/>
      <c r="F159" s="266"/>
      <c r="G159" s="266"/>
      <c r="H159" s="266"/>
      <c r="I159" s="266"/>
      <c r="J159" s="266"/>
      <c r="K159" s="244"/>
      <c r="L159" s="244"/>
      <c r="M159" s="244"/>
      <c r="N159" s="244"/>
      <c r="O159" s="244"/>
      <c r="P159" s="244"/>
      <c r="Q159" s="244"/>
      <c r="R159" s="244"/>
      <c r="S159" s="244"/>
      <c r="T159" s="244"/>
      <c r="U159" s="244"/>
      <c r="V159" s="244"/>
      <c r="W159" s="244"/>
      <c r="X159" s="244"/>
      <c r="Y159" s="244"/>
      <c r="Z159" s="244"/>
    </row>
    <row r="160" ht="11.25" customHeight="1">
      <c r="A160" s="244"/>
      <c r="B160" s="244"/>
      <c r="C160" s="266"/>
      <c r="D160" s="266"/>
      <c r="E160" s="266"/>
      <c r="F160" s="266"/>
      <c r="G160" s="266"/>
      <c r="H160" s="266"/>
      <c r="I160" s="266"/>
      <c r="J160" s="266"/>
      <c r="K160" s="244"/>
      <c r="L160" s="244"/>
      <c r="M160" s="244"/>
      <c r="N160" s="244"/>
      <c r="O160" s="244"/>
      <c r="P160" s="244"/>
      <c r="Q160" s="244"/>
      <c r="R160" s="244"/>
      <c r="S160" s="244"/>
      <c r="T160" s="244"/>
      <c r="U160" s="244"/>
      <c r="V160" s="244"/>
      <c r="W160" s="244"/>
      <c r="X160" s="244"/>
      <c r="Y160" s="244"/>
      <c r="Z160" s="244"/>
    </row>
    <row r="161" ht="11.25" customHeight="1">
      <c r="A161" s="244"/>
      <c r="B161" s="244"/>
      <c r="C161" s="266"/>
      <c r="D161" s="266"/>
      <c r="E161" s="266"/>
      <c r="F161" s="266"/>
      <c r="G161" s="266"/>
      <c r="H161" s="266"/>
      <c r="I161" s="266"/>
      <c r="J161" s="266"/>
      <c r="K161" s="244"/>
      <c r="L161" s="244"/>
      <c r="M161" s="244"/>
      <c r="N161" s="244"/>
      <c r="O161" s="244"/>
      <c r="P161" s="244"/>
      <c r="Q161" s="244"/>
      <c r="R161" s="244"/>
      <c r="S161" s="244"/>
      <c r="T161" s="244"/>
      <c r="U161" s="244"/>
      <c r="V161" s="244"/>
      <c r="W161" s="244"/>
      <c r="X161" s="244"/>
      <c r="Y161" s="244"/>
      <c r="Z161" s="244"/>
    </row>
    <row r="162" ht="11.25" customHeight="1">
      <c r="A162" s="244"/>
      <c r="B162" s="244"/>
      <c r="C162" s="266"/>
      <c r="D162" s="266"/>
      <c r="E162" s="266"/>
      <c r="F162" s="266"/>
      <c r="G162" s="266"/>
      <c r="H162" s="266"/>
      <c r="I162" s="266"/>
      <c r="J162" s="266"/>
      <c r="K162" s="244"/>
      <c r="L162" s="244"/>
      <c r="M162" s="244"/>
      <c r="N162" s="244"/>
      <c r="O162" s="244"/>
      <c r="P162" s="244"/>
      <c r="Q162" s="244"/>
      <c r="R162" s="244"/>
      <c r="S162" s="244"/>
      <c r="T162" s="244"/>
      <c r="U162" s="244"/>
      <c r="V162" s="244"/>
      <c r="W162" s="244"/>
      <c r="X162" s="244"/>
      <c r="Y162" s="244"/>
      <c r="Z162" s="244"/>
    </row>
    <row r="163" ht="11.25" customHeight="1">
      <c r="A163" s="244"/>
      <c r="B163" s="244"/>
      <c r="C163" s="266"/>
      <c r="D163" s="266"/>
      <c r="E163" s="266"/>
      <c r="F163" s="266"/>
      <c r="G163" s="266"/>
      <c r="H163" s="266"/>
      <c r="I163" s="266"/>
      <c r="J163" s="266"/>
      <c r="K163" s="244"/>
      <c r="L163" s="244"/>
      <c r="M163" s="244"/>
      <c r="N163" s="244"/>
      <c r="O163" s="244"/>
      <c r="P163" s="244"/>
      <c r="Q163" s="244"/>
      <c r="R163" s="244"/>
      <c r="S163" s="244"/>
      <c r="T163" s="244"/>
      <c r="U163" s="244"/>
      <c r="V163" s="244"/>
      <c r="W163" s="244"/>
      <c r="X163" s="244"/>
      <c r="Y163" s="244"/>
      <c r="Z163" s="244"/>
    </row>
    <row r="164" ht="11.25" customHeight="1">
      <c r="A164" s="244"/>
      <c r="B164" s="244"/>
      <c r="C164" s="266"/>
      <c r="D164" s="266"/>
      <c r="E164" s="266"/>
      <c r="F164" s="266"/>
      <c r="G164" s="266"/>
      <c r="H164" s="266"/>
      <c r="I164" s="266"/>
      <c r="J164" s="266"/>
      <c r="K164" s="244"/>
      <c r="L164" s="244"/>
      <c r="M164" s="244"/>
      <c r="N164" s="244"/>
      <c r="O164" s="244"/>
      <c r="P164" s="244"/>
      <c r="Q164" s="244"/>
      <c r="R164" s="244"/>
      <c r="S164" s="244"/>
      <c r="T164" s="244"/>
      <c r="U164" s="244"/>
      <c r="V164" s="244"/>
      <c r="W164" s="244"/>
      <c r="X164" s="244"/>
      <c r="Y164" s="244"/>
      <c r="Z164" s="244"/>
    </row>
    <row r="165" ht="11.25" customHeight="1">
      <c r="A165" s="244"/>
      <c r="B165" s="244"/>
      <c r="C165" s="266"/>
      <c r="D165" s="266"/>
      <c r="E165" s="266"/>
      <c r="F165" s="266"/>
      <c r="G165" s="266"/>
      <c r="H165" s="266"/>
      <c r="I165" s="266"/>
      <c r="J165" s="266"/>
      <c r="K165" s="244"/>
      <c r="L165" s="244"/>
      <c r="M165" s="244"/>
      <c r="N165" s="244"/>
      <c r="O165" s="244"/>
      <c r="P165" s="244"/>
      <c r="Q165" s="244"/>
      <c r="R165" s="244"/>
      <c r="S165" s="244"/>
      <c r="T165" s="244"/>
      <c r="U165" s="244"/>
      <c r="V165" s="244"/>
      <c r="W165" s="244"/>
      <c r="X165" s="244"/>
      <c r="Y165" s="244"/>
      <c r="Z165" s="244"/>
    </row>
    <row r="166" ht="11.25" customHeight="1">
      <c r="A166" s="244"/>
      <c r="B166" s="244"/>
      <c r="C166" s="266"/>
      <c r="D166" s="266"/>
      <c r="E166" s="266"/>
      <c r="F166" s="266"/>
      <c r="G166" s="266"/>
      <c r="H166" s="266"/>
      <c r="I166" s="266"/>
      <c r="J166" s="266"/>
      <c r="K166" s="244"/>
      <c r="L166" s="244"/>
      <c r="M166" s="244"/>
      <c r="N166" s="244"/>
      <c r="O166" s="244"/>
      <c r="P166" s="244"/>
      <c r="Q166" s="244"/>
      <c r="R166" s="244"/>
      <c r="S166" s="244"/>
      <c r="T166" s="244"/>
      <c r="U166" s="244"/>
      <c r="V166" s="244"/>
      <c r="W166" s="244"/>
      <c r="X166" s="244"/>
      <c r="Y166" s="244"/>
      <c r="Z166" s="244"/>
    </row>
    <row r="167" ht="11.25" customHeight="1">
      <c r="A167" s="244"/>
      <c r="B167" s="244"/>
      <c r="C167" s="266"/>
      <c r="D167" s="266"/>
      <c r="E167" s="266"/>
      <c r="F167" s="266"/>
      <c r="G167" s="266"/>
      <c r="H167" s="266"/>
      <c r="I167" s="266"/>
      <c r="J167" s="266"/>
      <c r="K167" s="244"/>
      <c r="L167" s="244"/>
      <c r="M167" s="244"/>
      <c r="N167" s="244"/>
      <c r="O167" s="244"/>
      <c r="P167" s="244"/>
      <c r="Q167" s="244"/>
      <c r="R167" s="244"/>
      <c r="S167" s="244"/>
      <c r="T167" s="244"/>
      <c r="U167" s="244"/>
      <c r="V167" s="244"/>
      <c r="W167" s="244"/>
      <c r="X167" s="244"/>
      <c r="Y167" s="244"/>
      <c r="Z167" s="244"/>
    </row>
    <row r="168" ht="11.25" customHeight="1">
      <c r="A168" s="244"/>
      <c r="B168" s="244"/>
      <c r="C168" s="266"/>
      <c r="D168" s="266"/>
      <c r="E168" s="266"/>
      <c r="F168" s="266"/>
      <c r="G168" s="266"/>
      <c r="H168" s="266"/>
      <c r="I168" s="266"/>
      <c r="J168" s="266"/>
      <c r="K168" s="244"/>
      <c r="L168" s="244"/>
      <c r="M168" s="244"/>
      <c r="N168" s="244"/>
      <c r="O168" s="244"/>
      <c r="P168" s="244"/>
      <c r="Q168" s="244"/>
      <c r="R168" s="244"/>
      <c r="S168" s="244"/>
      <c r="T168" s="244"/>
      <c r="U168" s="244"/>
      <c r="V168" s="244"/>
      <c r="W168" s="244"/>
      <c r="X168" s="244"/>
      <c r="Y168" s="244"/>
      <c r="Z168" s="244"/>
    </row>
    <row r="169" ht="11.25" customHeight="1">
      <c r="A169" s="244"/>
      <c r="B169" s="244"/>
      <c r="C169" s="266"/>
      <c r="D169" s="266"/>
      <c r="E169" s="266"/>
      <c r="F169" s="266"/>
      <c r="G169" s="266"/>
      <c r="H169" s="266"/>
      <c r="I169" s="266"/>
      <c r="J169" s="266"/>
      <c r="K169" s="244"/>
      <c r="L169" s="244"/>
      <c r="M169" s="244"/>
      <c r="N169" s="244"/>
      <c r="O169" s="244"/>
      <c r="P169" s="244"/>
      <c r="Q169" s="244"/>
      <c r="R169" s="244"/>
      <c r="S169" s="244"/>
      <c r="T169" s="244"/>
      <c r="U169" s="244"/>
      <c r="V169" s="244"/>
      <c r="W169" s="244"/>
      <c r="X169" s="244"/>
      <c r="Y169" s="244"/>
      <c r="Z169" s="244"/>
    </row>
    <row r="170" ht="11.25" customHeight="1">
      <c r="A170" s="244"/>
      <c r="B170" s="244"/>
      <c r="C170" s="266"/>
      <c r="D170" s="266"/>
      <c r="E170" s="266"/>
      <c r="F170" s="266"/>
      <c r="G170" s="266"/>
      <c r="H170" s="266"/>
      <c r="I170" s="266"/>
      <c r="J170" s="266"/>
      <c r="K170" s="244"/>
      <c r="L170" s="244"/>
      <c r="M170" s="244"/>
      <c r="N170" s="244"/>
      <c r="O170" s="244"/>
      <c r="P170" s="244"/>
      <c r="Q170" s="244"/>
      <c r="R170" s="244"/>
      <c r="S170" s="244"/>
      <c r="T170" s="244"/>
      <c r="U170" s="244"/>
      <c r="V170" s="244"/>
      <c r="W170" s="244"/>
      <c r="X170" s="244"/>
      <c r="Y170" s="244"/>
      <c r="Z170" s="244"/>
    </row>
    <row r="171" ht="11.25" customHeight="1">
      <c r="A171" s="244"/>
      <c r="B171" s="244"/>
      <c r="C171" s="266"/>
      <c r="D171" s="266"/>
      <c r="E171" s="266"/>
      <c r="F171" s="266"/>
      <c r="G171" s="266"/>
      <c r="H171" s="266"/>
      <c r="I171" s="266"/>
      <c r="J171" s="266"/>
      <c r="K171" s="244"/>
      <c r="L171" s="244"/>
      <c r="M171" s="244"/>
      <c r="N171" s="244"/>
      <c r="O171" s="244"/>
      <c r="P171" s="244"/>
      <c r="Q171" s="244"/>
      <c r="R171" s="244"/>
      <c r="S171" s="244"/>
      <c r="T171" s="244"/>
      <c r="U171" s="244"/>
      <c r="V171" s="244"/>
      <c r="W171" s="244"/>
      <c r="X171" s="244"/>
      <c r="Y171" s="244"/>
      <c r="Z171" s="244"/>
    </row>
    <row r="172" ht="11.25" customHeight="1">
      <c r="A172" s="244"/>
      <c r="B172" s="244"/>
      <c r="C172" s="266"/>
      <c r="D172" s="266"/>
      <c r="E172" s="266"/>
      <c r="F172" s="266"/>
      <c r="G172" s="266"/>
      <c r="H172" s="266"/>
      <c r="I172" s="266"/>
      <c r="J172" s="266"/>
      <c r="K172" s="244"/>
      <c r="L172" s="244"/>
      <c r="M172" s="244"/>
      <c r="N172" s="244"/>
      <c r="O172" s="244"/>
      <c r="P172" s="244"/>
      <c r="Q172" s="244"/>
      <c r="R172" s="244"/>
      <c r="S172" s="244"/>
      <c r="T172" s="244"/>
      <c r="U172" s="244"/>
      <c r="V172" s="244"/>
      <c r="W172" s="244"/>
      <c r="X172" s="244"/>
      <c r="Y172" s="244"/>
      <c r="Z172" s="244"/>
    </row>
    <row r="173" ht="11.25" customHeight="1">
      <c r="A173" s="244"/>
      <c r="B173" s="244"/>
      <c r="C173" s="266"/>
      <c r="D173" s="266"/>
      <c r="E173" s="266"/>
      <c r="F173" s="266"/>
      <c r="G173" s="266"/>
      <c r="H173" s="266"/>
      <c r="I173" s="266"/>
      <c r="J173" s="266"/>
      <c r="K173" s="244"/>
      <c r="L173" s="244"/>
      <c r="M173" s="244"/>
      <c r="N173" s="244"/>
      <c r="O173" s="244"/>
      <c r="P173" s="244"/>
      <c r="Q173" s="244"/>
      <c r="R173" s="244"/>
      <c r="S173" s="244"/>
      <c r="T173" s="244"/>
      <c r="U173" s="244"/>
      <c r="V173" s="244"/>
      <c r="W173" s="244"/>
      <c r="X173" s="244"/>
      <c r="Y173" s="244"/>
      <c r="Z173" s="244"/>
    </row>
    <row r="174" ht="11.25" customHeight="1">
      <c r="A174" s="244"/>
      <c r="B174" s="244"/>
      <c r="C174" s="266"/>
      <c r="D174" s="266"/>
      <c r="E174" s="266"/>
      <c r="F174" s="266"/>
      <c r="G174" s="266"/>
      <c r="H174" s="266"/>
      <c r="I174" s="266"/>
      <c r="J174" s="266"/>
      <c r="K174" s="244"/>
      <c r="L174" s="244"/>
      <c r="M174" s="244"/>
      <c r="N174" s="244"/>
      <c r="O174" s="244"/>
      <c r="P174" s="244"/>
      <c r="Q174" s="244"/>
      <c r="R174" s="244"/>
      <c r="S174" s="244"/>
      <c r="T174" s="244"/>
      <c r="U174" s="244"/>
      <c r="V174" s="244"/>
      <c r="W174" s="244"/>
      <c r="X174" s="244"/>
      <c r="Y174" s="244"/>
      <c r="Z174" s="244"/>
    </row>
    <row r="175" ht="11.25" customHeight="1">
      <c r="A175" s="244"/>
      <c r="B175" s="244"/>
      <c r="C175" s="266"/>
      <c r="D175" s="266"/>
      <c r="E175" s="266"/>
      <c r="F175" s="266"/>
      <c r="G175" s="266"/>
      <c r="H175" s="266"/>
      <c r="I175" s="266"/>
      <c r="J175" s="266"/>
      <c r="K175" s="244"/>
      <c r="L175" s="244"/>
      <c r="M175" s="244"/>
      <c r="N175" s="244"/>
      <c r="O175" s="244"/>
      <c r="P175" s="244"/>
      <c r="Q175" s="244"/>
      <c r="R175" s="244"/>
      <c r="S175" s="244"/>
      <c r="T175" s="244"/>
      <c r="U175" s="244"/>
      <c r="V175" s="244"/>
      <c r="W175" s="244"/>
      <c r="X175" s="244"/>
      <c r="Y175" s="244"/>
      <c r="Z175" s="244"/>
    </row>
    <row r="176" ht="11.25" customHeight="1">
      <c r="A176" s="244"/>
      <c r="B176" s="244"/>
      <c r="C176" s="266"/>
      <c r="D176" s="266"/>
      <c r="E176" s="266"/>
      <c r="F176" s="266"/>
      <c r="G176" s="266"/>
      <c r="H176" s="266"/>
      <c r="I176" s="266"/>
      <c r="J176" s="266"/>
      <c r="K176" s="244"/>
      <c r="L176" s="244"/>
      <c r="M176" s="244"/>
      <c r="N176" s="244"/>
      <c r="O176" s="244"/>
      <c r="P176" s="244"/>
      <c r="Q176" s="244"/>
      <c r="R176" s="244"/>
      <c r="S176" s="244"/>
      <c r="T176" s="244"/>
      <c r="U176" s="244"/>
      <c r="V176" s="244"/>
      <c r="W176" s="244"/>
      <c r="X176" s="244"/>
      <c r="Y176" s="244"/>
      <c r="Z176" s="244"/>
    </row>
    <row r="177" ht="11.25" customHeight="1">
      <c r="A177" s="244"/>
      <c r="B177" s="244"/>
      <c r="C177" s="266"/>
      <c r="D177" s="266"/>
      <c r="E177" s="266"/>
      <c r="F177" s="266"/>
      <c r="G177" s="266"/>
      <c r="H177" s="266"/>
      <c r="I177" s="266"/>
      <c r="J177" s="266"/>
      <c r="K177" s="244"/>
      <c r="L177" s="244"/>
      <c r="M177" s="244"/>
      <c r="N177" s="244"/>
      <c r="O177" s="244"/>
      <c r="P177" s="244"/>
      <c r="Q177" s="244"/>
      <c r="R177" s="244"/>
      <c r="S177" s="244"/>
      <c r="T177" s="244"/>
      <c r="U177" s="244"/>
      <c r="V177" s="244"/>
      <c r="W177" s="244"/>
      <c r="X177" s="244"/>
      <c r="Y177" s="244"/>
      <c r="Z177" s="244"/>
    </row>
    <row r="178" ht="11.25" customHeight="1">
      <c r="A178" s="244"/>
      <c r="B178" s="244"/>
      <c r="C178" s="266"/>
      <c r="D178" s="266"/>
      <c r="E178" s="266"/>
      <c r="F178" s="266"/>
      <c r="G178" s="266"/>
      <c r="H178" s="266"/>
      <c r="I178" s="266"/>
      <c r="J178" s="266"/>
      <c r="K178" s="244"/>
      <c r="L178" s="244"/>
      <c r="M178" s="244"/>
      <c r="N178" s="244"/>
      <c r="O178" s="244"/>
      <c r="P178" s="244"/>
      <c r="Q178" s="244"/>
      <c r="R178" s="244"/>
      <c r="S178" s="244"/>
      <c r="T178" s="244"/>
      <c r="U178" s="244"/>
      <c r="V178" s="244"/>
      <c r="W178" s="244"/>
      <c r="X178" s="244"/>
      <c r="Y178" s="244"/>
      <c r="Z178" s="244"/>
    </row>
    <row r="179" ht="11.25" customHeight="1">
      <c r="A179" s="244"/>
      <c r="B179" s="244"/>
      <c r="C179" s="266"/>
      <c r="D179" s="266"/>
      <c r="E179" s="266"/>
      <c r="F179" s="266"/>
      <c r="G179" s="266"/>
      <c r="H179" s="266"/>
      <c r="I179" s="266"/>
      <c r="J179" s="266"/>
      <c r="K179" s="244"/>
      <c r="L179" s="244"/>
      <c r="M179" s="244"/>
      <c r="N179" s="244"/>
      <c r="O179" s="244"/>
      <c r="P179" s="244"/>
      <c r="Q179" s="244"/>
      <c r="R179" s="244"/>
      <c r="S179" s="244"/>
      <c r="T179" s="244"/>
      <c r="U179" s="244"/>
      <c r="V179" s="244"/>
      <c r="W179" s="244"/>
      <c r="X179" s="244"/>
      <c r="Y179" s="244"/>
      <c r="Z179" s="244"/>
    </row>
    <row r="180" ht="11.25" customHeight="1">
      <c r="A180" s="244"/>
      <c r="B180" s="244"/>
      <c r="C180" s="266"/>
      <c r="D180" s="266"/>
      <c r="E180" s="266"/>
      <c r="F180" s="266"/>
      <c r="G180" s="266"/>
      <c r="H180" s="266"/>
      <c r="I180" s="266"/>
      <c r="J180" s="266"/>
      <c r="K180" s="244"/>
      <c r="L180" s="244"/>
      <c r="M180" s="244"/>
      <c r="N180" s="244"/>
      <c r="O180" s="244"/>
      <c r="P180" s="244"/>
      <c r="Q180" s="244"/>
      <c r="R180" s="244"/>
      <c r="S180" s="244"/>
      <c r="T180" s="244"/>
      <c r="U180" s="244"/>
      <c r="V180" s="244"/>
      <c r="W180" s="244"/>
      <c r="X180" s="244"/>
      <c r="Y180" s="244"/>
      <c r="Z180" s="244"/>
    </row>
    <row r="181" ht="11.25" customHeight="1">
      <c r="A181" s="244"/>
      <c r="B181" s="244"/>
      <c r="C181" s="266"/>
      <c r="D181" s="266"/>
      <c r="E181" s="266"/>
      <c r="F181" s="266"/>
      <c r="G181" s="266"/>
      <c r="H181" s="266"/>
      <c r="I181" s="266"/>
      <c r="J181" s="266"/>
      <c r="K181" s="244"/>
      <c r="L181" s="244"/>
      <c r="M181" s="244"/>
      <c r="N181" s="244"/>
      <c r="O181" s="244"/>
      <c r="P181" s="244"/>
      <c r="Q181" s="244"/>
      <c r="R181" s="244"/>
      <c r="S181" s="244"/>
      <c r="T181" s="244"/>
      <c r="U181" s="244"/>
      <c r="V181" s="244"/>
      <c r="W181" s="244"/>
      <c r="X181" s="244"/>
      <c r="Y181" s="244"/>
      <c r="Z181" s="244"/>
    </row>
    <row r="182" ht="11.25" customHeight="1">
      <c r="A182" s="244"/>
      <c r="B182" s="244"/>
      <c r="C182" s="266"/>
      <c r="D182" s="266"/>
      <c r="E182" s="266"/>
      <c r="F182" s="266"/>
      <c r="G182" s="266"/>
      <c r="H182" s="266"/>
      <c r="I182" s="266"/>
      <c r="J182" s="266"/>
      <c r="K182" s="244"/>
      <c r="L182" s="244"/>
      <c r="M182" s="244"/>
      <c r="N182" s="244"/>
      <c r="O182" s="244"/>
      <c r="P182" s="244"/>
      <c r="Q182" s="244"/>
      <c r="R182" s="244"/>
      <c r="S182" s="244"/>
      <c r="T182" s="244"/>
      <c r="U182" s="244"/>
      <c r="V182" s="244"/>
      <c r="W182" s="244"/>
      <c r="X182" s="244"/>
      <c r="Y182" s="244"/>
      <c r="Z182" s="244"/>
    </row>
    <row r="183" ht="11.25" customHeight="1">
      <c r="A183" s="244"/>
      <c r="B183" s="244"/>
      <c r="C183" s="266"/>
      <c r="D183" s="266"/>
      <c r="E183" s="266"/>
      <c r="F183" s="266"/>
      <c r="G183" s="266"/>
      <c r="H183" s="266"/>
      <c r="I183" s="266"/>
      <c r="J183" s="266"/>
      <c r="K183" s="244"/>
      <c r="L183" s="244"/>
      <c r="M183" s="244"/>
      <c r="N183" s="244"/>
      <c r="O183" s="244"/>
      <c r="P183" s="244"/>
      <c r="Q183" s="244"/>
      <c r="R183" s="244"/>
      <c r="S183" s="244"/>
      <c r="T183" s="244"/>
      <c r="U183" s="244"/>
      <c r="V183" s="244"/>
      <c r="W183" s="244"/>
      <c r="X183" s="244"/>
      <c r="Y183" s="244"/>
      <c r="Z183" s="244"/>
    </row>
    <row r="184" ht="11.25" customHeight="1">
      <c r="A184" s="244"/>
      <c r="B184" s="244"/>
      <c r="C184" s="266"/>
      <c r="D184" s="266"/>
      <c r="E184" s="266"/>
      <c r="F184" s="266"/>
      <c r="G184" s="266"/>
      <c r="H184" s="266"/>
      <c r="I184" s="266"/>
      <c r="J184" s="266"/>
      <c r="K184" s="244"/>
      <c r="L184" s="244"/>
      <c r="M184" s="244"/>
      <c r="N184" s="244"/>
      <c r="O184" s="244"/>
      <c r="P184" s="244"/>
      <c r="Q184" s="244"/>
      <c r="R184" s="244"/>
      <c r="S184" s="244"/>
      <c r="T184" s="244"/>
      <c r="U184" s="244"/>
      <c r="V184" s="244"/>
      <c r="W184" s="244"/>
      <c r="X184" s="244"/>
      <c r="Y184" s="244"/>
      <c r="Z184" s="244"/>
    </row>
    <row r="185" ht="11.25" customHeight="1">
      <c r="A185" s="244"/>
      <c r="B185" s="244"/>
      <c r="C185" s="266"/>
      <c r="D185" s="266"/>
      <c r="E185" s="266"/>
      <c r="F185" s="266"/>
      <c r="G185" s="266"/>
      <c r="H185" s="266"/>
      <c r="I185" s="266"/>
      <c r="J185" s="266"/>
      <c r="K185" s="244"/>
      <c r="L185" s="244"/>
      <c r="M185" s="244"/>
      <c r="N185" s="244"/>
      <c r="O185" s="244"/>
      <c r="P185" s="244"/>
      <c r="Q185" s="244"/>
      <c r="R185" s="244"/>
      <c r="S185" s="244"/>
      <c r="T185" s="244"/>
      <c r="U185" s="244"/>
      <c r="V185" s="244"/>
      <c r="W185" s="244"/>
      <c r="X185" s="244"/>
      <c r="Y185" s="244"/>
      <c r="Z185" s="244"/>
    </row>
    <row r="186" ht="11.25" customHeight="1">
      <c r="A186" s="244"/>
      <c r="B186" s="244"/>
      <c r="C186" s="266"/>
      <c r="D186" s="266"/>
      <c r="E186" s="266"/>
      <c r="F186" s="266"/>
      <c r="G186" s="266"/>
      <c r="H186" s="266"/>
      <c r="I186" s="266"/>
      <c r="J186" s="266"/>
      <c r="K186" s="244"/>
      <c r="L186" s="244"/>
      <c r="M186" s="244"/>
      <c r="N186" s="244"/>
      <c r="O186" s="244"/>
      <c r="P186" s="244"/>
      <c r="Q186" s="244"/>
      <c r="R186" s="244"/>
      <c r="S186" s="244"/>
      <c r="T186" s="244"/>
      <c r="U186" s="244"/>
      <c r="V186" s="244"/>
      <c r="W186" s="244"/>
      <c r="X186" s="244"/>
      <c r="Y186" s="244"/>
      <c r="Z186" s="244"/>
    </row>
    <row r="187" ht="11.25" customHeight="1">
      <c r="A187" s="244"/>
      <c r="B187" s="244"/>
      <c r="C187" s="266"/>
      <c r="D187" s="266"/>
      <c r="E187" s="266"/>
      <c r="F187" s="266"/>
      <c r="G187" s="266"/>
      <c r="H187" s="266"/>
      <c r="I187" s="266"/>
      <c r="J187" s="266"/>
      <c r="K187" s="244"/>
      <c r="L187" s="244"/>
      <c r="M187" s="244"/>
      <c r="N187" s="244"/>
      <c r="O187" s="244"/>
      <c r="P187" s="244"/>
      <c r="Q187" s="244"/>
      <c r="R187" s="244"/>
      <c r="S187" s="244"/>
      <c r="T187" s="244"/>
      <c r="U187" s="244"/>
      <c r="V187" s="244"/>
      <c r="W187" s="244"/>
      <c r="X187" s="244"/>
      <c r="Y187" s="244"/>
      <c r="Z187" s="244"/>
    </row>
    <row r="188" ht="11.25" customHeight="1">
      <c r="A188" s="244"/>
      <c r="B188" s="244"/>
      <c r="C188" s="266"/>
      <c r="D188" s="266"/>
      <c r="E188" s="266"/>
      <c r="F188" s="266"/>
      <c r="G188" s="266"/>
      <c r="H188" s="266"/>
      <c r="I188" s="266"/>
      <c r="J188" s="266"/>
      <c r="K188" s="244"/>
      <c r="L188" s="244"/>
      <c r="M188" s="244"/>
      <c r="N188" s="244"/>
      <c r="O188" s="244"/>
      <c r="P188" s="244"/>
      <c r="Q188" s="244"/>
      <c r="R188" s="244"/>
      <c r="S188" s="244"/>
      <c r="T188" s="244"/>
      <c r="U188" s="244"/>
      <c r="V188" s="244"/>
      <c r="W188" s="244"/>
      <c r="X188" s="244"/>
      <c r="Y188" s="244"/>
      <c r="Z188" s="244"/>
    </row>
    <row r="189" ht="11.25" customHeight="1">
      <c r="A189" s="244"/>
      <c r="B189" s="244"/>
      <c r="C189" s="266"/>
      <c r="D189" s="266"/>
      <c r="E189" s="266"/>
      <c r="F189" s="266"/>
      <c r="G189" s="266"/>
      <c r="H189" s="266"/>
      <c r="I189" s="266"/>
      <c r="J189" s="266"/>
      <c r="K189" s="244"/>
      <c r="L189" s="244"/>
      <c r="M189" s="244"/>
      <c r="N189" s="244"/>
      <c r="O189" s="244"/>
      <c r="P189" s="244"/>
      <c r="Q189" s="244"/>
      <c r="R189" s="244"/>
      <c r="S189" s="244"/>
      <c r="T189" s="244"/>
      <c r="U189" s="244"/>
      <c r="V189" s="244"/>
      <c r="W189" s="244"/>
      <c r="X189" s="244"/>
      <c r="Y189" s="244"/>
      <c r="Z189" s="244"/>
    </row>
    <row r="190" ht="11.25" customHeight="1">
      <c r="A190" s="244"/>
      <c r="B190" s="244"/>
      <c r="C190" s="266"/>
      <c r="D190" s="266"/>
      <c r="E190" s="266"/>
      <c r="F190" s="266"/>
      <c r="G190" s="266"/>
      <c r="H190" s="266"/>
      <c r="I190" s="266"/>
      <c r="J190" s="266"/>
      <c r="K190" s="244"/>
      <c r="L190" s="244"/>
      <c r="M190" s="244"/>
      <c r="N190" s="244"/>
      <c r="O190" s="244"/>
      <c r="P190" s="244"/>
      <c r="Q190" s="244"/>
      <c r="R190" s="244"/>
      <c r="S190" s="244"/>
      <c r="T190" s="244"/>
      <c r="U190" s="244"/>
      <c r="V190" s="244"/>
      <c r="W190" s="244"/>
      <c r="X190" s="244"/>
      <c r="Y190" s="244"/>
      <c r="Z190" s="244"/>
    </row>
    <row r="191" ht="11.25" customHeight="1">
      <c r="A191" s="244"/>
      <c r="B191" s="244"/>
      <c r="C191" s="266"/>
      <c r="D191" s="266"/>
      <c r="E191" s="266"/>
      <c r="F191" s="266"/>
      <c r="G191" s="266"/>
      <c r="H191" s="266"/>
      <c r="I191" s="266"/>
      <c r="J191" s="266"/>
      <c r="K191" s="244"/>
      <c r="L191" s="244"/>
      <c r="M191" s="244"/>
      <c r="N191" s="244"/>
      <c r="O191" s="244"/>
      <c r="P191" s="244"/>
      <c r="Q191" s="244"/>
      <c r="R191" s="244"/>
      <c r="S191" s="244"/>
      <c r="T191" s="244"/>
      <c r="U191" s="244"/>
      <c r="V191" s="244"/>
      <c r="W191" s="244"/>
      <c r="X191" s="244"/>
      <c r="Y191" s="244"/>
      <c r="Z191" s="244"/>
    </row>
    <row r="192" ht="11.25" customHeight="1">
      <c r="A192" s="244"/>
      <c r="B192" s="244"/>
      <c r="C192" s="266"/>
      <c r="D192" s="266"/>
      <c r="E192" s="266"/>
      <c r="F192" s="266"/>
      <c r="G192" s="266"/>
      <c r="H192" s="266"/>
      <c r="I192" s="266"/>
      <c r="J192" s="266"/>
      <c r="K192" s="244"/>
      <c r="L192" s="244"/>
      <c r="M192" s="244"/>
      <c r="N192" s="244"/>
      <c r="O192" s="244"/>
      <c r="P192" s="244"/>
      <c r="Q192" s="244"/>
      <c r="R192" s="244"/>
      <c r="S192" s="244"/>
      <c r="T192" s="244"/>
      <c r="U192" s="244"/>
      <c r="V192" s="244"/>
      <c r="W192" s="244"/>
      <c r="X192" s="244"/>
      <c r="Y192" s="244"/>
      <c r="Z192" s="244"/>
    </row>
    <row r="193" ht="11.25" customHeight="1">
      <c r="A193" s="244"/>
      <c r="B193" s="244"/>
      <c r="C193" s="266"/>
      <c r="D193" s="266"/>
      <c r="E193" s="266"/>
      <c r="F193" s="266"/>
      <c r="G193" s="266"/>
      <c r="H193" s="266"/>
      <c r="I193" s="266"/>
      <c r="J193" s="266"/>
      <c r="K193" s="244"/>
      <c r="L193" s="244"/>
      <c r="M193" s="244"/>
      <c r="N193" s="244"/>
      <c r="O193" s="244"/>
      <c r="P193" s="244"/>
      <c r="Q193" s="244"/>
      <c r="R193" s="244"/>
      <c r="S193" s="244"/>
      <c r="T193" s="244"/>
      <c r="U193" s="244"/>
      <c r="V193" s="244"/>
      <c r="W193" s="244"/>
      <c r="X193" s="244"/>
      <c r="Y193" s="244"/>
      <c r="Z193" s="244"/>
    </row>
    <row r="194" ht="11.25" customHeight="1">
      <c r="A194" s="244"/>
      <c r="B194" s="244"/>
      <c r="C194" s="266"/>
      <c r="D194" s="266"/>
      <c r="E194" s="266"/>
      <c r="F194" s="266"/>
      <c r="G194" s="266"/>
      <c r="H194" s="266"/>
      <c r="I194" s="266"/>
      <c r="J194" s="266"/>
      <c r="K194" s="244"/>
      <c r="L194" s="244"/>
      <c r="M194" s="244"/>
      <c r="N194" s="244"/>
      <c r="O194" s="244"/>
      <c r="P194" s="244"/>
      <c r="Q194" s="244"/>
      <c r="R194" s="244"/>
      <c r="S194" s="244"/>
      <c r="T194" s="244"/>
      <c r="U194" s="244"/>
      <c r="V194" s="244"/>
      <c r="W194" s="244"/>
      <c r="X194" s="244"/>
      <c r="Y194" s="244"/>
      <c r="Z194" s="244"/>
    </row>
    <row r="195" ht="11.25" customHeight="1">
      <c r="A195" s="244"/>
      <c r="B195" s="244"/>
      <c r="C195" s="266"/>
      <c r="D195" s="266"/>
      <c r="E195" s="266"/>
      <c r="F195" s="266"/>
      <c r="G195" s="266"/>
      <c r="H195" s="266"/>
      <c r="I195" s="266"/>
      <c r="J195" s="266"/>
      <c r="K195" s="244"/>
      <c r="L195" s="244"/>
      <c r="M195" s="244"/>
      <c r="N195" s="244"/>
      <c r="O195" s="244"/>
      <c r="P195" s="244"/>
      <c r="Q195" s="244"/>
      <c r="R195" s="244"/>
      <c r="S195" s="244"/>
      <c r="T195" s="244"/>
      <c r="U195" s="244"/>
      <c r="V195" s="244"/>
      <c r="W195" s="244"/>
      <c r="X195" s="244"/>
      <c r="Y195" s="244"/>
      <c r="Z195" s="244"/>
    </row>
    <row r="196" ht="11.25" customHeight="1">
      <c r="A196" s="244"/>
      <c r="B196" s="244"/>
      <c r="C196" s="266"/>
      <c r="D196" s="266"/>
      <c r="E196" s="266"/>
      <c r="F196" s="266"/>
      <c r="G196" s="266"/>
      <c r="H196" s="266"/>
      <c r="I196" s="266"/>
      <c r="J196" s="266"/>
      <c r="K196" s="244"/>
      <c r="L196" s="244"/>
      <c r="M196" s="244"/>
      <c r="N196" s="244"/>
      <c r="O196" s="244"/>
      <c r="P196" s="244"/>
      <c r="Q196" s="244"/>
      <c r="R196" s="244"/>
      <c r="S196" s="244"/>
      <c r="T196" s="244"/>
      <c r="U196" s="244"/>
      <c r="V196" s="244"/>
      <c r="W196" s="244"/>
      <c r="X196" s="244"/>
      <c r="Y196" s="244"/>
      <c r="Z196" s="244"/>
    </row>
    <row r="197" ht="11.25" customHeight="1">
      <c r="A197" s="244"/>
      <c r="B197" s="244"/>
      <c r="C197" s="266"/>
      <c r="D197" s="266"/>
      <c r="E197" s="266"/>
      <c r="F197" s="266"/>
      <c r="G197" s="266"/>
      <c r="H197" s="266"/>
      <c r="I197" s="266"/>
      <c r="J197" s="266"/>
      <c r="K197" s="244"/>
      <c r="L197" s="244"/>
      <c r="M197" s="244"/>
      <c r="N197" s="244"/>
      <c r="O197" s="244"/>
      <c r="P197" s="244"/>
      <c r="Q197" s="244"/>
      <c r="R197" s="244"/>
      <c r="S197" s="244"/>
      <c r="T197" s="244"/>
      <c r="U197" s="244"/>
      <c r="V197" s="244"/>
      <c r="W197" s="244"/>
      <c r="X197" s="244"/>
      <c r="Y197" s="244"/>
      <c r="Z197" s="244"/>
    </row>
    <row r="198" ht="11.25" customHeight="1">
      <c r="A198" s="244"/>
      <c r="B198" s="244"/>
      <c r="C198" s="266"/>
      <c r="D198" s="266"/>
      <c r="E198" s="266"/>
      <c r="F198" s="266"/>
      <c r="G198" s="266"/>
      <c r="H198" s="266"/>
      <c r="I198" s="266"/>
      <c r="J198" s="266"/>
      <c r="K198" s="244"/>
      <c r="L198" s="244"/>
      <c r="M198" s="244"/>
      <c r="N198" s="244"/>
      <c r="O198" s="244"/>
      <c r="P198" s="244"/>
      <c r="Q198" s="244"/>
      <c r="R198" s="244"/>
      <c r="S198" s="244"/>
      <c r="T198" s="244"/>
      <c r="U198" s="244"/>
      <c r="V198" s="244"/>
      <c r="W198" s="244"/>
      <c r="X198" s="244"/>
      <c r="Y198" s="244"/>
      <c r="Z198" s="244"/>
    </row>
    <row r="199" ht="11.25" customHeight="1">
      <c r="A199" s="244"/>
      <c r="B199" s="244"/>
      <c r="C199" s="266"/>
      <c r="D199" s="266"/>
      <c r="E199" s="266"/>
      <c r="F199" s="266"/>
      <c r="G199" s="266"/>
      <c r="H199" s="266"/>
      <c r="I199" s="266"/>
      <c r="J199" s="266"/>
      <c r="K199" s="244"/>
      <c r="L199" s="244"/>
      <c r="M199" s="244"/>
      <c r="N199" s="244"/>
      <c r="O199" s="244"/>
      <c r="P199" s="244"/>
      <c r="Q199" s="244"/>
      <c r="R199" s="244"/>
      <c r="S199" s="244"/>
      <c r="T199" s="244"/>
      <c r="U199" s="244"/>
      <c r="V199" s="244"/>
      <c r="W199" s="244"/>
      <c r="X199" s="244"/>
      <c r="Y199" s="244"/>
      <c r="Z199" s="244"/>
    </row>
    <row r="200" ht="11.25" customHeight="1">
      <c r="A200" s="244"/>
      <c r="B200" s="244"/>
      <c r="C200" s="266"/>
      <c r="D200" s="266"/>
      <c r="E200" s="266"/>
      <c r="F200" s="266"/>
      <c r="G200" s="266"/>
      <c r="H200" s="266"/>
      <c r="I200" s="266"/>
      <c r="J200" s="266"/>
      <c r="K200" s="244"/>
      <c r="L200" s="244"/>
      <c r="M200" s="244"/>
      <c r="N200" s="244"/>
      <c r="O200" s="244"/>
      <c r="P200" s="244"/>
      <c r="Q200" s="244"/>
      <c r="R200" s="244"/>
      <c r="S200" s="244"/>
      <c r="T200" s="244"/>
      <c r="U200" s="244"/>
      <c r="V200" s="244"/>
      <c r="W200" s="244"/>
      <c r="X200" s="244"/>
      <c r="Y200" s="244"/>
      <c r="Z200" s="244"/>
    </row>
    <row r="201" ht="11.25" customHeight="1">
      <c r="A201" s="244"/>
      <c r="B201" s="244"/>
      <c r="C201" s="266"/>
      <c r="D201" s="266"/>
      <c r="E201" s="266"/>
      <c r="F201" s="266"/>
      <c r="G201" s="266"/>
      <c r="H201" s="266"/>
      <c r="I201" s="266"/>
      <c r="J201" s="266"/>
      <c r="K201" s="244"/>
      <c r="L201" s="244"/>
      <c r="M201" s="244"/>
      <c r="N201" s="244"/>
      <c r="O201" s="244"/>
      <c r="P201" s="244"/>
      <c r="Q201" s="244"/>
      <c r="R201" s="244"/>
      <c r="S201" s="244"/>
      <c r="T201" s="244"/>
      <c r="U201" s="244"/>
      <c r="V201" s="244"/>
      <c r="W201" s="244"/>
      <c r="X201" s="244"/>
      <c r="Y201" s="244"/>
      <c r="Z201" s="244"/>
    </row>
    <row r="202" ht="11.25" customHeight="1">
      <c r="A202" s="244"/>
      <c r="B202" s="244"/>
      <c r="C202" s="266"/>
      <c r="D202" s="266"/>
      <c r="E202" s="266"/>
      <c r="F202" s="266"/>
      <c r="G202" s="266"/>
      <c r="H202" s="266"/>
      <c r="I202" s="266"/>
      <c r="J202" s="266"/>
      <c r="K202" s="244"/>
      <c r="L202" s="244"/>
      <c r="M202" s="244"/>
      <c r="N202" s="244"/>
      <c r="O202" s="244"/>
      <c r="P202" s="244"/>
      <c r="Q202" s="244"/>
      <c r="R202" s="244"/>
      <c r="S202" s="244"/>
      <c r="T202" s="244"/>
      <c r="U202" s="244"/>
      <c r="V202" s="244"/>
      <c r="W202" s="244"/>
      <c r="X202" s="244"/>
      <c r="Y202" s="244"/>
      <c r="Z202" s="244"/>
    </row>
    <row r="203" ht="11.25" customHeight="1">
      <c r="A203" s="244"/>
      <c r="B203" s="244"/>
      <c r="C203" s="266"/>
      <c r="D203" s="266"/>
      <c r="E203" s="266"/>
      <c r="F203" s="266"/>
      <c r="G203" s="266"/>
      <c r="H203" s="266"/>
      <c r="I203" s="266"/>
      <c r="J203" s="266"/>
      <c r="K203" s="244"/>
      <c r="L203" s="244"/>
      <c r="M203" s="244"/>
      <c r="N203" s="244"/>
      <c r="O203" s="244"/>
      <c r="P203" s="244"/>
      <c r="Q203" s="244"/>
      <c r="R203" s="244"/>
      <c r="S203" s="244"/>
      <c r="T203" s="244"/>
      <c r="U203" s="244"/>
      <c r="V203" s="244"/>
      <c r="W203" s="244"/>
      <c r="X203" s="244"/>
      <c r="Y203" s="244"/>
      <c r="Z203" s="244"/>
    </row>
    <row r="204" ht="11.25" customHeight="1">
      <c r="A204" s="244"/>
      <c r="B204" s="244"/>
      <c r="C204" s="266"/>
      <c r="D204" s="266"/>
      <c r="E204" s="266"/>
      <c r="F204" s="266"/>
      <c r="G204" s="266"/>
      <c r="H204" s="266"/>
      <c r="I204" s="266"/>
      <c r="J204" s="266"/>
      <c r="K204" s="244"/>
      <c r="L204" s="244"/>
      <c r="M204" s="244"/>
      <c r="N204" s="244"/>
      <c r="O204" s="244"/>
      <c r="P204" s="244"/>
      <c r="Q204" s="244"/>
      <c r="R204" s="244"/>
      <c r="S204" s="244"/>
      <c r="T204" s="244"/>
      <c r="U204" s="244"/>
      <c r="V204" s="244"/>
      <c r="W204" s="244"/>
      <c r="X204" s="244"/>
      <c r="Y204" s="244"/>
      <c r="Z204" s="244"/>
    </row>
    <row r="205" ht="11.25" customHeight="1">
      <c r="A205" s="244"/>
      <c r="B205" s="244"/>
      <c r="C205" s="266"/>
      <c r="D205" s="266"/>
      <c r="E205" s="266"/>
      <c r="F205" s="266"/>
      <c r="G205" s="266"/>
      <c r="H205" s="266"/>
      <c r="I205" s="266"/>
      <c r="J205" s="266"/>
      <c r="K205" s="244"/>
      <c r="L205" s="244"/>
      <c r="M205" s="244"/>
      <c r="N205" s="244"/>
      <c r="O205" s="244"/>
      <c r="P205" s="244"/>
      <c r="Q205" s="244"/>
      <c r="R205" s="244"/>
      <c r="S205" s="244"/>
      <c r="T205" s="244"/>
      <c r="U205" s="244"/>
      <c r="V205" s="244"/>
      <c r="W205" s="244"/>
      <c r="X205" s="244"/>
      <c r="Y205" s="244"/>
      <c r="Z205" s="244"/>
    </row>
    <row r="206" ht="11.25" customHeight="1">
      <c r="A206" s="244"/>
      <c r="B206" s="244"/>
      <c r="C206" s="266"/>
      <c r="D206" s="266"/>
      <c r="E206" s="266"/>
      <c r="F206" s="266"/>
      <c r="G206" s="266"/>
      <c r="H206" s="266"/>
      <c r="I206" s="266"/>
      <c r="J206" s="266"/>
      <c r="K206" s="244"/>
      <c r="L206" s="244"/>
      <c r="M206" s="244"/>
      <c r="N206" s="244"/>
      <c r="O206" s="244"/>
      <c r="P206" s="244"/>
      <c r="Q206" s="244"/>
      <c r="R206" s="244"/>
      <c r="S206" s="244"/>
      <c r="T206" s="244"/>
      <c r="U206" s="244"/>
      <c r="V206" s="244"/>
      <c r="W206" s="244"/>
      <c r="X206" s="244"/>
      <c r="Y206" s="244"/>
      <c r="Z206" s="244"/>
    </row>
    <row r="207" ht="11.25" customHeight="1">
      <c r="A207" s="244"/>
      <c r="B207" s="244"/>
      <c r="C207" s="266"/>
      <c r="D207" s="266"/>
      <c r="E207" s="266"/>
      <c r="F207" s="266"/>
      <c r="G207" s="266"/>
      <c r="H207" s="266"/>
      <c r="I207" s="266"/>
      <c r="J207" s="266"/>
      <c r="K207" s="244"/>
      <c r="L207" s="244"/>
      <c r="M207" s="244"/>
      <c r="N207" s="244"/>
      <c r="O207" s="244"/>
      <c r="P207" s="244"/>
      <c r="Q207" s="244"/>
      <c r="R207" s="244"/>
      <c r="S207" s="244"/>
      <c r="T207" s="244"/>
      <c r="U207" s="244"/>
      <c r="V207" s="244"/>
      <c r="W207" s="244"/>
      <c r="X207" s="244"/>
      <c r="Y207" s="244"/>
      <c r="Z207" s="244"/>
    </row>
    <row r="208" ht="11.25" customHeight="1">
      <c r="A208" s="244"/>
      <c r="B208" s="244"/>
      <c r="C208" s="266"/>
      <c r="D208" s="266"/>
      <c r="E208" s="266"/>
      <c r="F208" s="266"/>
      <c r="G208" s="266"/>
      <c r="H208" s="266"/>
      <c r="I208" s="266"/>
      <c r="J208" s="266"/>
      <c r="K208" s="244"/>
      <c r="L208" s="244"/>
      <c r="M208" s="244"/>
      <c r="N208" s="244"/>
      <c r="O208" s="244"/>
      <c r="P208" s="244"/>
      <c r="Q208" s="244"/>
      <c r="R208" s="244"/>
      <c r="S208" s="244"/>
      <c r="T208" s="244"/>
      <c r="U208" s="244"/>
      <c r="V208" s="244"/>
      <c r="W208" s="244"/>
      <c r="X208" s="244"/>
      <c r="Y208" s="244"/>
      <c r="Z208" s="244"/>
    </row>
    <row r="209" ht="11.25" customHeight="1">
      <c r="A209" s="244"/>
      <c r="B209" s="244"/>
      <c r="C209" s="266"/>
      <c r="D209" s="266"/>
      <c r="E209" s="266"/>
      <c r="F209" s="266"/>
      <c r="G209" s="266"/>
      <c r="H209" s="266"/>
      <c r="I209" s="266"/>
      <c r="J209" s="266"/>
      <c r="K209" s="244"/>
      <c r="L209" s="244"/>
      <c r="M209" s="244"/>
      <c r="N209" s="244"/>
      <c r="O209" s="244"/>
      <c r="P209" s="244"/>
      <c r="Q209" s="244"/>
      <c r="R209" s="244"/>
      <c r="S209" s="244"/>
      <c r="T209" s="244"/>
      <c r="U209" s="244"/>
      <c r="V209" s="244"/>
      <c r="W209" s="244"/>
      <c r="X209" s="244"/>
      <c r="Y209" s="244"/>
      <c r="Z209" s="244"/>
    </row>
    <row r="210" ht="11.25" customHeight="1">
      <c r="A210" s="244"/>
      <c r="B210" s="244"/>
      <c r="C210" s="266"/>
      <c r="D210" s="266"/>
      <c r="E210" s="266"/>
      <c r="F210" s="266"/>
      <c r="G210" s="266"/>
      <c r="H210" s="266"/>
      <c r="I210" s="266"/>
      <c r="J210" s="266"/>
      <c r="K210" s="244"/>
      <c r="L210" s="244"/>
      <c r="M210" s="244"/>
      <c r="N210" s="244"/>
      <c r="O210" s="244"/>
      <c r="P210" s="244"/>
      <c r="Q210" s="244"/>
      <c r="R210" s="244"/>
      <c r="S210" s="244"/>
      <c r="T210" s="244"/>
      <c r="U210" s="244"/>
      <c r="V210" s="244"/>
      <c r="W210" s="244"/>
      <c r="X210" s="244"/>
      <c r="Y210" s="244"/>
      <c r="Z210" s="244"/>
    </row>
    <row r="211" ht="11.25" customHeight="1">
      <c r="A211" s="244"/>
      <c r="B211" s="244"/>
      <c r="C211" s="266"/>
      <c r="D211" s="266"/>
      <c r="E211" s="266"/>
      <c r="F211" s="266"/>
      <c r="G211" s="266"/>
      <c r="H211" s="266"/>
      <c r="I211" s="266"/>
      <c r="J211" s="266"/>
      <c r="K211" s="244"/>
      <c r="L211" s="244"/>
      <c r="M211" s="244"/>
      <c r="N211" s="244"/>
      <c r="O211" s="244"/>
      <c r="P211" s="244"/>
      <c r="Q211" s="244"/>
      <c r="R211" s="244"/>
      <c r="S211" s="244"/>
      <c r="T211" s="244"/>
      <c r="U211" s="244"/>
      <c r="V211" s="244"/>
      <c r="W211" s="244"/>
      <c r="X211" s="244"/>
      <c r="Y211" s="244"/>
      <c r="Z211" s="244"/>
    </row>
    <row r="212" ht="11.25" customHeight="1">
      <c r="A212" s="244"/>
      <c r="B212" s="244"/>
      <c r="C212" s="266"/>
      <c r="D212" s="266"/>
      <c r="E212" s="266"/>
      <c r="F212" s="266"/>
      <c r="G212" s="266"/>
      <c r="H212" s="266"/>
      <c r="I212" s="266"/>
      <c r="J212" s="266"/>
      <c r="K212" s="244"/>
      <c r="L212" s="244"/>
      <c r="M212" s="244"/>
      <c r="N212" s="244"/>
      <c r="O212" s="244"/>
      <c r="P212" s="244"/>
      <c r="Q212" s="244"/>
      <c r="R212" s="244"/>
      <c r="S212" s="244"/>
      <c r="T212" s="244"/>
      <c r="U212" s="244"/>
      <c r="V212" s="244"/>
      <c r="W212" s="244"/>
      <c r="X212" s="244"/>
      <c r="Y212" s="244"/>
      <c r="Z212" s="244"/>
    </row>
    <row r="213" ht="11.25" customHeight="1">
      <c r="A213" s="244"/>
      <c r="B213" s="244"/>
      <c r="C213" s="266"/>
      <c r="D213" s="266"/>
      <c r="E213" s="266"/>
      <c r="F213" s="266"/>
      <c r="G213" s="266"/>
      <c r="H213" s="266"/>
      <c r="I213" s="266"/>
      <c r="J213" s="266"/>
      <c r="K213" s="244"/>
      <c r="L213" s="244"/>
      <c r="M213" s="244"/>
      <c r="N213" s="244"/>
      <c r="O213" s="244"/>
      <c r="P213" s="244"/>
      <c r="Q213" s="244"/>
      <c r="R213" s="244"/>
      <c r="S213" s="244"/>
      <c r="T213" s="244"/>
      <c r="U213" s="244"/>
      <c r="V213" s="244"/>
      <c r="W213" s="244"/>
      <c r="X213" s="244"/>
      <c r="Y213" s="244"/>
      <c r="Z213" s="244"/>
    </row>
    <row r="214" ht="11.25" customHeight="1">
      <c r="A214" s="244"/>
      <c r="B214" s="244"/>
      <c r="C214" s="266"/>
      <c r="D214" s="266"/>
      <c r="E214" s="266"/>
      <c r="F214" s="266"/>
      <c r="G214" s="266"/>
      <c r="H214" s="266"/>
      <c r="I214" s="266"/>
      <c r="J214" s="266"/>
      <c r="K214" s="244"/>
      <c r="L214" s="244"/>
      <c r="M214" s="244"/>
      <c r="N214" s="244"/>
      <c r="O214" s="244"/>
      <c r="P214" s="244"/>
      <c r="Q214" s="244"/>
      <c r="R214" s="244"/>
      <c r="S214" s="244"/>
      <c r="T214" s="244"/>
      <c r="U214" s="244"/>
      <c r="V214" s="244"/>
      <c r="W214" s="244"/>
      <c r="X214" s="244"/>
      <c r="Y214" s="244"/>
      <c r="Z214" s="244"/>
    </row>
    <row r="215" ht="11.25" customHeight="1">
      <c r="A215" s="244"/>
      <c r="B215" s="244"/>
      <c r="C215" s="266"/>
      <c r="D215" s="266"/>
      <c r="E215" s="266"/>
      <c r="F215" s="266"/>
      <c r="G215" s="266"/>
      <c r="H215" s="266"/>
      <c r="I215" s="266"/>
      <c r="J215" s="266"/>
      <c r="K215" s="244"/>
      <c r="L215" s="244"/>
      <c r="M215" s="244"/>
      <c r="N215" s="244"/>
      <c r="O215" s="244"/>
      <c r="P215" s="244"/>
      <c r="Q215" s="244"/>
      <c r="R215" s="244"/>
      <c r="S215" s="244"/>
      <c r="T215" s="244"/>
      <c r="U215" s="244"/>
      <c r="V215" s="244"/>
      <c r="W215" s="244"/>
      <c r="X215" s="244"/>
      <c r="Y215" s="244"/>
      <c r="Z215" s="244"/>
    </row>
    <row r="216" ht="11.25" customHeight="1">
      <c r="A216" s="244"/>
      <c r="B216" s="244"/>
      <c r="C216" s="266"/>
      <c r="D216" s="266"/>
      <c r="E216" s="266"/>
      <c r="F216" s="266"/>
      <c r="G216" s="266"/>
      <c r="H216" s="266"/>
      <c r="I216" s="266"/>
      <c r="J216" s="266"/>
      <c r="K216" s="244"/>
      <c r="L216" s="244"/>
      <c r="M216" s="244"/>
      <c r="N216" s="244"/>
      <c r="O216" s="244"/>
      <c r="P216" s="244"/>
      <c r="Q216" s="244"/>
      <c r="R216" s="244"/>
      <c r="S216" s="244"/>
      <c r="T216" s="244"/>
      <c r="U216" s="244"/>
      <c r="V216" s="244"/>
      <c r="W216" s="244"/>
      <c r="X216" s="244"/>
      <c r="Y216" s="244"/>
      <c r="Z216" s="244"/>
    </row>
    <row r="217" ht="11.25" customHeight="1">
      <c r="A217" s="244"/>
      <c r="B217" s="244"/>
      <c r="C217" s="266"/>
      <c r="D217" s="266"/>
      <c r="E217" s="266"/>
      <c r="F217" s="266"/>
      <c r="G217" s="266"/>
      <c r="H217" s="266"/>
      <c r="I217" s="266"/>
      <c r="J217" s="266"/>
      <c r="K217" s="244"/>
      <c r="L217" s="244"/>
      <c r="M217" s="244"/>
      <c r="N217" s="244"/>
      <c r="O217" s="244"/>
      <c r="P217" s="244"/>
      <c r="Q217" s="244"/>
      <c r="R217" s="244"/>
      <c r="S217" s="244"/>
      <c r="T217" s="244"/>
      <c r="U217" s="244"/>
      <c r="V217" s="244"/>
      <c r="W217" s="244"/>
      <c r="X217" s="244"/>
      <c r="Y217" s="244"/>
      <c r="Z217" s="244"/>
    </row>
    <row r="218" ht="11.25" customHeight="1">
      <c r="A218" s="244"/>
      <c r="B218" s="244"/>
      <c r="C218" s="266"/>
      <c r="D218" s="266"/>
      <c r="E218" s="266"/>
      <c r="F218" s="266"/>
      <c r="G218" s="266"/>
      <c r="H218" s="266"/>
      <c r="I218" s="266"/>
      <c r="J218" s="266"/>
      <c r="K218" s="244"/>
      <c r="L218" s="244"/>
      <c r="M218" s="244"/>
      <c r="N218" s="244"/>
      <c r="O218" s="244"/>
      <c r="P218" s="244"/>
      <c r="Q218" s="244"/>
      <c r="R218" s="244"/>
      <c r="S218" s="244"/>
      <c r="T218" s="244"/>
      <c r="U218" s="244"/>
      <c r="V218" s="244"/>
      <c r="W218" s="244"/>
      <c r="X218" s="244"/>
      <c r="Y218" s="244"/>
      <c r="Z218" s="244"/>
    </row>
    <row r="219" ht="11.25" customHeight="1">
      <c r="A219" s="244"/>
      <c r="B219" s="244"/>
      <c r="C219" s="266"/>
      <c r="D219" s="266"/>
      <c r="E219" s="266"/>
      <c r="F219" s="266"/>
      <c r="G219" s="266"/>
      <c r="H219" s="266"/>
      <c r="I219" s="266"/>
      <c r="J219" s="266"/>
      <c r="K219" s="244"/>
      <c r="L219" s="244"/>
      <c r="M219" s="244"/>
      <c r="N219" s="244"/>
      <c r="O219" s="244"/>
      <c r="P219" s="244"/>
      <c r="Q219" s="244"/>
      <c r="R219" s="244"/>
      <c r="S219" s="244"/>
      <c r="T219" s="244"/>
      <c r="U219" s="244"/>
      <c r="V219" s="244"/>
      <c r="W219" s="244"/>
      <c r="X219" s="244"/>
      <c r="Y219" s="244"/>
      <c r="Z219" s="244"/>
    </row>
    <row r="220" ht="11.25" customHeight="1">
      <c r="A220" s="244"/>
      <c r="B220" s="244"/>
      <c r="C220" s="266"/>
      <c r="D220" s="266"/>
      <c r="E220" s="266"/>
      <c r="F220" s="266"/>
      <c r="G220" s="266"/>
      <c r="H220" s="266"/>
      <c r="I220" s="266"/>
      <c r="J220" s="266"/>
      <c r="K220" s="244"/>
      <c r="L220" s="244"/>
      <c r="M220" s="244"/>
      <c r="N220" s="244"/>
      <c r="O220" s="244"/>
      <c r="P220" s="244"/>
      <c r="Q220" s="244"/>
      <c r="R220" s="244"/>
      <c r="S220" s="244"/>
      <c r="T220" s="244"/>
      <c r="U220" s="244"/>
      <c r="V220" s="244"/>
      <c r="W220" s="244"/>
      <c r="X220" s="244"/>
      <c r="Y220" s="244"/>
      <c r="Z220" s="244"/>
    </row>
    <row r="221" ht="11.25" customHeight="1">
      <c r="A221" s="244"/>
      <c r="B221" s="244"/>
      <c r="C221" s="266"/>
      <c r="D221" s="266"/>
      <c r="E221" s="266"/>
      <c r="F221" s="266"/>
      <c r="G221" s="266"/>
      <c r="H221" s="266"/>
      <c r="I221" s="266"/>
      <c r="J221" s="266"/>
      <c r="K221" s="244"/>
      <c r="L221" s="244"/>
      <c r="M221" s="244"/>
      <c r="N221" s="244"/>
      <c r="O221" s="244"/>
      <c r="P221" s="244"/>
      <c r="Q221" s="244"/>
      <c r="R221" s="244"/>
      <c r="S221" s="244"/>
      <c r="T221" s="244"/>
      <c r="U221" s="244"/>
      <c r="V221" s="244"/>
      <c r="W221" s="244"/>
      <c r="X221" s="244"/>
      <c r="Y221" s="244"/>
      <c r="Z221" s="244"/>
    </row>
    <row r="222" ht="11.25" customHeight="1">
      <c r="A222" s="244"/>
      <c r="B222" s="244"/>
      <c r="C222" s="266"/>
      <c r="D222" s="266"/>
      <c r="E222" s="266"/>
      <c r="F222" s="266"/>
      <c r="G222" s="266"/>
      <c r="H222" s="266"/>
      <c r="I222" s="266"/>
      <c r="J222" s="266"/>
      <c r="K222" s="244"/>
      <c r="L222" s="244"/>
      <c r="M222" s="244"/>
      <c r="N222" s="244"/>
      <c r="O222" s="244"/>
      <c r="P222" s="244"/>
      <c r="Q222" s="244"/>
      <c r="R222" s="244"/>
      <c r="S222" s="244"/>
      <c r="T222" s="244"/>
      <c r="U222" s="244"/>
      <c r="V222" s="244"/>
      <c r="W222" s="244"/>
      <c r="X222" s="244"/>
      <c r="Y222" s="244"/>
      <c r="Z222" s="244"/>
    </row>
    <row r="223" ht="11.25" customHeight="1">
      <c r="A223" s="244"/>
      <c r="B223" s="244"/>
      <c r="C223" s="266"/>
      <c r="D223" s="266"/>
      <c r="E223" s="266"/>
      <c r="F223" s="266"/>
      <c r="G223" s="266"/>
      <c r="H223" s="266"/>
      <c r="I223" s="266"/>
      <c r="J223" s="266"/>
      <c r="K223" s="244"/>
      <c r="L223" s="244"/>
      <c r="M223" s="244"/>
      <c r="N223" s="244"/>
      <c r="O223" s="244"/>
      <c r="P223" s="244"/>
      <c r="Q223" s="244"/>
      <c r="R223" s="244"/>
      <c r="S223" s="244"/>
      <c r="T223" s="244"/>
      <c r="U223" s="244"/>
      <c r="V223" s="244"/>
      <c r="W223" s="244"/>
      <c r="X223" s="244"/>
      <c r="Y223" s="244"/>
      <c r="Z223" s="244"/>
    </row>
    <row r="224" ht="11.25" customHeight="1">
      <c r="A224" s="244"/>
      <c r="B224" s="244"/>
      <c r="C224" s="266"/>
      <c r="D224" s="266"/>
      <c r="E224" s="266"/>
      <c r="F224" s="266"/>
      <c r="G224" s="266"/>
      <c r="H224" s="266"/>
      <c r="I224" s="266"/>
      <c r="J224" s="266"/>
      <c r="K224" s="244"/>
      <c r="L224" s="244"/>
      <c r="M224" s="244"/>
      <c r="N224" s="244"/>
      <c r="O224" s="244"/>
      <c r="P224" s="244"/>
      <c r="Q224" s="244"/>
      <c r="R224" s="244"/>
      <c r="S224" s="244"/>
      <c r="T224" s="244"/>
      <c r="U224" s="244"/>
      <c r="V224" s="244"/>
      <c r="W224" s="244"/>
      <c r="X224" s="244"/>
      <c r="Y224" s="244"/>
      <c r="Z224" s="244"/>
    </row>
    <row r="225" ht="11.25" customHeight="1">
      <c r="A225" s="244"/>
      <c r="B225" s="244"/>
      <c r="C225" s="266"/>
      <c r="D225" s="266"/>
      <c r="E225" s="266"/>
      <c r="F225" s="266"/>
      <c r="G225" s="266"/>
      <c r="H225" s="266"/>
      <c r="I225" s="266"/>
      <c r="J225" s="266"/>
      <c r="K225" s="244"/>
      <c r="L225" s="244"/>
      <c r="M225" s="244"/>
      <c r="N225" s="244"/>
      <c r="O225" s="244"/>
      <c r="P225" s="244"/>
      <c r="Q225" s="244"/>
      <c r="R225" s="244"/>
      <c r="S225" s="244"/>
      <c r="T225" s="244"/>
      <c r="U225" s="244"/>
      <c r="V225" s="244"/>
      <c r="W225" s="244"/>
      <c r="X225" s="244"/>
      <c r="Y225" s="244"/>
      <c r="Z225" s="244"/>
    </row>
    <row r="226" ht="11.25" customHeight="1">
      <c r="A226" s="244"/>
      <c r="B226" s="244"/>
      <c r="C226" s="266"/>
      <c r="D226" s="266"/>
      <c r="E226" s="266"/>
      <c r="F226" s="266"/>
      <c r="G226" s="266"/>
      <c r="H226" s="266"/>
      <c r="I226" s="266"/>
      <c r="J226" s="266"/>
      <c r="K226" s="244"/>
      <c r="L226" s="244"/>
      <c r="M226" s="244"/>
      <c r="N226" s="244"/>
      <c r="O226" s="244"/>
      <c r="P226" s="244"/>
      <c r="Q226" s="244"/>
      <c r="R226" s="244"/>
      <c r="S226" s="244"/>
      <c r="T226" s="244"/>
      <c r="U226" s="244"/>
      <c r="V226" s="244"/>
      <c r="W226" s="244"/>
      <c r="X226" s="244"/>
      <c r="Y226" s="244"/>
      <c r="Z226" s="244"/>
    </row>
    <row r="227" ht="11.25" customHeight="1">
      <c r="A227" s="244"/>
      <c r="B227" s="244"/>
      <c r="C227" s="266"/>
      <c r="D227" s="266"/>
      <c r="E227" s="266"/>
      <c r="F227" s="266"/>
      <c r="G227" s="266"/>
      <c r="H227" s="266"/>
      <c r="I227" s="266"/>
      <c r="J227" s="266"/>
      <c r="K227" s="244"/>
      <c r="L227" s="244"/>
      <c r="M227" s="244"/>
      <c r="N227" s="244"/>
      <c r="O227" s="244"/>
      <c r="P227" s="244"/>
      <c r="Q227" s="244"/>
      <c r="R227" s="244"/>
      <c r="S227" s="244"/>
      <c r="T227" s="244"/>
      <c r="U227" s="244"/>
      <c r="V227" s="244"/>
      <c r="W227" s="244"/>
      <c r="X227" s="244"/>
      <c r="Y227" s="244"/>
      <c r="Z227" s="244"/>
    </row>
    <row r="228" ht="11.25" customHeight="1">
      <c r="A228" s="244"/>
      <c r="B228" s="244"/>
      <c r="C228" s="266"/>
      <c r="D228" s="266"/>
      <c r="E228" s="266"/>
      <c r="F228" s="266"/>
      <c r="G228" s="266"/>
      <c r="H228" s="266"/>
      <c r="I228" s="266"/>
      <c r="J228" s="266"/>
      <c r="K228" s="244"/>
      <c r="L228" s="244"/>
      <c r="M228" s="244"/>
      <c r="N228" s="244"/>
      <c r="O228" s="244"/>
      <c r="P228" s="244"/>
      <c r="Q228" s="244"/>
      <c r="R228" s="244"/>
      <c r="S228" s="244"/>
      <c r="T228" s="244"/>
      <c r="U228" s="244"/>
      <c r="V228" s="244"/>
      <c r="W228" s="244"/>
      <c r="X228" s="244"/>
      <c r="Y228" s="244"/>
      <c r="Z228" s="244"/>
    </row>
    <row r="229" ht="11.25" customHeight="1">
      <c r="A229" s="244"/>
      <c r="B229" s="244"/>
      <c r="C229" s="266"/>
      <c r="D229" s="266"/>
      <c r="E229" s="266"/>
      <c r="F229" s="266"/>
      <c r="G229" s="266"/>
      <c r="H229" s="266"/>
      <c r="I229" s="266"/>
      <c r="J229" s="266"/>
      <c r="K229" s="244"/>
      <c r="L229" s="244"/>
      <c r="M229" s="244"/>
      <c r="N229" s="244"/>
      <c r="O229" s="244"/>
      <c r="P229" s="244"/>
      <c r="Q229" s="244"/>
      <c r="R229" s="244"/>
      <c r="S229" s="244"/>
      <c r="T229" s="244"/>
      <c r="U229" s="244"/>
      <c r="V229" s="244"/>
      <c r="W229" s="244"/>
      <c r="X229" s="244"/>
      <c r="Y229" s="244"/>
      <c r="Z229" s="244"/>
    </row>
    <row r="230" ht="11.25" customHeight="1">
      <c r="A230" s="244"/>
      <c r="B230" s="244"/>
      <c r="C230" s="266"/>
      <c r="D230" s="266"/>
      <c r="E230" s="266"/>
      <c r="F230" s="266"/>
      <c r="G230" s="266"/>
      <c r="H230" s="266"/>
      <c r="I230" s="266"/>
      <c r="J230" s="266"/>
      <c r="K230" s="244"/>
      <c r="L230" s="244"/>
      <c r="M230" s="244"/>
      <c r="N230" s="244"/>
      <c r="O230" s="244"/>
      <c r="P230" s="244"/>
      <c r="Q230" s="244"/>
      <c r="R230" s="244"/>
      <c r="S230" s="244"/>
      <c r="T230" s="244"/>
      <c r="U230" s="244"/>
      <c r="V230" s="244"/>
      <c r="W230" s="244"/>
      <c r="X230" s="244"/>
      <c r="Y230" s="244"/>
      <c r="Z230" s="244"/>
    </row>
    <row r="231" ht="11.25" customHeight="1">
      <c r="A231" s="244"/>
      <c r="B231" s="244"/>
      <c r="C231" s="266"/>
      <c r="D231" s="266"/>
      <c r="E231" s="266"/>
      <c r="F231" s="266"/>
      <c r="G231" s="266"/>
      <c r="H231" s="266"/>
      <c r="I231" s="266"/>
      <c r="J231" s="266"/>
      <c r="K231" s="244"/>
      <c r="L231" s="244"/>
      <c r="M231" s="244"/>
      <c r="N231" s="244"/>
      <c r="O231" s="244"/>
      <c r="P231" s="244"/>
      <c r="Q231" s="244"/>
      <c r="R231" s="244"/>
      <c r="S231" s="244"/>
      <c r="T231" s="244"/>
      <c r="U231" s="244"/>
      <c r="V231" s="244"/>
      <c r="W231" s="244"/>
      <c r="X231" s="244"/>
      <c r="Y231" s="244"/>
      <c r="Z231" s="244"/>
    </row>
    <row r="232" ht="11.25" customHeight="1">
      <c r="A232" s="244"/>
      <c r="B232" s="244"/>
      <c r="C232" s="266"/>
      <c r="D232" s="266"/>
      <c r="E232" s="266"/>
      <c r="F232" s="266"/>
      <c r="G232" s="266"/>
      <c r="H232" s="266"/>
      <c r="I232" s="266"/>
      <c r="J232" s="266"/>
      <c r="K232" s="244"/>
      <c r="L232" s="244"/>
      <c r="M232" s="244"/>
      <c r="N232" s="244"/>
      <c r="O232" s="244"/>
      <c r="P232" s="244"/>
      <c r="Q232" s="244"/>
      <c r="R232" s="244"/>
      <c r="S232" s="244"/>
      <c r="T232" s="244"/>
      <c r="U232" s="244"/>
      <c r="V232" s="244"/>
      <c r="W232" s="244"/>
      <c r="X232" s="244"/>
      <c r="Y232" s="244"/>
      <c r="Z232" s="244"/>
    </row>
    <row r="233" ht="11.25" customHeight="1">
      <c r="A233" s="244"/>
      <c r="B233" s="244"/>
      <c r="C233" s="266"/>
      <c r="D233" s="266"/>
      <c r="E233" s="266"/>
      <c r="F233" s="266"/>
      <c r="G233" s="266"/>
      <c r="H233" s="266"/>
      <c r="I233" s="266"/>
      <c r="J233" s="266"/>
      <c r="K233" s="244"/>
      <c r="L233" s="244"/>
      <c r="M233" s="244"/>
      <c r="N233" s="244"/>
      <c r="O233" s="244"/>
      <c r="P233" s="244"/>
      <c r="Q233" s="244"/>
      <c r="R233" s="244"/>
      <c r="S233" s="244"/>
      <c r="T233" s="244"/>
      <c r="U233" s="244"/>
      <c r="V233" s="244"/>
      <c r="W233" s="244"/>
      <c r="X233" s="244"/>
      <c r="Y233" s="244"/>
      <c r="Z233" s="244"/>
    </row>
    <row r="234" ht="11.25" customHeight="1">
      <c r="A234" s="244"/>
      <c r="B234" s="244"/>
      <c r="C234" s="266"/>
      <c r="D234" s="266"/>
      <c r="E234" s="266"/>
      <c r="F234" s="266"/>
      <c r="G234" s="266"/>
      <c r="H234" s="266"/>
      <c r="I234" s="266"/>
      <c r="J234" s="266"/>
      <c r="K234" s="244"/>
      <c r="L234" s="244"/>
      <c r="M234" s="244"/>
      <c r="N234" s="244"/>
      <c r="O234" s="244"/>
      <c r="P234" s="244"/>
      <c r="Q234" s="244"/>
      <c r="R234" s="244"/>
      <c r="S234" s="244"/>
      <c r="T234" s="244"/>
      <c r="U234" s="244"/>
      <c r="V234" s="244"/>
      <c r="W234" s="244"/>
      <c r="X234" s="244"/>
      <c r="Y234" s="244"/>
      <c r="Z234" s="244"/>
    </row>
    <row r="235" ht="11.25" customHeight="1">
      <c r="A235" s="244"/>
      <c r="B235" s="244"/>
      <c r="C235" s="266"/>
      <c r="D235" s="266"/>
      <c r="E235" s="266"/>
      <c r="F235" s="266"/>
      <c r="G235" s="266"/>
      <c r="H235" s="266"/>
      <c r="I235" s="266"/>
      <c r="J235" s="266"/>
      <c r="K235" s="244"/>
      <c r="L235" s="244"/>
      <c r="M235" s="244"/>
      <c r="N235" s="244"/>
      <c r="O235" s="244"/>
      <c r="P235" s="244"/>
      <c r="Q235" s="244"/>
      <c r="R235" s="244"/>
      <c r="S235" s="244"/>
      <c r="T235" s="244"/>
      <c r="U235" s="244"/>
      <c r="V235" s="244"/>
      <c r="W235" s="244"/>
      <c r="X235" s="244"/>
      <c r="Y235" s="244"/>
      <c r="Z235" s="244"/>
    </row>
    <row r="236" ht="11.25" customHeight="1">
      <c r="A236" s="244"/>
      <c r="B236" s="244"/>
      <c r="C236" s="266"/>
      <c r="D236" s="266"/>
      <c r="E236" s="266"/>
      <c r="F236" s="266"/>
      <c r="G236" s="266"/>
      <c r="H236" s="266"/>
      <c r="I236" s="266"/>
      <c r="J236" s="266"/>
      <c r="K236" s="244"/>
      <c r="L236" s="244"/>
      <c r="M236" s="244"/>
      <c r="N236" s="244"/>
      <c r="O236" s="244"/>
      <c r="P236" s="244"/>
      <c r="Q236" s="244"/>
      <c r="R236" s="244"/>
      <c r="S236" s="244"/>
      <c r="T236" s="244"/>
      <c r="U236" s="244"/>
      <c r="V236" s="244"/>
      <c r="W236" s="244"/>
      <c r="X236" s="244"/>
      <c r="Y236" s="244"/>
      <c r="Z236" s="244"/>
    </row>
    <row r="237" ht="11.25" customHeight="1">
      <c r="A237" s="244"/>
      <c r="B237" s="244"/>
      <c r="C237" s="266"/>
      <c r="D237" s="266"/>
      <c r="E237" s="266"/>
      <c r="F237" s="266"/>
      <c r="G237" s="266"/>
      <c r="H237" s="266"/>
      <c r="I237" s="266"/>
      <c r="J237" s="266"/>
      <c r="K237" s="244"/>
      <c r="L237" s="244"/>
      <c r="M237" s="244"/>
      <c r="N237" s="244"/>
      <c r="O237" s="244"/>
      <c r="P237" s="244"/>
      <c r="Q237" s="244"/>
      <c r="R237" s="244"/>
      <c r="S237" s="244"/>
      <c r="T237" s="244"/>
      <c r="U237" s="244"/>
      <c r="V237" s="244"/>
      <c r="W237" s="244"/>
      <c r="X237" s="244"/>
      <c r="Y237" s="244"/>
      <c r="Z237" s="244"/>
    </row>
    <row r="238" ht="11.25" customHeight="1">
      <c r="A238" s="244"/>
      <c r="B238" s="244"/>
      <c r="C238" s="266"/>
      <c r="D238" s="266"/>
      <c r="E238" s="266"/>
      <c r="F238" s="266"/>
      <c r="G238" s="266"/>
      <c r="H238" s="266"/>
      <c r="I238" s="266"/>
      <c r="J238" s="266"/>
      <c r="K238" s="244"/>
      <c r="L238" s="244"/>
      <c r="M238" s="244"/>
      <c r="N238" s="244"/>
      <c r="O238" s="244"/>
      <c r="P238" s="244"/>
      <c r="Q238" s="244"/>
      <c r="R238" s="244"/>
      <c r="S238" s="244"/>
      <c r="T238" s="244"/>
      <c r="U238" s="244"/>
      <c r="V238" s="244"/>
      <c r="W238" s="244"/>
      <c r="X238" s="244"/>
      <c r="Y238" s="244"/>
      <c r="Z238" s="244"/>
    </row>
    <row r="239" ht="11.25" customHeight="1">
      <c r="A239" s="244"/>
      <c r="B239" s="244"/>
      <c r="C239" s="266"/>
      <c r="D239" s="266"/>
      <c r="E239" s="266"/>
      <c r="F239" s="266"/>
      <c r="G239" s="266"/>
      <c r="H239" s="266"/>
      <c r="I239" s="266"/>
      <c r="J239" s="266"/>
      <c r="K239" s="244"/>
      <c r="L239" s="244"/>
      <c r="M239" s="244"/>
      <c r="N239" s="244"/>
      <c r="O239" s="244"/>
      <c r="P239" s="244"/>
      <c r="Q239" s="244"/>
      <c r="R239" s="244"/>
      <c r="S239" s="244"/>
      <c r="T239" s="244"/>
      <c r="U239" s="244"/>
      <c r="V239" s="244"/>
      <c r="W239" s="244"/>
      <c r="X239" s="244"/>
      <c r="Y239" s="244"/>
      <c r="Z239" s="244"/>
    </row>
    <row r="240" ht="11.25" customHeight="1">
      <c r="A240" s="244"/>
      <c r="B240" s="244"/>
      <c r="C240" s="266"/>
      <c r="D240" s="266"/>
      <c r="E240" s="266"/>
      <c r="F240" s="266"/>
      <c r="G240" s="266"/>
      <c r="H240" s="266"/>
      <c r="I240" s="266"/>
      <c r="J240" s="266"/>
      <c r="K240" s="244"/>
      <c r="L240" s="244"/>
      <c r="M240" s="244"/>
      <c r="N240" s="244"/>
      <c r="O240" s="244"/>
      <c r="P240" s="244"/>
      <c r="Q240" s="244"/>
      <c r="R240" s="244"/>
      <c r="S240" s="244"/>
      <c r="T240" s="244"/>
      <c r="U240" s="244"/>
      <c r="V240" s="244"/>
      <c r="W240" s="244"/>
      <c r="X240" s="244"/>
      <c r="Y240" s="244"/>
      <c r="Z240" s="244"/>
    </row>
    <row r="241" ht="11.25" customHeight="1">
      <c r="A241" s="244"/>
      <c r="B241" s="244"/>
      <c r="C241" s="266"/>
      <c r="D241" s="266"/>
      <c r="E241" s="266"/>
      <c r="F241" s="266"/>
      <c r="G241" s="266"/>
      <c r="H241" s="266"/>
      <c r="I241" s="266"/>
      <c r="J241" s="266"/>
      <c r="K241" s="244"/>
      <c r="L241" s="244"/>
      <c r="M241" s="244"/>
      <c r="N241" s="244"/>
      <c r="O241" s="244"/>
      <c r="P241" s="244"/>
      <c r="Q241" s="244"/>
      <c r="R241" s="244"/>
      <c r="S241" s="244"/>
      <c r="T241" s="244"/>
      <c r="U241" s="244"/>
      <c r="V241" s="244"/>
      <c r="W241" s="244"/>
      <c r="X241" s="244"/>
      <c r="Y241" s="244"/>
      <c r="Z241" s="244"/>
    </row>
    <row r="242" ht="11.25" customHeight="1">
      <c r="A242" s="244"/>
      <c r="B242" s="244"/>
      <c r="C242" s="266"/>
      <c r="D242" s="266"/>
      <c r="E242" s="266"/>
      <c r="F242" s="266"/>
      <c r="G242" s="266"/>
      <c r="H242" s="266"/>
      <c r="I242" s="266"/>
      <c r="J242" s="266"/>
      <c r="K242" s="244"/>
      <c r="L242" s="244"/>
      <c r="M242" s="244"/>
      <c r="N242" s="244"/>
      <c r="O242" s="244"/>
      <c r="P242" s="244"/>
      <c r="Q242" s="244"/>
      <c r="R242" s="244"/>
      <c r="S242" s="244"/>
      <c r="T242" s="244"/>
      <c r="U242" s="244"/>
      <c r="V242" s="244"/>
      <c r="W242" s="244"/>
      <c r="X242" s="244"/>
      <c r="Y242" s="244"/>
      <c r="Z242" s="244"/>
    </row>
    <row r="243" ht="11.25" customHeight="1">
      <c r="A243" s="244"/>
      <c r="B243" s="244"/>
      <c r="C243" s="266"/>
      <c r="D243" s="266"/>
      <c r="E243" s="266"/>
      <c r="F243" s="266"/>
      <c r="G243" s="266"/>
      <c r="H243" s="266"/>
      <c r="I243" s="266"/>
      <c r="J243" s="266"/>
      <c r="K243" s="244"/>
      <c r="L243" s="244"/>
      <c r="M243" s="244"/>
      <c r="N243" s="244"/>
      <c r="O243" s="244"/>
      <c r="P243" s="244"/>
      <c r="Q243" s="244"/>
      <c r="R243" s="244"/>
      <c r="S243" s="244"/>
      <c r="T243" s="244"/>
      <c r="U243" s="244"/>
      <c r="V243" s="244"/>
      <c r="W243" s="244"/>
      <c r="X243" s="244"/>
      <c r="Y243" s="244"/>
      <c r="Z243" s="244"/>
    </row>
    <row r="244" ht="11.25" customHeight="1">
      <c r="A244" s="244"/>
      <c r="B244" s="244"/>
      <c r="C244" s="266"/>
      <c r="D244" s="266"/>
      <c r="E244" s="266"/>
      <c r="F244" s="266"/>
      <c r="G244" s="266"/>
      <c r="H244" s="266"/>
      <c r="I244" s="266"/>
      <c r="J244" s="266"/>
      <c r="K244" s="244"/>
      <c r="L244" s="244"/>
      <c r="M244" s="244"/>
      <c r="N244" s="244"/>
      <c r="O244" s="244"/>
      <c r="P244" s="244"/>
      <c r="Q244" s="244"/>
      <c r="R244" s="244"/>
      <c r="S244" s="244"/>
      <c r="T244" s="244"/>
      <c r="U244" s="244"/>
      <c r="V244" s="244"/>
      <c r="W244" s="244"/>
      <c r="X244" s="244"/>
      <c r="Y244" s="244"/>
      <c r="Z244" s="244"/>
    </row>
    <row r="245" ht="11.25" customHeight="1">
      <c r="A245" s="244"/>
      <c r="B245" s="244"/>
      <c r="C245" s="266"/>
      <c r="D245" s="266"/>
      <c r="E245" s="266"/>
      <c r="F245" s="266"/>
      <c r="G245" s="266"/>
      <c r="H245" s="266"/>
      <c r="I245" s="266"/>
      <c r="J245" s="266"/>
      <c r="K245" s="244"/>
      <c r="L245" s="244"/>
      <c r="M245" s="244"/>
      <c r="N245" s="244"/>
      <c r="O245" s="244"/>
      <c r="P245" s="244"/>
      <c r="Q245" s="244"/>
      <c r="R245" s="244"/>
      <c r="S245" s="244"/>
      <c r="T245" s="244"/>
      <c r="U245" s="244"/>
      <c r="V245" s="244"/>
      <c r="W245" s="244"/>
      <c r="X245" s="244"/>
      <c r="Y245" s="244"/>
      <c r="Z245" s="244"/>
    </row>
    <row r="246" ht="11.25" customHeight="1">
      <c r="A246" s="244"/>
      <c r="B246" s="244"/>
      <c r="C246" s="266"/>
      <c r="D246" s="266"/>
      <c r="E246" s="266"/>
      <c r="F246" s="266"/>
      <c r="G246" s="266"/>
      <c r="H246" s="266"/>
      <c r="I246" s="266"/>
      <c r="J246" s="266"/>
      <c r="K246" s="244"/>
      <c r="L246" s="244"/>
      <c r="M246" s="244"/>
      <c r="N246" s="244"/>
      <c r="O246" s="244"/>
      <c r="P246" s="244"/>
      <c r="Q246" s="244"/>
      <c r="R246" s="244"/>
      <c r="S246" s="244"/>
      <c r="T246" s="244"/>
      <c r="U246" s="244"/>
      <c r="V246" s="244"/>
      <c r="W246" s="244"/>
      <c r="X246" s="244"/>
      <c r="Y246" s="244"/>
      <c r="Z246" s="244"/>
    </row>
    <row r="247" ht="11.25" customHeight="1">
      <c r="A247" s="244"/>
      <c r="B247" s="244"/>
      <c r="C247" s="266"/>
      <c r="D247" s="266"/>
      <c r="E247" s="266"/>
      <c r="F247" s="266"/>
      <c r="G247" s="266"/>
      <c r="H247" s="266"/>
      <c r="I247" s="266"/>
      <c r="J247" s="266"/>
      <c r="K247" s="244"/>
      <c r="L247" s="244"/>
      <c r="M247" s="244"/>
      <c r="N247" s="244"/>
      <c r="O247" s="244"/>
      <c r="P247" s="244"/>
      <c r="Q247" s="244"/>
      <c r="R247" s="244"/>
      <c r="S247" s="244"/>
      <c r="T247" s="244"/>
      <c r="U247" s="244"/>
      <c r="V247" s="244"/>
      <c r="W247" s="244"/>
      <c r="X247" s="244"/>
      <c r="Y247" s="244"/>
      <c r="Z247" s="244"/>
    </row>
    <row r="248" ht="11.25" customHeight="1">
      <c r="A248" s="244"/>
      <c r="B248" s="244"/>
      <c r="C248" s="266"/>
      <c r="D248" s="266"/>
      <c r="E248" s="266"/>
      <c r="F248" s="266"/>
      <c r="G248" s="266"/>
      <c r="H248" s="266"/>
      <c r="I248" s="266"/>
      <c r="J248" s="266"/>
      <c r="K248" s="244"/>
      <c r="L248" s="244"/>
      <c r="M248" s="244"/>
      <c r="N248" s="244"/>
      <c r="O248" s="244"/>
      <c r="P248" s="244"/>
      <c r="Q248" s="244"/>
      <c r="R248" s="244"/>
      <c r="S248" s="244"/>
      <c r="T248" s="244"/>
      <c r="U248" s="244"/>
      <c r="V248" s="244"/>
      <c r="W248" s="244"/>
      <c r="X248" s="244"/>
      <c r="Y248" s="244"/>
      <c r="Z248" s="244"/>
    </row>
    <row r="249" ht="11.25" customHeight="1">
      <c r="A249" s="244"/>
      <c r="B249" s="244"/>
      <c r="C249" s="266"/>
      <c r="D249" s="266"/>
      <c r="E249" s="266"/>
      <c r="F249" s="266"/>
      <c r="G249" s="266"/>
      <c r="H249" s="266"/>
      <c r="I249" s="266"/>
      <c r="J249" s="266"/>
      <c r="K249" s="244"/>
      <c r="L249" s="244"/>
      <c r="M249" s="244"/>
      <c r="N249" s="244"/>
      <c r="O249" s="244"/>
      <c r="P249" s="244"/>
      <c r="Q249" s="244"/>
      <c r="R249" s="244"/>
      <c r="S249" s="244"/>
      <c r="T249" s="244"/>
      <c r="U249" s="244"/>
      <c r="V249" s="244"/>
      <c r="W249" s="244"/>
      <c r="X249" s="244"/>
      <c r="Y249" s="244"/>
      <c r="Z249" s="244"/>
    </row>
    <row r="250" ht="11.25" customHeight="1">
      <c r="A250" s="244"/>
      <c r="B250" s="244"/>
      <c r="C250" s="266"/>
      <c r="D250" s="266"/>
      <c r="E250" s="266"/>
      <c r="F250" s="266"/>
      <c r="G250" s="266"/>
      <c r="H250" s="266"/>
      <c r="I250" s="266"/>
      <c r="J250" s="266"/>
      <c r="K250" s="244"/>
      <c r="L250" s="244"/>
      <c r="M250" s="244"/>
      <c r="N250" s="244"/>
      <c r="O250" s="244"/>
      <c r="P250" s="244"/>
      <c r="Q250" s="244"/>
      <c r="R250" s="244"/>
      <c r="S250" s="244"/>
      <c r="T250" s="244"/>
      <c r="U250" s="244"/>
      <c r="V250" s="244"/>
      <c r="W250" s="244"/>
      <c r="X250" s="244"/>
      <c r="Y250" s="244"/>
      <c r="Z250" s="244"/>
    </row>
    <row r="251" ht="11.25" customHeight="1">
      <c r="A251" s="244"/>
      <c r="B251" s="244"/>
      <c r="C251" s="266"/>
      <c r="D251" s="266"/>
      <c r="E251" s="266"/>
      <c r="F251" s="266"/>
      <c r="G251" s="266"/>
      <c r="H251" s="266"/>
      <c r="I251" s="266"/>
      <c r="J251" s="266"/>
      <c r="K251" s="244"/>
      <c r="L251" s="244"/>
      <c r="M251" s="244"/>
      <c r="N251" s="244"/>
      <c r="O251" s="244"/>
      <c r="P251" s="244"/>
      <c r="Q251" s="244"/>
      <c r="R251" s="244"/>
      <c r="S251" s="244"/>
      <c r="T251" s="244"/>
      <c r="U251" s="244"/>
      <c r="V251" s="244"/>
      <c r="W251" s="244"/>
      <c r="X251" s="244"/>
      <c r="Y251" s="244"/>
      <c r="Z251" s="244"/>
    </row>
    <row r="252" ht="11.25" customHeight="1">
      <c r="A252" s="244"/>
      <c r="B252" s="244"/>
      <c r="C252" s="266"/>
      <c r="D252" s="266"/>
      <c r="E252" s="266"/>
      <c r="F252" s="266"/>
      <c r="G252" s="266"/>
      <c r="H252" s="266"/>
      <c r="I252" s="266"/>
      <c r="J252" s="266"/>
      <c r="K252" s="244"/>
      <c r="L252" s="244"/>
      <c r="M252" s="244"/>
      <c r="N252" s="244"/>
      <c r="O252" s="244"/>
      <c r="P252" s="244"/>
      <c r="Q252" s="244"/>
      <c r="R252" s="244"/>
      <c r="S252" s="244"/>
      <c r="T252" s="244"/>
      <c r="U252" s="244"/>
      <c r="V252" s="244"/>
      <c r="W252" s="244"/>
      <c r="X252" s="244"/>
      <c r="Y252" s="244"/>
      <c r="Z252" s="244"/>
    </row>
    <row r="253" ht="11.25" customHeight="1">
      <c r="A253" s="244"/>
      <c r="B253" s="244"/>
      <c r="C253" s="266"/>
      <c r="D253" s="266"/>
      <c r="E253" s="266"/>
      <c r="F253" s="266"/>
      <c r="G253" s="266"/>
      <c r="H253" s="266"/>
      <c r="I253" s="266"/>
      <c r="J253" s="266"/>
      <c r="K253" s="244"/>
      <c r="L253" s="244"/>
      <c r="M253" s="244"/>
      <c r="N253" s="244"/>
      <c r="O253" s="244"/>
      <c r="P253" s="244"/>
      <c r="Q253" s="244"/>
      <c r="R253" s="244"/>
      <c r="S253" s="244"/>
      <c r="T253" s="244"/>
      <c r="U253" s="244"/>
      <c r="V253" s="244"/>
      <c r="W253" s="244"/>
      <c r="X253" s="244"/>
      <c r="Y253" s="244"/>
      <c r="Z253" s="244"/>
    </row>
    <row r="254" ht="11.25" customHeight="1">
      <c r="A254" s="244"/>
      <c r="B254" s="244"/>
      <c r="C254" s="266"/>
      <c r="D254" s="266"/>
      <c r="E254" s="266"/>
      <c r="F254" s="266"/>
      <c r="G254" s="266"/>
      <c r="H254" s="266"/>
      <c r="I254" s="266"/>
      <c r="J254" s="266"/>
      <c r="K254" s="244"/>
      <c r="L254" s="244"/>
      <c r="M254" s="244"/>
      <c r="N254" s="244"/>
      <c r="O254" s="244"/>
      <c r="P254" s="244"/>
      <c r="Q254" s="244"/>
      <c r="R254" s="244"/>
      <c r="S254" s="244"/>
      <c r="T254" s="244"/>
      <c r="U254" s="244"/>
      <c r="V254" s="244"/>
      <c r="W254" s="244"/>
      <c r="X254" s="244"/>
      <c r="Y254" s="244"/>
      <c r="Z254" s="244"/>
    </row>
    <row r="255" ht="11.25" customHeight="1">
      <c r="A255" s="244"/>
      <c r="B255" s="244"/>
      <c r="C255" s="266"/>
      <c r="D255" s="266"/>
      <c r="E255" s="266"/>
      <c r="F255" s="266"/>
      <c r="G255" s="266"/>
      <c r="H255" s="266"/>
      <c r="I255" s="266"/>
      <c r="J255" s="266"/>
      <c r="K255" s="244"/>
      <c r="L255" s="244"/>
      <c r="M255" s="244"/>
      <c r="N255" s="244"/>
      <c r="O255" s="244"/>
      <c r="P255" s="244"/>
      <c r="Q255" s="244"/>
      <c r="R255" s="244"/>
      <c r="S255" s="244"/>
      <c r="T255" s="244"/>
      <c r="U255" s="244"/>
      <c r="V255" s="244"/>
      <c r="W255" s="244"/>
      <c r="X255" s="244"/>
      <c r="Y255" s="244"/>
      <c r="Z255" s="244"/>
    </row>
    <row r="256" ht="11.25" customHeight="1">
      <c r="A256" s="244"/>
      <c r="B256" s="244"/>
      <c r="C256" s="266"/>
      <c r="D256" s="266"/>
      <c r="E256" s="266"/>
      <c r="F256" s="266"/>
      <c r="G256" s="266"/>
      <c r="H256" s="266"/>
      <c r="I256" s="266"/>
      <c r="J256" s="266"/>
      <c r="K256" s="244"/>
      <c r="L256" s="244"/>
      <c r="M256" s="244"/>
      <c r="N256" s="244"/>
      <c r="O256" s="244"/>
      <c r="P256" s="244"/>
      <c r="Q256" s="244"/>
      <c r="R256" s="244"/>
      <c r="S256" s="244"/>
      <c r="T256" s="244"/>
      <c r="U256" s="244"/>
      <c r="V256" s="244"/>
      <c r="W256" s="244"/>
      <c r="X256" s="244"/>
      <c r="Y256" s="244"/>
      <c r="Z256" s="244"/>
    </row>
    <row r="257" ht="11.25" customHeight="1">
      <c r="A257" s="244"/>
      <c r="B257" s="244"/>
      <c r="C257" s="266"/>
      <c r="D257" s="266"/>
      <c r="E257" s="266"/>
      <c r="F257" s="266"/>
      <c r="G257" s="266"/>
      <c r="H257" s="266"/>
      <c r="I257" s="266"/>
      <c r="J257" s="266"/>
      <c r="K257" s="244"/>
      <c r="L257" s="244"/>
      <c r="M257" s="244"/>
      <c r="N257" s="244"/>
      <c r="O257" s="244"/>
      <c r="P257" s="244"/>
      <c r="Q257" s="244"/>
      <c r="R257" s="244"/>
      <c r="S257" s="244"/>
      <c r="T257" s="244"/>
      <c r="U257" s="244"/>
      <c r="V257" s="244"/>
      <c r="W257" s="244"/>
      <c r="X257" s="244"/>
      <c r="Y257" s="244"/>
      <c r="Z257" s="244"/>
    </row>
    <row r="258" ht="11.25" customHeight="1">
      <c r="A258" s="244"/>
      <c r="B258" s="244"/>
      <c r="C258" s="266"/>
      <c r="D258" s="266"/>
      <c r="E258" s="266"/>
      <c r="F258" s="266"/>
      <c r="G258" s="266"/>
      <c r="H258" s="266"/>
      <c r="I258" s="266"/>
      <c r="J258" s="266"/>
      <c r="K258" s="244"/>
      <c r="L258" s="244"/>
      <c r="M258" s="244"/>
      <c r="N258" s="244"/>
      <c r="O258" s="244"/>
      <c r="P258" s="244"/>
      <c r="Q258" s="244"/>
      <c r="R258" s="244"/>
      <c r="S258" s="244"/>
      <c r="T258" s="244"/>
      <c r="U258" s="244"/>
      <c r="V258" s="244"/>
      <c r="W258" s="244"/>
      <c r="X258" s="244"/>
      <c r="Y258" s="244"/>
      <c r="Z258" s="244"/>
    </row>
    <row r="259" ht="11.25" customHeight="1">
      <c r="A259" s="244"/>
      <c r="B259" s="244"/>
      <c r="C259" s="266"/>
      <c r="D259" s="266"/>
      <c r="E259" s="266"/>
      <c r="F259" s="266"/>
      <c r="G259" s="266"/>
      <c r="H259" s="266"/>
      <c r="I259" s="266"/>
      <c r="J259" s="266"/>
      <c r="K259" s="244"/>
      <c r="L259" s="244"/>
      <c r="M259" s="244"/>
      <c r="N259" s="244"/>
      <c r="O259" s="244"/>
      <c r="P259" s="244"/>
      <c r="Q259" s="244"/>
      <c r="R259" s="244"/>
      <c r="S259" s="244"/>
      <c r="T259" s="244"/>
      <c r="U259" s="244"/>
      <c r="V259" s="244"/>
      <c r="W259" s="244"/>
      <c r="X259" s="244"/>
      <c r="Y259" s="244"/>
      <c r="Z259" s="244"/>
    </row>
    <row r="260" ht="11.25" customHeight="1">
      <c r="A260" s="244"/>
      <c r="B260" s="244"/>
      <c r="C260" s="266"/>
      <c r="D260" s="266"/>
      <c r="E260" s="266"/>
      <c r="F260" s="266"/>
      <c r="G260" s="266"/>
      <c r="H260" s="266"/>
      <c r="I260" s="266"/>
      <c r="J260" s="266"/>
      <c r="K260" s="244"/>
      <c r="L260" s="244"/>
      <c r="M260" s="244"/>
      <c r="N260" s="244"/>
      <c r="O260" s="244"/>
      <c r="P260" s="244"/>
      <c r="Q260" s="244"/>
      <c r="R260" s="244"/>
      <c r="S260" s="244"/>
      <c r="T260" s="244"/>
      <c r="U260" s="244"/>
      <c r="V260" s="244"/>
      <c r="W260" s="244"/>
      <c r="X260" s="244"/>
      <c r="Y260" s="244"/>
      <c r="Z260" s="244"/>
    </row>
    <row r="261" ht="11.25" customHeight="1">
      <c r="A261" s="244"/>
      <c r="B261" s="244"/>
      <c r="C261" s="266"/>
      <c r="D261" s="266"/>
      <c r="E261" s="266"/>
      <c r="F261" s="266"/>
      <c r="G261" s="266"/>
      <c r="H261" s="266"/>
      <c r="I261" s="266"/>
      <c r="J261" s="266"/>
      <c r="K261" s="244"/>
      <c r="L261" s="244"/>
      <c r="M261" s="244"/>
      <c r="N261" s="244"/>
      <c r="O261" s="244"/>
      <c r="P261" s="244"/>
      <c r="Q261" s="244"/>
      <c r="R261" s="244"/>
      <c r="S261" s="244"/>
      <c r="T261" s="244"/>
      <c r="U261" s="244"/>
      <c r="V261" s="244"/>
      <c r="W261" s="244"/>
      <c r="X261" s="244"/>
      <c r="Y261" s="244"/>
      <c r="Z261" s="244"/>
    </row>
    <row r="262" ht="11.25" customHeight="1">
      <c r="A262" s="244"/>
      <c r="B262" s="244"/>
      <c r="C262" s="266"/>
      <c r="D262" s="266"/>
      <c r="E262" s="266"/>
      <c r="F262" s="266"/>
      <c r="G262" s="266"/>
      <c r="H262" s="266"/>
      <c r="I262" s="266"/>
      <c r="J262" s="266"/>
      <c r="K262" s="244"/>
      <c r="L262" s="244"/>
      <c r="M262" s="244"/>
      <c r="N262" s="244"/>
      <c r="O262" s="244"/>
      <c r="P262" s="244"/>
      <c r="Q262" s="244"/>
      <c r="R262" s="244"/>
      <c r="S262" s="244"/>
      <c r="T262" s="244"/>
      <c r="U262" s="244"/>
      <c r="V262" s="244"/>
      <c r="W262" s="244"/>
      <c r="X262" s="244"/>
      <c r="Y262" s="244"/>
      <c r="Z262" s="244"/>
    </row>
    <row r="263" ht="11.25" customHeight="1">
      <c r="A263" s="244"/>
      <c r="B263" s="244"/>
      <c r="C263" s="266"/>
      <c r="D263" s="266"/>
      <c r="E263" s="266"/>
      <c r="F263" s="266"/>
      <c r="G263" s="266"/>
      <c r="H263" s="266"/>
      <c r="I263" s="266"/>
      <c r="J263" s="266"/>
      <c r="K263" s="244"/>
      <c r="L263" s="244"/>
      <c r="M263" s="244"/>
      <c r="N263" s="244"/>
      <c r="O263" s="244"/>
      <c r="P263" s="244"/>
      <c r="Q263" s="244"/>
      <c r="R263" s="244"/>
      <c r="S263" s="244"/>
      <c r="T263" s="244"/>
      <c r="U263" s="244"/>
      <c r="V263" s="244"/>
      <c r="W263" s="244"/>
      <c r="X263" s="244"/>
      <c r="Y263" s="244"/>
      <c r="Z263" s="244"/>
    </row>
    <row r="264" ht="11.25" customHeight="1">
      <c r="A264" s="244"/>
      <c r="B264" s="244"/>
      <c r="C264" s="266"/>
      <c r="D264" s="266"/>
      <c r="E264" s="266"/>
      <c r="F264" s="266"/>
      <c r="G264" s="266"/>
      <c r="H264" s="266"/>
      <c r="I264" s="266"/>
      <c r="J264" s="266"/>
      <c r="K264" s="244"/>
      <c r="L264" s="244"/>
      <c r="M264" s="244"/>
      <c r="N264" s="244"/>
      <c r="O264" s="244"/>
      <c r="P264" s="244"/>
      <c r="Q264" s="244"/>
      <c r="R264" s="244"/>
      <c r="S264" s="244"/>
      <c r="T264" s="244"/>
      <c r="U264" s="244"/>
      <c r="V264" s="244"/>
      <c r="W264" s="244"/>
      <c r="X264" s="244"/>
      <c r="Y264" s="244"/>
      <c r="Z264" s="244"/>
    </row>
    <row r="265" ht="11.25" customHeight="1">
      <c r="A265" s="244"/>
      <c r="B265" s="244"/>
      <c r="C265" s="266"/>
      <c r="D265" s="266"/>
      <c r="E265" s="266"/>
      <c r="F265" s="266"/>
      <c r="G265" s="266"/>
      <c r="H265" s="266"/>
      <c r="I265" s="266"/>
      <c r="J265" s="266"/>
      <c r="K265" s="244"/>
      <c r="L265" s="244"/>
      <c r="M265" s="244"/>
      <c r="N265" s="244"/>
      <c r="O265" s="244"/>
      <c r="P265" s="244"/>
      <c r="Q265" s="244"/>
      <c r="R265" s="244"/>
      <c r="S265" s="244"/>
      <c r="T265" s="244"/>
      <c r="U265" s="244"/>
      <c r="V265" s="244"/>
      <c r="W265" s="244"/>
      <c r="X265" s="244"/>
      <c r="Y265" s="244"/>
      <c r="Z265" s="244"/>
    </row>
    <row r="266" ht="11.25" customHeight="1">
      <c r="A266" s="244"/>
      <c r="B266" s="244"/>
      <c r="C266" s="266"/>
      <c r="D266" s="266"/>
      <c r="E266" s="266"/>
      <c r="F266" s="266"/>
      <c r="G266" s="266"/>
      <c r="H266" s="266"/>
      <c r="I266" s="266"/>
      <c r="J266" s="266"/>
      <c r="K266" s="244"/>
      <c r="L266" s="244"/>
      <c r="M266" s="244"/>
      <c r="N266" s="244"/>
      <c r="O266" s="244"/>
      <c r="P266" s="244"/>
      <c r="Q266" s="244"/>
      <c r="R266" s="244"/>
      <c r="S266" s="244"/>
      <c r="T266" s="244"/>
      <c r="U266" s="244"/>
      <c r="V266" s="244"/>
      <c r="W266" s="244"/>
      <c r="X266" s="244"/>
      <c r="Y266" s="244"/>
      <c r="Z266" s="244"/>
    </row>
    <row r="267" ht="11.25" customHeight="1">
      <c r="A267" s="244"/>
      <c r="B267" s="244"/>
      <c r="C267" s="266"/>
      <c r="D267" s="266"/>
      <c r="E267" s="266"/>
      <c r="F267" s="266"/>
      <c r="G267" s="266"/>
      <c r="H267" s="266"/>
      <c r="I267" s="266"/>
      <c r="J267" s="266"/>
      <c r="K267" s="244"/>
      <c r="L267" s="244"/>
      <c r="M267" s="244"/>
      <c r="N267" s="244"/>
      <c r="O267" s="244"/>
      <c r="P267" s="244"/>
      <c r="Q267" s="244"/>
      <c r="R267" s="244"/>
      <c r="S267" s="244"/>
      <c r="T267" s="244"/>
      <c r="U267" s="244"/>
      <c r="V267" s="244"/>
      <c r="W267" s="244"/>
      <c r="X267" s="244"/>
      <c r="Y267" s="244"/>
      <c r="Z267" s="244"/>
    </row>
    <row r="268" ht="11.25" customHeight="1">
      <c r="A268" s="244"/>
      <c r="B268" s="244"/>
      <c r="C268" s="266"/>
      <c r="D268" s="266"/>
      <c r="E268" s="266"/>
      <c r="F268" s="266"/>
      <c r="G268" s="266"/>
      <c r="H268" s="266"/>
      <c r="I268" s="266"/>
      <c r="J268" s="266"/>
      <c r="K268" s="244"/>
      <c r="L268" s="244"/>
      <c r="M268" s="244"/>
      <c r="N268" s="244"/>
      <c r="O268" s="244"/>
      <c r="P268" s="244"/>
      <c r="Q268" s="244"/>
      <c r="R268" s="244"/>
      <c r="S268" s="244"/>
      <c r="T268" s="244"/>
      <c r="U268" s="244"/>
      <c r="V268" s="244"/>
      <c r="W268" s="244"/>
      <c r="X268" s="244"/>
      <c r="Y268" s="244"/>
      <c r="Z268" s="244"/>
    </row>
    <row r="269" ht="11.25" customHeight="1">
      <c r="A269" s="244"/>
      <c r="B269" s="244"/>
      <c r="C269" s="266"/>
      <c r="D269" s="266"/>
      <c r="E269" s="266"/>
      <c r="F269" s="266"/>
      <c r="G269" s="266"/>
      <c r="H269" s="266"/>
      <c r="I269" s="266"/>
      <c r="J269" s="266"/>
      <c r="K269" s="244"/>
      <c r="L269" s="244"/>
      <c r="M269" s="244"/>
      <c r="N269" s="244"/>
      <c r="O269" s="244"/>
      <c r="P269" s="244"/>
      <c r="Q269" s="244"/>
      <c r="R269" s="244"/>
      <c r="S269" s="244"/>
      <c r="T269" s="244"/>
      <c r="U269" s="244"/>
      <c r="V269" s="244"/>
      <c r="W269" s="244"/>
      <c r="X269" s="244"/>
      <c r="Y269" s="244"/>
      <c r="Z269" s="244"/>
    </row>
    <row r="270" ht="11.25" customHeight="1">
      <c r="A270" s="244"/>
      <c r="B270" s="244"/>
      <c r="C270" s="266"/>
      <c r="D270" s="266"/>
      <c r="E270" s="266"/>
      <c r="F270" s="266"/>
      <c r="G270" s="266"/>
      <c r="H270" s="266"/>
      <c r="I270" s="266"/>
      <c r="J270" s="266"/>
      <c r="K270" s="244"/>
      <c r="L270" s="244"/>
      <c r="M270" s="244"/>
      <c r="N270" s="244"/>
      <c r="O270" s="244"/>
      <c r="P270" s="244"/>
      <c r="Q270" s="244"/>
      <c r="R270" s="244"/>
      <c r="S270" s="244"/>
      <c r="T270" s="244"/>
      <c r="U270" s="244"/>
      <c r="V270" s="244"/>
      <c r="W270" s="244"/>
      <c r="X270" s="244"/>
      <c r="Y270" s="244"/>
      <c r="Z270" s="244"/>
    </row>
    <row r="271" ht="11.25" customHeight="1">
      <c r="A271" s="244"/>
      <c r="B271" s="244"/>
      <c r="C271" s="266"/>
      <c r="D271" s="266"/>
      <c r="E271" s="266"/>
      <c r="F271" s="266"/>
      <c r="G271" s="266"/>
      <c r="H271" s="266"/>
      <c r="I271" s="266"/>
      <c r="J271" s="266"/>
      <c r="K271" s="244"/>
      <c r="L271" s="244"/>
      <c r="M271" s="244"/>
      <c r="N271" s="244"/>
      <c r="O271" s="244"/>
      <c r="P271" s="244"/>
      <c r="Q271" s="244"/>
      <c r="R271" s="244"/>
      <c r="S271" s="244"/>
      <c r="T271" s="244"/>
      <c r="U271" s="244"/>
      <c r="V271" s="244"/>
      <c r="W271" s="244"/>
      <c r="X271" s="244"/>
      <c r="Y271" s="244"/>
      <c r="Z271" s="244"/>
    </row>
    <row r="272" ht="11.25" customHeight="1">
      <c r="A272" s="244"/>
      <c r="B272" s="244"/>
      <c r="C272" s="266"/>
      <c r="D272" s="266"/>
      <c r="E272" s="266"/>
      <c r="F272" s="266"/>
      <c r="G272" s="266"/>
      <c r="H272" s="266"/>
      <c r="I272" s="266"/>
      <c r="J272" s="266"/>
      <c r="K272" s="244"/>
      <c r="L272" s="244"/>
      <c r="M272" s="244"/>
      <c r="N272" s="244"/>
      <c r="O272" s="244"/>
      <c r="P272" s="244"/>
      <c r="Q272" s="244"/>
      <c r="R272" s="244"/>
      <c r="S272" s="244"/>
      <c r="T272" s="244"/>
      <c r="U272" s="244"/>
      <c r="V272" s="244"/>
      <c r="W272" s="244"/>
      <c r="X272" s="244"/>
      <c r="Y272" s="244"/>
      <c r="Z272" s="244"/>
    </row>
    <row r="273" ht="11.25" customHeight="1">
      <c r="A273" s="244"/>
      <c r="B273" s="244"/>
      <c r="C273" s="266"/>
      <c r="D273" s="266"/>
      <c r="E273" s="266"/>
      <c r="F273" s="266"/>
      <c r="G273" s="266"/>
      <c r="H273" s="266"/>
      <c r="I273" s="266"/>
      <c r="J273" s="266"/>
      <c r="K273" s="244"/>
      <c r="L273" s="244"/>
      <c r="M273" s="244"/>
      <c r="N273" s="244"/>
      <c r="O273" s="244"/>
      <c r="P273" s="244"/>
      <c r="Q273" s="244"/>
      <c r="R273" s="244"/>
      <c r="S273" s="244"/>
      <c r="T273" s="244"/>
      <c r="U273" s="244"/>
      <c r="V273" s="244"/>
      <c r="W273" s="244"/>
      <c r="X273" s="244"/>
      <c r="Y273" s="244"/>
      <c r="Z273" s="244"/>
    </row>
    <row r="274" ht="11.25" customHeight="1">
      <c r="A274" s="244"/>
      <c r="B274" s="244"/>
      <c r="C274" s="266"/>
      <c r="D274" s="266"/>
      <c r="E274" s="266"/>
      <c r="F274" s="266"/>
      <c r="G274" s="266"/>
      <c r="H274" s="266"/>
      <c r="I274" s="266"/>
      <c r="J274" s="266"/>
      <c r="K274" s="244"/>
      <c r="L274" s="244"/>
      <c r="M274" s="244"/>
      <c r="N274" s="244"/>
      <c r="O274" s="244"/>
      <c r="P274" s="244"/>
      <c r="Q274" s="244"/>
      <c r="R274" s="244"/>
      <c r="S274" s="244"/>
      <c r="T274" s="244"/>
      <c r="U274" s="244"/>
      <c r="V274" s="244"/>
      <c r="W274" s="244"/>
      <c r="X274" s="244"/>
      <c r="Y274" s="244"/>
      <c r="Z274" s="244"/>
    </row>
    <row r="275" ht="11.25" customHeight="1">
      <c r="A275" s="244"/>
      <c r="B275" s="244"/>
      <c r="C275" s="266"/>
      <c r="D275" s="266"/>
      <c r="E275" s="266"/>
      <c r="F275" s="266"/>
      <c r="G275" s="266"/>
      <c r="H275" s="266"/>
      <c r="I275" s="266"/>
      <c r="J275" s="266"/>
      <c r="K275" s="244"/>
      <c r="L275" s="244"/>
      <c r="M275" s="244"/>
      <c r="N275" s="244"/>
      <c r="O275" s="244"/>
      <c r="P275" s="244"/>
      <c r="Q275" s="244"/>
      <c r="R275" s="244"/>
      <c r="S275" s="244"/>
      <c r="T275" s="244"/>
      <c r="U275" s="244"/>
      <c r="V275" s="244"/>
      <c r="W275" s="244"/>
      <c r="X275" s="244"/>
      <c r="Y275" s="244"/>
      <c r="Z275" s="244"/>
    </row>
    <row r="276" ht="11.25" customHeight="1">
      <c r="A276" s="244"/>
      <c r="B276" s="244"/>
      <c r="C276" s="266"/>
      <c r="D276" s="266"/>
      <c r="E276" s="266"/>
      <c r="F276" s="266"/>
      <c r="G276" s="266"/>
      <c r="H276" s="266"/>
      <c r="I276" s="266"/>
      <c r="J276" s="266"/>
      <c r="K276" s="244"/>
      <c r="L276" s="244"/>
      <c r="M276" s="244"/>
      <c r="N276" s="244"/>
      <c r="O276" s="244"/>
      <c r="P276" s="244"/>
      <c r="Q276" s="244"/>
      <c r="R276" s="244"/>
      <c r="S276" s="244"/>
      <c r="T276" s="244"/>
      <c r="U276" s="244"/>
      <c r="V276" s="244"/>
      <c r="W276" s="244"/>
      <c r="X276" s="244"/>
      <c r="Y276" s="244"/>
      <c r="Z276" s="244"/>
    </row>
    <row r="277" ht="11.25" customHeight="1">
      <c r="A277" s="244"/>
      <c r="B277" s="244"/>
      <c r="C277" s="266"/>
      <c r="D277" s="266"/>
      <c r="E277" s="266"/>
      <c r="F277" s="266"/>
      <c r="G277" s="266"/>
      <c r="H277" s="266"/>
      <c r="I277" s="266"/>
      <c r="J277" s="266"/>
      <c r="K277" s="244"/>
      <c r="L277" s="244"/>
      <c r="M277" s="244"/>
      <c r="N277" s="244"/>
      <c r="O277" s="244"/>
      <c r="P277" s="244"/>
      <c r="Q277" s="244"/>
      <c r="R277" s="244"/>
      <c r="S277" s="244"/>
      <c r="T277" s="244"/>
      <c r="U277" s="244"/>
      <c r="V277" s="244"/>
      <c r="W277" s="244"/>
      <c r="X277" s="244"/>
      <c r="Y277" s="244"/>
      <c r="Z277" s="244"/>
    </row>
    <row r="278" ht="11.25" customHeight="1">
      <c r="A278" s="244"/>
      <c r="B278" s="244"/>
      <c r="C278" s="266"/>
      <c r="D278" s="266"/>
      <c r="E278" s="266"/>
      <c r="F278" s="266"/>
      <c r="G278" s="266"/>
      <c r="H278" s="266"/>
      <c r="I278" s="266"/>
      <c r="J278" s="266"/>
      <c r="K278" s="244"/>
      <c r="L278" s="244"/>
      <c r="M278" s="244"/>
      <c r="N278" s="244"/>
      <c r="O278" s="244"/>
      <c r="P278" s="244"/>
      <c r="Q278" s="244"/>
      <c r="R278" s="244"/>
      <c r="S278" s="244"/>
      <c r="T278" s="244"/>
      <c r="U278" s="244"/>
      <c r="V278" s="244"/>
      <c r="W278" s="244"/>
      <c r="X278" s="244"/>
      <c r="Y278" s="244"/>
      <c r="Z278" s="244"/>
    </row>
    <row r="279" ht="11.25" customHeight="1">
      <c r="A279" s="244"/>
      <c r="B279" s="244"/>
      <c r="C279" s="266"/>
      <c r="D279" s="266"/>
      <c r="E279" s="266"/>
      <c r="F279" s="266"/>
      <c r="G279" s="266"/>
      <c r="H279" s="266"/>
      <c r="I279" s="266"/>
      <c r="J279" s="266"/>
      <c r="K279" s="244"/>
      <c r="L279" s="244"/>
      <c r="M279" s="244"/>
      <c r="N279" s="244"/>
      <c r="O279" s="244"/>
      <c r="P279" s="244"/>
      <c r="Q279" s="244"/>
      <c r="R279" s="244"/>
      <c r="S279" s="244"/>
      <c r="T279" s="244"/>
      <c r="U279" s="244"/>
      <c r="V279" s="244"/>
      <c r="W279" s="244"/>
      <c r="X279" s="244"/>
      <c r="Y279" s="244"/>
      <c r="Z279" s="244"/>
    </row>
    <row r="280" ht="11.25" customHeight="1">
      <c r="A280" s="244"/>
      <c r="B280" s="244"/>
      <c r="C280" s="266"/>
      <c r="D280" s="266"/>
      <c r="E280" s="266"/>
      <c r="F280" s="266"/>
      <c r="G280" s="266"/>
      <c r="H280" s="266"/>
      <c r="I280" s="266"/>
      <c r="J280" s="266"/>
      <c r="K280" s="244"/>
      <c r="L280" s="244"/>
      <c r="M280" s="244"/>
      <c r="N280" s="244"/>
      <c r="O280" s="244"/>
      <c r="P280" s="244"/>
      <c r="Q280" s="244"/>
      <c r="R280" s="244"/>
      <c r="S280" s="244"/>
      <c r="T280" s="244"/>
      <c r="U280" s="244"/>
      <c r="V280" s="244"/>
      <c r="W280" s="244"/>
      <c r="X280" s="244"/>
      <c r="Y280" s="244"/>
      <c r="Z280" s="244"/>
    </row>
    <row r="281" ht="11.25" customHeight="1">
      <c r="A281" s="244"/>
      <c r="B281" s="244"/>
      <c r="C281" s="266"/>
      <c r="D281" s="266"/>
      <c r="E281" s="266"/>
      <c r="F281" s="266"/>
      <c r="G281" s="266"/>
      <c r="H281" s="266"/>
      <c r="I281" s="266"/>
      <c r="J281" s="266"/>
      <c r="K281" s="244"/>
      <c r="L281" s="244"/>
      <c r="M281" s="244"/>
      <c r="N281" s="244"/>
      <c r="O281" s="244"/>
      <c r="P281" s="244"/>
      <c r="Q281" s="244"/>
      <c r="R281" s="244"/>
      <c r="S281" s="244"/>
      <c r="T281" s="244"/>
      <c r="U281" s="244"/>
      <c r="V281" s="244"/>
      <c r="W281" s="244"/>
      <c r="X281" s="244"/>
      <c r="Y281" s="244"/>
      <c r="Z281" s="244"/>
    </row>
    <row r="282" ht="11.25" customHeight="1">
      <c r="A282" s="244"/>
      <c r="B282" s="244"/>
      <c r="C282" s="266"/>
      <c r="D282" s="266"/>
      <c r="E282" s="266"/>
      <c r="F282" s="266"/>
      <c r="G282" s="266"/>
      <c r="H282" s="266"/>
      <c r="I282" s="266"/>
      <c r="J282" s="266"/>
      <c r="K282" s="244"/>
      <c r="L282" s="244"/>
      <c r="M282" s="244"/>
      <c r="N282" s="244"/>
      <c r="O282" s="244"/>
      <c r="P282" s="244"/>
      <c r="Q282" s="244"/>
      <c r="R282" s="244"/>
      <c r="S282" s="244"/>
      <c r="T282" s="244"/>
      <c r="U282" s="244"/>
      <c r="V282" s="244"/>
      <c r="W282" s="244"/>
      <c r="X282" s="244"/>
      <c r="Y282" s="244"/>
      <c r="Z282" s="244"/>
    </row>
    <row r="283" ht="11.25" customHeight="1">
      <c r="A283" s="244"/>
      <c r="B283" s="244"/>
      <c r="C283" s="266"/>
      <c r="D283" s="266"/>
      <c r="E283" s="266"/>
      <c r="F283" s="266"/>
      <c r="G283" s="266"/>
      <c r="H283" s="266"/>
      <c r="I283" s="266"/>
      <c r="J283" s="266"/>
      <c r="K283" s="244"/>
      <c r="L283" s="244"/>
      <c r="M283" s="244"/>
      <c r="N283" s="244"/>
      <c r="O283" s="244"/>
      <c r="P283" s="244"/>
      <c r="Q283" s="244"/>
      <c r="R283" s="244"/>
      <c r="S283" s="244"/>
      <c r="T283" s="244"/>
      <c r="U283" s="244"/>
      <c r="V283" s="244"/>
      <c r="W283" s="244"/>
      <c r="X283" s="244"/>
      <c r="Y283" s="244"/>
      <c r="Z283" s="244"/>
    </row>
    <row r="284" ht="11.25" customHeight="1">
      <c r="A284" s="244"/>
      <c r="B284" s="244"/>
      <c r="C284" s="266"/>
      <c r="D284" s="266"/>
      <c r="E284" s="266"/>
      <c r="F284" s="266"/>
      <c r="G284" s="266"/>
      <c r="H284" s="266"/>
      <c r="I284" s="266"/>
      <c r="J284" s="266"/>
      <c r="K284" s="244"/>
      <c r="L284" s="244"/>
      <c r="M284" s="244"/>
      <c r="N284" s="244"/>
      <c r="O284" s="244"/>
      <c r="P284" s="244"/>
      <c r="Q284" s="244"/>
      <c r="R284" s="244"/>
      <c r="S284" s="244"/>
      <c r="T284" s="244"/>
      <c r="U284" s="244"/>
      <c r="V284" s="244"/>
      <c r="W284" s="244"/>
      <c r="X284" s="244"/>
      <c r="Y284" s="244"/>
      <c r="Z284" s="244"/>
    </row>
    <row r="285" ht="11.25" customHeight="1">
      <c r="A285" s="244"/>
      <c r="B285" s="244"/>
      <c r="C285" s="266"/>
      <c r="D285" s="266"/>
      <c r="E285" s="266"/>
      <c r="F285" s="266"/>
      <c r="G285" s="266"/>
      <c r="H285" s="266"/>
      <c r="I285" s="266"/>
      <c r="J285" s="266"/>
      <c r="K285" s="244"/>
      <c r="L285" s="244"/>
      <c r="M285" s="244"/>
      <c r="N285" s="244"/>
      <c r="O285" s="244"/>
      <c r="P285" s="244"/>
      <c r="Q285" s="244"/>
      <c r="R285" s="244"/>
      <c r="S285" s="244"/>
      <c r="T285" s="244"/>
      <c r="U285" s="244"/>
      <c r="V285" s="244"/>
      <c r="W285" s="244"/>
      <c r="X285" s="244"/>
      <c r="Y285" s="244"/>
      <c r="Z285" s="244"/>
    </row>
    <row r="286" ht="11.25" customHeight="1">
      <c r="A286" s="244"/>
      <c r="B286" s="244"/>
      <c r="C286" s="266"/>
      <c r="D286" s="266"/>
      <c r="E286" s="266"/>
      <c r="F286" s="266"/>
      <c r="G286" s="266"/>
      <c r="H286" s="266"/>
      <c r="I286" s="266"/>
      <c r="J286" s="266"/>
      <c r="K286" s="244"/>
      <c r="L286" s="244"/>
      <c r="M286" s="244"/>
      <c r="N286" s="244"/>
      <c r="O286" s="244"/>
      <c r="P286" s="244"/>
      <c r="Q286" s="244"/>
      <c r="R286" s="244"/>
      <c r="S286" s="244"/>
      <c r="T286" s="244"/>
      <c r="U286" s="244"/>
      <c r="V286" s="244"/>
      <c r="W286" s="244"/>
      <c r="X286" s="244"/>
      <c r="Y286" s="244"/>
      <c r="Z286" s="244"/>
    </row>
    <row r="287" ht="11.25" customHeight="1">
      <c r="A287" s="244"/>
      <c r="B287" s="244"/>
      <c r="C287" s="266"/>
      <c r="D287" s="266"/>
      <c r="E287" s="266"/>
      <c r="F287" s="266"/>
      <c r="G287" s="266"/>
      <c r="H287" s="266"/>
      <c r="I287" s="266"/>
      <c r="J287" s="266"/>
      <c r="K287" s="244"/>
      <c r="L287" s="244"/>
      <c r="M287" s="244"/>
      <c r="N287" s="244"/>
      <c r="O287" s="244"/>
      <c r="P287" s="244"/>
      <c r="Q287" s="244"/>
      <c r="R287" s="244"/>
      <c r="S287" s="244"/>
      <c r="T287" s="244"/>
      <c r="U287" s="244"/>
      <c r="V287" s="244"/>
      <c r="W287" s="244"/>
      <c r="X287" s="244"/>
      <c r="Y287" s="244"/>
      <c r="Z287" s="244"/>
    </row>
    <row r="288" ht="11.25" customHeight="1">
      <c r="A288" s="244"/>
      <c r="B288" s="244"/>
      <c r="C288" s="266"/>
      <c r="D288" s="266"/>
      <c r="E288" s="266"/>
      <c r="F288" s="266"/>
      <c r="G288" s="266"/>
      <c r="H288" s="266"/>
      <c r="I288" s="266"/>
      <c r="J288" s="266"/>
      <c r="K288" s="244"/>
      <c r="L288" s="244"/>
      <c r="M288" s="244"/>
      <c r="N288" s="244"/>
      <c r="O288" s="244"/>
      <c r="P288" s="244"/>
      <c r="Q288" s="244"/>
      <c r="R288" s="244"/>
      <c r="S288" s="244"/>
      <c r="T288" s="244"/>
      <c r="U288" s="244"/>
      <c r="V288" s="244"/>
      <c r="W288" s="244"/>
      <c r="X288" s="244"/>
      <c r="Y288" s="244"/>
      <c r="Z288" s="244"/>
    </row>
    <row r="289" ht="11.25" customHeight="1">
      <c r="A289" s="244"/>
      <c r="B289" s="244"/>
      <c r="C289" s="266"/>
      <c r="D289" s="266"/>
      <c r="E289" s="266"/>
      <c r="F289" s="266"/>
      <c r="G289" s="266"/>
      <c r="H289" s="266"/>
      <c r="I289" s="266"/>
      <c r="J289" s="266"/>
      <c r="K289" s="244"/>
      <c r="L289" s="244"/>
      <c r="M289" s="244"/>
      <c r="N289" s="244"/>
      <c r="O289" s="244"/>
      <c r="P289" s="244"/>
      <c r="Q289" s="244"/>
      <c r="R289" s="244"/>
      <c r="S289" s="244"/>
      <c r="T289" s="244"/>
      <c r="U289" s="244"/>
      <c r="V289" s="244"/>
      <c r="W289" s="244"/>
      <c r="X289" s="244"/>
      <c r="Y289" s="244"/>
      <c r="Z289" s="244"/>
    </row>
    <row r="290" ht="11.25" customHeight="1">
      <c r="A290" s="244"/>
      <c r="B290" s="244"/>
      <c r="C290" s="266"/>
      <c r="D290" s="266"/>
      <c r="E290" s="266"/>
      <c r="F290" s="266"/>
      <c r="G290" s="266"/>
      <c r="H290" s="266"/>
      <c r="I290" s="266"/>
      <c r="J290" s="266"/>
      <c r="K290" s="244"/>
      <c r="L290" s="244"/>
      <c r="M290" s="244"/>
      <c r="N290" s="244"/>
      <c r="O290" s="244"/>
      <c r="P290" s="244"/>
      <c r="Q290" s="244"/>
      <c r="R290" s="244"/>
      <c r="S290" s="244"/>
      <c r="T290" s="244"/>
      <c r="U290" s="244"/>
      <c r="V290" s="244"/>
      <c r="W290" s="244"/>
      <c r="X290" s="244"/>
      <c r="Y290" s="244"/>
      <c r="Z290" s="244"/>
    </row>
    <row r="291" ht="11.25" customHeight="1">
      <c r="A291" s="244"/>
      <c r="B291" s="244"/>
      <c r="C291" s="266"/>
      <c r="D291" s="266"/>
      <c r="E291" s="266"/>
      <c r="F291" s="266"/>
      <c r="G291" s="266"/>
      <c r="H291" s="266"/>
      <c r="I291" s="266"/>
      <c r="J291" s="266"/>
      <c r="K291" s="244"/>
      <c r="L291" s="244"/>
      <c r="M291" s="244"/>
      <c r="N291" s="244"/>
      <c r="O291" s="244"/>
      <c r="P291" s="244"/>
      <c r="Q291" s="244"/>
      <c r="R291" s="244"/>
      <c r="S291" s="244"/>
      <c r="T291" s="244"/>
      <c r="U291" s="244"/>
      <c r="V291" s="244"/>
      <c r="W291" s="244"/>
      <c r="X291" s="244"/>
      <c r="Y291" s="244"/>
      <c r="Z291" s="244"/>
    </row>
    <row r="292" ht="11.25" customHeight="1">
      <c r="A292" s="244"/>
      <c r="B292" s="244"/>
      <c r="C292" s="266"/>
      <c r="D292" s="266"/>
      <c r="E292" s="266"/>
      <c r="F292" s="266"/>
      <c r="G292" s="266"/>
      <c r="H292" s="266"/>
      <c r="I292" s="266"/>
      <c r="J292" s="266"/>
      <c r="K292" s="244"/>
      <c r="L292" s="244"/>
      <c r="M292" s="244"/>
      <c r="N292" s="244"/>
      <c r="O292" s="244"/>
      <c r="P292" s="244"/>
      <c r="Q292" s="244"/>
      <c r="R292" s="244"/>
      <c r="S292" s="244"/>
      <c r="T292" s="244"/>
      <c r="U292" s="244"/>
      <c r="V292" s="244"/>
      <c r="W292" s="244"/>
      <c r="X292" s="244"/>
      <c r="Y292" s="244"/>
      <c r="Z292" s="244"/>
    </row>
    <row r="293" ht="11.25" customHeight="1">
      <c r="A293" s="244"/>
      <c r="B293" s="244"/>
      <c r="C293" s="266"/>
      <c r="D293" s="266"/>
      <c r="E293" s="266"/>
      <c r="F293" s="266"/>
      <c r="G293" s="266"/>
      <c r="H293" s="266"/>
      <c r="I293" s="266"/>
      <c r="J293" s="266"/>
      <c r="K293" s="244"/>
      <c r="L293" s="244"/>
      <c r="M293" s="244"/>
      <c r="N293" s="244"/>
      <c r="O293" s="244"/>
      <c r="P293" s="244"/>
      <c r="Q293" s="244"/>
      <c r="R293" s="244"/>
      <c r="S293" s="244"/>
      <c r="T293" s="244"/>
      <c r="U293" s="244"/>
      <c r="V293" s="244"/>
      <c r="W293" s="244"/>
      <c r="X293" s="244"/>
      <c r="Y293" s="244"/>
      <c r="Z293" s="244"/>
    </row>
    <row r="294" ht="11.25" customHeight="1">
      <c r="A294" s="244"/>
      <c r="B294" s="244"/>
      <c r="C294" s="266"/>
      <c r="D294" s="266"/>
      <c r="E294" s="266"/>
      <c r="F294" s="266"/>
      <c r="G294" s="266"/>
      <c r="H294" s="266"/>
      <c r="I294" s="266"/>
      <c r="J294" s="266"/>
      <c r="K294" s="244"/>
      <c r="L294" s="244"/>
      <c r="M294" s="244"/>
      <c r="N294" s="244"/>
      <c r="O294" s="244"/>
      <c r="P294" s="244"/>
      <c r="Q294" s="244"/>
      <c r="R294" s="244"/>
      <c r="S294" s="244"/>
      <c r="T294" s="244"/>
      <c r="U294" s="244"/>
      <c r="V294" s="244"/>
      <c r="W294" s="244"/>
      <c r="X294" s="244"/>
      <c r="Y294" s="244"/>
      <c r="Z294" s="244"/>
    </row>
    <row r="295" ht="11.25" customHeight="1">
      <c r="A295" s="244"/>
      <c r="B295" s="244"/>
      <c r="C295" s="266"/>
      <c r="D295" s="266"/>
      <c r="E295" s="266"/>
      <c r="F295" s="266"/>
      <c r="G295" s="266"/>
      <c r="H295" s="266"/>
      <c r="I295" s="266"/>
      <c r="J295" s="266"/>
      <c r="K295" s="244"/>
      <c r="L295" s="244"/>
      <c r="M295" s="244"/>
      <c r="N295" s="244"/>
      <c r="O295" s="244"/>
      <c r="P295" s="244"/>
      <c r="Q295" s="244"/>
      <c r="R295" s="244"/>
      <c r="S295" s="244"/>
      <c r="T295" s="244"/>
      <c r="U295" s="244"/>
      <c r="V295" s="244"/>
      <c r="W295" s="244"/>
      <c r="X295" s="244"/>
      <c r="Y295" s="244"/>
      <c r="Z295" s="244"/>
    </row>
    <row r="296" ht="11.25" customHeight="1">
      <c r="A296" s="244"/>
      <c r="B296" s="244"/>
      <c r="C296" s="266"/>
      <c r="D296" s="266"/>
      <c r="E296" s="266"/>
      <c r="F296" s="266"/>
      <c r="G296" s="266"/>
      <c r="H296" s="266"/>
      <c r="I296" s="266"/>
      <c r="J296" s="266"/>
      <c r="K296" s="244"/>
      <c r="L296" s="244"/>
      <c r="M296" s="244"/>
      <c r="N296" s="244"/>
      <c r="O296" s="244"/>
      <c r="P296" s="244"/>
      <c r="Q296" s="244"/>
      <c r="R296" s="244"/>
      <c r="S296" s="244"/>
      <c r="T296" s="244"/>
      <c r="U296" s="244"/>
      <c r="V296" s="244"/>
      <c r="W296" s="244"/>
      <c r="X296" s="244"/>
      <c r="Y296" s="244"/>
      <c r="Z296" s="244"/>
    </row>
    <row r="297" ht="11.25" customHeight="1">
      <c r="A297" s="244"/>
      <c r="B297" s="244"/>
      <c r="C297" s="266"/>
      <c r="D297" s="266"/>
      <c r="E297" s="266"/>
      <c r="F297" s="266"/>
      <c r="G297" s="266"/>
      <c r="H297" s="266"/>
      <c r="I297" s="266"/>
      <c r="J297" s="266"/>
      <c r="K297" s="244"/>
      <c r="L297" s="244"/>
      <c r="M297" s="244"/>
      <c r="N297" s="244"/>
      <c r="O297" s="244"/>
      <c r="P297" s="244"/>
      <c r="Q297" s="244"/>
      <c r="R297" s="244"/>
      <c r="S297" s="244"/>
      <c r="T297" s="244"/>
      <c r="U297" s="244"/>
      <c r="V297" s="244"/>
      <c r="W297" s="244"/>
      <c r="X297" s="244"/>
      <c r="Y297" s="244"/>
      <c r="Z297" s="244"/>
    </row>
    <row r="298" ht="11.25" customHeight="1">
      <c r="A298" s="244"/>
      <c r="B298" s="244"/>
      <c r="C298" s="266"/>
      <c r="D298" s="266"/>
      <c r="E298" s="266"/>
      <c r="F298" s="266"/>
      <c r="G298" s="266"/>
      <c r="H298" s="266"/>
      <c r="I298" s="266"/>
      <c r="J298" s="266"/>
      <c r="K298" s="244"/>
      <c r="L298" s="244"/>
      <c r="M298" s="244"/>
      <c r="N298" s="244"/>
      <c r="O298" s="244"/>
      <c r="P298" s="244"/>
      <c r="Q298" s="244"/>
      <c r="R298" s="244"/>
      <c r="S298" s="244"/>
      <c r="T298" s="244"/>
      <c r="U298" s="244"/>
      <c r="V298" s="244"/>
      <c r="W298" s="244"/>
      <c r="X298" s="244"/>
      <c r="Y298" s="244"/>
      <c r="Z298" s="244"/>
    </row>
    <row r="299" ht="11.25" customHeight="1">
      <c r="A299" s="244"/>
      <c r="B299" s="244"/>
      <c r="C299" s="266"/>
      <c r="D299" s="266"/>
      <c r="E299" s="266"/>
      <c r="F299" s="266"/>
      <c r="G299" s="266"/>
      <c r="H299" s="266"/>
      <c r="I299" s="266"/>
      <c r="J299" s="266"/>
      <c r="K299" s="244"/>
      <c r="L299" s="244"/>
      <c r="M299" s="244"/>
      <c r="N299" s="244"/>
      <c r="O299" s="244"/>
      <c r="P299" s="244"/>
      <c r="Q299" s="244"/>
      <c r="R299" s="244"/>
      <c r="S299" s="244"/>
      <c r="T299" s="244"/>
      <c r="U299" s="244"/>
      <c r="V299" s="244"/>
      <c r="W299" s="244"/>
      <c r="X299" s="244"/>
      <c r="Y299" s="244"/>
      <c r="Z299" s="244"/>
    </row>
    <row r="300" ht="11.25" customHeight="1">
      <c r="A300" s="244"/>
      <c r="B300" s="244"/>
      <c r="C300" s="266"/>
      <c r="D300" s="266"/>
      <c r="E300" s="266"/>
      <c r="F300" s="266"/>
      <c r="G300" s="266"/>
      <c r="H300" s="266"/>
      <c r="I300" s="266"/>
      <c r="J300" s="266"/>
      <c r="K300" s="244"/>
      <c r="L300" s="244"/>
      <c r="M300" s="244"/>
      <c r="N300" s="244"/>
      <c r="O300" s="244"/>
      <c r="P300" s="244"/>
      <c r="Q300" s="244"/>
      <c r="R300" s="244"/>
      <c r="S300" s="244"/>
      <c r="T300" s="244"/>
      <c r="U300" s="244"/>
      <c r="V300" s="244"/>
      <c r="W300" s="244"/>
      <c r="X300" s="244"/>
      <c r="Y300" s="244"/>
      <c r="Z300" s="244"/>
    </row>
    <row r="301" ht="11.25" customHeight="1">
      <c r="A301" s="244"/>
      <c r="B301" s="244"/>
      <c r="C301" s="266"/>
      <c r="D301" s="266"/>
      <c r="E301" s="266"/>
      <c r="F301" s="266"/>
      <c r="G301" s="266"/>
      <c r="H301" s="266"/>
      <c r="I301" s="266"/>
      <c r="J301" s="266"/>
      <c r="K301" s="244"/>
      <c r="L301" s="244"/>
      <c r="M301" s="244"/>
      <c r="N301" s="244"/>
      <c r="O301" s="244"/>
      <c r="P301" s="244"/>
      <c r="Q301" s="244"/>
      <c r="R301" s="244"/>
      <c r="S301" s="244"/>
      <c r="T301" s="244"/>
      <c r="U301" s="244"/>
      <c r="V301" s="244"/>
      <c r="W301" s="244"/>
      <c r="X301" s="244"/>
      <c r="Y301" s="244"/>
      <c r="Z301" s="244"/>
    </row>
    <row r="302" ht="11.25" customHeight="1">
      <c r="A302" s="244"/>
      <c r="B302" s="244"/>
      <c r="C302" s="266"/>
      <c r="D302" s="266"/>
      <c r="E302" s="266"/>
      <c r="F302" s="266"/>
      <c r="G302" s="266"/>
      <c r="H302" s="266"/>
      <c r="I302" s="266"/>
      <c r="J302" s="266"/>
      <c r="K302" s="244"/>
      <c r="L302" s="244"/>
      <c r="M302" s="244"/>
      <c r="N302" s="244"/>
      <c r="O302" s="244"/>
      <c r="P302" s="244"/>
      <c r="Q302" s="244"/>
      <c r="R302" s="244"/>
      <c r="S302" s="244"/>
      <c r="T302" s="244"/>
      <c r="U302" s="244"/>
      <c r="V302" s="244"/>
      <c r="W302" s="244"/>
      <c r="X302" s="244"/>
      <c r="Y302" s="244"/>
      <c r="Z302" s="244"/>
    </row>
    <row r="303" ht="11.25" customHeight="1">
      <c r="A303" s="244"/>
      <c r="B303" s="244"/>
      <c r="C303" s="266"/>
      <c r="D303" s="266"/>
      <c r="E303" s="266"/>
      <c r="F303" s="266"/>
      <c r="G303" s="266"/>
      <c r="H303" s="266"/>
      <c r="I303" s="266"/>
      <c r="J303" s="266"/>
      <c r="K303" s="244"/>
      <c r="L303" s="244"/>
      <c r="M303" s="244"/>
      <c r="N303" s="244"/>
      <c r="O303" s="244"/>
      <c r="P303" s="244"/>
      <c r="Q303" s="244"/>
      <c r="R303" s="244"/>
      <c r="S303" s="244"/>
      <c r="T303" s="244"/>
      <c r="U303" s="244"/>
      <c r="V303" s="244"/>
      <c r="W303" s="244"/>
      <c r="X303" s="244"/>
      <c r="Y303" s="244"/>
      <c r="Z303" s="244"/>
    </row>
    <row r="304" ht="11.25" customHeight="1">
      <c r="A304" s="244"/>
      <c r="B304" s="244"/>
      <c r="C304" s="266"/>
      <c r="D304" s="266"/>
      <c r="E304" s="266"/>
      <c r="F304" s="266"/>
      <c r="G304" s="266"/>
      <c r="H304" s="266"/>
      <c r="I304" s="266"/>
      <c r="J304" s="266"/>
      <c r="K304" s="244"/>
      <c r="L304" s="244"/>
      <c r="M304" s="244"/>
      <c r="N304" s="244"/>
      <c r="O304" s="244"/>
      <c r="P304" s="244"/>
      <c r="Q304" s="244"/>
      <c r="R304" s="244"/>
      <c r="S304" s="244"/>
      <c r="T304" s="244"/>
      <c r="U304" s="244"/>
      <c r="V304" s="244"/>
      <c r="W304" s="244"/>
      <c r="X304" s="244"/>
      <c r="Y304" s="244"/>
      <c r="Z304" s="244"/>
    </row>
    <row r="305" ht="11.25" customHeight="1">
      <c r="A305" s="244"/>
      <c r="B305" s="244"/>
      <c r="C305" s="266"/>
      <c r="D305" s="266"/>
      <c r="E305" s="266"/>
      <c r="F305" s="266"/>
      <c r="G305" s="266"/>
      <c r="H305" s="266"/>
      <c r="I305" s="266"/>
      <c r="J305" s="266"/>
      <c r="K305" s="244"/>
      <c r="L305" s="244"/>
      <c r="M305" s="244"/>
      <c r="N305" s="244"/>
      <c r="O305" s="244"/>
      <c r="P305" s="244"/>
      <c r="Q305" s="244"/>
      <c r="R305" s="244"/>
      <c r="S305" s="244"/>
      <c r="T305" s="244"/>
      <c r="U305" s="244"/>
      <c r="V305" s="244"/>
      <c r="W305" s="244"/>
      <c r="X305" s="244"/>
      <c r="Y305" s="244"/>
      <c r="Z305" s="244"/>
    </row>
    <row r="306" ht="11.25" customHeight="1">
      <c r="A306" s="244"/>
      <c r="B306" s="244"/>
      <c r="C306" s="266"/>
      <c r="D306" s="266"/>
      <c r="E306" s="266"/>
      <c r="F306" s="266"/>
      <c r="G306" s="266"/>
      <c r="H306" s="266"/>
      <c r="I306" s="266"/>
      <c r="J306" s="266"/>
      <c r="K306" s="244"/>
      <c r="L306" s="244"/>
      <c r="M306" s="244"/>
      <c r="N306" s="244"/>
      <c r="O306" s="244"/>
      <c r="P306" s="244"/>
      <c r="Q306" s="244"/>
      <c r="R306" s="244"/>
      <c r="S306" s="244"/>
      <c r="T306" s="244"/>
      <c r="U306" s="244"/>
      <c r="V306" s="244"/>
      <c r="W306" s="244"/>
      <c r="X306" s="244"/>
      <c r="Y306" s="244"/>
      <c r="Z306" s="244"/>
    </row>
    <row r="307" ht="11.25" customHeight="1">
      <c r="A307" s="244"/>
      <c r="B307" s="244"/>
      <c r="C307" s="266"/>
      <c r="D307" s="266"/>
      <c r="E307" s="266"/>
      <c r="F307" s="266"/>
      <c r="G307" s="266"/>
      <c r="H307" s="266"/>
      <c r="I307" s="266"/>
      <c r="J307" s="266"/>
      <c r="K307" s="244"/>
      <c r="L307" s="244"/>
      <c r="M307" s="244"/>
      <c r="N307" s="244"/>
      <c r="O307" s="244"/>
      <c r="P307" s="244"/>
      <c r="Q307" s="244"/>
      <c r="R307" s="244"/>
      <c r="S307" s="244"/>
      <c r="T307" s="244"/>
      <c r="U307" s="244"/>
      <c r="V307" s="244"/>
      <c r="W307" s="244"/>
      <c r="X307" s="244"/>
      <c r="Y307" s="244"/>
      <c r="Z307" s="244"/>
    </row>
    <row r="308" ht="11.25" customHeight="1">
      <c r="A308" s="244"/>
      <c r="B308" s="244"/>
      <c r="C308" s="266"/>
      <c r="D308" s="266"/>
      <c r="E308" s="266"/>
      <c r="F308" s="266"/>
      <c r="G308" s="266"/>
      <c r="H308" s="266"/>
      <c r="I308" s="266"/>
      <c r="J308" s="266"/>
      <c r="K308" s="244"/>
      <c r="L308" s="244"/>
      <c r="M308" s="244"/>
      <c r="N308" s="244"/>
      <c r="O308" s="244"/>
      <c r="P308" s="244"/>
      <c r="Q308" s="244"/>
      <c r="R308" s="244"/>
      <c r="S308" s="244"/>
      <c r="T308" s="244"/>
      <c r="U308" s="244"/>
      <c r="V308" s="244"/>
      <c r="W308" s="244"/>
      <c r="X308" s="244"/>
      <c r="Y308" s="244"/>
      <c r="Z308" s="244"/>
    </row>
    <row r="309" ht="11.25" customHeight="1">
      <c r="A309" s="244"/>
      <c r="B309" s="244"/>
      <c r="C309" s="266"/>
      <c r="D309" s="266"/>
      <c r="E309" s="266"/>
      <c r="F309" s="266"/>
      <c r="G309" s="266"/>
      <c r="H309" s="266"/>
      <c r="I309" s="266"/>
      <c r="J309" s="266"/>
      <c r="K309" s="244"/>
      <c r="L309" s="244"/>
      <c r="M309" s="244"/>
      <c r="N309" s="244"/>
      <c r="O309" s="244"/>
      <c r="P309" s="244"/>
      <c r="Q309" s="244"/>
      <c r="R309" s="244"/>
      <c r="S309" s="244"/>
      <c r="T309" s="244"/>
      <c r="U309" s="244"/>
      <c r="V309" s="244"/>
      <c r="W309" s="244"/>
      <c r="X309" s="244"/>
      <c r="Y309" s="244"/>
      <c r="Z309" s="244"/>
    </row>
    <row r="310" ht="11.25" customHeight="1">
      <c r="A310" s="244"/>
      <c r="B310" s="244"/>
      <c r="C310" s="266"/>
      <c r="D310" s="266"/>
      <c r="E310" s="266"/>
      <c r="F310" s="266"/>
      <c r="G310" s="266"/>
      <c r="H310" s="266"/>
      <c r="I310" s="266"/>
      <c r="J310" s="266"/>
      <c r="K310" s="244"/>
      <c r="L310" s="244"/>
      <c r="M310" s="244"/>
      <c r="N310" s="244"/>
      <c r="O310" s="244"/>
      <c r="P310" s="244"/>
      <c r="Q310" s="244"/>
      <c r="R310" s="244"/>
      <c r="S310" s="244"/>
      <c r="T310" s="244"/>
      <c r="U310" s="244"/>
      <c r="V310" s="244"/>
      <c r="W310" s="244"/>
      <c r="X310" s="244"/>
      <c r="Y310" s="244"/>
      <c r="Z310" s="244"/>
    </row>
    <row r="311" ht="11.25" customHeight="1">
      <c r="A311" s="244"/>
      <c r="B311" s="244"/>
      <c r="C311" s="266"/>
      <c r="D311" s="266"/>
      <c r="E311" s="266"/>
      <c r="F311" s="266"/>
      <c r="G311" s="266"/>
      <c r="H311" s="266"/>
      <c r="I311" s="266"/>
      <c r="J311" s="266"/>
      <c r="K311" s="244"/>
      <c r="L311" s="244"/>
      <c r="M311" s="244"/>
      <c r="N311" s="244"/>
      <c r="O311" s="244"/>
      <c r="P311" s="244"/>
      <c r="Q311" s="244"/>
      <c r="R311" s="244"/>
      <c r="S311" s="244"/>
      <c r="T311" s="244"/>
      <c r="U311" s="244"/>
      <c r="V311" s="244"/>
      <c r="W311" s="244"/>
      <c r="X311" s="244"/>
      <c r="Y311" s="244"/>
      <c r="Z311" s="244"/>
    </row>
    <row r="312" ht="11.25" customHeight="1">
      <c r="A312" s="244"/>
      <c r="B312" s="244"/>
      <c r="C312" s="266"/>
      <c r="D312" s="266"/>
      <c r="E312" s="266"/>
      <c r="F312" s="266"/>
      <c r="G312" s="266"/>
      <c r="H312" s="266"/>
      <c r="I312" s="266"/>
      <c r="J312" s="266"/>
      <c r="K312" s="244"/>
      <c r="L312" s="244"/>
      <c r="M312" s="244"/>
      <c r="N312" s="244"/>
      <c r="O312" s="244"/>
      <c r="P312" s="244"/>
      <c r="Q312" s="244"/>
      <c r="R312" s="244"/>
      <c r="S312" s="244"/>
      <c r="T312" s="244"/>
      <c r="U312" s="244"/>
      <c r="V312" s="244"/>
      <c r="W312" s="244"/>
      <c r="X312" s="244"/>
      <c r="Y312" s="244"/>
      <c r="Z312" s="244"/>
    </row>
    <row r="313" ht="11.25" customHeight="1">
      <c r="A313" s="244"/>
      <c r="B313" s="244"/>
      <c r="C313" s="266"/>
      <c r="D313" s="266"/>
      <c r="E313" s="266"/>
      <c r="F313" s="266"/>
      <c r="G313" s="266"/>
      <c r="H313" s="266"/>
      <c r="I313" s="266"/>
      <c r="J313" s="266"/>
      <c r="K313" s="244"/>
      <c r="L313" s="244"/>
      <c r="M313" s="244"/>
      <c r="N313" s="244"/>
      <c r="O313" s="244"/>
      <c r="P313" s="244"/>
      <c r="Q313" s="244"/>
      <c r="R313" s="244"/>
      <c r="S313" s="244"/>
      <c r="T313" s="244"/>
      <c r="U313" s="244"/>
      <c r="V313" s="244"/>
      <c r="W313" s="244"/>
      <c r="X313" s="244"/>
      <c r="Y313" s="244"/>
      <c r="Z313" s="244"/>
    </row>
    <row r="314" ht="11.25" customHeight="1">
      <c r="A314" s="244"/>
      <c r="B314" s="244"/>
      <c r="C314" s="266"/>
      <c r="D314" s="266"/>
      <c r="E314" s="266"/>
      <c r="F314" s="266"/>
      <c r="G314" s="266"/>
      <c r="H314" s="266"/>
      <c r="I314" s="266"/>
      <c r="J314" s="266"/>
      <c r="K314" s="244"/>
      <c r="L314" s="244"/>
      <c r="M314" s="244"/>
      <c r="N314" s="244"/>
      <c r="O314" s="244"/>
      <c r="P314" s="244"/>
      <c r="Q314" s="244"/>
      <c r="R314" s="244"/>
      <c r="S314" s="244"/>
      <c r="T314" s="244"/>
      <c r="U314" s="244"/>
      <c r="V314" s="244"/>
      <c r="W314" s="244"/>
      <c r="X314" s="244"/>
      <c r="Y314" s="244"/>
      <c r="Z314" s="244"/>
    </row>
    <row r="315" ht="11.25" customHeight="1">
      <c r="A315" s="244"/>
      <c r="B315" s="244"/>
      <c r="C315" s="266"/>
      <c r="D315" s="266"/>
      <c r="E315" s="266"/>
      <c r="F315" s="266"/>
      <c r="G315" s="266"/>
      <c r="H315" s="266"/>
      <c r="I315" s="266"/>
      <c r="J315" s="266"/>
      <c r="K315" s="244"/>
      <c r="L315" s="244"/>
      <c r="M315" s="244"/>
      <c r="N315" s="244"/>
      <c r="O315" s="244"/>
      <c r="P315" s="244"/>
      <c r="Q315" s="244"/>
      <c r="R315" s="244"/>
      <c r="S315" s="244"/>
      <c r="T315" s="244"/>
      <c r="U315" s="244"/>
      <c r="V315" s="244"/>
      <c r="W315" s="244"/>
      <c r="X315" s="244"/>
      <c r="Y315" s="244"/>
      <c r="Z315" s="244"/>
    </row>
    <row r="316" ht="11.25" customHeight="1">
      <c r="A316" s="244"/>
      <c r="B316" s="244"/>
      <c r="C316" s="266"/>
      <c r="D316" s="266"/>
      <c r="E316" s="266"/>
      <c r="F316" s="266"/>
      <c r="G316" s="266"/>
      <c r="H316" s="266"/>
      <c r="I316" s="266"/>
      <c r="J316" s="266"/>
      <c r="K316" s="244"/>
      <c r="L316" s="244"/>
      <c r="M316" s="244"/>
      <c r="N316" s="244"/>
      <c r="O316" s="244"/>
      <c r="P316" s="244"/>
      <c r="Q316" s="244"/>
      <c r="R316" s="244"/>
      <c r="S316" s="244"/>
      <c r="T316" s="244"/>
      <c r="U316" s="244"/>
      <c r="V316" s="244"/>
      <c r="W316" s="244"/>
      <c r="X316" s="244"/>
      <c r="Y316" s="244"/>
      <c r="Z316" s="244"/>
    </row>
    <row r="317" ht="11.25" customHeight="1">
      <c r="A317" s="244"/>
      <c r="B317" s="244"/>
      <c r="C317" s="266"/>
      <c r="D317" s="266"/>
      <c r="E317" s="266"/>
      <c r="F317" s="266"/>
      <c r="G317" s="266"/>
      <c r="H317" s="266"/>
      <c r="I317" s="266"/>
      <c r="J317" s="266"/>
      <c r="K317" s="244"/>
      <c r="L317" s="244"/>
      <c r="M317" s="244"/>
      <c r="N317" s="244"/>
      <c r="O317" s="244"/>
      <c r="P317" s="244"/>
      <c r="Q317" s="244"/>
      <c r="R317" s="244"/>
      <c r="S317" s="244"/>
      <c r="T317" s="244"/>
      <c r="U317" s="244"/>
      <c r="V317" s="244"/>
      <c r="W317" s="244"/>
      <c r="X317" s="244"/>
      <c r="Y317" s="244"/>
      <c r="Z317" s="244"/>
    </row>
    <row r="318" ht="11.25" customHeight="1">
      <c r="A318" s="244"/>
      <c r="B318" s="244"/>
      <c r="C318" s="266"/>
      <c r="D318" s="266"/>
      <c r="E318" s="266"/>
      <c r="F318" s="266"/>
      <c r="G318" s="266"/>
      <c r="H318" s="266"/>
      <c r="I318" s="266"/>
      <c r="J318" s="266"/>
      <c r="K318" s="244"/>
      <c r="L318" s="244"/>
      <c r="M318" s="244"/>
      <c r="N318" s="244"/>
      <c r="O318" s="244"/>
      <c r="P318" s="244"/>
      <c r="Q318" s="244"/>
      <c r="R318" s="244"/>
      <c r="S318" s="244"/>
      <c r="T318" s="244"/>
      <c r="U318" s="244"/>
      <c r="V318" s="244"/>
      <c r="W318" s="244"/>
      <c r="X318" s="244"/>
      <c r="Y318" s="244"/>
      <c r="Z318" s="244"/>
    </row>
    <row r="319" ht="11.25" customHeight="1">
      <c r="A319" s="244"/>
      <c r="B319" s="244"/>
      <c r="C319" s="266"/>
      <c r="D319" s="266"/>
      <c r="E319" s="266"/>
      <c r="F319" s="266"/>
      <c r="G319" s="266"/>
      <c r="H319" s="266"/>
      <c r="I319" s="266"/>
      <c r="J319" s="266"/>
      <c r="K319" s="244"/>
      <c r="L319" s="244"/>
      <c r="M319" s="244"/>
      <c r="N319" s="244"/>
      <c r="O319" s="244"/>
      <c r="P319" s="244"/>
      <c r="Q319" s="244"/>
      <c r="R319" s="244"/>
      <c r="S319" s="244"/>
      <c r="T319" s="244"/>
      <c r="U319" s="244"/>
      <c r="V319" s="244"/>
      <c r="W319" s="244"/>
      <c r="X319" s="244"/>
      <c r="Y319" s="244"/>
      <c r="Z319" s="244"/>
    </row>
    <row r="320" ht="11.25" customHeight="1">
      <c r="A320" s="244"/>
      <c r="B320" s="244"/>
      <c r="C320" s="266"/>
      <c r="D320" s="266"/>
      <c r="E320" s="266"/>
      <c r="F320" s="266"/>
      <c r="G320" s="266"/>
      <c r="H320" s="266"/>
      <c r="I320" s="266"/>
      <c r="J320" s="266"/>
      <c r="K320" s="244"/>
      <c r="L320" s="244"/>
      <c r="M320" s="244"/>
      <c r="N320" s="244"/>
      <c r="O320" s="244"/>
      <c r="P320" s="244"/>
      <c r="Q320" s="244"/>
      <c r="R320" s="244"/>
      <c r="S320" s="244"/>
      <c r="T320" s="244"/>
      <c r="U320" s="244"/>
      <c r="V320" s="244"/>
      <c r="W320" s="244"/>
      <c r="X320" s="244"/>
      <c r="Y320" s="244"/>
      <c r="Z320" s="244"/>
    </row>
    <row r="321" ht="11.25" customHeight="1">
      <c r="A321" s="244"/>
      <c r="B321" s="244"/>
      <c r="C321" s="266"/>
      <c r="D321" s="266"/>
      <c r="E321" s="266"/>
      <c r="F321" s="266"/>
      <c r="G321" s="266"/>
      <c r="H321" s="266"/>
      <c r="I321" s="266"/>
      <c r="J321" s="266"/>
      <c r="K321" s="244"/>
      <c r="L321" s="244"/>
      <c r="M321" s="244"/>
      <c r="N321" s="244"/>
      <c r="O321" s="244"/>
      <c r="P321" s="244"/>
      <c r="Q321" s="244"/>
      <c r="R321" s="244"/>
      <c r="S321" s="244"/>
      <c r="T321" s="244"/>
      <c r="U321" s="244"/>
      <c r="V321" s="244"/>
      <c r="W321" s="244"/>
      <c r="X321" s="244"/>
      <c r="Y321" s="244"/>
      <c r="Z321" s="244"/>
    </row>
    <row r="322" ht="11.25" customHeight="1">
      <c r="A322" s="244"/>
      <c r="B322" s="244"/>
      <c r="C322" s="266"/>
      <c r="D322" s="266"/>
      <c r="E322" s="266"/>
      <c r="F322" s="266"/>
      <c r="G322" s="266"/>
      <c r="H322" s="266"/>
      <c r="I322" s="266"/>
      <c r="J322" s="266"/>
      <c r="K322" s="244"/>
      <c r="L322" s="244"/>
      <c r="M322" s="244"/>
      <c r="N322" s="244"/>
      <c r="O322" s="244"/>
      <c r="P322" s="244"/>
      <c r="Q322" s="244"/>
      <c r="R322" s="244"/>
      <c r="S322" s="244"/>
      <c r="T322" s="244"/>
      <c r="U322" s="244"/>
      <c r="V322" s="244"/>
      <c r="W322" s="244"/>
      <c r="X322" s="244"/>
      <c r="Y322" s="244"/>
      <c r="Z322" s="244"/>
    </row>
    <row r="323" ht="11.25" customHeight="1">
      <c r="A323" s="244"/>
      <c r="B323" s="244"/>
      <c r="C323" s="266"/>
      <c r="D323" s="266"/>
      <c r="E323" s="266"/>
      <c r="F323" s="266"/>
      <c r="G323" s="266"/>
      <c r="H323" s="266"/>
      <c r="I323" s="266"/>
      <c r="J323" s="266"/>
      <c r="K323" s="244"/>
      <c r="L323" s="244"/>
      <c r="M323" s="244"/>
      <c r="N323" s="244"/>
      <c r="O323" s="244"/>
      <c r="P323" s="244"/>
      <c r="Q323" s="244"/>
      <c r="R323" s="244"/>
      <c r="S323" s="244"/>
      <c r="T323" s="244"/>
      <c r="U323" s="244"/>
      <c r="V323" s="244"/>
      <c r="W323" s="244"/>
      <c r="X323" s="244"/>
      <c r="Y323" s="244"/>
      <c r="Z323" s="244"/>
    </row>
    <row r="324" ht="11.25" customHeight="1">
      <c r="A324" s="244"/>
      <c r="B324" s="244"/>
      <c r="C324" s="266"/>
      <c r="D324" s="266"/>
      <c r="E324" s="266"/>
      <c r="F324" s="266"/>
      <c r="G324" s="266"/>
      <c r="H324" s="266"/>
      <c r="I324" s="266"/>
      <c r="J324" s="266"/>
      <c r="K324" s="244"/>
      <c r="L324" s="244"/>
      <c r="M324" s="244"/>
      <c r="N324" s="244"/>
      <c r="O324" s="244"/>
      <c r="P324" s="244"/>
      <c r="Q324" s="244"/>
      <c r="R324" s="244"/>
      <c r="S324" s="244"/>
      <c r="T324" s="244"/>
      <c r="U324" s="244"/>
      <c r="V324" s="244"/>
      <c r="W324" s="244"/>
      <c r="X324" s="244"/>
      <c r="Y324" s="244"/>
      <c r="Z324" s="244"/>
    </row>
    <row r="325" ht="11.25" customHeight="1">
      <c r="A325" s="244"/>
      <c r="B325" s="244"/>
      <c r="C325" s="266"/>
      <c r="D325" s="266"/>
      <c r="E325" s="266"/>
      <c r="F325" s="266"/>
      <c r="G325" s="266"/>
      <c r="H325" s="266"/>
      <c r="I325" s="266"/>
      <c r="J325" s="266"/>
      <c r="K325" s="244"/>
      <c r="L325" s="244"/>
      <c r="M325" s="244"/>
      <c r="N325" s="244"/>
      <c r="O325" s="244"/>
      <c r="P325" s="244"/>
      <c r="Q325" s="244"/>
      <c r="R325" s="244"/>
      <c r="S325" s="244"/>
      <c r="T325" s="244"/>
      <c r="U325" s="244"/>
      <c r="V325" s="244"/>
      <c r="W325" s="244"/>
      <c r="X325" s="244"/>
      <c r="Y325" s="244"/>
      <c r="Z325" s="244"/>
    </row>
    <row r="326" ht="11.25" customHeight="1">
      <c r="A326" s="244"/>
      <c r="B326" s="244"/>
      <c r="C326" s="266"/>
      <c r="D326" s="266"/>
      <c r="E326" s="266"/>
      <c r="F326" s="266"/>
      <c r="G326" s="266"/>
      <c r="H326" s="266"/>
      <c r="I326" s="266"/>
      <c r="J326" s="266"/>
      <c r="K326" s="244"/>
      <c r="L326" s="244"/>
      <c r="M326" s="244"/>
      <c r="N326" s="244"/>
      <c r="O326" s="244"/>
      <c r="P326" s="244"/>
      <c r="Q326" s="244"/>
      <c r="R326" s="244"/>
      <c r="S326" s="244"/>
      <c r="T326" s="244"/>
      <c r="U326" s="244"/>
      <c r="V326" s="244"/>
      <c r="W326" s="244"/>
      <c r="X326" s="244"/>
      <c r="Y326" s="244"/>
      <c r="Z326" s="244"/>
    </row>
    <row r="327" ht="11.25" customHeight="1">
      <c r="A327" s="244"/>
      <c r="B327" s="244"/>
      <c r="C327" s="266"/>
      <c r="D327" s="266"/>
      <c r="E327" s="266"/>
      <c r="F327" s="266"/>
      <c r="G327" s="266"/>
      <c r="H327" s="266"/>
      <c r="I327" s="266"/>
      <c r="J327" s="266"/>
      <c r="K327" s="244"/>
      <c r="L327" s="244"/>
      <c r="M327" s="244"/>
      <c r="N327" s="244"/>
      <c r="O327" s="244"/>
      <c r="P327" s="244"/>
      <c r="Q327" s="244"/>
      <c r="R327" s="244"/>
      <c r="S327" s="244"/>
      <c r="T327" s="244"/>
      <c r="U327" s="244"/>
      <c r="V327" s="244"/>
      <c r="W327" s="244"/>
      <c r="X327" s="244"/>
      <c r="Y327" s="244"/>
      <c r="Z327" s="244"/>
    </row>
    <row r="328" ht="11.25" customHeight="1">
      <c r="A328" s="244"/>
      <c r="B328" s="244"/>
      <c r="C328" s="266"/>
      <c r="D328" s="266"/>
      <c r="E328" s="266"/>
      <c r="F328" s="266"/>
      <c r="G328" s="266"/>
      <c r="H328" s="266"/>
      <c r="I328" s="266"/>
      <c r="J328" s="266"/>
      <c r="K328" s="244"/>
      <c r="L328" s="244"/>
      <c r="M328" s="244"/>
      <c r="N328" s="244"/>
      <c r="O328" s="244"/>
      <c r="P328" s="244"/>
      <c r="Q328" s="244"/>
      <c r="R328" s="244"/>
      <c r="S328" s="244"/>
      <c r="T328" s="244"/>
      <c r="U328" s="244"/>
      <c r="V328" s="244"/>
      <c r="W328" s="244"/>
      <c r="X328" s="244"/>
      <c r="Y328" s="244"/>
      <c r="Z328" s="244"/>
    </row>
    <row r="329" ht="11.25" customHeight="1">
      <c r="A329" s="244"/>
      <c r="B329" s="244"/>
      <c r="C329" s="266"/>
      <c r="D329" s="266"/>
      <c r="E329" s="266"/>
      <c r="F329" s="266"/>
      <c r="G329" s="266"/>
      <c r="H329" s="266"/>
      <c r="I329" s="266"/>
      <c r="J329" s="266"/>
      <c r="K329" s="244"/>
      <c r="L329" s="244"/>
      <c r="M329" s="244"/>
      <c r="N329" s="244"/>
      <c r="O329" s="244"/>
      <c r="P329" s="244"/>
      <c r="Q329" s="244"/>
      <c r="R329" s="244"/>
      <c r="S329" s="244"/>
      <c r="T329" s="244"/>
      <c r="U329" s="244"/>
      <c r="V329" s="244"/>
      <c r="W329" s="244"/>
      <c r="X329" s="244"/>
      <c r="Y329" s="244"/>
      <c r="Z329" s="244"/>
    </row>
    <row r="330" ht="11.25" customHeight="1">
      <c r="A330" s="244"/>
      <c r="B330" s="244"/>
      <c r="C330" s="266"/>
      <c r="D330" s="266"/>
      <c r="E330" s="266"/>
      <c r="F330" s="266"/>
      <c r="G330" s="266"/>
      <c r="H330" s="266"/>
      <c r="I330" s="266"/>
      <c r="J330" s="266"/>
      <c r="K330" s="244"/>
      <c r="L330" s="244"/>
      <c r="M330" s="244"/>
      <c r="N330" s="244"/>
      <c r="O330" s="244"/>
      <c r="P330" s="244"/>
      <c r="Q330" s="244"/>
      <c r="R330" s="244"/>
      <c r="S330" s="244"/>
      <c r="T330" s="244"/>
      <c r="U330" s="244"/>
      <c r="V330" s="244"/>
      <c r="W330" s="244"/>
      <c r="X330" s="244"/>
      <c r="Y330" s="244"/>
      <c r="Z330" s="244"/>
    </row>
    <row r="331" ht="11.25" customHeight="1">
      <c r="A331" s="244"/>
      <c r="B331" s="244"/>
      <c r="C331" s="266"/>
      <c r="D331" s="266"/>
      <c r="E331" s="266"/>
      <c r="F331" s="266"/>
      <c r="G331" s="266"/>
      <c r="H331" s="266"/>
      <c r="I331" s="266"/>
      <c r="J331" s="266"/>
      <c r="K331" s="244"/>
      <c r="L331" s="244"/>
      <c r="M331" s="244"/>
      <c r="N331" s="244"/>
      <c r="O331" s="244"/>
      <c r="P331" s="244"/>
      <c r="Q331" s="244"/>
      <c r="R331" s="244"/>
      <c r="S331" s="244"/>
      <c r="T331" s="244"/>
      <c r="U331" s="244"/>
      <c r="V331" s="244"/>
      <c r="W331" s="244"/>
      <c r="X331" s="244"/>
      <c r="Y331" s="244"/>
      <c r="Z331" s="244"/>
    </row>
    <row r="332" ht="11.25" customHeight="1">
      <c r="A332" s="244"/>
      <c r="B332" s="244"/>
      <c r="C332" s="266"/>
      <c r="D332" s="266"/>
      <c r="E332" s="266"/>
      <c r="F332" s="266"/>
      <c r="G332" s="266"/>
      <c r="H332" s="266"/>
      <c r="I332" s="266"/>
      <c r="J332" s="266"/>
      <c r="K332" s="244"/>
      <c r="L332" s="244"/>
      <c r="M332" s="244"/>
      <c r="N332" s="244"/>
      <c r="O332" s="244"/>
      <c r="P332" s="244"/>
      <c r="Q332" s="244"/>
      <c r="R332" s="244"/>
      <c r="S332" s="244"/>
      <c r="T332" s="244"/>
      <c r="U332" s="244"/>
      <c r="V332" s="244"/>
      <c r="W332" s="244"/>
      <c r="X332" s="244"/>
      <c r="Y332" s="244"/>
      <c r="Z332" s="244"/>
    </row>
    <row r="333" ht="11.25" customHeight="1">
      <c r="A333" s="244"/>
      <c r="B333" s="244"/>
      <c r="C333" s="266"/>
      <c r="D333" s="266"/>
      <c r="E333" s="266"/>
      <c r="F333" s="266"/>
      <c r="G333" s="266"/>
      <c r="H333" s="266"/>
      <c r="I333" s="266"/>
      <c r="J333" s="266"/>
      <c r="K333" s="244"/>
      <c r="L333" s="244"/>
      <c r="M333" s="244"/>
      <c r="N333" s="244"/>
      <c r="O333" s="244"/>
      <c r="P333" s="244"/>
      <c r="Q333" s="244"/>
      <c r="R333" s="244"/>
      <c r="S333" s="244"/>
      <c r="T333" s="244"/>
      <c r="U333" s="244"/>
      <c r="V333" s="244"/>
      <c r="W333" s="244"/>
      <c r="X333" s="244"/>
      <c r="Y333" s="244"/>
      <c r="Z333" s="244"/>
    </row>
    <row r="334" ht="11.25" customHeight="1">
      <c r="A334" s="244"/>
      <c r="B334" s="244"/>
      <c r="C334" s="266"/>
      <c r="D334" s="266"/>
      <c r="E334" s="266"/>
      <c r="F334" s="266"/>
      <c r="G334" s="266"/>
      <c r="H334" s="266"/>
      <c r="I334" s="266"/>
      <c r="J334" s="266"/>
      <c r="K334" s="244"/>
      <c r="L334" s="244"/>
      <c r="M334" s="244"/>
      <c r="N334" s="244"/>
      <c r="O334" s="244"/>
      <c r="P334" s="244"/>
      <c r="Q334" s="244"/>
      <c r="R334" s="244"/>
      <c r="S334" s="244"/>
      <c r="T334" s="244"/>
      <c r="U334" s="244"/>
      <c r="V334" s="244"/>
      <c r="W334" s="244"/>
      <c r="X334" s="244"/>
      <c r="Y334" s="244"/>
      <c r="Z334" s="244"/>
    </row>
    <row r="335" ht="11.25" customHeight="1">
      <c r="A335" s="244"/>
      <c r="B335" s="244"/>
      <c r="C335" s="266"/>
      <c r="D335" s="266"/>
      <c r="E335" s="266"/>
      <c r="F335" s="266"/>
      <c r="G335" s="266"/>
      <c r="H335" s="266"/>
      <c r="I335" s="266"/>
      <c r="J335" s="266"/>
      <c r="K335" s="244"/>
      <c r="L335" s="244"/>
      <c r="M335" s="244"/>
      <c r="N335" s="244"/>
      <c r="O335" s="244"/>
      <c r="P335" s="244"/>
      <c r="Q335" s="244"/>
      <c r="R335" s="244"/>
      <c r="S335" s="244"/>
      <c r="T335" s="244"/>
      <c r="U335" s="244"/>
      <c r="V335" s="244"/>
      <c r="W335" s="244"/>
      <c r="X335" s="244"/>
      <c r="Y335" s="244"/>
      <c r="Z335" s="244"/>
    </row>
    <row r="336" ht="11.25" customHeight="1">
      <c r="A336" s="244"/>
      <c r="B336" s="244"/>
      <c r="C336" s="266"/>
      <c r="D336" s="266"/>
      <c r="E336" s="266"/>
      <c r="F336" s="266"/>
      <c r="G336" s="266"/>
      <c r="H336" s="266"/>
      <c r="I336" s="266"/>
      <c r="J336" s="266"/>
      <c r="K336" s="244"/>
      <c r="L336" s="244"/>
      <c r="M336" s="244"/>
      <c r="N336" s="244"/>
      <c r="O336" s="244"/>
      <c r="P336" s="244"/>
      <c r="Q336" s="244"/>
      <c r="R336" s="244"/>
      <c r="S336" s="244"/>
      <c r="T336" s="244"/>
      <c r="U336" s="244"/>
      <c r="V336" s="244"/>
      <c r="W336" s="244"/>
      <c r="X336" s="244"/>
      <c r="Y336" s="244"/>
      <c r="Z336" s="244"/>
    </row>
    <row r="337" ht="11.25" customHeight="1">
      <c r="A337" s="244"/>
      <c r="B337" s="244"/>
      <c r="C337" s="266"/>
      <c r="D337" s="266"/>
      <c r="E337" s="266"/>
      <c r="F337" s="266"/>
      <c r="G337" s="266"/>
      <c r="H337" s="266"/>
      <c r="I337" s="266"/>
      <c r="J337" s="266"/>
      <c r="K337" s="244"/>
      <c r="L337" s="244"/>
      <c r="M337" s="244"/>
      <c r="N337" s="244"/>
      <c r="O337" s="244"/>
      <c r="P337" s="244"/>
      <c r="Q337" s="244"/>
      <c r="R337" s="244"/>
      <c r="S337" s="244"/>
      <c r="T337" s="244"/>
      <c r="U337" s="244"/>
      <c r="V337" s="244"/>
      <c r="W337" s="244"/>
      <c r="X337" s="244"/>
      <c r="Y337" s="244"/>
      <c r="Z337" s="244"/>
    </row>
    <row r="338" ht="11.25" customHeight="1">
      <c r="A338" s="244"/>
      <c r="B338" s="244"/>
      <c r="C338" s="266"/>
      <c r="D338" s="266"/>
      <c r="E338" s="266"/>
      <c r="F338" s="266"/>
      <c r="G338" s="266"/>
      <c r="H338" s="266"/>
      <c r="I338" s="266"/>
      <c r="J338" s="266"/>
      <c r="K338" s="244"/>
      <c r="L338" s="244"/>
      <c r="M338" s="244"/>
      <c r="N338" s="244"/>
      <c r="O338" s="244"/>
      <c r="P338" s="244"/>
      <c r="Q338" s="244"/>
      <c r="R338" s="244"/>
      <c r="S338" s="244"/>
      <c r="T338" s="244"/>
      <c r="U338" s="244"/>
      <c r="V338" s="244"/>
      <c r="W338" s="244"/>
      <c r="X338" s="244"/>
      <c r="Y338" s="244"/>
      <c r="Z338" s="244"/>
    </row>
    <row r="339" ht="11.25" customHeight="1">
      <c r="A339" s="244"/>
      <c r="B339" s="244"/>
      <c r="C339" s="266"/>
      <c r="D339" s="266"/>
      <c r="E339" s="266"/>
      <c r="F339" s="266"/>
      <c r="G339" s="266"/>
      <c r="H339" s="266"/>
      <c r="I339" s="266"/>
      <c r="J339" s="266"/>
      <c r="K339" s="244"/>
      <c r="L339" s="244"/>
      <c r="M339" s="244"/>
      <c r="N339" s="244"/>
      <c r="O339" s="244"/>
      <c r="P339" s="244"/>
      <c r="Q339" s="244"/>
      <c r="R339" s="244"/>
      <c r="S339" s="244"/>
      <c r="T339" s="244"/>
      <c r="U339" s="244"/>
      <c r="V339" s="244"/>
      <c r="W339" s="244"/>
      <c r="X339" s="244"/>
      <c r="Y339" s="244"/>
      <c r="Z339" s="244"/>
    </row>
    <row r="340" ht="11.25" customHeight="1">
      <c r="A340" s="244"/>
      <c r="B340" s="244"/>
      <c r="C340" s="266"/>
      <c r="D340" s="266"/>
      <c r="E340" s="266"/>
      <c r="F340" s="266"/>
      <c r="G340" s="266"/>
      <c r="H340" s="266"/>
      <c r="I340" s="266"/>
      <c r="J340" s="266"/>
      <c r="K340" s="244"/>
      <c r="L340" s="244"/>
      <c r="M340" s="244"/>
      <c r="N340" s="244"/>
      <c r="O340" s="244"/>
      <c r="P340" s="244"/>
      <c r="Q340" s="244"/>
      <c r="R340" s="244"/>
      <c r="S340" s="244"/>
      <c r="T340" s="244"/>
      <c r="U340" s="244"/>
      <c r="V340" s="244"/>
      <c r="W340" s="244"/>
      <c r="X340" s="244"/>
      <c r="Y340" s="244"/>
      <c r="Z340" s="244"/>
    </row>
    <row r="341" ht="11.25" customHeight="1">
      <c r="A341" s="244"/>
      <c r="B341" s="244"/>
      <c r="C341" s="266"/>
      <c r="D341" s="266"/>
      <c r="E341" s="266"/>
      <c r="F341" s="266"/>
      <c r="G341" s="266"/>
      <c r="H341" s="266"/>
      <c r="I341" s="266"/>
      <c r="J341" s="266"/>
      <c r="K341" s="244"/>
      <c r="L341" s="244"/>
      <c r="M341" s="244"/>
      <c r="N341" s="244"/>
      <c r="O341" s="244"/>
      <c r="P341" s="244"/>
      <c r="Q341" s="244"/>
      <c r="R341" s="244"/>
      <c r="S341" s="244"/>
      <c r="T341" s="244"/>
      <c r="U341" s="244"/>
      <c r="V341" s="244"/>
      <c r="W341" s="244"/>
      <c r="X341" s="244"/>
      <c r="Y341" s="244"/>
      <c r="Z341" s="244"/>
    </row>
    <row r="342" ht="11.25" customHeight="1">
      <c r="A342" s="244"/>
      <c r="B342" s="244"/>
      <c r="C342" s="266"/>
      <c r="D342" s="266"/>
      <c r="E342" s="266"/>
      <c r="F342" s="266"/>
      <c r="G342" s="266"/>
      <c r="H342" s="266"/>
      <c r="I342" s="266"/>
      <c r="J342" s="266"/>
      <c r="K342" s="244"/>
      <c r="L342" s="244"/>
      <c r="M342" s="244"/>
      <c r="N342" s="244"/>
      <c r="O342" s="244"/>
      <c r="P342" s="244"/>
      <c r="Q342" s="244"/>
      <c r="R342" s="244"/>
      <c r="S342" s="244"/>
      <c r="T342" s="244"/>
      <c r="U342" s="244"/>
      <c r="V342" s="244"/>
      <c r="W342" s="244"/>
      <c r="X342" s="244"/>
      <c r="Y342" s="244"/>
      <c r="Z342" s="244"/>
    </row>
    <row r="343" ht="11.25" customHeight="1">
      <c r="A343" s="244"/>
      <c r="B343" s="244"/>
      <c r="C343" s="266"/>
      <c r="D343" s="266"/>
      <c r="E343" s="266"/>
      <c r="F343" s="266"/>
      <c r="G343" s="266"/>
      <c r="H343" s="266"/>
      <c r="I343" s="266"/>
      <c r="J343" s="266"/>
      <c r="K343" s="244"/>
      <c r="L343" s="244"/>
      <c r="M343" s="244"/>
      <c r="N343" s="244"/>
      <c r="O343" s="244"/>
      <c r="P343" s="244"/>
      <c r="Q343" s="244"/>
      <c r="R343" s="244"/>
      <c r="S343" s="244"/>
      <c r="T343" s="244"/>
      <c r="U343" s="244"/>
      <c r="V343" s="244"/>
      <c r="W343" s="244"/>
      <c r="X343" s="244"/>
      <c r="Y343" s="244"/>
      <c r="Z343" s="244"/>
    </row>
    <row r="344" ht="11.25" customHeight="1">
      <c r="A344" s="244"/>
      <c r="B344" s="244"/>
      <c r="C344" s="266"/>
      <c r="D344" s="266"/>
      <c r="E344" s="266"/>
      <c r="F344" s="266"/>
      <c r="G344" s="266"/>
      <c r="H344" s="266"/>
      <c r="I344" s="266"/>
      <c r="J344" s="266"/>
      <c r="K344" s="244"/>
      <c r="L344" s="244"/>
      <c r="M344" s="244"/>
      <c r="N344" s="244"/>
      <c r="O344" s="244"/>
      <c r="P344" s="244"/>
      <c r="Q344" s="244"/>
      <c r="R344" s="244"/>
      <c r="S344" s="244"/>
      <c r="T344" s="244"/>
      <c r="U344" s="244"/>
      <c r="V344" s="244"/>
      <c r="W344" s="244"/>
      <c r="X344" s="244"/>
      <c r="Y344" s="244"/>
      <c r="Z344" s="244"/>
    </row>
    <row r="345" ht="11.25" customHeight="1">
      <c r="A345" s="244"/>
      <c r="B345" s="244"/>
      <c r="C345" s="266"/>
      <c r="D345" s="266"/>
      <c r="E345" s="266"/>
      <c r="F345" s="266"/>
      <c r="G345" s="266"/>
      <c r="H345" s="266"/>
      <c r="I345" s="266"/>
      <c r="J345" s="266"/>
      <c r="K345" s="244"/>
      <c r="L345" s="244"/>
      <c r="M345" s="244"/>
      <c r="N345" s="244"/>
      <c r="O345" s="244"/>
      <c r="P345" s="244"/>
      <c r="Q345" s="244"/>
      <c r="R345" s="244"/>
      <c r="S345" s="244"/>
      <c r="T345" s="244"/>
      <c r="U345" s="244"/>
      <c r="V345" s="244"/>
      <c r="W345" s="244"/>
      <c r="X345" s="244"/>
      <c r="Y345" s="244"/>
      <c r="Z345" s="244"/>
    </row>
    <row r="346" ht="11.25" customHeight="1">
      <c r="A346" s="244"/>
      <c r="B346" s="244"/>
      <c r="C346" s="266"/>
      <c r="D346" s="266"/>
      <c r="E346" s="266"/>
      <c r="F346" s="266"/>
      <c r="G346" s="266"/>
      <c r="H346" s="266"/>
      <c r="I346" s="266"/>
      <c r="J346" s="266"/>
      <c r="K346" s="244"/>
      <c r="L346" s="244"/>
      <c r="M346" s="244"/>
      <c r="N346" s="244"/>
      <c r="O346" s="244"/>
      <c r="P346" s="244"/>
      <c r="Q346" s="244"/>
      <c r="R346" s="244"/>
      <c r="S346" s="244"/>
      <c r="T346" s="244"/>
      <c r="U346" s="244"/>
      <c r="V346" s="244"/>
      <c r="W346" s="244"/>
      <c r="X346" s="244"/>
      <c r="Y346" s="244"/>
      <c r="Z346" s="244"/>
    </row>
    <row r="347" ht="11.25" customHeight="1">
      <c r="A347" s="244"/>
      <c r="B347" s="244"/>
      <c r="C347" s="266"/>
      <c r="D347" s="266"/>
      <c r="E347" s="266"/>
      <c r="F347" s="266"/>
      <c r="G347" s="266"/>
      <c r="H347" s="266"/>
      <c r="I347" s="266"/>
      <c r="J347" s="266"/>
      <c r="K347" s="244"/>
      <c r="L347" s="244"/>
      <c r="M347" s="244"/>
      <c r="N347" s="244"/>
      <c r="O347" s="244"/>
      <c r="P347" s="244"/>
      <c r="Q347" s="244"/>
      <c r="R347" s="244"/>
      <c r="S347" s="244"/>
      <c r="T347" s="244"/>
      <c r="U347" s="244"/>
      <c r="V347" s="244"/>
      <c r="W347" s="244"/>
      <c r="X347" s="244"/>
      <c r="Y347" s="244"/>
      <c r="Z347" s="244"/>
    </row>
    <row r="348" ht="11.25" customHeight="1">
      <c r="A348" s="244"/>
      <c r="B348" s="244"/>
      <c r="C348" s="266"/>
      <c r="D348" s="266"/>
      <c r="E348" s="266"/>
      <c r="F348" s="266"/>
      <c r="G348" s="266"/>
      <c r="H348" s="266"/>
      <c r="I348" s="266"/>
      <c r="J348" s="266"/>
      <c r="K348" s="244"/>
      <c r="L348" s="244"/>
      <c r="M348" s="244"/>
      <c r="N348" s="244"/>
      <c r="O348" s="244"/>
      <c r="P348" s="244"/>
      <c r="Q348" s="244"/>
      <c r="R348" s="244"/>
      <c r="S348" s="244"/>
      <c r="T348" s="244"/>
      <c r="U348" s="244"/>
      <c r="V348" s="244"/>
      <c r="W348" s="244"/>
      <c r="X348" s="244"/>
      <c r="Y348" s="244"/>
      <c r="Z348" s="244"/>
    </row>
    <row r="349" ht="11.25" customHeight="1">
      <c r="A349" s="244"/>
      <c r="B349" s="244"/>
      <c r="C349" s="266"/>
      <c r="D349" s="266"/>
      <c r="E349" s="266"/>
      <c r="F349" s="266"/>
      <c r="G349" s="266"/>
      <c r="H349" s="266"/>
      <c r="I349" s="266"/>
      <c r="J349" s="266"/>
      <c r="K349" s="244"/>
      <c r="L349" s="244"/>
      <c r="M349" s="244"/>
      <c r="N349" s="244"/>
      <c r="O349" s="244"/>
      <c r="P349" s="244"/>
      <c r="Q349" s="244"/>
      <c r="R349" s="244"/>
      <c r="S349" s="244"/>
      <c r="T349" s="244"/>
      <c r="U349" s="244"/>
      <c r="V349" s="244"/>
      <c r="W349" s="244"/>
      <c r="X349" s="244"/>
      <c r="Y349" s="244"/>
      <c r="Z349" s="244"/>
    </row>
    <row r="350" ht="11.25" customHeight="1">
      <c r="A350" s="244"/>
      <c r="B350" s="244"/>
      <c r="C350" s="266"/>
      <c r="D350" s="266"/>
      <c r="E350" s="266"/>
      <c r="F350" s="266"/>
      <c r="G350" s="266"/>
      <c r="H350" s="266"/>
      <c r="I350" s="266"/>
      <c r="J350" s="266"/>
      <c r="K350" s="244"/>
      <c r="L350" s="244"/>
      <c r="M350" s="244"/>
      <c r="N350" s="244"/>
      <c r="O350" s="244"/>
      <c r="P350" s="244"/>
      <c r="Q350" s="244"/>
      <c r="R350" s="244"/>
      <c r="S350" s="244"/>
      <c r="T350" s="244"/>
      <c r="U350" s="244"/>
      <c r="V350" s="244"/>
      <c r="W350" s="244"/>
      <c r="X350" s="244"/>
      <c r="Y350" s="244"/>
      <c r="Z350" s="244"/>
    </row>
    <row r="351" ht="11.25" customHeight="1">
      <c r="A351" s="244"/>
      <c r="B351" s="244"/>
      <c r="C351" s="266"/>
      <c r="D351" s="266"/>
      <c r="E351" s="266"/>
      <c r="F351" s="266"/>
      <c r="G351" s="266"/>
      <c r="H351" s="266"/>
      <c r="I351" s="266"/>
      <c r="J351" s="266"/>
      <c r="K351" s="244"/>
      <c r="L351" s="244"/>
      <c r="M351" s="244"/>
      <c r="N351" s="244"/>
      <c r="O351" s="244"/>
      <c r="P351" s="244"/>
      <c r="Q351" s="244"/>
      <c r="R351" s="244"/>
      <c r="S351" s="244"/>
      <c r="T351" s="244"/>
      <c r="U351" s="244"/>
      <c r="V351" s="244"/>
      <c r="W351" s="244"/>
      <c r="X351" s="244"/>
      <c r="Y351" s="244"/>
      <c r="Z351" s="244"/>
    </row>
    <row r="352" ht="11.25" customHeight="1">
      <c r="A352" s="244"/>
      <c r="B352" s="244"/>
      <c r="C352" s="266"/>
      <c r="D352" s="266"/>
      <c r="E352" s="266"/>
      <c r="F352" s="266"/>
      <c r="G352" s="266"/>
      <c r="H352" s="266"/>
      <c r="I352" s="266"/>
      <c r="J352" s="266"/>
      <c r="K352" s="244"/>
      <c r="L352" s="244"/>
      <c r="M352" s="244"/>
      <c r="N352" s="244"/>
      <c r="O352" s="244"/>
      <c r="P352" s="244"/>
      <c r="Q352" s="244"/>
      <c r="R352" s="244"/>
      <c r="S352" s="244"/>
      <c r="T352" s="244"/>
      <c r="U352" s="244"/>
      <c r="V352" s="244"/>
      <c r="W352" s="244"/>
      <c r="X352" s="244"/>
      <c r="Y352" s="244"/>
      <c r="Z352" s="244"/>
    </row>
    <row r="353" ht="11.25" customHeight="1">
      <c r="A353" s="244"/>
      <c r="B353" s="244"/>
      <c r="C353" s="266"/>
      <c r="D353" s="266"/>
      <c r="E353" s="266"/>
      <c r="F353" s="266"/>
      <c r="G353" s="266"/>
      <c r="H353" s="266"/>
      <c r="I353" s="266"/>
      <c r="J353" s="266"/>
      <c r="K353" s="244"/>
      <c r="L353" s="244"/>
      <c r="M353" s="244"/>
      <c r="N353" s="244"/>
      <c r="O353" s="244"/>
      <c r="P353" s="244"/>
      <c r="Q353" s="244"/>
      <c r="R353" s="244"/>
      <c r="S353" s="244"/>
      <c r="T353" s="244"/>
      <c r="U353" s="244"/>
      <c r="V353" s="244"/>
      <c r="W353" s="244"/>
      <c r="X353" s="244"/>
      <c r="Y353" s="244"/>
      <c r="Z353" s="244"/>
    </row>
    <row r="354" ht="11.25" customHeight="1">
      <c r="A354" s="244"/>
      <c r="B354" s="244"/>
      <c r="C354" s="266"/>
      <c r="D354" s="266"/>
      <c r="E354" s="266"/>
      <c r="F354" s="266"/>
      <c r="G354" s="266"/>
      <c r="H354" s="266"/>
      <c r="I354" s="266"/>
      <c r="J354" s="266"/>
      <c r="K354" s="244"/>
      <c r="L354" s="244"/>
      <c r="M354" s="244"/>
      <c r="N354" s="244"/>
      <c r="O354" s="244"/>
      <c r="P354" s="244"/>
      <c r="Q354" s="244"/>
      <c r="R354" s="244"/>
      <c r="S354" s="244"/>
      <c r="T354" s="244"/>
      <c r="U354" s="244"/>
      <c r="V354" s="244"/>
      <c r="W354" s="244"/>
      <c r="X354" s="244"/>
      <c r="Y354" s="244"/>
      <c r="Z354" s="244"/>
    </row>
    <row r="355" ht="11.25" customHeight="1">
      <c r="A355" s="244"/>
      <c r="B355" s="244"/>
      <c r="C355" s="266"/>
      <c r="D355" s="266"/>
      <c r="E355" s="266"/>
      <c r="F355" s="266"/>
      <c r="G355" s="266"/>
      <c r="H355" s="266"/>
      <c r="I355" s="266"/>
      <c r="J355" s="266"/>
      <c r="K355" s="244"/>
      <c r="L355" s="244"/>
      <c r="M355" s="244"/>
      <c r="N355" s="244"/>
      <c r="O355" s="244"/>
      <c r="P355" s="244"/>
      <c r="Q355" s="244"/>
      <c r="R355" s="244"/>
      <c r="S355" s="244"/>
      <c r="T355" s="244"/>
      <c r="U355" s="244"/>
      <c r="V355" s="244"/>
      <c r="W355" s="244"/>
      <c r="X355" s="244"/>
      <c r="Y355" s="244"/>
      <c r="Z355" s="244"/>
    </row>
    <row r="356" ht="11.25" customHeight="1">
      <c r="A356" s="244"/>
      <c r="B356" s="244"/>
      <c r="C356" s="266"/>
      <c r="D356" s="266"/>
      <c r="E356" s="266"/>
      <c r="F356" s="266"/>
      <c r="G356" s="266"/>
      <c r="H356" s="266"/>
      <c r="I356" s="266"/>
      <c r="J356" s="266"/>
      <c r="K356" s="244"/>
      <c r="L356" s="244"/>
      <c r="M356" s="244"/>
      <c r="N356" s="244"/>
      <c r="O356" s="244"/>
      <c r="P356" s="244"/>
      <c r="Q356" s="244"/>
      <c r="R356" s="244"/>
      <c r="S356" s="244"/>
      <c r="T356" s="244"/>
      <c r="U356" s="244"/>
      <c r="V356" s="244"/>
      <c r="W356" s="244"/>
      <c r="X356" s="244"/>
      <c r="Y356" s="244"/>
      <c r="Z356" s="244"/>
    </row>
    <row r="357" ht="11.25" customHeight="1">
      <c r="A357" s="244"/>
      <c r="B357" s="244"/>
      <c r="C357" s="266"/>
      <c r="D357" s="266"/>
      <c r="E357" s="266"/>
      <c r="F357" s="266"/>
      <c r="G357" s="266"/>
      <c r="H357" s="266"/>
      <c r="I357" s="266"/>
      <c r="J357" s="266"/>
      <c r="K357" s="244"/>
      <c r="L357" s="244"/>
      <c r="M357" s="244"/>
      <c r="N357" s="244"/>
      <c r="O357" s="244"/>
      <c r="P357" s="244"/>
      <c r="Q357" s="244"/>
      <c r="R357" s="244"/>
      <c r="S357" s="244"/>
      <c r="T357" s="244"/>
      <c r="U357" s="244"/>
      <c r="V357" s="244"/>
      <c r="W357" s="244"/>
      <c r="X357" s="244"/>
      <c r="Y357" s="244"/>
      <c r="Z357" s="244"/>
    </row>
    <row r="358" ht="11.25" customHeight="1">
      <c r="A358" s="244"/>
      <c r="B358" s="244"/>
      <c r="C358" s="266"/>
      <c r="D358" s="266"/>
      <c r="E358" s="266"/>
      <c r="F358" s="266"/>
      <c r="G358" s="266"/>
      <c r="H358" s="266"/>
      <c r="I358" s="266"/>
      <c r="J358" s="266"/>
      <c r="K358" s="244"/>
      <c r="L358" s="244"/>
      <c r="M358" s="244"/>
      <c r="N358" s="244"/>
      <c r="O358" s="244"/>
      <c r="P358" s="244"/>
      <c r="Q358" s="244"/>
      <c r="R358" s="244"/>
      <c r="S358" s="244"/>
      <c r="T358" s="244"/>
      <c r="U358" s="244"/>
      <c r="V358" s="244"/>
      <c r="W358" s="244"/>
      <c r="X358" s="244"/>
      <c r="Y358" s="244"/>
      <c r="Z358" s="244"/>
    </row>
    <row r="359" ht="11.25" customHeight="1">
      <c r="A359" s="244"/>
      <c r="B359" s="244"/>
      <c r="C359" s="266"/>
      <c r="D359" s="266"/>
      <c r="E359" s="266"/>
      <c r="F359" s="266"/>
      <c r="G359" s="266"/>
      <c r="H359" s="266"/>
      <c r="I359" s="266"/>
      <c r="J359" s="266"/>
      <c r="K359" s="244"/>
      <c r="L359" s="244"/>
      <c r="M359" s="244"/>
      <c r="N359" s="244"/>
      <c r="O359" s="244"/>
      <c r="P359" s="244"/>
      <c r="Q359" s="244"/>
      <c r="R359" s="244"/>
      <c r="S359" s="244"/>
      <c r="T359" s="244"/>
      <c r="U359" s="244"/>
      <c r="V359" s="244"/>
      <c r="W359" s="244"/>
      <c r="X359" s="244"/>
      <c r="Y359" s="244"/>
      <c r="Z359" s="244"/>
    </row>
    <row r="360" ht="11.25" customHeight="1">
      <c r="A360" s="244"/>
      <c r="B360" s="244"/>
      <c r="C360" s="266"/>
      <c r="D360" s="266"/>
      <c r="E360" s="266"/>
      <c r="F360" s="266"/>
      <c r="G360" s="266"/>
      <c r="H360" s="266"/>
      <c r="I360" s="266"/>
      <c r="J360" s="266"/>
      <c r="K360" s="244"/>
      <c r="L360" s="244"/>
      <c r="M360" s="244"/>
      <c r="N360" s="244"/>
      <c r="O360" s="244"/>
      <c r="P360" s="244"/>
      <c r="Q360" s="244"/>
      <c r="R360" s="244"/>
      <c r="S360" s="244"/>
      <c r="T360" s="244"/>
      <c r="U360" s="244"/>
      <c r="V360" s="244"/>
      <c r="W360" s="244"/>
      <c r="X360" s="244"/>
      <c r="Y360" s="244"/>
      <c r="Z360" s="244"/>
    </row>
    <row r="361" ht="11.25" customHeight="1">
      <c r="A361" s="244"/>
      <c r="B361" s="244"/>
      <c r="C361" s="266"/>
      <c r="D361" s="266"/>
      <c r="E361" s="266"/>
      <c r="F361" s="266"/>
      <c r="G361" s="266"/>
      <c r="H361" s="266"/>
      <c r="I361" s="266"/>
      <c r="J361" s="266"/>
      <c r="K361" s="244"/>
      <c r="L361" s="244"/>
      <c r="M361" s="244"/>
      <c r="N361" s="244"/>
      <c r="O361" s="244"/>
      <c r="P361" s="244"/>
      <c r="Q361" s="244"/>
      <c r="R361" s="244"/>
      <c r="S361" s="244"/>
      <c r="T361" s="244"/>
      <c r="U361" s="244"/>
      <c r="V361" s="244"/>
      <c r="W361" s="244"/>
      <c r="X361" s="244"/>
      <c r="Y361" s="244"/>
      <c r="Z361" s="244"/>
    </row>
    <row r="362" ht="11.25" customHeight="1">
      <c r="A362" s="244"/>
      <c r="B362" s="244"/>
      <c r="C362" s="266"/>
      <c r="D362" s="266"/>
      <c r="E362" s="266"/>
      <c r="F362" s="266"/>
      <c r="G362" s="266"/>
      <c r="H362" s="266"/>
      <c r="I362" s="266"/>
      <c r="J362" s="266"/>
      <c r="K362" s="244"/>
      <c r="L362" s="244"/>
      <c r="M362" s="244"/>
      <c r="N362" s="244"/>
      <c r="O362" s="244"/>
      <c r="P362" s="244"/>
      <c r="Q362" s="244"/>
      <c r="R362" s="244"/>
      <c r="S362" s="244"/>
      <c r="T362" s="244"/>
      <c r="U362" s="244"/>
      <c r="V362" s="244"/>
      <c r="W362" s="244"/>
      <c r="X362" s="244"/>
      <c r="Y362" s="244"/>
      <c r="Z362" s="244"/>
    </row>
    <row r="363" ht="11.25" customHeight="1">
      <c r="A363" s="244"/>
      <c r="B363" s="244"/>
      <c r="C363" s="266"/>
      <c r="D363" s="266"/>
      <c r="E363" s="266"/>
      <c r="F363" s="266"/>
      <c r="G363" s="266"/>
      <c r="H363" s="266"/>
      <c r="I363" s="266"/>
      <c r="J363" s="266"/>
      <c r="K363" s="244"/>
      <c r="L363" s="244"/>
      <c r="M363" s="244"/>
      <c r="N363" s="244"/>
      <c r="O363" s="244"/>
      <c r="P363" s="244"/>
      <c r="Q363" s="244"/>
      <c r="R363" s="244"/>
      <c r="S363" s="244"/>
      <c r="T363" s="244"/>
      <c r="U363" s="244"/>
      <c r="V363" s="244"/>
      <c r="W363" s="244"/>
      <c r="X363" s="244"/>
      <c r="Y363" s="244"/>
      <c r="Z363" s="244"/>
    </row>
    <row r="364" ht="11.25" customHeight="1">
      <c r="A364" s="244"/>
      <c r="B364" s="244"/>
      <c r="C364" s="266"/>
      <c r="D364" s="266"/>
      <c r="E364" s="266"/>
      <c r="F364" s="266"/>
      <c r="G364" s="266"/>
      <c r="H364" s="266"/>
      <c r="I364" s="266"/>
      <c r="J364" s="266"/>
      <c r="K364" s="244"/>
      <c r="L364" s="244"/>
      <c r="M364" s="244"/>
      <c r="N364" s="244"/>
      <c r="O364" s="244"/>
      <c r="P364" s="244"/>
      <c r="Q364" s="244"/>
      <c r="R364" s="244"/>
      <c r="S364" s="244"/>
      <c r="T364" s="244"/>
      <c r="U364" s="244"/>
      <c r="V364" s="244"/>
      <c r="W364" s="244"/>
      <c r="X364" s="244"/>
      <c r="Y364" s="244"/>
      <c r="Z364" s="244"/>
    </row>
    <row r="365" ht="11.25" customHeight="1">
      <c r="A365" s="244"/>
      <c r="B365" s="244"/>
      <c r="C365" s="266"/>
      <c r="D365" s="266"/>
      <c r="E365" s="266"/>
      <c r="F365" s="266"/>
      <c r="G365" s="266"/>
      <c r="H365" s="266"/>
      <c r="I365" s="266"/>
      <c r="J365" s="266"/>
      <c r="K365" s="244"/>
      <c r="L365" s="244"/>
      <c r="M365" s="244"/>
      <c r="N365" s="244"/>
      <c r="O365" s="244"/>
      <c r="P365" s="244"/>
      <c r="Q365" s="244"/>
      <c r="R365" s="244"/>
      <c r="S365" s="244"/>
      <c r="T365" s="244"/>
      <c r="U365" s="244"/>
      <c r="V365" s="244"/>
      <c r="W365" s="244"/>
      <c r="X365" s="244"/>
      <c r="Y365" s="244"/>
      <c r="Z365" s="244"/>
    </row>
    <row r="366" ht="11.25" customHeight="1">
      <c r="A366" s="244"/>
      <c r="B366" s="244"/>
      <c r="C366" s="266"/>
      <c r="D366" s="266"/>
      <c r="E366" s="266"/>
      <c r="F366" s="266"/>
      <c r="G366" s="266"/>
      <c r="H366" s="266"/>
      <c r="I366" s="266"/>
      <c r="J366" s="266"/>
      <c r="K366" s="244"/>
      <c r="L366" s="244"/>
      <c r="M366" s="244"/>
      <c r="N366" s="244"/>
      <c r="O366" s="244"/>
      <c r="P366" s="244"/>
      <c r="Q366" s="244"/>
      <c r="R366" s="244"/>
      <c r="S366" s="244"/>
      <c r="T366" s="244"/>
      <c r="U366" s="244"/>
      <c r="V366" s="244"/>
      <c r="W366" s="244"/>
      <c r="X366" s="244"/>
      <c r="Y366" s="244"/>
      <c r="Z366" s="244"/>
    </row>
    <row r="367" ht="11.25" customHeight="1">
      <c r="A367" s="244"/>
      <c r="B367" s="244"/>
      <c r="C367" s="266"/>
      <c r="D367" s="266"/>
      <c r="E367" s="266"/>
      <c r="F367" s="266"/>
      <c r="G367" s="266"/>
      <c r="H367" s="266"/>
      <c r="I367" s="266"/>
      <c r="J367" s="266"/>
      <c r="K367" s="244"/>
      <c r="L367" s="244"/>
      <c r="M367" s="244"/>
      <c r="N367" s="244"/>
      <c r="O367" s="244"/>
      <c r="P367" s="244"/>
      <c r="Q367" s="244"/>
      <c r="R367" s="244"/>
      <c r="S367" s="244"/>
      <c r="T367" s="244"/>
      <c r="U367" s="244"/>
      <c r="V367" s="244"/>
      <c r="W367" s="244"/>
      <c r="X367" s="244"/>
      <c r="Y367" s="244"/>
      <c r="Z367" s="244"/>
    </row>
    <row r="368" ht="11.25" customHeight="1">
      <c r="A368" s="244"/>
      <c r="B368" s="244"/>
      <c r="C368" s="266"/>
      <c r="D368" s="266"/>
      <c r="E368" s="266"/>
      <c r="F368" s="266"/>
      <c r="G368" s="266"/>
      <c r="H368" s="266"/>
      <c r="I368" s="266"/>
      <c r="J368" s="266"/>
      <c r="K368" s="244"/>
      <c r="L368" s="244"/>
      <c r="M368" s="244"/>
      <c r="N368" s="244"/>
      <c r="O368" s="244"/>
      <c r="P368" s="244"/>
      <c r="Q368" s="244"/>
      <c r="R368" s="244"/>
      <c r="S368" s="244"/>
      <c r="T368" s="244"/>
      <c r="U368" s="244"/>
      <c r="V368" s="244"/>
      <c r="W368" s="244"/>
      <c r="X368" s="244"/>
      <c r="Y368" s="244"/>
      <c r="Z368" s="244"/>
    </row>
    <row r="369" ht="11.25" customHeight="1">
      <c r="A369" s="244"/>
      <c r="B369" s="244"/>
      <c r="C369" s="266"/>
      <c r="D369" s="266"/>
      <c r="E369" s="266"/>
      <c r="F369" s="266"/>
      <c r="G369" s="266"/>
      <c r="H369" s="266"/>
      <c r="I369" s="266"/>
      <c r="J369" s="266"/>
      <c r="K369" s="244"/>
      <c r="L369" s="244"/>
      <c r="M369" s="244"/>
      <c r="N369" s="244"/>
      <c r="O369" s="244"/>
      <c r="P369" s="244"/>
      <c r="Q369" s="244"/>
      <c r="R369" s="244"/>
      <c r="S369" s="244"/>
      <c r="T369" s="244"/>
      <c r="U369" s="244"/>
      <c r="V369" s="244"/>
      <c r="W369" s="244"/>
      <c r="X369" s="244"/>
      <c r="Y369" s="244"/>
      <c r="Z369" s="244"/>
    </row>
    <row r="370" ht="11.25" customHeight="1">
      <c r="A370" s="244"/>
      <c r="B370" s="244"/>
      <c r="C370" s="266"/>
      <c r="D370" s="266"/>
      <c r="E370" s="266"/>
      <c r="F370" s="266"/>
      <c r="G370" s="266"/>
      <c r="H370" s="266"/>
      <c r="I370" s="266"/>
      <c r="J370" s="266"/>
      <c r="K370" s="244"/>
      <c r="L370" s="244"/>
      <c r="M370" s="244"/>
      <c r="N370" s="244"/>
      <c r="O370" s="244"/>
      <c r="P370" s="244"/>
      <c r="Q370" s="244"/>
      <c r="R370" s="244"/>
      <c r="S370" s="244"/>
      <c r="T370" s="244"/>
      <c r="U370" s="244"/>
      <c r="V370" s="244"/>
      <c r="W370" s="244"/>
      <c r="X370" s="244"/>
      <c r="Y370" s="244"/>
      <c r="Z370" s="244"/>
    </row>
    <row r="371" ht="11.25" customHeight="1">
      <c r="A371" s="244"/>
      <c r="B371" s="244"/>
      <c r="C371" s="266"/>
      <c r="D371" s="266"/>
      <c r="E371" s="266"/>
      <c r="F371" s="266"/>
      <c r="G371" s="266"/>
      <c r="H371" s="266"/>
      <c r="I371" s="266"/>
      <c r="J371" s="266"/>
      <c r="K371" s="244"/>
      <c r="L371" s="244"/>
      <c r="M371" s="244"/>
      <c r="N371" s="244"/>
      <c r="O371" s="244"/>
      <c r="P371" s="244"/>
      <c r="Q371" s="244"/>
      <c r="R371" s="244"/>
      <c r="S371" s="244"/>
      <c r="T371" s="244"/>
      <c r="U371" s="244"/>
      <c r="V371" s="244"/>
      <c r="W371" s="244"/>
      <c r="X371" s="244"/>
      <c r="Y371" s="244"/>
      <c r="Z371" s="244"/>
    </row>
    <row r="372" ht="11.25" customHeight="1">
      <c r="A372" s="244"/>
      <c r="B372" s="244"/>
      <c r="C372" s="266"/>
      <c r="D372" s="266"/>
      <c r="E372" s="266"/>
      <c r="F372" s="266"/>
      <c r="G372" s="266"/>
      <c r="H372" s="266"/>
      <c r="I372" s="266"/>
      <c r="J372" s="266"/>
      <c r="K372" s="244"/>
      <c r="L372" s="244"/>
      <c r="M372" s="244"/>
      <c r="N372" s="244"/>
      <c r="O372" s="244"/>
      <c r="P372" s="244"/>
      <c r="Q372" s="244"/>
      <c r="R372" s="244"/>
      <c r="S372" s="244"/>
      <c r="T372" s="244"/>
      <c r="U372" s="244"/>
      <c r="V372" s="244"/>
      <c r="W372" s="244"/>
      <c r="X372" s="244"/>
      <c r="Y372" s="244"/>
      <c r="Z372" s="244"/>
    </row>
    <row r="373" ht="11.25" customHeight="1">
      <c r="A373" s="244"/>
      <c r="B373" s="244"/>
      <c r="C373" s="266"/>
      <c r="D373" s="266"/>
      <c r="E373" s="266"/>
      <c r="F373" s="266"/>
      <c r="G373" s="266"/>
      <c r="H373" s="266"/>
      <c r="I373" s="266"/>
      <c r="J373" s="266"/>
      <c r="K373" s="244"/>
      <c r="L373" s="244"/>
      <c r="M373" s="244"/>
      <c r="N373" s="244"/>
      <c r="O373" s="244"/>
      <c r="P373" s="244"/>
      <c r="Q373" s="244"/>
      <c r="R373" s="244"/>
      <c r="S373" s="244"/>
      <c r="T373" s="244"/>
      <c r="U373" s="244"/>
      <c r="V373" s="244"/>
      <c r="W373" s="244"/>
      <c r="X373" s="244"/>
      <c r="Y373" s="244"/>
      <c r="Z373" s="244"/>
    </row>
    <row r="374" ht="11.25" customHeight="1">
      <c r="A374" s="244"/>
      <c r="B374" s="244"/>
      <c r="C374" s="266"/>
      <c r="D374" s="266"/>
      <c r="E374" s="266"/>
      <c r="F374" s="266"/>
      <c r="G374" s="266"/>
      <c r="H374" s="266"/>
      <c r="I374" s="266"/>
      <c r="J374" s="266"/>
      <c r="K374" s="244"/>
      <c r="L374" s="244"/>
      <c r="M374" s="244"/>
      <c r="N374" s="244"/>
      <c r="O374" s="244"/>
      <c r="P374" s="244"/>
      <c r="Q374" s="244"/>
      <c r="R374" s="244"/>
      <c r="S374" s="244"/>
      <c r="T374" s="244"/>
      <c r="U374" s="244"/>
      <c r="V374" s="244"/>
      <c r="W374" s="244"/>
      <c r="X374" s="244"/>
      <c r="Y374" s="244"/>
      <c r="Z374" s="244"/>
    </row>
    <row r="375" ht="11.25" customHeight="1">
      <c r="A375" s="244"/>
      <c r="B375" s="244"/>
      <c r="C375" s="266"/>
      <c r="D375" s="266"/>
      <c r="E375" s="266"/>
      <c r="F375" s="266"/>
      <c r="G375" s="266"/>
      <c r="H375" s="266"/>
      <c r="I375" s="266"/>
      <c r="J375" s="266"/>
      <c r="K375" s="244"/>
      <c r="L375" s="244"/>
      <c r="M375" s="244"/>
      <c r="N375" s="244"/>
      <c r="O375" s="244"/>
      <c r="P375" s="244"/>
      <c r="Q375" s="244"/>
      <c r="R375" s="244"/>
      <c r="S375" s="244"/>
      <c r="T375" s="244"/>
      <c r="U375" s="244"/>
      <c r="V375" s="244"/>
      <c r="W375" s="244"/>
      <c r="X375" s="244"/>
      <c r="Y375" s="244"/>
      <c r="Z375" s="244"/>
    </row>
    <row r="376" ht="11.25" customHeight="1">
      <c r="A376" s="244"/>
      <c r="B376" s="244"/>
      <c r="C376" s="266"/>
      <c r="D376" s="266"/>
      <c r="E376" s="266"/>
      <c r="F376" s="266"/>
      <c r="G376" s="266"/>
      <c r="H376" s="266"/>
      <c r="I376" s="266"/>
      <c r="J376" s="266"/>
      <c r="K376" s="244"/>
      <c r="L376" s="244"/>
      <c r="M376" s="244"/>
      <c r="N376" s="244"/>
      <c r="O376" s="244"/>
      <c r="P376" s="244"/>
      <c r="Q376" s="244"/>
      <c r="R376" s="244"/>
      <c r="S376" s="244"/>
      <c r="T376" s="244"/>
      <c r="U376" s="244"/>
      <c r="V376" s="244"/>
      <c r="W376" s="244"/>
      <c r="X376" s="244"/>
      <c r="Y376" s="244"/>
      <c r="Z376" s="244"/>
    </row>
    <row r="377" ht="11.25" customHeight="1">
      <c r="A377" s="244"/>
      <c r="B377" s="244"/>
      <c r="C377" s="266"/>
      <c r="D377" s="266"/>
      <c r="E377" s="266"/>
      <c r="F377" s="266"/>
      <c r="G377" s="266"/>
      <c r="H377" s="266"/>
      <c r="I377" s="266"/>
      <c r="J377" s="266"/>
      <c r="K377" s="244"/>
      <c r="L377" s="244"/>
      <c r="M377" s="244"/>
      <c r="N377" s="244"/>
      <c r="O377" s="244"/>
      <c r="P377" s="244"/>
      <c r="Q377" s="244"/>
      <c r="R377" s="244"/>
      <c r="S377" s="244"/>
      <c r="T377" s="244"/>
      <c r="U377" s="244"/>
      <c r="V377" s="244"/>
      <c r="W377" s="244"/>
      <c r="X377" s="244"/>
      <c r="Y377" s="244"/>
      <c r="Z377" s="244"/>
    </row>
    <row r="378" ht="11.25" customHeight="1">
      <c r="A378" s="244"/>
      <c r="B378" s="244"/>
      <c r="C378" s="266"/>
      <c r="D378" s="266"/>
      <c r="E378" s="266"/>
      <c r="F378" s="266"/>
      <c r="G378" s="266"/>
      <c r="H378" s="266"/>
      <c r="I378" s="266"/>
      <c r="J378" s="266"/>
      <c r="K378" s="244"/>
      <c r="L378" s="244"/>
      <c r="M378" s="244"/>
      <c r="N378" s="244"/>
      <c r="O378" s="244"/>
      <c r="P378" s="244"/>
      <c r="Q378" s="244"/>
      <c r="R378" s="244"/>
      <c r="S378" s="244"/>
      <c r="T378" s="244"/>
      <c r="U378" s="244"/>
      <c r="V378" s="244"/>
      <c r="W378" s="244"/>
      <c r="X378" s="244"/>
      <c r="Y378" s="244"/>
      <c r="Z378" s="244"/>
    </row>
    <row r="379" ht="11.25" customHeight="1">
      <c r="A379" s="244"/>
      <c r="B379" s="244"/>
      <c r="C379" s="266"/>
      <c r="D379" s="266"/>
      <c r="E379" s="266"/>
      <c r="F379" s="266"/>
      <c r="G379" s="266"/>
      <c r="H379" s="266"/>
      <c r="I379" s="266"/>
      <c r="J379" s="266"/>
      <c r="K379" s="244"/>
      <c r="L379" s="244"/>
      <c r="M379" s="244"/>
      <c r="N379" s="244"/>
      <c r="O379" s="244"/>
      <c r="P379" s="244"/>
      <c r="Q379" s="244"/>
      <c r="R379" s="244"/>
      <c r="S379" s="244"/>
      <c r="T379" s="244"/>
      <c r="U379" s="244"/>
      <c r="V379" s="244"/>
      <c r="W379" s="244"/>
      <c r="X379" s="244"/>
      <c r="Y379" s="244"/>
      <c r="Z379" s="244"/>
    </row>
    <row r="380" ht="11.25" customHeight="1">
      <c r="A380" s="244"/>
      <c r="B380" s="244"/>
      <c r="C380" s="266"/>
      <c r="D380" s="266"/>
      <c r="E380" s="266"/>
      <c r="F380" s="266"/>
      <c r="G380" s="266"/>
      <c r="H380" s="266"/>
      <c r="I380" s="266"/>
      <c r="J380" s="266"/>
      <c r="K380" s="244"/>
      <c r="L380" s="244"/>
      <c r="M380" s="244"/>
      <c r="N380" s="244"/>
      <c r="O380" s="244"/>
      <c r="P380" s="244"/>
      <c r="Q380" s="244"/>
      <c r="R380" s="244"/>
      <c r="S380" s="244"/>
      <c r="T380" s="244"/>
      <c r="U380" s="244"/>
      <c r="V380" s="244"/>
      <c r="W380" s="244"/>
      <c r="X380" s="244"/>
      <c r="Y380" s="244"/>
      <c r="Z380" s="244"/>
    </row>
    <row r="381" ht="11.25" customHeight="1">
      <c r="A381" s="244"/>
      <c r="B381" s="244"/>
      <c r="C381" s="266"/>
      <c r="D381" s="266"/>
      <c r="E381" s="266"/>
      <c r="F381" s="266"/>
      <c r="G381" s="266"/>
      <c r="H381" s="266"/>
      <c r="I381" s="266"/>
      <c r="J381" s="266"/>
      <c r="K381" s="244"/>
      <c r="L381" s="244"/>
      <c r="M381" s="244"/>
      <c r="N381" s="244"/>
      <c r="O381" s="244"/>
      <c r="P381" s="244"/>
      <c r="Q381" s="244"/>
      <c r="R381" s="244"/>
      <c r="S381" s="244"/>
      <c r="T381" s="244"/>
      <c r="U381" s="244"/>
      <c r="V381" s="244"/>
      <c r="W381" s="244"/>
      <c r="X381" s="244"/>
      <c r="Y381" s="244"/>
      <c r="Z381" s="244"/>
    </row>
    <row r="382" ht="11.25" customHeight="1">
      <c r="A382" s="244"/>
      <c r="B382" s="244"/>
      <c r="C382" s="266"/>
      <c r="D382" s="266"/>
      <c r="E382" s="266"/>
      <c r="F382" s="266"/>
      <c r="G382" s="266"/>
      <c r="H382" s="266"/>
      <c r="I382" s="266"/>
      <c r="J382" s="266"/>
      <c r="K382" s="244"/>
      <c r="L382" s="244"/>
      <c r="M382" s="244"/>
      <c r="N382" s="244"/>
      <c r="O382" s="244"/>
      <c r="P382" s="244"/>
      <c r="Q382" s="244"/>
      <c r="R382" s="244"/>
      <c r="S382" s="244"/>
      <c r="T382" s="244"/>
      <c r="U382" s="244"/>
      <c r="V382" s="244"/>
      <c r="W382" s="244"/>
      <c r="X382" s="244"/>
      <c r="Y382" s="244"/>
      <c r="Z382" s="244"/>
    </row>
    <row r="383" ht="11.25" customHeight="1">
      <c r="A383" s="244"/>
      <c r="B383" s="244"/>
      <c r="C383" s="266"/>
      <c r="D383" s="266"/>
      <c r="E383" s="266"/>
      <c r="F383" s="266"/>
      <c r="G383" s="266"/>
      <c r="H383" s="266"/>
      <c r="I383" s="266"/>
      <c r="J383" s="266"/>
      <c r="K383" s="244"/>
      <c r="L383" s="244"/>
      <c r="M383" s="244"/>
      <c r="N383" s="244"/>
      <c r="O383" s="244"/>
      <c r="P383" s="244"/>
      <c r="Q383" s="244"/>
      <c r="R383" s="244"/>
      <c r="S383" s="244"/>
      <c r="T383" s="244"/>
      <c r="U383" s="244"/>
      <c r="V383" s="244"/>
      <c r="W383" s="244"/>
      <c r="X383" s="244"/>
      <c r="Y383" s="244"/>
      <c r="Z383" s="244"/>
    </row>
    <row r="384" ht="11.25" customHeight="1">
      <c r="A384" s="244"/>
      <c r="B384" s="244"/>
      <c r="C384" s="266"/>
      <c r="D384" s="266"/>
      <c r="E384" s="266"/>
      <c r="F384" s="266"/>
      <c r="G384" s="266"/>
      <c r="H384" s="266"/>
      <c r="I384" s="266"/>
      <c r="J384" s="266"/>
      <c r="K384" s="244"/>
      <c r="L384" s="244"/>
      <c r="M384" s="244"/>
      <c r="N384" s="244"/>
      <c r="O384" s="244"/>
      <c r="P384" s="244"/>
      <c r="Q384" s="244"/>
      <c r="R384" s="244"/>
      <c r="S384" s="244"/>
      <c r="T384" s="244"/>
      <c r="U384" s="244"/>
      <c r="V384" s="244"/>
      <c r="W384" s="244"/>
      <c r="X384" s="244"/>
      <c r="Y384" s="244"/>
      <c r="Z384" s="244"/>
    </row>
    <row r="385" ht="11.25" customHeight="1">
      <c r="A385" s="244"/>
      <c r="B385" s="244"/>
      <c r="C385" s="266"/>
      <c r="D385" s="266"/>
      <c r="E385" s="266"/>
      <c r="F385" s="266"/>
      <c r="G385" s="266"/>
      <c r="H385" s="266"/>
      <c r="I385" s="266"/>
      <c r="J385" s="266"/>
      <c r="K385" s="244"/>
      <c r="L385" s="244"/>
      <c r="M385" s="244"/>
      <c r="N385" s="244"/>
      <c r="O385" s="244"/>
      <c r="P385" s="244"/>
      <c r="Q385" s="244"/>
      <c r="R385" s="244"/>
      <c r="S385" s="244"/>
      <c r="T385" s="244"/>
      <c r="U385" s="244"/>
      <c r="V385" s="244"/>
      <c r="W385" s="244"/>
      <c r="X385" s="244"/>
      <c r="Y385" s="244"/>
      <c r="Z385" s="244"/>
    </row>
    <row r="386" ht="11.25" customHeight="1">
      <c r="A386" s="244"/>
      <c r="B386" s="244"/>
      <c r="C386" s="266"/>
      <c r="D386" s="266"/>
      <c r="E386" s="266"/>
      <c r="F386" s="266"/>
      <c r="G386" s="266"/>
      <c r="H386" s="266"/>
      <c r="I386" s="266"/>
      <c r="J386" s="266"/>
      <c r="K386" s="244"/>
      <c r="L386" s="244"/>
      <c r="M386" s="244"/>
      <c r="N386" s="244"/>
      <c r="O386" s="244"/>
      <c r="P386" s="244"/>
      <c r="Q386" s="244"/>
      <c r="R386" s="244"/>
      <c r="S386" s="244"/>
      <c r="T386" s="244"/>
      <c r="U386" s="244"/>
      <c r="V386" s="244"/>
      <c r="W386" s="244"/>
      <c r="X386" s="244"/>
      <c r="Y386" s="244"/>
      <c r="Z386" s="244"/>
    </row>
    <row r="387" ht="11.25" customHeight="1">
      <c r="A387" s="244"/>
      <c r="B387" s="244"/>
      <c r="C387" s="266"/>
      <c r="D387" s="266"/>
      <c r="E387" s="266"/>
      <c r="F387" s="266"/>
      <c r="G387" s="266"/>
      <c r="H387" s="266"/>
      <c r="I387" s="266"/>
      <c r="J387" s="266"/>
      <c r="K387" s="244"/>
      <c r="L387" s="244"/>
      <c r="M387" s="244"/>
      <c r="N387" s="244"/>
      <c r="O387" s="244"/>
      <c r="P387" s="244"/>
      <c r="Q387" s="244"/>
      <c r="R387" s="244"/>
      <c r="S387" s="244"/>
      <c r="T387" s="244"/>
      <c r="U387" s="244"/>
      <c r="V387" s="244"/>
      <c r="W387" s="244"/>
      <c r="X387" s="244"/>
      <c r="Y387" s="244"/>
      <c r="Z387" s="244"/>
    </row>
    <row r="388" ht="11.25" customHeight="1">
      <c r="A388" s="244"/>
      <c r="B388" s="244"/>
      <c r="C388" s="266"/>
      <c r="D388" s="266"/>
      <c r="E388" s="266"/>
      <c r="F388" s="266"/>
      <c r="G388" s="266"/>
      <c r="H388" s="266"/>
      <c r="I388" s="266"/>
      <c r="J388" s="266"/>
      <c r="K388" s="244"/>
      <c r="L388" s="244"/>
      <c r="M388" s="244"/>
      <c r="N388" s="244"/>
      <c r="O388" s="244"/>
      <c r="P388" s="244"/>
      <c r="Q388" s="244"/>
      <c r="R388" s="244"/>
      <c r="S388" s="244"/>
      <c r="T388" s="244"/>
      <c r="U388" s="244"/>
      <c r="V388" s="244"/>
      <c r="W388" s="244"/>
      <c r="X388" s="244"/>
      <c r="Y388" s="244"/>
      <c r="Z388" s="244"/>
    </row>
    <row r="389" ht="11.25" customHeight="1">
      <c r="A389" s="244"/>
      <c r="B389" s="244"/>
      <c r="C389" s="266"/>
      <c r="D389" s="266"/>
      <c r="E389" s="266"/>
      <c r="F389" s="266"/>
      <c r="G389" s="266"/>
      <c r="H389" s="266"/>
      <c r="I389" s="266"/>
      <c r="J389" s="266"/>
      <c r="K389" s="244"/>
      <c r="L389" s="244"/>
      <c r="M389" s="244"/>
      <c r="N389" s="244"/>
      <c r="O389" s="244"/>
      <c r="P389" s="244"/>
      <c r="Q389" s="244"/>
      <c r="R389" s="244"/>
      <c r="S389" s="244"/>
      <c r="T389" s="244"/>
      <c r="U389" s="244"/>
      <c r="V389" s="244"/>
      <c r="W389" s="244"/>
      <c r="X389" s="244"/>
      <c r="Y389" s="244"/>
      <c r="Z389" s="244"/>
    </row>
    <row r="390" ht="11.25" customHeight="1">
      <c r="A390" s="244"/>
      <c r="B390" s="244"/>
      <c r="C390" s="266"/>
      <c r="D390" s="266"/>
      <c r="E390" s="266"/>
      <c r="F390" s="266"/>
      <c r="G390" s="266"/>
      <c r="H390" s="266"/>
      <c r="I390" s="266"/>
      <c r="J390" s="266"/>
      <c r="K390" s="244"/>
      <c r="L390" s="244"/>
      <c r="M390" s="244"/>
      <c r="N390" s="244"/>
      <c r="O390" s="244"/>
      <c r="P390" s="244"/>
      <c r="Q390" s="244"/>
      <c r="R390" s="244"/>
      <c r="S390" s="244"/>
      <c r="T390" s="244"/>
      <c r="U390" s="244"/>
      <c r="V390" s="244"/>
      <c r="W390" s="244"/>
      <c r="X390" s="244"/>
      <c r="Y390" s="244"/>
      <c r="Z390" s="244"/>
    </row>
    <row r="391" ht="11.25" customHeight="1">
      <c r="A391" s="244"/>
      <c r="B391" s="244"/>
      <c r="C391" s="266"/>
      <c r="D391" s="266"/>
      <c r="E391" s="266"/>
      <c r="F391" s="266"/>
      <c r="G391" s="266"/>
      <c r="H391" s="266"/>
      <c r="I391" s="266"/>
      <c r="J391" s="266"/>
      <c r="K391" s="244"/>
      <c r="L391" s="244"/>
      <c r="M391" s="244"/>
      <c r="N391" s="244"/>
      <c r="O391" s="244"/>
      <c r="P391" s="244"/>
      <c r="Q391" s="244"/>
      <c r="R391" s="244"/>
      <c r="S391" s="244"/>
      <c r="T391" s="244"/>
      <c r="U391" s="244"/>
      <c r="V391" s="244"/>
      <c r="W391" s="244"/>
      <c r="X391" s="244"/>
      <c r="Y391" s="244"/>
      <c r="Z391" s="244"/>
    </row>
    <row r="392" ht="11.25" customHeight="1">
      <c r="A392" s="244"/>
      <c r="B392" s="244"/>
      <c r="C392" s="266"/>
      <c r="D392" s="266"/>
      <c r="E392" s="266"/>
      <c r="F392" s="266"/>
      <c r="G392" s="266"/>
      <c r="H392" s="266"/>
      <c r="I392" s="266"/>
      <c r="J392" s="266"/>
      <c r="K392" s="244"/>
      <c r="L392" s="244"/>
      <c r="M392" s="244"/>
      <c r="N392" s="244"/>
      <c r="O392" s="244"/>
      <c r="P392" s="244"/>
      <c r="Q392" s="244"/>
      <c r="R392" s="244"/>
      <c r="S392" s="244"/>
      <c r="T392" s="244"/>
      <c r="U392" s="244"/>
      <c r="V392" s="244"/>
      <c r="W392" s="244"/>
      <c r="X392" s="244"/>
      <c r="Y392" s="244"/>
      <c r="Z392" s="244"/>
    </row>
    <row r="393" ht="11.25" customHeight="1">
      <c r="A393" s="244"/>
      <c r="B393" s="244"/>
      <c r="C393" s="266"/>
      <c r="D393" s="266"/>
      <c r="E393" s="266"/>
      <c r="F393" s="266"/>
      <c r="G393" s="266"/>
      <c r="H393" s="266"/>
      <c r="I393" s="266"/>
      <c r="J393" s="266"/>
      <c r="K393" s="244"/>
      <c r="L393" s="244"/>
      <c r="M393" s="244"/>
      <c r="N393" s="244"/>
      <c r="O393" s="244"/>
      <c r="P393" s="244"/>
      <c r="Q393" s="244"/>
      <c r="R393" s="244"/>
      <c r="S393" s="244"/>
      <c r="T393" s="244"/>
      <c r="U393" s="244"/>
      <c r="V393" s="244"/>
      <c r="W393" s="244"/>
      <c r="X393" s="244"/>
      <c r="Y393" s="244"/>
      <c r="Z393" s="244"/>
    </row>
    <row r="394" ht="11.25" customHeight="1">
      <c r="A394" s="244"/>
      <c r="B394" s="244"/>
      <c r="C394" s="266"/>
      <c r="D394" s="266"/>
      <c r="E394" s="266"/>
      <c r="F394" s="266"/>
      <c r="G394" s="266"/>
      <c r="H394" s="266"/>
      <c r="I394" s="266"/>
      <c r="J394" s="266"/>
      <c r="K394" s="244"/>
      <c r="L394" s="244"/>
      <c r="M394" s="244"/>
      <c r="N394" s="244"/>
      <c r="O394" s="244"/>
      <c r="P394" s="244"/>
      <c r="Q394" s="244"/>
      <c r="R394" s="244"/>
      <c r="S394" s="244"/>
      <c r="T394" s="244"/>
      <c r="U394" s="244"/>
      <c r="V394" s="244"/>
      <c r="W394" s="244"/>
      <c r="X394" s="244"/>
      <c r="Y394" s="244"/>
      <c r="Z394" s="244"/>
    </row>
    <row r="395" ht="11.25" customHeight="1">
      <c r="A395" s="244"/>
      <c r="B395" s="244"/>
      <c r="C395" s="266"/>
      <c r="D395" s="266"/>
      <c r="E395" s="266"/>
      <c r="F395" s="266"/>
      <c r="G395" s="266"/>
      <c r="H395" s="266"/>
      <c r="I395" s="266"/>
      <c r="J395" s="266"/>
      <c r="K395" s="244"/>
      <c r="L395" s="244"/>
      <c r="M395" s="244"/>
      <c r="N395" s="244"/>
      <c r="O395" s="244"/>
      <c r="P395" s="244"/>
      <c r="Q395" s="244"/>
      <c r="R395" s="244"/>
      <c r="S395" s="244"/>
      <c r="T395" s="244"/>
      <c r="U395" s="244"/>
      <c r="V395" s="244"/>
      <c r="W395" s="244"/>
      <c r="X395" s="244"/>
      <c r="Y395" s="244"/>
      <c r="Z395" s="244"/>
    </row>
    <row r="396" ht="11.25" customHeight="1">
      <c r="A396" s="244"/>
      <c r="B396" s="244"/>
      <c r="C396" s="266"/>
      <c r="D396" s="266"/>
      <c r="E396" s="266"/>
      <c r="F396" s="266"/>
      <c r="G396" s="266"/>
      <c r="H396" s="266"/>
      <c r="I396" s="266"/>
      <c r="J396" s="266"/>
      <c r="K396" s="244"/>
      <c r="L396" s="244"/>
      <c r="M396" s="244"/>
      <c r="N396" s="244"/>
      <c r="O396" s="244"/>
      <c r="P396" s="244"/>
      <c r="Q396" s="244"/>
      <c r="R396" s="244"/>
      <c r="S396" s="244"/>
      <c r="T396" s="244"/>
      <c r="U396" s="244"/>
      <c r="V396" s="244"/>
      <c r="W396" s="244"/>
      <c r="X396" s="244"/>
      <c r="Y396" s="244"/>
      <c r="Z396" s="244"/>
    </row>
    <row r="397" ht="11.25" customHeight="1">
      <c r="A397" s="244"/>
      <c r="B397" s="244"/>
      <c r="C397" s="266"/>
      <c r="D397" s="266"/>
      <c r="E397" s="266"/>
      <c r="F397" s="266"/>
      <c r="G397" s="266"/>
      <c r="H397" s="266"/>
      <c r="I397" s="266"/>
      <c r="J397" s="266"/>
      <c r="K397" s="244"/>
      <c r="L397" s="244"/>
      <c r="M397" s="244"/>
      <c r="N397" s="244"/>
      <c r="O397" s="244"/>
      <c r="P397" s="244"/>
      <c r="Q397" s="244"/>
      <c r="R397" s="244"/>
      <c r="S397" s="244"/>
      <c r="T397" s="244"/>
      <c r="U397" s="244"/>
      <c r="V397" s="244"/>
      <c r="W397" s="244"/>
      <c r="X397" s="244"/>
      <c r="Y397" s="244"/>
      <c r="Z397" s="244"/>
    </row>
    <row r="398" ht="11.25" customHeight="1">
      <c r="A398" s="244"/>
      <c r="B398" s="244"/>
      <c r="C398" s="266"/>
      <c r="D398" s="266"/>
      <c r="E398" s="266"/>
      <c r="F398" s="266"/>
      <c r="G398" s="266"/>
      <c r="H398" s="266"/>
      <c r="I398" s="266"/>
      <c r="J398" s="266"/>
      <c r="K398" s="244"/>
      <c r="L398" s="244"/>
      <c r="M398" s="244"/>
      <c r="N398" s="244"/>
      <c r="O398" s="244"/>
      <c r="P398" s="244"/>
      <c r="Q398" s="244"/>
      <c r="R398" s="244"/>
      <c r="S398" s="244"/>
      <c r="T398" s="244"/>
      <c r="U398" s="244"/>
      <c r="V398" s="244"/>
      <c r="W398" s="244"/>
      <c r="X398" s="244"/>
      <c r="Y398" s="244"/>
      <c r="Z398" s="244"/>
    </row>
    <row r="399" ht="11.25" customHeight="1">
      <c r="A399" s="244"/>
      <c r="B399" s="244"/>
      <c r="C399" s="266"/>
      <c r="D399" s="266"/>
      <c r="E399" s="266"/>
      <c r="F399" s="266"/>
      <c r="G399" s="266"/>
      <c r="H399" s="266"/>
      <c r="I399" s="266"/>
      <c r="J399" s="266"/>
      <c r="K399" s="244"/>
      <c r="L399" s="244"/>
      <c r="M399" s="244"/>
      <c r="N399" s="244"/>
      <c r="O399" s="244"/>
      <c r="P399" s="244"/>
      <c r="Q399" s="244"/>
      <c r="R399" s="244"/>
      <c r="S399" s="244"/>
      <c r="T399" s="244"/>
      <c r="U399" s="244"/>
      <c r="V399" s="244"/>
      <c r="W399" s="244"/>
      <c r="X399" s="244"/>
      <c r="Y399" s="244"/>
      <c r="Z399" s="244"/>
    </row>
    <row r="400" ht="11.25" customHeight="1">
      <c r="A400" s="244"/>
      <c r="B400" s="244"/>
      <c r="C400" s="266"/>
      <c r="D400" s="266"/>
      <c r="E400" s="266"/>
      <c r="F400" s="266"/>
      <c r="G400" s="266"/>
      <c r="H400" s="266"/>
      <c r="I400" s="266"/>
      <c r="J400" s="266"/>
      <c r="K400" s="244"/>
      <c r="L400" s="244"/>
      <c r="M400" s="244"/>
      <c r="N400" s="244"/>
      <c r="O400" s="244"/>
      <c r="P400" s="244"/>
      <c r="Q400" s="244"/>
      <c r="R400" s="244"/>
      <c r="S400" s="244"/>
      <c r="T400" s="244"/>
      <c r="U400" s="244"/>
      <c r="V400" s="244"/>
      <c r="W400" s="244"/>
      <c r="X400" s="244"/>
      <c r="Y400" s="244"/>
      <c r="Z400" s="244"/>
    </row>
    <row r="401" ht="11.25" customHeight="1">
      <c r="A401" s="244"/>
      <c r="B401" s="244"/>
      <c r="C401" s="266"/>
      <c r="D401" s="266"/>
      <c r="E401" s="266"/>
      <c r="F401" s="266"/>
      <c r="G401" s="266"/>
      <c r="H401" s="266"/>
      <c r="I401" s="266"/>
      <c r="J401" s="266"/>
      <c r="K401" s="244"/>
      <c r="L401" s="244"/>
      <c r="M401" s="244"/>
      <c r="N401" s="244"/>
      <c r="O401" s="244"/>
      <c r="P401" s="244"/>
      <c r="Q401" s="244"/>
      <c r="R401" s="244"/>
      <c r="S401" s="244"/>
      <c r="T401" s="244"/>
      <c r="U401" s="244"/>
      <c r="V401" s="244"/>
      <c r="W401" s="244"/>
      <c r="X401" s="244"/>
      <c r="Y401" s="244"/>
      <c r="Z401" s="244"/>
    </row>
    <row r="402" ht="11.25" customHeight="1">
      <c r="A402" s="244"/>
      <c r="B402" s="244"/>
      <c r="C402" s="266"/>
      <c r="D402" s="266"/>
      <c r="E402" s="266"/>
      <c r="F402" s="266"/>
      <c r="G402" s="266"/>
      <c r="H402" s="266"/>
      <c r="I402" s="266"/>
      <c r="J402" s="266"/>
      <c r="K402" s="244"/>
      <c r="L402" s="244"/>
      <c r="M402" s="244"/>
      <c r="N402" s="244"/>
      <c r="O402" s="244"/>
      <c r="P402" s="244"/>
      <c r="Q402" s="244"/>
      <c r="R402" s="244"/>
      <c r="S402" s="244"/>
      <c r="T402" s="244"/>
      <c r="U402" s="244"/>
      <c r="V402" s="244"/>
      <c r="W402" s="244"/>
      <c r="X402" s="244"/>
      <c r="Y402" s="244"/>
      <c r="Z402" s="244"/>
    </row>
    <row r="403" ht="11.25" customHeight="1">
      <c r="A403" s="244"/>
      <c r="B403" s="244"/>
      <c r="C403" s="266"/>
      <c r="D403" s="266"/>
      <c r="E403" s="266"/>
      <c r="F403" s="266"/>
      <c r="G403" s="266"/>
      <c r="H403" s="266"/>
      <c r="I403" s="266"/>
      <c r="J403" s="266"/>
      <c r="K403" s="244"/>
      <c r="L403" s="244"/>
      <c r="M403" s="244"/>
      <c r="N403" s="244"/>
      <c r="O403" s="244"/>
      <c r="P403" s="244"/>
      <c r="Q403" s="244"/>
      <c r="R403" s="244"/>
      <c r="S403" s="244"/>
      <c r="T403" s="244"/>
      <c r="U403" s="244"/>
      <c r="V403" s="244"/>
      <c r="W403" s="244"/>
      <c r="X403" s="244"/>
      <c r="Y403" s="244"/>
      <c r="Z403" s="244"/>
    </row>
    <row r="404" ht="11.25" customHeight="1">
      <c r="A404" s="244"/>
      <c r="B404" s="244"/>
      <c r="C404" s="266"/>
      <c r="D404" s="266"/>
      <c r="E404" s="266"/>
      <c r="F404" s="266"/>
      <c r="G404" s="266"/>
      <c r="H404" s="266"/>
      <c r="I404" s="266"/>
      <c r="J404" s="266"/>
      <c r="K404" s="244"/>
      <c r="L404" s="244"/>
      <c r="M404" s="244"/>
      <c r="N404" s="244"/>
      <c r="O404" s="244"/>
      <c r="P404" s="244"/>
      <c r="Q404" s="244"/>
      <c r="R404" s="244"/>
      <c r="S404" s="244"/>
      <c r="T404" s="244"/>
      <c r="U404" s="244"/>
      <c r="V404" s="244"/>
      <c r="W404" s="244"/>
      <c r="X404" s="244"/>
      <c r="Y404" s="244"/>
      <c r="Z404" s="244"/>
    </row>
    <row r="405" ht="11.25" customHeight="1">
      <c r="A405" s="244"/>
      <c r="B405" s="244"/>
      <c r="C405" s="266"/>
      <c r="D405" s="266"/>
      <c r="E405" s="266"/>
      <c r="F405" s="266"/>
      <c r="G405" s="266"/>
      <c r="H405" s="266"/>
      <c r="I405" s="266"/>
      <c r="J405" s="266"/>
      <c r="K405" s="244"/>
      <c r="L405" s="244"/>
      <c r="M405" s="244"/>
      <c r="N405" s="244"/>
      <c r="O405" s="244"/>
      <c r="P405" s="244"/>
      <c r="Q405" s="244"/>
      <c r="R405" s="244"/>
      <c r="S405" s="244"/>
      <c r="T405" s="244"/>
      <c r="U405" s="244"/>
      <c r="V405" s="244"/>
      <c r="W405" s="244"/>
      <c r="X405" s="244"/>
      <c r="Y405" s="244"/>
      <c r="Z405" s="244"/>
    </row>
    <row r="406" ht="11.25" customHeight="1">
      <c r="A406" s="244"/>
      <c r="B406" s="244"/>
      <c r="C406" s="266"/>
      <c r="D406" s="266"/>
      <c r="E406" s="266"/>
      <c r="F406" s="266"/>
      <c r="G406" s="266"/>
      <c r="H406" s="266"/>
      <c r="I406" s="266"/>
      <c r="J406" s="266"/>
      <c r="K406" s="244"/>
      <c r="L406" s="244"/>
      <c r="M406" s="244"/>
      <c r="N406" s="244"/>
      <c r="O406" s="244"/>
      <c r="P406" s="244"/>
      <c r="Q406" s="244"/>
      <c r="R406" s="244"/>
      <c r="S406" s="244"/>
      <c r="T406" s="244"/>
      <c r="U406" s="244"/>
      <c r="V406" s="244"/>
      <c r="W406" s="244"/>
      <c r="X406" s="244"/>
      <c r="Y406" s="244"/>
      <c r="Z406" s="244"/>
    </row>
    <row r="407" ht="11.25" customHeight="1">
      <c r="A407" s="244"/>
      <c r="B407" s="244"/>
      <c r="C407" s="266"/>
      <c r="D407" s="266"/>
      <c r="E407" s="266"/>
      <c r="F407" s="266"/>
      <c r="G407" s="266"/>
      <c r="H407" s="266"/>
      <c r="I407" s="266"/>
      <c r="J407" s="266"/>
      <c r="K407" s="244"/>
      <c r="L407" s="244"/>
      <c r="M407" s="244"/>
      <c r="N407" s="244"/>
      <c r="O407" s="244"/>
      <c r="P407" s="244"/>
      <c r="Q407" s="244"/>
      <c r="R407" s="244"/>
      <c r="S407" s="244"/>
      <c r="T407" s="244"/>
      <c r="U407" s="244"/>
      <c r="V407" s="244"/>
      <c r="W407" s="244"/>
      <c r="X407" s="244"/>
      <c r="Y407" s="244"/>
      <c r="Z407" s="244"/>
    </row>
    <row r="408" ht="11.25" customHeight="1">
      <c r="A408" s="244"/>
      <c r="B408" s="244"/>
      <c r="C408" s="266"/>
      <c r="D408" s="266"/>
      <c r="E408" s="266"/>
      <c r="F408" s="266"/>
      <c r="G408" s="266"/>
      <c r="H408" s="266"/>
      <c r="I408" s="266"/>
      <c r="J408" s="266"/>
      <c r="K408" s="244"/>
      <c r="L408" s="244"/>
      <c r="M408" s="244"/>
      <c r="N408" s="244"/>
      <c r="O408" s="244"/>
      <c r="P408" s="244"/>
      <c r="Q408" s="244"/>
      <c r="R408" s="244"/>
      <c r="S408" s="244"/>
      <c r="T408" s="244"/>
      <c r="U408" s="244"/>
      <c r="V408" s="244"/>
      <c r="W408" s="244"/>
      <c r="X408" s="244"/>
      <c r="Y408" s="244"/>
      <c r="Z408" s="244"/>
    </row>
    <row r="409" ht="11.25" customHeight="1">
      <c r="A409" s="244"/>
      <c r="B409" s="244"/>
      <c r="C409" s="266"/>
      <c r="D409" s="266"/>
      <c r="E409" s="266"/>
      <c r="F409" s="266"/>
      <c r="G409" s="266"/>
      <c r="H409" s="266"/>
      <c r="I409" s="266"/>
      <c r="J409" s="266"/>
      <c r="K409" s="244"/>
      <c r="L409" s="244"/>
      <c r="M409" s="244"/>
      <c r="N409" s="244"/>
      <c r="O409" s="244"/>
      <c r="P409" s="244"/>
      <c r="Q409" s="244"/>
      <c r="R409" s="244"/>
      <c r="S409" s="244"/>
      <c r="T409" s="244"/>
      <c r="U409" s="244"/>
      <c r="V409" s="244"/>
      <c r="W409" s="244"/>
      <c r="X409" s="244"/>
      <c r="Y409" s="244"/>
      <c r="Z409" s="244"/>
    </row>
    <row r="410" ht="11.25" customHeight="1">
      <c r="A410" s="244"/>
      <c r="B410" s="244"/>
      <c r="C410" s="266"/>
      <c r="D410" s="266"/>
      <c r="E410" s="266"/>
      <c r="F410" s="266"/>
      <c r="G410" s="266"/>
      <c r="H410" s="266"/>
      <c r="I410" s="266"/>
      <c r="J410" s="266"/>
      <c r="K410" s="244"/>
      <c r="L410" s="244"/>
      <c r="M410" s="244"/>
      <c r="N410" s="244"/>
      <c r="O410" s="244"/>
      <c r="P410" s="244"/>
      <c r="Q410" s="244"/>
      <c r="R410" s="244"/>
      <c r="S410" s="244"/>
      <c r="T410" s="244"/>
      <c r="U410" s="244"/>
      <c r="V410" s="244"/>
      <c r="W410" s="244"/>
      <c r="X410" s="244"/>
      <c r="Y410" s="244"/>
      <c r="Z410" s="244"/>
    </row>
    <row r="411" ht="11.25" customHeight="1">
      <c r="A411" s="244"/>
      <c r="B411" s="244"/>
      <c r="C411" s="266"/>
      <c r="D411" s="266"/>
      <c r="E411" s="266"/>
      <c r="F411" s="266"/>
      <c r="G411" s="266"/>
      <c r="H411" s="266"/>
      <c r="I411" s="266"/>
      <c r="J411" s="266"/>
      <c r="K411" s="244"/>
      <c r="L411" s="244"/>
      <c r="M411" s="244"/>
      <c r="N411" s="244"/>
      <c r="O411" s="244"/>
      <c r="P411" s="244"/>
      <c r="Q411" s="244"/>
      <c r="R411" s="244"/>
      <c r="S411" s="244"/>
      <c r="T411" s="244"/>
      <c r="U411" s="244"/>
      <c r="V411" s="244"/>
      <c r="W411" s="244"/>
      <c r="X411" s="244"/>
      <c r="Y411" s="244"/>
      <c r="Z411" s="244"/>
    </row>
    <row r="412" ht="11.25" customHeight="1">
      <c r="A412" s="244"/>
      <c r="B412" s="244"/>
      <c r="C412" s="266"/>
      <c r="D412" s="266"/>
      <c r="E412" s="266"/>
      <c r="F412" s="266"/>
      <c r="G412" s="266"/>
      <c r="H412" s="266"/>
      <c r="I412" s="266"/>
      <c r="J412" s="266"/>
      <c r="K412" s="244"/>
      <c r="L412" s="244"/>
      <c r="M412" s="244"/>
      <c r="N412" s="244"/>
      <c r="O412" s="244"/>
      <c r="P412" s="244"/>
      <c r="Q412" s="244"/>
      <c r="R412" s="244"/>
      <c r="S412" s="244"/>
      <c r="T412" s="244"/>
      <c r="U412" s="244"/>
      <c r="V412" s="244"/>
      <c r="W412" s="244"/>
      <c r="X412" s="244"/>
      <c r="Y412" s="244"/>
      <c r="Z412" s="244"/>
    </row>
    <row r="413" ht="11.25" customHeight="1">
      <c r="A413" s="244"/>
      <c r="B413" s="244"/>
      <c r="C413" s="266"/>
      <c r="D413" s="266"/>
      <c r="E413" s="266"/>
      <c r="F413" s="266"/>
      <c r="G413" s="266"/>
      <c r="H413" s="266"/>
      <c r="I413" s="266"/>
      <c r="J413" s="266"/>
      <c r="K413" s="244"/>
      <c r="L413" s="244"/>
      <c r="M413" s="244"/>
      <c r="N413" s="244"/>
      <c r="O413" s="244"/>
      <c r="P413" s="244"/>
      <c r="Q413" s="244"/>
      <c r="R413" s="244"/>
      <c r="S413" s="244"/>
      <c r="T413" s="244"/>
      <c r="U413" s="244"/>
      <c r="V413" s="244"/>
      <c r="W413" s="244"/>
      <c r="X413" s="244"/>
      <c r="Y413" s="244"/>
      <c r="Z413" s="244"/>
    </row>
    <row r="414" ht="11.25" customHeight="1">
      <c r="A414" s="244"/>
      <c r="B414" s="244"/>
      <c r="C414" s="266"/>
      <c r="D414" s="266"/>
      <c r="E414" s="266"/>
      <c r="F414" s="266"/>
      <c r="G414" s="266"/>
      <c r="H414" s="266"/>
      <c r="I414" s="266"/>
      <c r="J414" s="266"/>
      <c r="K414" s="244"/>
      <c r="L414" s="244"/>
      <c r="M414" s="244"/>
      <c r="N414" s="244"/>
      <c r="O414" s="244"/>
      <c r="P414" s="244"/>
      <c r="Q414" s="244"/>
      <c r="R414" s="244"/>
      <c r="S414" s="244"/>
      <c r="T414" s="244"/>
      <c r="U414" s="244"/>
      <c r="V414" s="244"/>
      <c r="W414" s="244"/>
      <c r="X414" s="244"/>
      <c r="Y414" s="244"/>
      <c r="Z414" s="244"/>
    </row>
    <row r="415" ht="11.25" customHeight="1">
      <c r="A415" s="244"/>
      <c r="B415" s="244"/>
      <c r="C415" s="266"/>
      <c r="D415" s="266"/>
      <c r="E415" s="266"/>
      <c r="F415" s="266"/>
      <c r="G415" s="266"/>
      <c r="H415" s="266"/>
      <c r="I415" s="266"/>
      <c r="J415" s="266"/>
      <c r="K415" s="244"/>
      <c r="L415" s="244"/>
      <c r="M415" s="244"/>
      <c r="N415" s="244"/>
      <c r="O415" s="244"/>
      <c r="P415" s="244"/>
      <c r="Q415" s="244"/>
      <c r="R415" s="244"/>
      <c r="S415" s="244"/>
      <c r="T415" s="244"/>
      <c r="U415" s="244"/>
      <c r="V415" s="244"/>
      <c r="W415" s="244"/>
      <c r="X415" s="244"/>
      <c r="Y415" s="244"/>
      <c r="Z415" s="244"/>
    </row>
    <row r="416" ht="11.25" customHeight="1">
      <c r="A416" s="244"/>
      <c r="B416" s="244"/>
      <c r="C416" s="266"/>
      <c r="D416" s="266"/>
      <c r="E416" s="266"/>
      <c r="F416" s="266"/>
      <c r="G416" s="266"/>
      <c r="H416" s="266"/>
      <c r="I416" s="266"/>
      <c r="J416" s="266"/>
      <c r="K416" s="244"/>
      <c r="L416" s="244"/>
      <c r="M416" s="244"/>
      <c r="N416" s="244"/>
      <c r="O416" s="244"/>
      <c r="P416" s="244"/>
      <c r="Q416" s="244"/>
      <c r="R416" s="244"/>
      <c r="S416" s="244"/>
      <c r="T416" s="244"/>
      <c r="U416" s="244"/>
      <c r="V416" s="244"/>
      <c r="W416" s="244"/>
      <c r="X416" s="244"/>
      <c r="Y416" s="244"/>
      <c r="Z416" s="244"/>
    </row>
    <row r="417" ht="11.25" customHeight="1">
      <c r="A417" s="244"/>
      <c r="B417" s="244"/>
      <c r="C417" s="266"/>
      <c r="D417" s="266"/>
      <c r="E417" s="266"/>
      <c r="F417" s="266"/>
      <c r="G417" s="266"/>
      <c r="H417" s="266"/>
      <c r="I417" s="266"/>
      <c r="J417" s="266"/>
      <c r="K417" s="244"/>
      <c r="L417" s="244"/>
      <c r="M417" s="244"/>
      <c r="N417" s="244"/>
      <c r="O417" s="244"/>
      <c r="P417" s="244"/>
      <c r="Q417" s="244"/>
      <c r="R417" s="244"/>
      <c r="S417" s="244"/>
      <c r="T417" s="244"/>
      <c r="U417" s="244"/>
      <c r="V417" s="244"/>
      <c r="W417" s="244"/>
      <c r="X417" s="244"/>
      <c r="Y417" s="244"/>
      <c r="Z417" s="244"/>
    </row>
    <row r="418" ht="11.25" customHeight="1">
      <c r="A418" s="244"/>
      <c r="B418" s="244"/>
      <c r="C418" s="266"/>
      <c r="D418" s="266"/>
      <c r="E418" s="266"/>
      <c r="F418" s="266"/>
      <c r="G418" s="266"/>
      <c r="H418" s="266"/>
      <c r="I418" s="266"/>
      <c r="J418" s="266"/>
      <c r="K418" s="244"/>
      <c r="L418" s="244"/>
      <c r="M418" s="244"/>
      <c r="N418" s="244"/>
      <c r="O418" s="244"/>
      <c r="P418" s="244"/>
      <c r="Q418" s="244"/>
      <c r="R418" s="244"/>
      <c r="S418" s="244"/>
      <c r="T418" s="244"/>
      <c r="U418" s="244"/>
      <c r="V418" s="244"/>
      <c r="W418" s="244"/>
      <c r="X418" s="244"/>
      <c r="Y418" s="244"/>
      <c r="Z418" s="244"/>
    </row>
    <row r="419" ht="11.25" customHeight="1">
      <c r="A419" s="244"/>
      <c r="B419" s="244"/>
      <c r="C419" s="266"/>
      <c r="D419" s="266"/>
      <c r="E419" s="266"/>
      <c r="F419" s="266"/>
      <c r="G419" s="266"/>
      <c r="H419" s="266"/>
      <c r="I419" s="266"/>
      <c r="J419" s="266"/>
      <c r="K419" s="244"/>
      <c r="L419" s="244"/>
      <c r="M419" s="244"/>
      <c r="N419" s="244"/>
      <c r="O419" s="244"/>
      <c r="P419" s="244"/>
      <c r="Q419" s="244"/>
      <c r="R419" s="244"/>
      <c r="S419" s="244"/>
      <c r="T419" s="244"/>
      <c r="U419" s="244"/>
      <c r="V419" s="244"/>
      <c r="W419" s="244"/>
      <c r="X419" s="244"/>
      <c r="Y419" s="244"/>
      <c r="Z419" s="244"/>
    </row>
    <row r="420" ht="11.25" customHeight="1">
      <c r="A420" s="244"/>
      <c r="B420" s="244"/>
      <c r="C420" s="266"/>
      <c r="D420" s="266"/>
      <c r="E420" s="266"/>
      <c r="F420" s="266"/>
      <c r="G420" s="266"/>
      <c r="H420" s="266"/>
      <c r="I420" s="266"/>
      <c r="J420" s="266"/>
      <c r="K420" s="244"/>
      <c r="L420" s="244"/>
      <c r="M420" s="244"/>
      <c r="N420" s="244"/>
      <c r="O420" s="244"/>
      <c r="P420" s="244"/>
      <c r="Q420" s="244"/>
      <c r="R420" s="244"/>
      <c r="S420" s="244"/>
      <c r="T420" s="244"/>
      <c r="U420" s="244"/>
      <c r="V420" s="244"/>
      <c r="W420" s="244"/>
      <c r="X420" s="244"/>
      <c r="Y420" s="244"/>
      <c r="Z420" s="244"/>
    </row>
    <row r="421" ht="11.25" customHeight="1">
      <c r="A421" s="244"/>
      <c r="B421" s="244"/>
      <c r="C421" s="266"/>
      <c r="D421" s="266"/>
      <c r="E421" s="266"/>
      <c r="F421" s="266"/>
      <c r="G421" s="266"/>
      <c r="H421" s="266"/>
      <c r="I421" s="266"/>
      <c r="J421" s="266"/>
      <c r="K421" s="244"/>
      <c r="L421" s="244"/>
      <c r="M421" s="244"/>
      <c r="N421" s="244"/>
      <c r="O421" s="244"/>
      <c r="P421" s="244"/>
      <c r="Q421" s="244"/>
      <c r="R421" s="244"/>
      <c r="S421" s="244"/>
      <c r="T421" s="244"/>
      <c r="U421" s="244"/>
      <c r="V421" s="244"/>
      <c r="W421" s="244"/>
      <c r="X421" s="244"/>
      <c r="Y421" s="244"/>
      <c r="Z421" s="244"/>
    </row>
    <row r="422" ht="11.25" customHeight="1">
      <c r="A422" s="244"/>
      <c r="B422" s="244"/>
      <c r="C422" s="266"/>
      <c r="D422" s="266"/>
      <c r="E422" s="266"/>
      <c r="F422" s="266"/>
      <c r="G422" s="266"/>
      <c r="H422" s="266"/>
      <c r="I422" s="266"/>
      <c r="J422" s="266"/>
      <c r="K422" s="244"/>
      <c r="L422" s="244"/>
      <c r="M422" s="244"/>
      <c r="N422" s="244"/>
      <c r="O422" s="244"/>
      <c r="P422" s="244"/>
      <c r="Q422" s="244"/>
      <c r="R422" s="244"/>
      <c r="S422" s="244"/>
      <c r="T422" s="244"/>
      <c r="U422" s="244"/>
      <c r="V422" s="244"/>
      <c r="W422" s="244"/>
      <c r="X422" s="244"/>
      <c r="Y422" s="244"/>
      <c r="Z422" s="244"/>
    </row>
    <row r="423" ht="11.25" customHeight="1">
      <c r="A423" s="244"/>
      <c r="B423" s="244"/>
      <c r="C423" s="266"/>
      <c r="D423" s="266"/>
      <c r="E423" s="266"/>
      <c r="F423" s="266"/>
      <c r="G423" s="266"/>
      <c r="H423" s="266"/>
      <c r="I423" s="266"/>
      <c r="J423" s="266"/>
      <c r="K423" s="244"/>
      <c r="L423" s="244"/>
      <c r="M423" s="244"/>
      <c r="N423" s="244"/>
      <c r="O423" s="244"/>
      <c r="P423" s="244"/>
      <c r="Q423" s="244"/>
      <c r="R423" s="244"/>
      <c r="S423" s="244"/>
      <c r="T423" s="244"/>
      <c r="U423" s="244"/>
      <c r="V423" s="244"/>
      <c r="W423" s="244"/>
      <c r="X423" s="244"/>
      <c r="Y423" s="244"/>
      <c r="Z423" s="244"/>
    </row>
    <row r="424" ht="11.25" customHeight="1">
      <c r="A424" s="244"/>
      <c r="B424" s="244"/>
      <c r="C424" s="266"/>
      <c r="D424" s="266"/>
      <c r="E424" s="266"/>
      <c r="F424" s="266"/>
      <c r="G424" s="266"/>
      <c r="H424" s="266"/>
      <c r="I424" s="266"/>
      <c r="J424" s="266"/>
      <c r="K424" s="244"/>
      <c r="L424" s="244"/>
      <c r="M424" s="244"/>
      <c r="N424" s="244"/>
      <c r="O424" s="244"/>
      <c r="P424" s="244"/>
      <c r="Q424" s="244"/>
      <c r="R424" s="244"/>
      <c r="S424" s="244"/>
      <c r="T424" s="244"/>
      <c r="U424" s="244"/>
      <c r="V424" s="244"/>
      <c r="W424" s="244"/>
      <c r="X424" s="244"/>
      <c r="Y424" s="244"/>
      <c r="Z424" s="244"/>
    </row>
    <row r="425" ht="11.25" customHeight="1">
      <c r="A425" s="244"/>
      <c r="B425" s="244"/>
      <c r="C425" s="266"/>
      <c r="D425" s="266"/>
      <c r="E425" s="266"/>
      <c r="F425" s="266"/>
      <c r="G425" s="266"/>
      <c r="H425" s="266"/>
      <c r="I425" s="266"/>
      <c r="J425" s="266"/>
      <c r="K425" s="244"/>
      <c r="L425" s="244"/>
      <c r="M425" s="244"/>
      <c r="N425" s="244"/>
      <c r="O425" s="244"/>
      <c r="P425" s="244"/>
      <c r="Q425" s="244"/>
      <c r="R425" s="244"/>
      <c r="S425" s="244"/>
      <c r="T425" s="244"/>
      <c r="U425" s="244"/>
      <c r="V425" s="244"/>
      <c r="W425" s="244"/>
      <c r="X425" s="244"/>
      <c r="Y425" s="244"/>
      <c r="Z425" s="244"/>
    </row>
    <row r="426" ht="11.25" customHeight="1">
      <c r="A426" s="244"/>
      <c r="B426" s="244"/>
      <c r="C426" s="266"/>
      <c r="D426" s="266"/>
      <c r="E426" s="266"/>
      <c r="F426" s="266"/>
      <c r="G426" s="266"/>
      <c r="H426" s="266"/>
      <c r="I426" s="266"/>
      <c r="J426" s="266"/>
      <c r="K426" s="244"/>
      <c r="L426" s="244"/>
      <c r="M426" s="244"/>
      <c r="N426" s="244"/>
      <c r="O426" s="244"/>
      <c r="P426" s="244"/>
      <c r="Q426" s="244"/>
      <c r="R426" s="244"/>
      <c r="S426" s="244"/>
      <c r="T426" s="244"/>
      <c r="U426" s="244"/>
      <c r="V426" s="244"/>
      <c r="W426" s="244"/>
      <c r="X426" s="244"/>
      <c r="Y426" s="244"/>
      <c r="Z426" s="244"/>
    </row>
    <row r="427" ht="11.25" customHeight="1">
      <c r="A427" s="244"/>
      <c r="B427" s="244"/>
      <c r="C427" s="266"/>
      <c r="D427" s="266"/>
      <c r="E427" s="266"/>
      <c r="F427" s="266"/>
      <c r="G427" s="266"/>
      <c r="H427" s="266"/>
      <c r="I427" s="266"/>
      <c r="J427" s="266"/>
      <c r="K427" s="244"/>
      <c r="L427" s="244"/>
      <c r="M427" s="244"/>
      <c r="N427" s="244"/>
      <c r="O427" s="244"/>
      <c r="P427" s="244"/>
      <c r="Q427" s="244"/>
      <c r="R427" s="244"/>
      <c r="S427" s="244"/>
      <c r="T427" s="244"/>
      <c r="U427" s="244"/>
      <c r="V427" s="244"/>
      <c r="W427" s="244"/>
      <c r="X427" s="244"/>
      <c r="Y427" s="244"/>
      <c r="Z427" s="244"/>
    </row>
    <row r="428" ht="11.25" customHeight="1">
      <c r="A428" s="244"/>
      <c r="B428" s="244"/>
      <c r="C428" s="266"/>
      <c r="D428" s="266"/>
      <c r="E428" s="266"/>
      <c r="F428" s="266"/>
      <c r="G428" s="266"/>
      <c r="H428" s="266"/>
      <c r="I428" s="266"/>
      <c r="J428" s="266"/>
      <c r="K428" s="244"/>
      <c r="L428" s="244"/>
      <c r="M428" s="244"/>
      <c r="N428" s="244"/>
      <c r="O428" s="244"/>
      <c r="P428" s="244"/>
      <c r="Q428" s="244"/>
      <c r="R428" s="244"/>
      <c r="S428" s="244"/>
      <c r="T428" s="244"/>
      <c r="U428" s="244"/>
      <c r="V428" s="244"/>
      <c r="W428" s="244"/>
      <c r="X428" s="244"/>
      <c r="Y428" s="244"/>
      <c r="Z428" s="244"/>
    </row>
    <row r="429" ht="11.25" customHeight="1">
      <c r="A429" s="244"/>
      <c r="B429" s="244"/>
      <c r="C429" s="266"/>
      <c r="D429" s="266"/>
      <c r="E429" s="266"/>
      <c r="F429" s="266"/>
      <c r="G429" s="266"/>
      <c r="H429" s="266"/>
      <c r="I429" s="266"/>
      <c r="J429" s="266"/>
      <c r="K429" s="244"/>
      <c r="L429" s="244"/>
      <c r="M429" s="244"/>
      <c r="N429" s="244"/>
      <c r="O429" s="244"/>
      <c r="P429" s="244"/>
      <c r="Q429" s="244"/>
      <c r="R429" s="244"/>
      <c r="S429" s="244"/>
      <c r="T429" s="244"/>
      <c r="U429" s="244"/>
      <c r="V429" s="244"/>
      <c r="W429" s="244"/>
      <c r="X429" s="244"/>
      <c r="Y429" s="244"/>
      <c r="Z429" s="244"/>
    </row>
    <row r="430" ht="11.25" customHeight="1">
      <c r="A430" s="244"/>
      <c r="B430" s="244"/>
      <c r="C430" s="266"/>
      <c r="D430" s="266"/>
      <c r="E430" s="266"/>
      <c r="F430" s="266"/>
      <c r="G430" s="266"/>
      <c r="H430" s="266"/>
      <c r="I430" s="266"/>
      <c r="J430" s="266"/>
      <c r="K430" s="244"/>
      <c r="L430" s="244"/>
      <c r="M430" s="244"/>
      <c r="N430" s="244"/>
      <c r="O430" s="244"/>
      <c r="P430" s="244"/>
      <c r="Q430" s="244"/>
      <c r="R430" s="244"/>
      <c r="S430" s="244"/>
      <c r="T430" s="244"/>
      <c r="U430" s="244"/>
      <c r="V430" s="244"/>
      <c r="W430" s="244"/>
      <c r="X430" s="244"/>
      <c r="Y430" s="244"/>
      <c r="Z430" s="244"/>
    </row>
    <row r="431" ht="11.25" customHeight="1">
      <c r="A431" s="244"/>
      <c r="B431" s="244"/>
      <c r="C431" s="266"/>
      <c r="D431" s="266"/>
      <c r="E431" s="266"/>
      <c r="F431" s="266"/>
      <c r="G431" s="266"/>
      <c r="H431" s="266"/>
      <c r="I431" s="266"/>
      <c r="J431" s="266"/>
      <c r="K431" s="244"/>
      <c r="L431" s="244"/>
      <c r="M431" s="244"/>
      <c r="N431" s="244"/>
      <c r="O431" s="244"/>
      <c r="P431" s="244"/>
      <c r="Q431" s="244"/>
      <c r="R431" s="244"/>
      <c r="S431" s="244"/>
      <c r="T431" s="244"/>
      <c r="U431" s="244"/>
      <c r="V431" s="244"/>
      <c r="W431" s="244"/>
      <c r="X431" s="244"/>
      <c r="Y431" s="244"/>
      <c r="Z431" s="244"/>
    </row>
    <row r="432" ht="11.25" customHeight="1">
      <c r="A432" s="244"/>
      <c r="B432" s="244"/>
      <c r="C432" s="266"/>
      <c r="D432" s="266"/>
      <c r="E432" s="266"/>
      <c r="F432" s="266"/>
      <c r="G432" s="266"/>
      <c r="H432" s="266"/>
      <c r="I432" s="266"/>
      <c r="J432" s="266"/>
      <c r="K432" s="244"/>
      <c r="L432" s="244"/>
      <c r="M432" s="244"/>
      <c r="N432" s="244"/>
      <c r="O432" s="244"/>
      <c r="P432" s="244"/>
      <c r="Q432" s="244"/>
      <c r="R432" s="244"/>
      <c r="S432" s="244"/>
      <c r="T432" s="244"/>
      <c r="U432" s="244"/>
      <c r="V432" s="244"/>
      <c r="W432" s="244"/>
      <c r="X432" s="244"/>
      <c r="Y432" s="244"/>
      <c r="Z432" s="244"/>
    </row>
    <row r="433" ht="11.25" customHeight="1">
      <c r="A433" s="244"/>
      <c r="B433" s="244"/>
      <c r="C433" s="266"/>
      <c r="D433" s="266"/>
      <c r="E433" s="266"/>
      <c r="F433" s="266"/>
      <c r="G433" s="266"/>
      <c r="H433" s="266"/>
      <c r="I433" s="266"/>
      <c r="J433" s="266"/>
      <c r="K433" s="244"/>
      <c r="L433" s="244"/>
      <c r="M433" s="244"/>
      <c r="N433" s="244"/>
      <c r="O433" s="244"/>
      <c r="P433" s="244"/>
      <c r="Q433" s="244"/>
      <c r="R433" s="244"/>
      <c r="S433" s="244"/>
      <c r="T433" s="244"/>
      <c r="U433" s="244"/>
      <c r="V433" s="244"/>
      <c r="W433" s="244"/>
      <c r="X433" s="244"/>
      <c r="Y433" s="244"/>
      <c r="Z433" s="244"/>
    </row>
    <row r="434" ht="11.25" customHeight="1">
      <c r="A434" s="244"/>
      <c r="B434" s="244"/>
      <c r="C434" s="266"/>
      <c r="D434" s="266"/>
      <c r="E434" s="266"/>
      <c r="F434" s="266"/>
      <c r="G434" s="266"/>
      <c r="H434" s="266"/>
      <c r="I434" s="266"/>
      <c r="J434" s="266"/>
      <c r="K434" s="244"/>
      <c r="L434" s="244"/>
      <c r="M434" s="244"/>
      <c r="N434" s="244"/>
      <c r="O434" s="244"/>
      <c r="P434" s="244"/>
      <c r="Q434" s="244"/>
      <c r="R434" s="244"/>
      <c r="S434" s="244"/>
      <c r="T434" s="244"/>
      <c r="U434" s="244"/>
      <c r="V434" s="244"/>
      <c r="W434" s="244"/>
      <c r="X434" s="244"/>
      <c r="Y434" s="244"/>
      <c r="Z434" s="244"/>
    </row>
    <row r="435" ht="11.25" customHeight="1">
      <c r="A435" s="244"/>
      <c r="B435" s="244"/>
      <c r="C435" s="266"/>
      <c r="D435" s="266"/>
      <c r="E435" s="266"/>
      <c r="F435" s="266"/>
      <c r="G435" s="266"/>
      <c r="H435" s="266"/>
      <c r="I435" s="266"/>
      <c r="J435" s="266"/>
      <c r="K435" s="244"/>
      <c r="L435" s="244"/>
      <c r="M435" s="244"/>
      <c r="N435" s="244"/>
      <c r="O435" s="244"/>
      <c r="P435" s="244"/>
      <c r="Q435" s="244"/>
      <c r="R435" s="244"/>
      <c r="S435" s="244"/>
      <c r="T435" s="244"/>
      <c r="U435" s="244"/>
      <c r="V435" s="244"/>
      <c r="W435" s="244"/>
      <c r="X435" s="244"/>
      <c r="Y435" s="244"/>
      <c r="Z435" s="244"/>
    </row>
    <row r="436" ht="11.25" customHeight="1">
      <c r="A436" s="244"/>
      <c r="B436" s="244"/>
      <c r="C436" s="266"/>
      <c r="D436" s="266"/>
      <c r="E436" s="266"/>
      <c r="F436" s="266"/>
      <c r="G436" s="266"/>
      <c r="H436" s="266"/>
      <c r="I436" s="266"/>
      <c r="J436" s="266"/>
      <c r="K436" s="244"/>
      <c r="L436" s="244"/>
      <c r="M436" s="244"/>
      <c r="N436" s="244"/>
      <c r="O436" s="244"/>
      <c r="P436" s="244"/>
      <c r="Q436" s="244"/>
      <c r="R436" s="244"/>
      <c r="S436" s="244"/>
      <c r="T436" s="244"/>
      <c r="U436" s="244"/>
      <c r="V436" s="244"/>
      <c r="W436" s="244"/>
      <c r="X436" s="244"/>
      <c r="Y436" s="244"/>
      <c r="Z436" s="244"/>
    </row>
    <row r="437" ht="11.25" customHeight="1">
      <c r="A437" s="244"/>
      <c r="B437" s="244"/>
      <c r="C437" s="266"/>
      <c r="D437" s="266"/>
      <c r="E437" s="266"/>
      <c r="F437" s="266"/>
      <c r="G437" s="266"/>
      <c r="H437" s="266"/>
      <c r="I437" s="266"/>
      <c r="J437" s="266"/>
      <c r="K437" s="244"/>
      <c r="L437" s="244"/>
      <c r="M437" s="244"/>
      <c r="N437" s="244"/>
      <c r="O437" s="244"/>
      <c r="P437" s="244"/>
      <c r="Q437" s="244"/>
      <c r="R437" s="244"/>
      <c r="S437" s="244"/>
      <c r="T437" s="244"/>
      <c r="U437" s="244"/>
      <c r="V437" s="244"/>
      <c r="W437" s="244"/>
      <c r="X437" s="244"/>
      <c r="Y437" s="244"/>
      <c r="Z437" s="244"/>
    </row>
    <row r="438" ht="11.25" customHeight="1">
      <c r="A438" s="244"/>
      <c r="B438" s="244"/>
      <c r="C438" s="266"/>
      <c r="D438" s="266"/>
      <c r="E438" s="266"/>
      <c r="F438" s="266"/>
      <c r="G438" s="266"/>
      <c r="H438" s="266"/>
      <c r="I438" s="266"/>
      <c r="J438" s="266"/>
      <c r="K438" s="244"/>
      <c r="L438" s="244"/>
      <c r="M438" s="244"/>
      <c r="N438" s="244"/>
      <c r="O438" s="244"/>
      <c r="P438" s="244"/>
      <c r="Q438" s="244"/>
      <c r="R438" s="244"/>
      <c r="S438" s="244"/>
      <c r="T438" s="244"/>
      <c r="U438" s="244"/>
      <c r="V438" s="244"/>
      <c r="W438" s="244"/>
      <c r="X438" s="244"/>
      <c r="Y438" s="244"/>
      <c r="Z438" s="244"/>
    </row>
    <row r="439" ht="11.25" customHeight="1">
      <c r="A439" s="244"/>
      <c r="B439" s="244"/>
      <c r="C439" s="266"/>
      <c r="D439" s="266"/>
      <c r="E439" s="266"/>
      <c r="F439" s="266"/>
      <c r="G439" s="266"/>
      <c r="H439" s="266"/>
      <c r="I439" s="266"/>
      <c r="J439" s="266"/>
      <c r="K439" s="244"/>
      <c r="L439" s="244"/>
      <c r="M439" s="244"/>
      <c r="N439" s="244"/>
      <c r="O439" s="244"/>
      <c r="P439" s="244"/>
      <c r="Q439" s="244"/>
      <c r="R439" s="244"/>
      <c r="S439" s="244"/>
      <c r="T439" s="244"/>
      <c r="U439" s="244"/>
      <c r="V439" s="244"/>
      <c r="W439" s="244"/>
      <c r="X439" s="244"/>
      <c r="Y439" s="244"/>
      <c r="Z439" s="244"/>
    </row>
    <row r="440" ht="11.25" customHeight="1">
      <c r="A440" s="244"/>
      <c r="B440" s="244"/>
      <c r="C440" s="266"/>
      <c r="D440" s="266"/>
      <c r="E440" s="266"/>
      <c r="F440" s="266"/>
      <c r="G440" s="266"/>
      <c r="H440" s="266"/>
      <c r="I440" s="266"/>
      <c r="J440" s="266"/>
      <c r="K440" s="244"/>
      <c r="L440" s="244"/>
      <c r="M440" s="244"/>
      <c r="N440" s="244"/>
      <c r="O440" s="244"/>
      <c r="P440" s="244"/>
      <c r="Q440" s="244"/>
      <c r="R440" s="244"/>
      <c r="S440" s="244"/>
      <c r="T440" s="244"/>
      <c r="U440" s="244"/>
      <c r="V440" s="244"/>
      <c r="W440" s="244"/>
      <c r="X440" s="244"/>
      <c r="Y440" s="244"/>
      <c r="Z440" s="244"/>
    </row>
    <row r="441" ht="11.25" customHeight="1">
      <c r="A441" s="244"/>
      <c r="B441" s="244"/>
      <c r="C441" s="266"/>
      <c r="D441" s="266"/>
      <c r="E441" s="266"/>
      <c r="F441" s="266"/>
      <c r="G441" s="266"/>
      <c r="H441" s="266"/>
      <c r="I441" s="266"/>
      <c r="J441" s="266"/>
      <c r="K441" s="244"/>
      <c r="L441" s="244"/>
      <c r="M441" s="244"/>
      <c r="N441" s="244"/>
      <c r="O441" s="244"/>
      <c r="P441" s="244"/>
      <c r="Q441" s="244"/>
      <c r="R441" s="244"/>
      <c r="S441" s="244"/>
      <c r="T441" s="244"/>
      <c r="U441" s="244"/>
      <c r="V441" s="244"/>
      <c r="W441" s="244"/>
      <c r="X441" s="244"/>
      <c r="Y441" s="244"/>
      <c r="Z441" s="244"/>
    </row>
    <row r="442" ht="11.25" customHeight="1">
      <c r="A442" s="244"/>
      <c r="B442" s="244"/>
      <c r="C442" s="266"/>
      <c r="D442" s="266"/>
      <c r="E442" s="266"/>
      <c r="F442" s="266"/>
      <c r="G442" s="266"/>
      <c r="H442" s="266"/>
      <c r="I442" s="266"/>
      <c r="J442" s="266"/>
      <c r="K442" s="244"/>
      <c r="L442" s="244"/>
      <c r="M442" s="244"/>
      <c r="N442" s="244"/>
      <c r="O442" s="244"/>
      <c r="P442" s="244"/>
      <c r="Q442" s="244"/>
      <c r="R442" s="244"/>
      <c r="S442" s="244"/>
      <c r="T442" s="244"/>
      <c r="U442" s="244"/>
      <c r="V442" s="244"/>
      <c r="W442" s="244"/>
      <c r="X442" s="244"/>
      <c r="Y442" s="244"/>
      <c r="Z442" s="244"/>
    </row>
    <row r="443" ht="11.25" customHeight="1">
      <c r="A443" s="244"/>
      <c r="B443" s="244"/>
      <c r="C443" s="266"/>
      <c r="D443" s="266"/>
      <c r="E443" s="266"/>
      <c r="F443" s="266"/>
      <c r="G443" s="266"/>
      <c r="H443" s="266"/>
      <c r="I443" s="266"/>
      <c r="J443" s="266"/>
      <c r="K443" s="244"/>
      <c r="L443" s="244"/>
      <c r="M443" s="244"/>
      <c r="N443" s="244"/>
      <c r="O443" s="244"/>
      <c r="P443" s="244"/>
      <c r="Q443" s="244"/>
      <c r="R443" s="244"/>
      <c r="S443" s="244"/>
      <c r="T443" s="244"/>
      <c r="U443" s="244"/>
      <c r="V443" s="244"/>
      <c r="W443" s="244"/>
      <c r="X443" s="244"/>
      <c r="Y443" s="244"/>
      <c r="Z443" s="244"/>
    </row>
    <row r="444" ht="11.25" customHeight="1">
      <c r="A444" s="244"/>
      <c r="B444" s="244"/>
      <c r="C444" s="266"/>
      <c r="D444" s="266"/>
      <c r="E444" s="266"/>
      <c r="F444" s="266"/>
      <c r="G444" s="266"/>
      <c r="H444" s="266"/>
      <c r="I444" s="266"/>
      <c r="J444" s="266"/>
      <c r="K444" s="244"/>
      <c r="L444" s="244"/>
      <c r="M444" s="244"/>
      <c r="N444" s="244"/>
      <c r="O444" s="244"/>
      <c r="P444" s="244"/>
      <c r="Q444" s="244"/>
      <c r="R444" s="244"/>
      <c r="S444" s="244"/>
      <c r="T444" s="244"/>
      <c r="U444" s="244"/>
      <c r="V444" s="244"/>
      <c r="W444" s="244"/>
      <c r="X444" s="244"/>
      <c r="Y444" s="244"/>
      <c r="Z444" s="244"/>
    </row>
    <row r="445" ht="11.25" customHeight="1">
      <c r="A445" s="244"/>
      <c r="B445" s="244"/>
      <c r="C445" s="266"/>
      <c r="D445" s="266"/>
      <c r="E445" s="266"/>
      <c r="F445" s="266"/>
      <c r="G445" s="266"/>
      <c r="H445" s="266"/>
      <c r="I445" s="266"/>
      <c r="J445" s="266"/>
      <c r="K445" s="244"/>
      <c r="L445" s="244"/>
      <c r="M445" s="244"/>
      <c r="N445" s="244"/>
      <c r="O445" s="244"/>
      <c r="P445" s="244"/>
      <c r="Q445" s="244"/>
      <c r="R445" s="244"/>
      <c r="S445" s="244"/>
      <c r="T445" s="244"/>
      <c r="U445" s="244"/>
      <c r="V445" s="244"/>
      <c r="W445" s="244"/>
      <c r="X445" s="244"/>
      <c r="Y445" s="244"/>
      <c r="Z445" s="244"/>
    </row>
    <row r="446" ht="11.25" customHeight="1">
      <c r="A446" s="244"/>
      <c r="B446" s="244"/>
      <c r="C446" s="266"/>
      <c r="D446" s="266"/>
      <c r="E446" s="266"/>
      <c r="F446" s="266"/>
      <c r="G446" s="266"/>
      <c r="H446" s="266"/>
      <c r="I446" s="266"/>
      <c r="J446" s="266"/>
      <c r="K446" s="244"/>
      <c r="L446" s="244"/>
      <c r="M446" s="244"/>
      <c r="N446" s="244"/>
      <c r="O446" s="244"/>
      <c r="P446" s="244"/>
      <c r="Q446" s="244"/>
      <c r="R446" s="244"/>
      <c r="S446" s="244"/>
      <c r="T446" s="244"/>
      <c r="U446" s="244"/>
      <c r="V446" s="244"/>
      <c r="W446" s="244"/>
      <c r="X446" s="244"/>
      <c r="Y446" s="244"/>
      <c r="Z446" s="244"/>
    </row>
    <row r="447" ht="11.25" customHeight="1">
      <c r="A447" s="244"/>
      <c r="B447" s="244"/>
      <c r="C447" s="266"/>
      <c r="D447" s="266"/>
      <c r="E447" s="266"/>
      <c r="F447" s="266"/>
      <c r="G447" s="266"/>
      <c r="H447" s="266"/>
      <c r="I447" s="266"/>
      <c r="J447" s="266"/>
      <c r="K447" s="244"/>
      <c r="L447" s="244"/>
      <c r="M447" s="244"/>
      <c r="N447" s="244"/>
      <c r="O447" s="244"/>
      <c r="P447" s="244"/>
      <c r="Q447" s="244"/>
      <c r="R447" s="244"/>
      <c r="S447" s="244"/>
      <c r="T447" s="244"/>
      <c r="U447" s="244"/>
      <c r="V447" s="244"/>
      <c r="W447" s="244"/>
      <c r="X447" s="244"/>
      <c r="Y447" s="244"/>
      <c r="Z447" s="244"/>
    </row>
    <row r="448" ht="11.25" customHeight="1">
      <c r="A448" s="244"/>
      <c r="B448" s="244"/>
      <c r="C448" s="266"/>
      <c r="D448" s="266"/>
      <c r="E448" s="266"/>
      <c r="F448" s="266"/>
      <c r="G448" s="266"/>
      <c r="H448" s="266"/>
      <c r="I448" s="266"/>
      <c r="J448" s="266"/>
      <c r="K448" s="244"/>
      <c r="L448" s="244"/>
      <c r="M448" s="244"/>
      <c r="N448" s="244"/>
      <c r="O448" s="244"/>
      <c r="P448" s="244"/>
      <c r="Q448" s="244"/>
      <c r="R448" s="244"/>
      <c r="S448" s="244"/>
      <c r="T448" s="244"/>
      <c r="U448" s="244"/>
      <c r="V448" s="244"/>
      <c r="W448" s="244"/>
      <c r="X448" s="244"/>
      <c r="Y448" s="244"/>
      <c r="Z448" s="244"/>
    </row>
    <row r="449" ht="11.25" customHeight="1">
      <c r="A449" s="244"/>
      <c r="B449" s="244"/>
      <c r="C449" s="266"/>
      <c r="D449" s="266"/>
      <c r="E449" s="266"/>
      <c r="F449" s="266"/>
      <c r="G449" s="266"/>
      <c r="H449" s="266"/>
      <c r="I449" s="266"/>
      <c r="J449" s="266"/>
      <c r="K449" s="244"/>
      <c r="L449" s="244"/>
      <c r="M449" s="244"/>
      <c r="N449" s="244"/>
      <c r="O449" s="244"/>
      <c r="P449" s="244"/>
      <c r="Q449" s="244"/>
      <c r="R449" s="244"/>
      <c r="S449" s="244"/>
      <c r="T449" s="244"/>
      <c r="U449" s="244"/>
      <c r="V449" s="244"/>
      <c r="W449" s="244"/>
      <c r="X449" s="244"/>
      <c r="Y449" s="244"/>
      <c r="Z449" s="244"/>
    </row>
    <row r="450" ht="11.25" customHeight="1">
      <c r="A450" s="244"/>
      <c r="B450" s="244"/>
      <c r="C450" s="266"/>
      <c r="D450" s="266"/>
      <c r="E450" s="266"/>
      <c r="F450" s="266"/>
      <c r="G450" s="266"/>
      <c r="H450" s="266"/>
      <c r="I450" s="266"/>
      <c r="J450" s="266"/>
      <c r="K450" s="244"/>
      <c r="L450" s="244"/>
      <c r="M450" s="244"/>
      <c r="N450" s="244"/>
      <c r="O450" s="244"/>
      <c r="P450" s="244"/>
      <c r="Q450" s="244"/>
      <c r="R450" s="244"/>
      <c r="S450" s="244"/>
      <c r="T450" s="244"/>
      <c r="U450" s="244"/>
      <c r="V450" s="244"/>
      <c r="W450" s="244"/>
      <c r="X450" s="244"/>
      <c r="Y450" s="244"/>
      <c r="Z450" s="244"/>
    </row>
    <row r="451" ht="11.25" customHeight="1">
      <c r="A451" s="244"/>
      <c r="B451" s="244"/>
      <c r="C451" s="266"/>
      <c r="D451" s="266"/>
      <c r="E451" s="266"/>
      <c r="F451" s="266"/>
      <c r="G451" s="266"/>
      <c r="H451" s="266"/>
      <c r="I451" s="266"/>
      <c r="J451" s="266"/>
      <c r="K451" s="244"/>
      <c r="L451" s="244"/>
      <c r="M451" s="244"/>
      <c r="N451" s="244"/>
      <c r="O451" s="244"/>
      <c r="P451" s="244"/>
      <c r="Q451" s="244"/>
      <c r="R451" s="244"/>
      <c r="S451" s="244"/>
      <c r="T451" s="244"/>
      <c r="U451" s="244"/>
      <c r="V451" s="244"/>
      <c r="W451" s="244"/>
      <c r="X451" s="244"/>
      <c r="Y451" s="244"/>
      <c r="Z451" s="244"/>
    </row>
    <row r="452" ht="11.25" customHeight="1">
      <c r="A452" s="244"/>
      <c r="B452" s="244"/>
      <c r="C452" s="266"/>
      <c r="D452" s="266"/>
      <c r="E452" s="266"/>
      <c r="F452" s="266"/>
      <c r="G452" s="266"/>
      <c r="H452" s="266"/>
      <c r="I452" s="266"/>
      <c r="J452" s="266"/>
      <c r="K452" s="244"/>
      <c r="L452" s="244"/>
      <c r="M452" s="244"/>
      <c r="N452" s="244"/>
      <c r="O452" s="244"/>
      <c r="P452" s="244"/>
      <c r="Q452" s="244"/>
      <c r="R452" s="244"/>
      <c r="S452" s="244"/>
      <c r="T452" s="244"/>
      <c r="U452" s="244"/>
      <c r="V452" s="244"/>
      <c r="W452" s="244"/>
      <c r="X452" s="244"/>
      <c r="Y452" s="244"/>
      <c r="Z452" s="244"/>
    </row>
    <row r="453" ht="11.25" customHeight="1">
      <c r="A453" s="244"/>
      <c r="B453" s="244"/>
      <c r="C453" s="266"/>
      <c r="D453" s="266"/>
      <c r="E453" s="266"/>
      <c r="F453" s="266"/>
      <c r="G453" s="266"/>
      <c r="H453" s="266"/>
      <c r="I453" s="266"/>
      <c r="J453" s="266"/>
      <c r="K453" s="244"/>
      <c r="L453" s="244"/>
      <c r="M453" s="244"/>
      <c r="N453" s="244"/>
      <c r="O453" s="244"/>
      <c r="P453" s="244"/>
      <c r="Q453" s="244"/>
      <c r="R453" s="244"/>
      <c r="S453" s="244"/>
      <c r="T453" s="244"/>
      <c r="U453" s="244"/>
      <c r="V453" s="244"/>
      <c r="W453" s="244"/>
      <c r="X453" s="244"/>
      <c r="Y453" s="244"/>
      <c r="Z453" s="244"/>
    </row>
    <row r="454" ht="11.25" customHeight="1">
      <c r="A454" s="244"/>
      <c r="B454" s="244"/>
      <c r="C454" s="266"/>
      <c r="D454" s="266"/>
      <c r="E454" s="266"/>
      <c r="F454" s="266"/>
      <c r="G454" s="266"/>
      <c r="H454" s="266"/>
      <c r="I454" s="266"/>
      <c r="J454" s="266"/>
      <c r="K454" s="244"/>
      <c r="L454" s="244"/>
      <c r="M454" s="244"/>
      <c r="N454" s="244"/>
      <c r="O454" s="244"/>
      <c r="P454" s="244"/>
      <c r="Q454" s="244"/>
      <c r="R454" s="244"/>
      <c r="S454" s="244"/>
      <c r="T454" s="244"/>
      <c r="U454" s="244"/>
      <c r="V454" s="244"/>
      <c r="W454" s="244"/>
      <c r="X454" s="244"/>
      <c r="Y454" s="244"/>
      <c r="Z454" s="244"/>
    </row>
    <row r="455" ht="11.25" customHeight="1">
      <c r="A455" s="244"/>
      <c r="B455" s="244"/>
      <c r="C455" s="266"/>
      <c r="D455" s="266"/>
      <c r="E455" s="266"/>
      <c r="F455" s="266"/>
      <c r="G455" s="266"/>
      <c r="H455" s="266"/>
      <c r="I455" s="266"/>
      <c r="J455" s="266"/>
      <c r="K455" s="244"/>
      <c r="L455" s="244"/>
      <c r="M455" s="244"/>
      <c r="N455" s="244"/>
      <c r="O455" s="244"/>
      <c r="P455" s="244"/>
      <c r="Q455" s="244"/>
      <c r="R455" s="244"/>
      <c r="S455" s="244"/>
      <c r="T455" s="244"/>
      <c r="U455" s="244"/>
      <c r="V455" s="244"/>
      <c r="W455" s="244"/>
      <c r="X455" s="244"/>
      <c r="Y455" s="244"/>
      <c r="Z455" s="244"/>
    </row>
    <row r="456" ht="11.25" customHeight="1">
      <c r="A456" s="244"/>
      <c r="B456" s="244"/>
      <c r="C456" s="266"/>
      <c r="D456" s="266"/>
      <c r="E456" s="266"/>
      <c r="F456" s="266"/>
      <c r="G456" s="266"/>
      <c r="H456" s="266"/>
      <c r="I456" s="266"/>
      <c r="J456" s="266"/>
      <c r="K456" s="244"/>
      <c r="L456" s="244"/>
      <c r="M456" s="244"/>
      <c r="N456" s="244"/>
      <c r="O456" s="244"/>
      <c r="P456" s="244"/>
      <c r="Q456" s="244"/>
      <c r="R456" s="244"/>
      <c r="S456" s="244"/>
      <c r="T456" s="244"/>
      <c r="U456" s="244"/>
      <c r="V456" s="244"/>
      <c r="W456" s="244"/>
      <c r="X456" s="244"/>
      <c r="Y456" s="244"/>
      <c r="Z456" s="244"/>
    </row>
    <row r="457" ht="11.25" customHeight="1">
      <c r="A457" s="244"/>
      <c r="B457" s="244"/>
      <c r="C457" s="266"/>
      <c r="D457" s="266"/>
      <c r="E457" s="266"/>
      <c r="F457" s="266"/>
      <c r="G457" s="266"/>
      <c r="H457" s="266"/>
      <c r="I457" s="266"/>
      <c r="J457" s="266"/>
      <c r="K457" s="244"/>
      <c r="L457" s="244"/>
      <c r="M457" s="244"/>
      <c r="N457" s="244"/>
      <c r="O457" s="244"/>
      <c r="P457" s="244"/>
      <c r="Q457" s="244"/>
      <c r="R457" s="244"/>
      <c r="S457" s="244"/>
      <c r="T457" s="244"/>
      <c r="U457" s="244"/>
      <c r="V457" s="244"/>
      <c r="W457" s="244"/>
      <c r="X457" s="244"/>
      <c r="Y457" s="244"/>
      <c r="Z457" s="244"/>
    </row>
    <row r="458" ht="11.25" customHeight="1">
      <c r="A458" s="244"/>
      <c r="B458" s="244"/>
      <c r="C458" s="266"/>
      <c r="D458" s="266"/>
      <c r="E458" s="266"/>
      <c r="F458" s="266"/>
      <c r="G458" s="266"/>
      <c r="H458" s="266"/>
      <c r="I458" s="266"/>
      <c r="J458" s="266"/>
      <c r="K458" s="244"/>
      <c r="L458" s="244"/>
      <c r="M458" s="244"/>
      <c r="N458" s="244"/>
      <c r="O458" s="244"/>
      <c r="P458" s="244"/>
      <c r="Q458" s="244"/>
      <c r="R458" s="244"/>
      <c r="S458" s="244"/>
      <c r="T458" s="244"/>
      <c r="U458" s="244"/>
      <c r="V458" s="244"/>
      <c r="W458" s="244"/>
      <c r="X458" s="244"/>
      <c r="Y458" s="244"/>
      <c r="Z458" s="244"/>
    </row>
    <row r="459" ht="11.25" customHeight="1">
      <c r="A459" s="244"/>
      <c r="B459" s="244"/>
      <c r="C459" s="266"/>
      <c r="D459" s="266"/>
      <c r="E459" s="266"/>
      <c r="F459" s="266"/>
      <c r="G459" s="266"/>
      <c r="H459" s="266"/>
      <c r="I459" s="266"/>
      <c r="J459" s="266"/>
      <c r="K459" s="244"/>
      <c r="L459" s="244"/>
      <c r="M459" s="244"/>
      <c r="N459" s="244"/>
      <c r="O459" s="244"/>
      <c r="P459" s="244"/>
      <c r="Q459" s="244"/>
      <c r="R459" s="244"/>
      <c r="S459" s="244"/>
      <c r="T459" s="244"/>
      <c r="U459" s="244"/>
      <c r="V459" s="244"/>
      <c r="W459" s="244"/>
      <c r="X459" s="244"/>
      <c r="Y459" s="244"/>
      <c r="Z459" s="244"/>
    </row>
    <row r="460" ht="11.25" customHeight="1">
      <c r="A460" s="244"/>
      <c r="B460" s="244"/>
      <c r="C460" s="266"/>
      <c r="D460" s="266"/>
      <c r="E460" s="266"/>
      <c r="F460" s="266"/>
      <c r="G460" s="266"/>
      <c r="H460" s="266"/>
      <c r="I460" s="266"/>
      <c r="J460" s="266"/>
      <c r="K460" s="244"/>
      <c r="L460" s="244"/>
      <c r="M460" s="244"/>
      <c r="N460" s="244"/>
      <c r="O460" s="244"/>
      <c r="P460" s="244"/>
      <c r="Q460" s="244"/>
      <c r="R460" s="244"/>
      <c r="S460" s="244"/>
      <c r="T460" s="244"/>
      <c r="U460" s="244"/>
      <c r="V460" s="244"/>
      <c r="W460" s="244"/>
      <c r="X460" s="244"/>
      <c r="Y460" s="244"/>
      <c r="Z460" s="244"/>
    </row>
    <row r="461" ht="11.25" customHeight="1">
      <c r="A461" s="244"/>
      <c r="B461" s="244"/>
      <c r="C461" s="266"/>
      <c r="D461" s="266"/>
      <c r="E461" s="266"/>
      <c r="F461" s="266"/>
      <c r="G461" s="266"/>
      <c r="H461" s="266"/>
      <c r="I461" s="266"/>
      <c r="J461" s="266"/>
      <c r="K461" s="244"/>
      <c r="L461" s="244"/>
      <c r="M461" s="244"/>
      <c r="N461" s="244"/>
      <c r="O461" s="244"/>
      <c r="P461" s="244"/>
      <c r="Q461" s="244"/>
      <c r="R461" s="244"/>
      <c r="S461" s="244"/>
      <c r="T461" s="244"/>
      <c r="U461" s="244"/>
      <c r="V461" s="244"/>
      <c r="W461" s="244"/>
      <c r="X461" s="244"/>
      <c r="Y461" s="244"/>
      <c r="Z461" s="244"/>
    </row>
    <row r="462" ht="11.25" customHeight="1">
      <c r="A462" s="244"/>
      <c r="B462" s="244"/>
      <c r="C462" s="266"/>
      <c r="D462" s="266"/>
      <c r="E462" s="266"/>
      <c r="F462" s="266"/>
      <c r="G462" s="266"/>
      <c r="H462" s="266"/>
      <c r="I462" s="266"/>
      <c r="J462" s="266"/>
      <c r="K462" s="244"/>
      <c r="L462" s="244"/>
      <c r="M462" s="244"/>
      <c r="N462" s="244"/>
      <c r="O462" s="244"/>
      <c r="P462" s="244"/>
      <c r="Q462" s="244"/>
      <c r="R462" s="244"/>
      <c r="S462" s="244"/>
      <c r="T462" s="244"/>
      <c r="U462" s="244"/>
      <c r="V462" s="244"/>
      <c r="W462" s="244"/>
      <c r="X462" s="244"/>
      <c r="Y462" s="244"/>
      <c r="Z462" s="244"/>
    </row>
    <row r="463" ht="11.25" customHeight="1">
      <c r="A463" s="244"/>
      <c r="B463" s="244"/>
      <c r="C463" s="266"/>
      <c r="D463" s="266"/>
      <c r="E463" s="266"/>
      <c r="F463" s="266"/>
      <c r="G463" s="266"/>
      <c r="H463" s="266"/>
      <c r="I463" s="266"/>
      <c r="J463" s="266"/>
      <c r="K463" s="244"/>
      <c r="L463" s="244"/>
      <c r="M463" s="244"/>
      <c r="N463" s="244"/>
      <c r="O463" s="244"/>
      <c r="P463" s="244"/>
      <c r="Q463" s="244"/>
      <c r="R463" s="244"/>
      <c r="S463" s="244"/>
      <c r="T463" s="244"/>
      <c r="U463" s="244"/>
      <c r="V463" s="244"/>
      <c r="W463" s="244"/>
      <c r="X463" s="244"/>
      <c r="Y463" s="244"/>
      <c r="Z463" s="244"/>
    </row>
    <row r="464" ht="11.25" customHeight="1">
      <c r="A464" s="244"/>
      <c r="B464" s="244"/>
      <c r="C464" s="266"/>
      <c r="D464" s="266"/>
      <c r="E464" s="266"/>
      <c r="F464" s="266"/>
      <c r="G464" s="266"/>
      <c r="H464" s="266"/>
      <c r="I464" s="266"/>
      <c r="J464" s="266"/>
      <c r="K464" s="244"/>
      <c r="L464" s="244"/>
      <c r="M464" s="244"/>
      <c r="N464" s="244"/>
      <c r="O464" s="244"/>
      <c r="P464" s="244"/>
      <c r="Q464" s="244"/>
      <c r="R464" s="244"/>
      <c r="S464" s="244"/>
      <c r="T464" s="244"/>
      <c r="U464" s="244"/>
      <c r="V464" s="244"/>
      <c r="W464" s="244"/>
      <c r="X464" s="244"/>
      <c r="Y464" s="244"/>
      <c r="Z464" s="244"/>
    </row>
    <row r="465" ht="11.25" customHeight="1">
      <c r="A465" s="244"/>
      <c r="B465" s="244"/>
      <c r="C465" s="266"/>
      <c r="D465" s="266"/>
      <c r="E465" s="266"/>
      <c r="F465" s="266"/>
      <c r="G465" s="266"/>
      <c r="H465" s="266"/>
      <c r="I465" s="266"/>
      <c r="J465" s="266"/>
      <c r="K465" s="244"/>
      <c r="L465" s="244"/>
      <c r="M465" s="244"/>
      <c r="N465" s="244"/>
      <c r="O465" s="244"/>
      <c r="P465" s="244"/>
      <c r="Q465" s="244"/>
      <c r="R465" s="244"/>
      <c r="S465" s="244"/>
      <c r="T465" s="244"/>
      <c r="U465" s="244"/>
      <c r="V465" s="244"/>
      <c r="W465" s="244"/>
      <c r="X465" s="244"/>
      <c r="Y465" s="244"/>
      <c r="Z465" s="244"/>
    </row>
    <row r="466" ht="11.25" customHeight="1">
      <c r="A466" s="244"/>
      <c r="B466" s="244"/>
      <c r="C466" s="266"/>
      <c r="D466" s="266"/>
      <c r="E466" s="266"/>
      <c r="F466" s="266"/>
      <c r="G466" s="266"/>
      <c r="H466" s="266"/>
      <c r="I466" s="266"/>
      <c r="J466" s="266"/>
      <c r="K466" s="244"/>
      <c r="L466" s="244"/>
      <c r="M466" s="244"/>
      <c r="N466" s="244"/>
      <c r="O466" s="244"/>
      <c r="P466" s="244"/>
      <c r="Q466" s="244"/>
      <c r="R466" s="244"/>
      <c r="S466" s="244"/>
      <c r="T466" s="244"/>
      <c r="U466" s="244"/>
      <c r="V466" s="244"/>
      <c r="W466" s="244"/>
      <c r="X466" s="244"/>
      <c r="Y466" s="244"/>
      <c r="Z466" s="244"/>
    </row>
    <row r="467" ht="11.25" customHeight="1">
      <c r="A467" s="244"/>
      <c r="B467" s="244"/>
      <c r="C467" s="266"/>
      <c r="D467" s="266"/>
      <c r="E467" s="266"/>
      <c r="F467" s="266"/>
      <c r="G467" s="266"/>
      <c r="H467" s="266"/>
      <c r="I467" s="266"/>
      <c r="J467" s="266"/>
      <c r="K467" s="244"/>
      <c r="L467" s="244"/>
      <c r="M467" s="244"/>
      <c r="N467" s="244"/>
      <c r="O467" s="244"/>
      <c r="P467" s="244"/>
      <c r="Q467" s="244"/>
      <c r="R467" s="244"/>
      <c r="S467" s="244"/>
      <c r="T467" s="244"/>
      <c r="U467" s="244"/>
      <c r="V467" s="244"/>
      <c r="W467" s="244"/>
      <c r="X467" s="244"/>
      <c r="Y467" s="244"/>
      <c r="Z467" s="244"/>
    </row>
    <row r="468" ht="11.25" customHeight="1">
      <c r="A468" s="244"/>
      <c r="B468" s="244"/>
      <c r="C468" s="266"/>
      <c r="D468" s="266"/>
      <c r="E468" s="266"/>
      <c r="F468" s="266"/>
      <c r="G468" s="266"/>
      <c r="H468" s="266"/>
      <c r="I468" s="266"/>
      <c r="J468" s="266"/>
      <c r="K468" s="244"/>
      <c r="L468" s="244"/>
      <c r="M468" s="244"/>
      <c r="N468" s="244"/>
      <c r="O468" s="244"/>
      <c r="P468" s="244"/>
      <c r="Q468" s="244"/>
      <c r="R468" s="244"/>
      <c r="S468" s="244"/>
      <c r="T468" s="244"/>
      <c r="U468" s="244"/>
      <c r="V468" s="244"/>
      <c r="W468" s="244"/>
      <c r="X468" s="244"/>
      <c r="Y468" s="244"/>
      <c r="Z468" s="244"/>
    </row>
    <row r="469" ht="11.25" customHeight="1">
      <c r="A469" s="244"/>
      <c r="B469" s="244"/>
      <c r="C469" s="266"/>
      <c r="D469" s="266"/>
      <c r="E469" s="266"/>
      <c r="F469" s="266"/>
      <c r="G469" s="266"/>
      <c r="H469" s="266"/>
      <c r="I469" s="266"/>
      <c r="J469" s="266"/>
      <c r="K469" s="244"/>
      <c r="L469" s="244"/>
      <c r="M469" s="244"/>
      <c r="N469" s="244"/>
      <c r="O469" s="244"/>
      <c r="P469" s="244"/>
      <c r="Q469" s="244"/>
      <c r="R469" s="244"/>
      <c r="S469" s="244"/>
      <c r="T469" s="244"/>
      <c r="U469" s="244"/>
      <c r="V469" s="244"/>
      <c r="W469" s="244"/>
      <c r="X469" s="244"/>
      <c r="Y469" s="244"/>
      <c r="Z469" s="244"/>
    </row>
    <row r="470" ht="11.25" customHeight="1">
      <c r="A470" s="244"/>
      <c r="B470" s="244"/>
      <c r="C470" s="266"/>
      <c r="D470" s="266"/>
      <c r="E470" s="266"/>
      <c r="F470" s="266"/>
      <c r="G470" s="266"/>
      <c r="H470" s="266"/>
      <c r="I470" s="266"/>
      <c r="J470" s="266"/>
      <c r="K470" s="244"/>
      <c r="L470" s="244"/>
      <c r="M470" s="244"/>
      <c r="N470" s="244"/>
      <c r="O470" s="244"/>
      <c r="P470" s="244"/>
      <c r="Q470" s="244"/>
      <c r="R470" s="244"/>
      <c r="S470" s="244"/>
      <c r="T470" s="244"/>
      <c r="U470" s="244"/>
      <c r="V470" s="244"/>
      <c r="W470" s="244"/>
      <c r="X470" s="244"/>
      <c r="Y470" s="244"/>
      <c r="Z470" s="244"/>
    </row>
    <row r="471" ht="11.25" customHeight="1">
      <c r="A471" s="244"/>
      <c r="B471" s="244"/>
      <c r="C471" s="266"/>
      <c r="D471" s="266"/>
      <c r="E471" s="266"/>
      <c r="F471" s="266"/>
      <c r="G471" s="266"/>
      <c r="H471" s="266"/>
      <c r="I471" s="266"/>
      <c r="J471" s="266"/>
      <c r="K471" s="244"/>
      <c r="L471" s="244"/>
      <c r="M471" s="244"/>
      <c r="N471" s="244"/>
      <c r="O471" s="244"/>
      <c r="P471" s="244"/>
      <c r="Q471" s="244"/>
      <c r="R471" s="244"/>
      <c r="S471" s="244"/>
      <c r="T471" s="244"/>
      <c r="U471" s="244"/>
      <c r="V471" s="244"/>
      <c r="W471" s="244"/>
      <c r="X471" s="244"/>
      <c r="Y471" s="244"/>
      <c r="Z471" s="244"/>
    </row>
    <row r="472" ht="11.25" customHeight="1">
      <c r="A472" s="244"/>
      <c r="B472" s="244"/>
      <c r="C472" s="266"/>
      <c r="D472" s="266"/>
      <c r="E472" s="266"/>
      <c r="F472" s="266"/>
      <c r="G472" s="266"/>
      <c r="H472" s="266"/>
      <c r="I472" s="266"/>
      <c r="J472" s="266"/>
      <c r="K472" s="244"/>
      <c r="L472" s="244"/>
      <c r="M472" s="244"/>
      <c r="N472" s="244"/>
      <c r="O472" s="244"/>
      <c r="P472" s="244"/>
      <c r="Q472" s="244"/>
      <c r="R472" s="244"/>
      <c r="S472" s="244"/>
      <c r="T472" s="244"/>
      <c r="U472" s="244"/>
      <c r="V472" s="244"/>
      <c r="W472" s="244"/>
      <c r="X472" s="244"/>
      <c r="Y472" s="244"/>
      <c r="Z472" s="244"/>
    </row>
    <row r="473" ht="11.25" customHeight="1">
      <c r="A473" s="244"/>
      <c r="B473" s="244"/>
      <c r="C473" s="266"/>
      <c r="D473" s="266"/>
      <c r="E473" s="266"/>
      <c r="F473" s="266"/>
      <c r="G473" s="266"/>
      <c r="H473" s="266"/>
      <c r="I473" s="266"/>
      <c r="J473" s="266"/>
      <c r="K473" s="244"/>
      <c r="L473" s="244"/>
      <c r="M473" s="244"/>
      <c r="N473" s="244"/>
      <c r="O473" s="244"/>
      <c r="P473" s="244"/>
      <c r="Q473" s="244"/>
      <c r="R473" s="244"/>
      <c r="S473" s="244"/>
      <c r="T473" s="244"/>
      <c r="U473" s="244"/>
      <c r="V473" s="244"/>
      <c r="W473" s="244"/>
      <c r="X473" s="244"/>
      <c r="Y473" s="244"/>
      <c r="Z473" s="244"/>
    </row>
    <row r="474" ht="11.25" customHeight="1">
      <c r="A474" s="244"/>
      <c r="B474" s="244"/>
      <c r="C474" s="266"/>
      <c r="D474" s="266"/>
      <c r="E474" s="266"/>
      <c r="F474" s="266"/>
      <c r="G474" s="266"/>
      <c r="H474" s="266"/>
      <c r="I474" s="266"/>
      <c r="J474" s="266"/>
      <c r="K474" s="244"/>
      <c r="L474" s="244"/>
      <c r="M474" s="244"/>
      <c r="N474" s="244"/>
      <c r="O474" s="244"/>
      <c r="P474" s="244"/>
      <c r="Q474" s="244"/>
      <c r="R474" s="244"/>
      <c r="S474" s="244"/>
      <c r="T474" s="244"/>
      <c r="U474" s="244"/>
      <c r="V474" s="244"/>
      <c r="W474" s="244"/>
      <c r="X474" s="244"/>
      <c r="Y474" s="244"/>
      <c r="Z474" s="244"/>
    </row>
    <row r="475" ht="11.25" customHeight="1">
      <c r="A475" s="244"/>
      <c r="B475" s="244"/>
      <c r="C475" s="266"/>
      <c r="D475" s="266"/>
      <c r="E475" s="266"/>
      <c r="F475" s="266"/>
      <c r="G475" s="266"/>
      <c r="H475" s="266"/>
      <c r="I475" s="266"/>
      <c r="J475" s="266"/>
      <c r="K475" s="244"/>
      <c r="L475" s="244"/>
      <c r="M475" s="244"/>
      <c r="N475" s="244"/>
      <c r="O475" s="244"/>
      <c r="P475" s="244"/>
      <c r="Q475" s="244"/>
      <c r="R475" s="244"/>
      <c r="S475" s="244"/>
      <c r="T475" s="244"/>
      <c r="U475" s="244"/>
      <c r="V475" s="244"/>
      <c r="W475" s="244"/>
      <c r="X475" s="244"/>
      <c r="Y475" s="244"/>
      <c r="Z475" s="244"/>
    </row>
    <row r="476" ht="11.25" customHeight="1">
      <c r="A476" s="244"/>
      <c r="B476" s="244"/>
      <c r="C476" s="266"/>
      <c r="D476" s="266"/>
      <c r="E476" s="266"/>
      <c r="F476" s="266"/>
      <c r="G476" s="266"/>
      <c r="H476" s="266"/>
      <c r="I476" s="266"/>
      <c r="J476" s="266"/>
      <c r="K476" s="244"/>
      <c r="L476" s="244"/>
      <c r="M476" s="244"/>
      <c r="N476" s="244"/>
      <c r="O476" s="244"/>
      <c r="P476" s="244"/>
      <c r="Q476" s="244"/>
      <c r="R476" s="244"/>
      <c r="S476" s="244"/>
      <c r="T476" s="244"/>
      <c r="U476" s="244"/>
      <c r="V476" s="244"/>
      <c r="W476" s="244"/>
      <c r="X476" s="244"/>
      <c r="Y476" s="244"/>
      <c r="Z476" s="244"/>
    </row>
    <row r="477" ht="11.25" customHeight="1">
      <c r="A477" s="244"/>
      <c r="B477" s="244"/>
      <c r="C477" s="266"/>
      <c r="D477" s="266"/>
      <c r="E477" s="266"/>
      <c r="F477" s="266"/>
      <c r="G477" s="266"/>
      <c r="H477" s="266"/>
      <c r="I477" s="266"/>
      <c r="J477" s="266"/>
      <c r="K477" s="244"/>
      <c r="L477" s="244"/>
      <c r="M477" s="244"/>
      <c r="N477" s="244"/>
      <c r="O477" s="244"/>
      <c r="P477" s="244"/>
      <c r="Q477" s="244"/>
      <c r="R477" s="244"/>
      <c r="S477" s="244"/>
      <c r="T477" s="244"/>
      <c r="U477" s="244"/>
      <c r="V477" s="244"/>
      <c r="W477" s="244"/>
      <c r="X477" s="244"/>
      <c r="Y477" s="244"/>
      <c r="Z477" s="244"/>
    </row>
    <row r="478" ht="11.25" customHeight="1">
      <c r="A478" s="244"/>
      <c r="B478" s="244"/>
      <c r="C478" s="266"/>
      <c r="D478" s="266"/>
      <c r="E478" s="266"/>
      <c r="F478" s="266"/>
      <c r="G478" s="266"/>
      <c r="H478" s="266"/>
      <c r="I478" s="266"/>
      <c r="J478" s="266"/>
      <c r="K478" s="244"/>
      <c r="L478" s="244"/>
      <c r="M478" s="244"/>
      <c r="N478" s="244"/>
      <c r="O478" s="244"/>
      <c r="P478" s="244"/>
      <c r="Q478" s="244"/>
      <c r="R478" s="244"/>
      <c r="S478" s="244"/>
      <c r="T478" s="244"/>
      <c r="U478" s="244"/>
      <c r="V478" s="244"/>
      <c r="W478" s="244"/>
      <c r="X478" s="244"/>
      <c r="Y478" s="244"/>
      <c r="Z478" s="244"/>
    </row>
    <row r="479" ht="11.25" customHeight="1">
      <c r="A479" s="244"/>
      <c r="B479" s="244"/>
      <c r="C479" s="266"/>
      <c r="D479" s="266"/>
      <c r="E479" s="266"/>
      <c r="F479" s="266"/>
      <c r="G479" s="266"/>
      <c r="H479" s="266"/>
      <c r="I479" s="266"/>
      <c r="J479" s="266"/>
      <c r="K479" s="244"/>
      <c r="L479" s="244"/>
      <c r="M479" s="244"/>
      <c r="N479" s="244"/>
      <c r="O479" s="244"/>
      <c r="P479" s="244"/>
      <c r="Q479" s="244"/>
      <c r="R479" s="244"/>
      <c r="S479" s="244"/>
      <c r="T479" s="244"/>
      <c r="U479" s="244"/>
      <c r="V479" s="244"/>
      <c r="W479" s="244"/>
      <c r="X479" s="244"/>
      <c r="Y479" s="244"/>
      <c r="Z479" s="244"/>
    </row>
    <row r="480" ht="11.25" customHeight="1">
      <c r="A480" s="244"/>
      <c r="B480" s="244"/>
      <c r="C480" s="266"/>
      <c r="D480" s="266"/>
      <c r="E480" s="266"/>
      <c r="F480" s="266"/>
      <c r="G480" s="266"/>
      <c r="H480" s="266"/>
      <c r="I480" s="266"/>
      <c r="J480" s="266"/>
      <c r="K480" s="244"/>
      <c r="L480" s="244"/>
      <c r="M480" s="244"/>
      <c r="N480" s="244"/>
      <c r="O480" s="244"/>
      <c r="P480" s="244"/>
      <c r="Q480" s="244"/>
      <c r="R480" s="244"/>
      <c r="S480" s="244"/>
      <c r="T480" s="244"/>
      <c r="U480" s="244"/>
      <c r="V480" s="244"/>
      <c r="W480" s="244"/>
      <c r="X480" s="244"/>
      <c r="Y480" s="244"/>
      <c r="Z480" s="244"/>
    </row>
    <row r="481" ht="11.25" customHeight="1">
      <c r="A481" s="244"/>
      <c r="B481" s="244"/>
      <c r="C481" s="266"/>
      <c r="D481" s="266"/>
      <c r="E481" s="266"/>
      <c r="F481" s="266"/>
      <c r="G481" s="266"/>
      <c r="H481" s="266"/>
      <c r="I481" s="266"/>
      <c r="J481" s="266"/>
      <c r="K481" s="244"/>
      <c r="L481" s="244"/>
      <c r="M481" s="244"/>
      <c r="N481" s="244"/>
      <c r="O481" s="244"/>
      <c r="P481" s="244"/>
      <c r="Q481" s="244"/>
      <c r="R481" s="244"/>
      <c r="S481" s="244"/>
      <c r="T481" s="244"/>
      <c r="U481" s="244"/>
      <c r="V481" s="244"/>
      <c r="W481" s="244"/>
      <c r="X481" s="244"/>
      <c r="Y481" s="244"/>
      <c r="Z481" s="244"/>
    </row>
    <row r="482" ht="11.25" customHeight="1">
      <c r="A482" s="244"/>
      <c r="B482" s="244"/>
      <c r="C482" s="266"/>
      <c r="D482" s="266"/>
      <c r="E482" s="266"/>
      <c r="F482" s="266"/>
      <c r="G482" s="266"/>
      <c r="H482" s="266"/>
      <c r="I482" s="266"/>
      <c r="J482" s="266"/>
      <c r="K482" s="244"/>
      <c r="L482" s="244"/>
      <c r="M482" s="244"/>
      <c r="N482" s="244"/>
      <c r="O482" s="244"/>
      <c r="P482" s="244"/>
      <c r="Q482" s="244"/>
      <c r="R482" s="244"/>
      <c r="S482" s="244"/>
      <c r="T482" s="244"/>
      <c r="U482" s="244"/>
      <c r="V482" s="244"/>
      <c r="W482" s="244"/>
      <c r="X482" s="244"/>
      <c r="Y482" s="244"/>
      <c r="Z482" s="244"/>
    </row>
    <row r="483" ht="11.25" customHeight="1">
      <c r="A483" s="244"/>
      <c r="B483" s="244"/>
      <c r="C483" s="266"/>
      <c r="D483" s="266"/>
      <c r="E483" s="266"/>
      <c r="F483" s="266"/>
      <c r="G483" s="266"/>
      <c r="H483" s="266"/>
      <c r="I483" s="266"/>
      <c r="J483" s="266"/>
      <c r="K483" s="244"/>
      <c r="L483" s="244"/>
      <c r="M483" s="244"/>
      <c r="N483" s="244"/>
      <c r="O483" s="244"/>
      <c r="P483" s="244"/>
      <c r="Q483" s="244"/>
      <c r="R483" s="244"/>
      <c r="S483" s="244"/>
      <c r="T483" s="244"/>
      <c r="U483" s="244"/>
      <c r="V483" s="244"/>
      <c r="W483" s="244"/>
      <c r="X483" s="244"/>
      <c r="Y483" s="244"/>
      <c r="Z483" s="244"/>
    </row>
    <row r="484" ht="11.25" customHeight="1">
      <c r="A484" s="244"/>
      <c r="B484" s="244"/>
      <c r="C484" s="266"/>
      <c r="D484" s="266"/>
      <c r="E484" s="266"/>
      <c r="F484" s="266"/>
      <c r="G484" s="266"/>
      <c r="H484" s="266"/>
      <c r="I484" s="266"/>
      <c r="J484" s="266"/>
      <c r="K484" s="244"/>
      <c r="L484" s="244"/>
      <c r="M484" s="244"/>
      <c r="N484" s="244"/>
      <c r="O484" s="244"/>
      <c r="P484" s="244"/>
      <c r="Q484" s="244"/>
      <c r="R484" s="244"/>
      <c r="S484" s="244"/>
      <c r="T484" s="244"/>
      <c r="U484" s="244"/>
      <c r="V484" s="244"/>
      <c r="W484" s="244"/>
      <c r="X484" s="244"/>
      <c r="Y484" s="244"/>
      <c r="Z484" s="244"/>
    </row>
    <row r="485" ht="11.25" customHeight="1">
      <c r="A485" s="244"/>
      <c r="B485" s="244"/>
      <c r="C485" s="266"/>
      <c r="D485" s="266"/>
      <c r="E485" s="266"/>
      <c r="F485" s="266"/>
      <c r="G485" s="266"/>
      <c r="H485" s="266"/>
      <c r="I485" s="266"/>
      <c r="J485" s="266"/>
      <c r="K485" s="244"/>
      <c r="L485" s="244"/>
      <c r="M485" s="244"/>
      <c r="N485" s="244"/>
      <c r="O485" s="244"/>
      <c r="P485" s="244"/>
      <c r="Q485" s="244"/>
      <c r="R485" s="244"/>
      <c r="S485" s="244"/>
      <c r="T485" s="244"/>
      <c r="U485" s="244"/>
      <c r="V485" s="244"/>
      <c r="W485" s="244"/>
      <c r="X485" s="244"/>
      <c r="Y485" s="244"/>
      <c r="Z485" s="244"/>
    </row>
    <row r="486" ht="11.25" customHeight="1">
      <c r="A486" s="244"/>
      <c r="B486" s="244"/>
      <c r="C486" s="266"/>
      <c r="D486" s="266"/>
      <c r="E486" s="266"/>
      <c r="F486" s="266"/>
      <c r="G486" s="266"/>
      <c r="H486" s="266"/>
      <c r="I486" s="266"/>
      <c r="J486" s="266"/>
      <c r="K486" s="244"/>
      <c r="L486" s="244"/>
      <c r="M486" s="244"/>
      <c r="N486" s="244"/>
      <c r="O486" s="244"/>
      <c r="P486" s="244"/>
      <c r="Q486" s="244"/>
      <c r="R486" s="244"/>
      <c r="S486" s="244"/>
      <c r="T486" s="244"/>
      <c r="U486" s="244"/>
      <c r="V486" s="244"/>
      <c r="W486" s="244"/>
      <c r="X486" s="244"/>
      <c r="Y486" s="244"/>
      <c r="Z486" s="244"/>
    </row>
    <row r="487" ht="11.25" customHeight="1">
      <c r="A487" s="244"/>
      <c r="B487" s="244"/>
      <c r="C487" s="266"/>
      <c r="D487" s="266"/>
      <c r="E487" s="266"/>
      <c r="F487" s="266"/>
      <c r="G487" s="266"/>
      <c r="H487" s="266"/>
      <c r="I487" s="266"/>
      <c r="J487" s="266"/>
      <c r="K487" s="244"/>
      <c r="L487" s="244"/>
      <c r="M487" s="244"/>
      <c r="N487" s="244"/>
      <c r="O487" s="244"/>
      <c r="P487" s="244"/>
      <c r="Q487" s="244"/>
      <c r="R487" s="244"/>
      <c r="S487" s="244"/>
      <c r="T487" s="244"/>
      <c r="U487" s="244"/>
      <c r="V487" s="244"/>
      <c r="W487" s="244"/>
      <c r="X487" s="244"/>
      <c r="Y487" s="244"/>
      <c r="Z487" s="244"/>
    </row>
    <row r="488" ht="11.25" customHeight="1">
      <c r="A488" s="244"/>
      <c r="B488" s="244"/>
      <c r="C488" s="266"/>
      <c r="D488" s="266"/>
      <c r="E488" s="266"/>
      <c r="F488" s="266"/>
      <c r="G488" s="266"/>
      <c r="H488" s="266"/>
      <c r="I488" s="266"/>
      <c r="J488" s="266"/>
      <c r="K488" s="244"/>
      <c r="L488" s="244"/>
      <c r="M488" s="244"/>
      <c r="N488" s="244"/>
      <c r="O488" s="244"/>
      <c r="P488" s="244"/>
      <c r="Q488" s="244"/>
      <c r="R488" s="244"/>
      <c r="S488" s="244"/>
      <c r="T488" s="244"/>
      <c r="U488" s="244"/>
      <c r="V488" s="244"/>
      <c r="W488" s="244"/>
      <c r="X488" s="244"/>
      <c r="Y488" s="244"/>
      <c r="Z488" s="244"/>
    </row>
    <row r="489" ht="11.25" customHeight="1">
      <c r="A489" s="244"/>
      <c r="B489" s="244"/>
      <c r="C489" s="266"/>
      <c r="D489" s="266"/>
      <c r="E489" s="266"/>
      <c r="F489" s="266"/>
      <c r="G489" s="266"/>
      <c r="H489" s="266"/>
      <c r="I489" s="266"/>
      <c r="J489" s="266"/>
      <c r="K489" s="244"/>
      <c r="L489" s="244"/>
      <c r="M489" s="244"/>
      <c r="N489" s="244"/>
      <c r="O489" s="244"/>
      <c r="P489" s="244"/>
      <c r="Q489" s="244"/>
      <c r="R489" s="244"/>
      <c r="S489" s="244"/>
      <c r="T489" s="244"/>
      <c r="U489" s="244"/>
      <c r="V489" s="244"/>
      <c r="W489" s="244"/>
      <c r="X489" s="244"/>
      <c r="Y489" s="244"/>
      <c r="Z489" s="244"/>
    </row>
    <row r="490" ht="11.25" customHeight="1">
      <c r="A490" s="244"/>
      <c r="B490" s="244"/>
      <c r="C490" s="266"/>
      <c r="D490" s="266"/>
      <c r="E490" s="266"/>
      <c r="F490" s="266"/>
      <c r="G490" s="266"/>
      <c r="H490" s="266"/>
      <c r="I490" s="266"/>
      <c r="J490" s="266"/>
      <c r="K490" s="244"/>
      <c r="L490" s="244"/>
      <c r="M490" s="244"/>
      <c r="N490" s="244"/>
      <c r="O490" s="244"/>
      <c r="P490" s="244"/>
      <c r="Q490" s="244"/>
      <c r="R490" s="244"/>
      <c r="S490" s="244"/>
      <c r="T490" s="244"/>
      <c r="U490" s="244"/>
      <c r="V490" s="244"/>
      <c r="W490" s="244"/>
      <c r="X490" s="244"/>
      <c r="Y490" s="244"/>
      <c r="Z490" s="244"/>
    </row>
    <row r="491" ht="11.25" customHeight="1">
      <c r="A491" s="244"/>
      <c r="B491" s="244"/>
      <c r="C491" s="266"/>
      <c r="D491" s="266"/>
      <c r="E491" s="266"/>
      <c r="F491" s="266"/>
      <c r="G491" s="266"/>
      <c r="H491" s="266"/>
      <c r="I491" s="266"/>
      <c r="J491" s="266"/>
      <c r="K491" s="244"/>
      <c r="L491" s="244"/>
      <c r="M491" s="244"/>
      <c r="N491" s="244"/>
      <c r="O491" s="244"/>
      <c r="P491" s="244"/>
      <c r="Q491" s="244"/>
      <c r="R491" s="244"/>
      <c r="S491" s="244"/>
      <c r="T491" s="244"/>
      <c r="U491" s="244"/>
      <c r="V491" s="244"/>
      <c r="W491" s="244"/>
      <c r="X491" s="244"/>
      <c r="Y491" s="244"/>
      <c r="Z491" s="244"/>
    </row>
    <row r="492" ht="11.25" customHeight="1">
      <c r="A492" s="244"/>
      <c r="B492" s="244"/>
      <c r="C492" s="266"/>
      <c r="D492" s="266"/>
      <c r="E492" s="266"/>
      <c r="F492" s="266"/>
      <c r="G492" s="266"/>
      <c r="H492" s="266"/>
      <c r="I492" s="266"/>
      <c r="J492" s="266"/>
      <c r="K492" s="244"/>
      <c r="L492" s="244"/>
      <c r="M492" s="244"/>
      <c r="N492" s="244"/>
      <c r="O492" s="244"/>
      <c r="P492" s="244"/>
      <c r="Q492" s="244"/>
      <c r="R492" s="244"/>
      <c r="S492" s="244"/>
      <c r="T492" s="244"/>
      <c r="U492" s="244"/>
      <c r="V492" s="244"/>
      <c r="W492" s="244"/>
      <c r="X492" s="244"/>
      <c r="Y492" s="244"/>
      <c r="Z492" s="244"/>
    </row>
    <row r="493" ht="11.25" customHeight="1">
      <c r="A493" s="244"/>
      <c r="B493" s="244"/>
      <c r="C493" s="266"/>
      <c r="D493" s="266"/>
      <c r="E493" s="266"/>
      <c r="F493" s="266"/>
      <c r="G493" s="266"/>
      <c r="H493" s="266"/>
      <c r="I493" s="266"/>
      <c r="J493" s="266"/>
      <c r="K493" s="244"/>
      <c r="L493" s="244"/>
      <c r="M493" s="244"/>
      <c r="N493" s="244"/>
      <c r="O493" s="244"/>
      <c r="P493" s="244"/>
      <c r="Q493" s="244"/>
      <c r="R493" s="244"/>
      <c r="S493" s="244"/>
      <c r="T493" s="244"/>
      <c r="U493" s="244"/>
      <c r="V493" s="244"/>
      <c r="W493" s="244"/>
      <c r="X493" s="244"/>
      <c r="Y493" s="244"/>
      <c r="Z493" s="244"/>
    </row>
    <row r="494" ht="11.25" customHeight="1">
      <c r="A494" s="244"/>
      <c r="B494" s="244"/>
      <c r="C494" s="266"/>
      <c r="D494" s="266"/>
      <c r="E494" s="266"/>
      <c r="F494" s="266"/>
      <c r="G494" s="266"/>
      <c r="H494" s="266"/>
      <c r="I494" s="266"/>
      <c r="J494" s="266"/>
      <c r="K494" s="244"/>
      <c r="L494" s="244"/>
      <c r="M494" s="244"/>
      <c r="N494" s="244"/>
      <c r="O494" s="244"/>
      <c r="P494" s="244"/>
      <c r="Q494" s="244"/>
      <c r="R494" s="244"/>
      <c r="S494" s="244"/>
      <c r="T494" s="244"/>
      <c r="U494" s="244"/>
      <c r="V494" s="244"/>
      <c r="W494" s="244"/>
      <c r="X494" s="244"/>
      <c r="Y494" s="244"/>
      <c r="Z494" s="244"/>
    </row>
    <row r="495" ht="11.25" customHeight="1">
      <c r="A495" s="244"/>
      <c r="B495" s="244"/>
      <c r="C495" s="266"/>
      <c r="D495" s="266"/>
      <c r="E495" s="266"/>
      <c r="F495" s="266"/>
      <c r="G495" s="266"/>
      <c r="H495" s="266"/>
      <c r="I495" s="266"/>
      <c r="J495" s="266"/>
      <c r="K495" s="244"/>
      <c r="L495" s="244"/>
      <c r="M495" s="244"/>
      <c r="N495" s="244"/>
      <c r="O495" s="244"/>
      <c r="P495" s="244"/>
      <c r="Q495" s="244"/>
      <c r="R495" s="244"/>
      <c r="S495" s="244"/>
      <c r="T495" s="244"/>
      <c r="U495" s="244"/>
      <c r="V495" s="244"/>
      <c r="W495" s="244"/>
      <c r="X495" s="244"/>
      <c r="Y495" s="244"/>
      <c r="Z495" s="244"/>
    </row>
    <row r="496" ht="11.25" customHeight="1">
      <c r="A496" s="244"/>
      <c r="B496" s="244"/>
      <c r="C496" s="266"/>
      <c r="D496" s="266"/>
      <c r="E496" s="266"/>
      <c r="F496" s="266"/>
      <c r="G496" s="266"/>
      <c r="H496" s="266"/>
      <c r="I496" s="266"/>
      <c r="J496" s="266"/>
      <c r="K496" s="244"/>
      <c r="L496" s="244"/>
      <c r="M496" s="244"/>
      <c r="N496" s="244"/>
      <c r="O496" s="244"/>
      <c r="P496" s="244"/>
      <c r="Q496" s="244"/>
      <c r="R496" s="244"/>
      <c r="S496" s="244"/>
      <c r="T496" s="244"/>
      <c r="U496" s="244"/>
      <c r="V496" s="244"/>
      <c r="W496" s="244"/>
      <c r="X496" s="244"/>
      <c r="Y496" s="244"/>
      <c r="Z496" s="244"/>
    </row>
    <row r="497" ht="11.25" customHeight="1">
      <c r="A497" s="244"/>
      <c r="B497" s="244"/>
      <c r="C497" s="266"/>
      <c r="D497" s="266"/>
      <c r="E497" s="266"/>
      <c r="F497" s="266"/>
      <c r="G497" s="266"/>
      <c r="H497" s="266"/>
      <c r="I497" s="266"/>
      <c r="J497" s="266"/>
      <c r="K497" s="244"/>
      <c r="L497" s="244"/>
      <c r="M497" s="244"/>
      <c r="N497" s="244"/>
      <c r="O497" s="244"/>
      <c r="P497" s="244"/>
      <c r="Q497" s="244"/>
      <c r="R497" s="244"/>
      <c r="S497" s="244"/>
      <c r="T497" s="244"/>
      <c r="U497" s="244"/>
      <c r="V497" s="244"/>
      <c r="W497" s="244"/>
      <c r="X497" s="244"/>
      <c r="Y497" s="244"/>
      <c r="Z497" s="244"/>
    </row>
    <row r="498" ht="11.25" customHeight="1">
      <c r="A498" s="244"/>
      <c r="B498" s="244"/>
      <c r="C498" s="266"/>
      <c r="D498" s="266"/>
      <c r="E498" s="266"/>
      <c r="F498" s="266"/>
      <c r="G498" s="266"/>
      <c r="H498" s="266"/>
      <c r="I498" s="266"/>
      <c r="J498" s="266"/>
      <c r="K498" s="244"/>
      <c r="L498" s="244"/>
      <c r="M498" s="244"/>
      <c r="N498" s="244"/>
      <c r="O498" s="244"/>
      <c r="P498" s="244"/>
      <c r="Q498" s="244"/>
      <c r="R498" s="244"/>
      <c r="S498" s="244"/>
      <c r="T498" s="244"/>
      <c r="U498" s="244"/>
      <c r="V498" s="244"/>
      <c r="W498" s="244"/>
      <c r="X498" s="244"/>
      <c r="Y498" s="244"/>
      <c r="Z498" s="244"/>
    </row>
    <row r="499" ht="11.25" customHeight="1">
      <c r="A499" s="244"/>
      <c r="B499" s="244"/>
      <c r="C499" s="266"/>
      <c r="D499" s="266"/>
      <c r="E499" s="266"/>
      <c r="F499" s="266"/>
      <c r="G499" s="266"/>
      <c r="H499" s="266"/>
      <c r="I499" s="266"/>
      <c r="J499" s="266"/>
      <c r="K499" s="244"/>
      <c r="L499" s="244"/>
      <c r="M499" s="244"/>
      <c r="N499" s="244"/>
      <c r="O499" s="244"/>
      <c r="P499" s="244"/>
      <c r="Q499" s="244"/>
      <c r="R499" s="244"/>
      <c r="S499" s="244"/>
      <c r="T499" s="244"/>
      <c r="U499" s="244"/>
      <c r="V499" s="244"/>
      <c r="W499" s="244"/>
      <c r="X499" s="244"/>
      <c r="Y499" s="244"/>
      <c r="Z499" s="244"/>
    </row>
    <row r="500" ht="11.25" customHeight="1">
      <c r="A500" s="244"/>
      <c r="B500" s="244"/>
      <c r="C500" s="266"/>
      <c r="D500" s="266"/>
      <c r="E500" s="266"/>
      <c r="F500" s="266"/>
      <c r="G500" s="266"/>
      <c r="H500" s="266"/>
      <c r="I500" s="266"/>
      <c r="J500" s="266"/>
      <c r="K500" s="244"/>
      <c r="L500" s="244"/>
      <c r="M500" s="244"/>
      <c r="N500" s="244"/>
      <c r="O500" s="244"/>
      <c r="P500" s="244"/>
      <c r="Q500" s="244"/>
      <c r="R500" s="244"/>
      <c r="S500" s="244"/>
      <c r="T500" s="244"/>
      <c r="U500" s="244"/>
      <c r="V500" s="244"/>
      <c r="W500" s="244"/>
      <c r="X500" s="244"/>
      <c r="Y500" s="244"/>
      <c r="Z500" s="244"/>
    </row>
    <row r="501" ht="11.25" customHeight="1">
      <c r="A501" s="244"/>
      <c r="B501" s="244"/>
      <c r="C501" s="266"/>
      <c r="D501" s="266"/>
      <c r="E501" s="266"/>
      <c r="F501" s="266"/>
      <c r="G501" s="266"/>
      <c r="H501" s="266"/>
      <c r="I501" s="266"/>
      <c r="J501" s="266"/>
      <c r="K501" s="244"/>
      <c r="L501" s="244"/>
      <c r="M501" s="244"/>
      <c r="N501" s="244"/>
      <c r="O501" s="244"/>
      <c r="P501" s="244"/>
      <c r="Q501" s="244"/>
      <c r="R501" s="244"/>
      <c r="S501" s="244"/>
      <c r="T501" s="244"/>
      <c r="U501" s="244"/>
      <c r="V501" s="244"/>
      <c r="W501" s="244"/>
      <c r="X501" s="244"/>
      <c r="Y501" s="244"/>
      <c r="Z501" s="244"/>
    </row>
    <row r="502" ht="11.25" customHeight="1">
      <c r="A502" s="244"/>
      <c r="B502" s="244"/>
      <c r="C502" s="266"/>
      <c r="D502" s="266"/>
      <c r="E502" s="266"/>
      <c r="F502" s="266"/>
      <c r="G502" s="266"/>
      <c r="H502" s="266"/>
      <c r="I502" s="266"/>
      <c r="J502" s="266"/>
      <c r="K502" s="244"/>
      <c r="L502" s="244"/>
      <c r="M502" s="244"/>
      <c r="N502" s="244"/>
      <c r="O502" s="244"/>
      <c r="P502" s="244"/>
      <c r="Q502" s="244"/>
      <c r="R502" s="244"/>
      <c r="S502" s="244"/>
      <c r="T502" s="244"/>
      <c r="U502" s="244"/>
      <c r="V502" s="244"/>
      <c r="W502" s="244"/>
      <c r="X502" s="244"/>
      <c r="Y502" s="244"/>
      <c r="Z502" s="244"/>
    </row>
    <row r="503" ht="11.25" customHeight="1">
      <c r="A503" s="244"/>
      <c r="B503" s="244"/>
      <c r="C503" s="266"/>
      <c r="D503" s="266"/>
      <c r="E503" s="266"/>
      <c r="F503" s="266"/>
      <c r="G503" s="266"/>
      <c r="H503" s="266"/>
      <c r="I503" s="266"/>
      <c r="J503" s="266"/>
      <c r="K503" s="244"/>
      <c r="L503" s="244"/>
      <c r="M503" s="244"/>
      <c r="N503" s="244"/>
      <c r="O503" s="244"/>
      <c r="P503" s="244"/>
      <c r="Q503" s="244"/>
      <c r="R503" s="244"/>
      <c r="S503" s="244"/>
      <c r="T503" s="244"/>
      <c r="U503" s="244"/>
      <c r="V503" s="244"/>
      <c r="W503" s="244"/>
      <c r="X503" s="244"/>
      <c r="Y503" s="244"/>
      <c r="Z503" s="244"/>
    </row>
    <row r="504" ht="11.25" customHeight="1">
      <c r="A504" s="244"/>
      <c r="B504" s="244"/>
      <c r="C504" s="266"/>
      <c r="D504" s="266"/>
      <c r="E504" s="266"/>
      <c r="F504" s="266"/>
      <c r="G504" s="266"/>
      <c r="H504" s="266"/>
      <c r="I504" s="266"/>
      <c r="J504" s="266"/>
      <c r="K504" s="244"/>
      <c r="L504" s="244"/>
      <c r="M504" s="244"/>
      <c r="N504" s="244"/>
      <c r="O504" s="244"/>
      <c r="P504" s="244"/>
      <c r="Q504" s="244"/>
      <c r="R504" s="244"/>
      <c r="S504" s="244"/>
      <c r="T504" s="244"/>
      <c r="U504" s="244"/>
      <c r="V504" s="244"/>
      <c r="W504" s="244"/>
      <c r="X504" s="244"/>
      <c r="Y504" s="244"/>
      <c r="Z504" s="244"/>
    </row>
    <row r="505" ht="11.25" customHeight="1">
      <c r="A505" s="244"/>
      <c r="B505" s="244"/>
      <c r="C505" s="266"/>
      <c r="D505" s="266"/>
      <c r="E505" s="266"/>
      <c r="F505" s="266"/>
      <c r="G505" s="266"/>
      <c r="H505" s="266"/>
      <c r="I505" s="266"/>
      <c r="J505" s="266"/>
      <c r="K505" s="244"/>
      <c r="L505" s="244"/>
      <c r="M505" s="244"/>
      <c r="N505" s="244"/>
      <c r="O505" s="244"/>
      <c r="P505" s="244"/>
      <c r="Q505" s="244"/>
      <c r="R505" s="244"/>
      <c r="S505" s="244"/>
      <c r="T505" s="244"/>
      <c r="U505" s="244"/>
      <c r="V505" s="244"/>
      <c r="W505" s="244"/>
      <c r="X505" s="244"/>
      <c r="Y505" s="244"/>
      <c r="Z505" s="244"/>
    </row>
    <row r="506" ht="11.25" customHeight="1">
      <c r="A506" s="244"/>
      <c r="B506" s="244"/>
      <c r="C506" s="266"/>
      <c r="D506" s="266"/>
      <c r="E506" s="266"/>
      <c r="F506" s="266"/>
      <c r="G506" s="266"/>
      <c r="H506" s="266"/>
      <c r="I506" s="266"/>
      <c r="J506" s="266"/>
      <c r="K506" s="244"/>
      <c r="L506" s="244"/>
      <c r="M506" s="244"/>
      <c r="N506" s="244"/>
      <c r="O506" s="244"/>
      <c r="P506" s="244"/>
      <c r="Q506" s="244"/>
      <c r="R506" s="244"/>
      <c r="S506" s="244"/>
      <c r="T506" s="244"/>
      <c r="U506" s="244"/>
      <c r="V506" s="244"/>
      <c r="W506" s="244"/>
      <c r="X506" s="244"/>
      <c r="Y506" s="244"/>
      <c r="Z506" s="244"/>
    </row>
    <row r="507" ht="11.25" customHeight="1">
      <c r="A507" s="244"/>
      <c r="B507" s="244"/>
      <c r="C507" s="266"/>
      <c r="D507" s="266"/>
      <c r="E507" s="266"/>
      <c r="F507" s="266"/>
      <c r="G507" s="266"/>
      <c r="H507" s="266"/>
      <c r="I507" s="266"/>
      <c r="J507" s="266"/>
      <c r="K507" s="244"/>
      <c r="L507" s="244"/>
      <c r="M507" s="244"/>
      <c r="N507" s="244"/>
      <c r="O507" s="244"/>
      <c r="P507" s="244"/>
      <c r="Q507" s="244"/>
      <c r="R507" s="244"/>
      <c r="S507" s="244"/>
      <c r="T507" s="244"/>
      <c r="U507" s="244"/>
      <c r="V507" s="244"/>
      <c r="W507" s="244"/>
      <c r="X507" s="244"/>
      <c r="Y507" s="244"/>
      <c r="Z507" s="244"/>
    </row>
    <row r="508" ht="11.25" customHeight="1">
      <c r="A508" s="244"/>
      <c r="B508" s="244"/>
      <c r="C508" s="266"/>
      <c r="D508" s="266"/>
      <c r="E508" s="266"/>
      <c r="F508" s="266"/>
      <c r="G508" s="266"/>
      <c r="H508" s="266"/>
      <c r="I508" s="266"/>
      <c r="J508" s="266"/>
      <c r="K508" s="244"/>
      <c r="L508" s="244"/>
      <c r="M508" s="244"/>
      <c r="N508" s="244"/>
      <c r="O508" s="244"/>
      <c r="P508" s="244"/>
      <c r="Q508" s="244"/>
      <c r="R508" s="244"/>
      <c r="S508" s="244"/>
      <c r="T508" s="244"/>
      <c r="U508" s="244"/>
      <c r="V508" s="244"/>
      <c r="W508" s="244"/>
      <c r="X508" s="244"/>
      <c r="Y508" s="244"/>
      <c r="Z508" s="244"/>
    </row>
    <row r="509" ht="11.25" customHeight="1">
      <c r="A509" s="244"/>
      <c r="B509" s="244"/>
      <c r="C509" s="266"/>
      <c r="D509" s="266"/>
      <c r="E509" s="266"/>
      <c r="F509" s="266"/>
      <c r="G509" s="266"/>
      <c r="H509" s="266"/>
      <c r="I509" s="266"/>
      <c r="J509" s="266"/>
      <c r="K509" s="244"/>
      <c r="L509" s="244"/>
      <c r="M509" s="244"/>
      <c r="N509" s="244"/>
      <c r="O509" s="244"/>
      <c r="P509" s="244"/>
      <c r="Q509" s="244"/>
      <c r="R509" s="244"/>
      <c r="S509" s="244"/>
      <c r="T509" s="244"/>
      <c r="U509" s="244"/>
      <c r="V509" s="244"/>
      <c r="W509" s="244"/>
      <c r="X509" s="244"/>
      <c r="Y509" s="244"/>
      <c r="Z509" s="244"/>
    </row>
    <row r="510" ht="11.25" customHeight="1">
      <c r="A510" s="244"/>
      <c r="B510" s="244"/>
      <c r="C510" s="266"/>
      <c r="D510" s="266"/>
      <c r="E510" s="266"/>
      <c r="F510" s="266"/>
      <c r="G510" s="266"/>
      <c r="H510" s="266"/>
      <c r="I510" s="266"/>
      <c r="J510" s="266"/>
      <c r="K510" s="244"/>
      <c r="L510" s="244"/>
      <c r="M510" s="244"/>
      <c r="N510" s="244"/>
      <c r="O510" s="244"/>
      <c r="P510" s="244"/>
      <c r="Q510" s="244"/>
      <c r="R510" s="244"/>
      <c r="S510" s="244"/>
      <c r="T510" s="244"/>
      <c r="U510" s="244"/>
      <c r="V510" s="244"/>
      <c r="W510" s="244"/>
      <c r="X510" s="244"/>
      <c r="Y510" s="244"/>
      <c r="Z510" s="244"/>
    </row>
    <row r="511" ht="11.25" customHeight="1">
      <c r="A511" s="244"/>
      <c r="B511" s="244"/>
      <c r="C511" s="266"/>
      <c r="D511" s="266"/>
      <c r="E511" s="266"/>
      <c r="F511" s="266"/>
      <c r="G511" s="266"/>
      <c r="H511" s="266"/>
      <c r="I511" s="266"/>
      <c r="J511" s="266"/>
      <c r="K511" s="244"/>
      <c r="L511" s="244"/>
      <c r="M511" s="244"/>
      <c r="N511" s="244"/>
      <c r="O511" s="244"/>
      <c r="P511" s="244"/>
      <c r="Q511" s="244"/>
      <c r="R511" s="244"/>
      <c r="S511" s="244"/>
      <c r="T511" s="244"/>
      <c r="U511" s="244"/>
      <c r="V511" s="244"/>
      <c r="W511" s="244"/>
      <c r="X511" s="244"/>
      <c r="Y511" s="244"/>
      <c r="Z511" s="244"/>
    </row>
    <row r="512" ht="11.25" customHeight="1">
      <c r="A512" s="244"/>
      <c r="B512" s="244"/>
      <c r="C512" s="266"/>
      <c r="D512" s="266"/>
      <c r="E512" s="266"/>
      <c r="F512" s="266"/>
      <c r="G512" s="266"/>
      <c r="H512" s="266"/>
      <c r="I512" s="266"/>
      <c r="J512" s="266"/>
      <c r="K512" s="244"/>
      <c r="L512" s="244"/>
      <c r="M512" s="244"/>
      <c r="N512" s="244"/>
      <c r="O512" s="244"/>
      <c r="P512" s="244"/>
      <c r="Q512" s="244"/>
      <c r="R512" s="244"/>
      <c r="S512" s="244"/>
      <c r="T512" s="244"/>
      <c r="U512" s="244"/>
      <c r="V512" s="244"/>
      <c r="W512" s="244"/>
      <c r="X512" s="244"/>
      <c r="Y512" s="244"/>
      <c r="Z512" s="244"/>
    </row>
    <row r="513" ht="11.25" customHeight="1">
      <c r="A513" s="244"/>
      <c r="B513" s="244"/>
      <c r="C513" s="266"/>
      <c r="D513" s="266"/>
      <c r="E513" s="266"/>
      <c r="F513" s="266"/>
      <c r="G513" s="266"/>
      <c r="H513" s="266"/>
      <c r="I513" s="266"/>
      <c r="J513" s="266"/>
      <c r="K513" s="244"/>
      <c r="L513" s="244"/>
      <c r="M513" s="244"/>
      <c r="N513" s="244"/>
      <c r="O513" s="244"/>
      <c r="P513" s="244"/>
      <c r="Q513" s="244"/>
      <c r="R513" s="244"/>
      <c r="S513" s="244"/>
      <c r="T513" s="244"/>
      <c r="U513" s="244"/>
      <c r="V513" s="244"/>
      <c r="W513" s="244"/>
      <c r="X513" s="244"/>
      <c r="Y513" s="244"/>
      <c r="Z513" s="244"/>
    </row>
    <row r="514" ht="11.25" customHeight="1">
      <c r="A514" s="244"/>
      <c r="B514" s="244"/>
      <c r="C514" s="266"/>
      <c r="D514" s="266"/>
      <c r="E514" s="266"/>
      <c r="F514" s="266"/>
      <c r="G514" s="266"/>
      <c r="H514" s="266"/>
      <c r="I514" s="266"/>
      <c r="J514" s="266"/>
      <c r="K514" s="244"/>
      <c r="L514" s="244"/>
      <c r="M514" s="244"/>
      <c r="N514" s="244"/>
      <c r="O514" s="244"/>
      <c r="P514" s="244"/>
      <c r="Q514" s="244"/>
      <c r="R514" s="244"/>
      <c r="S514" s="244"/>
      <c r="T514" s="244"/>
      <c r="U514" s="244"/>
      <c r="V514" s="244"/>
      <c r="W514" s="244"/>
      <c r="X514" s="244"/>
      <c r="Y514" s="244"/>
      <c r="Z514" s="244"/>
    </row>
    <row r="515" ht="11.25" customHeight="1">
      <c r="A515" s="244"/>
      <c r="B515" s="244"/>
      <c r="C515" s="266"/>
      <c r="D515" s="266"/>
      <c r="E515" s="266"/>
      <c r="F515" s="266"/>
      <c r="G515" s="266"/>
      <c r="H515" s="266"/>
      <c r="I515" s="266"/>
      <c r="J515" s="266"/>
      <c r="K515" s="244"/>
      <c r="L515" s="244"/>
      <c r="M515" s="244"/>
      <c r="N515" s="244"/>
      <c r="O515" s="244"/>
      <c r="P515" s="244"/>
      <c r="Q515" s="244"/>
      <c r="R515" s="244"/>
      <c r="S515" s="244"/>
      <c r="T515" s="244"/>
      <c r="U515" s="244"/>
      <c r="V515" s="244"/>
      <c r="W515" s="244"/>
      <c r="X515" s="244"/>
      <c r="Y515" s="244"/>
      <c r="Z515" s="244"/>
    </row>
    <row r="516" ht="11.25" customHeight="1">
      <c r="A516" s="244"/>
      <c r="B516" s="244"/>
      <c r="C516" s="266"/>
      <c r="D516" s="266"/>
      <c r="E516" s="266"/>
      <c r="F516" s="266"/>
      <c r="G516" s="266"/>
      <c r="H516" s="266"/>
      <c r="I516" s="266"/>
      <c r="J516" s="266"/>
      <c r="K516" s="244"/>
      <c r="L516" s="244"/>
      <c r="M516" s="244"/>
      <c r="N516" s="244"/>
      <c r="O516" s="244"/>
      <c r="P516" s="244"/>
      <c r="Q516" s="244"/>
      <c r="R516" s="244"/>
      <c r="S516" s="244"/>
      <c r="T516" s="244"/>
      <c r="U516" s="244"/>
      <c r="V516" s="244"/>
      <c r="W516" s="244"/>
      <c r="X516" s="244"/>
      <c r="Y516" s="244"/>
      <c r="Z516" s="244"/>
    </row>
    <row r="517" ht="11.25" customHeight="1">
      <c r="A517" s="244"/>
      <c r="B517" s="244"/>
      <c r="C517" s="266"/>
      <c r="D517" s="266"/>
      <c r="E517" s="266"/>
      <c r="F517" s="266"/>
      <c r="G517" s="266"/>
      <c r="H517" s="266"/>
      <c r="I517" s="266"/>
      <c r="J517" s="266"/>
      <c r="K517" s="244"/>
      <c r="L517" s="244"/>
      <c r="M517" s="244"/>
      <c r="N517" s="244"/>
      <c r="O517" s="244"/>
      <c r="P517" s="244"/>
      <c r="Q517" s="244"/>
      <c r="R517" s="244"/>
      <c r="S517" s="244"/>
      <c r="T517" s="244"/>
      <c r="U517" s="244"/>
      <c r="V517" s="244"/>
      <c r="W517" s="244"/>
      <c r="X517" s="244"/>
      <c r="Y517" s="244"/>
      <c r="Z517" s="244"/>
    </row>
    <row r="518" ht="11.25" customHeight="1">
      <c r="A518" s="244"/>
      <c r="B518" s="244"/>
      <c r="C518" s="266"/>
      <c r="D518" s="266"/>
      <c r="E518" s="266"/>
      <c r="F518" s="266"/>
      <c r="G518" s="266"/>
      <c r="H518" s="266"/>
      <c r="I518" s="266"/>
      <c r="J518" s="266"/>
      <c r="K518" s="244"/>
      <c r="L518" s="244"/>
      <c r="M518" s="244"/>
      <c r="N518" s="244"/>
      <c r="O518" s="244"/>
      <c r="P518" s="244"/>
      <c r="Q518" s="244"/>
      <c r="R518" s="244"/>
      <c r="S518" s="244"/>
      <c r="T518" s="244"/>
      <c r="U518" s="244"/>
      <c r="V518" s="244"/>
      <c r="W518" s="244"/>
      <c r="X518" s="244"/>
      <c r="Y518" s="244"/>
      <c r="Z518" s="244"/>
    </row>
    <row r="519" ht="11.25" customHeight="1">
      <c r="A519" s="244"/>
      <c r="B519" s="244"/>
      <c r="C519" s="266"/>
      <c r="D519" s="266"/>
      <c r="E519" s="266"/>
      <c r="F519" s="266"/>
      <c r="G519" s="266"/>
      <c r="H519" s="266"/>
      <c r="I519" s="266"/>
      <c r="J519" s="266"/>
      <c r="K519" s="244"/>
      <c r="L519" s="244"/>
      <c r="M519" s="244"/>
      <c r="N519" s="244"/>
      <c r="O519" s="244"/>
      <c r="P519" s="244"/>
      <c r="Q519" s="244"/>
      <c r="R519" s="244"/>
      <c r="S519" s="244"/>
      <c r="T519" s="244"/>
      <c r="U519" s="244"/>
      <c r="V519" s="244"/>
      <c r="W519" s="244"/>
      <c r="X519" s="244"/>
      <c r="Y519" s="244"/>
      <c r="Z519" s="244"/>
    </row>
    <row r="520" ht="11.25" customHeight="1">
      <c r="A520" s="244"/>
      <c r="B520" s="244"/>
      <c r="C520" s="266"/>
      <c r="D520" s="266"/>
      <c r="E520" s="266"/>
      <c r="F520" s="266"/>
      <c r="G520" s="266"/>
      <c r="H520" s="266"/>
      <c r="I520" s="266"/>
      <c r="J520" s="266"/>
      <c r="K520" s="244"/>
      <c r="L520" s="244"/>
      <c r="M520" s="244"/>
      <c r="N520" s="244"/>
      <c r="O520" s="244"/>
      <c r="P520" s="244"/>
      <c r="Q520" s="244"/>
      <c r="R520" s="244"/>
      <c r="S520" s="244"/>
      <c r="T520" s="244"/>
      <c r="U520" s="244"/>
      <c r="V520" s="244"/>
      <c r="W520" s="244"/>
      <c r="X520" s="244"/>
      <c r="Y520" s="244"/>
      <c r="Z520" s="244"/>
    </row>
    <row r="521" ht="11.25" customHeight="1">
      <c r="A521" s="244"/>
      <c r="B521" s="244"/>
      <c r="C521" s="266"/>
      <c r="D521" s="266"/>
      <c r="E521" s="266"/>
      <c r="F521" s="266"/>
      <c r="G521" s="266"/>
      <c r="H521" s="266"/>
      <c r="I521" s="266"/>
      <c r="J521" s="266"/>
      <c r="K521" s="244"/>
      <c r="L521" s="244"/>
      <c r="M521" s="244"/>
      <c r="N521" s="244"/>
      <c r="O521" s="244"/>
      <c r="P521" s="244"/>
      <c r="Q521" s="244"/>
      <c r="R521" s="244"/>
      <c r="S521" s="244"/>
      <c r="T521" s="244"/>
      <c r="U521" s="244"/>
      <c r="V521" s="244"/>
      <c r="W521" s="244"/>
      <c r="X521" s="244"/>
      <c r="Y521" s="244"/>
      <c r="Z521" s="244"/>
    </row>
    <row r="522" ht="11.25" customHeight="1">
      <c r="A522" s="244"/>
      <c r="B522" s="244"/>
      <c r="C522" s="266"/>
      <c r="D522" s="266"/>
      <c r="E522" s="266"/>
      <c r="F522" s="266"/>
      <c r="G522" s="266"/>
      <c r="H522" s="266"/>
      <c r="I522" s="266"/>
      <c r="J522" s="266"/>
      <c r="K522" s="244"/>
      <c r="L522" s="244"/>
      <c r="M522" s="244"/>
      <c r="N522" s="244"/>
      <c r="O522" s="244"/>
      <c r="P522" s="244"/>
      <c r="Q522" s="244"/>
      <c r="R522" s="244"/>
      <c r="S522" s="244"/>
      <c r="T522" s="244"/>
      <c r="U522" s="244"/>
      <c r="V522" s="244"/>
      <c r="W522" s="244"/>
      <c r="X522" s="244"/>
      <c r="Y522" s="244"/>
      <c r="Z522" s="244"/>
    </row>
    <row r="523" ht="11.25" customHeight="1">
      <c r="A523" s="244"/>
      <c r="B523" s="244"/>
      <c r="C523" s="266"/>
      <c r="D523" s="266"/>
      <c r="E523" s="266"/>
      <c r="F523" s="266"/>
      <c r="G523" s="266"/>
      <c r="H523" s="266"/>
      <c r="I523" s="266"/>
      <c r="J523" s="266"/>
      <c r="K523" s="244"/>
      <c r="L523" s="244"/>
      <c r="M523" s="244"/>
      <c r="N523" s="244"/>
      <c r="O523" s="244"/>
      <c r="P523" s="244"/>
      <c r="Q523" s="244"/>
      <c r="R523" s="244"/>
      <c r="S523" s="244"/>
      <c r="T523" s="244"/>
      <c r="U523" s="244"/>
      <c r="V523" s="244"/>
      <c r="W523" s="244"/>
      <c r="X523" s="244"/>
      <c r="Y523" s="244"/>
      <c r="Z523" s="244"/>
    </row>
    <row r="524" ht="11.25" customHeight="1">
      <c r="A524" s="244"/>
      <c r="B524" s="244"/>
      <c r="C524" s="266"/>
      <c r="D524" s="266"/>
      <c r="E524" s="266"/>
      <c r="F524" s="266"/>
      <c r="G524" s="266"/>
      <c r="H524" s="266"/>
      <c r="I524" s="266"/>
      <c r="J524" s="266"/>
      <c r="K524" s="244"/>
      <c r="L524" s="244"/>
      <c r="M524" s="244"/>
      <c r="N524" s="244"/>
      <c r="O524" s="244"/>
      <c r="P524" s="244"/>
      <c r="Q524" s="244"/>
      <c r="R524" s="244"/>
      <c r="S524" s="244"/>
      <c r="T524" s="244"/>
      <c r="U524" s="244"/>
      <c r="V524" s="244"/>
      <c r="W524" s="244"/>
      <c r="X524" s="244"/>
      <c r="Y524" s="244"/>
      <c r="Z524" s="244"/>
    </row>
    <row r="525" ht="11.25" customHeight="1">
      <c r="A525" s="244"/>
      <c r="B525" s="244"/>
      <c r="C525" s="266"/>
      <c r="D525" s="266"/>
      <c r="E525" s="266"/>
      <c r="F525" s="266"/>
      <c r="G525" s="266"/>
      <c r="H525" s="266"/>
      <c r="I525" s="266"/>
      <c r="J525" s="266"/>
      <c r="K525" s="244"/>
      <c r="L525" s="244"/>
      <c r="M525" s="244"/>
      <c r="N525" s="244"/>
      <c r="O525" s="244"/>
      <c r="P525" s="244"/>
      <c r="Q525" s="244"/>
      <c r="R525" s="244"/>
      <c r="S525" s="244"/>
      <c r="T525" s="244"/>
      <c r="U525" s="244"/>
      <c r="V525" s="244"/>
      <c r="W525" s="244"/>
      <c r="X525" s="244"/>
      <c r="Y525" s="244"/>
      <c r="Z525" s="244"/>
    </row>
    <row r="526" ht="11.25" customHeight="1">
      <c r="A526" s="244"/>
      <c r="B526" s="244"/>
      <c r="C526" s="266"/>
      <c r="D526" s="266"/>
      <c r="E526" s="266"/>
      <c r="F526" s="266"/>
      <c r="G526" s="266"/>
      <c r="H526" s="266"/>
      <c r="I526" s="266"/>
      <c r="J526" s="266"/>
      <c r="K526" s="244"/>
      <c r="L526" s="244"/>
      <c r="M526" s="244"/>
      <c r="N526" s="244"/>
      <c r="O526" s="244"/>
      <c r="P526" s="244"/>
      <c r="Q526" s="244"/>
      <c r="R526" s="244"/>
      <c r="S526" s="244"/>
      <c r="T526" s="244"/>
      <c r="U526" s="244"/>
      <c r="V526" s="244"/>
      <c r="W526" s="244"/>
      <c r="X526" s="244"/>
      <c r="Y526" s="244"/>
      <c r="Z526" s="244"/>
    </row>
    <row r="527" ht="11.25" customHeight="1">
      <c r="A527" s="244"/>
      <c r="B527" s="244"/>
      <c r="C527" s="266"/>
      <c r="D527" s="266"/>
      <c r="E527" s="266"/>
      <c r="F527" s="266"/>
      <c r="G527" s="266"/>
      <c r="H527" s="266"/>
      <c r="I527" s="266"/>
      <c r="J527" s="266"/>
      <c r="K527" s="244"/>
      <c r="L527" s="244"/>
      <c r="M527" s="244"/>
      <c r="N527" s="244"/>
      <c r="O527" s="244"/>
      <c r="P527" s="244"/>
      <c r="Q527" s="244"/>
      <c r="R527" s="244"/>
      <c r="S527" s="244"/>
      <c r="T527" s="244"/>
      <c r="U527" s="244"/>
      <c r="V527" s="244"/>
      <c r="W527" s="244"/>
      <c r="X527" s="244"/>
      <c r="Y527" s="244"/>
      <c r="Z527" s="244"/>
    </row>
    <row r="528" ht="11.25" customHeight="1">
      <c r="A528" s="244"/>
      <c r="B528" s="244"/>
      <c r="C528" s="266"/>
      <c r="D528" s="266"/>
      <c r="E528" s="266"/>
      <c r="F528" s="266"/>
      <c r="G528" s="266"/>
      <c r="H528" s="266"/>
      <c r="I528" s="266"/>
      <c r="J528" s="266"/>
      <c r="K528" s="244"/>
      <c r="L528" s="244"/>
      <c r="M528" s="244"/>
      <c r="N528" s="244"/>
      <c r="O528" s="244"/>
      <c r="P528" s="244"/>
      <c r="Q528" s="244"/>
      <c r="R528" s="244"/>
      <c r="S528" s="244"/>
      <c r="T528" s="244"/>
      <c r="U528" s="244"/>
      <c r="V528" s="244"/>
      <c r="W528" s="244"/>
      <c r="X528" s="244"/>
      <c r="Y528" s="244"/>
      <c r="Z528" s="244"/>
    </row>
    <row r="529" ht="11.25" customHeight="1">
      <c r="A529" s="244"/>
      <c r="B529" s="244"/>
      <c r="C529" s="266"/>
      <c r="D529" s="266"/>
      <c r="E529" s="266"/>
      <c r="F529" s="266"/>
      <c r="G529" s="266"/>
      <c r="H529" s="266"/>
      <c r="I529" s="266"/>
      <c r="J529" s="266"/>
      <c r="K529" s="244"/>
      <c r="L529" s="244"/>
      <c r="M529" s="244"/>
      <c r="N529" s="244"/>
      <c r="O529" s="244"/>
      <c r="P529" s="244"/>
      <c r="Q529" s="244"/>
      <c r="R529" s="244"/>
      <c r="S529" s="244"/>
      <c r="T529" s="244"/>
      <c r="U529" s="244"/>
      <c r="V529" s="244"/>
      <c r="W529" s="244"/>
      <c r="X529" s="244"/>
      <c r="Y529" s="244"/>
      <c r="Z529" s="244"/>
    </row>
    <row r="530" ht="11.25" customHeight="1">
      <c r="A530" s="244"/>
      <c r="B530" s="244"/>
      <c r="C530" s="266"/>
      <c r="D530" s="266"/>
      <c r="E530" s="266"/>
      <c r="F530" s="266"/>
      <c r="G530" s="266"/>
      <c r="H530" s="266"/>
      <c r="I530" s="266"/>
      <c r="J530" s="266"/>
      <c r="K530" s="244"/>
      <c r="L530" s="244"/>
      <c r="M530" s="244"/>
      <c r="N530" s="244"/>
      <c r="O530" s="244"/>
      <c r="P530" s="244"/>
      <c r="Q530" s="244"/>
      <c r="R530" s="244"/>
      <c r="S530" s="244"/>
      <c r="T530" s="244"/>
      <c r="U530" s="244"/>
      <c r="V530" s="244"/>
      <c r="W530" s="244"/>
      <c r="X530" s="244"/>
      <c r="Y530" s="244"/>
      <c r="Z530" s="244"/>
    </row>
    <row r="531" ht="11.25" customHeight="1">
      <c r="A531" s="244"/>
      <c r="B531" s="244"/>
      <c r="C531" s="266"/>
      <c r="D531" s="266"/>
      <c r="E531" s="266"/>
      <c r="F531" s="266"/>
      <c r="G531" s="266"/>
      <c r="H531" s="266"/>
      <c r="I531" s="266"/>
      <c r="J531" s="266"/>
      <c r="K531" s="244"/>
      <c r="L531" s="244"/>
      <c r="M531" s="244"/>
      <c r="N531" s="244"/>
      <c r="O531" s="244"/>
      <c r="P531" s="244"/>
      <c r="Q531" s="244"/>
      <c r="R531" s="244"/>
      <c r="S531" s="244"/>
      <c r="T531" s="244"/>
      <c r="U531" s="244"/>
      <c r="V531" s="244"/>
      <c r="W531" s="244"/>
      <c r="X531" s="244"/>
      <c r="Y531" s="244"/>
      <c r="Z531" s="244"/>
    </row>
    <row r="532" ht="11.25" customHeight="1">
      <c r="A532" s="244"/>
      <c r="B532" s="244"/>
      <c r="C532" s="266"/>
      <c r="D532" s="266"/>
      <c r="E532" s="266"/>
      <c r="F532" s="266"/>
      <c r="G532" s="266"/>
      <c r="H532" s="266"/>
      <c r="I532" s="266"/>
      <c r="J532" s="266"/>
      <c r="K532" s="244"/>
      <c r="L532" s="244"/>
      <c r="M532" s="244"/>
      <c r="N532" s="244"/>
      <c r="O532" s="244"/>
      <c r="P532" s="244"/>
      <c r="Q532" s="244"/>
      <c r="R532" s="244"/>
      <c r="S532" s="244"/>
      <c r="T532" s="244"/>
      <c r="U532" s="244"/>
      <c r="V532" s="244"/>
      <c r="W532" s="244"/>
      <c r="X532" s="244"/>
      <c r="Y532" s="244"/>
      <c r="Z532" s="244"/>
    </row>
    <row r="533" ht="11.25" customHeight="1">
      <c r="A533" s="244"/>
      <c r="B533" s="244"/>
      <c r="C533" s="266"/>
      <c r="D533" s="266"/>
      <c r="E533" s="266"/>
      <c r="F533" s="266"/>
      <c r="G533" s="266"/>
      <c r="H533" s="266"/>
      <c r="I533" s="266"/>
      <c r="J533" s="266"/>
      <c r="K533" s="244"/>
      <c r="L533" s="244"/>
      <c r="M533" s="244"/>
      <c r="N533" s="244"/>
      <c r="O533" s="244"/>
      <c r="P533" s="244"/>
      <c r="Q533" s="244"/>
      <c r="R533" s="244"/>
      <c r="S533" s="244"/>
      <c r="T533" s="244"/>
      <c r="U533" s="244"/>
      <c r="V533" s="244"/>
      <c r="W533" s="244"/>
      <c r="X533" s="244"/>
      <c r="Y533" s="244"/>
      <c r="Z533" s="244"/>
    </row>
    <row r="534" ht="11.25" customHeight="1">
      <c r="A534" s="244"/>
      <c r="B534" s="244"/>
      <c r="C534" s="266"/>
      <c r="D534" s="266"/>
      <c r="E534" s="266"/>
      <c r="F534" s="266"/>
      <c r="G534" s="266"/>
      <c r="H534" s="266"/>
      <c r="I534" s="266"/>
      <c r="J534" s="266"/>
      <c r="K534" s="244"/>
      <c r="L534" s="244"/>
      <c r="M534" s="244"/>
      <c r="N534" s="244"/>
      <c r="O534" s="244"/>
      <c r="P534" s="244"/>
      <c r="Q534" s="244"/>
      <c r="R534" s="244"/>
      <c r="S534" s="244"/>
      <c r="T534" s="244"/>
      <c r="U534" s="244"/>
      <c r="V534" s="244"/>
      <c r="W534" s="244"/>
      <c r="X534" s="244"/>
      <c r="Y534" s="244"/>
      <c r="Z534" s="244"/>
    </row>
    <row r="535" ht="11.25" customHeight="1">
      <c r="A535" s="244"/>
      <c r="B535" s="244"/>
      <c r="C535" s="266"/>
      <c r="D535" s="266"/>
      <c r="E535" s="266"/>
      <c r="F535" s="266"/>
      <c r="G535" s="266"/>
      <c r="H535" s="266"/>
      <c r="I535" s="266"/>
      <c r="J535" s="266"/>
      <c r="K535" s="244"/>
      <c r="L535" s="244"/>
      <c r="M535" s="244"/>
      <c r="N535" s="244"/>
      <c r="O535" s="244"/>
      <c r="P535" s="244"/>
      <c r="Q535" s="244"/>
      <c r="R535" s="244"/>
      <c r="S535" s="244"/>
      <c r="T535" s="244"/>
      <c r="U535" s="244"/>
      <c r="V535" s="244"/>
      <c r="W535" s="244"/>
      <c r="X535" s="244"/>
      <c r="Y535" s="244"/>
      <c r="Z535" s="244"/>
    </row>
    <row r="536" ht="11.25" customHeight="1">
      <c r="A536" s="244"/>
      <c r="B536" s="244"/>
      <c r="C536" s="266"/>
      <c r="D536" s="266"/>
      <c r="E536" s="266"/>
      <c r="F536" s="266"/>
      <c r="G536" s="266"/>
      <c r="H536" s="266"/>
      <c r="I536" s="266"/>
      <c r="J536" s="266"/>
      <c r="K536" s="244"/>
      <c r="L536" s="244"/>
      <c r="M536" s="244"/>
      <c r="N536" s="244"/>
      <c r="O536" s="244"/>
      <c r="P536" s="244"/>
      <c r="Q536" s="244"/>
      <c r="R536" s="244"/>
      <c r="S536" s="244"/>
      <c r="T536" s="244"/>
      <c r="U536" s="244"/>
      <c r="V536" s="244"/>
      <c r="W536" s="244"/>
      <c r="X536" s="244"/>
      <c r="Y536" s="244"/>
      <c r="Z536" s="244"/>
    </row>
    <row r="537" ht="11.25" customHeight="1">
      <c r="A537" s="244"/>
      <c r="B537" s="244"/>
      <c r="C537" s="266"/>
      <c r="D537" s="266"/>
      <c r="E537" s="266"/>
      <c r="F537" s="266"/>
      <c r="G537" s="266"/>
      <c r="H537" s="266"/>
      <c r="I537" s="266"/>
      <c r="J537" s="266"/>
      <c r="K537" s="244"/>
      <c r="L537" s="244"/>
      <c r="M537" s="244"/>
      <c r="N537" s="244"/>
      <c r="O537" s="244"/>
      <c r="P537" s="244"/>
      <c r="Q537" s="244"/>
      <c r="R537" s="244"/>
      <c r="S537" s="244"/>
      <c r="T537" s="244"/>
      <c r="U537" s="244"/>
      <c r="V537" s="244"/>
      <c r="W537" s="244"/>
      <c r="X537" s="244"/>
      <c r="Y537" s="244"/>
      <c r="Z537" s="244"/>
    </row>
    <row r="538" ht="11.25" customHeight="1">
      <c r="A538" s="244"/>
      <c r="B538" s="244"/>
      <c r="C538" s="266"/>
      <c r="D538" s="266"/>
      <c r="E538" s="266"/>
      <c r="F538" s="266"/>
      <c r="G538" s="266"/>
      <c r="H538" s="266"/>
      <c r="I538" s="266"/>
      <c r="J538" s="266"/>
      <c r="K538" s="244"/>
      <c r="L538" s="244"/>
      <c r="M538" s="244"/>
      <c r="N538" s="244"/>
      <c r="O538" s="244"/>
      <c r="P538" s="244"/>
      <c r="Q538" s="244"/>
      <c r="R538" s="244"/>
      <c r="S538" s="244"/>
      <c r="T538" s="244"/>
      <c r="U538" s="244"/>
      <c r="V538" s="244"/>
      <c r="W538" s="244"/>
      <c r="X538" s="244"/>
      <c r="Y538" s="244"/>
      <c r="Z538" s="244"/>
    </row>
    <row r="539" ht="11.25" customHeight="1">
      <c r="A539" s="244"/>
      <c r="B539" s="244"/>
      <c r="C539" s="266"/>
      <c r="D539" s="266"/>
      <c r="E539" s="266"/>
      <c r="F539" s="266"/>
      <c r="G539" s="266"/>
      <c r="H539" s="266"/>
      <c r="I539" s="266"/>
      <c r="J539" s="266"/>
      <c r="K539" s="244"/>
      <c r="L539" s="244"/>
      <c r="M539" s="244"/>
      <c r="N539" s="244"/>
      <c r="O539" s="244"/>
      <c r="P539" s="244"/>
      <c r="Q539" s="244"/>
      <c r="R539" s="244"/>
      <c r="S539" s="244"/>
      <c r="T539" s="244"/>
      <c r="U539" s="244"/>
      <c r="V539" s="244"/>
      <c r="W539" s="244"/>
      <c r="X539" s="244"/>
      <c r="Y539" s="244"/>
      <c r="Z539" s="244"/>
    </row>
    <row r="540" ht="11.25" customHeight="1">
      <c r="A540" s="244"/>
      <c r="B540" s="244"/>
      <c r="C540" s="266"/>
      <c r="D540" s="266"/>
      <c r="E540" s="266"/>
      <c r="F540" s="266"/>
      <c r="G540" s="266"/>
      <c r="H540" s="266"/>
      <c r="I540" s="266"/>
      <c r="J540" s="266"/>
      <c r="K540" s="244"/>
      <c r="L540" s="244"/>
      <c r="M540" s="244"/>
      <c r="N540" s="244"/>
      <c r="O540" s="244"/>
      <c r="P540" s="244"/>
      <c r="Q540" s="244"/>
      <c r="R540" s="244"/>
      <c r="S540" s="244"/>
      <c r="T540" s="244"/>
      <c r="U540" s="244"/>
      <c r="V540" s="244"/>
      <c r="W540" s="244"/>
      <c r="X540" s="244"/>
      <c r="Y540" s="244"/>
      <c r="Z540" s="244"/>
    </row>
    <row r="541" ht="11.25" customHeight="1">
      <c r="A541" s="244"/>
      <c r="B541" s="244"/>
      <c r="C541" s="266"/>
      <c r="D541" s="266"/>
      <c r="E541" s="266"/>
      <c r="F541" s="266"/>
      <c r="G541" s="266"/>
      <c r="H541" s="266"/>
      <c r="I541" s="266"/>
      <c r="J541" s="266"/>
      <c r="K541" s="244"/>
      <c r="L541" s="244"/>
      <c r="M541" s="244"/>
      <c r="N541" s="244"/>
      <c r="O541" s="244"/>
      <c r="P541" s="244"/>
      <c r="Q541" s="244"/>
      <c r="R541" s="244"/>
      <c r="S541" s="244"/>
      <c r="T541" s="244"/>
      <c r="U541" s="244"/>
      <c r="V541" s="244"/>
      <c r="W541" s="244"/>
      <c r="X541" s="244"/>
      <c r="Y541" s="244"/>
      <c r="Z541" s="244"/>
    </row>
    <row r="542" ht="11.25" customHeight="1">
      <c r="A542" s="244"/>
      <c r="B542" s="244"/>
      <c r="C542" s="266"/>
      <c r="D542" s="266"/>
      <c r="E542" s="266"/>
      <c r="F542" s="266"/>
      <c r="G542" s="266"/>
      <c r="H542" s="266"/>
      <c r="I542" s="266"/>
      <c r="J542" s="266"/>
      <c r="K542" s="244"/>
      <c r="L542" s="244"/>
      <c r="M542" s="244"/>
      <c r="N542" s="244"/>
      <c r="O542" s="244"/>
      <c r="P542" s="244"/>
      <c r="Q542" s="244"/>
      <c r="R542" s="244"/>
      <c r="S542" s="244"/>
      <c r="T542" s="244"/>
      <c r="U542" s="244"/>
      <c r="V542" s="244"/>
      <c r="W542" s="244"/>
      <c r="X542" s="244"/>
      <c r="Y542" s="244"/>
      <c r="Z542" s="244"/>
    </row>
    <row r="543" ht="11.25" customHeight="1">
      <c r="A543" s="244"/>
      <c r="B543" s="244"/>
      <c r="C543" s="266"/>
      <c r="D543" s="266"/>
      <c r="E543" s="266"/>
      <c r="F543" s="266"/>
      <c r="G543" s="266"/>
      <c r="H543" s="266"/>
      <c r="I543" s="266"/>
      <c r="J543" s="266"/>
      <c r="K543" s="244"/>
      <c r="L543" s="244"/>
      <c r="M543" s="244"/>
      <c r="N543" s="244"/>
      <c r="O543" s="244"/>
      <c r="P543" s="244"/>
      <c r="Q543" s="244"/>
      <c r="R543" s="244"/>
      <c r="S543" s="244"/>
      <c r="T543" s="244"/>
      <c r="U543" s="244"/>
      <c r="V543" s="244"/>
      <c r="W543" s="244"/>
      <c r="X543" s="244"/>
      <c r="Y543" s="244"/>
      <c r="Z543" s="244"/>
    </row>
    <row r="544" ht="11.25" customHeight="1">
      <c r="A544" s="244"/>
      <c r="B544" s="244"/>
      <c r="C544" s="266"/>
      <c r="D544" s="266"/>
      <c r="E544" s="266"/>
      <c r="F544" s="266"/>
      <c r="G544" s="266"/>
      <c r="H544" s="266"/>
      <c r="I544" s="266"/>
      <c r="J544" s="266"/>
      <c r="K544" s="244"/>
      <c r="L544" s="244"/>
      <c r="M544" s="244"/>
      <c r="N544" s="244"/>
      <c r="O544" s="244"/>
      <c r="P544" s="244"/>
      <c r="Q544" s="244"/>
      <c r="R544" s="244"/>
      <c r="S544" s="244"/>
      <c r="T544" s="244"/>
      <c r="U544" s="244"/>
      <c r="V544" s="244"/>
      <c r="W544" s="244"/>
      <c r="X544" s="244"/>
      <c r="Y544" s="244"/>
      <c r="Z544" s="244"/>
    </row>
    <row r="545" ht="11.25" customHeight="1">
      <c r="A545" s="244"/>
      <c r="B545" s="244"/>
      <c r="C545" s="266"/>
      <c r="D545" s="266"/>
      <c r="E545" s="266"/>
      <c r="F545" s="266"/>
      <c r="G545" s="266"/>
      <c r="H545" s="266"/>
      <c r="I545" s="266"/>
      <c r="J545" s="266"/>
      <c r="K545" s="244"/>
      <c r="L545" s="244"/>
      <c r="M545" s="244"/>
      <c r="N545" s="244"/>
      <c r="O545" s="244"/>
      <c r="P545" s="244"/>
      <c r="Q545" s="244"/>
      <c r="R545" s="244"/>
      <c r="S545" s="244"/>
      <c r="T545" s="244"/>
      <c r="U545" s="244"/>
      <c r="V545" s="244"/>
      <c r="W545" s="244"/>
      <c r="X545" s="244"/>
      <c r="Y545" s="244"/>
      <c r="Z545" s="244"/>
    </row>
    <row r="546" ht="11.25" customHeight="1">
      <c r="A546" s="244"/>
      <c r="B546" s="244"/>
      <c r="C546" s="266"/>
      <c r="D546" s="266"/>
      <c r="E546" s="266"/>
      <c r="F546" s="266"/>
      <c r="G546" s="266"/>
      <c r="H546" s="266"/>
      <c r="I546" s="266"/>
      <c r="J546" s="266"/>
      <c r="K546" s="244"/>
      <c r="L546" s="244"/>
      <c r="M546" s="244"/>
      <c r="N546" s="244"/>
      <c r="O546" s="244"/>
      <c r="P546" s="244"/>
      <c r="Q546" s="244"/>
      <c r="R546" s="244"/>
      <c r="S546" s="244"/>
      <c r="T546" s="244"/>
      <c r="U546" s="244"/>
      <c r="V546" s="244"/>
      <c r="W546" s="244"/>
      <c r="X546" s="244"/>
      <c r="Y546" s="244"/>
      <c r="Z546" s="244"/>
    </row>
    <row r="547" ht="11.25" customHeight="1">
      <c r="A547" s="244"/>
      <c r="B547" s="244"/>
      <c r="C547" s="266"/>
      <c r="D547" s="266"/>
      <c r="E547" s="266"/>
      <c r="F547" s="266"/>
      <c r="G547" s="266"/>
      <c r="H547" s="266"/>
      <c r="I547" s="266"/>
      <c r="J547" s="266"/>
      <c r="K547" s="244"/>
      <c r="L547" s="244"/>
      <c r="M547" s="244"/>
      <c r="N547" s="244"/>
      <c r="O547" s="244"/>
      <c r="P547" s="244"/>
      <c r="Q547" s="244"/>
      <c r="R547" s="244"/>
      <c r="S547" s="244"/>
      <c r="T547" s="244"/>
      <c r="U547" s="244"/>
      <c r="V547" s="244"/>
      <c r="W547" s="244"/>
      <c r="X547" s="244"/>
      <c r="Y547" s="244"/>
      <c r="Z547" s="244"/>
    </row>
    <row r="548" ht="11.25" customHeight="1">
      <c r="A548" s="244"/>
      <c r="B548" s="244"/>
      <c r="C548" s="266"/>
      <c r="D548" s="266"/>
      <c r="E548" s="266"/>
      <c r="F548" s="266"/>
      <c r="G548" s="266"/>
      <c r="H548" s="266"/>
      <c r="I548" s="266"/>
      <c r="J548" s="266"/>
      <c r="K548" s="244"/>
      <c r="L548" s="244"/>
      <c r="M548" s="244"/>
      <c r="N548" s="244"/>
      <c r="O548" s="244"/>
      <c r="P548" s="244"/>
      <c r="Q548" s="244"/>
      <c r="R548" s="244"/>
      <c r="S548" s="244"/>
      <c r="T548" s="244"/>
      <c r="U548" s="244"/>
      <c r="V548" s="244"/>
      <c r="W548" s="244"/>
      <c r="X548" s="244"/>
      <c r="Y548" s="244"/>
      <c r="Z548" s="244"/>
    </row>
    <row r="549" ht="11.25" customHeight="1">
      <c r="A549" s="244"/>
      <c r="B549" s="244"/>
      <c r="C549" s="266"/>
      <c r="D549" s="266"/>
      <c r="E549" s="266"/>
      <c r="F549" s="266"/>
      <c r="G549" s="266"/>
      <c r="H549" s="266"/>
      <c r="I549" s="266"/>
      <c r="J549" s="266"/>
      <c r="K549" s="244"/>
      <c r="L549" s="244"/>
      <c r="M549" s="244"/>
      <c r="N549" s="244"/>
      <c r="O549" s="244"/>
      <c r="P549" s="244"/>
      <c r="Q549" s="244"/>
      <c r="R549" s="244"/>
      <c r="S549" s="244"/>
      <c r="T549" s="244"/>
      <c r="U549" s="244"/>
      <c r="V549" s="244"/>
      <c r="W549" s="244"/>
      <c r="X549" s="244"/>
      <c r="Y549" s="244"/>
      <c r="Z549" s="244"/>
    </row>
    <row r="550" ht="11.25" customHeight="1">
      <c r="A550" s="244"/>
      <c r="B550" s="244"/>
      <c r="C550" s="266"/>
      <c r="D550" s="266"/>
      <c r="E550" s="266"/>
      <c r="F550" s="266"/>
      <c r="G550" s="266"/>
      <c r="H550" s="266"/>
      <c r="I550" s="266"/>
      <c r="J550" s="266"/>
      <c r="K550" s="244"/>
      <c r="L550" s="244"/>
      <c r="M550" s="244"/>
      <c r="N550" s="244"/>
      <c r="O550" s="244"/>
      <c r="P550" s="244"/>
      <c r="Q550" s="244"/>
      <c r="R550" s="244"/>
      <c r="S550" s="244"/>
      <c r="T550" s="244"/>
      <c r="U550" s="244"/>
      <c r="V550" s="244"/>
      <c r="W550" s="244"/>
      <c r="X550" s="244"/>
      <c r="Y550" s="244"/>
      <c r="Z550" s="244"/>
    </row>
    <row r="551" ht="11.25" customHeight="1">
      <c r="A551" s="244"/>
      <c r="B551" s="244"/>
      <c r="C551" s="266"/>
      <c r="D551" s="266"/>
      <c r="E551" s="266"/>
      <c r="F551" s="266"/>
      <c r="G551" s="266"/>
      <c r="H551" s="266"/>
      <c r="I551" s="266"/>
      <c r="J551" s="266"/>
      <c r="K551" s="244"/>
      <c r="L551" s="244"/>
      <c r="M551" s="244"/>
      <c r="N551" s="244"/>
      <c r="O551" s="244"/>
      <c r="P551" s="244"/>
      <c r="Q551" s="244"/>
      <c r="R551" s="244"/>
      <c r="S551" s="244"/>
      <c r="T551" s="244"/>
      <c r="U551" s="244"/>
      <c r="V551" s="244"/>
      <c r="W551" s="244"/>
      <c r="X551" s="244"/>
      <c r="Y551" s="244"/>
      <c r="Z551" s="244"/>
    </row>
    <row r="552" ht="11.25" customHeight="1">
      <c r="A552" s="244"/>
      <c r="B552" s="244"/>
      <c r="C552" s="266"/>
      <c r="D552" s="266"/>
      <c r="E552" s="266"/>
      <c r="F552" s="266"/>
      <c r="G552" s="266"/>
      <c r="H552" s="266"/>
      <c r="I552" s="266"/>
      <c r="J552" s="266"/>
      <c r="K552" s="244"/>
      <c r="L552" s="244"/>
      <c r="M552" s="244"/>
      <c r="N552" s="244"/>
      <c r="O552" s="244"/>
      <c r="P552" s="244"/>
      <c r="Q552" s="244"/>
      <c r="R552" s="244"/>
      <c r="S552" s="244"/>
      <c r="T552" s="244"/>
      <c r="U552" s="244"/>
      <c r="V552" s="244"/>
      <c r="W552" s="244"/>
      <c r="X552" s="244"/>
      <c r="Y552" s="244"/>
      <c r="Z552" s="244"/>
    </row>
    <row r="553" ht="11.25" customHeight="1">
      <c r="A553" s="244"/>
      <c r="B553" s="244"/>
      <c r="C553" s="266"/>
      <c r="D553" s="266"/>
      <c r="E553" s="266"/>
      <c r="F553" s="266"/>
      <c r="G553" s="266"/>
      <c r="H553" s="266"/>
      <c r="I553" s="266"/>
      <c r="J553" s="266"/>
      <c r="K553" s="244"/>
      <c r="L553" s="244"/>
      <c r="M553" s="244"/>
      <c r="N553" s="244"/>
      <c r="O553" s="244"/>
      <c r="P553" s="244"/>
      <c r="Q553" s="244"/>
      <c r="R553" s="244"/>
      <c r="S553" s="244"/>
      <c r="T553" s="244"/>
      <c r="U553" s="244"/>
      <c r="V553" s="244"/>
      <c r="W553" s="244"/>
      <c r="X553" s="244"/>
      <c r="Y553" s="244"/>
      <c r="Z553" s="244"/>
    </row>
    <row r="554" ht="11.25" customHeight="1">
      <c r="A554" s="244"/>
      <c r="B554" s="244"/>
      <c r="C554" s="266"/>
      <c r="D554" s="266"/>
      <c r="E554" s="266"/>
      <c r="F554" s="266"/>
      <c r="G554" s="266"/>
      <c r="H554" s="266"/>
      <c r="I554" s="266"/>
      <c r="J554" s="266"/>
      <c r="K554" s="244"/>
      <c r="L554" s="244"/>
      <c r="M554" s="244"/>
      <c r="N554" s="244"/>
      <c r="O554" s="244"/>
      <c r="P554" s="244"/>
      <c r="Q554" s="244"/>
      <c r="R554" s="244"/>
      <c r="S554" s="244"/>
      <c r="T554" s="244"/>
      <c r="U554" s="244"/>
      <c r="V554" s="244"/>
      <c r="W554" s="244"/>
      <c r="X554" s="244"/>
      <c r="Y554" s="244"/>
      <c r="Z554" s="244"/>
    </row>
    <row r="555" ht="11.25" customHeight="1">
      <c r="A555" s="244"/>
      <c r="B555" s="244"/>
      <c r="C555" s="266"/>
      <c r="D555" s="266"/>
      <c r="E555" s="266"/>
      <c r="F555" s="266"/>
      <c r="G555" s="266"/>
      <c r="H555" s="266"/>
      <c r="I555" s="266"/>
      <c r="J555" s="266"/>
      <c r="K555" s="244"/>
      <c r="L555" s="244"/>
      <c r="M555" s="244"/>
      <c r="N555" s="244"/>
      <c r="O555" s="244"/>
      <c r="P555" s="244"/>
      <c r="Q555" s="244"/>
      <c r="R555" s="244"/>
      <c r="S555" s="244"/>
      <c r="T555" s="244"/>
      <c r="U555" s="244"/>
      <c r="V555" s="244"/>
      <c r="W555" s="244"/>
      <c r="X555" s="244"/>
      <c r="Y555" s="244"/>
      <c r="Z555" s="244"/>
    </row>
    <row r="556" ht="11.25" customHeight="1">
      <c r="A556" s="244"/>
      <c r="B556" s="244"/>
      <c r="C556" s="266"/>
      <c r="D556" s="266"/>
      <c r="E556" s="266"/>
      <c r="F556" s="266"/>
      <c r="G556" s="266"/>
      <c r="H556" s="266"/>
      <c r="I556" s="266"/>
      <c r="J556" s="266"/>
      <c r="K556" s="244"/>
      <c r="L556" s="244"/>
      <c r="M556" s="244"/>
      <c r="N556" s="244"/>
      <c r="O556" s="244"/>
      <c r="P556" s="244"/>
      <c r="Q556" s="244"/>
      <c r="R556" s="244"/>
      <c r="S556" s="244"/>
      <c r="T556" s="244"/>
      <c r="U556" s="244"/>
      <c r="V556" s="244"/>
      <c r="W556" s="244"/>
      <c r="X556" s="244"/>
      <c r="Y556" s="244"/>
      <c r="Z556" s="244"/>
    </row>
    <row r="557" ht="11.25" customHeight="1">
      <c r="A557" s="244"/>
      <c r="B557" s="244"/>
      <c r="C557" s="266"/>
      <c r="D557" s="266"/>
      <c r="E557" s="266"/>
      <c r="F557" s="266"/>
      <c r="G557" s="266"/>
      <c r="H557" s="266"/>
      <c r="I557" s="266"/>
      <c r="J557" s="266"/>
      <c r="K557" s="244"/>
      <c r="L557" s="244"/>
      <c r="M557" s="244"/>
      <c r="N557" s="244"/>
      <c r="O557" s="244"/>
      <c r="P557" s="244"/>
      <c r="Q557" s="244"/>
      <c r="R557" s="244"/>
      <c r="S557" s="244"/>
      <c r="T557" s="244"/>
      <c r="U557" s="244"/>
      <c r="V557" s="244"/>
      <c r="W557" s="244"/>
      <c r="X557" s="244"/>
      <c r="Y557" s="244"/>
      <c r="Z557" s="244"/>
    </row>
    <row r="558" ht="11.25" customHeight="1">
      <c r="A558" s="244"/>
      <c r="B558" s="244"/>
      <c r="C558" s="266"/>
      <c r="D558" s="266"/>
      <c r="E558" s="266"/>
      <c r="F558" s="266"/>
      <c r="G558" s="266"/>
      <c r="H558" s="266"/>
      <c r="I558" s="266"/>
      <c r="J558" s="266"/>
      <c r="K558" s="244"/>
      <c r="L558" s="244"/>
      <c r="M558" s="244"/>
      <c r="N558" s="244"/>
      <c r="O558" s="244"/>
      <c r="P558" s="244"/>
      <c r="Q558" s="244"/>
      <c r="R558" s="244"/>
      <c r="S558" s="244"/>
      <c r="T558" s="244"/>
      <c r="U558" s="244"/>
      <c r="V558" s="244"/>
      <c r="W558" s="244"/>
      <c r="X558" s="244"/>
      <c r="Y558" s="244"/>
      <c r="Z558" s="244"/>
    </row>
    <row r="559" ht="11.25" customHeight="1">
      <c r="A559" s="244"/>
      <c r="B559" s="244"/>
      <c r="C559" s="266"/>
      <c r="D559" s="266"/>
      <c r="E559" s="266"/>
      <c r="F559" s="266"/>
      <c r="G559" s="266"/>
      <c r="H559" s="266"/>
      <c r="I559" s="266"/>
      <c r="J559" s="266"/>
      <c r="K559" s="244"/>
      <c r="L559" s="244"/>
      <c r="M559" s="244"/>
      <c r="N559" s="244"/>
      <c r="O559" s="244"/>
      <c r="P559" s="244"/>
      <c r="Q559" s="244"/>
      <c r="R559" s="244"/>
      <c r="S559" s="244"/>
      <c r="T559" s="244"/>
      <c r="U559" s="244"/>
      <c r="V559" s="244"/>
      <c r="W559" s="244"/>
      <c r="X559" s="244"/>
      <c r="Y559" s="244"/>
      <c r="Z559" s="244"/>
    </row>
    <row r="560" ht="11.25" customHeight="1">
      <c r="A560" s="244"/>
      <c r="B560" s="244"/>
      <c r="C560" s="266"/>
      <c r="D560" s="266"/>
      <c r="E560" s="266"/>
      <c r="F560" s="266"/>
      <c r="G560" s="266"/>
      <c r="H560" s="266"/>
      <c r="I560" s="266"/>
      <c r="J560" s="266"/>
      <c r="K560" s="244"/>
      <c r="L560" s="244"/>
      <c r="M560" s="244"/>
      <c r="N560" s="244"/>
      <c r="O560" s="244"/>
      <c r="P560" s="244"/>
      <c r="Q560" s="244"/>
      <c r="R560" s="244"/>
      <c r="S560" s="244"/>
      <c r="T560" s="244"/>
      <c r="U560" s="244"/>
      <c r="V560" s="244"/>
      <c r="W560" s="244"/>
      <c r="X560" s="244"/>
      <c r="Y560" s="244"/>
      <c r="Z560" s="244"/>
    </row>
    <row r="561" ht="11.25" customHeight="1">
      <c r="A561" s="244"/>
      <c r="B561" s="244"/>
      <c r="C561" s="266"/>
      <c r="D561" s="266"/>
      <c r="E561" s="266"/>
      <c r="F561" s="266"/>
      <c r="G561" s="266"/>
      <c r="H561" s="266"/>
      <c r="I561" s="266"/>
      <c r="J561" s="266"/>
      <c r="K561" s="244"/>
      <c r="L561" s="244"/>
      <c r="M561" s="244"/>
      <c r="N561" s="244"/>
      <c r="O561" s="244"/>
      <c r="P561" s="244"/>
      <c r="Q561" s="244"/>
      <c r="R561" s="244"/>
      <c r="S561" s="244"/>
      <c r="T561" s="244"/>
      <c r="U561" s="244"/>
      <c r="V561" s="244"/>
      <c r="W561" s="244"/>
      <c r="X561" s="244"/>
      <c r="Y561" s="244"/>
      <c r="Z561" s="244"/>
    </row>
    <row r="562" ht="11.25" customHeight="1">
      <c r="A562" s="244"/>
      <c r="B562" s="244"/>
      <c r="C562" s="266"/>
      <c r="D562" s="266"/>
      <c r="E562" s="266"/>
      <c r="F562" s="266"/>
      <c r="G562" s="266"/>
      <c r="H562" s="266"/>
      <c r="I562" s="266"/>
      <c r="J562" s="266"/>
      <c r="K562" s="244"/>
      <c r="L562" s="244"/>
      <c r="M562" s="244"/>
      <c r="N562" s="244"/>
      <c r="O562" s="244"/>
      <c r="P562" s="244"/>
      <c r="Q562" s="244"/>
      <c r="R562" s="244"/>
      <c r="S562" s="244"/>
      <c r="T562" s="244"/>
      <c r="U562" s="244"/>
      <c r="V562" s="244"/>
      <c r="W562" s="244"/>
      <c r="X562" s="244"/>
      <c r="Y562" s="244"/>
      <c r="Z562" s="244"/>
    </row>
    <row r="563" ht="11.25" customHeight="1">
      <c r="A563" s="244"/>
      <c r="B563" s="244"/>
      <c r="C563" s="266"/>
      <c r="D563" s="266"/>
      <c r="E563" s="266"/>
      <c r="F563" s="266"/>
      <c r="G563" s="266"/>
      <c r="H563" s="266"/>
      <c r="I563" s="266"/>
      <c r="J563" s="266"/>
      <c r="K563" s="244"/>
      <c r="L563" s="244"/>
      <c r="M563" s="244"/>
      <c r="N563" s="244"/>
      <c r="O563" s="244"/>
      <c r="P563" s="244"/>
      <c r="Q563" s="244"/>
      <c r="R563" s="244"/>
      <c r="S563" s="244"/>
      <c r="T563" s="244"/>
      <c r="U563" s="244"/>
      <c r="V563" s="244"/>
      <c r="W563" s="244"/>
      <c r="X563" s="244"/>
      <c r="Y563" s="244"/>
      <c r="Z563" s="244"/>
    </row>
    <row r="564" ht="11.25" customHeight="1">
      <c r="A564" s="244"/>
      <c r="B564" s="244"/>
      <c r="C564" s="266"/>
      <c r="D564" s="266"/>
      <c r="E564" s="266"/>
      <c r="F564" s="266"/>
      <c r="G564" s="266"/>
      <c r="H564" s="266"/>
      <c r="I564" s="266"/>
      <c r="J564" s="266"/>
      <c r="K564" s="244"/>
      <c r="L564" s="244"/>
      <c r="M564" s="244"/>
      <c r="N564" s="244"/>
      <c r="O564" s="244"/>
      <c r="P564" s="244"/>
      <c r="Q564" s="244"/>
      <c r="R564" s="244"/>
      <c r="S564" s="244"/>
      <c r="T564" s="244"/>
      <c r="U564" s="244"/>
      <c r="V564" s="244"/>
      <c r="W564" s="244"/>
      <c r="X564" s="244"/>
      <c r="Y564" s="244"/>
      <c r="Z564" s="244"/>
    </row>
    <row r="565" ht="11.25" customHeight="1">
      <c r="A565" s="244"/>
      <c r="B565" s="244"/>
      <c r="C565" s="266"/>
      <c r="D565" s="266"/>
      <c r="E565" s="266"/>
      <c r="F565" s="266"/>
      <c r="G565" s="266"/>
      <c r="H565" s="266"/>
      <c r="I565" s="266"/>
      <c r="J565" s="266"/>
      <c r="K565" s="244"/>
      <c r="L565" s="244"/>
      <c r="M565" s="244"/>
      <c r="N565" s="244"/>
      <c r="O565" s="244"/>
      <c r="P565" s="244"/>
      <c r="Q565" s="244"/>
      <c r="R565" s="244"/>
      <c r="S565" s="244"/>
      <c r="T565" s="244"/>
      <c r="U565" s="244"/>
      <c r="V565" s="244"/>
      <c r="W565" s="244"/>
      <c r="X565" s="244"/>
      <c r="Y565" s="244"/>
      <c r="Z565" s="244"/>
    </row>
    <row r="566" ht="11.25" customHeight="1">
      <c r="A566" s="244"/>
      <c r="B566" s="244"/>
      <c r="C566" s="266"/>
      <c r="D566" s="266"/>
      <c r="E566" s="266"/>
      <c r="F566" s="266"/>
      <c r="G566" s="266"/>
      <c r="H566" s="266"/>
      <c r="I566" s="266"/>
      <c r="J566" s="266"/>
      <c r="K566" s="244"/>
      <c r="L566" s="244"/>
      <c r="M566" s="244"/>
      <c r="N566" s="244"/>
      <c r="O566" s="244"/>
      <c r="P566" s="244"/>
      <c r="Q566" s="244"/>
      <c r="R566" s="244"/>
      <c r="S566" s="244"/>
      <c r="T566" s="244"/>
      <c r="U566" s="244"/>
      <c r="V566" s="244"/>
      <c r="W566" s="244"/>
      <c r="X566" s="244"/>
      <c r="Y566" s="244"/>
      <c r="Z566" s="244"/>
    </row>
    <row r="567" ht="11.25" customHeight="1">
      <c r="A567" s="244"/>
      <c r="B567" s="244"/>
      <c r="C567" s="266"/>
      <c r="D567" s="266"/>
      <c r="E567" s="266"/>
      <c r="F567" s="266"/>
      <c r="G567" s="266"/>
      <c r="H567" s="266"/>
      <c r="I567" s="266"/>
      <c r="J567" s="266"/>
      <c r="K567" s="244"/>
      <c r="L567" s="244"/>
      <c r="M567" s="244"/>
      <c r="N567" s="244"/>
      <c r="O567" s="244"/>
      <c r="P567" s="244"/>
      <c r="Q567" s="244"/>
      <c r="R567" s="244"/>
      <c r="S567" s="244"/>
      <c r="T567" s="244"/>
      <c r="U567" s="244"/>
      <c r="V567" s="244"/>
      <c r="W567" s="244"/>
      <c r="X567" s="244"/>
      <c r="Y567" s="244"/>
      <c r="Z567" s="244"/>
    </row>
    <row r="568" ht="11.25" customHeight="1">
      <c r="A568" s="244"/>
      <c r="B568" s="244"/>
      <c r="C568" s="266"/>
      <c r="D568" s="266"/>
      <c r="E568" s="266"/>
      <c r="F568" s="266"/>
      <c r="G568" s="266"/>
      <c r="H568" s="266"/>
      <c r="I568" s="266"/>
      <c r="J568" s="266"/>
      <c r="K568" s="244"/>
      <c r="L568" s="244"/>
      <c r="M568" s="244"/>
      <c r="N568" s="244"/>
      <c r="O568" s="244"/>
      <c r="P568" s="244"/>
      <c r="Q568" s="244"/>
      <c r="R568" s="244"/>
      <c r="S568" s="244"/>
      <c r="T568" s="244"/>
      <c r="U568" s="244"/>
      <c r="V568" s="244"/>
      <c r="W568" s="244"/>
      <c r="X568" s="244"/>
      <c r="Y568" s="244"/>
      <c r="Z568" s="244"/>
    </row>
    <row r="569" ht="11.25" customHeight="1">
      <c r="A569" s="244"/>
      <c r="B569" s="244"/>
      <c r="C569" s="266"/>
      <c r="D569" s="266"/>
      <c r="E569" s="266"/>
      <c r="F569" s="266"/>
      <c r="G569" s="266"/>
      <c r="H569" s="266"/>
      <c r="I569" s="266"/>
      <c r="J569" s="266"/>
      <c r="K569" s="244"/>
      <c r="L569" s="244"/>
      <c r="M569" s="244"/>
      <c r="N569" s="244"/>
      <c r="O569" s="244"/>
      <c r="P569" s="244"/>
      <c r="Q569" s="244"/>
      <c r="R569" s="244"/>
      <c r="S569" s="244"/>
      <c r="T569" s="244"/>
      <c r="U569" s="244"/>
      <c r="V569" s="244"/>
      <c r="W569" s="244"/>
      <c r="X569" s="244"/>
      <c r="Y569" s="244"/>
      <c r="Z569" s="244"/>
    </row>
    <row r="570" ht="11.25" customHeight="1">
      <c r="A570" s="244"/>
      <c r="B570" s="244"/>
      <c r="C570" s="266"/>
      <c r="D570" s="266"/>
      <c r="E570" s="266"/>
      <c r="F570" s="266"/>
      <c r="G570" s="266"/>
      <c r="H570" s="266"/>
      <c r="I570" s="266"/>
      <c r="J570" s="266"/>
      <c r="K570" s="244"/>
      <c r="L570" s="244"/>
      <c r="M570" s="244"/>
      <c r="N570" s="244"/>
      <c r="O570" s="244"/>
      <c r="P570" s="244"/>
      <c r="Q570" s="244"/>
      <c r="R570" s="244"/>
      <c r="S570" s="244"/>
      <c r="T570" s="244"/>
      <c r="U570" s="244"/>
      <c r="V570" s="244"/>
      <c r="W570" s="244"/>
      <c r="X570" s="244"/>
      <c r="Y570" s="244"/>
      <c r="Z570" s="244"/>
    </row>
    <row r="571" ht="11.25" customHeight="1">
      <c r="A571" s="244"/>
      <c r="B571" s="244"/>
      <c r="C571" s="266"/>
      <c r="D571" s="266"/>
      <c r="E571" s="266"/>
      <c r="F571" s="266"/>
      <c r="G571" s="266"/>
      <c r="H571" s="266"/>
      <c r="I571" s="266"/>
      <c r="J571" s="266"/>
      <c r="K571" s="244"/>
      <c r="L571" s="244"/>
      <c r="M571" s="244"/>
      <c r="N571" s="244"/>
      <c r="O571" s="244"/>
      <c r="P571" s="244"/>
      <c r="Q571" s="244"/>
      <c r="R571" s="244"/>
      <c r="S571" s="244"/>
      <c r="T571" s="244"/>
      <c r="U571" s="244"/>
      <c r="V571" s="244"/>
      <c r="W571" s="244"/>
      <c r="X571" s="244"/>
      <c r="Y571" s="244"/>
      <c r="Z571" s="244"/>
    </row>
    <row r="572" ht="11.25" customHeight="1">
      <c r="A572" s="244"/>
      <c r="B572" s="244"/>
      <c r="C572" s="266"/>
      <c r="D572" s="266"/>
      <c r="E572" s="266"/>
      <c r="F572" s="266"/>
      <c r="G572" s="266"/>
      <c r="H572" s="266"/>
      <c r="I572" s="266"/>
      <c r="J572" s="266"/>
      <c r="K572" s="244"/>
      <c r="L572" s="244"/>
      <c r="M572" s="244"/>
      <c r="N572" s="244"/>
      <c r="O572" s="244"/>
      <c r="P572" s="244"/>
      <c r="Q572" s="244"/>
      <c r="R572" s="244"/>
      <c r="S572" s="244"/>
      <c r="T572" s="244"/>
      <c r="U572" s="244"/>
      <c r="V572" s="244"/>
      <c r="W572" s="244"/>
      <c r="X572" s="244"/>
      <c r="Y572" s="244"/>
      <c r="Z572" s="244"/>
    </row>
    <row r="573" ht="11.25" customHeight="1">
      <c r="A573" s="244"/>
      <c r="B573" s="244"/>
      <c r="C573" s="266"/>
      <c r="D573" s="266"/>
      <c r="E573" s="266"/>
      <c r="F573" s="266"/>
      <c r="G573" s="266"/>
      <c r="H573" s="266"/>
      <c r="I573" s="266"/>
      <c r="J573" s="266"/>
      <c r="K573" s="244"/>
      <c r="L573" s="244"/>
      <c r="M573" s="244"/>
      <c r="N573" s="244"/>
      <c r="O573" s="244"/>
      <c r="P573" s="244"/>
      <c r="Q573" s="244"/>
      <c r="R573" s="244"/>
      <c r="S573" s="244"/>
      <c r="T573" s="244"/>
      <c r="U573" s="244"/>
      <c r="V573" s="244"/>
      <c r="W573" s="244"/>
      <c r="X573" s="244"/>
      <c r="Y573" s="244"/>
      <c r="Z573" s="244"/>
    </row>
    <row r="574" ht="11.25" customHeight="1">
      <c r="A574" s="244"/>
      <c r="B574" s="244"/>
      <c r="C574" s="266"/>
      <c r="D574" s="266"/>
      <c r="E574" s="266"/>
      <c r="F574" s="266"/>
      <c r="G574" s="266"/>
      <c r="H574" s="266"/>
      <c r="I574" s="266"/>
      <c r="J574" s="266"/>
      <c r="K574" s="244"/>
      <c r="L574" s="244"/>
      <c r="M574" s="244"/>
      <c r="N574" s="244"/>
      <c r="O574" s="244"/>
      <c r="P574" s="244"/>
      <c r="Q574" s="244"/>
      <c r="R574" s="244"/>
      <c r="S574" s="244"/>
      <c r="T574" s="244"/>
      <c r="U574" s="244"/>
      <c r="V574" s="244"/>
      <c r="W574" s="244"/>
      <c r="X574" s="244"/>
      <c r="Y574" s="244"/>
      <c r="Z574" s="244"/>
    </row>
    <row r="575" ht="11.25" customHeight="1">
      <c r="A575" s="244"/>
      <c r="B575" s="244"/>
      <c r="C575" s="266"/>
      <c r="D575" s="266"/>
      <c r="E575" s="266"/>
      <c r="F575" s="266"/>
      <c r="G575" s="266"/>
      <c r="H575" s="266"/>
      <c r="I575" s="266"/>
      <c r="J575" s="266"/>
      <c r="K575" s="244"/>
      <c r="L575" s="244"/>
      <c r="M575" s="244"/>
      <c r="N575" s="244"/>
      <c r="O575" s="244"/>
      <c r="P575" s="244"/>
      <c r="Q575" s="244"/>
      <c r="R575" s="244"/>
      <c r="S575" s="244"/>
      <c r="T575" s="244"/>
      <c r="U575" s="244"/>
      <c r="V575" s="244"/>
      <c r="W575" s="244"/>
      <c r="X575" s="244"/>
      <c r="Y575" s="244"/>
      <c r="Z575" s="244"/>
    </row>
    <row r="576" ht="11.25" customHeight="1">
      <c r="A576" s="244"/>
      <c r="B576" s="244"/>
      <c r="C576" s="266"/>
      <c r="D576" s="266"/>
      <c r="E576" s="266"/>
      <c r="F576" s="266"/>
      <c r="G576" s="266"/>
      <c r="H576" s="266"/>
      <c r="I576" s="266"/>
      <c r="J576" s="266"/>
      <c r="K576" s="244"/>
      <c r="L576" s="244"/>
      <c r="M576" s="244"/>
      <c r="N576" s="244"/>
      <c r="O576" s="244"/>
      <c r="P576" s="244"/>
      <c r="Q576" s="244"/>
      <c r="R576" s="244"/>
      <c r="S576" s="244"/>
      <c r="T576" s="244"/>
      <c r="U576" s="244"/>
      <c r="V576" s="244"/>
      <c r="W576" s="244"/>
      <c r="X576" s="244"/>
      <c r="Y576" s="244"/>
      <c r="Z576" s="244"/>
    </row>
    <row r="577" ht="11.25" customHeight="1">
      <c r="A577" s="244"/>
      <c r="B577" s="244"/>
      <c r="C577" s="266"/>
      <c r="D577" s="266"/>
      <c r="E577" s="266"/>
      <c r="F577" s="266"/>
      <c r="G577" s="266"/>
      <c r="H577" s="266"/>
      <c r="I577" s="266"/>
      <c r="J577" s="266"/>
      <c r="K577" s="244"/>
      <c r="L577" s="244"/>
      <c r="M577" s="244"/>
      <c r="N577" s="244"/>
      <c r="O577" s="244"/>
      <c r="P577" s="244"/>
      <c r="Q577" s="244"/>
      <c r="R577" s="244"/>
      <c r="S577" s="244"/>
      <c r="T577" s="244"/>
      <c r="U577" s="244"/>
      <c r="V577" s="244"/>
      <c r="W577" s="244"/>
      <c r="X577" s="244"/>
      <c r="Y577" s="244"/>
      <c r="Z577" s="244"/>
    </row>
    <row r="578" ht="11.25" customHeight="1">
      <c r="A578" s="244"/>
      <c r="B578" s="244"/>
      <c r="C578" s="266"/>
      <c r="D578" s="266"/>
      <c r="E578" s="266"/>
      <c r="F578" s="266"/>
      <c r="G578" s="266"/>
      <c r="H578" s="266"/>
      <c r="I578" s="266"/>
      <c r="J578" s="266"/>
      <c r="K578" s="244"/>
      <c r="L578" s="244"/>
      <c r="M578" s="244"/>
      <c r="N578" s="244"/>
      <c r="O578" s="244"/>
      <c r="P578" s="244"/>
      <c r="Q578" s="244"/>
      <c r="R578" s="244"/>
      <c r="S578" s="244"/>
      <c r="T578" s="244"/>
      <c r="U578" s="244"/>
      <c r="V578" s="244"/>
      <c r="W578" s="244"/>
      <c r="X578" s="244"/>
      <c r="Y578" s="244"/>
      <c r="Z578" s="244"/>
    </row>
    <row r="579" ht="11.25" customHeight="1">
      <c r="A579" s="244"/>
      <c r="B579" s="244"/>
      <c r="C579" s="266"/>
      <c r="D579" s="266"/>
      <c r="E579" s="266"/>
      <c r="F579" s="266"/>
      <c r="G579" s="266"/>
      <c r="H579" s="266"/>
      <c r="I579" s="266"/>
      <c r="J579" s="266"/>
      <c r="K579" s="244"/>
      <c r="L579" s="244"/>
      <c r="M579" s="244"/>
      <c r="N579" s="244"/>
      <c r="O579" s="244"/>
      <c r="P579" s="244"/>
      <c r="Q579" s="244"/>
      <c r="R579" s="244"/>
      <c r="S579" s="244"/>
      <c r="T579" s="244"/>
      <c r="U579" s="244"/>
      <c r="V579" s="244"/>
      <c r="W579" s="244"/>
      <c r="X579" s="244"/>
      <c r="Y579" s="244"/>
      <c r="Z579" s="244"/>
    </row>
    <row r="580" ht="11.25" customHeight="1">
      <c r="A580" s="244"/>
      <c r="B580" s="244"/>
      <c r="C580" s="266"/>
      <c r="D580" s="266"/>
      <c r="E580" s="266"/>
      <c r="F580" s="266"/>
      <c r="G580" s="266"/>
      <c r="H580" s="266"/>
      <c r="I580" s="266"/>
      <c r="J580" s="266"/>
      <c r="K580" s="244"/>
      <c r="L580" s="244"/>
      <c r="M580" s="244"/>
      <c r="N580" s="244"/>
      <c r="O580" s="244"/>
      <c r="P580" s="244"/>
      <c r="Q580" s="244"/>
      <c r="R580" s="244"/>
      <c r="S580" s="244"/>
      <c r="T580" s="244"/>
      <c r="U580" s="244"/>
      <c r="V580" s="244"/>
      <c r="W580" s="244"/>
      <c r="X580" s="244"/>
      <c r="Y580" s="244"/>
      <c r="Z580" s="244"/>
    </row>
    <row r="581" ht="11.25" customHeight="1">
      <c r="A581" s="244"/>
      <c r="B581" s="244"/>
      <c r="C581" s="266"/>
      <c r="D581" s="266"/>
      <c r="E581" s="266"/>
      <c r="F581" s="266"/>
      <c r="G581" s="266"/>
      <c r="H581" s="266"/>
      <c r="I581" s="266"/>
      <c r="J581" s="266"/>
      <c r="K581" s="244"/>
      <c r="L581" s="244"/>
      <c r="M581" s="244"/>
      <c r="N581" s="244"/>
      <c r="O581" s="244"/>
      <c r="P581" s="244"/>
      <c r="Q581" s="244"/>
      <c r="R581" s="244"/>
      <c r="S581" s="244"/>
      <c r="T581" s="244"/>
      <c r="U581" s="244"/>
      <c r="V581" s="244"/>
      <c r="W581" s="244"/>
      <c r="X581" s="244"/>
      <c r="Y581" s="244"/>
      <c r="Z581" s="244"/>
    </row>
    <row r="582" ht="11.25" customHeight="1">
      <c r="A582" s="244"/>
      <c r="B582" s="244"/>
      <c r="C582" s="266"/>
      <c r="D582" s="266"/>
      <c r="E582" s="266"/>
      <c r="F582" s="266"/>
      <c r="G582" s="266"/>
      <c r="H582" s="266"/>
      <c r="I582" s="266"/>
      <c r="J582" s="266"/>
      <c r="K582" s="244"/>
      <c r="L582" s="244"/>
      <c r="M582" s="244"/>
      <c r="N582" s="244"/>
      <c r="O582" s="244"/>
      <c r="P582" s="244"/>
      <c r="Q582" s="244"/>
      <c r="R582" s="244"/>
      <c r="S582" s="244"/>
      <c r="T582" s="244"/>
      <c r="U582" s="244"/>
      <c r="V582" s="244"/>
      <c r="W582" s="244"/>
      <c r="X582" s="244"/>
      <c r="Y582" s="244"/>
      <c r="Z582" s="244"/>
    </row>
    <row r="583" ht="11.25" customHeight="1">
      <c r="A583" s="244"/>
      <c r="B583" s="244"/>
      <c r="C583" s="266"/>
      <c r="D583" s="266"/>
      <c r="E583" s="266"/>
      <c r="F583" s="266"/>
      <c r="G583" s="266"/>
      <c r="H583" s="266"/>
      <c r="I583" s="266"/>
      <c r="J583" s="266"/>
      <c r="K583" s="244"/>
      <c r="L583" s="244"/>
      <c r="M583" s="244"/>
      <c r="N583" s="244"/>
      <c r="O583" s="244"/>
      <c r="P583" s="244"/>
      <c r="Q583" s="244"/>
      <c r="R583" s="244"/>
      <c r="S583" s="244"/>
      <c r="T583" s="244"/>
      <c r="U583" s="244"/>
      <c r="V583" s="244"/>
      <c r="W583" s="244"/>
      <c r="X583" s="244"/>
      <c r="Y583" s="244"/>
      <c r="Z583" s="244"/>
    </row>
    <row r="584" ht="11.25" customHeight="1">
      <c r="A584" s="244"/>
      <c r="B584" s="244"/>
      <c r="C584" s="266"/>
      <c r="D584" s="266"/>
      <c r="E584" s="266"/>
      <c r="F584" s="266"/>
      <c r="G584" s="266"/>
      <c r="H584" s="266"/>
      <c r="I584" s="266"/>
      <c r="J584" s="266"/>
      <c r="K584" s="244"/>
      <c r="L584" s="244"/>
      <c r="M584" s="244"/>
      <c r="N584" s="244"/>
      <c r="O584" s="244"/>
      <c r="P584" s="244"/>
      <c r="Q584" s="244"/>
      <c r="R584" s="244"/>
      <c r="S584" s="244"/>
      <c r="T584" s="244"/>
      <c r="U584" s="244"/>
      <c r="V584" s="244"/>
      <c r="W584" s="244"/>
      <c r="X584" s="244"/>
      <c r="Y584" s="244"/>
      <c r="Z584" s="244"/>
    </row>
    <row r="585" ht="11.25" customHeight="1">
      <c r="A585" s="244"/>
      <c r="B585" s="244"/>
      <c r="C585" s="266"/>
      <c r="D585" s="266"/>
      <c r="E585" s="266"/>
      <c r="F585" s="266"/>
      <c r="G585" s="266"/>
      <c r="H585" s="266"/>
      <c r="I585" s="266"/>
      <c r="J585" s="266"/>
      <c r="K585" s="244"/>
      <c r="L585" s="244"/>
      <c r="M585" s="244"/>
      <c r="N585" s="244"/>
      <c r="O585" s="244"/>
      <c r="P585" s="244"/>
      <c r="Q585" s="244"/>
      <c r="R585" s="244"/>
      <c r="S585" s="244"/>
      <c r="T585" s="244"/>
      <c r="U585" s="244"/>
      <c r="V585" s="244"/>
      <c r="W585" s="244"/>
      <c r="X585" s="244"/>
      <c r="Y585" s="244"/>
      <c r="Z585" s="244"/>
    </row>
    <row r="586" ht="11.25" customHeight="1">
      <c r="A586" s="244"/>
      <c r="B586" s="244"/>
      <c r="C586" s="266"/>
      <c r="D586" s="266"/>
      <c r="E586" s="266"/>
      <c r="F586" s="266"/>
      <c r="G586" s="266"/>
      <c r="H586" s="266"/>
      <c r="I586" s="266"/>
      <c r="J586" s="266"/>
      <c r="K586" s="244"/>
      <c r="L586" s="244"/>
      <c r="M586" s="244"/>
      <c r="N586" s="244"/>
      <c r="O586" s="244"/>
      <c r="P586" s="244"/>
      <c r="Q586" s="244"/>
      <c r="R586" s="244"/>
      <c r="S586" s="244"/>
      <c r="T586" s="244"/>
      <c r="U586" s="244"/>
      <c r="V586" s="244"/>
      <c r="W586" s="244"/>
      <c r="X586" s="244"/>
      <c r="Y586" s="244"/>
      <c r="Z586" s="244"/>
    </row>
    <row r="587" ht="11.25" customHeight="1">
      <c r="A587" s="244"/>
      <c r="B587" s="244"/>
      <c r="C587" s="266"/>
      <c r="D587" s="266"/>
      <c r="E587" s="266"/>
      <c r="F587" s="266"/>
      <c r="G587" s="266"/>
      <c r="H587" s="266"/>
      <c r="I587" s="266"/>
      <c r="J587" s="266"/>
      <c r="K587" s="244"/>
      <c r="L587" s="244"/>
      <c r="M587" s="244"/>
      <c r="N587" s="244"/>
      <c r="O587" s="244"/>
      <c r="P587" s="244"/>
      <c r="Q587" s="244"/>
      <c r="R587" s="244"/>
      <c r="S587" s="244"/>
      <c r="T587" s="244"/>
      <c r="U587" s="244"/>
      <c r="V587" s="244"/>
      <c r="W587" s="244"/>
      <c r="X587" s="244"/>
      <c r="Y587" s="244"/>
      <c r="Z587" s="244"/>
    </row>
    <row r="588" ht="11.25" customHeight="1">
      <c r="A588" s="244"/>
      <c r="B588" s="244"/>
      <c r="C588" s="266"/>
      <c r="D588" s="266"/>
      <c r="E588" s="266"/>
      <c r="F588" s="266"/>
      <c r="G588" s="266"/>
      <c r="H588" s="266"/>
      <c r="I588" s="266"/>
      <c r="J588" s="266"/>
      <c r="K588" s="244"/>
      <c r="L588" s="244"/>
      <c r="M588" s="244"/>
      <c r="N588" s="244"/>
      <c r="O588" s="244"/>
      <c r="P588" s="244"/>
      <c r="Q588" s="244"/>
      <c r="R588" s="244"/>
      <c r="S588" s="244"/>
      <c r="T588" s="244"/>
      <c r="U588" s="244"/>
      <c r="V588" s="244"/>
      <c r="W588" s="244"/>
      <c r="X588" s="244"/>
      <c r="Y588" s="244"/>
      <c r="Z588" s="244"/>
    </row>
    <row r="589" ht="11.25" customHeight="1">
      <c r="A589" s="244"/>
      <c r="B589" s="244"/>
      <c r="C589" s="266"/>
      <c r="D589" s="266"/>
      <c r="E589" s="266"/>
      <c r="F589" s="266"/>
      <c r="G589" s="266"/>
      <c r="H589" s="266"/>
      <c r="I589" s="266"/>
      <c r="J589" s="266"/>
      <c r="K589" s="244"/>
      <c r="L589" s="244"/>
      <c r="M589" s="244"/>
      <c r="N589" s="244"/>
      <c r="O589" s="244"/>
      <c r="P589" s="244"/>
      <c r="Q589" s="244"/>
      <c r="R589" s="244"/>
      <c r="S589" s="244"/>
      <c r="T589" s="244"/>
      <c r="U589" s="244"/>
      <c r="V589" s="244"/>
      <c r="W589" s="244"/>
      <c r="X589" s="244"/>
      <c r="Y589" s="244"/>
      <c r="Z589" s="244"/>
    </row>
    <row r="590" ht="11.25" customHeight="1">
      <c r="A590" s="244"/>
      <c r="B590" s="244"/>
      <c r="C590" s="266"/>
      <c r="D590" s="266"/>
      <c r="E590" s="266"/>
      <c r="F590" s="266"/>
      <c r="G590" s="266"/>
      <c r="H590" s="266"/>
      <c r="I590" s="266"/>
      <c r="J590" s="266"/>
      <c r="K590" s="244"/>
      <c r="L590" s="244"/>
      <c r="M590" s="244"/>
      <c r="N590" s="244"/>
      <c r="O590" s="244"/>
      <c r="P590" s="244"/>
      <c r="Q590" s="244"/>
      <c r="R590" s="244"/>
      <c r="S590" s="244"/>
      <c r="T590" s="244"/>
      <c r="U590" s="244"/>
      <c r="V590" s="244"/>
      <c r="W590" s="244"/>
      <c r="X590" s="244"/>
      <c r="Y590" s="244"/>
      <c r="Z590" s="244"/>
    </row>
    <row r="591" ht="11.25" customHeight="1">
      <c r="A591" s="244"/>
      <c r="B591" s="244"/>
      <c r="C591" s="266"/>
      <c r="D591" s="266"/>
      <c r="E591" s="266"/>
      <c r="F591" s="266"/>
      <c r="G591" s="266"/>
      <c r="H591" s="266"/>
      <c r="I591" s="266"/>
      <c r="J591" s="266"/>
      <c r="K591" s="244"/>
      <c r="L591" s="244"/>
      <c r="M591" s="244"/>
      <c r="N591" s="244"/>
      <c r="O591" s="244"/>
      <c r="P591" s="244"/>
      <c r="Q591" s="244"/>
      <c r="R591" s="244"/>
      <c r="S591" s="244"/>
      <c r="T591" s="244"/>
      <c r="U591" s="244"/>
      <c r="V591" s="244"/>
      <c r="W591" s="244"/>
      <c r="X591" s="244"/>
      <c r="Y591" s="244"/>
      <c r="Z591" s="244"/>
    </row>
    <row r="592" ht="11.25" customHeight="1">
      <c r="A592" s="244"/>
      <c r="B592" s="244"/>
      <c r="C592" s="266"/>
      <c r="D592" s="266"/>
      <c r="E592" s="266"/>
      <c r="F592" s="266"/>
      <c r="G592" s="266"/>
      <c r="H592" s="266"/>
      <c r="I592" s="266"/>
      <c r="J592" s="266"/>
      <c r="K592" s="244"/>
      <c r="L592" s="244"/>
      <c r="M592" s="244"/>
      <c r="N592" s="244"/>
      <c r="O592" s="244"/>
      <c r="P592" s="244"/>
      <c r="Q592" s="244"/>
      <c r="R592" s="244"/>
      <c r="S592" s="244"/>
      <c r="T592" s="244"/>
      <c r="U592" s="244"/>
      <c r="V592" s="244"/>
      <c r="W592" s="244"/>
      <c r="X592" s="244"/>
      <c r="Y592" s="244"/>
      <c r="Z592" s="244"/>
    </row>
    <row r="593" ht="11.25" customHeight="1">
      <c r="A593" s="244"/>
      <c r="B593" s="244"/>
      <c r="C593" s="266"/>
      <c r="D593" s="266"/>
      <c r="E593" s="266"/>
      <c r="F593" s="266"/>
      <c r="G593" s="266"/>
      <c r="H593" s="266"/>
      <c r="I593" s="266"/>
      <c r="J593" s="266"/>
      <c r="K593" s="244"/>
      <c r="L593" s="244"/>
      <c r="M593" s="244"/>
      <c r="N593" s="244"/>
      <c r="O593" s="244"/>
      <c r="P593" s="244"/>
      <c r="Q593" s="244"/>
      <c r="R593" s="244"/>
      <c r="S593" s="244"/>
      <c r="T593" s="244"/>
      <c r="U593" s="244"/>
      <c r="V593" s="244"/>
      <c r="W593" s="244"/>
      <c r="X593" s="244"/>
      <c r="Y593" s="244"/>
      <c r="Z593" s="244"/>
    </row>
    <row r="594" ht="11.25" customHeight="1">
      <c r="A594" s="244"/>
      <c r="B594" s="244"/>
      <c r="C594" s="266"/>
      <c r="D594" s="266"/>
      <c r="E594" s="266"/>
      <c r="F594" s="266"/>
      <c r="G594" s="266"/>
      <c r="H594" s="266"/>
      <c r="I594" s="266"/>
      <c r="J594" s="266"/>
      <c r="K594" s="244"/>
      <c r="L594" s="244"/>
      <c r="M594" s="244"/>
      <c r="N594" s="244"/>
      <c r="O594" s="244"/>
      <c r="P594" s="244"/>
      <c r="Q594" s="244"/>
      <c r="R594" s="244"/>
      <c r="S594" s="244"/>
      <c r="T594" s="244"/>
      <c r="U594" s="244"/>
      <c r="V594" s="244"/>
      <c r="W594" s="244"/>
      <c r="X594" s="244"/>
      <c r="Y594" s="244"/>
      <c r="Z594" s="244"/>
    </row>
    <row r="595" ht="11.25" customHeight="1">
      <c r="A595" s="244"/>
      <c r="B595" s="244"/>
      <c r="C595" s="266"/>
      <c r="D595" s="266"/>
      <c r="E595" s="266"/>
      <c r="F595" s="266"/>
      <c r="G595" s="266"/>
      <c r="H595" s="266"/>
      <c r="I595" s="266"/>
      <c r="J595" s="266"/>
      <c r="K595" s="244"/>
      <c r="L595" s="244"/>
      <c r="M595" s="244"/>
      <c r="N595" s="244"/>
      <c r="O595" s="244"/>
      <c r="P595" s="244"/>
      <c r="Q595" s="244"/>
      <c r="R595" s="244"/>
      <c r="S595" s="244"/>
      <c r="T595" s="244"/>
      <c r="U595" s="244"/>
      <c r="V595" s="244"/>
      <c r="W595" s="244"/>
      <c r="X595" s="244"/>
      <c r="Y595" s="244"/>
      <c r="Z595" s="244"/>
    </row>
    <row r="596" ht="11.25" customHeight="1">
      <c r="A596" s="244"/>
      <c r="B596" s="244"/>
      <c r="C596" s="266"/>
      <c r="D596" s="266"/>
      <c r="E596" s="266"/>
      <c r="F596" s="266"/>
      <c r="G596" s="266"/>
      <c r="H596" s="266"/>
      <c r="I596" s="266"/>
      <c r="J596" s="266"/>
      <c r="K596" s="244"/>
      <c r="L596" s="244"/>
      <c r="M596" s="244"/>
      <c r="N596" s="244"/>
      <c r="O596" s="244"/>
      <c r="P596" s="244"/>
      <c r="Q596" s="244"/>
      <c r="R596" s="244"/>
      <c r="S596" s="244"/>
      <c r="T596" s="244"/>
      <c r="U596" s="244"/>
      <c r="V596" s="244"/>
      <c r="W596" s="244"/>
      <c r="X596" s="244"/>
      <c r="Y596" s="244"/>
      <c r="Z596" s="244"/>
    </row>
    <row r="597" ht="11.25" customHeight="1">
      <c r="A597" s="244"/>
      <c r="B597" s="244"/>
      <c r="C597" s="266"/>
      <c r="D597" s="266"/>
      <c r="E597" s="266"/>
      <c r="F597" s="266"/>
      <c r="G597" s="266"/>
      <c r="H597" s="266"/>
      <c r="I597" s="266"/>
      <c r="J597" s="266"/>
      <c r="K597" s="244"/>
      <c r="L597" s="244"/>
      <c r="M597" s="244"/>
      <c r="N597" s="244"/>
      <c r="O597" s="244"/>
      <c r="P597" s="244"/>
      <c r="Q597" s="244"/>
      <c r="R597" s="244"/>
      <c r="S597" s="244"/>
      <c r="T597" s="244"/>
      <c r="U597" s="244"/>
      <c r="V597" s="244"/>
      <c r="W597" s="244"/>
      <c r="X597" s="244"/>
      <c r="Y597" s="244"/>
      <c r="Z597" s="244"/>
    </row>
    <row r="598" ht="11.25" customHeight="1">
      <c r="A598" s="244"/>
      <c r="B598" s="244"/>
      <c r="C598" s="266"/>
      <c r="D598" s="266"/>
      <c r="E598" s="266"/>
      <c r="F598" s="266"/>
      <c r="G598" s="266"/>
      <c r="H598" s="266"/>
      <c r="I598" s="266"/>
      <c r="J598" s="266"/>
      <c r="K598" s="244"/>
      <c r="L598" s="244"/>
      <c r="M598" s="244"/>
      <c r="N598" s="244"/>
      <c r="O598" s="244"/>
      <c r="P598" s="244"/>
      <c r="Q598" s="244"/>
      <c r="R598" s="244"/>
      <c r="S598" s="244"/>
      <c r="T598" s="244"/>
      <c r="U598" s="244"/>
      <c r="V598" s="244"/>
      <c r="W598" s="244"/>
      <c r="X598" s="244"/>
      <c r="Y598" s="244"/>
      <c r="Z598" s="244"/>
    </row>
    <row r="599" ht="11.25" customHeight="1">
      <c r="A599" s="244"/>
      <c r="B599" s="244"/>
      <c r="C599" s="266"/>
      <c r="D599" s="266"/>
      <c r="E599" s="266"/>
      <c r="F599" s="266"/>
      <c r="G599" s="266"/>
      <c r="H599" s="266"/>
      <c r="I599" s="266"/>
      <c r="J599" s="266"/>
      <c r="K599" s="244"/>
      <c r="L599" s="244"/>
      <c r="M599" s="244"/>
      <c r="N599" s="244"/>
      <c r="O599" s="244"/>
      <c r="P599" s="244"/>
      <c r="Q599" s="244"/>
      <c r="R599" s="244"/>
      <c r="S599" s="244"/>
      <c r="T599" s="244"/>
      <c r="U599" s="244"/>
      <c r="V599" s="244"/>
      <c r="W599" s="244"/>
      <c r="X599" s="244"/>
      <c r="Y599" s="244"/>
      <c r="Z599" s="244"/>
    </row>
    <row r="600" ht="11.25" customHeight="1">
      <c r="A600" s="244"/>
      <c r="B600" s="244"/>
      <c r="C600" s="266"/>
      <c r="D600" s="266"/>
      <c r="E600" s="266"/>
      <c r="F600" s="266"/>
      <c r="G600" s="266"/>
      <c r="H600" s="266"/>
      <c r="I600" s="266"/>
      <c r="J600" s="266"/>
      <c r="K600" s="244"/>
      <c r="L600" s="244"/>
      <c r="M600" s="244"/>
      <c r="N600" s="244"/>
      <c r="O600" s="244"/>
      <c r="P600" s="244"/>
      <c r="Q600" s="244"/>
      <c r="R600" s="244"/>
      <c r="S600" s="244"/>
      <c r="T600" s="244"/>
      <c r="U600" s="244"/>
      <c r="V600" s="244"/>
      <c r="W600" s="244"/>
      <c r="X600" s="244"/>
      <c r="Y600" s="244"/>
      <c r="Z600" s="244"/>
    </row>
    <row r="601" ht="11.25" customHeight="1">
      <c r="A601" s="244"/>
      <c r="B601" s="244"/>
      <c r="C601" s="266"/>
      <c r="D601" s="266"/>
      <c r="E601" s="266"/>
      <c r="F601" s="266"/>
      <c r="G601" s="266"/>
      <c r="H601" s="266"/>
      <c r="I601" s="266"/>
      <c r="J601" s="266"/>
      <c r="K601" s="244"/>
      <c r="L601" s="244"/>
      <c r="M601" s="244"/>
      <c r="N601" s="244"/>
      <c r="O601" s="244"/>
      <c r="P601" s="244"/>
      <c r="Q601" s="244"/>
      <c r="R601" s="244"/>
      <c r="S601" s="244"/>
      <c r="T601" s="244"/>
      <c r="U601" s="244"/>
      <c r="V601" s="244"/>
      <c r="W601" s="244"/>
      <c r="X601" s="244"/>
      <c r="Y601" s="244"/>
      <c r="Z601" s="244"/>
    </row>
    <row r="602" ht="11.25" customHeight="1">
      <c r="A602" s="244"/>
      <c r="B602" s="244"/>
      <c r="C602" s="266"/>
      <c r="D602" s="266"/>
      <c r="E602" s="266"/>
      <c r="F602" s="266"/>
      <c r="G602" s="266"/>
      <c r="H602" s="266"/>
      <c r="I602" s="266"/>
      <c r="J602" s="266"/>
      <c r="K602" s="244"/>
      <c r="L602" s="244"/>
      <c r="M602" s="244"/>
      <c r="N602" s="244"/>
      <c r="O602" s="244"/>
      <c r="P602" s="244"/>
      <c r="Q602" s="244"/>
      <c r="R602" s="244"/>
      <c r="S602" s="244"/>
      <c r="T602" s="244"/>
      <c r="U602" s="244"/>
      <c r="V602" s="244"/>
      <c r="W602" s="244"/>
      <c r="X602" s="244"/>
      <c r="Y602" s="244"/>
      <c r="Z602" s="244"/>
    </row>
    <row r="603" ht="11.25" customHeight="1">
      <c r="A603" s="244"/>
      <c r="B603" s="244"/>
      <c r="C603" s="266"/>
      <c r="D603" s="266"/>
      <c r="E603" s="266"/>
      <c r="F603" s="266"/>
      <c r="G603" s="266"/>
      <c r="H603" s="266"/>
      <c r="I603" s="266"/>
      <c r="J603" s="266"/>
      <c r="K603" s="244"/>
      <c r="L603" s="244"/>
      <c r="M603" s="244"/>
      <c r="N603" s="244"/>
      <c r="O603" s="244"/>
      <c r="P603" s="244"/>
      <c r="Q603" s="244"/>
      <c r="R603" s="244"/>
      <c r="S603" s="244"/>
      <c r="T603" s="244"/>
      <c r="U603" s="244"/>
      <c r="V603" s="244"/>
      <c r="W603" s="244"/>
      <c r="X603" s="244"/>
      <c r="Y603" s="244"/>
      <c r="Z603" s="244"/>
    </row>
    <row r="604" ht="11.25" customHeight="1">
      <c r="A604" s="244"/>
      <c r="B604" s="244"/>
      <c r="C604" s="266"/>
      <c r="D604" s="266"/>
      <c r="E604" s="266"/>
      <c r="F604" s="266"/>
      <c r="G604" s="266"/>
      <c r="H604" s="266"/>
      <c r="I604" s="266"/>
      <c r="J604" s="266"/>
      <c r="K604" s="244"/>
      <c r="L604" s="244"/>
      <c r="M604" s="244"/>
      <c r="N604" s="244"/>
      <c r="O604" s="244"/>
      <c r="P604" s="244"/>
      <c r="Q604" s="244"/>
      <c r="R604" s="244"/>
      <c r="S604" s="244"/>
      <c r="T604" s="244"/>
      <c r="U604" s="244"/>
      <c r="V604" s="244"/>
      <c r="W604" s="244"/>
      <c r="X604" s="244"/>
      <c r="Y604" s="244"/>
      <c r="Z604" s="244"/>
    </row>
    <row r="605" ht="11.25" customHeight="1">
      <c r="A605" s="244"/>
      <c r="B605" s="244"/>
      <c r="C605" s="266"/>
      <c r="D605" s="266"/>
      <c r="E605" s="266"/>
      <c r="F605" s="266"/>
      <c r="G605" s="266"/>
      <c r="H605" s="266"/>
      <c r="I605" s="266"/>
      <c r="J605" s="266"/>
      <c r="K605" s="244"/>
      <c r="L605" s="244"/>
      <c r="M605" s="244"/>
      <c r="N605" s="244"/>
      <c r="O605" s="244"/>
      <c r="P605" s="244"/>
      <c r="Q605" s="244"/>
      <c r="R605" s="244"/>
      <c r="S605" s="244"/>
      <c r="T605" s="244"/>
      <c r="U605" s="244"/>
      <c r="V605" s="244"/>
      <c r="W605" s="244"/>
      <c r="X605" s="244"/>
      <c r="Y605" s="244"/>
      <c r="Z605" s="244"/>
    </row>
    <row r="606" ht="11.25" customHeight="1">
      <c r="A606" s="244"/>
      <c r="B606" s="244"/>
      <c r="C606" s="266"/>
      <c r="D606" s="266"/>
      <c r="E606" s="266"/>
      <c r="F606" s="266"/>
      <c r="G606" s="266"/>
      <c r="H606" s="266"/>
      <c r="I606" s="266"/>
      <c r="J606" s="266"/>
      <c r="K606" s="244"/>
      <c r="L606" s="244"/>
      <c r="M606" s="244"/>
      <c r="N606" s="244"/>
      <c r="O606" s="244"/>
      <c r="P606" s="244"/>
      <c r="Q606" s="244"/>
      <c r="R606" s="244"/>
      <c r="S606" s="244"/>
      <c r="T606" s="244"/>
      <c r="U606" s="244"/>
      <c r="V606" s="244"/>
      <c r="W606" s="244"/>
      <c r="X606" s="244"/>
      <c r="Y606" s="244"/>
      <c r="Z606" s="244"/>
    </row>
    <row r="607" ht="11.25" customHeight="1">
      <c r="A607" s="244"/>
      <c r="B607" s="244"/>
      <c r="C607" s="266"/>
      <c r="D607" s="266"/>
      <c r="E607" s="266"/>
      <c r="F607" s="266"/>
      <c r="G607" s="266"/>
      <c r="H607" s="266"/>
      <c r="I607" s="266"/>
      <c r="J607" s="266"/>
      <c r="K607" s="244"/>
      <c r="L607" s="244"/>
      <c r="M607" s="244"/>
      <c r="N607" s="244"/>
      <c r="O607" s="244"/>
      <c r="P607" s="244"/>
      <c r="Q607" s="244"/>
      <c r="R607" s="244"/>
      <c r="S607" s="244"/>
      <c r="T607" s="244"/>
      <c r="U607" s="244"/>
      <c r="V607" s="244"/>
      <c r="W607" s="244"/>
      <c r="X607" s="244"/>
      <c r="Y607" s="244"/>
      <c r="Z607" s="244"/>
    </row>
    <row r="608" ht="11.25" customHeight="1">
      <c r="A608" s="244"/>
      <c r="B608" s="244"/>
      <c r="C608" s="266"/>
      <c r="D608" s="266"/>
      <c r="E608" s="266"/>
      <c r="F608" s="266"/>
      <c r="G608" s="266"/>
      <c r="H608" s="266"/>
      <c r="I608" s="266"/>
      <c r="J608" s="266"/>
      <c r="K608" s="244"/>
      <c r="L608" s="244"/>
      <c r="M608" s="244"/>
      <c r="N608" s="244"/>
      <c r="O608" s="244"/>
      <c r="P608" s="244"/>
      <c r="Q608" s="244"/>
      <c r="R608" s="244"/>
      <c r="S608" s="244"/>
      <c r="T608" s="244"/>
      <c r="U608" s="244"/>
      <c r="V608" s="244"/>
      <c r="W608" s="244"/>
      <c r="X608" s="244"/>
      <c r="Y608" s="244"/>
      <c r="Z608" s="244"/>
    </row>
    <row r="609" ht="11.25" customHeight="1">
      <c r="A609" s="244"/>
      <c r="B609" s="244"/>
      <c r="C609" s="266"/>
      <c r="D609" s="266"/>
      <c r="E609" s="266"/>
      <c r="F609" s="266"/>
      <c r="G609" s="266"/>
      <c r="H609" s="266"/>
      <c r="I609" s="266"/>
      <c r="J609" s="266"/>
      <c r="K609" s="244"/>
      <c r="L609" s="244"/>
      <c r="M609" s="244"/>
      <c r="N609" s="244"/>
      <c r="O609" s="244"/>
      <c r="P609" s="244"/>
      <c r="Q609" s="244"/>
      <c r="R609" s="244"/>
      <c r="S609" s="244"/>
      <c r="T609" s="244"/>
      <c r="U609" s="244"/>
      <c r="V609" s="244"/>
      <c r="W609" s="244"/>
      <c r="X609" s="244"/>
      <c r="Y609" s="244"/>
      <c r="Z609" s="244"/>
    </row>
    <row r="610" ht="11.25" customHeight="1">
      <c r="A610" s="244"/>
      <c r="B610" s="244"/>
      <c r="C610" s="266"/>
      <c r="D610" s="266"/>
      <c r="E610" s="266"/>
      <c r="F610" s="266"/>
      <c r="G610" s="266"/>
      <c r="H610" s="266"/>
      <c r="I610" s="266"/>
      <c r="J610" s="266"/>
      <c r="K610" s="244"/>
      <c r="L610" s="244"/>
      <c r="M610" s="244"/>
      <c r="N610" s="244"/>
      <c r="O610" s="244"/>
      <c r="P610" s="244"/>
      <c r="Q610" s="244"/>
      <c r="R610" s="244"/>
      <c r="S610" s="244"/>
      <c r="T610" s="244"/>
      <c r="U610" s="244"/>
      <c r="V610" s="244"/>
      <c r="W610" s="244"/>
      <c r="X610" s="244"/>
      <c r="Y610" s="244"/>
      <c r="Z610" s="244"/>
    </row>
    <row r="611" ht="11.25" customHeight="1">
      <c r="A611" s="244"/>
      <c r="B611" s="244"/>
      <c r="C611" s="266"/>
      <c r="D611" s="266"/>
      <c r="E611" s="266"/>
      <c r="F611" s="266"/>
      <c r="G611" s="266"/>
      <c r="H611" s="266"/>
      <c r="I611" s="266"/>
      <c r="J611" s="266"/>
      <c r="K611" s="244"/>
      <c r="L611" s="244"/>
      <c r="M611" s="244"/>
      <c r="N611" s="244"/>
      <c r="O611" s="244"/>
      <c r="P611" s="244"/>
      <c r="Q611" s="244"/>
      <c r="R611" s="244"/>
      <c r="S611" s="244"/>
      <c r="T611" s="244"/>
      <c r="U611" s="244"/>
      <c r="V611" s="244"/>
      <c r="W611" s="244"/>
      <c r="X611" s="244"/>
      <c r="Y611" s="244"/>
      <c r="Z611" s="244"/>
    </row>
    <row r="612" ht="11.25" customHeight="1">
      <c r="A612" s="244"/>
      <c r="B612" s="244"/>
      <c r="C612" s="266"/>
      <c r="D612" s="266"/>
      <c r="E612" s="266"/>
      <c r="F612" s="266"/>
      <c r="G612" s="266"/>
      <c r="H612" s="266"/>
      <c r="I612" s="266"/>
      <c r="J612" s="266"/>
      <c r="K612" s="244"/>
      <c r="L612" s="244"/>
      <c r="M612" s="244"/>
      <c r="N612" s="244"/>
      <c r="O612" s="244"/>
      <c r="P612" s="244"/>
      <c r="Q612" s="244"/>
      <c r="R612" s="244"/>
      <c r="S612" s="244"/>
      <c r="T612" s="244"/>
      <c r="U612" s="244"/>
      <c r="V612" s="244"/>
      <c r="W612" s="244"/>
      <c r="X612" s="244"/>
      <c r="Y612" s="244"/>
      <c r="Z612" s="244"/>
    </row>
    <row r="613" ht="11.25" customHeight="1">
      <c r="A613" s="244"/>
      <c r="B613" s="244"/>
      <c r="C613" s="266"/>
      <c r="D613" s="266"/>
      <c r="E613" s="266"/>
      <c r="F613" s="266"/>
      <c r="G613" s="266"/>
      <c r="H613" s="266"/>
      <c r="I613" s="266"/>
      <c r="J613" s="266"/>
      <c r="K613" s="244"/>
      <c r="L613" s="244"/>
      <c r="M613" s="244"/>
      <c r="N613" s="244"/>
      <c r="O613" s="244"/>
      <c r="P613" s="244"/>
      <c r="Q613" s="244"/>
      <c r="R613" s="244"/>
      <c r="S613" s="244"/>
      <c r="T613" s="244"/>
      <c r="U613" s="244"/>
      <c r="V613" s="244"/>
      <c r="W613" s="244"/>
      <c r="X613" s="244"/>
      <c r="Y613" s="244"/>
      <c r="Z613" s="244"/>
    </row>
    <row r="614" ht="11.25" customHeight="1">
      <c r="A614" s="244"/>
      <c r="B614" s="244"/>
      <c r="C614" s="266"/>
      <c r="D614" s="266"/>
      <c r="E614" s="266"/>
      <c r="F614" s="266"/>
      <c r="G614" s="266"/>
      <c r="H614" s="266"/>
      <c r="I614" s="266"/>
      <c r="J614" s="266"/>
      <c r="K614" s="244"/>
      <c r="L614" s="244"/>
      <c r="M614" s="244"/>
      <c r="N614" s="244"/>
      <c r="O614" s="244"/>
      <c r="P614" s="244"/>
      <c r="Q614" s="244"/>
      <c r="R614" s="244"/>
      <c r="S614" s="244"/>
      <c r="T614" s="244"/>
      <c r="U614" s="244"/>
      <c r="V614" s="244"/>
      <c r="W614" s="244"/>
      <c r="X614" s="244"/>
      <c r="Y614" s="244"/>
      <c r="Z614" s="244"/>
    </row>
    <row r="615" ht="11.25" customHeight="1">
      <c r="A615" s="244"/>
      <c r="B615" s="244"/>
      <c r="C615" s="266"/>
      <c r="D615" s="266"/>
      <c r="E615" s="266"/>
      <c r="F615" s="266"/>
      <c r="G615" s="266"/>
      <c r="H615" s="266"/>
      <c r="I615" s="266"/>
      <c r="J615" s="266"/>
      <c r="K615" s="244"/>
      <c r="L615" s="244"/>
      <c r="M615" s="244"/>
      <c r="N615" s="244"/>
      <c r="O615" s="244"/>
      <c r="P615" s="244"/>
      <c r="Q615" s="244"/>
      <c r="R615" s="244"/>
      <c r="S615" s="244"/>
      <c r="T615" s="244"/>
      <c r="U615" s="244"/>
      <c r="V615" s="244"/>
      <c r="W615" s="244"/>
      <c r="X615" s="244"/>
      <c r="Y615" s="244"/>
      <c r="Z615" s="244"/>
    </row>
    <row r="616" ht="11.25" customHeight="1">
      <c r="A616" s="244"/>
      <c r="B616" s="244"/>
      <c r="C616" s="266"/>
      <c r="D616" s="266"/>
      <c r="E616" s="266"/>
      <c r="F616" s="266"/>
      <c r="G616" s="266"/>
      <c r="H616" s="266"/>
      <c r="I616" s="266"/>
      <c r="J616" s="266"/>
      <c r="K616" s="244"/>
      <c r="L616" s="244"/>
      <c r="M616" s="244"/>
      <c r="N616" s="244"/>
      <c r="O616" s="244"/>
      <c r="P616" s="244"/>
      <c r="Q616" s="244"/>
      <c r="R616" s="244"/>
      <c r="S616" s="244"/>
      <c r="T616" s="244"/>
      <c r="U616" s="244"/>
      <c r="V616" s="244"/>
      <c r="W616" s="244"/>
      <c r="X616" s="244"/>
      <c r="Y616" s="244"/>
      <c r="Z616" s="244"/>
    </row>
    <row r="617" ht="11.25" customHeight="1">
      <c r="A617" s="244"/>
      <c r="B617" s="244"/>
      <c r="C617" s="266"/>
      <c r="D617" s="266"/>
      <c r="E617" s="266"/>
      <c r="F617" s="266"/>
      <c r="G617" s="266"/>
      <c r="H617" s="266"/>
      <c r="I617" s="266"/>
      <c r="J617" s="266"/>
      <c r="K617" s="244"/>
      <c r="L617" s="244"/>
      <c r="M617" s="244"/>
      <c r="N617" s="244"/>
      <c r="O617" s="244"/>
      <c r="P617" s="244"/>
      <c r="Q617" s="244"/>
      <c r="R617" s="244"/>
      <c r="S617" s="244"/>
      <c r="T617" s="244"/>
      <c r="U617" s="244"/>
      <c r="V617" s="244"/>
      <c r="W617" s="244"/>
      <c r="X617" s="244"/>
      <c r="Y617" s="244"/>
      <c r="Z617" s="244"/>
    </row>
    <row r="618" ht="11.25" customHeight="1">
      <c r="A618" s="244"/>
      <c r="B618" s="244"/>
      <c r="C618" s="266"/>
      <c r="D618" s="266"/>
      <c r="E618" s="266"/>
      <c r="F618" s="266"/>
      <c r="G618" s="266"/>
      <c r="H618" s="266"/>
      <c r="I618" s="266"/>
      <c r="J618" s="266"/>
      <c r="K618" s="244"/>
      <c r="L618" s="244"/>
      <c r="M618" s="244"/>
      <c r="N618" s="244"/>
      <c r="O618" s="244"/>
      <c r="P618" s="244"/>
      <c r="Q618" s="244"/>
      <c r="R618" s="244"/>
      <c r="S618" s="244"/>
      <c r="T618" s="244"/>
      <c r="U618" s="244"/>
      <c r="V618" s="244"/>
      <c r="W618" s="244"/>
      <c r="X618" s="244"/>
      <c r="Y618" s="244"/>
      <c r="Z618" s="244"/>
    </row>
    <row r="619" ht="11.25" customHeight="1">
      <c r="A619" s="244"/>
      <c r="B619" s="244"/>
      <c r="C619" s="266"/>
      <c r="D619" s="266"/>
      <c r="E619" s="266"/>
      <c r="F619" s="266"/>
      <c r="G619" s="266"/>
      <c r="H619" s="266"/>
      <c r="I619" s="266"/>
      <c r="J619" s="266"/>
      <c r="K619" s="244"/>
      <c r="L619" s="244"/>
      <c r="M619" s="244"/>
      <c r="N619" s="244"/>
      <c r="O619" s="244"/>
      <c r="P619" s="244"/>
      <c r="Q619" s="244"/>
      <c r="R619" s="244"/>
      <c r="S619" s="244"/>
      <c r="T619" s="244"/>
      <c r="U619" s="244"/>
      <c r="V619" s="244"/>
      <c r="W619" s="244"/>
      <c r="X619" s="244"/>
      <c r="Y619" s="244"/>
      <c r="Z619" s="244"/>
    </row>
    <row r="620" ht="11.25" customHeight="1">
      <c r="A620" s="244"/>
      <c r="B620" s="244"/>
      <c r="C620" s="266"/>
      <c r="D620" s="266"/>
      <c r="E620" s="266"/>
      <c r="F620" s="266"/>
      <c r="G620" s="266"/>
      <c r="H620" s="266"/>
      <c r="I620" s="266"/>
      <c r="J620" s="266"/>
      <c r="K620" s="244"/>
      <c r="L620" s="244"/>
      <c r="M620" s="244"/>
      <c r="N620" s="244"/>
      <c r="O620" s="244"/>
      <c r="P620" s="244"/>
      <c r="Q620" s="244"/>
      <c r="R620" s="244"/>
      <c r="S620" s="244"/>
      <c r="T620" s="244"/>
      <c r="U620" s="244"/>
      <c r="V620" s="244"/>
      <c r="W620" s="244"/>
      <c r="X620" s="244"/>
      <c r="Y620" s="244"/>
      <c r="Z620" s="244"/>
    </row>
    <row r="621" ht="11.25" customHeight="1">
      <c r="A621" s="244"/>
      <c r="B621" s="244"/>
      <c r="C621" s="266"/>
      <c r="D621" s="266"/>
      <c r="E621" s="266"/>
      <c r="F621" s="266"/>
      <c r="G621" s="266"/>
      <c r="H621" s="266"/>
      <c r="I621" s="266"/>
      <c r="J621" s="266"/>
      <c r="K621" s="244"/>
      <c r="L621" s="244"/>
      <c r="M621" s="244"/>
      <c r="N621" s="244"/>
      <c r="O621" s="244"/>
      <c r="P621" s="244"/>
      <c r="Q621" s="244"/>
      <c r="R621" s="244"/>
      <c r="S621" s="244"/>
      <c r="T621" s="244"/>
      <c r="U621" s="244"/>
      <c r="V621" s="244"/>
      <c r="W621" s="244"/>
      <c r="X621" s="244"/>
      <c r="Y621" s="244"/>
      <c r="Z621" s="244"/>
    </row>
    <row r="622" ht="11.25" customHeight="1">
      <c r="A622" s="244"/>
      <c r="B622" s="244"/>
      <c r="C622" s="266"/>
      <c r="D622" s="266"/>
      <c r="E622" s="266"/>
      <c r="F622" s="266"/>
      <c r="G622" s="266"/>
      <c r="H622" s="266"/>
      <c r="I622" s="266"/>
      <c r="J622" s="266"/>
      <c r="K622" s="244"/>
      <c r="L622" s="244"/>
      <c r="M622" s="244"/>
      <c r="N622" s="244"/>
      <c r="O622" s="244"/>
      <c r="P622" s="244"/>
      <c r="Q622" s="244"/>
      <c r="R622" s="244"/>
      <c r="S622" s="244"/>
      <c r="T622" s="244"/>
      <c r="U622" s="244"/>
      <c r="V622" s="244"/>
      <c r="W622" s="244"/>
      <c r="X622" s="244"/>
      <c r="Y622" s="244"/>
      <c r="Z622" s="244"/>
    </row>
    <row r="623" ht="11.25" customHeight="1">
      <c r="A623" s="244"/>
      <c r="B623" s="244"/>
      <c r="C623" s="266"/>
      <c r="D623" s="266"/>
      <c r="E623" s="266"/>
      <c r="F623" s="266"/>
      <c r="G623" s="266"/>
      <c r="H623" s="266"/>
      <c r="I623" s="266"/>
      <c r="J623" s="266"/>
      <c r="K623" s="244"/>
      <c r="L623" s="244"/>
      <c r="M623" s="244"/>
      <c r="N623" s="244"/>
      <c r="O623" s="244"/>
      <c r="P623" s="244"/>
      <c r="Q623" s="244"/>
      <c r="R623" s="244"/>
      <c r="S623" s="244"/>
      <c r="T623" s="244"/>
      <c r="U623" s="244"/>
      <c r="V623" s="244"/>
      <c r="W623" s="244"/>
      <c r="X623" s="244"/>
      <c r="Y623" s="244"/>
      <c r="Z623" s="244"/>
    </row>
    <row r="624" ht="11.25" customHeight="1">
      <c r="A624" s="244"/>
      <c r="B624" s="244"/>
      <c r="C624" s="266"/>
      <c r="D624" s="266"/>
      <c r="E624" s="266"/>
      <c r="F624" s="266"/>
      <c r="G624" s="266"/>
      <c r="H624" s="266"/>
      <c r="I624" s="266"/>
      <c r="J624" s="266"/>
      <c r="K624" s="244"/>
      <c r="L624" s="244"/>
      <c r="M624" s="244"/>
      <c r="N624" s="244"/>
      <c r="O624" s="244"/>
      <c r="P624" s="244"/>
      <c r="Q624" s="244"/>
      <c r="R624" s="244"/>
      <c r="S624" s="244"/>
      <c r="T624" s="244"/>
      <c r="U624" s="244"/>
      <c r="V624" s="244"/>
      <c r="W624" s="244"/>
      <c r="X624" s="244"/>
      <c r="Y624" s="244"/>
      <c r="Z624" s="244"/>
    </row>
    <row r="625" ht="11.25" customHeight="1">
      <c r="A625" s="244"/>
      <c r="B625" s="244"/>
      <c r="C625" s="266"/>
      <c r="D625" s="266"/>
      <c r="E625" s="266"/>
      <c r="F625" s="266"/>
      <c r="G625" s="266"/>
      <c r="H625" s="266"/>
      <c r="I625" s="266"/>
      <c r="J625" s="266"/>
      <c r="K625" s="244"/>
      <c r="L625" s="244"/>
      <c r="M625" s="244"/>
      <c r="N625" s="244"/>
      <c r="O625" s="244"/>
      <c r="P625" s="244"/>
      <c r="Q625" s="244"/>
      <c r="R625" s="244"/>
      <c r="S625" s="244"/>
      <c r="T625" s="244"/>
      <c r="U625" s="244"/>
      <c r="V625" s="244"/>
      <c r="W625" s="244"/>
      <c r="X625" s="244"/>
      <c r="Y625" s="244"/>
      <c r="Z625" s="244"/>
    </row>
    <row r="626" ht="11.25" customHeight="1">
      <c r="A626" s="244"/>
      <c r="B626" s="244"/>
      <c r="C626" s="266"/>
      <c r="D626" s="266"/>
      <c r="E626" s="266"/>
      <c r="F626" s="266"/>
      <c r="G626" s="266"/>
      <c r="H626" s="266"/>
      <c r="I626" s="266"/>
      <c r="J626" s="266"/>
      <c r="K626" s="244"/>
      <c r="L626" s="244"/>
      <c r="M626" s="244"/>
      <c r="N626" s="244"/>
      <c r="O626" s="244"/>
      <c r="P626" s="244"/>
      <c r="Q626" s="244"/>
      <c r="R626" s="244"/>
      <c r="S626" s="244"/>
      <c r="T626" s="244"/>
      <c r="U626" s="244"/>
      <c r="V626" s="244"/>
      <c r="W626" s="244"/>
      <c r="X626" s="244"/>
      <c r="Y626" s="244"/>
      <c r="Z626" s="244"/>
    </row>
    <row r="627" ht="11.25" customHeight="1">
      <c r="A627" s="244"/>
      <c r="B627" s="244"/>
      <c r="C627" s="266"/>
      <c r="D627" s="266"/>
      <c r="E627" s="266"/>
      <c r="F627" s="266"/>
      <c r="G627" s="266"/>
      <c r="H627" s="266"/>
      <c r="I627" s="266"/>
      <c r="J627" s="266"/>
      <c r="K627" s="244"/>
      <c r="L627" s="244"/>
      <c r="M627" s="244"/>
      <c r="N627" s="244"/>
      <c r="O627" s="244"/>
      <c r="P627" s="244"/>
      <c r="Q627" s="244"/>
      <c r="R627" s="244"/>
      <c r="S627" s="244"/>
      <c r="T627" s="244"/>
      <c r="U627" s="244"/>
      <c r="V627" s="244"/>
      <c r="W627" s="244"/>
      <c r="X627" s="244"/>
      <c r="Y627" s="244"/>
      <c r="Z627" s="244"/>
    </row>
    <row r="628" ht="11.25" customHeight="1">
      <c r="A628" s="244"/>
      <c r="B628" s="244"/>
      <c r="C628" s="266"/>
      <c r="D628" s="266"/>
      <c r="E628" s="266"/>
      <c r="F628" s="266"/>
      <c r="G628" s="266"/>
      <c r="H628" s="266"/>
      <c r="I628" s="266"/>
      <c r="J628" s="266"/>
      <c r="K628" s="244"/>
      <c r="L628" s="244"/>
      <c r="M628" s="244"/>
      <c r="N628" s="244"/>
      <c r="O628" s="244"/>
      <c r="P628" s="244"/>
      <c r="Q628" s="244"/>
      <c r="R628" s="244"/>
      <c r="S628" s="244"/>
      <c r="T628" s="244"/>
      <c r="U628" s="244"/>
      <c r="V628" s="244"/>
      <c r="W628" s="244"/>
      <c r="X628" s="244"/>
      <c r="Y628" s="244"/>
      <c r="Z628" s="244"/>
    </row>
    <row r="629" ht="11.25" customHeight="1">
      <c r="A629" s="244"/>
      <c r="B629" s="244"/>
      <c r="C629" s="266"/>
      <c r="D629" s="266"/>
      <c r="E629" s="266"/>
      <c r="F629" s="266"/>
      <c r="G629" s="266"/>
      <c r="H629" s="266"/>
      <c r="I629" s="266"/>
      <c r="J629" s="266"/>
      <c r="K629" s="244"/>
      <c r="L629" s="244"/>
      <c r="M629" s="244"/>
      <c r="N629" s="244"/>
      <c r="O629" s="244"/>
      <c r="P629" s="244"/>
      <c r="Q629" s="244"/>
      <c r="R629" s="244"/>
      <c r="S629" s="244"/>
      <c r="T629" s="244"/>
      <c r="U629" s="244"/>
      <c r="V629" s="244"/>
      <c r="W629" s="244"/>
      <c r="X629" s="244"/>
      <c r="Y629" s="244"/>
      <c r="Z629" s="244"/>
    </row>
    <row r="630" ht="11.25" customHeight="1">
      <c r="A630" s="244"/>
      <c r="B630" s="244"/>
      <c r="C630" s="266"/>
      <c r="D630" s="266"/>
      <c r="E630" s="266"/>
      <c r="F630" s="266"/>
      <c r="G630" s="266"/>
      <c r="H630" s="266"/>
      <c r="I630" s="266"/>
      <c r="J630" s="266"/>
      <c r="K630" s="244"/>
      <c r="L630" s="244"/>
      <c r="M630" s="244"/>
      <c r="N630" s="244"/>
      <c r="O630" s="244"/>
      <c r="P630" s="244"/>
      <c r="Q630" s="244"/>
      <c r="R630" s="244"/>
      <c r="S630" s="244"/>
      <c r="T630" s="244"/>
      <c r="U630" s="244"/>
      <c r="V630" s="244"/>
      <c r="W630" s="244"/>
      <c r="X630" s="244"/>
      <c r="Y630" s="244"/>
      <c r="Z630" s="244"/>
    </row>
    <row r="631" ht="11.25" customHeight="1">
      <c r="A631" s="244"/>
      <c r="B631" s="244"/>
      <c r="C631" s="266"/>
      <c r="D631" s="266"/>
      <c r="E631" s="266"/>
      <c r="F631" s="266"/>
      <c r="G631" s="266"/>
      <c r="H631" s="266"/>
      <c r="I631" s="266"/>
      <c r="J631" s="266"/>
      <c r="K631" s="244"/>
      <c r="L631" s="244"/>
      <c r="M631" s="244"/>
      <c r="N631" s="244"/>
      <c r="O631" s="244"/>
      <c r="P631" s="244"/>
      <c r="Q631" s="244"/>
      <c r="R631" s="244"/>
      <c r="S631" s="244"/>
      <c r="T631" s="244"/>
      <c r="U631" s="244"/>
      <c r="V631" s="244"/>
      <c r="W631" s="244"/>
      <c r="X631" s="244"/>
      <c r="Y631" s="244"/>
      <c r="Z631" s="244"/>
    </row>
    <row r="632" ht="11.25" customHeight="1">
      <c r="A632" s="244"/>
      <c r="B632" s="244"/>
      <c r="C632" s="266"/>
      <c r="D632" s="266"/>
      <c r="E632" s="266"/>
      <c r="F632" s="266"/>
      <c r="G632" s="266"/>
      <c r="H632" s="266"/>
      <c r="I632" s="266"/>
      <c r="J632" s="266"/>
      <c r="K632" s="244"/>
      <c r="L632" s="244"/>
      <c r="M632" s="244"/>
      <c r="N632" s="244"/>
      <c r="O632" s="244"/>
      <c r="P632" s="244"/>
      <c r="Q632" s="244"/>
      <c r="R632" s="244"/>
      <c r="S632" s="244"/>
      <c r="T632" s="244"/>
      <c r="U632" s="244"/>
      <c r="V632" s="244"/>
      <c r="W632" s="244"/>
      <c r="X632" s="244"/>
      <c r="Y632" s="244"/>
      <c r="Z632" s="244"/>
    </row>
    <row r="633" ht="11.25" customHeight="1">
      <c r="A633" s="244"/>
      <c r="B633" s="244"/>
      <c r="C633" s="266"/>
      <c r="D633" s="266"/>
      <c r="E633" s="266"/>
      <c r="F633" s="266"/>
      <c r="G633" s="266"/>
      <c r="H633" s="266"/>
      <c r="I633" s="266"/>
      <c r="J633" s="266"/>
      <c r="K633" s="244"/>
      <c r="L633" s="244"/>
      <c r="M633" s="244"/>
      <c r="N633" s="244"/>
      <c r="O633" s="244"/>
      <c r="P633" s="244"/>
      <c r="Q633" s="244"/>
      <c r="R633" s="244"/>
      <c r="S633" s="244"/>
      <c r="T633" s="244"/>
      <c r="U633" s="244"/>
      <c r="V633" s="244"/>
      <c r="W633" s="244"/>
      <c r="X633" s="244"/>
      <c r="Y633" s="244"/>
      <c r="Z633" s="244"/>
    </row>
    <row r="634" ht="11.25" customHeight="1">
      <c r="A634" s="244"/>
      <c r="B634" s="244"/>
      <c r="C634" s="266"/>
      <c r="D634" s="266"/>
      <c r="E634" s="266"/>
      <c r="F634" s="266"/>
      <c r="G634" s="266"/>
      <c r="H634" s="266"/>
      <c r="I634" s="266"/>
      <c r="J634" s="266"/>
      <c r="K634" s="244"/>
      <c r="L634" s="244"/>
      <c r="M634" s="244"/>
      <c r="N634" s="244"/>
      <c r="O634" s="244"/>
      <c r="P634" s="244"/>
      <c r="Q634" s="244"/>
      <c r="R634" s="244"/>
      <c r="S634" s="244"/>
      <c r="T634" s="244"/>
      <c r="U634" s="244"/>
      <c r="V634" s="244"/>
      <c r="W634" s="244"/>
      <c r="X634" s="244"/>
      <c r="Y634" s="244"/>
      <c r="Z634" s="244"/>
    </row>
    <row r="635" ht="11.25" customHeight="1">
      <c r="A635" s="244"/>
      <c r="B635" s="244"/>
      <c r="C635" s="266"/>
      <c r="D635" s="266"/>
      <c r="E635" s="266"/>
      <c r="F635" s="266"/>
      <c r="G635" s="266"/>
      <c r="H635" s="266"/>
      <c r="I635" s="266"/>
      <c r="J635" s="266"/>
      <c r="K635" s="244"/>
      <c r="L635" s="244"/>
      <c r="M635" s="244"/>
      <c r="N635" s="244"/>
      <c r="O635" s="244"/>
      <c r="P635" s="244"/>
      <c r="Q635" s="244"/>
      <c r="R635" s="244"/>
      <c r="S635" s="244"/>
      <c r="T635" s="244"/>
      <c r="U635" s="244"/>
      <c r="V635" s="244"/>
      <c r="W635" s="244"/>
      <c r="X635" s="244"/>
      <c r="Y635" s="244"/>
      <c r="Z635" s="244"/>
    </row>
    <row r="636" ht="11.25" customHeight="1">
      <c r="A636" s="244"/>
      <c r="B636" s="244"/>
      <c r="C636" s="266"/>
      <c r="D636" s="266"/>
      <c r="E636" s="266"/>
      <c r="F636" s="266"/>
      <c r="G636" s="266"/>
      <c r="H636" s="266"/>
      <c r="I636" s="266"/>
      <c r="J636" s="266"/>
      <c r="K636" s="244"/>
      <c r="L636" s="244"/>
      <c r="M636" s="244"/>
      <c r="N636" s="244"/>
      <c r="O636" s="244"/>
      <c r="P636" s="244"/>
      <c r="Q636" s="244"/>
      <c r="R636" s="244"/>
      <c r="S636" s="244"/>
      <c r="T636" s="244"/>
      <c r="U636" s="244"/>
      <c r="V636" s="244"/>
      <c r="W636" s="244"/>
      <c r="X636" s="244"/>
      <c r="Y636" s="244"/>
      <c r="Z636" s="244"/>
    </row>
    <row r="637" ht="11.25" customHeight="1">
      <c r="A637" s="244"/>
      <c r="B637" s="244"/>
      <c r="C637" s="266"/>
      <c r="D637" s="266"/>
      <c r="E637" s="266"/>
      <c r="F637" s="266"/>
      <c r="G637" s="266"/>
      <c r="H637" s="266"/>
      <c r="I637" s="266"/>
      <c r="J637" s="266"/>
      <c r="K637" s="244"/>
      <c r="L637" s="244"/>
      <c r="M637" s="244"/>
      <c r="N637" s="244"/>
      <c r="O637" s="244"/>
      <c r="P637" s="244"/>
      <c r="Q637" s="244"/>
      <c r="R637" s="244"/>
      <c r="S637" s="244"/>
      <c r="T637" s="244"/>
      <c r="U637" s="244"/>
      <c r="V637" s="244"/>
      <c r="W637" s="244"/>
      <c r="X637" s="244"/>
      <c r="Y637" s="244"/>
      <c r="Z637" s="244"/>
    </row>
    <row r="638" ht="11.25" customHeight="1">
      <c r="A638" s="244"/>
      <c r="B638" s="244"/>
      <c r="C638" s="266"/>
      <c r="D638" s="266"/>
      <c r="E638" s="266"/>
      <c r="F638" s="266"/>
      <c r="G638" s="266"/>
      <c r="H638" s="266"/>
      <c r="I638" s="266"/>
      <c r="J638" s="266"/>
      <c r="K638" s="244"/>
      <c r="L638" s="244"/>
      <c r="M638" s="244"/>
      <c r="N638" s="244"/>
      <c r="O638" s="244"/>
      <c r="P638" s="244"/>
      <c r="Q638" s="244"/>
      <c r="R638" s="244"/>
      <c r="S638" s="244"/>
      <c r="T638" s="244"/>
      <c r="U638" s="244"/>
      <c r="V638" s="244"/>
      <c r="W638" s="244"/>
      <c r="X638" s="244"/>
      <c r="Y638" s="244"/>
      <c r="Z638" s="244"/>
    </row>
    <row r="639" ht="11.25" customHeight="1">
      <c r="A639" s="244"/>
      <c r="B639" s="244"/>
      <c r="C639" s="266"/>
      <c r="D639" s="266"/>
      <c r="E639" s="266"/>
      <c r="F639" s="266"/>
      <c r="G639" s="266"/>
      <c r="H639" s="266"/>
      <c r="I639" s="266"/>
      <c r="J639" s="266"/>
      <c r="K639" s="244"/>
      <c r="L639" s="244"/>
      <c r="M639" s="244"/>
      <c r="N639" s="244"/>
      <c r="O639" s="244"/>
      <c r="P639" s="244"/>
      <c r="Q639" s="244"/>
      <c r="R639" s="244"/>
      <c r="S639" s="244"/>
      <c r="T639" s="244"/>
      <c r="U639" s="244"/>
      <c r="V639" s="244"/>
      <c r="W639" s="244"/>
      <c r="X639" s="244"/>
      <c r="Y639" s="244"/>
      <c r="Z639" s="244"/>
    </row>
    <row r="640" ht="11.25" customHeight="1">
      <c r="A640" s="244"/>
      <c r="B640" s="244"/>
      <c r="C640" s="266"/>
      <c r="D640" s="266"/>
      <c r="E640" s="266"/>
      <c r="F640" s="266"/>
      <c r="G640" s="266"/>
      <c r="H640" s="266"/>
      <c r="I640" s="266"/>
      <c r="J640" s="266"/>
      <c r="K640" s="244"/>
      <c r="L640" s="244"/>
      <c r="M640" s="244"/>
      <c r="N640" s="244"/>
      <c r="O640" s="244"/>
      <c r="P640" s="244"/>
      <c r="Q640" s="244"/>
      <c r="R640" s="244"/>
      <c r="S640" s="244"/>
      <c r="T640" s="244"/>
      <c r="U640" s="244"/>
      <c r="V640" s="244"/>
      <c r="W640" s="244"/>
      <c r="X640" s="244"/>
      <c r="Y640" s="244"/>
      <c r="Z640" s="244"/>
    </row>
    <row r="641" ht="11.25" customHeight="1">
      <c r="A641" s="244"/>
      <c r="B641" s="244"/>
      <c r="C641" s="266"/>
      <c r="D641" s="266"/>
      <c r="E641" s="266"/>
      <c r="F641" s="266"/>
      <c r="G641" s="266"/>
      <c r="H641" s="266"/>
      <c r="I641" s="266"/>
      <c r="J641" s="266"/>
      <c r="K641" s="244"/>
      <c r="L641" s="244"/>
      <c r="M641" s="244"/>
      <c r="N641" s="244"/>
      <c r="O641" s="244"/>
      <c r="P641" s="244"/>
      <c r="Q641" s="244"/>
      <c r="R641" s="244"/>
      <c r="S641" s="244"/>
      <c r="T641" s="244"/>
      <c r="U641" s="244"/>
      <c r="V641" s="244"/>
      <c r="W641" s="244"/>
      <c r="X641" s="244"/>
      <c r="Y641" s="244"/>
      <c r="Z641" s="244"/>
    </row>
    <row r="642" ht="11.25" customHeight="1">
      <c r="A642" s="244"/>
      <c r="B642" s="244"/>
      <c r="C642" s="266"/>
      <c r="D642" s="266"/>
      <c r="E642" s="266"/>
      <c r="F642" s="266"/>
      <c r="G642" s="266"/>
      <c r="H642" s="266"/>
      <c r="I642" s="266"/>
      <c r="J642" s="266"/>
      <c r="K642" s="244"/>
      <c r="L642" s="244"/>
      <c r="M642" s="244"/>
      <c r="N642" s="244"/>
      <c r="O642" s="244"/>
      <c r="P642" s="244"/>
      <c r="Q642" s="244"/>
      <c r="R642" s="244"/>
      <c r="S642" s="244"/>
      <c r="T642" s="244"/>
      <c r="U642" s="244"/>
      <c r="V642" s="244"/>
      <c r="W642" s="244"/>
      <c r="X642" s="244"/>
      <c r="Y642" s="244"/>
      <c r="Z642" s="244"/>
    </row>
    <row r="643" ht="11.25" customHeight="1">
      <c r="A643" s="244"/>
      <c r="B643" s="244"/>
      <c r="C643" s="266"/>
      <c r="D643" s="266"/>
      <c r="E643" s="266"/>
      <c r="F643" s="266"/>
      <c r="G643" s="266"/>
      <c r="H643" s="266"/>
      <c r="I643" s="266"/>
      <c r="J643" s="266"/>
      <c r="K643" s="244"/>
      <c r="L643" s="244"/>
      <c r="M643" s="244"/>
      <c r="N643" s="244"/>
      <c r="O643" s="244"/>
      <c r="P643" s="244"/>
      <c r="Q643" s="244"/>
      <c r="R643" s="244"/>
      <c r="S643" s="244"/>
      <c r="T643" s="244"/>
      <c r="U643" s="244"/>
      <c r="V643" s="244"/>
      <c r="W643" s="244"/>
      <c r="X643" s="244"/>
      <c r="Y643" s="244"/>
      <c r="Z643" s="244"/>
    </row>
    <row r="644" ht="11.25" customHeight="1">
      <c r="A644" s="244"/>
      <c r="B644" s="244"/>
      <c r="C644" s="266"/>
      <c r="D644" s="266"/>
      <c r="E644" s="266"/>
      <c r="F644" s="266"/>
      <c r="G644" s="266"/>
      <c r="H644" s="266"/>
      <c r="I644" s="266"/>
      <c r="J644" s="266"/>
      <c r="K644" s="244"/>
      <c r="L644" s="244"/>
      <c r="M644" s="244"/>
      <c r="N644" s="244"/>
      <c r="O644" s="244"/>
      <c r="P644" s="244"/>
      <c r="Q644" s="244"/>
      <c r="R644" s="244"/>
      <c r="S644" s="244"/>
      <c r="T644" s="244"/>
      <c r="U644" s="244"/>
      <c r="V644" s="244"/>
      <c r="W644" s="244"/>
      <c r="X644" s="244"/>
      <c r="Y644" s="244"/>
      <c r="Z644" s="244"/>
    </row>
    <row r="645" ht="11.25" customHeight="1">
      <c r="A645" s="244"/>
      <c r="B645" s="244"/>
      <c r="C645" s="266"/>
      <c r="D645" s="266"/>
      <c r="E645" s="266"/>
      <c r="F645" s="266"/>
      <c r="G645" s="266"/>
      <c r="H645" s="266"/>
      <c r="I645" s="266"/>
      <c r="J645" s="266"/>
      <c r="K645" s="244"/>
      <c r="L645" s="244"/>
      <c r="M645" s="244"/>
      <c r="N645" s="244"/>
      <c r="O645" s="244"/>
      <c r="P645" s="244"/>
      <c r="Q645" s="244"/>
      <c r="R645" s="244"/>
      <c r="S645" s="244"/>
      <c r="T645" s="244"/>
      <c r="U645" s="244"/>
      <c r="V645" s="244"/>
      <c r="W645" s="244"/>
      <c r="X645" s="244"/>
      <c r="Y645" s="244"/>
      <c r="Z645" s="244"/>
    </row>
    <row r="646" ht="11.25" customHeight="1">
      <c r="A646" s="244"/>
      <c r="B646" s="244"/>
      <c r="C646" s="266"/>
      <c r="D646" s="266"/>
      <c r="E646" s="266"/>
      <c r="F646" s="266"/>
      <c r="G646" s="266"/>
      <c r="H646" s="266"/>
      <c r="I646" s="266"/>
      <c r="J646" s="266"/>
      <c r="K646" s="244"/>
      <c r="L646" s="244"/>
      <c r="M646" s="244"/>
      <c r="N646" s="244"/>
      <c r="O646" s="244"/>
      <c r="P646" s="244"/>
      <c r="Q646" s="244"/>
      <c r="R646" s="244"/>
      <c r="S646" s="244"/>
      <c r="T646" s="244"/>
      <c r="U646" s="244"/>
      <c r="V646" s="244"/>
      <c r="W646" s="244"/>
      <c r="X646" s="244"/>
      <c r="Y646" s="244"/>
      <c r="Z646" s="244"/>
    </row>
    <row r="647" ht="11.25" customHeight="1">
      <c r="A647" s="244"/>
      <c r="B647" s="244"/>
      <c r="C647" s="266"/>
      <c r="D647" s="266"/>
      <c r="E647" s="266"/>
      <c r="F647" s="266"/>
      <c r="G647" s="266"/>
      <c r="H647" s="266"/>
      <c r="I647" s="266"/>
      <c r="J647" s="266"/>
      <c r="K647" s="244"/>
      <c r="L647" s="244"/>
      <c r="M647" s="244"/>
      <c r="N647" s="244"/>
      <c r="O647" s="244"/>
      <c r="P647" s="244"/>
      <c r="Q647" s="244"/>
      <c r="R647" s="244"/>
      <c r="S647" s="244"/>
      <c r="T647" s="244"/>
      <c r="U647" s="244"/>
      <c r="V647" s="244"/>
      <c r="W647" s="244"/>
      <c r="X647" s="244"/>
      <c r="Y647" s="244"/>
      <c r="Z647" s="244"/>
    </row>
    <row r="648" ht="11.25" customHeight="1">
      <c r="A648" s="244"/>
      <c r="B648" s="244"/>
      <c r="C648" s="266"/>
      <c r="D648" s="266"/>
      <c r="E648" s="266"/>
      <c r="F648" s="266"/>
      <c r="G648" s="266"/>
      <c r="H648" s="266"/>
      <c r="I648" s="266"/>
      <c r="J648" s="266"/>
      <c r="K648" s="244"/>
      <c r="L648" s="244"/>
      <c r="M648" s="244"/>
      <c r="N648" s="244"/>
      <c r="O648" s="244"/>
      <c r="P648" s="244"/>
      <c r="Q648" s="244"/>
      <c r="R648" s="244"/>
      <c r="S648" s="244"/>
      <c r="T648" s="244"/>
      <c r="U648" s="244"/>
      <c r="V648" s="244"/>
      <c r="W648" s="244"/>
      <c r="X648" s="244"/>
      <c r="Y648" s="244"/>
      <c r="Z648" s="244"/>
    </row>
    <row r="649" ht="11.25" customHeight="1">
      <c r="A649" s="244"/>
      <c r="B649" s="244"/>
      <c r="C649" s="266"/>
      <c r="D649" s="266"/>
      <c r="E649" s="266"/>
      <c r="F649" s="266"/>
      <c r="G649" s="266"/>
      <c r="H649" s="266"/>
      <c r="I649" s="266"/>
      <c r="J649" s="266"/>
      <c r="K649" s="244"/>
      <c r="L649" s="244"/>
      <c r="M649" s="244"/>
      <c r="N649" s="244"/>
      <c r="O649" s="244"/>
      <c r="P649" s="244"/>
      <c r="Q649" s="244"/>
      <c r="R649" s="244"/>
      <c r="S649" s="244"/>
      <c r="T649" s="244"/>
      <c r="U649" s="244"/>
      <c r="V649" s="244"/>
      <c r="W649" s="244"/>
      <c r="X649" s="244"/>
      <c r="Y649" s="244"/>
      <c r="Z649" s="244"/>
    </row>
    <row r="650" ht="11.25" customHeight="1">
      <c r="A650" s="244"/>
      <c r="B650" s="244"/>
      <c r="C650" s="266"/>
      <c r="D650" s="266"/>
      <c r="E650" s="266"/>
      <c r="F650" s="266"/>
      <c r="G650" s="266"/>
      <c r="H650" s="266"/>
      <c r="I650" s="266"/>
      <c r="J650" s="266"/>
      <c r="K650" s="244"/>
      <c r="L650" s="244"/>
      <c r="M650" s="244"/>
      <c r="N650" s="244"/>
      <c r="O650" s="244"/>
      <c r="P650" s="244"/>
      <c r="Q650" s="244"/>
      <c r="R650" s="244"/>
      <c r="S650" s="244"/>
      <c r="T650" s="244"/>
      <c r="U650" s="244"/>
      <c r="V650" s="244"/>
      <c r="W650" s="244"/>
      <c r="X650" s="244"/>
      <c r="Y650" s="244"/>
      <c r="Z650" s="244"/>
    </row>
    <row r="651" ht="11.25" customHeight="1">
      <c r="A651" s="244"/>
      <c r="B651" s="244"/>
      <c r="C651" s="266"/>
      <c r="D651" s="266"/>
      <c r="E651" s="266"/>
      <c r="F651" s="266"/>
      <c r="G651" s="266"/>
      <c r="H651" s="266"/>
      <c r="I651" s="266"/>
      <c r="J651" s="266"/>
      <c r="K651" s="244"/>
      <c r="L651" s="244"/>
      <c r="M651" s="244"/>
      <c r="N651" s="244"/>
      <c r="O651" s="244"/>
      <c r="P651" s="244"/>
      <c r="Q651" s="244"/>
      <c r="R651" s="244"/>
      <c r="S651" s="244"/>
      <c r="T651" s="244"/>
      <c r="U651" s="244"/>
      <c r="V651" s="244"/>
      <c r="W651" s="244"/>
      <c r="X651" s="244"/>
      <c r="Y651" s="244"/>
      <c r="Z651" s="244"/>
    </row>
    <row r="652" ht="11.25" customHeight="1">
      <c r="A652" s="244"/>
      <c r="B652" s="244"/>
      <c r="C652" s="266"/>
      <c r="D652" s="266"/>
      <c r="E652" s="266"/>
      <c r="F652" s="266"/>
      <c r="G652" s="266"/>
      <c r="H652" s="266"/>
      <c r="I652" s="266"/>
      <c r="J652" s="266"/>
      <c r="K652" s="244"/>
      <c r="L652" s="244"/>
      <c r="M652" s="244"/>
      <c r="N652" s="244"/>
      <c r="O652" s="244"/>
      <c r="P652" s="244"/>
      <c r="Q652" s="244"/>
      <c r="R652" s="244"/>
      <c r="S652" s="244"/>
      <c r="T652" s="244"/>
      <c r="U652" s="244"/>
      <c r="V652" s="244"/>
      <c r="W652" s="244"/>
      <c r="X652" s="244"/>
      <c r="Y652" s="244"/>
      <c r="Z652" s="244"/>
    </row>
    <row r="653" ht="11.25" customHeight="1">
      <c r="A653" s="244"/>
      <c r="B653" s="244"/>
      <c r="C653" s="266"/>
      <c r="D653" s="266"/>
      <c r="E653" s="266"/>
      <c r="F653" s="266"/>
      <c r="G653" s="266"/>
      <c r="H653" s="266"/>
      <c r="I653" s="266"/>
      <c r="J653" s="266"/>
      <c r="K653" s="244"/>
      <c r="L653" s="244"/>
      <c r="M653" s="244"/>
      <c r="N653" s="244"/>
      <c r="O653" s="244"/>
      <c r="P653" s="244"/>
      <c r="Q653" s="244"/>
      <c r="R653" s="244"/>
      <c r="S653" s="244"/>
      <c r="T653" s="244"/>
      <c r="U653" s="244"/>
      <c r="V653" s="244"/>
      <c r="W653" s="244"/>
      <c r="X653" s="244"/>
      <c r="Y653" s="244"/>
      <c r="Z653" s="244"/>
    </row>
    <row r="654" ht="11.25" customHeight="1">
      <c r="A654" s="244"/>
      <c r="B654" s="244"/>
      <c r="C654" s="266"/>
      <c r="D654" s="266"/>
      <c r="E654" s="266"/>
      <c r="F654" s="266"/>
      <c r="G654" s="266"/>
      <c r="H654" s="266"/>
      <c r="I654" s="266"/>
      <c r="J654" s="266"/>
      <c r="K654" s="244"/>
      <c r="L654" s="244"/>
      <c r="M654" s="244"/>
      <c r="N654" s="244"/>
      <c r="O654" s="244"/>
      <c r="P654" s="244"/>
      <c r="Q654" s="244"/>
      <c r="R654" s="244"/>
      <c r="S654" s="244"/>
      <c r="T654" s="244"/>
      <c r="U654" s="244"/>
      <c r="V654" s="244"/>
      <c r="W654" s="244"/>
      <c r="X654" s="244"/>
      <c r="Y654" s="244"/>
      <c r="Z654" s="244"/>
    </row>
    <row r="655" ht="11.25" customHeight="1">
      <c r="A655" s="244"/>
      <c r="B655" s="244"/>
      <c r="C655" s="266"/>
      <c r="D655" s="266"/>
      <c r="E655" s="266"/>
      <c r="F655" s="266"/>
      <c r="G655" s="266"/>
      <c r="H655" s="266"/>
      <c r="I655" s="266"/>
      <c r="J655" s="266"/>
      <c r="K655" s="244"/>
      <c r="L655" s="244"/>
      <c r="M655" s="244"/>
      <c r="N655" s="244"/>
      <c r="O655" s="244"/>
      <c r="P655" s="244"/>
      <c r="Q655" s="244"/>
      <c r="R655" s="244"/>
      <c r="S655" s="244"/>
      <c r="T655" s="244"/>
      <c r="U655" s="244"/>
      <c r="V655" s="244"/>
      <c r="W655" s="244"/>
      <c r="X655" s="244"/>
      <c r="Y655" s="244"/>
      <c r="Z655" s="244"/>
    </row>
    <row r="656" ht="11.25" customHeight="1">
      <c r="A656" s="244"/>
      <c r="B656" s="244"/>
      <c r="C656" s="266"/>
      <c r="D656" s="266"/>
      <c r="E656" s="266"/>
      <c r="F656" s="266"/>
      <c r="G656" s="266"/>
      <c r="H656" s="266"/>
      <c r="I656" s="266"/>
      <c r="J656" s="266"/>
      <c r="K656" s="244"/>
      <c r="L656" s="244"/>
      <c r="M656" s="244"/>
      <c r="N656" s="244"/>
      <c r="O656" s="244"/>
      <c r="P656" s="244"/>
      <c r="Q656" s="244"/>
      <c r="R656" s="244"/>
      <c r="S656" s="244"/>
      <c r="T656" s="244"/>
      <c r="U656" s="244"/>
      <c r="V656" s="244"/>
      <c r="W656" s="244"/>
      <c r="X656" s="244"/>
      <c r="Y656" s="244"/>
      <c r="Z656" s="244"/>
    </row>
    <row r="657" ht="11.25" customHeight="1">
      <c r="A657" s="244"/>
      <c r="B657" s="244"/>
      <c r="C657" s="266"/>
      <c r="D657" s="266"/>
      <c r="E657" s="266"/>
      <c r="F657" s="266"/>
      <c r="G657" s="266"/>
      <c r="H657" s="266"/>
      <c r="I657" s="266"/>
      <c r="J657" s="266"/>
      <c r="K657" s="244"/>
      <c r="L657" s="244"/>
      <c r="M657" s="244"/>
      <c r="N657" s="244"/>
      <c r="O657" s="244"/>
      <c r="P657" s="244"/>
      <c r="Q657" s="244"/>
      <c r="R657" s="244"/>
      <c r="S657" s="244"/>
      <c r="T657" s="244"/>
      <c r="U657" s="244"/>
      <c r="V657" s="244"/>
      <c r="W657" s="244"/>
      <c r="X657" s="244"/>
      <c r="Y657" s="244"/>
      <c r="Z657" s="244"/>
    </row>
    <row r="658" ht="11.25" customHeight="1">
      <c r="A658" s="244"/>
      <c r="B658" s="244"/>
      <c r="C658" s="266"/>
      <c r="D658" s="266"/>
      <c r="E658" s="266"/>
      <c r="F658" s="266"/>
      <c r="G658" s="266"/>
      <c r="H658" s="266"/>
      <c r="I658" s="266"/>
      <c r="J658" s="266"/>
      <c r="K658" s="244"/>
      <c r="L658" s="244"/>
      <c r="M658" s="244"/>
      <c r="N658" s="244"/>
      <c r="O658" s="244"/>
      <c r="P658" s="244"/>
      <c r="Q658" s="244"/>
      <c r="R658" s="244"/>
      <c r="S658" s="244"/>
      <c r="T658" s="244"/>
      <c r="U658" s="244"/>
      <c r="V658" s="244"/>
      <c r="W658" s="244"/>
      <c r="X658" s="244"/>
      <c r="Y658" s="244"/>
      <c r="Z658" s="244"/>
    </row>
    <row r="659" ht="11.25" customHeight="1">
      <c r="A659" s="244"/>
      <c r="B659" s="244"/>
      <c r="C659" s="266"/>
      <c r="D659" s="266"/>
      <c r="E659" s="266"/>
      <c r="F659" s="266"/>
      <c r="G659" s="266"/>
      <c r="H659" s="266"/>
      <c r="I659" s="266"/>
      <c r="J659" s="266"/>
      <c r="K659" s="244"/>
      <c r="L659" s="244"/>
      <c r="M659" s="244"/>
      <c r="N659" s="244"/>
      <c r="O659" s="244"/>
      <c r="P659" s="244"/>
      <c r="Q659" s="244"/>
      <c r="R659" s="244"/>
      <c r="S659" s="244"/>
      <c r="T659" s="244"/>
      <c r="U659" s="244"/>
      <c r="V659" s="244"/>
      <c r="W659" s="244"/>
      <c r="X659" s="244"/>
      <c r="Y659" s="244"/>
      <c r="Z659" s="244"/>
    </row>
    <row r="660" ht="11.25" customHeight="1">
      <c r="A660" s="244"/>
      <c r="B660" s="244"/>
      <c r="C660" s="266"/>
      <c r="D660" s="266"/>
      <c r="E660" s="266"/>
      <c r="F660" s="266"/>
      <c r="G660" s="266"/>
      <c r="H660" s="266"/>
      <c r="I660" s="266"/>
      <c r="J660" s="266"/>
      <c r="K660" s="244"/>
      <c r="L660" s="244"/>
      <c r="M660" s="244"/>
      <c r="N660" s="244"/>
      <c r="O660" s="244"/>
      <c r="P660" s="244"/>
      <c r="Q660" s="244"/>
      <c r="R660" s="244"/>
      <c r="S660" s="244"/>
      <c r="T660" s="244"/>
      <c r="U660" s="244"/>
      <c r="V660" s="244"/>
      <c r="W660" s="244"/>
      <c r="X660" s="244"/>
      <c r="Y660" s="244"/>
      <c r="Z660" s="244"/>
    </row>
    <row r="661" ht="11.25" customHeight="1">
      <c r="A661" s="244"/>
      <c r="B661" s="244"/>
      <c r="C661" s="266"/>
      <c r="D661" s="266"/>
      <c r="E661" s="266"/>
      <c r="F661" s="266"/>
      <c r="G661" s="266"/>
      <c r="H661" s="266"/>
      <c r="I661" s="266"/>
      <c r="J661" s="266"/>
      <c r="K661" s="244"/>
      <c r="L661" s="244"/>
      <c r="M661" s="244"/>
      <c r="N661" s="244"/>
      <c r="O661" s="244"/>
      <c r="P661" s="244"/>
      <c r="Q661" s="244"/>
      <c r="R661" s="244"/>
      <c r="S661" s="244"/>
      <c r="T661" s="244"/>
      <c r="U661" s="244"/>
      <c r="V661" s="244"/>
      <c r="W661" s="244"/>
      <c r="X661" s="244"/>
      <c r="Y661" s="244"/>
      <c r="Z661" s="244"/>
    </row>
    <row r="662" ht="11.25" customHeight="1">
      <c r="A662" s="244"/>
      <c r="B662" s="244"/>
      <c r="C662" s="266"/>
      <c r="D662" s="266"/>
      <c r="E662" s="266"/>
      <c r="F662" s="266"/>
      <c r="G662" s="266"/>
      <c r="H662" s="266"/>
      <c r="I662" s="266"/>
      <c r="J662" s="266"/>
      <c r="K662" s="244"/>
      <c r="L662" s="244"/>
      <c r="M662" s="244"/>
      <c r="N662" s="244"/>
      <c r="O662" s="244"/>
      <c r="P662" s="244"/>
      <c r="Q662" s="244"/>
      <c r="R662" s="244"/>
      <c r="S662" s="244"/>
      <c r="T662" s="244"/>
      <c r="U662" s="244"/>
      <c r="V662" s="244"/>
      <c r="W662" s="244"/>
      <c r="X662" s="244"/>
      <c r="Y662" s="244"/>
      <c r="Z662" s="244"/>
    </row>
    <row r="663" ht="11.25" customHeight="1">
      <c r="A663" s="244"/>
      <c r="B663" s="244"/>
      <c r="C663" s="266"/>
      <c r="D663" s="266"/>
      <c r="E663" s="266"/>
      <c r="F663" s="266"/>
      <c r="G663" s="266"/>
      <c r="H663" s="266"/>
      <c r="I663" s="266"/>
      <c r="J663" s="266"/>
      <c r="K663" s="244"/>
      <c r="L663" s="244"/>
      <c r="M663" s="244"/>
      <c r="N663" s="244"/>
      <c r="O663" s="244"/>
      <c r="P663" s="244"/>
      <c r="Q663" s="244"/>
      <c r="R663" s="244"/>
      <c r="S663" s="244"/>
      <c r="T663" s="244"/>
      <c r="U663" s="244"/>
      <c r="V663" s="244"/>
      <c r="W663" s="244"/>
      <c r="X663" s="244"/>
      <c r="Y663" s="244"/>
      <c r="Z663" s="244"/>
    </row>
    <row r="664" ht="11.25" customHeight="1">
      <c r="A664" s="244"/>
      <c r="B664" s="244"/>
      <c r="C664" s="266"/>
      <c r="D664" s="266"/>
      <c r="E664" s="266"/>
      <c r="F664" s="266"/>
      <c r="G664" s="266"/>
      <c r="H664" s="266"/>
      <c r="I664" s="266"/>
      <c r="J664" s="266"/>
      <c r="K664" s="244"/>
      <c r="L664" s="244"/>
      <c r="M664" s="244"/>
      <c r="N664" s="244"/>
      <c r="O664" s="244"/>
      <c r="P664" s="244"/>
      <c r="Q664" s="244"/>
      <c r="R664" s="244"/>
      <c r="S664" s="244"/>
      <c r="T664" s="244"/>
      <c r="U664" s="244"/>
      <c r="V664" s="244"/>
      <c r="W664" s="244"/>
      <c r="X664" s="244"/>
      <c r="Y664" s="244"/>
      <c r="Z664" s="244"/>
    </row>
    <row r="665" ht="11.25" customHeight="1">
      <c r="A665" s="244"/>
      <c r="B665" s="244"/>
      <c r="C665" s="266"/>
      <c r="D665" s="266"/>
      <c r="E665" s="266"/>
      <c r="F665" s="266"/>
      <c r="G665" s="266"/>
      <c r="H665" s="266"/>
      <c r="I665" s="266"/>
      <c r="J665" s="266"/>
      <c r="K665" s="244"/>
      <c r="L665" s="244"/>
      <c r="M665" s="244"/>
      <c r="N665" s="244"/>
      <c r="O665" s="244"/>
      <c r="P665" s="244"/>
      <c r="Q665" s="244"/>
      <c r="R665" s="244"/>
      <c r="S665" s="244"/>
      <c r="T665" s="244"/>
      <c r="U665" s="244"/>
      <c r="V665" s="244"/>
      <c r="W665" s="244"/>
      <c r="X665" s="244"/>
      <c r="Y665" s="244"/>
      <c r="Z665" s="244"/>
    </row>
    <row r="666" ht="11.25" customHeight="1">
      <c r="A666" s="244"/>
      <c r="B666" s="244"/>
      <c r="C666" s="266"/>
      <c r="D666" s="266"/>
      <c r="E666" s="266"/>
      <c r="F666" s="266"/>
      <c r="G666" s="266"/>
      <c r="H666" s="266"/>
      <c r="I666" s="266"/>
      <c r="J666" s="266"/>
      <c r="K666" s="244"/>
      <c r="L666" s="244"/>
      <c r="M666" s="244"/>
      <c r="N666" s="244"/>
      <c r="O666" s="244"/>
      <c r="P666" s="244"/>
      <c r="Q666" s="244"/>
      <c r="R666" s="244"/>
      <c r="S666" s="244"/>
      <c r="T666" s="244"/>
      <c r="U666" s="244"/>
      <c r="V666" s="244"/>
      <c r="W666" s="244"/>
      <c r="X666" s="244"/>
      <c r="Y666" s="244"/>
      <c r="Z666" s="244"/>
    </row>
    <row r="667" ht="11.25" customHeight="1">
      <c r="A667" s="244"/>
      <c r="B667" s="244"/>
      <c r="C667" s="266"/>
      <c r="D667" s="266"/>
      <c r="E667" s="266"/>
      <c r="F667" s="266"/>
      <c r="G667" s="266"/>
      <c r="H667" s="266"/>
      <c r="I667" s="266"/>
      <c r="J667" s="266"/>
      <c r="K667" s="244"/>
      <c r="L667" s="244"/>
      <c r="M667" s="244"/>
      <c r="N667" s="244"/>
      <c r="O667" s="244"/>
      <c r="P667" s="244"/>
      <c r="Q667" s="244"/>
      <c r="R667" s="244"/>
      <c r="S667" s="244"/>
      <c r="T667" s="244"/>
      <c r="U667" s="244"/>
      <c r="V667" s="244"/>
      <c r="W667" s="244"/>
      <c r="X667" s="244"/>
      <c r="Y667" s="244"/>
      <c r="Z667" s="244"/>
    </row>
    <row r="668" ht="11.25" customHeight="1">
      <c r="A668" s="244"/>
      <c r="B668" s="244"/>
      <c r="C668" s="266"/>
      <c r="D668" s="266"/>
      <c r="E668" s="266"/>
      <c r="F668" s="266"/>
      <c r="G668" s="266"/>
      <c r="H668" s="266"/>
      <c r="I668" s="266"/>
      <c r="J668" s="266"/>
      <c r="K668" s="244"/>
      <c r="L668" s="244"/>
      <c r="M668" s="244"/>
      <c r="N668" s="244"/>
      <c r="O668" s="244"/>
      <c r="P668" s="244"/>
      <c r="Q668" s="244"/>
      <c r="R668" s="244"/>
      <c r="S668" s="244"/>
      <c r="T668" s="244"/>
      <c r="U668" s="244"/>
      <c r="V668" s="244"/>
      <c r="W668" s="244"/>
      <c r="X668" s="244"/>
      <c r="Y668" s="244"/>
      <c r="Z668" s="244"/>
    </row>
    <row r="669" ht="11.25" customHeight="1">
      <c r="A669" s="244"/>
      <c r="B669" s="244"/>
      <c r="C669" s="266"/>
      <c r="D669" s="266"/>
      <c r="E669" s="266"/>
      <c r="F669" s="266"/>
      <c r="G669" s="266"/>
      <c r="H669" s="266"/>
      <c r="I669" s="266"/>
      <c r="J669" s="266"/>
      <c r="K669" s="244"/>
      <c r="L669" s="244"/>
      <c r="M669" s="244"/>
      <c r="N669" s="244"/>
      <c r="O669" s="244"/>
      <c r="P669" s="244"/>
      <c r="Q669" s="244"/>
      <c r="R669" s="244"/>
      <c r="S669" s="244"/>
      <c r="T669" s="244"/>
      <c r="U669" s="244"/>
      <c r="V669" s="244"/>
      <c r="W669" s="244"/>
      <c r="X669" s="244"/>
      <c r="Y669" s="244"/>
      <c r="Z669" s="244"/>
    </row>
    <row r="670" ht="11.25" customHeight="1">
      <c r="A670" s="244"/>
      <c r="B670" s="244"/>
      <c r="C670" s="266"/>
      <c r="D670" s="266"/>
      <c r="E670" s="266"/>
      <c r="F670" s="266"/>
      <c r="G670" s="266"/>
      <c r="H670" s="266"/>
      <c r="I670" s="266"/>
      <c r="J670" s="266"/>
      <c r="K670" s="244"/>
      <c r="L670" s="244"/>
      <c r="M670" s="244"/>
      <c r="N670" s="244"/>
      <c r="O670" s="244"/>
      <c r="P670" s="244"/>
      <c r="Q670" s="244"/>
      <c r="R670" s="244"/>
      <c r="S670" s="244"/>
      <c r="T670" s="244"/>
      <c r="U670" s="244"/>
      <c r="V670" s="244"/>
      <c r="W670" s="244"/>
      <c r="X670" s="244"/>
      <c r="Y670" s="244"/>
      <c r="Z670" s="244"/>
    </row>
    <row r="671" ht="11.25" customHeight="1">
      <c r="A671" s="244"/>
      <c r="B671" s="244"/>
      <c r="C671" s="266"/>
      <c r="D671" s="266"/>
      <c r="E671" s="266"/>
      <c r="F671" s="266"/>
      <c r="G671" s="266"/>
      <c r="H671" s="266"/>
      <c r="I671" s="266"/>
      <c r="J671" s="266"/>
      <c r="K671" s="244"/>
      <c r="L671" s="244"/>
      <c r="M671" s="244"/>
      <c r="N671" s="244"/>
      <c r="O671" s="244"/>
      <c r="P671" s="244"/>
      <c r="Q671" s="244"/>
      <c r="R671" s="244"/>
      <c r="S671" s="244"/>
      <c r="T671" s="244"/>
      <c r="U671" s="244"/>
      <c r="V671" s="244"/>
      <c r="W671" s="244"/>
      <c r="X671" s="244"/>
      <c r="Y671" s="244"/>
      <c r="Z671" s="244"/>
    </row>
    <row r="672" ht="11.25" customHeight="1">
      <c r="A672" s="244"/>
      <c r="B672" s="244"/>
      <c r="C672" s="266"/>
      <c r="D672" s="266"/>
      <c r="E672" s="266"/>
      <c r="F672" s="266"/>
      <c r="G672" s="266"/>
      <c r="H672" s="266"/>
      <c r="I672" s="266"/>
      <c r="J672" s="266"/>
      <c r="K672" s="244"/>
      <c r="L672" s="244"/>
      <c r="M672" s="244"/>
      <c r="N672" s="244"/>
      <c r="O672" s="244"/>
      <c r="P672" s="244"/>
      <c r="Q672" s="244"/>
      <c r="R672" s="244"/>
      <c r="S672" s="244"/>
      <c r="T672" s="244"/>
      <c r="U672" s="244"/>
      <c r="V672" s="244"/>
      <c r="W672" s="244"/>
      <c r="X672" s="244"/>
      <c r="Y672" s="244"/>
      <c r="Z672" s="244"/>
    </row>
    <row r="673" ht="11.25" customHeight="1">
      <c r="A673" s="244"/>
      <c r="B673" s="244"/>
      <c r="C673" s="266"/>
      <c r="D673" s="266"/>
      <c r="E673" s="266"/>
      <c r="F673" s="266"/>
      <c r="G673" s="266"/>
      <c r="H673" s="266"/>
      <c r="I673" s="266"/>
      <c r="J673" s="266"/>
      <c r="K673" s="244"/>
      <c r="L673" s="244"/>
      <c r="M673" s="244"/>
      <c r="N673" s="244"/>
      <c r="O673" s="244"/>
      <c r="P673" s="244"/>
      <c r="Q673" s="244"/>
      <c r="R673" s="244"/>
      <c r="S673" s="244"/>
      <c r="T673" s="244"/>
      <c r="U673" s="244"/>
      <c r="V673" s="244"/>
      <c r="W673" s="244"/>
      <c r="X673" s="244"/>
      <c r="Y673" s="244"/>
      <c r="Z673" s="244"/>
    </row>
    <row r="674" ht="11.25" customHeight="1">
      <c r="A674" s="244"/>
      <c r="B674" s="244"/>
      <c r="C674" s="266"/>
      <c r="D674" s="266"/>
      <c r="E674" s="266"/>
      <c r="F674" s="266"/>
      <c r="G674" s="266"/>
      <c r="H674" s="266"/>
      <c r="I674" s="266"/>
      <c r="J674" s="266"/>
      <c r="K674" s="244"/>
      <c r="L674" s="244"/>
      <c r="M674" s="244"/>
      <c r="N674" s="244"/>
      <c r="O674" s="244"/>
      <c r="P674" s="244"/>
      <c r="Q674" s="244"/>
      <c r="R674" s="244"/>
      <c r="S674" s="244"/>
      <c r="T674" s="244"/>
      <c r="U674" s="244"/>
      <c r="V674" s="244"/>
      <c r="W674" s="244"/>
      <c r="X674" s="244"/>
      <c r="Y674" s="244"/>
      <c r="Z674" s="244"/>
    </row>
    <row r="675" ht="11.25" customHeight="1">
      <c r="A675" s="244"/>
      <c r="B675" s="244"/>
      <c r="C675" s="266"/>
      <c r="D675" s="266"/>
      <c r="E675" s="266"/>
      <c r="F675" s="266"/>
      <c r="G675" s="266"/>
      <c r="H675" s="266"/>
      <c r="I675" s="266"/>
      <c r="J675" s="266"/>
      <c r="K675" s="244"/>
      <c r="L675" s="244"/>
      <c r="M675" s="244"/>
      <c r="N675" s="244"/>
      <c r="O675" s="244"/>
      <c r="P675" s="244"/>
      <c r="Q675" s="244"/>
      <c r="R675" s="244"/>
      <c r="S675" s="244"/>
      <c r="T675" s="244"/>
      <c r="U675" s="244"/>
      <c r="V675" s="244"/>
      <c r="W675" s="244"/>
      <c r="X675" s="244"/>
      <c r="Y675" s="244"/>
      <c r="Z675" s="244"/>
    </row>
    <row r="676" ht="11.25" customHeight="1">
      <c r="A676" s="244"/>
      <c r="B676" s="244"/>
      <c r="C676" s="266"/>
      <c r="D676" s="266"/>
      <c r="E676" s="266"/>
      <c r="F676" s="266"/>
      <c r="G676" s="266"/>
      <c r="H676" s="266"/>
      <c r="I676" s="266"/>
      <c r="J676" s="266"/>
      <c r="K676" s="244"/>
      <c r="L676" s="244"/>
      <c r="M676" s="244"/>
      <c r="N676" s="244"/>
      <c r="O676" s="244"/>
      <c r="P676" s="244"/>
      <c r="Q676" s="244"/>
      <c r="R676" s="244"/>
      <c r="S676" s="244"/>
      <c r="T676" s="244"/>
      <c r="U676" s="244"/>
      <c r="V676" s="244"/>
      <c r="W676" s="244"/>
      <c r="X676" s="244"/>
      <c r="Y676" s="244"/>
      <c r="Z676" s="244"/>
    </row>
    <row r="677" ht="11.25" customHeight="1">
      <c r="A677" s="244"/>
      <c r="B677" s="244"/>
      <c r="C677" s="266"/>
      <c r="D677" s="266"/>
      <c r="E677" s="266"/>
      <c r="F677" s="266"/>
      <c r="G677" s="266"/>
      <c r="H677" s="266"/>
      <c r="I677" s="266"/>
      <c r="J677" s="266"/>
      <c r="K677" s="244"/>
      <c r="L677" s="244"/>
      <c r="M677" s="244"/>
      <c r="N677" s="244"/>
      <c r="O677" s="244"/>
      <c r="P677" s="244"/>
      <c r="Q677" s="244"/>
      <c r="R677" s="244"/>
      <c r="S677" s="244"/>
      <c r="T677" s="244"/>
      <c r="U677" s="244"/>
      <c r="V677" s="244"/>
      <c r="W677" s="244"/>
      <c r="X677" s="244"/>
      <c r="Y677" s="244"/>
      <c r="Z677" s="244"/>
    </row>
    <row r="678" ht="11.25" customHeight="1">
      <c r="A678" s="244"/>
      <c r="B678" s="244"/>
      <c r="C678" s="266"/>
      <c r="D678" s="266"/>
      <c r="E678" s="266"/>
      <c r="F678" s="266"/>
      <c r="G678" s="266"/>
      <c r="H678" s="266"/>
      <c r="I678" s="266"/>
      <c r="J678" s="266"/>
      <c r="K678" s="244"/>
      <c r="L678" s="244"/>
      <c r="M678" s="244"/>
      <c r="N678" s="244"/>
      <c r="O678" s="244"/>
      <c r="P678" s="244"/>
      <c r="Q678" s="244"/>
      <c r="R678" s="244"/>
      <c r="S678" s="244"/>
      <c r="T678" s="244"/>
      <c r="U678" s="244"/>
      <c r="V678" s="244"/>
      <c r="W678" s="244"/>
      <c r="X678" s="244"/>
      <c r="Y678" s="244"/>
      <c r="Z678" s="244"/>
    </row>
    <row r="679" ht="11.25" customHeight="1">
      <c r="A679" s="244"/>
      <c r="B679" s="244"/>
      <c r="C679" s="266"/>
      <c r="D679" s="266"/>
      <c r="E679" s="266"/>
      <c r="F679" s="266"/>
      <c r="G679" s="266"/>
      <c r="H679" s="266"/>
      <c r="I679" s="266"/>
      <c r="J679" s="266"/>
      <c r="K679" s="244"/>
      <c r="L679" s="244"/>
      <c r="M679" s="244"/>
      <c r="N679" s="244"/>
      <c r="O679" s="244"/>
      <c r="P679" s="244"/>
      <c r="Q679" s="244"/>
      <c r="R679" s="244"/>
      <c r="S679" s="244"/>
      <c r="T679" s="244"/>
      <c r="U679" s="244"/>
      <c r="V679" s="244"/>
      <c r="W679" s="244"/>
      <c r="X679" s="244"/>
      <c r="Y679" s="244"/>
      <c r="Z679" s="244"/>
    </row>
    <row r="680" ht="11.25" customHeight="1">
      <c r="A680" s="244"/>
      <c r="B680" s="244"/>
      <c r="C680" s="266"/>
      <c r="D680" s="266"/>
      <c r="E680" s="266"/>
      <c r="F680" s="266"/>
      <c r="G680" s="266"/>
      <c r="H680" s="266"/>
      <c r="I680" s="266"/>
      <c r="J680" s="266"/>
      <c r="K680" s="244"/>
      <c r="L680" s="244"/>
      <c r="M680" s="244"/>
      <c r="N680" s="244"/>
      <c r="O680" s="244"/>
      <c r="P680" s="244"/>
      <c r="Q680" s="244"/>
      <c r="R680" s="244"/>
      <c r="S680" s="244"/>
      <c r="T680" s="244"/>
      <c r="U680" s="244"/>
      <c r="V680" s="244"/>
      <c r="W680" s="244"/>
      <c r="X680" s="244"/>
      <c r="Y680" s="244"/>
      <c r="Z680" s="244"/>
    </row>
    <row r="681" ht="11.25" customHeight="1">
      <c r="A681" s="244"/>
      <c r="B681" s="244"/>
      <c r="C681" s="266"/>
      <c r="D681" s="266"/>
      <c r="E681" s="266"/>
      <c r="F681" s="266"/>
      <c r="G681" s="266"/>
      <c r="H681" s="266"/>
      <c r="I681" s="266"/>
      <c r="J681" s="266"/>
      <c r="K681" s="244"/>
      <c r="L681" s="244"/>
      <c r="M681" s="244"/>
      <c r="N681" s="244"/>
      <c r="O681" s="244"/>
      <c r="P681" s="244"/>
      <c r="Q681" s="244"/>
      <c r="R681" s="244"/>
      <c r="S681" s="244"/>
      <c r="T681" s="244"/>
      <c r="U681" s="244"/>
      <c r="V681" s="244"/>
      <c r="W681" s="244"/>
      <c r="X681" s="244"/>
      <c r="Y681" s="244"/>
      <c r="Z681" s="244"/>
    </row>
    <row r="682" ht="11.25" customHeight="1">
      <c r="A682" s="244"/>
      <c r="B682" s="244"/>
      <c r="C682" s="266"/>
      <c r="D682" s="266"/>
      <c r="E682" s="266"/>
      <c r="F682" s="266"/>
      <c r="G682" s="266"/>
      <c r="H682" s="266"/>
      <c r="I682" s="266"/>
      <c r="J682" s="266"/>
      <c r="K682" s="244"/>
      <c r="L682" s="244"/>
      <c r="M682" s="244"/>
      <c r="N682" s="244"/>
      <c r="O682" s="244"/>
      <c r="P682" s="244"/>
      <c r="Q682" s="244"/>
      <c r="R682" s="244"/>
      <c r="S682" s="244"/>
      <c r="T682" s="244"/>
      <c r="U682" s="244"/>
      <c r="V682" s="244"/>
      <c r="W682" s="244"/>
      <c r="X682" s="244"/>
      <c r="Y682" s="244"/>
      <c r="Z682" s="244"/>
    </row>
    <row r="683" ht="11.25" customHeight="1">
      <c r="A683" s="244"/>
      <c r="B683" s="244"/>
      <c r="C683" s="266"/>
      <c r="D683" s="266"/>
      <c r="E683" s="266"/>
      <c r="F683" s="266"/>
      <c r="G683" s="266"/>
      <c r="H683" s="266"/>
      <c r="I683" s="266"/>
      <c r="J683" s="266"/>
      <c r="K683" s="244"/>
      <c r="L683" s="244"/>
      <c r="M683" s="244"/>
      <c r="N683" s="244"/>
      <c r="O683" s="244"/>
      <c r="P683" s="244"/>
      <c r="Q683" s="244"/>
      <c r="R683" s="244"/>
      <c r="S683" s="244"/>
      <c r="T683" s="244"/>
      <c r="U683" s="244"/>
      <c r="V683" s="244"/>
      <c r="W683" s="244"/>
      <c r="X683" s="244"/>
      <c r="Y683" s="244"/>
      <c r="Z683" s="244"/>
    </row>
    <row r="684" ht="11.25" customHeight="1">
      <c r="A684" s="244"/>
      <c r="B684" s="244"/>
      <c r="C684" s="266"/>
      <c r="D684" s="266"/>
      <c r="E684" s="266"/>
      <c r="F684" s="266"/>
      <c r="G684" s="266"/>
      <c r="H684" s="266"/>
      <c r="I684" s="266"/>
      <c r="J684" s="266"/>
      <c r="K684" s="244"/>
      <c r="L684" s="244"/>
      <c r="M684" s="244"/>
      <c r="N684" s="244"/>
      <c r="O684" s="244"/>
      <c r="P684" s="244"/>
      <c r="Q684" s="244"/>
      <c r="R684" s="244"/>
      <c r="S684" s="244"/>
      <c r="T684" s="244"/>
      <c r="U684" s="244"/>
      <c r="V684" s="244"/>
      <c r="W684" s="244"/>
      <c r="X684" s="244"/>
      <c r="Y684" s="244"/>
      <c r="Z684" s="244"/>
    </row>
    <row r="685" ht="11.25" customHeight="1">
      <c r="A685" s="244"/>
      <c r="B685" s="244"/>
      <c r="C685" s="266"/>
      <c r="D685" s="266"/>
      <c r="E685" s="266"/>
      <c r="F685" s="266"/>
      <c r="G685" s="266"/>
      <c r="H685" s="266"/>
      <c r="I685" s="266"/>
      <c r="J685" s="266"/>
      <c r="K685" s="244"/>
      <c r="L685" s="244"/>
      <c r="M685" s="244"/>
      <c r="N685" s="244"/>
      <c r="O685" s="244"/>
      <c r="P685" s="244"/>
      <c r="Q685" s="244"/>
      <c r="R685" s="244"/>
      <c r="S685" s="244"/>
      <c r="T685" s="244"/>
      <c r="U685" s="244"/>
      <c r="V685" s="244"/>
      <c r="W685" s="244"/>
      <c r="X685" s="244"/>
      <c r="Y685" s="244"/>
      <c r="Z685" s="244"/>
    </row>
    <row r="686" ht="11.25" customHeight="1">
      <c r="A686" s="244"/>
      <c r="B686" s="244"/>
      <c r="C686" s="266"/>
      <c r="D686" s="266"/>
      <c r="E686" s="266"/>
      <c r="F686" s="266"/>
      <c r="G686" s="266"/>
      <c r="H686" s="266"/>
      <c r="I686" s="266"/>
      <c r="J686" s="266"/>
      <c r="K686" s="244"/>
      <c r="L686" s="244"/>
      <c r="M686" s="244"/>
      <c r="N686" s="244"/>
      <c r="O686" s="244"/>
      <c r="P686" s="244"/>
      <c r="Q686" s="244"/>
      <c r="R686" s="244"/>
      <c r="S686" s="244"/>
      <c r="T686" s="244"/>
      <c r="U686" s="244"/>
      <c r="V686" s="244"/>
      <c r="W686" s="244"/>
      <c r="X686" s="244"/>
      <c r="Y686" s="244"/>
      <c r="Z686" s="244"/>
    </row>
    <row r="687" ht="11.25" customHeight="1">
      <c r="A687" s="244"/>
      <c r="B687" s="244"/>
      <c r="C687" s="266"/>
      <c r="D687" s="266"/>
      <c r="E687" s="266"/>
      <c r="F687" s="266"/>
      <c r="G687" s="266"/>
      <c r="H687" s="266"/>
      <c r="I687" s="266"/>
      <c r="J687" s="266"/>
      <c r="K687" s="244"/>
      <c r="L687" s="244"/>
      <c r="M687" s="244"/>
      <c r="N687" s="244"/>
      <c r="O687" s="244"/>
      <c r="P687" s="244"/>
      <c r="Q687" s="244"/>
      <c r="R687" s="244"/>
      <c r="S687" s="244"/>
      <c r="T687" s="244"/>
      <c r="U687" s="244"/>
      <c r="V687" s="244"/>
      <c r="W687" s="244"/>
      <c r="X687" s="244"/>
      <c r="Y687" s="244"/>
      <c r="Z687" s="244"/>
    </row>
    <row r="688" ht="11.25" customHeight="1">
      <c r="A688" s="244"/>
      <c r="B688" s="244"/>
      <c r="C688" s="266"/>
      <c r="D688" s="266"/>
      <c r="E688" s="266"/>
      <c r="F688" s="266"/>
      <c r="G688" s="266"/>
      <c r="H688" s="266"/>
      <c r="I688" s="266"/>
      <c r="J688" s="266"/>
      <c r="K688" s="244"/>
      <c r="L688" s="244"/>
      <c r="M688" s="244"/>
      <c r="N688" s="244"/>
      <c r="O688" s="244"/>
      <c r="P688" s="244"/>
      <c r="Q688" s="244"/>
      <c r="R688" s="244"/>
      <c r="S688" s="244"/>
      <c r="T688" s="244"/>
      <c r="U688" s="244"/>
      <c r="V688" s="244"/>
      <c r="W688" s="244"/>
      <c r="X688" s="244"/>
      <c r="Y688" s="244"/>
      <c r="Z688" s="244"/>
    </row>
    <row r="689" ht="11.25" customHeight="1">
      <c r="A689" s="244"/>
      <c r="B689" s="244"/>
      <c r="C689" s="266"/>
      <c r="D689" s="266"/>
      <c r="E689" s="266"/>
      <c r="F689" s="266"/>
      <c r="G689" s="266"/>
      <c r="H689" s="266"/>
      <c r="I689" s="266"/>
      <c r="J689" s="266"/>
      <c r="K689" s="244"/>
      <c r="L689" s="244"/>
      <c r="M689" s="244"/>
      <c r="N689" s="244"/>
      <c r="O689" s="244"/>
      <c r="P689" s="244"/>
      <c r="Q689" s="244"/>
      <c r="R689" s="244"/>
      <c r="S689" s="244"/>
      <c r="T689" s="244"/>
      <c r="U689" s="244"/>
      <c r="V689" s="244"/>
      <c r="W689" s="244"/>
      <c r="X689" s="244"/>
      <c r="Y689" s="244"/>
      <c r="Z689" s="244"/>
    </row>
    <row r="690" ht="11.25" customHeight="1">
      <c r="A690" s="244"/>
      <c r="B690" s="244"/>
      <c r="C690" s="266"/>
      <c r="D690" s="266"/>
      <c r="E690" s="266"/>
      <c r="F690" s="266"/>
      <c r="G690" s="266"/>
      <c r="H690" s="266"/>
      <c r="I690" s="266"/>
      <c r="J690" s="266"/>
      <c r="K690" s="244"/>
      <c r="L690" s="244"/>
      <c r="M690" s="244"/>
      <c r="N690" s="244"/>
      <c r="O690" s="244"/>
      <c r="P690" s="244"/>
      <c r="Q690" s="244"/>
      <c r="R690" s="244"/>
      <c r="S690" s="244"/>
      <c r="T690" s="244"/>
      <c r="U690" s="244"/>
      <c r="V690" s="244"/>
      <c r="W690" s="244"/>
      <c r="X690" s="244"/>
      <c r="Y690" s="244"/>
      <c r="Z690" s="244"/>
    </row>
    <row r="691" ht="11.25" customHeight="1">
      <c r="A691" s="244"/>
      <c r="B691" s="244"/>
      <c r="C691" s="266"/>
      <c r="D691" s="266"/>
      <c r="E691" s="266"/>
      <c r="F691" s="266"/>
      <c r="G691" s="266"/>
      <c r="H691" s="266"/>
      <c r="I691" s="266"/>
      <c r="J691" s="266"/>
      <c r="K691" s="244"/>
      <c r="L691" s="244"/>
      <c r="M691" s="244"/>
      <c r="N691" s="244"/>
      <c r="O691" s="244"/>
      <c r="P691" s="244"/>
      <c r="Q691" s="244"/>
      <c r="R691" s="244"/>
      <c r="S691" s="244"/>
      <c r="T691" s="244"/>
      <c r="U691" s="244"/>
      <c r="V691" s="244"/>
      <c r="W691" s="244"/>
      <c r="X691" s="244"/>
      <c r="Y691" s="244"/>
      <c r="Z691" s="244"/>
    </row>
    <row r="692" ht="11.25" customHeight="1">
      <c r="A692" s="244"/>
      <c r="B692" s="244"/>
      <c r="C692" s="266"/>
      <c r="D692" s="266"/>
      <c r="E692" s="266"/>
      <c r="F692" s="266"/>
      <c r="G692" s="266"/>
      <c r="H692" s="266"/>
      <c r="I692" s="266"/>
      <c r="J692" s="266"/>
      <c r="K692" s="244"/>
      <c r="L692" s="244"/>
      <c r="M692" s="244"/>
      <c r="N692" s="244"/>
      <c r="O692" s="244"/>
      <c r="P692" s="244"/>
      <c r="Q692" s="244"/>
      <c r="R692" s="244"/>
      <c r="S692" s="244"/>
      <c r="T692" s="244"/>
      <c r="U692" s="244"/>
      <c r="V692" s="244"/>
      <c r="W692" s="244"/>
      <c r="X692" s="244"/>
      <c r="Y692" s="244"/>
      <c r="Z692" s="244"/>
    </row>
    <row r="693" ht="11.25" customHeight="1">
      <c r="A693" s="244"/>
      <c r="B693" s="244"/>
      <c r="C693" s="266"/>
      <c r="D693" s="266"/>
      <c r="E693" s="266"/>
      <c r="F693" s="266"/>
      <c r="G693" s="266"/>
      <c r="H693" s="266"/>
      <c r="I693" s="266"/>
      <c r="J693" s="266"/>
      <c r="K693" s="244"/>
      <c r="L693" s="244"/>
      <c r="M693" s="244"/>
      <c r="N693" s="244"/>
      <c r="O693" s="244"/>
      <c r="P693" s="244"/>
      <c r="Q693" s="244"/>
      <c r="R693" s="244"/>
      <c r="S693" s="244"/>
      <c r="T693" s="244"/>
      <c r="U693" s="244"/>
      <c r="V693" s="244"/>
      <c r="W693" s="244"/>
      <c r="X693" s="244"/>
      <c r="Y693" s="244"/>
      <c r="Z693" s="244"/>
    </row>
    <row r="694" ht="11.25" customHeight="1">
      <c r="A694" s="244"/>
      <c r="B694" s="244"/>
      <c r="C694" s="266"/>
      <c r="D694" s="266"/>
      <c r="E694" s="266"/>
      <c r="F694" s="266"/>
      <c r="G694" s="266"/>
      <c r="H694" s="266"/>
      <c r="I694" s="266"/>
      <c r="J694" s="266"/>
      <c r="K694" s="244"/>
      <c r="L694" s="244"/>
      <c r="M694" s="244"/>
      <c r="N694" s="244"/>
      <c r="O694" s="244"/>
      <c r="P694" s="244"/>
      <c r="Q694" s="244"/>
      <c r="R694" s="244"/>
      <c r="S694" s="244"/>
      <c r="T694" s="244"/>
      <c r="U694" s="244"/>
      <c r="V694" s="244"/>
      <c r="W694" s="244"/>
      <c r="X694" s="244"/>
      <c r="Y694" s="244"/>
      <c r="Z694" s="244"/>
    </row>
    <row r="695" ht="11.25" customHeight="1">
      <c r="A695" s="244"/>
      <c r="B695" s="244"/>
      <c r="C695" s="266"/>
      <c r="D695" s="266"/>
      <c r="E695" s="266"/>
      <c r="F695" s="266"/>
      <c r="G695" s="266"/>
      <c r="H695" s="266"/>
      <c r="I695" s="266"/>
      <c r="J695" s="266"/>
      <c r="K695" s="244"/>
      <c r="L695" s="244"/>
      <c r="M695" s="244"/>
      <c r="N695" s="244"/>
      <c r="O695" s="244"/>
      <c r="P695" s="244"/>
      <c r="Q695" s="244"/>
      <c r="R695" s="244"/>
      <c r="S695" s="244"/>
      <c r="T695" s="244"/>
      <c r="U695" s="244"/>
      <c r="V695" s="244"/>
      <c r="W695" s="244"/>
      <c r="X695" s="244"/>
      <c r="Y695" s="244"/>
      <c r="Z695" s="244"/>
    </row>
    <row r="696" ht="11.25" customHeight="1">
      <c r="A696" s="244"/>
      <c r="B696" s="244"/>
      <c r="C696" s="266"/>
      <c r="D696" s="266"/>
      <c r="E696" s="266"/>
      <c r="F696" s="266"/>
      <c r="G696" s="266"/>
      <c r="H696" s="266"/>
      <c r="I696" s="266"/>
      <c r="J696" s="266"/>
      <c r="K696" s="244"/>
      <c r="L696" s="244"/>
      <c r="M696" s="244"/>
      <c r="N696" s="244"/>
      <c r="O696" s="244"/>
      <c r="P696" s="244"/>
      <c r="Q696" s="244"/>
      <c r="R696" s="244"/>
      <c r="S696" s="244"/>
      <c r="T696" s="244"/>
      <c r="U696" s="244"/>
      <c r="V696" s="244"/>
      <c r="W696" s="244"/>
      <c r="X696" s="244"/>
      <c r="Y696" s="244"/>
      <c r="Z696" s="244"/>
    </row>
    <row r="697" ht="11.25" customHeight="1">
      <c r="A697" s="244"/>
      <c r="B697" s="244"/>
      <c r="C697" s="266"/>
      <c r="D697" s="266"/>
      <c r="E697" s="266"/>
      <c r="F697" s="266"/>
      <c r="G697" s="266"/>
      <c r="H697" s="266"/>
      <c r="I697" s="266"/>
      <c r="J697" s="266"/>
      <c r="K697" s="244"/>
      <c r="L697" s="244"/>
      <c r="M697" s="244"/>
      <c r="N697" s="244"/>
      <c r="O697" s="244"/>
      <c r="P697" s="244"/>
      <c r="Q697" s="244"/>
      <c r="R697" s="244"/>
      <c r="S697" s="244"/>
      <c r="T697" s="244"/>
      <c r="U697" s="244"/>
      <c r="V697" s="244"/>
      <c r="W697" s="244"/>
      <c r="X697" s="244"/>
      <c r="Y697" s="244"/>
      <c r="Z697" s="244"/>
    </row>
    <row r="698" ht="11.25" customHeight="1">
      <c r="A698" s="244"/>
      <c r="B698" s="244"/>
      <c r="C698" s="266"/>
      <c r="D698" s="266"/>
      <c r="E698" s="266"/>
      <c r="F698" s="266"/>
      <c r="G698" s="266"/>
      <c r="H698" s="266"/>
      <c r="I698" s="266"/>
      <c r="J698" s="266"/>
      <c r="K698" s="244"/>
      <c r="L698" s="244"/>
      <c r="M698" s="244"/>
      <c r="N698" s="244"/>
      <c r="O698" s="244"/>
      <c r="P698" s="244"/>
      <c r="Q698" s="244"/>
      <c r="R698" s="244"/>
      <c r="S698" s="244"/>
      <c r="T698" s="244"/>
      <c r="U698" s="244"/>
      <c r="V698" s="244"/>
      <c r="W698" s="244"/>
      <c r="X698" s="244"/>
      <c r="Y698" s="244"/>
      <c r="Z698" s="244"/>
    </row>
    <row r="699" ht="11.25" customHeight="1">
      <c r="A699" s="244"/>
      <c r="B699" s="244"/>
      <c r="C699" s="266"/>
      <c r="D699" s="266"/>
      <c r="E699" s="266"/>
      <c r="F699" s="266"/>
      <c r="G699" s="266"/>
      <c r="H699" s="266"/>
      <c r="I699" s="266"/>
      <c r="J699" s="266"/>
      <c r="K699" s="244"/>
      <c r="L699" s="244"/>
      <c r="M699" s="244"/>
      <c r="N699" s="244"/>
      <c r="O699" s="244"/>
      <c r="P699" s="244"/>
      <c r="Q699" s="244"/>
      <c r="R699" s="244"/>
      <c r="S699" s="244"/>
      <c r="T699" s="244"/>
      <c r="U699" s="244"/>
      <c r="V699" s="244"/>
      <c r="W699" s="244"/>
      <c r="X699" s="244"/>
      <c r="Y699" s="244"/>
      <c r="Z699" s="244"/>
    </row>
    <row r="700" ht="11.25" customHeight="1">
      <c r="A700" s="244"/>
      <c r="B700" s="244"/>
      <c r="C700" s="266"/>
      <c r="D700" s="266"/>
      <c r="E700" s="266"/>
      <c r="F700" s="266"/>
      <c r="G700" s="266"/>
      <c r="H700" s="266"/>
      <c r="I700" s="266"/>
      <c r="J700" s="266"/>
      <c r="K700" s="244"/>
      <c r="L700" s="244"/>
      <c r="M700" s="244"/>
      <c r="N700" s="244"/>
      <c r="O700" s="244"/>
      <c r="P700" s="244"/>
      <c r="Q700" s="244"/>
      <c r="R700" s="244"/>
      <c r="S700" s="244"/>
      <c r="T700" s="244"/>
      <c r="U700" s="244"/>
      <c r="V700" s="244"/>
      <c r="W700" s="244"/>
      <c r="X700" s="244"/>
      <c r="Y700" s="244"/>
      <c r="Z700" s="244"/>
    </row>
    <row r="701" ht="11.25" customHeight="1">
      <c r="A701" s="244"/>
      <c r="B701" s="244"/>
      <c r="C701" s="266"/>
      <c r="D701" s="266"/>
      <c r="E701" s="266"/>
      <c r="F701" s="266"/>
      <c r="G701" s="266"/>
      <c r="H701" s="266"/>
      <c r="I701" s="266"/>
      <c r="J701" s="266"/>
      <c r="K701" s="244"/>
      <c r="L701" s="244"/>
      <c r="M701" s="244"/>
      <c r="N701" s="244"/>
      <c r="O701" s="244"/>
      <c r="P701" s="244"/>
      <c r="Q701" s="244"/>
      <c r="R701" s="244"/>
      <c r="S701" s="244"/>
      <c r="T701" s="244"/>
      <c r="U701" s="244"/>
      <c r="V701" s="244"/>
      <c r="W701" s="244"/>
      <c r="X701" s="244"/>
      <c r="Y701" s="244"/>
      <c r="Z701" s="244"/>
    </row>
    <row r="702" ht="11.25" customHeight="1">
      <c r="A702" s="244"/>
      <c r="B702" s="244"/>
      <c r="C702" s="266"/>
      <c r="D702" s="266"/>
      <c r="E702" s="266"/>
      <c r="F702" s="266"/>
      <c r="G702" s="266"/>
      <c r="H702" s="266"/>
      <c r="I702" s="266"/>
      <c r="J702" s="266"/>
      <c r="K702" s="244"/>
      <c r="L702" s="244"/>
      <c r="M702" s="244"/>
      <c r="N702" s="244"/>
      <c r="O702" s="244"/>
      <c r="P702" s="244"/>
      <c r="Q702" s="244"/>
      <c r="R702" s="244"/>
      <c r="S702" s="244"/>
      <c r="T702" s="244"/>
      <c r="U702" s="244"/>
      <c r="V702" s="244"/>
      <c r="W702" s="244"/>
      <c r="X702" s="244"/>
      <c r="Y702" s="244"/>
      <c r="Z702" s="244"/>
    </row>
    <row r="703" ht="11.25" customHeight="1">
      <c r="A703" s="244"/>
      <c r="B703" s="244"/>
      <c r="C703" s="266"/>
      <c r="D703" s="266"/>
      <c r="E703" s="266"/>
      <c r="F703" s="266"/>
      <c r="G703" s="266"/>
      <c r="H703" s="266"/>
      <c r="I703" s="266"/>
      <c r="J703" s="266"/>
      <c r="K703" s="244"/>
      <c r="L703" s="244"/>
      <c r="M703" s="244"/>
      <c r="N703" s="244"/>
      <c r="O703" s="244"/>
      <c r="P703" s="244"/>
      <c r="Q703" s="244"/>
      <c r="R703" s="244"/>
      <c r="S703" s="244"/>
      <c r="T703" s="244"/>
      <c r="U703" s="244"/>
      <c r="V703" s="244"/>
      <c r="W703" s="244"/>
      <c r="X703" s="244"/>
      <c r="Y703" s="244"/>
      <c r="Z703" s="244"/>
    </row>
    <row r="704" ht="11.25" customHeight="1">
      <c r="A704" s="244"/>
      <c r="B704" s="244"/>
      <c r="C704" s="266"/>
      <c r="D704" s="266"/>
      <c r="E704" s="266"/>
      <c r="F704" s="266"/>
      <c r="G704" s="266"/>
      <c r="H704" s="266"/>
      <c r="I704" s="266"/>
      <c r="J704" s="266"/>
      <c r="K704" s="244"/>
      <c r="L704" s="244"/>
      <c r="M704" s="244"/>
      <c r="N704" s="244"/>
      <c r="O704" s="244"/>
      <c r="P704" s="244"/>
      <c r="Q704" s="244"/>
      <c r="R704" s="244"/>
      <c r="S704" s="244"/>
      <c r="T704" s="244"/>
      <c r="U704" s="244"/>
      <c r="V704" s="244"/>
      <c r="W704" s="244"/>
      <c r="X704" s="244"/>
      <c r="Y704" s="244"/>
      <c r="Z704" s="244"/>
    </row>
    <row r="705" ht="11.25" customHeight="1">
      <c r="A705" s="244"/>
      <c r="B705" s="244"/>
      <c r="C705" s="266"/>
      <c r="D705" s="266"/>
      <c r="E705" s="266"/>
      <c r="F705" s="266"/>
      <c r="G705" s="266"/>
      <c r="H705" s="266"/>
      <c r="I705" s="266"/>
      <c r="J705" s="266"/>
      <c r="K705" s="244"/>
      <c r="L705" s="244"/>
      <c r="M705" s="244"/>
      <c r="N705" s="244"/>
      <c r="O705" s="244"/>
      <c r="P705" s="244"/>
      <c r="Q705" s="244"/>
      <c r="R705" s="244"/>
      <c r="S705" s="244"/>
      <c r="T705" s="244"/>
      <c r="U705" s="244"/>
      <c r="V705" s="244"/>
      <c r="W705" s="244"/>
      <c r="X705" s="244"/>
      <c r="Y705" s="244"/>
      <c r="Z705" s="244"/>
    </row>
    <row r="706" ht="11.25" customHeight="1">
      <c r="A706" s="244"/>
      <c r="B706" s="244"/>
      <c r="C706" s="266"/>
      <c r="D706" s="266"/>
      <c r="E706" s="266"/>
      <c r="F706" s="266"/>
      <c r="G706" s="266"/>
      <c r="H706" s="266"/>
      <c r="I706" s="266"/>
      <c r="J706" s="266"/>
      <c r="K706" s="244"/>
      <c r="L706" s="244"/>
      <c r="M706" s="244"/>
      <c r="N706" s="244"/>
      <c r="O706" s="244"/>
      <c r="P706" s="244"/>
      <c r="Q706" s="244"/>
      <c r="R706" s="244"/>
      <c r="S706" s="244"/>
      <c r="T706" s="244"/>
      <c r="U706" s="244"/>
      <c r="V706" s="244"/>
      <c r="W706" s="244"/>
      <c r="X706" s="244"/>
      <c r="Y706" s="244"/>
      <c r="Z706" s="244"/>
    </row>
    <row r="707" ht="11.25" customHeight="1">
      <c r="A707" s="244"/>
      <c r="B707" s="244"/>
      <c r="C707" s="266"/>
      <c r="D707" s="266"/>
      <c r="E707" s="266"/>
      <c r="F707" s="266"/>
      <c r="G707" s="266"/>
      <c r="H707" s="266"/>
      <c r="I707" s="266"/>
      <c r="J707" s="266"/>
      <c r="K707" s="244"/>
      <c r="L707" s="244"/>
      <c r="M707" s="244"/>
      <c r="N707" s="244"/>
      <c r="O707" s="244"/>
      <c r="P707" s="244"/>
      <c r="Q707" s="244"/>
      <c r="R707" s="244"/>
      <c r="S707" s="244"/>
      <c r="T707" s="244"/>
      <c r="U707" s="244"/>
      <c r="V707" s="244"/>
      <c r="W707" s="244"/>
      <c r="X707" s="244"/>
      <c r="Y707" s="244"/>
      <c r="Z707" s="244"/>
    </row>
    <row r="708" ht="11.25" customHeight="1">
      <c r="A708" s="244"/>
      <c r="B708" s="244"/>
      <c r="C708" s="266"/>
      <c r="D708" s="266"/>
      <c r="E708" s="266"/>
      <c r="F708" s="266"/>
      <c r="G708" s="266"/>
      <c r="H708" s="266"/>
      <c r="I708" s="266"/>
      <c r="J708" s="266"/>
      <c r="K708" s="244"/>
      <c r="L708" s="244"/>
      <c r="M708" s="244"/>
      <c r="N708" s="244"/>
      <c r="O708" s="244"/>
      <c r="P708" s="244"/>
      <c r="Q708" s="244"/>
      <c r="R708" s="244"/>
      <c r="S708" s="244"/>
      <c r="T708" s="244"/>
      <c r="U708" s="244"/>
      <c r="V708" s="244"/>
      <c r="W708" s="244"/>
      <c r="X708" s="244"/>
      <c r="Y708" s="244"/>
      <c r="Z708" s="244"/>
    </row>
    <row r="709" ht="11.25" customHeight="1">
      <c r="A709" s="244"/>
      <c r="B709" s="244"/>
      <c r="C709" s="266"/>
      <c r="D709" s="266"/>
      <c r="E709" s="266"/>
      <c r="F709" s="266"/>
      <c r="G709" s="266"/>
      <c r="H709" s="266"/>
      <c r="I709" s="266"/>
      <c r="J709" s="266"/>
      <c r="K709" s="244"/>
      <c r="L709" s="244"/>
      <c r="M709" s="244"/>
      <c r="N709" s="244"/>
      <c r="O709" s="244"/>
      <c r="P709" s="244"/>
      <c r="Q709" s="244"/>
      <c r="R709" s="244"/>
      <c r="S709" s="244"/>
      <c r="T709" s="244"/>
      <c r="U709" s="244"/>
      <c r="V709" s="244"/>
      <c r="W709" s="244"/>
      <c r="X709" s="244"/>
      <c r="Y709" s="244"/>
      <c r="Z709" s="244"/>
    </row>
    <row r="710" ht="11.25" customHeight="1">
      <c r="A710" s="244"/>
      <c r="B710" s="244"/>
      <c r="C710" s="266"/>
      <c r="D710" s="266"/>
      <c r="E710" s="266"/>
      <c r="F710" s="266"/>
      <c r="G710" s="266"/>
      <c r="H710" s="266"/>
      <c r="I710" s="266"/>
      <c r="J710" s="266"/>
      <c r="K710" s="244"/>
      <c r="L710" s="244"/>
      <c r="M710" s="244"/>
      <c r="N710" s="244"/>
      <c r="O710" s="244"/>
      <c r="P710" s="244"/>
      <c r="Q710" s="244"/>
      <c r="R710" s="244"/>
      <c r="S710" s="244"/>
      <c r="T710" s="244"/>
      <c r="U710" s="244"/>
      <c r="V710" s="244"/>
      <c r="W710" s="244"/>
      <c r="X710" s="244"/>
      <c r="Y710" s="244"/>
      <c r="Z710" s="244"/>
    </row>
    <row r="711" ht="11.25" customHeight="1">
      <c r="A711" s="244"/>
      <c r="B711" s="244"/>
      <c r="C711" s="266"/>
      <c r="D711" s="266"/>
      <c r="E711" s="266"/>
      <c r="F711" s="266"/>
      <c r="G711" s="266"/>
      <c r="H711" s="266"/>
      <c r="I711" s="266"/>
      <c r="J711" s="266"/>
      <c r="K711" s="244"/>
      <c r="L711" s="244"/>
      <c r="M711" s="244"/>
      <c r="N711" s="244"/>
      <c r="O711" s="244"/>
      <c r="P711" s="244"/>
      <c r="Q711" s="244"/>
      <c r="R711" s="244"/>
      <c r="S711" s="244"/>
      <c r="T711" s="244"/>
      <c r="U711" s="244"/>
      <c r="V711" s="244"/>
      <c r="W711" s="244"/>
      <c r="X711" s="244"/>
      <c r="Y711" s="244"/>
      <c r="Z711" s="244"/>
    </row>
    <row r="712" ht="11.25" customHeight="1">
      <c r="A712" s="244"/>
      <c r="B712" s="244"/>
      <c r="C712" s="266"/>
      <c r="D712" s="266"/>
      <c r="E712" s="266"/>
      <c r="F712" s="266"/>
      <c r="G712" s="266"/>
      <c r="H712" s="266"/>
      <c r="I712" s="266"/>
      <c r="J712" s="266"/>
      <c r="K712" s="244"/>
      <c r="L712" s="244"/>
      <c r="M712" s="244"/>
      <c r="N712" s="244"/>
      <c r="O712" s="244"/>
      <c r="P712" s="244"/>
      <c r="Q712" s="244"/>
      <c r="R712" s="244"/>
      <c r="S712" s="244"/>
      <c r="T712" s="244"/>
      <c r="U712" s="244"/>
      <c r="V712" s="244"/>
      <c r="W712" s="244"/>
      <c r="X712" s="244"/>
      <c r="Y712" s="244"/>
      <c r="Z712" s="244"/>
    </row>
    <row r="713" ht="11.25" customHeight="1">
      <c r="A713" s="244"/>
      <c r="B713" s="244"/>
      <c r="C713" s="266"/>
      <c r="D713" s="266"/>
      <c r="E713" s="266"/>
      <c r="F713" s="266"/>
      <c r="G713" s="266"/>
      <c r="H713" s="266"/>
      <c r="I713" s="266"/>
      <c r="J713" s="266"/>
      <c r="K713" s="244"/>
      <c r="L713" s="244"/>
      <c r="M713" s="244"/>
      <c r="N713" s="244"/>
      <c r="O713" s="244"/>
      <c r="P713" s="244"/>
      <c r="Q713" s="244"/>
      <c r="R713" s="244"/>
      <c r="S713" s="244"/>
      <c r="T713" s="244"/>
      <c r="U713" s="244"/>
      <c r="V713" s="244"/>
      <c r="W713" s="244"/>
      <c r="X713" s="244"/>
      <c r="Y713" s="244"/>
      <c r="Z713" s="244"/>
    </row>
    <row r="714" ht="11.25" customHeight="1">
      <c r="A714" s="244"/>
      <c r="B714" s="244"/>
      <c r="C714" s="266"/>
      <c r="D714" s="266"/>
      <c r="E714" s="266"/>
      <c r="F714" s="266"/>
      <c r="G714" s="266"/>
      <c r="H714" s="266"/>
      <c r="I714" s="266"/>
      <c r="J714" s="266"/>
      <c r="K714" s="244"/>
      <c r="L714" s="244"/>
      <c r="M714" s="244"/>
      <c r="N714" s="244"/>
      <c r="O714" s="244"/>
      <c r="P714" s="244"/>
      <c r="Q714" s="244"/>
      <c r="R714" s="244"/>
      <c r="S714" s="244"/>
      <c r="T714" s="244"/>
      <c r="U714" s="244"/>
      <c r="V714" s="244"/>
      <c r="W714" s="244"/>
      <c r="X714" s="244"/>
      <c r="Y714" s="244"/>
      <c r="Z714" s="244"/>
    </row>
    <row r="715" ht="11.25" customHeight="1">
      <c r="A715" s="244"/>
      <c r="B715" s="244"/>
      <c r="C715" s="266"/>
      <c r="D715" s="266"/>
      <c r="E715" s="266"/>
      <c r="F715" s="266"/>
      <c r="G715" s="266"/>
      <c r="H715" s="266"/>
      <c r="I715" s="266"/>
      <c r="J715" s="266"/>
      <c r="K715" s="244"/>
      <c r="L715" s="244"/>
      <c r="M715" s="244"/>
      <c r="N715" s="244"/>
      <c r="O715" s="244"/>
      <c r="P715" s="244"/>
      <c r="Q715" s="244"/>
      <c r="R715" s="244"/>
      <c r="S715" s="244"/>
      <c r="T715" s="244"/>
      <c r="U715" s="244"/>
      <c r="V715" s="244"/>
      <c r="W715" s="244"/>
      <c r="X715" s="244"/>
      <c r="Y715" s="244"/>
      <c r="Z715" s="244"/>
    </row>
    <row r="716" ht="11.25" customHeight="1">
      <c r="A716" s="244"/>
      <c r="B716" s="244"/>
      <c r="C716" s="266"/>
      <c r="D716" s="266"/>
      <c r="E716" s="266"/>
      <c r="F716" s="266"/>
      <c r="G716" s="266"/>
      <c r="H716" s="266"/>
      <c r="I716" s="266"/>
      <c r="J716" s="266"/>
      <c r="K716" s="244"/>
      <c r="L716" s="244"/>
      <c r="M716" s="244"/>
      <c r="N716" s="244"/>
      <c r="O716" s="244"/>
      <c r="P716" s="244"/>
      <c r="Q716" s="244"/>
      <c r="R716" s="244"/>
      <c r="S716" s="244"/>
      <c r="T716" s="244"/>
      <c r="U716" s="244"/>
      <c r="V716" s="244"/>
      <c r="W716" s="244"/>
      <c r="X716" s="244"/>
      <c r="Y716" s="244"/>
      <c r="Z716" s="244"/>
    </row>
    <row r="717" ht="11.25" customHeight="1">
      <c r="A717" s="244"/>
      <c r="B717" s="244"/>
      <c r="C717" s="266"/>
      <c r="D717" s="266"/>
      <c r="E717" s="266"/>
      <c r="F717" s="266"/>
      <c r="G717" s="266"/>
      <c r="H717" s="266"/>
      <c r="I717" s="266"/>
      <c r="J717" s="266"/>
      <c r="K717" s="244"/>
      <c r="L717" s="244"/>
      <c r="M717" s="244"/>
      <c r="N717" s="244"/>
      <c r="O717" s="244"/>
      <c r="P717" s="244"/>
      <c r="Q717" s="244"/>
      <c r="R717" s="244"/>
      <c r="S717" s="244"/>
      <c r="T717" s="244"/>
      <c r="U717" s="244"/>
      <c r="V717" s="244"/>
      <c r="W717" s="244"/>
      <c r="X717" s="244"/>
      <c r="Y717" s="244"/>
      <c r="Z717" s="244"/>
    </row>
    <row r="718" ht="11.25" customHeight="1">
      <c r="A718" s="244"/>
      <c r="B718" s="244"/>
      <c r="C718" s="266"/>
      <c r="D718" s="266"/>
      <c r="E718" s="266"/>
      <c r="F718" s="266"/>
      <c r="G718" s="266"/>
      <c r="H718" s="266"/>
      <c r="I718" s="266"/>
      <c r="J718" s="266"/>
      <c r="K718" s="244"/>
      <c r="L718" s="244"/>
      <c r="M718" s="244"/>
      <c r="N718" s="244"/>
      <c r="O718" s="244"/>
      <c r="P718" s="244"/>
      <c r="Q718" s="244"/>
      <c r="R718" s="244"/>
      <c r="S718" s="244"/>
      <c r="T718" s="244"/>
      <c r="U718" s="244"/>
      <c r="V718" s="244"/>
      <c r="W718" s="244"/>
      <c r="X718" s="244"/>
      <c r="Y718" s="244"/>
      <c r="Z718" s="244"/>
    </row>
    <row r="719" ht="11.25" customHeight="1">
      <c r="A719" s="244"/>
      <c r="B719" s="244"/>
      <c r="C719" s="266"/>
      <c r="D719" s="266"/>
      <c r="E719" s="266"/>
      <c r="F719" s="266"/>
      <c r="G719" s="266"/>
      <c r="H719" s="266"/>
      <c r="I719" s="266"/>
      <c r="J719" s="266"/>
      <c r="K719" s="244"/>
      <c r="L719" s="244"/>
      <c r="M719" s="244"/>
      <c r="N719" s="244"/>
      <c r="O719" s="244"/>
      <c r="P719" s="244"/>
      <c r="Q719" s="244"/>
      <c r="R719" s="244"/>
      <c r="S719" s="244"/>
      <c r="T719" s="244"/>
      <c r="U719" s="244"/>
      <c r="V719" s="244"/>
      <c r="W719" s="244"/>
      <c r="X719" s="244"/>
      <c r="Y719" s="244"/>
      <c r="Z719" s="244"/>
    </row>
    <row r="720" ht="11.25" customHeight="1">
      <c r="A720" s="244"/>
      <c r="B720" s="244"/>
      <c r="C720" s="266"/>
      <c r="D720" s="266"/>
      <c r="E720" s="266"/>
      <c r="F720" s="266"/>
      <c r="G720" s="266"/>
      <c r="H720" s="266"/>
      <c r="I720" s="266"/>
      <c r="J720" s="266"/>
      <c r="K720" s="244"/>
      <c r="L720" s="244"/>
      <c r="M720" s="244"/>
      <c r="N720" s="244"/>
      <c r="O720" s="244"/>
      <c r="P720" s="244"/>
      <c r="Q720" s="244"/>
      <c r="R720" s="244"/>
      <c r="S720" s="244"/>
      <c r="T720" s="244"/>
      <c r="U720" s="244"/>
      <c r="V720" s="244"/>
      <c r="W720" s="244"/>
      <c r="X720" s="244"/>
      <c r="Y720" s="244"/>
      <c r="Z720" s="244"/>
    </row>
    <row r="721" ht="11.25" customHeight="1">
      <c r="A721" s="244"/>
      <c r="B721" s="244"/>
      <c r="C721" s="266"/>
      <c r="D721" s="266"/>
      <c r="E721" s="266"/>
      <c r="F721" s="266"/>
      <c r="G721" s="266"/>
      <c r="H721" s="266"/>
      <c r="I721" s="266"/>
      <c r="J721" s="266"/>
      <c r="K721" s="244"/>
      <c r="L721" s="244"/>
      <c r="M721" s="244"/>
      <c r="N721" s="244"/>
      <c r="O721" s="244"/>
      <c r="P721" s="244"/>
      <c r="Q721" s="244"/>
      <c r="R721" s="244"/>
      <c r="S721" s="244"/>
      <c r="T721" s="244"/>
      <c r="U721" s="244"/>
      <c r="V721" s="244"/>
      <c r="W721" s="244"/>
      <c r="X721" s="244"/>
      <c r="Y721" s="244"/>
      <c r="Z721" s="244"/>
    </row>
    <row r="722" ht="11.25" customHeight="1">
      <c r="A722" s="244"/>
      <c r="B722" s="244"/>
      <c r="C722" s="266"/>
      <c r="D722" s="266"/>
      <c r="E722" s="266"/>
      <c r="F722" s="266"/>
      <c r="G722" s="266"/>
      <c r="H722" s="266"/>
      <c r="I722" s="266"/>
      <c r="J722" s="266"/>
      <c r="K722" s="244"/>
      <c r="L722" s="244"/>
      <c r="M722" s="244"/>
      <c r="N722" s="244"/>
      <c r="O722" s="244"/>
      <c r="P722" s="244"/>
      <c r="Q722" s="244"/>
      <c r="R722" s="244"/>
      <c r="S722" s="244"/>
      <c r="T722" s="244"/>
      <c r="U722" s="244"/>
      <c r="V722" s="244"/>
      <c r="W722" s="244"/>
      <c r="X722" s="244"/>
      <c r="Y722" s="244"/>
      <c r="Z722" s="244"/>
    </row>
    <row r="723" ht="11.25" customHeight="1">
      <c r="A723" s="244"/>
      <c r="B723" s="244"/>
      <c r="C723" s="266"/>
      <c r="D723" s="266"/>
      <c r="E723" s="266"/>
      <c r="F723" s="266"/>
      <c r="G723" s="266"/>
      <c r="H723" s="266"/>
      <c r="I723" s="266"/>
      <c r="J723" s="266"/>
      <c r="K723" s="244"/>
      <c r="L723" s="244"/>
      <c r="M723" s="244"/>
      <c r="N723" s="244"/>
      <c r="O723" s="244"/>
      <c r="P723" s="244"/>
      <c r="Q723" s="244"/>
      <c r="R723" s="244"/>
      <c r="S723" s="244"/>
      <c r="T723" s="244"/>
      <c r="U723" s="244"/>
      <c r="V723" s="244"/>
      <c r="W723" s="244"/>
      <c r="X723" s="244"/>
      <c r="Y723" s="244"/>
      <c r="Z723" s="244"/>
    </row>
    <row r="724" ht="11.25" customHeight="1">
      <c r="A724" s="244"/>
      <c r="B724" s="244"/>
      <c r="C724" s="266"/>
      <c r="D724" s="266"/>
      <c r="E724" s="266"/>
      <c r="F724" s="266"/>
      <c r="G724" s="266"/>
      <c r="H724" s="266"/>
      <c r="I724" s="266"/>
      <c r="J724" s="266"/>
      <c r="K724" s="244"/>
      <c r="L724" s="244"/>
      <c r="M724" s="244"/>
      <c r="N724" s="244"/>
      <c r="O724" s="244"/>
      <c r="P724" s="244"/>
      <c r="Q724" s="244"/>
      <c r="R724" s="244"/>
      <c r="S724" s="244"/>
      <c r="T724" s="244"/>
      <c r="U724" s="244"/>
      <c r="V724" s="244"/>
      <c r="W724" s="244"/>
      <c r="X724" s="244"/>
      <c r="Y724" s="244"/>
      <c r="Z724" s="244"/>
    </row>
    <row r="725" ht="11.25" customHeight="1">
      <c r="A725" s="244"/>
      <c r="B725" s="244"/>
      <c r="C725" s="266"/>
      <c r="D725" s="266"/>
      <c r="E725" s="266"/>
      <c r="F725" s="266"/>
      <c r="G725" s="266"/>
      <c r="H725" s="266"/>
      <c r="I725" s="266"/>
      <c r="J725" s="266"/>
      <c r="K725" s="244"/>
      <c r="L725" s="244"/>
      <c r="M725" s="244"/>
      <c r="N725" s="244"/>
      <c r="O725" s="244"/>
      <c r="P725" s="244"/>
      <c r="Q725" s="244"/>
      <c r="R725" s="244"/>
      <c r="S725" s="244"/>
      <c r="T725" s="244"/>
      <c r="U725" s="244"/>
      <c r="V725" s="244"/>
      <c r="W725" s="244"/>
      <c r="X725" s="244"/>
      <c r="Y725" s="244"/>
      <c r="Z725" s="244"/>
    </row>
    <row r="726" ht="11.25" customHeight="1">
      <c r="A726" s="244"/>
      <c r="B726" s="244"/>
      <c r="C726" s="266"/>
      <c r="D726" s="266"/>
      <c r="E726" s="266"/>
      <c r="F726" s="266"/>
      <c r="G726" s="266"/>
      <c r="H726" s="266"/>
      <c r="I726" s="266"/>
      <c r="J726" s="266"/>
      <c r="K726" s="244"/>
      <c r="L726" s="244"/>
      <c r="M726" s="244"/>
      <c r="N726" s="244"/>
      <c r="O726" s="244"/>
      <c r="P726" s="244"/>
      <c r="Q726" s="244"/>
      <c r="R726" s="244"/>
      <c r="S726" s="244"/>
      <c r="T726" s="244"/>
      <c r="U726" s="244"/>
      <c r="V726" s="244"/>
      <c r="W726" s="244"/>
      <c r="X726" s="244"/>
      <c r="Y726" s="244"/>
      <c r="Z726" s="244"/>
    </row>
    <row r="727" ht="11.25" customHeight="1">
      <c r="A727" s="244"/>
      <c r="B727" s="244"/>
      <c r="C727" s="266"/>
      <c r="D727" s="266"/>
      <c r="E727" s="266"/>
      <c r="F727" s="266"/>
      <c r="G727" s="266"/>
      <c r="H727" s="266"/>
      <c r="I727" s="266"/>
      <c r="J727" s="266"/>
      <c r="K727" s="244"/>
      <c r="L727" s="244"/>
      <c r="M727" s="244"/>
      <c r="N727" s="244"/>
      <c r="O727" s="244"/>
      <c r="P727" s="244"/>
      <c r="Q727" s="244"/>
      <c r="R727" s="244"/>
      <c r="S727" s="244"/>
      <c r="T727" s="244"/>
      <c r="U727" s="244"/>
      <c r="V727" s="244"/>
      <c r="W727" s="244"/>
      <c r="X727" s="244"/>
      <c r="Y727" s="244"/>
      <c r="Z727" s="244"/>
    </row>
    <row r="728" ht="11.25" customHeight="1">
      <c r="A728" s="244"/>
      <c r="B728" s="244"/>
      <c r="C728" s="266"/>
      <c r="D728" s="266"/>
      <c r="E728" s="266"/>
      <c r="F728" s="266"/>
      <c r="G728" s="266"/>
      <c r="H728" s="266"/>
      <c r="I728" s="266"/>
      <c r="J728" s="266"/>
      <c r="K728" s="244"/>
      <c r="L728" s="244"/>
      <c r="M728" s="244"/>
      <c r="N728" s="244"/>
      <c r="O728" s="244"/>
      <c r="P728" s="244"/>
      <c r="Q728" s="244"/>
      <c r="R728" s="244"/>
      <c r="S728" s="244"/>
      <c r="T728" s="244"/>
      <c r="U728" s="244"/>
      <c r="V728" s="244"/>
      <c r="W728" s="244"/>
      <c r="X728" s="244"/>
      <c r="Y728" s="244"/>
      <c r="Z728" s="244"/>
    </row>
    <row r="729" ht="11.25" customHeight="1">
      <c r="A729" s="244"/>
      <c r="B729" s="244"/>
      <c r="C729" s="266"/>
      <c r="D729" s="266"/>
      <c r="E729" s="266"/>
      <c r="F729" s="266"/>
      <c r="G729" s="266"/>
      <c r="H729" s="266"/>
      <c r="I729" s="266"/>
      <c r="J729" s="266"/>
      <c r="K729" s="244"/>
      <c r="L729" s="244"/>
      <c r="M729" s="244"/>
      <c r="N729" s="244"/>
      <c r="O729" s="244"/>
      <c r="P729" s="244"/>
      <c r="Q729" s="244"/>
      <c r="R729" s="244"/>
      <c r="S729" s="244"/>
      <c r="T729" s="244"/>
      <c r="U729" s="244"/>
      <c r="V729" s="244"/>
      <c r="W729" s="244"/>
      <c r="X729" s="244"/>
      <c r="Y729" s="244"/>
      <c r="Z729" s="244"/>
    </row>
    <row r="730" ht="11.25" customHeight="1">
      <c r="A730" s="244"/>
      <c r="B730" s="244"/>
      <c r="C730" s="266"/>
      <c r="D730" s="266"/>
      <c r="E730" s="266"/>
      <c r="F730" s="266"/>
      <c r="G730" s="266"/>
      <c r="H730" s="266"/>
      <c r="I730" s="266"/>
      <c r="J730" s="266"/>
      <c r="K730" s="244"/>
      <c r="L730" s="244"/>
      <c r="M730" s="244"/>
      <c r="N730" s="244"/>
      <c r="O730" s="244"/>
      <c r="P730" s="244"/>
      <c r="Q730" s="244"/>
      <c r="R730" s="244"/>
      <c r="S730" s="244"/>
      <c r="T730" s="244"/>
      <c r="U730" s="244"/>
      <c r="V730" s="244"/>
      <c r="W730" s="244"/>
      <c r="X730" s="244"/>
      <c r="Y730" s="244"/>
      <c r="Z730" s="244"/>
    </row>
    <row r="731" ht="11.25" customHeight="1">
      <c r="A731" s="244"/>
      <c r="B731" s="244"/>
      <c r="C731" s="266"/>
      <c r="D731" s="266"/>
      <c r="E731" s="266"/>
      <c r="F731" s="266"/>
      <c r="G731" s="266"/>
      <c r="H731" s="266"/>
      <c r="I731" s="266"/>
      <c r="J731" s="266"/>
      <c r="K731" s="244"/>
      <c r="L731" s="244"/>
      <c r="M731" s="244"/>
      <c r="N731" s="244"/>
      <c r="O731" s="244"/>
      <c r="P731" s="244"/>
      <c r="Q731" s="244"/>
      <c r="R731" s="244"/>
      <c r="S731" s="244"/>
      <c r="T731" s="244"/>
      <c r="U731" s="244"/>
      <c r="V731" s="244"/>
      <c r="W731" s="244"/>
      <c r="X731" s="244"/>
      <c r="Y731" s="244"/>
      <c r="Z731" s="244"/>
    </row>
    <row r="732" ht="11.25" customHeight="1">
      <c r="A732" s="244"/>
      <c r="B732" s="244"/>
      <c r="C732" s="266"/>
      <c r="D732" s="266"/>
      <c r="E732" s="266"/>
      <c r="F732" s="266"/>
      <c r="G732" s="266"/>
      <c r="H732" s="266"/>
      <c r="I732" s="266"/>
      <c r="J732" s="266"/>
      <c r="K732" s="244"/>
      <c r="L732" s="244"/>
      <c r="M732" s="244"/>
      <c r="N732" s="244"/>
      <c r="O732" s="244"/>
      <c r="P732" s="244"/>
      <c r="Q732" s="244"/>
      <c r="R732" s="244"/>
      <c r="S732" s="244"/>
      <c r="T732" s="244"/>
      <c r="U732" s="244"/>
      <c r="V732" s="244"/>
      <c r="W732" s="244"/>
      <c r="X732" s="244"/>
      <c r="Y732" s="244"/>
      <c r="Z732" s="244"/>
    </row>
    <row r="733" ht="11.25" customHeight="1">
      <c r="A733" s="244"/>
      <c r="B733" s="244"/>
      <c r="C733" s="266"/>
      <c r="D733" s="266"/>
      <c r="E733" s="266"/>
      <c r="F733" s="266"/>
      <c r="G733" s="266"/>
      <c r="H733" s="266"/>
      <c r="I733" s="266"/>
      <c r="J733" s="266"/>
      <c r="K733" s="244"/>
      <c r="L733" s="244"/>
      <c r="M733" s="244"/>
      <c r="N733" s="244"/>
      <c r="O733" s="244"/>
      <c r="P733" s="244"/>
      <c r="Q733" s="244"/>
      <c r="R733" s="244"/>
      <c r="S733" s="244"/>
      <c r="T733" s="244"/>
      <c r="U733" s="244"/>
      <c r="V733" s="244"/>
      <c r="W733" s="244"/>
      <c r="X733" s="244"/>
      <c r="Y733" s="244"/>
      <c r="Z733" s="244"/>
    </row>
    <row r="734" ht="11.25" customHeight="1">
      <c r="A734" s="244"/>
      <c r="B734" s="244"/>
      <c r="C734" s="266"/>
      <c r="D734" s="266"/>
      <c r="E734" s="266"/>
      <c r="F734" s="266"/>
      <c r="G734" s="266"/>
      <c r="H734" s="266"/>
      <c r="I734" s="266"/>
      <c r="J734" s="266"/>
      <c r="K734" s="244"/>
      <c r="L734" s="244"/>
      <c r="M734" s="244"/>
      <c r="N734" s="244"/>
      <c r="O734" s="244"/>
      <c r="P734" s="244"/>
      <c r="Q734" s="244"/>
      <c r="R734" s="244"/>
      <c r="S734" s="244"/>
      <c r="T734" s="244"/>
      <c r="U734" s="244"/>
      <c r="V734" s="244"/>
      <c r="W734" s="244"/>
      <c r="X734" s="244"/>
      <c r="Y734" s="244"/>
      <c r="Z734" s="244"/>
    </row>
    <row r="735" ht="11.25" customHeight="1">
      <c r="A735" s="244"/>
      <c r="B735" s="244"/>
      <c r="C735" s="266"/>
      <c r="D735" s="266"/>
      <c r="E735" s="266"/>
      <c r="F735" s="266"/>
      <c r="G735" s="266"/>
      <c r="H735" s="266"/>
      <c r="I735" s="266"/>
      <c r="J735" s="266"/>
      <c r="K735" s="244"/>
      <c r="L735" s="244"/>
      <c r="M735" s="244"/>
      <c r="N735" s="244"/>
      <c r="O735" s="244"/>
      <c r="P735" s="244"/>
      <c r="Q735" s="244"/>
      <c r="R735" s="244"/>
      <c r="S735" s="244"/>
      <c r="T735" s="244"/>
      <c r="U735" s="244"/>
      <c r="V735" s="244"/>
      <c r="W735" s="244"/>
      <c r="X735" s="244"/>
      <c r="Y735" s="244"/>
      <c r="Z735" s="244"/>
    </row>
    <row r="736" ht="11.25" customHeight="1">
      <c r="A736" s="244"/>
      <c r="B736" s="244"/>
      <c r="C736" s="266"/>
      <c r="D736" s="266"/>
      <c r="E736" s="266"/>
      <c r="F736" s="266"/>
      <c r="G736" s="266"/>
      <c r="H736" s="266"/>
      <c r="I736" s="266"/>
      <c r="J736" s="266"/>
      <c r="K736" s="244"/>
      <c r="L736" s="244"/>
      <c r="M736" s="244"/>
      <c r="N736" s="244"/>
      <c r="O736" s="244"/>
      <c r="P736" s="244"/>
      <c r="Q736" s="244"/>
      <c r="R736" s="244"/>
      <c r="S736" s="244"/>
      <c r="T736" s="244"/>
      <c r="U736" s="244"/>
      <c r="V736" s="244"/>
      <c r="W736" s="244"/>
      <c r="X736" s="244"/>
      <c r="Y736" s="244"/>
      <c r="Z736" s="244"/>
    </row>
    <row r="737" ht="11.25" customHeight="1">
      <c r="A737" s="244"/>
      <c r="B737" s="244"/>
      <c r="C737" s="266"/>
      <c r="D737" s="266"/>
      <c r="E737" s="266"/>
      <c r="F737" s="266"/>
      <c r="G737" s="266"/>
      <c r="H737" s="266"/>
      <c r="I737" s="266"/>
      <c r="J737" s="266"/>
      <c r="K737" s="244"/>
      <c r="L737" s="244"/>
      <c r="M737" s="244"/>
      <c r="N737" s="244"/>
      <c r="O737" s="244"/>
      <c r="P737" s="244"/>
      <c r="Q737" s="244"/>
      <c r="R737" s="244"/>
      <c r="S737" s="244"/>
      <c r="T737" s="244"/>
      <c r="U737" s="244"/>
      <c r="V737" s="244"/>
      <c r="W737" s="244"/>
      <c r="X737" s="244"/>
      <c r="Y737" s="244"/>
      <c r="Z737" s="244"/>
    </row>
    <row r="738" ht="11.25" customHeight="1">
      <c r="A738" s="244"/>
      <c r="B738" s="244"/>
      <c r="C738" s="266"/>
      <c r="D738" s="266"/>
      <c r="E738" s="266"/>
      <c r="F738" s="266"/>
      <c r="G738" s="266"/>
      <c r="H738" s="266"/>
      <c r="I738" s="266"/>
      <c r="J738" s="266"/>
      <c r="K738" s="244"/>
      <c r="L738" s="244"/>
      <c r="M738" s="244"/>
      <c r="N738" s="244"/>
      <c r="O738" s="244"/>
      <c r="P738" s="244"/>
      <c r="Q738" s="244"/>
      <c r="R738" s="244"/>
      <c r="S738" s="244"/>
      <c r="T738" s="244"/>
      <c r="U738" s="244"/>
      <c r="V738" s="244"/>
      <c r="W738" s="244"/>
      <c r="X738" s="244"/>
      <c r="Y738" s="244"/>
      <c r="Z738" s="244"/>
    </row>
    <row r="739" ht="11.25" customHeight="1">
      <c r="A739" s="244"/>
      <c r="B739" s="244"/>
      <c r="C739" s="266"/>
      <c r="D739" s="266"/>
      <c r="E739" s="266"/>
      <c r="F739" s="266"/>
      <c r="G739" s="266"/>
      <c r="H739" s="266"/>
      <c r="I739" s="266"/>
      <c r="J739" s="266"/>
      <c r="K739" s="244"/>
      <c r="L739" s="244"/>
      <c r="M739" s="244"/>
      <c r="N739" s="244"/>
      <c r="O739" s="244"/>
      <c r="P739" s="244"/>
      <c r="Q739" s="244"/>
      <c r="R739" s="244"/>
      <c r="S739" s="244"/>
      <c r="T739" s="244"/>
      <c r="U739" s="244"/>
      <c r="V739" s="244"/>
      <c r="W739" s="244"/>
      <c r="X739" s="244"/>
      <c r="Y739" s="244"/>
      <c r="Z739" s="244"/>
    </row>
    <row r="740" ht="11.25" customHeight="1">
      <c r="A740" s="244"/>
      <c r="B740" s="244"/>
      <c r="C740" s="266"/>
      <c r="D740" s="266"/>
      <c r="E740" s="266"/>
      <c r="F740" s="266"/>
      <c r="G740" s="266"/>
      <c r="H740" s="266"/>
      <c r="I740" s="266"/>
      <c r="J740" s="266"/>
      <c r="K740" s="244"/>
      <c r="L740" s="244"/>
      <c r="M740" s="244"/>
      <c r="N740" s="244"/>
      <c r="O740" s="244"/>
      <c r="P740" s="244"/>
      <c r="Q740" s="244"/>
      <c r="R740" s="244"/>
      <c r="S740" s="244"/>
      <c r="T740" s="244"/>
      <c r="U740" s="244"/>
      <c r="V740" s="244"/>
      <c r="W740" s="244"/>
      <c r="X740" s="244"/>
      <c r="Y740" s="244"/>
      <c r="Z740" s="244"/>
    </row>
    <row r="741" ht="11.25" customHeight="1">
      <c r="A741" s="244"/>
      <c r="B741" s="244"/>
      <c r="C741" s="266"/>
      <c r="D741" s="266"/>
      <c r="E741" s="266"/>
      <c r="F741" s="266"/>
      <c r="G741" s="266"/>
      <c r="H741" s="266"/>
      <c r="I741" s="266"/>
      <c r="J741" s="266"/>
      <c r="K741" s="244"/>
      <c r="L741" s="244"/>
      <c r="M741" s="244"/>
      <c r="N741" s="244"/>
      <c r="O741" s="244"/>
      <c r="P741" s="244"/>
      <c r="Q741" s="244"/>
      <c r="R741" s="244"/>
      <c r="S741" s="244"/>
      <c r="T741" s="244"/>
      <c r="U741" s="244"/>
      <c r="V741" s="244"/>
      <c r="W741" s="244"/>
      <c r="X741" s="244"/>
      <c r="Y741" s="244"/>
      <c r="Z741" s="244"/>
    </row>
    <row r="742" ht="11.25" customHeight="1">
      <c r="A742" s="244"/>
      <c r="B742" s="244"/>
      <c r="C742" s="266"/>
      <c r="D742" s="266"/>
      <c r="E742" s="266"/>
      <c r="F742" s="266"/>
      <c r="G742" s="266"/>
      <c r="H742" s="266"/>
      <c r="I742" s="266"/>
      <c r="J742" s="266"/>
      <c r="K742" s="244"/>
      <c r="L742" s="244"/>
      <c r="M742" s="244"/>
      <c r="N742" s="244"/>
      <c r="O742" s="244"/>
      <c r="P742" s="244"/>
      <c r="Q742" s="244"/>
      <c r="R742" s="244"/>
      <c r="S742" s="244"/>
      <c r="T742" s="244"/>
      <c r="U742" s="244"/>
      <c r="V742" s="244"/>
      <c r="W742" s="244"/>
      <c r="X742" s="244"/>
      <c r="Y742" s="244"/>
      <c r="Z742" s="244"/>
    </row>
    <row r="743" ht="11.25" customHeight="1">
      <c r="A743" s="244"/>
      <c r="B743" s="244"/>
      <c r="C743" s="266"/>
      <c r="D743" s="266"/>
      <c r="E743" s="266"/>
      <c r="F743" s="266"/>
      <c r="G743" s="266"/>
      <c r="H743" s="266"/>
      <c r="I743" s="266"/>
      <c r="J743" s="266"/>
      <c r="K743" s="244"/>
      <c r="L743" s="244"/>
      <c r="M743" s="244"/>
      <c r="N743" s="244"/>
      <c r="O743" s="244"/>
      <c r="P743" s="244"/>
      <c r="Q743" s="244"/>
      <c r="R743" s="244"/>
      <c r="S743" s="244"/>
      <c r="T743" s="244"/>
      <c r="U743" s="244"/>
      <c r="V743" s="244"/>
      <c r="W743" s="244"/>
      <c r="X743" s="244"/>
      <c r="Y743" s="244"/>
      <c r="Z743" s="244"/>
    </row>
    <row r="744" ht="11.25" customHeight="1">
      <c r="A744" s="244"/>
      <c r="B744" s="244"/>
      <c r="C744" s="266"/>
      <c r="D744" s="266"/>
      <c r="E744" s="266"/>
      <c r="F744" s="266"/>
      <c r="G744" s="266"/>
      <c r="H744" s="266"/>
      <c r="I744" s="266"/>
      <c r="J744" s="266"/>
      <c r="K744" s="244"/>
      <c r="L744" s="244"/>
      <c r="M744" s="244"/>
      <c r="N744" s="244"/>
      <c r="O744" s="244"/>
      <c r="P744" s="244"/>
      <c r="Q744" s="244"/>
      <c r="R744" s="244"/>
      <c r="S744" s="244"/>
      <c r="T744" s="244"/>
      <c r="U744" s="244"/>
      <c r="V744" s="244"/>
      <c r="W744" s="244"/>
      <c r="X744" s="244"/>
      <c r="Y744" s="244"/>
      <c r="Z744" s="244"/>
    </row>
    <row r="745" ht="11.25" customHeight="1">
      <c r="A745" s="244"/>
      <c r="B745" s="244"/>
      <c r="C745" s="266"/>
      <c r="D745" s="266"/>
      <c r="E745" s="266"/>
      <c r="F745" s="266"/>
      <c r="G745" s="266"/>
      <c r="H745" s="266"/>
      <c r="I745" s="266"/>
      <c r="J745" s="266"/>
      <c r="K745" s="244"/>
      <c r="L745" s="244"/>
      <c r="M745" s="244"/>
      <c r="N745" s="244"/>
      <c r="O745" s="244"/>
      <c r="P745" s="244"/>
      <c r="Q745" s="244"/>
      <c r="R745" s="244"/>
      <c r="S745" s="244"/>
      <c r="T745" s="244"/>
      <c r="U745" s="244"/>
      <c r="V745" s="244"/>
      <c r="W745" s="244"/>
      <c r="X745" s="244"/>
      <c r="Y745" s="244"/>
      <c r="Z745" s="244"/>
    </row>
    <row r="746" ht="11.25" customHeight="1">
      <c r="A746" s="244"/>
      <c r="B746" s="244"/>
      <c r="C746" s="266"/>
      <c r="D746" s="266"/>
      <c r="E746" s="266"/>
      <c r="F746" s="266"/>
      <c r="G746" s="266"/>
      <c r="H746" s="266"/>
      <c r="I746" s="266"/>
      <c r="J746" s="266"/>
      <c r="K746" s="244"/>
      <c r="L746" s="244"/>
      <c r="M746" s="244"/>
      <c r="N746" s="244"/>
      <c r="O746" s="244"/>
      <c r="P746" s="244"/>
      <c r="Q746" s="244"/>
      <c r="R746" s="244"/>
      <c r="S746" s="244"/>
      <c r="T746" s="244"/>
      <c r="U746" s="244"/>
      <c r="V746" s="244"/>
      <c r="W746" s="244"/>
      <c r="X746" s="244"/>
      <c r="Y746" s="244"/>
      <c r="Z746" s="244"/>
    </row>
    <row r="747" ht="11.25" customHeight="1">
      <c r="A747" s="244"/>
      <c r="B747" s="244"/>
      <c r="C747" s="266"/>
      <c r="D747" s="266"/>
      <c r="E747" s="266"/>
      <c r="F747" s="266"/>
      <c r="G747" s="266"/>
      <c r="H747" s="266"/>
      <c r="I747" s="266"/>
      <c r="J747" s="266"/>
      <c r="K747" s="244"/>
      <c r="L747" s="244"/>
      <c r="M747" s="244"/>
      <c r="N747" s="244"/>
      <c r="O747" s="244"/>
      <c r="P747" s="244"/>
      <c r="Q747" s="244"/>
      <c r="R747" s="244"/>
      <c r="S747" s="244"/>
      <c r="T747" s="244"/>
      <c r="U747" s="244"/>
      <c r="V747" s="244"/>
      <c r="W747" s="244"/>
      <c r="X747" s="244"/>
      <c r="Y747" s="244"/>
      <c r="Z747" s="244"/>
    </row>
    <row r="748" ht="11.25" customHeight="1">
      <c r="A748" s="244"/>
      <c r="B748" s="244"/>
      <c r="C748" s="266"/>
      <c r="D748" s="266"/>
      <c r="E748" s="266"/>
      <c r="F748" s="266"/>
      <c r="G748" s="266"/>
      <c r="H748" s="266"/>
      <c r="I748" s="266"/>
      <c r="J748" s="266"/>
      <c r="K748" s="244"/>
      <c r="L748" s="244"/>
      <c r="M748" s="244"/>
      <c r="N748" s="244"/>
      <c r="O748" s="244"/>
      <c r="P748" s="244"/>
      <c r="Q748" s="244"/>
      <c r="R748" s="244"/>
      <c r="S748" s="244"/>
      <c r="T748" s="244"/>
      <c r="U748" s="244"/>
      <c r="V748" s="244"/>
      <c r="W748" s="244"/>
      <c r="X748" s="244"/>
      <c r="Y748" s="244"/>
      <c r="Z748" s="244"/>
    </row>
    <row r="749" ht="11.25" customHeight="1">
      <c r="A749" s="244"/>
      <c r="B749" s="244"/>
      <c r="C749" s="266"/>
      <c r="D749" s="266"/>
      <c r="E749" s="266"/>
      <c r="F749" s="266"/>
      <c r="G749" s="266"/>
      <c r="H749" s="266"/>
      <c r="I749" s="266"/>
      <c r="J749" s="266"/>
      <c r="K749" s="244"/>
      <c r="L749" s="244"/>
      <c r="M749" s="244"/>
      <c r="N749" s="244"/>
      <c r="O749" s="244"/>
      <c r="P749" s="244"/>
      <c r="Q749" s="244"/>
      <c r="R749" s="244"/>
      <c r="S749" s="244"/>
      <c r="T749" s="244"/>
      <c r="U749" s="244"/>
      <c r="V749" s="244"/>
      <c r="W749" s="244"/>
      <c r="X749" s="244"/>
      <c r="Y749" s="244"/>
      <c r="Z749" s="244"/>
    </row>
    <row r="750" ht="11.25" customHeight="1">
      <c r="A750" s="244"/>
      <c r="B750" s="244"/>
      <c r="C750" s="266"/>
      <c r="D750" s="266"/>
      <c r="E750" s="266"/>
      <c r="F750" s="266"/>
      <c r="G750" s="266"/>
      <c r="H750" s="266"/>
      <c r="I750" s="266"/>
      <c r="J750" s="266"/>
      <c r="K750" s="244"/>
      <c r="L750" s="244"/>
      <c r="M750" s="244"/>
      <c r="N750" s="244"/>
      <c r="O750" s="244"/>
      <c r="P750" s="244"/>
      <c r="Q750" s="244"/>
      <c r="R750" s="244"/>
      <c r="S750" s="244"/>
      <c r="T750" s="244"/>
      <c r="U750" s="244"/>
      <c r="V750" s="244"/>
      <c r="W750" s="244"/>
      <c r="X750" s="244"/>
      <c r="Y750" s="244"/>
      <c r="Z750" s="244"/>
    </row>
    <row r="751" ht="11.25" customHeight="1">
      <c r="A751" s="244"/>
      <c r="B751" s="244"/>
      <c r="C751" s="266"/>
      <c r="D751" s="266"/>
      <c r="E751" s="266"/>
      <c r="F751" s="266"/>
      <c r="G751" s="266"/>
      <c r="H751" s="266"/>
      <c r="I751" s="266"/>
      <c r="J751" s="266"/>
      <c r="K751" s="244"/>
      <c r="L751" s="244"/>
      <c r="M751" s="244"/>
      <c r="N751" s="244"/>
      <c r="O751" s="244"/>
      <c r="P751" s="244"/>
      <c r="Q751" s="244"/>
      <c r="R751" s="244"/>
      <c r="S751" s="244"/>
      <c r="T751" s="244"/>
      <c r="U751" s="244"/>
      <c r="V751" s="244"/>
      <c r="W751" s="244"/>
      <c r="X751" s="244"/>
      <c r="Y751" s="244"/>
      <c r="Z751" s="244"/>
    </row>
    <row r="752" ht="11.25" customHeight="1">
      <c r="A752" s="244"/>
      <c r="B752" s="244"/>
      <c r="C752" s="266"/>
      <c r="D752" s="266"/>
      <c r="E752" s="266"/>
      <c r="F752" s="266"/>
      <c r="G752" s="266"/>
      <c r="H752" s="266"/>
      <c r="I752" s="266"/>
      <c r="J752" s="266"/>
      <c r="K752" s="244"/>
      <c r="L752" s="244"/>
      <c r="M752" s="244"/>
      <c r="N752" s="244"/>
      <c r="O752" s="244"/>
      <c r="P752" s="244"/>
      <c r="Q752" s="244"/>
      <c r="R752" s="244"/>
      <c r="S752" s="244"/>
      <c r="T752" s="244"/>
      <c r="U752" s="244"/>
      <c r="V752" s="244"/>
      <c r="W752" s="244"/>
      <c r="X752" s="244"/>
      <c r="Y752" s="244"/>
      <c r="Z752" s="244"/>
    </row>
    <row r="753" ht="11.25" customHeight="1">
      <c r="A753" s="244"/>
      <c r="B753" s="244"/>
      <c r="C753" s="266"/>
      <c r="D753" s="266"/>
      <c r="E753" s="266"/>
      <c r="F753" s="266"/>
      <c r="G753" s="266"/>
      <c r="H753" s="266"/>
      <c r="I753" s="266"/>
      <c r="J753" s="266"/>
      <c r="K753" s="244"/>
      <c r="L753" s="244"/>
      <c r="M753" s="244"/>
      <c r="N753" s="244"/>
      <c r="O753" s="244"/>
      <c r="P753" s="244"/>
      <c r="Q753" s="244"/>
      <c r="R753" s="244"/>
      <c r="S753" s="244"/>
      <c r="T753" s="244"/>
      <c r="U753" s="244"/>
      <c r="V753" s="244"/>
      <c r="W753" s="244"/>
      <c r="X753" s="244"/>
      <c r="Y753" s="244"/>
      <c r="Z753" s="244"/>
    </row>
    <row r="754" ht="11.25" customHeight="1">
      <c r="A754" s="244"/>
      <c r="B754" s="244"/>
      <c r="C754" s="266"/>
      <c r="D754" s="266"/>
      <c r="E754" s="266"/>
      <c r="F754" s="266"/>
      <c r="G754" s="266"/>
      <c r="H754" s="266"/>
      <c r="I754" s="266"/>
      <c r="J754" s="266"/>
      <c r="K754" s="244"/>
      <c r="L754" s="244"/>
      <c r="M754" s="244"/>
      <c r="N754" s="244"/>
      <c r="O754" s="244"/>
      <c r="P754" s="244"/>
      <c r="Q754" s="244"/>
      <c r="R754" s="244"/>
      <c r="S754" s="244"/>
      <c r="T754" s="244"/>
      <c r="U754" s="244"/>
      <c r="V754" s="244"/>
      <c r="W754" s="244"/>
      <c r="X754" s="244"/>
      <c r="Y754" s="244"/>
      <c r="Z754" s="244"/>
    </row>
    <row r="755" ht="11.25" customHeight="1">
      <c r="A755" s="244"/>
      <c r="B755" s="244"/>
      <c r="C755" s="266"/>
      <c r="D755" s="266"/>
      <c r="E755" s="266"/>
      <c r="F755" s="266"/>
      <c r="G755" s="266"/>
      <c r="H755" s="266"/>
      <c r="I755" s="266"/>
      <c r="J755" s="266"/>
      <c r="K755" s="244"/>
      <c r="L755" s="244"/>
      <c r="M755" s="244"/>
      <c r="N755" s="244"/>
      <c r="O755" s="244"/>
      <c r="P755" s="244"/>
      <c r="Q755" s="244"/>
      <c r="R755" s="244"/>
      <c r="S755" s="244"/>
      <c r="T755" s="244"/>
      <c r="U755" s="244"/>
      <c r="V755" s="244"/>
      <c r="W755" s="244"/>
      <c r="X755" s="244"/>
      <c r="Y755" s="244"/>
      <c r="Z755" s="244"/>
    </row>
    <row r="756" ht="11.25" customHeight="1">
      <c r="A756" s="244"/>
      <c r="B756" s="244"/>
      <c r="C756" s="266"/>
      <c r="D756" s="266"/>
      <c r="E756" s="266"/>
      <c r="F756" s="266"/>
      <c r="G756" s="266"/>
      <c r="H756" s="266"/>
      <c r="I756" s="266"/>
      <c r="J756" s="266"/>
      <c r="K756" s="244"/>
      <c r="L756" s="244"/>
      <c r="M756" s="244"/>
      <c r="N756" s="244"/>
      <c r="O756" s="244"/>
      <c r="P756" s="244"/>
      <c r="Q756" s="244"/>
      <c r="R756" s="244"/>
      <c r="S756" s="244"/>
      <c r="T756" s="244"/>
      <c r="U756" s="244"/>
      <c r="V756" s="244"/>
      <c r="W756" s="244"/>
      <c r="X756" s="244"/>
      <c r="Y756" s="244"/>
      <c r="Z756" s="244"/>
    </row>
    <row r="757" ht="11.25" customHeight="1">
      <c r="A757" s="244"/>
      <c r="B757" s="244"/>
      <c r="C757" s="266"/>
      <c r="D757" s="266"/>
      <c r="E757" s="266"/>
      <c r="F757" s="266"/>
      <c r="G757" s="266"/>
      <c r="H757" s="266"/>
      <c r="I757" s="266"/>
      <c r="J757" s="266"/>
      <c r="K757" s="244"/>
      <c r="L757" s="244"/>
      <c r="M757" s="244"/>
      <c r="N757" s="244"/>
      <c r="O757" s="244"/>
      <c r="P757" s="244"/>
      <c r="Q757" s="244"/>
      <c r="R757" s="244"/>
      <c r="S757" s="244"/>
      <c r="T757" s="244"/>
      <c r="U757" s="244"/>
      <c r="V757" s="244"/>
      <c r="W757" s="244"/>
      <c r="X757" s="244"/>
      <c r="Y757" s="244"/>
      <c r="Z757" s="244"/>
    </row>
    <row r="758" ht="11.25" customHeight="1">
      <c r="A758" s="244"/>
      <c r="B758" s="244"/>
      <c r="C758" s="266"/>
      <c r="D758" s="266"/>
      <c r="E758" s="266"/>
      <c r="F758" s="266"/>
      <c r="G758" s="266"/>
      <c r="H758" s="266"/>
      <c r="I758" s="266"/>
      <c r="J758" s="266"/>
      <c r="K758" s="244"/>
      <c r="L758" s="244"/>
      <c r="M758" s="244"/>
      <c r="N758" s="244"/>
      <c r="O758" s="244"/>
      <c r="P758" s="244"/>
      <c r="Q758" s="244"/>
      <c r="R758" s="244"/>
      <c r="S758" s="244"/>
      <c r="T758" s="244"/>
      <c r="U758" s="244"/>
      <c r="V758" s="244"/>
      <c r="W758" s="244"/>
      <c r="X758" s="244"/>
      <c r="Y758" s="244"/>
      <c r="Z758" s="244"/>
    </row>
    <row r="759" ht="11.25" customHeight="1">
      <c r="A759" s="244"/>
      <c r="B759" s="244"/>
      <c r="C759" s="266"/>
      <c r="D759" s="266"/>
      <c r="E759" s="266"/>
      <c r="F759" s="266"/>
      <c r="G759" s="266"/>
      <c r="H759" s="266"/>
      <c r="I759" s="266"/>
      <c r="J759" s="266"/>
      <c r="K759" s="244"/>
      <c r="L759" s="244"/>
      <c r="M759" s="244"/>
      <c r="N759" s="244"/>
      <c r="O759" s="244"/>
      <c r="P759" s="244"/>
      <c r="Q759" s="244"/>
      <c r="R759" s="244"/>
      <c r="S759" s="244"/>
      <c r="T759" s="244"/>
      <c r="U759" s="244"/>
      <c r="V759" s="244"/>
      <c r="W759" s="244"/>
      <c r="X759" s="244"/>
      <c r="Y759" s="244"/>
      <c r="Z759" s="244"/>
    </row>
    <row r="760" ht="11.25" customHeight="1">
      <c r="A760" s="244"/>
      <c r="B760" s="244"/>
      <c r="C760" s="266"/>
      <c r="D760" s="266"/>
      <c r="E760" s="266"/>
      <c r="F760" s="266"/>
      <c r="G760" s="266"/>
      <c r="H760" s="266"/>
      <c r="I760" s="266"/>
      <c r="J760" s="266"/>
      <c r="K760" s="244"/>
      <c r="L760" s="244"/>
      <c r="M760" s="244"/>
      <c r="N760" s="244"/>
      <c r="O760" s="244"/>
      <c r="P760" s="244"/>
      <c r="Q760" s="244"/>
      <c r="R760" s="244"/>
      <c r="S760" s="244"/>
      <c r="T760" s="244"/>
      <c r="U760" s="244"/>
      <c r="V760" s="244"/>
      <c r="W760" s="244"/>
      <c r="X760" s="244"/>
      <c r="Y760" s="244"/>
      <c r="Z760" s="244"/>
    </row>
    <row r="761" ht="11.25" customHeight="1">
      <c r="A761" s="244"/>
      <c r="B761" s="244"/>
      <c r="C761" s="266"/>
      <c r="D761" s="266"/>
      <c r="E761" s="266"/>
      <c r="F761" s="266"/>
      <c r="G761" s="266"/>
      <c r="H761" s="266"/>
      <c r="I761" s="266"/>
      <c r="J761" s="266"/>
      <c r="K761" s="244"/>
      <c r="L761" s="244"/>
      <c r="M761" s="244"/>
      <c r="N761" s="244"/>
      <c r="O761" s="244"/>
      <c r="P761" s="244"/>
      <c r="Q761" s="244"/>
      <c r="R761" s="244"/>
      <c r="S761" s="244"/>
      <c r="T761" s="244"/>
      <c r="U761" s="244"/>
      <c r="V761" s="244"/>
      <c r="W761" s="244"/>
      <c r="X761" s="244"/>
      <c r="Y761" s="244"/>
      <c r="Z761" s="244"/>
    </row>
    <row r="762" ht="11.25" customHeight="1">
      <c r="A762" s="244"/>
      <c r="B762" s="244"/>
      <c r="C762" s="266"/>
      <c r="D762" s="266"/>
      <c r="E762" s="266"/>
      <c r="F762" s="266"/>
      <c r="G762" s="266"/>
      <c r="H762" s="266"/>
      <c r="I762" s="266"/>
      <c r="J762" s="266"/>
      <c r="K762" s="244"/>
      <c r="L762" s="244"/>
      <c r="M762" s="244"/>
      <c r="N762" s="244"/>
      <c r="O762" s="244"/>
      <c r="P762" s="244"/>
      <c r="Q762" s="244"/>
      <c r="R762" s="244"/>
      <c r="S762" s="244"/>
      <c r="T762" s="244"/>
      <c r="U762" s="244"/>
      <c r="V762" s="244"/>
      <c r="W762" s="244"/>
      <c r="X762" s="244"/>
      <c r="Y762" s="244"/>
      <c r="Z762" s="244"/>
    </row>
    <row r="763" ht="11.25" customHeight="1">
      <c r="A763" s="244"/>
      <c r="B763" s="244"/>
      <c r="C763" s="266"/>
      <c r="D763" s="266"/>
      <c r="E763" s="266"/>
      <c r="F763" s="266"/>
      <c r="G763" s="266"/>
      <c r="H763" s="266"/>
      <c r="I763" s="266"/>
      <c r="J763" s="266"/>
      <c r="K763" s="244"/>
      <c r="L763" s="244"/>
      <c r="M763" s="244"/>
      <c r="N763" s="244"/>
      <c r="O763" s="244"/>
      <c r="P763" s="244"/>
      <c r="Q763" s="244"/>
      <c r="R763" s="244"/>
      <c r="S763" s="244"/>
      <c r="T763" s="244"/>
      <c r="U763" s="244"/>
      <c r="V763" s="244"/>
      <c r="W763" s="244"/>
      <c r="X763" s="244"/>
      <c r="Y763" s="244"/>
      <c r="Z763" s="244"/>
    </row>
    <row r="764" ht="11.25" customHeight="1">
      <c r="A764" s="244"/>
      <c r="B764" s="244"/>
      <c r="C764" s="266"/>
      <c r="D764" s="266"/>
      <c r="E764" s="266"/>
      <c r="F764" s="266"/>
      <c r="G764" s="266"/>
      <c r="H764" s="266"/>
      <c r="I764" s="266"/>
      <c r="J764" s="266"/>
      <c r="K764" s="244"/>
      <c r="L764" s="244"/>
      <c r="M764" s="244"/>
      <c r="N764" s="244"/>
      <c r="O764" s="244"/>
      <c r="P764" s="244"/>
      <c r="Q764" s="244"/>
      <c r="R764" s="244"/>
      <c r="S764" s="244"/>
      <c r="T764" s="244"/>
      <c r="U764" s="244"/>
      <c r="V764" s="244"/>
      <c r="W764" s="244"/>
      <c r="X764" s="244"/>
      <c r="Y764" s="244"/>
      <c r="Z764" s="244"/>
    </row>
    <row r="765" ht="11.25" customHeight="1">
      <c r="A765" s="244"/>
      <c r="B765" s="244"/>
      <c r="C765" s="266"/>
      <c r="D765" s="266"/>
      <c r="E765" s="266"/>
      <c r="F765" s="266"/>
      <c r="G765" s="266"/>
      <c r="H765" s="266"/>
      <c r="I765" s="266"/>
      <c r="J765" s="266"/>
      <c r="K765" s="244"/>
      <c r="L765" s="244"/>
      <c r="M765" s="244"/>
      <c r="N765" s="244"/>
      <c r="O765" s="244"/>
      <c r="P765" s="244"/>
      <c r="Q765" s="244"/>
      <c r="R765" s="244"/>
      <c r="S765" s="244"/>
      <c r="T765" s="244"/>
      <c r="U765" s="244"/>
      <c r="V765" s="244"/>
      <c r="W765" s="244"/>
      <c r="X765" s="244"/>
      <c r="Y765" s="244"/>
      <c r="Z765" s="244"/>
    </row>
    <row r="766" ht="11.25" customHeight="1">
      <c r="A766" s="244"/>
      <c r="B766" s="244"/>
      <c r="C766" s="266"/>
      <c r="D766" s="266"/>
      <c r="E766" s="266"/>
      <c r="F766" s="266"/>
      <c r="G766" s="266"/>
      <c r="H766" s="266"/>
      <c r="I766" s="266"/>
      <c r="J766" s="266"/>
      <c r="K766" s="244"/>
      <c r="L766" s="244"/>
      <c r="M766" s="244"/>
      <c r="N766" s="244"/>
      <c r="O766" s="244"/>
      <c r="P766" s="244"/>
      <c r="Q766" s="244"/>
      <c r="R766" s="244"/>
      <c r="S766" s="244"/>
      <c r="T766" s="244"/>
      <c r="U766" s="244"/>
      <c r="V766" s="244"/>
      <c r="W766" s="244"/>
      <c r="X766" s="244"/>
      <c r="Y766" s="244"/>
      <c r="Z766" s="244"/>
    </row>
    <row r="767" ht="11.25" customHeight="1">
      <c r="A767" s="244"/>
      <c r="B767" s="244"/>
      <c r="C767" s="266"/>
      <c r="D767" s="266"/>
      <c r="E767" s="266"/>
      <c r="F767" s="266"/>
      <c r="G767" s="266"/>
      <c r="H767" s="266"/>
      <c r="I767" s="266"/>
      <c r="J767" s="266"/>
      <c r="K767" s="244"/>
      <c r="L767" s="244"/>
      <c r="M767" s="244"/>
      <c r="N767" s="244"/>
      <c r="O767" s="244"/>
      <c r="P767" s="244"/>
      <c r="Q767" s="244"/>
      <c r="R767" s="244"/>
      <c r="S767" s="244"/>
      <c r="T767" s="244"/>
      <c r="U767" s="244"/>
      <c r="V767" s="244"/>
      <c r="W767" s="244"/>
      <c r="X767" s="244"/>
      <c r="Y767" s="244"/>
      <c r="Z767" s="244"/>
    </row>
    <row r="768" ht="11.25" customHeight="1">
      <c r="A768" s="244"/>
      <c r="B768" s="244"/>
      <c r="C768" s="266"/>
      <c r="D768" s="266"/>
      <c r="E768" s="266"/>
      <c r="F768" s="266"/>
      <c r="G768" s="266"/>
      <c r="H768" s="266"/>
      <c r="I768" s="266"/>
      <c r="J768" s="266"/>
      <c r="K768" s="244"/>
      <c r="L768" s="244"/>
      <c r="M768" s="244"/>
      <c r="N768" s="244"/>
      <c r="O768" s="244"/>
      <c r="P768" s="244"/>
      <c r="Q768" s="244"/>
      <c r="R768" s="244"/>
      <c r="S768" s="244"/>
      <c r="T768" s="244"/>
      <c r="U768" s="244"/>
      <c r="V768" s="244"/>
      <c r="W768" s="244"/>
      <c r="X768" s="244"/>
      <c r="Y768" s="244"/>
      <c r="Z768" s="244"/>
    </row>
    <row r="769" ht="11.25" customHeight="1">
      <c r="A769" s="244"/>
      <c r="B769" s="244"/>
      <c r="C769" s="266"/>
      <c r="D769" s="266"/>
      <c r="E769" s="266"/>
      <c r="F769" s="266"/>
      <c r="G769" s="266"/>
      <c r="H769" s="266"/>
      <c r="I769" s="266"/>
      <c r="J769" s="266"/>
      <c r="K769" s="244"/>
      <c r="L769" s="244"/>
      <c r="M769" s="244"/>
      <c r="N769" s="244"/>
      <c r="O769" s="244"/>
      <c r="P769" s="244"/>
      <c r="Q769" s="244"/>
      <c r="R769" s="244"/>
      <c r="S769" s="244"/>
      <c r="T769" s="244"/>
      <c r="U769" s="244"/>
      <c r="V769" s="244"/>
      <c r="W769" s="244"/>
      <c r="X769" s="244"/>
      <c r="Y769" s="244"/>
      <c r="Z769" s="244"/>
    </row>
    <row r="770" ht="11.25" customHeight="1">
      <c r="A770" s="244"/>
      <c r="B770" s="244"/>
      <c r="C770" s="266"/>
      <c r="D770" s="266"/>
      <c r="E770" s="266"/>
      <c r="F770" s="266"/>
      <c r="G770" s="266"/>
      <c r="H770" s="266"/>
      <c r="I770" s="266"/>
      <c r="J770" s="266"/>
      <c r="K770" s="244"/>
      <c r="L770" s="244"/>
      <c r="M770" s="244"/>
      <c r="N770" s="244"/>
      <c r="O770" s="244"/>
      <c r="P770" s="244"/>
      <c r="Q770" s="244"/>
      <c r="R770" s="244"/>
      <c r="S770" s="244"/>
      <c r="T770" s="244"/>
      <c r="U770" s="244"/>
      <c r="V770" s="244"/>
      <c r="W770" s="244"/>
      <c r="X770" s="244"/>
      <c r="Y770" s="244"/>
      <c r="Z770" s="244"/>
    </row>
    <row r="771" ht="11.25" customHeight="1">
      <c r="A771" s="244"/>
      <c r="B771" s="244"/>
      <c r="C771" s="266"/>
      <c r="D771" s="266"/>
      <c r="E771" s="266"/>
      <c r="F771" s="266"/>
      <c r="G771" s="266"/>
      <c r="H771" s="266"/>
      <c r="I771" s="266"/>
      <c r="J771" s="266"/>
      <c r="K771" s="244"/>
      <c r="L771" s="244"/>
      <c r="M771" s="244"/>
      <c r="N771" s="244"/>
      <c r="O771" s="244"/>
      <c r="P771" s="244"/>
      <c r="Q771" s="244"/>
      <c r="R771" s="244"/>
      <c r="S771" s="244"/>
      <c r="T771" s="244"/>
      <c r="U771" s="244"/>
      <c r="V771" s="244"/>
      <c r="W771" s="244"/>
      <c r="X771" s="244"/>
      <c r="Y771" s="244"/>
      <c r="Z771" s="244"/>
    </row>
    <row r="772" ht="11.25" customHeight="1">
      <c r="A772" s="244"/>
      <c r="B772" s="244"/>
      <c r="C772" s="266"/>
      <c r="D772" s="266"/>
      <c r="E772" s="266"/>
      <c r="F772" s="266"/>
      <c r="G772" s="266"/>
      <c r="H772" s="266"/>
      <c r="I772" s="266"/>
      <c r="J772" s="266"/>
      <c r="K772" s="244"/>
      <c r="L772" s="244"/>
      <c r="M772" s="244"/>
      <c r="N772" s="244"/>
      <c r="O772" s="244"/>
      <c r="P772" s="244"/>
      <c r="Q772" s="244"/>
      <c r="R772" s="244"/>
      <c r="S772" s="244"/>
      <c r="T772" s="244"/>
      <c r="U772" s="244"/>
      <c r="V772" s="244"/>
      <c r="W772" s="244"/>
      <c r="X772" s="244"/>
      <c r="Y772" s="244"/>
      <c r="Z772" s="244"/>
    </row>
    <row r="773" ht="11.25" customHeight="1">
      <c r="A773" s="244"/>
      <c r="B773" s="244"/>
      <c r="C773" s="266"/>
      <c r="D773" s="266"/>
      <c r="E773" s="266"/>
      <c r="F773" s="266"/>
      <c r="G773" s="266"/>
      <c r="H773" s="266"/>
      <c r="I773" s="266"/>
      <c r="J773" s="266"/>
      <c r="K773" s="244"/>
      <c r="L773" s="244"/>
      <c r="M773" s="244"/>
      <c r="N773" s="244"/>
      <c r="O773" s="244"/>
      <c r="P773" s="244"/>
      <c r="Q773" s="244"/>
      <c r="R773" s="244"/>
      <c r="S773" s="244"/>
      <c r="T773" s="244"/>
      <c r="U773" s="244"/>
      <c r="V773" s="244"/>
      <c r="W773" s="244"/>
      <c r="X773" s="244"/>
      <c r="Y773" s="244"/>
      <c r="Z773" s="244"/>
    </row>
    <row r="774" ht="11.25" customHeight="1">
      <c r="A774" s="244"/>
      <c r="B774" s="244"/>
      <c r="C774" s="266"/>
      <c r="D774" s="266"/>
      <c r="E774" s="266"/>
      <c r="F774" s="266"/>
      <c r="G774" s="266"/>
      <c r="H774" s="266"/>
      <c r="I774" s="266"/>
      <c r="J774" s="266"/>
      <c r="K774" s="244"/>
      <c r="L774" s="244"/>
      <c r="M774" s="244"/>
      <c r="N774" s="244"/>
      <c r="O774" s="244"/>
      <c r="P774" s="244"/>
      <c r="Q774" s="244"/>
      <c r="R774" s="244"/>
      <c r="S774" s="244"/>
      <c r="T774" s="244"/>
      <c r="U774" s="244"/>
      <c r="V774" s="244"/>
      <c r="W774" s="244"/>
      <c r="X774" s="244"/>
      <c r="Y774" s="244"/>
      <c r="Z774" s="244"/>
    </row>
    <row r="775" ht="11.25" customHeight="1">
      <c r="A775" s="244"/>
      <c r="B775" s="244"/>
      <c r="C775" s="266"/>
      <c r="D775" s="266"/>
      <c r="E775" s="266"/>
      <c r="F775" s="266"/>
      <c r="G775" s="266"/>
      <c r="H775" s="266"/>
      <c r="I775" s="266"/>
      <c r="J775" s="266"/>
      <c r="K775" s="244"/>
      <c r="L775" s="244"/>
      <c r="M775" s="244"/>
      <c r="N775" s="244"/>
      <c r="O775" s="244"/>
      <c r="P775" s="244"/>
      <c r="Q775" s="244"/>
      <c r="R775" s="244"/>
      <c r="S775" s="244"/>
      <c r="T775" s="244"/>
      <c r="U775" s="244"/>
      <c r="V775" s="244"/>
      <c r="W775" s="244"/>
      <c r="X775" s="244"/>
      <c r="Y775" s="244"/>
      <c r="Z775" s="244"/>
    </row>
    <row r="776" ht="11.25" customHeight="1">
      <c r="A776" s="244"/>
      <c r="B776" s="244"/>
      <c r="C776" s="266"/>
      <c r="D776" s="266"/>
      <c r="E776" s="266"/>
      <c r="F776" s="266"/>
      <c r="G776" s="266"/>
      <c r="H776" s="266"/>
      <c r="I776" s="266"/>
      <c r="J776" s="266"/>
      <c r="K776" s="244"/>
      <c r="L776" s="244"/>
      <c r="M776" s="244"/>
      <c r="N776" s="244"/>
      <c r="O776" s="244"/>
      <c r="P776" s="244"/>
      <c r="Q776" s="244"/>
      <c r="R776" s="244"/>
      <c r="S776" s="244"/>
      <c r="T776" s="244"/>
      <c r="U776" s="244"/>
      <c r="V776" s="244"/>
      <c r="W776" s="244"/>
      <c r="X776" s="244"/>
      <c r="Y776" s="244"/>
      <c r="Z776" s="244"/>
    </row>
    <row r="777" ht="11.25" customHeight="1">
      <c r="A777" s="244"/>
      <c r="B777" s="244"/>
      <c r="C777" s="266"/>
      <c r="D777" s="266"/>
      <c r="E777" s="266"/>
      <c r="F777" s="266"/>
      <c r="G777" s="266"/>
      <c r="H777" s="266"/>
      <c r="I777" s="266"/>
      <c r="J777" s="266"/>
      <c r="K777" s="244"/>
      <c r="L777" s="244"/>
      <c r="M777" s="244"/>
      <c r="N777" s="244"/>
      <c r="O777" s="244"/>
      <c r="P777" s="244"/>
      <c r="Q777" s="244"/>
      <c r="R777" s="244"/>
      <c r="S777" s="244"/>
      <c r="T777" s="244"/>
      <c r="U777" s="244"/>
      <c r="V777" s="244"/>
      <c r="W777" s="244"/>
      <c r="X777" s="244"/>
      <c r="Y777" s="244"/>
      <c r="Z777" s="244"/>
    </row>
    <row r="778" ht="11.25" customHeight="1">
      <c r="A778" s="244"/>
      <c r="B778" s="244"/>
      <c r="C778" s="266"/>
      <c r="D778" s="266"/>
      <c r="E778" s="266"/>
      <c r="F778" s="266"/>
      <c r="G778" s="266"/>
      <c r="H778" s="266"/>
      <c r="I778" s="266"/>
      <c r="J778" s="266"/>
      <c r="K778" s="244"/>
      <c r="L778" s="244"/>
      <c r="M778" s="244"/>
      <c r="N778" s="244"/>
      <c r="O778" s="244"/>
      <c r="P778" s="244"/>
      <c r="Q778" s="244"/>
      <c r="R778" s="244"/>
      <c r="S778" s="244"/>
      <c r="T778" s="244"/>
      <c r="U778" s="244"/>
      <c r="V778" s="244"/>
      <c r="W778" s="244"/>
      <c r="X778" s="244"/>
      <c r="Y778" s="244"/>
      <c r="Z778" s="244"/>
    </row>
    <row r="779" ht="11.25" customHeight="1">
      <c r="A779" s="244"/>
      <c r="B779" s="244"/>
      <c r="C779" s="266"/>
      <c r="D779" s="266"/>
      <c r="E779" s="266"/>
      <c r="F779" s="266"/>
      <c r="G779" s="266"/>
      <c r="H779" s="266"/>
      <c r="I779" s="266"/>
      <c r="J779" s="266"/>
      <c r="K779" s="244"/>
      <c r="L779" s="244"/>
      <c r="M779" s="244"/>
      <c r="N779" s="244"/>
      <c r="O779" s="244"/>
      <c r="P779" s="244"/>
      <c r="Q779" s="244"/>
      <c r="R779" s="244"/>
      <c r="S779" s="244"/>
      <c r="T779" s="244"/>
      <c r="U779" s="244"/>
      <c r="V779" s="244"/>
      <c r="W779" s="244"/>
      <c r="X779" s="244"/>
      <c r="Y779" s="244"/>
      <c r="Z779" s="244"/>
    </row>
    <row r="780" ht="11.25" customHeight="1">
      <c r="A780" s="244"/>
      <c r="B780" s="244"/>
      <c r="C780" s="266"/>
      <c r="D780" s="266"/>
      <c r="E780" s="266"/>
      <c r="F780" s="266"/>
      <c r="G780" s="266"/>
      <c r="H780" s="266"/>
      <c r="I780" s="266"/>
      <c r="J780" s="266"/>
      <c r="K780" s="244"/>
      <c r="L780" s="244"/>
      <c r="M780" s="244"/>
      <c r="N780" s="244"/>
      <c r="O780" s="244"/>
      <c r="P780" s="244"/>
      <c r="Q780" s="244"/>
      <c r="R780" s="244"/>
      <c r="S780" s="244"/>
      <c r="T780" s="244"/>
      <c r="U780" s="244"/>
      <c r="V780" s="244"/>
      <c r="W780" s="244"/>
      <c r="X780" s="244"/>
      <c r="Y780" s="244"/>
      <c r="Z780" s="244"/>
    </row>
    <row r="781" ht="11.25" customHeight="1">
      <c r="A781" s="244"/>
      <c r="B781" s="244"/>
      <c r="C781" s="266"/>
      <c r="D781" s="266"/>
      <c r="E781" s="266"/>
      <c r="F781" s="266"/>
      <c r="G781" s="266"/>
      <c r="H781" s="266"/>
      <c r="I781" s="266"/>
      <c r="J781" s="266"/>
      <c r="K781" s="244"/>
      <c r="L781" s="244"/>
      <c r="M781" s="244"/>
      <c r="N781" s="244"/>
      <c r="O781" s="244"/>
      <c r="P781" s="244"/>
      <c r="Q781" s="244"/>
      <c r="R781" s="244"/>
      <c r="S781" s="244"/>
      <c r="T781" s="244"/>
      <c r="U781" s="244"/>
      <c r="V781" s="244"/>
      <c r="W781" s="244"/>
      <c r="X781" s="244"/>
      <c r="Y781" s="244"/>
      <c r="Z781" s="244"/>
    </row>
    <row r="782" ht="11.25" customHeight="1">
      <c r="A782" s="244"/>
      <c r="B782" s="244"/>
      <c r="C782" s="266"/>
      <c r="D782" s="266"/>
      <c r="E782" s="266"/>
      <c r="F782" s="266"/>
      <c r="G782" s="266"/>
      <c r="H782" s="266"/>
      <c r="I782" s="266"/>
      <c r="J782" s="266"/>
      <c r="K782" s="244"/>
      <c r="L782" s="244"/>
      <c r="M782" s="244"/>
      <c r="N782" s="244"/>
      <c r="O782" s="244"/>
      <c r="P782" s="244"/>
      <c r="Q782" s="244"/>
      <c r="R782" s="244"/>
      <c r="S782" s="244"/>
      <c r="T782" s="244"/>
      <c r="U782" s="244"/>
      <c r="V782" s="244"/>
      <c r="W782" s="244"/>
      <c r="X782" s="244"/>
      <c r="Y782" s="244"/>
      <c r="Z782" s="244"/>
    </row>
    <row r="783" ht="11.25" customHeight="1">
      <c r="A783" s="244"/>
      <c r="B783" s="244"/>
      <c r="C783" s="266"/>
      <c r="D783" s="266"/>
      <c r="E783" s="266"/>
      <c r="F783" s="266"/>
      <c r="G783" s="266"/>
      <c r="H783" s="266"/>
      <c r="I783" s="266"/>
      <c r="J783" s="266"/>
      <c r="K783" s="244"/>
      <c r="L783" s="244"/>
      <c r="M783" s="244"/>
      <c r="N783" s="244"/>
      <c r="O783" s="244"/>
      <c r="P783" s="244"/>
      <c r="Q783" s="244"/>
      <c r="R783" s="244"/>
      <c r="S783" s="244"/>
      <c r="T783" s="244"/>
      <c r="U783" s="244"/>
      <c r="V783" s="244"/>
      <c r="W783" s="244"/>
      <c r="X783" s="244"/>
      <c r="Y783" s="244"/>
      <c r="Z783" s="244"/>
    </row>
    <row r="784" ht="11.25" customHeight="1">
      <c r="A784" s="244"/>
      <c r="B784" s="244"/>
      <c r="C784" s="266"/>
      <c r="D784" s="266"/>
      <c r="E784" s="266"/>
      <c r="F784" s="266"/>
      <c r="G784" s="266"/>
      <c r="H784" s="266"/>
      <c r="I784" s="266"/>
      <c r="J784" s="266"/>
      <c r="K784" s="244"/>
      <c r="L784" s="244"/>
      <c r="M784" s="244"/>
      <c r="N784" s="244"/>
      <c r="O784" s="244"/>
      <c r="P784" s="244"/>
      <c r="Q784" s="244"/>
      <c r="R784" s="244"/>
      <c r="S784" s="244"/>
      <c r="T784" s="244"/>
      <c r="U784" s="244"/>
      <c r="V784" s="244"/>
      <c r="W784" s="244"/>
      <c r="X784" s="244"/>
      <c r="Y784" s="244"/>
      <c r="Z784" s="244"/>
    </row>
    <row r="785" ht="11.25" customHeight="1">
      <c r="A785" s="244"/>
      <c r="B785" s="244"/>
      <c r="C785" s="266"/>
      <c r="D785" s="266"/>
      <c r="E785" s="266"/>
      <c r="F785" s="266"/>
      <c r="G785" s="266"/>
      <c r="H785" s="266"/>
      <c r="I785" s="266"/>
      <c r="J785" s="266"/>
      <c r="K785" s="244"/>
      <c r="L785" s="244"/>
      <c r="M785" s="244"/>
      <c r="N785" s="244"/>
      <c r="O785" s="244"/>
      <c r="P785" s="244"/>
      <c r="Q785" s="244"/>
      <c r="R785" s="244"/>
      <c r="S785" s="244"/>
      <c r="T785" s="244"/>
      <c r="U785" s="244"/>
      <c r="V785" s="244"/>
      <c r="W785" s="244"/>
      <c r="X785" s="244"/>
      <c r="Y785" s="244"/>
      <c r="Z785" s="244"/>
    </row>
    <row r="786" ht="11.25" customHeight="1">
      <c r="A786" s="244"/>
      <c r="B786" s="244"/>
      <c r="C786" s="266"/>
      <c r="D786" s="266"/>
      <c r="E786" s="266"/>
      <c r="F786" s="266"/>
      <c r="G786" s="266"/>
      <c r="H786" s="266"/>
      <c r="I786" s="266"/>
      <c r="J786" s="266"/>
      <c r="K786" s="244"/>
      <c r="L786" s="244"/>
      <c r="M786" s="244"/>
      <c r="N786" s="244"/>
      <c r="O786" s="244"/>
      <c r="P786" s="244"/>
      <c r="Q786" s="244"/>
      <c r="R786" s="244"/>
      <c r="S786" s="244"/>
      <c r="T786" s="244"/>
      <c r="U786" s="244"/>
      <c r="V786" s="244"/>
      <c r="W786" s="244"/>
      <c r="X786" s="244"/>
      <c r="Y786" s="244"/>
      <c r="Z786" s="244"/>
    </row>
    <row r="787" ht="11.25" customHeight="1">
      <c r="A787" s="244"/>
      <c r="B787" s="244"/>
      <c r="C787" s="266"/>
      <c r="D787" s="266"/>
      <c r="E787" s="266"/>
      <c r="F787" s="266"/>
      <c r="G787" s="266"/>
      <c r="H787" s="266"/>
      <c r="I787" s="266"/>
      <c r="J787" s="266"/>
      <c r="K787" s="244"/>
      <c r="L787" s="244"/>
      <c r="M787" s="244"/>
      <c r="N787" s="244"/>
      <c r="O787" s="244"/>
      <c r="P787" s="244"/>
      <c r="Q787" s="244"/>
      <c r="R787" s="244"/>
      <c r="S787" s="244"/>
      <c r="T787" s="244"/>
      <c r="U787" s="244"/>
      <c r="V787" s="244"/>
      <c r="W787" s="244"/>
      <c r="X787" s="244"/>
      <c r="Y787" s="244"/>
      <c r="Z787" s="244"/>
    </row>
    <row r="788" ht="11.25" customHeight="1">
      <c r="A788" s="244"/>
      <c r="B788" s="244"/>
      <c r="C788" s="266"/>
      <c r="D788" s="266"/>
      <c r="E788" s="266"/>
      <c r="F788" s="266"/>
      <c r="G788" s="266"/>
      <c r="H788" s="266"/>
      <c r="I788" s="266"/>
      <c r="J788" s="266"/>
      <c r="K788" s="244"/>
      <c r="L788" s="244"/>
      <c r="M788" s="244"/>
      <c r="N788" s="244"/>
      <c r="O788" s="244"/>
      <c r="P788" s="244"/>
      <c r="Q788" s="244"/>
      <c r="R788" s="244"/>
      <c r="S788" s="244"/>
      <c r="T788" s="244"/>
      <c r="U788" s="244"/>
      <c r="V788" s="244"/>
      <c r="W788" s="244"/>
      <c r="X788" s="244"/>
      <c r="Y788" s="244"/>
      <c r="Z788" s="244"/>
    </row>
    <row r="789" ht="11.25" customHeight="1">
      <c r="A789" s="244"/>
      <c r="B789" s="244"/>
      <c r="C789" s="266"/>
      <c r="D789" s="266"/>
      <c r="E789" s="266"/>
      <c r="F789" s="266"/>
      <c r="G789" s="266"/>
      <c r="H789" s="266"/>
      <c r="I789" s="266"/>
      <c r="J789" s="266"/>
      <c r="K789" s="244"/>
      <c r="L789" s="244"/>
      <c r="M789" s="244"/>
      <c r="N789" s="244"/>
      <c r="O789" s="244"/>
      <c r="P789" s="244"/>
      <c r="Q789" s="244"/>
      <c r="R789" s="244"/>
      <c r="S789" s="244"/>
      <c r="T789" s="244"/>
      <c r="U789" s="244"/>
      <c r="V789" s="244"/>
      <c r="W789" s="244"/>
      <c r="X789" s="244"/>
      <c r="Y789" s="244"/>
      <c r="Z789" s="244"/>
    </row>
    <row r="790" ht="11.25" customHeight="1">
      <c r="A790" s="244"/>
      <c r="B790" s="244"/>
      <c r="C790" s="266"/>
      <c r="D790" s="266"/>
      <c r="E790" s="266"/>
      <c r="F790" s="266"/>
      <c r="G790" s="266"/>
      <c r="H790" s="266"/>
      <c r="I790" s="266"/>
      <c r="J790" s="266"/>
      <c r="K790" s="244"/>
      <c r="L790" s="244"/>
      <c r="M790" s="244"/>
      <c r="N790" s="244"/>
      <c r="O790" s="244"/>
      <c r="P790" s="244"/>
      <c r="Q790" s="244"/>
      <c r="R790" s="244"/>
      <c r="S790" s="244"/>
      <c r="T790" s="244"/>
      <c r="U790" s="244"/>
      <c r="V790" s="244"/>
      <c r="W790" s="244"/>
      <c r="X790" s="244"/>
      <c r="Y790" s="244"/>
      <c r="Z790" s="244"/>
    </row>
    <row r="791" ht="11.25" customHeight="1">
      <c r="A791" s="244"/>
      <c r="B791" s="244"/>
      <c r="C791" s="266"/>
      <c r="D791" s="266"/>
      <c r="E791" s="266"/>
      <c r="F791" s="266"/>
      <c r="G791" s="266"/>
      <c r="H791" s="266"/>
      <c r="I791" s="266"/>
      <c r="J791" s="266"/>
      <c r="K791" s="244"/>
      <c r="L791" s="244"/>
      <c r="M791" s="244"/>
      <c r="N791" s="244"/>
      <c r="O791" s="244"/>
      <c r="P791" s="244"/>
      <c r="Q791" s="244"/>
      <c r="R791" s="244"/>
      <c r="S791" s="244"/>
      <c r="T791" s="244"/>
      <c r="U791" s="244"/>
      <c r="V791" s="244"/>
      <c r="W791" s="244"/>
      <c r="X791" s="244"/>
      <c r="Y791" s="244"/>
      <c r="Z791" s="244"/>
    </row>
    <row r="792" ht="11.25" customHeight="1">
      <c r="A792" s="244"/>
      <c r="B792" s="244"/>
      <c r="C792" s="266"/>
      <c r="D792" s="266"/>
      <c r="E792" s="266"/>
      <c r="F792" s="266"/>
      <c r="G792" s="266"/>
      <c r="H792" s="266"/>
      <c r="I792" s="266"/>
      <c r="J792" s="266"/>
      <c r="K792" s="244"/>
      <c r="L792" s="244"/>
      <c r="M792" s="244"/>
      <c r="N792" s="244"/>
      <c r="O792" s="244"/>
      <c r="P792" s="244"/>
      <c r="Q792" s="244"/>
      <c r="R792" s="244"/>
      <c r="S792" s="244"/>
      <c r="T792" s="244"/>
      <c r="U792" s="244"/>
      <c r="V792" s="244"/>
      <c r="W792" s="244"/>
      <c r="X792" s="244"/>
      <c r="Y792" s="244"/>
      <c r="Z792" s="244"/>
    </row>
    <row r="793" ht="11.25" customHeight="1">
      <c r="A793" s="244"/>
      <c r="B793" s="244"/>
      <c r="C793" s="266"/>
      <c r="D793" s="266"/>
      <c r="E793" s="266"/>
      <c r="F793" s="266"/>
      <c r="G793" s="266"/>
      <c r="H793" s="266"/>
      <c r="I793" s="266"/>
      <c r="J793" s="266"/>
      <c r="K793" s="244"/>
      <c r="L793" s="244"/>
      <c r="M793" s="244"/>
      <c r="N793" s="244"/>
      <c r="O793" s="244"/>
      <c r="P793" s="244"/>
      <c r="Q793" s="244"/>
      <c r="R793" s="244"/>
      <c r="S793" s="244"/>
      <c r="T793" s="244"/>
      <c r="U793" s="244"/>
      <c r="V793" s="244"/>
      <c r="W793" s="244"/>
      <c r="X793" s="244"/>
      <c r="Y793" s="244"/>
      <c r="Z793" s="244"/>
    </row>
    <row r="794" ht="11.25" customHeight="1">
      <c r="A794" s="244"/>
      <c r="B794" s="244"/>
      <c r="C794" s="266"/>
      <c r="D794" s="266"/>
      <c r="E794" s="266"/>
      <c r="F794" s="266"/>
      <c r="G794" s="266"/>
      <c r="H794" s="266"/>
      <c r="I794" s="266"/>
      <c r="J794" s="266"/>
      <c r="K794" s="244"/>
      <c r="L794" s="244"/>
      <c r="M794" s="244"/>
      <c r="N794" s="244"/>
      <c r="O794" s="244"/>
      <c r="P794" s="244"/>
      <c r="Q794" s="244"/>
      <c r="R794" s="244"/>
      <c r="S794" s="244"/>
      <c r="T794" s="244"/>
      <c r="U794" s="244"/>
      <c r="V794" s="244"/>
      <c r="W794" s="244"/>
      <c r="X794" s="244"/>
      <c r="Y794" s="244"/>
      <c r="Z794" s="244"/>
    </row>
    <row r="795" ht="11.25" customHeight="1">
      <c r="A795" s="244"/>
      <c r="B795" s="244"/>
      <c r="C795" s="266"/>
      <c r="D795" s="266"/>
      <c r="E795" s="266"/>
      <c r="F795" s="266"/>
      <c r="G795" s="266"/>
      <c r="H795" s="266"/>
      <c r="I795" s="266"/>
      <c r="J795" s="266"/>
      <c r="K795" s="244"/>
      <c r="L795" s="244"/>
      <c r="M795" s="244"/>
      <c r="N795" s="244"/>
      <c r="O795" s="244"/>
      <c r="P795" s="244"/>
      <c r="Q795" s="244"/>
      <c r="R795" s="244"/>
      <c r="S795" s="244"/>
      <c r="T795" s="244"/>
      <c r="U795" s="244"/>
      <c r="V795" s="244"/>
      <c r="W795" s="244"/>
      <c r="X795" s="244"/>
      <c r="Y795" s="244"/>
      <c r="Z795" s="244"/>
    </row>
    <row r="796" ht="11.25" customHeight="1">
      <c r="A796" s="244"/>
      <c r="B796" s="244"/>
      <c r="C796" s="266"/>
      <c r="D796" s="266"/>
      <c r="E796" s="266"/>
      <c r="F796" s="266"/>
      <c r="G796" s="266"/>
      <c r="H796" s="266"/>
      <c r="I796" s="266"/>
      <c r="J796" s="266"/>
      <c r="K796" s="244"/>
      <c r="L796" s="244"/>
      <c r="M796" s="244"/>
      <c r="N796" s="244"/>
      <c r="O796" s="244"/>
      <c r="P796" s="244"/>
      <c r="Q796" s="244"/>
      <c r="R796" s="244"/>
      <c r="S796" s="244"/>
      <c r="T796" s="244"/>
      <c r="U796" s="244"/>
      <c r="V796" s="244"/>
      <c r="W796" s="244"/>
      <c r="X796" s="244"/>
      <c r="Y796" s="244"/>
      <c r="Z796" s="244"/>
    </row>
    <row r="797" ht="11.25" customHeight="1">
      <c r="A797" s="244"/>
      <c r="B797" s="244"/>
      <c r="C797" s="266"/>
      <c r="D797" s="266"/>
      <c r="E797" s="266"/>
      <c r="F797" s="266"/>
      <c r="G797" s="266"/>
      <c r="H797" s="266"/>
      <c r="I797" s="266"/>
      <c r="J797" s="266"/>
      <c r="K797" s="244"/>
      <c r="L797" s="244"/>
      <c r="M797" s="244"/>
      <c r="N797" s="244"/>
      <c r="O797" s="244"/>
      <c r="P797" s="244"/>
      <c r="Q797" s="244"/>
      <c r="R797" s="244"/>
      <c r="S797" s="244"/>
      <c r="T797" s="244"/>
      <c r="U797" s="244"/>
      <c r="V797" s="244"/>
      <c r="W797" s="244"/>
      <c r="X797" s="244"/>
      <c r="Y797" s="244"/>
      <c r="Z797" s="244"/>
    </row>
    <row r="798" ht="11.25" customHeight="1">
      <c r="A798" s="244"/>
      <c r="B798" s="244"/>
      <c r="C798" s="266"/>
      <c r="D798" s="266"/>
      <c r="E798" s="266"/>
      <c r="F798" s="266"/>
      <c r="G798" s="266"/>
      <c r="H798" s="266"/>
      <c r="I798" s="266"/>
      <c r="J798" s="266"/>
      <c r="K798" s="244"/>
      <c r="L798" s="244"/>
      <c r="M798" s="244"/>
      <c r="N798" s="244"/>
      <c r="O798" s="244"/>
      <c r="P798" s="244"/>
      <c r="Q798" s="244"/>
      <c r="R798" s="244"/>
      <c r="S798" s="244"/>
      <c r="T798" s="244"/>
      <c r="U798" s="244"/>
      <c r="V798" s="244"/>
      <c r="W798" s="244"/>
      <c r="X798" s="244"/>
      <c r="Y798" s="244"/>
      <c r="Z798" s="244"/>
    </row>
    <row r="799" ht="11.25" customHeight="1">
      <c r="A799" s="244"/>
      <c r="B799" s="244"/>
      <c r="C799" s="266"/>
      <c r="D799" s="266"/>
      <c r="E799" s="266"/>
      <c r="F799" s="266"/>
      <c r="G799" s="266"/>
      <c r="H799" s="266"/>
      <c r="I799" s="266"/>
      <c r="J799" s="266"/>
      <c r="K799" s="244"/>
      <c r="L799" s="244"/>
      <c r="M799" s="244"/>
      <c r="N799" s="244"/>
      <c r="O799" s="244"/>
      <c r="P799" s="244"/>
      <c r="Q799" s="244"/>
      <c r="R799" s="244"/>
      <c r="S799" s="244"/>
      <c r="T799" s="244"/>
      <c r="U799" s="244"/>
      <c r="V799" s="244"/>
      <c r="W799" s="244"/>
      <c r="X799" s="244"/>
      <c r="Y799" s="244"/>
      <c r="Z799" s="244"/>
    </row>
    <row r="800" ht="11.25" customHeight="1">
      <c r="A800" s="244"/>
      <c r="B800" s="244"/>
      <c r="C800" s="266"/>
      <c r="D800" s="266"/>
      <c r="E800" s="266"/>
      <c r="F800" s="266"/>
      <c r="G800" s="266"/>
      <c r="H800" s="266"/>
      <c r="I800" s="266"/>
      <c r="J800" s="266"/>
      <c r="K800" s="244"/>
      <c r="L800" s="244"/>
      <c r="M800" s="244"/>
      <c r="N800" s="244"/>
      <c r="O800" s="244"/>
      <c r="P800" s="244"/>
      <c r="Q800" s="244"/>
      <c r="R800" s="244"/>
      <c r="S800" s="244"/>
      <c r="T800" s="244"/>
      <c r="U800" s="244"/>
      <c r="V800" s="244"/>
      <c r="W800" s="244"/>
      <c r="X800" s="244"/>
      <c r="Y800" s="244"/>
      <c r="Z800" s="244"/>
    </row>
    <row r="801" ht="11.25" customHeight="1">
      <c r="A801" s="244"/>
      <c r="B801" s="244"/>
      <c r="C801" s="266"/>
      <c r="D801" s="266"/>
      <c r="E801" s="266"/>
      <c r="F801" s="266"/>
      <c r="G801" s="266"/>
      <c r="H801" s="266"/>
      <c r="I801" s="266"/>
      <c r="J801" s="266"/>
      <c r="K801" s="244"/>
      <c r="L801" s="244"/>
      <c r="M801" s="244"/>
      <c r="N801" s="244"/>
      <c r="O801" s="244"/>
      <c r="P801" s="244"/>
      <c r="Q801" s="244"/>
      <c r="R801" s="244"/>
      <c r="S801" s="244"/>
      <c r="T801" s="244"/>
      <c r="U801" s="244"/>
      <c r="V801" s="244"/>
      <c r="W801" s="244"/>
      <c r="X801" s="244"/>
      <c r="Y801" s="244"/>
      <c r="Z801" s="244"/>
    </row>
    <row r="802" ht="11.25" customHeight="1">
      <c r="A802" s="244"/>
      <c r="B802" s="244"/>
      <c r="C802" s="266"/>
      <c r="D802" s="266"/>
      <c r="E802" s="266"/>
      <c r="F802" s="266"/>
      <c r="G802" s="266"/>
      <c r="H802" s="266"/>
      <c r="I802" s="266"/>
      <c r="J802" s="266"/>
      <c r="K802" s="244"/>
      <c r="L802" s="244"/>
      <c r="M802" s="244"/>
      <c r="N802" s="244"/>
      <c r="O802" s="244"/>
      <c r="P802" s="244"/>
      <c r="Q802" s="244"/>
      <c r="R802" s="244"/>
      <c r="S802" s="244"/>
      <c r="T802" s="244"/>
      <c r="U802" s="244"/>
      <c r="V802" s="244"/>
      <c r="W802" s="244"/>
      <c r="X802" s="244"/>
      <c r="Y802" s="244"/>
      <c r="Z802" s="244"/>
    </row>
    <row r="803" ht="11.25" customHeight="1">
      <c r="A803" s="244"/>
      <c r="B803" s="244"/>
      <c r="C803" s="266"/>
      <c r="D803" s="266"/>
      <c r="E803" s="266"/>
      <c r="F803" s="266"/>
      <c r="G803" s="266"/>
      <c r="H803" s="266"/>
      <c r="I803" s="266"/>
      <c r="J803" s="266"/>
      <c r="K803" s="244"/>
      <c r="L803" s="244"/>
      <c r="M803" s="244"/>
      <c r="N803" s="244"/>
      <c r="O803" s="244"/>
      <c r="P803" s="244"/>
      <c r="Q803" s="244"/>
      <c r="R803" s="244"/>
      <c r="S803" s="244"/>
      <c r="T803" s="244"/>
      <c r="U803" s="244"/>
      <c r="V803" s="244"/>
      <c r="W803" s="244"/>
      <c r="X803" s="244"/>
      <c r="Y803" s="244"/>
      <c r="Z803" s="244"/>
    </row>
    <row r="804" ht="11.25" customHeight="1">
      <c r="A804" s="244"/>
      <c r="B804" s="244"/>
      <c r="C804" s="266"/>
      <c r="D804" s="266"/>
      <c r="E804" s="266"/>
      <c r="F804" s="266"/>
      <c r="G804" s="266"/>
      <c r="H804" s="266"/>
      <c r="I804" s="266"/>
      <c r="J804" s="266"/>
      <c r="K804" s="244"/>
      <c r="L804" s="244"/>
      <c r="M804" s="244"/>
      <c r="N804" s="244"/>
      <c r="O804" s="244"/>
      <c r="P804" s="244"/>
      <c r="Q804" s="244"/>
      <c r="R804" s="244"/>
      <c r="S804" s="244"/>
      <c r="T804" s="244"/>
      <c r="U804" s="244"/>
      <c r="V804" s="244"/>
      <c r="W804" s="244"/>
      <c r="X804" s="244"/>
      <c r="Y804" s="244"/>
      <c r="Z804" s="244"/>
    </row>
    <row r="805" ht="11.25" customHeight="1">
      <c r="A805" s="244"/>
      <c r="B805" s="244"/>
      <c r="C805" s="266"/>
      <c r="D805" s="266"/>
      <c r="E805" s="266"/>
      <c r="F805" s="266"/>
      <c r="G805" s="266"/>
      <c r="H805" s="266"/>
      <c r="I805" s="266"/>
      <c r="J805" s="266"/>
      <c r="K805" s="244"/>
      <c r="L805" s="244"/>
      <c r="M805" s="244"/>
      <c r="N805" s="244"/>
      <c r="O805" s="244"/>
      <c r="P805" s="244"/>
      <c r="Q805" s="244"/>
      <c r="R805" s="244"/>
      <c r="S805" s="244"/>
      <c r="T805" s="244"/>
      <c r="U805" s="244"/>
      <c r="V805" s="244"/>
      <c r="W805" s="244"/>
      <c r="X805" s="244"/>
      <c r="Y805" s="244"/>
      <c r="Z805" s="244"/>
    </row>
    <row r="806" ht="11.25" customHeight="1">
      <c r="A806" s="244"/>
      <c r="B806" s="244"/>
      <c r="C806" s="266"/>
      <c r="D806" s="266"/>
      <c r="E806" s="266"/>
      <c r="F806" s="266"/>
      <c r="G806" s="266"/>
      <c r="H806" s="266"/>
      <c r="I806" s="266"/>
      <c r="J806" s="266"/>
      <c r="K806" s="244"/>
      <c r="L806" s="244"/>
      <c r="M806" s="244"/>
      <c r="N806" s="244"/>
      <c r="O806" s="244"/>
      <c r="P806" s="244"/>
      <c r="Q806" s="244"/>
      <c r="R806" s="244"/>
      <c r="S806" s="244"/>
      <c r="T806" s="244"/>
      <c r="U806" s="244"/>
      <c r="V806" s="244"/>
      <c r="W806" s="244"/>
      <c r="X806" s="244"/>
      <c r="Y806" s="244"/>
      <c r="Z806" s="244"/>
    </row>
    <row r="807" ht="11.25" customHeight="1">
      <c r="A807" s="244"/>
      <c r="B807" s="244"/>
      <c r="C807" s="266"/>
      <c r="D807" s="266"/>
      <c r="E807" s="266"/>
      <c r="F807" s="266"/>
      <c r="G807" s="266"/>
      <c r="H807" s="266"/>
      <c r="I807" s="266"/>
      <c r="J807" s="266"/>
      <c r="K807" s="244"/>
      <c r="L807" s="244"/>
      <c r="M807" s="244"/>
      <c r="N807" s="244"/>
      <c r="O807" s="244"/>
      <c r="P807" s="244"/>
      <c r="Q807" s="244"/>
      <c r="R807" s="244"/>
      <c r="S807" s="244"/>
      <c r="T807" s="244"/>
      <c r="U807" s="244"/>
      <c r="V807" s="244"/>
      <c r="W807" s="244"/>
      <c r="X807" s="244"/>
      <c r="Y807" s="244"/>
      <c r="Z807" s="244"/>
    </row>
    <row r="808" ht="11.25" customHeight="1">
      <c r="A808" s="244"/>
      <c r="B808" s="244"/>
      <c r="C808" s="266"/>
      <c r="D808" s="266"/>
      <c r="E808" s="266"/>
      <c r="F808" s="266"/>
      <c r="G808" s="266"/>
      <c r="H808" s="266"/>
      <c r="I808" s="266"/>
      <c r="J808" s="266"/>
      <c r="K808" s="244"/>
      <c r="L808" s="244"/>
      <c r="M808" s="244"/>
      <c r="N808" s="244"/>
      <c r="O808" s="244"/>
      <c r="P808" s="244"/>
      <c r="Q808" s="244"/>
      <c r="R808" s="244"/>
      <c r="S808" s="244"/>
      <c r="T808" s="244"/>
      <c r="U808" s="244"/>
      <c r="V808" s="244"/>
      <c r="W808" s="244"/>
      <c r="X808" s="244"/>
      <c r="Y808" s="244"/>
      <c r="Z808" s="244"/>
    </row>
    <row r="809" ht="11.25" customHeight="1">
      <c r="A809" s="244"/>
      <c r="B809" s="244"/>
      <c r="C809" s="266"/>
      <c r="D809" s="266"/>
      <c r="E809" s="266"/>
      <c r="F809" s="266"/>
      <c r="G809" s="266"/>
      <c r="H809" s="266"/>
      <c r="I809" s="266"/>
      <c r="J809" s="266"/>
      <c r="K809" s="244"/>
      <c r="L809" s="244"/>
      <c r="M809" s="244"/>
      <c r="N809" s="244"/>
      <c r="O809" s="244"/>
      <c r="P809" s="244"/>
      <c r="Q809" s="244"/>
      <c r="R809" s="244"/>
      <c r="S809" s="244"/>
      <c r="T809" s="244"/>
      <c r="U809" s="244"/>
      <c r="V809" s="244"/>
      <c r="W809" s="244"/>
      <c r="X809" s="244"/>
      <c r="Y809" s="244"/>
      <c r="Z809" s="244"/>
    </row>
    <row r="810" ht="11.25" customHeight="1">
      <c r="A810" s="244"/>
      <c r="B810" s="244"/>
      <c r="C810" s="266"/>
      <c r="D810" s="266"/>
      <c r="E810" s="266"/>
      <c r="F810" s="266"/>
      <c r="G810" s="266"/>
      <c r="H810" s="266"/>
      <c r="I810" s="266"/>
      <c r="J810" s="266"/>
      <c r="K810" s="244"/>
      <c r="L810" s="244"/>
      <c r="M810" s="244"/>
      <c r="N810" s="244"/>
      <c r="O810" s="244"/>
      <c r="P810" s="244"/>
      <c r="Q810" s="244"/>
      <c r="R810" s="244"/>
      <c r="S810" s="244"/>
      <c r="T810" s="244"/>
      <c r="U810" s="244"/>
      <c r="V810" s="244"/>
      <c r="W810" s="244"/>
      <c r="X810" s="244"/>
      <c r="Y810" s="244"/>
      <c r="Z810" s="244"/>
    </row>
    <row r="811" ht="11.25" customHeight="1">
      <c r="A811" s="244"/>
      <c r="B811" s="244"/>
      <c r="C811" s="266"/>
      <c r="D811" s="266"/>
      <c r="E811" s="266"/>
      <c r="F811" s="266"/>
      <c r="G811" s="266"/>
      <c r="H811" s="266"/>
      <c r="I811" s="266"/>
      <c r="J811" s="266"/>
      <c r="K811" s="244"/>
      <c r="L811" s="244"/>
      <c r="M811" s="244"/>
      <c r="N811" s="244"/>
      <c r="O811" s="244"/>
      <c r="P811" s="244"/>
      <c r="Q811" s="244"/>
      <c r="R811" s="244"/>
      <c r="S811" s="244"/>
      <c r="T811" s="244"/>
      <c r="U811" s="244"/>
      <c r="V811" s="244"/>
      <c r="W811" s="244"/>
      <c r="X811" s="244"/>
      <c r="Y811" s="244"/>
      <c r="Z811" s="244"/>
    </row>
    <row r="812" ht="11.25" customHeight="1">
      <c r="A812" s="244"/>
      <c r="B812" s="244"/>
      <c r="C812" s="266"/>
      <c r="D812" s="266"/>
      <c r="E812" s="266"/>
      <c r="F812" s="266"/>
      <c r="G812" s="266"/>
      <c r="H812" s="266"/>
      <c r="I812" s="266"/>
      <c r="J812" s="266"/>
      <c r="K812" s="244"/>
      <c r="L812" s="244"/>
      <c r="M812" s="244"/>
      <c r="N812" s="244"/>
      <c r="O812" s="244"/>
      <c r="P812" s="244"/>
      <c r="Q812" s="244"/>
      <c r="R812" s="244"/>
      <c r="S812" s="244"/>
      <c r="T812" s="244"/>
      <c r="U812" s="244"/>
      <c r="V812" s="244"/>
      <c r="W812" s="244"/>
      <c r="X812" s="244"/>
      <c r="Y812" s="244"/>
      <c r="Z812" s="244"/>
    </row>
    <row r="813" ht="11.25" customHeight="1">
      <c r="A813" s="244"/>
      <c r="B813" s="244"/>
      <c r="C813" s="266"/>
      <c r="D813" s="266"/>
      <c r="E813" s="266"/>
      <c r="F813" s="266"/>
      <c r="G813" s="266"/>
      <c r="H813" s="266"/>
      <c r="I813" s="266"/>
      <c r="J813" s="266"/>
      <c r="K813" s="244"/>
      <c r="L813" s="244"/>
      <c r="M813" s="244"/>
      <c r="N813" s="244"/>
      <c r="O813" s="244"/>
      <c r="P813" s="244"/>
      <c r="Q813" s="244"/>
      <c r="R813" s="244"/>
      <c r="S813" s="244"/>
      <c r="T813" s="244"/>
      <c r="U813" s="244"/>
      <c r="V813" s="244"/>
      <c r="W813" s="244"/>
      <c r="X813" s="244"/>
      <c r="Y813" s="244"/>
      <c r="Z813" s="244"/>
    </row>
    <row r="814" ht="11.25" customHeight="1">
      <c r="A814" s="244"/>
      <c r="B814" s="244"/>
      <c r="C814" s="266"/>
      <c r="D814" s="266"/>
      <c r="E814" s="266"/>
      <c r="F814" s="266"/>
      <c r="G814" s="266"/>
      <c r="H814" s="266"/>
      <c r="I814" s="266"/>
      <c r="J814" s="266"/>
      <c r="K814" s="244"/>
      <c r="L814" s="244"/>
      <c r="M814" s="244"/>
      <c r="N814" s="244"/>
      <c r="O814" s="244"/>
      <c r="P814" s="244"/>
      <c r="Q814" s="244"/>
      <c r="R814" s="244"/>
      <c r="S814" s="244"/>
      <c r="T814" s="244"/>
      <c r="U814" s="244"/>
      <c r="V814" s="244"/>
      <c r="W814" s="244"/>
      <c r="X814" s="244"/>
      <c r="Y814" s="244"/>
      <c r="Z814" s="244"/>
    </row>
    <row r="815" ht="11.25" customHeight="1">
      <c r="A815" s="244"/>
      <c r="B815" s="244"/>
      <c r="C815" s="266"/>
      <c r="D815" s="266"/>
      <c r="E815" s="266"/>
      <c r="F815" s="266"/>
      <c r="G815" s="266"/>
      <c r="H815" s="266"/>
      <c r="I815" s="266"/>
      <c r="J815" s="266"/>
      <c r="K815" s="244"/>
      <c r="L815" s="244"/>
      <c r="M815" s="244"/>
      <c r="N815" s="244"/>
      <c r="O815" s="244"/>
      <c r="P815" s="244"/>
      <c r="Q815" s="244"/>
      <c r="R815" s="244"/>
      <c r="S815" s="244"/>
      <c r="T815" s="244"/>
      <c r="U815" s="244"/>
      <c r="V815" s="244"/>
      <c r="W815" s="244"/>
      <c r="X815" s="244"/>
      <c r="Y815" s="244"/>
      <c r="Z815" s="244"/>
    </row>
    <row r="816" ht="11.25" customHeight="1">
      <c r="A816" s="244"/>
      <c r="B816" s="244"/>
      <c r="C816" s="266"/>
      <c r="D816" s="266"/>
      <c r="E816" s="266"/>
      <c r="F816" s="266"/>
      <c r="G816" s="266"/>
      <c r="H816" s="266"/>
      <c r="I816" s="266"/>
      <c r="J816" s="266"/>
      <c r="K816" s="244"/>
      <c r="L816" s="244"/>
      <c r="M816" s="244"/>
      <c r="N816" s="244"/>
      <c r="O816" s="244"/>
      <c r="P816" s="244"/>
      <c r="Q816" s="244"/>
      <c r="R816" s="244"/>
      <c r="S816" s="244"/>
      <c r="T816" s="244"/>
      <c r="U816" s="244"/>
      <c r="V816" s="244"/>
      <c r="W816" s="244"/>
      <c r="X816" s="244"/>
      <c r="Y816" s="244"/>
      <c r="Z816" s="244"/>
    </row>
    <row r="817" ht="11.25" customHeight="1">
      <c r="A817" s="244"/>
      <c r="B817" s="244"/>
      <c r="C817" s="266"/>
      <c r="D817" s="266"/>
      <c r="E817" s="266"/>
      <c r="F817" s="266"/>
      <c r="G817" s="266"/>
      <c r="H817" s="266"/>
      <c r="I817" s="266"/>
      <c r="J817" s="266"/>
      <c r="K817" s="244"/>
      <c r="L817" s="244"/>
      <c r="M817" s="244"/>
      <c r="N817" s="244"/>
      <c r="O817" s="244"/>
      <c r="P817" s="244"/>
      <c r="Q817" s="244"/>
      <c r="R817" s="244"/>
      <c r="S817" s="244"/>
      <c r="T817" s="244"/>
      <c r="U817" s="244"/>
      <c r="V817" s="244"/>
      <c r="W817" s="244"/>
      <c r="X817" s="244"/>
      <c r="Y817" s="244"/>
      <c r="Z817" s="244"/>
    </row>
    <row r="818" ht="11.25" customHeight="1">
      <c r="A818" s="244"/>
      <c r="B818" s="244"/>
      <c r="C818" s="266"/>
      <c r="D818" s="266"/>
      <c r="E818" s="266"/>
      <c r="F818" s="266"/>
      <c r="G818" s="266"/>
      <c r="H818" s="266"/>
      <c r="I818" s="266"/>
      <c r="J818" s="266"/>
      <c r="K818" s="244"/>
      <c r="L818" s="244"/>
      <c r="M818" s="244"/>
      <c r="N818" s="244"/>
      <c r="O818" s="244"/>
      <c r="P818" s="244"/>
      <c r="Q818" s="244"/>
      <c r="R818" s="244"/>
      <c r="S818" s="244"/>
      <c r="T818" s="244"/>
      <c r="U818" s="244"/>
      <c r="V818" s="244"/>
      <c r="W818" s="244"/>
      <c r="X818" s="244"/>
      <c r="Y818" s="244"/>
      <c r="Z818" s="244"/>
    </row>
    <row r="819" ht="11.25" customHeight="1">
      <c r="A819" s="244"/>
      <c r="B819" s="244"/>
      <c r="C819" s="266"/>
      <c r="D819" s="266"/>
      <c r="E819" s="266"/>
      <c r="F819" s="266"/>
      <c r="G819" s="266"/>
      <c r="H819" s="266"/>
      <c r="I819" s="266"/>
      <c r="J819" s="266"/>
      <c r="K819" s="244"/>
      <c r="L819" s="244"/>
      <c r="M819" s="244"/>
      <c r="N819" s="244"/>
      <c r="O819" s="244"/>
      <c r="P819" s="244"/>
      <c r="Q819" s="244"/>
      <c r="R819" s="244"/>
      <c r="S819" s="244"/>
      <c r="T819" s="244"/>
      <c r="U819" s="244"/>
      <c r="V819" s="244"/>
      <c r="W819" s="244"/>
      <c r="X819" s="244"/>
      <c r="Y819" s="244"/>
      <c r="Z819" s="244"/>
    </row>
    <row r="820" ht="11.25" customHeight="1">
      <c r="A820" s="244"/>
      <c r="B820" s="244"/>
      <c r="C820" s="266"/>
      <c r="D820" s="266"/>
      <c r="E820" s="266"/>
      <c r="F820" s="266"/>
      <c r="G820" s="266"/>
      <c r="H820" s="266"/>
      <c r="I820" s="266"/>
      <c r="J820" s="266"/>
      <c r="K820" s="244"/>
      <c r="L820" s="244"/>
      <c r="M820" s="244"/>
      <c r="N820" s="244"/>
      <c r="O820" s="244"/>
      <c r="P820" s="244"/>
      <c r="Q820" s="244"/>
      <c r="R820" s="244"/>
      <c r="S820" s="244"/>
      <c r="T820" s="244"/>
      <c r="U820" s="244"/>
      <c r="V820" s="244"/>
      <c r="W820" s="244"/>
      <c r="X820" s="244"/>
      <c r="Y820" s="244"/>
      <c r="Z820" s="244"/>
    </row>
    <row r="821" ht="11.25" customHeight="1">
      <c r="A821" s="244"/>
      <c r="B821" s="244"/>
      <c r="C821" s="266"/>
      <c r="D821" s="266"/>
      <c r="E821" s="266"/>
      <c r="F821" s="266"/>
      <c r="G821" s="266"/>
      <c r="H821" s="266"/>
      <c r="I821" s="266"/>
      <c r="J821" s="266"/>
      <c r="K821" s="244"/>
      <c r="L821" s="244"/>
      <c r="M821" s="244"/>
      <c r="N821" s="244"/>
      <c r="O821" s="244"/>
      <c r="P821" s="244"/>
      <c r="Q821" s="244"/>
      <c r="R821" s="244"/>
      <c r="S821" s="244"/>
      <c r="T821" s="244"/>
      <c r="U821" s="244"/>
      <c r="V821" s="244"/>
      <c r="W821" s="244"/>
      <c r="X821" s="244"/>
      <c r="Y821" s="244"/>
      <c r="Z821" s="244"/>
    </row>
    <row r="822" ht="11.25" customHeight="1">
      <c r="A822" s="244"/>
      <c r="B822" s="244"/>
      <c r="C822" s="266"/>
      <c r="D822" s="266"/>
      <c r="E822" s="266"/>
      <c r="F822" s="266"/>
      <c r="G822" s="266"/>
      <c r="H822" s="266"/>
      <c r="I822" s="266"/>
      <c r="J822" s="266"/>
      <c r="K822" s="244"/>
      <c r="L822" s="244"/>
      <c r="M822" s="244"/>
      <c r="N822" s="244"/>
      <c r="O822" s="244"/>
      <c r="P822" s="244"/>
      <c r="Q822" s="244"/>
      <c r="R822" s="244"/>
      <c r="S822" s="244"/>
      <c r="T822" s="244"/>
      <c r="U822" s="244"/>
      <c r="V822" s="244"/>
      <c r="W822" s="244"/>
      <c r="X822" s="244"/>
      <c r="Y822" s="244"/>
      <c r="Z822" s="244"/>
    </row>
    <row r="823" ht="11.25" customHeight="1">
      <c r="A823" s="244"/>
      <c r="B823" s="244"/>
      <c r="C823" s="266"/>
      <c r="D823" s="266"/>
      <c r="E823" s="266"/>
      <c r="F823" s="266"/>
      <c r="G823" s="266"/>
      <c r="H823" s="266"/>
      <c r="I823" s="266"/>
      <c r="J823" s="266"/>
      <c r="K823" s="244"/>
      <c r="L823" s="244"/>
      <c r="M823" s="244"/>
      <c r="N823" s="244"/>
      <c r="O823" s="244"/>
      <c r="P823" s="244"/>
      <c r="Q823" s="244"/>
      <c r="R823" s="244"/>
      <c r="S823" s="244"/>
      <c r="T823" s="244"/>
      <c r="U823" s="244"/>
      <c r="V823" s="244"/>
      <c r="W823" s="244"/>
      <c r="X823" s="244"/>
      <c r="Y823" s="244"/>
      <c r="Z823" s="244"/>
    </row>
    <row r="824" ht="11.25" customHeight="1">
      <c r="A824" s="244"/>
      <c r="B824" s="244"/>
      <c r="C824" s="266"/>
      <c r="D824" s="266"/>
      <c r="E824" s="266"/>
      <c r="F824" s="266"/>
      <c r="G824" s="266"/>
      <c r="H824" s="266"/>
      <c r="I824" s="266"/>
      <c r="J824" s="266"/>
      <c r="K824" s="244"/>
      <c r="L824" s="244"/>
      <c r="M824" s="244"/>
      <c r="N824" s="244"/>
      <c r="O824" s="244"/>
      <c r="P824" s="244"/>
      <c r="Q824" s="244"/>
      <c r="R824" s="244"/>
      <c r="S824" s="244"/>
      <c r="T824" s="244"/>
      <c r="U824" s="244"/>
      <c r="V824" s="244"/>
      <c r="W824" s="244"/>
      <c r="X824" s="244"/>
      <c r="Y824" s="244"/>
      <c r="Z824" s="244"/>
    </row>
    <row r="825" ht="11.25" customHeight="1">
      <c r="A825" s="244"/>
      <c r="B825" s="244"/>
      <c r="C825" s="266"/>
      <c r="D825" s="266"/>
      <c r="E825" s="266"/>
      <c r="F825" s="266"/>
      <c r="G825" s="266"/>
      <c r="H825" s="266"/>
      <c r="I825" s="266"/>
      <c r="J825" s="266"/>
      <c r="K825" s="244"/>
      <c r="L825" s="244"/>
      <c r="M825" s="244"/>
      <c r="N825" s="244"/>
      <c r="O825" s="244"/>
      <c r="P825" s="244"/>
      <c r="Q825" s="244"/>
      <c r="R825" s="244"/>
      <c r="S825" s="244"/>
      <c r="T825" s="244"/>
      <c r="U825" s="244"/>
      <c r="V825" s="244"/>
      <c r="W825" s="244"/>
      <c r="X825" s="244"/>
      <c r="Y825" s="244"/>
      <c r="Z825" s="244"/>
    </row>
    <row r="826" ht="11.25" customHeight="1">
      <c r="A826" s="244"/>
      <c r="B826" s="244"/>
      <c r="C826" s="266"/>
      <c r="D826" s="266"/>
      <c r="E826" s="266"/>
      <c r="F826" s="266"/>
      <c r="G826" s="266"/>
      <c r="H826" s="266"/>
      <c r="I826" s="266"/>
      <c r="J826" s="266"/>
      <c r="K826" s="244"/>
      <c r="L826" s="244"/>
      <c r="M826" s="244"/>
      <c r="N826" s="244"/>
      <c r="O826" s="244"/>
      <c r="P826" s="244"/>
      <c r="Q826" s="244"/>
      <c r="R826" s="244"/>
      <c r="S826" s="244"/>
      <c r="T826" s="244"/>
      <c r="U826" s="244"/>
      <c r="V826" s="244"/>
      <c r="W826" s="244"/>
      <c r="X826" s="244"/>
      <c r="Y826" s="244"/>
      <c r="Z826" s="244"/>
    </row>
    <row r="827" ht="11.25" customHeight="1">
      <c r="A827" s="244"/>
      <c r="B827" s="244"/>
      <c r="C827" s="266"/>
      <c r="D827" s="266"/>
      <c r="E827" s="266"/>
      <c r="F827" s="266"/>
      <c r="G827" s="266"/>
      <c r="H827" s="266"/>
      <c r="I827" s="266"/>
      <c r="J827" s="266"/>
      <c r="K827" s="244"/>
      <c r="L827" s="244"/>
      <c r="M827" s="244"/>
      <c r="N827" s="244"/>
      <c r="O827" s="244"/>
      <c r="P827" s="244"/>
      <c r="Q827" s="244"/>
      <c r="R827" s="244"/>
      <c r="S827" s="244"/>
      <c r="T827" s="244"/>
      <c r="U827" s="244"/>
      <c r="V827" s="244"/>
      <c r="W827" s="244"/>
      <c r="X827" s="244"/>
      <c r="Y827" s="244"/>
      <c r="Z827" s="244"/>
    </row>
    <row r="828" ht="11.25" customHeight="1">
      <c r="A828" s="244"/>
      <c r="B828" s="244"/>
      <c r="C828" s="266"/>
      <c r="D828" s="266"/>
      <c r="E828" s="266"/>
      <c r="F828" s="266"/>
      <c r="G828" s="266"/>
      <c r="H828" s="266"/>
      <c r="I828" s="266"/>
      <c r="J828" s="266"/>
      <c r="K828" s="244"/>
      <c r="L828" s="244"/>
      <c r="M828" s="244"/>
      <c r="N828" s="244"/>
      <c r="O828" s="244"/>
      <c r="P828" s="244"/>
      <c r="Q828" s="244"/>
      <c r="R828" s="244"/>
      <c r="S828" s="244"/>
      <c r="T828" s="244"/>
      <c r="U828" s="244"/>
      <c r="V828" s="244"/>
      <c r="W828" s="244"/>
      <c r="X828" s="244"/>
      <c r="Y828" s="244"/>
      <c r="Z828" s="244"/>
    </row>
    <row r="829" ht="11.25" customHeight="1">
      <c r="A829" s="244"/>
      <c r="B829" s="244"/>
      <c r="C829" s="266"/>
      <c r="D829" s="266"/>
      <c r="E829" s="266"/>
      <c r="F829" s="266"/>
      <c r="G829" s="266"/>
      <c r="H829" s="266"/>
      <c r="I829" s="266"/>
      <c r="J829" s="266"/>
      <c r="K829" s="244"/>
      <c r="L829" s="244"/>
      <c r="M829" s="244"/>
      <c r="N829" s="244"/>
      <c r="O829" s="244"/>
      <c r="P829" s="244"/>
      <c r="Q829" s="244"/>
      <c r="R829" s="244"/>
      <c r="S829" s="244"/>
      <c r="T829" s="244"/>
      <c r="U829" s="244"/>
      <c r="V829" s="244"/>
      <c r="W829" s="244"/>
      <c r="X829" s="244"/>
      <c r="Y829" s="244"/>
      <c r="Z829" s="244"/>
    </row>
    <row r="830" ht="11.25" customHeight="1">
      <c r="A830" s="244"/>
      <c r="B830" s="244"/>
      <c r="C830" s="266"/>
      <c r="D830" s="266"/>
      <c r="E830" s="266"/>
      <c r="F830" s="266"/>
      <c r="G830" s="266"/>
      <c r="H830" s="266"/>
      <c r="I830" s="266"/>
      <c r="J830" s="266"/>
      <c r="K830" s="244"/>
      <c r="L830" s="244"/>
      <c r="M830" s="244"/>
      <c r="N830" s="244"/>
      <c r="O830" s="244"/>
      <c r="P830" s="244"/>
      <c r="Q830" s="244"/>
      <c r="R830" s="244"/>
      <c r="S830" s="244"/>
      <c r="T830" s="244"/>
      <c r="U830" s="244"/>
      <c r="V830" s="244"/>
      <c r="W830" s="244"/>
      <c r="X830" s="244"/>
      <c r="Y830" s="244"/>
      <c r="Z830" s="244"/>
    </row>
    <row r="831" ht="11.25" customHeight="1">
      <c r="A831" s="244"/>
      <c r="B831" s="244"/>
      <c r="C831" s="266"/>
      <c r="D831" s="266"/>
      <c r="E831" s="266"/>
      <c r="F831" s="266"/>
      <c r="G831" s="266"/>
      <c r="H831" s="266"/>
      <c r="I831" s="266"/>
      <c r="J831" s="266"/>
      <c r="K831" s="244"/>
      <c r="L831" s="244"/>
      <c r="M831" s="244"/>
      <c r="N831" s="244"/>
      <c r="O831" s="244"/>
      <c r="P831" s="244"/>
      <c r="Q831" s="244"/>
      <c r="R831" s="244"/>
      <c r="S831" s="244"/>
      <c r="T831" s="244"/>
      <c r="U831" s="244"/>
      <c r="V831" s="244"/>
      <c r="W831" s="244"/>
      <c r="X831" s="244"/>
      <c r="Y831" s="244"/>
      <c r="Z831" s="244"/>
    </row>
    <row r="832" ht="11.25" customHeight="1">
      <c r="A832" s="244"/>
      <c r="B832" s="244"/>
      <c r="C832" s="266"/>
      <c r="D832" s="266"/>
      <c r="E832" s="266"/>
      <c r="F832" s="266"/>
      <c r="G832" s="266"/>
      <c r="H832" s="266"/>
      <c r="I832" s="266"/>
      <c r="J832" s="266"/>
      <c r="K832" s="244"/>
      <c r="L832" s="244"/>
      <c r="M832" s="244"/>
      <c r="N832" s="244"/>
      <c r="O832" s="244"/>
      <c r="P832" s="244"/>
      <c r="Q832" s="244"/>
      <c r="R832" s="244"/>
      <c r="S832" s="244"/>
      <c r="T832" s="244"/>
      <c r="U832" s="244"/>
      <c r="V832" s="244"/>
      <c r="W832" s="244"/>
      <c r="X832" s="244"/>
      <c r="Y832" s="244"/>
      <c r="Z832" s="244"/>
    </row>
    <row r="833" ht="11.25" customHeight="1">
      <c r="A833" s="244"/>
      <c r="B833" s="244"/>
      <c r="C833" s="266"/>
      <c r="D833" s="266"/>
      <c r="E833" s="266"/>
      <c r="F833" s="266"/>
      <c r="G833" s="266"/>
      <c r="H833" s="266"/>
      <c r="I833" s="266"/>
      <c r="J833" s="266"/>
      <c r="K833" s="244"/>
      <c r="L833" s="244"/>
      <c r="M833" s="244"/>
      <c r="N833" s="244"/>
      <c r="O833" s="244"/>
      <c r="P833" s="244"/>
      <c r="Q833" s="244"/>
      <c r="R833" s="244"/>
      <c r="S833" s="244"/>
      <c r="T833" s="244"/>
      <c r="U833" s="244"/>
      <c r="V833" s="244"/>
      <c r="W833" s="244"/>
      <c r="X833" s="244"/>
      <c r="Y833" s="244"/>
      <c r="Z833" s="244"/>
    </row>
    <row r="834" ht="11.25" customHeight="1">
      <c r="A834" s="244"/>
      <c r="B834" s="244"/>
      <c r="C834" s="266"/>
      <c r="D834" s="266"/>
      <c r="E834" s="266"/>
      <c r="F834" s="266"/>
      <c r="G834" s="266"/>
      <c r="H834" s="266"/>
      <c r="I834" s="266"/>
      <c r="J834" s="266"/>
      <c r="K834" s="244"/>
      <c r="L834" s="244"/>
      <c r="M834" s="244"/>
      <c r="N834" s="244"/>
      <c r="O834" s="244"/>
      <c r="P834" s="244"/>
      <c r="Q834" s="244"/>
      <c r="R834" s="244"/>
      <c r="S834" s="244"/>
      <c r="T834" s="244"/>
      <c r="U834" s="244"/>
      <c r="V834" s="244"/>
      <c r="W834" s="244"/>
      <c r="X834" s="244"/>
      <c r="Y834" s="244"/>
      <c r="Z834" s="244"/>
    </row>
    <row r="835" ht="11.25" customHeight="1">
      <c r="A835" s="244"/>
      <c r="B835" s="244"/>
      <c r="C835" s="266"/>
      <c r="D835" s="266"/>
      <c r="E835" s="266"/>
      <c r="F835" s="266"/>
      <c r="G835" s="266"/>
      <c r="H835" s="266"/>
      <c r="I835" s="266"/>
      <c r="J835" s="266"/>
      <c r="K835" s="244"/>
      <c r="L835" s="244"/>
      <c r="M835" s="244"/>
      <c r="N835" s="244"/>
      <c r="O835" s="244"/>
      <c r="P835" s="244"/>
      <c r="Q835" s="244"/>
      <c r="R835" s="244"/>
      <c r="S835" s="244"/>
      <c r="T835" s="244"/>
      <c r="U835" s="244"/>
      <c r="V835" s="244"/>
      <c r="W835" s="244"/>
      <c r="X835" s="244"/>
      <c r="Y835" s="244"/>
      <c r="Z835" s="244"/>
    </row>
    <row r="836" ht="11.25" customHeight="1">
      <c r="A836" s="244"/>
      <c r="B836" s="244"/>
      <c r="C836" s="266"/>
      <c r="D836" s="266"/>
      <c r="E836" s="266"/>
      <c r="F836" s="266"/>
      <c r="G836" s="266"/>
      <c r="H836" s="266"/>
      <c r="I836" s="266"/>
      <c r="J836" s="266"/>
      <c r="K836" s="244"/>
      <c r="L836" s="244"/>
      <c r="M836" s="244"/>
      <c r="N836" s="244"/>
      <c r="O836" s="244"/>
      <c r="P836" s="244"/>
      <c r="Q836" s="244"/>
      <c r="R836" s="244"/>
      <c r="S836" s="244"/>
      <c r="T836" s="244"/>
      <c r="U836" s="244"/>
      <c r="V836" s="244"/>
      <c r="W836" s="244"/>
      <c r="X836" s="244"/>
      <c r="Y836" s="244"/>
      <c r="Z836" s="244"/>
    </row>
    <row r="837" ht="11.25" customHeight="1">
      <c r="A837" s="244"/>
      <c r="B837" s="244"/>
      <c r="C837" s="266"/>
      <c r="D837" s="266"/>
      <c r="E837" s="266"/>
      <c r="F837" s="266"/>
      <c r="G837" s="266"/>
      <c r="H837" s="266"/>
      <c r="I837" s="266"/>
      <c r="J837" s="266"/>
      <c r="K837" s="244"/>
      <c r="L837" s="244"/>
      <c r="M837" s="244"/>
      <c r="N837" s="244"/>
      <c r="O837" s="244"/>
      <c r="P837" s="244"/>
      <c r="Q837" s="244"/>
      <c r="R837" s="244"/>
      <c r="S837" s="244"/>
      <c r="T837" s="244"/>
      <c r="U837" s="244"/>
      <c r="V837" s="244"/>
      <c r="W837" s="244"/>
      <c r="X837" s="244"/>
      <c r="Y837" s="244"/>
      <c r="Z837" s="244"/>
    </row>
    <row r="838" ht="11.25" customHeight="1">
      <c r="A838" s="244"/>
      <c r="B838" s="244"/>
      <c r="C838" s="266"/>
      <c r="D838" s="266"/>
      <c r="E838" s="266"/>
      <c r="F838" s="266"/>
      <c r="G838" s="266"/>
      <c r="H838" s="266"/>
      <c r="I838" s="266"/>
      <c r="J838" s="266"/>
      <c r="K838" s="244"/>
      <c r="L838" s="244"/>
      <c r="M838" s="244"/>
      <c r="N838" s="244"/>
      <c r="O838" s="244"/>
      <c r="P838" s="244"/>
      <c r="Q838" s="244"/>
      <c r="R838" s="244"/>
      <c r="S838" s="244"/>
      <c r="T838" s="244"/>
      <c r="U838" s="244"/>
      <c r="V838" s="244"/>
      <c r="W838" s="244"/>
      <c r="X838" s="244"/>
      <c r="Y838" s="244"/>
      <c r="Z838" s="244"/>
    </row>
    <row r="839" ht="11.25" customHeight="1">
      <c r="A839" s="244"/>
      <c r="B839" s="244"/>
      <c r="C839" s="266"/>
      <c r="D839" s="266"/>
      <c r="E839" s="266"/>
      <c r="F839" s="266"/>
      <c r="G839" s="266"/>
      <c r="H839" s="266"/>
      <c r="I839" s="266"/>
      <c r="J839" s="266"/>
      <c r="K839" s="244"/>
      <c r="L839" s="244"/>
      <c r="M839" s="244"/>
      <c r="N839" s="244"/>
      <c r="O839" s="244"/>
      <c r="P839" s="244"/>
      <c r="Q839" s="244"/>
      <c r="R839" s="244"/>
      <c r="S839" s="244"/>
      <c r="T839" s="244"/>
      <c r="U839" s="244"/>
      <c r="V839" s="244"/>
      <c r="W839" s="244"/>
      <c r="X839" s="244"/>
      <c r="Y839" s="244"/>
      <c r="Z839" s="244"/>
    </row>
    <row r="840" ht="11.25" customHeight="1">
      <c r="A840" s="244"/>
      <c r="B840" s="244"/>
      <c r="C840" s="266"/>
      <c r="D840" s="266"/>
      <c r="E840" s="266"/>
      <c r="F840" s="266"/>
      <c r="G840" s="266"/>
      <c r="H840" s="266"/>
      <c r="I840" s="266"/>
      <c r="J840" s="266"/>
      <c r="K840" s="244"/>
      <c r="L840" s="244"/>
      <c r="M840" s="244"/>
      <c r="N840" s="244"/>
      <c r="O840" s="244"/>
      <c r="P840" s="244"/>
      <c r="Q840" s="244"/>
      <c r="R840" s="244"/>
      <c r="S840" s="244"/>
      <c r="T840" s="244"/>
      <c r="U840" s="244"/>
      <c r="V840" s="244"/>
      <c r="W840" s="244"/>
      <c r="X840" s="244"/>
      <c r="Y840" s="244"/>
      <c r="Z840" s="244"/>
    </row>
    <row r="841" ht="11.25" customHeight="1">
      <c r="A841" s="244"/>
      <c r="B841" s="244"/>
      <c r="C841" s="266"/>
      <c r="D841" s="266"/>
      <c r="E841" s="266"/>
      <c r="F841" s="266"/>
      <c r="G841" s="266"/>
      <c r="H841" s="266"/>
      <c r="I841" s="266"/>
      <c r="J841" s="266"/>
      <c r="K841" s="244"/>
      <c r="L841" s="244"/>
      <c r="M841" s="244"/>
      <c r="N841" s="244"/>
      <c r="O841" s="244"/>
      <c r="P841" s="244"/>
      <c r="Q841" s="244"/>
      <c r="R841" s="244"/>
      <c r="S841" s="244"/>
      <c r="T841" s="244"/>
      <c r="U841" s="244"/>
      <c r="V841" s="244"/>
      <c r="W841" s="244"/>
      <c r="X841" s="244"/>
      <c r="Y841" s="244"/>
      <c r="Z841" s="244"/>
    </row>
    <row r="842" ht="11.25" customHeight="1">
      <c r="A842" s="244"/>
      <c r="B842" s="244"/>
      <c r="C842" s="266"/>
      <c r="D842" s="266"/>
      <c r="E842" s="266"/>
      <c r="F842" s="266"/>
      <c r="G842" s="266"/>
      <c r="H842" s="266"/>
      <c r="I842" s="266"/>
      <c r="J842" s="266"/>
      <c r="K842" s="244"/>
      <c r="L842" s="244"/>
      <c r="M842" s="244"/>
      <c r="N842" s="244"/>
      <c r="O842" s="244"/>
      <c r="P842" s="244"/>
      <c r="Q842" s="244"/>
      <c r="R842" s="244"/>
      <c r="S842" s="244"/>
      <c r="T842" s="244"/>
      <c r="U842" s="244"/>
      <c r="V842" s="244"/>
      <c r="W842" s="244"/>
      <c r="X842" s="244"/>
      <c r="Y842" s="244"/>
      <c r="Z842" s="244"/>
    </row>
    <row r="843" ht="11.25" customHeight="1">
      <c r="A843" s="244"/>
      <c r="B843" s="244"/>
      <c r="C843" s="266"/>
      <c r="D843" s="266"/>
      <c r="E843" s="266"/>
      <c r="F843" s="266"/>
      <c r="G843" s="266"/>
      <c r="H843" s="266"/>
      <c r="I843" s="266"/>
      <c r="J843" s="266"/>
      <c r="K843" s="244"/>
      <c r="L843" s="244"/>
      <c r="M843" s="244"/>
      <c r="N843" s="244"/>
      <c r="O843" s="244"/>
      <c r="P843" s="244"/>
      <c r="Q843" s="244"/>
      <c r="R843" s="244"/>
      <c r="S843" s="244"/>
      <c r="T843" s="244"/>
      <c r="U843" s="244"/>
      <c r="V843" s="244"/>
      <c r="W843" s="244"/>
      <c r="X843" s="244"/>
      <c r="Y843" s="244"/>
      <c r="Z843" s="244"/>
    </row>
    <row r="844" ht="11.25" customHeight="1">
      <c r="A844" s="244"/>
      <c r="B844" s="244"/>
      <c r="C844" s="266"/>
      <c r="D844" s="266"/>
      <c r="E844" s="266"/>
      <c r="F844" s="266"/>
      <c r="G844" s="266"/>
      <c r="H844" s="266"/>
      <c r="I844" s="266"/>
      <c r="J844" s="266"/>
      <c r="K844" s="244"/>
      <c r="L844" s="244"/>
      <c r="M844" s="244"/>
      <c r="N844" s="244"/>
      <c r="O844" s="244"/>
      <c r="P844" s="244"/>
      <c r="Q844" s="244"/>
      <c r="R844" s="244"/>
      <c r="S844" s="244"/>
      <c r="T844" s="244"/>
      <c r="U844" s="244"/>
      <c r="V844" s="244"/>
      <c r="W844" s="244"/>
      <c r="X844" s="244"/>
      <c r="Y844" s="244"/>
      <c r="Z844" s="244"/>
    </row>
    <row r="845" ht="11.25" customHeight="1">
      <c r="A845" s="244"/>
      <c r="B845" s="244"/>
      <c r="C845" s="266"/>
      <c r="D845" s="266"/>
      <c r="E845" s="266"/>
      <c r="F845" s="266"/>
      <c r="G845" s="266"/>
      <c r="H845" s="266"/>
      <c r="I845" s="266"/>
      <c r="J845" s="266"/>
      <c r="K845" s="244"/>
      <c r="L845" s="244"/>
      <c r="M845" s="244"/>
      <c r="N845" s="244"/>
      <c r="O845" s="244"/>
      <c r="P845" s="244"/>
      <c r="Q845" s="244"/>
      <c r="R845" s="244"/>
      <c r="S845" s="244"/>
      <c r="T845" s="244"/>
      <c r="U845" s="244"/>
      <c r="V845" s="244"/>
      <c r="W845" s="244"/>
      <c r="X845" s="244"/>
      <c r="Y845" s="244"/>
      <c r="Z845" s="244"/>
    </row>
    <row r="846" ht="11.25" customHeight="1">
      <c r="A846" s="244"/>
      <c r="B846" s="244"/>
      <c r="C846" s="266"/>
      <c r="D846" s="266"/>
      <c r="E846" s="266"/>
      <c r="F846" s="266"/>
      <c r="G846" s="266"/>
      <c r="H846" s="266"/>
      <c r="I846" s="266"/>
      <c r="J846" s="266"/>
      <c r="K846" s="244"/>
      <c r="L846" s="244"/>
      <c r="M846" s="244"/>
      <c r="N846" s="244"/>
      <c r="O846" s="244"/>
      <c r="P846" s="244"/>
      <c r="Q846" s="244"/>
      <c r="R846" s="244"/>
      <c r="S846" s="244"/>
      <c r="T846" s="244"/>
      <c r="U846" s="244"/>
      <c r="V846" s="244"/>
      <c r="W846" s="244"/>
      <c r="X846" s="244"/>
      <c r="Y846" s="244"/>
      <c r="Z846" s="244"/>
    </row>
    <row r="847" ht="11.25" customHeight="1">
      <c r="A847" s="244"/>
      <c r="B847" s="244"/>
      <c r="C847" s="266"/>
      <c r="D847" s="266"/>
      <c r="E847" s="266"/>
      <c r="F847" s="266"/>
      <c r="G847" s="266"/>
      <c r="H847" s="266"/>
      <c r="I847" s="266"/>
      <c r="J847" s="266"/>
      <c r="K847" s="244"/>
      <c r="L847" s="244"/>
      <c r="M847" s="244"/>
      <c r="N847" s="244"/>
      <c r="O847" s="244"/>
      <c r="P847" s="244"/>
      <c r="Q847" s="244"/>
      <c r="R847" s="244"/>
      <c r="S847" s="244"/>
      <c r="T847" s="244"/>
      <c r="U847" s="244"/>
      <c r="V847" s="244"/>
      <c r="W847" s="244"/>
      <c r="X847" s="244"/>
      <c r="Y847" s="244"/>
      <c r="Z847" s="244"/>
    </row>
    <row r="848" ht="11.25" customHeight="1">
      <c r="A848" s="244"/>
      <c r="B848" s="244"/>
      <c r="C848" s="266"/>
      <c r="D848" s="266"/>
      <c r="E848" s="266"/>
      <c r="F848" s="266"/>
      <c r="G848" s="266"/>
      <c r="H848" s="266"/>
      <c r="I848" s="266"/>
      <c r="J848" s="266"/>
      <c r="K848" s="244"/>
      <c r="L848" s="244"/>
      <c r="M848" s="244"/>
      <c r="N848" s="244"/>
      <c r="O848" s="244"/>
      <c r="P848" s="244"/>
      <c r="Q848" s="244"/>
      <c r="R848" s="244"/>
      <c r="S848" s="244"/>
      <c r="T848" s="244"/>
      <c r="U848" s="244"/>
      <c r="V848" s="244"/>
      <c r="W848" s="244"/>
      <c r="X848" s="244"/>
      <c r="Y848" s="244"/>
      <c r="Z848" s="244"/>
    </row>
    <row r="849" ht="11.25" customHeight="1">
      <c r="A849" s="244"/>
      <c r="B849" s="244"/>
      <c r="C849" s="266"/>
      <c r="D849" s="266"/>
      <c r="E849" s="266"/>
      <c r="F849" s="266"/>
      <c r="G849" s="266"/>
      <c r="H849" s="266"/>
      <c r="I849" s="266"/>
      <c r="J849" s="266"/>
      <c r="K849" s="244"/>
      <c r="L849" s="244"/>
      <c r="M849" s="244"/>
      <c r="N849" s="244"/>
      <c r="O849" s="244"/>
      <c r="P849" s="244"/>
      <c r="Q849" s="244"/>
      <c r="R849" s="244"/>
      <c r="S849" s="244"/>
      <c r="T849" s="244"/>
      <c r="U849" s="244"/>
      <c r="V849" s="244"/>
      <c r="W849" s="244"/>
      <c r="X849" s="244"/>
      <c r="Y849" s="244"/>
      <c r="Z849" s="244"/>
    </row>
    <row r="850" ht="11.25" customHeight="1">
      <c r="A850" s="244"/>
      <c r="B850" s="244"/>
      <c r="C850" s="266"/>
      <c r="D850" s="266"/>
      <c r="E850" s="266"/>
      <c r="F850" s="266"/>
      <c r="G850" s="266"/>
      <c r="H850" s="266"/>
      <c r="I850" s="266"/>
      <c r="J850" s="266"/>
      <c r="K850" s="244"/>
      <c r="L850" s="244"/>
      <c r="M850" s="244"/>
      <c r="N850" s="244"/>
      <c r="O850" s="244"/>
      <c r="P850" s="244"/>
      <c r="Q850" s="244"/>
      <c r="R850" s="244"/>
      <c r="S850" s="244"/>
      <c r="T850" s="244"/>
      <c r="U850" s="244"/>
      <c r="V850" s="244"/>
      <c r="W850" s="244"/>
      <c r="X850" s="244"/>
      <c r="Y850" s="244"/>
      <c r="Z850" s="244"/>
    </row>
    <row r="851" ht="11.25" customHeight="1">
      <c r="A851" s="244"/>
      <c r="B851" s="244"/>
      <c r="C851" s="266"/>
      <c r="D851" s="266"/>
      <c r="E851" s="266"/>
      <c r="F851" s="266"/>
      <c r="G851" s="266"/>
      <c r="H851" s="266"/>
      <c r="I851" s="266"/>
      <c r="J851" s="266"/>
      <c r="K851" s="244"/>
      <c r="L851" s="244"/>
      <c r="M851" s="244"/>
      <c r="N851" s="244"/>
      <c r="O851" s="244"/>
      <c r="P851" s="244"/>
      <c r="Q851" s="244"/>
      <c r="R851" s="244"/>
      <c r="S851" s="244"/>
      <c r="T851" s="244"/>
      <c r="U851" s="244"/>
      <c r="V851" s="244"/>
      <c r="W851" s="244"/>
      <c r="X851" s="244"/>
      <c r="Y851" s="244"/>
      <c r="Z851" s="244"/>
    </row>
    <row r="852" ht="11.25" customHeight="1">
      <c r="A852" s="244"/>
      <c r="B852" s="244"/>
      <c r="C852" s="266"/>
      <c r="D852" s="266"/>
      <c r="E852" s="266"/>
      <c r="F852" s="266"/>
      <c r="G852" s="266"/>
      <c r="H852" s="266"/>
      <c r="I852" s="266"/>
      <c r="J852" s="266"/>
      <c r="K852" s="244"/>
      <c r="L852" s="244"/>
      <c r="M852" s="244"/>
      <c r="N852" s="244"/>
      <c r="O852" s="244"/>
      <c r="P852" s="244"/>
      <c r="Q852" s="244"/>
      <c r="R852" s="244"/>
      <c r="S852" s="244"/>
      <c r="T852" s="244"/>
      <c r="U852" s="244"/>
      <c r="V852" s="244"/>
      <c r="W852" s="244"/>
      <c r="X852" s="244"/>
      <c r="Y852" s="244"/>
      <c r="Z852" s="244"/>
    </row>
    <row r="853" ht="11.25" customHeight="1">
      <c r="A853" s="244"/>
      <c r="B853" s="244"/>
      <c r="C853" s="266"/>
      <c r="D853" s="266"/>
      <c r="E853" s="266"/>
      <c r="F853" s="266"/>
      <c r="G853" s="266"/>
      <c r="H853" s="266"/>
      <c r="I853" s="266"/>
      <c r="J853" s="266"/>
      <c r="K853" s="244"/>
      <c r="L853" s="244"/>
      <c r="M853" s="244"/>
      <c r="N853" s="244"/>
      <c r="O853" s="244"/>
      <c r="P853" s="244"/>
      <c r="Q853" s="244"/>
      <c r="R853" s="244"/>
      <c r="S853" s="244"/>
      <c r="T853" s="244"/>
      <c r="U853" s="244"/>
      <c r="V853" s="244"/>
      <c r="W853" s="244"/>
      <c r="X853" s="244"/>
      <c r="Y853" s="244"/>
      <c r="Z853" s="244"/>
    </row>
    <row r="854" ht="11.25" customHeight="1">
      <c r="A854" s="244"/>
      <c r="B854" s="244"/>
      <c r="C854" s="266"/>
      <c r="D854" s="266"/>
      <c r="E854" s="266"/>
      <c r="F854" s="266"/>
      <c r="G854" s="266"/>
      <c r="H854" s="266"/>
      <c r="I854" s="266"/>
      <c r="J854" s="266"/>
      <c r="K854" s="244"/>
      <c r="L854" s="244"/>
      <c r="M854" s="244"/>
      <c r="N854" s="244"/>
      <c r="O854" s="244"/>
      <c r="P854" s="244"/>
      <c r="Q854" s="244"/>
      <c r="R854" s="244"/>
      <c r="S854" s="244"/>
      <c r="T854" s="244"/>
      <c r="U854" s="244"/>
      <c r="V854" s="244"/>
      <c r="W854" s="244"/>
      <c r="X854" s="244"/>
      <c r="Y854" s="244"/>
      <c r="Z854" s="244"/>
    </row>
    <row r="855" ht="11.25" customHeight="1">
      <c r="A855" s="244"/>
      <c r="B855" s="244"/>
      <c r="C855" s="266"/>
      <c r="D855" s="266"/>
      <c r="E855" s="266"/>
      <c r="F855" s="266"/>
      <c r="G855" s="266"/>
      <c r="H855" s="266"/>
      <c r="I855" s="266"/>
      <c r="J855" s="266"/>
      <c r="K855" s="244"/>
      <c r="L855" s="244"/>
      <c r="M855" s="244"/>
      <c r="N855" s="244"/>
      <c r="O855" s="244"/>
      <c r="P855" s="244"/>
      <c r="Q855" s="244"/>
      <c r="R855" s="244"/>
      <c r="S855" s="244"/>
      <c r="T855" s="244"/>
      <c r="U855" s="244"/>
      <c r="V855" s="244"/>
      <c r="W855" s="244"/>
      <c r="X855" s="244"/>
      <c r="Y855" s="244"/>
      <c r="Z855" s="244"/>
    </row>
    <row r="856" ht="11.25" customHeight="1">
      <c r="A856" s="244"/>
      <c r="B856" s="244"/>
      <c r="C856" s="266"/>
      <c r="D856" s="266"/>
      <c r="E856" s="266"/>
      <c r="F856" s="266"/>
      <c r="G856" s="266"/>
      <c r="H856" s="266"/>
      <c r="I856" s="266"/>
      <c r="J856" s="266"/>
      <c r="K856" s="244"/>
      <c r="L856" s="244"/>
      <c r="M856" s="244"/>
      <c r="N856" s="244"/>
      <c r="O856" s="244"/>
      <c r="P856" s="244"/>
      <c r="Q856" s="244"/>
      <c r="R856" s="244"/>
      <c r="S856" s="244"/>
      <c r="T856" s="244"/>
      <c r="U856" s="244"/>
      <c r="V856" s="244"/>
      <c r="W856" s="244"/>
      <c r="X856" s="244"/>
      <c r="Y856" s="244"/>
      <c r="Z856" s="244"/>
    </row>
    <row r="857" ht="11.25" customHeight="1">
      <c r="A857" s="244"/>
      <c r="B857" s="244"/>
      <c r="C857" s="266"/>
      <c r="D857" s="266"/>
      <c r="E857" s="266"/>
      <c r="F857" s="266"/>
      <c r="G857" s="266"/>
      <c r="H857" s="266"/>
      <c r="I857" s="266"/>
      <c r="J857" s="266"/>
      <c r="K857" s="244"/>
      <c r="L857" s="244"/>
      <c r="M857" s="244"/>
      <c r="N857" s="244"/>
      <c r="O857" s="244"/>
      <c r="P857" s="244"/>
      <c r="Q857" s="244"/>
      <c r="R857" s="244"/>
      <c r="S857" s="244"/>
      <c r="T857" s="244"/>
      <c r="U857" s="244"/>
      <c r="V857" s="244"/>
      <c r="W857" s="244"/>
      <c r="X857" s="244"/>
      <c r="Y857" s="244"/>
      <c r="Z857" s="244"/>
    </row>
    <row r="858" ht="11.25" customHeight="1">
      <c r="A858" s="244"/>
      <c r="B858" s="244"/>
      <c r="C858" s="266"/>
      <c r="D858" s="266"/>
      <c r="E858" s="266"/>
      <c r="F858" s="266"/>
      <c r="G858" s="266"/>
      <c r="H858" s="266"/>
      <c r="I858" s="266"/>
      <c r="J858" s="266"/>
      <c r="K858" s="244"/>
      <c r="L858" s="244"/>
      <c r="M858" s="244"/>
      <c r="N858" s="244"/>
      <c r="O858" s="244"/>
      <c r="P858" s="244"/>
      <c r="Q858" s="244"/>
      <c r="R858" s="244"/>
      <c r="S858" s="244"/>
      <c r="T858" s="244"/>
      <c r="U858" s="244"/>
      <c r="V858" s="244"/>
      <c r="W858" s="244"/>
      <c r="X858" s="244"/>
      <c r="Y858" s="244"/>
      <c r="Z858" s="244"/>
    </row>
    <row r="859" ht="11.25" customHeight="1">
      <c r="A859" s="244"/>
      <c r="B859" s="244"/>
      <c r="C859" s="266"/>
      <c r="D859" s="266"/>
      <c r="E859" s="266"/>
      <c r="F859" s="266"/>
      <c r="G859" s="266"/>
      <c r="H859" s="266"/>
      <c r="I859" s="266"/>
      <c r="J859" s="266"/>
      <c r="K859" s="244"/>
      <c r="L859" s="244"/>
      <c r="M859" s="244"/>
      <c r="N859" s="244"/>
      <c r="O859" s="244"/>
      <c r="P859" s="244"/>
      <c r="Q859" s="244"/>
      <c r="R859" s="244"/>
      <c r="S859" s="244"/>
      <c r="T859" s="244"/>
      <c r="U859" s="244"/>
      <c r="V859" s="244"/>
      <c r="W859" s="244"/>
      <c r="X859" s="244"/>
      <c r="Y859" s="244"/>
      <c r="Z859" s="244"/>
    </row>
    <row r="860" ht="11.25" customHeight="1">
      <c r="A860" s="244"/>
      <c r="B860" s="244"/>
      <c r="C860" s="266"/>
      <c r="D860" s="266"/>
      <c r="E860" s="266"/>
      <c r="F860" s="266"/>
      <c r="G860" s="266"/>
      <c r="H860" s="266"/>
      <c r="I860" s="266"/>
      <c r="J860" s="266"/>
      <c r="K860" s="244"/>
      <c r="L860" s="244"/>
      <c r="M860" s="244"/>
      <c r="N860" s="244"/>
      <c r="O860" s="244"/>
      <c r="P860" s="244"/>
      <c r="Q860" s="244"/>
      <c r="R860" s="244"/>
      <c r="S860" s="244"/>
      <c r="T860" s="244"/>
      <c r="U860" s="244"/>
      <c r="V860" s="244"/>
      <c r="W860" s="244"/>
      <c r="X860" s="244"/>
      <c r="Y860" s="244"/>
      <c r="Z860" s="244"/>
    </row>
    <row r="861" ht="11.25" customHeight="1">
      <c r="A861" s="244"/>
      <c r="B861" s="244"/>
      <c r="C861" s="266"/>
      <c r="D861" s="266"/>
      <c r="E861" s="266"/>
      <c r="F861" s="266"/>
      <c r="G861" s="266"/>
      <c r="H861" s="266"/>
      <c r="I861" s="266"/>
      <c r="J861" s="266"/>
      <c r="K861" s="244"/>
      <c r="L861" s="244"/>
      <c r="M861" s="244"/>
      <c r="N861" s="244"/>
      <c r="O861" s="244"/>
      <c r="P861" s="244"/>
      <c r="Q861" s="244"/>
      <c r="R861" s="244"/>
      <c r="S861" s="244"/>
      <c r="T861" s="244"/>
      <c r="U861" s="244"/>
      <c r="V861" s="244"/>
      <c r="W861" s="244"/>
      <c r="X861" s="244"/>
      <c r="Y861" s="244"/>
      <c r="Z861" s="244"/>
    </row>
    <row r="862" ht="11.25" customHeight="1">
      <c r="A862" s="244"/>
      <c r="B862" s="244"/>
      <c r="C862" s="266"/>
      <c r="D862" s="266"/>
      <c r="E862" s="266"/>
      <c r="F862" s="266"/>
      <c r="G862" s="266"/>
      <c r="H862" s="266"/>
      <c r="I862" s="266"/>
      <c r="J862" s="266"/>
      <c r="K862" s="244"/>
      <c r="L862" s="244"/>
      <c r="M862" s="244"/>
      <c r="N862" s="244"/>
      <c r="O862" s="244"/>
      <c r="P862" s="244"/>
      <c r="Q862" s="244"/>
      <c r="R862" s="244"/>
      <c r="S862" s="244"/>
      <c r="T862" s="244"/>
      <c r="U862" s="244"/>
      <c r="V862" s="244"/>
      <c r="W862" s="244"/>
      <c r="X862" s="244"/>
      <c r="Y862" s="244"/>
      <c r="Z862" s="244"/>
    </row>
    <row r="863" ht="11.25" customHeight="1">
      <c r="A863" s="244"/>
      <c r="B863" s="244"/>
      <c r="C863" s="266"/>
      <c r="D863" s="266"/>
      <c r="E863" s="266"/>
      <c r="F863" s="266"/>
      <c r="G863" s="266"/>
      <c r="H863" s="266"/>
      <c r="I863" s="266"/>
      <c r="J863" s="266"/>
      <c r="K863" s="244"/>
      <c r="L863" s="244"/>
      <c r="M863" s="244"/>
      <c r="N863" s="244"/>
      <c r="O863" s="244"/>
      <c r="P863" s="244"/>
      <c r="Q863" s="244"/>
      <c r="R863" s="244"/>
      <c r="S863" s="244"/>
      <c r="T863" s="244"/>
      <c r="U863" s="244"/>
      <c r="V863" s="244"/>
      <c r="W863" s="244"/>
      <c r="X863" s="244"/>
      <c r="Y863" s="244"/>
      <c r="Z863" s="244"/>
    </row>
    <row r="864" ht="11.25" customHeight="1">
      <c r="A864" s="244"/>
      <c r="B864" s="244"/>
      <c r="C864" s="266"/>
      <c r="D864" s="266"/>
      <c r="E864" s="266"/>
      <c r="F864" s="266"/>
      <c r="G864" s="266"/>
      <c r="H864" s="266"/>
      <c r="I864" s="266"/>
      <c r="J864" s="266"/>
      <c r="K864" s="244"/>
      <c r="L864" s="244"/>
      <c r="M864" s="244"/>
      <c r="N864" s="244"/>
      <c r="O864" s="244"/>
      <c r="P864" s="244"/>
      <c r="Q864" s="244"/>
      <c r="R864" s="244"/>
      <c r="S864" s="244"/>
      <c r="T864" s="244"/>
      <c r="U864" s="244"/>
      <c r="V864" s="244"/>
      <c r="W864" s="244"/>
      <c r="X864" s="244"/>
      <c r="Y864" s="244"/>
      <c r="Z864" s="244"/>
    </row>
    <row r="865" ht="11.25" customHeight="1">
      <c r="A865" s="244"/>
      <c r="B865" s="244"/>
      <c r="C865" s="266"/>
      <c r="D865" s="266"/>
      <c r="E865" s="266"/>
      <c r="F865" s="266"/>
      <c r="G865" s="266"/>
      <c r="H865" s="266"/>
      <c r="I865" s="266"/>
      <c r="J865" s="266"/>
      <c r="K865" s="244"/>
      <c r="L865" s="244"/>
      <c r="M865" s="244"/>
      <c r="N865" s="244"/>
      <c r="O865" s="244"/>
      <c r="P865" s="244"/>
      <c r="Q865" s="244"/>
      <c r="R865" s="244"/>
      <c r="S865" s="244"/>
      <c r="T865" s="244"/>
      <c r="U865" s="244"/>
      <c r="V865" s="244"/>
      <c r="W865" s="244"/>
      <c r="X865" s="244"/>
      <c r="Y865" s="244"/>
      <c r="Z865" s="244"/>
    </row>
    <row r="866" ht="11.25" customHeight="1">
      <c r="A866" s="244"/>
      <c r="B866" s="244"/>
      <c r="C866" s="266"/>
      <c r="D866" s="266"/>
      <c r="E866" s="266"/>
      <c r="F866" s="266"/>
      <c r="G866" s="266"/>
      <c r="H866" s="266"/>
      <c r="I866" s="266"/>
      <c r="J866" s="266"/>
      <c r="K866" s="244"/>
      <c r="L866" s="244"/>
      <c r="M866" s="244"/>
      <c r="N866" s="244"/>
      <c r="O866" s="244"/>
      <c r="P866" s="244"/>
      <c r="Q866" s="244"/>
      <c r="R866" s="244"/>
      <c r="S866" s="244"/>
      <c r="T866" s="244"/>
      <c r="U866" s="244"/>
      <c r="V866" s="244"/>
      <c r="W866" s="244"/>
      <c r="X866" s="244"/>
      <c r="Y866" s="244"/>
      <c r="Z866" s="244"/>
    </row>
    <row r="867" ht="11.25" customHeight="1">
      <c r="A867" s="244"/>
      <c r="B867" s="244"/>
      <c r="C867" s="266"/>
      <c r="D867" s="266"/>
      <c r="E867" s="266"/>
      <c r="F867" s="266"/>
      <c r="G867" s="266"/>
      <c r="H867" s="266"/>
      <c r="I867" s="266"/>
      <c r="J867" s="266"/>
      <c r="K867" s="244"/>
      <c r="L867" s="244"/>
      <c r="M867" s="244"/>
      <c r="N867" s="244"/>
      <c r="O867" s="244"/>
      <c r="P867" s="244"/>
      <c r="Q867" s="244"/>
      <c r="R867" s="244"/>
      <c r="S867" s="244"/>
      <c r="T867" s="244"/>
      <c r="U867" s="244"/>
      <c r="V867" s="244"/>
      <c r="W867" s="244"/>
      <c r="X867" s="244"/>
      <c r="Y867" s="244"/>
      <c r="Z867" s="244"/>
    </row>
    <row r="868" ht="11.25" customHeight="1">
      <c r="A868" s="244"/>
      <c r="B868" s="244"/>
      <c r="C868" s="266"/>
      <c r="D868" s="266"/>
      <c r="E868" s="266"/>
      <c r="F868" s="266"/>
      <c r="G868" s="266"/>
      <c r="H868" s="266"/>
      <c r="I868" s="266"/>
      <c r="J868" s="266"/>
      <c r="K868" s="244"/>
      <c r="L868" s="244"/>
      <c r="M868" s="244"/>
      <c r="N868" s="244"/>
      <c r="O868" s="244"/>
      <c r="P868" s="244"/>
      <c r="Q868" s="244"/>
      <c r="R868" s="244"/>
      <c r="S868" s="244"/>
      <c r="T868" s="244"/>
      <c r="U868" s="244"/>
      <c r="V868" s="244"/>
      <c r="W868" s="244"/>
      <c r="X868" s="244"/>
      <c r="Y868" s="244"/>
      <c r="Z868" s="244"/>
    </row>
    <row r="869" ht="11.25" customHeight="1">
      <c r="A869" s="244"/>
      <c r="B869" s="244"/>
      <c r="C869" s="266"/>
      <c r="D869" s="266"/>
      <c r="E869" s="266"/>
      <c r="F869" s="266"/>
      <c r="G869" s="266"/>
      <c r="H869" s="266"/>
      <c r="I869" s="266"/>
      <c r="J869" s="266"/>
      <c r="K869" s="244"/>
      <c r="L869" s="244"/>
      <c r="M869" s="244"/>
      <c r="N869" s="244"/>
      <c r="O869" s="244"/>
      <c r="P869" s="244"/>
      <c r="Q869" s="244"/>
      <c r="R869" s="244"/>
      <c r="S869" s="244"/>
      <c r="T869" s="244"/>
      <c r="U869" s="244"/>
      <c r="V869" s="244"/>
      <c r="W869" s="244"/>
      <c r="X869" s="244"/>
      <c r="Y869" s="244"/>
      <c r="Z869" s="244"/>
    </row>
    <row r="870" ht="11.25" customHeight="1">
      <c r="A870" s="244"/>
      <c r="B870" s="244"/>
      <c r="C870" s="266"/>
      <c r="D870" s="266"/>
      <c r="E870" s="266"/>
      <c r="F870" s="266"/>
      <c r="G870" s="266"/>
      <c r="H870" s="266"/>
      <c r="I870" s="266"/>
      <c r="J870" s="266"/>
      <c r="K870" s="244"/>
      <c r="L870" s="244"/>
      <c r="M870" s="244"/>
      <c r="N870" s="244"/>
      <c r="O870" s="244"/>
      <c r="P870" s="244"/>
      <c r="Q870" s="244"/>
      <c r="R870" s="244"/>
      <c r="S870" s="244"/>
      <c r="T870" s="244"/>
      <c r="U870" s="244"/>
      <c r="V870" s="244"/>
      <c r="W870" s="244"/>
      <c r="X870" s="244"/>
      <c r="Y870" s="244"/>
      <c r="Z870" s="244"/>
    </row>
    <row r="871" ht="11.25" customHeight="1">
      <c r="A871" s="244"/>
      <c r="B871" s="244"/>
      <c r="C871" s="266"/>
      <c r="D871" s="266"/>
      <c r="E871" s="266"/>
      <c r="F871" s="266"/>
      <c r="G871" s="266"/>
      <c r="H871" s="266"/>
      <c r="I871" s="266"/>
      <c r="J871" s="266"/>
      <c r="K871" s="244"/>
      <c r="L871" s="244"/>
      <c r="M871" s="244"/>
      <c r="N871" s="244"/>
      <c r="O871" s="244"/>
      <c r="P871" s="244"/>
      <c r="Q871" s="244"/>
      <c r="R871" s="244"/>
      <c r="S871" s="244"/>
      <c r="T871" s="244"/>
      <c r="U871" s="244"/>
      <c r="V871" s="244"/>
      <c r="W871" s="244"/>
      <c r="X871" s="244"/>
      <c r="Y871" s="244"/>
      <c r="Z871" s="244"/>
    </row>
    <row r="872" ht="11.25" customHeight="1">
      <c r="A872" s="244"/>
      <c r="B872" s="244"/>
      <c r="C872" s="266"/>
      <c r="D872" s="266"/>
      <c r="E872" s="266"/>
      <c r="F872" s="266"/>
      <c r="G872" s="266"/>
      <c r="H872" s="266"/>
      <c r="I872" s="266"/>
      <c r="J872" s="266"/>
      <c r="K872" s="244"/>
      <c r="L872" s="244"/>
      <c r="M872" s="244"/>
      <c r="N872" s="244"/>
      <c r="O872" s="244"/>
      <c r="P872" s="244"/>
      <c r="Q872" s="244"/>
      <c r="R872" s="244"/>
      <c r="S872" s="244"/>
      <c r="T872" s="244"/>
      <c r="U872" s="244"/>
      <c r="V872" s="244"/>
      <c r="W872" s="244"/>
      <c r="X872" s="244"/>
      <c r="Y872" s="244"/>
      <c r="Z872" s="244"/>
    </row>
    <row r="873" ht="11.25" customHeight="1">
      <c r="A873" s="244"/>
      <c r="B873" s="244"/>
      <c r="C873" s="266"/>
      <c r="D873" s="266"/>
      <c r="E873" s="266"/>
      <c r="F873" s="266"/>
      <c r="G873" s="266"/>
      <c r="H873" s="266"/>
      <c r="I873" s="266"/>
      <c r="J873" s="266"/>
      <c r="K873" s="244"/>
      <c r="L873" s="244"/>
      <c r="M873" s="244"/>
      <c r="N873" s="244"/>
      <c r="O873" s="244"/>
      <c r="P873" s="244"/>
      <c r="Q873" s="244"/>
      <c r="R873" s="244"/>
      <c r="S873" s="244"/>
      <c r="T873" s="244"/>
      <c r="U873" s="244"/>
      <c r="V873" s="244"/>
      <c r="W873" s="244"/>
      <c r="X873" s="244"/>
      <c r="Y873" s="244"/>
      <c r="Z873" s="244"/>
    </row>
    <row r="874" ht="11.25" customHeight="1">
      <c r="A874" s="244"/>
      <c r="B874" s="244"/>
      <c r="C874" s="266"/>
      <c r="D874" s="266"/>
      <c r="E874" s="266"/>
      <c r="F874" s="266"/>
      <c r="G874" s="266"/>
      <c r="H874" s="266"/>
      <c r="I874" s="266"/>
      <c r="J874" s="266"/>
      <c r="K874" s="244"/>
      <c r="L874" s="244"/>
      <c r="M874" s="244"/>
      <c r="N874" s="244"/>
      <c r="O874" s="244"/>
      <c r="P874" s="244"/>
      <c r="Q874" s="244"/>
      <c r="R874" s="244"/>
      <c r="S874" s="244"/>
      <c r="T874" s="244"/>
      <c r="U874" s="244"/>
      <c r="V874" s="244"/>
      <c r="W874" s="244"/>
      <c r="X874" s="244"/>
      <c r="Y874" s="244"/>
      <c r="Z874" s="244"/>
    </row>
    <row r="875" ht="11.25" customHeight="1">
      <c r="A875" s="244"/>
      <c r="B875" s="244"/>
      <c r="C875" s="266"/>
      <c r="D875" s="266"/>
      <c r="E875" s="266"/>
      <c r="F875" s="266"/>
      <c r="G875" s="266"/>
      <c r="H875" s="266"/>
      <c r="I875" s="266"/>
      <c r="J875" s="266"/>
      <c r="K875" s="244"/>
      <c r="L875" s="244"/>
      <c r="M875" s="244"/>
      <c r="N875" s="244"/>
      <c r="O875" s="244"/>
      <c r="P875" s="244"/>
      <c r="Q875" s="244"/>
      <c r="R875" s="244"/>
      <c r="S875" s="244"/>
      <c r="T875" s="244"/>
      <c r="U875" s="244"/>
      <c r="V875" s="244"/>
      <c r="W875" s="244"/>
      <c r="X875" s="244"/>
      <c r="Y875" s="244"/>
      <c r="Z875" s="244"/>
    </row>
    <row r="876" ht="11.25" customHeight="1">
      <c r="A876" s="244"/>
      <c r="B876" s="244"/>
      <c r="C876" s="266"/>
      <c r="D876" s="266"/>
      <c r="E876" s="266"/>
      <c r="F876" s="266"/>
      <c r="G876" s="266"/>
      <c r="H876" s="266"/>
      <c r="I876" s="266"/>
      <c r="J876" s="266"/>
      <c r="K876" s="244"/>
      <c r="L876" s="244"/>
      <c r="M876" s="244"/>
      <c r="N876" s="244"/>
      <c r="O876" s="244"/>
      <c r="P876" s="244"/>
      <c r="Q876" s="244"/>
      <c r="R876" s="244"/>
      <c r="S876" s="244"/>
      <c r="T876" s="244"/>
      <c r="U876" s="244"/>
      <c r="V876" s="244"/>
      <c r="W876" s="244"/>
      <c r="X876" s="244"/>
      <c r="Y876" s="244"/>
      <c r="Z876" s="244"/>
    </row>
    <row r="877" ht="11.25" customHeight="1">
      <c r="A877" s="244"/>
      <c r="B877" s="244"/>
      <c r="C877" s="266"/>
      <c r="D877" s="266"/>
      <c r="E877" s="266"/>
      <c r="F877" s="266"/>
      <c r="G877" s="266"/>
      <c r="H877" s="266"/>
      <c r="I877" s="266"/>
      <c r="J877" s="266"/>
      <c r="K877" s="244"/>
      <c r="L877" s="244"/>
      <c r="M877" s="244"/>
      <c r="N877" s="244"/>
      <c r="O877" s="244"/>
      <c r="P877" s="244"/>
      <c r="Q877" s="244"/>
      <c r="R877" s="244"/>
      <c r="S877" s="244"/>
      <c r="T877" s="244"/>
      <c r="U877" s="244"/>
      <c r="V877" s="244"/>
      <c r="W877" s="244"/>
      <c r="X877" s="244"/>
      <c r="Y877" s="244"/>
      <c r="Z877" s="244"/>
    </row>
    <row r="878" ht="11.25" customHeight="1">
      <c r="A878" s="244"/>
      <c r="B878" s="244"/>
      <c r="C878" s="266"/>
      <c r="D878" s="266"/>
      <c r="E878" s="266"/>
      <c r="F878" s="266"/>
      <c r="G878" s="266"/>
      <c r="H878" s="266"/>
      <c r="I878" s="266"/>
      <c r="J878" s="266"/>
      <c r="K878" s="244"/>
      <c r="L878" s="244"/>
      <c r="M878" s="244"/>
      <c r="N878" s="244"/>
      <c r="O878" s="244"/>
      <c r="P878" s="244"/>
      <c r="Q878" s="244"/>
      <c r="R878" s="244"/>
      <c r="S878" s="244"/>
      <c r="T878" s="244"/>
      <c r="U878" s="244"/>
      <c r="V878" s="244"/>
      <c r="W878" s="244"/>
      <c r="X878" s="244"/>
      <c r="Y878" s="244"/>
      <c r="Z878" s="244"/>
    </row>
    <row r="879" ht="11.25" customHeight="1">
      <c r="A879" s="244"/>
      <c r="B879" s="244"/>
      <c r="C879" s="266"/>
      <c r="D879" s="266"/>
      <c r="E879" s="266"/>
      <c r="F879" s="266"/>
      <c r="G879" s="266"/>
      <c r="H879" s="266"/>
      <c r="I879" s="266"/>
      <c r="J879" s="266"/>
      <c r="K879" s="244"/>
      <c r="L879" s="244"/>
      <c r="M879" s="244"/>
      <c r="N879" s="244"/>
      <c r="O879" s="244"/>
      <c r="P879" s="244"/>
      <c r="Q879" s="244"/>
      <c r="R879" s="244"/>
      <c r="S879" s="244"/>
      <c r="T879" s="244"/>
      <c r="U879" s="244"/>
      <c r="V879" s="244"/>
      <c r="W879" s="244"/>
      <c r="X879" s="244"/>
      <c r="Y879" s="244"/>
      <c r="Z879" s="244"/>
    </row>
    <row r="880" ht="11.25" customHeight="1">
      <c r="A880" s="244"/>
      <c r="B880" s="244"/>
      <c r="C880" s="266"/>
      <c r="D880" s="266"/>
      <c r="E880" s="266"/>
      <c r="F880" s="266"/>
      <c r="G880" s="266"/>
      <c r="H880" s="266"/>
      <c r="I880" s="266"/>
      <c r="J880" s="266"/>
      <c r="K880" s="244"/>
      <c r="L880" s="244"/>
      <c r="M880" s="244"/>
      <c r="N880" s="244"/>
      <c r="O880" s="244"/>
      <c r="P880" s="244"/>
      <c r="Q880" s="244"/>
      <c r="R880" s="244"/>
      <c r="S880" s="244"/>
      <c r="T880" s="244"/>
      <c r="U880" s="244"/>
      <c r="V880" s="244"/>
      <c r="W880" s="244"/>
      <c r="X880" s="244"/>
      <c r="Y880" s="244"/>
      <c r="Z880" s="244"/>
    </row>
    <row r="881" ht="11.25" customHeight="1">
      <c r="A881" s="244"/>
      <c r="B881" s="244"/>
      <c r="C881" s="266"/>
      <c r="D881" s="266"/>
      <c r="E881" s="266"/>
      <c r="F881" s="266"/>
      <c r="G881" s="266"/>
      <c r="H881" s="266"/>
      <c r="I881" s="266"/>
      <c r="J881" s="266"/>
      <c r="K881" s="244"/>
      <c r="L881" s="244"/>
      <c r="M881" s="244"/>
      <c r="N881" s="244"/>
      <c r="O881" s="244"/>
      <c r="P881" s="244"/>
      <c r="Q881" s="244"/>
      <c r="R881" s="244"/>
      <c r="S881" s="244"/>
      <c r="T881" s="244"/>
      <c r="U881" s="244"/>
      <c r="V881" s="244"/>
      <c r="W881" s="244"/>
      <c r="X881" s="244"/>
      <c r="Y881" s="244"/>
      <c r="Z881" s="244"/>
    </row>
    <row r="882" ht="11.25" customHeight="1">
      <c r="A882" s="244"/>
      <c r="B882" s="244"/>
      <c r="C882" s="266"/>
      <c r="D882" s="266"/>
      <c r="E882" s="266"/>
      <c r="F882" s="266"/>
      <c r="G882" s="266"/>
      <c r="H882" s="266"/>
      <c r="I882" s="266"/>
      <c r="J882" s="266"/>
      <c r="K882" s="244"/>
      <c r="L882" s="244"/>
      <c r="M882" s="244"/>
      <c r="N882" s="244"/>
      <c r="O882" s="244"/>
      <c r="P882" s="244"/>
      <c r="Q882" s="244"/>
      <c r="R882" s="244"/>
      <c r="S882" s="244"/>
      <c r="T882" s="244"/>
      <c r="U882" s="244"/>
      <c r="V882" s="244"/>
      <c r="W882" s="244"/>
      <c r="X882" s="244"/>
      <c r="Y882" s="244"/>
      <c r="Z882" s="244"/>
    </row>
    <row r="883" ht="11.25" customHeight="1">
      <c r="A883" s="244"/>
      <c r="B883" s="244"/>
      <c r="C883" s="266"/>
      <c r="D883" s="266"/>
      <c r="E883" s="266"/>
      <c r="F883" s="266"/>
      <c r="G883" s="266"/>
      <c r="H883" s="266"/>
      <c r="I883" s="266"/>
      <c r="J883" s="266"/>
      <c r="K883" s="244"/>
      <c r="L883" s="244"/>
      <c r="M883" s="244"/>
      <c r="N883" s="244"/>
      <c r="O883" s="244"/>
      <c r="P883" s="244"/>
      <c r="Q883" s="244"/>
      <c r="R883" s="244"/>
      <c r="S883" s="244"/>
      <c r="T883" s="244"/>
      <c r="U883" s="244"/>
      <c r="V883" s="244"/>
      <c r="W883" s="244"/>
      <c r="X883" s="244"/>
      <c r="Y883" s="244"/>
      <c r="Z883" s="244"/>
    </row>
    <row r="884" ht="11.25" customHeight="1">
      <c r="A884" s="244"/>
      <c r="B884" s="244"/>
      <c r="C884" s="266"/>
      <c r="D884" s="266"/>
      <c r="E884" s="266"/>
      <c r="F884" s="266"/>
      <c r="G884" s="266"/>
      <c r="H884" s="266"/>
      <c r="I884" s="266"/>
      <c r="J884" s="266"/>
      <c r="K884" s="244"/>
      <c r="L884" s="244"/>
      <c r="M884" s="244"/>
      <c r="N884" s="244"/>
      <c r="O884" s="244"/>
      <c r="P884" s="244"/>
      <c r="Q884" s="244"/>
      <c r="R884" s="244"/>
      <c r="S884" s="244"/>
      <c r="T884" s="244"/>
      <c r="U884" s="244"/>
      <c r="V884" s="244"/>
      <c r="W884" s="244"/>
      <c r="X884" s="244"/>
      <c r="Y884" s="244"/>
      <c r="Z884" s="244"/>
    </row>
    <row r="885" ht="11.25" customHeight="1">
      <c r="A885" s="244"/>
      <c r="B885" s="244"/>
      <c r="C885" s="266"/>
      <c r="D885" s="266"/>
      <c r="E885" s="266"/>
      <c r="F885" s="266"/>
      <c r="G885" s="266"/>
      <c r="H885" s="266"/>
      <c r="I885" s="266"/>
      <c r="J885" s="266"/>
      <c r="K885" s="244"/>
      <c r="L885" s="244"/>
      <c r="M885" s="244"/>
      <c r="N885" s="244"/>
      <c r="O885" s="244"/>
      <c r="P885" s="244"/>
      <c r="Q885" s="244"/>
      <c r="R885" s="244"/>
      <c r="S885" s="244"/>
      <c r="T885" s="244"/>
      <c r="U885" s="244"/>
      <c r="V885" s="244"/>
      <c r="W885" s="244"/>
      <c r="X885" s="244"/>
      <c r="Y885" s="244"/>
      <c r="Z885" s="244"/>
    </row>
    <row r="886" ht="11.25" customHeight="1">
      <c r="A886" s="244"/>
      <c r="B886" s="244"/>
      <c r="C886" s="266"/>
      <c r="D886" s="266"/>
      <c r="E886" s="266"/>
      <c r="F886" s="266"/>
      <c r="G886" s="266"/>
      <c r="H886" s="266"/>
      <c r="I886" s="266"/>
      <c r="J886" s="266"/>
      <c r="K886" s="244"/>
      <c r="L886" s="244"/>
      <c r="M886" s="244"/>
      <c r="N886" s="244"/>
      <c r="O886" s="244"/>
      <c r="P886" s="244"/>
      <c r="Q886" s="244"/>
      <c r="R886" s="244"/>
      <c r="S886" s="244"/>
      <c r="T886" s="244"/>
      <c r="U886" s="244"/>
      <c r="V886" s="244"/>
      <c r="W886" s="244"/>
      <c r="X886" s="244"/>
      <c r="Y886" s="244"/>
      <c r="Z886" s="244"/>
    </row>
    <row r="887" ht="11.25" customHeight="1">
      <c r="A887" s="244"/>
      <c r="B887" s="244"/>
      <c r="C887" s="266"/>
      <c r="D887" s="266"/>
      <c r="E887" s="266"/>
      <c r="F887" s="266"/>
      <c r="G887" s="266"/>
      <c r="H887" s="266"/>
      <c r="I887" s="266"/>
      <c r="J887" s="266"/>
      <c r="K887" s="244"/>
      <c r="L887" s="244"/>
      <c r="M887" s="244"/>
      <c r="N887" s="244"/>
      <c r="O887" s="244"/>
      <c r="P887" s="244"/>
      <c r="Q887" s="244"/>
      <c r="R887" s="244"/>
      <c r="S887" s="244"/>
      <c r="T887" s="244"/>
      <c r="U887" s="244"/>
      <c r="V887" s="244"/>
      <c r="W887" s="244"/>
      <c r="X887" s="244"/>
      <c r="Y887" s="244"/>
      <c r="Z887" s="244"/>
    </row>
    <row r="888" ht="11.25" customHeight="1">
      <c r="A888" s="244"/>
      <c r="B888" s="244"/>
      <c r="C888" s="266"/>
      <c r="D888" s="266"/>
      <c r="E888" s="266"/>
      <c r="F888" s="266"/>
      <c r="G888" s="266"/>
      <c r="H888" s="266"/>
      <c r="I888" s="266"/>
      <c r="J888" s="266"/>
      <c r="K888" s="244"/>
      <c r="L888" s="244"/>
      <c r="M888" s="244"/>
      <c r="N888" s="244"/>
      <c r="O888" s="244"/>
      <c r="P888" s="244"/>
      <c r="Q888" s="244"/>
      <c r="R888" s="244"/>
      <c r="S888" s="244"/>
      <c r="T888" s="244"/>
      <c r="U888" s="244"/>
      <c r="V888" s="244"/>
      <c r="W888" s="244"/>
      <c r="X888" s="244"/>
      <c r="Y888" s="244"/>
      <c r="Z888" s="244"/>
    </row>
    <row r="889" ht="11.25" customHeight="1">
      <c r="A889" s="244"/>
      <c r="B889" s="244"/>
      <c r="C889" s="266"/>
      <c r="D889" s="266"/>
      <c r="E889" s="266"/>
      <c r="F889" s="266"/>
      <c r="G889" s="266"/>
      <c r="H889" s="266"/>
      <c r="I889" s="266"/>
      <c r="J889" s="266"/>
      <c r="K889" s="244"/>
      <c r="L889" s="244"/>
      <c r="M889" s="244"/>
      <c r="N889" s="244"/>
      <c r="O889" s="244"/>
      <c r="P889" s="244"/>
      <c r="Q889" s="244"/>
      <c r="R889" s="244"/>
      <c r="S889" s="244"/>
      <c r="T889" s="244"/>
      <c r="U889" s="244"/>
      <c r="V889" s="244"/>
      <c r="W889" s="244"/>
      <c r="X889" s="244"/>
      <c r="Y889" s="244"/>
      <c r="Z889" s="244"/>
    </row>
    <row r="890" ht="11.25" customHeight="1">
      <c r="A890" s="244"/>
      <c r="B890" s="244"/>
      <c r="C890" s="266"/>
      <c r="D890" s="266"/>
      <c r="E890" s="266"/>
      <c r="F890" s="266"/>
      <c r="G890" s="266"/>
      <c r="H890" s="266"/>
      <c r="I890" s="266"/>
      <c r="J890" s="266"/>
      <c r="K890" s="244"/>
      <c r="L890" s="244"/>
      <c r="M890" s="244"/>
      <c r="N890" s="244"/>
      <c r="O890" s="244"/>
      <c r="P890" s="244"/>
      <c r="Q890" s="244"/>
      <c r="R890" s="244"/>
      <c r="S890" s="244"/>
      <c r="T890" s="244"/>
      <c r="U890" s="244"/>
      <c r="V890" s="244"/>
      <c r="W890" s="244"/>
      <c r="X890" s="244"/>
      <c r="Y890" s="244"/>
      <c r="Z890" s="244"/>
    </row>
    <row r="891" ht="11.25" customHeight="1">
      <c r="A891" s="244"/>
      <c r="B891" s="244"/>
      <c r="C891" s="266"/>
      <c r="D891" s="266"/>
      <c r="E891" s="266"/>
      <c r="F891" s="266"/>
      <c r="G891" s="266"/>
      <c r="H891" s="266"/>
      <c r="I891" s="266"/>
      <c r="J891" s="266"/>
      <c r="K891" s="244"/>
      <c r="L891" s="244"/>
      <c r="M891" s="244"/>
      <c r="N891" s="244"/>
      <c r="O891" s="244"/>
      <c r="P891" s="244"/>
      <c r="Q891" s="244"/>
      <c r="R891" s="244"/>
      <c r="S891" s="244"/>
      <c r="T891" s="244"/>
      <c r="U891" s="244"/>
      <c r="V891" s="244"/>
      <c r="W891" s="244"/>
      <c r="X891" s="244"/>
      <c r="Y891" s="244"/>
      <c r="Z891" s="244"/>
    </row>
    <row r="892" ht="11.25" customHeight="1">
      <c r="A892" s="244"/>
      <c r="B892" s="244"/>
      <c r="C892" s="266"/>
      <c r="D892" s="266"/>
      <c r="E892" s="266"/>
      <c r="F892" s="266"/>
      <c r="G892" s="266"/>
      <c r="H892" s="266"/>
      <c r="I892" s="266"/>
      <c r="J892" s="266"/>
      <c r="K892" s="244"/>
      <c r="L892" s="244"/>
      <c r="M892" s="244"/>
      <c r="N892" s="244"/>
      <c r="O892" s="244"/>
      <c r="P892" s="244"/>
      <c r="Q892" s="244"/>
      <c r="R892" s="244"/>
      <c r="S892" s="244"/>
      <c r="T892" s="244"/>
      <c r="U892" s="244"/>
      <c r="V892" s="244"/>
      <c r="W892" s="244"/>
      <c r="X892" s="244"/>
      <c r="Y892" s="244"/>
      <c r="Z892" s="244"/>
    </row>
    <row r="893" ht="11.25" customHeight="1">
      <c r="A893" s="244"/>
      <c r="B893" s="244"/>
      <c r="C893" s="266"/>
      <c r="D893" s="266"/>
      <c r="E893" s="266"/>
      <c r="F893" s="266"/>
      <c r="G893" s="266"/>
      <c r="H893" s="266"/>
      <c r="I893" s="266"/>
      <c r="J893" s="266"/>
      <c r="K893" s="244"/>
      <c r="L893" s="244"/>
      <c r="M893" s="244"/>
      <c r="N893" s="244"/>
      <c r="O893" s="244"/>
      <c r="P893" s="244"/>
      <c r="Q893" s="244"/>
      <c r="R893" s="244"/>
      <c r="S893" s="244"/>
      <c r="T893" s="244"/>
      <c r="U893" s="244"/>
      <c r="V893" s="244"/>
      <c r="W893" s="244"/>
      <c r="X893" s="244"/>
      <c r="Y893" s="244"/>
      <c r="Z893" s="244"/>
    </row>
    <row r="894" ht="11.25" customHeight="1">
      <c r="A894" s="244"/>
      <c r="B894" s="244"/>
      <c r="C894" s="266"/>
      <c r="D894" s="266"/>
      <c r="E894" s="266"/>
      <c r="F894" s="266"/>
      <c r="G894" s="266"/>
      <c r="H894" s="266"/>
      <c r="I894" s="266"/>
      <c r="J894" s="266"/>
      <c r="K894" s="244"/>
      <c r="L894" s="244"/>
      <c r="M894" s="244"/>
      <c r="N894" s="244"/>
      <c r="O894" s="244"/>
      <c r="P894" s="244"/>
      <c r="Q894" s="244"/>
      <c r="R894" s="244"/>
      <c r="S894" s="244"/>
      <c r="T894" s="244"/>
      <c r="U894" s="244"/>
      <c r="V894" s="244"/>
      <c r="W894" s="244"/>
      <c r="X894" s="244"/>
      <c r="Y894" s="244"/>
      <c r="Z894" s="244"/>
    </row>
    <row r="895" ht="11.25" customHeight="1">
      <c r="A895" s="244"/>
      <c r="B895" s="244"/>
      <c r="C895" s="266"/>
      <c r="D895" s="266"/>
      <c r="E895" s="266"/>
      <c r="F895" s="266"/>
      <c r="G895" s="266"/>
      <c r="H895" s="266"/>
      <c r="I895" s="266"/>
      <c r="J895" s="266"/>
      <c r="K895" s="244"/>
      <c r="L895" s="244"/>
      <c r="M895" s="244"/>
      <c r="N895" s="244"/>
      <c r="O895" s="244"/>
      <c r="P895" s="244"/>
      <c r="Q895" s="244"/>
      <c r="R895" s="244"/>
      <c r="S895" s="244"/>
      <c r="T895" s="244"/>
      <c r="U895" s="244"/>
      <c r="V895" s="244"/>
      <c r="W895" s="244"/>
      <c r="X895" s="244"/>
      <c r="Y895" s="244"/>
      <c r="Z895" s="244"/>
    </row>
    <row r="896" ht="11.25" customHeight="1">
      <c r="A896" s="244"/>
      <c r="B896" s="244"/>
      <c r="C896" s="266"/>
      <c r="D896" s="266"/>
      <c r="E896" s="266"/>
      <c r="F896" s="266"/>
      <c r="G896" s="266"/>
      <c r="H896" s="266"/>
      <c r="I896" s="266"/>
      <c r="J896" s="266"/>
      <c r="K896" s="244"/>
      <c r="L896" s="244"/>
      <c r="M896" s="244"/>
      <c r="N896" s="244"/>
      <c r="O896" s="244"/>
      <c r="P896" s="244"/>
      <c r="Q896" s="244"/>
      <c r="R896" s="244"/>
      <c r="S896" s="244"/>
      <c r="T896" s="244"/>
      <c r="U896" s="244"/>
      <c r="V896" s="244"/>
      <c r="W896" s="244"/>
      <c r="X896" s="244"/>
      <c r="Y896" s="244"/>
      <c r="Z896" s="244"/>
    </row>
    <row r="897" ht="11.25" customHeight="1">
      <c r="A897" s="244"/>
      <c r="B897" s="244"/>
      <c r="C897" s="266"/>
      <c r="D897" s="266"/>
      <c r="E897" s="266"/>
      <c r="F897" s="266"/>
      <c r="G897" s="266"/>
      <c r="H897" s="266"/>
      <c r="I897" s="266"/>
      <c r="J897" s="266"/>
      <c r="K897" s="244"/>
      <c r="L897" s="244"/>
      <c r="M897" s="244"/>
      <c r="N897" s="244"/>
      <c r="O897" s="244"/>
      <c r="P897" s="244"/>
      <c r="Q897" s="244"/>
      <c r="R897" s="244"/>
      <c r="S897" s="244"/>
      <c r="T897" s="244"/>
      <c r="U897" s="244"/>
      <c r="V897" s="244"/>
      <c r="W897" s="244"/>
      <c r="X897" s="244"/>
      <c r="Y897" s="244"/>
      <c r="Z897" s="244"/>
    </row>
    <row r="898" ht="11.25" customHeight="1">
      <c r="A898" s="244"/>
      <c r="B898" s="244"/>
      <c r="C898" s="266"/>
      <c r="D898" s="266"/>
      <c r="E898" s="266"/>
      <c r="F898" s="266"/>
      <c r="G898" s="266"/>
      <c r="H898" s="266"/>
      <c r="I898" s="266"/>
      <c r="J898" s="266"/>
      <c r="K898" s="244"/>
      <c r="L898" s="244"/>
      <c r="M898" s="244"/>
      <c r="N898" s="244"/>
      <c r="O898" s="244"/>
      <c r="P898" s="244"/>
      <c r="Q898" s="244"/>
      <c r="R898" s="244"/>
      <c r="S898" s="244"/>
      <c r="T898" s="244"/>
      <c r="U898" s="244"/>
      <c r="V898" s="244"/>
      <c r="W898" s="244"/>
      <c r="X898" s="244"/>
      <c r="Y898" s="244"/>
      <c r="Z898" s="244"/>
    </row>
    <row r="899" ht="11.25" customHeight="1">
      <c r="A899" s="244"/>
      <c r="B899" s="244"/>
      <c r="C899" s="266"/>
      <c r="D899" s="266"/>
      <c r="E899" s="266"/>
      <c r="F899" s="266"/>
      <c r="G899" s="266"/>
      <c r="H899" s="266"/>
      <c r="I899" s="266"/>
      <c r="J899" s="266"/>
      <c r="K899" s="244"/>
      <c r="L899" s="244"/>
      <c r="M899" s="244"/>
      <c r="N899" s="244"/>
      <c r="O899" s="244"/>
      <c r="P899" s="244"/>
      <c r="Q899" s="244"/>
      <c r="R899" s="244"/>
      <c r="S899" s="244"/>
      <c r="T899" s="244"/>
      <c r="U899" s="244"/>
      <c r="V899" s="244"/>
      <c r="W899" s="244"/>
      <c r="X899" s="244"/>
      <c r="Y899" s="244"/>
      <c r="Z899" s="244"/>
    </row>
    <row r="900" ht="11.25" customHeight="1">
      <c r="A900" s="244"/>
      <c r="B900" s="244"/>
      <c r="C900" s="266"/>
      <c r="D900" s="266"/>
      <c r="E900" s="266"/>
      <c r="F900" s="266"/>
      <c r="G900" s="266"/>
      <c r="H900" s="266"/>
      <c r="I900" s="266"/>
      <c r="J900" s="266"/>
      <c r="K900" s="244"/>
      <c r="L900" s="244"/>
      <c r="M900" s="244"/>
      <c r="N900" s="244"/>
      <c r="O900" s="244"/>
      <c r="P900" s="244"/>
      <c r="Q900" s="244"/>
      <c r="R900" s="244"/>
      <c r="S900" s="244"/>
      <c r="T900" s="244"/>
      <c r="U900" s="244"/>
      <c r="V900" s="244"/>
      <c r="W900" s="244"/>
      <c r="X900" s="244"/>
      <c r="Y900" s="244"/>
      <c r="Z900" s="244"/>
    </row>
    <row r="901" ht="11.25" customHeight="1">
      <c r="A901" s="244"/>
      <c r="B901" s="244"/>
      <c r="C901" s="266"/>
      <c r="D901" s="266"/>
      <c r="E901" s="266"/>
      <c r="F901" s="266"/>
      <c r="G901" s="266"/>
      <c r="H901" s="266"/>
      <c r="I901" s="266"/>
      <c r="J901" s="266"/>
      <c r="K901" s="244"/>
      <c r="L901" s="244"/>
      <c r="M901" s="244"/>
      <c r="N901" s="244"/>
      <c r="O901" s="244"/>
      <c r="P901" s="244"/>
      <c r="Q901" s="244"/>
      <c r="R901" s="244"/>
      <c r="S901" s="244"/>
      <c r="T901" s="244"/>
      <c r="U901" s="244"/>
      <c r="V901" s="244"/>
      <c r="W901" s="244"/>
      <c r="X901" s="244"/>
      <c r="Y901" s="244"/>
      <c r="Z901" s="244"/>
    </row>
    <row r="902" ht="11.25" customHeight="1">
      <c r="A902" s="244"/>
      <c r="B902" s="244"/>
      <c r="C902" s="266"/>
      <c r="D902" s="266"/>
      <c r="E902" s="266"/>
      <c r="F902" s="266"/>
      <c r="G902" s="266"/>
      <c r="H902" s="266"/>
      <c r="I902" s="266"/>
      <c r="J902" s="266"/>
      <c r="K902" s="244"/>
      <c r="L902" s="244"/>
      <c r="M902" s="244"/>
      <c r="N902" s="244"/>
      <c r="O902" s="244"/>
      <c r="P902" s="244"/>
      <c r="Q902" s="244"/>
      <c r="R902" s="244"/>
      <c r="S902" s="244"/>
      <c r="T902" s="244"/>
      <c r="U902" s="244"/>
      <c r="V902" s="244"/>
      <c r="W902" s="244"/>
      <c r="X902" s="244"/>
      <c r="Y902" s="244"/>
      <c r="Z902" s="244"/>
    </row>
    <row r="903" ht="11.25" customHeight="1">
      <c r="A903" s="244"/>
      <c r="B903" s="244"/>
      <c r="C903" s="266"/>
      <c r="D903" s="266"/>
      <c r="E903" s="266"/>
      <c r="F903" s="266"/>
      <c r="G903" s="266"/>
      <c r="H903" s="266"/>
      <c r="I903" s="266"/>
      <c r="J903" s="266"/>
      <c r="K903" s="244"/>
      <c r="L903" s="244"/>
      <c r="M903" s="244"/>
      <c r="N903" s="244"/>
      <c r="O903" s="244"/>
      <c r="P903" s="244"/>
      <c r="Q903" s="244"/>
      <c r="R903" s="244"/>
      <c r="S903" s="244"/>
      <c r="T903" s="244"/>
      <c r="U903" s="244"/>
      <c r="V903" s="244"/>
      <c r="W903" s="244"/>
      <c r="X903" s="244"/>
      <c r="Y903" s="244"/>
      <c r="Z903" s="244"/>
    </row>
    <row r="904" ht="11.25" customHeight="1">
      <c r="A904" s="244"/>
      <c r="B904" s="244"/>
      <c r="C904" s="266"/>
      <c r="D904" s="266"/>
      <c r="E904" s="266"/>
      <c r="F904" s="266"/>
      <c r="G904" s="266"/>
      <c r="H904" s="266"/>
      <c r="I904" s="266"/>
      <c r="J904" s="266"/>
      <c r="K904" s="244"/>
      <c r="L904" s="244"/>
      <c r="M904" s="244"/>
      <c r="N904" s="244"/>
      <c r="O904" s="244"/>
      <c r="P904" s="244"/>
      <c r="Q904" s="244"/>
      <c r="R904" s="244"/>
      <c r="S904" s="244"/>
      <c r="T904" s="244"/>
      <c r="U904" s="244"/>
      <c r="V904" s="244"/>
      <c r="W904" s="244"/>
      <c r="X904" s="244"/>
      <c r="Y904" s="244"/>
      <c r="Z904" s="244"/>
    </row>
    <row r="905" ht="11.25" customHeight="1">
      <c r="A905" s="244"/>
      <c r="B905" s="244"/>
      <c r="C905" s="266"/>
      <c r="D905" s="266"/>
      <c r="E905" s="266"/>
      <c r="F905" s="266"/>
      <c r="G905" s="266"/>
      <c r="H905" s="266"/>
      <c r="I905" s="266"/>
      <c r="J905" s="266"/>
      <c r="K905" s="244"/>
      <c r="L905" s="244"/>
      <c r="M905" s="244"/>
      <c r="N905" s="244"/>
      <c r="O905" s="244"/>
      <c r="P905" s="244"/>
      <c r="Q905" s="244"/>
      <c r="R905" s="244"/>
      <c r="S905" s="244"/>
      <c r="T905" s="244"/>
      <c r="U905" s="244"/>
      <c r="V905" s="244"/>
      <c r="W905" s="244"/>
      <c r="X905" s="244"/>
      <c r="Y905" s="244"/>
      <c r="Z905" s="244"/>
    </row>
    <row r="906" ht="11.25" customHeight="1">
      <c r="A906" s="244"/>
      <c r="B906" s="244"/>
      <c r="C906" s="266"/>
      <c r="D906" s="266"/>
      <c r="E906" s="266"/>
      <c r="F906" s="266"/>
      <c r="G906" s="266"/>
      <c r="H906" s="266"/>
      <c r="I906" s="266"/>
      <c r="J906" s="266"/>
      <c r="K906" s="244"/>
      <c r="L906" s="244"/>
      <c r="M906" s="244"/>
      <c r="N906" s="244"/>
      <c r="O906" s="244"/>
      <c r="P906" s="244"/>
      <c r="Q906" s="244"/>
      <c r="R906" s="244"/>
      <c r="S906" s="244"/>
      <c r="T906" s="244"/>
      <c r="U906" s="244"/>
      <c r="V906" s="244"/>
      <c r="W906" s="244"/>
      <c r="X906" s="244"/>
      <c r="Y906" s="244"/>
      <c r="Z906" s="244"/>
    </row>
    <row r="907" ht="11.25" customHeight="1">
      <c r="A907" s="244"/>
      <c r="B907" s="244"/>
      <c r="C907" s="266"/>
      <c r="D907" s="266"/>
      <c r="E907" s="266"/>
      <c r="F907" s="266"/>
      <c r="G907" s="266"/>
      <c r="H907" s="266"/>
      <c r="I907" s="266"/>
      <c r="J907" s="266"/>
      <c r="K907" s="244"/>
      <c r="L907" s="244"/>
      <c r="M907" s="244"/>
      <c r="N907" s="244"/>
      <c r="O907" s="244"/>
      <c r="P907" s="244"/>
      <c r="Q907" s="244"/>
      <c r="R907" s="244"/>
      <c r="S907" s="244"/>
      <c r="T907" s="244"/>
      <c r="U907" s="244"/>
      <c r="V907" s="244"/>
      <c r="W907" s="244"/>
      <c r="X907" s="244"/>
      <c r="Y907" s="244"/>
      <c r="Z907" s="244"/>
    </row>
    <row r="908" ht="11.25" customHeight="1">
      <c r="A908" s="244"/>
      <c r="B908" s="244"/>
      <c r="C908" s="266"/>
      <c r="D908" s="266"/>
      <c r="E908" s="266"/>
      <c r="F908" s="266"/>
      <c r="G908" s="266"/>
      <c r="H908" s="266"/>
      <c r="I908" s="266"/>
      <c r="J908" s="266"/>
      <c r="K908" s="244"/>
      <c r="L908" s="244"/>
      <c r="M908" s="244"/>
      <c r="N908" s="244"/>
      <c r="O908" s="244"/>
      <c r="P908" s="244"/>
      <c r="Q908" s="244"/>
      <c r="R908" s="244"/>
      <c r="S908" s="244"/>
      <c r="T908" s="244"/>
      <c r="U908" s="244"/>
      <c r="V908" s="244"/>
      <c r="W908" s="244"/>
      <c r="X908" s="244"/>
      <c r="Y908" s="244"/>
      <c r="Z908" s="244"/>
    </row>
    <row r="909" ht="11.25" customHeight="1">
      <c r="A909" s="244"/>
      <c r="B909" s="244"/>
      <c r="C909" s="266"/>
      <c r="D909" s="266"/>
      <c r="E909" s="266"/>
      <c r="F909" s="266"/>
      <c r="G909" s="266"/>
      <c r="H909" s="266"/>
      <c r="I909" s="266"/>
      <c r="J909" s="266"/>
      <c r="K909" s="244"/>
      <c r="L909" s="244"/>
      <c r="M909" s="244"/>
      <c r="N909" s="244"/>
      <c r="O909" s="244"/>
      <c r="P909" s="244"/>
      <c r="Q909" s="244"/>
      <c r="R909" s="244"/>
      <c r="S909" s="244"/>
      <c r="T909" s="244"/>
      <c r="U909" s="244"/>
      <c r="V909" s="244"/>
      <c r="W909" s="244"/>
      <c r="X909" s="244"/>
      <c r="Y909" s="244"/>
      <c r="Z909" s="244"/>
    </row>
    <row r="910" ht="11.25" customHeight="1">
      <c r="A910" s="244"/>
      <c r="B910" s="244"/>
      <c r="C910" s="266"/>
      <c r="D910" s="266"/>
      <c r="E910" s="266"/>
      <c r="F910" s="266"/>
      <c r="G910" s="266"/>
      <c r="H910" s="266"/>
      <c r="I910" s="266"/>
      <c r="J910" s="266"/>
      <c r="K910" s="244"/>
      <c r="L910" s="244"/>
      <c r="M910" s="244"/>
      <c r="N910" s="244"/>
      <c r="O910" s="244"/>
      <c r="P910" s="244"/>
      <c r="Q910" s="244"/>
      <c r="R910" s="244"/>
      <c r="S910" s="244"/>
      <c r="T910" s="244"/>
      <c r="U910" s="244"/>
      <c r="V910" s="244"/>
      <c r="W910" s="244"/>
      <c r="X910" s="244"/>
      <c r="Y910" s="244"/>
      <c r="Z910" s="244"/>
    </row>
    <row r="911" ht="11.25" customHeight="1">
      <c r="A911" s="244"/>
      <c r="B911" s="244"/>
      <c r="C911" s="266"/>
      <c r="D911" s="266"/>
      <c r="E911" s="266"/>
      <c r="F911" s="266"/>
      <c r="G911" s="266"/>
      <c r="H911" s="266"/>
      <c r="I911" s="266"/>
      <c r="J911" s="266"/>
      <c r="K911" s="244"/>
      <c r="L911" s="244"/>
      <c r="M911" s="244"/>
      <c r="N911" s="244"/>
      <c r="O911" s="244"/>
      <c r="P911" s="244"/>
      <c r="Q911" s="244"/>
      <c r="R911" s="244"/>
      <c r="S911" s="244"/>
      <c r="T911" s="244"/>
      <c r="U911" s="244"/>
      <c r="V911" s="244"/>
      <c r="W911" s="244"/>
      <c r="X911" s="244"/>
      <c r="Y911" s="244"/>
      <c r="Z911" s="244"/>
    </row>
    <row r="912" ht="11.25" customHeight="1">
      <c r="A912" s="244"/>
      <c r="B912" s="244"/>
      <c r="C912" s="266"/>
      <c r="D912" s="266"/>
      <c r="E912" s="266"/>
      <c r="F912" s="266"/>
      <c r="G912" s="266"/>
      <c r="H912" s="266"/>
      <c r="I912" s="266"/>
      <c r="J912" s="266"/>
      <c r="K912" s="244"/>
      <c r="L912" s="244"/>
      <c r="M912" s="244"/>
      <c r="N912" s="244"/>
      <c r="O912" s="244"/>
      <c r="P912" s="244"/>
      <c r="Q912" s="244"/>
      <c r="R912" s="244"/>
      <c r="S912" s="244"/>
      <c r="T912" s="244"/>
      <c r="U912" s="244"/>
      <c r="V912" s="244"/>
      <c r="W912" s="244"/>
      <c r="X912" s="244"/>
      <c r="Y912" s="244"/>
      <c r="Z912" s="244"/>
    </row>
    <row r="913" ht="11.25" customHeight="1">
      <c r="A913" s="244"/>
      <c r="B913" s="244"/>
      <c r="C913" s="266"/>
      <c r="D913" s="266"/>
      <c r="E913" s="266"/>
      <c r="F913" s="266"/>
      <c r="G913" s="266"/>
      <c r="H913" s="266"/>
      <c r="I913" s="266"/>
      <c r="J913" s="266"/>
      <c r="K913" s="244"/>
      <c r="L913" s="244"/>
      <c r="M913" s="244"/>
      <c r="N913" s="244"/>
      <c r="O913" s="244"/>
      <c r="P913" s="244"/>
      <c r="Q913" s="244"/>
      <c r="R913" s="244"/>
      <c r="S913" s="244"/>
      <c r="T913" s="244"/>
      <c r="U913" s="244"/>
      <c r="V913" s="244"/>
      <c r="W913" s="244"/>
      <c r="X913" s="244"/>
      <c r="Y913" s="244"/>
      <c r="Z913" s="244"/>
    </row>
    <row r="914" ht="11.25" customHeight="1">
      <c r="A914" s="244"/>
      <c r="B914" s="244"/>
      <c r="C914" s="266"/>
      <c r="D914" s="266"/>
      <c r="E914" s="266"/>
      <c r="F914" s="266"/>
      <c r="G914" s="266"/>
      <c r="H914" s="266"/>
      <c r="I914" s="266"/>
      <c r="J914" s="266"/>
      <c r="K914" s="244"/>
      <c r="L914" s="244"/>
      <c r="M914" s="244"/>
      <c r="N914" s="244"/>
      <c r="O914" s="244"/>
      <c r="P914" s="244"/>
      <c r="Q914" s="244"/>
      <c r="R914" s="244"/>
      <c r="S914" s="244"/>
      <c r="T914" s="244"/>
      <c r="U914" s="244"/>
      <c r="V914" s="244"/>
      <c r="W914" s="244"/>
      <c r="X914" s="244"/>
      <c r="Y914" s="244"/>
      <c r="Z914" s="244"/>
    </row>
    <row r="915" ht="11.25" customHeight="1">
      <c r="A915" s="244"/>
      <c r="B915" s="244"/>
      <c r="C915" s="266"/>
      <c r="D915" s="266"/>
      <c r="E915" s="266"/>
      <c r="F915" s="266"/>
      <c r="G915" s="266"/>
      <c r="H915" s="266"/>
      <c r="I915" s="266"/>
      <c r="J915" s="266"/>
      <c r="K915" s="244"/>
      <c r="L915" s="244"/>
      <c r="M915" s="244"/>
      <c r="N915" s="244"/>
      <c r="O915" s="244"/>
      <c r="P915" s="244"/>
      <c r="Q915" s="244"/>
      <c r="R915" s="244"/>
      <c r="S915" s="244"/>
      <c r="T915" s="244"/>
      <c r="U915" s="244"/>
      <c r="V915" s="244"/>
      <c r="W915" s="244"/>
      <c r="X915" s="244"/>
      <c r="Y915" s="244"/>
      <c r="Z915" s="244"/>
    </row>
    <row r="916" ht="11.25" customHeight="1">
      <c r="A916" s="244"/>
      <c r="B916" s="244"/>
      <c r="C916" s="266"/>
      <c r="D916" s="266"/>
      <c r="E916" s="266"/>
      <c r="F916" s="266"/>
      <c r="G916" s="266"/>
      <c r="H916" s="266"/>
      <c r="I916" s="266"/>
      <c r="J916" s="266"/>
      <c r="K916" s="244"/>
      <c r="L916" s="244"/>
      <c r="M916" s="244"/>
      <c r="N916" s="244"/>
      <c r="O916" s="244"/>
      <c r="P916" s="244"/>
      <c r="Q916" s="244"/>
      <c r="R916" s="244"/>
      <c r="S916" s="244"/>
      <c r="T916" s="244"/>
      <c r="U916" s="244"/>
      <c r="V916" s="244"/>
      <c r="W916" s="244"/>
      <c r="X916" s="244"/>
      <c r="Y916" s="244"/>
      <c r="Z916" s="244"/>
    </row>
    <row r="917" ht="11.25" customHeight="1">
      <c r="A917" s="244"/>
      <c r="B917" s="244"/>
      <c r="C917" s="266"/>
      <c r="D917" s="266"/>
      <c r="E917" s="266"/>
      <c r="F917" s="266"/>
      <c r="G917" s="266"/>
      <c r="H917" s="266"/>
      <c r="I917" s="266"/>
      <c r="J917" s="266"/>
      <c r="K917" s="244"/>
      <c r="L917" s="244"/>
      <c r="M917" s="244"/>
      <c r="N917" s="244"/>
      <c r="O917" s="244"/>
      <c r="P917" s="244"/>
      <c r="Q917" s="244"/>
      <c r="R917" s="244"/>
      <c r="S917" s="244"/>
      <c r="T917" s="244"/>
      <c r="U917" s="244"/>
      <c r="V917" s="244"/>
      <c r="W917" s="244"/>
      <c r="X917" s="244"/>
      <c r="Y917" s="244"/>
      <c r="Z917" s="244"/>
    </row>
    <row r="918" ht="11.25" customHeight="1">
      <c r="A918" s="244"/>
      <c r="B918" s="244"/>
      <c r="C918" s="266"/>
      <c r="D918" s="266"/>
      <c r="E918" s="266"/>
      <c r="F918" s="266"/>
      <c r="G918" s="266"/>
      <c r="H918" s="266"/>
      <c r="I918" s="266"/>
      <c r="J918" s="266"/>
      <c r="K918" s="244"/>
      <c r="L918" s="244"/>
      <c r="M918" s="244"/>
      <c r="N918" s="244"/>
      <c r="O918" s="244"/>
      <c r="P918" s="244"/>
      <c r="Q918" s="244"/>
      <c r="R918" s="244"/>
      <c r="S918" s="244"/>
      <c r="T918" s="244"/>
      <c r="U918" s="244"/>
      <c r="V918" s="244"/>
      <c r="W918" s="244"/>
      <c r="X918" s="244"/>
      <c r="Y918" s="244"/>
      <c r="Z918" s="244"/>
    </row>
    <row r="919" ht="11.25" customHeight="1">
      <c r="A919" s="244"/>
      <c r="B919" s="244"/>
      <c r="C919" s="266"/>
      <c r="D919" s="266"/>
      <c r="E919" s="266"/>
      <c r="F919" s="266"/>
      <c r="G919" s="266"/>
      <c r="H919" s="266"/>
      <c r="I919" s="266"/>
      <c r="J919" s="266"/>
      <c r="K919" s="244"/>
      <c r="L919" s="244"/>
      <c r="M919" s="244"/>
      <c r="N919" s="244"/>
      <c r="O919" s="244"/>
      <c r="P919" s="244"/>
      <c r="Q919" s="244"/>
      <c r="R919" s="244"/>
      <c r="S919" s="244"/>
      <c r="T919" s="244"/>
      <c r="U919" s="244"/>
      <c r="V919" s="244"/>
      <c r="W919" s="244"/>
      <c r="X919" s="244"/>
      <c r="Y919" s="244"/>
      <c r="Z919" s="244"/>
    </row>
    <row r="920" ht="11.25" customHeight="1">
      <c r="A920" s="244"/>
      <c r="B920" s="244"/>
      <c r="C920" s="266"/>
      <c r="D920" s="266"/>
      <c r="E920" s="266"/>
      <c r="F920" s="266"/>
      <c r="G920" s="266"/>
      <c r="H920" s="266"/>
      <c r="I920" s="266"/>
      <c r="J920" s="266"/>
      <c r="K920" s="244"/>
      <c r="L920" s="244"/>
      <c r="M920" s="244"/>
      <c r="N920" s="244"/>
      <c r="O920" s="244"/>
      <c r="P920" s="244"/>
      <c r="Q920" s="244"/>
      <c r="R920" s="244"/>
      <c r="S920" s="244"/>
      <c r="T920" s="244"/>
      <c r="U920" s="244"/>
      <c r="V920" s="244"/>
      <c r="W920" s="244"/>
      <c r="X920" s="244"/>
      <c r="Y920" s="244"/>
      <c r="Z920" s="244"/>
    </row>
    <row r="921" ht="11.25" customHeight="1">
      <c r="A921" s="244"/>
      <c r="B921" s="244"/>
      <c r="C921" s="266"/>
      <c r="D921" s="266"/>
      <c r="E921" s="266"/>
      <c r="F921" s="266"/>
      <c r="G921" s="266"/>
      <c r="H921" s="266"/>
      <c r="I921" s="266"/>
      <c r="J921" s="266"/>
      <c r="K921" s="244"/>
      <c r="L921" s="244"/>
      <c r="M921" s="244"/>
      <c r="N921" s="244"/>
      <c r="O921" s="244"/>
      <c r="P921" s="244"/>
      <c r="Q921" s="244"/>
      <c r="R921" s="244"/>
      <c r="S921" s="244"/>
      <c r="T921" s="244"/>
      <c r="U921" s="244"/>
      <c r="V921" s="244"/>
      <c r="W921" s="244"/>
      <c r="X921" s="244"/>
      <c r="Y921" s="244"/>
      <c r="Z921" s="244"/>
    </row>
    <row r="922" ht="11.25" customHeight="1">
      <c r="A922" s="244"/>
      <c r="B922" s="244"/>
      <c r="C922" s="266"/>
      <c r="D922" s="266"/>
      <c r="E922" s="266"/>
      <c r="F922" s="266"/>
      <c r="G922" s="266"/>
      <c r="H922" s="266"/>
      <c r="I922" s="266"/>
      <c r="J922" s="266"/>
      <c r="K922" s="244"/>
      <c r="L922" s="244"/>
      <c r="M922" s="244"/>
      <c r="N922" s="244"/>
      <c r="O922" s="244"/>
      <c r="P922" s="244"/>
      <c r="Q922" s="244"/>
      <c r="R922" s="244"/>
      <c r="S922" s="244"/>
      <c r="T922" s="244"/>
      <c r="U922" s="244"/>
      <c r="V922" s="244"/>
      <c r="W922" s="244"/>
      <c r="X922" s="244"/>
      <c r="Y922" s="244"/>
      <c r="Z922" s="244"/>
    </row>
    <row r="923" ht="11.25" customHeight="1">
      <c r="A923" s="244"/>
      <c r="B923" s="244"/>
      <c r="C923" s="266"/>
      <c r="D923" s="266"/>
      <c r="E923" s="266"/>
      <c r="F923" s="266"/>
      <c r="G923" s="266"/>
      <c r="H923" s="266"/>
      <c r="I923" s="266"/>
      <c r="J923" s="266"/>
      <c r="K923" s="244"/>
      <c r="L923" s="244"/>
      <c r="M923" s="244"/>
      <c r="N923" s="244"/>
      <c r="O923" s="244"/>
      <c r="P923" s="244"/>
      <c r="Q923" s="244"/>
      <c r="R923" s="244"/>
      <c r="S923" s="244"/>
      <c r="T923" s="244"/>
      <c r="U923" s="244"/>
      <c r="V923" s="244"/>
      <c r="W923" s="244"/>
      <c r="X923" s="244"/>
      <c r="Y923" s="244"/>
      <c r="Z923" s="244"/>
    </row>
    <row r="924" ht="11.25" customHeight="1">
      <c r="A924" s="244"/>
      <c r="B924" s="244"/>
      <c r="C924" s="266"/>
      <c r="D924" s="266"/>
      <c r="E924" s="266"/>
      <c r="F924" s="266"/>
      <c r="G924" s="266"/>
      <c r="H924" s="266"/>
      <c r="I924" s="266"/>
      <c r="J924" s="266"/>
      <c r="K924" s="244"/>
      <c r="L924" s="244"/>
      <c r="M924" s="244"/>
      <c r="N924" s="244"/>
      <c r="O924" s="244"/>
      <c r="P924" s="244"/>
      <c r="Q924" s="244"/>
      <c r="R924" s="244"/>
      <c r="S924" s="244"/>
      <c r="T924" s="244"/>
      <c r="U924" s="244"/>
      <c r="V924" s="244"/>
      <c r="W924" s="244"/>
      <c r="X924" s="244"/>
      <c r="Y924" s="244"/>
      <c r="Z924" s="244"/>
    </row>
    <row r="925" ht="11.25" customHeight="1">
      <c r="A925" s="244"/>
      <c r="B925" s="244"/>
      <c r="C925" s="266"/>
      <c r="D925" s="266"/>
      <c r="E925" s="266"/>
      <c r="F925" s="266"/>
      <c r="G925" s="266"/>
      <c r="H925" s="266"/>
      <c r="I925" s="266"/>
      <c r="J925" s="266"/>
      <c r="K925" s="244"/>
      <c r="L925" s="244"/>
      <c r="M925" s="244"/>
      <c r="N925" s="244"/>
      <c r="O925" s="244"/>
      <c r="P925" s="244"/>
      <c r="Q925" s="244"/>
      <c r="R925" s="244"/>
      <c r="S925" s="244"/>
      <c r="T925" s="244"/>
      <c r="U925" s="244"/>
      <c r="V925" s="244"/>
      <c r="W925" s="244"/>
      <c r="X925" s="244"/>
      <c r="Y925" s="244"/>
      <c r="Z925" s="244"/>
    </row>
    <row r="926" ht="11.25" customHeight="1">
      <c r="A926" s="244"/>
      <c r="B926" s="244"/>
      <c r="C926" s="266"/>
      <c r="D926" s="266"/>
      <c r="E926" s="266"/>
      <c r="F926" s="266"/>
      <c r="G926" s="266"/>
      <c r="H926" s="266"/>
      <c r="I926" s="266"/>
      <c r="J926" s="266"/>
      <c r="K926" s="244"/>
      <c r="L926" s="244"/>
      <c r="M926" s="244"/>
      <c r="N926" s="244"/>
      <c r="O926" s="244"/>
      <c r="P926" s="244"/>
      <c r="Q926" s="244"/>
      <c r="R926" s="244"/>
      <c r="S926" s="244"/>
      <c r="T926" s="244"/>
      <c r="U926" s="244"/>
      <c r="V926" s="244"/>
      <c r="W926" s="244"/>
      <c r="X926" s="244"/>
      <c r="Y926" s="244"/>
      <c r="Z926" s="244"/>
    </row>
    <row r="927" ht="11.25" customHeight="1">
      <c r="A927" s="244"/>
      <c r="B927" s="244"/>
      <c r="C927" s="266"/>
      <c r="D927" s="266"/>
      <c r="E927" s="266"/>
      <c r="F927" s="266"/>
      <c r="G927" s="266"/>
      <c r="H927" s="266"/>
      <c r="I927" s="266"/>
      <c r="J927" s="266"/>
      <c r="K927" s="244"/>
      <c r="L927" s="244"/>
      <c r="M927" s="244"/>
      <c r="N927" s="244"/>
      <c r="O927" s="244"/>
      <c r="P927" s="244"/>
      <c r="Q927" s="244"/>
      <c r="R927" s="244"/>
      <c r="S927" s="244"/>
      <c r="T927" s="244"/>
      <c r="U927" s="244"/>
      <c r="V927" s="244"/>
      <c r="W927" s="244"/>
      <c r="X927" s="244"/>
      <c r="Y927" s="244"/>
      <c r="Z927" s="244"/>
    </row>
    <row r="928" ht="11.25" customHeight="1">
      <c r="A928" s="244"/>
      <c r="B928" s="244"/>
      <c r="C928" s="266"/>
      <c r="D928" s="266"/>
      <c r="E928" s="266"/>
      <c r="F928" s="266"/>
      <c r="G928" s="266"/>
      <c r="H928" s="266"/>
      <c r="I928" s="266"/>
      <c r="J928" s="266"/>
      <c r="K928" s="244"/>
      <c r="L928" s="244"/>
      <c r="M928" s="244"/>
      <c r="N928" s="244"/>
      <c r="O928" s="244"/>
      <c r="P928" s="244"/>
      <c r="Q928" s="244"/>
      <c r="R928" s="244"/>
      <c r="S928" s="244"/>
      <c r="T928" s="244"/>
      <c r="U928" s="244"/>
      <c r="V928" s="244"/>
      <c r="W928" s="244"/>
      <c r="X928" s="244"/>
      <c r="Y928" s="244"/>
      <c r="Z928" s="244"/>
    </row>
    <row r="929" ht="11.25" customHeight="1">
      <c r="A929" s="244"/>
      <c r="B929" s="244"/>
      <c r="C929" s="266"/>
      <c r="D929" s="266"/>
      <c r="E929" s="266"/>
      <c r="F929" s="266"/>
      <c r="G929" s="266"/>
      <c r="H929" s="266"/>
      <c r="I929" s="266"/>
      <c r="J929" s="266"/>
      <c r="K929" s="244"/>
      <c r="L929" s="244"/>
      <c r="M929" s="244"/>
      <c r="N929" s="244"/>
      <c r="O929" s="244"/>
      <c r="P929" s="244"/>
      <c r="Q929" s="244"/>
      <c r="R929" s="244"/>
      <c r="S929" s="244"/>
      <c r="T929" s="244"/>
      <c r="U929" s="244"/>
      <c r="V929" s="244"/>
      <c r="W929" s="244"/>
      <c r="X929" s="244"/>
      <c r="Y929" s="244"/>
      <c r="Z929" s="244"/>
    </row>
    <row r="930" ht="11.25" customHeight="1">
      <c r="A930" s="244"/>
      <c r="B930" s="244"/>
      <c r="C930" s="266"/>
      <c r="D930" s="266"/>
      <c r="E930" s="266"/>
      <c r="F930" s="266"/>
      <c r="G930" s="266"/>
      <c r="H930" s="266"/>
      <c r="I930" s="266"/>
      <c r="J930" s="266"/>
      <c r="K930" s="244"/>
      <c r="L930" s="244"/>
      <c r="M930" s="244"/>
      <c r="N930" s="244"/>
      <c r="O930" s="244"/>
      <c r="P930" s="244"/>
      <c r="Q930" s="244"/>
      <c r="R930" s="244"/>
      <c r="S930" s="244"/>
      <c r="T930" s="244"/>
      <c r="U930" s="244"/>
      <c r="V930" s="244"/>
      <c r="W930" s="244"/>
      <c r="X930" s="244"/>
      <c r="Y930" s="244"/>
      <c r="Z930" s="244"/>
    </row>
    <row r="931" ht="11.25" customHeight="1">
      <c r="A931" s="244"/>
      <c r="B931" s="244"/>
      <c r="C931" s="266"/>
      <c r="D931" s="266"/>
      <c r="E931" s="266"/>
      <c r="F931" s="266"/>
      <c r="G931" s="266"/>
      <c r="H931" s="266"/>
      <c r="I931" s="266"/>
      <c r="J931" s="266"/>
      <c r="K931" s="244"/>
      <c r="L931" s="244"/>
      <c r="M931" s="244"/>
      <c r="N931" s="244"/>
      <c r="O931" s="244"/>
      <c r="P931" s="244"/>
      <c r="Q931" s="244"/>
      <c r="R931" s="244"/>
      <c r="S931" s="244"/>
      <c r="T931" s="244"/>
      <c r="U931" s="244"/>
      <c r="V931" s="244"/>
      <c r="W931" s="244"/>
      <c r="X931" s="244"/>
      <c r="Y931" s="244"/>
      <c r="Z931" s="244"/>
    </row>
    <row r="932" ht="11.25" customHeight="1">
      <c r="A932" s="244"/>
      <c r="B932" s="244"/>
      <c r="C932" s="266"/>
      <c r="D932" s="266"/>
      <c r="E932" s="266"/>
      <c r="F932" s="266"/>
      <c r="G932" s="266"/>
      <c r="H932" s="266"/>
      <c r="I932" s="266"/>
      <c r="J932" s="266"/>
      <c r="K932" s="244"/>
      <c r="L932" s="244"/>
      <c r="M932" s="244"/>
      <c r="N932" s="244"/>
      <c r="O932" s="244"/>
      <c r="P932" s="244"/>
      <c r="Q932" s="244"/>
      <c r="R932" s="244"/>
      <c r="S932" s="244"/>
      <c r="T932" s="244"/>
      <c r="U932" s="244"/>
      <c r="V932" s="244"/>
      <c r="W932" s="244"/>
      <c r="X932" s="244"/>
      <c r="Y932" s="244"/>
      <c r="Z932" s="244"/>
    </row>
    <row r="933" ht="11.25" customHeight="1">
      <c r="A933" s="244"/>
      <c r="B933" s="244"/>
      <c r="C933" s="266"/>
      <c r="D933" s="266"/>
      <c r="E933" s="266"/>
      <c r="F933" s="266"/>
      <c r="G933" s="266"/>
      <c r="H933" s="266"/>
      <c r="I933" s="266"/>
      <c r="J933" s="266"/>
      <c r="K933" s="244"/>
      <c r="L933" s="244"/>
      <c r="M933" s="244"/>
      <c r="N933" s="244"/>
      <c r="O933" s="244"/>
      <c r="P933" s="244"/>
      <c r="Q933" s="244"/>
      <c r="R933" s="244"/>
      <c r="S933" s="244"/>
      <c r="T933" s="244"/>
      <c r="U933" s="244"/>
      <c r="V933" s="244"/>
      <c r="W933" s="244"/>
      <c r="X933" s="244"/>
      <c r="Y933" s="244"/>
      <c r="Z933" s="244"/>
    </row>
    <row r="934" ht="11.25" customHeight="1">
      <c r="A934" s="244"/>
      <c r="B934" s="244"/>
      <c r="C934" s="266"/>
      <c r="D934" s="266"/>
      <c r="E934" s="266"/>
      <c r="F934" s="266"/>
      <c r="G934" s="266"/>
      <c r="H934" s="266"/>
      <c r="I934" s="266"/>
      <c r="J934" s="266"/>
      <c r="K934" s="244"/>
      <c r="L934" s="244"/>
      <c r="M934" s="244"/>
      <c r="N934" s="244"/>
      <c r="O934" s="244"/>
      <c r="P934" s="244"/>
      <c r="Q934" s="244"/>
      <c r="R934" s="244"/>
      <c r="S934" s="244"/>
      <c r="T934" s="244"/>
      <c r="U934" s="244"/>
      <c r="V934" s="244"/>
      <c r="W934" s="244"/>
      <c r="X934" s="244"/>
      <c r="Y934" s="244"/>
      <c r="Z934" s="244"/>
    </row>
    <row r="935" ht="11.25" customHeight="1">
      <c r="A935" s="244"/>
      <c r="B935" s="244"/>
      <c r="C935" s="266"/>
      <c r="D935" s="266"/>
      <c r="E935" s="266"/>
      <c r="F935" s="266"/>
      <c r="G935" s="266"/>
      <c r="H935" s="266"/>
      <c r="I935" s="266"/>
      <c r="J935" s="266"/>
      <c r="K935" s="244"/>
      <c r="L935" s="244"/>
      <c r="M935" s="244"/>
      <c r="N935" s="244"/>
      <c r="O935" s="244"/>
      <c r="P935" s="244"/>
      <c r="Q935" s="244"/>
      <c r="R935" s="244"/>
      <c r="S935" s="244"/>
      <c r="T935" s="244"/>
      <c r="U935" s="244"/>
      <c r="V935" s="244"/>
      <c r="W935" s="244"/>
      <c r="X935" s="244"/>
      <c r="Y935" s="244"/>
      <c r="Z935" s="244"/>
    </row>
    <row r="936" ht="11.25" customHeight="1">
      <c r="A936" s="244"/>
      <c r="B936" s="244"/>
      <c r="C936" s="266"/>
      <c r="D936" s="266"/>
      <c r="E936" s="266"/>
      <c r="F936" s="266"/>
      <c r="G936" s="266"/>
      <c r="H936" s="266"/>
      <c r="I936" s="266"/>
      <c r="J936" s="266"/>
      <c r="K936" s="244"/>
      <c r="L936" s="244"/>
      <c r="M936" s="244"/>
      <c r="N936" s="244"/>
      <c r="O936" s="244"/>
      <c r="P936" s="244"/>
      <c r="Q936" s="244"/>
      <c r="R936" s="244"/>
      <c r="S936" s="244"/>
      <c r="T936" s="244"/>
      <c r="U936" s="244"/>
      <c r="V936" s="244"/>
      <c r="W936" s="244"/>
      <c r="X936" s="244"/>
      <c r="Y936" s="244"/>
      <c r="Z936" s="244"/>
    </row>
    <row r="937" ht="11.25" customHeight="1">
      <c r="A937" s="244"/>
      <c r="B937" s="244"/>
      <c r="C937" s="266"/>
      <c r="D937" s="266"/>
      <c r="E937" s="266"/>
      <c r="F937" s="266"/>
      <c r="G937" s="266"/>
      <c r="H937" s="266"/>
      <c r="I937" s="266"/>
      <c r="J937" s="266"/>
      <c r="K937" s="244"/>
      <c r="L937" s="244"/>
      <c r="M937" s="244"/>
      <c r="N937" s="244"/>
      <c r="O937" s="244"/>
      <c r="P937" s="244"/>
      <c r="Q937" s="244"/>
      <c r="R937" s="244"/>
      <c r="S937" s="244"/>
      <c r="T937" s="244"/>
      <c r="U937" s="244"/>
      <c r="V937" s="244"/>
      <c r="W937" s="244"/>
      <c r="X937" s="244"/>
      <c r="Y937" s="244"/>
      <c r="Z937" s="244"/>
    </row>
    <row r="938" ht="11.25" customHeight="1">
      <c r="A938" s="244"/>
      <c r="B938" s="244"/>
      <c r="C938" s="266"/>
      <c r="D938" s="266"/>
      <c r="E938" s="266"/>
      <c r="F938" s="266"/>
      <c r="G938" s="266"/>
      <c r="H938" s="266"/>
      <c r="I938" s="266"/>
      <c r="J938" s="266"/>
      <c r="K938" s="244"/>
      <c r="L938" s="244"/>
      <c r="M938" s="244"/>
      <c r="N938" s="244"/>
      <c r="O938" s="244"/>
      <c r="P938" s="244"/>
      <c r="Q938" s="244"/>
      <c r="R938" s="244"/>
      <c r="S938" s="244"/>
      <c r="T938" s="244"/>
      <c r="U938" s="244"/>
      <c r="V938" s="244"/>
      <c r="W938" s="244"/>
      <c r="X938" s="244"/>
      <c r="Y938" s="244"/>
      <c r="Z938" s="244"/>
    </row>
    <row r="939" ht="11.25" customHeight="1">
      <c r="A939" s="244"/>
      <c r="B939" s="244"/>
      <c r="C939" s="266"/>
      <c r="D939" s="266"/>
      <c r="E939" s="266"/>
      <c r="F939" s="266"/>
      <c r="G939" s="266"/>
      <c r="H939" s="266"/>
      <c r="I939" s="266"/>
      <c r="J939" s="266"/>
      <c r="K939" s="244"/>
      <c r="L939" s="244"/>
      <c r="M939" s="244"/>
      <c r="N939" s="244"/>
      <c r="O939" s="244"/>
      <c r="P939" s="244"/>
      <c r="Q939" s="244"/>
      <c r="R939" s="244"/>
      <c r="S939" s="244"/>
      <c r="T939" s="244"/>
      <c r="U939" s="244"/>
      <c r="V939" s="244"/>
      <c r="W939" s="244"/>
      <c r="X939" s="244"/>
      <c r="Y939" s="244"/>
      <c r="Z939" s="244"/>
    </row>
    <row r="940" ht="11.25" customHeight="1">
      <c r="A940" s="244"/>
      <c r="B940" s="244"/>
      <c r="C940" s="266"/>
      <c r="D940" s="266"/>
      <c r="E940" s="266"/>
      <c r="F940" s="266"/>
      <c r="G940" s="266"/>
      <c r="H940" s="266"/>
      <c r="I940" s="266"/>
      <c r="J940" s="266"/>
      <c r="K940" s="244"/>
      <c r="L940" s="244"/>
      <c r="M940" s="244"/>
      <c r="N940" s="244"/>
      <c r="O940" s="244"/>
      <c r="P940" s="244"/>
      <c r="Q940" s="244"/>
      <c r="R940" s="244"/>
      <c r="S940" s="244"/>
      <c r="T940" s="244"/>
      <c r="U940" s="244"/>
      <c r="V940" s="244"/>
      <c r="W940" s="244"/>
      <c r="X940" s="244"/>
      <c r="Y940" s="244"/>
      <c r="Z940" s="244"/>
    </row>
    <row r="941" ht="11.25" customHeight="1">
      <c r="A941" s="244"/>
      <c r="B941" s="244"/>
      <c r="C941" s="266"/>
      <c r="D941" s="266"/>
      <c r="E941" s="266"/>
      <c r="F941" s="266"/>
      <c r="G941" s="266"/>
      <c r="H941" s="266"/>
      <c r="I941" s="266"/>
      <c r="J941" s="266"/>
      <c r="K941" s="244"/>
      <c r="L941" s="244"/>
      <c r="M941" s="244"/>
      <c r="N941" s="244"/>
      <c r="O941" s="244"/>
      <c r="P941" s="244"/>
      <c r="Q941" s="244"/>
      <c r="R941" s="244"/>
      <c r="S941" s="244"/>
      <c r="T941" s="244"/>
      <c r="U941" s="244"/>
      <c r="V941" s="244"/>
      <c r="W941" s="244"/>
      <c r="X941" s="244"/>
      <c r="Y941" s="244"/>
      <c r="Z941" s="244"/>
    </row>
    <row r="942" ht="11.25" customHeight="1">
      <c r="A942" s="244"/>
      <c r="B942" s="244"/>
      <c r="C942" s="266"/>
      <c r="D942" s="266"/>
      <c r="E942" s="266"/>
      <c r="F942" s="266"/>
      <c r="G942" s="266"/>
      <c r="H942" s="266"/>
      <c r="I942" s="266"/>
      <c r="J942" s="266"/>
      <c r="K942" s="244"/>
      <c r="L942" s="244"/>
      <c r="M942" s="244"/>
      <c r="N942" s="244"/>
      <c r="O942" s="244"/>
      <c r="P942" s="244"/>
      <c r="Q942" s="244"/>
      <c r="R942" s="244"/>
      <c r="S942" s="244"/>
      <c r="T942" s="244"/>
      <c r="U942" s="244"/>
      <c r="V942" s="244"/>
      <c r="W942" s="244"/>
      <c r="X942" s="244"/>
      <c r="Y942" s="244"/>
      <c r="Z942" s="244"/>
    </row>
    <row r="943" ht="11.25" customHeight="1">
      <c r="A943" s="244"/>
      <c r="B943" s="244"/>
      <c r="C943" s="266"/>
      <c r="D943" s="266"/>
      <c r="E943" s="266"/>
      <c r="F943" s="266"/>
      <c r="G943" s="266"/>
      <c r="H943" s="266"/>
      <c r="I943" s="266"/>
      <c r="J943" s="266"/>
      <c r="K943" s="244"/>
      <c r="L943" s="244"/>
      <c r="M943" s="244"/>
      <c r="N943" s="244"/>
      <c r="O943" s="244"/>
      <c r="P943" s="244"/>
      <c r="Q943" s="244"/>
      <c r="R943" s="244"/>
      <c r="S943" s="244"/>
      <c r="T943" s="244"/>
      <c r="U943" s="244"/>
      <c r="V943" s="244"/>
      <c r="W943" s="244"/>
      <c r="X943" s="244"/>
      <c r="Y943" s="244"/>
      <c r="Z943" s="244"/>
    </row>
    <row r="944" ht="11.25" customHeight="1">
      <c r="A944" s="244"/>
      <c r="B944" s="244"/>
      <c r="C944" s="266"/>
      <c r="D944" s="266"/>
      <c r="E944" s="266"/>
      <c r="F944" s="266"/>
      <c r="G944" s="266"/>
      <c r="H944" s="266"/>
      <c r="I944" s="266"/>
      <c r="J944" s="266"/>
      <c r="K944" s="244"/>
      <c r="L944" s="244"/>
      <c r="M944" s="244"/>
      <c r="N944" s="244"/>
      <c r="O944" s="244"/>
      <c r="P944" s="244"/>
      <c r="Q944" s="244"/>
      <c r="R944" s="244"/>
      <c r="S944" s="244"/>
      <c r="T944" s="244"/>
      <c r="U944" s="244"/>
      <c r="V944" s="244"/>
      <c r="W944" s="244"/>
      <c r="X944" s="244"/>
      <c r="Y944" s="244"/>
      <c r="Z944" s="244"/>
    </row>
    <row r="945" ht="11.25" customHeight="1">
      <c r="A945" s="244"/>
      <c r="B945" s="244"/>
      <c r="C945" s="266"/>
      <c r="D945" s="266"/>
      <c r="E945" s="266"/>
      <c r="F945" s="266"/>
      <c r="G945" s="266"/>
      <c r="H945" s="266"/>
      <c r="I945" s="266"/>
      <c r="J945" s="266"/>
      <c r="K945" s="244"/>
      <c r="L945" s="244"/>
      <c r="M945" s="244"/>
      <c r="N945" s="244"/>
      <c r="O945" s="244"/>
      <c r="P945" s="244"/>
      <c r="Q945" s="244"/>
      <c r="R945" s="244"/>
      <c r="S945" s="244"/>
      <c r="T945" s="244"/>
      <c r="U945" s="244"/>
      <c r="V945" s="244"/>
      <c r="W945" s="244"/>
      <c r="X945" s="244"/>
      <c r="Y945" s="244"/>
      <c r="Z945" s="244"/>
    </row>
    <row r="946" ht="11.25" customHeight="1">
      <c r="A946" s="244"/>
      <c r="B946" s="244"/>
      <c r="C946" s="266"/>
      <c r="D946" s="266"/>
      <c r="E946" s="266"/>
      <c r="F946" s="266"/>
      <c r="G946" s="266"/>
      <c r="H946" s="266"/>
      <c r="I946" s="266"/>
      <c r="J946" s="266"/>
      <c r="K946" s="244"/>
      <c r="L946" s="244"/>
      <c r="M946" s="244"/>
      <c r="N946" s="244"/>
      <c r="O946" s="244"/>
      <c r="P946" s="244"/>
      <c r="Q946" s="244"/>
      <c r="R946" s="244"/>
      <c r="S946" s="244"/>
      <c r="T946" s="244"/>
      <c r="U946" s="244"/>
      <c r="V946" s="244"/>
      <c r="W946" s="244"/>
      <c r="X946" s="244"/>
      <c r="Y946" s="244"/>
      <c r="Z946" s="244"/>
    </row>
    <row r="947" ht="11.25" customHeight="1">
      <c r="A947" s="244"/>
      <c r="B947" s="244"/>
      <c r="C947" s="266"/>
      <c r="D947" s="266"/>
      <c r="E947" s="266"/>
      <c r="F947" s="266"/>
      <c r="G947" s="266"/>
      <c r="H947" s="266"/>
      <c r="I947" s="266"/>
      <c r="J947" s="266"/>
      <c r="K947" s="244"/>
      <c r="L947" s="244"/>
      <c r="M947" s="244"/>
      <c r="N947" s="244"/>
      <c r="O947" s="244"/>
      <c r="P947" s="244"/>
      <c r="Q947" s="244"/>
      <c r="R947" s="244"/>
      <c r="S947" s="244"/>
      <c r="T947" s="244"/>
      <c r="U947" s="244"/>
      <c r="V947" s="244"/>
      <c r="W947" s="244"/>
      <c r="X947" s="244"/>
      <c r="Y947" s="244"/>
      <c r="Z947" s="244"/>
    </row>
    <row r="948" ht="11.25" customHeight="1">
      <c r="A948" s="244"/>
      <c r="B948" s="244"/>
      <c r="C948" s="266"/>
      <c r="D948" s="266"/>
      <c r="E948" s="266"/>
      <c r="F948" s="266"/>
      <c r="G948" s="266"/>
      <c r="H948" s="266"/>
      <c r="I948" s="266"/>
      <c r="J948" s="266"/>
      <c r="K948" s="244"/>
      <c r="L948" s="244"/>
      <c r="M948" s="244"/>
      <c r="N948" s="244"/>
      <c r="O948" s="244"/>
      <c r="P948" s="244"/>
      <c r="Q948" s="244"/>
      <c r="R948" s="244"/>
      <c r="S948" s="244"/>
      <c r="T948" s="244"/>
      <c r="U948" s="244"/>
      <c r="V948" s="244"/>
      <c r="W948" s="244"/>
      <c r="X948" s="244"/>
      <c r="Y948" s="244"/>
      <c r="Z948" s="244"/>
    </row>
    <row r="949" ht="11.25" customHeight="1">
      <c r="A949" s="244"/>
      <c r="B949" s="244"/>
      <c r="C949" s="266"/>
      <c r="D949" s="266"/>
      <c r="E949" s="266"/>
      <c r="F949" s="266"/>
      <c r="G949" s="266"/>
      <c r="H949" s="266"/>
      <c r="I949" s="266"/>
      <c r="J949" s="266"/>
      <c r="K949" s="244"/>
      <c r="L949" s="244"/>
      <c r="M949" s="244"/>
      <c r="N949" s="244"/>
      <c r="O949" s="244"/>
      <c r="P949" s="244"/>
      <c r="Q949" s="244"/>
      <c r="R949" s="244"/>
      <c r="S949" s="244"/>
      <c r="T949" s="244"/>
      <c r="U949" s="244"/>
      <c r="V949" s="244"/>
      <c r="W949" s="244"/>
      <c r="X949" s="244"/>
      <c r="Y949" s="244"/>
      <c r="Z949" s="244"/>
    </row>
    <row r="950" ht="11.25" customHeight="1">
      <c r="A950" s="244"/>
      <c r="B950" s="244"/>
      <c r="C950" s="266"/>
      <c r="D950" s="266"/>
      <c r="E950" s="266"/>
      <c r="F950" s="266"/>
      <c r="G950" s="266"/>
      <c r="H950" s="266"/>
      <c r="I950" s="266"/>
      <c r="J950" s="266"/>
      <c r="K950" s="244"/>
      <c r="L950" s="244"/>
      <c r="M950" s="244"/>
      <c r="N950" s="244"/>
      <c r="O950" s="244"/>
      <c r="P950" s="244"/>
      <c r="Q950" s="244"/>
      <c r="R950" s="244"/>
      <c r="S950" s="244"/>
      <c r="T950" s="244"/>
      <c r="U950" s="244"/>
      <c r="V950" s="244"/>
      <c r="W950" s="244"/>
      <c r="X950" s="244"/>
      <c r="Y950" s="244"/>
      <c r="Z950" s="244"/>
    </row>
    <row r="951" ht="11.25" customHeight="1">
      <c r="A951" s="244"/>
      <c r="B951" s="244"/>
      <c r="C951" s="266"/>
      <c r="D951" s="266"/>
      <c r="E951" s="266"/>
      <c r="F951" s="266"/>
      <c r="G951" s="266"/>
      <c r="H951" s="266"/>
      <c r="I951" s="266"/>
      <c r="J951" s="266"/>
      <c r="K951" s="244"/>
      <c r="L951" s="244"/>
      <c r="M951" s="244"/>
      <c r="N951" s="244"/>
      <c r="O951" s="244"/>
      <c r="P951" s="244"/>
      <c r="Q951" s="244"/>
      <c r="R951" s="244"/>
      <c r="S951" s="244"/>
      <c r="T951" s="244"/>
      <c r="U951" s="244"/>
      <c r="V951" s="244"/>
      <c r="W951" s="244"/>
      <c r="X951" s="244"/>
      <c r="Y951" s="244"/>
      <c r="Z951" s="244"/>
    </row>
    <row r="952" ht="11.25" customHeight="1">
      <c r="A952" s="244"/>
      <c r="B952" s="244"/>
      <c r="C952" s="266"/>
      <c r="D952" s="266"/>
      <c r="E952" s="266"/>
      <c r="F952" s="266"/>
      <c r="G952" s="266"/>
      <c r="H952" s="266"/>
      <c r="I952" s="266"/>
      <c r="J952" s="266"/>
      <c r="K952" s="244"/>
      <c r="L952" s="244"/>
      <c r="M952" s="244"/>
      <c r="N952" s="244"/>
      <c r="O952" s="244"/>
      <c r="P952" s="244"/>
      <c r="Q952" s="244"/>
      <c r="R952" s="244"/>
      <c r="S952" s="244"/>
      <c r="T952" s="244"/>
      <c r="U952" s="244"/>
      <c r="V952" s="244"/>
      <c r="W952" s="244"/>
      <c r="X952" s="244"/>
      <c r="Y952" s="244"/>
      <c r="Z952" s="244"/>
    </row>
    <row r="953" ht="11.25" customHeight="1">
      <c r="A953" s="244"/>
      <c r="B953" s="244"/>
      <c r="C953" s="266"/>
      <c r="D953" s="266"/>
      <c r="E953" s="266"/>
      <c r="F953" s="266"/>
      <c r="G953" s="266"/>
      <c r="H953" s="266"/>
      <c r="I953" s="266"/>
      <c r="J953" s="266"/>
      <c r="K953" s="244"/>
      <c r="L953" s="244"/>
      <c r="M953" s="244"/>
      <c r="N953" s="244"/>
      <c r="O953" s="244"/>
      <c r="P953" s="244"/>
      <c r="Q953" s="244"/>
      <c r="R953" s="244"/>
      <c r="S953" s="244"/>
      <c r="T953" s="244"/>
      <c r="U953" s="244"/>
      <c r="V953" s="244"/>
      <c r="W953" s="244"/>
      <c r="X953" s="244"/>
      <c r="Y953" s="244"/>
      <c r="Z953" s="244"/>
    </row>
    <row r="954" ht="11.25" customHeight="1">
      <c r="A954" s="244"/>
      <c r="B954" s="244"/>
      <c r="C954" s="266"/>
      <c r="D954" s="266"/>
      <c r="E954" s="266"/>
      <c r="F954" s="266"/>
      <c r="G954" s="266"/>
      <c r="H954" s="266"/>
      <c r="I954" s="266"/>
      <c r="J954" s="266"/>
      <c r="K954" s="244"/>
      <c r="L954" s="244"/>
      <c r="M954" s="244"/>
      <c r="N954" s="244"/>
      <c r="O954" s="244"/>
      <c r="P954" s="244"/>
      <c r="Q954" s="244"/>
      <c r="R954" s="244"/>
      <c r="S954" s="244"/>
      <c r="T954" s="244"/>
      <c r="U954" s="244"/>
      <c r="V954" s="244"/>
      <c r="W954" s="244"/>
      <c r="X954" s="244"/>
      <c r="Y954" s="244"/>
      <c r="Z954" s="244"/>
    </row>
    <row r="955" ht="11.25" customHeight="1">
      <c r="A955" s="244"/>
      <c r="B955" s="244"/>
      <c r="C955" s="266"/>
      <c r="D955" s="266"/>
      <c r="E955" s="266"/>
      <c r="F955" s="266"/>
      <c r="G955" s="266"/>
      <c r="H955" s="266"/>
      <c r="I955" s="266"/>
      <c r="J955" s="266"/>
      <c r="K955" s="244"/>
      <c r="L955" s="244"/>
      <c r="M955" s="244"/>
      <c r="N955" s="244"/>
      <c r="O955" s="244"/>
      <c r="P955" s="244"/>
      <c r="Q955" s="244"/>
      <c r="R955" s="244"/>
      <c r="S955" s="244"/>
      <c r="T955" s="244"/>
      <c r="U955" s="244"/>
      <c r="V955" s="244"/>
      <c r="W955" s="244"/>
      <c r="X955" s="244"/>
      <c r="Y955" s="244"/>
      <c r="Z955" s="244"/>
    </row>
    <row r="956" ht="11.25" customHeight="1">
      <c r="A956" s="244"/>
      <c r="B956" s="244"/>
      <c r="C956" s="266"/>
      <c r="D956" s="266"/>
      <c r="E956" s="266"/>
      <c r="F956" s="266"/>
      <c r="G956" s="266"/>
      <c r="H956" s="266"/>
      <c r="I956" s="266"/>
      <c r="J956" s="266"/>
      <c r="K956" s="244"/>
      <c r="L956" s="244"/>
      <c r="M956" s="244"/>
      <c r="N956" s="244"/>
      <c r="O956" s="244"/>
      <c r="P956" s="244"/>
      <c r="Q956" s="244"/>
      <c r="R956" s="244"/>
      <c r="S956" s="244"/>
      <c r="T956" s="244"/>
      <c r="U956" s="244"/>
      <c r="V956" s="244"/>
      <c r="W956" s="244"/>
      <c r="X956" s="244"/>
      <c r="Y956" s="244"/>
      <c r="Z956" s="244"/>
    </row>
    <row r="957" ht="11.25" customHeight="1">
      <c r="A957" s="244"/>
      <c r="B957" s="244"/>
      <c r="C957" s="266"/>
      <c r="D957" s="266"/>
      <c r="E957" s="266"/>
      <c r="F957" s="266"/>
      <c r="G957" s="266"/>
      <c r="H957" s="266"/>
      <c r="I957" s="266"/>
      <c r="J957" s="266"/>
      <c r="K957" s="244"/>
      <c r="L957" s="244"/>
      <c r="M957" s="244"/>
      <c r="N957" s="244"/>
      <c r="O957" s="244"/>
      <c r="P957" s="244"/>
      <c r="Q957" s="244"/>
      <c r="R957" s="244"/>
      <c r="S957" s="244"/>
      <c r="T957" s="244"/>
      <c r="U957" s="244"/>
      <c r="V957" s="244"/>
      <c r="W957" s="244"/>
      <c r="X957" s="244"/>
      <c r="Y957" s="244"/>
      <c r="Z957" s="244"/>
    </row>
    <row r="958" ht="11.25" customHeight="1">
      <c r="A958" s="244"/>
      <c r="B958" s="244"/>
      <c r="C958" s="266"/>
      <c r="D958" s="266"/>
      <c r="E958" s="266"/>
      <c r="F958" s="266"/>
      <c r="G958" s="266"/>
      <c r="H958" s="266"/>
      <c r="I958" s="266"/>
      <c r="J958" s="266"/>
      <c r="K958" s="244"/>
      <c r="L958" s="244"/>
      <c r="M958" s="244"/>
      <c r="N958" s="244"/>
      <c r="O958" s="244"/>
      <c r="P958" s="244"/>
      <c r="Q958" s="244"/>
      <c r="R958" s="244"/>
      <c r="S958" s="244"/>
      <c r="T958" s="244"/>
      <c r="U958" s="244"/>
      <c r="V958" s="244"/>
      <c r="W958" s="244"/>
      <c r="X958" s="244"/>
      <c r="Y958" s="244"/>
      <c r="Z958" s="244"/>
    </row>
    <row r="959" ht="11.25" customHeight="1">
      <c r="A959" s="244"/>
      <c r="B959" s="244"/>
      <c r="C959" s="266"/>
      <c r="D959" s="266"/>
      <c r="E959" s="266"/>
      <c r="F959" s="266"/>
      <c r="G959" s="266"/>
      <c r="H959" s="266"/>
      <c r="I959" s="266"/>
      <c r="J959" s="266"/>
      <c r="K959" s="244"/>
      <c r="L959" s="244"/>
      <c r="M959" s="244"/>
      <c r="N959" s="244"/>
      <c r="O959" s="244"/>
      <c r="P959" s="244"/>
      <c r="Q959" s="244"/>
      <c r="R959" s="244"/>
      <c r="S959" s="244"/>
      <c r="T959" s="244"/>
      <c r="U959" s="244"/>
      <c r="V959" s="244"/>
      <c r="W959" s="244"/>
      <c r="X959" s="244"/>
      <c r="Y959" s="244"/>
      <c r="Z959" s="244"/>
    </row>
    <row r="960" ht="11.25" customHeight="1">
      <c r="A960" s="244"/>
      <c r="B960" s="244"/>
      <c r="C960" s="266"/>
      <c r="D960" s="266"/>
      <c r="E960" s="266"/>
      <c r="F960" s="266"/>
      <c r="G960" s="266"/>
      <c r="H960" s="266"/>
      <c r="I960" s="266"/>
      <c r="J960" s="266"/>
      <c r="K960" s="244"/>
      <c r="L960" s="244"/>
      <c r="M960" s="244"/>
      <c r="N960" s="244"/>
      <c r="O960" s="244"/>
      <c r="P960" s="244"/>
      <c r="Q960" s="244"/>
      <c r="R960" s="244"/>
      <c r="S960" s="244"/>
      <c r="T960" s="244"/>
      <c r="U960" s="244"/>
      <c r="V960" s="244"/>
      <c r="W960" s="244"/>
      <c r="X960" s="244"/>
      <c r="Y960" s="244"/>
      <c r="Z960" s="244"/>
    </row>
    <row r="961" ht="11.25" customHeight="1">
      <c r="A961" s="244"/>
      <c r="B961" s="244"/>
      <c r="C961" s="266"/>
      <c r="D961" s="266"/>
      <c r="E961" s="266"/>
      <c r="F961" s="266"/>
      <c r="G961" s="266"/>
      <c r="H961" s="266"/>
      <c r="I961" s="266"/>
      <c r="J961" s="266"/>
      <c r="K961" s="244"/>
      <c r="L961" s="244"/>
      <c r="M961" s="244"/>
      <c r="N961" s="244"/>
      <c r="O961" s="244"/>
      <c r="P961" s="244"/>
      <c r="Q961" s="244"/>
      <c r="R961" s="244"/>
      <c r="S961" s="244"/>
      <c r="T961" s="244"/>
      <c r="U961" s="244"/>
      <c r="V961" s="244"/>
      <c r="W961" s="244"/>
      <c r="X961" s="244"/>
      <c r="Y961" s="244"/>
      <c r="Z961" s="244"/>
    </row>
    <row r="962" ht="11.25" customHeight="1">
      <c r="A962" s="244"/>
      <c r="B962" s="244"/>
      <c r="C962" s="266"/>
      <c r="D962" s="266"/>
      <c r="E962" s="266"/>
      <c r="F962" s="266"/>
      <c r="G962" s="266"/>
      <c r="H962" s="266"/>
      <c r="I962" s="266"/>
      <c r="J962" s="266"/>
      <c r="K962" s="244"/>
      <c r="L962" s="244"/>
      <c r="M962" s="244"/>
      <c r="N962" s="244"/>
      <c r="O962" s="244"/>
      <c r="P962" s="244"/>
      <c r="Q962" s="244"/>
      <c r="R962" s="244"/>
      <c r="S962" s="244"/>
      <c r="T962" s="244"/>
      <c r="U962" s="244"/>
      <c r="V962" s="244"/>
      <c r="W962" s="244"/>
      <c r="X962" s="244"/>
      <c r="Y962" s="244"/>
      <c r="Z962" s="244"/>
    </row>
    <row r="963" ht="11.25" customHeight="1">
      <c r="A963" s="244"/>
      <c r="B963" s="244"/>
      <c r="C963" s="266"/>
      <c r="D963" s="266"/>
      <c r="E963" s="266"/>
      <c r="F963" s="266"/>
      <c r="G963" s="266"/>
      <c r="H963" s="266"/>
      <c r="I963" s="266"/>
      <c r="J963" s="266"/>
      <c r="K963" s="244"/>
      <c r="L963" s="244"/>
      <c r="M963" s="244"/>
      <c r="N963" s="244"/>
      <c r="O963" s="244"/>
      <c r="P963" s="244"/>
      <c r="Q963" s="244"/>
      <c r="R963" s="244"/>
      <c r="S963" s="244"/>
      <c r="T963" s="244"/>
      <c r="U963" s="244"/>
      <c r="V963" s="244"/>
      <c r="W963" s="244"/>
      <c r="X963" s="244"/>
      <c r="Y963" s="244"/>
      <c r="Z963" s="244"/>
    </row>
    <row r="964" ht="11.25" customHeight="1">
      <c r="A964" s="244"/>
      <c r="B964" s="244"/>
      <c r="C964" s="266"/>
      <c r="D964" s="266"/>
      <c r="E964" s="266"/>
      <c r="F964" s="266"/>
      <c r="G964" s="266"/>
      <c r="H964" s="266"/>
      <c r="I964" s="266"/>
      <c r="J964" s="266"/>
      <c r="K964" s="244"/>
      <c r="L964" s="244"/>
      <c r="M964" s="244"/>
      <c r="N964" s="244"/>
      <c r="O964" s="244"/>
      <c r="P964" s="244"/>
      <c r="Q964" s="244"/>
      <c r="R964" s="244"/>
      <c r="S964" s="244"/>
      <c r="T964" s="244"/>
      <c r="U964" s="244"/>
      <c r="V964" s="244"/>
      <c r="W964" s="244"/>
      <c r="X964" s="244"/>
      <c r="Y964" s="244"/>
      <c r="Z964" s="244"/>
    </row>
    <row r="965" ht="11.25" customHeight="1">
      <c r="A965" s="244"/>
      <c r="B965" s="244"/>
      <c r="C965" s="266"/>
      <c r="D965" s="266"/>
      <c r="E965" s="266"/>
      <c r="F965" s="266"/>
      <c r="G965" s="266"/>
      <c r="H965" s="266"/>
      <c r="I965" s="266"/>
      <c r="J965" s="266"/>
      <c r="K965" s="244"/>
      <c r="L965" s="244"/>
      <c r="M965" s="244"/>
      <c r="N965" s="244"/>
      <c r="O965" s="244"/>
      <c r="P965" s="244"/>
      <c r="Q965" s="244"/>
      <c r="R965" s="244"/>
      <c r="S965" s="244"/>
      <c r="T965" s="244"/>
      <c r="U965" s="244"/>
      <c r="V965" s="244"/>
      <c r="W965" s="244"/>
      <c r="X965" s="244"/>
      <c r="Y965" s="244"/>
      <c r="Z965" s="244"/>
    </row>
    <row r="966" ht="11.25" customHeight="1">
      <c r="A966" s="244"/>
      <c r="B966" s="244"/>
      <c r="C966" s="266"/>
      <c r="D966" s="266"/>
      <c r="E966" s="266"/>
      <c r="F966" s="266"/>
      <c r="G966" s="266"/>
      <c r="H966" s="266"/>
      <c r="I966" s="266"/>
      <c r="J966" s="266"/>
      <c r="K966" s="244"/>
      <c r="L966" s="244"/>
      <c r="M966" s="244"/>
      <c r="N966" s="244"/>
      <c r="O966" s="244"/>
      <c r="P966" s="244"/>
      <c r="Q966" s="244"/>
      <c r="R966" s="244"/>
      <c r="S966" s="244"/>
      <c r="T966" s="244"/>
      <c r="U966" s="244"/>
      <c r="V966" s="244"/>
      <c r="W966" s="244"/>
      <c r="X966" s="244"/>
      <c r="Y966" s="244"/>
      <c r="Z966" s="244"/>
    </row>
    <row r="967" ht="11.25" customHeight="1">
      <c r="A967" s="244"/>
      <c r="B967" s="244"/>
      <c r="C967" s="266"/>
      <c r="D967" s="266"/>
      <c r="E967" s="266"/>
      <c r="F967" s="266"/>
      <c r="G967" s="266"/>
      <c r="H967" s="266"/>
      <c r="I967" s="266"/>
      <c r="J967" s="266"/>
      <c r="K967" s="244"/>
      <c r="L967" s="244"/>
      <c r="M967" s="244"/>
      <c r="N967" s="244"/>
      <c r="O967" s="244"/>
      <c r="P967" s="244"/>
      <c r="Q967" s="244"/>
      <c r="R967" s="244"/>
      <c r="S967" s="244"/>
      <c r="T967" s="244"/>
      <c r="U967" s="244"/>
      <c r="V967" s="244"/>
      <c r="W967" s="244"/>
      <c r="X967" s="244"/>
      <c r="Y967" s="244"/>
      <c r="Z967" s="244"/>
    </row>
    <row r="968" ht="11.25" customHeight="1">
      <c r="A968" s="244"/>
      <c r="B968" s="244"/>
      <c r="C968" s="266"/>
      <c r="D968" s="266"/>
      <c r="E968" s="266"/>
      <c r="F968" s="266"/>
      <c r="G968" s="266"/>
      <c r="H968" s="266"/>
      <c r="I968" s="266"/>
      <c r="J968" s="266"/>
      <c r="K968" s="244"/>
      <c r="L968" s="244"/>
      <c r="M968" s="244"/>
      <c r="N968" s="244"/>
      <c r="O968" s="244"/>
      <c r="P968" s="244"/>
      <c r="Q968" s="244"/>
      <c r="R968" s="244"/>
      <c r="S968" s="244"/>
      <c r="T968" s="244"/>
      <c r="U968" s="244"/>
      <c r="V968" s="244"/>
      <c r="W968" s="244"/>
      <c r="X968" s="244"/>
      <c r="Y968" s="244"/>
      <c r="Z968" s="244"/>
    </row>
    <row r="969" ht="11.25" customHeight="1">
      <c r="A969" s="244"/>
      <c r="B969" s="244"/>
      <c r="C969" s="266"/>
      <c r="D969" s="266"/>
      <c r="E969" s="266"/>
      <c r="F969" s="266"/>
      <c r="G969" s="266"/>
      <c r="H969" s="266"/>
      <c r="I969" s="266"/>
      <c r="J969" s="266"/>
      <c r="K969" s="244"/>
      <c r="L969" s="244"/>
      <c r="M969" s="244"/>
      <c r="N969" s="244"/>
      <c r="O969" s="244"/>
      <c r="P969" s="244"/>
      <c r="Q969" s="244"/>
      <c r="R969" s="244"/>
      <c r="S969" s="244"/>
      <c r="T969" s="244"/>
      <c r="U969" s="244"/>
      <c r="V969" s="244"/>
      <c r="W969" s="244"/>
      <c r="X969" s="244"/>
      <c r="Y969" s="244"/>
      <c r="Z969" s="244"/>
    </row>
    <row r="970" ht="11.25" customHeight="1">
      <c r="A970" s="244"/>
      <c r="B970" s="244"/>
      <c r="C970" s="266"/>
      <c r="D970" s="266"/>
      <c r="E970" s="266"/>
      <c r="F970" s="266"/>
      <c r="G970" s="266"/>
      <c r="H970" s="266"/>
      <c r="I970" s="266"/>
      <c r="J970" s="266"/>
      <c r="K970" s="244"/>
      <c r="L970" s="244"/>
      <c r="M970" s="244"/>
      <c r="N970" s="244"/>
      <c r="O970" s="244"/>
      <c r="P970" s="244"/>
      <c r="Q970" s="244"/>
      <c r="R970" s="244"/>
      <c r="S970" s="244"/>
      <c r="T970" s="244"/>
      <c r="U970" s="244"/>
      <c r="V970" s="244"/>
      <c r="W970" s="244"/>
      <c r="X970" s="244"/>
      <c r="Y970" s="244"/>
      <c r="Z970" s="244"/>
    </row>
    <row r="971" ht="11.25" customHeight="1">
      <c r="A971" s="244"/>
      <c r="B971" s="244"/>
      <c r="C971" s="266"/>
      <c r="D971" s="266"/>
      <c r="E971" s="266"/>
      <c r="F971" s="266"/>
      <c r="G971" s="266"/>
      <c r="H971" s="266"/>
      <c r="I971" s="266"/>
      <c r="J971" s="266"/>
      <c r="K971" s="244"/>
      <c r="L971" s="244"/>
      <c r="M971" s="244"/>
      <c r="N971" s="244"/>
      <c r="O971" s="244"/>
      <c r="P971" s="244"/>
      <c r="Q971" s="244"/>
      <c r="R971" s="244"/>
      <c r="S971" s="244"/>
      <c r="T971" s="244"/>
      <c r="U971" s="244"/>
      <c r="V971" s="244"/>
      <c r="W971" s="244"/>
      <c r="X971" s="244"/>
      <c r="Y971" s="244"/>
      <c r="Z971" s="244"/>
    </row>
    <row r="972" ht="11.25" customHeight="1">
      <c r="A972" s="244"/>
      <c r="B972" s="244"/>
      <c r="C972" s="266"/>
      <c r="D972" s="266"/>
      <c r="E972" s="266"/>
      <c r="F972" s="266"/>
      <c r="G972" s="266"/>
      <c r="H972" s="266"/>
      <c r="I972" s="266"/>
      <c r="J972" s="266"/>
      <c r="K972" s="244"/>
      <c r="L972" s="244"/>
      <c r="M972" s="244"/>
      <c r="N972" s="244"/>
      <c r="O972" s="244"/>
      <c r="P972" s="244"/>
      <c r="Q972" s="244"/>
      <c r="R972" s="244"/>
      <c r="S972" s="244"/>
      <c r="T972" s="244"/>
      <c r="U972" s="244"/>
      <c r="V972" s="244"/>
      <c r="W972" s="244"/>
      <c r="X972" s="244"/>
      <c r="Y972" s="244"/>
      <c r="Z972" s="244"/>
    </row>
    <row r="973" ht="11.25" customHeight="1">
      <c r="A973" s="244"/>
      <c r="B973" s="244"/>
      <c r="C973" s="266"/>
      <c r="D973" s="266"/>
      <c r="E973" s="266"/>
      <c r="F973" s="266"/>
      <c r="G973" s="266"/>
      <c r="H973" s="266"/>
      <c r="I973" s="266"/>
      <c r="J973" s="266"/>
      <c r="K973" s="244"/>
      <c r="L973" s="244"/>
      <c r="M973" s="244"/>
      <c r="N973" s="244"/>
      <c r="O973" s="244"/>
      <c r="P973" s="244"/>
      <c r="Q973" s="244"/>
      <c r="R973" s="244"/>
      <c r="S973" s="244"/>
      <c r="T973" s="244"/>
      <c r="U973" s="244"/>
      <c r="V973" s="244"/>
      <c r="W973" s="244"/>
      <c r="X973" s="244"/>
      <c r="Y973" s="244"/>
      <c r="Z973" s="244"/>
    </row>
    <row r="974" ht="11.25" customHeight="1">
      <c r="A974" s="244"/>
      <c r="B974" s="244"/>
      <c r="C974" s="266"/>
      <c r="D974" s="266"/>
      <c r="E974" s="266"/>
      <c r="F974" s="266"/>
      <c r="G974" s="266"/>
      <c r="H974" s="266"/>
      <c r="I974" s="266"/>
      <c r="J974" s="266"/>
      <c r="K974" s="244"/>
      <c r="L974" s="244"/>
      <c r="M974" s="244"/>
      <c r="N974" s="244"/>
      <c r="O974" s="244"/>
      <c r="P974" s="244"/>
      <c r="Q974" s="244"/>
      <c r="R974" s="244"/>
      <c r="S974" s="244"/>
      <c r="T974" s="244"/>
      <c r="U974" s="244"/>
      <c r="V974" s="244"/>
      <c r="W974" s="244"/>
      <c r="X974" s="244"/>
      <c r="Y974" s="244"/>
      <c r="Z974" s="244"/>
    </row>
    <row r="975" ht="11.25" customHeight="1">
      <c r="A975" s="244"/>
      <c r="B975" s="244"/>
      <c r="C975" s="266"/>
      <c r="D975" s="266"/>
      <c r="E975" s="266"/>
      <c r="F975" s="266"/>
      <c r="G975" s="266"/>
      <c r="H975" s="266"/>
      <c r="I975" s="266"/>
      <c r="J975" s="266"/>
      <c r="K975" s="244"/>
      <c r="L975" s="244"/>
      <c r="M975" s="244"/>
      <c r="N975" s="244"/>
      <c r="O975" s="244"/>
      <c r="P975" s="244"/>
      <c r="Q975" s="244"/>
      <c r="R975" s="244"/>
      <c r="S975" s="244"/>
      <c r="T975" s="244"/>
      <c r="U975" s="244"/>
      <c r="V975" s="244"/>
      <c r="W975" s="244"/>
      <c r="X975" s="244"/>
      <c r="Y975" s="244"/>
      <c r="Z975" s="244"/>
    </row>
    <row r="976" ht="11.25" customHeight="1">
      <c r="A976" s="244"/>
      <c r="B976" s="244"/>
      <c r="C976" s="266"/>
      <c r="D976" s="266"/>
      <c r="E976" s="266"/>
      <c r="F976" s="266"/>
      <c r="G976" s="266"/>
      <c r="H976" s="266"/>
      <c r="I976" s="266"/>
      <c r="J976" s="266"/>
      <c r="K976" s="244"/>
      <c r="L976" s="244"/>
      <c r="M976" s="244"/>
      <c r="N976" s="244"/>
      <c r="O976" s="244"/>
      <c r="P976" s="244"/>
      <c r="Q976" s="244"/>
      <c r="R976" s="244"/>
      <c r="S976" s="244"/>
      <c r="T976" s="244"/>
      <c r="U976" s="244"/>
      <c r="V976" s="244"/>
      <c r="W976" s="244"/>
      <c r="X976" s="244"/>
      <c r="Y976" s="244"/>
      <c r="Z976" s="244"/>
    </row>
    <row r="977" ht="11.25" customHeight="1">
      <c r="A977" s="244"/>
      <c r="B977" s="244"/>
      <c r="C977" s="266"/>
      <c r="D977" s="266"/>
      <c r="E977" s="266"/>
      <c r="F977" s="266"/>
      <c r="G977" s="266"/>
      <c r="H977" s="266"/>
      <c r="I977" s="266"/>
      <c r="J977" s="266"/>
      <c r="K977" s="244"/>
      <c r="L977" s="244"/>
      <c r="M977" s="244"/>
      <c r="N977" s="244"/>
      <c r="O977" s="244"/>
      <c r="P977" s="244"/>
      <c r="Q977" s="244"/>
      <c r="R977" s="244"/>
      <c r="S977" s="244"/>
      <c r="T977" s="244"/>
      <c r="U977" s="244"/>
      <c r="V977" s="244"/>
      <c r="W977" s="244"/>
      <c r="X977" s="244"/>
      <c r="Y977" s="244"/>
      <c r="Z977" s="244"/>
    </row>
    <row r="978" ht="11.25" customHeight="1">
      <c r="A978" s="244"/>
      <c r="B978" s="244"/>
      <c r="C978" s="266"/>
      <c r="D978" s="266"/>
      <c r="E978" s="266"/>
      <c r="F978" s="266"/>
      <c r="G978" s="266"/>
      <c r="H978" s="266"/>
      <c r="I978" s="266"/>
      <c r="J978" s="266"/>
      <c r="K978" s="244"/>
      <c r="L978" s="244"/>
      <c r="M978" s="244"/>
      <c r="N978" s="244"/>
      <c r="O978" s="244"/>
      <c r="P978" s="244"/>
      <c r="Q978" s="244"/>
      <c r="R978" s="244"/>
      <c r="S978" s="244"/>
      <c r="T978" s="244"/>
      <c r="U978" s="244"/>
      <c r="V978" s="244"/>
      <c r="W978" s="244"/>
      <c r="X978" s="244"/>
      <c r="Y978" s="244"/>
      <c r="Z978" s="244"/>
    </row>
    <row r="979" ht="11.25" customHeight="1">
      <c r="A979" s="244"/>
      <c r="B979" s="244"/>
      <c r="C979" s="266"/>
      <c r="D979" s="266"/>
      <c r="E979" s="266"/>
      <c r="F979" s="266"/>
      <c r="G979" s="266"/>
      <c r="H979" s="266"/>
      <c r="I979" s="266"/>
      <c r="J979" s="266"/>
      <c r="K979" s="244"/>
      <c r="L979" s="244"/>
      <c r="M979" s="244"/>
      <c r="N979" s="244"/>
      <c r="O979" s="244"/>
      <c r="P979" s="244"/>
      <c r="Q979" s="244"/>
      <c r="R979" s="244"/>
      <c r="S979" s="244"/>
      <c r="T979" s="244"/>
      <c r="U979" s="244"/>
      <c r="V979" s="244"/>
      <c r="W979" s="244"/>
      <c r="X979" s="244"/>
      <c r="Y979" s="244"/>
      <c r="Z979" s="244"/>
    </row>
    <row r="980" ht="11.25" customHeight="1">
      <c r="A980" s="244"/>
      <c r="B980" s="244"/>
      <c r="C980" s="266"/>
      <c r="D980" s="266"/>
      <c r="E980" s="266"/>
      <c r="F980" s="266"/>
      <c r="G980" s="266"/>
      <c r="H980" s="266"/>
      <c r="I980" s="266"/>
      <c r="J980" s="266"/>
      <c r="K980" s="244"/>
      <c r="L980" s="244"/>
      <c r="M980" s="244"/>
      <c r="N980" s="244"/>
      <c r="O980" s="244"/>
      <c r="P980" s="244"/>
      <c r="Q980" s="244"/>
      <c r="R980" s="244"/>
      <c r="S980" s="244"/>
      <c r="T980" s="244"/>
      <c r="U980" s="244"/>
      <c r="V980" s="244"/>
      <c r="W980" s="244"/>
      <c r="X980" s="244"/>
      <c r="Y980" s="244"/>
      <c r="Z980" s="244"/>
    </row>
    <row r="981" ht="11.25" customHeight="1">
      <c r="A981" s="244"/>
      <c r="B981" s="244"/>
      <c r="C981" s="266"/>
      <c r="D981" s="266"/>
      <c r="E981" s="266"/>
      <c r="F981" s="266"/>
      <c r="G981" s="266"/>
      <c r="H981" s="266"/>
      <c r="I981" s="266"/>
      <c r="J981" s="266"/>
      <c r="K981" s="244"/>
      <c r="L981" s="244"/>
      <c r="M981" s="244"/>
      <c r="N981" s="244"/>
      <c r="O981" s="244"/>
      <c r="P981" s="244"/>
      <c r="Q981" s="244"/>
      <c r="R981" s="244"/>
      <c r="S981" s="244"/>
      <c r="T981" s="244"/>
      <c r="U981" s="244"/>
      <c r="V981" s="244"/>
      <c r="W981" s="244"/>
      <c r="X981" s="244"/>
      <c r="Y981" s="244"/>
      <c r="Z981" s="244"/>
    </row>
    <row r="982" ht="11.25" customHeight="1">
      <c r="A982" s="244"/>
      <c r="B982" s="244"/>
      <c r="C982" s="266"/>
      <c r="D982" s="266"/>
      <c r="E982" s="266"/>
      <c r="F982" s="266"/>
      <c r="G982" s="266"/>
      <c r="H982" s="266"/>
      <c r="I982" s="266"/>
      <c r="J982" s="266"/>
      <c r="K982" s="244"/>
      <c r="L982" s="244"/>
      <c r="M982" s="244"/>
      <c r="N982" s="244"/>
      <c r="O982" s="244"/>
      <c r="P982" s="244"/>
      <c r="Q982" s="244"/>
      <c r="R982" s="244"/>
      <c r="S982" s="244"/>
      <c r="T982" s="244"/>
      <c r="U982" s="244"/>
      <c r="V982" s="244"/>
      <c r="W982" s="244"/>
      <c r="X982" s="244"/>
      <c r="Y982" s="244"/>
      <c r="Z982" s="244"/>
    </row>
    <row r="983" ht="11.25" customHeight="1">
      <c r="A983" s="244"/>
      <c r="B983" s="244"/>
      <c r="C983" s="266"/>
      <c r="D983" s="266"/>
      <c r="E983" s="266"/>
      <c r="F983" s="266"/>
      <c r="G983" s="266"/>
      <c r="H983" s="266"/>
      <c r="I983" s="266"/>
      <c r="J983" s="266"/>
      <c r="K983" s="244"/>
      <c r="L983" s="244"/>
      <c r="M983" s="244"/>
      <c r="N983" s="244"/>
      <c r="O983" s="244"/>
      <c r="P983" s="244"/>
      <c r="Q983" s="244"/>
      <c r="R983" s="244"/>
      <c r="S983" s="244"/>
      <c r="T983" s="244"/>
      <c r="U983" s="244"/>
      <c r="V983" s="244"/>
      <c r="W983" s="244"/>
      <c r="X983" s="244"/>
      <c r="Y983" s="244"/>
      <c r="Z983" s="244"/>
    </row>
    <row r="984" ht="11.25" customHeight="1">
      <c r="A984" s="244"/>
      <c r="B984" s="244"/>
      <c r="C984" s="266"/>
      <c r="D984" s="266"/>
      <c r="E984" s="266"/>
      <c r="F984" s="266"/>
      <c r="G984" s="266"/>
      <c r="H984" s="266"/>
      <c r="I984" s="266"/>
      <c r="J984" s="266"/>
      <c r="K984" s="244"/>
      <c r="L984" s="244"/>
      <c r="M984" s="244"/>
      <c r="N984" s="244"/>
      <c r="O984" s="244"/>
      <c r="P984" s="244"/>
      <c r="Q984" s="244"/>
      <c r="R984" s="244"/>
      <c r="S984" s="244"/>
      <c r="T984" s="244"/>
      <c r="U984" s="244"/>
      <c r="V984" s="244"/>
      <c r="W984" s="244"/>
      <c r="X984" s="244"/>
      <c r="Y984" s="244"/>
      <c r="Z984" s="244"/>
    </row>
    <row r="985" ht="11.25" customHeight="1">
      <c r="A985" s="244"/>
      <c r="B985" s="244"/>
      <c r="C985" s="266"/>
      <c r="D985" s="266"/>
      <c r="E985" s="266"/>
      <c r="F985" s="266"/>
      <c r="G985" s="266"/>
      <c r="H985" s="266"/>
      <c r="I985" s="266"/>
      <c r="J985" s="266"/>
      <c r="K985" s="244"/>
      <c r="L985" s="244"/>
      <c r="M985" s="244"/>
      <c r="N985" s="244"/>
      <c r="O985" s="244"/>
      <c r="P985" s="244"/>
      <c r="Q985" s="244"/>
      <c r="R985" s="244"/>
      <c r="S985" s="244"/>
      <c r="T985" s="244"/>
      <c r="U985" s="244"/>
      <c r="V985" s="244"/>
      <c r="W985" s="244"/>
      <c r="X985" s="244"/>
      <c r="Y985" s="244"/>
      <c r="Z985" s="244"/>
    </row>
    <row r="986" ht="11.25" customHeight="1">
      <c r="A986" s="244"/>
      <c r="B986" s="244"/>
      <c r="C986" s="266"/>
      <c r="D986" s="266"/>
      <c r="E986" s="266"/>
      <c r="F986" s="266"/>
      <c r="G986" s="266"/>
      <c r="H986" s="266"/>
      <c r="I986" s="266"/>
      <c r="J986" s="266"/>
      <c r="K986" s="244"/>
      <c r="L986" s="244"/>
      <c r="M986" s="244"/>
      <c r="N986" s="244"/>
      <c r="O986" s="244"/>
      <c r="P986" s="244"/>
      <c r="Q986" s="244"/>
      <c r="R986" s="244"/>
      <c r="S986" s="244"/>
      <c r="T986" s="244"/>
      <c r="U986" s="244"/>
      <c r="V986" s="244"/>
      <c r="W986" s="244"/>
      <c r="X986" s="244"/>
      <c r="Y986" s="244"/>
      <c r="Z986" s="244"/>
    </row>
    <row r="987" ht="11.25" customHeight="1">
      <c r="A987" s="244"/>
      <c r="B987" s="244"/>
      <c r="C987" s="266"/>
      <c r="D987" s="266"/>
      <c r="E987" s="266"/>
      <c r="F987" s="266"/>
      <c r="G987" s="266"/>
      <c r="H987" s="266"/>
      <c r="I987" s="266"/>
      <c r="J987" s="266"/>
      <c r="K987" s="244"/>
      <c r="L987" s="244"/>
      <c r="M987" s="244"/>
      <c r="N987" s="244"/>
      <c r="O987" s="244"/>
      <c r="P987" s="244"/>
      <c r="Q987" s="244"/>
      <c r="R987" s="244"/>
      <c r="S987" s="244"/>
      <c r="T987" s="244"/>
      <c r="U987" s="244"/>
      <c r="V987" s="244"/>
      <c r="W987" s="244"/>
      <c r="X987" s="244"/>
      <c r="Y987" s="244"/>
      <c r="Z987" s="244"/>
    </row>
    <row r="988" ht="11.25" customHeight="1">
      <c r="A988" s="244"/>
      <c r="B988" s="244"/>
      <c r="C988" s="266"/>
      <c r="D988" s="266"/>
      <c r="E988" s="266"/>
      <c r="F988" s="266"/>
      <c r="G988" s="266"/>
      <c r="H988" s="266"/>
      <c r="I988" s="266"/>
      <c r="J988" s="266"/>
      <c r="K988" s="244"/>
      <c r="L988" s="244"/>
      <c r="M988" s="244"/>
      <c r="N988" s="244"/>
      <c r="O988" s="244"/>
      <c r="P988" s="244"/>
      <c r="Q988" s="244"/>
      <c r="R988" s="244"/>
      <c r="S988" s="244"/>
      <c r="T988" s="244"/>
      <c r="U988" s="244"/>
      <c r="V988" s="244"/>
      <c r="W988" s="244"/>
      <c r="X988" s="244"/>
      <c r="Y988" s="244"/>
      <c r="Z988" s="244"/>
    </row>
    <row r="989" ht="11.25" customHeight="1">
      <c r="A989" s="244"/>
      <c r="B989" s="244"/>
      <c r="C989" s="266"/>
      <c r="D989" s="266"/>
      <c r="E989" s="266"/>
      <c r="F989" s="266"/>
      <c r="G989" s="266"/>
      <c r="H989" s="266"/>
      <c r="I989" s="266"/>
      <c r="J989" s="266"/>
      <c r="K989" s="244"/>
      <c r="L989" s="244"/>
      <c r="M989" s="244"/>
      <c r="N989" s="244"/>
      <c r="O989" s="244"/>
      <c r="P989" s="244"/>
      <c r="Q989" s="244"/>
      <c r="R989" s="244"/>
      <c r="S989" s="244"/>
      <c r="T989" s="244"/>
      <c r="U989" s="244"/>
      <c r="V989" s="244"/>
      <c r="W989" s="244"/>
      <c r="X989" s="244"/>
      <c r="Y989" s="244"/>
      <c r="Z989" s="244"/>
    </row>
    <row r="990" ht="11.25" customHeight="1">
      <c r="A990" s="244"/>
      <c r="B990" s="244"/>
      <c r="C990" s="266"/>
      <c r="D990" s="266"/>
      <c r="E990" s="266"/>
      <c r="F990" s="266"/>
      <c r="G990" s="266"/>
      <c r="H990" s="266"/>
      <c r="I990" s="266"/>
      <c r="J990" s="266"/>
      <c r="K990" s="244"/>
      <c r="L990" s="244"/>
      <c r="M990" s="244"/>
      <c r="N990" s="244"/>
      <c r="O990" s="244"/>
      <c r="P990" s="244"/>
      <c r="Q990" s="244"/>
      <c r="R990" s="244"/>
      <c r="S990" s="244"/>
      <c r="T990" s="244"/>
      <c r="U990" s="244"/>
      <c r="V990" s="244"/>
      <c r="W990" s="244"/>
      <c r="X990" s="244"/>
      <c r="Y990" s="244"/>
      <c r="Z990" s="244"/>
    </row>
    <row r="991" ht="11.25" customHeight="1">
      <c r="A991" s="244"/>
      <c r="B991" s="244"/>
      <c r="C991" s="266"/>
      <c r="D991" s="266"/>
      <c r="E991" s="266"/>
      <c r="F991" s="266"/>
      <c r="G991" s="266"/>
      <c r="H991" s="266"/>
      <c r="I991" s="266"/>
      <c r="J991" s="266"/>
      <c r="K991" s="244"/>
      <c r="L991" s="244"/>
      <c r="M991" s="244"/>
      <c r="N991" s="244"/>
      <c r="O991" s="244"/>
      <c r="P991" s="244"/>
      <c r="Q991" s="244"/>
      <c r="R991" s="244"/>
      <c r="S991" s="244"/>
      <c r="T991" s="244"/>
      <c r="U991" s="244"/>
      <c r="V991" s="244"/>
      <c r="W991" s="244"/>
      <c r="X991" s="244"/>
      <c r="Y991" s="244"/>
      <c r="Z991" s="244"/>
    </row>
    <row r="992" ht="11.25" customHeight="1">
      <c r="A992" s="244"/>
      <c r="B992" s="244"/>
      <c r="C992" s="266"/>
      <c r="D992" s="266"/>
      <c r="E992" s="266"/>
      <c r="F992" s="266"/>
      <c r="G992" s="266"/>
      <c r="H992" s="266"/>
      <c r="I992" s="266"/>
      <c r="J992" s="266"/>
      <c r="K992" s="244"/>
      <c r="L992" s="244"/>
      <c r="M992" s="244"/>
      <c r="N992" s="244"/>
      <c r="O992" s="244"/>
      <c r="P992" s="244"/>
      <c r="Q992" s="244"/>
      <c r="R992" s="244"/>
      <c r="S992" s="244"/>
      <c r="T992" s="244"/>
      <c r="U992" s="244"/>
      <c r="V992" s="244"/>
      <c r="W992" s="244"/>
      <c r="X992" s="244"/>
      <c r="Y992" s="244"/>
      <c r="Z992" s="244"/>
    </row>
    <row r="993" ht="11.25" customHeight="1">
      <c r="A993" s="244"/>
      <c r="B993" s="244"/>
      <c r="C993" s="266"/>
      <c r="D993" s="266"/>
      <c r="E993" s="266"/>
      <c r="F993" s="266"/>
      <c r="G993" s="266"/>
      <c r="H993" s="266"/>
      <c r="I993" s="266"/>
      <c r="J993" s="266"/>
      <c r="K993" s="244"/>
      <c r="L993" s="244"/>
      <c r="M993" s="244"/>
      <c r="N993" s="244"/>
      <c r="O993" s="244"/>
      <c r="P993" s="244"/>
      <c r="Q993" s="244"/>
      <c r="R993" s="244"/>
      <c r="S993" s="244"/>
      <c r="T993" s="244"/>
      <c r="U993" s="244"/>
      <c r="V993" s="244"/>
      <c r="W993" s="244"/>
      <c r="X993" s="244"/>
      <c r="Y993" s="244"/>
      <c r="Z993" s="244"/>
    </row>
    <row r="994" ht="11.25" customHeight="1">
      <c r="A994" s="244"/>
      <c r="B994" s="244"/>
      <c r="C994" s="266"/>
      <c r="D994" s="266"/>
      <c r="E994" s="266"/>
      <c r="F994" s="266"/>
      <c r="G994" s="266"/>
      <c r="H994" s="266"/>
      <c r="I994" s="266"/>
      <c r="J994" s="266"/>
      <c r="K994" s="244"/>
      <c r="L994" s="244"/>
      <c r="M994" s="244"/>
      <c r="N994" s="244"/>
      <c r="O994" s="244"/>
      <c r="P994" s="244"/>
      <c r="Q994" s="244"/>
      <c r="R994" s="244"/>
      <c r="S994" s="244"/>
      <c r="T994" s="244"/>
      <c r="U994" s="244"/>
      <c r="V994" s="244"/>
      <c r="W994" s="244"/>
      <c r="X994" s="244"/>
      <c r="Y994" s="244"/>
      <c r="Z994" s="244"/>
    </row>
    <row r="995" ht="11.25" customHeight="1">
      <c r="A995" s="244"/>
      <c r="B995" s="244"/>
      <c r="C995" s="266"/>
      <c r="D995" s="266"/>
      <c r="E995" s="266"/>
      <c r="F995" s="266"/>
      <c r="G995" s="266"/>
      <c r="H995" s="266"/>
      <c r="I995" s="266"/>
      <c r="J995" s="266"/>
      <c r="K995" s="244"/>
      <c r="L995" s="244"/>
      <c r="M995" s="244"/>
      <c r="N995" s="244"/>
      <c r="O995" s="244"/>
      <c r="P995" s="244"/>
      <c r="Q995" s="244"/>
      <c r="R995" s="244"/>
      <c r="S995" s="244"/>
      <c r="T995" s="244"/>
      <c r="U995" s="244"/>
      <c r="V995" s="244"/>
      <c r="W995" s="244"/>
      <c r="X995" s="244"/>
      <c r="Y995" s="244"/>
      <c r="Z995" s="244"/>
    </row>
    <row r="996" ht="11.25" customHeight="1">
      <c r="A996" s="244"/>
      <c r="B996" s="244"/>
      <c r="C996" s="266"/>
      <c r="D996" s="266"/>
      <c r="E996" s="266"/>
      <c r="F996" s="266"/>
      <c r="G996" s="266"/>
      <c r="H996" s="266"/>
      <c r="I996" s="266"/>
      <c r="J996" s="266"/>
      <c r="K996" s="244"/>
      <c r="L996" s="244"/>
      <c r="M996" s="244"/>
      <c r="N996" s="244"/>
      <c r="O996" s="244"/>
      <c r="P996" s="244"/>
      <c r="Q996" s="244"/>
      <c r="R996" s="244"/>
      <c r="S996" s="244"/>
      <c r="T996" s="244"/>
      <c r="U996" s="244"/>
      <c r="V996" s="244"/>
      <c r="W996" s="244"/>
      <c r="X996" s="244"/>
      <c r="Y996" s="244"/>
      <c r="Z996" s="244"/>
    </row>
    <row r="997" ht="11.25" customHeight="1">
      <c r="A997" s="244"/>
      <c r="B997" s="244"/>
      <c r="C997" s="266"/>
      <c r="D997" s="266"/>
      <c r="E997" s="266"/>
      <c r="F997" s="266"/>
      <c r="G997" s="266"/>
      <c r="H997" s="266"/>
      <c r="I997" s="266"/>
      <c r="J997" s="266"/>
      <c r="K997" s="244"/>
      <c r="L997" s="244"/>
      <c r="M997" s="244"/>
      <c r="N997" s="244"/>
      <c r="O997" s="244"/>
      <c r="P997" s="244"/>
      <c r="Q997" s="244"/>
      <c r="R997" s="244"/>
      <c r="S997" s="244"/>
      <c r="T997" s="244"/>
      <c r="U997" s="244"/>
      <c r="V997" s="244"/>
      <c r="W997" s="244"/>
      <c r="X997" s="244"/>
      <c r="Y997" s="244"/>
      <c r="Z997" s="244"/>
    </row>
    <row r="998" ht="11.25" customHeight="1">
      <c r="A998" s="244"/>
      <c r="B998" s="244"/>
      <c r="C998" s="266"/>
      <c r="D998" s="266"/>
      <c r="E998" s="266"/>
      <c r="F998" s="266"/>
      <c r="G998" s="266"/>
      <c r="H998" s="266"/>
      <c r="I998" s="266"/>
      <c r="J998" s="266"/>
      <c r="K998" s="244"/>
      <c r="L998" s="244"/>
      <c r="M998" s="244"/>
      <c r="N998" s="244"/>
      <c r="O998" s="244"/>
      <c r="P998" s="244"/>
      <c r="Q998" s="244"/>
      <c r="R998" s="244"/>
      <c r="S998" s="244"/>
      <c r="T998" s="244"/>
      <c r="U998" s="244"/>
      <c r="V998" s="244"/>
      <c r="W998" s="244"/>
      <c r="X998" s="244"/>
      <c r="Y998" s="244"/>
      <c r="Z998" s="244"/>
    </row>
    <row r="999" ht="11.25" customHeight="1">
      <c r="A999" s="244"/>
      <c r="B999" s="244"/>
      <c r="C999" s="266"/>
      <c r="D999" s="266"/>
      <c r="E999" s="266"/>
      <c r="F999" s="266"/>
      <c r="G999" s="266"/>
      <c r="H999" s="266"/>
      <c r="I999" s="266"/>
      <c r="J999" s="266"/>
      <c r="K999" s="244"/>
      <c r="L999" s="244"/>
      <c r="M999" s="244"/>
      <c r="N999" s="244"/>
      <c r="O999" s="244"/>
      <c r="P999" s="244"/>
      <c r="Q999" s="244"/>
      <c r="R999" s="244"/>
      <c r="S999" s="244"/>
      <c r="T999" s="244"/>
      <c r="U999" s="244"/>
      <c r="V999" s="244"/>
      <c r="W999" s="244"/>
      <c r="X999" s="244"/>
      <c r="Y999" s="244"/>
      <c r="Z999" s="244"/>
    </row>
    <row r="1000" ht="11.25" customHeight="1">
      <c r="A1000" s="244"/>
      <c r="B1000" s="244"/>
      <c r="C1000" s="266"/>
      <c r="D1000" s="266"/>
      <c r="E1000" s="266"/>
      <c r="F1000" s="266"/>
      <c r="G1000" s="266"/>
      <c r="H1000" s="266"/>
      <c r="I1000" s="266"/>
      <c r="J1000" s="266"/>
      <c r="K1000" s="244"/>
      <c r="L1000" s="244"/>
      <c r="M1000" s="244"/>
      <c r="N1000" s="244"/>
      <c r="O1000" s="244"/>
      <c r="P1000" s="244"/>
      <c r="Q1000" s="244"/>
      <c r="R1000" s="244"/>
      <c r="S1000" s="244"/>
      <c r="T1000" s="244"/>
      <c r="U1000" s="244"/>
      <c r="V1000" s="244"/>
      <c r="W1000" s="244"/>
      <c r="X1000" s="244"/>
      <c r="Y1000" s="244"/>
      <c r="Z1000" s="244"/>
    </row>
  </sheetData>
  <mergeCells count="6">
    <mergeCell ref="A2:J2"/>
    <mergeCell ref="A3:J3"/>
    <mergeCell ref="C4:D4"/>
    <mergeCell ref="E4:F4"/>
    <mergeCell ref="G4:H4"/>
    <mergeCell ref="I4:J4"/>
  </mergeCell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4" width="3.71"/>
    <col customWidth="1" min="5" max="49" width="4.71"/>
    <col customWidth="1" min="50" max="69" width="3.86"/>
  </cols>
  <sheetData>
    <row r="1" ht="12.75" customHeight="1">
      <c r="A1" s="267"/>
      <c r="B1" s="267"/>
      <c r="C1" s="267"/>
      <c r="D1" s="267"/>
      <c r="E1" s="267"/>
      <c r="F1" s="267"/>
      <c r="G1" s="267"/>
      <c r="H1" s="267"/>
      <c r="I1" s="267"/>
      <c r="J1" s="267"/>
      <c r="K1" s="267"/>
      <c r="L1" s="267"/>
      <c r="M1" s="267"/>
      <c r="N1" s="267"/>
      <c r="O1" s="267"/>
      <c r="P1" s="267"/>
      <c r="Q1" s="267"/>
      <c r="R1" s="267"/>
      <c r="S1" s="267"/>
      <c r="T1" s="267"/>
      <c r="U1" s="267"/>
      <c r="V1" s="267"/>
      <c r="W1" s="267"/>
      <c r="X1" s="267"/>
      <c r="Y1" s="267"/>
      <c r="Z1" s="267"/>
      <c r="AA1" s="267"/>
      <c r="AB1" s="267"/>
      <c r="AC1" s="267"/>
      <c r="AD1" s="267"/>
      <c r="AE1" s="267"/>
      <c r="AF1" s="267"/>
      <c r="AG1" s="267"/>
      <c r="AH1" s="267"/>
      <c r="AI1" s="267"/>
      <c r="AJ1" s="267"/>
      <c r="AK1" s="267"/>
      <c r="AL1" s="6"/>
      <c r="AM1" s="268" t="s">
        <v>269</v>
      </c>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row>
    <row r="2" ht="14.25" customHeight="1">
      <c r="A2" s="269"/>
      <c r="B2" s="6"/>
      <c r="C2" s="270"/>
      <c r="D2" s="270"/>
      <c r="E2" s="270"/>
      <c r="F2" s="270"/>
      <c r="G2" s="270"/>
      <c r="H2" s="270"/>
      <c r="I2" s="270"/>
      <c r="J2" s="270"/>
      <c r="K2" s="270"/>
      <c r="L2" s="270"/>
      <c r="M2" s="6"/>
      <c r="N2" s="271"/>
      <c r="O2" s="272" t="s">
        <v>270</v>
      </c>
      <c r="AB2" s="6"/>
      <c r="AC2" s="6"/>
      <c r="AD2" s="6"/>
      <c r="AE2" s="273" t="s">
        <v>271</v>
      </c>
      <c r="AF2" s="6"/>
      <c r="AG2" s="270"/>
      <c r="AH2" s="270"/>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row>
    <row r="3" ht="12.75" customHeight="1">
      <c r="A3" s="269"/>
      <c r="B3" s="270"/>
      <c r="C3" s="270"/>
      <c r="D3" s="270"/>
      <c r="E3" s="270"/>
      <c r="F3" s="270"/>
      <c r="G3" s="270"/>
      <c r="H3" s="270"/>
      <c r="I3" s="270"/>
      <c r="J3" s="270"/>
      <c r="K3" s="270"/>
      <c r="L3" s="270"/>
      <c r="M3" s="271"/>
      <c r="N3" s="271"/>
      <c r="AB3" s="6"/>
      <c r="AC3" s="6"/>
      <c r="AD3" s="6"/>
      <c r="AE3" s="274" t="s">
        <v>272</v>
      </c>
      <c r="AF3" s="6"/>
      <c r="AG3" s="270"/>
      <c r="AH3" s="270"/>
      <c r="AI3" s="267"/>
      <c r="AJ3" s="267"/>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row>
    <row r="4" ht="12.75" customHeight="1">
      <c r="A4" s="269"/>
      <c r="B4" s="270"/>
      <c r="C4" s="270"/>
      <c r="D4" s="270"/>
      <c r="E4" s="270"/>
      <c r="F4" s="270"/>
      <c r="G4" s="270"/>
      <c r="H4" s="270"/>
      <c r="I4" s="270"/>
      <c r="J4" s="270"/>
      <c r="K4" s="270"/>
      <c r="L4" s="270"/>
      <c r="M4" s="270"/>
      <c r="N4" s="270"/>
      <c r="O4" s="270"/>
      <c r="P4" s="270"/>
      <c r="Q4" s="270"/>
      <c r="R4" s="270"/>
      <c r="S4" s="270"/>
      <c r="T4" s="270"/>
      <c r="U4" s="270"/>
      <c r="V4" s="270"/>
      <c r="W4" s="270"/>
      <c r="X4" s="270"/>
      <c r="Y4" s="270"/>
      <c r="Z4" s="270"/>
      <c r="AA4" s="270"/>
      <c r="AB4" s="270"/>
      <c r="AC4" s="270"/>
      <c r="AD4" s="270"/>
      <c r="AE4" s="6"/>
      <c r="AF4" s="270"/>
      <c r="AG4" s="270"/>
      <c r="AH4" s="270"/>
      <c r="AI4" s="270"/>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row>
    <row r="5" ht="12.75" customHeight="1">
      <c r="A5" s="275"/>
      <c r="B5" s="276"/>
      <c r="C5" s="23"/>
      <c r="D5" s="276" t="s">
        <v>273</v>
      </c>
      <c r="E5" s="22"/>
      <c r="F5" s="22"/>
      <c r="G5" s="22"/>
      <c r="H5" s="22"/>
      <c r="I5" s="22"/>
      <c r="J5" s="22"/>
      <c r="K5" s="22"/>
      <c r="L5" s="22"/>
      <c r="M5" s="23"/>
      <c r="N5" s="277" t="s">
        <v>274</v>
      </c>
      <c r="O5" s="15"/>
      <c r="P5" s="15"/>
      <c r="Q5" s="15"/>
      <c r="R5" s="15"/>
      <c r="S5" s="15"/>
      <c r="T5" s="15"/>
      <c r="U5" s="15"/>
      <c r="V5" s="15"/>
      <c r="W5" s="15"/>
      <c r="X5" s="15"/>
      <c r="Y5" s="15"/>
      <c r="Z5" s="15"/>
      <c r="AA5" s="15"/>
      <c r="AB5" s="15"/>
      <c r="AC5" s="15"/>
      <c r="AD5" s="15"/>
      <c r="AE5" s="15"/>
      <c r="AF5" s="15"/>
      <c r="AG5" s="16"/>
      <c r="AH5" s="278" t="s">
        <v>275</v>
      </c>
      <c r="AI5" s="22"/>
      <c r="AJ5" s="22"/>
      <c r="AK5" s="22"/>
      <c r="AL5" s="22"/>
      <c r="AM5" s="23"/>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79"/>
      <c r="BO5" s="279"/>
      <c r="BP5" s="279"/>
      <c r="BQ5" s="279"/>
    </row>
    <row r="6" ht="12.75" customHeight="1">
      <c r="A6" s="275"/>
      <c r="B6" s="25"/>
      <c r="C6" s="26"/>
      <c r="D6" s="25"/>
      <c r="M6" s="26"/>
      <c r="N6" s="277" t="s">
        <v>276</v>
      </c>
      <c r="O6" s="15"/>
      <c r="P6" s="15"/>
      <c r="Q6" s="15"/>
      <c r="R6" s="15"/>
      <c r="S6" s="15"/>
      <c r="T6" s="15"/>
      <c r="U6" s="15"/>
      <c r="V6" s="15"/>
      <c r="W6" s="16"/>
      <c r="X6" s="277" t="s">
        <v>277</v>
      </c>
      <c r="Y6" s="15"/>
      <c r="Z6" s="15"/>
      <c r="AA6" s="15"/>
      <c r="AB6" s="15"/>
      <c r="AC6" s="15"/>
      <c r="AD6" s="15"/>
      <c r="AE6" s="15"/>
      <c r="AF6" s="15"/>
      <c r="AG6" s="16"/>
      <c r="AH6" s="25"/>
      <c r="AM6" s="26"/>
      <c r="AN6" s="279"/>
      <c r="AO6" s="279"/>
      <c r="AP6" s="279"/>
      <c r="AQ6" s="279"/>
      <c r="AR6" s="279"/>
      <c r="AS6" s="279"/>
      <c r="AT6" s="279"/>
      <c r="AU6" s="279"/>
      <c r="AV6" s="279"/>
      <c r="AW6" s="279"/>
      <c r="AX6" s="279"/>
      <c r="AY6" s="279"/>
      <c r="AZ6" s="279"/>
      <c r="BA6" s="279"/>
      <c r="BB6" s="279"/>
      <c r="BC6" s="279"/>
      <c r="BD6" s="279"/>
      <c r="BE6" s="279"/>
      <c r="BF6" s="279"/>
      <c r="BG6" s="279"/>
      <c r="BH6" s="279"/>
      <c r="BI6" s="279"/>
      <c r="BJ6" s="279"/>
      <c r="BK6" s="279"/>
      <c r="BL6" s="279"/>
      <c r="BM6" s="279"/>
      <c r="BN6" s="279"/>
      <c r="BO6" s="279"/>
      <c r="BP6" s="279"/>
      <c r="BQ6" s="279"/>
    </row>
    <row r="7" ht="12.75" customHeight="1">
      <c r="A7" s="275"/>
      <c r="B7" s="28"/>
      <c r="C7" s="30"/>
      <c r="D7" s="28"/>
      <c r="E7" s="29"/>
      <c r="F7" s="29"/>
      <c r="G7" s="29"/>
      <c r="H7" s="29"/>
      <c r="I7" s="29"/>
      <c r="J7" s="29"/>
      <c r="K7" s="29"/>
      <c r="L7" s="29"/>
      <c r="M7" s="30"/>
      <c r="N7" s="280" t="s">
        <v>42</v>
      </c>
      <c r="O7" s="15"/>
      <c r="P7" s="15"/>
      <c r="Q7" s="15"/>
      <c r="R7" s="16"/>
      <c r="S7" s="281" t="s">
        <v>43</v>
      </c>
      <c r="T7" s="15"/>
      <c r="U7" s="15"/>
      <c r="V7" s="15"/>
      <c r="W7" s="16"/>
      <c r="X7" s="280" t="s">
        <v>42</v>
      </c>
      <c r="Y7" s="15"/>
      <c r="Z7" s="15"/>
      <c r="AA7" s="15"/>
      <c r="AB7" s="16"/>
      <c r="AC7" s="281" t="s">
        <v>43</v>
      </c>
      <c r="AD7" s="15"/>
      <c r="AE7" s="15"/>
      <c r="AF7" s="15"/>
      <c r="AG7" s="16"/>
      <c r="AH7" s="28"/>
      <c r="AI7" s="29"/>
      <c r="AJ7" s="29"/>
      <c r="AK7" s="29"/>
      <c r="AL7" s="29"/>
      <c r="AM7" s="30"/>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row>
    <row r="8" ht="12.75" customHeight="1">
      <c r="A8" s="269"/>
      <c r="B8" s="282" t="s">
        <v>278</v>
      </c>
      <c r="C8" s="283" t="s">
        <v>279</v>
      </c>
      <c r="D8" s="284">
        <v>1.0</v>
      </c>
      <c r="E8" s="285" t="s">
        <v>280</v>
      </c>
      <c r="F8" s="286"/>
      <c r="G8" s="286"/>
      <c r="H8" s="286"/>
      <c r="I8" s="286"/>
      <c r="J8" s="286"/>
      <c r="K8" s="286"/>
      <c r="L8" s="286"/>
      <c r="M8" s="287"/>
      <c r="N8" s="288">
        <v>1592.0</v>
      </c>
      <c r="O8" s="289"/>
      <c r="P8" s="15"/>
      <c r="Q8" s="15"/>
      <c r="R8" s="16"/>
      <c r="S8" s="288">
        <v>1024.0</v>
      </c>
      <c r="T8" s="289"/>
      <c r="U8" s="15"/>
      <c r="V8" s="15"/>
      <c r="W8" s="16"/>
      <c r="X8" s="288">
        <v>1593.0</v>
      </c>
      <c r="Y8" s="289"/>
      <c r="Z8" s="15"/>
      <c r="AA8" s="15"/>
      <c r="AB8" s="16"/>
      <c r="AC8" s="288">
        <v>1025.0</v>
      </c>
      <c r="AD8" s="289"/>
      <c r="AE8" s="15"/>
      <c r="AF8" s="15"/>
      <c r="AG8" s="16"/>
      <c r="AH8" s="290">
        <v>104.0</v>
      </c>
      <c r="AI8" s="289"/>
      <c r="AJ8" s="15"/>
      <c r="AK8" s="15"/>
      <c r="AL8" s="16"/>
      <c r="AM8" s="291" t="s">
        <v>281</v>
      </c>
      <c r="AN8" s="279"/>
      <c r="AO8" s="279"/>
      <c r="AP8" s="279"/>
      <c r="AQ8" s="279"/>
      <c r="AR8" s="279"/>
      <c r="AS8" s="279"/>
      <c r="AT8" s="279"/>
      <c r="AU8" s="279"/>
      <c r="AV8" s="279"/>
      <c r="AW8" s="279"/>
      <c r="AX8" s="279"/>
      <c r="AY8" s="279"/>
      <c r="AZ8" s="279"/>
      <c r="BA8" s="279"/>
      <c r="BB8" s="279"/>
      <c r="BC8" s="279"/>
      <c r="BD8" s="279"/>
      <c r="BE8" s="279"/>
      <c r="BF8" s="279"/>
      <c r="BG8" s="279"/>
      <c r="BH8" s="279"/>
      <c r="BI8" s="279"/>
      <c r="BJ8" s="279"/>
      <c r="BK8" s="279"/>
      <c r="BL8" s="279"/>
      <c r="BM8" s="279"/>
      <c r="BN8" s="279"/>
      <c r="BO8" s="279"/>
      <c r="BP8" s="279"/>
      <c r="BQ8" s="279"/>
    </row>
    <row r="9" ht="12.75" customHeight="1">
      <c r="A9" s="269"/>
      <c r="B9" s="20"/>
      <c r="C9" s="20"/>
      <c r="D9" s="284">
        <v>2.0</v>
      </c>
      <c r="E9" s="285" t="s">
        <v>282</v>
      </c>
      <c r="F9" s="286"/>
      <c r="G9" s="286"/>
      <c r="H9" s="286"/>
      <c r="I9" s="286"/>
      <c r="J9" s="286"/>
      <c r="K9" s="286"/>
      <c r="L9" s="286"/>
      <c r="M9" s="287"/>
      <c r="N9" s="290">
        <v>1594.0</v>
      </c>
      <c r="O9" s="289"/>
      <c r="P9" s="15"/>
      <c r="Q9" s="15"/>
      <c r="R9" s="16"/>
      <c r="S9" s="290">
        <v>1026.0</v>
      </c>
      <c r="T9" s="289"/>
      <c r="U9" s="15"/>
      <c r="V9" s="15"/>
      <c r="W9" s="16"/>
      <c r="X9" s="290">
        <v>1595.0</v>
      </c>
      <c r="Y9" s="289"/>
      <c r="Z9" s="15"/>
      <c r="AA9" s="15"/>
      <c r="AB9" s="16"/>
      <c r="AC9" s="290">
        <v>1027.0</v>
      </c>
      <c r="AD9" s="289"/>
      <c r="AE9" s="15"/>
      <c r="AF9" s="15"/>
      <c r="AG9" s="16"/>
      <c r="AH9" s="290">
        <v>105.0</v>
      </c>
      <c r="AI9" s="289"/>
      <c r="AJ9" s="15"/>
      <c r="AK9" s="15"/>
      <c r="AL9" s="16"/>
      <c r="AM9" s="291" t="s">
        <v>281</v>
      </c>
      <c r="AN9" s="279"/>
      <c r="AO9" s="279"/>
      <c r="AP9" s="279"/>
      <c r="AQ9" s="279"/>
      <c r="AR9" s="279"/>
      <c r="AS9" s="279"/>
      <c r="AT9" s="279"/>
      <c r="AU9" s="279"/>
      <c r="AV9" s="279"/>
      <c r="AW9" s="279"/>
      <c r="AX9" s="279"/>
      <c r="AY9" s="279"/>
      <c r="AZ9" s="279"/>
      <c r="BA9" s="279"/>
      <c r="BB9" s="279"/>
      <c r="BC9" s="279"/>
      <c r="BD9" s="279"/>
      <c r="BE9" s="279"/>
      <c r="BF9" s="279"/>
      <c r="BG9" s="279"/>
      <c r="BH9" s="279"/>
      <c r="BI9" s="279"/>
      <c r="BJ9" s="279"/>
      <c r="BK9" s="279"/>
      <c r="BL9" s="279"/>
      <c r="BM9" s="279"/>
      <c r="BN9" s="279"/>
      <c r="BO9" s="279"/>
      <c r="BP9" s="279"/>
      <c r="BQ9" s="279"/>
    </row>
    <row r="10" ht="12.75" customHeight="1">
      <c r="A10" s="269"/>
      <c r="B10" s="20"/>
      <c r="C10" s="20"/>
      <c r="D10" s="284">
        <v>3.0</v>
      </c>
      <c r="E10" s="285" t="s">
        <v>283</v>
      </c>
      <c r="F10" s="286"/>
      <c r="G10" s="286"/>
      <c r="H10" s="286"/>
      <c r="I10" s="286"/>
      <c r="J10" s="286"/>
      <c r="K10" s="286"/>
      <c r="L10" s="286"/>
      <c r="M10" s="286"/>
      <c r="N10" s="286"/>
      <c r="O10" s="286"/>
      <c r="P10" s="286"/>
      <c r="Q10" s="286"/>
      <c r="R10" s="286"/>
      <c r="S10" s="286"/>
      <c r="T10" s="286"/>
      <c r="U10" s="286"/>
      <c r="V10" s="286"/>
      <c r="W10" s="286"/>
      <c r="X10" s="286"/>
      <c r="Y10" s="286"/>
      <c r="Z10" s="286"/>
      <c r="AA10" s="286"/>
      <c r="AB10" s="286"/>
      <c r="AC10" s="286"/>
      <c r="AD10" s="286"/>
      <c r="AE10" s="286"/>
      <c r="AF10" s="286"/>
      <c r="AG10" s="287"/>
      <c r="AH10" s="290">
        <v>106.0</v>
      </c>
      <c r="AI10" s="289"/>
      <c r="AJ10" s="15"/>
      <c r="AK10" s="15"/>
      <c r="AL10" s="16"/>
      <c r="AM10" s="291" t="s">
        <v>281</v>
      </c>
      <c r="AN10" s="279"/>
      <c r="AO10" s="279"/>
      <c r="AP10" s="279"/>
      <c r="AQ10" s="279"/>
      <c r="AR10" s="279"/>
      <c r="AS10" s="279"/>
      <c r="AT10" s="279"/>
      <c r="AU10" s="279"/>
      <c r="AV10" s="279"/>
      <c r="AW10" s="279"/>
      <c r="AX10" s="279"/>
      <c r="AY10" s="279"/>
      <c r="AZ10" s="279"/>
      <c r="BA10" s="279"/>
      <c r="BB10" s="279"/>
      <c r="BC10" s="279"/>
      <c r="BD10" s="279"/>
      <c r="BE10" s="279"/>
      <c r="BF10" s="279"/>
      <c r="BG10" s="279"/>
      <c r="BH10" s="279"/>
      <c r="BI10" s="279"/>
      <c r="BJ10" s="279"/>
      <c r="BK10" s="279"/>
      <c r="BL10" s="279"/>
      <c r="BM10" s="279"/>
      <c r="BN10" s="279"/>
      <c r="BO10" s="279"/>
      <c r="BP10" s="279"/>
      <c r="BQ10" s="279"/>
    </row>
    <row r="11" ht="12.75" customHeight="1">
      <c r="A11" s="269"/>
      <c r="B11" s="20"/>
      <c r="C11" s="20"/>
      <c r="D11" s="284">
        <v>4.0</v>
      </c>
      <c r="E11" s="285" t="s">
        <v>284</v>
      </c>
      <c r="F11" s="286"/>
      <c r="G11" s="286"/>
      <c r="H11" s="286"/>
      <c r="I11" s="286"/>
      <c r="J11" s="286"/>
      <c r="K11" s="286"/>
      <c r="L11" s="286"/>
      <c r="M11" s="286"/>
      <c r="N11" s="286"/>
      <c r="O11" s="292"/>
      <c r="P11" s="286"/>
      <c r="Q11" s="286"/>
      <c r="R11" s="286"/>
      <c r="S11" s="286"/>
      <c r="T11" s="292"/>
      <c r="U11" s="286"/>
      <c r="V11" s="286"/>
      <c r="W11" s="286"/>
      <c r="X11" s="286"/>
      <c r="Y11" s="292"/>
      <c r="Z11" s="286"/>
      <c r="AA11" s="286"/>
      <c r="AB11" s="287"/>
      <c r="AC11" s="288">
        <v>603.0</v>
      </c>
      <c r="AD11" s="289"/>
      <c r="AE11" s="15"/>
      <c r="AF11" s="15"/>
      <c r="AG11" s="16"/>
      <c r="AH11" s="290">
        <v>108.0</v>
      </c>
      <c r="AI11" s="289"/>
      <c r="AJ11" s="15"/>
      <c r="AK11" s="15"/>
      <c r="AL11" s="16"/>
      <c r="AM11" s="291" t="s">
        <v>281</v>
      </c>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79"/>
      <c r="BK11" s="279"/>
      <c r="BL11" s="279"/>
      <c r="BM11" s="279"/>
      <c r="BN11" s="279"/>
      <c r="BO11" s="279"/>
      <c r="BP11" s="279"/>
      <c r="BQ11" s="279"/>
    </row>
    <row r="12" ht="12.75" customHeight="1">
      <c r="A12" s="269"/>
      <c r="B12" s="20"/>
      <c r="C12" s="20"/>
      <c r="D12" s="293">
        <v>5.0</v>
      </c>
      <c r="E12" s="294" t="s">
        <v>285</v>
      </c>
      <c r="F12" s="294"/>
      <c r="G12" s="294"/>
      <c r="H12" s="294"/>
      <c r="I12" s="294"/>
      <c r="J12" s="294"/>
      <c r="K12" s="294"/>
      <c r="L12" s="294"/>
      <c r="M12" s="294"/>
      <c r="N12" s="288">
        <v>1721.0</v>
      </c>
      <c r="O12" s="289">
        <f>+$O$15+$O$16</f>
        <v>0</v>
      </c>
      <c r="P12" s="15"/>
      <c r="Q12" s="15"/>
      <c r="R12" s="16"/>
      <c r="S12" s="288">
        <v>1722.0</v>
      </c>
      <c r="T12" s="289">
        <f>+$T$15+$T$16</f>
        <v>0</v>
      </c>
      <c r="U12" s="15"/>
      <c r="V12" s="15"/>
      <c r="W12" s="16"/>
      <c r="X12" s="288">
        <v>1596.0</v>
      </c>
      <c r="Y12" s="289">
        <f>+$Y$13+$Y$14+$Y$15+$Y$16+$Y$18</f>
        <v>0</v>
      </c>
      <c r="Z12" s="15"/>
      <c r="AA12" s="15"/>
      <c r="AB12" s="16"/>
      <c r="AC12" s="290">
        <v>954.0</v>
      </c>
      <c r="AD12" s="289">
        <f>+SUM(AD13:$AG$18)</f>
        <v>0</v>
      </c>
      <c r="AE12" s="15"/>
      <c r="AF12" s="15"/>
      <c r="AG12" s="16"/>
      <c r="AH12" s="290">
        <v>955.0</v>
      </c>
      <c r="AI12" s="289">
        <f>+SUM($AI$13:$AL$18)</f>
        <v>0</v>
      </c>
      <c r="AJ12" s="15"/>
      <c r="AK12" s="15"/>
      <c r="AL12" s="16"/>
      <c r="AM12" s="295" t="s">
        <v>281</v>
      </c>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79"/>
      <c r="BK12" s="279"/>
      <c r="BL12" s="279"/>
      <c r="BM12" s="279"/>
      <c r="BN12" s="279"/>
      <c r="BO12" s="279"/>
      <c r="BP12" s="279"/>
      <c r="BQ12" s="279"/>
    </row>
    <row r="13" ht="12.75" customHeight="1">
      <c r="A13" s="269"/>
      <c r="B13" s="20"/>
      <c r="C13" s="20"/>
      <c r="D13" s="20"/>
      <c r="E13" s="296" t="s">
        <v>286</v>
      </c>
      <c r="F13" s="296"/>
      <c r="G13" s="296"/>
      <c r="H13" s="296"/>
      <c r="I13" s="296"/>
      <c r="J13" s="296"/>
      <c r="K13" s="296"/>
      <c r="L13" s="296"/>
      <c r="M13" s="296"/>
      <c r="N13" s="296"/>
      <c r="O13" s="297"/>
      <c r="P13" s="296"/>
      <c r="Q13" s="296"/>
      <c r="R13" s="296"/>
      <c r="S13" s="296"/>
      <c r="T13" s="297"/>
      <c r="U13" s="296"/>
      <c r="V13" s="296"/>
      <c r="W13" s="298"/>
      <c r="X13" s="299">
        <v>1917.0</v>
      </c>
      <c r="Y13" s="300"/>
      <c r="Z13" s="15"/>
      <c r="AA13" s="15"/>
      <c r="AB13" s="16"/>
      <c r="AC13" s="299">
        <v>1848.0</v>
      </c>
      <c r="AD13" s="300"/>
      <c r="AE13" s="15"/>
      <c r="AF13" s="15"/>
      <c r="AG13" s="16"/>
      <c r="AH13" s="299">
        <v>1849.0</v>
      </c>
      <c r="AI13" s="300"/>
      <c r="AJ13" s="15"/>
      <c r="AK13" s="15"/>
      <c r="AL13" s="16"/>
      <c r="AM13" s="301"/>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c r="BK13" s="279"/>
      <c r="BL13" s="279"/>
      <c r="BM13" s="279"/>
      <c r="BN13" s="279"/>
      <c r="BO13" s="279"/>
      <c r="BP13" s="279"/>
      <c r="BQ13" s="279"/>
    </row>
    <row r="14" ht="12.75" customHeight="1">
      <c r="A14" s="269"/>
      <c r="B14" s="20"/>
      <c r="C14" s="20"/>
      <c r="D14" s="20"/>
      <c r="E14" s="302" t="s">
        <v>287</v>
      </c>
      <c r="F14" s="303"/>
      <c r="G14" s="303"/>
      <c r="H14" s="303"/>
      <c r="I14" s="303"/>
      <c r="J14" s="303"/>
      <c r="K14" s="303"/>
      <c r="L14" s="303"/>
      <c r="M14" s="303"/>
      <c r="N14" s="303"/>
      <c r="O14" s="304"/>
      <c r="P14" s="303"/>
      <c r="Q14" s="303"/>
      <c r="R14" s="303"/>
      <c r="S14" s="303"/>
      <c r="T14" s="304"/>
      <c r="U14" s="303"/>
      <c r="V14" s="303"/>
      <c r="W14" s="305"/>
      <c r="X14" s="299">
        <v>1850.0</v>
      </c>
      <c r="Y14" s="300"/>
      <c r="Z14" s="15"/>
      <c r="AA14" s="15"/>
      <c r="AB14" s="16"/>
      <c r="AC14" s="299">
        <v>1851.0</v>
      </c>
      <c r="AD14" s="300"/>
      <c r="AE14" s="15"/>
      <c r="AF14" s="15"/>
      <c r="AG14" s="16"/>
      <c r="AH14" s="299">
        <v>1852.0</v>
      </c>
      <c r="AI14" s="300"/>
      <c r="AJ14" s="15"/>
      <c r="AK14" s="15"/>
      <c r="AL14" s="16"/>
      <c r="AM14" s="301"/>
      <c r="AN14" s="279"/>
      <c r="AO14" s="279"/>
      <c r="AP14" s="279"/>
      <c r="AQ14" s="279"/>
      <c r="AR14" s="279"/>
      <c r="AS14" s="279"/>
      <c r="AT14" s="279"/>
      <c r="AU14" s="279"/>
      <c r="AV14" s="279"/>
      <c r="AW14" s="279"/>
      <c r="AX14" s="279"/>
      <c r="AY14" s="279"/>
      <c r="AZ14" s="279"/>
      <c r="BA14" s="279"/>
      <c r="BB14" s="279"/>
      <c r="BC14" s="279"/>
      <c r="BD14" s="279"/>
      <c r="BE14" s="279"/>
      <c r="BF14" s="279"/>
      <c r="BG14" s="279"/>
      <c r="BH14" s="279"/>
      <c r="BI14" s="279"/>
      <c r="BJ14" s="279"/>
      <c r="BK14" s="279"/>
      <c r="BL14" s="279"/>
      <c r="BM14" s="279"/>
      <c r="BN14" s="279"/>
      <c r="BO14" s="279"/>
      <c r="BP14" s="279"/>
      <c r="BQ14" s="279"/>
    </row>
    <row r="15" ht="12.75" customHeight="1">
      <c r="A15" s="269"/>
      <c r="B15" s="20"/>
      <c r="C15" s="20"/>
      <c r="D15" s="20"/>
      <c r="E15" s="306" t="s">
        <v>288</v>
      </c>
      <c r="F15" s="296"/>
      <c r="G15" s="296"/>
      <c r="H15" s="296"/>
      <c r="I15" s="296"/>
      <c r="J15" s="296"/>
      <c r="K15" s="296"/>
      <c r="L15" s="296"/>
      <c r="M15" s="296"/>
      <c r="N15" s="299">
        <v>1853.0</v>
      </c>
      <c r="O15" s="300"/>
      <c r="P15" s="15"/>
      <c r="Q15" s="15"/>
      <c r="R15" s="16"/>
      <c r="S15" s="299">
        <v>1854.0</v>
      </c>
      <c r="T15" s="300"/>
      <c r="U15" s="15"/>
      <c r="V15" s="15"/>
      <c r="W15" s="16"/>
      <c r="X15" s="299">
        <v>1855.0</v>
      </c>
      <c r="Y15" s="300"/>
      <c r="Z15" s="15"/>
      <c r="AA15" s="15"/>
      <c r="AB15" s="16"/>
      <c r="AC15" s="299">
        <v>1856.0</v>
      </c>
      <c r="AD15" s="300"/>
      <c r="AE15" s="15"/>
      <c r="AF15" s="15"/>
      <c r="AG15" s="16"/>
      <c r="AH15" s="299">
        <v>1857.0</v>
      </c>
      <c r="AI15" s="300"/>
      <c r="AJ15" s="15"/>
      <c r="AK15" s="15"/>
      <c r="AL15" s="16"/>
      <c r="AM15" s="301"/>
      <c r="AN15" s="279"/>
      <c r="AO15" s="279"/>
      <c r="AP15" s="279"/>
      <c r="AQ15" s="279"/>
      <c r="AR15" s="279"/>
      <c r="AS15" s="279"/>
      <c r="AT15" s="279"/>
      <c r="AU15" s="279"/>
      <c r="AV15" s="279"/>
      <c r="AW15" s="279"/>
      <c r="AX15" s="279"/>
      <c r="AY15" s="279"/>
      <c r="AZ15" s="279"/>
      <c r="BA15" s="279"/>
      <c r="BB15" s="279"/>
      <c r="BC15" s="279"/>
      <c r="BD15" s="279"/>
      <c r="BE15" s="279"/>
      <c r="BF15" s="279"/>
      <c r="BG15" s="279"/>
      <c r="BH15" s="279"/>
      <c r="BI15" s="279"/>
      <c r="BJ15" s="279"/>
      <c r="BK15" s="279"/>
      <c r="BL15" s="279"/>
      <c r="BM15" s="279"/>
      <c r="BN15" s="279"/>
      <c r="BO15" s="279"/>
      <c r="BP15" s="279"/>
      <c r="BQ15" s="279"/>
    </row>
    <row r="16" ht="12.75" customHeight="1">
      <c r="A16" s="269"/>
      <c r="B16" s="20"/>
      <c r="C16" s="20"/>
      <c r="D16" s="20"/>
      <c r="E16" s="306" t="s">
        <v>289</v>
      </c>
      <c r="F16" s="296"/>
      <c r="G16" s="296"/>
      <c r="H16" s="296"/>
      <c r="I16" s="296"/>
      <c r="J16" s="296"/>
      <c r="K16" s="296"/>
      <c r="L16" s="296"/>
      <c r="M16" s="296"/>
      <c r="N16" s="299">
        <v>1858.0</v>
      </c>
      <c r="O16" s="300"/>
      <c r="P16" s="15"/>
      <c r="Q16" s="15"/>
      <c r="R16" s="16"/>
      <c r="S16" s="299">
        <v>1859.0</v>
      </c>
      <c r="T16" s="300"/>
      <c r="U16" s="15"/>
      <c r="V16" s="15"/>
      <c r="W16" s="16"/>
      <c r="X16" s="299">
        <v>1860.0</v>
      </c>
      <c r="Y16" s="300"/>
      <c r="Z16" s="15"/>
      <c r="AA16" s="15"/>
      <c r="AB16" s="16"/>
      <c r="AC16" s="299">
        <v>1861.0</v>
      </c>
      <c r="AD16" s="300"/>
      <c r="AE16" s="15"/>
      <c r="AF16" s="15"/>
      <c r="AG16" s="16"/>
      <c r="AH16" s="299">
        <v>1862.0</v>
      </c>
      <c r="AI16" s="300"/>
      <c r="AJ16" s="15"/>
      <c r="AK16" s="15"/>
      <c r="AL16" s="16"/>
      <c r="AM16" s="301"/>
      <c r="AN16" s="279"/>
      <c r="AO16" s="279"/>
      <c r="AP16" s="279"/>
      <c r="AQ16" s="279"/>
      <c r="AR16" s="279"/>
      <c r="AS16" s="279"/>
      <c r="AT16" s="279"/>
      <c r="AU16" s="279"/>
      <c r="AV16" s="279"/>
      <c r="AW16" s="279"/>
      <c r="AX16" s="279"/>
      <c r="AY16" s="279"/>
      <c r="AZ16" s="279"/>
      <c r="BA16" s="279"/>
      <c r="BB16" s="279"/>
      <c r="BC16" s="279"/>
      <c r="BD16" s="279"/>
      <c r="BE16" s="279"/>
      <c r="BF16" s="279"/>
      <c r="BG16" s="279"/>
      <c r="BH16" s="279"/>
      <c r="BI16" s="279"/>
      <c r="BJ16" s="279"/>
      <c r="BK16" s="279"/>
      <c r="BL16" s="279"/>
      <c r="BM16" s="279"/>
      <c r="BN16" s="279"/>
      <c r="BO16" s="279"/>
      <c r="BP16" s="279"/>
      <c r="BQ16" s="279"/>
    </row>
    <row r="17" ht="12.75" customHeight="1">
      <c r="A17" s="269"/>
      <c r="B17" s="20"/>
      <c r="C17" s="20"/>
      <c r="D17" s="20"/>
      <c r="E17" s="307" t="s">
        <v>290</v>
      </c>
      <c r="F17" s="308"/>
      <c r="G17" s="308"/>
      <c r="H17" s="308"/>
      <c r="I17" s="308"/>
      <c r="J17" s="308"/>
      <c r="K17" s="308"/>
      <c r="L17" s="308"/>
      <c r="M17" s="308"/>
      <c r="N17" s="308"/>
      <c r="O17" s="297"/>
      <c r="P17" s="308"/>
      <c r="Q17" s="308"/>
      <c r="R17" s="308"/>
      <c r="S17" s="308"/>
      <c r="T17" s="297"/>
      <c r="U17" s="308"/>
      <c r="V17" s="308"/>
      <c r="W17" s="308"/>
      <c r="X17" s="308"/>
      <c r="Y17" s="297"/>
      <c r="Z17" s="308"/>
      <c r="AA17" s="308"/>
      <c r="AB17" s="309"/>
      <c r="AC17" s="299">
        <v>1872.0</v>
      </c>
      <c r="AD17" s="300"/>
      <c r="AE17" s="15"/>
      <c r="AF17" s="15"/>
      <c r="AG17" s="16"/>
      <c r="AH17" s="299">
        <v>1873.0</v>
      </c>
      <c r="AI17" s="300"/>
      <c r="AJ17" s="15"/>
      <c r="AK17" s="15"/>
      <c r="AL17" s="16"/>
      <c r="AM17" s="301"/>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79"/>
      <c r="BK17" s="279"/>
      <c r="BL17" s="279"/>
      <c r="BM17" s="279"/>
      <c r="BN17" s="279"/>
      <c r="BO17" s="279"/>
      <c r="BP17" s="279"/>
      <c r="BQ17" s="279"/>
    </row>
    <row r="18" ht="12.75" customHeight="1">
      <c r="A18" s="269"/>
      <c r="B18" s="20"/>
      <c r="C18" s="20"/>
      <c r="D18" s="34"/>
      <c r="E18" s="307" t="s">
        <v>291</v>
      </c>
      <c r="F18" s="308"/>
      <c r="G18" s="308"/>
      <c r="H18" s="308"/>
      <c r="I18" s="308"/>
      <c r="J18" s="308"/>
      <c r="K18" s="308"/>
      <c r="L18" s="308"/>
      <c r="M18" s="308"/>
      <c r="N18" s="308"/>
      <c r="O18" s="297"/>
      <c r="P18" s="308"/>
      <c r="Q18" s="308"/>
      <c r="R18" s="308"/>
      <c r="S18" s="308"/>
      <c r="T18" s="297"/>
      <c r="U18" s="308"/>
      <c r="V18" s="308"/>
      <c r="W18" s="309"/>
      <c r="X18" s="299">
        <v>1863.0</v>
      </c>
      <c r="Y18" s="300"/>
      <c r="Z18" s="15"/>
      <c r="AA18" s="15"/>
      <c r="AB18" s="16"/>
      <c r="AC18" s="299">
        <v>1864.0</v>
      </c>
      <c r="AD18" s="300"/>
      <c r="AE18" s="15"/>
      <c r="AF18" s="15"/>
      <c r="AG18" s="16"/>
      <c r="AH18" s="299">
        <v>1865.0</v>
      </c>
      <c r="AI18" s="300"/>
      <c r="AJ18" s="15"/>
      <c r="AK18" s="15"/>
      <c r="AL18" s="16"/>
      <c r="AM18" s="310"/>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79"/>
      <c r="BK18" s="279"/>
      <c r="BL18" s="279"/>
      <c r="BM18" s="279"/>
      <c r="BN18" s="279"/>
      <c r="BO18" s="279"/>
      <c r="BP18" s="279"/>
      <c r="BQ18" s="279"/>
    </row>
    <row r="19" ht="12.75" customHeight="1">
      <c r="A19" s="269"/>
      <c r="B19" s="20"/>
      <c r="C19" s="20"/>
      <c r="D19" s="284">
        <v>6.0</v>
      </c>
      <c r="E19" s="294" t="s">
        <v>292</v>
      </c>
      <c r="F19" s="294"/>
      <c r="G19" s="294"/>
      <c r="H19" s="294"/>
      <c r="I19" s="294"/>
      <c r="J19" s="294"/>
      <c r="K19" s="294"/>
      <c r="L19" s="294"/>
      <c r="M19" s="294"/>
      <c r="N19" s="288">
        <v>1597.0</v>
      </c>
      <c r="O19" s="289"/>
      <c r="P19" s="15"/>
      <c r="Q19" s="15"/>
      <c r="R19" s="16"/>
      <c r="S19" s="288">
        <v>1598.0</v>
      </c>
      <c r="T19" s="289"/>
      <c r="U19" s="15"/>
      <c r="V19" s="15"/>
      <c r="W19" s="16"/>
      <c r="X19" s="288">
        <v>1599.0</v>
      </c>
      <c r="Y19" s="289"/>
      <c r="Z19" s="15"/>
      <c r="AA19" s="15"/>
      <c r="AB19" s="16"/>
      <c r="AC19" s="288">
        <v>1631.0</v>
      </c>
      <c r="AD19" s="289"/>
      <c r="AE19" s="15"/>
      <c r="AF19" s="15"/>
      <c r="AG19" s="16"/>
      <c r="AH19" s="288">
        <v>1632.0</v>
      </c>
      <c r="AI19" s="289"/>
      <c r="AJ19" s="15"/>
      <c r="AK19" s="15"/>
      <c r="AL19" s="16"/>
      <c r="AM19" s="310" t="s">
        <v>281</v>
      </c>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79"/>
      <c r="BK19" s="279"/>
      <c r="BL19" s="279"/>
      <c r="BM19" s="279"/>
      <c r="BN19" s="279"/>
      <c r="BO19" s="279"/>
      <c r="BP19" s="279"/>
      <c r="BQ19" s="279"/>
    </row>
    <row r="20" ht="12.75" customHeight="1">
      <c r="A20" s="269"/>
      <c r="B20" s="20"/>
      <c r="C20" s="20"/>
      <c r="D20" s="284">
        <v>7.0</v>
      </c>
      <c r="E20" s="285" t="s">
        <v>293</v>
      </c>
      <c r="F20" s="286"/>
      <c r="G20" s="286"/>
      <c r="H20" s="286"/>
      <c r="I20" s="286"/>
      <c r="J20" s="286"/>
      <c r="K20" s="286"/>
      <c r="L20" s="286"/>
      <c r="M20" s="286"/>
      <c r="N20" s="286"/>
      <c r="O20" s="292"/>
      <c r="P20" s="286"/>
      <c r="Q20" s="286"/>
      <c r="R20" s="286"/>
      <c r="S20" s="286"/>
      <c r="T20" s="292"/>
      <c r="U20" s="286"/>
      <c r="V20" s="286"/>
      <c r="W20" s="286"/>
      <c r="X20" s="286"/>
      <c r="Y20" s="292"/>
      <c r="Z20" s="286"/>
      <c r="AA20" s="286"/>
      <c r="AB20" s="286"/>
      <c r="AC20" s="286"/>
      <c r="AD20" s="292"/>
      <c r="AE20" s="286"/>
      <c r="AF20" s="286"/>
      <c r="AG20" s="287"/>
      <c r="AH20" s="290">
        <v>110.0</v>
      </c>
      <c r="AI20" s="289"/>
      <c r="AJ20" s="15"/>
      <c r="AK20" s="15"/>
      <c r="AL20" s="16"/>
      <c r="AM20" s="291" t="s">
        <v>281</v>
      </c>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79"/>
      <c r="BK20" s="279"/>
      <c r="BL20" s="279"/>
      <c r="BM20" s="279"/>
      <c r="BN20" s="279"/>
      <c r="BO20" s="279"/>
      <c r="BP20" s="279"/>
      <c r="BQ20" s="279"/>
    </row>
    <row r="21" ht="12.75" customHeight="1">
      <c r="A21" s="269"/>
      <c r="B21" s="20"/>
      <c r="C21" s="20"/>
      <c r="D21" s="311">
        <v>8.0</v>
      </c>
      <c r="E21" s="312" t="s">
        <v>294</v>
      </c>
      <c r="F21" s="312"/>
      <c r="G21" s="312"/>
      <c r="H21" s="312"/>
      <c r="I21" s="312"/>
      <c r="J21" s="312"/>
      <c r="K21" s="312"/>
      <c r="L21" s="312"/>
      <c r="M21" s="312"/>
      <c r="N21" s="312"/>
      <c r="O21" s="292"/>
      <c r="P21" s="312"/>
      <c r="Q21" s="312"/>
      <c r="R21" s="312"/>
      <c r="S21" s="312"/>
      <c r="T21" s="292"/>
      <c r="U21" s="313"/>
      <c r="V21" s="313"/>
      <c r="W21" s="11"/>
      <c r="X21" s="312"/>
      <c r="Y21" s="292"/>
      <c r="Z21" s="313"/>
      <c r="AA21" s="11"/>
      <c r="AB21" s="312"/>
      <c r="AC21" s="288">
        <v>605.0</v>
      </c>
      <c r="AD21" s="289" t="str">
        <f>+$AD$22</f>
        <v/>
      </c>
      <c r="AE21" s="15"/>
      <c r="AF21" s="15"/>
      <c r="AG21" s="16"/>
      <c r="AH21" s="290">
        <v>155.0</v>
      </c>
      <c r="AI21" s="289">
        <f>+SUM(AI22:$AL$24)</f>
        <v>0</v>
      </c>
      <c r="AJ21" s="15"/>
      <c r="AK21" s="15"/>
      <c r="AL21" s="16"/>
      <c r="AM21" s="295" t="s">
        <v>281</v>
      </c>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79"/>
      <c r="BK21" s="279"/>
      <c r="BL21" s="279"/>
      <c r="BM21" s="279"/>
      <c r="BN21" s="279"/>
      <c r="BO21" s="279"/>
      <c r="BP21" s="279"/>
      <c r="BQ21" s="279"/>
    </row>
    <row r="22" ht="12.75" customHeight="1">
      <c r="A22" s="269"/>
      <c r="B22" s="20"/>
      <c r="C22" s="20"/>
      <c r="D22" s="20"/>
      <c r="E22" s="307" t="s">
        <v>295</v>
      </c>
      <c r="F22" s="308"/>
      <c r="G22" s="308"/>
      <c r="H22" s="308"/>
      <c r="I22" s="308"/>
      <c r="J22" s="308"/>
      <c r="K22" s="308"/>
      <c r="L22" s="308"/>
      <c r="M22" s="308"/>
      <c r="N22" s="308"/>
      <c r="O22" s="297"/>
      <c r="P22" s="308"/>
      <c r="Q22" s="308"/>
      <c r="R22" s="308"/>
      <c r="S22" s="308"/>
      <c r="T22" s="297"/>
      <c r="U22" s="308"/>
      <c r="V22" s="308"/>
      <c r="W22" s="308"/>
      <c r="X22" s="308"/>
      <c r="Y22" s="297"/>
      <c r="Z22" s="308"/>
      <c r="AA22" s="308"/>
      <c r="AB22" s="309"/>
      <c r="AC22" s="299">
        <v>1866.0</v>
      </c>
      <c r="AD22" s="300"/>
      <c r="AE22" s="15"/>
      <c r="AF22" s="15"/>
      <c r="AG22" s="16"/>
      <c r="AH22" s="299">
        <v>1867.0</v>
      </c>
      <c r="AI22" s="300"/>
      <c r="AJ22" s="15"/>
      <c r="AK22" s="15"/>
      <c r="AL22" s="16"/>
      <c r="AM22" s="301"/>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c r="BK22" s="279"/>
      <c r="BL22" s="279"/>
      <c r="BM22" s="279"/>
      <c r="BN22" s="279"/>
      <c r="BO22" s="279"/>
      <c r="BP22" s="279"/>
      <c r="BQ22" s="279"/>
    </row>
    <row r="23" ht="12.75" customHeight="1">
      <c r="A23" s="269"/>
      <c r="B23" s="20"/>
      <c r="C23" s="20"/>
      <c r="D23" s="20"/>
      <c r="E23" s="307" t="s">
        <v>296</v>
      </c>
      <c r="F23" s="308"/>
      <c r="G23" s="308"/>
      <c r="H23" s="308"/>
      <c r="I23" s="308"/>
      <c r="J23" s="308"/>
      <c r="K23" s="308"/>
      <c r="L23" s="308"/>
      <c r="M23" s="308"/>
      <c r="N23" s="308"/>
      <c r="O23" s="297"/>
      <c r="P23" s="308"/>
      <c r="Q23" s="308"/>
      <c r="R23" s="308"/>
      <c r="S23" s="308"/>
      <c r="T23" s="297"/>
      <c r="U23" s="308"/>
      <c r="V23" s="308"/>
      <c r="W23" s="308"/>
      <c r="X23" s="308"/>
      <c r="Y23" s="297"/>
      <c r="Z23" s="308"/>
      <c r="AA23" s="308"/>
      <c r="AB23" s="308"/>
      <c r="AC23" s="308"/>
      <c r="AD23" s="297"/>
      <c r="AE23" s="308"/>
      <c r="AF23" s="308"/>
      <c r="AG23" s="309"/>
      <c r="AH23" s="299">
        <v>1869.0</v>
      </c>
      <c r="AI23" s="300"/>
      <c r="AJ23" s="15"/>
      <c r="AK23" s="15"/>
      <c r="AL23" s="16"/>
      <c r="AM23" s="301"/>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79"/>
      <c r="BK23" s="279"/>
      <c r="BL23" s="279"/>
      <c r="BM23" s="279"/>
      <c r="BN23" s="279"/>
      <c r="BO23" s="279"/>
      <c r="BP23" s="279"/>
      <c r="BQ23" s="279"/>
    </row>
    <row r="24" ht="12.75" customHeight="1">
      <c r="A24" s="269"/>
      <c r="B24" s="20"/>
      <c r="C24" s="20"/>
      <c r="D24" s="34"/>
      <c r="E24" s="307" t="s">
        <v>297</v>
      </c>
      <c r="F24" s="308"/>
      <c r="G24" s="308"/>
      <c r="H24" s="308"/>
      <c r="I24" s="308"/>
      <c r="J24" s="308"/>
      <c r="K24" s="308"/>
      <c r="L24" s="308"/>
      <c r="M24" s="308"/>
      <c r="N24" s="308"/>
      <c r="O24" s="297"/>
      <c r="P24" s="308"/>
      <c r="Q24" s="308"/>
      <c r="R24" s="308"/>
      <c r="S24" s="308"/>
      <c r="T24" s="297"/>
      <c r="U24" s="308"/>
      <c r="V24" s="308"/>
      <c r="W24" s="308"/>
      <c r="X24" s="308"/>
      <c r="Y24" s="297"/>
      <c r="Z24" s="308"/>
      <c r="AA24" s="308"/>
      <c r="AB24" s="308"/>
      <c r="AC24" s="308"/>
      <c r="AD24" s="297"/>
      <c r="AE24" s="308"/>
      <c r="AF24" s="308"/>
      <c r="AG24" s="309"/>
      <c r="AH24" s="299">
        <v>1871.0</v>
      </c>
      <c r="AI24" s="300"/>
      <c r="AJ24" s="15"/>
      <c r="AK24" s="15"/>
      <c r="AL24" s="16"/>
      <c r="AM24" s="310"/>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79"/>
      <c r="BK24" s="279"/>
      <c r="BL24" s="279"/>
      <c r="BM24" s="279"/>
      <c r="BN24" s="279"/>
      <c r="BO24" s="279"/>
      <c r="BP24" s="279"/>
      <c r="BQ24" s="279"/>
    </row>
    <row r="25" ht="12.75" customHeight="1">
      <c r="A25" s="269"/>
      <c r="B25" s="20"/>
      <c r="C25" s="20"/>
      <c r="D25" s="311">
        <v>9.0</v>
      </c>
      <c r="E25" s="314" t="s">
        <v>298</v>
      </c>
      <c r="F25" s="315"/>
      <c r="G25" s="315"/>
      <c r="H25" s="315"/>
      <c r="I25" s="315"/>
      <c r="J25" s="315"/>
      <c r="K25" s="315"/>
      <c r="L25" s="315"/>
      <c r="M25" s="316"/>
      <c r="N25" s="288">
        <v>1633.0</v>
      </c>
      <c r="O25" s="289">
        <f>+$O$26+$O$27+$O$29</f>
        <v>0</v>
      </c>
      <c r="P25" s="15"/>
      <c r="Q25" s="15"/>
      <c r="R25" s="16"/>
      <c r="S25" s="288">
        <v>1105.0</v>
      </c>
      <c r="T25" s="289">
        <f>+$T$26+$T$27+$T$29</f>
        <v>0</v>
      </c>
      <c r="U25" s="15"/>
      <c r="V25" s="15"/>
      <c r="W25" s="16"/>
      <c r="X25" s="288">
        <v>1634.0</v>
      </c>
      <c r="Y25" s="289">
        <f>+$Y$26+$Y$27+$Y$29</f>
        <v>0</v>
      </c>
      <c r="Z25" s="15"/>
      <c r="AA25" s="15"/>
      <c r="AB25" s="16"/>
      <c r="AC25" s="288">
        <v>606.0</v>
      </c>
      <c r="AD25" s="289">
        <f>+$AD$26+$AD$27+$AD$29</f>
        <v>0</v>
      </c>
      <c r="AE25" s="15"/>
      <c r="AF25" s="15"/>
      <c r="AG25" s="16"/>
      <c r="AH25" s="288">
        <v>152.0</v>
      </c>
      <c r="AI25" s="289">
        <f>+SUM(AI26:$AL$29)</f>
        <v>0</v>
      </c>
      <c r="AJ25" s="15"/>
      <c r="AK25" s="15"/>
      <c r="AL25" s="16"/>
      <c r="AM25" s="295" t="s">
        <v>281</v>
      </c>
      <c r="AN25" s="279"/>
      <c r="AO25" s="279"/>
      <c r="AP25" s="279"/>
      <c r="AQ25" s="279"/>
      <c r="AR25" s="279"/>
      <c r="AS25" s="279"/>
      <c r="AT25" s="279"/>
      <c r="AU25" s="279"/>
      <c r="AV25" s="279"/>
      <c r="AW25" s="279"/>
      <c r="AX25" s="279"/>
      <c r="AY25" s="279"/>
      <c r="AZ25" s="279"/>
      <c r="BA25" s="279"/>
      <c r="BB25" s="279"/>
      <c r="BC25" s="279"/>
      <c r="BD25" s="279"/>
      <c r="BE25" s="279"/>
      <c r="BF25" s="279"/>
      <c r="BG25" s="279"/>
      <c r="BH25" s="279"/>
      <c r="BI25" s="279"/>
      <c r="BJ25" s="279"/>
      <c r="BK25" s="279"/>
      <c r="BL25" s="279"/>
      <c r="BM25" s="279"/>
      <c r="BN25" s="279"/>
      <c r="BO25" s="279"/>
      <c r="BP25" s="279"/>
      <c r="BQ25" s="279"/>
    </row>
    <row r="26" ht="12.75" customHeight="1">
      <c r="A26" s="269"/>
      <c r="B26" s="20"/>
      <c r="C26" s="20"/>
      <c r="D26" s="20"/>
      <c r="E26" s="296" t="s">
        <v>299</v>
      </c>
      <c r="F26" s="296"/>
      <c r="G26" s="296"/>
      <c r="H26" s="296"/>
      <c r="I26" s="296"/>
      <c r="J26" s="296"/>
      <c r="K26" s="296"/>
      <c r="L26" s="296"/>
      <c r="M26" s="296"/>
      <c r="N26" s="299">
        <v>1874.0</v>
      </c>
      <c r="O26" s="300"/>
      <c r="P26" s="15"/>
      <c r="Q26" s="15"/>
      <c r="R26" s="16"/>
      <c r="S26" s="299">
        <v>1875.0</v>
      </c>
      <c r="T26" s="300"/>
      <c r="U26" s="15"/>
      <c r="V26" s="15"/>
      <c r="W26" s="16"/>
      <c r="X26" s="299">
        <v>1876.0</v>
      </c>
      <c r="Y26" s="300"/>
      <c r="Z26" s="15"/>
      <c r="AA26" s="15"/>
      <c r="AB26" s="16"/>
      <c r="AC26" s="299">
        <v>1877.0</v>
      </c>
      <c r="AD26" s="300"/>
      <c r="AE26" s="15"/>
      <c r="AF26" s="15"/>
      <c r="AG26" s="16"/>
      <c r="AH26" s="299">
        <v>1878.0</v>
      </c>
      <c r="AI26" s="300"/>
      <c r="AJ26" s="15"/>
      <c r="AK26" s="15"/>
      <c r="AL26" s="16"/>
      <c r="AM26" s="301"/>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79"/>
      <c r="BK26" s="279"/>
      <c r="BL26" s="279"/>
      <c r="BM26" s="279"/>
      <c r="BN26" s="279"/>
      <c r="BO26" s="279"/>
      <c r="BP26" s="279"/>
      <c r="BQ26" s="279"/>
    </row>
    <row r="27" ht="12.75" customHeight="1">
      <c r="A27" s="269"/>
      <c r="B27" s="20"/>
      <c r="C27" s="20"/>
      <c r="D27" s="20"/>
      <c r="E27" s="317" t="s">
        <v>300</v>
      </c>
      <c r="F27" s="317"/>
      <c r="G27" s="317"/>
      <c r="H27" s="317"/>
      <c r="I27" s="317"/>
      <c r="J27" s="317"/>
      <c r="K27" s="317"/>
      <c r="L27" s="317"/>
      <c r="M27" s="317"/>
      <c r="N27" s="318">
        <v>1879.0</v>
      </c>
      <c r="O27" s="300"/>
      <c r="P27" s="15"/>
      <c r="Q27" s="15"/>
      <c r="R27" s="16"/>
      <c r="S27" s="318">
        <v>1880.0</v>
      </c>
      <c r="T27" s="300"/>
      <c r="U27" s="15"/>
      <c r="V27" s="15"/>
      <c r="W27" s="16"/>
      <c r="X27" s="318">
        <v>1881.0</v>
      </c>
      <c r="Y27" s="300"/>
      <c r="Z27" s="15"/>
      <c r="AA27" s="15"/>
      <c r="AB27" s="16"/>
      <c r="AC27" s="318">
        <v>1882.0</v>
      </c>
      <c r="AD27" s="300"/>
      <c r="AE27" s="15"/>
      <c r="AF27" s="15"/>
      <c r="AG27" s="16"/>
      <c r="AH27" s="299">
        <v>1883.0</v>
      </c>
      <c r="AI27" s="300"/>
      <c r="AJ27" s="15"/>
      <c r="AK27" s="15"/>
      <c r="AL27" s="16"/>
      <c r="AM27" s="301"/>
      <c r="AN27" s="279"/>
      <c r="AO27" s="279"/>
      <c r="AP27" s="279"/>
      <c r="AQ27" s="279"/>
      <c r="AR27" s="279"/>
      <c r="AS27" s="279"/>
      <c r="AT27" s="279"/>
      <c r="AU27" s="279"/>
      <c r="AV27" s="279"/>
      <c r="AW27" s="279"/>
      <c r="AX27" s="279"/>
      <c r="AY27" s="279"/>
      <c r="AZ27" s="279"/>
      <c r="BA27" s="279"/>
      <c r="BB27" s="279"/>
      <c r="BC27" s="279"/>
      <c r="BD27" s="279"/>
      <c r="BE27" s="279"/>
      <c r="BF27" s="279"/>
      <c r="BG27" s="279"/>
      <c r="BH27" s="279"/>
      <c r="BI27" s="279"/>
      <c r="BJ27" s="279"/>
      <c r="BK27" s="279"/>
      <c r="BL27" s="279"/>
      <c r="BM27" s="279"/>
      <c r="BN27" s="279"/>
      <c r="BO27" s="279"/>
      <c r="BP27" s="279"/>
      <c r="BQ27" s="279"/>
    </row>
    <row r="28" ht="12.75" customHeight="1">
      <c r="A28" s="269"/>
      <c r="B28" s="20"/>
      <c r="C28" s="20"/>
      <c r="D28" s="20"/>
      <c r="E28" s="307" t="s">
        <v>301</v>
      </c>
      <c r="F28" s="308"/>
      <c r="G28" s="308"/>
      <c r="H28" s="308"/>
      <c r="I28" s="308"/>
      <c r="J28" s="308"/>
      <c r="K28" s="308"/>
      <c r="L28" s="308"/>
      <c r="M28" s="308"/>
      <c r="N28" s="308"/>
      <c r="O28" s="297"/>
      <c r="P28" s="308"/>
      <c r="Q28" s="308"/>
      <c r="R28" s="308"/>
      <c r="S28" s="308"/>
      <c r="T28" s="297"/>
      <c r="U28" s="308"/>
      <c r="V28" s="308"/>
      <c r="W28" s="308"/>
      <c r="X28" s="308"/>
      <c r="Y28" s="297"/>
      <c r="Z28" s="308"/>
      <c r="AA28" s="308"/>
      <c r="AB28" s="308"/>
      <c r="AC28" s="308"/>
      <c r="AD28" s="297"/>
      <c r="AE28" s="308"/>
      <c r="AF28" s="308"/>
      <c r="AG28" s="309"/>
      <c r="AH28" s="299">
        <v>1884.0</v>
      </c>
      <c r="AI28" s="300"/>
      <c r="AJ28" s="15"/>
      <c r="AK28" s="15"/>
      <c r="AL28" s="16"/>
      <c r="AM28" s="301"/>
      <c r="AN28" s="279"/>
      <c r="AO28" s="279"/>
      <c r="AP28" s="279"/>
      <c r="AQ28" s="279"/>
      <c r="AR28" s="279"/>
      <c r="AS28" s="279"/>
      <c r="AT28" s="279"/>
      <c r="AU28" s="279"/>
      <c r="AV28" s="279"/>
      <c r="AW28" s="279"/>
      <c r="AX28" s="279"/>
      <c r="AY28" s="279"/>
      <c r="AZ28" s="279"/>
      <c r="BA28" s="279"/>
      <c r="BB28" s="279"/>
      <c r="BC28" s="279"/>
      <c r="BD28" s="279"/>
      <c r="BE28" s="279"/>
      <c r="BF28" s="279"/>
      <c r="BG28" s="279"/>
      <c r="BH28" s="279"/>
      <c r="BI28" s="279"/>
      <c r="BJ28" s="279"/>
      <c r="BK28" s="279"/>
      <c r="BL28" s="279"/>
      <c r="BM28" s="279"/>
      <c r="BN28" s="279"/>
      <c r="BO28" s="279"/>
      <c r="BP28" s="279"/>
      <c r="BQ28" s="279"/>
    </row>
    <row r="29" ht="12.75" customHeight="1">
      <c r="A29" s="269"/>
      <c r="B29" s="20"/>
      <c r="C29" s="20"/>
      <c r="D29" s="34"/>
      <c r="E29" s="302" t="s">
        <v>302</v>
      </c>
      <c r="F29" s="303"/>
      <c r="G29" s="303"/>
      <c r="H29" s="303"/>
      <c r="I29" s="303"/>
      <c r="J29" s="303"/>
      <c r="K29" s="303"/>
      <c r="L29" s="303"/>
      <c r="M29" s="305"/>
      <c r="N29" s="319">
        <v>1885.0</v>
      </c>
      <c r="O29" s="300"/>
      <c r="P29" s="15"/>
      <c r="Q29" s="15"/>
      <c r="R29" s="16"/>
      <c r="S29" s="319">
        <v>1886.0</v>
      </c>
      <c r="T29" s="300"/>
      <c r="U29" s="15"/>
      <c r="V29" s="15"/>
      <c r="W29" s="16"/>
      <c r="X29" s="319">
        <v>1887.0</v>
      </c>
      <c r="Y29" s="300"/>
      <c r="Z29" s="15"/>
      <c r="AA29" s="15"/>
      <c r="AB29" s="16"/>
      <c r="AC29" s="319">
        <v>1888.0</v>
      </c>
      <c r="AD29" s="300"/>
      <c r="AE29" s="15"/>
      <c r="AF29" s="15"/>
      <c r="AG29" s="16"/>
      <c r="AH29" s="299">
        <v>1889.0</v>
      </c>
      <c r="AI29" s="300"/>
      <c r="AJ29" s="15"/>
      <c r="AK29" s="15"/>
      <c r="AL29" s="16"/>
      <c r="AM29" s="310"/>
      <c r="AN29" s="279"/>
      <c r="AO29" s="279"/>
      <c r="AP29" s="279"/>
      <c r="AQ29" s="279"/>
      <c r="AR29" s="279"/>
      <c r="AS29" s="279"/>
      <c r="AT29" s="279"/>
      <c r="AU29" s="279"/>
      <c r="AV29" s="279"/>
      <c r="AW29" s="279"/>
      <c r="AX29" s="279"/>
      <c r="AY29" s="279"/>
      <c r="AZ29" s="279"/>
      <c r="BA29" s="279"/>
      <c r="BB29" s="279"/>
      <c r="BC29" s="279"/>
      <c r="BD29" s="279"/>
      <c r="BE29" s="279"/>
      <c r="BF29" s="279"/>
      <c r="BG29" s="279"/>
      <c r="BH29" s="279"/>
      <c r="BI29" s="279"/>
      <c r="BJ29" s="279"/>
      <c r="BK29" s="279"/>
      <c r="BL29" s="279"/>
      <c r="BM29" s="279"/>
      <c r="BN29" s="279"/>
      <c r="BO29" s="279"/>
      <c r="BP29" s="279"/>
      <c r="BQ29" s="279"/>
    </row>
    <row r="30" ht="12.75" customHeight="1">
      <c r="A30" s="269"/>
      <c r="B30" s="20"/>
      <c r="C30" s="20"/>
      <c r="D30" s="284">
        <v>10.0</v>
      </c>
      <c r="E30" s="285" t="s">
        <v>303</v>
      </c>
      <c r="F30" s="286"/>
      <c r="G30" s="286"/>
      <c r="H30" s="286"/>
      <c r="I30" s="286"/>
      <c r="J30" s="286"/>
      <c r="K30" s="286"/>
      <c r="L30" s="286"/>
      <c r="M30" s="286"/>
      <c r="N30" s="286"/>
      <c r="O30" s="286"/>
      <c r="P30" s="286"/>
      <c r="Q30" s="286"/>
      <c r="R30" s="286"/>
      <c r="S30" s="286"/>
      <c r="T30" s="286"/>
      <c r="U30" s="286"/>
      <c r="V30" s="286"/>
      <c r="W30" s="287"/>
      <c r="X30" s="290">
        <v>1635.0</v>
      </c>
      <c r="Y30" s="289"/>
      <c r="Z30" s="15"/>
      <c r="AA30" s="15"/>
      <c r="AB30" s="16"/>
      <c r="AC30" s="290">
        <v>1031.0</v>
      </c>
      <c r="AD30" s="289"/>
      <c r="AE30" s="15"/>
      <c r="AF30" s="15"/>
      <c r="AG30" s="16"/>
      <c r="AH30" s="290">
        <v>1032.0</v>
      </c>
      <c r="AI30" s="289"/>
      <c r="AJ30" s="15"/>
      <c r="AK30" s="15"/>
      <c r="AL30" s="16"/>
      <c r="AM30" s="320" t="s">
        <v>281</v>
      </c>
      <c r="AN30" s="279"/>
      <c r="AO30" s="279"/>
      <c r="AP30" s="279"/>
      <c r="AQ30" s="279"/>
      <c r="AR30" s="279"/>
      <c r="AS30" s="279"/>
      <c r="AT30" s="279"/>
      <c r="AU30" s="279"/>
      <c r="AV30" s="279"/>
      <c r="AW30" s="279"/>
      <c r="AX30" s="279"/>
      <c r="AY30" s="279"/>
      <c r="AZ30" s="279"/>
      <c r="BA30" s="279"/>
      <c r="BB30" s="279"/>
      <c r="BC30" s="279"/>
      <c r="BD30" s="279"/>
      <c r="BE30" s="279"/>
      <c r="BF30" s="279"/>
      <c r="BG30" s="279"/>
      <c r="BH30" s="279"/>
      <c r="BI30" s="279"/>
      <c r="BJ30" s="279"/>
      <c r="BK30" s="279"/>
      <c r="BL30" s="279"/>
      <c r="BM30" s="279"/>
      <c r="BN30" s="279"/>
      <c r="BO30" s="279"/>
      <c r="BP30" s="279"/>
      <c r="BQ30" s="279"/>
    </row>
    <row r="31" ht="12.75" customHeight="1">
      <c r="A31" s="269"/>
      <c r="B31" s="20"/>
      <c r="C31" s="20"/>
      <c r="D31" s="321">
        <v>11.0</v>
      </c>
      <c r="E31" s="322" t="s">
        <v>304</v>
      </c>
      <c r="F31" s="323"/>
      <c r="G31" s="323"/>
      <c r="H31" s="323"/>
      <c r="I31" s="323"/>
      <c r="J31" s="323"/>
      <c r="K31" s="323"/>
      <c r="L31" s="323"/>
      <c r="M31" s="323"/>
      <c r="N31" s="323"/>
      <c r="O31" s="323"/>
      <c r="P31" s="323"/>
      <c r="Q31" s="323"/>
      <c r="R31" s="323"/>
      <c r="S31" s="323"/>
      <c r="T31" s="323"/>
      <c r="U31" s="323"/>
      <c r="V31" s="323"/>
      <c r="W31" s="323"/>
      <c r="X31" s="323"/>
      <c r="Y31" s="323"/>
      <c r="Z31" s="323"/>
      <c r="AA31" s="323"/>
      <c r="AB31" s="324"/>
      <c r="AC31" s="299">
        <v>1890.0</v>
      </c>
      <c r="AD31" s="300"/>
      <c r="AE31" s="15"/>
      <c r="AF31" s="15"/>
      <c r="AG31" s="16"/>
      <c r="AH31" s="299">
        <v>1891.0</v>
      </c>
      <c r="AI31" s="300"/>
      <c r="AJ31" s="15"/>
      <c r="AK31" s="15"/>
      <c r="AL31" s="16"/>
      <c r="AM31" s="320" t="s">
        <v>281</v>
      </c>
      <c r="AN31" s="279"/>
      <c r="AO31" s="279"/>
      <c r="AP31" s="279"/>
      <c r="AQ31" s="279"/>
      <c r="AR31" s="279"/>
      <c r="AS31" s="279"/>
      <c r="AT31" s="279"/>
      <c r="AU31" s="279"/>
      <c r="AV31" s="279"/>
      <c r="AW31" s="279"/>
      <c r="AX31" s="279"/>
      <c r="AY31" s="279"/>
      <c r="AZ31" s="279"/>
      <c r="BA31" s="279"/>
      <c r="BB31" s="279"/>
      <c r="BC31" s="279"/>
      <c r="BD31" s="279"/>
      <c r="BE31" s="279"/>
      <c r="BF31" s="279"/>
      <c r="BG31" s="279"/>
      <c r="BH31" s="279"/>
      <c r="BI31" s="279"/>
      <c r="BJ31" s="279"/>
      <c r="BK31" s="279"/>
      <c r="BL31" s="279"/>
      <c r="BM31" s="279"/>
      <c r="BN31" s="279"/>
      <c r="BO31" s="279"/>
      <c r="BP31" s="279"/>
      <c r="BQ31" s="279"/>
    </row>
    <row r="32" ht="12.75" customHeight="1">
      <c r="A32" s="269"/>
      <c r="B32" s="20"/>
      <c r="C32" s="20"/>
      <c r="D32" s="284">
        <v>12.0</v>
      </c>
      <c r="E32" s="285" t="s">
        <v>305</v>
      </c>
      <c r="F32" s="286"/>
      <c r="G32" s="286"/>
      <c r="H32" s="286"/>
      <c r="I32" s="286"/>
      <c r="J32" s="286"/>
      <c r="K32" s="286"/>
      <c r="L32" s="286"/>
      <c r="M32" s="286"/>
      <c r="N32" s="286"/>
      <c r="O32" s="286"/>
      <c r="P32" s="286"/>
      <c r="Q32" s="286"/>
      <c r="R32" s="286"/>
      <c r="S32" s="286"/>
      <c r="T32" s="286"/>
      <c r="U32" s="286"/>
      <c r="V32" s="286"/>
      <c r="W32" s="286"/>
      <c r="X32" s="286"/>
      <c r="Y32" s="286"/>
      <c r="Z32" s="286"/>
      <c r="AA32" s="286"/>
      <c r="AB32" s="287"/>
      <c r="AC32" s="299">
        <v>1914.0</v>
      </c>
      <c r="AD32" s="300"/>
      <c r="AE32" s="15"/>
      <c r="AF32" s="15"/>
      <c r="AG32" s="16"/>
      <c r="AH32" s="290">
        <v>1104.0</v>
      </c>
      <c r="AI32" s="289"/>
      <c r="AJ32" s="15"/>
      <c r="AK32" s="15"/>
      <c r="AL32" s="16"/>
      <c r="AM32" s="291" t="s">
        <v>281</v>
      </c>
      <c r="AN32" s="279"/>
      <c r="AO32" s="279"/>
      <c r="AP32" s="279"/>
      <c r="AQ32" s="279"/>
      <c r="AR32" s="279"/>
      <c r="AS32" s="279"/>
      <c r="AT32" s="279"/>
      <c r="AU32" s="279"/>
      <c r="AV32" s="279"/>
      <c r="AW32" s="279"/>
      <c r="AX32" s="279"/>
      <c r="AY32" s="279"/>
      <c r="AZ32" s="279"/>
      <c r="BA32" s="279"/>
      <c r="BB32" s="279"/>
      <c r="BC32" s="279"/>
      <c r="BD32" s="279"/>
      <c r="BE32" s="279"/>
      <c r="BF32" s="279"/>
      <c r="BG32" s="279"/>
      <c r="BH32" s="279"/>
      <c r="BI32" s="279"/>
      <c r="BJ32" s="279"/>
      <c r="BK32" s="279"/>
      <c r="BL32" s="279"/>
      <c r="BM32" s="279"/>
      <c r="BN32" s="279"/>
      <c r="BO32" s="279"/>
      <c r="BP32" s="279"/>
      <c r="BQ32" s="279"/>
    </row>
    <row r="33" ht="12.75" customHeight="1">
      <c r="A33" s="269"/>
      <c r="B33" s="20"/>
      <c r="C33" s="20"/>
      <c r="D33" s="284">
        <v>13.0</v>
      </c>
      <c r="E33" s="325" t="s">
        <v>306</v>
      </c>
      <c r="F33" s="326"/>
      <c r="G33" s="326"/>
      <c r="H33" s="326"/>
      <c r="I33" s="326"/>
      <c r="J33" s="326"/>
      <c r="K33" s="326"/>
      <c r="L33" s="326"/>
      <c r="M33" s="327"/>
      <c r="N33" s="288">
        <v>1098.0</v>
      </c>
      <c r="O33" s="289"/>
      <c r="P33" s="15"/>
      <c r="Q33" s="15"/>
      <c r="R33" s="16"/>
      <c r="S33" s="285" t="s">
        <v>307</v>
      </c>
      <c r="T33" s="286"/>
      <c r="U33" s="286"/>
      <c r="V33" s="286"/>
      <c r="W33" s="286"/>
      <c r="X33" s="286"/>
      <c r="Y33" s="287"/>
      <c r="Z33" s="292"/>
      <c r="AA33" s="292"/>
      <c r="AB33" s="328"/>
      <c r="AC33" s="290">
        <v>1030.0</v>
      </c>
      <c r="AD33" s="289"/>
      <c r="AE33" s="15"/>
      <c r="AF33" s="15"/>
      <c r="AG33" s="16"/>
      <c r="AH33" s="290">
        <v>161.0</v>
      </c>
      <c r="AI33" s="289">
        <f>+$O$33+$AD$33</f>
        <v>0</v>
      </c>
      <c r="AJ33" s="15"/>
      <c r="AK33" s="15"/>
      <c r="AL33" s="16"/>
      <c r="AM33" s="291" t="s">
        <v>281</v>
      </c>
      <c r="AN33" s="279"/>
      <c r="AO33" s="279"/>
      <c r="AP33" s="279"/>
      <c r="AQ33" s="279"/>
      <c r="AR33" s="279"/>
      <c r="AS33" s="279"/>
      <c r="AT33" s="279"/>
      <c r="AU33" s="279"/>
      <c r="AV33" s="279"/>
      <c r="AW33" s="279"/>
      <c r="AX33" s="279"/>
      <c r="AY33" s="279"/>
      <c r="AZ33" s="279"/>
      <c r="BA33" s="279"/>
      <c r="BB33" s="279"/>
      <c r="BC33" s="279"/>
      <c r="BD33" s="279"/>
      <c r="BE33" s="279"/>
      <c r="BF33" s="279"/>
      <c r="BG33" s="279"/>
      <c r="BH33" s="279"/>
      <c r="BI33" s="279"/>
      <c r="BJ33" s="279"/>
      <c r="BK33" s="279"/>
      <c r="BL33" s="279"/>
      <c r="BM33" s="279"/>
      <c r="BN33" s="279"/>
      <c r="BO33" s="279"/>
      <c r="BP33" s="279"/>
      <c r="BQ33" s="279"/>
    </row>
    <row r="34" ht="12.75" customHeight="1">
      <c r="A34" s="269"/>
      <c r="B34" s="20"/>
      <c r="C34" s="34"/>
      <c r="D34" s="284">
        <v>14.0</v>
      </c>
      <c r="E34" s="325" t="s">
        <v>308</v>
      </c>
      <c r="F34" s="326"/>
      <c r="G34" s="326"/>
      <c r="H34" s="326"/>
      <c r="I34" s="326"/>
      <c r="J34" s="326"/>
      <c r="K34" s="326"/>
      <c r="L34" s="326"/>
      <c r="M34" s="327"/>
      <c r="N34" s="290">
        <v>159.0</v>
      </c>
      <c r="O34" s="289"/>
      <c r="P34" s="15"/>
      <c r="Q34" s="15"/>
      <c r="R34" s="16"/>
      <c r="S34" s="312" t="s">
        <v>309</v>
      </c>
      <c r="T34" s="312"/>
      <c r="U34" s="312"/>
      <c r="V34" s="312"/>
      <c r="W34" s="312"/>
      <c r="X34" s="292"/>
      <c r="Y34" s="329"/>
      <c r="Z34" s="292"/>
      <c r="AA34" s="292"/>
      <c r="AB34" s="328"/>
      <c r="AC34" s="290">
        <v>748.0</v>
      </c>
      <c r="AD34" s="289"/>
      <c r="AE34" s="15"/>
      <c r="AF34" s="15"/>
      <c r="AG34" s="16"/>
      <c r="AH34" s="290">
        <v>749.0</v>
      </c>
      <c r="AI34" s="289">
        <f>+$O$34+AD34</f>
        <v>0</v>
      </c>
      <c r="AJ34" s="15"/>
      <c r="AK34" s="15"/>
      <c r="AL34" s="16"/>
      <c r="AM34" s="291" t="s">
        <v>281</v>
      </c>
      <c r="AN34" s="279"/>
      <c r="AO34" s="279"/>
      <c r="AP34" s="279"/>
      <c r="AQ34" s="279"/>
      <c r="AR34" s="279"/>
      <c r="AS34" s="279"/>
      <c r="AT34" s="279"/>
      <c r="AU34" s="279"/>
      <c r="AV34" s="279"/>
      <c r="AW34" s="279"/>
      <c r="AX34" s="279"/>
      <c r="AY34" s="279"/>
      <c r="AZ34" s="279"/>
      <c r="BA34" s="279"/>
      <c r="BB34" s="279"/>
      <c r="BC34" s="279"/>
      <c r="BD34" s="279"/>
      <c r="BE34" s="279"/>
      <c r="BF34" s="279"/>
      <c r="BG34" s="279"/>
      <c r="BH34" s="279"/>
      <c r="BI34" s="279"/>
      <c r="BJ34" s="279"/>
      <c r="BK34" s="279"/>
      <c r="BL34" s="279"/>
      <c r="BM34" s="279"/>
      <c r="BN34" s="279"/>
      <c r="BO34" s="279"/>
      <c r="BP34" s="279"/>
      <c r="BQ34" s="279"/>
    </row>
    <row r="35" ht="12.75" customHeight="1">
      <c r="A35" s="269"/>
      <c r="B35" s="20"/>
      <c r="C35" s="330" t="s">
        <v>310</v>
      </c>
      <c r="D35" s="321">
        <v>15.0</v>
      </c>
      <c r="E35" s="307" t="s">
        <v>311</v>
      </c>
      <c r="F35" s="308"/>
      <c r="G35" s="308"/>
      <c r="H35" s="308"/>
      <c r="I35" s="308"/>
      <c r="J35" s="308"/>
      <c r="K35" s="308"/>
      <c r="L35" s="308"/>
      <c r="M35" s="308"/>
      <c r="N35" s="308"/>
      <c r="O35" s="308"/>
      <c r="P35" s="308"/>
      <c r="Q35" s="308"/>
      <c r="R35" s="308"/>
      <c r="S35" s="308"/>
      <c r="T35" s="308"/>
      <c r="U35" s="308"/>
      <c r="V35" s="308"/>
      <c r="W35" s="308"/>
      <c r="X35" s="308"/>
      <c r="Y35" s="308"/>
      <c r="Z35" s="297"/>
      <c r="AA35" s="297"/>
      <c r="AB35" s="297"/>
      <c r="AC35" s="308"/>
      <c r="AD35" s="297"/>
      <c r="AE35" s="308"/>
      <c r="AF35" s="308"/>
      <c r="AG35" s="309"/>
      <c r="AH35" s="299">
        <v>166.0</v>
      </c>
      <c r="AI35" s="300"/>
      <c r="AJ35" s="15"/>
      <c r="AK35" s="15"/>
      <c r="AL35" s="16"/>
      <c r="AM35" s="291" t="s">
        <v>312</v>
      </c>
      <c r="AN35" s="279"/>
      <c r="AO35" s="279"/>
      <c r="AP35" s="279"/>
      <c r="AQ35" s="279"/>
      <c r="AR35" s="279"/>
      <c r="AS35" s="279"/>
      <c r="AT35" s="279"/>
      <c r="AU35" s="279"/>
      <c r="AV35" s="279"/>
      <c r="AW35" s="279"/>
      <c r="AX35" s="279"/>
      <c r="AY35" s="279"/>
      <c r="AZ35" s="279"/>
      <c r="BA35" s="279"/>
      <c r="BB35" s="279"/>
      <c r="BC35" s="279"/>
      <c r="BD35" s="279"/>
      <c r="BE35" s="279"/>
      <c r="BF35" s="279"/>
      <c r="BG35" s="279"/>
      <c r="BH35" s="279"/>
      <c r="BI35" s="279"/>
      <c r="BJ35" s="279"/>
      <c r="BK35" s="279"/>
      <c r="BL35" s="279"/>
      <c r="BM35" s="279"/>
      <c r="BN35" s="279"/>
      <c r="BO35" s="279"/>
      <c r="BP35" s="279"/>
      <c r="BQ35" s="279"/>
    </row>
    <row r="36" ht="12.75" customHeight="1">
      <c r="A36" s="269"/>
      <c r="B36" s="20"/>
      <c r="C36" s="20"/>
      <c r="D36" s="321">
        <v>16.0</v>
      </c>
      <c r="E36" s="307" t="s">
        <v>313</v>
      </c>
      <c r="F36" s="308"/>
      <c r="G36" s="308"/>
      <c r="H36" s="308"/>
      <c r="I36" s="308"/>
      <c r="J36" s="308"/>
      <c r="K36" s="308"/>
      <c r="L36" s="308"/>
      <c r="M36" s="308"/>
      <c r="N36" s="308"/>
      <c r="O36" s="308"/>
      <c r="P36" s="308"/>
      <c r="Q36" s="308"/>
      <c r="R36" s="308"/>
      <c r="S36" s="308"/>
      <c r="T36" s="308"/>
      <c r="U36" s="308"/>
      <c r="V36" s="308"/>
      <c r="W36" s="308"/>
      <c r="X36" s="308"/>
      <c r="Y36" s="308"/>
      <c r="Z36" s="297"/>
      <c r="AA36" s="297"/>
      <c r="AB36" s="297"/>
      <c r="AC36" s="308"/>
      <c r="AD36" s="297"/>
      <c r="AE36" s="308"/>
      <c r="AF36" s="308"/>
      <c r="AG36" s="309"/>
      <c r="AH36" s="299">
        <v>907.0</v>
      </c>
      <c r="AI36" s="300"/>
      <c r="AJ36" s="15"/>
      <c r="AK36" s="15"/>
      <c r="AL36" s="16"/>
      <c r="AM36" s="291" t="s">
        <v>312</v>
      </c>
      <c r="AN36" s="279"/>
      <c r="AO36" s="279"/>
      <c r="AP36" s="279"/>
      <c r="AQ36" s="279"/>
      <c r="AR36" s="279"/>
      <c r="AS36" s="279"/>
      <c r="AT36" s="279"/>
      <c r="AU36" s="279"/>
      <c r="AV36" s="279"/>
      <c r="AW36" s="279"/>
      <c r="AX36" s="279"/>
      <c r="AY36" s="279"/>
      <c r="AZ36" s="279"/>
      <c r="BA36" s="279"/>
      <c r="BB36" s="279"/>
      <c r="BC36" s="279"/>
      <c r="BD36" s="279"/>
      <c r="BE36" s="279"/>
      <c r="BF36" s="279"/>
      <c r="BG36" s="279"/>
      <c r="BH36" s="279"/>
      <c r="BI36" s="279"/>
      <c r="BJ36" s="279"/>
      <c r="BK36" s="279"/>
      <c r="BL36" s="279"/>
      <c r="BM36" s="279"/>
      <c r="BN36" s="279"/>
      <c r="BO36" s="279"/>
      <c r="BP36" s="279"/>
      <c r="BQ36" s="279"/>
    </row>
    <row r="37" ht="12.75" customHeight="1">
      <c r="A37" s="269"/>
      <c r="B37" s="20"/>
      <c r="C37" s="20"/>
      <c r="D37" s="284">
        <v>17.0</v>
      </c>
      <c r="E37" s="285" t="s">
        <v>314</v>
      </c>
      <c r="F37" s="286"/>
      <c r="G37" s="286"/>
      <c r="H37" s="286"/>
      <c r="I37" s="286"/>
      <c r="J37" s="286"/>
      <c r="K37" s="286"/>
      <c r="L37" s="286"/>
      <c r="M37" s="286"/>
      <c r="N37" s="286"/>
      <c r="O37" s="286"/>
      <c r="P37" s="286"/>
      <c r="Q37" s="286"/>
      <c r="R37" s="286"/>
      <c r="S37" s="286"/>
      <c r="T37" s="286"/>
      <c r="U37" s="286"/>
      <c r="V37" s="286"/>
      <c r="W37" s="286"/>
      <c r="X37" s="286"/>
      <c r="Y37" s="286"/>
      <c r="Z37" s="292"/>
      <c r="AA37" s="292"/>
      <c r="AB37" s="292"/>
      <c r="AC37" s="286"/>
      <c r="AD37" s="292"/>
      <c r="AE37" s="286"/>
      <c r="AF37" s="286"/>
      <c r="AG37" s="287"/>
      <c r="AH37" s="290">
        <v>169.0</v>
      </c>
      <c r="AI37" s="289"/>
      <c r="AJ37" s="15"/>
      <c r="AK37" s="15"/>
      <c r="AL37" s="16"/>
      <c r="AM37" s="291" t="s">
        <v>312</v>
      </c>
      <c r="AN37" s="279"/>
      <c r="AO37" s="279"/>
      <c r="AP37" s="279"/>
      <c r="AQ37" s="279"/>
      <c r="AR37" s="279"/>
      <c r="AS37" s="279"/>
      <c r="AT37" s="279"/>
      <c r="AU37" s="279"/>
      <c r="AV37" s="279"/>
      <c r="AW37" s="279"/>
      <c r="AX37" s="279"/>
      <c r="AY37" s="279"/>
      <c r="AZ37" s="279"/>
      <c r="BA37" s="279"/>
      <c r="BB37" s="279"/>
      <c r="BC37" s="279"/>
      <c r="BD37" s="279"/>
      <c r="BE37" s="279"/>
      <c r="BF37" s="279"/>
      <c r="BG37" s="279"/>
      <c r="BH37" s="279"/>
      <c r="BI37" s="279"/>
      <c r="BJ37" s="279"/>
      <c r="BK37" s="279"/>
      <c r="BL37" s="279"/>
      <c r="BM37" s="279"/>
      <c r="BN37" s="279"/>
      <c r="BO37" s="279"/>
      <c r="BP37" s="279"/>
      <c r="BQ37" s="279"/>
    </row>
    <row r="38" ht="12.75" customHeight="1">
      <c r="A38" s="269"/>
      <c r="B38" s="20"/>
      <c r="C38" s="20"/>
      <c r="D38" s="284">
        <v>18.0</v>
      </c>
      <c r="E38" s="285" t="s">
        <v>315</v>
      </c>
      <c r="F38" s="286"/>
      <c r="G38" s="286"/>
      <c r="H38" s="286"/>
      <c r="I38" s="286"/>
      <c r="J38" s="286"/>
      <c r="K38" s="286"/>
      <c r="L38" s="286"/>
      <c r="M38" s="286"/>
      <c r="N38" s="286"/>
      <c r="O38" s="286"/>
      <c r="P38" s="286"/>
      <c r="Q38" s="286"/>
      <c r="R38" s="286"/>
      <c r="S38" s="286"/>
      <c r="T38" s="286"/>
      <c r="U38" s="286"/>
      <c r="V38" s="286"/>
      <c r="W38" s="286"/>
      <c r="X38" s="286"/>
      <c r="Y38" s="286"/>
      <c r="Z38" s="292"/>
      <c r="AA38" s="292"/>
      <c r="AB38" s="292"/>
      <c r="AC38" s="286"/>
      <c r="AD38" s="292"/>
      <c r="AE38" s="286"/>
      <c r="AF38" s="286"/>
      <c r="AG38" s="287"/>
      <c r="AH38" s="290">
        <v>1833.0</v>
      </c>
      <c r="AI38" s="289"/>
      <c r="AJ38" s="15"/>
      <c r="AK38" s="15"/>
      <c r="AL38" s="16"/>
      <c r="AM38" s="291" t="s">
        <v>312</v>
      </c>
      <c r="AN38" s="279"/>
      <c r="AO38" s="279"/>
      <c r="AP38" s="279"/>
      <c r="AQ38" s="279"/>
      <c r="AR38" s="279"/>
      <c r="AS38" s="279"/>
      <c r="AT38" s="279"/>
      <c r="AU38" s="279"/>
      <c r="AV38" s="279"/>
      <c r="AW38" s="279"/>
      <c r="AX38" s="279"/>
      <c r="AY38" s="279"/>
      <c r="AZ38" s="279"/>
      <c r="BA38" s="279"/>
      <c r="BB38" s="279"/>
      <c r="BC38" s="279"/>
      <c r="BD38" s="279"/>
      <c r="BE38" s="279"/>
      <c r="BF38" s="279"/>
      <c r="BG38" s="279"/>
      <c r="BH38" s="279"/>
      <c r="BI38" s="279"/>
      <c r="BJ38" s="279"/>
      <c r="BK38" s="279"/>
      <c r="BL38" s="279"/>
      <c r="BM38" s="279"/>
      <c r="BN38" s="279"/>
      <c r="BO38" s="279"/>
      <c r="BP38" s="279"/>
      <c r="BQ38" s="279"/>
    </row>
    <row r="39" ht="12.75" customHeight="1">
      <c r="A39" s="331"/>
      <c r="B39" s="20"/>
      <c r="C39" s="20"/>
      <c r="D39" s="290">
        <v>19.0</v>
      </c>
      <c r="E39" s="332" t="s">
        <v>316</v>
      </c>
      <c r="F39" s="333"/>
      <c r="G39" s="333"/>
      <c r="H39" s="333"/>
      <c r="I39" s="333"/>
      <c r="J39" s="333"/>
      <c r="K39" s="333"/>
      <c r="L39" s="333"/>
      <c r="M39" s="333"/>
      <c r="N39" s="333"/>
      <c r="O39" s="333"/>
      <c r="P39" s="333"/>
      <c r="Q39" s="333"/>
      <c r="R39" s="333"/>
      <c r="S39" s="333"/>
      <c r="T39" s="333"/>
      <c r="U39" s="333"/>
      <c r="V39" s="333"/>
      <c r="W39" s="333"/>
      <c r="X39" s="333"/>
      <c r="Y39" s="333"/>
      <c r="Z39" s="334"/>
      <c r="AA39" s="334"/>
      <c r="AB39" s="334"/>
      <c r="AC39" s="333"/>
      <c r="AD39" s="334"/>
      <c r="AE39" s="333"/>
      <c r="AF39" s="333"/>
      <c r="AG39" s="335"/>
      <c r="AH39" s="290">
        <v>158.0</v>
      </c>
      <c r="AI39" s="336">
        <f>+($AI$8+$AI$9+$AI$10+$AI$11+$AI$12+$AI$19+$AI$20+$AI$21+$AI$25)+SUM($AI$30:$AL$34)-SUM($AI$35:$AL$38)</f>
        <v>0</v>
      </c>
      <c r="AJ39" s="15"/>
      <c r="AK39" s="15"/>
      <c r="AL39" s="16"/>
      <c r="AM39" s="291" t="s">
        <v>317</v>
      </c>
      <c r="AN39" s="337"/>
      <c r="AO39" s="337"/>
      <c r="AP39" s="337"/>
      <c r="AQ39" s="337"/>
      <c r="AR39" s="337"/>
      <c r="AS39" s="337"/>
      <c r="AT39" s="337"/>
      <c r="AU39" s="337"/>
      <c r="AV39" s="337"/>
      <c r="AW39" s="337"/>
      <c r="AX39" s="337"/>
      <c r="AY39" s="337"/>
      <c r="AZ39" s="337"/>
      <c r="BA39" s="337"/>
      <c r="BB39" s="337"/>
      <c r="BC39" s="337"/>
      <c r="BD39" s="337"/>
      <c r="BE39" s="337"/>
      <c r="BF39" s="337"/>
      <c r="BG39" s="337"/>
      <c r="BH39" s="337"/>
      <c r="BI39" s="337"/>
      <c r="BJ39" s="337"/>
      <c r="BK39" s="337"/>
      <c r="BL39" s="337"/>
      <c r="BM39" s="337"/>
      <c r="BN39" s="337"/>
      <c r="BO39" s="337"/>
      <c r="BP39" s="337"/>
      <c r="BQ39" s="337"/>
    </row>
    <row r="40" ht="12.75" customHeight="1">
      <c r="A40" s="269"/>
      <c r="B40" s="20"/>
      <c r="C40" s="20"/>
      <c r="D40" s="284">
        <v>20.0</v>
      </c>
      <c r="E40" s="285" t="s">
        <v>318</v>
      </c>
      <c r="F40" s="286"/>
      <c r="G40" s="286"/>
      <c r="H40" s="286"/>
      <c r="I40" s="286"/>
      <c r="J40" s="286"/>
      <c r="K40" s="286"/>
      <c r="L40" s="286"/>
      <c r="M40" s="286"/>
      <c r="N40" s="286"/>
      <c r="O40" s="286"/>
      <c r="P40" s="286"/>
      <c r="Q40" s="286"/>
      <c r="R40" s="286"/>
      <c r="S40" s="286"/>
      <c r="T40" s="286"/>
      <c r="U40" s="286"/>
      <c r="V40" s="286"/>
      <c r="W40" s="286"/>
      <c r="X40" s="286"/>
      <c r="Y40" s="286"/>
      <c r="Z40" s="292"/>
      <c r="AA40" s="292"/>
      <c r="AB40" s="292"/>
      <c r="AC40" s="286"/>
      <c r="AD40" s="292"/>
      <c r="AE40" s="286"/>
      <c r="AF40" s="286"/>
      <c r="AG40" s="287"/>
      <c r="AH40" s="290">
        <v>111.0</v>
      </c>
      <c r="AI40" s="289"/>
      <c r="AJ40" s="15"/>
      <c r="AK40" s="15"/>
      <c r="AL40" s="16"/>
      <c r="AM40" s="338" t="s">
        <v>312</v>
      </c>
      <c r="AN40" s="279"/>
      <c r="AO40" s="279"/>
      <c r="AP40" s="279"/>
      <c r="AQ40" s="279"/>
      <c r="AR40" s="279"/>
      <c r="AS40" s="279"/>
      <c r="AT40" s="279"/>
      <c r="AU40" s="279"/>
      <c r="AV40" s="279"/>
      <c r="AW40" s="279"/>
      <c r="AX40" s="279"/>
      <c r="AY40" s="279"/>
      <c r="AZ40" s="279"/>
      <c r="BA40" s="279"/>
      <c r="BB40" s="279"/>
      <c r="BC40" s="279"/>
      <c r="BD40" s="279"/>
      <c r="BE40" s="279"/>
      <c r="BF40" s="279"/>
      <c r="BG40" s="279"/>
      <c r="BH40" s="279"/>
      <c r="BI40" s="279"/>
      <c r="BJ40" s="279"/>
      <c r="BK40" s="279"/>
      <c r="BL40" s="279"/>
      <c r="BM40" s="279"/>
      <c r="BN40" s="279"/>
      <c r="BO40" s="279"/>
      <c r="BP40" s="279"/>
      <c r="BQ40" s="279"/>
    </row>
    <row r="41" ht="12.75" customHeight="1">
      <c r="A41" s="269"/>
      <c r="B41" s="20"/>
      <c r="C41" s="20"/>
      <c r="D41" s="284">
        <v>21.0</v>
      </c>
      <c r="E41" s="294" t="s">
        <v>319</v>
      </c>
      <c r="F41" s="294"/>
      <c r="G41" s="294"/>
      <c r="H41" s="294"/>
      <c r="I41" s="294"/>
      <c r="J41" s="294"/>
      <c r="K41" s="294"/>
      <c r="L41" s="294"/>
      <c r="M41" s="6"/>
      <c r="N41" s="288">
        <v>750.0</v>
      </c>
      <c r="O41" s="289"/>
      <c r="P41" s="15"/>
      <c r="Q41" s="15"/>
      <c r="R41" s="16"/>
      <c r="S41" s="294" t="s">
        <v>320</v>
      </c>
      <c r="T41" s="294"/>
      <c r="U41" s="294"/>
      <c r="V41" s="294"/>
      <c r="W41" s="294"/>
      <c r="X41" s="6"/>
      <c r="Y41" s="339"/>
      <c r="Z41" s="6"/>
      <c r="AA41" s="6"/>
      <c r="AB41" s="6"/>
      <c r="AC41" s="288">
        <v>740.0</v>
      </c>
      <c r="AD41" s="289"/>
      <c r="AE41" s="15"/>
      <c r="AF41" s="15"/>
      <c r="AG41" s="16"/>
      <c r="AH41" s="290">
        <v>751.0</v>
      </c>
      <c r="AI41" s="289">
        <f>+$O$41+$AD$41</f>
        <v>0</v>
      </c>
      <c r="AJ41" s="15"/>
      <c r="AK41" s="15"/>
      <c r="AL41" s="16"/>
      <c r="AM41" s="291" t="s">
        <v>312</v>
      </c>
      <c r="AN41" s="279"/>
      <c r="AO41" s="279"/>
      <c r="AP41" s="279"/>
      <c r="AQ41" s="279"/>
      <c r="AR41" s="279"/>
      <c r="AS41" s="279"/>
      <c r="AT41" s="279"/>
      <c r="AU41" s="279"/>
      <c r="AV41" s="279"/>
      <c r="AW41" s="279"/>
      <c r="AX41" s="279"/>
      <c r="AY41" s="279"/>
      <c r="AZ41" s="279"/>
      <c r="BA41" s="279"/>
      <c r="BB41" s="279"/>
      <c r="BC41" s="279"/>
      <c r="BD41" s="279"/>
      <c r="BE41" s="279"/>
      <c r="BF41" s="279"/>
      <c r="BG41" s="279"/>
      <c r="BH41" s="279"/>
      <c r="BI41" s="279"/>
      <c r="BJ41" s="279"/>
      <c r="BK41" s="279"/>
      <c r="BL41" s="279"/>
      <c r="BM41" s="279"/>
      <c r="BN41" s="279"/>
      <c r="BO41" s="279"/>
      <c r="BP41" s="279"/>
      <c r="BQ41" s="279"/>
    </row>
    <row r="42" ht="12.75" customHeight="1">
      <c r="A42" s="269"/>
      <c r="B42" s="20"/>
      <c r="C42" s="20"/>
      <c r="D42" s="321">
        <v>22.0</v>
      </c>
      <c r="E42" s="322" t="s">
        <v>321</v>
      </c>
      <c r="F42" s="323"/>
      <c r="G42" s="323"/>
      <c r="H42" s="323"/>
      <c r="I42" s="323"/>
      <c r="J42" s="323"/>
      <c r="K42" s="323"/>
      <c r="L42" s="323"/>
      <c r="M42" s="323"/>
      <c r="N42" s="323"/>
      <c r="O42" s="323"/>
      <c r="P42" s="323"/>
      <c r="Q42" s="323"/>
      <c r="R42" s="323"/>
      <c r="S42" s="323"/>
      <c r="T42" s="323"/>
      <c r="U42" s="323"/>
      <c r="V42" s="323"/>
      <c r="W42" s="323"/>
      <c r="X42" s="323"/>
      <c r="Y42" s="323"/>
      <c r="Z42" s="323"/>
      <c r="AA42" s="323"/>
      <c r="AB42" s="323"/>
      <c r="AC42" s="323"/>
      <c r="AD42" s="323"/>
      <c r="AE42" s="323"/>
      <c r="AF42" s="323"/>
      <c r="AG42" s="324"/>
      <c r="AH42" s="299">
        <v>822.0</v>
      </c>
      <c r="AI42" s="300"/>
      <c r="AJ42" s="15"/>
      <c r="AK42" s="15"/>
      <c r="AL42" s="16"/>
      <c r="AM42" s="291" t="s">
        <v>312</v>
      </c>
      <c r="AN42" s="279"/>
      <c r="AO42" s="279"/>
      <c r="AP42" s="279"/>
      <c r="AQ42" s="279"/>
      <c r="AR42" s="279"/>
      <c r="AS42" s="279"/>
      <c r="AT42" s="279"/>
      <c r="AU42" s="279"/>
      <c r="AV42" s="279"/>
      <c r="AW42" s="279"/>
      <c r="AX42" s="279"/>
      <c r="AY42" s="279"/>
      <c r="AZ42" s="279"/>
      <c r="BA42" s="279"/>
      <c r="BB42" s="279"/>
      <c r="BC42" s="279"/>
      <c r="BD42" s="279"/>
      <c r="BE42" s="279"/>
      <c r="BF42" s="279"/>
      <c r="BG42" s="279"/>
      <c r="BH42" s="279"/>
      <c r="BI42" s="279"/>
      <c r="BJ42" s="279"/>
      <c r="BK42" s="279"/>
      <c r="BL42" s="279"/>
      <c r="BM42" s="279"/>
      <c r="BN42" s="279"/>
      <c r="BO42" s="279"/>
      <c r="BP42" s="279"/>
      <c r="BQ42" s="279"/>
    </row>
    <row r="43" ht="12.75" customHeight="1">
      <c r="A43" s="269"/>
      <c r="B43" s="34"/>
      <c r="C43" s="34"/>
      <c r="D43" s="321">
        <v>23.0</v>
      </c>
      <c r="E43" s="322" t="s">
        <v>322</v>
      </c>
      <c r="F43" s="323"/>
      <c r="G43" s="323"/>
      <c r="H43" s="323"/>
      <c r="I43" s="323"/>
      <c r="J43" s="323"/>
      <c r="K43" s="323"/>
      <c r="L43" s="323"/>
      <c r="M43" s="323"/>
      <c r="N43" s="323"/>
      <c r="O43" s="323"/>
      <c r="P43" s="323"/>
      <c r="Q43" s="323"/>
      <c r="R43" s="323"/>
      <c r="S43" s="323"/>
      <c r="T43" s="323"/>
      <c r="U43" s="323"/>
      <c r="V43" s="323"/>
      <c r="W43" s="323"/>
      <c r="X43" s="323"/>
      <c r="Y43" s="323"/>
      <c r="Z43" s="323"/>
      <c r="AA43" s="323"/>
      <c r="AB43" s="323"/>
      <c r="AC43" s="323"/>
      <c r="AD43" s="323"/>
      <c r="AE43" s="323"/>
      <c r="AF43" s="323"/>
      <c r="AG43" s="324"/>
      <c r="AH43" s="299">
        <v>765.0</v>
      </c>
      <c r="AI43" s="300"/>
      <c r="AJ43" s="15"/>
      <c r="AK43" s="15"/>
      <c r="AL43" s="16"/>
      <c r="AM43" s="291" t="s">
        <v>312</v>
      </c>
      <c r="AN43" s="279"/>
      <c r="AO43" s="279"/>
      <c r="AP43" s="279"/>
      <c r="AQ43" s="279"/>
      <c r="AR43" s="279"/>
      <c r="AS43" s="279"/>
      <c r="AT43" s="279"/>
      <c r="AU43" s="279"/>
      <c r="AV43" s="279"/>
      <c r="AW43" s="279"/>
      <c r="AX43" s="279"/>
      <c r="AY43" s="279"/>
      <c r="AZ43" s="279"/>
      <c r="BA43" s="279"/>
      <c r="BB43" s="279"/>
      <c r="BC43" s="279"/>
      <c r="BD43" s="279"/>
      <c r="BE43" s="279"/>
      <c r="BF43" s="279"/>
      <c r="BG43" s="279"/>
      <c r="BH43" s="279"/>
      <c r="BI43" s="279"/>
      <c r="BJ43" s="279"/>
      <c r="BK43" s="279"/>
      <c r="BL43" s="279"/>
      <c r="BM43" s="279"/>
      <c r="BN43" s="279"/>
      <c r="BO43" s="279"/>
      <c r="BP43" s="279"/>
      <c r="BQ43" s="279"/>
    </row>
    <row r="44" ht="12.75" customHeight="1">
      <c r="A44" s="269"/>
      <c r="B44" s="340"/>
      <c r="C44" s="341"/>
      <c r="D44" s="290">
        <v>24.0</v>
      </c>
      <c r="E44" s="342" t="s">
        <v>323</v>
      </c>
      <c r="F44" s="343"/>
      <c r="G44" s="343"/>
      <c r="H44" s="343"/>
      <c r="I44" s="343"/>
      <c r="J44" s="343"/>
      <c r="K44" s="343"/>
      <c r="L44" s="343"/>
      <c r="M44" s="343"/>
      <c r="N44" s="343"/>
      <c r="O44" s="343"/>
      <c r="P44" s="343"/>
      <c r="Q44" s="343"/>
      <c r="R44" s="343"/>
      <c r="S44" s="343"/>
      <c r="T44" s="343"/>
      <c r="U44" s="343"/>
      <c r="V44" s="343"/>
      <c r="W44" s="343"/>
      <c r="X44" s="343"/>
      <c r="Y44" s="343"/>
      <c r="Z44" s="343"/>
      <c r="AA44" s="343"/>
      <c r="AB44" s="343"/>
      <c r="AC44" s="343"/>
      <c r="AD44" s="343"/>
      <c r="AE44" s="343"/>
      <c r="AF44" s="343"/>
      <c r="AG44" s="344"/>
      <c r="AH44" s="290">
        <v>170.0</v>
      </c>
      <c r="AI44" s="336">
        <f>+AI39-SUM(AI40:$AL$43)</f>
        <v>0</v>
      </c>
      <c r="AJ44" s="15"/>
      <c r="AK44" s="15"/>
      <c r="AL44" s="16"/>
      <c r="AM44" s="291" t="s">
        <v>317</v>
      </c>
      <c r="AN44" s="279"/>
      <c r="AO44" s="279"/>
      <c r="AP44" s="279"/>
      <c r="AQ44" s="279"/>
      <c r="AR44" s="279"/>
      <c r="AS44" s="279"/>
      <c r="AT44" s="279"/>
      <c r="AU44" s="279"/>
      <c r="AV44" s="279"/>
      <c r="AW44" s="279"/>
      <c r="AX44" s="279"/>
      <c r="AY44" s="279"/>
      <c r="AZ44" s="279"/>
      <c r="BA44" s="279"/>
      <c r="BB44" s="279"/>
      <c r="BC44" s="279"/>
      <c r="BD44" s="279"/>
      <c r="BE44" s="279"/>
      <c r="BF44" s="279"/>
      <c r="BG44" s="279"/>
      <c r="BH44" s="279"/>
      <c r="BI44" s="279"/>
      <c r="BJ44" s="279"/>
      <c r="BK44" s="279"/>
      <c r="BL44" s="279"/>
      <c r="BM44" s="279"/>
      <c r="BN44" s="279"/>
      <c r="BO44" s="279"/>
      <c r="BP44" s="279"/>
      <c r="BQ44" s="279"/>
    </row>
    <row r="45" ht="12.75" customHeight="1">
      <c r="A45" s="269"/>
      <c r="B45" s="282" t="s">
        <v>324</v>
      </c>
      <c r="C45" s="282" t="s">
        <v>325</v>
      </c>
      <c r="D45" s="284">
        <v>25.0</v>
      </c>
      <c r="E45" s="285" t="s">
        <v>326</v>
      </c>
      <c r="F45" s="286"/>
      <c r="G45" s="286"/>
      <c r="H45" s="286"/>
      <c r="I45" s="286"/>
      <c r="J45" s="286"/>
      <c r="K45" s="286"/>
      <c r="L45" s="286"/>
      <c r="M45" s="286"/>
      <c r="N45" s="286"/>
      <c r="O45" s="286"/>
      <c r="P45" s="286"/>
      <c r="Q45" s="286"/>
      <c r="R45" s="286"/>
      <c r="S45" s="286"/>
      <c r="T45" s="286"/>
      <c r="U45" s="286"/>
      <c r="V45" s="286"/>
      <c r="W45" s="286"/>
      <c r="X45" s="286"/>
      <c r="Y45" s="286"/>
      <c r="Z45" s="286"/>
      <c r="AA45" s="286"/>
      <c r="AB45" s="286"/>
      <c r="AC45" s="290">
        <v>157.0</v>
      </c>
      <c r="AD45" s="289">
        <v>0.0</v>
      </c>
      <c r="AE45" s="15"/>
      <c r="AF45" s="15"/>
      <c r="AG45" s="16"/>
      <c r="AH45" s="291" t="s">
        <v>281</v>
      </c>
      <c r="AI45" s="279"/>
      <c r="AJ45" s="279"/>
      <c r="AK45" s="279"/>
      <c r="AL45" s="279"/>
      <c r="AM45" s="279"/>
      <c r="AN45" s="279"/>
      <c r="AO45" s="279"/>
      <c r="AP45" s="279"/>
      <c r="AQ45" s="279"/>
      <c r="AR45" s="279"/>
      <c r="AS45" s="279"/>
      <c r="AT45" s="279"/>
      <c r="AU45" s="279"/>
      <c r="AV45" s="279"/>
      <c r="AW45" s="279"/>
      <c r="AX45" s="279"/>
      <c r="AY45" s="279"/>
      <c r="AZ45" s="279"/>
      <c r="BA45" s="279"/>
      <c r="BB45" s="279"/>
      <c r="BC45" s="279"/>
      <c r="BD45" s="279"/>
      <c r="BE45" s="279"/>
      <c r="BF45" s="279"/>
      <c r="BG45" s="279"/>
      <c r="BH45" s="279"/>
      <c r="BI45" s="279"/>
      <c r="BJ45" s="279"/>
      <c r="BK45" s="279"/>
      <c r="BL45" s="279"/>
      <c r="BM45" s="279"/>
      <c r="BN45" s="279"/>
      <c r="BO45" s="279"/>
      <c r="BP45" s="279"/>
      <c r="BQ45" s="279"/>
    </row>
    <row r="46" ht="12.75" customHeight="1">
      <c r="A46" s="269"/>
      <c r="B46" s="20"/>
      <c r="C46" s="20"/>
      <c r="D46" s="284">
        <v>26.0</v>
      </c>
      <c r="E46" s="285" t="s">
        <v>327</v>
      </c>
      <c r="F46" s="286"/>
      <c r="G46" s="286"/>
      <c r="H46" s="286"/>
      <c r="I46" s="286"/>
      <c r="J46" s="286"/>
      <c r="K46" s="286"/>
      <c r="L46" s="286"/>
      <c r="M46" s="286"/>
      <c r="N46" s="286"/>
      <c r="O46" s="286"/>
      <c r="P46" s="286"/>
      <c r="Q46" s="286"/>
      <c r="R46" s="286"/>
      <c r="S46" s="286"/>
      <c r="T46" s="286"/>
      <c r="U46" s="286"/>
      <c r="V46" s="286"/>
      <c r="W46" s="286"/>
      <c r="X46" s="286"/>
      <c r="Y46" s="286"/>
      <c r="Z46" s="286"/>
      <c r="AA46" s="286"/>
      <c r="AB46" s="286"/>
      <c r="AC46" s="290">
        <v>1017.0</v>
      </c>
      <c r="AD46" s="289"/>
      <c r="AE46" s="15"/>
      <c r="AF46" s="15"/>
      <c r="AG46" s="16"/>
      <c r="AH46" s="291" t="s">
        <v>281</v>
      </c>
      <c r="AI46" s="279"/>
      <c r="AJ46" s="279"/>
      <c r="AK46" s="279"/>
      <c r="AL46" s="279"/>
      <c r="AM46" s="279"/>
      <c r="AN46" s="279"/>
      <c r="AO46" s="279"/>
      <c r="AP46" s="279"/>
      <c r="AQ46" s="279"/>
      <c r="AR46" s="279"/>
      <c r="AS46" s="279"/>
      <c r="AT46" s="279"/>
      <c r="AU46" s="279"/>
      <c r="AV46" s="279"/>
      <c r="AW46" s="279"/>
      <c r="AX46" s="279"/>
      <c r="AY46" s="279"/>
      <c r="AZ46" s="279"/>
      <c r="BA46" s="279"/>
      <c r="BB46" s="279"/>
      <c r="BC46" s="279"/>
      <c r="BD46" s="279"/>
      <c r="BE46" s="279"/>
      <c r="BF46" s="279"/>
      <c r="BG46" s="279"/>
      <c r="BH46" s="279"/>
      <c r="BI46" s="279"/>
      <c r="BJ46" s="279"/>
      <c r="BK46" s="279"/>
      <c r="BL46" s="279"/>
      <c r="BM46" s="279"/>
      <c r="BN46" s="279"/>
      <c r="BO46" s="279"/>
      <c r="BP46" s="279"/>
      <c r="BQ46" s="279"/>
    </row>
    <row r="47" ht="12.75" customHeight="1">
      <c r="A47" s="269"/>
      <c r="B47" s="20"/>
      <c r="C47" s="20"/>
      <c r="D47" s="284">
        <v>27.0</v>
      </c>
      <c r="E47" s="285" t="s">
        <v>328</v>
      </c>
      <c r="F47" s="286"/>
      <c r="G47" s="286"/>
      <c r="H47" s="286"/>
      <c r="I47" s="286"/>
      <c r="J47" s="286"/>
      <c r="K47" s="286"/>
      <c r="L47" s="286"/>
      <c r="M47" s="286"/>
      <c r="N47" s="286"/>
      <c r="O47" s="286"/>
      <c r="P47" s="286"/>
      <c r="Q47" s="286"/>
      <c r="R47" s="286"/>
      <c r="S47" s="286"/>
      <c r="T47" s="286"/>
      <c r="U47" s="286"/>
      <c r="V47" s="286"/>
      <c r="W47" s="286"/>
      <c r="X47" s="286"/>
      <c r="Y47" s="286"/>
      <c r="Z47" s="286"/>
      <c r="AA47" s="286"/>
      <c r="AB47" s="286"/>
      <c r="AC47" s="290">
        <v>1033.0</v>
      </c>
      <c r="AD47" s="289"/>
      <c r="AE47" s="15"/>
      <c r="AF47" s="15"/>
      <c r="AG47" s="16"/>
      <c r="AH47" s="291" t="s">
        <v>281</v>
      </c>
      <c r="AI47" s="279"/>
      <c r="AJ47" s="279"/>
      <c r="AK47" s="279"/>
      <c r="AL47" s="279"/>
      <c r="AM47" s="279"/>
      <c r="AN47" s="279"/>
      <c r="AO47" s="279"/>
      <c r="AP47" s="279"/>
      <c r="AQ47" s="279"/>
      <c r="AR47" s="279"/>
      <c r="AS47" s="279"/>
      <c r="AT47" s="279"/>
      <c r="AU47" s="279"/>
      <c r="AV47" s="279"/>
      <c r="AW47" s="279"/>
      <c r="AX47" s="279"/>
      <c r="AY47" s="279"/>
      <c r="AZ47" s="279"/>
      <c r="BA47" s="279"/>
      <c r="BB47" s="279"/>
      <c r="BC47" s="279"/>
      <c r="BD47" s="279"/>
      <c r="BE47" s="279"/>
      <c r="BF47" s="279"/>
      <c r="BG47" s="279"/>
      <c r="BH47" s="279"/>
      <c r="BI47" s="279"/>
      <c r="BJ47" s="279"/>
      <c r="BK47" s="279"/>
      <c r="BL47" s="279"/>
      <c r="BM47" s="279"/>
      <c r="BN47" s="279"/>
      <c r="BO47" s="279"/>
      <c r="BP47" s="279"/>
      <c r="BQ47" s="279"/>
    </row>
    <row r="48" ht="12.75" customHeight="1">
      <c r="A48" s="269"/>
      <c r="B48" s="20"/>
      <c r="C48" s="20"/>
      <c r="D48" s="284">
        <v>28.0</v>
      </c>
      <c r="E48" s="285" t="s">
        <v>329</v>
      </c>
      <c r="F48" s="286"/>
      <c r="G48" s="286"/>
      <c r="H48" s="286"/>
      <c r="I48" s="286"/>
      <c r="J48" s="286"/>
      <c r="K48" s="286"/>
      <c r="L48" s="286"/>
      <c r="M48" s="286"/>
      <c r="N48" s="286"/>
      <c r="O48" s="286"/>
      <c r="P48" s="286"/>
      <c r="Q48" s="286"/>
      <c r="R48" s="286"/>
      <c r="S48" s="286"/>
      <c r="T48" s="286"/>
      <c r="U48" s="286"/>
      <c r="V48" s="286"/>
      <c r="W48" s="286"/>
      <c r="X48" s="286"/>
      <c r="Y48" s="286"/>
      <c r="Z48" s="286"/>
      <c r="AA48" s="286"/>
      <c r="AB48" s="286"/>
      <c r="AC48" s="290">
        <v>201.0</v>
      </c>
      <c r="AD48" s="289"/>
      <c r="AE48" s="15"/>
      <c r="AF48" s="15"/>
      <c r="AG48" s="16"/>
      <c r="AH48" s="291" t="s">
        <v>281</v>
      </c>
      <c r="AI48" s="279"/>
      <c r="AJ48" s="279"/>
      <c r="AK48" s="279"/>
      <c r="AL48" s="279"/>
      <c r="AM48" s="279"/>
      <c r="AN48" s="279"/>
      <c r="AO48" s="279"/>
      <c r="AP48" s="279"/>
      <c r="AQ48" s="279"/>
      <c r="AR48" s="279"/>
      <c r="AS48" s="279"/>
      <c r="AT48" s="279"/>
      <c r="AU48" s="279"/>
      <c r="AV48" s="279"/>
      <c r="AW48" s="279"/>
      <c r="AX48" s="279"/>
      <c r="AY48" s="279"/>
      <c r="AZ48" s="279"/>
      <c r="BA48" s="279"/>
      <c r="BB48" s="279"/>
      <c r="BC48" s="279"/>
      <c r="BD48" s="279"/>
      <c r="BE48" s="279"/>
      <c r="BF48" s="279"/>
      <c r="BG48" s="279"/>
      <c r="BH48" s="279"/>
      <c r="BI48" s="279"/>
      <c r="BJ48" s="279"/>
      <c r="BK48" s="279"/>
      <c r="BL48" s="279"/>
      <c r="BM48" s="279"/>
      <c r="BN48" s="279"/>
      <c r="BO48" s="279"/>
      <c r="BP48" s="279"/>
      <c r="BQ48" s="279"/>
    </row>
    <row r="49" ht="12.75" customHeight="1">
      <c r="A49" s="269"/>
      <c r="B49" s="20"/>
      <c r="C49" s="20"/>
      <c r="D49" s="284">
        <v>29.0</v>
      </c>
      <c r="E49" s="285" t="s">
        <v>330</v>
      </c>
      <c r="F49" s="286"/>
      <c r="G49" s="286"/>
      <c r="H49" s="286"/>
      <c r="I49" s="286"/>
      <c r="J49" s="286"/>
      <c r="K49" s="286"/>
      <c r="L49" s="286"/>
      <c r="M49" s="286"/>
      <c r="N49" s="286"/>
      <c r="O49" s="286"/>
      <c r="P49" s="286"/>
      <c r="Q49" s="286"/>
      <c r="R49" s="286"/>
      <c r="S49" s="286"/>
      <c r="T49" s="286"/>
      <c r="U49" s="286"/>
      <c r="V49" s="286"/>
      <c r="W49" s="286"/>
      <c r="X49" s="286"/>
      <c r="Y49" s="286"/>
      <c r="Z49" s="286"/>
      <c r="AA49" s="286"/>
      <c r="AB49" s="286"/>
      <c r="AC49" s="290">
        <v>1035.0</v>
      </c>
      <c r="AD49" s="289"/>
      <c r="AE49" s="15"/>
      <c r="AF49" s="15"/>
      <c r="AG49" s="16"/>
      <c r="AH49" s="291" t="s">
        <v>281</v>
      </c>
      <c r="AI49" s="279"/>
      <c r="AJ49" s="279"/>
      <c r="AK49" s="279"/>
      <c r="AL49" s="279"/>
      <c r="AM49" s="279"/>
      <c r="AN49" s="279"/>
      <c r="AO49" s="279"/>
      <c r="AP49" s="279"/>
      <c r="AQ49" s="279"/>
      <c r="AR49" s="279"/>
      <c r="AS49" s="279"/>
      <c r="AT49" s="279"/>
      <c r="AU49" s="279"/>
      <c r="AV49" s="279"/>
      <c r="AW49" s="279"/>
      <c r="AX49" s="279"/>
      <c r="AY49" s="279"/>
      <c r="AZ49" s="279"/>
      <c r="BA49" s="279"/>
      <c r="BB49" s="279"/>
      <c r="BC49" s="279"/>
      <c r="BD49" s="279"/>
      <c r="BE49" s="279"/>
      <c r="BF49" s="279"/>
      <c r="BG49" s="279"/>
      <c r="BH49" s="279"/>
      <c r="BI49" s="279"/>
      <c r="BJ49" s="279"/>
      <c r="BK49" s="279"/>
      <c r="BL49" s="279"/>
      <c r="BM49" s="279"/>
      <c r="BN49" s="279"/>
      <c r="BO49" s="279"/>
      <c r="BP49" s="279"/>
      <c r="BQ49" s="279"/>
    </row>
    <row r="50" ht="12.75" customHeight="1">
      <c r="A50" s="269"/>
      <c r="B50" s="20"/>
      <c r="C50" s="34"/>
      <c r="D50" s="284">
        <v>30.0</v>
      </c>
      <c r="E50" s="285" t="s">
        <v>331</v>
      </c>
      <c r="F50" s="286"/>
      <c r="G50" s="286"/>
      <c r="H50" s="286"/>
      <c r="I50" s="286"/>
      <c r="J50" s="286"/>
      <c r="K50" s="286"/>
      <c r="L50" s="286"/>
      <c r="M50" s="286"/>
      <c r="N50" s="286"/>
      <c r="O50" s="286"/>
      <c r="P50" s="286"/>
      <c r="Q50" s="286"/>
      <c r="R50" s="286"/>
      <c r="S50" s="286"/>
      <c r="T50" s="286"/>
      <c r="U50" s="286"/>
      <c r="V50" s="286"/>
      <c r="W50" s="286"/>
      <c r="X50" s="286"/>
      <c r="Y50" s="286"/>
      <c r="Z50" s="286"/>
      <c r="AA50" s="286"/>
      <c r="AB50" s="286"/>
      <c r="AC50" s="290">
        <v>910.0</v>
      </c>
      <c r="AD50" s="289"/>
      <c r="AE50" s="15"/>
      <c r="AF50" s="15"/>
      <c r="AG50" s="16"/>
      <c r="AH50" s="291" t="s">
        <v>281</v>
      </c>
      <c r="AI50" s="279"/>
      <c r="AJ50" s="279"/>
      <c r="AK50" s="279"/>
      <c r="AL50" s="279"/>
      <c r="AM50" s="279"/>
      <c r="AN50" s="279"/>
      <c r="AO50" s="279"/>
      <c r="AP50" s="279"/>
      <c r="AQ50" s="279"/>
      <c r="AR50" s="279"/>
      <c r="AS50" s="279"/>
      <c r="AT50" s="279"/>
      <c r="AU50" s="279"/>
      <c r="AV50" s="279"/>
      <c r="AW50" s="279"/>
      <c r="AX50" s="279"/>
      <c r="AY50" s="279"/>
      <c r="AZ50" s="279"/>
      <c r="BA50" s="279"/>
      <c r="BB50" s="279"/>
      <c r="BC50" s="279"/>
      <c r="BD50" s="279"/>
      <c r="BE50" s="279"/>
      <c r="BF50" s="279"/>
      <c r="BG50" s="279"/>
      <c r="BH50" s="279"/>
      <c r="BI50" s="279"/>
      <c r="BJ50" s="279"/>
      <c r="BK50" s="279"/>
      <c r="BL50" s="279"/>
      <c r="BM50" s="279"/>
      <c r="BN50" s="279"/>
      <c r="BO50" s="279"/>
      <c r="BP50" s="279"/>
      <c r="BQ50" s="279"/>
    </row>
    <row r="51" ht="12.75" customHeight="1">
      <c r="A51" s="269"/>
      <c r="B51" s="20"/>
      <c r="C51" s="282" t="s">
        <v>332</v>
      </c>
      <c r="D51" s="284">
        <v>31.0</v>
      </c>
      <c r="E51" s="285" t="s">
        <v>333</v>
      </c>
      <c r="F51" s="286"/>
      <c r="G51" s="286"/>
      <c r="H51" s="286"/>
      <c r="I51" s="286"/>
      <c r="J51" s="286"/>
      <c r="K51" s="286"/>
      <c r="L51" s="286"/>
      <c r="M51" s="286"/>
      <c r="N51" s="286"/>
      <c r="O51" s="286"/>
      <c r="P51" s="286"/>
      <c r="Q51" s="286"/>
      <c r="R51" s="286"/>
      <c r="S51" s="286"/>
      <c r="T51" s="286"/>
      <c r="U51" s="286"/>
      <c r="V51" s="286"/>
      <c r="W51" s="286"/>
      <c r="X51" s="286"/>
      <c r="Y51" s="286"/>
      <c r="Z51" s="286"/>
      <c r="AA51" s="286"/>
      <c r="AB51" s="286"/>
      <c r="AC51" s="290">
        <v>1036.0</v>
      </c>
      <c r="AD51" s="289"/>
      <c r="AE51" s="15"/>
      <c r="AF51" s="15"/>
      <c r="AG51" s="16"/>
      <c r="AH51" s="291" t="s">
        <v>312</v>
      </c>
      <c r="AI51" s="279"/>
      <c r="AJ51" s="279"/>
      <c r="AK51" s="279"/>
      <c r="AL51" s="279"/>
      <c r="AM51" s="279"/>
      <c r="AN51" s="279"/>
      <c r="AO51" s="279"/>
      <c r="AP51" s="279"/>
      <c r="AQ51" s="279"/>
      <c r="AR51" s="279"/>
      <c r="AS51" s="279"/>
      <c r="AT51" s="279"/>
      <c r="AU51" s="279"/>
      <c r="AV51" s="279"/>
      <c r="AW51" s="279"/>
      <c r="AX51" s="279"/>
      <c r="AY51" s="279"/>
      <c r="AZ51" s="279"/>
      <c r="BA51" s="279"/>
      <c r="BB51" s="279"/>
      <c r="BC51" s="279"/>
      <c r="BD51" s="279"/>
      <c r="BE51" s="279"/>
      <c r="BF51" s="279"/>
      <c r="BG51" s="279"/>
      <c r="BH51" s="279"/>
      <c r="BI51" s="279"/>
      <c r="BJ51" s="279"/>
      <c r="BK51" s="279"/>
      <c r="BL51" s="279"/>
      <c r="BM51" s="279"/>
      <c r="BN51" s="279"/>
      <c r="BO51" s="279"/>
      <c r="BP51" s="279"/>
      <c r="BQ51" s="279"/>
    </row>
    <row r="52" ht="12.75" customHeight="1">
      <c r="A52" s="269"/>
      <c r="B52" s="20"/>
      <c r="C52" s="20"/>
      <c r="D52" s="284">
        <v>32.0</v>
      </c>
      <c r="E52" s="285" t="s">
        <v>334</v>
      </c>
      <c r="F52" s="286"/>
      <c r="G52" s="286"/>
      <c r="H52" s="286"/>
      <c r="I52" s="286"/>
      <c r="J52" s="286"/>
      <c r="K52" s="286"/>
      <c r="L52" s="286"/>
      <c r="M52" s="286"/>
      <c r="N52" s="286"/>
      <c r="O52" s="286"/>
      <c r="P52" s="286"/>
      <c r="Q52" s="286"/>
      <c r="R52" s="286"/>
      <c r="S52" s="286"/>
      <c r="T52" s="286"/>
      <c r="U52" s="286"/>
      <c r="V52" s="286"/>
      <c r="W52" s="286"/>
      <c r="X52" s="286"/>
      <c r="Y52" s="286"/>
      <c r="Z52" s="286"/>
      <c r="AA52" s="286"/>
      <c r="AB52" s="286"/>
      <c r="AC52" s="290">
        <v>1101.0</v>
      </c>
      <c r="AD52" s="289"/>
      <c r="AE52" s="15"/>
      <c r="AF52" s="15"/>
      <c r="AG52" s="16"/>
      <c r="AH52" s="291" t="s">
        <v>312</v>
      </c>
      <c r="AI52" s="279"/>
      <c r="AJ52" s="279"/>
      <c r="AK52" s="279"/>
      <c r="AL52" s="279"/>
      <c r="AM52" s="279"/>
      <c r="AN52" s="279"/>
      <c r="AO52" s="279"/>
      <c r="AP52" s="279"/>
      <c r="AQ52" s="279"/>
      <c r="AR52" s="279"/>
      <c r="AS52" s="279"/>
      <c r="AT52" s="279"/>
      <c r="AU52" s="279"/>
      <c r="AV52" s="279"/>
      <c r="AW52" s="279"/>
      <c r="AX52" s="279"/>
      <c r="AY52" s="279"/>
      <c r="AZ52" s="279"/>
      <c r="BA52" s="279"/>
      <c r="BB52" s="279"/>
      <c r="BC52" s="279"/>
      <c r="BD52" s="279"/>
      <c r="BE52" s="279"/>
      <c r="BF52" s="279"/>
      <c r="BG52" s="279"/>
      <c r="BH52" s="279"/>
      <c r="BI52" s="279"/>
      <c r="BJ52" s="279"/>
      <c r="BK52" s="279"/>
      <c r="BL52" s="279"/>
      <c r="BM52" s="279"/>
      <c r="BN52" s="279"/>
      <c r="BO52" s="279"/>
      <c r="BP52" s="279"/>
      <c r="BQ52" s="279"/>
    </row>
    <row r="53" ht="12.75" customHeight="1">
      <c r="A53" s="269"/>
      <c r="B53" s="20"/>
      <c r="C53" s="20"/>
      <c r="D53" s="284">
        <v>33.0</v>
      </c>
      <c r="E53" s="285" t="s">
        <v>335</v>
      </c>
      <c r="F53" s="286"/>
      <c r="G53" s="286"/>
      <c r="H53" s="286"/>
      <c r="I53" s="286"/>
      <c r="J53" s="286"/>
      <c r="K53" s="286"/>
      <c r="L53" s="286"/>
      <c r="M53" s="286"/>
      <c r="N53" s="286"/>
      <c r="O53" s="286"/>
      <c r="P53" s="286"/>
      <c r="Q53" s="286"/>
      <c r="R53" s="286"/>
      <c r="S53" s="286"/>
      <c r="T53" s="286"/>
      <c r="U53" s="286"/>
      <c r="V53" s="286"/>
      <c r="W53" s="286"/>
      <c r="X53" s="286"/>
      <c r="Y53" s="286"/>
      <c r="Z53" s="286"/>
      <c r="AA53" s="286"/>
      <c r="AB53" s="286"/>
      <c r="AC53" s="290">
        <v>135.0</v>
      </c>
      <c r="AD53" s="289"/>
      <c r="AE53" s="15"/>
      <c r="AF53" s="15"/>
      <c r="AG53" s="16"/>
      <c r="AH53" s="291" t="s">
        <v>312</v>
      </c>
      <c r="AI53" s="279"/>
      <c r="AJ53" s="279"/>
      <c r="AK53" s="279"/>
      <c r="AL53" s="279"/>
      <c r="AM53" s="279"/>
      <c r="AN53" s="279"/>
      <c r="AO53" s="279"/>
      <c r="AP53" s="279"/>
      <c r="AQ53" s="279"/>
      <c r="AR53" s="279"/>
      <c r="AS53" s="279"/>
      <c r="AT53" s="279"/>
      <c r="AU53" s="279"/>
      <c r="AV53" s="279"/>
      <c r="AW53" s="279"/>
      <c r="AX53" s="279"/>
      <c r="AY53" s="279"/>
      <c r="AZ53" s="279"/>
      <c r="BA53" s="279"/>
      <c r="BB53" s="279"/>
      <c r="BC53" s="279"/>
      <c r="BD53" s="279"/>
      <c r="BE53" s="279"/>
      <c r="BF53" s="279"/>
      <c r="BG53" s="279"/>
      <c r="BH53" s="279"/>
      <c r="BI53" s="279"/>
      <c r="BJ53" s="279"/>
      <c r="BK53" s="279"/>
      <c r="BL53" s="279"/>
      <c r="BM53" s="279"/>
      <c r="BN53" s="279"/>
      <c r="BO53" s="279"/>
      <c r="BP53" s="279"/>
      <c r="BQ53" s="279"/>
    </row>
    <row r="54" ht="12.75" customHeight="1">
      <c r="A54" s="269"/>
      <c r="B54" s="20"/>
      <c r="C54" s="20"/>
      <c r="D54" s="284">
        <v>34.0</v>
      </c>
      <c r="E54" s="285" t="s">
        <v>336</v>
      </c>
      <c r="F54" s="286"/>
      <c r="G54" s="286"/>
      <c r="H54" s="286"/>
      <c r="I54" s="286"/>
      <c r="J54" s="286"/>
      <c r="K54" s="286"/>
      <c r="L54" s="286"/>
      <c r="M54" s="286"/>
      <c r="N54" s="286"/>
      <c r="O54" s="286"/>
      <c r="P54" s="286"/>
      <c r="Q54" s="286"/>
      <c r="R54" s="286"/>
      <c r="S54" s="286"/>
      <c r="T54" s="286"/>
      <c r="U54" s="286"/>
      <c r="V54" s="286"/>
      <c r="W54" s="286"/>
      <c r="X54" s="286"/>
      <c r="Y54" s="286"/>
      <c r="Z54" s="286"/>
      <c r="AA54" s="286"/>
      <c r="AB54" s="286"/>
      <c r="AC54" s="290">
        <v>136.0</v>
      </c>
      <c r="AD54" s="289"/>
      <c r="AE54" s="15"/>
      <c r="AF54" s="15"/>
      <c r="AG54" s="16"/>
      <c r="AH54" s="291" t="s">
        <v>312</v>
      </c>
      <c r="AI54" s="279"/>
      <c r="AJ54" s="279"/>
      <c r="AK54" s="279"/>
      <c r="AL54" s="279"/>
      <c r="AM54" s="279"/>
      <c r="AN54" s="279"/>
      <c r="AO54" s="279"/>
      <c r="AP54" s="279"/>
      <c r="AQ54" s="279"/>
      <c r="AR54" s="279"/>
      <c r="AS54" s="279"/>
      <c r="AT54" s="279"/>
      <c r="AU54" s="279"/>
      <c r="AV54" s="279"/>
      <c r="AW54" s="279"/>
      <c r="AX54" s="279"/>
      <c r="AY54" s="279"/>
      <c r="AZ54" s="279"/>
      <c r="BA54" s="279"/>
      <c r="BB54" s="279"/>
      <c r="BC54" s="279"/>
      <c r="BD54" s="279"/>
      <c r="BE54" s="279"/>
      <c r="BF54" s="279"/>
      <c r="BG54" s="279"/>
      <c r="BH54" s="279"/>
      <c r="BI54" s="279"/>
      <c r="BJ54" s="279"/>
      <c r="BK54" s="279"/>
      <c r="BL54" s="279"/>
      <c r="BM54" s="279"/>
      <c r="BN54" s="279"/>
      <c r="BO54" s="279"/>
      <c r="BP54" s="279"/>
      <c r="BQ54" s="279"/>
    </row>
    <row r="55" ht="12.75" customHeight="1">
      <c r="A55" s="269"/>
      <c r="B55" s="20"/>
      <c r="C55" s="20"/>
      <c r="D55" s="284">
        <v>35.0</v>
      </c>
      <c r="E55" s="285" t="s">
        <v>337</v>
      </c>
      <c r="F55" s="286"/>
      <c r="G55" s="286"/>
      <c r="H55" s="286"/>
      <c r="I55" s="286"/>
      <c r="J55" s="286"/>
      <c r="K55" s="286"/>
      <c r="L55" s="286"/>
      <c r="M55" s="286"/>
      <c r="N55" s="286"/>
      <c r="O55" s="286"/>
      <c r="P55" s="286"/>
      <c r="Q55" s="286"/>
      <c r="R55" s="286"/>
      <c r="S55" s="286"/>
      <c r="T55" s="286"/>
      <c r="U55" s="286"/>
      <c r="V55" s="286"/>
      <c r="W55" s="286"/>
      <c r="X55" s="286"/>
      <c r="Y55" s="286"/>
      <c r="Z55" s="286"/>
      <c r="AA55" s="286"/>
      <c r="AB55" s="286"/>
      <c r="AC55" s="290">
        <v>176.0</v>
      </c>
      <c r="AD55" s="289"/>
      <c r="AE55" s="15"/>
      <c r="AF55" s="15"/>
      <c r="AG55" s="16"/>
      <c r="AH55" s="291" t="s">
        <v>312</v>
      </c>
      <c r="AI55" s="279"/>
      <c r="AJ55" s="279"/>
      <c r="AK55" s="279"/>
      <c r="AL55" s="279"/>
      <c r="AM55" s="279"/>
      <c r="AN55" s="279"/>
      <c r="AO55" s="279"/>
      <c r="AP55" s="279"/>
      <c r="AQ55" s="279"/>
      <c r="AR55" s="279"/>
      <c r="AS55" s="279"/>
      <c r="AT55" s="279"/>
      <c r="AU55" s="279"/>
      <c r="AV55" s="279"/>
      <c r="AW55" s="279"/>
      <c r="AX55" s="279"/>
      <c r="AY55" s="279"/>
      <c r="AZ55" s="279"/>
      <c r="BA55" s="279"/>
      <c r="BB55" s="279"/>
      <c r="BC55" s="279"/>
      <c r="BD55" s="279"/>
      <c r="BE55" s="279"/>
      <c r="BF55" s="279"/>
      <c r="BG55" s="279"/>
      <c r="BH55" s="279"/>
      <c r="BI55" s="279"/>
      <c r="BJ55" s="279"/>
      <c r="BK55" s="279"/>
      <c r="BL55" s="279"/>
      <c r="BM55" s="279"/>
      <c r="BN55" s="279"/>
      <c r="BO55" s="279"/>
      <c r="BP55" s="279"/>
      <c r="BQ55" s="279"/>
    </row>
    <row r="56" ht="12.75" customHeight="1">
      <c r="A56" s="269"/>
      <c r="B56" s="20"/>
      <c r="C56" s="20"/>
      <c r="D56" s="284">
        <v>36.0</v>
      </c>
      <c r="E56" s="285" t="s">
        <v>338</v>
      </c>
      <c r="F56" s="286"/>
      <c r="G56" s="286"/>
      <c r="H56" s="286"/>
      <c r="I56" s="286"/>
      <c r="J56" s="286"/>
      <c r="K56" s="286"/>
      <c r="L56" s="286"/>
      <c r="M56" s="286"/>
      <c r="N56" s="286"/>
      <c r="O56" s="286"/>
      <c r="P56" s="286"/>
      <c r="Q56" s="286"/>
      <c r="R56" s="286"/>
      <c r="S56" s="286"/>
      <c r="T56" s="286"/>
      <c r="U56" s="286"/>
      <c r="V56" s="286"/>
      <c r="W56" s="286"/>
      <c r="X56" s="286"/>
      <c r="Y56" s="286"/>
      <c r="Z56" s="286"/>
      <c r="AA56" s="286"/>
      <c r="AB56" s="286"/>
      <c r="AC56" s="290">
        <v>752.0</v>
      </c>
      <c r="AD56" s="289"/>
      <c r="AE56" s="15"/>
      <c r="AF56" s="15"/>
      <c r="AG56" s="16"/>
      <c r="AH56" s="291" t="s">
        <v>312</v>
      </c>
      <c r="AI56" s="279"/>
      <c r="AJ56" s="279"/>
      <c r="AK56" s="279"/>
      <c r="AL56" s="279"/>
      <c r="AM56" s="279"/>
      <c r="AN56" s="279"/>
      <c r="AO56" s="279"/>
      <c r="AP56" s="279"/>
      <c r="AQ56" s="279"/>
      <c r="AR56" s="279"/>
      <c r="AS56" s="279"/>
      <c r="AT56" s="279"/>
      <c r="AU56" s="279"/>
      <c r="AV56" s="279"/>
      <c r="AW56" s="279"/>
      <c r="AX56" s="279"/>
      <c r="AY56" s="279"/>
      <c r="AZ56" s="279"/>
      <c r="BA56" s="279"/>
      <c r="BB56" s="279"/>
      <c r="BC56" s="279"/>
      <c r="BD56" s="279"/>
      <c r="BE56" s="279"/>
      <c r="BF56" s="279"/>
      <c r="BG56" s="279"/>
      <c r="BH56" s="279"/>
      <c r="BI56" s="279"/>
      <c r="BJ56" s="279"/>
      <c r="BK56" s="279"/>
      <c r="BL56" s="279"/>
      <c r="BM56" s="279"/>
      <c r="BN56" s="279"/>
      <c r="BO56" s="279"/>
      <c r="BP56" s="279"/>
      <c r="BQ56" s="279"/>
    </row>
    <row r="57" ht="12.75" customHeight="1">
      <c r="A57" s="269"/>
      <c r="B57" s="20"/>
      <c r="C57" s="20"/>
      <c r="D57" s="284">
        <v>37.0</v>
      </c>
      <c r="E57" s="285" t="s">
        <v>339</v>
      </c>
      <c r="F57" s="286"/>
      <c r="G57" s="286"/>
      <c r="H57" s="286"/>
      <c r="I57" s="286"/>
      <c r="J57" s="286"/>
      <c r="K57" s="286"/>
      <c r="L57" s="286"/>
      <c r="M57" s="286"/>
      <c r="N57" s="286"/>
      <c r="O57" s="286"/>
      <c r="P57" s="286"/>
      <c r="Q57" s="286"/>
      <c r="R57" s="286"/>
      <c r="S57" s="286"/>
      <c r="T57" s="286"/>
      <c r="U57" s="286"/>
      <c r="V57" s="286"/>
      <c r="W57" s="286"/>
      <c r="X57" s="286"/>
      <c r="Y57" s="286"/>
      <c r="Z57" s="286"/>
      <c r="AA57" s="286"/>
      <c r="AB57" s="286"/>
      <c r="AC57" s="290">
        <v>608.0</v>
      </c>
      <c r="AD57" s="289"/>
      <c r="AE57" s="15"/>
      <c r="AF57" s="15"/>
      <c r="AG57" s="16"/>
      <c r="AH57" s="291" t="s">
        <v>312</v>
      </c>
      <c r="AI57" s="279"/>
      <c r="AJ57" s="279"/>
      <c r="AK57" s="279"/>
      <c r="AL57" s="279"/>
      <c r="AM57" s="279"/>
      <c r="AN57" s="279"/>
      <c r="AO57" s="279"/>
      <c r="AP57" s="279"/>
      <c r="AQ57" s="279"/>
      <c r="AR57" s="279"/>
      <c r="AS57" s="279"/>
      <c r="AT57" s="279"/>
      <c r="AU57" s="279"/>
      <c r="AV57" s="279"/>
      <c r="AW57" s="279"/>
      <c r="AX57" s="279"/>
      <c r="AY57" s="279"/>
      <c r="AZ57" s="279"/>
      <c r="BA57" s="279"/>
      <c r="BB57" s="279"/>
      <c r="BC57" s="279"/>
      <c r="BD57" s="279"/>
      <c r="BE57" s="279"/>
      <c r="BF57" s="279"/>
      <c r="BG57" s="279"/>
      <c r="BH57" s="279"/>
      <c r="BI57" s="279"/>
      <c r="BJ57" s="279"/>
      <c r="BK57" s="279"/>
      <c r="BL57" s="279"/>
      <c r="BM57" s="279"/>
      <c r="BN57" s="279"/>
      <c r="BO57" s="279"/>
      <c r="BP57" s="279"/>
      <c r="BQ57" s="279"/>
    </row>
    <row r="58" ht="12.75" customHeight="1">
      <c r="A58" s="269"/>
      <c r="B58" s="20"/>
      <c r="C58" s="20"/>
      <c r="D58" s="284">
        <v>38.0</v>
      </c>
      <c r="E58" s="285" t="s">
        <v>340</v>
      </c>
      <c r="F58" s="286"/>
      <c r="G58" s="286"/>
      <c r="H58" s="286"/>
      <c r="I58" s="286"/>
      <c r="J58" s="286"/>
      <c r="K58" s="286"/>
      <c r="L58" s="286"/>
      <c r="M58" s="286"/>
      <c r="N58" s="286"/>
      <c r="O58" s="286"/>
      <c r="P58" s="286"/>
      <c r="Q58" s="286"/>
      <c r="R58" s="286"/>
      <c r="S58" s="286"/>
      <c r="T58" s="286"/>
      <c r="U58" s="286"/>
      <c r="V58" s="286"/>
      <c r="W58" s="286"/>
      <c r="X58" s="286"/>
      <c r="Y58" s="286"/>
      <c r="Z58" s="286"/>
      <c r="AA58" s="286"/>
      <c r="AB58" s="286"/>
      <c r="AC58" s="290">
        <v>1636.0</v>
      </c>
      <c r="AD58" s="289"/>
      <c r="AE58" s="15"/>
      <c r="AF58" s="15"/>
      <c r="AG58" s="16"/>
      <c r="AH58" s="291" t="s">
        <v>312</v>
      </c>
      <c r="AI58" s="279"/>
      <c r="AJ58" s="279"/>
      <c r="AK58" s="279"/>
      <c r="AL58" s="279"/>
      <c r="AM58" s="279"/>
      <c r="AN58" s="279"/>
      <c r="AO58" s="279"/>
      <c r="AP58" s="279"/>
      <c r="AQ58" s="279"/>
      <c r="AR58" s="279"/>
      <c r="AS58" s="279"/>
      <c r="AT58" s="279"/>
      <c r="AU58" s="279"/>
      <c r="AV58" s="279"/>
      <c r="AW58" s="279"/>
      <c r="AX58" s="279"/>
      <c r="AY58" s="279"/>
      <c r="AZ58" s="279"/>
      <c r="BA58" s="279"/>
      <c r="BB58" s="279"/>
      <c r="BC58" s="279"/>
      <c r="BD58" s="279"/>
      <c r="BE58" s="279"/>
      <c r="BF58" s="279"/>
      <c r="BG58" s="279"/>
      <c r="BH58" s="279"/>
      <c r="BI58" s="279"/>
      <c r="BJ58" s="279"/>
      <c r="BK58" s="279"/>
      <c r="BL58" s="279"/>
      <c r="BM58" s="279"/>
      <c r="BN58" s="279"/>
      <c r="BO58" s="279"/>
      <c r="BP58" s="279"/>
      <c r="BQ58" s="279"/>
    </row>
    <row r="59" ht="12.75" customHeight="1">
      <c r="A59" s="269"/>
      <c r="B59" s="20"/>
      <c r="C59" s="20"/>
      <c r="D59" s="284">
        <v>39.0</v>
      </c>
      <c r="E59" s="285" t="s">
        <v>341</v>
      </c>
      <c r="F59" s="286"/>
      <c r="G59" s="286"/>
      <c r="H59" s="286"/>
      <c r="I59" s="286"/>
      <c r="J59" s="286"/>
      <c r="K59" s="286"/>
      <c r="L59" s="286"/>
      <c r="M59" s="286"/>
      <c r="N59" s="286"/>
      <c r="O59" s="286"/>
      <c r="P59" s="286"/>
      <c r="Q59" s="286"/>
      <c r="R59" s="286"/>
      <c r="S59" s="286"/>
      <c r="T59" s="286"/>
      <c r="U59" s="286"/>
      <c r="V59" s="286"/>
      <c r="W59" s="286"/>
      <c r="X59" s="286"/>
      <c r="Y59" s="286"/>
      <c r="Z59" s="286"/>
      <c r="AA59" s="286"/>
      <c r="AB59" s="286"/>
      <c r="AC59" s="290">
        <v>1637.0</v>
      </c>
      <c r="AD59" s="289"/>
      <c r="AE59" s="15"/>
      <c r="AF59" s="15"/>
      <c r="AG59" s="16"/>
      <c r="AH59" s="291" t="s">
        <v>312</v>
      </c>
      <c r="AI59" s="279"/>
      <c r="AJ59" s="279"/>
      <c r="AK59" s="279"/>
      <c r="AL59" s="279"/>
      <c r="AM59" s="279"/>
      <c r="AN59" s="279"/>
      <c r="AO59" s="279"/>
      <c r="AP59" s="279"/>
      <c r="AQ59" s="279"/>
      <c r="AR59" s="279"/>
      <c r="AS59" s="279"/>
      <c r="AT59" s="279"/>
      <c r="AU59" s="279"/>
      <c r="AV59" s="279"/>
      <c r="AW59" s="279"/>
      <c r="AX59" s="279"/>
      <c r="AY59" s="279"/>
      <c r="AZ59" s="279"/>
      <c r="BA59" s="279"/>
      <c r="BB59" s="279"/>
      <c r="BC59" s="279"/>
      <c r="BD59" s="279"/>
      <c r="BE59" s="279"/>
      <c r="BF59" s="279"/>
      <c r="BG59" s="279"/>
      <c r="BH59" s="279"/>
      <c r="BI59" s="279"/>
      <c r="BJ59" s="279"/>
      <c r="BK59" s="279"/>
      <c r="BL59" s="279"/>
      <c r="BM59" s="279"/>
      <c r="BN59" s="279"/>
      <c r="BO59" s="279"/>
      <c r="BP59" s="279"/>
      <c r="BQ59" s="279"/>
    </row>
    <row r="60" ht="12.75" customHeight="1">
      <c r="A60" s="269"/>
      <c r="B60" s="20"/>
      <c r="C60" s="20"/>
      <c r="D60" s="284">
        <v>40.0</v>
      </c>
      <c r="E60" s="285" t="s">
        <v>342</v>
      </c>
      <c r="F60" s="286"/>
      <c r="G60" s="286"/>
      <c r="H60" s="286"/>
      <c r="I60" s="286"/>
      <c r="J60" s="286"/>
      <c r="K60" s="286"/>
      <c r="L60" s="286"/>
      <c r="M60" s="286"/>
      <c r="N60" s="286"/>
      <c r="O60" s="286"/>
      <c r="P60" s="286"/>
      <c r="Q60" s="286"/>
      <c r="R60" s="286"/>
      <c r="S60" s="286"/>
      <c r="T60" s="286"/>
      <c r="U60" s="286"/>
      <c r="V60" s="286"/>
      <c r="W60" s="286"/>
      <c r="X60" s="286"/>
      <c r="Y60" s="286"/>
      <c r="Z60" s="286"/>
      <c r="AA60" s="286"/>
      <c r="AB60" s="286"/>
      <c r="AC60" s="290">
        <v>1638.0</v>
      </c>
      <c r="AD60" s="289"/>
      <c r="AE60" s="15"/>
      <c r="AF60" s="15"/>
      <c r="AG60" s="16"/>
      <c r="AH60" s="291" t="s">
        <v>312</v>
      </c>
      <c r="AI60" s="279"/>
      <c r="AJ60" s="279"/>
      <c r="AK60" s="279"/>
      <c r="AL60" s="279"/>
      <c r="AM60" s="279"/>
      <c r="AN60" s="279"/>
      <c r="AO60" s="279"/>
      <c r="AP60" s="279"/>
      <c r="AQ60" s="279"/>
      <c r="AR60" s="279"/>
      <c r="AS60" s="279"/>
      <c r="AT60" s="279"/>
      <c r="AU60" s="279"/>
      <c r="AV60" s="279"/>
      <c r="AW60" s="279"/>
      <c r="AX60" s="279"/>
      <c r="AY60" s="279"/>
      <c r="AZ60" s="279"/>
      <c r="BA60" s="279"/>
      <c r="BB60" s="279"/>
      <c r="BC60" s="279"/>
      <c r="BD60" s="279"/>
      <c r="BE60" s="279"/>
      <c r="BF60" s="279"/>
      <c r="BG60" s="279"/>
      <c r="BH60" s="279"/>
      <c r="BI60" s="279"/>
      <c r="BJ60" s="279"/>
      <c r="BK60" s="279"/>
      <c r="BL60" s="279"/>
      <c r="BM60" s="279"/>
      <c r="BN60" s="279"/>
      <c r="BO60" s="279"/>
      <c r="BP60" s="279"/>
      <c r="BQ60" s="279"/>
    </row>
    <row r="61" ht="12.75" customHeight="1">
      <c r="A61" s="269"/>
      <c r="B61" s="20"/>
      <c r="C61" s="20"/>
      <c r="D61" s="284">
        <v>41.0</v>
      </c>
      <c r="E61" s="285" t="s">
        <v>343</v>
      </c>
      <c r="F61" s="286"/>
      <c r="G61" s="286"/>
      <c r="H61" s="286"/>
      <c r="I61" s="286"/>
      <c r="J61" s="286"/>
      <c r="K61" s="286"/>
      <c r="L61" s="286"/>
      <c r="M61" s="286"/>
      <c r="N61" s="286"/>
      <c r="O61" s="286"/>
      <c r="P61" s="286"/>
      <c r="Q61" s="286"/>
      <c r="R61" s="286"/>
      <c r="S61" s="286"/>
      <c r="T61" s="286"/>
      <c r="U61" s="286"/>
      <c r="V61" s="286"/>
      <c r="W61" s="286"/>
      <c r="X61" s="286"/>
      <c r="Y61" s="286"/>
      <c r="Z61" s="286"/>
      <c r="AA61" s="286"/>
      <c r="AB61" s="286"/>
      <c r="AC61" s="290">
        <v>895.0</v>
      </c>
      <c r="AD61" s="289"/>
      <c r="AE61" s="15"/>
      <c r="AF61" s="15"/>
      <c r="AG61" s="16"/>
      <c r="AH61" s="291" t="s">
        <v>312</v>
      </c>
      <c r="AI61" s="279"/>
      <c r="AJ61" s="279"/>
      <c r="AK61" s="279"/>
      <c r="AL61" s="279"/>
      <c r="AM61" s="279"/>
      <c r="AN61" s="279"/>
      <c r="AO61" s="279"/>
      <c r="AP61" s="279"/>
      <c r="AQ61" s="279"/>
      <c r="AR61" s="279"/>
      <c r="AS61" s="279"/>
      <c r="AT61" s="279"/>
      <c r="AU61" s="279"/>
      <c r="AV61" s="279"/>
      <c r="AW61" s="279"/>
      <c r="AX61" s="279"/>
      <c r="AY61" s="279"/>
      <c r="AZ61" s="279"/>
      <c r="BA61" s="279"/>
      <c r="BB61" s="279"/>
      <c r="BC61" s="279"/>
      <c r="BD61" s="279"/>
      <c r="BE61" s="279"/>
      <c r="BF61" s="279"/>
      <c r="BG61" s="279"/>
      <c r="BH61" s="279"/>
      <c r="BI61" s="279"/>
      <c r="BJ61" s="279"/>
      <c r="BK61" s="279"/>
      <c r="BL61" s="279"/>
      <c r="BM61" s="279"/>
      <c r="BN61" s="279"/>
      <c r="BO61" s="279"/>
      <c r="BP61" s="279"/>
      <c r="BQ61" s="279"/>
    </row>
    <row r="62" ht="12.75" customHeight="1">
      <c r="A62" s="269"/>
      <c r="B62" s="20"/>
      <c r="C62" s="20"/>
      <c r="D62" s="284">
        <v>42.0</v>
      </c>
      <c r="E62" s="285" t="s">
        <v>344</v>
      </c>
      <c r="F62" s="286"/>
      <c r="G62" s="286"/>
      <c r="H62" s="286"/>
      <c r="I62" s="286"/>
      <c r="J62" s="286"/>
      <c r="K62" s="286"/>
      <c r="L62" s="286"/>
      <c r="M62" s="286"/>
      <c r="N62" s="286"/>
      <c r="O62" s="286"/>
      <c r="P62" s="286"/>
      <c r="Q62" s="286"/>
      <c r="R62" s="286"/>
      <c r="S62" s="286"/>
      <c r="T62" s="286"/>
      <c r="U62" s="286"/>
      <c r="V62" s="286"/>
      <c r="W62" s="286"/>
      <c r="X62" s="286"/>
      <c r="Y62" s="286"/>
      <c r="Z62" s="286"/>
      <c r="AA62" s="286"/>
      <c r="AB62" s="286"/>
      <c r="AC62" s="290">
        <v>867.0</v>
      </c>
      <c r="AD62" s="289"/>
      <c r="AE62" s="15"/>
      <c r="AF62" s="15"/>
      <c r="AG62" s="16"/>
      <c r="AH62" s="291" t="s">
        <v>312</v>
      </c>
      <c r="AI62" s="279"/>
      <c r="AJ62" s="279"/>
      <c r="AK62" s="279"/>
      <c r="AL62" s="279"/>
      <c r="AM62" s="279"/>
      <c r="AN62" s="279"/>
      <c r="AO62" s="279"/>
      <c r="AP62" s="279"/>
      <c r="AQ62" s="279"/>
      <c r="AR62" s="279"/>
      <c r="AS62" s="279"/>
      <c r="AT62" s="279"/>
      <c r="AU62" s="279"/>
      <c r="AV62" s="279"/>
      <c r="AW62" s="279"/>
      <c r="AX62" s="279"/>
      <c r="AY62" s="279"/>
      <c r="AZ62" s="279"/>
      <c r="BA62" s="279"/>
      <c r="BB62" s="279"/>
      <c r="BC62" s="279"/>
      <c r="BD62" s="279"/>
      <c r="BE62" s="279"/>
      <c r="BF62" s="279"/>
      <c r="BG62" s="279"/>
      <c r="BH62" s="279"/>
      <c r="BI62" s="279"/>
      <c r="BJ62" s="279"/>
      <c r="BK62" s="279"/>
      <c r="BL62" s="279"/>
      <c r="BM62" s="279"/>
      <c r="BN62" s="279"/>
      <c r="BO62" s="279"/>
      <c r="BP62" s="279"/>
      <c r="BQ62" s="279"/>
    </row>
    <row r="63" ht="12.75" customHeight="1">
      <c r="A63" s="269"/>
      <c r="B63" s="20"/>
      <c r="C63" s="20"/>
      <c r="D63" s="284">
        <v>43.0</v>
      </c>
      <c r="E63" s="285" t="s">
        <v>345</v>
      </c>
      <c r="F63" s="286"/>
      <c r="G63" s="286"/>
      <c r="H63" s="286"/>
      <c r="I63" s="286"/>
      <c r="J63" s="286"/>
      <c r="K63" s="286"/>
      <c r="L63" s="286"/>
      <c r="M63" s="286"/>
      <c r="N63" s="286"/>
      <c r="O63" s="286"/>
      <c r="P63" s="286"/>
      <c r="Q63" s="286"/>
      <c r="R63" s="286"/>
      <c r="S63" s="286"/>
      <c r="T63" s="286"/>
      <c r="U63" s="286"/>
      <c r="V63" s="286"/>
      <c r="W63" s="286"/>
      <c r="X63" s="286"/>
      <c r="Y63" s="286"/>
      <c r="Z63" s="286"/>
      <c r="AA63" s="286"/>
      <c r="AB63" s="286"/>
      <c r="AC63" s="290">
        <v>609.0</v>
      </c>
      <c r="AD63" s="289"/>
      <c r="AE63" s="15"/>
      <c r="AF63" s="15"/>
      <c r="AG63" s="16"/>
      <c r="AH63" s="291" t="s">
        <v>312</v>
      </c>
      <c r="AI63" s="279"/>
      <c r="AJ63" s="279"/>
      <c r="AK63" s="279"/>
      <c r="AL63" s="279"/>
      <c r="AM63" s="279"/>
      <c r="AN63" s="279"/>
      <c r="AO63" s="279"/>
      <c r="AP63" s="279"/>
      <c r="AQ63" s="279"/>
      <c r="AR63" s="279"/>
      <c r="AS63" s="279"/>
      <c r="AT63" s="279"/>
      <c r="AU63" s="279"/>
      <c r="AV63" s="279"/>
      <c r="AW63" s="279"/>
      <c r="AX63" s="279"/>
      <c r="AY63" s="279"/>
      <c r="AZ63" s="279"/>
      <c r="BA63" s="279"/>
      <c r="BB63" s="279"/>
      <c r="BC63" s="279"/>
      <c r="BD63" s="279"/>
      <c r="BE63" s="279"/>
      <c r="BF63" s="279"/>
      <c r="BG63" s="279"/>
      <c r="BH63" s="279"/>
      <c r="BI63" s="279"/>
      <c r="BJ63" s="279"/>
      <c r="BK63" s="279"/>
      <c r="BL63" s="279"/>
      <c r="BM63" s="279"/>
      <c r="BN63" s="279"/>
      <c r="BO63" s="279"/>
      <c r="BP63" s="279"/>
      <c r="BQ63" s="279"/>
    </row>
    <row r="64" ht="12.75" customHeight="1">
      <c r="A64" s="269"/>
      <c r="B64" s="20"/>
      <c r="C64" s="20"/>
      <c r="D64" s="284">
        <v>44.0</v>
      </c>
      <c r="E64" s="285" t="s">
        <v>346</v>
      </c>
      <c r="F64" s="286"/>
      <c r="G64" s="286"/>
      <c r="H64" s="286"/>
      <c r="I64" s="286"/>
      <c r="J64" s="286"/>
      <c r="K64" s="286"/>
      <c r="L64" s="286"/>
      <c r="M64" s="286"/>
      <c r="N64" s="286"/>
      <c r="O64" s="286"/>
      <c r="P64" s="286"/>
      <c r="Q64" s="286"/>
      <c r="R64" s="286"/>
      <c r="S64" s="286"/>
      <c r="T64" s="286"/>
      <c r="U64" s="286"/>
      <c r="V64" s="286"/>
      <c r="W64" s="286"/>
      <c r="X64" s="286"/>
      <c r="Y64" s="286"/>
      <c r="Z64" s="286"/>
      <c r="AA64" s="286"/>
      <c r="AB64" s="286"/>
      <c r="AC64" s="290">
        <v>1639.0</v>
      </c>
      <c r="AD64" s="289"/>
      <c r="AE64" s="15"/>
      <c r="AF64" s="15"/>
      <c r="AG64" s="16"/>
      <c r="AH64" s="291" t="s">
        <v>312</v>
      </c>
      <c r="AI64" s="279"/>
      <c r="AJ64" s="279"/>
      <c r="AK64" s="279"/>
      <c r="AL64" s="279"/>
      <c r="AM64" s="279"/>
      <c r="AN64" s="279"/>
      <c r="AO64" s="279"/>
      <c r="AP64" s="279"/>
      <c r="AQ64" s="279"/>
      <c r="AR64" s="279"/>
      <c r="AS64" s="279"/>
      <c r="AT64" s="279"/>
      <c r="AU64" s="279"/>
      <c r="AV64" s="279"/>
      <c r="AW64" s="279"/>
      <c r="AX64" s="279"/>
      <c r="AY64" s="279"/>
      <c r="AZ64" s="279"/>
      <c r="BA64" s="279"/>
      <c r="BB64" s="279"/>
      <c r="BC64" s="279"/>
      <c r="BD64" s="279"/>
      <c r="BE64" s="279"/>
      <c r="BF64" s="279"/>
      <c r="BG64" s="279"/>
      <c r="BH64" s="279"/>
      <c r="BI64" s="279"/>
      <c r="BJ64" s="279"/>
      <c r="BK64" s="279"/>
      <c r="BL64" s="279"/>
      <c r="BM64" s="279"/>
      <c r="BN64" s="279"/>
      <c r="BO64" s="279"/>
      <c r="BP64" s="279"/>
      <c r="BQ64" s="279"/>
    </row>
    <row r="65" ht="12.75" customHeight="1">
      <c r="A65" s="269"/>
      <c r="B65" s="20"/>
      <c r="C65" s="20"/>
      <c r="D65" s="284">
        <v>45.0</v>
      </c>
      <c r="E65" s="285" t="s">
        <v>347</v>
      </c>
      <c r="F65" s="286"/>
      <c r="G65" s="286"/>
      <c r="H65" s="286"/>
      <c r="I65" s="286"/>
      <c r="J65" s="286"/>
      <c r="K65" s="286"/>
      <c r="L65" s="286"/>
      <c r="M65" s="286"/>
      <c r="N65" s="286"/>
      <c r="O65" s="286"/>
      <c r="P65" s="286"/>
      <c r="Q65" s="286"/>
      <c r="R65" s="286"/>
      <c r="S65" s="286"/>
      <c r="T65" s="286"/>
      <c r="U65" s="286"/>
      <c r="V65" s="286"/>
      <c r="W65" s="286"/>
      <c r="X65" s="286"/>
      <c r="Y65" s="286"/>
      <c r="Z65" s="286"/>
      <c r="AA65" s="286"/>
      <c r="AB65" s="286"/>
      <c r="AC65" s="290">
        <v>1018.0</v>
      </c>
      <c r="AD65" s="289"/>
      <c r="AE65" s="15"/>
      <c r="AF65" s="15"/>
      <c r="AG65" s="16"/>
      <c r="AH65" s="291" t="s">
        <v>312</v>
      </c>
      <c r="AI65" s="279"/>
      <c r="AJ65" s="279"/>
      <c r="AK65" s="279"/>
      <c r="AL65" s="279"/>
      <c r="AM65" s="279"/>
      <c r="AN65" s="279"/>
      <c r="AO65" s="279"/>
      <c r="AP65" s="279"/>
      <c r="AQ65" s="279"/>
      <c r="AR65" s="279"/>
      <c r="AS65" s="279"/>
      <c r="AT65" s="279"/>
      <c r="AU65" s="279"/>
      <c r="AV65" s="279"/>
      <c r="AW65" s="279"/>
      <c r="AX65" s="279"/>
      <c r="AY65" s="279"/>
      <c r="AZ65" s="279"/>
      <c r="BA65" s="279"/>
      <c r="BB65" s="279"/>
      <c r="BC65" s="279"/>
      <c r="BD65" s="279"/>
      <c r="BE65" s="279"/>
      <c r="BF65" s="279"/>
      <c r="BG65" s="279"/>
      <c r="BH65" s="279"/>
      <c r="BI65" s="279"/>
      <c r="BJ65" s="279"/>
      <c r="BK65" s="279"/>
      <c r="BL65" s="279"/>
      <c r="BM65" s="279"/>
      <c r="BN65" s="279"/>
      <c r="BO65" s="279"/>
      <c r="BP65" s="279"/>
      <c r="BQ65" s="279"/>
    </row>
    <row r="66" ht="12.75" customHeight="1">
      <c r="A66" s="269"/>
      <c r="B66" s="20"/>
      <c r="C66" s="20"/>
      <c r="D66" s="284">
        <v>46.0</v>
      </c>
      <c r="E66" s="285" t="s">
        <v>348</v>
      </c>
      <c r="F66" s="286"/>
      <c r="G66" s="286"/>
      <c r="H66" s="286"/>
      <c r="I66" s="286"/>
      <c r="J66" s="286"/>
      <c r="K66" s="286"/>
      <c r="L66" s="286"/>
      <c r="M66" s="286"/>
      <c r="N66" s="286"/>
      <c r="O66" s="286"/>
      <c r="P66" s="286"/>
      <c r="Q66" s="286"/>
      <c r="R66" s="286"/>
      <c r="S66" s="286"/>
      <c r="T66" s="286"/>
      <c r="U66" s="286"/>
      <c r="V66" s="286"/>
      <c r="W66" s="286"/>
      <c r="X66" s="286"/>
      <c r="Y66" s="286"/>
      <c r="Z66" s="286"/>
      <c r="AA66" s="286"/>
      <c r="AB66" s="286"/>
      <c r="AC66" s="290">
        <v>162.0</v>
      </c>
      <c r="AD66" s="289"/>
      <c r="AE66" s="15"/>
      <c r="AF66" s="15"/>
      <c r="AG66" s="16"/>
      <c r="AH66" s="291" t="s">
        <v>312</v>
      </c>
      <c r="AI66" s="279"/>
      <c r="AJ66" s="279"/>
      <c r="AK66" s="279"/>
      <c r="AL66" s="279"/>
      <c r="AM66" s="279"/>
      <c r="AN66" s="279"/>
      <c r="AO66" s="279"/>
      <c r="AP66" s="279"/>
      <c r="AQ66" s="279"/>
      <c r="AR66" s="279"/>
      <c r="AS66" s="279"/>
      <c r="AT66" s="279"/>
      <c r="AU66" s="279"/>
      <c r="AV66" s="279"/>
      <c r="AW66" s="279"/>
      <c r="AX66" s="279"/>
      <c r="AY66" s="279"/>
      <c r="AZ66" s="279"/>
      <c r="BA66" s="279"/>
      <c r="BB66" s="279"/>
      <c r="BC66" s="279"/>
      <c r="BD66" s="279"/>
      <c r="BE66" s="279"/>
      <c r="BF66" s="279"/>
      <c r="BG66" s="279"/>
      <c r="BH66" s="279"/>
      <c r="BI66" s="279"/>
      <c r="BJ66" s="279"/>
      <c r="BK66" s="279"/>
      <c r="BL66" s="279"/>
      <c r="BM66" s="279"/>
      <c r="BN66" s="279"/>
      <c r="BO66" s="279"/>
      <c r="BP66" s="279"/>
      <c r="BQ66" s="279"/>
    </row>
    <row r="67" ht="12.75" customHeight="1">
      <c r="A67" s="269"/>
      <c r="B67" s="20"/>
      <c r="C67" s="20"/>
      <c r="D67" s="284">
        <v>47.0</v>
      </c>
      <c r="E67" s="285" t="s">
        <v>349</v>
      </c>
      <c r="F67" s="286"/>
      <c r="G67" s="286"/>
      <c r="H67" s="286"/>
      <c r="I67" s="286"/>
      <c r="J67" s="286"/>
      <c r="K67" s="286"/>
      <c r="L67" s="286"/>
      <c r="M67" s="286"/>
      <c r="N67" s="286"/>
      <c r="O67" s="286"/>
      <c r="P67" s="286"/>
      <c r="Q67" s="286"/>
      <c r="R67" s="286"/>
      <c r="S67" s="286"/>
      <c r="T67" s="286"/>
      <c r="U67" s="286"/>
      <c r="V67" s="286"/>
      <c r="W67" s="286"/>
      <c r="X67" s="286"/>
      <c r="Y67" s="286"/>
      <c r="Z67" s="286"/>
      <c r="AA67" s="286"/>
      <c r="AB67" s="286"/>
      <c r="AC67" s="290">
        <v>174.0</v>
      </c>
      <c r="AD67" s="289"/>
      <c r="AE67" s="15"/>
      <c r="AF67" s="15"/>
      <c r="AG67" s="16"/>
      <c r="AH67" s="291" t="s">
        <v>312</v>
      </c>
      <c r="AI67" s="279"/>
      <c r="AJ67" s="279"/>
      <c r="AK67" s="279"/>
      <c r="AL67" s="279"/>
      <c r="AM67" s="279"/>
      <c r="AN67" s="279"/>
      <c r="AO67" s="279"/>
      <c r="AP67" s="279"/>
      <c r="AQ67" s="279"/>
      <c r="AR67" s="279"/>
      <c r="AS67" s="279"/>
      <c r="AT67" s="279"/>
      <c r="AU67" s="279"/>
      <c r="AV67" s="279"/>
      <c r="AW67" s="279"/>
      <c r="AX67" s="279"/>
      <c r="AY67" s="279"/>
      <c r="AZ67" s="279"/>
      <c r="BA67" s="279"/>
      <c r="BB67" s="279"/>
      <c r="BC67" s="279"/>
      <c r="BD67" s="279"/>
      <c r="BE67" s="279"/>
      <c r="BF67" s="279"/>
      <c r="BG67" s="279"/>
      <c r="BH67" s="279"/>
      <c r="BI67" s="279"/>
      <c r="BJ67" s="279"/>
      <c r="BK67" s="279"/>
      <c r="BL67" s="279"/>
      <c r="BM67" s="279"/>
      <c r="BN67" s="279"/>
      <c r="BO67" s="279"/>
      <c r="BP67" s="279"/>
      <c r="BQ67" s="279"/>
    </row>
    <row r="68" ht="12.75" customHeight="1">
      <c r="A68" s="269"/>
      <c r="B68" s="20"/>
      <c r="C68" s="20"/>
      <c r="D68" s="284">
        <v>48.0</v>
      </c>
      <c r="E68" s="285" t="s">
        <v>350</v>
      </c>
      <c r="F68" s="286"/>
      <c r="G68" s="286"/>
      <c r="H68" s="286"/>
      <c r="I68" s="286"/>
      <c r="J68" s="286"/>
      <c r="K68" s="286"/>
      <c r="L68" s="286"/>
      <c r="M68" s="286"/>
      <c r="N68" s="286"/>
      <c r="O68" s="286"/>
      <c r="P68" s="286"/>
      <c r="Q68" s="286"/>
      <c r="R68" s="286"/>
      <c r="S68" s="286"/>
      <c r="T68" s="286"/>
      <c r="U68" s="286"/>
      <c r="V68" s="286"/>
      <c r="W68" s="286"/>
      <c r="X68" s="286"/>
      <c r="Y68" s="286"/>
      <c r="Z68" s="286"/>
      <c r="AA68" s="286"/>
      <c r="AB68" s="286"/>
      <c r="AC68" s="290">
        <v>610.0</v>
      </c>
      <c r="AD68" s="289"/>
      <c r="AE68" s="15"/>
      <c r="AF68" s="15"/>
      <c r="AG68" s="16"/>
      <c r="AH68" s="291" t="s">
        <v>312</v>
      </c>
      <c r="AI68" s="279"/>
      <c r="AJ68" s="279"/>
      <c r="AK68" s="279"/>
      <c r="AL68" s="279"/>
      <c r="AM68" s="279"/>
      <c r="AN68" s="279"/>
      <c r="AO68" s="279"/>
      <c r="AP68" s="279"/>
      <c r="AQ68" s="279"/>
      <c r="AR68" s="279"/>
      <c r="AS68" s="279"/>
      <c r="AT68" s="279"/>
      <c r="AU68" s="279"/>
      <c r="AV68" s="279"/>
      <c r="AW68" s="279"/>
      <c r="AX68" s="279"/>
      <c r="AY68" s="279"/>
      <c r="AZ68" s="279"/>
      <c r="BA68" s="279"/>
      <c r="BB68" s="279"/>
      <c r="BC68" s="279"/>
      <c r="BD68" s="279"/>
      <c r="BE68" s="279"/>
      <c r="BF68" s="279"/>
      <c r="BG68" s="279"/>
      <c r="BH68" s="279"/>
      <c r="BI68" s="279"/>
      <c r="BJ68" s="279"/>
      <c r="BK68" s="279"/>
      <c r="BL68" s="279"/>
      <c r="BM68" s="279"/>
      <c r="BN68" s="279"/>
      <c r="BO68" s="279"/>
      <c r="BP68" s="279"/>
      <c r="BQ68" s="279"/>
    </row>
    <row r="69" ht="12.75" customHeight="1">
      <c r="A69" s="269"/>
      <c r="B69" s="20"/>
      <c r="C69" s="20"/>
      <c r="D69" s="284">
        <v>49.0</v>
      </c>
      <c r="E69" s="285" t="s">
        <v>351</v>
      </c>
      <c r="F69" s="286"/>
      <c r="G69" s="286"/>
      <c r="H69" s="286"/>
      <c r="I69" s="286"/>
      <c r="J69" s="286"/>
      <c r="K69" s="286"/>
      <c r="L69" s="286"/>
      <c r="M69" s="286"/>
      <c r="N69" s="286"/>
      <c r="O69" s="286"/>
      <c r="P69" s="286"/>
      <c r="Q69" s="286"/>
      <c r="R69" s="286"/>
      <c r="S69" s="286"/>
      <c r="T69" s="286"/>
      <c r="U69" s="286"/>
      <c r="V69" s="286"/>
      <c r="W69" s="286"/>
      <c r="X69" s="286"/>
      <c r="Y69" s="286"/>
      <c r="Z69" s="286"/>
      <c r="AA69" s="286"/>
      <c r="AB69" s="286"/>
      <c r="AC69" s="290">
        <v>746.0</v>
      </c>
      <c r="AD69" s="289"/>
      <c r="AE69" s="15"/>
      <c r="AF69" s="15"/>
      <c r="AG69" s="16"/>
      <c r="AH69" s="291" t="s">
        <v>312</v>
      </c>
      <c r="AI69" s="279"/>
      <c r="AJ69" s="279"/>
      <c r="AK69" s="279"/>
      <c r="AL69" s="279"/>
      <c r="AM69" s="279"/>
      <c r="AN69" s="279"/>
      <c r="AO69" s="279"/>
      <c r="AP69" s="279"/>
      <c r="AQ69" s="279"/>
      <c r="AR69" s="279"/>
      <c r="AS69" s="279"/>
      <c r="AT69" s="279"/>
      <c r="AU69" s="279"/>
      <c r="AV69" s="279"/>
      <c r="AW69" s="279"/>
      <c r="AX69" s="279"/>
      <c r="AY69" s="279"/>
      <c r="AZ69" s="279"/>
      <c r="BA69" s="279"/>
      <c r="BB69" s="279"/>
      <c r="BC69" s="279"/>
      <c r="BD69" s="279"/>
      <c r="BE69" s="279"/>
      <c r="BF69" s="279"/>
      <c r="BG69" s="279"/>
      <c r="BH69" s="279"/>
      <c r="BI69" s="279"/>
      <c r="BJ69" s="279"/>
      <c r="BK69" s="279"/>
      <c r="BL69" s="279"/>
      <c r="BM69" s="279"/>
      <c r="BN69" s="279"/>
      <c r="BO69" s="279"/>
      <c r="BP69" s="279"/>
      <c r="BQ69" s="279"/>
    </row>
    <row r="70" ht="12.75" customHeight="1">
      <c r="A70" s="269"/>
      <c r="B70" s="20"/>
      <c r="C70" s="20"/>
      <c r="D70" s="284">
        <v>50.0</v>
      </c>
      <c r="E70" s="285" t="s">
        <v>352</v>
      </c>
      <c r="F70" s="286"/>
      <c r="G70" s="286"/>
      <c r="H70" s="286"/>
      <c r="I70" s="286"/>
      <c r="J70" s="286"/>
      <c r="K70" s="286"/>
      <c r="L70" s="286"/>
      <c r="M70" s="286"/>
      <c r="N70" s="286"/>
      <c r="O70" s="286"/>
      <c r="P70" s="286"/>
      <c r="Q70" s="286"/>
      <c r="R70" s="286"/>
      <c r="S70" s="286"/>
      <c r="T70" s="286"/>
      <c r="U70" s="286"/>
      <c r="V70" s="286"/>
      <c r="W70" s="286"/>
      <c r="X70" s="286"/>
      <c r="Y70" s="286"/>
      <c r="Z70" s="286"/>
      <c r="AA70" s="286"/>
      <c r="AB70" s="286"/>
      <c r="AC70" s="290">
        <v>866.0</v>
      </c>
      <c r="AD70" s="289"/>
      <c r="AE70" s="15"/>
      <c r="AF70" s="15"/>
      <c r="AG70" s="16"/>
      <c r="AH70" s="291" t="s">
        <v>312</v>
      </c>
      <c r="AI70" s="279"/>
      <c r="AJ70" s="279"/>
      <c r="AK70" s="279"/>
      <c r="AL70" s="279"/>
      <c r="AM70" s="279"/>
      <c r="AN70" s="279"/>
      <c r="AO70" s="279"/>
      <c r="AP70" s="279"/>
      <c r="AQ70" s="279"/>
      <c r="AR70" s="279"/>
      <c r="AS70" s="279"/>
      <c r="AT70" s="279"/>
      <c r="AU70" s="279"/>
      <c r="AV70" s="279"/>
      <c r="AW70" s="279"/>
      <c r="AX70" s="279"/>
      <c r="AY70" s="279"/>
      <c r="AZ70" s="279"/>
      <c r="BA70" s="279"/>
      <c r="BB70" s="279"/>
      <c r="BC70" s="279"/>
      <c r="BD70" s="279"/>
      <c r="BE70" s="279"/>
      <c r="BF70" s="279"/>
      <c r="BG70" s="279"/>
      <c r="BH70" s="279"/>
      <c r="BI70" s="279"/>
      <c r="BJ70" s="279"/>
      <c r="BK70" s="279"/>
      <c r="BL70" s="279"/>
      <c r="BM70" s="279"/>
      <c r="BN70" s="279"/>
      <c r="BO70" s="279"/>
      <c r="BP70" s="279"/>
      <c r="BQ70" s="279"/>
    </row>
    <row r="71" ht="12.75" customHeight="1">
      <c r="A71" s="269"/>
      <c r="B71" s="34"/>
      <c r="C71" s="34"/>
      <c r="D71" s="284">
        <v>51.0</v>
      </c>
      <c r="E71" s="285" t="s">
        <v>353</v>
      </c>
      <c r="F71" s="286"/>
      <c r="G71" s="286"/>
      <c r="H71" s="286"/>
      <c r="I71" s="286"/>
      <c r="J71" s="286"/>
      <c r="K71" s="286"/>
      <c r="L71" s="286"/>
      <c r="M71" s="286"/>
      <c r="N71" s="286"/>
      <c r="O71" s="286"/>
      <c r="P71" s="286"/>
      <c r="Q71" s="286"/>
      <c r="R71" s="286"/>
      <c r="S71" s="286"/>
      <c r="T71" s="286"/>
      <c r="U71" s="286"/>
      <c r="V71" s="286"/>
      <c r="W71" s="286"/>
      <c r="X71" s="286"/>
      <c r="Y71" s="286"/>
      <c r="Z71" s="286"/>
      <c r="AA71" s="286"/>
      <c r="AB71" s="286"/>
      <c r="AC71" s="290">
        <v>607.0</v>
      </c>
      <c r="AD71" s="289"/>
      <c r="AE71" s="15"/>
      <c r="AF71" s="15"/>
      <c r="AG71" s="16"/>
      <c r="AH71" s="291" t="s">
        <v>312</v>
      </c>
      <c r="AI71" s="279"/>
      <c r="AJ71" s="279"/>
      <c r="AK71" s="279"/>
      <c r="AL71" s="279"/>
      <c r="AM71" s="279"/>
      <c r="AN71" s="279"/>
      <c r="AO71" s="279"/>
      <c r="AP71" s="279"/>
      <c r="AQ71" s="279"/>
      <c r="AR71" s="279"/>
      <c r="AS71" s="279"/>
      <c r="AT71" s="279"/>
      <c r="AU71" s="279"/>
      <c r="AV71" s="279"/>
      <c r="AW71" s="279"/>
      <c r="AX71" s="279"/>
      <c r="AY71" s="279"/>
      <c r="AZ71" s="279"/>
      <c r="BA71" s="279"/>
      <c r="BB71" s="279"/>
      <c r="BC71" s="279"/>
      <c r="BD71" s="279"/>
      <c r="BE71" s="279"/>
      <c r="BF71" s="279"/>
      <c r="BG71" s="279"/>
      <c r="BH71" s="279"/>
      <c r="BI71" s="279"/>
      <c r="BJ71" s="279"/>
      <c r="BK71" s="279"/>
      <c r="BL71" s="279"/>
      <c r="BM71" s="279"/>
      <c r="BN71" s="279"/>
      <c r="BO71" s="279"/>
      <c r="BP71" s="279"/>
      <c r="BQ71" s="279"/>
    </row>
    <row r="72" ht="12.75" customHeight="1">
      <c r="A72" s="331"/>
      <c r="B72" s="345"/>
      <c r="C72" s="345"/>
      <c r="D72" s="290">
        <v>52.0</v>
      </c>
      <c r="E72" s="332" t="s">
        <v>354</v>
      </c>
      <c r="F72" s="333"/>
      <c r="G72" s="333"/>
      <c r="H72" s="333"/>
      <c r="I72" s="333"/>
      <c r="J72" s="333"/>
      <c r="K72" s="333"/>
      <c r="L72" s="333"/>
      <c r="M72" s="333"/>
      <c r="N72" s="333"/>
      <c r="O72" s="333"/>
      <c r="P72" s="333"/>
      <c r="Q72" s="333"/>
      <c r="R72" s="333"/>
      <c r="S72" s="333"/>
      <c r="T72" s="333"/>
      <c r="U72" s="333"/>
      <c r="V72" s="333"/>
      <c r="W72" s="333"/>
      <c r="X72" s="333"/>
      <c r="Y72" s="333"/>
      <c r="Z72" s="333"/>
      <c r="AA72" s="333"/>
      <c r="AB72" s="333"/>
      <c r="AC72" s="290">
        <v>304.0</v>
      </c>
      <c r="AD72" s="336">
        <f>+SUM($AD$45:$AG$50)-SUM($AD$51:$AG$71)</f>
        <v>0</v>
      </c>
      <c r="AE72" s="15"/>
      <c r="AF72" s="15"/>
      <c r="AG72" s="16"/>
      <c r="AH72" s="346" t="s">
        <v>317</v>
      </c>
      <c r="AI72" s="337"/>
      <c r="AJ72" s="337"/>
      <c r="AK72" s="337"/>
      <c r="AL72" s="337"/>
      <c r="AM72" s="337"/>
      <c r="AN72" s="337"/>
      <c r="AO72" s="337"/>
      <c r="AP72" s="337"/>
      <c r="AQ72" s="337"/>
      <c r="AR72" s="337"/>
      <c r="AS72" s="337"/>
      <c r="AT72" s="337"/>
      <c r="AU72" s="337"/>
      <c r="AV72" s="337"/>
      <c r="AW72" s="337"/>
      <c r="AX72" s="337"/>
      <c r="AY72" s="337"/>
      <c r="AZ72" s="337"/>
      <c r="BA72" s="337"/>
      <c r="BB72" s="337"/>
      <c r="BC72" s="337"/>
      <c r="BD72" s="337"/>
      <c r="BE72" s="337"/>
      <c r="BF72" s="337"/>
      <c r="BG72" s="337"/>
      <c r="BH72" s="337"/>
      <c r="BI72" s="337"/>
      <c r="BJ72" s="337"/>
      <c r="BK72" s="337"/>
      <c r="BL72" s="337"/>
      <c r="BM72" s="337"/>
      <c r="BN72" s="337"/>
      <c r="BO72" s="337"/>
      <c r="BP72" s="337"/>
      <c r="BQ72" s="337"/>
    </row>
    <row r="73" ht="12.75" customHeight="1">
      <c r="A73" s="269"/>
      <c r="B73" s="330" t="s">
        <v>355</v>
      </c>
      <c r="C73" s="330" t="s">
        <v>356</v>
      </c>
      <c r="D73" s="284">
        <v>53.0</v>
      </c>
      <c r="E73" s="347" t="s">
        <v>357</v>
      </c>
      <c r="F73" s="15"/>
      <c r="G73" s="15"/>
      <c r="H73" s="15"/>
      <c r="I73" s="15"/>
      <c r="J73" s="15"/>
      <c r="K73" s="15"/>
      <c r="L73" s="15"/>
      <c r="M73" s="15"/>
      <c r="N73" s="15"/>
      <c r="O73" s="15"/>
      <c r="P73" s="15"/>
      <c r="Q73" s="15"/>
      <c r="R73" s="15"/>
      <c r="S73" s="15"/>
      <c r="T73" s="15"/>
      <c r="U73" s="15"/>
      <c r="V73" s="15"/>
      <c r="W73" s="16"/>
      <c r="X73" s="290"/>
      <c r="Y73" s="348" t="s">
        <v>358</v>
      </c>
      <c r="Z73" s="15"/>
      <c r="AA73" s="15"/>
      <c r="AB73" s="16"/>
      <c r="AC73" s="290"/>
      <c r="AD73" s="349" t="s">
        <v>359</v>
      </c>
      <c r="AE73" s="15"/>
      <c r="AF73" s="15"/>
      <c r="AG73" s="16"/>
      <c r="AH73" s="350">
        <v>31.0</v>
      </c>
      <c r="AI73" s="289">
        <f>+IF($AD$72&gt;0,$AD$72,0)</f>
        <v>0</v>
      </c>
      <c r="AJ73" s="15"/>
      <c r="AK73" s="15"/>
      <c r="AL73" s="16"/>
      <c r="AM73" s="291" t="s">
        <v>281</v>
      </c>
      <c r="AN73" s="279"/>
      <c r="AO73" s="279"/>
      <c r="AP73" s="279"/>
      <c r="AQ73" s="279"/>
      <c r="AR73" s="279"/>
      <c r="AS73" s="279"/>
      <c r="AT73" s="279"/>
      <c r="AU73" s="279"/>
      <c r="AV73" s="279"/>
      <c r="AW73" s="279"/>
      <c r="AX73" s="279"/>
      <c r="AY73" s="279"/>
      <c r="AZ73" s="279"/>
      <c r="BA73" s="279"/>
      <c r="BB73" s="279"/>
      <c r="BC73" s="279"/>
      <c r="BD73" s="279"/>
      <c r="BE73" s="279"/>
      <c r="BF73" s="279"/>
      <c r="BG73" s="279"/>
      <c r="BH73" s="279"/>
      <c r="BI73" s="279"/>
      <c r="BJ73" s="279"/>
      <c r="BK73" s="279"/>
      <c r="BL73" s="279"/>
      <c r="BM73" s="279"/>
      <c r="BN73" s="279"/>
      <c r="BO73" s="279"/>
      <c r="BP73" s="279"/>
      <c r="BQ73" s="279"/>
    </row>
    <row r="74" ht="12.75" customHeight="1">
      <c r="A74" s="269"/>
      <c r="B74" s="20"/>
      <c r="C74" s="20"/>
      <c r="D74" s="284">
        <v>54.0</v>
      </c>
      <c r="E74" s="285" t="s">
        <v>360</v>
      </c>
      <c r="F74" s="286"/>
      <c r="G74" s="286"/>
      <c r="H74" s="286"/>
      <c r="I74" s="286"/>
      <c r="J74" s="286"/>
      <c r="K74" s="286"/>
      <c r="L74" s="286"/>
      <c r="M74" s="286"/>
      <c r="N74" s="286"/>
      <c r="O74" s="286"/>
      <c r="P74" s="286"/>
      <c r="Q74" s="286"/>
      <c r="R74" s="286"/>
      <c r="S74" s="286"/>
      <c r="T74" s="286"/>
      <c r="U74" s="286"/>
      <c r="V74" s="286"/>
      <c r="W74" s="287"/>
      <c r="X74" s="290">
        <v>18.0</v>
      </c>
      <c r="Y74" s="351"/>
      <c r="Z74" s="15"/>
      <c r="AA74" s="15"/>
      <c r="AB74" s="16"/>
      <c r="AC74" s="290">
        <v>19.0</v>
      </c>
      <c r="AD74" s="289"/>
      <c r="AE74" s="15"/>
      <c r="AF74" s="15"/>
      <c r="AG74" s="16"/>
      <c r="AH74" s="350">
        <v>20.0</v>
      </c>
      <c r="AI74" s="351"/>
      <c r="AJ74" s="15"/>
      <c r="AK74" s="15"/>
      <c r="AL74" s="16"/>
      <c r="AM74" s="291" t="s">
        <v>281</v>
      </c>
      <c r="AN74" s="279"/>
      <c r="AO74" s="279"/>
      <c r="AP74" s="279"/>
      <c r="AQ74" s="279"/>
      <c r="AR74" s="279"/>
      <c r="AS74" s="279"/>
      <c r="AT74" s="279"/>
      <c r="AU74" s="279"/>
      <c r="AV74" s="279"/>
      <c r="AW74" s="279"/>
      <c r="AX74" s="279"/>
      <c r="AY74" s="279"/>
      <c r="AZ74" s="279"/>
      <c r="BA74" s="279"/>
      <c r="BB74" s="279"/>
      <c r="BC74" s="279"/>
      <c r="BD74" s="279"/>
      <c r="BE74" s="279"/>
      <c r="BF74" s="279"/>
      <c r="BG74" s="279"/>
      <c r="BH74" s="279"/>
      <c r="BI74" s="279"/>
      <c r="BJ74" s="279"/>
      <c r="BK74" s="279"/>
      <c r="BL74" s="279"/>
      <c r="BM74" s="279"/>
      <c r="BN74" s="279"/>
      <c r="BO74" s="279"/>
      <c r="BP74" s="279"/>
      <c r="BQ74" s="279"/>
    </row>
    <row r="75" ht="12.75" customHeight="1">
      <c r="A75" s="269"/>
      <c r="B75" s="20"/>
      <c r="C75" s="20"/>
      <c r="D75" s="284">
        <v>55.0</v>
      </c>
      <c r="E75" s="285" t="s">
        <v>361</v>
      </c>
      <c r="F75" s="286"/>
      <c r="G75" s="286"/>
      <c r="H75" s="286"/>
      <c r="I75" s="286"/>
      <c r="J75" s="286"/>
      <c r="K75" s="286"/>
      <c r="L75" s="286"/>
      <c r="M75" s="286"/>
      <c r="N75" s="286"/>
      <c r="O75" s="286"/>
      <c r="P75" s="286"/>
      <c r="Q75" s="286"/>
      <c r="R75" s="286"/>
      <c r="S75" s="286"/>
      <c r="T75" s="286"/>
      <c r="U75" s="286"/>
      <c r="V75" s="286"/>
      <c r="W75" s="287"/>
      <c r="X75" s="290">
        <v>1109.0</v>
      </c>
      <c r="Y75" s="289">
        <v>0.0</v>
      </c>
      <c r="Z75" s="15"/>
      <c r="AA75" s="15"/>
      <c r="AB75" s="16"/>
      <c r="AC75" s="290">
        <v>1111.0</v>
      </c>
      <c r="AD75" s="289">
        <v>0.0</v>
      </c>
      <c r="AE75" s="15"/>
      <c r="AF75" s="15"/>
      <c r="AG75" s="16"/>
      <c r="AH75" s="350">
        <v>1113.0</v>
      </c>
      <c r="AI75" s="289">
        <f>+ROUND(Y75*27%,0)-AD75</f>
        <v>0</v>
      </c>
      <c r="AJ75" s="15"/>
      <c r="AK75" s="15"/>
      <c r="AL75" s="16"/>
      <c r="AM75" s="291" t="s">
        <v>281</v>
      </c>
      <c r="AN75" s="279"/>
      <c r="AO75" s="279"/>
      <c r="AP75" s="279"/>
      <c r="AQ75" s="279"/>
      <c r="AR75" s="279"/>
      <c r="AS75" s="279"/>
      <c r="AT75" s="279"/>
      <c r="AU75" s="279"/>
      <c r="AV75" s="279"/>
      <c r="AW75" s="279"/>
      <c r="AX75" s="279"/>
      <c r="AY75" s="279"/>
      <c r="AZ75" s="279"/>
      <c r="BA75" s="279"/>
      <c r="BB75" s="279"/>
      <c r="BC75" s="279"/>
      <c r="BD75" s="279"/>
      <c r="BE75" s="279"/>
      <c r="BF75" s="279"/>
      <c r="BG75" s="279"/>
      <c r="BH75" s="279"/>
      <c r="BI75" s="279"/>
      <c r="BJ75" s="279"/>
      <c r="BK75" s="279"/>
      <c r="BL75" s="279"/>
      <c r="BM75" s="279"/>
      <c r="BN75" s="279"/>
      <c r="BO75" s="279"/>
      <c r="BP75" s="279"/>
      <c r="BQ75" s="279"/>
    </row>
    <row r="76" ht="12.75" customHeight="1">
      <c r="A76" s="352"/>
      <c r="B76" s="20"/>
      <c r="C76" s="20"/>
      <c r="D76" s="284">
        <v>56.0</v>
      </c>
      <c r="E76" s="285" t="s">
        <v>362</v>
      </c>
      <c r="F76" s="286"/>
      <c r="G76" s="286"/>
      <c r="H76" s="286"/>
      <c r="I76" s="286"/>
      <c r="J76" s="286"/>
      <c r="K76" s="286"/>
      <c r="L76" s="286"/>
      <c r="M76" s="286"/>
      <c r="N76" s="286"/>
      <c r="O76" s="286"/>
      <c r="P76" s="286"/>
      <c r="Q76" s="286"/>
      <c r="R76" s="286"/>
      <c r="S76" s="286"/>
      <c r="T76" s="286"/>
      <c r="U76" s="286"/>
      <c r="V76" s="286"/>
      <c r="W76" s="287"/>
      <c r="X76" s="290">
        <v>1640.0</v>
      </c>
      <c r="Y76" s="289"/>
      <c r="Z76" s="15"/>
      <c r="AA76" s="15"/>
      <c r="AB76" s="16"/>
      <c r="AC76" s="290">
        <v>1641.0</v>
      </c>
      <c r="AD76" s="289"/>
      <c r="AE76" s="15"/>
      <c r="AF76" s="15"/>
      <c r="AG76" s="16"/>
      <c r="AH76" s="350">
        <v>1642.0</v>
      </c>
      <c r="AI76" s="289"/>
      <c r="AJ76" s="15"/>
      <c r="AK76" s="15"/>
      <c r="AL76" s="16"/>
      <c r="AM76" s="291" t="s">
        <v>281</v>
      </c>
      <c r="AN76" s="279"/>
      <c r="AO76" s="279"/>
      <c r="AP76" s="279"/>
      <c r="AQ76" s="279"/>
      <c r="AR76" s="279"/>
      <c r="AS76" s="279"/>
      <c r="AT76" s="279"/>
      <c r="AU76" s="279"/>
      <c r="AV76" s="279"/>
      <c r="AW76" s="279"/>
      <c r="AX76" s="279"/>
      <c r="AY76" s="279"/>
      <c r="AZ76" s="279"/>
      <c r="BA76" s="279"/>
      <c r="BB76" s="279"/>
      <c r="BC76" s="279"/>
      <c r="BD76" s="279"/>
      <c r="BE76" s="279"/>
      <c r="BF76" s="279"/>
      <c r="BG76" s="279"/>
      <c r="BH76" s="279"/>
      <c r="BI76" s="279"/>
      <c r="BJ76" s="279"/>
      <c r="BK76" s="279"/>
      <c r="BL76" s="279"/>
      <c r="BM76" s="279"/>
      <c r="BN76" s="279"/>
      <c r="BO76" s="279"/>
      <c r="BP76" s="279"/>
      <c r="BQ76" s="279"/>
    </row>
    <row r="77" ht="12.75" customHeight="1">
      <c r="A77" s="269"/>
      <c r="B77" s="20"/>
      <c r="C77" s="20"/>
      <c r="D77" s="284">
        <v>57.0</v>
      </c>
      <c r="E77" s="285" t="s">
        <v>363</v>
      </c>
      <c r="F77" s="286"/>
      <c r="G77" s="286"/>
      <c r="H77" s="286"/>
      <c r="I77" s="286"/>
      <c r="J77" s="286"/>
      <c r="K77" s="286"/>
      <c r="L77" s="286"/>
      <c r="M77" s="286"/>
      <c r="N77" s="286"/>
      <c r="O77" s="286"/>
      <c r="P77" s="286"/>
      <c r="Q77" s="286"/>
      <c r="R77" s="286"/>
      <c r="S77" s="286"/>
      <c r="T77" s="286"/>
      <c r="U77" s="286"/>
      <c r="V77" s="286"/>
      <c r="W77" s="287"/>
      <c r="X77" s="290">
        <v>187.0</v>
      </c>
      <c r="Y77" s="289"/>
      <c r="Z77" s="15"/>
      <c r="AA77" s="15"/>
      <c r="AB77" s="16"/>
      <c r="AC77" s="290">
        <v>188.0</v>
      </c>
      <c r="AD77" s="289"/>
      <c r="AE77" s="15"/>
      <c r="AF77" s="15"/>
      <c r="AG77" s="16"/>
      <c r="AH77" s="290">
        <v>189.0</v>
      </c>
      <c r="AI77" s="289"/>
      <c r="AJ77" s="15"/>
      <c r="AK77" s="15"/>
      <c r="AL77" s="16"/>
      <c r="AM77" s="291" t="s">
        <v>281</v>
      </c>
      <c r="AN77" s="279"/>
      <c r="AO77" s="279"/>
      <c r="AP77" s="279"/>
      <c r="AQ77" s="279"/>
      <c r="AR77" s="279"/>
      <c r="AS77" s="279"/>
      <c r="AT77" s="279"/>
      <c r="AU77" s="279"/>
      <c r="AV77" s="279"/>
      <c r="AW77" s="279"/>
      <c r="AX77" s="279"/>
      <c r="AY77" s="279"/>
      <c r="AZ77" s="279"/>
      <c r="BA77" s="279"/>
      <c r="BB77" s="279"/>
      <c r="BC77" s="279"/>
      <c r="BD77" s="279"/>
      <c r="BE77" s="279"/>
      <c r="BF77" s="279"/>
      <c r="BG77" s="279"/>
      <c r="BH77" s="279"/>
      <c r="BI77" s="279"/>
      <c r="BJ77" s="279"/>
      <c r="BK77" s="279"/>
      <c r="BL77" s="279"/>
      <c r="BM77" s="279"/>
      <c r="BN77" s="279"/>
      <c r="BO77" s="279"/>
      <c r="BP77" s="279"/>
      <c r="BQ77" s="279"/>
    </row>
    <row r="78" ht="12.75" customHeight="1">
      <c r="A78" s="269"/>
      <c r="B78" s="20"/>
      <c r="C78" s="20"/>
      <c r="D78" s="293">
        <v>58.0</v>
      </c>
      <c r="E78" s="285" t="s">
        <v>364</v>
      </c>
      <c r="F78" s="286"/>
      <c r="G78" s="286"/>
      <c r="H78" s="286"/>
      <c r="I78" s="286"/>
      <c r="J78" s="286"/>
      <c r="K78" s="286"/>
      <c r="L78" s="286"/>
      <c r="M78" s="286"/>
      <c r="N78" s="286"/>
      <c r="O78" s="286"/>
      <c r="P78" s="286"/>
      <c r="Q78" s="286"/>
      <c r="R78" s="286"/>
      <c r="S78" s="286"/>
      <c r="T78" s="286"/>
      <c r="U78" s="286"/>
      <c r="V78" s="286"/>
      <c r="W78" s="287"/>
      <c r="X78" s="290">
        <v>1037.0</v>
      </c>
      <c r="Y78" s="289"/>
      <c r="Z78" s="15"/>
      <c r="AA78" s="15"/>
      <c r="AB78" s="16"/>
      <c r="AC78" s="350">
        <v>1038.0</v>
      </c>
      <c r="AD78" s="289"/>
      <c r="AE78" s="15"/>
      <c r="AF78" s="15"/>
      <c r="AG78" s="16"/>
      <c r="AH78" s="290">
        <v>1039.0</v>
      </c>
      <c r="AI78" s="289">
        <v>0.0</v>
      </c>
      <c r="AJ78" s="15"/>
      <c r="AK78" s="15"/>
      <c r="AL78" s="16"/>
      <c r="AM78" s="295" t="s">
        <v>281</v>
      </c>
      <c r="AN78" s="279"/>
      <c r="AO78" s="279"/>
      <c r="AP78" s="279"/>
      <c r="AQ78" s="279"/>
      <c r="AR78" s="279"/>
      <c r="AS78" s="279"/>
      <c r="AT78" s="279"/>
      <c r="AU78" s="279"/>
      <c r="AV78" s="279"/>
      <c r="AW78" s="279"/>
      <c r="AX78" s="279"/>
      <c r="AY78" s="279"/>
      <c r="AZ78" s="279"/>
      <c r="BA78" s="279"/>
      <c r="BB78" s="279"/>
      <c r="BC78" s="279"/>
      <c r="BD78" s="279"/>
      <c r="BE78" s="279"/>
      <c r="BF78" s="279"/>
      <c r="BG78" s="279"/>
      <c r="BH78" s="279"/>
      <c r="BI78" s="279"/>
      <c r="BJ78" s="279"/>
      <c r="BK78" s="279"/>
      <c r="BL78" s="279"/>
      <c r="BM78" s="279"/>
      <c r="BN78" s="279"/>
      <c r="BO78" s="279"/>
      <c r="BP78" s="279"/>
      <c r="BQ78" s="279"/>
    </row>
    <row r="79" ht="12.75" customHeight="1">
      <c r="A79" s="269"/>
      <c r="B79" s="20"/>
      <c r="C79" s="20"/>
      <c r="D79" s="20"/>
      <c r="E79" s="307" t="s">
        <v>365</v>
      </c>
      <c r="F79" s="308"/>
      <c r="G79" s="308"/>
      <c r="H79" s="308"/>
      <c r="I79" s="308"/>
      <c r="J79" s="308"/>
      <c r="K79" s="308"/>
      <c r="L79" s="308"/>
      <c r="M79" s="308"/>
      <c r="N79" s="308"/>
      <c r="O79" s="308"/>
      <c r="P79" s="308"/>
      <c r="Q79" s="308"/>
      <c r="R79" s="308"/>
      <c r="S79" s="308"/>
      <c r="T79" s="308"/>
      <c r="U79" s="308"/>
      <c r="V79" s="308"/>
      <c r="W79" s="309"/>
      <c r="X79" s="299">
        <v>1892.0</v>
      </c>
      <c r="Y79" s="300"/>
      <c r="Z79" s="15"/>
      <c r="AA79" s="15"/>
      <c r="AB79" s="16"/>
      <c r="AC79" s="353">
        <v>1893.0</v>
      </c>
      <c r="AD79" s="300"/>
      <c r="AE79" s="15"/>
      <c r="AF79" s="15"/>
      <c r="AG79" s="16"/>
      <c r="AH79" s="299">
        <v>1894.0</v>
      </c>
      <c r="AI79" s="300"/>
      <c r="AJ79" s="15"/>
      <c r="AK79" s="15"/>
      <c r="AL79" s="16"/>
      <c r="AM79" s="301"/>
      <c r="AN79" s="279"/>
      <c r="AO79" s="279"/>
      <c r="AP79" s="279"/>
      <c r="AQ79" s="279"/>
      <c r="AR79" s="279"/>
      <c r="AS79" s="279"/>
      <c r="AT79" s="279"/>
      <c r="AU79" s="279"/>
      <c r="AV79" s="279"/>
      <c r="AW79" s="279"/>
      <c r="AX79" s="279"/>
      <c r="AY79" s="279"/>
      <c r="AZ79" s="279"/>
      <c r="BA79" s="279"/>
      <c r="BB79" s="279"/>
      <c r="BC79" s="279"/>
      <c r="BD79" s="279"/>
      <c r="BE79" s="279"/>
      <c r="BF79" s="279"/>
      <c r="BG79" s="279"/>
      <c r="BH79" s="279"/>
      <c r="BI79" s="279"/>
      <c r="BJ79" s="279"/>
      <c r="BK79" s="279"/>
      <c r="BL79" s="279"/>
      <c r="BM79" s="279"/>
      <c r="BN79" s="279"/>
      <c r="BO79" s="279"/>
      <c r="BP79" s="279"/>
      <c r="BQ79" s="279"/>
    </row>
    <row r="80" ht="12.75" customHeight="1">
      <c r="A80" s="269"/>
      <c r="B80" s="20"/>
      <c r="C80" s="20"/>
      <c r="D80" s="20"/>
      <c r="E80" s="307" t="s">
        <v>366</v>
      </c>
      <c r="F80" s="308"/>
      <c r="G80" s="308"/>
      <c r="H80" s="308"/>
      <c r="I80" s="308"/>
      <c r="J80" s="308"/>
      <c r="K80" s="308"/>
      <c r="L80" s="308"/>
      <c r="M80" s="308"/>
      <c r="N80" s="308"/>
      <c r="O80" s="308"/>
      <c r="P80" s="308"/>
      <c r="Q80" s="308"/>
      <c r="R80" s="308"/>
      <c r="S80" s="308"/>
      <c r="T80" s="308"/>
      <c r="U80" s="308"/>
      <c r="V80" s="308"/>
      <c r="W80" s="309"/>
      <c r="X80" s="299">
        <v>1895.0</v>
      </c>
      <c r="Y80" s="300"/>
      <c r="Z80" s="15"/>
      <c r="AA80" s="15"/>
      <c r="AB80" s="16"/>
      <c r="AC80" s="353">
        <v>1896.0</v>
      </c>
      <c r="AD80" s="300"/>
      <c r="AE80" s="15"/>
      <c r="AF80" s="15"/>
      <c r="AG80" s="16"/>
      <c r="AH80" s="299">
        <v>1897.0</v>
      </c>
      <c r="AI80" s="300"/>
      <c r="AJ80" s="15"/>
      <c r="AK80" s="15"/>
      <c r="AL80" s="16"/>
      <c r="AM80" s="301"/>
      <c r="AN80" s="279"/>
      <c r="AO80" s="279"/>
      <c r="AP80" s="279"/>
      <c r="AQ80" s="279"/>
      <c r="AR80" s="279"/>
      <c r="AS80" s="279"/>
      <c r="AT80" s="279"/>
      <c r="AU80" s="279"/>
      <c r="AV80" s="279"/>
      <c r="AW80" s="279"/>
      <c r="AX80" s="279"/>
      <c r="AY80" s="279"/>
      <c r="AZ80" s="279"/>
      <c r="BA80" s="279"/>
      <c r="BB80" s="279"/>
      <c r="BC80" s="279"/>
      <c r="BD80" s="279"/>
      <c r="BE80" s="279"/>
      <c r="BF80" s="279"/>
      <c r="BG80" s="279"/>
      <c r="BH80" s="279"/>
      <c r="BI80" s="279"/>
      <c r="BJ80" s="279"/>
      <c r="BK80" s="279"/>
      <c r="BL80" s="279"/>
      <c r="BM80" s="279"/>
      <c r="BN80" s="279"/>
      <c r="BO80" s="279"/>
      <c r="BP80" s="279"/>
      <c r="BQ80" s="279"/>
    </row>
    <row r="81" ht="12.75" customHeight="1">
      <c r="A81" s="269"/>
      <c r="B81" s="20"/>
      <c r="C81" s="20"/>
      <c r="D81" s="20"/>
      <c r="E81" s="307" t="s">
        <v>367</v>
      </c>
      <c r="F81" s="308"/>
      <c r="G81" s="308"/>
      <c r="H81" s="308"/>
      <c r="I81" s="308"/>
      <c r="J81" s="308"/>
      <c r="K81" s="308"/>
      <c r="L81" s="308"/>
      <c r="M81" s="308"/>
      <c r="N81" s="308"/>
      <c r="O81" s="308"/>
      <c r="P81" s="308"/>
      <c r="Q81" s="308"/>
      <c r="R81" s="308"/>
      <c r="S81" s="308"/>
      <c r="T81" s="308"/>
      <c r="U81" s="308"/>
      <c r="V81" s="308"/>
      <c r="W81" s="309"/>
      <c r="X81" s="299">
        <v>1898.0</v>
      </c>
      <c r="Y81" s="300"/>
      <c r="Z81" s="15"/>
      <c r="AA81" s="15"/>
      <c r="AB81" s="16"/>
      <c r="AC81" s="353">
        <v>1899.0</v>
      </c>
      <c r="AD81" s="300"/>
      <c r="AE81" s="15"/>
      <c r="AF81" s="15"/>
      <c r="AG81" s="16"/>
      <c r="AH81" s="299">
        <v>1900.0</v>
      </c>
      <c r="AI81" s="300"/>
      <c r="AJ81" s="15"/>
      <c r="AK81" s="15"/>
      <c r="AL81" s="16"/>
      <c r="AM81" s="301"/>
      <c r="AN81" s="279"/>
      <c r="AO81" s="279"/>
      <c r="AP81" s="279"/>
      <c r="AQ81" s="279"/>
      <c r="AR81" s="279"/>
      <c r="AS81" s="279"/>
      <c r="AT81" s="279"/>
      <c r="AU81" s="279"/>
      <c r="AV81" s="279"/>
      <c r="AW81" s="279"/>
      <c r="AX81" s="279"/>
      <c r="AY81" s="279"/>
      <c r="AZ81" s="279"/>
      <c r="BA81" s="279"/>
      <c r="BB81" s="279"/>
      <c r="BC81" s="279"/>
      <c r="BD81" s="279"/>
      <c r="BE81" s="279"/>
      <c r="BF81" s="279"/>
      <c r="BG81" s="279"/>
      <c r="BH81" s="279"/>
      <c r="BI81" s="279"/>
      <c r="BJ81" s="279"/>
      <c r="BK81" s="279"/>
      <c r="BL81" s="279"/>
      <c r="BM81" s="279"/>
      <c r="BN81" s="279"/>
      <c r="BO81" s="279"/>
      <c r="BP81" s="279"/>
      <c r="BQ81" s="279"/>
    </row>
    <row r="82" ht="12.75" customHeight="1">
      <c r="A82" s="269"/>
      <c r="B82" s="20"/>
      <c r="C82" s="20"/>
      <c r="D82" s="20"/>
      <c r="E82" s="307" t="s">
        <v>368</v>
      </c>
      <c r="F82" s="308"/>
      <c r="G82" s="308"/>
      <c r="H82" s="308"/>
      <c r="I82" s="308"/>
      <c r="J82" s="308"/>
      <c r="K82" s="308"/>
      <c r="L82" s="308"/>
      <c r="M82" s="308"/>
      <c r="N82" s="308"/>
      <c r="O82" s="308"/>
      <c r="P82" s="308"/>
      <c r="Q82" s="308"/>
      <c r="R82" s="308"/>
      <c r="S82" s="308"/>
      <c r="T82" s="308"/>
      <c r="U82" s="308"/>
      <c r="V82" s="308"/>
      <c r="W82" s="309"/>
      <c r="X82" s="299">
        <v>1901.0</v>
      </c>
      <c r="Y82" s="300"/>
      <c r="Z82" s="15"/>
      <c r="AA82" s="15"/>
      <c r="AB82" s="16"/>
      <c r="AC82" s="353">
        <v>1902.0</v>
      </c>
      <c r="AD82" s="300"/>
      <c r="AE82" s="15"/>
      <c r="AF82" s="15"/>
      <c r="AG82" s="16"/>
      <c r="AH82" s="299">
        <v>1903.0</v>
      </c>
      <c r="AI82" s="300"/>
      <c r="AJ82" s="15"/>
      <c r="AK82" s="15"/>
      <c r="AL82" s="16"/>
      <c r="AM82" s="301"/>
      <c r="AN82" s="279"/>
      <c r="AO82" s="279"/>
      <c r="AP82" s="279"/>
      <c r="AQ82" s="279"/>
      <c r="AR82" s="279"/>
      <c r="AS82" s="279"/>
      <c r="AT82" s="279"/>
      <c r="AU82" s="279"/>
      <c r="AV82" s="279"/>
      <c r="AW82" s="279"/>
      <c r="AX82" s="279"/>
      <c r="AY82" s="279"/>
      <c r="AZ82" s="279"/>
      <c r="BA82" s="279"/>
      <c r="BB82" s="279"/>
      <c r="BC82" s="279"/>
      <c r="BD82" s="279"/>
      <c r="BE82" s="279"/>
      <c r="BF82" s="279"/>
      <c r="BG82" s="279"/>
      <c r="BH82" s="279"/>
      <c r="BI82" s="279"/>
      <c r="BJ82" s="279"/>
      <c r="BK82" s="279"/>
      <c r="BL82" s="279"/>
      <c r="BM82" s="279"/>
      <c r="BN82" s="279"/>
      <c r="BO82" s="279"/>
      <c r="BP82" s="279"/>
      <c r="BQ82" s="279"/>
    </row>
    <row r="83" ht="12.75" customHeight="1">
      <c r="A83" s="269"/>
      <c r="B83" s="20"/>
      <c r="C83" s="20"/>
      <c r="D83" s="34"/>
      <c r="E83" s="307" t="s">
        <v>369</v>
      </c>
      <c r="F83" s="308"/>
      <c r="G83" s="308"/>
      <c r="H83" s="308"/>
      <c r="I83" s="308"/>
      <c r="J83" s="308"/>
      <c r="K83" s="308"/>
      <c r="L83" s="308"/>
      <c r="M83" s="308"/>
      <c r="N83" s="308"/>
      <c r="O83" s="308"/>
      <c r="P83" s="308"/>
      <c r="Q83" s="308"/>
      <c r="R83" s="308"/>
      <c r="S83" s="308"/>
      <c r="T83" s="308"/>
      <c r="U83" s="308"/>
      <c r="V83" s="308"/>
      <c r="W83" s="309"/>
      <c r="X83" s="299">
        <v>1912.0</v>
      </c>
      <c r="Y83" s="300"/>
      <c r="Z83" s="15"/>
      <c r="AA83" s="15"/>
      <c r="AB83" s="16"/>
      <c r="AC83" s="353">
        <v>1918.0</v>
      </c>
      <c r="AD83" s="300"/>
      <c r="AE83" s="15"/>
      <c r="AF83" s="15"/>
      <c r="AG83" s="16"/>
      <c r="AH83" s="299">
        <v>1913.0</v>
      </c>
      <c r="AI83" s="300"/>
      <c r="AJ83" s="15"/>
      <c r="AK83" s="15"/>
      <c r="AL83" s="16"/>
      <c r="AM83" s="310"/>
      <c r="AN83" s="279"/>
      <c r="AO83" s="279"/>
      <c r="AP83" s="279"/>
      <c r="AQ83" s="279"/>
      <c r="AR83" s="279"/>
      <c r="AS83" s="279"/>
      <c r="AT83" s="279"/>
      <c r="AU83" s="279"/>
      <c r="AV83" s="279"/>
      <c r="AW83" s="279"/>
      <c r="AX83" s="279"/>
      <c r="AY83" s="279"/>
      <c r="AZ83" s="279"/>
      <c r="BA83" s="279"/>
      <c r="BB83" s="279"/>
      <c r="BC83" s="279"/>
      <c r="BD83" s="279"/>
      <c r="BE83" s="279"/>
      <c r="BF83" s="279"/>
      <c r="BG83" s="279"/>
      <c r="BH83" s="279"/>
      <c r="BI83" s="279"/>
      <c r="BJ83" s="279"/>
      <c r="BK83" s="279"/>
      <c r="BL83" s="279"/>
      <c r="BM83" s="279"/>
      <c r="BN83" s="279"/>
      <c r="BO83" s="279"/>
      <c r="BP83" s="279"/>
      <c r="BQ83" s="279"/>
    </row>
    <row r="84" ht="12.75" customHeight="1">
      <c r="A84" s="269"/>
      <c r="B84" s="20"/>
      <c r="C84" s="20"/>
      <c r="D84" s="284">
        <v>59.0</v>
      </c>
      <c r="E84" s="285" t="s">
        <v>370</v>
      </c>
      <c r="F84" s="286"/>
      <c r="G84" s="286"/>
      <c r="H84" s="286"/>
      <c r="I84" s="286"/>
      <c r="J84" s="286"/>
      <c r="K84" s="286"/>
      <c r="L84" s="286"/>
      <c r="M84" s="286"/>
      <c r="N84" s="286"/>
      <c r="O84" s="286"/>
      <c r="P84" s="286"/>
      <c r="Q84" s="286"/>
      <c r="R84" s="286"/>
      <c r="S84" s="286"/>
      <c r="T84" s="286"/>
      <c r="U84" s="286"/>
      <c r="V84" s="286"/>
      <c r="W84" s="287"/>
      <c r="X84" s="290">
        <v>77.0</v>
      </c>
      <c r="Y84" s="289"/>
      <c r="Z84" s="15"/>
      <c r="AA84" s="15"/>
      <c r="AB84" s="16"/>
      <c r="AC84" s="290">
        <v>74.0</v>
      </c>
      <c r="AD84" s="289"/>
      <c r="AE84" s="15"/>
      <c r="AF84" s="15"/>
      <c r="AG84" s="16"/>
      <c r="AH84" s="290">
        <v>79.0</v>
      </c>
      <c r="AI84" s="289"/>
      <c r="AJ84" s="15"/>
      <c r="AK84" s="15"/>
      <c r="AL84" s="16"/>
      <c r="AM84" s="291" t="s">
        <v>281</v>
      </c>
      <c r="AN84" s="279"/>
      <c r="AO84" s="279"/>
      <c r="AP84" s="279"/>
      <c r="AQ84" s="279"/>
      <c r="AR84" s="279"/>
      <c r="AS84" s="279"/>
      <c r="AT84" s="279"/>
      <c r="AU84" s="279"/>
      <c r="AV84" s="279"/>
      <c r="AW84" s="279"/>
      <c r="AX84" s="279"/>
      <c r="AY84" s="279"/>
      <c r="AZ84" s="279"/>
      <c r="BA84" s="279"/>
      <c r="BB84" s="279"/>
      <c r="BC84" s="279"/>
      <c r="BD84" s="279"/>
      <c r="BE84" s="279"/>
      <c r="BF84" s="279"/>
      <c r="BG84" s="279"/>
      <c r="BH84" s="279"/>
      <c r="BI84" s="279"/>
      <c r="BJ84" s="279"/>
      <c r="BK84" s="279"/>
      <c r="BL84" s="279"/>
      <c r="BM84" s="279"/>
      <c r="BN84" s="279"/>
      <c r="BO84" s="279"/>
      <c r="BP84" s="279"/>
      <c r="BQ84" s="279"/>
    </row>
    <row r="85" ht="12.75" customHeight="1">
      <c r="A85" s="269"/>
      <c r="B85" s="20"/>
      <c r="C85" s="20"/>
      <c r="D85" s="284">
        <v>60.0</v>
      </c>
      <c r="E85" s="285" t="s">
        <v>371</v>
      </c>
      <c r="F85" s="286"/>
      <c r="G85" s="286"/>
      <c r="H85" s="286"/>
      <c r="I85" s="286"/>
      <c r="J85" s="286"/>
      <c r="K85" s="286"/>
      <c r="L85" s="286"/>
      <c r="M85" s="286"/>
      <c r="N85" s="286"/>
      <c r="O85" s="286"/>
      <c r="P85" s="286"/>
      <c r="Q85" s="286"/>
      <c r="R85" s="286"/>
      <c r="S85" s="286"/>
      <c r="T85" s="286"/>
      <c r="U85" s="286"/>
      <c r="V85" s="286"/>
      <c r="W85" s="287"/>
      <c r="X85" s="290">
        <v>1040.0</v>
      </c>
      <c r="Y85" s="289"/>
      <c r="Z85" s="15"/>
      <c r="AA85" s="15"/>
      <c r="AB85" s="16"/>
      <c r="AC85" s="285"/>
      <c r="AD85" s="286"/>
      <c r="AE85" s="286"/>
      <c r="AF85" s="286"/>
      <c r="AG85" s="287"/>
      <c r="AH85" s="290">
        <v>1041.0</v>
      </c>
      <c r="AI85" s="289"/>
      <c r="AJ85" s="15"/>
      <c r="AK85" s="15"/>
      <c r="AL85" s="16"/>
      <c r="AM85" s="291" t="s">
        <v>281</v>
      </c>
      <c r="AN85" s="279"/>
      <c r="AO85" s="279"/>
      <c r="AP85" s="279"/>
      <c r="AQ85" s="279"/>
      <c r="AR85" s="279"/>
      <c r="AS85" s="279"/>
      <c r="AT85" s="279"/>
      <c r="AU85" s="279"/>
      <c r="AV85" s="279"/>
      <c r="AW85" s="279"/>
      <c r="AX85" s="279"/>
      <c r="AY85" s="279"/>
      <c r="AZ85" s="279"/>
      <c r="BA85" s="279"/>
      <c r="BB85" s="279"/>
      <c r="BC85" s="279"/>
      <c r="BD85" s="279"/>
      <c r="BE85" s="279"/>
      <c r="BF85" s="279"/>
      <c r="BG85" s="279"/>
      <c r="BH85" s="279"/>
      <c r="BI85" s="279"/>
      <c r="BJ85" s="279"/>
      <c r="BK85" s="279"/>
      <c r="BL85" s="279"/>
      <c r="BM85" s="279"/>
      <c r="BN85" s="279"/>
      <c r="BO85" s="279"/>
      <c r="BP85" s="279"/>
      <c r="BQ85" s="279"/>
    </row>
    <row r="86" ht="12.75" customHeight="1">
      <c r="A86" s="269"/>
      <c r="B86" s="20"/>
      <c r="C86" s="20"/>
      <c r="D86" s="284">
        <v>61.0</v>
      </c>
      <c r="E86" s="285" t="s">
        <v>372</v>
      </c>
      <c r="F86" s="286"/>
      <c r="G86" s="286"/>
      <c r="H86" s="286"/>
      <c r="I86" s="286"/>
      <c r="J86" s="286"/>
      <c r="K86" s="286"/>
      <c r="L86" s="286"/>
      <c r="M86" s="286"/>
      <c r="N86" s="286"/>
      <c r="O86" s="286"/>
      <c r="P86" s="286"/>
      <c r="Q86" s="286"/>
      <c r="R86" s="286"/>
      <c r="S86" s="286"/>
      <c r="T86" s="286"/>
      <c r="U86" s="286"/>
      <c r="V86" s="286"/>
      <c r="W86" s="286"/>
      <c r="X86" s="286"/>
      <c r="Y86" s="286"/>
      <c r="Z86" s="286"/>
      <c r="AA86" s="286"/>
      <c r="AB86" s="286"/>
      <c r="AC86" s="286"/>
      <c r="AD86" s="286"/>
      <c r="AE86" s="286"/>
      <c r="AF86" s="286"/>
      <c r="AG86" s="287"/>
      <c r="AH86" s="290">
        <v>1042.0</v>
      </c>
      <c r="AI86" s="289"/>
      <c r="AJ86" s="15"/>
      <c r="AK86" s="15"/>
      <c r="AL86" s="16"/>
      <c r="AM86" s="291" t="s">
        <v>281</v>
      </c>
      <c r="AN86" s="279"/>
      <c r="AO86" s="279"/>
      <c r="AP86" s="279"/>
      <c r="AQ86" s="279"/>
      <c r="AR86" s="279"/>
      <c r="AS86" s="279"/>
      <c r="AT86" s="279"/>
      <c r="AU86" s="279"/>
      <c r="AV86" s="279"/>
      <c r="AW86" s="279"/>
      <c r="AX86" s="279"/>
      <c r="AY86" s="279"/>
      <c r="AZ86" s="279"/>
      <c r="BA86" s="279"/>
      <c r="BB86" s="279"/>
      <c r="BC86" s="279"/>
      <c r="BD86" s="279"/>
      <c r="BE86" s="279"/>
      <c r="BF86" s="279"/>
      <c r="BG86" s="279"/>
      <c r="BH86" s="279"/>
      <c r="BI86" s="279"/>
      <c r="BJ86" s="279"/>
      <c r="BK86" s="279"/>
      <c r="BL86" s="279"/>
      <c r="BM86" s="279"/>
      <c r="BN86" s="279"/>
      <c r="BO86" s="279"/>
      <c r="BP86" s="279"/>
      <c r="BQ86" s="279"/>
    </row>
    <row r="87" ht="12.75" customHeight="1">
      <c r="A87" s="269"/>
      <c r="B87" s="20"/>
      <c r="C87" s="20"/>
      <c r="D87" s="284">
        <v>62.0</v>
      </c>
      <c r="E87" s="285" t="s">
        <v>373</v>
      </c>
      <c r="F87" s="286"/>
      <c r="G87" s="286"/>
      <c r="H87" s="286"/>
      <c r="I87" s="286"/>
      <c r="J87" s="286"/>
      <c r="K87" s="286"/>
      <c r="L87" s="286"/>
      <c r="M87" s="286"/>
      <c r="N87" s="286"/>
      <c r="O87" s="286"/>
      <c r="P87" s="286"/>
      <c r="Q87" s="286"/>
      <c r="R87" s="286"/>
      <c r="S87" s="286"/>
      <c r="T87" s="286"/>
      <c r="U87" s="286"/>
      <c r="V87" s="286"/>
      <c r="W87" s="287"/>
      <c r="X87" s="290">
        <v>824.0</v>
      </c>
      <c r="Y87" s="289"/>
      <c r="Z87" s="15"/>
      <c r="AA87" s="15"/>
      <c r="AB87" s="16"/>
      <c r="AC87" s="285"/>
      <c r="AD87" s="286"/>
      <c r="AE87" s="286"/>
      <c r="AF87" s="286"/>
      <c r="AG87" s="287"/>
      <c r="AH87" s="290">
        <v>825.0</v>
      </c>
      <c r="AI87" s="289"/>
      <c r="AJ87" s="15"/>
      <c r="AK87" s="15"/>
      <c r="AL87" s="16"/>
      <c r="AM87" s="291" t="s">
        <v>281</v>
      </c>
      <c r="AN87" s="279"/>
      <c r="AO87" s="279"/>
      <c r="AP87" s="279"/>
      <c r="AQ87" s="279"/>
      <c r="AR87" s="279"/>
      <c r="AS87" s="279"/>
      <c r="AT87" s="279"/>
      <c r="AU87" s="279"/>
      <c r="AV87" s="279"/>
      <c r="AW87" s="279"/>
      <c r="AX87" s="279"/>
      <c r="AY87" s="279"/>
      <c r="AZ87" s="279"/>
      <c r="BA87" s="279"/>
      <c r="BB87" s="279"/>
      <c r="BC87" s="279"/>
      <c r="BD87" s="279"/>
      <c r="BE87" s="279"/>
      <c r="BF87" s="279"/>
      <c r="BG87" s="279"/>
      <c r="BH87" s="279"/>
      <c r="BI87" s="279"/>
      <c r="BJ87" s="279"/>
      <c r="BK87" s="279"/>
      <c r="BL87" s="279"/>
      <c r="BM87" s="279"/>
      <c r="BN87" s="279"/>
      <c r="BO87" s="279"/>
      <c r="BP87" s="279"/>
      <c r="BQ87" s="279"/>
    </row>
    <row r="88" ht="12.75" customHeight="1">
      <c r="A88" s="269"/>
      <c r="B88" s="20"/>
      <c r="C88" s="20"/>
      <c r="D88" s="284">
        <v>63.0</v>
      </c>
      <c r="E88" s="285" t="s">
        <v>374</v>
      </c>
      <c r="F88" s="286"/>
      <c r="G88" s="286"/>
      <c r="H88" s="286"/>
      <c r="I88" s="286"/>
      <c r="J88" s="286"/>
      <c r="K88" s="286"/>
      <c r="L88" s="286"/>
      <c r="M88" s="286"/>
      <c r="N88" s="286"/>
      <c r="O88" s="286"/>
      <c r="P88" s="286"/>
      <c r="Q88" s="286"/>
      <c r="R88" s="286"/>
      <c r="S88" s="286"/>
      <c r="T88" s="286"/>
      <c r="U88" s="286"/>
      <c r="V88" s="286"/>
      <c r="W88" s="287"/>
      <c r="X88" s="290">
        <v>1043.0</v>
      </c>
      <c r="Y88" s="289"/>
      <c r="Z88" s="15"/>
      <c r="AA88" s="15"/>
      <c r="AB88" s="16"/>
      <c r="AC88" s="350">
        <v>1102.0</v>
      </c>
      <c r="AD88" s="289"/>
      <c r="AE88" s="15"/>
      <c r="AF88" s="15"/>
      <c r="AG88" s="16"/>
      <c r="AH88" s="290">
        <v>1044.0</v>
      </c>
      <c r="AI88" s="289"/>
      <c r="AJ88" s="15"/>
      <c r="AK88" s="15"/>
      <c r="AL88" s="16"/>
      <c r="AM88" s="291" t="s">
        <v>281</v>
      </c>
      <c r="AN88" s="279"/>
      <c r="AO88" s="279"/>
      <c r="AP88" s="279"/>
      <c r="AQ88" s="279"/>
      <c r="AR88" s="279"/>
      <c r="AS88" s="279"/>
      <c r="AT88" s="279"/>
      <c r="AU88" s="279"/>
      <c r="AV88" s="279"/>
      <c r="AW88" s="279"/>
      <c r="AX88" s="279"/>
      <c r="AY88" s="279"/>
      <c r="AZ88" s="279"/>
      <c r="BA88" s="279"/>
      <c r="BB88" s="279"/>
      <c r="BC88" s="279"/>
      <c r="BD88" s="279"/>
      <c r="BE88" s="279"/>
      <c r="BF88" s="279"/>
      <c r="BG88" s="279"/>
      <c r="BH88" s="279"/>
      <c r="BI88" s="279"/>
      <c r="BJ88" s="279"/>
      <c r="BK88" s="279"/>
      <c r="BL88" s="279"/>
      <c r="BM88" s="279"/>
      <c r="BN88" s="279"/>
      <c r="BO88" s="279"/>
      <c r="BP88" s="279"/>
      <c r="BQ88" s="279"/>
    </row>
    <row r="89" ht="12.75" customHeight="1">
      <c r="A89" s="269"/>
      <c r="B89" s="20"/>
      <c r="C89" s="20"/>
      <c r="D89" s="284">
        <v>64.0</v>
      </c>
      <c r="E89" s="285" t="s">
        <v>375</v>
      </c>
      <c r="F89" s="286"/>
      <c r="G89" s="286"/>
      <c r="H89" s="286"/>
      <c r="I89" s="286"/>
      <c r="J89" s="286"/>
      <c r="K89" s="286"/>
      <c r="L89" s="286"/>
      <c r="M89" s="286"/>
      <c r="N89" s="286"/>
      <c r="O89" s="286"/>
      <c r="P89" s="286"/>
      <c r="Q89" s="286"/>
      <c r="R89" s="286"/>
      <c r="S89" s="286"/>
      <c r="T89" s="286"/>
      <c r="U89" s="286"/>
      <c r="V89" s="286"/>
      <c r="W89" s="287"/>
      <c r="X89" s="290">
        <v>113.0</v>
      </c>
      <c r="Y89" s="289">
        <v>0.0</v>
      </c>
      <c r="Z89" s="15"/>
      <c r="AA89" s="15"/>
      <c r="AB89" s="16"/>
      <c r="AC89" s="290">
        <v>1007.0</v>
      </c>
      <c r="AD89" s="289">
        <v>0.0</v>
      </c>
      <c r="AE89" s="15"/>
      <c r="AF89" s="15"/>
      <c r="AG89" s="16"/>
      <c r="AH89" s="290">
        <v>114.0</v>
      </c>
      <c r="AI89" s="289">
        <f>+ROUND(Y89*40%,0)-AD89</f>
        <v>0</v>
      </c>
      <c r="AJ89" s="15"/>
      <c r="AK89" s="15"/>
      <c r="AL89" s="16"/>
      <c r="AM89" s="291" t="s">
        <v>281</v>
      </c>
      <c r="AN89" s="279"/>
      <c r="AO89" s="279"/>
      <c r="AP89" s="279"/>
      <c r="AQ89" s="279"/>
      <c r="AR89" s="279"/>
      <c r="AS89" s="279"/>
      <c r="AT89" s="279"/>
      <c r="AU89" s="279"/>
      <c r="AV89" s="279"/>
      <c r="AW89" s="279"/>
      <c r="AX89" s="279"/>
      <c r="AY89" s="279"/>
      <c r="AZ89" s="279"/>
      <c r="BA89" s="279"/>
      <c r="BB89" s="279"/>
      <c r="BC89" s="279"/>
      <c r="BD89" s="279"/>
      <c r="BE89" s="279"/>
      <c r="BF89" s="279"/>
      <c r="BG89" s="279"/>
      <c r="BH89" s="279"/>
      <c r="BI89" s="279"/>
      <c r="BJ89" s="279"/>
      <c r="BK89" s="279"/>
      <c r="BL89" s="279"/>
      <c r="BM89" s="279"/>
      <c r="BN89" s="279"/>
      <c r="BO89" s="279"/>
      <c r="BP89" s="279"/>
      <c r="BQ89" s="279"/>
    </row>
    <row r="90" ht="12.75" customHeight="1">
      <c r="A90" s="269"/>
      <c r="B90" s="20"/>
      <c r="C90" s="20"/>
      <c r="D90" s="284">
        <v>65.0</v>
      </c>
      <c r="E90" s="285" t="s">
        <v>376</v>
      </c>
      <c r="F90" s="286"/>
      <c r="G90" s="286"/>
      <c r="H90" s="286"/>
      <c r="I90" s="286"/>
      <c r="J90" s="286"/>
      <c r="K90" s="286"/>
      <c r="L90" s="286"/>
      <c r="M90" s="286"/>
      <c r="N90" s="286"/>
      <c r="O90" s="286"/>
      <c r="P90" s="286"/>
      <c r="Q90" s="286"/>
      <c r="R90" s="286"/>
      <c r="S90" s="286"/>
      <c r="T90" s="286"/>
      <c r="U90" s="286"/>
      <c r="V90" s="286"/>
      <c r="W90" s="287"/>
      <c r="X90" s="290">
        <v>1829.0</v>
      </c>
      <c r="Y90" s="289"/>
      <c r="Z90" s="15"/>
      <c r="AA90" s="15"/>
      <c r="AB90" s="16"/>
      <c r="AC90" s="285"/>
      <c r="AD90" s="286"/>
      <c r="AE90" s="286"/>
      <c r="AF90" s="286"/>
      <c r="AG90" s="287"/>
      <c r="AH90" s="290">
        <v>1830.0</v>
      </c>
      <c r="AI90" s="289"/>
      <c r="AJ90" s="15"/>
      <c r="AK90" s="15"/>
      <c r="AL90" s="16"/>
      <c r="AM90" s="291" t="s">
        <v>281</v>
      </c>
      <c r="AN90" s="279"/>
      <c r="AO90" s="279"/>
      <c r="AP90" s="279"/>
      <c r="AQ90" s="279"/>
      <c r="AR90" s="279"/>
      <c r="AS90" s="279"/>
      <c r="AT90" s="279"/>
      <c r="AU90" s="279"/>
      <c r="AV90" s="279"/>
      <c r="AW90" s="279"/>
      <c r="AX90" s="279"/>
      <c r="AY90" s="279"/>
      <c r="AZ90" s="279"/>
      <c r="BA90" s="279"/>
      <c r="BB90" s="279"/>
      <c r="BC90" s="279"/>
      <c r="BD90" s="279"/>
      <c r="BE90" s="279"/>
      <c r="BF90" s="279"/>
      <c r="BG90" s="279"/>
      <c r="BH90" s="279"/>
      <c r="BI90" s="279"/>
      <c r="BJ90" s="279"/>
      <c r="BK90" s="279"/>
      <c r="BL90" s="279"/>
      <c r="BM90" s="279"/>
      <c r="BN90" s="279"/>
      <c r="BO90" s="279"/>
      <c r="BP90" s="279"/>
      <c r="BQ90" s="279"/>
    </row>
    <row r="91" ht="12.75" customHeight="1">
      <c r="A91" s="269"/>
      <c r="B91" s="20"/>
      <c r="C91" s="20"/>
      <c r="D91" s="284">
        <v>66.0</v>
      </c>
      <c r="E91" s="285" t="s">
        <v>377</v>
      </c>
      <c r="F91" s="286"/>
      <c r="G91" s="286"/>
      <c r="H91" s="286"/>
      <c r="I91" s="286"/>
      <c r="J91" s="286"/>
      <c r="K91" s="286"/>
      <c r="L91" s="286"/>
      <c r="M91" s="286"/>
      <c r="N91" s="286"/>
      <c r="O91" s="286"/>
      <c r="P91" s="286"/>
      <c r="Q91" s="286"/>
      <c r="R91" s="286"/>
      <c r="S91" s="286"/>
      <c r="T91" s="286"/>
      <c r="U91" s="286"/>
      <c r="V91" s="286"/>
      <c r="W91" s="287"/>
      <c r="X91" s="290">
        <v>1835.0</v>
      </c>
      <c r="Y91" s="289"/>
      <c r="Z91" s="15"/>
      <c r="AA91" s="15"/>
      <c r="AB91" s="16"/>
      <c r="AC91" s="290">
        <v>1836.0</v>
      </c>
      <c r="AD91" s="289"/>
      <c r="AE91" s="15"/>
      <c r="AF91" s="15"/>
      <c r="AG91" s="16"/>
      <c r="AH91" s="290">
        <v>1837.0</v>
      </c>
      <c r="AI91" s="289"/>
      <c r="AJ91" s="15"/>
      <c r="AK91" s="15"/>
      <c r="AL91" s="16"/>
      <c r="AM91" s="291" t="s">
        <v>281</v>
      </c>
      <c r="AN91" s="279"/>
      <c r="AO91" s="279"/>
      <c r="AP91" s="279"/>
      <c r="AQ91" s="279"/>
      <c r="AR91" s="279"/>
      <c r="AS91" s="279"/>
      <c r="AT91" s="279"/>
      <c r="AU91" s="279"/>
      <c r="AV91" s="279"/>
      <c r="AW91" s="279"/>
      <c r="AX91" s="279"/>
      <c r="AY91" s="279"/>
      <c r="AZ91" s="279"/>
      <c r="BA91" s="279"/>
      <c r="BB91" s="279"/>
      <c r="BC91" s="279"/>
      <c r="BD91" s="279"/>
      <c r="BE91" s="279"/>
      <c r="BF91" s="279"/>
      <c r="BG91" s="279"/>
      <c r="BH91" s="279"/>
      <c r="BI91" s="279"/>
      <c r="BJ91" s="279"/>
      <c r="BK91" s="279"/>
      <c r="BL91" s="279"/>
      <c r="BM91" s="279"/>
      <c r="BN91" s="279"/>
      <c r="BO91" s="279"/>
      <c r="BP91" s="279"/>
      <c r="BQ91" s="279"/>
    </row>
    <row r="92" ht="12.75" customHeight="1">
      <c r="A92" s="269"/>
      <c r="B92" s="20"/>
      <c r="C92" s="20"/>
      <c r="D92" s="284">
        <v>67.0</v>
      </c>
      <c r="E92" s="285" t="s">
        <v>378</v>
      </c>
      <c r="F92" s="286"/>
      <c r="G92" s="286"/>
      <c r="H92" s="286"/>
      <c r="I92" s="286"/>
      <c r="J92" s="286"/>
      <c r="K92" s="286"/>
      <c r="L92" s="286"/>
      <c r="M92" s="286"/>
      <c r="N92" s="286"/>
      <c r="O92" s="286"/>
      <c r="P92" s="286"/>
      <c r="Q92" s="286"/>
      <c r="R92" s="286"/>
      <c r="S92" s="286"/>
      <c r="T92" s="286"/>
      <c r="U92" s="286"/>
      <c r="V92" s="286"/>
      <c r="W92" s="287"/>
      <c r="X92" s="290">
        <v>908.0</v>
      </c>
      <c r="Y92" s="289"/>
      <c r="Z92" s="15"/>
      <c r="AA92" s="15"/>
      <c r="AB92" s="16"/>
      <c r="AC92" s="285"/>
      <c r="AD92" s="286"/>
      <c r="AE92" s="286"/>
      <c r="AF92" s="286"/>
      <c r="AG92" s="287"/>
      <c r="AH92" s="290">
        <v>909.0</v>
      </c>
      <c r="AI92" s="289"/>
      <c r="AJ92" s="15"/>
      <c r="AK92" s="15"/>
      <c r="AL92" s="16"/>
      <c r="AM92" s="291" t="s">
        <v>281</v>
      </c>
      <c r="AN92" s="279"/>
      <c r="AO92" s="279"/>
      <c r="AP92" s="279"/>
      <c r="AQ92" s="279"/>
      <c r="AR92" s="279"/>
      <c r="AS92" s="279"/>
      <c r="AT92" s="279"/>
      <c r="AU92" s="279"/>
      <c r="AV92" s="279"/>
      <c r="AW92" s="279"/>
      <c r="AX92" s="279"/>
      <c r="AY92" s="279"/>
      <c r="AZ92" s="279"/>
      <c r="BA92" s="279"/>
      <c r="BB92" s="279"/>
      <c r="BC92" s="279"/>
      <c r="BD92" s="279"/>
      <c r="BE92" s="279"/>
      <c r="BF92" s="279"/>
      <c r="BG92" s="279"/>
      <c r="BH92" s="279"/>
      <c r="BI92" s="279"/>
      <c r="BJ92" s="279"/>
      <c r="BK92" s="279"/>
      <c r="BL92" s="279"/>
      <c r="BM92" s="279"/>
      <c r="BN92" s="279"/>
      <c r="BO92" s="279"/>
      <c r="BP92" s="279"/>
      <c r="BQ92" s="279"/>
    </row>
    <row r="93" ht="12.75" customHeight="1">
      <c r="A93" s="269"/>
      <c r="B93" s="20"/>
      <c r="C93" s="20"/>
      <c r="D93" s="284">
        <v>68.0</v>
      </c>
      <c r="E93" s="285" t="s">
        <v>379</v>
      </c>
      <c r="F93" s="286"/>
      <c r="G93" s="286"/>
      <c r="H93" s="286"/>
      <c r="I93" s="286"/>
      <c r="J93" s="286"/>
      <c r="K93" s="286"/>
      <c r="L93" s="286"/>
      <c r="M93" s="286"/>
      <c r="N93" s="286"/>
      <c r="O93" s="286"/>
      <c r="P93" s="286"/>
      <c r="Q93" s="286"/>
      <c r="R93" s="286"/>
      <c r="S93" s="286"/>
      <c r="T93" s="286"/>
      <c r="U93" s="286"/>
      <c r="V93" s="286"/>
      <c r="W93" s="287"/>
      <c r="X93" s="290">
        <v>951.0</v>
      </c>
      <c r="Y93" s="289"/>
      <c r="Z93" s="15"/>
      <c r="AA93" s="15"/>
      <c r="AB93" s="16"/>
      <c r="AC93" s="285"/>
      <c r="AD93" s="286"/>
      <c r="AE93" s="286"/>
      <c r="AF93" s="286"/>
      <c r="AG93" s="287"/>
      <c r="AH93" s="290">
        <v>952.0</v>
      </c>
      <c r="AI93" s="289"/>
      <c r="AJ93" s="15"/>
      <c r="AK93" s="15"/>
      <c r="AL93" s="16"/>
      <c r="AM93" s="291" t="s">
        <v>281</v>
      </c>
      <c r="AN93" s="279"/>
      <c r="AO93" s="279"/>
      <c r="AP93" s="279"/>
      <c r="AQ93" s="279"/>
      <c r="AR93" s="279"/>
      <c r="AS93" s="279"/>
      <c r="AT93" s="279"/>
      <c r="AU93" s="279"/>
      <c r="AV93" s="279"/>
      <c r="AW93" s="279"/>
      <c r="AX93" s="279"/>
      <c r="AY93" s="279"/>
      <c r="AZ93" s="279"/>
      <c r="BA93" s="279"/>
      <c r="BB93" s="279"/>
      <c r="BC93" s="279"/>
      <c r="BD93" s="279"/>
      <c r="BE93" s="279"/>
      <c r="BF93" s="279"/>
      <c r="BG93" s="279"/>
      <c r="BH93" s="279"/>
      <c r="BI93" s="279"/>
      <c r="BJ93" s="279"/>
      <c r="BK93" s="279"/>
      <c r="BL93" s="279"/>
      <c r="BM93" s="279"/>
      <c r="BN93" s="279"/>
      <c r="BO93" s="279"/>
      <c r="BP93" s="279"/>
      <c r="BQ93" s="279"/>
    </row>
    <row r="94" ht="12.75" customHeight="1">
      <c r="A94" s="269"/>
      <c r="B94" s="20"/>
      <c r="C94" s="20"/>
      <c r="D94" s="284">
        <v>69.0</v>
      </c>
      <c r="E94" s="285" t="s">
        <v>380</v>
      </c>
      <c r="F94" s="286"/>
      <c r="G94" s="286"/>
      <c r="H94" s="286"/>
      <c r="I94" s="286"/>
      <c r="J94" s="286"/>
      <c r="K94" s="286"/>
      <c r="L94" s="286"/>
      <c r="M94" s="286"/>
      <c r="N94" s="286"/>
      <c r="O94" s="286"/>
      <c r="P94" s="286"/>
      <c r="Q94" s="286"/>
      <c r="R94" s="286"/>
      <c r="S94" s="286"/>
      <c r="T94" s="286"/>
      <c r="U94" s="286"/>
      <c r="V94" s="286"/>
      <c r="W94" s="287"/>
      <c r="X94" s="290">
        <v>753.0</v>
      </c>
      <c r="Y94" s="289"/>
      <c r="Z94" s="15"/>
      <c r="AA94" s="15"/>
      <c r="AB94" s="16"/>
      <c r="AC94" s="290">
        <v>754.0</v>
      </c>
      <c r="AD94" s="289"/>
      <c r="AE94" s="15"/>
      <c r="AF94" s="15"/>
      <c r="AG94" s="16"/>
      <c r="AH94" s="290">
        <v>755.0</v>
      </c>
      <c r="AI94" s="289"/>
      <c r="AJ94" s="15"/>
      <c r="AK94" s="15"/>
      <c r="AL94" s="16"/>
      <c r="AM94" s="291" t="s">
        <v>281</v>
      </c>
      <c r="AN94" s="279"/>
      <c r="AO94" s="279"/>
      <c r="AP94" s="279"/>
      <c r="AQ94" s="279"/>
      <c r="AR94" s="279"/>
      <c r="AS94" s="279"/>
      <c r="AT94" s="279"/>
      <c r="AU94" s="279"/>
      <c r="AV94" s="279"/>
      <c r="AW94" s="279"/>
      <c r="AX94" s="279"/>
      <c r="AY94" s="279"/>
      <c r="AZ94" s="279"/>
      <c r="BA94" s="279"/>
      <c r="BB94" s="279"/>
      <c r="BC94" s="279"/>
      <c r="BD94" s="279"/>
      <c r="BE94" s="279"/>
      <c r="BF94" s="279"/>
      <c r="BG94" s="279"/>
      <c r="BH94" s="279"/>
      <c r="BI94" s="279"/>
      <c r="BJ94" s="279"/>
      <c r="BK94" s="279"/>
      <c r="BL94" s="279"/>
      <c r="BM94" s="279"/>
      <c r="BN94" s="279"/>
      <c r="BO94" s="279"/>
      <c r="BP94" s="279"/>
      <c r="BQ94" s="279"/>
    </row>
    <row r="95" ht="12.75" customHeight="1">
      <c r="A95" s="269"/>
      <c r="B95" s="20"/>
      <c r="C95" s="20"/>
      <c r="D95" s="284">
        <v>70.0</v>
      </c>
      <c r="E95" s="285" t="s">
        <v>381</v>
      </c>
      <c r="F95" s="286"/>
      <c r="G95" s="286"/>
      <c r="H95" s="286"/>
      <c r="I95" s="286"/>
      <c r="J95" s="286"/>
      <c r="K95" s="286"/>
      <c r="L95" s="286"/>
      <c r="M95" s="286"/>
      <c r="N95" s="286"/>
      <c r="O95" s="286"/>
      <c r="P95" s="286"/>
      <c r="Q95" s="286"/>
      <c r="R95" s="286"/>
      <c r="S95" s="286"/>
      <c r="T95" s="286"/>
      <c r="U95" s="286"/>
      <c r="V95" s="286"/>
      <c r="W95" s="287"/>
      <c r="X95" s="290">
        <v>133.0</v>
      </c>
      <c r="Y95" s="289"/>
      <c r="Z95" s="15"/>
      <c r="AA95" s="15"/>
      <c r="AB95" s="16"/>
      <c r="AC95" s="290">
        <v>138.0</v>
      </c>
      <c r="AD95" s="289"/>
      <c r="AE95" s="15"/>
      <c r="AF95" s="15"/>
      <c r="AG95" s="16"/>
      <c r="AH95" s="290">
        <v>134.0</v>
      </c>
      <c r="AI95" s="289"/>
      <c r="AJ95" s="15"/>
      <c r="AK95" s="15"/>
      <c r="AL95" s="16"/>
      <c r="AM95" s="291" t="s">
        <v>281</v>
      </c>
      <c r="AN95" s="279"/>
      <c r="AO95" s="279"/>
      <c r="AP95" s="279"/>
      <c r="AQ95" s="279"/>
      <c r="AR95" s="279"/>
      <c r="AS95" s="279"/>
      <c r="AT95" s="279"/>
      <c r="AU95" s="279"/>
      <c r="AV95" s="279"/>
      <c r="AW95" s="279"/>
      <c r="AX95" s="279"/>
      <c r="AY95" s="279"/>
      <c r="AZ95" s="279"/>
      <c r="BA95" s="279"/>
      <c r="BB95" s="279"/>
      <c r="BC95" s="279"/>
      <c r="BD95" s="279"/>
      <c r="BE95" s="279"/>
      <c r="BF95" s="279"/>
      <c r="BG95" s="279"/>
      <c r="BH95" s="279"/>
      <c r="BI95" s="279"/>
      <c r="BJ95" s="279"/>
      <c r="BK95" s="279"/>
      <c r="BL95" s="279"/>
      <c r="BM95" s="279"/>
      <c r="BN95" s="279"/>
      <c r="BO95" s="279"/>
      <c r="BP95" s="279"/>
      <c r="BQ95" s="279"/>
    </row>
    <row r="96" ht="12.75" customHeight="1">
      <c r="A96" s="269"/>
      <c r="B96" s="20"/>
      <c r="C96" s="20"/>
      <c r="D96" s="284">
        <v>71.0</v>
      </c>
      <c r="E96" s="285" t="s">
        <v>382</v>
      </c>
      <c r="F96" s="286"/>
      <c r="G96" s="286"/>
      <c r="H96" s="286"/>
      <c r="I96" s="286"/>
      <c r="J96" s="286"/>
      <c r="K96" s="286"/>
      <c r="L96" s="286"/>
      <c r="M96" s="286"/>
      <c r="N96" s="286"/>
      <c r="O96" s="286"/>
      <c r="P96" s="286"/>
      <c r="Q96" s="286"/>
      <c r="R96" s="286"/>
      <c r="S96" s="286"/>
      <c r="T96" s="286"/>
      <c r="U96" s="286"/>
      <c r="V96" s="286"/>
      <c r="W96" s="287"/>
      <c r="X96" s="290">
        <v>32.0</v>
      </c>
      <c r="Y96" s="289"/>
      <c r="Z96" s="15"/>
      <c r="AA96" s="15"/>
      <c r="AB96" s="16"/>
      <c r="AC96" s="290">
        <v>76.0</v>
      </c>
      <c r="AD96" s="289"/>
      <c r="AE96" s="15"/>
      <c r="AF96" s="15"/>
      <c r="AG96" s="16"/>
      <c r="AH96" s="290">
        <v>34.0</v>
      </c>
      <c r="AI96" s="289"/>
      <c r="AJ96" s="15"/>
      <c r="AK96" s="15"/>
      <c r="AL96" s="16"/>
      <c r="AM96" s="291" t="s">
        <v>281</v>
      </c>
      <c r="AN96" s="279"/>
      <c r="AO96" s="279"/>
      <c r="AP96" s="279"/>
      <c r="AQ96" s="279"/>
      <c r="AR96" s="279"/>
      <c r="AS96" s="279"/>
      <c r="AT96" s="279"/>
      <c r="AU96" s="279"/>
      <c r="AV96" s="279"/>
      <c r="AW96" s="279"/>
      <c r="AX96" s="279"/>
      <c r="AY96" s="279"/>
      <c r="AZ96" s="279"/>
      <c r="BA96" s="279"/>
      <c r="BB96" s="279"/>
      <c r="BC96" s="279"/>
      <c r="BD96" s="279"/>
      <c r="BE96" s="279"/>
      <c r="BF96" s="279"/>
      <c r="BG96" s="279"/>
      <c r="BH96" s="279"/>
      <c r="BI96" s="279"/>
      <c r="BJ96" s="279"/>
      <c r="BK96" s="279"/>
      <c r="BL96" s="279"/>
      <c r="BM96" s="279"/>
      <c r="BN96" s="279"/>
      <c r="BO96" s="279"/>
      <c r="BP96" s="279"/>
      <c r="BQ96" s="279"/>
    </row>
    <row r="97" ht="12.75" customHeight="1">
      <c r="A97" s="269"/>
      <c r="B97" s="20"/>
      <c r="C97" s="20"/>
      <c r="D97" s="284">
        <v>72.0</v>
      </c>
      <c r="E97" s="285" t="s">
        <v>383</v>
      </c>
      <c r="F97" s="286"/>
      <c r="G97" s="286"/>
      <c r="H97" s="286"/>
      <c r="I97" s="286"/>
      <c r="J97" s="286"/>
      <c r="K97" s="286"/>
      <c r="L97" s="286"/>
      <c r="M97" s="286"/>
      <c r="N97" s="286"/>
      <c r="O97" s="286"/>
      <c r="P97" s="286"/>
      <c r="Q97" s="286"/>
      <c r="R97" s="286"/>
      <c r="S97" s="286"/>
      <c r="T97" s="286"/>
      <c r="U97" s="286"/>
      <c r="V97" s="286"/>
      <c r="W97" s="287"/>
      <c r="X97" s="290">
        <v>1643.0</v>
      </c>
      <c r="Y97" s="289"/>
      <c r="Z97" s="15"/>
      <c r="AA97" s="15"/>
      <c r="AB97" s="16"/>
      <c r="AC97" s="285"/>
      <c r="AD97" s="286"/>
      <c r="AE97" s="286"/>
      <c r="AF97" s="286"/>
      <c r="AG97" s="287"/>
      <c r="AH97" s="290">
        <v>1644.0</v>
      </c>
      <c r="AI97" s="289"/>
      <c r="AJ97" s="15"/>
      <c r="AK97" s="15"/>
      <c r="AL97" s="16"/>
      <c r="AM97" s="291" t="s">
        <v>281</v>
      </c>
      <c r="AN97" s="279"/>
      <c r="AO97" s="279"/>
      <c r="AP97" s="279"/>
      <c r="AQ97" s="279"/>
      <c r="AR97" s="279"/>
      <c r="AS97" s="279"/>
      <c r="AT97" s="279"/>
      <c r="AU97" s="279"/>
      <c r="AV97" s="279"/>
      <c r="AW97" s="279"/>
      <c r="AX97" s="279"/>
      <c r="AY97" s="279"/>
      <c r="AZ97" s="279"/>
      <c r="BA97" s="279"/>
      <c r="BB97" s="279"/>
      <c r="BC97" s="279"/>
      <c r="BD97" s="279"/>
      <c r="BE97" s="279"/>
      <c r="BF97" s="279"/>
      <c r="BG97" s="279"/>
      <c r="BH97" s="279"/>
      <c r="BI97" s="279"/>
      <c r="BJ97" s="279"/>
      <c r="BK97" s="279"/>
      <c r="BL97" s="279"/>
      <c r="BM97" s="279"/>
      <c r="BN97" s="279"/>
      <c r="BO97" s="279"/>
      <c r="BP97" s="279"/>
      <c r="BQ97" s="279"/>
    </row>
    <row r="98" ht="12.75" customHeight="1">
      <c r="A98" s="269"/>
      <c r="B98" s="20"/>
      <c r="C98" s="20"/>
      <c r="D98" s="321">
        <v>73.0</v>
      </c>
      <c r="E98" s="307" t="s">
        <v>384</v>
      </c>
      <c r="F98" s="308"/>
      <c r="G98" s="308"/>
      <c r="H98" s="308"/>
      <c r="I98" s="308"/>
      <c r="J98" s="308"/>
      <c r="K98" s="308"/>
      <c r="L98" s="308"/>
      <c r="M98" s="308"/>
      <c r="N98" s="308"/>
      <c r="O98" s="308"/>
      <c r="P98" s="308"/>
      <c r="Q98" s="308"/>
      <c r="R98" s="308"/>
      <c r="S98" s="308"/>
      <c r="T98" s="308"/>
      <c r="U98" s="308"/>
      <c r="V98" s="308"/>
      <c r="W98" s="308"/>
      <c r="X98" s="308"/>
      <c r="Y98" s="308"/>
      <c r="Z98" s="308"/>
      <c r="AA98" s="308"/>
      <c r="AB98" s="308"/>
      <c r="AC98" s="308"/>
      <c r="AD98" s="308"/>
      <c r="AE98" s="308"/>
      <c r="AF98" s="308"/>
      <c r="AG98" s="309"/>
      <c r="AH98" s="299">
        <v>911.0</v>
      </c>
      <c r="AI98" s="300"/>
      <c r="AJ98" s="15"/>
      <c r="AK98" s="15"/>
      <c r="AL98" s="16"/>
      <c r="AM98" s="291" t="s">
        <v>281</v>
      </c>
      <c r="AN98" s="279"/>
      <c r="AO98" s="279"/>
      <c r="AP98" s="279"/>
      <c r="AQ98" s="279"/>
      <c r="AR98" s="279"/>
      <c r="AS98" s="279"/>
      <c r="AT98" s="279"/>
      <c r="AU98" s="279"/>
      <c r="AV98" s="279"/>
      <c r="AW98" s="279"/>
      <c r="AX98" s="279"/>
      <c r="AY98" s="279"/>
      <c r="AZ98" s="279"/>
      <c r="BA98" s="279"/>
      <c r="BB98" s="279"/>
      <c r="BC98" s="279"/>
      <c r="BD98" s="279"/>
      <c r="BE98" s="279"/>
      <c r="BF98" s="279"/>
      <c r="BG98" s="279"/>
      <c r="BH98" s="279"/>
      <c r="BI98" s="279"/>
      <c r="BJ98" s="279"/>
      <c r="BK98" s="279"/>
      <c r="BL98" s="279"/>
      <c r="BM98" s="279"/>
      <c r="BN98" s="279"/>
      <c r="BO98" s="279"/>
      <c r="BP98" s="279"/>
      <c r="BQ98" s="279"/>
    </row>
    <row r="99" ht="12.75" customHeight="1">
      <c r="A99" s="269"/>
      <c r="B99" s="20"/>
      <c r="C99" s="20"/>
      <c r="D99" s="321">
        <v>74.0</v>
      </c>
      <c r="E99" s="307" t="s">
        <v>385</v>
      </c>
      <c r="F99" s="308"/>
      <c r="G99" s="308"/>
      <c r="H99" s="308"/>
      <c r="I99" s="308"/>
      <c r="J99" s="308"/>
      <c r="K99" s="308"/>
      <c r="L99" s="308"/>
      <c r="M99" s="308"/>
      <c r="N99" s="308"/>
      <c r="O99" s="308"/>
      <c r="P99" s="308"/>
      <c r="Q99" s="308"/>
      <c r="R99" s="308"/>
      <c r="S99" s="308"/>
      <c r="T99" s="308"/>
      <c r="U99" s="308"/>
      <c r="V99" s="308"/>
      <c r="W99" s="308"/>
      <c r="X99" s="308"/>
      <c r="Y99" s="308"/>
      <c r="Z99" s="308"/>
      <c r="AA99" s="308"/>
      <c r="AB99" s="308"/>
      <c r="AC99" s="308"/>
      <c r="AD99" s="308"/>
      <c r="AE99" s="308"/>
      <c r="AF99" s="308"/>
      <c r="AG99" s="309"/>
      <c r="AH99" s="299">
        <v>913.0</v>
      </c>
      <c r="AI99" s="300"/>
      <c r="AJ99" s="15"/>
      <c r="AK99" s="15"/>
      <c r="AL99" s="16"/>
      <c r="AM99" s="291" t="s">
        <v>281</v>
      </c>
      <c r="AN99" s="279"/>
      <c r="AO99" s="279"/>
      <c r="AP99" s="279"/>
      <c r="AQ99" s="279"/>
      <c r="AR99" s="279"/>
      <c r="AS99" s="279"/>
      <c r="AT99" s="279"/>
      <c r="AU99" s="279"/>
      <c r="AV99" s="279"/>
      <c r="AW99" s="279"/>
      <c r="AX99" s="279"/>
      <c r="AY99" s="279"/>
      <c r="AZ99" s="279"/>
      <c r="BA99" s="279"/>
      <c r="BB99" s="279"/>
      <c r="BC99" s="279"/>
      <c r="BD99" s="279"/>
      <c r="BE99" s="279"/>
      <c r="BF99" s="279"/>
      <c r="BG99" s="279"/>
      <c r="BH99" s="279"/>
      <c r="BI99" s="279"/>
      <c r="BJ99" s="279"/>
      <c r="BK99" s="279"/>
      <c r="BL99" s="279"/>
      <c r="BM99" s="279"/>
      <c r="BN99" s="279"/>
      <c r="BO99" s="279"/>
      <c r="BP99" s="279"/>
      <c r="BQ99" s="279"/>
    </row>
    <row r="100" ht="12.75" customHeight="1">
      <c r="A100" s="269"/>
      <c r="B100" s="20"/>
      <c r="C100" s="20"/>
      <c r="D100" s="321">
        <v>75.0</v>
      </c>
      <c r="E100" s="307" t="s">
        <v>386</v>
      </c>
      <c r="F100" s="308"/>
      <c r="G100" s="308"/>
      <c r="H100" s="308"/>
      <c r="I100" s="308"/>
      <c r="J100" s="308"/>
      <c r="K100" s="308"/>
      <c r="L100" s="308"/>
      <c r="M100" s="308"/>
      <c r="N100" s="308"/>
      <c r="O100" s="308"/>
      <c r="P100" s="308"/>
      <c r="Q100" s="308"/>
      <c r="R100" s="308"/>
      <c r="S100" s="308"/>
      <c r="T100" s="308"/>
      <c r="U100" s="308"/>
      <c r="V100" s="308"/>
      <c r="W100" s="308"/>
      <c r="X100" s="308"/>
      <c r="Y100" s="308"/>
      <c r="Z100" s="308"/>
      <c r="AA100" s="308"/>
      <c r="AB100" s="308"/>
      <c r="AC100" s="308"/>
      <c r="AD100" s="308"/>
      <c r="AE100" s="308"/>
      <c r="AF100" s="308"/>
      <c r="AG100" s="309"/>
      <c r="AH100" s="299">
        <v>923.0</v>
      </c>
      <c r="AI100" s="300"/>
      <c r="AJ100" s="15"/>
      <c r="AK100" s="15"/>
      <c r="AL100" s="16"/>
      <c r="AM100" s="291" t="s">
        <v>281</v>
      </c>
      <c r="AN100" s="279"/>
      <c r="AO100" s="279"/>
      <c r="AP100" s="279"/>
      <c r="AQ100" s="279"/>
      <c r="AR100" s="279"/>
      <c r="AS100" s="279"/>
      <c r="AT100" s="279"/>
      <c r="AU100" s="279"/>
      <c r="AV100" s="279"/>
      <c r="AW100" s="279"/>
      <c r="AX100" s="279"/>
      <c r="AY100" s="279"/>
      <c r="AZ100" s="279"/>
      <c r="BA100" s="279"/>
      <c r="BB100" s="279"/>
      <c r="BC100" s="279"/>
      <c r="BD100" s="279"/>
      <c r="BE100" s="279"/>
      <c r="BF100" s="279"/>
      <c r="BG100" s="279"/>
      <c r="BH100" s="279"/>
      <c r="BI100" s="279"/>
      <c r="BJ100" s="279"/>
      <c r="BK100" s="279"/>
      <c r="BL100" s="279"/>
      <c r="BM100" s="279"/>
      <c r="BN100" s="279"/>
      <c r="BO100" s="279"/>
      <c r="BP100" s="279"/>
      <c r="BQ100" s="279"/>
    </row>
    <row r="101" ht="12.75" customHeight="1">
      <c r="A101" s="269"/>
      <c r="B101" s="20"/>
      <c r="C101" s="20"/>
      <c r="D101" s="321">
        <v>76.0</v>
      </c>
      <c r="E101" s="307" t="s">
        <v>387</v>
      </c>
      <c r="F101" s="308"/>
      <c r="G101" s="308"/>
      <c r="H101" s="308"/>
      <c r="I101" s="308"/>
      <c r="J101" s="308"/>
      <c r="K101" s="308"/>
      <c r="L101" s="308"/>
      <c r="M101" s="308"/>
      <c r="N101" s="308"/>
      <c r="O101" s="308"/>
      <c r="P101" s="308"/>
      <c r="Q101" s="308"/>
      <c r="R101" s="308"/>
      <c r="S101" s="308"/>
      <c r="T101" s="308"/>
      <c r="U101" s="308"/>
      <c r="V101" s="308"/>
      <c r="W101" s="308"/>
      <c r="X101" s="308"/>
      <c r="Y101" s="308"/>
      <c r="Z101" s="308"/>
      <c r="AA101" s="308"/>
      <c r="AB101" s="308"/>
      <c r="AC101" s="308"/>
      <c r="AD101" s="308"/>
      <c r="AE101" s="308"/>
      <c r="AF101" s="308"/>
      <c r="AG101" s="309"/>
      <c r="AH101" s="299">
        <v>924.0</v>
      </c>
      <c r="AI101" s="300"/>
      <c r="AJ101" s="15"/>
      <c r="AK101" s="15"/>
      <c r="AL101" s="16"/>
      <c r="AM101" s="291" t="s">
        <v>281</v>
      </c>
      <c r="AN101" s="279"/>
      <c r="AO101" s="279"/>
      <c r="AP101" s="279"/>
      <c r="AQ101" s="279"/>
      <c r="AR101" s="279"/>
      <c r="AS101" s="279"/>
      <c r="AT101" s="279"/>
      <c r="AU101" s="279"/>
      <c r="AV101" s="279"/>
      <c r="AW101" s="279"/>
      <c r="AX101" s="279"/>
      <c r="AY101" s="279"/>
      <c r="AZ101" s="279"/>
      <c r="BA101" s="279"/>
      <c r="BB101" s="279"/>
      <c r="BC101" s="279"/>
      <c r="BD101" s="279"/>
      <c r="BE101" s="279"/>
      <c r="BF101" s="279"/>
      <c r="BG101" s="279"/>
      <c r="BH101" s="279"/>
      <c r="BI101" s="279"/>
      <c r="BJ101" s="279"/>
      <c r="BK101" s="279"/>
      <c r="BL101" s="279"/>
      <c r="BM101" s="279"/>
      <c r="BN101" s="279"/>
      <c r="BO101" s="279"/>
      <c r="BP101" s="279"/>
      <c r="BQ101" s="279"/>
    </row>
    <row r="102" ht="12.75" customHeight="1">
      <c r="A102" s="269"/>
      <c r="B102" s="20"/>
      <c r="C102" s="20"/>
      <c r="D102" s="321">
        <v>77.0</v>
      </c>
      <c r="E102" s="307" t="s">
        <v>388</v>
      </c>
      <c r="F102" s="308"/>
      <c r="G102" s="308"/>
      <c r="H102" s="308"/>
      <c r="I102" s="308"/>
      <c r="J102" s="308"/>
      <c r="K102" s="308"/>
      <c r="L102" s="308"/>
      <c r="M102" s="308"/>
      <c r="N102" s="308"/>
      <c r="O102" s="308"/>
      <c r="P102" s="308"/>
      <c r="Q102" s="308"/>
      <c r="R102" s="308"/>
      <c r="S102" s="308"/>
      <c r="T102" s="308"/>
      <c r="U102" s="308"/>
      <c r="V102" s="308"/>
      <c r="W102" s="308"/>
      <c r="X102" s="308"/>
      <c r="Y102" s="308"/>
      <c r="Z102" s="308"/>
      <c r="AA102" s="308"/>
      <c r="AB102" s="308"/>
      <c r="AC102" s="308"/>
      <c r="AD102" s="308"/>
      <c r="AE102" s="308"/>
      <c r="AF102" s="308"/>
      <c r="AG102" s="309"/>
      <c r="AH102" s="299">
        <v>1051.0</v>
      </c>
      <c r="AI102" s="300"/>
      <c r="AJ102" s="15"/>
      <c r="AK102" s="15"/>
      <c r="AL102" s="16"/>
      <c r="AM102" s="291" t="s">
        <v>281</v>
      </c>
      <c r="AN102" s="279"/>
      <c r="AO102" s="279"/>
      <c r="AP102" s="279"/>
      <c r="AQ102" s="279"/>
      <c r="AR102" s="279"/>
      <c r="AS102" s="279"/>
      <c r="AT102" s="279"/>
      <c r="AU102" s="279"/>
      <c r="AV102" s="279"/>
      <c r="AW102" s="279"/>
      <c r="AX102" s="279"/>
      <c r="AY102" s="279"/>
      <c r="AZ102" s="279"/>
      <c r="BA102" s="279"/>
      <c r="BB102" s="279"/>
      <c r="BC102" s="279"/>
      <c r="BD102" s="279"/>
      <c r="BE102" s="279"/>
      <c r="BF102" s="279"/>
      <c r="BG102" s="279"/>
      <c r="BH102" s="279"/>
      <c r="BI102" s="279"/>
      <c r="BJ102" s="279"/>
      <c r="BK102" s="279"/>
      <c r="BL102" s="279"/>
      <c r="BM102" s="279"/>
      <c r="BN102" s="279"/>
      <c r="BO102" s="279"/>
      <c r="BP102" s="279"/>
      <c r="BQ102" s="279"/>
    </row>
    <row r="103" ht="12.75" customHeight="1">
      <c r="A103" s="269"/>
      <c r="B103" s="20"/>
      <c r="C103" s="20"/>
      <c r="D103" s="321">
        <v>78.0</v>
      </c>
      <c r="E103" s="307" t="s">
        <v>389</v>
      </c>
      <c r="F103" s="308"/>
      <c r="G103" s="308"/>
      <c r="H103" s="308"/>
      <c r="I103" s="308"/>
      <c r="J103" s="308"/>
      <c r="K103" s="308"/>
      <c r="L103" s="308"/>
      <c r="M103" s="308"/>
      <c r="N103" s="308"/>
      <c r="O103" s="308"/>
      <c r="P103" s="308"/>
      <c r="Q103" s="308"/>
      <c r="R103" s="308"/>
      <c r="S103" s="308"/>
      <c r="T103" s="308"/>
      <c r="U103" s="308"/>
      <c r="V103" s="308"/>
      <c r="W103" s="308"/>
      <c r="X103" s="308"/>
      <c r="Y103" s="308"/>
      <c r="Z103" s="308"/>
      <c r="AA103" s="308"/>
      <c r="AB103" s="308"/>
      <c r="AC103" s="308"/>
      <c r="AD103" s="308"/>
      <c r="AE103" s="308"/>
      <c r="AF103" s="308"/>
      <c r="AG103" s="309"/>
      <c r="AH103" s="299">
        <v>1052.0</v>
      </c>
      <c r="AI103" s="300"/>
      <c r="AJ103" s="15"/>
      <c r="AK103" s="15"/>
      <c r="AL103" s="16"/>
      <c r="AM103" s="291" t="s">
        <v>281</v>
      </c>
      <c r="AN103" s="279"/>
      <c r="AO103" s="279"/>
      <c r="AP103" s="279"/>
      <c r="AQ103" s="279"/>
      <c r="AR103" s="279"/>
      <c r="AS103" s="279"/>
      <c r="AT103" s="279"/>
      <c r="AU103" s="279"/>
      <c r="AV103" s="279"/>
      <c r="AW103" s="279"/>
      <c r="AX103" s="279"/>
      <c r="AY103" s="279"/>
      <c r="AZ103" s="279"/>
      <c r="BA103" s="279"/>
      <c r="BB103" s="279"/>
      <c r="BC103" s="279"/>
      <c r="BD103" s="279"/>
      <c r="BE103" s="279"/>
      <c r="BF103" s="279"/>
      <c r="BG103" s="279"/>
      <c r="BH103" s="279"/>
      <c r="BI103" s="279"/>
      <c r="BJ103" s="279"/>
      <c r="BK103" s="279"/>
      <c r="BL103" s="279"/>
      <c r="BM103" s="279"/>
      <c r="BN103" s="279"/>
      <c r="BO103" s="279"/>
      <c r="BP103" s="279"/>
      <c r="BQ103" s="279"/>
    </row>
    <row r="104" ht="12.75" customHeight="1">
      <c r="A104" s="269"/>
      <c r="B104" s="20"/>
      <c r="C104" s="20"/>
      <c r="D104" s="321">
        <v>79.0</v>
      </c>
      <c r="E104" s="307" t="s">
        <v>390</v>
      </c>
      <c r="F104" s="308"/>
      <c r="G104" s="308"/>
      <c r="H104" s="308"/>
      <c r="I104" s="308"/>
      <c r="J104" s="308"/>
      <c r="K104" s="308"/>
      <c r="L104" s="308"/>
      <c r="M104" s="308"/>
      <c r="N104" s="308"/>
      <c r="O104" s="308"/>
      <c r="P104" s="308"/>
      <c r="Q104" s="308"/>
      <c r="R104" s="308"/>
      <c r="S104" s="308"/>
      <c r="T104" s="308"/>
      <c r="U104" s="308"/>
      <c r="V104" s="308"/>
      <c r="W104" s="308"/>
      <c r="X104" s="308"/>
      <c r="Y104" s="308"/>
      <c r="Z104" s="308"/>
      <c r="AA104" s="308"/>
      <c r="AB104" s="308"/>
      <c r="AC104" s="308"/>
      <c r="AD104" s="308"/>
      <c r="AE104" s="308"/>
      <c r="AF104" s="308"/>
      <c r="AG104" s="309"/>
      <c r="AH104" s="299">
        <v>21.0</v>
      </c>
      <c r="AI104" s="300"/>
      <c r="AJ104" s="15"/>
      <c r="AK104" s="15"/>
      <c r="AL104" s="16"/>
      <c r="AM104" s="291" t="s">
        <v>281</v>
      </c>
      <c r="AN104" s="279"/>
      <c r="AO104" s="279"/>
      <c r="AP104" s="279"/>
      <c r="AQ104" s="279"/>
      <c r="AR104" s="279"/>
      <c r="AS104" s="279"/>
      <c r="AT104" s="279"/>
      <c r="AU104" s="279"/>
      <c r="AV104" s="279"/>
      <c r="AW104" s="279"/>
      <c r="AX104" s="279"/>
      <c r="AY104" s="279"/>
      <c r="AZ104" s="279"/>
      <c r="BA104" s="279"/>
      <c r="BB104" s="279"/>
      <c r="BC104" s="279"/>
      <c r="BD104" s="279"/>
      <c r="BE104" s="279"/>
      <c r="BF104" s="279"/>
      <c r="BG104" s="279"/>
      <c r="BH104" s="279"/>
      <c r="BI104" s="279"/>
      <c r="BJ104" s="279"/>
      <c r="BK104" s="279"/>
      <c r="BL104" s="279"/>
      <c r="BM104" s="279"/>
      <c r="BN104" s="279"/>
      <c r="BO104" s="279"/>
      <c r="BP104" s="279"/>
      <c r="BQ104" s="279"/>
    </row>
    <row r="105" ht="12.75" customHeight="1">
      <c r="A105" s="269"/>
      <c r="B105" s="20"/>
      <c r="C105" s="20"/>
      <c r="D105" s="321">
        <v>80.0</v>
      </c>
      <c r="E105" s="307" t="s">
        <v>391</v>
      </c>
      <c r="F105" s="308"/>
      <c r="G105" s="308"/>
      <c r="H105" s="308"/>
      <c r="I105" s="308"/>
      <c r="J105" s="308"/>
      <c r="K105" s="308"/>
      <c r="L105" s="308"/>
      <c r="M105" s="308"/>
      <c r="N105" s="308"/>
      <c r="O105" s="308"/>
      <c r="P105" s="308"/>
      <c r="Q105" s="308"/>
      <c r="R105" s="308"/>
      <c r="S105" s="308"/>
      <c r="T105" s="308"/>
      <c r="U105" s="308"/>
      <c r="V105" s="308"/>
      <c r="W105" s="308"/>
      <c r="X105" s="308"/>
      <c r="Y105" s="308"/>
      <c r="Z105" s="308"/>
      <c r="AA105" s="308"/>
      <c r="AB105" s="308"/>
      <c r="AC105" s="308"/>
      <c r="AD105" s="308"/>
      <c r="AE105" s="308"/>
      <c r="AF105" s="308"/>
      <c r="AG105" s="309"/>
      <c r="AH105" s="299">
        <v>43.0</v>
      </c>
      <c r="AI105" s="300"/>
      <c r="AJ105" s="15"/>
      <c r="AK105" s="15"/>
      <c r="AL105" s="16"/>
      <c r="AM105" s="291" t="s">
        <v>281</v>
      </c>
      <c r="AN105" s="279"/>
      <c r="AO105" s="279"/>
      <c r="AP105" s="279"/>
      <c r="AQ105" s="279"/>
      <c r="AR105" s="279"/>
      <c r="AS105" s="279"/>
      <c r="AT105" s="279"/>
      <c r="AU105" s="279"/>
      <c r="AV105" s="279"/>
      <c r="AW105" s="279"/>
      <c r="AX105" s="279"/>
      <c r="AY105" s="279"/>
      <c r="AZ105" s="279"/>
      <c r="BA105" s="279"/>
      <c r="BB105" s="279"/>
      <c r="BC105" s="279"/>
      <c r="BD105" s="279"/>
      <c r="BE105" s="279"/>
      <c r="BF105" s="279"/>
      <c r="BG105" s="279"/>
      <c r="BH105" s="279"/>
      <c r="BI105" s="279"/>
      <c r="BJ105" s="279"/>
      <c r="BK105" s="279"/>
      <c r="BL105" s="279"/>
      <c r="BM105" s="279"/>
      <c r="BN105" s="279"/>
      <c r="BO105" s="279"/>
      <c r="BP105" s="279"/>
      <c r="BQ105" s="279"/>
    </row>
    <row r="106" ht="12.75" customHeight="1">
      <c r="A106" s="269"/>
      <c r="B106" s="20"/>
      <c r="C106" s="20"/>
      <c r="D106" s="321">
        <v>81.0</v>
      </c>
      <c r="E106" s="307" t="s">
        <v>392</v>
      </c>
      <c r="F106" s="308"/>
      <c r="G106" s="308"/>
      <c r="H106" s="308"/>
      <c r="I106" s="308"/>
      <c r="J106" s="308"/>
      <c r="K106" s="308"/>
      <c r="L106" s="308"/>
      <c r="M106" s="308"/>
      <c r="N106" s="308"/>
      <c r="O106" s="308"/>
      <c r="P106" s="308"/>
      <c r="Q106" s="308"/>
      <c r="R106" s="308"/>
      <c r="S106" s="308"/>
      <c r="T106" s="308"/>
      <c r="U106" s="308"/>
      <c r="V106" s="308"/>
      <c r="W106" s="308"/>
      <c r="X106" s="308"/>
      <c r="Y106" s="308"/>
      <c r="Z106" s="308"/>
      <c r="AA106" s="308"/>
      <c r="AB106" s="308"/>
      <c r="AC106" s="308"/>
      <c r="AD106" s="308"/>
      <c r="AE106" s="308"/>
      <c r="AF106" s="308"/>
      <c r="AG106" s="309"/>
      <c r="AH106" s="299">
        <v>767.0</v>
      </c>
      <c r="AI106" s="300"/>
      <c r="AJ106" s="15"/>
      <c r="AK106" s="15"/>
      <c r="AL106" s="16"/>
      <c r="AM106" s="291" t="s">
        <v>281</v>
      </c>
      <c r="AN106" s="279"/>
      <c r="AO106" s="279"/>
      <c r="AP106" s="279"/>
      <c r="AQ106" s="279"/>
      <c r="AR106" s="279"/>
      <c r="AS106" s="279"/>
      <c r="AT106" s="279"/>
      <c r="AU106" s="279"/>
      <c r="AV106" s="279"/>
      <c r="AW106" s="279"/>
      <c r="AX106" s="279"/>
      <c r="AY106" s="279"/>
      <c r="AZ106" s="279"/>
      <c r="BA106" s="279"/>
      <c r="BB106" s="279"/>
      <c r="BC106" s="279"/>
      <c r="BD106" s="279"/>
      <c r="BE106" s="279"/>
      <c r="BF106" s="279"/>
      <c r="BG106" s="279"/>
      <c r="BH106" s="279"/>
      <c r="BI106" s="279"/>
      <c r="BJ106" s="279"/>
      <c r="BK106" s="279"/>
      <c r="BL106" s="279"/>
      <c r="BM106" s="279"/>
      <c r="BN106" s="279"/>
      <c r="BO106" s="279"/>
      <c r="BP106" s="279"/>
      <c r="BQ106" s="279"/>
    </row>
    <row r="107" ht="12.75" customHeight="1">
      <c r="A107" s="269"/>
      <c r="B107" s="20"/>
      <c r="C107" s="34"/>
      <c r="D107" s="321">
        <v>82.0</v>
      </c>
      <c r="E107" s="307" t="s">
        <v>393</v>
      </c>
      <c r="F107" s="308"/>
      <c r="G107" s="308"/>
      <c r="H107" s="308"/>
      <c r="I107" s="308"/>
      <c r="J107" s="308"/>
      <c r="K107" s="308"/>
      <c r="L107" s="308"/>
      <c r="M107" s="308"/>
      <c r="N107" s="308"/>
      <c r="O107" s="308"/>
      <c r="P107" s="308"/>
      <c r="Q107" s="308"/>
      <c r="R107" s="308"/>
      <c r="S107" s="308"/>
      <c r="T107" s="308"/>
      <c r="U107" s="308"/>
      <c r="V107" s="308"/>
      <c r="W107" s="308"/>
      <c r="X107" s="308"/>
      <c r="Y107" s="308"/>
      <c r="Z107" s="308"/>
      <c r="AA107" s="308"/>
      <c r="AB107" s="308"/>
      <c r="AC107" s="308"/>
      <c r="AD107" s="308"/>
      <c r="AE107" s="308"/>
      <c r="AF107" s="308"/>
      <c r="AG107" s="309"/>
      <c r="AH107" s="299">
        <v>862.0</v>
      </c>
      <c r="AI107" s="300"/>
      <c r="AJ107" s="15"/>
      <c r="AK107" s="15"/>
      <c r="AL107" s="16"/>
      <c r="AM107" s="291" t="s">
        <v>281</v>
      </c>
      <c r="AN107" s="279"/>
      <c r="AO107" s="279"/>
      <c r="AP107" s="279"/>
      <c r="AQ107" s="279"/>
      <c r="AR107" s="279"/>
      <c r="AS107" s="279"/>
      <c r="AT107" s="279"/>
      <c r="AU107" s="279"/>
      <c r="AV107" s="279"/>
      <c r="AW107" s="279"/>
      <c r="AX107" s="279"/>
      <c r="AY107" s="279"/>
      <c r="AZ107" s="279"/>
      <c r="BA107" s="279"/>
      <c r="BB107" s="279"/>
      <c r="BC107" s="279"/>
      <c r="BD107" s="279"/>
      <c r="BE107" s="279"/>
      <c r="BF107" s="279"/>
      <c r="BG107" s="279"/>
      <c r="BH107" s="279"/>
      <c r="BI107" s="279"/>
      <c r="BJ107" s="279"/>
      <c r="BK107" s="279"/>
      <c r="BL107" s="279"/>
      <c r="BM107" s="279"/>
      <c r="BN107" s="279"/>
      <c r="BO107" s="279"/>
      <c r="BP107" s="279"/>
      <c r="BQ107" s="279"/>
    </row>
    <row r="108" ht="12.75" customHeight="1">
      <c r="A108" s="269"/>
      <c r="B108" s="20"/>
      <c r="C108" s="282" t="s">
        <v>394</v>
      </c>
      <c r="D108" s="284">
        <v>83.0</v>
      </c>
      <c r="E108" s="285" t="s">
        <v>395</v>
      </c>
      <c r="F108" s="286"/>
      <c r="G108" s="286"/>
      <c r="H108" s="286"/>
      <c r="I108" s="286"/>
      <c r="J108" s="286"/>
      <c r="K108" s="286"/>
      <c r="L108" s="286"/>
      <c r="M108" s="286"/>
      <c r="N108" s="286"/>
      <c r="O108" s="286"/>
      <c r="P108" s="286"/>
      <c r="Q108" s="286"/>
      <c r="R108" s="286"/>
      <c r="S108" s="286"/>
      <c r="T108" s="286"/>
      <c r="U108" s="286"/>
      <c r="V108" s="286"/>
      <c r="W108" s="287"/>
      <c r="X108" s="290">
        <v>51.0</v>
      </c>
      <c r="Y108" s="289"/>
      <c r="Z108" s="15"/>
      <c r="AA108" s="15"/>
      <c r="AB108" s="16"/>
      <c r="AC108" s="290">
        <v>63.0</v>
      </c>
      <c r="AD108" s="289"/>
      <c r="AE108" s="15"/>
      <c r="AF108" s="15"/>
      <c r="AG108" s="16"/>
      <c r="AH108" s="290">
        <v>71.0</v>
      </c>
      <c r="AI108" s="289"/>
      <c r="AJ108" s="15"/>
      <c r="AK108" s="15"/>
      <c r="AL108" s="16"/>
      <c r="AM108" s="291" t="s">
        <v>281</v>
      </c>
      <c r="AN108" s="279"/>
      <c r="AO108" s="279"/>
      <c r="AP108" s="279"/>
      <c r="AQ108" s="279"/>
      <c r="AR108" s="279"/>
      <c r="AS108" s="279"/>
      <c r="AT108" s="279"/>
      <c r="AU108" s="279"/>
      <c r="AV108" s="279"/>
      <c r="AW108" s="279"/>
      <c r="AX108" s="279"/>
      <c r="AY108" s="279"/>
      <c r="AZ108" s="279"/>
      <c r="BA108" s="279"/>
      <c r="BB108" s="279"/>
      <c r="BC108" s="279"/>
      <c r="BD108" s="279"/>
      <c r="BE108" s="279"/>
      <c r="BF108" s="279"/>
      <c r="BG108" s="279"/>
      <c r="BH108" s="279"/>
      <c r="BI108" s="279"/>
      <c r="BJ108" s="279"/>
      <c r="BK108" s="279"/>
      <c r="BL108" s="279"/>
      <c r="BM108" s="279"/>
      <c r="BN108" s="279"/>
      <c r="BO108" s="279"/>
      <c r="BP108" s="279"/>
      <c r="BQ108" s="279"/>
    </row>
    <row r="109" ht="12.75" customHeight="1">
      <c r="A109" s="269"/>
      <c r="B109" s="20"/>
      <c r="C109" s="20"/>
      <c r="D109" s="293">
        <v>84.0</v>
      </c>
      <c r="E109" s="285" t="s">
        <v>396</v>
      </c>
      <c r="F109" s="286"/>
      <c r="G109" s="286"/>
      <c r="H109" s="286"/>
      <c r="I109" s="286"/>
      <c r="J109" s="286"/>
      <c r="K109" s="286"/>
      <c r="L109" s="286"/>
      <c r="M109" s="286"/>
      <c r="N109" s="286"/>
      <c r="O109" s="286"/>
      <c r="P109" s="286"/>
      <c r="Q109" s="286"/>
      <c r="R109" s="286"/>
      <c r="S109" s="286"/>
      <c r="T109" s="286"/>
      <c r="U109" s="286"/>
      <c r="V109" s="286"/>
      <c r="W109" s="286"/>
      <c r="X109" s="286"/>
      <c r="Y109" s="286"/>
      <c r="Z109" s="286"/>
      <c r="AA109" s="286"/>
      <c r="AB109" s="286"/>
      <c r="AC109" s="286"/>
      <c r="AD109" s="286"/>
      <c r="AE109" s="286"/>
      <c r="AF109" s="286"/>
      <c r="AG109" s="287"/>
      <c r="AH109" s="290">
        <v>36.0</v>
      </c>
      <c r="AI109" s="351">
        <f>+SUM(AI110:AL113)</f>
        <v>0</v>
      </c>
      <c r="AJ109" s="15"/>
      <c r="AK109" s="15"/>
      <c r="AL109" s="16"/>
      <c r="AM109" s="354" t="s">
        <v>312</v>
      </c>
      <c r="AN109" s="279"/>
      <c r="AO109" s="279"/>
      <c r="AP109" s="279"/>
      <c r="AQ109" s="279"/>
      <c r="AR109" s="279"/>
      <c r="AS109" s="279"/>
      <c r="AT109" s="279"/>
      <c r="AU109" s="279"/>
      <c r="AV109" s="279"/>
      <c r="AW109" s="279"/>
      <c r="AX109" s="279"/>
      <c r="AY109" s="279"/>
      <c r="AZ109" s="279"/>
      <c r="BA109" s="279"/>
      <c r="BB109" s="279"/>
      <c r="BC109" s="279"/>
      <c r="BD109" s="279"/>
      <c r="BE109" s="279"/>
      <c r="BF109" s="279"/>
      <c r="BG109" s="279"/>
      <c r="BH109" s="279"/>
      <c r="BI109" s="279"/>
      <c r="BJ109" s="279"/>
      <c r="BK109" s="279"/>
      <c r="BL109" s="279"/>
      <c r="BM109" s="279"/>
      <c r="BN109" s="279"/>
      <c r="BO109" s="279"/>
      <c r="BP109" s="279"/>
      <c r="BQ109" s="279"/>
    </row>
    <row r="110" ht="12.75" customHeight="1">
      <c r="A110" s="269"/>
      <c r="B110" s="20"/>
      <c r="C110" s="20"/>
      <c r="D110" s="20"/>
      <c r="E110" s="307" t="s">
        <v>397</v>
      </c>
      <c r="F110" s="308"/>
      <c r="G110" s="308"/>
      <c r="H110" s="308"/>
      <c r="I110" s="308"/>
      <c r="J110" s="308"/>
      <c r="K110" s="308"/>
      <c r="L110" s="308"/>
      <c r="M110" s="308"/>
      <c r="N110" s="308"/>
      <c r="O110" s="308"/>
      <c r="P110" s="308"/>
      <c r="Q110" s="308"/>
      <c r="R110" s="308"/>
      <c r="S110" s="308"/>
      <c r="T110" s="308"/>
      <c r="U110" s="308"/>
      <c r="V110" s="308"/>
      <c r="W110" s="308"/>
      <c r="X110" s="308"/>
      <c r="Y110" s="308"/>
      <c r="Z110" s="308"/>
      <c r="AA110" s="308"/>
      <c r="AB110" s="308"/>
      <c r="AC110" s="308"/>
      <c r="AD110" s="308"/>
      <c r="AE110" s="308"/>
      <c r="AF110" s="308"/>
      <c r="AG110" s="309"/>
      <c r="AH110" s="299">
        <v>1904.0</v>
      </c>
      <c r="AI110" s="300"/>
      <c r="AJ110" s="15"/>
      <c r="AK110" s="15"/>
      <c r="AL110" s="16"/>
      <c r="AM110" s="301"/>
      <c r="AN110" s="279"/>
      <c r="AO110" s="279"/>
      <c r="AP110" s="279"/>
      <c r="AQ110" s="279"/>
      <c r="AR110" s="279"/>
      <c r="AS110" s="279"/>
      <c r="AT110" s="279"/>
      <c r="AU110" s="279"/>
      <c r="AV110" s="279"/>
      <c r="AW110" s="279"/>
      <c r="AX110" s="279"/>
      <c r="AY110" s="279"/>
      <c r="AZ110" s="279"/>
      <c r="BA110" s="279"/>
      <c r="BB110" s="279"/>
      <c r="BC110" s="279"/>
      <c r="BD110" s="279"/>
      <c r="BE110" s="279"/>
      <c r="BF110" s="279"/>
      <c r="BG110" s="279"/>
      <c r="BH110" s="279"/>
      <c r="BI110" s="279"/>
      <c r="BJ110" s="279"/>
      <c r="BK110" s="279"/>
      <c r="BL110" s="279"/>
      <c r="BM110" s="279"/>
      <c r="BN110" s="279"/>
      <c r="BO110" s="279"/>
      <c r="BP110" s="279"/>
      <c r="BQ110" s="279"/>
    </row>
    <row r="111" ht="12.75" customHeight="1">
      <c r="A111" s="269"/>
      <c r="B111" s="20"/>
      <c r="C111" s="20"/>
      <c r="D111" s="20"/>
      <c r="E111" s="307" t="s">
        <v>398</v>
      </c>
      <c r="F111" s="308"/>
      <c r="G111" s="308"/>
      <c r="H111" s="308"/>
      <c r="I111" s="308"/>
      <c r="J111" s="308"/>
      <c r="K111" s="308"/>
      <c r="L111" s="308"/>
      <c r="M111" s="308"/>
      <c r="N111" s="308"/>
      <c r="O111" s="308"/>
      <c r="P111" s="308"/>
      <c r="Q111" s="308"/>
      <c r="R111" s="308"/>
      <c r="S111" s="308"/>
      <c r="T111" s="308"/>
      <c r="U111" s="308"/>
      <c r="V111" s="308"/>
      <c r="W111" s="308"/>
      <c r="X111" s="308"/>
      <c r="Y111" s="308"/>
      <c r="Z111" s="308"/>
      <c r="AA111" s="308"/>
      <c r="AB111" s="308"/>
      <c r="AC111" s="308"/>
      <c r="AD111" s="308"/>
      <c r="AE111" s="308"/>
      <c r="AF111" s="308"/>
      <c r="AG111" s="309"/>
      <c r="AH111" s="299">
        <v>1905.0</v>
      </c>
      <c r="AI111" s="300"/>
      <c r="AJ111" s="15"/>
      <c r="AK111" s="15"/>
      <c r="AL111" s="16"/>
      <c r="AM111" s="301"/>
      <c r="AN111" s="279"/>
      <c r="AO111" s="279"/>
      <c r="AP111" s="279"/>
      <c r="AQ111" s="279"/>
      <c r="AR111" s="279"/>
      <c r="AS111" s="279"/>
      <c r="AT111" s="279"/>
      <c r="AU111" s="279"/>
      <c r="AV111" s="279"/>
      <c r="AW111" s="279"/>
      <c r="AX111" s="279"/>
      <c r="AY111" s="279"/>
      <c r="AZ111" s="279"/>
      <c r="BA111" s="279"/>
      <c r="BB111" s="279"/>
      <c r="BC111" s="279"/>
      <c r="BD111" s="279"/>
      <c r="BE111" s="279"/>
      <c r="BF111" s="279"/>
      <c r="BG111" s="279"/>
      <c r="BH111" s="279"/>
      <c r="BI111" s="279"/>
      <c r="BJ111" s="279"/>
      <c r="BK111" s="279"/>
      <c r="BL111" s="279"/>
      <c r="BM111" s="279"/>
      <c r="BN111" s="279"/>
      <c r="BO111" s="279"/>
      <c r="BP111" s="279"/>
      <c r="BQ111" s="279"/>
    </row>
    <row r="112" ht="12.75" customHeight="1">
      <c r="A112" s="269"/>
      <c r="B112" s="20"/>
      <c r="C112" s="20"/>
      <c r="D112" s="20"/>
      <c r="E112" s="307" t="s">
        <v>399</v>
      </c>
      <c r="F112" s="308"/>
      <c r="G112" s="308"/>
      <c r="H112" s="308"/>
      <c r="I112" s="308"/>
      <c r="J112" s="308"/>
      <c r="K112" s="308"/>
      <c r="L112" s="308"/>
      <c r="M112" s="308"/>
      <c r="N112" s="308"/>
      <c r="O112" s="308"/>
      <c r="P112" s="308"/>
      <c r="Q112" s="308"/>
      <c r="R112" s="308"/>
      <c r="S112" s="308"/>
      <c r="T112" s="308"/>
      <c r="U112" s="308"/>
      <c r="V112" s="308"/>
      <c r="W112" s="308"/>
      <c r="X112" s="308"/>
      <c r="Y112" s="308"/>
      <c r="Z112" s="308"/>
      <c r="AA112" s="308"/>
      <c r="AB112" s="308"/>
      <c r="AC112" s="308"/>
      <c r="AD112" s="308"/>
      <c r="AE112" s="308"/>
      <c r="AF112" s="308"/>
      <c r="AG112" s="309"/>
      <c r="AH112" s="299">
        <v>1906.0</v>
      </c>
      <c r="AI112" s="300"/>
      <c r="AJ112" s="15"/>
      <c r="AK112" s="15"/>
      <c r="AL112" s="16"/>
      <c r="AM112" s="301"/>
      <c r="AN112" s="279"/>
      <c r="AO112" s="279"/>
      <c r="AP112" s="279"/>
      <c r="AQ112" s="279"/>
      <c r="AR112" s="279"/>
      <c r="AS112" s="279"/>
      <c r="AT112" s="279"/>
      <c r="AU112" s="279"/>
      <c r="AV112" s="279"/>
      <c r="AW112" s="279"/>
      <c r="AX112" s="279"/>
      <c r="AY112" s="279"/>
      <c r="AZ112" s="279"/>
      <c r="BA112" s="279"/>
      <c r="BB112" s="279"/>
      <c r="BC112" s="279"/>
      <c r="BD112" s="279"/>
      <c r="BE112" s="279"/>
      <c r="BF112" s="279"/>
      <c r="BG112" s="279"/>
      <c r="BH112" s="279"/>
      <c r="BI112" s="279"/>
      <c r="BJ112" s="279"/>
      <c r="BK112" s="279"/>
      <c r="BL112" s="279"/>
      <c r="BM112" s="279"/>
      <c r="BN112" s="279"/>
      <c r="BO112" s="279"/>
      <c r="BP112" s="279"/>
      <c r="BQ112" s="279"/>
    </row>
    <row r="113" ht="12.75" customHeight="1">
      <c r="A113" s="269"/>
      <c r="B113" s="20"/>
      <c r="C113" s="20"/>
      <c r="D113" s="34"/>
      <c r="E113" s="307" t="s">
        <v>400</v>
      </c>
      <c r="F113" s="308"/>
      <c r="G113" s="308"/>
      <c r="H113" s="308"/>
      <c r="I113" s="308"/>
      <c r="J113" s="308"/>
      <c r="K113" s="308"/>
      <c r="L113" s="308"/>
      <c r="M113" s="308"/>
      <c r="N113" s="308"/>
      <c r="O113" s="308"/>
      <c r="P113" s="308"/>
      <c r="Q113" s="308"/>
      <c r="R113" s="308"/>
      <c r="S113" s="308"/>
      <c r="T113" s="308"/>
      <c r="U113" s="308"/>
      <c r="V113" s="308"/>
      <c r="W113" s="308"/>
      <c r="X113" s="308"/>
      <c r="Y113" s="308"/>
      <c r="Z113" s="308"/>
      <c r="AA113" s="308"/>
      <c r="AB113" s="308"/>
      <c r="AC113" s="308"/>
      <c r="AD113" s="308"/>
      <c r="AE113" s="308"/>
      <c r="AF113" s="308"/>
      <c r="AG113" s="309"/>
      <c r="AH113" s="299">
        <v>1916.0</v>
      </c>
      <c r="AI113" s="300"/>
      <c r="AJ113" s="15"/>
      <c r="AK113" s="15"/>
      <c r="AL113" s="16"/>
      <c r="AM113" s="310"/>
      <c r="AN113" s="279"/>
      <c r="AO113" s="279"/>
      <c r="AP113" s="279"/>
      <c r="AQ113" s="279"/>
      <c r="AR113" s="279"/>
      <c r="AS113" s="279"/>
      <c r="AT113" s="279"/>
      <c r="AU113" s="279"/>
      <c r="AV113" s="279"/>
      <c r="AW113" s="279"/>
      <c r="AX113" s="279"/>
      <c r="AY113" s="279"/>
      <c r="AZ113" s="279"/>
      <c r="BA113" s="279"/>
      <c r="BB113" s="279"/>
      <c r="BC113" s="279"/>
      <c r="BD113" s="279"/>
      <c r="BE113" s="279"/>
      <c r="BF113" s="279"/>
      <c r="BG113" s="279"/>
      <c r="BH113" s="279"/>
      <c r="BI113" s="279"/>
      <c r="BJ113" s="279"/>
      <c r="BK113" s="279"/>
      <c r="BL113" s="279"/>
      <c r="BM113" s="279"/>
      <c r="BN113" s="279"/>
      <c r="BO113" s="279"/>
      <c r="BP113" s="279"/>
      <c r="BQ113" s="279"/>
    </row>
    <row r="114" ht="12.75" customHeight="1">
      <c r="A114" s="269"/>
      <c r="B114" s="20"/>
      <c r="C114" s="20"/>
      <c r="D114" s="321">
        <v>85.0</v>
      </c>
      <c r="E114" s="307" t="s">
        <v>401</v>
      </c>
      <c r="F114" s="308"/>
      <c r="G114" s="308"/>
      <c r="H114" s="308"/>
      <c r="I114" s="308"/>
      <c r="J114" s="308"/>
      <c r="K114" s="308"/>
      <c r="L114" s="308"/>
      <c r="M114" s="308"/>
      <c r="N114" s="308"/>
      <c r="O114" s="308"/>
      <c r="P114" s="308"/>
      <c r="Q114" s="308"/>
      <c r="R114" s="308"/>
      <c r="S114" s="308"/>
      <c r="T114" s="308"/>
      <c r="U114" s="308"/>
      <c r="V114" s="308"/>
      <c r="W114" s="308"/>
      <c r="X114" s="308"/>
      <c r="Y114" s="308"/>
      <c r="Z114" s="308"/>
      <c r="AA114" s="308"/>
      <c r="AB114" s="308"/>
      <c r="AC114" s="308"/>
      <c r="AD114" s="308"/>
      <c r="AE114" s="308"/>
      <c r="AF114" s="308"/>
      <c r="AG114" s="309"/>
      <c r="AH114" s="299">
        <v>848.0</v>
      </c>
      <c r="AI114" s="300"/>
      <c r="AJ114" s="15"/>
      <c r="AK114" s="15"/>
      <c r="AL114" s="16"/>
      <c r="AM114" s="338" t="s">
        <v>312</v>
      </c>
      <c r="AN114" s="279"/>
      <c r="AO114" s="279"/>
      <c r="AP114" s="279"/>
      <c r="AQ114" s="279"/>
      <c r="AR114" s="279"/>
      <c r="AS114" s="279"/>
      <c r="AT114" s="279"/>
      <c r="AU114" s="279"/>
      <c r="AV114" s="279"/>
      <c r="AW114" s="279"/>
      <c r="AX114" s="279"/>
      <c r="AY114" s="279"/>
      <c r="AZ114" s="279"/>
      <c r="BA114" s="279"/>
      <c r="BB114" s="279"/>
      <c r="BC114" s="279"/>
      <c r="BD114" s="279"/>
      <c r="BE114" s="279"/>
      <c r="BF114" s="279"/>
      <c r="BG114" s="279"/>
      <c r="BH114" s="279"/>
      <c r="BI114" s="279"/>
      <c r="BJ114" s="279"/>
      <c r="BK114" s="279"/>
      <c r="BL114" s="279"/>
      <c r="BM114" s="279"/>
      <c r="BN114" s="279"/>
      <c r="BO114" s="279"/>
      <c r="BP114" s="279"/>
      <c r="BQ114" s="279"/>
    </row>
    <row r="115" ht="12.75" customHeight="1">
      <c r="A115" s="269"/>
      <c r="B115" s="20"/>
      <c r="C115" s="20"/>
      <c r="D115" s="321">
        <v>86.0</v>
      </c>
      <c r="E115" s="307" t="s">
        <v>402</v>
      </c>
      <c r="F115" s="308"/>
      <c r="G115" s="308"/>
      <c r="H115" s="308"/>
      <c r="I115" s="308"/>
      <c r="J115" s="308"/>
      <c r="K115" s="308"/>
      <c r="L115" s="308"/>
      <c r="M115" s="308"/>
      <c r="N115" s="308"/>
      <c r="O115" s="308"/>
      <c r="P115" s="308"/>
      <c r="Q115" s="308"/>
      <c r="R115" s="308"/>
      <c r="S115" s="308"/>
      <c r="T115" s="308"/>
      <c r="U115" s="308"/>
      <c r="V115" s="308"/>
      <c r="W115" s="308"/>
      <c r="X115" s="308"/>
      <c r="Y115" s="308"/>
      <c r="Z115" s="308"/>
      <c r="AA115" s="308"/>
      <c r="AB115" s="308"/>
      <c r="AC115" s="308"/>
      <c r="AD115" s="308"/>
      <c r="AE115" s="308"/>
      <c r="AF115" s="308"/>
      <c r="AG115" s="309"/>
      <c r="AH115" s="299">
        <v>82.0</v>
      </c>
      <c r="AI115" s="300"/>
      <c r="AJ115" s="15"/>
      <c r="AK115" s="15"/>
      <c r="AL115" s="16"/>
      <c r="AM115" s="338" t="s">
        <v>312</v>
      </c>
      <c r="AN115" s="279"/>
      <c r="AO115" s="279"/>
      <c r="AP115" s="279"/>
      <c r="AQ115" s="279"/>
      <c r="AR115" s="279"/>
      <c r="AS115" s="279"/>
      <c r="AT115" s="279"/>
      <c r="AU115" s="279"/>
      <c r="AV115" s="279"/>
      <c r="AW115" s="279"/>
      <c r="AX115" s="279"/>
      <c r="AY115" s="279"/>
      <c r="AZ115" s="279"/>
      <c r="BA115" s="279"/>
      <c r="BB115" s="279"/>
      <c r="BC115" s="279"/>
      <c r="BD115" s="279"/>
      <c r="BE115" s="279"/>
      <c r="BF115" s="279"/>
      <c r="BG115" s="279"/>
      <c r="BH115" s="279"/>
      <c r="BI115" s="279"/>
      <c r="BJ115" s="279"/>
      <c r="BK115" s="279"/>
      <c r="BL115" s="279"/>
      <c r="BM115" s="279"/>
      <c r="BN115" s="279"/>
      <c r="BO115" s="279"/>
      <c r="BP115" s="279"/>
      <c r="BQ115" s="279"/>
    </row>
    <row r="116" ht="12.75" customHeight="1">
      <c r="A116" s="269"/>
      <c r="B116" s="20"/>
      <c r="C116" s="20"/>
      <c r="D116" s="321">
        <v>87.0</v>
      </c>
      <c r="E116" s="307" t="s">
        <v>403</v>
      </c>
      <c r="F116" s="308"/>
      <c r="G116" s="308"/>
      <c r="H116" s="308"/>
      <c r="I116" s="308"/>
      <c r="J116" s="308"/>
      <c r="K116" s="308"/>
      <c r="L116" s="308"/>
      <c r="M116" s="308"/>
      <c r="N116" s="308"/>
      <c r="O116" s="308"/>
      <c r="P116" s="308"/>
      <c r="Q116" s="308"/>
      <c r="R116" s="308"/>
      <c r="S116" s="308"/>
      <c r="T116" s="308"/>
      <c r="U116" s="308"/>
      <c r="V116" s="308"/>
      <c r="W116" s="308"/>
      <c r="X116" s="308"/>
      <c r="Y116" s="308"/>
      <c r="Z116" s="308"/>
      <c r="AA116" s="308"/>
      <c r="AB116" s="308"/>
      <c r="AC116" s="308"/>
      <c r="AD116" s="308"/>
      <c r="AE116" s="308"/>
      <c r="AF116" s="308"/>
      <c r="AG116" s="309"/>
      <c r="AH116" s="299">
        <v>1123.0</v>
      </c>
      <c r="AI116" s="300"/>
      <c r="AJ116" s="15"/>
      <c r="AK116" s="15"/>
      <c r="AL116" s="16"/>
      <c r="AM116" s="338" t="s">
        <v>312</v>
      </c>
      <c r="AN116" s="279"/>
      <c r="AO116" s="279"/>
      <c r="AP116" s="279"/>
      <c r="AQ116" s="279"/>
      <c r="AR116" s="279"/>
      <c r="AS116" s="279"/>
      <c r="AT116" s="279"/>
      <c r="AU116" s="279"/>
      <c r="AV116" s="279"/>
      <c r="AW116" s="279"/>
      <c r="AX116" s="279"/>
      <c r="AY116" s="279"/>
      <c r="AZ116" s="279"/>
      <c r="BA116" s="279"/>
      <c r="BB116" s="279"/>
      <c r="BC116" s="279"/>
      <c r="BD116" s="279"/>
      <c r="BE116" s="279"/>
      <c r="BF116" s="279"/>
      <c r="BG116" s="279"/>
      <c r="BH116" s="279"/>
      <c r="BI116" s="279"/>
      <c r="BJ116" s="279"/>
      <c r="BK116" s="279"/>
      <c r="BL116" s="279"/>
      <c r="BM116" s="279"/>
      <c r="BN116" s="279"/>
      <c r="BO116" s="279"/>
      <c r="BP116" s="279"/>
      <c r="BQ116" s="279"/>
    </row>
    <row r="117" ht="12.75" customHeight="1">
      <c r="A117" s="269"/>
      <c r="B117" s="20"/>
      <c r="C117" s="20"/>
      <c r="D117" s="321">
        <v>88.0</v>
      </c>
      <c r="E117" s="307" t="s">
        <v>404</v>
      </c>
      <c r="F117" s="308"/>
      <c r="G117" s="308"/>
      <c r="H117" s="308"/>
      <c r="I117" s="308"/>
      <c r="J117" s="308"/>
      <c r="K117" s="308"/>
      <c r="L117" s="308"/>
      <c r="M117" s="308"/>
      <c r="N117" s="308"/>
      <c r="O117" s="308"/>
      <c r="P117" s="308"/>
      <c r="Q117" s="308"/>
      <c r="R117" s="308"/>
      <c r="S117" s="308"/>
      <c r="T117" s="308"/>
      <c r="U117" s="308"/>
      <c r="V117" s="308"/>
      <c r="W117" s="308"/>
      <c r="X117" s="308"/>
      <c r="Y117" s="308"/>
      <c r="Z117" s="308"/>
      <c r="AA117" s="308"/>
      <c r="AB117" s="308"/>
      <c r="AC117" s="308"/>
      <c r="AD117" s="308"/>
      <c r="AE117" s="308"/>
      <c r="AF117" s="308"/>
      <c r="AG117" s="309"/>
      <c r="AH117" s="299">
        <v>83.0</v>
      </c>
      <c r="AI117" s="300"/>
      <c r="AJ117" s="15"/>
      <c r="AK117" s="15"/>
      <c r="AL117" s="16"/>
      <c r="AM117" s="338" t="s">
        <v>312</v>
      </c>
      <c r="AN117" s="279"/>
      <c r="AO117" s="279"/>
      <c r="AP117" s="279"/>
      <c r="AQ117" s="279"/>
      <c r="AR117" s="279"/>
      <c r="AS117" s="279"/>
      <c r="AT117" s="279"/>
      <c r="AU117" s="279"/>
      <c r="AV117" s="279"/>
      <c r="AW117" s="279"/>
      <c r="AX117" s="279"/>
      <c r="AY117" s="279"/>
      <c r="AZ117" s="279"/>
      <c r="BA117" s="279"/>
      <c r="BB117" s="279"/>
      <c r="BC117" s="279"/>
      <c r="BD117" s="279"/>
      <c r="BE117" s="279"/>
      <c r="BF117" s="279"/>
      <c r="BG117" s="279"/>
      <c r="BH117" s="279"/>
      <c r="BI117" s="279"/>
      <c r="BJ117" s="279"/>
      <c r="BK117" s="279"/>
      <c r="BL117" s="279"/>
      <c r="BM117" s="279"/>
      <c r="BN117" s="279"/>
      <c r="BO117" s="279"/>
      <c r="BP117" s="279"/>
      <c r="BQ117" s="279"/>
    </row>
    <row r="118" ht="12.75" customHeight="1">
      <c r="A118" s="269"/>
      <c r="B118" s="20"/>
      <c r="C118" s="20"/>
      <c r="D118" s="321">
        <v>89.0</v>
      </c>
      <c r="E118" s="307" t="s">
        <v>405</v>
      </c>
      <c r="F118" s="308"/>
      <c r="G118" s="308"/>
      <c r="H118" s="308"/>
      <c r="I118" s="308"/>
      <c r="J118" s="308"/>
      <c r="K118" s="308"/>
      <c r="L118" s="308"/>
      <c r="M118" s="308"/>
      <c r="N118" s="308"/>
      <c r="O118" s="308"/>
      <c r="P118" s="308"/>
      <c r="Q118" s="308"/>
      <c r="R118" s="308"/>
      <c r="S118" s="308"/>
      <c r="T118" s="308"/>
      <c r="U118" s="308"/>
      <c r="V118" s="308"/>
      <c r="W118" s="308"/>
      <c r="X118" s="308"/>
      <c r="Y118" s="308"/>
      <c r="Z118" s="308"/>
      <c r="AA118" s="308"/>
      <c r="AB118" s="308"/>
      <c r="AC118" s="308"/>
      <c r="AD118" s="308"/>
      <c r="AE118" s="308"/>
      <c r="AF118" s="308"/>
      <c r="AG118" s="309"/>
      <c r="AH118" s="299">
        <v>173.0</v>
      </c>
      <c r="AI118" s="300"/>
      <c r="AJ118" s="15"/>
      <c r="AK118" s="15"/>
      <c r="AL118" s="16"/>
      <c r="AM118" s="338" t="s">
        <v>312</v>
      </c>
      <c r="AN118" s="279"/>
      <c r="AO118" s="279"/>
      <c r="AP118" s="279"/>
      <c r="AQ118" s="279"/>
      <c r="AR118" s="279"/>
      <c r="AS118" s="279"/>
      <c r="AT118" s="279"/>
      <c r="AU118" s="279"/>
      <c r="AV118" s="279"/>
      <c r="AW118" s="279"/>
      <c r="AX118" s="279"/>
      <c r="AY118" s="279"/>
      <c r="AZ118" s="279"/>
      <c r="BA118" s="279"/>
      <c r="BB118" s="279"/>
      <c r="BC118" s="279"/>
      <c r="BD118" s="279"/>
      <c r="BE118" s="279"/>
      <c r="BF118" s="279"/>
      <c r="BG118" s="279"/>
      <c r="BH118" s="279"/>
      <c r="BI118" s="279"/>
      <c r="BJ118" s="279"/>
      <c r="BK118" s="279"/>
      <c r="BL118" s="279"/>
      <c r="BM118" s="279"/>
      <c r="BN118" s="279"/>
      <c r="BO118" s="279"/>
      <c r="BP118" s="279"/>
      <c r="BQ118" s="279"/>
    </row>
    <row r="119" ht="12.75" customHeight="1">
      <c r="A119" s="269"/>
      <c r="B119" s="20"/>
      <c r="C119" s="20"/>
      <c r="D119" s="321">
        <v>90.0</v>
      </c>
      <c r="E119" s="307" t="s">
        <v>406</v>
      </c>
      <c r="F119" s="308"/>
      <c r="G119" s="308"/>
      <c r="H119" s="308"/>
      <c r="I119" s="308"/>
      <c r="J119" s="308"/>
      <c r="K119" s="308"/>
      <c r="L119" s="308"/>
      <c r="M119" s="308"/>
      <c r="N119" s="308"/>
      <c r="O119" s="308"/>
      <c r="P119" s="308"/>
      <c r="Q119" s="308"/>
      <c r="R119" s="308"/>
      <c r="S119" s="308"/>
      <c r="T119" s="308"/>
      <c r="U119" s="308"/>
      <c r="V119" s="308"/>
      <c r="W119" s="308"/>
      <c r="X119" s="308"/>
      <c r="Y119" s="308"/>
      <c r="Z119" s="308"/>
      <c r="AA119" s="308"/>
      <c r="AB119" s="308"/>
      <c r="AC119" s="308"/>
      <c r="AD119" s="308"/>
      <c r="AE119" s="308"/>
      <c r="AF119" s="308"/>
      <c r="AG119" s="309"/>
      <c r="AH119" s="299">
        <v>198.0</v>
      </c>
      <c r="AI119" s="300"/>
      <c r="AJ119" s="15"/>
      <c r="AK119" s="15"/>
      <c r="AL119" s="16"/>
      <c r="AM119" s="338" t="s">
        <v>312</v>
      </c>
      <c r="AN119" s="279"/>
      <c r="AO119" s="279"/>
      <c r="AP119" s="279"/>
      <c r="AQ119" s="279"/>
      <c r="AR119" s="279"/>
      <c r="AS119" s="279"/>
      <c r="AT119" s="279"/>
      <c r="AU119" s="279"/>
      <c r="AV119" s="279"/>
      <c r="AW119" s="279"/>
      <c r="AX119" s="279"/>
      <c r="AY119" s="279"/>
      <c r="AZ119" s="279"/>
      <c r="BA119" s="279"/>
      <c r="BB119" s="279"/>
      <c r="BC119" s="279"/>
      <c r="BD119" s="279"/>
      <c r="BE119" s="279"/>
      <c r="BF119" s="279"/>
      <c r="BG119" s="279"/>
      <c r="BH119" s="279"/>
      <c r="BI119" s="279"/>
      <c r="BJ119" s="279"/>
      <c r="BK119" s="279"/>
      <c r="BL119" s="279"/>
      <c r="BM119" s="279"/>
      <c r="BN119" s="279"/>
      <c r="BO119" s="279"/>
      <c r="BP119" s="279"/>
      <c r="BQ119" s="279"/>
    </row>
    <row r="120" ht="12.75" customHeight="1">
      <c r="A120" s="269"/>
      <c r="B120" s="20"/>
      <c r="C120" s="20"/>
      <c r="D120" s="321">
        <v>91.0</v>
      </c>
      <c r="E120" s="307" t="s">
        <v>407</v>
      </c>
      <c r="F120" s="308"/>
      <c r="G120" s="308"/>
      <c r="H120" s="308"/>
      <c r="I120" s="308"/>
      <c r="J120" s="308"/>
      <c r="K120" s="308"/>
      <c r="L120" s="308"/>
      <c r="M120" s="308"/>
      <c r="N120" s="308"/>
      <c r="O120" s="308"/>
      <c r="P120" s="308"/>
      <c r="Q120" s="308"/>
      <c r="R120" s="308"/>
      <c r="S120" s="308"/>
      <c r="T120" s="308"/>
      <c r="U120" s="308"/>
      <c r="V120" s="308"/>
      <c r="W120" s="308"/>
      <c r="X120" s="308"/>
      <c r="Y120" s="308"/>
      <c r="Z120" s="308"/>
      <c r="AA120" s="308"/>
      <c r="AB120" s="308"/>
      <c r="AC120" s="308"/>
      <c r="AD120" s="308"/>
      <c r="AE120" s="308"/>
      <c r="AF120" s="308"/>
      <c r="AG120" s="309"/>
      <c r="AH120" s="299">
        <v>54.0</v>
      </c>
      <c r="AI120" s="300"/>
      <c r="AJ120" s="15"/>
      <c r="AK120" s="15"/>
      <c r="AL120" s="16"/>
      <c r="AM120" s="338" t="s">
        <v>312</v>
      </c>
      <c r="AN120" s="279"/>
      <c r="AO120" s="279"/>
      <c r="AP120" s="279"/>
      <c r="AQ120" s="279"/>
      <c r="AR120" s="279"/>
      <c r="AS120" s="279"/>
      <c r="AT120" s="279"/>
      <c r="AU120" s="279"/>
      <c r="AV120" s="279"/>
      <c r="AW120" s="279"/>
      <c r="AX120" s="279"/>
      <c r="AY120" s="279"/>
      <c r="AZ120" s="279"/>
      <c r="BA120" s="279"/>
      <c r="BB120" s="279"/>
      <c r="BC120" s="279"/>
      <c r="BD120" s="279"/>
      <c r="BE120" s="279"/>
      <c r="BF120" s="279"/>
      <c r="BG120" s="279"/>
      <c r="BH120" s="279"/>
      <c r="BI120" s="279"/>
      <c r="BJ120" s="279"/>
      <c r="BK120" s="279"/>
      <c r="BL120" s="279"/>
      <c r="BM120" s="279"/>
      <c r="BN120" s="279"/>
      <c r="BO120" s="279"/>
      <c r="BP120" s="279"/>
      <c r="BQ120" s="279"/>
    </row>
    <row r="121" ht="12.75" customHeight="1">
      <c r="A121" s="269"/>
      <c r="B121" s="20"/>
      <c r="C121" s="20"/>
      <c r="D121" s="321">
        <v>92.0</v>
      </c>
      <c r="E121" s="307" t="s">
        <v>408</v>
      </c>
      <c r="F121" s="308"/>
      <c r="G121" s="308"/>
      <c r="H121" s="308"/>
      <c r="I121" s="308"/>
      <c r="J121" s="308"/>
      <c r="K121" s="308"/>
      <c r="L121" s="308"/>
      <c r="M121" s="308"/>
      <c r="N121" s="308"/>
      <c r="O121" s="308"/>
      <c r="P121" s="308"/>
      <c r="Q121" s="308"/>
      <c r="R121" s="308"/>
      <c r="S121" s="308"/>
      <c r="T121" s="308"/>
      <c r="U121" s="308"/>
      <c r="V121" s="308"/>
      <c r="W121" s="308"/>
      <c r="X121" s="308"/>
      <c r="Y121" s="308"/>
      <c r="Z121" s="308"/>
      <c r="AA121" s="308"/>
      <c r="AB121" s="308"/>
      <c r="AC121" s="308"/>
      <c r="AD121" s="308"/>
      <c r="AE121" s="308"/>
      <c r="AF121" s="308"/>
      <c r="AG121" s="309"/>
      <c r="AH121" s="299">
        <v>832.0</v>
      </c>
      <c r="AI121" s="300"/>
      <c r="AJ121" s="15"/>
      <c r="AK121" s="15"/>
      <c r="AL121" s="16"/>
      <c r="AM121" s="338" t="s">
        <v>312</v>
      </c>
      <c r="AN121" s="279"/>
      <c r="AO121" s="279"/>
      <c r="AP121" s="279"/>
      <c r="AQ121" s="279"/>
      <c r="AR121" s="279"/>
      <c r="AS121" s="279"/>
      <c r="AT121" s="279"/>
      <c r="AU121" s="279"/>
      <c r="AV121" s="279"/>
      <c r="AW121" s="279"/>
      <c r="AX121" s="279"/>
      <c r="AY121" s="279"/>
      <c r="AZ121" s="279"/>
      <c r="BA121" s="279"/>
      <c r="BB121" s="279"/>
      <c r="BC121" s="279"/>
      <c r="BD121" s="279"/>
      <c r="BE121" s="279"/>
      <c r="BF121" s="279"/>
      <c r="BG121" s="279"/>
      <c r="BH121" s="279"/>
      <c r="BI121" s="279"/>
      <c r="BJ121" s="279"/>
      <c r="BK121" s="279"/>
      <c r="BL121" s="279"/>
      <c r="BM121" s="279"/>
      <c r="BN121" s="279"/>
      <c r="BO121" s="279"/>
      <c r="BP121" s="279"/>
      <c r="BQ121" s="279"/>
    </row>
    <row r="122" ht="12.75" customHeight="1">
      <c r="A122" s="269"/>
      <c r="B122" s="20"/>
      <c r="C122" s="20"/>
      <c r="D122" s="321">
        <v>93.0</v>
      </c>
      <c r="E122" s="307" t="s">
        <v>409</v>
      </c>
      <c r="F122" s="308"/>
      <c r="G122" s="308"/>
      <c r="H122" s="308"/>
      <c r="I122" s="308"/>
      <c r="J122" s="308"/>
      <c r="K122" s="308"/>
      <c r="L122" s="308"/>
      <c r="M122" s="308"/>
      <c r="N122" s="308"/>
      <c r="O122" s="308"/>
      <c r="P122" s="308"/>
      <c r="Q122" s="308"/>
      <c r="R122" s="308"/>
      <c r="S122" s="308"/>
      <c r="T122" s="308"/>
      <c r="U122" s="308"/>
      <c r="V122" s="308"/>
      <c r="W122" s="308"/>
      <c r="X122" s="308"/>
      <c r="Y122" s="308"/>
      <c r="Z122" s="308"/>
      <c r="AA122" s="308"/>
      <c r="AB122" s="308"/>
      <c r="AC122" s="308"/>
      <c r="AD122" s="308"/>
      <c r="AE122" s="308"/>
      <c r="AF122" s="308"/>
      <c r="AG122" s="309"/>
      <c r="AH122" s="299">
        <v>1907.0</v>
      </c>
      <c r="AI122" s="300"/>
      <c r="AJ122" s="15"/>
      <c r="AK122" s="15"/>
      <c r="AL122" s="16"/>
      <c r="AM122" s="338" t="s">
        <v>312</v>
      </c>
      <c r="AN122" s="279"/>
      <c r="AO122" s="279"/>
      <c r="AP122" s="279"/>
      <c r="AQ122" s="279"/>
      <c r="AR122" s="279"/>
      <c r="AS122" s="279"/>
      <c r="AT122" s="279"/>
      <c r="AU122" s="279"/>
      <c r="AV122" s="279"/>
      <c r="AW122" s="279"/>
      <c r="AX122" s="279"/>
      <c r="AY122" s="279"/>
      <c r="AZ122" s="279"/>
      <c r="BA122" s="279"/>
      <c r="BB122" s="279"/>
      <c r="BC122" s="279"/>
      <c r="BD122" s="279"/>
      <c r="BE122" s="279"/>
      <c r="BF122" s="279"/>
      <c r="BG122" s="279"/>
      <c r="BH122" s="279"/>
      <c r="BI122" s="279"/>
      <c r="BJ122" s="279"/>
      <c r="BK122" s="279"/>
      <c r="BL122" s="279"/>
      <c r="BM122" s="279"/>
      <c r="BN122" s="279"/>
      <c r="BO122" s="279"/>
      <c r="BP122" s="279"/>
      <c r="BQ122" s="279"/>
    </row>
    <row r="123" ht="12.75" customHeight="1">
      <c r="A123" s="269"/>
      <c r="B123" s="20"/>
      <c r="C123" s="20"/>
      <c r="D123" s="321">
        <v>94.0</v>
      </c>
      <c r="E123" s="307" t="s">
        <v>410</v>
      </c>
      <c r="F123" s="308"/>
      <c r="G123" s="308"/>
      <c r="H123" s="308"/>
      <c r="I123" s="308"/>
      <c r="J123" s="308"/>
      <c r="K123" s="308"/>
      <c r="L123" s="308"/>
      <c r="M123" s="308"/>
      <c r="N123" s="308"/>
      <c r="O123" s="308"/>
      <c r="P123" s="308"/>
      <c r="Q123" s="308"/>
      <c r="R123" s="308"/>
      <c r="S123" s="308"/>
      <c r="T123" s="308"/>
      <c r="U123" s="308"/>
      <c r="V123" s="308"/>
      <c r="W123" s="308"/>
      <c r="X123" s="308"/>
      <c r="Y123" s="308"/>
      <c r="Z123" s="308"/>
      <c r="AA123" s="308"/>
      <c r="AB123" s="308"/>
      <c r="AC123" s="308"/>
      <c r="AD123" s="308"/>
      <c r="AE123" s="308"/>
      <c r="AF123" s="308"/>
      <c r="AG123" s="309"/>
      <c r="AH123" s="299">
        <v>833.0</v>
      </c>
      <c r="AI123" s="300"/>
      <c r="AJ123" s="15"/>
      <c r="AK123" s="15"/>
      <c r="AL123" s="16"/>
      <c r="AM123" s="338" t="s">
        <v>312</v>
      </c>
      <c r="AN123" s="279"/>
      <c r="AO123" s="279"/>
      <c r="AP123" s="279"/>
      <c r="AQ123" s="279"/>
      <c r="AR123" s="279"/>
      <c r="AS123" s="279"/>
      <c r="AT123" s="279"/>
      <c r="AU123" s="279"/>
      <c r="AV123" s="279"/>
      <c r="AW123" s="279"/>
      <c r="AX123" s="279"/>
      <c r="AY123" s="279"/>
      <c r="AZ123" s="279"/>
      <c r="BA123" s="279"/>
      <c r="BB123" s="279"/>
      <c r="BC123" s="279"/>
      <c r="BD123" s="279"/>
      <c r="BE123" s="279"/>
      <c r="BF123" s="279"/>
      <c r="BG123" s="279"/>
      <c r="BH123" s="279"/>
      <c r="BI123" s="279"/>
      <c r="BJ123" s="279"/>
      <c r="BK123" s="279"/>
      <c r="BL123" s="279"/>
      <c r="BM123" s="279"/>
      <c r="BN123" s="279"/>
      <c r="BO123" s="279"/>
      <c r="BP123" s="279"/>
      <c r="BQ123" s="279"/>
    </row>
    <row r="124" ht="12.75" customHeight="1">
      <c r="A124" s="269"/>
      <c r="B124" s="20"/>
      <c r="C124" s="20"/>
      <c r="D124" s="321">
        <v>95.0</v>
      </c>
      <c r="E124" s="307" t="s">
        <v>411</v>
      </c>
      <c r="F124" s="308"/>
      <c r="G124" s="308"/>
      <c r="H124" s="308"/>
      <c r="I124" s="308"/>
      <c r="J124" s="308"/>
      <c r="K124" s="308"/>
      <c r="L124" s="308"/>
      <c r="M124" s="308"/>
      <c r="N124" s="308"/>
      <c r="O124" s="308"/>
      <c r="P124" s="308"/>
      <c r="Q124" s="308"/>
      <c r="R124" s="308"/>
      <c r="S124" s="308"/>
      <c r="T124" s="308"/>
      <c r="U124" s="308"/>
      <c r="V124" s="308"/>
      <c r="W124" s="308"/>
      <c r="X124" s="308"/>
      <c r="Y124" s="308"/>
      <c r="Z124" s="308"/>
      <c r="AA124" s="308"/>
      <c r="AB124" s="308"/>
      <c r="AC124" s="308"/>
      <c r="AD124" s="308"/>
      <c r="AE124" s="308"/>
      <c r="AF124" s="308"/>
      <c r="AG124" s="309"/>
      <c r="AH124" s="299">
        <v>1908.0</v>
      </c>
      <c r="AI124" s="300"/>
      <c r="AJ124" s="15"/>
      <c r="AK124" s="15"/>
      <c r="AL124" s="16"/>
      <c r="AM124" s="338" t="s">
        <v>312</v>
      </c>
      <c r="AN124" s="279"/>
      <c r="AO124" s="279"/>
      <c r="AP124" s="279"/>
      <c r="AQ124" s="279"/>
      <c r="AR124" s="279"/>
      <c r="AS124" s="279"/>
      <c r="AT124" s="279"/>
      <c r="AU124" s="279"/>
      <c r="AV124" s="279"/>
      <c r="AW124" s="279"/>
      <c r="AX124" s="279"/>
      <c r="AY124" s="279"/>
      <c r="AZ124" s="279"/>
      <c r="BA124" s="279"/>
      <c r="BB124" s="279"/>
      <c r="BC124" s="279"/>
      <c r="BD124" s="279"/>
      <c r="BE124" s="279"/>
      <c r="BF124" s="279"/>
      <c r="BG124" s="279"/>
      <c r="BH124" s="279"/>
      <c r="BI124" s="279"/>
      <c r="BJ124" s="279"/>
      <c r="BK124" s="279"/>
      <c r="BL124" s="279"/>
      <c r="BM124" s="279"/>
      <c r="BN124" s="279"/>
      <c r="BO124" s="279"/>
      <c r="BP124" s="279"/>
      <c r="BQ124" s="279"/>
    </row>
    <row r="125" ht="12.75" customHeight="1">
      <c r="A125" s="269"/>
      <c r="B125" s="20"/>
      <c r="C125" s="20"/>
      <c r="D125" s="284">
        <v>96.0</v>
      </c>
      <c r="E125" s="312" t="s">
        <v>412</v>
      </c>
      <c r="F125" s="312"/>
      <c r="G125" s="312"/>
      <c r="H125" s="312"/>
      <c r="I125" s="312"/>
      <c r="J125" s="312"/>
      <c r="K125" s="312"/>
      <c r="L125" s="312"/>
      <c r="M125" s="312"/>
      <c r="N125" s="290">
        <v>912.0</v>
      </c>
      <c r="O125" s="289"/>
      <c r="P125" s="15"/>
      <c r="Q125" s="15"/>
      <c r="R125" s="16"/>
      <c r="S125" s="325" t="s">
        <v>413</v>
      </c>
      <c r="T125" s="326"/>
      <c r="U125" s="326"/>
      <c r="V125" s="326"/>
      <c r="W125" s="326"/>
      <c r="X125" s="326"/>
      <c r="Y125" s="326"/>
      <c r="Z125" s="326"/>
      <c r="AA125" s="326"/>
      <c r="AB125" s="327"/>
      <c r="AC125" s="290">
        <v>167.0</v>
      </c>
      <c r="AD125" s="289"/>
      <c r="AE125" s="15"/>
      <c r="AF125" s="15"/>
      <c r="AG125" s="16"/>
      <c r="AH125" s="290">
        <v>747.0</v>
      </c>
      <c r="AI125" s="289">
        <f>+$O$125+$AD$125</f>
        <v>0</v>
      </c>
      <c r="AJ125" s="15"/>
      <c r="AK125" s="15"/>
      <c r="AL125" s="16"/>
      <c r="AM125" s="291" t="s">
        <v>312</v>
      </c>
      <c r="AN125" s="279"/>
      <c r="AO125" s="279"/>
      <c r="AP125" s="279"/>
      <c r="AQ125" s="279"/>
      <c r="AR125" s="279"/>
      <c r="AS125" s="279"/>
      <c r="AT125" s="279"/>
      <c r="AU125" s="279"/>
      <c r="AV125" s="279"/>
      <c r="AW125" s="279"/>
      <c r="AX125" s="279"/>
      <c r="AY125" s="279"/>
      <c r="AZ125" s="279"/>
      <c r="BA125" s="279"/>
      <c r="BB125" s="279"/>
      <c r="BC125" s="279"/>
      <c r="BD125" s="279"/>
      <c r="BE125" s="279"/>
      <c r="BF125" s="279"/>
      <c r="BG125" s="279"/>
      <c r="BH125" s="279"/>
      <c r="BI125" s="279"/>
      <c r="BJ125" s="279"/>
      <c r="BK125" s="279"/>
      <c r="BL125" s="279"/>
      <c r="BM125" s="279"/>
      <c r="BN125" s="279"/>
      <c r="BO125" s="279"/>
      <c r="BP125" s="279"/>
      <c r="BQ125" s="279"/>
    </row>
    <row r="126" ht="12.75" customHeight="1">
      <c r="A126" s="269"/>
      <c r="B126" s="20"/>
      <c r="C126" s="20"/>
      <c r="D126" s="284">
        <v>97.0</v>
      </c>
      <c r="E126" s="312" t="s">
        <v>414</v>
      </c>
      <c r="F126" s="312"/>
      <c r="G126" s="312"/>
      <c r="H126" s="312"/>
      <c r="I126" s="312"/>
      <c r="J126" s="312"/>
      <c r="K126" s="312"/>
      <c r="L126" s="312"/>
      <c r="M126" s="312"/>
      <c r="N126" s="290">
        <v>119.0</v>
      </c>
      <c r="O126" s="289"/>
      <c r="P126" s="15"/>
      <c r="Q126" s="15"/>
      <c r="R126" s="16"/>
      <c r="S126" s="325" t="s">
        <v>415</v>
      </c>
      <c r="T126" s="326"/>
      <c r="U126" s="326"/>
      <c r="V126" s="326"/>
      <c r="W126" s="326"/>
      <c r="X126" s="326"/>
      <c r="Y126" s="326"/>
      <c r="Z126" s="326"/>
      <c r="AA126" s="326"/>
      <c r="AB126" s="327"/>
      <c r="AC126" s="290">
        <v>116.0</v>
      </c>
      <c r="AD126" s="289"/>
      <c r="AE126" s="15"/>
      <c r="AF126" s="15"/>
      <c r="AG126" s="16"/>
      <c r="AH126" s="290">
        <v>757.0</v>
      </c>
      <c r="AI126" s="289">
        <f>+$O$126+$AD$126</f>
        <v>0</v>
      </c>
      <c r="AJ126" s="15"/>
      <c r="AK126" s="15"/>
      <c r="AL126" s="16"/>
      <c r="AM126" s="291" t="s">
        <v>312</v>
      </c>
      <c r="AN126" s="279"/>
      <c r="AO126" s="279"/>
      <c r="AP126" s="279"/>
      <c r="AQ126" s="279"/>
      <c r="AR126" s="279"/>
      <c r="AS126" s="279"/>
      <c r="AT126" s="279"/>
      <c r="AU126" s="279"/>
      <c r="AV126" s="279"/>
      <c r="AW126" s="279"/>
      <c r="AX126" s="279"/>
      <c r="AY126" s="279"/>
      <c r="AZ126" s="279"/>
      <c r="BA126" s="279"/>
      <c r="BB126" s="279"/>
      <c r="BC126" s="279"/>
      <c r="BD126" s="279"/>
      <c r="BE126" s="279"/>
      <c r="BF126" s="279"/>
      <c r="BG126" s="279"/>
      <c r="BH126" s="279"/>
      <c r="BI126" s="279"/>
      <c r="BJ126" s="279"/>
      <c r="BK126" s="279"/>
      <c r="BL126" s="279"/>
      <c r="BM126" s="279"/>
      <c r="BN126" s="279"/>
      <c r="BO126" s="279"/>
      <c r="BP126" s="279"/>
      <c r="BQ126" s="279"/>
    </row>
    <row r="127" ht="12.75" customHeight="1">
      <c r="A127" s="269"/>
      <c r="B127" s="20"/>
      <c r="C127" s="20"/>
      <c r="D127" s="284">
        <v>98.0</v>
      </c>
      <c r="E127" s="285" t="s">
        <v>416</v>
      </c>
      <c r="F127" s="286"/>
      <c r="G127" s="286"/>
      <c r="H127" s="286"/>
      <c r="I127" s="286"/>
      <c r="J127" s="286"/>
      <c r="K127" s="286"/>
      <c r="L127" s="286"/>
      <c r="M127" s="286"/>
      <c r="N127" s="286"/>
      <c r="O127" s="286"/>
      <c r="P127" s="286"/>
      <c r="Q127" s="286"/>
      <c r="R127" s="286"/>
      <c r="S127" s="286"/>
      <c r="T127" s="286"/>
      <c r="U127" s="286"/>
      <c r="V127" s="286"/>
      <c r="W127" s="286"/>
      <c r="X127" s="286"/>
      <c r="Y127" s="286"/>
      <c r="Z127" s="286"/>
      <c r="AA127" s="286"/>
      <c r="AB127" s="286"/>
      <c r="AC127" s="286"/>
      <c r="AD127" s="286"/>
      <c r="AE127" s="286"/>
      <c r="AF127" s="286"/>
      <c r="AG127" s="287"/>
      <c r="AH127" s="290">
        <v>58.0</v>
      </c>
      <c r="AI127" s="289"/>
      <c r="AJ127" s="15"/>
      <c r="AK127" s="15"/>
      <c r="AL127" s="16"/>
      <c r="AM127" s="291" t="s">
        <v>312</v>
      </c>
      <c r="AN127" s="279"/>
      <c r="AO127" s="279"/>
      <c r="AP127" s="279"/>
      <c r="AQ127" s="279"/>
      <c r="AR127" s="279"/>
      <c r="AS127" s="279"/>
      <c r="AT127" s="279"/>
      <c r="AU127" s="279"/>
      <c r="AV127" s="279"/>
      <c r="AW127" s="279"/>
      <c r="AX127" s="279"/>
      <c r="AY127" s="279"/>
      <c r="AZ127" s="279"/>
      <c r="BA127" s="279"/>
      <c r="BB127" s="279"/>
      <c r="BC127" s="279"/>
      <c r="BD127" s="279"/>
      <c r="BE127" s="279"/>
      <c r="BF127" s="279"/>
      <c r="BG127" s="279"/>
      <c r="BH127" s="279"/>
      <c r="BI127" s="279"/>
      <c r="BJ127" s="279"/>
      <c r="BK127" s="279"/>
      <c r="BL127" s="279"/>
      <c r="BM127" s="279"/>
      <c r="BN127" s="279"/>
      <c r="BO127" s="279"/>
      <c r="BP127" s="279"/>
      <c r="BQ127" s="279"/>
    </row>
    <row r="128" ht="12.75" customHeight="1">
      <c r="A128" s="269"/>
      <c r="B128" s="20"/>
      <c r="C128" s="20"/>
      <c r="D128" s="284">
        <v>99.0</v>
      </c>
      <c r="E128" s="285" t="s">
        <v>417</v>
      </c>
      <c r="F128" s="286"/>
      <c r="G128" s="286"/>
      <c r="H128" s="286"/>
      <c r="I128" s="286"/>
      <c r="J128" s="286"/>
      <c r="K128" s="286"/>
      <c r="L128" s="286"/>
      <c r="M128" s="286"/>
      <c r="N128" s="286"/>
      <c r="O128" s="286"/>
      <c r="P128" s="286"/>
      <c r="Q128" s="286"/>
      <c r="R128" s="286"/>
      <c r="S128" s="286"/>
      <c r="T128" s="286"/>
      <c r="U128" s="286"/>
      <c r="V128" s="286"/>
      <c r="W128" s="286"/>
      <c r="X128" s="286"/>
      <c r="Y128" s="286"/>
      <c r="Z128" s="286"/>
      <c r="AA128" s="286"/>
      <c r="AB128" s="286"/>
      <c r="AC128" s="286"/>
      <c r="AD128" s="286"/>
      <c r="AE128" s="286"/>
      <c r="AF128" s="286"/>
      <c r="AG128" s="287"/>
      <c r="AH128" s="290">
        <v>870.0</v>
      </c>
      <c r="AI128" s="289"/>
      <c r="AJ128" s="15"/>
      <c r="AK128" s="15"/>
      <c r="AL128" s="16"/>
      <c r="AM128" s="291" t="s">
        <v>312</v>
      </c>
      <c r="AN128" s="279"/>
      <c r="AO128" s="279"/>
      <c r="AP128" s="279"/>
      <c r="AQ128" s="279"/>
      <c r="AR128" s="279"/>
      <c r="AS128" s="279"/>
      <c r="AT128" s="279"/>
      <c r="AU128" s="279"/>
      <c r="AV128" s="279"/>
      <c r="AW128" s="279"/>
      <c r="AX128" s="279"/>
      <c r="AY128" s="279"/>
      <c r="AZ128" s="279"/>
      <c r="BA128" s="279"/>
      <c r="BB128" s="279"/>
      <c r="BC128" s="279"/>
      <c r="BD128" s="279"/>
      <c r="BE128" s="279"/>
      <c r="BF128" s="279"/>
      <c r="BG128" s="279"/>
      <c r="BH128" s="279"/>
      <c r="BI128" s="279"/>
      <c r="BJ128" s="279"/>
      <c r="BK128" s="279"/>
      <c r="BL128" s="279"/>
      <c r="BM128" s="279"/>
      <c r="BN128" s="279"/>
      <c r="BO128" s="279"/>
      <c r="BP128" s="279"/>
      <c r="BQ128" s="279"/>
    </row>
    <row r="129" ht="12.75" customHeight="1">
      <c r="A129" s="269"/>
      <c r="B129" s="20"/>
      <c r="C129" s="20"/>
      <c r="D129" s="284">
        <v>100.0</v>
      </c>
      <c r="E129" s="285" t="s">
        <v>418</v>
      </c>
      <c r="F129" s="286"/>
      <c r="G129" s="286"/>
      <c r="H129" s="286"/>
      <c r="I129" s="286"/>
      <c r="J129" s="286"/>
      <c r="K129" s="286"/>
      <c r="L129" s="286"/>
      <c r="M129" s="286"/>
      <c r="N129" s="286"/>
      <c r="O129" s="286"/>
      <c r="P129" s="286"/>
      <c r="Q129" s="286"/>
      <c r="R129" s="286"/>
      <c r="S129" s="286"/>
      <c r="T129" s="286"/>
      <c r="U129" s="286"/>
      <c r="V129" s="286"/>
      <c r="W129" s="286"/>
      <c r="X129" s="286"/>
      <c r="Y129" s="286"/>
      <c r="Z129" s="286"/>
      <c r="AA129" s="286"/>
      <c r="AB129" s="286"/>
      <c r="AC129" s="286"/>
      <c r="AD129" s="286"/>
      <c r="AE129" s="286"/>
      <c r="AF129" s="286"/>
      <c r="AG129" s="287"/>
      <c r="AH129" s="290">
        <v>1645.0</v>
      </c>
      <c r="AI129" s="289"/>
      <c r="AJ129" s="15"/>
      <c r="AK129" s="15"/>
      <c r="AL129" s="16"/>
      <c r="AM129" s="291" t="s">
        <v>312</v>
      </c>
      <c r="AN129" s="279"/>
      <c r="AO129" s="279"/>
      <c r="AP129" s="279"/>
      <c r="AQ129" s="279"/>
      <c r="AR129" s="279"/>
      <c r="AS129" s="279"/>
      <c r="AT129" s="279"/>
      <c r="AU129" s="279"/>
      <c r="AV129" s="279"/>
      <c r="AW129" s="279"/>
      <c r="AX129" s="279"/>
      <c r="AY129" s="279"/>
      <c r="AZ129" s="279"/>
      <c r="BA129" s="279"/>
      <c r="BB129" s="279"/>
      <c r="BC129" s="279"/>
      <c r="BD129" s="279"/>
      <c r="BE129" s="279"/>
      <c r="BF129" s="279"/>
      <c r="BG129" s="279"/>
      <c r="BH129" s="279"/>
      <c r="BI129" s="279"/>
      <c r="BJ129" s="279"/>
      <c r="BK129" s="279"/>
      <c r="BL129" s="279"/>
      <c r="BM129" s="279"/>
      <c r="BN129" s="279"/>
      <c r="BO129" s="279"/>
      <c r="BP129" s="279"/>
      <c r="BQ129" s="279"/>
    </row>
    <row r="130" ht="12.75" customHeight="1">
      <c r="A130" s="269"/>
      <c r="B130" s="20"/>
      <c r="C130" s="20"/>
      <c r="D130" s="321">
        <v>101.0</v>
      </c>
      <c r="E130" s="307" t="s">
        <v>419</v>
      </c>
      <c r="F130" s="308"/>
      <c r="G130" s="308"/>
      <c r="H130" s="308"/>
      <c r="I130" s="308"/>
      <c r="J130" s="308"/>
      <c r="K130" s="308"/>
      <c r="L130" s="308"/>
      <c r="M130" s="308"/>
      <c r="N130" s="308"/>
      <c r="O130" s="308"/>
      <c r="P130" s="308"/>
      <c r="Q130" s="308"/>
      <c r="R130" s="308"/>
      <c r="S130" s="308"/>
      <c r="T130" s="308"/>
      <c r="U130" s="308"/>
      <c r="V130" s="308"/>
      <c r="W130" s="308"/>
      <c r="X130" s="308"/>
      <c r="Y130" s="308"/>
      <c r="Z130" s="308"/>
      <c r="AA130" s="308"/>
      <c r="AB130" s="308"/>
      <c r="AC130" s="308"/>
      <c r="AD130" s="308"/>
      <c r="AE130" s="308"/>
      <c r="AF130" s="308"/>
      <c r="AG130" s="309"/>
      <c r="AH130" s="299">
        <v>181.0</v>
      </c>
      <c r="AI130" s="300"/>
      <c r="AJ130" s="15"/>
      <c r="AK130" s="15"/>
      <c r="AL130" s="16"/>
      <c r="AM130" s="291" t="s">
        <v>312</v>
      </c>
      <c r="AN130" s="279"/>
      <c r="AO130" s="279"/>
      <c r="AP130" s="279"/>
      <c r="AQ130" s="279"/>
      <c r="AR130" s="279"/>
      <c r="AS130" s="279"/>
      <c r="AT130" s="279"/>
      <c r="AU130" s="279"/>
      <c r="AV130" s="279"/>
      <c r="AW130" s="279"/>
      <c r="AX130" s="279"/>
      <c r="AY130" s="279"/>
      <c r="AZ130" s="279"/>
      <c r="BA130" s="279"/>
      <c r="BB130" s="279"/>
      <c r="BC130" s="279"/>
      <c r="BD130" s="279"/>
      <c r="BE130" s="279"/>
      <c r="BF130" s="279"/>
      <c r="BG130" s="279"/>
      <c r="BH130" s="279"/>
      <c r="BI130" s="279"/>
      <c r="BJ130" s="279"/>
      <c r="BK130" s="279"/>
      <c r="BL130" s="279"/>
      <c r="BM130" s="279"/>
      <c r="BN130" s="279"/>
      <c r="BO130" s="279"/>
      <c r="BP130" s="279"/>
      <c r="BQ130" s="279"/>
    </row>
    <row r="131" ht="12.75" customHeight="1">
      <c r="A131" s="269"/>
      <c r="B131" s="20"/>
      <c r="C131" s="20"/>
      <c r="D131" s="321">
        <v>102.0</v>
      </c>
      <c r="E131" s="307" t="s">
        <v>420</v>
      </c>
      <c r="F131" s="308"/>
      <c r="G131" s="308"/>
      <c r="H131" s="308"/>
      <c r="I131" s="308"/>
      <c r="J131" s="308"/>
      <c r="K131" s="308"/>
      <c r="L131" s="308"/>
      <c r="M131" s="308"/>
      <c r="N131" s="308"/>
      <c r="O131" s="308"/>
      <c r="P131" s="308"/>
      <c r="Q131" s="308"/>
      <c r="R131" s="308"/>
      <c r="S131" s="308"/>
      <c r="T131" s="308"/>
      <c r="U131" s="308"/>
      <c r="V131" s="308"/>
      <c r="W131" s="308"/>
      <c r="X131" s="308"/>
      <c r="Y131" s="308"/>
      <c r="Z131" s="308"/>
      <c r="AA131" s="308"/>
      <c r="AB131" s="308"/>
      <c r="AC131" s="308"/>
      <c r="AD131" s="308"/>
      <c r="AE131" s="308"/>
      <c r="AF131" s="308"/>
      <c r="AG131" s="309"/>
      <c r="AH131" s="299">
        <v>881.0</v>
      </c>
      <c r="AI131" s="300"/>
      <c r="AJ131" s="15"/>
      <c r="AK131" s="15"/>
      <c r="AL131" s="16"/>
      <c r="AM131" s="291" t="s">
        <v>312</v>
      </c>
      <c r="AN131" s="279"/>
      <c r="AO131" s="279"/>
      <c r="AP131" s="279"/>
      <c r="AQ131" s="279"/>
      <c r="AR131" s="279"/>
      <c r="AS131" s="279"/>
      <c r="AT131" s="279"/>
      <c r="AU131" s="279"/>
      <c r="AV131" s="279"/>
      <c r="AW131" s="279"/>
      <c r="AX131" s="279"/>
      <c r="AY131" s="279"/>
      <c r="AZ131" s="279"/>
      <c r="BA131" s="279"/>
      <c r="BB131" s="279"/>
      <c r="BC131" s="279"/>
      <c r="BD131" s="279"/>
      <c r="BE131" s="279"/>
      <c r="BF131" s="279"/>
      <c r="BG131" s="279"/>
      <c r="BH131" s="279"/>
      <c r="BI131" s="279"/>
      <c r="BJ131" s="279"/>
      <c r="BK131" s="279"/>
      <c r="BL131" s="279"/>
      <c r="BM131" s="279"/>
      <c r="BN131" s="279"/>
      <c r="BO131" s="279"/>
      <c r="BP131" s="279"/>
      <c r="BQ131" s="279"/>
    </row>
    <row r="132" ht="12.75" customHeight="1">
      <c r="A132" s="269"/>
      <c r="B132" s="20"/>
      <c r="C132" s="20"/>
      <c r="D132" s="321">
        <v>103.0</v>
      </c>
      <c r="E132" s="307" t="s">
        <v>421</v>
      </c>
      <c r="F132" s="308"/>
      <c r="G132" s="308"/>
      <c r="H132" s="308"/>
      <c r="I132" s="308"/>
      <c r="J132" s="308"/>
      <c r="K132" s="308"/>
      <c r="L132" s="308"/>
      <c r="M132" s="308"/>
      <c r="N132" s="308"/>
      <c r="O132" s="308"/>
      <c r="P132" s="308"/>
      <c r="Q132" s="308"/>
      <c r="R132" s="308"/>
      <c r="S132" s="308"/>
      <c r="T132" s="308"/>
      <c r="U132" s="308"/>
      <c r="V132" s="308"/>
      <c r="W132" s="308"/>
      <c r="X132" s="308"/>
      <c r="Y132" s="308"/>
      <c r="Z132" s="308"/>
      <c r="AA132" s="308"/>
      <c r="AB132" s="308"/>
      <c r="AC132" s="308"/>
      <c r="AD132" s="308"/>
      <c r="AE132" s="308"/>
      <c r="AF132" s="308"/>
      <c r="AG132" s="309"/>
      <c r="AH132" s="299">
        <v>1646.0</v>
      </c>
      <c r="AI132" s="300"/>
      <c r="AJ132" s="15"/>
      <c r="AK132" s="15"/>
      <c r="AL132" s="16"/>
      <c r="AM132" s="291" t="s">
        <v>312</v>
      </c>
      <c r="AN132" s="279"/>
      <c r="AO132" s="279"/>
      <c r="AP132" s="279"/>
      <c r="AQ132" s="279"/>
      <c r="AR132" s="279"/>
      <c r="AS132" s="279"/>
      <c r="AT132" s="279"/>
      <c r="AU132" s="279"/>
      <c r="AV132" s="279"/>
      <c r="AW132" s="279"/>
      <c r="AX132" s="279"/>
      <c r="AY132" s="279"/>
      <c r="AZ132" s="279"/>
      <c r="BA132" s="279"/>
      <c r="BB132" s="279"/>
      <c r="BC132" s="279"/>
      <c r="BD132" s="279"/>
      <c r="BE132" s="279"/>
      <c r="BF132" s="279"/>
      <c r="BG132" s="279"/>
      <c r="BH132" s="279"/>
      <c r="BI132" s="279"/>
      <c r="BJ132" s="279"/>
      <c r="BK132" s="279"/>
      <c r="BL132" s="279"/>
      <c r="BM132" s="279"/>
      <c r="BN132" s="279"/>
      <c r="BO132" s="279"/>
      <c r="BP132" s="279"/>
      <c r="BQ132" s="279"/>
    </row>
    <row r="133" ht="12.75" customHeight="1">
      <c r="A133" s="269"/>
      <c r="B133" s="20"/>
      <c r="C133" s="20"/>
      <c r="D133" s="321">
        <v>104.0</v>
      </c>
      <c r="E133" s="307" t="s">
        <v>422</v>
      </c>
      <c r="F133" s="308"/>
      <c r="G133" s="308"/>
      <c r="H133" s="308"/>
      <c r="I133" s="308"/>
      <c r="J133" s="308"/>
      <c r="K133" s="308"/>
      <c r="L133" s="308"/>
      <c r="M133" s="308"/>
      <c r="N133" s="308"/>
      <c r="O133" s="308"/>
      <c r="P133" s="308"/>
      <c r="Q133" s="308"/>
      <c r="R133" s="308"/>
      <c r="S133" s="308"/>
      <c r="T133" s="308"/>
      <c r="U133" s="308"/>
      <c r="V133" s="308"/>
      <c r="W133" s="308"/>
      <c r="X133" s="308"/>
      <c r="Y133" s="308"/>
      <c r="Z133" s="308"/>
      <c r="AA133" s="308"/>
      <c r="AB133" s="308"/>
      <c r="AC133" s="308"/>
      <c r="AD133" s="308"/>
      <c r="AE133" s="308"/>
      <c r="AF133" s="308"/>
      <c r="AG133" s="309"/>
      <c r="AH133" s="299">
        <v>1647.0</v>
      </c>
      <c r="AI133" s="300"/>
      <c r="AJ133" s="15"/>
      <c r="AK133" s="15"/>
      <c r="AL133" s="16"/>
      <c r="AM133" s="291" t="s">
        <v>312</v>
      </c>
      <c r="AN133" s="279"/>
      <c r="AO133" s="279"/>
      <c r="AP133" s="279"/>
      <c r="AQ133" s="279"/>
      <c r="AR133" s="279"/>
      <c r="AS133" s="279"/>
      <c r="AT133" s="279"/>
      <c r="AU133" s="279"/>
      <c r="AV133" s="279"/>
      <c r="AW133" s="279"/>
      <c r="AX133" s="279"/>
      <c r="AY133" s="279"/>
      <c r="AZ133" s="279"/>
      <c r="BA133" s="279"/>
      <c r="BB133" s="279"/>
      <c r="BC133" s="279"/>
      <c r="BD133" s="279"/>
      <c r="BE133" s="279"/>
      <c r="BF133" s="279"/>
      <c r="BG133" s="279"/>
      <c r="BH133" s="279"/>
      <c r="BI133" s="279"/>
      <c r="BJ133" s="279"/>
      <c r="BK133" s="279"/>
      <c r="BL133" s="279"/>
      <c r="BM133" s="279"/>
      <c r="BN133" s="279"/>
      <c r="BO133" s="279"/>
      <c r="BP133" s="279"/>
      <c r="BQ133" s="279"/>
    </row>
    <row r="134" ht="12.75" customHeight="1">
      <c r="A134" s="269"/>
      <c r="B134" s="20"/>
      <c r="C134" s="20"/>
      <c r="D134" s="321">
        <v>105.0</v>
      </c>
      <c r="E134" s="307" t="s">
        <v>423</v>
      </c>
      <c r="F134" s="308"/>
      <c r="G134" s="308"/>
      <c r="H134" s="308"/>
      <c r="I134" s="308"/>
      <c r="J134" s="308"/>
      <c r="K134" s="308"/>
      <c r="L134" s="308"/>
      <c r="M134" s="308"/>
      <c r="N134" s="308"/>
      <c r="O134" s="308"/>
      <c r="P134" s="308"/>
      <c r="Q134" s="308"/>
      <c r="R134" s="308"/>
      <c r="S134" s="308"/>
      <c r="T134" s="308"/>
      <c r="U134" s="308"/>
      <c r="V134" s="308"/>
      <c r="W134" s="308"/>
      <c r="X134" s="308"/>
      <c r="Y134" s="308"/>
      <c r="Z134" s="308"/>
      <c r="AA134" s="308"/>
      <c r="AB134" s="308"/>
      <c r="AC134" s="308"/>
      <c r="AD134" s="308"/>
      <c r="AE134" s="308"/>
      <c r="AF134" s="308"/>
      <c r="AG134" s="309"/>
      <c r="AH134" s="299">
        <v>1910.0</v>
      </c>
      <c r="AI134" s="300"/>
      <c r="AJ134" s="15"/>
      <c r="AK134" s="15"/>
      <c r="AL134" s="16"/>
      <c r="AM134" s="291" t="s">
        <v>312</v>
      </c>
      <c r="AN134" s="279"/>
      <c r="AO134" s="279"/>
      <c r="AP134" s="279"/>
      <c r="AQ134" s="279"/>
      <c r="AR134" s="279"/>
      <c r="AS134" s="279"/>
      <c r="AT134" s="279"/>
      <c r="AU134" s="279"/>
      <c r="AV134" s="279"/>
      <c r="AW134" s="279"/>
      <c r="AX134" s="279"/>
      <c r="AY134" s="279"/>
      <c r="AZ134" s="279"/>
      <c r="BA134" s="279"/>
      <c r="BB134" s="279"/>
      <c r="BC134" s="279"/>
      <c r="BD134" s="279"/>
      <c r="BE134" s="279"/>
      <c r="BF134" s="279"/>
      <c r="BG134" s="279"/>
      <c r="BH134" s="279"/>
      <c r="BI134" s="279"/>
      <c r="BJ134" s="279"/>
      <c r="BK134" s="279"/>
      <c r="BL134" s="279"/>
      <c r="BM134" s="279"/>
      <c r="BN134" s="279"/>
      <c r="BO134" s="279"/>
      <c r="BP134" s="279"/>
      <c r="BQ134" s="279"/>
    </row>
    <row r="135" ht="12.75" customHeight="1">
      <c r="A135" s="269"/>
      <c r="B135" s="20"/>
      <c r="C135" s="34"/>
      <c r="D135" s="321">
        <v>106.0</v>
      </c>
      <c r="E135" s="307" t="s">
        <v>424</v>
      </c>
      <c r="F135" s="308"/>
      <c r="G135" s="308"/>
      <c r="H135" s="308"/>
      <c r="I135" s="308"/>
      <c r="J135" s="308"/>
      <c r="K135" s="308"/>
      <c r="L135" s="308"/>
      <c r="M135" s="308"/>
      <c r="N135" s="308"/>
      <c r="O135" s="308"/>
      <c r="P135" s="308"/>
      <c r="Q135" s="308"/>
      <c r="R135" s="308"/>
      <c r="S135" s="308"/>
      <c r="T135" s="308"/>
      <c r="U135" s="308"/>
      <c r="V135" s="308"/>
      <c r="W135" s="308"/>
      <c r="X135" s="308"/>
      <c r="Y135" s="308"/>
      <c r="Z135" s="308"/>
      <c r="AA135" s="308"/>
      <c r="AB135" s="308"/>
      <c r="AC135" s="308"/>
      <c r="AD135" s="308"/>
      <c r="AE135" s="308"/>
      <c r="AF135" s="308"/>
      <c r="AG135" s="309"/>
      <c r="AH135" s="299">
        <v>1915.0</v>
      </c>
      <c r="AI135" s="300"/>
      <c r="AJ135" s="15"/>
      <c r="AK135" s="15"/>
      <c r="AL135" s="16"/>
      <c r="AM135" s="291" t="s">
        <v>312</v>
      </c>
      <c r="AN135" s="279"/>
      <c r="AO135" s="279"/>
      <c r="AP135" s="279"/>
      <c r="AQ135" s="279"/>
      <c r="AR135" s="279"/>
      <c r="AS135" s="279"/>
      <c r="AT135" s="279"/>
      <c r="AU135" s="279"/>
      <c r="AV135" s="279"/>
      <c r="AW135" s="279"/>
      <c r="AX135" s="279"/>
      <c r="AY135" s="279"/>
      <c r="AZ135" s="279"/>
      <c r="BA135" s="279"/>
      <c r="BB135" s="279"/>
      <c r="BC135" s="279"/>
      <c r="BD135" s="279"/>
      <c r="BE135" s="279"/>
      <c r="BF135" s="279"/>
      <c r="BG135" s="279"/>
      <c r="BH135" s="279"/>
      <c r="BI135" s="279"/>
      <c r="BJ135" s="279"/>
      <c r="BK135" s="279"/>
      <c r="BL135" s="279"/>
      <c r="BM135" s="279"/>
      <c r="BN135" s="279"/>
      <c r="BO135" s="279"/>
      <c r="BP135" s="279"/>
      <c r="BQ135" s="279"/>
    </row>
    <row r="136" ht="12.75" customHeight="1">
      <c r="A136" s="269"/>
      <c r="B136" s="20"/>
      <c r="C136" s="282" t="s">
        <v>425</v>
      </c>
      <c r="D136" s="284">
        <v>107.0</v>
      </c>
      <c r="E136" s="285" t="s">
        <v>426</v>
      </c>
      <c r="F136" s="286"/>
      <c r="G136" s="286"/>
      <c r="H136" s="286"/>
      <c r="I136" s="286"/>
      <c r="J136" s="286"/>
      <c r="K136" s="286"/>
      <c r="L136" s="286"/>
      <c r="M136" s="286"/>
      <c r="N136" s="286"/>
      <c r="O136" s="286"/>
      <c r="P136" s="286"/>
      <c r="Q136" s="286"/>
      <c r="R136" s="286"/>
      <c r="S136" s="286"/>
      <c r="T136" s="286"/>
      <c r="U136" s="286"/>
      <c r="V136" s="286"/>
      <c r="W136" s="286"/>
      <c r="X136" s="286"/>
      <c r="Y136" s="286"/>
      <c r="Z136" s="286"/>
      <c r="AA136" s="286"/>
      <c r="AB136" s="286"/>
      <c r="AC136" s="286"/>
      <c r="AD136" s="286"/>
      <c r="AE136" s="286"/>
      <c r="AF136" s="286"/>
      <c r="AG136" s="287"/>
      <c r="AH136" s="290">
        <v>900.0</v>
      </c>
      <c r="AI136" s="289"/>
      <c r="AJ136" s="15"/>
      <c r="AK136" s="15"/>
      <c r="AL136" s="16"/>
      <c r="AM136" s="291" t="s">
        <v>281</v>
      </c>
      <c r="AN136" s="279"/>
      <c r="AO136" s="279"/>
      <c r="AP136" s="279"/>
      <c r="AQ136" s="279"/>
      <c r="AR136" s="279"/>
      <c r="AS136" s="279"/>
      <c r="AT136" s="279"/>
      <c r="AU136" s="279"/>
      <c r="AV136" s="279"/>
      <c r="AW136" s="279"/>
      <c r="AX136" s="279"/>
      <c r="AY136" s="279"/>
      <c r="AZ136" s="279"/>
      <c r="BA136" s="279"/>
      <c r="BB136" s="279"/>
      <c r="BC136" s="279"/>
      <c r="BD136" s="279"/>
      <c r="BE136" s="279"/>
      <c r="BF136" s="279"/>
      <c r="BG136" s="279"/>
      <c r="BH136" s="279"/>
      <c r="BI136" s="279"/>
      <c r="BJ136" s="279"/>
      <c r="BK136" s="279"/>
      <c r="BL136" s="279"/>
      <c r="BM136" s="279"/>
      <c r="BN136" s="279"/>
      <c r="BO136" s="279"/>
      <c r="BP136" s="279"/>
      <c r="BQ136" s="279"/>
    </row>
    <row r="137" ht="12.75" customHeight="1">
      <c r="A137" s="269"/>
      <c r="B137" s="20"/>
      <c r="C137" s="20"/>
      <c r="D137" s="284">
        <v>108.0</v>
      </c>
      <c r="E137" s="285" t="s">
        <v>427</v>
      </c>
      <c r="F137" s="286"/>
      <c r="G137" s="286"/>
      <c r="H137" s="286"/>
      <c r="I137" s="286"/>
      <c r="J137" s="286"/>
      <c r="K137" s="286"/>
      <c r="L137" s="286"/>
      <c r="M137" s="286"/>
      <c r="N137" s="286"/>
      <c r="O137" s="286"/>
      <c r="P137" s="286"/>
      <c r="Q137" s="286"/>
      <c r="R137" s="286"/>
      <c r="S137" s="286"/>
      <c r="T137" s="286"/>
      <c r="U137" s="286"/>
      <c r="V137" s="286"/>
      <c r="W137" s="286"/>
      <c r="X137" s="286"/>
      <c r="Y137" s="286"/>
      <c r="Z137" s="286"/>
      <c r="AA137" s="286"/>
      <c r="AB137" s="286"/>
      <c r="AC137" s="286"/>
      <c r="AD137" s="286"/>
      <c r="AE137" s="286"/>
      <c r="AF137" s="286"/>
      <c r="AG137" s="287"/>
      <c r="AH137" s="290">
        <v>1796.0</v>
      </c>
      <c r="AI137" s="289"/>
      <c r="AJ137" s="15"/>
      <c r="AK137" s="15"/>
      <c r="AL137" s="16"/>
      <c r="AM137" s="291" t="s">
        <v>281</v>
      </c>
      <c r="AN137" s="279"/>
      <c r="AO137" s="279"/>
      <c r="AP137" s="279"/>
      <c r="AQ137" s="279"/>
      <c r="AR137" s="279"/>
      <c r="AS137" s="279"/>
      <c r="AT137" s="279"/>
      <c r="AU137" s="279"/>
      <c r="AV137" s="279"/>
      <c r="AW137" s="279"/>
      <c r="AX137" s="279"/>
      <c r="AY137" s="279"/>
      <c r="AZ137" s="279"/>
      <c r="BA137" s="279"/>
      <c r="BB137" s="279"/>
      <c r="BC137" s="279"/>
      <c r="BD137" s="279"/>
      <c r="BE137" s="279"/>
      <c r="BF137" s="279"/>
      <c r="BG137" s="279"/>
      <c r="BH137" s="279"/>
      <c r="BI137" s="279"/>
      <c r="BJ137" s="279"/>
      <c r="BK137" s="279"/>
      <c r="BL137" s="279"/>
      <c r="BM137" s="279"/>
      <c r="BN137" s="279"/>
      <c r="BO137" s="279"/>
      <c r="BP137" s="279"/>
      <c r="BQ137" s="279"/>
    </row>
    <row r="138" ht="12.75" customHeight="1">
      <c r="A138" s="269"/>
      <c r="B138" s="20"/>
      <c r="C138" s="20"/>
      <c r="D138" s="284">
        <v>109.0</v>
      </c>
      <c r="E138" s="285" t="s">
        <v>428</v>
      </c>
      <c r="F138" s="286"/>
      <c r="G138" s="286"/>
      <c r="H138" s="286"/>
      <c r="I138" s="286"/>
      <c r="J138" s="286"/>
      <c r="K138" s="286"/>
      <c r="L138" s="286"/>
      <c r="M138" s="286"/>
      <c r="N138" s="286"/>
      <c r="O138" s="286"/>
      <c r="P138" s="286"/>
      <c r="Q138" s="286"/>
      <c r="R138" s="286"/>
      <c r="S138" s="286"/>
      <c r="T138" s="286"/>
      <c r="U138" s="286"/>
      <c r="V138" s="286"/>
      <c r="W138" s="286"/>
      <c r="X138" s="286"/>
      <c r="Y138" s="286"/>
      <c r="Z138" s="286"/>
      <c r="AA138" s="286"/>
      <c r="AB138" s="286"/>
      <c r="AC138" s="286"/>
      <c r="AD138" s="286"/>
      <c r="AE138" s="286"/>
      <c r="AF138" s="286"/>
      <c r="AG138" s="287"/>
      <c r="AH138" s="290">
        <v>1827.0</v>
      </c>
      <c r="AI138" s="289"/>
      <c r="AJ138" s="15"/>
      <c r="AK138" s="15"/>
      <c r="AL138" s="16"/>
      <c r="AM138" s="291" t="s">
        <v>281</v>
      </c>
      <c r="AN138" s="279"/>
      <c r="AO138" s="279"/>
      <c r="AP138" s="279"/>
      <c r="AQ138" s="279"/>
      <c r="AR138" s="279"/>
      <c r="AS138" s="279"/>
      <c r="AT138" s="279"/>
      <c r="AU138" s="279"/>
      <c r="AV138" s="279"/>
      <c r="AW138" s="279"/>
      <c r="AX138" s="279"/>
      <c r="AY138" s="279"/>
      <c r="AZ138" s="279"/>
      <c r="BA138" s="279"/>
      <c r="BB138" s="279"/>
      <c r="BC138" s="279"/>
      <c r="BD138" s="279"/>
      <c r="BE138" s="279"/>
      <c r="BF138" s="279"/>
      <c r="BG138" s="279"/>
      <c r="BH138" s="279"/>
      <c r="BI138" s="279"/>
      <c r="BJ138" s="279"/>
      <c r="BK138" s="279"/>
      <c r="BL138" s="279"/>
      <c r="BM138" s="279"/>
      <c r="BN138" s="279"/>
      <c r="BO138" s="279"/>
      <c r="BP138" s="279"/>
      <c r="BQ138" s="279"/>
    </row>
    <row r="139" ht="12.75" customHeight="1">
      <c r="A139" s="331"/>
      <c r="B139" s="34"/>
      <c r="C139" s="34"/>
      <c r="D139" s="290">
        <v>110.0</v>
      </c>
      <c r="E139" s="332" t="s">
        <v>429</v>
      </c>
      <c r="F139" s="333"/>
      <c r="G139" s="333"/>
      <c r="H139" s="333"/>
      <c r="I139" s="333"/>
      <c r="J139" s="333"/>
      <c r="K139" s="333"/>
      <c r="L139" s="333"/>
      <c r="M139" s="333"/>
      <c r="N139" s="333"/>
      <c r="O139" s="333"/>
      <c r="P139" s="333"/>
      <c r="Q139" s="333"/>
      <c r="R139" s="333"/>
      <c r="S139" s="333"/>
      <c r="T139" s="333"/>
      <c r="U139" s="333"/>
      <c r="V139" s="333"/>
      <c r="W139" s="333"/>
      <c r="X139" s="333"/>
      <c r="Y139" s="333"/>
      <c r="Z139" s="333"/>
      <c r="AA139" s="333"/>
      <c r="AB139" s="333"/>
      <c r="AC139" s="333"/>
      <c r="AD139" s="333"/>
      <c r="AE139" s="333"/>
      <c r="AF139" s="333"/>
      <c r="AG139" s="335"/>
      <c r="AH139" s="290">
        <v>305.0</v>
      </c>
      <c r="AI139" s="336">
        <f>+SUM(AI73:$AL$78)+SUM($AI$84:$AL$108)-$AI$109-SUM($AI$114:$AL$135)+SUM($AI$136:$AL$138)</f>
        <v>0</v>
      </c>
      <c r="AJ139" s="15"/>
      <c r="AK139" s="15"/>
      <c r="AL139" s="16"/>
      <c r="AM139" s="355" t="s">
        <v>317</v>
      </c>
      <c r="AN139" s="337"/>
      <c r="AO139" s="337"/>
      <c r="AP139" s="337"/>
      <c r="AQ139" s="337"/>
      <c r="AR139" s="337"/>
      <c r="AS139" s="337"/>
      <c r="AT139" s="337"/>
      <c r="AU139" s="337"/>
      <c r="AV139" s="337"/>
      <c r="AW139" s="337"/>
      <c r="AX139" s="337"/>
      <c r="AY139" s="337"/>
      <c r="AZ139" s="337"/>
      <c r="BA139" s="337"/>
      <c r="BB139" s="337"/>
      <c r="BC139" s="337"/>
      <c r="BD139" s="337"/>
      <c r="BE139" s="337"/>
      <c r="BF139" s="337"/>
      <c r="BG139" s="337"/>
      <c r="BH139" s="337"/>
      <c r="BI139" s="337"/>
      <c r="BJ139" s="337"/>
      <c r="BK139" s="337"/>
      <c r="BL139" s="337"/>
      <c r="BM139" s="337"/>
      <c r="BN139" s="337"/>
      <c r="BO139" s="337"/>
      <c r="BP139" s="337"/>
      <c r="BQ139" s="337"/>
    </row>
    <row r="140" ht="12.75" customHeight="1">
      <c r="A140" s="269"/>
      <c r="B140" s="279"/>
      <c r="C140" s="279"/>
      <c r="D140" s="279"/>
      <c r="E140" s="279"/>
      <c r="F140" s="279"/>
      <c r="G140" s="279"/>
      <c r="H140" s="279"/>
      <c r="I140" s="279"/>
      <c r="J140" s="279"/>
      <c r="K140" s="279"/>
      <c r="L140" s="279"/>
      <c r="M140" s="279"/>
      <c r="N140" s="279"/>
      <c r="O140" s="279"/>
      <c r="P140" s="279"/>
      <c r="Q140" s="279"/>
      <c r="R140" s="279"/>
      <c r="S140" s="279"/>
      <c r="T140" s="279"/>
      <c r="U140" s="279"/>
      <c r="V140" s="279"/>
      <c r="W140" s="279"/>
      <c r="X140" s="279"/>
      <c r="Y140" s="279"/>
      <c r="Z140" s="279"/>
      <c r="AA140" s="279"/>
      <c r="AB140" s="279"/>
      <c r="AC140" s="279"/>
      <c r="AD140" s="279"/>
      <c r="AE140" s="279"/>
      <c r="AF140" s="279"/>
      <c r="AG140" s="279"/>
      <c r="AH140" s="279"/>
      <c r="AI140" s="6"/>
      <c r="AJ140" s="279"/>
      <c r="AK140" s="279"/>
      <c r="AL140" s="279"/>
      <c r="AM140" s="279"/>
      <c r="AN140" s="279"/>
      <c r="AO140" s="279"/>
      <c r="AP140" s="279"/>
      <c r="AQ140" s="279"/>
      <c r="AR140" s="279"/>
      <c r="AS140" s="279"/>
      <c r="AT140" s="279"/>
      <c r="AU140" s="279"/>
      <c r="AV140" s="279"/>
      <c r="AW140" s="279"/>
      <c r="AX140" s="279"/>
      <c r="AY140" s="279"/>
      <c r="AZ140" s="279"/>
      <c r="BA140" s="279"/>
      <c r="BB140" s="279"/>
      <c r="BC140" s="279"/>
      <c r="BD140" s="279"/>
      <c r="BE140" s="279"/>
      <c r="BF140" s="279"/>
      <c r="BG140" s="279"/>
      <c r="BH140" s="279"/>
      <c r="BI140" s="279"/>
      <c r="BJ140" s="279"/>
      <c r="BK140" s="279"/>
      <c r="BL140" s="279"/>
      <c r="BM140" s="279"/>
      <c r="BN140" s="279"/>
      <c r="BO140" s="279"/>
      <c r="BP140" s="279"/>
      <c r="BQ140" s="279"/>
    </row>
    <row r="141" ht="12.75" customHeight="1">
      <c r="A141" s="269"/>
      <c r="B141" s="348" t="s">
        <v>4</v>
      </c>
      <c r="C141" s="15"/>
      <c r="D141" s="15"/>
      <c r="E141" s="15"/>
      <c r="F141" s="15"/>
      <c r="G141" s="15"/>
      <c r="H141" s="15"/>
      <c r="I141" s="15"/>
      <c r="J141" s="15"/>
      <c r="K141" s="15"/>
      <c r="L141" s="15"/>
      <c r="M141" s="15"/>
      <c r="N141" s="15"/>
      <c r="O141" s="15"/>
      <c r="P141" s="15"/>
      <c r="Q141" s="15"/>
      <c r="R141" s="15"/>
      <c r="S141" s="15"/>
      <c r="T141" s="16"/>
      <c r="U141" s="348" t="s">
        <v>430</v>
      </c>
      <c r="V141" s="15"/>
      <c r="W141" s="15"/>
      <c r="X141" s="15"/>
      <c r="Y141" s="15"/>
      <c r="Z141" s="15"/>
      <c r="AA141" s="15"/>
      <c r="AB141" s="15"/>
      <c r="AC141" s="15"/>
      <c r="AD141" s="15"/>
      <c r="AE141" s="15"/>
      <c r="AF141" s="15"/>
      <c r="AG141" s="15"/>
      <c r="AH141" s="15"/>
      <c r="AI141" s="15"/>
      <c r="AJ141" s="15"/>
      <c r="AK141" s="15"/>
      <c r="AL141" s="15"/>
      <c r="AM141" s="16"/>
      <c r="AN141" s="279"/>
      <c r="AO141" s="279"/>
      <c r="AP141" s="279"/>
      <c r="AQ141" s="279"/>
      <c r="AR141" s="279"/>
      <c r="AS141" s="279"/>
      <c r="AT141" s="279"/>
      <c r="AU141" s="279"/>
      <c r="AV141" s="279"/>
      <c r="AW141" s="279"/>
      <c r="AX141" s="279"/>
      <c r="AY141" s="279"/>
      <c r="AZ141" s="279"/>
      <c r="BA141" s="279"/>
      <c r="BB141" s="279"/>
      <c r="BC141" s="279"/>
      <c r="BD141" s="279"/>
      <c r="BE141" s="279"/>
      <c r="BF141" s="279"/>
      <c r="BG141" s="279"/>
      <c r="BH141" s="279"/>
      <c r="BI141" s="279"/>
      <c r="BJ141" s="279"/>
      <c r="BK141" s="279"/>
      <c r="BL141" s="279"/>
      <c r="BM141" s="279"/>
      <c r="BN141" s="279"/>
      <c r="BO141" s="279"/>
      <c r="BP141" s="279"/>
      <c r="BQ141" s="279"/>
    </row>
    <row r="142" ht="12.75" customHeight="1">
      <c r="A142" s="269"/>
      <c r="B142" s="356" t="s">
        <v>431</v>
      </c>
      <c r="C142" s="357"/>
      <c r="D142" s="15"/>
      <c r="E142" s="15"/>
      <c r="F142" s="15"/>
      <c r="G142" s="15"/>
      <c r="H142" s="15"/>
      <c r="I142" s="15"/>
      <c r="J142" s="15"/>
      <c r="K142" s="15"/>
      <c r="L142" s="15"/>
      <c r="M142" s="15"/>
      <c r="N142" s="15"/>
      <c r="O142" s="15"/>
      <c r="P142" s="15"/>
      <c r="Q142" s="15"/>
      <c r="R142" s="15"/>
      <c r="S142" s="15"/>
      <c r="T142" s="16"/>
      <c r="U142" s="356" t="s">
        <v>432</v>
      </c>
      <c r="V142" s="357"/>
      <c r="W142" s="15"/>
      <c r="X142" s="15"/>
      <c r="Y142" s="15"/>
      <c r="Z142" s="15"/>
      <c r="AA142" s="15"/>
      <c r="AB142" s="15"/>
      <c r="AC142" s="15"/>
      <c r="AD142" s="15"/>
      <c r="AE142" s="15"/>
      <c r="AF142" s="15"/>
      <c r="AG142" s="15"/>
      <c r="AH142" s="15"/>
      <c r="AI142" s="15"/>
      <c r="AJ142" s="15"/>
      <c r="AK142" s="15"/>
      <c r="AL142" s="15"/>
      <c r="AM142" s="16"/>
      <c r="AN142" s="279"/>
      <c r="AO142" s="279"/>
      <c r="AP142" s="279"/>
      <c r="AQ142" s="279"/>
      <c r="AR142" s="279"/>
      <c r="AS142" s="279"/>
      <c r="AT142" s="279"/>
      <c r="AU142" s="279"/>
      <c r="AV142" s="279"/>
      <c r="AW142" s="279"/>
      <c r="AX142" s="279"/>
      <c r="AY142" s="279"/>
      <c r="AZ142" s="279"/>
      <c r="BA142" s="279"/>
      <c r="BB142" s="279"/>
      <c r="BC142" s="279"/>
      <c r="BD142" s="279"/>
      <c r="BE142" s="279"/>
      <c r="BF142" s="279"/>
      <c r="BG142" s="279"/>
      <c r="BH142" s="279"/>
      <c r="BI142" s="279"/>
      <c r="BJ142" s="279"/>
      <c r="BK142" s="279"/>
      <c r="BL142" s="279"/>
      <c r="BM142" s="279"/>
      <c r="BN142" s="279"/>
      <c r="BO142" s="279"/>
      <c r="BP142" s="279"/>
      <c r="BQ142" s="279"/>
    </row>
    <row r="143" ht="12.75" customHeight="1">
      <c r="A143" s="269"/>
      <c r="B143" s="279"/>
      <c r="C143" s="279"/>
      <c r="D143" s="279"/>
      <c r="E143" s="279"/>
      <c r="F143" s="279"/>
      <c r="G143" s="279"/>
      <c r="H143" s="279"/>
      <c r="I143" s="279"/>
      <c r="J143" s="279"/>
      <c r="K143" s="279"/>
      <c r="L143" s="279"/>
      <c r="M143" s="279"/>
      <c r="N143" s="279"/>
      <c r="O143" s="279"/>
      <c r="P143" s="279"/>
      <c r="Q143" s="279"/>
      <c r="R143" s="279"/>
      <c r="S143" s="279"/>
      <c r="T143" s="279"/>
      <c r="U143" s="279"/>
      <c r="V143" s="279"/>
      <c r="W143" s="279"/>
      <c r="X143" s="279"/>
      <c r="Y143" s="279"/>
      <c r="Z143" s="279"/>
      <c r="AA143" s="279"/>
      <c r="AB143" s="279"/>
      <c r="AC143" s="279"/>
      <c r="AD143" s="279"/>
      <c r="AE143" s="279"/>
      <c r="AF143" s="279"/>
      <c r="AG143" s="279"/>
      <c r="AH143" s="279"/>
      <c r="AI143" s="6"/>
      <c r="AJ143" s="279"/>
      <c r="AK143" s="279"/>
      <c r="AL143" s="279"/>
      <c r="AM143" s="279"/>
      <c r="AN143" s="279"/>
      <c r="AO143" s="279"/>
      <c r="AP143" s="279"/>
      <c r="AQ143" s="279"/>
      <c r="AR143" s="279"/>
      <c r="AS143" s="279"/>
      <c r="AT143" s="279"/>
      <c r="AU143" s="279"/>
      <c r="AV143" s="279"/>
      <c r="AW143" s="279"/>
      <c r="AX143" s="279"/>
      <c r="AY143" s="279"/>
      <c r="AZ143" s="279"/>
      <c r="BA143" s="279"/>
      <c r="BB143" s="279"/>
      <c r="BC143" s="279"/>
      <c r="BD143" s="279"/>
      <c r="BE143" s="279"/>
      <c r="BF143" s="279"/>
      <c r="BG143" s="279"/>
      <c r="BH143" s="279"/>
      <c r="BI143" s="279"/>
      <c r="BJ143" s="279"/>
      <c r="BK143" s="279"/>
      <c r="BL143" s="279"/>
      <c r="BM143" s="279"/>
      <c r="BN143" s="279"/>
      <c r="BO143" s="279"/>
      <c r="BP143" s="279"/>
      <c r="BQ143" s="279"/>
    </row>
    <row r="144" ht="12.75" customHeight="1">
      <c r="A144" s="269"/>
      <c r="B144" s="282" t="s">
        <v>433</v>
      </c>
      <c r="C144" s="284">
        <v>111.0</v>
      </c>
      <c r="D144" s="285" t="s">
        <v>434</v>
      </c>
      <c r="E144" s="333"/>
      <c r="F144" s="333"/>
      <c r="G144" s="333"/>
      <c r="H144" s="333"/>
      <c r="I144" s="333"/>
      <c r="J144" s="333"/>
      <c r="K144" s="333"/>
      <c r="L144" s="333"/>
      <c r="M144" s="335"/>
      <c r="N144" s="290">
        <v>85.0</v>
      </c>
      <c r="O144" s="289">
        <f>-IF($AI$139&lt;0,$AI$139,0)</f>
        <v>0</v>
      </c>
      <c r="P144" s="15"/>
      <c r="Q144" s="15"/>
      <c r="R144" s="16"/>
      <c r="S144" s="290" t="s">
        <v>281</v>
      </c>
      <c r="T144" s="282" t="s">
        <v>435</v>
      </c>
      <c r="U144" s="325"/>
      <c r="V144" s="326"/>
      <c r="W144" s="326"/>
      <c r="X144" s="326"/>
      <c r="Y144" s="326"/>
      <c r="Z144" s="284">
        <v>114.0</v>
      </c>
      <c r="AA144" s="285" t="s">
        <v>436</v>
      </c>
      <c r="AB144" s="286"/>
      <c r="AC144" s="286"/>
      <c r="AD144" s="286"/>
      <c r="AE144" s="286"/>
      <c r="AF144" s="292"/>
      <c r="AG144" s="287"/>
      <c r="AH144" s="290">
        <v>90.0</v>
      </c>
      <c r="AI144" s="289">
        <f>+IF($AI$139&gt;0,$AI$139,0)</f>
        <v>0</v>
      </c>
      <c r="AJ144" s="15"/>
      <c r="AK144" s="15"/>
      <c r="AL144" s="16"/>
      <c r="AM144" s="291" t="s">
        <v>281</v>
      </c>
      <c r="AN144" s="279"/>
      <c r="AO144" s="279"/>
      <c r="AP144" s="279"/>
      <c r="AQ144" s="279"/>
      <c r="AR144" s="279"/>
      <c r="AS144" s="279"/>
      <c r="AT144" s="279"/>
      <c r="AU144" s="279"/>
      <c r="AV144" s="279"/>
      <c r="AW144" s="279"/>
      <c r="AX144" s="279"/>
      <c r="AY144" s="279"/>
      <c r="AZ144" s="279"/>
      <c r="BA144" s="279"/>
      <c r="BB144" s="279"/>
      <c r="BC144" s="279"/>
      <c r="BD144" s="279"/>
      <c r="BE144" s="279"/>
      <c r="BF144" s="279"/>
      <c r="BG144" s="279"/>
      <c r="BH144" s="279"/>
      <c r="BI144" s="279"/>
      <c r="BJ144" s="279"/>
      <c r="BK144" s="279"/>
      <c r="BL144" s="279"/>
      <c r="BM144" s="279"/>
      <c r="BN144" s="279"/>
      <c r="BO144" s="279"/>
      <c r="BP144" s="279"/>
      <c r="BQ144" s="279"/>
    </row>
    <row r="145" ht="12.75" customHeight="1">
      <c r="A145" s="269"/>
      <c r="B145" s="20"/>
      <c r="C145" s="284">
        <v>112.0</v>
      </c>
      <c r="D145" s="285" t="s">
        <v>437</v>
      </c>
      <c r="E145" s="358"/>
      <c r="F145" s="358"/>
      <c r="G145" s="358"/>
      <c r="H145" s="358"/>
      <c r="I145" s="358"/>
      <c r="J145" s="358"/>
      <c r="K145" s="358"/>
      <c r="L145" s="358"/>
      <c r="M145" s="359"/>
      <c r="N145" s="290">
        <v>86.0</v>
      </c>
      <c r="O145" s="289">
        <v>0.0</v>
      </c>
      <c r="P145" s="15"/>
      <c r="Q145" s="15"/>
      <c r="R145" s="16"/>
      <c r="S145" s="290" t="s">
        <v>312</v>
      </c>
      <c r="T145" s="20"/>
      <c r="U145" s="360"/>
      <c r="V145" s="361"/>
      <c r="W145" s="361"/>
      <c r="X145" s="361"/>
      <c r="Y145" s="361"/>
      <c r="Z145" s="284">
        <v>115.0</v>
      </c>
      <c r="AA145" s="285" t="s">
        <v>438</v>
      </c>
      <c r="AB145" s="286"/>
      <c r="AC145" s="286"/>
      <c r="AD145" s="286"/>
      <c r="AE145" s="286"/>
      <c r="AF145" s="287"/>
      <c r="AG145" s="362">
        <v>0.0</v>
      </c>
      <c r="AH145" s="290">
        <v>39.0</v>
      </c>
      <c r="AI145" s="289">
        <f>+ROUND($AI$144*$AG$145,0)</f>
        <v>0</v>
      </c>
      <c r="AJ145" s="15"/>
      <c r="AK145" s="15"/>
      <c r="AL145" s="16"/>
      <c r="AM145" s="291" t="s">
        <v>281</v>
      </c>
      <c r="AN145" s="279"/>
      <c r="AO145" s="279"/>
      <c r="AP145" s="279"/>
      <c r="AQ145" s="279"/>
      <c r="AR145" s="279"/>
      <c r="AS145" s="279"/>
      <c r="AT145" s="279"/>
      <c r="AU145" s="279"/>
      <c r="AV145" s="279"/>
      <c r="AW145" s="279"/>
      <c r="AX145" s="279"/>
      <c r="AY145" s="279"/>
      <c r="AZ145" s="279"/>
      <c r="BA145" s="279"/>
      <c r="BB145" s="279"/>
      <c r="BC145" s="279"/>
      <c r="BD145" s="279"/>
      <c r="BE145" s="279"/>
      <c r="BF145" s="279"/>
      <c r="BG145" s="279"/>
      <c r="BH145" s="279"/>
      <c r="BI145" s="279"/>
      <c r="BJ145" s="279"/>
      <c r="BK145" s="279"/>
      <c r="BL145" s="279"/>
      <c r="BM145" s="279"/>
      <c r="BN145" s="279"/>
      <c r="BO145" s="279"/>
      <c r="BP145" s="279"/>
      <c r="BQ145" s="279"/>
    </row>
    <row r="146" ht="12.75" customHeight="1">
      <c r="A146" s="269"/>
      <c r="B146" s="20"/>
      <c r="C146" s="347" t="s">
        <v>439</v>
      </c>
      <c r="D146" s="15"/>
      <c r="E146" s="15"/>
      <c r="F146" s="15"/>
      <c r="G146" s="15"/>
      <c r="H146" s="15"/>
      <c r="I146" s="15"/>
      <c r="J146" s="15"/>
      <c r="K146" s="15"/>
      <c r="L146" s="15"/>
      <c r="M146" s="15"/>
      <c r="N146" s="15"/>
      <c r="O146" s="15"/>
      <c r="P146" s="15"/>
      <c r="Q146" s="15"/>
      <c r="R146" s="15"/>
      <c r="S146" s="16"/>
      <c r="T146" s="20"/>
      <c r="U146" s="360"/>
      <c r="V146" s="361"/>
      <c r="W146" s="361"/>
      <c r="X146" s="361"/>
      <c r="Y146" s="361"/>
      <c r="Z146" s="284">
        <v>116.0</v>
      </c>
      <c r="AA146" s="285" t="s">
        <v>440</v>
      </c>
      <c r="AB146" s="286"/>
      <c r="AC146" s="286"/>
      <c r="AD146" s="286"/>
      <c r="AE146" s="286"/>
      <c r="AF146" s="292"/>
      <c r="AG146" s="287"/>
      <c r="AH146" s="290">
        <v>91.0</v>
      </c>
      <c r="AI146" s="289">
        <f>+SUM(AI144:$AL$145)</f>
        <v>0</v>
      </c>
      <c r="AJ146" s="15"/>
      <c r="AK146" s="15"/>
      <c r="AL146" s="16"/>
      <c r="AM146" s="291" t="s">
        <v>317</v>
      </c>
      <c r="AN146" s="279"/>
      <c r="AO146" s="279"/>
      <c r="AP146" s="279"/>
      <c r="AQ146" s="279"/>
      <c r="AR146" s="279"/>
      <c r="AS146" s="279"/>
      <c r="AT146" s="279"/>
      <c r="AU146" s="279"/>
      <c r="AV146" s="279"/>
      <c r="AW146" s="279"/>
      <c r="AX146" s="279"/>
      <c r="AY146" s="279"/>
      <c r="AZ146" s="279"/>
      <c r="BA146" s="279"/>
      <c r="BB146" s="279"/>
      <c r="BC146" s="279"/>
      <c r="BD146" s="279"/>
      <c r="BE146" s="279"/>
      <c r="BF146" s="279"/>
      <c r="BG146" s="279"/>
      <c r="BH146" s="279"/>
      <c r="BI146" s="279"/>
      <c r="BJ146" s="279"/>
      <c r="BK146" s="279"/>
      <c r="BL146" s="279"/>
      <c r="BM146" s="279"/>
      <c r="BN146" s="279"/>
      <c r="BO146" s="279"/>
      <c r="BP146" s="279"/>
      <c r="BQ146" s="279"/>
    </row>
    <row r="147" ht="12.75" customHeight="1">
      <c r="A147" s="269"/>
      <c r="B147" s="20"/>
      <c r="C147" s="284">
        <f>+C145+1</f>
        <v>113</v>
      </c>
      <c r="D147" s="285" t="s">
        <v>441</v>
      </c>
      <c r="E147" s="286"/>
      <c r="F147" s="286"/>
      <c r="G147" s="286"/>
      <c r="H147" s="286"/>
      <c r="I147" s="286"/>
      <c r="J147" s="286"/>
      <c r="K147" s="286"/>
      <c r="L147" s="286"/>
      <c r="M147" s="287"/>
      <c r="N147" s="290">
        <v>87.0</v>
      </c>
      <c r="O147" s="289">
        <f>+$O$144-$O$145</f>
        <v>0</v>
      </c>
      <c r="P147" s="15"/>
      <c r="Q147" s="15"/>
      <c r="R147" s="16"/>
      <c r="S147" s="291" t="s">
        <v>317</v>
      </c>
      <c r="T147" s="20"/>
      <c r="U147" s="360"/>
      <c r="V147" s="361"/>
      <c r="W147" s="361"/>
      <c r="X147" s="361"/>
      <c r="Y147" s="361"/>
      <c r="Z147" s="348" t="s">
        <v>442</v>
      </c>
      <c r="AA147" s="15"/>
      <c r="AB147" s="15"/>
      <c r="AC147" s="15"/>
      <c r="AD147" s="15"/>
      <c r="AE147" s="15"/>
      <c r="AF147" s="15"/>
      <c r="AG147" s="15"/>
      <c r="AH147" s="15"/>
      <c r="AI147" s="15"/>
      <c r="AJ147" s="15"/>
      <c r="AK147" s="15"/>
      <c r="AL147" s="15"/>
      <c r="AM147" s="16"/>
      <c r="AN147" s="279"/>
      <c r="AO147" s="279"/>
      <c r="AP147" s="279"/>
      <c r="AQ147" s="279"/>
      <c r="AR147" s="279"/>
      <c r="AS147" s="279"/>
      <c r="AT147" s="279"/>
      <c r="AU147" s="279"/>
      <c r="AV147" s="279"/>
      <c r="AW147" s="279"/>
      <c r="AX147" s="279"/>
      <c r="AY147" s="279"/>
      <c r="AZ147" s="279"/>
      <c r="BA147" s="279"/>
      <c r="BB147" s="279"/>
      <c r="BC147" s="279"/>
      <c r="BD147" s="279"/>
      <c r="BE147" s="279"/>
      <c r="BF147" s="279"/>
      <c r="BG147" s="279"/>
      <c r="BH147" s="279"/>
      <c r="BI147" s="279"/>
      <c r="BJ147" s="279"/>
      <c r="BK147" s="279"/>
      <c r="BL147" s="279"/>
      <c r="BM147" s="279"/>
      <c r="BN147" s="279"/>
      <c r="BO147" s="279"/>
      <c r="BP147" s="279"/>
      <c r="BQ147" s="279"/>
    </row>
    <row r="148" ht="12.75" customHeight="1">
      <c r="A148" s="269"/>
      <c r="B148" s="20"/>
      <c r="C148" s="312"/>
      <c r="D148" s="347" t="s">
        <v>443</v>
      </c>
      <c r="E148" s="15"/>
      <c r="F148" s="15"/>
      <c r="G148" s="15"/>
      <c r="H148" s="15"/>
      <c r="I148" s="15"/>
      <c r="J148" s="15"/>
      <c r="K148" s="15"/>
      <c r="L148" s="15"/>
      <c r="M148" s="15"/>
      <c r="N148" s="15"/>
      <c r="O148" s="15"/>
      <c r="P148" s="15"/>
      <c r="Q148" s="15"/>
      <c r="R148" s="15"/>
      <c r="S148" s="16"/>
      <c r="T148" s="20"/>
      <c r="U148" s="360"/>
      <c r="V148" s="361"/>
      <c r="W148" s="361"/>
      <c r="X148" s="361"/>
      <c r="Y148" s="361"/>
      <c r="Z148" s="284">
        <f>+Z146+1</f>
        <v>117</v>
      </c>
      <c r="AA148" s="285" t="s">
        <v>444</v>
      </c>
      <c r="AB148" s="286"/>
      <c r="AC148" s="286"/>
      <c r="AD148" s="286"/>
      <c r="AE148" s="286"/>
      <c r="AF148" s="286"/>
      <c r="AG148" s="287"/>
      <c r="AH148" s="290">
        <v>92.0</v>
      </c>
      <c r="AI148" s="289"/>
      <c r="AJ148" s="15"/>
      <c r="AK148" s="15"/>
      <c r="AL148" s="16"/>
      <c r="AM148" s="291" t="s">
        <v>281</v>
      </c>
      <c r="AN148" s="279"/>
      <c r="AO148" s="279"/>
      <c r="AP148" s="279"/>
      <c r="AQ148" s="279"/>
      <c r="AR148" s="279"/>
      <c r="AS148" s="279"/>
      <c r="AT148" s="279"/>
      <c r="AU148" s="279"/>
      <c r="AV148" s="279"/>
      <c r="AW148" s="279"/>
      <c r="AX148" s="279"/>
      <c r="AY148" s="279"/>
      <c r="AZ148" s="279"/>
      <c r="BA148" s="279"/>
      <c r="BB148" s="279"/>
      <c r="BC148" s="279"/>
      <c r="BD148" s="279"/>
      <c r="BE148" s="279"/>
      <c r="BF148" s="279"/>
      <c r="BG148" s="279"/>
      <c r="BH148" s="279"/>
      <c r="BI148" s="279"/>
      <c r="BJ148" s="279"/>
      <c r="BK148" s="279"/>
      <c r="BL148" s="279"/>
      <c r="BM148" s="279"/>
      <c r="BN148" s="279"/>
      <c r="BO148" s="279"/>
      <c r="BP148" s="279"/>
      <c r="BQ148" s="279"/>
    </row>
    <row r="149" ht="12.75" customHeight="1">
      <c r="A149" s="269"/>
      <c r="B149" s="20"/>
      <c r="C149" s="284">
        <v>301.0</v>
      </c>
      <c r="D149" s="285" t="s">
        <v>445</v>
      </c>
      <c r="E149" s="286"/>
      <c r="F149" s="286"/>
      <c r="G149" s="286"/>
      <c r="H149" s="286"/>
      <c r="I149" s="286"/>
      <c r="J149" s="286"/>
      <c r="K149" s="286"/>
      <c r="L149" s="286"/>
      <c r="M149" s="287"/>
      <c r="N149" s="363"/>
      <c r="O149" s="364"/>
      <c r="P149" s="364"/>
      <c r="Q149" s="364"/>
      <c r="R149" s="364"/>
      <c r="S149" s="365"/>
      <c r="T149" s="20"/>
      <c r="U149" s="360"/>
      <c r="V149" s="361"/>
      <c r="W149" s="361"/>
      <c r="X149" s="361"/>
      <c r="Y149" s="361"/>
      <c r="Z149" s="284">
        <f t="shared" ref="Z149:Z150" si="1">+Z148+1</f>
        <v>118</v>
      </c>
      <c r="AA149" s="285" t="s">
        <v>446</v>
      </c>
      <c r="AB149" s="286"/>
      <c r="AC149" s="286"/>
      <c r="AD149" s="286"/>
      <c r="AE149" s="286"/>
      <c r="AF149" s="286"/>
      <c r="AG149" s="287"/>
      <c r="AH149" s="290">
        <v>93.0</v>
      </c>
      <c r="AI149" s="289"/>
      <c r="AJ149" s="15"/>
      <c r="AK149" s="15"/>
      <c r="AL149" s="16"/>
      <c r="AM149" s="291" t="s">
        <v>281</v>
      </c>
      <c r="AN149" s="279"/>
      <c r="AO149" s="279"/>
      <c r="AP149" s="279"/>
      <c r="AQ149" s="279"/>
      <c r="AR149" s="279"/>
      <c r="AS149" s="279"/>
      <c r="AT149" s="279"/>
      <c r="AU149" s="279"/>
      <c r="AV149" s="279"/>
      <c r="AW149" s="279"/>
      <c r="AX149" s="279"/>
      <c r="AY149" s="279"/>
      <c r="AZ149" s="279"/>
      <c r="BA149" s="279"/>
      <c r="BB149" s="279"/>
      <c r="BC149" s="279"/>
      <c r="BD149" s="279"/>
      <c r="BE149" s="279"/>
      <c r="BF149" s="279"/>
      <c r="BG149" s="279"/>
      <c r="BH149" s="279"/>
      <c r="BI149" s="279"/>
      <c r="BJ149" s="279"/>
      <c r="BK149" s="279"/>
      <c r="BL149" s="279"/>
      <c r="BM149" s="279"/>
      <c r="BN149" s="279"/>
      <c r="BO149" s="279"/>
      <c r="BP149" s="279"/>
      <c r="BQ149" s="279"/>
    </row>
    <row r="150" ht="12.75" customHeight="1">
      <c r="A150" s="269"/>
      <c r="B150" s="20"/>
      <c r="C150" s="284">
        <v>306.0</v>
      </c>
      <c r="D150" s="285" t="s">
        <v>447</v>
      </c>
      <c r="E150" s="286"/>
      <c r="F150" s="286"/>
      <c r="G150" s="286"/>
      <c r="H150" s="286"/>
      <c r="I150" s="286"/>
      <c r="J150" s="286"/>
      <c r="K150" s="286"/>
      <c r="L150" s="286"/>
      <c r="M150" s="287"/>
      <c r="N150" s="289"/>
      <c r="O150" s="15"/>
      <c r="P150" s="15"/>
      <c r="Q150" s="15"/>
      <c r="R150" s="15"/>
      <c r="S150" s="16"/>
      <c r="T150" s="34"/>
      <c r="U150" s="314"/>
      <c r="V150" s="315"/>
      <c r="W150" s="315"/>
      <c r="X150" s="315"/>
      <c r="Y150" s="315"/>
      <c r="Z150" s="284">
        <f t="shared" si="1"/>
        <v>119</v>
      </c>
      <c r="AA150" s="285" t="s">
        <v>448</v>
      </c>
      <c r="AB150" s="286"/>
      <c r="AC150" s="286"/>
      <c r="AD150" s="286"/>
      <c r="AE150" s="286"/>
      <c r="AF150" s="286"/>
      <c r="AG150" s="287"/>
      <c r="AH150" s="290">
        <v>94.0</v>
      </c>
      <c r="AI150" s="289"/>
      <c r="AJ150" s="15"/>
      <c r="AK150" s="15"/>
      <c r="AL150" s="16"/>
      <c r="AM150" s="291" t="s">
        <v>317</v>
      </c>
      <c r="AN150" s="279"/>
      <c r="AO150" s="279"/>
      <c r="AP150" s="279"/>
      <c r="AQ150" s="279"/>
      <c r="AR150" s="279"/>
      <c r="AS150" s="279"/>
      <c r="AT150" s="279"/>
      <c r="AU150" s="279"/>
      <c r="AV150" s="279"/>
      <c r="AW150" s="279"/>
      <c r="AX150" s="279"/>
      <c r="AY150" s="279"/>
      <c r="AZ150" s="279"/>
      <c r="BA150" s="279"/>
      <c r="BB150" s="279"/>
      <c r="BC150" s="279"/>
      <c r="BD150" s="279"/>
      <c r="BE150" s="279"/>
      <c r="BF150" s="279"/>
      <c r="BG150" s="279"/>
      <c r="BH150" s="279"/>
      <c r="BI150" s="279"/>
      <c r="BJ150" s="279"/>
      <c r="BK150" s="279"/>
      <c r="BL150" s="279"/>
      <c r="BM150" s="279"/>
      <c r="BN150" s="279"/>
      <c r="BO150" s="279"/>
      <c r="BP150" s="279"/>
      <c r="BQ150" s="279"/>
    </row>
    <row r="151" ht="12.75" customHeight="1">
      <c r="A151" s="269"/>
      <c r="B151" s="20"/>
      <c r="C151" s="366">
        <v>780.0</v>
      </c>
      <c r="D151" s="367" t="s">
        <v>449</v>
      </c>
      <c r="E151" s="22"/>
      <c r="F151" s="22"/>
      <c r="G151" s="22"/>
      <c r="H151" s="22"/>
      <c r="I151" s="22"/>
      <c r="J151" s="22"/>
      <c r="K151" s="22"/>
      <c r="L151" s="22"/>
      <c r="M151" s="23"/>
      <c r="N151" s="325" t="s">
        <v>450</v>
      </c>
      <c r="O151" s="326"/>
      <c r="P151" s="326"/>
      <c r="Q151" s="326"/>
      <c r="R151" s="327"/>
      <c r="S151" s="312"/>
      <c r="T151" s="368" t="s">
        <v>451</v>
      </c>
      <c r="U151" s="22"/>
      <c r="V151" s="22"/>
      <c r="W151" s="22"/>
      <c r="X151" s="22"/>
      <c r="Y151" s="22"/>
      <c r="Z151" s="22"/>
      <c r="AA151" s="22"/>
      <c r="AB151" s="22"/>
      <c r="AC151" s="22"/>
      <c r="AD151" s="22"/>
      <c r="AE151" s="22"/>
      <c r="AF151" s="22"/>
      <c r="AG151" s="22"/>
      <c r="AH151" s="22"/>
      <c r="AI151" s="22"/>
      <c r="AJ151" s="22"/>
      <c r="AK151" s="22"/>
      <c r="AL151" s="22"/>
      <c r="AM151" s="23"/>
      <c r="AN151" s="279"/>
      <c r="AO151" s="279"/>
      <c r="AP151" s="279"/>
      <c r="AQ151" s="279"/>
      <c r="AR151" s="279"/>
      <c r="AS151" s="279"/>
      <c r="AT151" s="279"/>
      <c r="AU151" s="279"/>
      <c r="AV151" s="279"/>
      <c r="AW151" s="279"/>
      <c r="AX151" s="279"/>
      <c r="AY151" s="279"/>
      <c r="AZ151" s="279"/>
      <c r="BA151" s="279"/>
      <c r="BB151" s="279"/>
      <c r="BC151" s="279"/>
      <c r="BD151" s="279"/>
      <c r="BE151" s="279"/>
      <c r="BF151" s="279"/>
      <c r="BG151" s="279"/>
      <c r="BH151" s="279"/>
      <c r="BI151" s="279"/>
      <c r="BJ151" s="279"/>
      <c r="BK151" s="279"/>
      <c r="BL151" s="279"/>
      <c r="BM151" s="279"/>
      <c r="BN151" s="279"/>
      <c r="BO151" s="279"/>
      <c r="BP151" s="279"/>
      <c r="BQ151" s="279"/>
    </row>
    <row r="152" ht="12.75" customHeight="1">
      <c r="A152" s="269"/>
      <c r="B152" s="20"/>
      <c r="C152" s="20"/>
      <c r="D152" s="25"/>
      <c r="M152" s="26"/>
      <c r="N152" s="325" t="s">
        <v>452</v>
      </c>
      <c r="O152" s="326"/>
      <c r="P152" s="326"/>
      <c r="Q152" s="326"/>
      <c r="R152" s="327"/>
      <c r="S152" s="312"/>
      <c r="T152" s="25"/>
      <c r="AM152" s="26"/>
      <c r="AN152" s="279"/>
      <c r="AO152" s="279"/>
      <c r="AP152" s="279"/>
      <c r="AQ152" s="279"/>
      <c r="AR152" s="279"/>
      <c r="AS152" s="279"/>
      <c r="AT152" s="279"/>
      <c r="AU152" s="279"/>
      <c r="AV152" s="279"/>
      <c r="AW152" s="279"/>
      <c r="AX152" s="279"/>
      <c r="AY152" s="279"/>
      <c r="AZ152" s="279"/>
      <c r="BA152" s="279"/>
      <c r="BB152" s="279"/>
      <c r="BC152" s="279"/>
      <c r="BD152" s="279"/>
      <c r="BE152" s="279"/>
      <c r="BF152" s="279"/>
      <c r="BG152" s="279"/>
      <c r="BH152" s="279"/>
      <c r="BI152" s="279"/>
      <c r="BJ152" s="279"/>
      <c r="BK152" s="279"/>
      <c r="BL152" s="279"/>
      <c r="BM152" s="279"/>
      <c r="BN152" s="279"/>
      <c r="BO152" s="279"/>
      <c r="BP152" s="279"/>
      <c r="BQ152" s="279"/>
    </row>
    <row r="153" ht="12.75" customHeight="1">
      <c r="A153" s="269"/>
      <c r="B153" s="20"/>
      <c r="C153" s="20"/>
      <c r="D153" s="25"/>
      <c r="M153" s="26"/>
      <c r="N153" s="325" t="s">
        <v>453</v>
      </c>
      <c r="O153" s="326"/>
      <c r="P153" s="326"/>
      <c r="Q153" s="326"/>
      <c r="R153" s="327"/>
      <c r="S153" s="312"/>
      <c r="T153" s="25"/>
      <c r="AM153" s="26"/>
      <c r="AN153" s="279"/>
      <c r="AO153" s="279"/>
      <c r="AP153" s="279"/>
      <c r="AQ153" s="279"/>
      <c r="AR153" s="279"/>
      <c r="AS153" s="279"/>
      <c r="AT153" s="279"/>
      <c r="AU153" s="279"/>
      <c r="AV153" s="279"/>
      <c r="AW153" s="279"/>
      <c r="AX153" s="279"/>
      <c r="AY153" s="279"/>
      <c r="AZ153" s="279"/>
      <c r="BA153" s="279"/>
      <c r="BB153" s="279"/>
      <c r="BC153" s="279"/>
      <c r="BD153" s="279"/>
      <c r="BE153" s="279"/>
      <c r="BF153" s="279"/>
      <c r="BG153" s="279"/>
      <c r="BH153" s="279"/>
      <c r="BI153" s="279"/>
      <c r="BJ153" s="279"/>
      <c r="BK153" s="279"/>
      <c r="BL153" s="279"/>
      <c r="BM153" s="279"/>
      <c r="BN153" s="279"/>
      <c r="BO153" s="279"/>
      <c r="BP153" s="279"/>
      <c r="BQ153" s="279"/>
    </row>
    <row r="154" ht="12.75" customHeight="1">
      <c r="A154" s="269"/>
      <c r="B154" s="20"/>
      <c r="C154" s="20"/>
      <c r="D154" s="25"/>
      <c r="M154" s="26"/>
      <c r="N154" s="325" t="s">
        <v>454</v>
      </c>
      <c r="O154" s="326"/>
      <c r="P154" s="326"/>
      <c r="Q154" s="326"/>
      <c r="R154" s="327"/>
      <c r="S154" s="312"/>
      <c r="T154" s="28"/>
      <c r="U154" s="29"/>
      <c r="V154" s="29"/>
      <c r="W154" s="29"/>
      <c r="X154" s="29"/>
      <c r="Y154" s="29"/>
      <c r="Z154" s="29"/>
      <c r="AA154" s="29"/>
      <c r="AB154" s="29"/>
      <c r="AC154" s="29"/>
      <c r="AD154" s="29"/>
      <c r="AE154" s="29"/>
      <c r="AF154" s="29"/>
      <c r="AG154" s="29"/>
      <c r="AH154" s="29"/>
      <c r="AI154" s="29"/>
      <c r="AJ154" s="29"/>
      <c r="AK154" s="29"/>
      <c r="AL154" s="29"/>
      <c r="AM154" s="30"/>
      <c r="AN154" s="279"/>
      <c r="AO154" s="279"/>
      <c r="AP154" s="279"/>
      <c r="AQ154" s="279"/>
      <c r="AR154" s="279"/>
      <c r="AS154" s="279"/>
      <c r="AT154" s="279"/>
      <c r="AU154" s="279"/>
      <c r="AV154" s="279"/>
      <c r="AW154" s="279"/>
      <c r="AX154" s="279"/>
      <c r="AY154" s="279"/>
      <c r="AZ154" s="279"/>
      <c r="BA154" s="279"/>
      <c r="BB154" s="279"/>
      <c r="BC154" s="279"/>
      <c r="BD154" s="279"/>
      <c r="BE154" s="279"/>
      <c r="BF154" s="279"/>
      <c r="BG154" s="279"/>
      <c r="BH154" s="279"/>
      <c r="BI154" s="279"/>
      <c r="BJ154" s="279"/>
      <c r="BK154" s="279"/>
      <c r="BL154" s="279"/>
      <c r="BM154" s="279"/>
      <c r="BN154" s="279"/>
      <c r="BO154" s="279"/>
      <c r="BP154" s="279"/>
      <c r="BQ154" s="279"/>
    </row>
    <row r="155" ht="12.75" customHeight="1">
      <c r="A155" s="269"/>
      <c r="B155" s="34"/>
      <c r="C155" s="34"/>
      <c r="D155" s="28"/>
      <c r="E155" s="29"/>
      <c r="F155" s="29"/>
      <c r="G155" s="29"/>
      <c r="H155" s="29"/>
      <c r="I155" s="29"/>
      <c r="J155" s="29"/>
      <c r="K155" s="29"/>
      <c r="L155" s="29"/>
      <c r="M155" s="30"/>
      <c r="N155" s="285" t="s">
        <v>455</v>
      </c>
      <c r="O155" s="286"/>
      <c r="P155" s="286"/>
      <c r="Q155" s="286"/>
      <c r="R155" s="287"/>
      <c r="S155" s="312"/>
      <c r="T155" s="369" t="s">
        <v>456</v>
      </c>
      <c r="U155" s="15"/>
      <c r="V155" s="15"/>
      <c r="W155" s="15"/>
      <c r="X155" s="15"/>
      <c r="Y155" s="15"/>
      <c r="Z155" s="15"/>
      <c r="AA155" s="15"/>
      <c r="AB155" s="15"/>
      <c r="AC155" s="15"/>
      <c r="AD155" s="15"/>
      <c r="AE155" s="15"/>
      <c r="AF155" s="15"/>
      <c r="AG155" s="15"/>
      <c r="AH155" s="15"/>
      <c r="AI155" s="15"/>
      <c r="AJ155" s="15"/>
      <c r="AK155" s="15"/>
      <c r="AL155" s="15"/>
      <c r="AM155" s="16"/>
      <c r="AN155" s="279"/>
      <c r="AO155" s="279"/>
      <c r="AP155" s="279"/>
      <c r="AQ155" s="279"/>
      <c r="AR155" s="279"/>
      <c r="AS155" s="279"/>
      <c r="AT155" s="279"/>
      <c r="AU155" s="279"/>
      <c r="AV155" s="279"/>
      <c r="AW155" s="279"/>
      <c r="AX155" s="279"/>
      <c r="AY155" s="279"/>
      <c r="AZ155" s="279"/>
      <c r="BA155" s="279"/>
      <c r="BB155" s="279"/>
      <c r="BC155" s="279"/>
      <c r="BD155" s="279"/>
      <c r="BE155" s="279"/>
      <c r="BF155" s="279"/>
      <c r="BG155" s="279"/>
      <c r="BH155" s="279"/>
      <c r="BI155" s="279"/>
      <c r="BJ155" s="279"/>
      <c r="BK155" s="279"/>
      <c r="BL155" s="279"/>
      <c r="BM155" s="279"/>
      <c r="BN155" s="279"/>
      <c r="BO155" s="279"/>
      <c r="BP155" s="279"/>
      <c r="BQ155" s="279"/>
    </row>
    <row r="156" ht="12.75" customHeight="1">
      <c r="A156" s="269"/>
      <c r="B156" s="279"/>
      <c r="C156" s="279"/>
      <c r="D156" s="279"/>
      <c r="E156" s="279"/>
      <c r="F156" s="279"/>
      <c r="G156" s="279"/>
      <c r="H156" s="279"/>
      <c r="I156" s="279"/>
      <c r="J156" s="279"/>
      <c r="K156" s="279"/>
      <c r="L156" s="279"/>
      <c r="M156" s="279"/>
      <c r="N156" s="279"/>
      <c r="O156" s="279"/>
      <c r="P156" s="279"/>
      <c r="Q156" s="279"/>
      <c r="R156" s="279"/>
      <c r="S156" s="279"/>
      <c r="T156" s="279"/>
      <c r="U156" s="279"/>
      <c r="V156" s="279"/>
      <c r="W156" s="279"/>
      <c r="X156" s="279"/>
      <c r="Y156" s="279"/>
      <c r="Z156" s="279"/>
      <c r="AA156" s="279"/>
      <c r="AB156" s="279"/>
      <c r="AC156" s="279"/>
      <c r="AD156" s="279"/>
      <c r="AE156" s="279"/>
      <c r="AF156" s="279"/>
      <c r="AG156" s="279"/>
      <c r="AH156" s="279"/>
      <c r="AI156" s="279"/>
      <c r="AJ156" s="279"/>
      <c r="AK156" s="279"/>
      <c r="AL156" s="279"/>
      <c r="AM156" s="279"/>
      <c r="AN156" s="279"/>
      <c r="AO156" s="279"/>
      <c r="AP156" s="279"/>
      <c r="AQ156" s="279"/>
      <c r="AR156" s="279"/>
      <c r="AS156" s="279"/>
      <c r="AT156" s="279"/>
      <c r="AU156" s="279"/>
      <c r="AV156" s="279"/>
      <c r="AW156" s="279"/>
      <c r="AX156" s="279"/>
      <c r="AY156" s="279"/>
      <c r="AZ156" s="279"/>
      <c r="BA156" s="279"/>
      <c r="BB156" s="279"/>
      <c r="BC156" s="279"/>
      <c r="BD156" s="279"/>
      <c r="BE156" s="279"/>
      <c r="BF156" s="279"/>
      <c r="BG156" s="279"/>
      <c r="BH156" s="279"/>
      <c r="BI156" s="279"/>
      <c r="BJ156" s="279"/>
      <c r="BK156" s="279"/>
      <c r="BL156" s="279"/>
      <c r="BM156" s="279"/>
      <c r="BN156" s="279"/>
      <c r="BO156" s="279"/>
      <c r="BP156" s="279"/>
      <c r="BQ156" s="279"/>
    </row>
    <row r="157" ht="12.75" customHeight="1">
      <c r="A157" s="275"/>
      <c r="B157" s="370" t="s">
        <v>457</v>
      </c>
      <c r="C157" s="22"/>
      <c r="D157" s="22"/>
      <c r="E157" s="22"/>
      <c r="F157" s="22"/>
      <c r="G157" s="22"/>
      <c r="H157" s="22"/>
      <c r="I157" s="22"/>
      <c r="J157" s="22"/>
      <c r="K157" s="22"/>
      <c r="L157" s="22"/>
      <c r="M157" s="22"/>
      <c r="N157" s="22"/>
      <c r="O157" s="22"/>
      <c r="P157" s="22"/>
      <c r="Q157" s="22"/>
      <c r="R157" s="22"/>
      <c r="S157" s="22"/>
      <c r="T157" s="22"/>
      <c r="U157" s="22"/>
      <c r="V157" s="22"/>
      <c r="W157" s="22"/>
      <c r="X157" s="23"/>
      <c r="Y157" s="279"/>
      <c r="Z157" s="279"/>
      <c r="AA157" s="279"/>
      <c r="AB157" s="279"/>
      <c r="AC157" s="279"/>
      <c r="AD157" s="279"/>
      <c r="AE157" s="279"/>
      <c r="AF157" s="279"/>
      <c r="AG157" s="279"/>
      <c r="AH157" s="279"/>
      <c r="AI157" s="279"/>
      <c r="AJ157" s="279"/>
      <c r="AK157" s="279"/>
      <c r="AL157" s="279"/>
      <c r="AM157" s="279"/>
      <c r="AN157" s="279"/>
      <c r="AO157" s="279"/>
      <c r="AP157" s="279"/>
      <c r="AQ157" s="279"/>
      <c r="AR157" s="279"/>
      <c r="AS157" s="279"/>
      <c r="AT157" s="279"/>
      <c r="AU157" s="279"/>
      <c r="AV157" s="279"/>
      <c r="AW157" s="279"/>
      <c r="AX157" s="279"/>
      <c r="AY157" s="279"/>
      <c r="AZ157" s="279"/>
      <c r="BA157" s="279"/>
      <c r="BB157" s="279"/>
      <c r="BC157" s="279"/>
      <c r="BD157" s="279"/>
      <c r="BE157" s="279"/>
      <c r="BF157" s="279"/>
      <c r="BG157" s="279"/>
      <c r="BH157" s="279"/>
      <c r="BI157" s="279"/>
      <c r="BJ157" s="279"/>
      <c r="BK157" s="279"/>
      <c r="BL157" s="279"/>
      <c r="BM157" s="279"/>
      <c r="BN157" s="279"/>
      <c r="BO157" s="279"/>
      <c r="BP157" s="279"/>
      <c r="BQ157" s="279"/>
    </row>
    <row r="158" ht="12.75" customHeight="1">
      <c r="A158" s="275"/>
      <c r="B158" s="28"/>
      <c r="C158" s="29"/>
      <c r="D158" s="29"/>
      <c r="E158" s="29"/>
      <c r="F158" s="29"/>
      <c r="G158" s="29"/>
      <c r="H158" s="29"/>
      <c r="I158" s="29"/>
      <c r="J158" s="29"/>
      <c r="K158" s="29"/>
      <c r="L158" s="29"/>
      <c r="M158" s="29"/>
      <c r="N158" s="29"/>
      <c r="O158" s="29"/>
      <c r="P158" s="29"/>
      <c r="Q158" s="29"/>
      <c r="R158" s="29"/>
      <c r="S158" s="29"/>
      <c r="T158" s="29"/>
      <c r="U158" s="29"/>
      <c r="V158" s="29"/>
      <c r="W158" s="29"/>
      <c r="X158" s="30"/>
      <c r="Y158" s="279"/>
      <c r="Z158" s="279"/>
      <c r="AA158" s="279"/>
      <c r="AB158" s="279"/>
      <c r="AC158" s="279"/>
      <c r="AD158" s="279"/>
      <c r="AE158" s="279"/>
      <c r="AF158" s="279"/>
      <c r="AG158" s="279"/>
      <c r="AH158" s="279"/>
      <c r="AI158" s="279"/>
      <c r="AJ158" s="279"/>
      <c r="AK158" s="279"/>
      <c r="AL158" s="279"/>
      <c r="AM158" s="279"/>
      <c r="AN158" s="279"/>
      <c r="AO158" s="279"/>
      <c r="AP158" s="279"/>
      <c r="AQ158" s="279"/>
      <c r="AR158" s="279"/>
      <c r="AS158" s="279"/>
      <c r="AT158" s="279"/>
      <c r="AU158" s="279"/>
      <c r="AV158" s="279"/>
      <c r="AW158" s="279"/>
      <c r="AX158" s="279"/>
      <c r="AY158" s="279"/>
      <c r="AZ158" s="279"/>
      <c r="BA158" s="279"/>
      <c r="BB158" s="279"/>
      <c r="BC158" s="279"/>
      <c r="BD158" s="279"/>
      <c r="BE158" s="279"/>
      <c r="BF158" s="279"/>
      <c r="BG158" s="279"/>
      <c r="BH158" s="279"/>
      <c r="BI158" s="279"/>
      <c r="BJ158" s="279"/>
      <c r="BK158" s="279"/>
      <c r="BL158" s="279"/>
      <c r="BM158" s="279"/>
      <c r="BN158" s="279"/>
      <c r="BO158" s="279"/>
      <c r="BP158" s="279"/>
      <c r="BQ158" s="279"/>
    </row>
    <row r="159" ht="12.75" customHeight="1">
      <c r="A159" s="269"/>
      <c r="B159" s="347" t="s">
        <v>458</v>
      </c>
      <c r="C159" s="15"/>
      <c r="D159" s="15"/>
      <c r="E159" s="15"/>
      <c r="F159" s="15"/>
      <c r="G159" s="15"/>
      <c r="H159" s="15"/>
      <c r="I159" s="15"/>
      <c r="J159" s="15"/>
      <c r="K159" s="15"/>
      <c r="L159" s="16"/>
      <c r="M159" s="348" t="s">
        <v>459</v>
      </c>
      <c r="N159" s="15"/>
      <c r="O159" s="15"/>
      <c r="P159" s="15"/>
      <c r="Q159" s="15"/>
      <c r="R159" s="16"/>
      <c r="S159" s="348" t="s">
        <v>460</v>
      </c>
      <c r="T159" s="15"/>
      <c r="U159" s="15"/>
      <c r="V159" s="15"/>
      <c r="W159" s="15"/>
      <c r="X159" s="16"/>
      <c r="Y159" s="279"/>
      <c r="Z159" s="279"/>
      <c r="AA159" s="279"/>
      <c r="AB159" s="279"/>
      <c r="AC159" s="279"/>
      <c r="AD159" s="279"/>
      <c r="AE159" s="279"/>
      <c r="AF159" s="279"/>
      <c r="AG159" s="279"/>
      <c r="AH159" s="279"/>
      <c r="AI159" s="279"/>
      <c r="AJ159" s="279"/>
      <c r="AK159" s="279"/>
      <c r="AL159" s="279"/>
      <c r="AM159" s="279"/>
      <c r="AN159" s="279"/>
      <c r="AO159" s="279"/>
      <c r="AP159" s="279"/>
      <c r="AQ159" s="279"/>
      <c r="AR159" s="279"/>
      <c r="AS159" s="279"/>
      <c r="AT159" s="279"/>
      <c r="AU159" s="279"/>
      <c r="AV159" s="279"/>
      <c r="AW159" s="279"/>
      <c r="AX159" s="279"/>
      <c r="AY159" s="279"/>
      <c r="AZ159" s="279"/>
      <c r="BA159" s="279"/>
      <c r="BB159" s="279"/>
      <c r="BC159" s="279"/>
      <c r="BD159" s="279"/>
      <c r="BE159" s="279"/>
      <c r="BF159" s="279"/>
      <c r="BG159" s="279"/>
      <c r="BH159" s="279"/>
      <c r="BI159" s="279"/>
      <c r="BJ159" s="279"/>
      <c r="BK159" s="279"/>
      <c r="BL159" s="279"/>
      <c r="BM159" s="279"/>
      <c r="BN159" s="279"/>
      <c r="BO159" s="279"/>
      <c r="BP159" s="279"/>
      <c r="BQ159" s="279"/>
    </row>
    <row r="160" ht="12.75" customHeight="1">
      <c r="A160" s="269"/>
      <c r="B160" s="285" t="s">
        <v>461</v>
      </c>
      <c r="C160" s="286"/>
      <c r="D160" s="286"/>
      <c r="E160" s="286"/>
      <c r="F160" s="286"/>
      <c r="G160" s="286"/>
      <c r="H160" s="286"/>
      <c r="I160" s="286"/>
      <c r="J160" s="286"/>
      <c r="K160" s="286"/>
      <c r="L160" s="287"/>
      <c r="M160" s="290">
        <v>461.0</v>
      </c>
      <c r="N160" s="289"/>
      <c r="O160" s="15"/>
      <c r="P160" s="15"/>
      <c r="Q160" s="16"/>
      <c r="R160" s="338" t="s">
        <v>281</v>
      </c>
      <c r="S160" s="290">
        <v>492.0</v>
      </c>
      <c r="T160" s="289"/>
      <c r="U160" s="15"/>
      <c r="V160" s="15"/>
      <c r="W160" s="16"/>
      <c r="X160" s="338" t="s">
        <v>281</v>
      </c>
      <c r="Y160" s="279"/>
      <c r="Z160" s="279"/>
      <c r="AA160" s="279"/>
      <c r="AB160" s="279"/>
      <c r="AC160" s="279"/>
      <c r="AD160" s="279"/>
      <c r="AE160" s="279"/>
      <c r="AF160" s="279"/>
      <c r="AG160" s="279"/>
      <c r="AH160" s="279"/>
      <c r="AI160" s="279"/>
      <c r="AJ160" s="279"/>
      <c r="AK160" s="279"/>
      <c r="AL160" s="279"/>
      <c r="AM160" s="279"/>
      <c r="AN160" s="279"/>
      <c r="AO160" s="279"/>
      <c r="AP160" s="279"/>
      <c r="AQ160" s="279"/>
      <c r="AR160" s="279"/>
      <c r="AS160" s="279"/>
      <c r="AT160" s="279"/>
      <c r="AU160" s="279"/>
      <c r="AV160" s="279"/>
      <c r="AW160" s="279"/>
      <c r="AX160" s="279"/>
      <c r="AY160" s="279"/>
      <c r="AZ160" s="279"/>
      <c r="BA160" s="279"/>
      <c r="BB160" s="279"/>
      <c r="BC160" s="279"/>
      <c r="BD160" s="279"/>
      <c r="BE160" s="279"/>
      <c r="BF160" s="279"/>
      <c r="BG160" s="279"/>
      <c r="BH160" s="279"/>
      <c r="BI160" s="279"/>
      <c r="BJ160" s="279"/>
      <c r="BK160" s="279"/>
      <c r="BL160" s="279"/>
      <c r="BM160" s="279"/>
      <c r="BN160" s="279"/>
      <c r="BO160" s="279"/>
      <c r="BP160" s="279"/>
      <c r="BQ160" s="279"/>
    </row>
    <row r="161" ht="12.75" customHeight="1">
      <c r="A161" s="269"/>
      <c r="B161" s="285" t="s">
        <v>462</v>
      </c>
      <c r="C161" s="286"/>
      <c r="D161" s="286"/>
      <c r="E161" s="286"/>
      <c r="F161" s="286"/>
      <c r="G161" s="286"/>
      <c r="H161" s="286"/>
      <c r="I161" s="286"/>
      <c r="J161" s="286"/>
      <c r="K161" s="286"/>
      <c r="L161" s="287"/>
      <c r="M161" s="290">
        <v>545.0</v>
      </c>
      <c r="N161" s="289"/>
      <c r="O161" s="15"/>
      <c r="P161" s="15"/>
      <c r="Q161" s="16"/>
      <c r="R161" s="338" t="s">
        <v>281</v>
      </c>
      <c r="S161" s="371"/>
      <c r="T161" s="372"/>
      <c r="U161" s="373"/>
      <c r="V161" s="373"/>
      <c r="W161" s="374"/>
      <c r="X161" s="375"/>
      <c r="Y161" s="279"/>
      <c r="Z161" s="279"/>
      <c r="AA161" s="279"/>
      <c r="AB161" s="279"/>
      <c r="AC161" s="279"/>
      <c r="AD161" s="279"/>
      <c r="AE161" s="279"/>
      <c r="AF161" s="279"/>
      <c r="AG161" s="279"/>
      <c r="AH161" s="279"/>
      <c r="AI161" s="279"/>
      <c r="AJ161" s="279"/>
      <c r="AK161" s="279"/>
      <c r="AL161" s="279"/>
      <c r="AM161" s="279"/>
      <c r="AN161" s="279"/>
      <c r="AO161" s="279"/>
      <c r="AP161" s="279"/>
      <c r="AQ161" s="279"/>
      <c r="AR161" s="279"/>
      <c r="AS161" s="279"/>
      <c r="AT161" s="279"/>
      <c r="AU161" s="279"/>
      <c r="AV161" s="279"/>
      <c r="AW161" s="279"/>
      <c r="AX161" s="279"/>
      <c r="AY161" s="279"/>
      <c r="AZ161" s="279"/>
      <c r="BA161" s="279"/>
      <c r="BB161" s="279"/>
      <c r="BC161" s="279"/>
      <c r="BD161" s="279"/>
      <c r="BE161" s="279"/>
      <c r="BF161" s="279"/>
      <c r="BG161" s="279"/>
      <c r="BH161" s="279"/>
      <c r="BI161" s="279"/>
      <c r="BJ161" s="279"/>
      <c r="BK161" s="279"/>
      <c r="BL161" s="279"/>
      <c r="BM161" s="279"/>
      <c r="BN161" s="279"/>
      <c r="BO161" s="279"/>
      <c r="BP161" s="279"/>
      <c r="BQ161" s="279"/>
    </row>
    <row r="162" ht="12.75" customHeight="1">
      <c r="A162" s="269"/>
      <c r="B162" s="285" t="s">
        <v>463</v>
      </c>
      <c r="C162" s="286"/>
      <c r="D162" s="286"/>
      <c r="E162" s="286"/>
      <c r="F162" s="286"/>
      <c r="G162" s="286"/>
      <c r="H162" s="286"/>
      <c r="I162" s="286"/>
      <c r="J162" s="286"/>
      <c r="K162" s="286"/>
      <c r="L162" s="287"/>
      <c r="M162" s="290">
        <v>1650.0</v>
      </c>
      <c r="N162" s="289"/>
      <c r="O162" s="15"/>
      <c r="P162" s="15"/>
      <c r="Q162" s="16"/>
      <c r="R162" s="338" t="s">
        <v>281</v>
      </c>
      <c r="S162" s="371"/>
      <c r="T162" s="372"/>
      <c r="U162" s="373"/>
      <c r="V162" s="373"/>
      <c r="W162" s="374"/>
      <c r="X162" s="375"/>
      <c r="Y162" s="279"/>
      <c r="Z162" s="279"/>
      <c r="AA162" s="279"/>
      <c r="AB162" s="279"/>
      <c r="AC162" s="279"/>
      <c r="AD162" s="279"/>
      <c r="AE162" s="279"/>
      <c r="AF162" s="279"/>
      <c r="AG162" s="279"/>
      <c r="AH162" s="279"/>
      <c r="AI162" s="279"/>
      <c r="AJ162" s="279"/>
      <c r="AK162" s="279"/>
      <c r="AL162" s="279"/>
      <c r="AM162" s="279"/>
      <c r="AN162" s="279"/>
      <c r="AO162" s="279"/>
      <c r="AP162" s="279"/>
      <c r="AQ162" s="279"/>
      <c r="AR162" s="279"/>
      <c r="AS162" s="279"/>
      <c r="AT162" s="279"/>
      <c r="AU162" s="279"/>
      <c r="AV162" s="279"/>
      <c r="AW162" s="279"/>
      <c r="AX162" s="279"/>
      <c r="AY162" s="279"/>
      <c r="AZ162" s="279"/>
      <c r="BA162" s="279"/>
      <c r="BB162" s="279"/>
      <c r="BC162" s="279"/>
      <c r="BD162" s="279"/>
      <c r="BE162" s="279"/>
      <c r="BF162" s="279"/>
      <c r="BG162" s="279"/>
      <c r="BH162" s="279"/>
      <c r="BI162" s="279"/>
      <c r="BJ162" s="279"/>
      <c r="BK162" s="279"/>
      <c r="BL162" s="279"/>
      <c r="BM162" s="279"/>
      <c r="BN162" s="279"/>
      <c r="BO162" s="279"/>
      <c r="BP162" s="279"/>
      <c r="BQ162" s="279"/>
    </row>
    <row r="163" ht="12.75" customHeight="1">
      <c r="A163" s="269"/>
      <c r="B163" s="285" t="s">
        <v>464</v>
      </c>
      <c r="C163" s="286"/>
      <c r="D163" s="286"/>
      <c r="E163" s="286"/>
      <c r="F163" s="286"/>
      <c r="G163" s="286"/>
      <c r="H163" s="286"/>
      <c r="I163" s="286"/>
      <c r="J163" s="286"/>
      <c r="K163" s="286"/>
      <c r="L163" s="287"/>
      <c r="M163" s="290">
        <v>856.0</v>
      </c>
      <c r="N163" s="289"/>
      <c r="O163" s="15"/>
      <c r="P163" s="15"/>
      <c r="Q163" s="16"/>
      <c r="R163" s="338" t="s">
        <v>281</v>
      </c>
      <c r="S163" s="371"/>
      <c r="T163" s="372"/>
      <c r="U163" s="373"/>
      <c r="V163" s="373"/>
      <c r="W163" s="374"/>
      <c r="X163" s="375"/>
      <c r="Y163" s="279"/>
      <c r="Z163" s="279"/>
      <c r="AA163" s="279"/>
      <c r="AB163" s="279"/>
      <c r="AC163" s="279"/>
      <c r="AD163" s="279"/>
      <c r="AE163" s="279"/>
      <c r="AF163" s="279"/>
      <c r="AG163" s="279"/>
      <c r="AH163" s="279"/>
      <c r="AI163" s="279"/>
      <c r="AJ163" s="279"/>
      <c r="AK163" s="279"/>
      <c r="AL163" s="279"/>
      <c r="AM163" s="279"/>
      <c r="AN163" s="279"/>
      <c r="AO163" s="279"/>
      <c r="AP163" s="279"/>
      <c r="AQ163" s="279"/>
      <c r="AR163" s="279"/>
      <c r="AS163" s="279"/>
      <c r="AT163" s="279"/>
      <c r="AU163" s="279"/>
      <c r="AV163" s="279"/>
      <c r="AW163" s="279"/>
      <c r="AX163" s="279"/>
      <c r="AY163" s="279"/>
      <c r="AZ163" s="279"/>
      <c r="BA163" s="279"/>
      <c r="BB163" s="279"/>
      <c r="BC163" s="279"/>
      <c r="BD163" s="279"/>
      <c r="BE163" s="279"/>
      <c r="BF163" s="279"/>
      <c r="BG163" s="279"/>
      <c r="BH163" s="279"/>
      <c r="BI163" s="279"/>
      <c r="BJ163" s="279"/>
      <c r="BK163" s="279"/>
      <c r="BL163" s="279"/>
      <c r="BM163" s="279"/>
      <c r="BN163" s="279"/>
      <c r="BO163" s="279"/>
      <c r="BP163" s="279"/>
      <c r="BQ163" s="279"/>
    </row>
    <row r="164" ht="12.75" customHeight="1">
      <c r="A164" s="269"/>
      <c r="B164" s="285" t="s">
        <v>465</v>
      </c>
      <c r="C164" s="286"/>
      <c r="D164" s="286"/>
      <c r="E164" s="286"/>
      <c r="F164" s="286"/>
      <c r="G164" s="286"/>
      <c r="H164" s="286"/>
      <c r="I164" s="286"/>
      <c r="J164" s="286"/>
      <c r="K164" s="286"/>
      <c r="L164" s="287"/>
      <c r="M164" s="290">
        <v>547.0</v>
      </c>
      <c r="N164" s="289">
        <f>+SUM($N$160:$Q$163)</f>
        <v>0</v>
      </c>
      <c r="O164" s="15"/>
      <c r="P164" s="15"/>
      <c r="Q164" s="16"/>
      <c r="R164" s="376" t="s">
        <v>317</v>
      </c>
      <c r="S164" s="371"/>
      <c r="T164" s="377"/>
      <c r="U164" s="378"/>
      <c r="V164" s="378"/>
      <c r="W164" s="379"/>
      <c r="X164" s="375"/>
      <c r="Y164" s="279"/>
      <c r="Z164" s="279"/>
      <c r="AA164" s="279"/>
      <c r="AB164" s="279"/>
      <c r="AC164" s="279"/>
      <c r="AD164" s="279"/>
      <c r="AE164" s="279"/>
      <c r="AF164" s="279"/>
      <c r="AG164" s="279"/>
      <c r="AH164" s="279"/>
      <c r="AI164" s="279"/>
      <c r="AJ164" s="279"/>
      <c r="AK164" s="279"/>
      <c r="AL164" s="279"/>
      <c r="AM164" s="279"/>
      <c r="AN164" s="279"/>
      <c r="AO164" s="279"/>
      <c r="AP164" s="279"/>
      <c r="AQ164" s="279"/>
      <c r="AR164" s="279"/>
      <c r="AS164" s="279"/>
      <c r="AT164" s="279"/>
      <c r="AU164" s="279"/>
      <c r="AV164" s="279"/>
      <c r="AW164" s="279"/>
      <c r="AX164" s="279"/>
      <c r="AY164" s="279"/>
      <c r="AZ164" s="279"/>
      <c r="BA164" s="279"/>
      <c r="BB164" s="279"/>
      <c r="BC164" s="279"/>
      <c r="BD164" s="279"/>
      <c r="BE164" s="279"/>
      <c r="BF164" s="279"/>
      <c r="BG164" s="279"/>
      <c r="BH164" s="279"/>
      <c r="BI164" s="279"/>
      <c r="BJ164" s="279"/>
      <c r="BK164" s="279"/>
      <c r="BL164" s="279"/>
      <c r="BM164" s="279"/>
      <c r="BN164" s="279"/>
      <c r="BO164" s="279"/>
      <c r="BP164" s="279"/>
      <c r="BQ164" s="279"/>
    </row>
    <row r="165" ht="12.75" customHeight="1">
      <c r="A165" s="269"/>
      <c r="B165" s="285" t="s">
        <v>466</v>
      </c>
      <c r="C165" s="286"/>
      <c r="D165" s="286"/>
      <c r="E165" s="286"/>
      <c r="F165" s="286"/>
      <c r="G165" s="286"/>
      <c r="H165" s="286"/>
      <c r="I165" s="286"/>
      <c r="J165" s="286"/>
      <c r="K165" s="286"/>
      <c r="L165" s="287"/>
      <c r="M165" s="290">
        <v>617.0</v>
      </c>
      <c r="N165" s="289"/>
      <c r="O165" s="15"/>
      <c r="P165" s="15"/>
      <c r="Q165" s="16"/>
      <c r="R165" s="338" t="s">
        <v>281</v>
      </c>
      <c r="S165" s="371"/>
      <c r="T165" s="377"/>
      <c r="U165" s="378"/>
      <c r="V165" s="378"/>
      <c r="W165" s="379"/>
      <c r="X165" s="375"/>
      <c r="Y165" s="279"/>
      <c r="Z165" s="279"/>
      <c r="AA165" s="279"/>
      <c r="AB165" s="279"/>
      <c r="AC165" s="279"/>
      <c r="AD165" s="279"/>
      <c r="AE165" s="279"/>
      <c r="AF165" s="279"/>
      <c r="AG165" s="279"/>
      <c r="AH165" s="279"/>
      <c r="AI165" s="279"/>
      <c r="AJ165" s="279"/>
      <c r="AK165" s="279"/>
      <c r="AL165" s="279"/>
      <c r="AM165" s="279"/>
      <c r="AN165" s="279"/>
      <c r="AO165" s="279"/>
      <c r="AP165" s="279"/>
      <c r="AQ165" s="279"/>
      <c r="AR165" s="279"/>
      <c r="AS165" s="279"/>
      <c r="AT165" s="279"/>
      <c r="AU165" s="279"/>
      <c r="AV165" s="279"/>
      <c r="AW165" s="279"/>
      <c r="AX165" s="279"/>
      <c r="AY165" s="279"/>
      <c r="AZ165" s="279"/>
      <c r="BA165" s="279"/>
      <c r="BB165" s="279"/>
      <c r="BC165" s="279"/>
      <c r="BD165" s="279"/>
      <c r="BE165" s="279"/>
      <c r="BF165" s="279"/>
      <c r="BG165" s="279"/>
      <c r="BH165" s="279"/>
      <c r="BI165" s="279"/>
      <c r="BJ165" s="279"/>
      <c r="BK165" s="279"/>
      <c r="BL165" s="279"/>
      <c r="BM165" s="279"/>
      <c r="BN165" s="279"/>
      <c r="BO165" s="279"/>
      <c r="BP165" s="279"/>
      <c r="BQ165" s="279"/>
    </row>
    <row r="166" ht="12.75" customHeight="1">
      <c r="A166" s="269"/>
      <c r="B166" s="285" t="s">
        <v>467</v>
      </c>
      <c r="C166" s="286"/>
      <c r="D166" s="286"/>
      <c r="E166" s="286"/>
      <c r="F166" s="286"/>
      <c r="G166" s="286"/>
      <c r="H166" s="286"/>
      <c r="I166" s="286"/>
      <c r="J166" s="286"/>
      <c r="K166" s="286"/>
      <c r="L166" s="287"/>
      <c r="M166" s="290">
        <v>770.0</v>
      </c>
      <c r="N166" s="289"/>
      <c r="O166" s="15"/>
      <c r="P166" s="15"/>
      <c r="Q166" s="16"/>
      <c r="R166" s="355" t="s">
        <v>312</v>
      </c>
      <c r="S166" s="371"/>
      <c r="T166" s="377"/>
      <c r="U166" s="378"/>
      <c r="V166" s="378"/>
      <c r="W166" s="379"/>
      <c r="X166" s="375"/>
      <c r="Y166" s="279"/>
      <c r="Z166" s="279"/>
      <c r="AA166" s="279"/>
      <c r="AB166" s="279"/>
      <c r="AC166" s="279"/>
      <c r="AD166" s="279"/>
      <c r="AE166" s="279"/>
      <c r="AF166" s="279"/>
      <c r="AG166" s="279"/>
      <c r="AH166" s="279"/>
      <c r="AI166" s="279"/>
      <c r="AJ166" s="279"/>
      <c r="AK166" s="279"/>
      <c r="AL166" s="279"/>
      <c r="AM166" s="279"/>
      <c r="AN166" s="279"/>
      <c r="AO166" s="279"/>
      <c r="AP166" s="279"/>
      <c r="AQ166" s="279"/>
      <c r="AR166" s="279"/>
      <c r="AS166" s="279"/>
      <c r="AT166" s="279"/>
      <c r="AU166" s="279"/>
      <c r="AV166" s="279"/>
      <c r="AW166" s="279"/>
      <c r="AX166" s="279"/>
      <c r="AY166" s="279"/>
      <c r="AZ166" s="279"/>
      <c r="BA166" s="279"/>
      <c r="BB166" s="279"/>
      <c r="BC166" s="279"/>
      <c r="BD166" s="279"/>
      <c r="BE166" s="279"/>
      <c r="BF166" s="279"/>
      <c r="BG166" s="279"/>
      <c r="BH166" s="279"/>
      <c r="BI166" s="279"/>
      <c r="BJ166" s="279"/>
      <c r="BK166" s="279"/>
      <c r="BL166" s="279"/>
      <c r="BM166" s="279"/>
      <c r="BN166" s="279"/>
      <c r="BO166" s="279"/>
      <c r="BP166" s="279"/>
      <c r="BQ166" s="279"/>
    </row>
    <row r="167" ht="12.75" customHeight="1">
      <c r="A167" s="269"/>
      <c r="B167" s="285" t="s">
        <v>468</v>
      </c>
      <c r="C167" s="286"/>
      <c r="D167" s="286"/>
      <c r="E167" s="286"/>
      <c r="F167" s="286"/>
      <c r="G167" s="286"/>
      <c r="H167" s="286"/>
      <c r="I167" s="286"/>
      <c r="J167" s="286"/>
      <c r="K167" s="286"/>
      <c r="L167" s="287"/>
      <c r="M167" s="290">
        <v>872.0</v>
      </c>
      <c r="N167" s="289"/>
      <c r="O167" s="15"/>
      <c r="P167" s="15"/>
      <c r="Q167" s="16"/>
      <c r="R167" s="355" t="s">
        <v>312</v>
      </c>
      <c r="S167" s="371"/>
      <c r="T167" s="377"/>
      <c r="U167" s="378"/>
      <c r="V167" s="378"/>
      <c r="W167" s="379"/>
      <c r="X167" s="375"/>
      <c r="Y167" s="279"/>
      <c r="Z167" s="279"/>
      <c r="AA167" s="279"/>
      <c r="AB167" s="279"/>
      <c r="AC167" s="279"/>
      <c r="AD167" s="279"/>
      <c r="AE167" s="279"/>
      <c r="AF167" s="279"/>
      <c r="AG167" s="279"/>
      <c r="AH167" s="279"/>
      <c r="AI167" s="279"/>
      <c r="AJ167" s="279"/>
      <c r="AK167" s="279"/>
      <c r="AL167" s="279"/>
      <c r="AM167" s="279"/>
      <c r="AN167" s="279"/>
      <c r="AO167" s="279"/>
      <c r="AP167" s="279"/>
      <c r="AQ167" s="279"/>
      <c r="AR167" s="279"/>
      <c r="AS167" s="279"/>
      <c r="AT167" s="279"/>
      <c r="AU167" s="279"/>
      <c r="AV167" s="279"/>
      <c r="AW167" s="279"/>
      <c r="AX167" s="279"/>
      <c r="AY167" s="279"/>
      <c r="AZ167" s="279"/>
      <c r="BA167" s="279"/>
      <c r="BB167" s="279"/>
      <c r="BC167" s="279"/>
      <c r="BD167" s="279"/>
      <c r="BE167" s="279"/>
      <c r="BF167" s="279"/>
      <c r="BG167" s="279"/>
      <c r="BH167" s="279"/>
      <c r="BI167" s="279"/>
      <c r="BJ167" s="279"/>
      <c r="BK167" s="279"/>
      <c r="BL167" s="279"/>
      <c r="BM167" s="279"/>
      <c r="BN167" s="279"/>
      <c r="BO167" s="279"/>
      <c r="BP167" s="279"/>
      <c r="BQ167" s="279"/>
    </row>
    <row r="168" ht="12.75" customHeight="1">
      <c r="A168" s="269"/>
      <c r="B168" s="285" t="s">
        <v>469</v>
      </c>
      <c r="C168" s="286"/>
      <c r="D168" s="286"/>
      <c r="E168" s="286"/>
      <c r="F168" s="286"/>
      <c r="G168" s="286"/>
      <c r="H168" s="286"/>
      <c r="I168" s="286"/>
      <c r="J168" s="286"/>
      <c r="K168" s="286"/>
      <c r="L168" s="287"/>
      <c r="M168" s="290">
        <v>465.0</v>
      </c>
      <c r="N168" s="289"/>
      <c r="O168" s="15"/>
      <c r="P168" s="15"/>
      <c r="Q168" s="16"/>
      <c r="R168" s="355" t="s">
        <v>312</v>
      </c>
      <c r="S168" s="371"/>
      <c r="T168" s="377"/>
      <c r="U168" s="378"/>
      <c r="V168" s="378"/>
      <c r="W168" s="379"/>
      <c r="X168" s="375"/>
      <c r="Y168" s="279"/>
      <c r="Z168" s="279"/>
      <c r="AA168" s="279"/>
      <c r="AB168" s="279"/>
      <c r="AC168" s="279"/>
      <c r="AD168" s="279"/>
      <c r="AE168" s="279"/>
      <c r="AF168" s="279"/>
      <c r="AG168" s="279"/>
      <c r="AH168" s="279"/>
      <c r="AI168" s="279"/>
      <c r="AJ168" s="279"/>
      <c r="AK168" s="279"/>
      <c r="AL168" s="279"/>
      <c r="AM168" s="279"/>
      <c r="AN168" s="279"/>
      <c r="AO168" s="279"/>
      <c r="AP168" s="279"/>
      <c r="AQ168" s="279"/>
      <c r="AR168" s="279"/>
      <c r="AS168" s="279"/>
      <c r="AT168" s="279"/>
      <c r="AU168" s="279"/>
      <c r="AV168" s="279"/>
      <c r="AW168" s="279"/>
      <c r="AX168" s="279"/>
      <c r="AY168" s="279"/>
      <c r="AZ168" s="279"/>
      <c r="BA168" s="279"/>
      <c r="BB168" s="279"/>
      <c r="BC168" s="279"/>
      <c r="BD168" s="279"/>
      <c r="BE168" s="279"/>
      <c r="BF168" s="279"/>
      <c r="BG168" s="279"/>
      <c r="BH168" s="279"/>
      <c r="BI168" s="279"/>
      <c r="BJ168" s="279"/>
      <c r="BK168" s="279"/>
      <c r="BL168" s="279"/>
      <c r="BM168" s="279"/>
      <c r="BN168" s="279"/>
      <c r="BO168" s="279"/>
      <c r="BP168" s="279"/>
      <c r="BQ168" s="279"/>
    </row>
    <row r="169" ht="12.75" customHeight="1">
      <c r="A169" s="269"/>
      <c r="B169" s="285" t="s">
        <v>470</v>
      </c>
      <c r="C169" s="286"/>
      <c r="D169" s="286"/>
      <c r="E169" s="286"/>
      <c r="F169" s="286"/>
      <c r="G169" s="286"/>
      <c r="H169" s="286"/>
      <c r="I169" s="286"/>
      <c r="J169" s="286"/>
      <c r="K169" s="286"/>
      <c r="L169" s="287"/>
      <c r="M169" s="350">
        <v>494.0</v>
      </c>
      <c r="N169" s="289"/>
      <c r="O169" s="15"/>
      <c r="P169" s="15"/>
      <c r="Q169" s="16"/>
      <c r="R169" s="355" t="s">
        <v>312</v>
      </c>
      <c r="S169" s="371"/>
      <c r="T169" s="377"/>
      <c r="U169" s="378"/>
      <c r="V169" s="378"/>
      <c r="W169" s="379"/>
      <c r="X169" s="375"/>
      <c r="Y169" s="279"/>
      <c r="Z169" s="279"/>
      <c r="AA169" s="279"/>
      <c r="AB169" s="279"/>
      <c r="AC169" s="279"/>
      <c r="AD169" s="279"/>
      <c r="AE169" s="279"/>
      <c r="AF169" s="279"/>
      <c r="AG169" s="279"/>
      <c r="AH169" s="279"/>
      <c r="AI169" s="279"/>
      <c r="AJ169" s="279"/>
      <c r="AK169" s="279"/>
      <c r="AL169" s="279"/>
      <c r="AM169" s="279"/>
      <c r="AN169" s="279"/>
      <c r="AO169" s="279"/>
      <c r="AP169" s="279"/>
      <c r="AQ169" s="279"/>
      <c r="AR169" s="279"/>
      <c r="AS169" s="279"/>
      <c r="AT169" s="279"/>
      <c r="AU169" s="279"/>
      <c r="AV169" s="279"/>
      <c r="AW169" s="279"/>
      <c r="AX169" s="279"/>
      <c r="AY169" s="279"/>
      <c r="AZ169" s="279"/>
      <c r="BA169" s="279"/>
      <c r="BB169" s="279"/>
      <c r="BC169" s="279"/>
      <c r="BD169" s="279"/>
      <c r="BE169" s="279"/>
      <c r="BF169" s="279"/>
      <c r="BG169" s="279"/>
      <c r="BH169" s="279"/>
      <c r="BI169" s="279"/>
      <c r="BJ169" s="279"/>
      <c r="BK169" s="279"/>
      <c r="BL169" s="279"/>
      <c r="BM169" s="279"/>
      <c r="BN169" s="279"/>
      <c r="BO169" s="279"/>
      <c r="BP169" s="279"/>
      <c r="BQ169" s="279"/>
    </row>
    <row r="170" ht="12.75" customHeight="1">
      <c r="A170" s="269"/>
      <c r="B170" s="285" t="s">
        <v>471</v>
      </c>
      <c r="C170" s="286"/>
      <c r="D170" s="286"/>
      <c r="E170" s="286"/>
      <c r="F170" s="286"/>
      <c r="G170" s="286"/>
      <c r="H170" s="286"/>
      <c r="I170" s="286"/>
      <c r="J170" s="286"/>
      <c r="K170" s="286"/>
      <c r="L170" s="287"/>
      <c r="M170" s="290">
        <v>850.0</v>
      </c>
      <c r="N170" s="289"/>
      <c r="O170" s="15"/>
      <c r="P170" s="15"/>
      <c r="Q170" s="16"/>
      <c r="R170" s="355" t="s">
        <v>312</v>
      </c>
      <c r="S170" s="371"/>
      <c r="T170" s="377"/>
      <c r="U170" s="378"/>
      <c r="V170" s="378"/>
      <c r="W170" s="379"/>
      <c r="X170" s="375"/>
      <c r="Y170" s="279"/>
      <c r="Z170" s="279"/>
      <c r="AA170" s="279"/>
      <c r="AB170" s="279"/>
      <c r="AC170" s="279"/>
      <c r="AD170" s="279"/>
      <c r="AE170" s="279"/>
      <c r="AF170" s="279"/>
      <c r="AG170" s="279"/>
      <c r="AH170" s="279"/>
      <c r="AI170" s="279"/>
      <c r="AJ170" s="279"/>
      <c r="AK170" s="279"/>
      <c r="AL170" s="279"/>
      <c r="AM170" s="279"/>
      <c r="AN170" s="279"/>
      <c r="AO170" s="279"/>
      <c r="AP170" s="279"/>
      <c r="AQ170" s="279"/>
      <c r="AR170" s="279"/>
      <c r="AS170" s="279"/>
      <c r="AT170" s="279"/>
      <c r="AU170" s="279"/>
      <c r="AV170" s="279"/>
      <c r="AW170" s="279"/>
      <c r="AX170" s="279"/>
      <c r="AY170" s="279"/>
      <c r="AZ170" s="279"/>
      <c r="BA170" s="279"/>
      <c r="BB170" s="279"/>
      <c r="BC170" s="279"/>
      <c r="BD170" s="279"/>
      <c r="BE170" s="279"/>
      <c r="BF170" s="279"/>
      <c r="BG170" s="279"/>
      <c r="BH170" s="279"/>
      <c r="BI170" s="279"/>
      <c r="BJ170" s="279"/>
      <c r="BK170" s="279"/>
      <c r="BL170" s="279"/>
      <c r="BM170" s="279"/>
      <c r="BN170" s="279"/>
      <c r="BO170" s="279"/>
      <c r="BP170" s="279"/>
      <c r="BQ170" s="279"/>
    </row>
    <row r="171" ht="12.75" customHeight="1">
      <c r="A171" s="269"/>
      <c r="B171" s="285" t="s">
        <v>472</v>
      </c>
      <c r="C171" s="286"/>
      <c r="D171" s="286"/>
      <c r="E171" s="286"/>
      <c r="F171" s="286"/>
      <c r="G171" s="286"/>
      <c r="H171" s="286"/>
      <c r="I171" s="286"/>
      <c r="J171" s="286"/>
      <c r="K171" s="286"/>
      <c r="L171" s="287"/>
      <c r="M171" s="290">
        <v>467.0</v>
      </c>
      <c r="N171" s="289">
        <f>+$N$164+$N$165-SUM($N$166:$Q$170)</f>
        <v>0</v>
      </c>
      <c r="O171" s="15"/>
      <c r="P171" s="15"/>
      <c r="Q171" s="16"/>
      <c r="R171" s="376" t="s">
        <v>317</v>
      </c>
      <c r="S171" s="371"/>
      <c r="T171" s="377"/>
      <c r="U171" s="378"/>
      <c r="V171" s="378"/>
      <c r="W171" s="379"/>
      <c r="X171" s="375"/>
      <c r="Y171" s="279"/>
      <c r="Z171" s="279"/>
      <c r="AA171" s="279"/>
      <c r="AB171" s="279"/>
      <c r="AC171" s="279"/>
      <c r="AD171" s="279"/>
      <c r="AE171" s="279"/>
      <c r="AF171" s="279"/>
      <c r="AG171" s="279"/>
      <c r="AH171" s="279"/>
      <c r="AI171" s="279"/>
      <c r="AJ171" s="279"/>
      <c r="AK171" s="279"/>
      <c r="AL171" s="279"/>
      <c r="AM171" s="279"/>
      <c r="AN171" s="279"/>
      <c r="AO171" s="279"/>
      <c r="AP171" s="279"/>
      <c r="AQ171" s="279"/>
      <c r="AR171" s="279"/>
      <c r="AS171" s="279"/>
      <c r="AT171" s="279"/>
      <c r="AU171" s="279"/>
      <c r="AV171" s="279"/>
      <c r="AW171" s="279"/>
      <c r="AX171" s="279"/>
      <c r="AY171" s="279"/>
      <c r="AZ171" s="279"/>
      <c r="BA171" s="279"/>
      <c r="BB171" s="279"/>
      <c r="BC171" s="279"/>
      <c r="BD171" s="279"/>
      <c r="BE171" s="279"/>
      <c r="BF171" s="279"/>
      <c r="BG171" s="279"/>
      <c r="BH171" s="279"/>
      <c r="BI171" s="279"/>
      <c r="BJ171" s="279"/>
      <c r="BK171" s="279"/>
      <c r="BL171" s="279"/>
      <c r="BM171" s="279"/>
      <c r="BN171" s="279"/>
      <c r="BO171" s="279"/>
      <c r="BP171" s="279"/>
      <c r="BQ171" s="279"/>
    </row>
    <row r="172" ht="12.75" customHeight="1">
      <c r="A172" s="269"/>
      <c r="B172" s="285" t="s">
        <v>473</v>
      </c>
      <c r="C172" s="286"/>
      <c r="D172" s="286"/>
      <c r="E172" s="286"/>
      <c r="F172" s="286"/>
      <c r="G172" s="286"/>
      <c r="H172" s="286"/>
      <c r="I172" s="286"/>
      <c r="J172" s="286"/>
      <c r="K172" s="286"/>
      <c r="L172" s="287"/>
      <c r="M172" s="290">
        <v>479.0</v>
      </c>
      <c r="N172" s="289"/>
      <c r="O172" s="15"/>
      <c r="P172" s="15"/>
      <c r="Q172" s="16"/>
      <c r="R172" s="338" t="s">
        <v>281</v>
      </c>
      <c r="S172" s="380">
        <v>491.0</v>
      </c>
      <c r="T172" s="289"/>
      <c r="U172" s="15"/>
      <c r="V172" s="15"/>
      <c r="W172" s="16"/>
      <c r="X172" s="338" t="s">
        <v>281</v>
      </c>
      <c r="Y172" s="279"/>
      <c r="Z172" s="279"/>
      <c r="AA172" s="279"/>
      <c r="AB172" s="279"/>
      <c r="AC172" s="279"/>
      <c r="AD172" s="279"/>
      <c r="AE172" s="279"/>
      <c r="AF172" s="279"/>
      <c r="AG172" s="279"/>
      <c r="AH172" s="279"/>
      <c r="AI172" s="279"/>
      <c r="AJ172" s="279"/>
      <c r="AK172" s="279"/>
      <c r="AL172" s="279"/>
      <c r="AM172" s="279"/>
      <c r="AN172" s="279"/>
      <c r="AO172" s="279"/>
      <c r="AP172" s="279"/>
      <c r="AQ172" s="279"/>
      <c r="AR172" s="279"/>
      <c r="AS172" s="279"/>
      <c r="AT172" s="279"/>
      <c r="AU172" s="279"/>
      <c r="AV172" s="279"/>
      <c r="AW172" s="279"/>
      <c r="AX172" s="279"/>
      <c r="AY172" s="279"/>
      <c r="AZ172" s="279"/>
      <c r="BA172" s="279"/>
      <c r="BB172" s="279"/>
      <c r="BC172" s="279"/>
      <c r="BD172" s="279"/>
      <c r="BE172" s="279"/>
      <c r="BF172" s="279"/>
      <c r="BG172" s="279"/>
      <c r="BH172" s="279"/>
      <c r="BI172" s="279"/>
      <c r="BJ172" s="279"/>
      <c r="BK172" s="279"/>
      <c r="BL172" s="279"/>
      <c r="BM172" s="279"/>
      <c r="BN172" s="279"/>
      <c r="BO172" s="279"/>
      <c r="BP172" s="279"/>
      <c r="BQ172" s="279"/>
    </row>
    <row r="173" ht="12.75" customHeight="1">
      <c r="A173" s="269"/>
      <c r="B173" s="285" t="s">
        <v>474</v>
      </c>
      <c r="C173" s="286"/>
      <c r="D173" s="286"/>
      <c r="E173" s="286"/>
      <c r="F173" s="286"/>
      <c r="G173" s="286"/>
      <c r="H173" s="286"/>
      <c r="I173" s="286"/>
      <c r="J173" s="286"/>
      <c r="K173" s="286"/>
      <c r="L173" s="287"/>
      <c r="M173" s="290">
        <v>618.0</v>
      </c>
      <c r="N173" s="289">
        <f>+$N$171+$N$172</f>
        <v>0</v>
      </c>
      <c r="O173" s="15"/>
      <c r="P173" s="15"/>
      <c r="Q173" s="16"/>
      <c r="R173" s="376" t="s">
        <v>317</v>
      </c>
      <c r="S173" s="380">
        <v>619.0</v>
      </c>
      <c r="T173" s="289">
        <f>+$T$160+$T$172</f>
        <v>0</v>
      </c>
      <c r="U173" s="15"/>
      <c r="V173" s="15"/>
      <c r="W173" s="16"/>
      <c r="X173" s="376" t="s">
        <v>317</v>
      </c>
      <c r="Y173" s="279"/>
      <c r="Z173" s="279"/>
      <c r="AA173" s="279"/>
      <c r="AB173" s="279"/>
      <c r="AC173" s="279"/>
      <c r="AD173" s="279"/>
      <c r="AE173" s="279"/>
      <c r="AF173" s="279"/>
      <c r="AG173" s="279"/>
      <c r="AH173" s="279"/>
      <c r="AI173" s="279"/>
      <c r="AJ173" s="279"/>
      <c r="AK173" s="279"/>
      <c r="AL173" s="279"/>
      <c r="AM173" s="279"/>
      <c r="AN173" s="279"/>
      <c r="AO173" s="279"/>
      <c r="AP173" s="279"/>
      <c r="AQ173" s="279"/>
      <c r="AR173" s="279"/>
      <c r="AS173" s="279"/>
      <c r="AT173" s="279"/>
      <c r="AU173" s="279"/>
      <c r="AV173" s="279"/>
      <c r="AW173" s="279"/>
      <c r="AX173" s="279"/>
      <c r="AY173" s="279"/>
      <c r="AZ173" s="279"/>
      <c r="BA173" s="279"/>
      <c r="BB173" s="279"/>
      <c r="BC173" s="279"/>
      <c r="BD173" s="279"/>
      <c r="BE173" s="279"/>
      <c r="BF173" s="279"/>
      <c r="BG173" s="279"/>
      <c r="BH173" s="279"/>
      <c r="BI173" s="279"/>
      <c r="BJ173" s="279"/>
      <c r="BK173" s="279"/>
      <c r="BL173" s="279"/>
      <c r="BM173" s="279"/>
      <c r="BN173" s="279"/>
      <c r="BO173" s="279"/>
      <c r="BP173" s="279"/>
      <c r="BQ173" s="279"/>
    </row>
    <row r="174" ht="12.75" customHeight="1">
      <c r="A174" s="269"/>
      <c r="B174" s="285" t="s">
        <v>475</v>
      </c>
      <c r="C174" s="286"/>
      <c r="D174" s="286"/>
      <c r="E174" s="286"/>
      <c r="F174" s="286"/>
      <c r="G174" s="286"/>
      <c r="H174" s="286"/>
      <c r="I174" s="286"/>
      <c r="J174" s="286"/>
      <c r="K174" s="286"/>
      <c r="L174" s="287"/>
      <c r="M174" s="290">
        <v>896.0</v>
      </c>
      <c r="N174" s="381"/>
      <c r="O174" s="382"/>
      <c r="P174" s="382"/>
      <c r="Q174" s="383"/>
      <c r="R174" s="384"/>
      <c r="S174" s="385"/>
      <c r="T174" s="385"/>
      <c r="U174" s="385"/>
      <c r="V174" s="385"/>
      <c r="W174" s="385"/>
      <c r="X174" s="386"/>
      <c r="Y174" s="279"/>
      <c r="Z174" s="279"/>
      <c r="AA174" s="279"/>
      <c r="AB174" s="279"/>
      <c r="AC174" s="279"/>
      <c r="AD174" s="279"/>
      <c r="AE174" s="279"/>
      <c r="AF174" s="279"/>
      <c r="AG174" s="279"/>
      <c r="AH174" s="279"/>
      <c r="AI174" s="279"/>
      <c r="AJ174" s="279"/>
      <c r="AK174" s="279"/>
      <c r="AL174" s="279"/>
      <c r="AM174" s="279"/>
      <c r="AN174" s="279"/>
      <c r="AO174" s="279"/>
      <c r="AP174" s="279"/>
      <c r="AQ174" s="279"/>
      <c r="AR174" s="279"/>
      <c r="AS174" s="279"/>
      <c r="AT174" s="279"/>
      <c r="AU174" s="279"/>
      <c r="AV174" s="279"/>
      <c r="AW174" s="279"/>
      <c r="AX174" s="279"/>
      <c r="AY174" s="279"/>
      <c r="AZ174" s="279"/>
      <c r="BA174" s="279"/>
      <c r="BB174" s="279"/>
      <c r="BC174" s="279"/>
      <c r="BD174" s="279"/>
      <c r="BE174" s="279"/>
      <c r="BF174" s="279"/>
      <c r="BG174" s="279"/>
      <c r="BH174" s="279"/>
      <c r="BI174" s="279"/>
      <c r="BJ174" s="279"/>
      <c r="BK174" s="279"/>
      <c r="BL174" s="279"/>
      <c r="BM174" s="279"/>
      <c r="BN174" s="279"/>
      <c r="BO174" s="279"/>
      <c r="BP174" s="279"/>
      <c r="BQ174" s="279"/>
    </row>
    <row r="175" ht="12.75" customHeight="1">
      <c r="A175" s="275"/>
      <c r="B175" s="387"/>
      <c r="C175" s="387"/>
      <c r="D175" s="387"/>
      <c r="E175" s="387"/>
      <c r="F175" s="387"/>
      <c r="G175" s="387"/>
      <c r="H175" s="387"/>
      <c r="I175" s="387"/>
      <c r="J175" s="387"/>
      <c r="K175" s="387"/>
      <c r="L175" s="387"/>
      <c r="M175" s="387"/>
      <c r="N175" s="387"/>
      <c r="O175" s="387"/>
      <c r="P175" s="387"/>
      <c r="Q175" s="387"/>
      <c r="R175" s="387"/>
      <c r="S175" s="279"/>
      <c r="T175" s="279"/>
      <c r="U175" s="279"/>
      <c r="V175" s="279"/>
      <c r="W175" s="279"/>
      <c r="X175" s="279"/>
      <c r="Y175" s="279"/>
      <c r="Z175" s="279"/>
      <c r="AA175" s="279"/>
      <c r="AB175" s="279"/>
      <c r="AC175" s="279"/>
      <c r="AD175" s="279"/>
      <c r="AE175" s="279"/>
      <c r="AF175" s="279"/>
      <c r="AG175" s="279"/>
      <c r="AH175" s="279"/>
      <c r="AI175" s="279"/>
      <c r="AJ175" s="279"/>
      <c r="AK175" s="279"/>
      <c r="AL175" s="279"/>
      <c r="AM175" s="279"/>
      <c r="AN175" s="279"/>
      <c r="AO175" s="279"/>
      <c r="AP175" s="279"/>
      <c r="AQ175" s="279"/>
      <c r="AR175" s="279"/>
      <c r="AS175" s="279"/>
      <c r="AT175" s="279"/>
      <c r="AU175" s="279"/>
      <c r="AV175" s="279"/>
      <c r="AW175" s="279"/>
      <c r="AX175" s="279"/>
      <c r="AY175" s="279"/>
      <c r="AZ175" s="279"/>
      <c r="BA175" s="279"/>
      <c r="BB175" s="279"/>
      <c r="BC175" s="279"/>
      <c r="BD175" s="279"/>
      <c r="BE175" s="279"/>
      <c r="BF175" s="279"/>
      <c r="BG175" s="279"/>
      <c r="BH175" s="279"/>
      <c r="BI175" s="279"/>
      <c r="BJ175" s="279"/>
      <c r="BK175" s="279"/>
      <c r="BL175" s="279"/>
      <c r="BM175" s="279"/>
      <c r="BN175" s="279"/>
      <c r="BO175" s="279"/>
      <c r="BP175" s="279"/>
      <c r="BQ175" s="279"/>
    </row>
    <row r="176" ht="12.75" customHeight="1">
      <c r="A176" s="275"/>
      <c r="B176" s="388" t="s">
        <v>476</v>
      </c>
      <c r="C176" s="22"/>
      <c r="D176" s="22"/>
      <c r="E176" s="22"/>
      <c r="F176" s="22"/>
      <c r="G176" s="22"/>
      <c r="H176" s="22"/>
      <c r="I176" s="22"/>
      <c r="J176" s="22"/>
      <c r="K176" s="22"/>
      <c r="L176" s="22"/>
      <c r="M176" s="22"/>
      <c r="N176" s="22"/>
      <c r="O176" s="22"/>
      <c r="P176" s="22"/>
      <c r="Q176" s="22"/>
      <c r="R176" s="23"/>
      <c r="S176" s="279"/>
      <c r="T176" s="279"/>
      <c r="U176" s="279"/>
      <c r="V176" s="279"/>
      <c r="W176" s="279"/>
      <c r="X176" s="279"/>
      <c r="Y176" s="279"/>
      <c r="Z176" s="279"/>
      <c r="AA176" s="279"/>
      <c r="AB176" s="279"/>
      <c r="AC176" s="279"/>
      <c r="AD176" s="279"/>
      <c r="AE176" s="279"/>
      <c r="AF176" s="279"/>
      <c r="AG176" s="279"/>
      <c r="AH176" s="279"/>
      <c r="AI176" s="279"/>
      <c r="AJ176" s="279"/>
      <c r="AK176" s="279"/>
      <c r="AL176" s="279"/>
      <c r="AM176" s="279"/>
      <c r="AN176" s="279"/>
      <c r="AO176" s="279"/>
      <c r="AP176" s="279"/>
      <c r="AQ176" s="279"/>
      <c r="AR176" s="279"/>
      <c r="AS176" s="279"/>
      <c r="AT176" s="279"/>
      <c r="AU176" s="279"/>
      <c r="AV176" s="279"/>
      <c r="AW176" s="279"/>
      <c r="AX176" s="279"/>
      <c r="AY176" s="279"/>
      <c r="AZ176" s="279"/>
      <c r="BA176" s="279"/>
      <c r="BB176" s="279"/>
      <c r="BC176" s="279"/>
      <c r="BD176" s="279"/>
      <c r="BE176" s="279"/>
      <c r="BF176" s="279"/>
      <c r="BG176" s="279"/>
      <c r="BH176" s="279"/>
      <c r="BI176" s="279"/>
      <c r="BJ176" s="279"/>
      <c r="BK176" s="279"/>
      <c r="BL176" s="279"/>
      <c r="BM176" s="279"/>
      <c r="BN176" s="279"/>
      <c r="BO176" s="279"/>
      <c r="BP176" s="279"/>
      <c r="BQ176" s="279"/>
    </row>
    <row r="177" ht="12.75" customHeight="1">
      <c r="A177" s="275"/>
      <c r="B177" s="28"/>
      <c r="C177" s="29"/>
      <c r="D177" s="29"/>
      <c r="E177" s="29"/>
      <c r="F177" s="29"/>
      <c r="G177" s="29"/>
      <c r="H177" s="29"/>
      <c r="I177" s="29"/>
      <c r="J177" s="29"/>
      <c r="K177" s="29"/>
      <c r="L177" s="29"/>
      <c r="M177" s="29"/>
      <c r="N177" s="29"/>
      <c r="O177" s="29"/>
      <c r="P177" s="29"/>
      <c r="Q177" s="29"/>
      <c r="R177" s="30"/>
      <c r="S177" s="279"/>
      <c r="T177" s="279"/>
      <c r="U177" s="279"/>
      <c r="V177" s="279"/>
      <c r="W177" s="279"/>
      <c r="X177" s="279"/>
      <c r="Y177" s="279"/>
      <c r="Z177" s="279"/>
      <c r="AA177" s="279"/>
      <c r="AB177" s="279"/>
      <c r="AC177" s="279"/>
      <c r="AD177" s="279"/>
      <c r="AE177" s="279"/>
      <c r="AF177" s="279"/>
      <c r="AG177" s="279"/>
      <c r="AH177" s="279"/>
      <c r="AI177" s="279"/>
      <c r="AJ177" s="279"/>
      <c r="AK177" s="279"/>
      <c r="AL177" s="279"/>
      <c r="AM177" s="279"/>
      <c r="AN177" s="279"/>
      <c r="AO177" s="279"/>
      <c r="AP177" s="279"/>
      <c r="AQ177" s="279"/>
      <c r="AR177" s="279"/>
      <c r="AS177" s="279"/>
      <c r="AT177" s="279"/>
      <c r="AU177" s="279"/>
      <c r="AV177" s="279"/>
      <c r="AW177" s="279"/>
      <c r="AX177" s="279"/>
      <c r="AY177" s="279"/>
      <c r="AZ177" s="279"/>
      <c r="BA177" s="279"/>
      <c r="BB177" s="279"/>
      <c r="BC177" s="279"/>
      <c r="BD177" s="279"/>
      <c r="BE177" s="279"/>
      <c r="BF177" s="279"/>
      <c r="BG177" s="279"/>
      <c r="BH177" s="279"/>
      <c r="BI177" s="279"/>
      <c r="BJ177" s="279"/>
      <c r="BK177" s="279"/>
      <c r="BL177" s="279"/>
      <c r="BM177" s="279"/>
      <c r="BN177" s="279"/>
      <c r="BO177" s="279"/>
      <c r="BP177" s="279"/>
      <c r="BQ177" s="279"/>
    </row>
    <row r="178" ht="12.75" customHeight="1">
      <c r="A178" s="269"/>
      <c r="B178" s="285" t="s">
        <v>477</v>
      </c>
      <c r="C178" s="286"/>
      <c r="D178" s="286"/>
      <c r="E178" s="286"/>
      <c r="F178" s="286"/>
      <c r="G178" s="286"/>
      <c r="H178" s="286"/>
      <c r="I178" s="286"/>
      <c r="J178" s="286"/>
      <c r="K178" s="286"/>
      <c r="L178" s="287"/>
      <c r="M178" s="290">
        <v>1055.0</v>
      </c>
      <c r="N178" s="289"/>
      <c r="O178" s="15"/>
      <c r="P178" s="15"/>
      <c r="Q178" s="16"/>
      <c r="R178" s="338" t="s">
        <v>281</v>
      </c>
      <c r="S178" s="279"/>
      <c r="T178" s="279"/>
      <c r="U178" s="279"/>
      <c r="V178" s="279"/>
      <c r="W178" s="279"/>
      <c r="X178" s="279"/>
      <c r="Y178" s="279"/>
      <c r="Z178" s="279"/>
      <c r="AA178" s="279"/>
      <c r="AB178" s="279"/>
      <c r="AC178" s="279"/>
      <c r="AD178" s="279"/>
      <c r="AE178" s="279"/>
      <c r="AF178" s="279"/>
      <c r="AG178" s="279"/>
      <c r="AH178" s="279"/>
      <c r="AI178" s="279"/>
      <c r="AJ178" s="279"/>
      <c r="AK178" s="279"/>
      <c r="AL178" s="279"/>
      <c r="AM178" s="279"/>
      <c r="AN178" s="279"/>
      <c r="AO178" s="279"/>
      <c r="AP178" s="279"/>
      <c r="AQ178" s="279"/>
      <c r="AR178" s="279"/>
      <c r="AS178" s="279"/>
      <c r="AT178" s="279"/>
      <c r="AU178" s="279"/>
      <c r="AV178" s="279"/>
      <c r="AW178" s="279"/>
      <c r="AX178" s="279"/>
      <c r="AY178" s="279"/>
      <c r="AZ178" s="279"/>
      <c r="BA178" s="279"/>
      <c r="BB178" s="279"/>
      <c r="BC178" s="279"/>
      <c r="BD178" s="279"/>
      <c r="BE178" s="279"/>
      <c r="BF178" s="279"/>
      <c r="BG178" s="279"/>
      <c r="BH178" s="279"/>
      <c r="BI178" s="279"/>
      <c r="BJ178" s="279"/>
      <c r="BK178" s="279"/>
      <c r="BL178" s="279"/>
      <c r="BM178" s="279"/>
      <c r="BN178" s="279"/>
      <c r="BO178" s="279"/>
      <c r="BP178" s="279"/>
      <c r="BQ178" s="279"/>
    </row>
    <row r="179" ht="12.75" customHeight="1">
      <c r="A179" s="269"/>
      <c r="B179" s="285" t="s">
        <v>478</v>
      </c>
      <c r="C179" s="286"/>
      <c r="D179" s="286"/>
      <c r="E179" s="286"/>
      <c r="F179" s="286"/>
      <c r="G179" s="286"/>
      <c r="H179" s="286"/>
      <c r="I179" s="286"/>
      <c r="J179" s="286"/>
      <c r="K179" s="286"/>
      <c r="L179" s="287"/>
      <c r="M179" s="290">
        <v>1056.0</v>
      </c>
      <c r="N179" s="289"/>
      <c r="O179" s="15"/>
      <c r="P179" s="15"/>
      <c r="Q179" s="16"/>
      <c r="R179" s="338" t="s">
        <v>312</v>
      </c>
      <c r="S179" s="279"/>
      <c r="T179" s="279"/>
      <c r="U179" s="279"/>
      <c r="V179" s="279"/>
      <c r="W179" s="279"/>
      <c r="X179" s="279"/>
      <c r="Y179" s="279"/>
      <c r="Z179" s="279"/>
      <c r="AA179" s="279"/>
      <c r="AB179" s="279"/>
      <c r="AC179" s="279"/>
      <c r="AD179" s="279"/>
      <c r="AE179" s="279"/>
      <c r="AF179" s="279"/>
      <c r="AG179" s="279"/>
      <c r="AH179" s="279"/>
      <c r="AI179" s="279"/>
      <c r="AJ179" s="279"/>
      <c r="AK179" s="279"/>
      <c r="AL179" s="279"/>
      <c r="AM179" s="279"/>
      <c r="AN179" s="279"/>
      <c r="AO179" s="279"/>
      <c r="AP179" s="279"/>
      <c r="AQ179" s="279"/>
      <c r="AR179" s="279"/>
      <c r="AS179" s="279"/>
      <c r="AT179" s="279"/>
      <c r="AU179" s="279"/>
      <c r="AV179" s="279"/>
      <c r="AW179" s="279"/>
      <c r="AX179" s="279"/>
      <c r="AY179" s="279"/>
      <c r="AZ179" s="279"/>
      <c r="BA179" s="279"/>
      <c r="BB179" s="279"/>
      <c r="BC179" s="279"/>
      <c r="BD179" s="279"/>
      <c r="BE179" s="279"/>
      <c r="BF179" s="279"/>
      <c r="BG179" s="279"/>
      <c r="BH179" s="279"/>
      <c r="BI179" s="279"/>
      <c r="BJ179" s="279"/>
      <c r="BK179" s="279"/>
      <c r="BL179" s="279"/>
      <c r="BM179" s="279"/>
      <c r="BN179" s="279"/>
      <c r="BO179" s="279"/>
      <c r="BP179" s="279"/>
      <c r="BQ179" s="279"/>
    </row>
    <row r="180" ht="12.75" customHeight="1">
      <c r="A180" s="269"/>
      <c r="B180" s="285" t="s">
        <v>479</v>
      </c>
      <c r="C180" s="286"/>
      <c r="D180" s="286"/>
      <c r="E180" s="286"/>
      <c r="F180" s="286"/>
      <c r="G180" s="286"/>
      <c r="H180" s="286"/>
      <c r="I180" s="286"/>
      <c r="J180" s="286"/>
      <c r="K180" s="286"/>
      <c r="L180" s="287"/>
      <c r="M180" s="290">
        <v>1057.0</v>
      </c>
      <c r="N180" s="289"/>
      <c r="O180" s="15"/>
      <c r="P180" s="15"/>
      <c r="Q180" s="16"/>
      <c r="R180" s="338" t="s">
        <v>312</v>
      </c>
      <c r="S180" s="279"/>
      <c r="T180" s="279"/>
      <c r="U180" s="279"/>
      <c r="V180" s="279"/>
      <c r="W180" s="279"/>
      <c r="X180" s="279"/>
      <c r="Y180" s="279"/>
      <c r="Z180" s="279"/>
      <c r="AA180" s="279"/>
      <c r="AB180" s="279"/>
      <c r="AC180" s="279"/>
      <c r="AD180" s="279"/>
      <c r="AE180" s="279"/>
      <c r="AF180" s="279"/>
      <c r="AG180" s="279"/>
      <c r="AH180" s="279"/>
      <c r="AI180" s="279"/>
      <c r="AJ180" s="279"/>
      <c r="AK180" s="279"/>
      <c r="AL180" s="279"/>
      <c r="AM180" s="279"/>
      <c r="AN180" s="279"/>
      <c r="AO180" s="279"/>
      <c r="AP180" s="279"/>
      <c r="AQ180" s="279"/>
      <c r="AR180" s="279"/>
      <c r="AS180" s="279"/>
      <c r="AT180" s="279"/>
      <c r="AU180" s="279"/>
      <c r="AV180" s="279"/>
      <c r="AW180" s="279"/>
      <c r="AX180" s="279"/>
      <c r="AY180" s="279"/>
      <c r="AZ180" s="279"/>
      <c r="BA180" s="279"/>
      <c r="BB180" s="279"/>
      <c r="BC180" s="279"/>
      <c r="BD180" s="279"/>
      <c r="BE180" s="279"/>
      <c r="BF180" s="279"/>
      <c r="BG180" s="279"/>
      <c r="BH180" s="279"/>
      <c r="BI180" s="279"/>
      <c r="BJ180" s="279"/>
      <c r="BK180" s="279"/>
      <c r="BL180" s="279"/>
      <c r="BM180" s="279"/>
      <c r="BN180" s="279"/>
      <c r="BO180" s="279"/>
      <c r="BP180" s="279"/>
      <c r="BQ180" s="279"/>
    </row>
    <row r="181" ht="12.75" customHeight="1">
      <c r="A181" s="269"/>
      <c r="B181" s="285" t="s">
        <v>480</v>
      </c>
      <c r="C181" s="286"/>
      <c r="D181" s="286"/>
      <c r="E181" s="286"/>
      <c r="F181" s="286"/>
      <c r="G181" s="286"/>
      <c r="H181" s="286"/>
      <c r="I181" s="286"/>
      <c r="J181" s="286"/>
      <c r="K181" s="286"/>
      <c r="L181" s="287"/>
      <c r="M181" s="290">
        <v>1058.0</v>
      </c>
      <c r="N181" s="289">
        <f>+$N$178-$N$179-N180</f>
        <v>0</v>
      </c>
      <c r="O181" s="15"/>
      <c r="P181" s="15"/>
      <c r="Q181" s="16"/>
      <c r="R181" s="291" t="s">
        <v>317</v>
      </c>
      <c r="S181" s="279"/>
      <c r="T181" s="279"/>
      <c r="U181" s="279"/>
      <c r="V181" s="279"/>
      <c r="W181" s="279"/>
      <c r="X181" s="279"/>
      <c r="Y181" s="279"/>
      <c r="Z181" s="279"/>
      <c r="AA181" s="279"/>
      <c r="AB181" s="279"/>
      <c r="AC181" s="279"/>
      <c r="AD181" s="279"/>
      <c r="AE181" s="279"/>
      <c r="AF181" s="279"/>
      <c r="AG181" s="279"/>
      <c r="AH181" s="279"/>
      <c r="AI181" s="279"/>
      <c r="AJ181" s="279"/>
      <c r="AK181" s="279"/>
      <c r="AL181" s="279"/>
      <c r="AM181" s="279"/>
      <c r="AN181" s="279"/>
      <c r="AO181" s="279"/>
      <c r="AP181" s="279"/>
      <c r="AQ181" s="279"/>
      <c r="AR181" s="279"/>
      <c r="AS181" s="279"/>
      <c r="AT181" s="279"/>
      <c r="AU181" s="279"/>
      <c r="AV181" s="279"/>
      <c r="AW181" s="279"/>
      <c r="AX181" s="279"/>
      <c r="AY181" s="279"/>
      <c r="AZ181" s="279"/>
      <c r="BA181" s="279"/>
      <c r="BB181" s="279"/>
      <c r="BC181" s="279"/>
      <c r="BD181" s="279"/>
      <c r="BE181" s="279"/>
      <c r="BF181" s="279"/>
      <c r="BG181" s="279"/>
      <c r="BH181" s="279"/>
      <c r="BI181" s="279"/>
      <c r="BJ181" s="279"/>
      <c r="BK181" s="279"/>
      <c r="BL181" s="279"/>
      <c r="BM181" s="279"/>
      <c r="BN181" s="279"/>
      <c r="BO181" s="279"/>
      <c r="BP181" s="279"/>
      <c r="BQ181" s="279"/>
    </row>
    <row r="182" ht="12.75" customHeight="1">
      <c r="A182" s="269"/>
      <c r="B182" s="285" t="s">
        <v>481</v>
      </c>
      <c r="C182" s="286"/>
      <c r="D182" s="286"/>
      <c r="E182" s="286"/>
      <c r="F182" s="286"/>
      <c r="G182" s="286"/>
      <c r="H182" s="286"/>
      <c r="I182" s="286"/>
      <c r="J182" s="286"/>
      <c r="K182" s="286"/>
      <c r="L182" s="287"/>
      <c r="M182" s="290">
        <v>1060.0</v>
      </c>
      <c r="N182" s="289"/>
      <c r="O182" s="15"/>
      <c r="P182" s="15"/>
      <c r="Q182" s="16"/>
      <c r="R182" s="291" t="s">
        <v>312</v>
      </c>
      <c r="S182" s="279"/>
      <c r="T182" s="279"/>
      <c r="U182" s="279"/>
      <c r="V182" s="279"/>
      <c r="W182" s="279"/>
      <c r="X182" s="279"/>
      <c r="Y182" s="279"/>
      <c r="Z182" s="279"/>
      <c r="AA182" s="279"/>
      <c r="AB182" s="279"/>
      <c r="AC182" s="279"/>
      <c r="AD182" s="279"/>
      <c r="AE182" s="279"/>
      <c r="AF182" s="279"/>
      <c r="AG182" s="279"/>
      <c r="AH182" s="279"/>
      <c r="AI182" s="279"/>
      <c r="AJ182" s="279"/>
      <c r="AK182" s="279"/>
      <c r="AL182" s="279"/>
      <c r="AM182" s="279"/>
      <c r="AN182" s="279"/>
      <c r="AO182" s="279"/>
      <c r="AP182" s="279"/>
      <c r="AQ182" s="279"/>
      <c r="AR182" s="279"/>
      <c r="AS182" s="279"/>
      <c r="AT182" s="279"/>
      <c r="AU182" s="279"/>
      <c r="AV182" s="279"/>
      <c r="AW182" s="279"/>
      <c r="AX182" s="279"/>
      <c r="AY182" s="279"/>
      <c r="AZ182" s="279"/>
      <c r="BA182" s="279"/>
      <c r="BB182" s="279"/>
      <c r="BC182" s="279"/>
      <c r="BD182" s="279"/>
      <c r="BE182" s="279"/>
      <c r="BF182" s="279"/>
      <c r="BG182" s="279"/>
      <c r="BH182" s="279"/>
      <c r="BI182" s="279"/>
      <c r="BJ182" s="279"/>
      <c r="BK182" s="279"/>
      <c r="BL182" s="279"/>
      <c r="BM182" s="279"/>
      <c r="BN182" s="279"/>
      <c r="BO182" s="279"/>
      <c r="BP182" s="279"/>
      <c r="BQ182" s="279"/>
    </row>
    <row r="183" ht="12.75" customHeight="1">
      <c r="A183" s="269"/>
      <c r="B183" s="285" t="s">
        <v>482</v>
      </c>
      <c r="C183" s="286"/>
      <c r="D183" s="286"/>
      <c r="E183" s="286"/>
      <c r="F183" s="286"/>
      <c r="G183" s="286"/>
      <c r="H183" s="286"/>
      <c r="I183" s="286"/>
      <c r="J183" s="286"/>
      <c r="K183" s="286"/>
      <c r="L183" s="287"/>
      <c r="M183" s="290">
        <v>1061.0</v>
      </c>
      <c r="N183" s="289">
        <f>+$N$181-$N$182</f>
        <v>0</v>
      </c>
      <c r="O183" s="15"/>
      <c r="P183" s="15"/>
      <c r="Q183" s="16"/>
      <c r="R183" s="338" t="s">
        <v>317</v>
      </c>
      <c r="S183" s="279"/>
      <c r="T183" s="279"/>
      <c r="U183" s="279"/>
      <c r="V183" s="279"/>
      <c r="W183" s="279"/>
      <c r="X183" s="279"/>
      <c r="Y183" s="279"/>
      <c r="Z183" s="279"/>
      <c r="AA183" s="279"/>
      <c r="AB183" s="279"/>
      <c r="AC183" s="279"/>
      <c r="AD183" s="279"/>
      <c r="AE183" s="279"/>
      <c r="AF183" s="279"/>
      <c r="AG183" s="279"/>
      <c r="AH183" s="279"/>
      <c r="AI183" s="279"/>
      <c r="AJ183" s="279"/>
      <c r="AK183" s="279"/>
      <c r="AL183" s="279"/>
      <c r="AM183" s="279"/>
      <c r="AN183" s="279"/>
      <c r="AO183" s="279"/>
      <c r="AP183" s="279"/>
      <c r="AQ183" s="279"/>
      <c r="AR183" s="279"/>
      <c r="AS183" s="279"/>
      <c r="AT183" s="279"/>
      <c r="AU183" s="279"/>
      <c r="AV183" s="279"/>
      <c r="AW183" s="279"/>
      <c r="AX183" s="279"/>
      <c r="AY183" s="279"/>
      <c r="AZ183" s="279"/>
      <c r="BA183" s="279"/>
      <c r="BB183" s="279"/>
      <c r="BC183" s="279"/>
      <c r="BD183" s="279"/>
      <c r="BE183" s="279"/>
      <c r="BF183" s="279"/>
      <c r="BG183" s="279"/>
      <c r="BH183" s="279"/>
      <c r="BI183" s="279"/>
      <c r="BJ183" s="279"/>
      <c r="BK183" s="279"/>
      <c r="BL183" s="279"/>
      <c r="BM183" s="279"/>
      <c r="BN183" s="279"/>
      <c r="BO183" s="279"/>
      <c r="BP183" s="279"/>
      <c r="BQ183" s="279"/>
    </row>
    <row r="184" ht="12.75" customHeight="1">
      <c r="A184" s="269"/>
      <c r="B184" s="285" t="s">
        <v>483</v>
      </c>
      <c r="C184" s="286"/>
      <c r="D184" s="286"/>
      <c r="E184" s="286"/>
      <c r="F184" s="286"/>
      <c r="G184" s="286"/>
      <c r="H184" s="286"/>
      <c r="I184" s="286"/>
      <c r="J184" s="286"/>
      <c r="K184" s="286"/>
      <c r="L184" s="287"/>
      <c r="M184" s="290">
        <v>1062.0</v>
      </c>
      <c r="N184" s="289">
        <f>+N183</f>
        <v>0</v>
      </c>
      <c r="O184" s="15"/>
      <c r="P184" s="15"/>
      <c r="Q184" s="16"/>
      <c r="R184" s="338" t="s">
        <v>317</v>
      </c>
      <c r="S184" s="279"/>
      <c r="T184" s="279"/>
      <c r="U184" s="279"/>
      <c r="V184" s="279"/>
      <c r="W184" s="279"/>
      <c r="X184" s="279"/>
      <c r="Y184" s="279"/>
      <c r="Z184" s="279"/>
      <c r="AA184" s="279"/>
      <c r="AB184" s="279"/>
      <c r="AC184" s="279"/>
      <c r="AD184" s="279"/>
      <c r="AE184" s="279"/>
      <c r="AF184" s="279"/>
      <c r="AG184" s="279"/>
      <c r="AH184" s="279"/>
      <c r="AI184" s="279"/>
      <c r="AJ184" s="279"/>
      <c r="AK184" s="279"/>
      <c r="AL184" s="279"/>
      <c r="AM184" s="279"/>
      <c r="AN184" s="279"/>
      <c r="AO184" s="279"/>
      <c r="AP184" s="279"/>
      <c r="AQ184" s="279"/>
      <c r="AR184" s="279"/>
      <c r="AS184" s="279"/>
      <c r="AT184" s="279"/>
      <c r="AU184" s="279"/>
      <c r="AV184" s="279"/>
      <c r="AW184" s="279"/>
      <c r="AX184" s="279"/>
      <c r="AY184" s="279"/>
      <c r="AZ184" s="279"/>
      <c r="BA184" s="279"/>
      <c r="BB184" s="279"/>
      <c r="BC184" s="279"/>
      <c r="BD184" s="279"/>
      <c r="BE184" s="279"/>
      <c r="BF184" s="279"/>
      <c r="BG184" s="279"/>
      <c r="BH184" s="279"/>
      <c r="BI184" s="279"/>
      <c r="BJ184" s="279"/>
      <c r="BK184" s="279"/>
      <c r="BL184" s="279"/>
      <c r="BM184" s="279"/>
      <c r="BN184" s="279"/>
      <c r="BO184" s="279"/>
      <c r="BP184" s="279"/>
      <c r="BQ184" s="279"/>
    </row>
    <row r="185" ht="12.75" customHeight="1">
      <c r="A185" s="269"/>
      <c r="B185" s="285" t="s">
        <v>484</v>
      </c>
      <c r="C185" s="286"/>
      <c r="D185" s="286"/>
      <c r="E185" s="286"/>
      <c r="F185" s="286"/>
      <c r="G185" s="286"/>
      <c r="H185" s="286"/>
      <c r="I185" s="286"/>
      <c r="J185" s="286"/>
      <c r="K185" s="286"/>
      <c r="L185" s="287"/>
      <c r="M185" s="290">
        <v>1099.0</v>
      </c>
      <c r="N185" s="289"/>
      <c r="O185" s="15"/>
      <c r="P185" s="15"/>
      <c r="Q185" s="16"/>
      <c r="R185" s="389"/>
      <c r="S185" s="279"/>
      <c r="T185" s="279"/>
      <c r="U185" s="279"/>
      <c r="V185" s="279"/>
      <c r="W185" s="279"/>
      <c r="X185" s="279"/>
      <c r="Y185" s="279"/>
      <c r="Z185" s="279"/>
      <c r="AA185" s="279"/>
      <c r="AB185" s="279"/>
      <c r="AC185" s="279"/>
      <c r="AD185" s="279"/>
      <c r="AE185" s="279"/>
      <c r="AF185" s="279"/>
      <c r="AG185" s="279"/>
      <c r="AH185" s="279"/>
      <c r="AI185" s="279"/>
      <c r="AJ185" s="279"/>
      <c r="AK185" s="279"/>
      <c r="AL185" s="279"/>
      <c r="AM185" s="279"/>
      <c r="AN185" s="279"/>
      <c r="AO185" s="279"/>
      <c r="AP185" s="279"/>
      <c r="AQ185" s="279"/>
      <c r="AR185" s="279"/>
      <c r="AS185" s="279"/>
      <c r="AT185" s="279"/>
      <c r="AU185" s="279"/>
      <c r="AV185" s="279"/>
      <c r="AW185" s="279"/>
      <c r="AX185" s="279"/>
      <c r="AY185" s="279"/>
      <c r="AZ185" s="279"/>
      <c r="BA185" s="279"/>
      <c r="BB185" s="279"/>
      <c r="BC185" s="279"/>
      <c r="BD185" s="279"/>
      <c r="BE185" s="279"/>
      <c r="BF185" s="279"/>
      <c r="BG185" s="279"/>
      <c r="BH185" s="279"/>
      <c r="BI185" s="279"/>
      <c r="BJ185" s="279"/>
      <c r="BK185" s="279"/>
      <c r="BL185" s="279"/>
      <c r="BM185" s="279"/>
      <c r="BN185" s="279"/>
      <c r="BO185" s="279"/>
      <c r="BP185" s="279"/>
      <c r="BQ185" s="279"/>
    </row>
    <row r="186" ht="12.75" customHeight="1">
      <c r="A186" s="269"/>
      <c r="B186" s="307" t="s">
        <v>485</v>
      </c>
      <c r="C186" s="308"/>
      <c r="D186" s="308"/>
      <c r="E186" s="308"/>
      <c r="F186" s="308"/>
      <c r="G186" s="308"/>
      <c r="H186" s="308"/>
      <c r="I186" s="308"/>
      <c r="J186" s="308"/>
      <c r="K186" s="308"/>
      <c r="L186" s="309"/>
      <c r="M186" s="299">
        <v>1847.0</v>
      </c>
      <c r="N186" s="300"/>
      <c r="O186" s="15"/>
      <c r="P186" s="15"/>
      <c r="Q186" s="16"/>
      <c r="R186" s="389"/>
      <c r="S186" s="279"/>
      <c r="T186" s="279"/>
      <c r="U186" s="279"/>
      <c r="V186" s="279"/>
      <c r="W186" s="279"/>
      <c r="X186" s="279"/>
      <c r="Y186" s="279"/>
      <c r="Z186" s="279"/>
      <c r="AA186" s="279"/>
      <c r="AB186" s="279"/>
      <c r="AC186" s="279"/>
      <c r="AD186" s="279"/>
      <c r="AE186" s="279"/>
      <c r="AF186" s="279"/>
      <c r="AG186" s="279"/>
      <c r="AH186" s="279"/>
      <c r="AI186" s="279"/>
      <c r="AJ186" s="279"/>
      <c r="AK186" s="279"/>
      <c r="AL186" s="279"/>
      <c r="AM186" s="279"/>
      <c r="AN186" s="279"/>
      <c r="AO186" s="279"/>
      <c r="AP186" s="279"/>
      <c r="AQ186" s="279"/>
      <c r="AR186" s="279"/>
      <c r="AS186" s="279"/>
      <c r="AT186" s="279"/>
      <c r="AU186" s="279"/>
      <c r="AV186" s="279"/>
      <c r="AW186" s="279"/>
      <c r="AX186" s="279"/>
      <c r="AY186" s="279"/>
      <c r="AZ186" s="279"/>
      <c r="BA186" s="279"/>
      <c r="BB186" s="279"/>
      <c r="BC186" s="279"/>
      <c r="BD186" s="279"/>
      <c r="BE186" s="279"/>
      <c r="BF186" s="279"/>
      <c r="BG186" s="279"/>
      <c r="BH186" s="279"/>
      <c r="BI186" s="279"/>
      <c r="BJ186" s="279"/>
      <c r="BK186" s="279"/>
      <c r="BL186" s="279"/>
      <c r="BM186" s="279"/>
      <c r="BN186" s="279"/>
      <c r="BO186" s="279"/>
      <c r="BP186" s="279"/>
      <c r="BQ186" s="279"/>
    </row>
    <row r="187" ht="12.75" customHeight="1">
      <c r="A187" s="269"/>
      <c r="B187" s="285" t="s">
        <v>486</v>
      </c>
      <c r="C187" s="286"/>
      <c r="D187" s="286"/>
      <c r="E187" s="286"/>
      <c r="F187" s="286"/>
      <c r="G187" s="286"/>
      <c r="H187" s="286"/>
      <c r="I187" s="286"/>
      <c r="J187" s="286"/>
      <c r="K187" s="286"/>
      <c r="L187" s="287"/>
      <c r="M187" s="290">
        <v>1100.0</v>
      </c>
      <c r="N187" s="289"/>
      <c r="O187" s="15"/>
      <c r="P187" s="15"/>
      <c r="Q187" s="16"/>
      <c r="R187" s="389"/>
      <c r="S187" s="279"/>
      <c r="T187" s="279"/>
      <c r="U187" s="279"/>
      <c r="V187" s="279"/>
      <c r="W187" s="279"/>
      <c r="X187" s="279"/>
      <c r="Y187" s="279"/>
      <c r="Z187" s="279"/>
      <c r="AA187" s="279"/>
      <c r="AB187" s="279"/>
      <c r="AC187" s="279"/>
      <c r="AD187" s="279"/>
      <c r="AE187" s="279"/>
      <c r="AF187" s="279"/>
      <c r="AG187" s="279"/>
      <c r="AH187" s="279"/>
      <c r="AI187" s="279"/>
      <c r="AJ187" s="279"/>
      <c r="AK187" s="279"/>
      <c r="AL187" s="279"/>
      <c r="AM187" s="279"/>
      <c r="AN187" s="279"/>
      <c r="AO187" s="279"/>
      <c r="AP187" s="279"/>
      <c r="AQ187" s="279"/>
      <c r="AR187" s="279"/>
      <c r="AS187" s="279"/>
      <c r="AT187" s="279"/>
      <c r="AU187" s="279"/>
      <c r="AV187" s="279"/>
      <c r="AW187" s="279"/>
      <c r="AX187" s="279"/>
      <c r="AY187" s="279"/>
      <c r="AZ187" s="279"/>
      <c r="BA187" s="279"/>
      <c r="BB187" s="279"/>
      <c r="BC187" s="279"/>
      <c r="BD187" s="279"/>
      <c r="BE187" s="279"/>
      <c r="BF187" s="279"/>
      <c r="BG187" s="279"/>
      <c r="BH187" s="279"/>
      <c r="BI187" s="279"/>
      <c r="BJ187" s="279"/>
      <c r="BK187" s="279"/>
      <c r="BL187" s="279"/>
      <c r="BM187" s="279"/>
      <c r="BN187" s="279"/>
      <c r="BO187" s="279"/>
      <c r="BP187" s="279"/>
      <c r="BQ187" s="279"/>
    </row>
    <row r="188" ht="12.75" customHeight="1">
      <c r="A188" s="269"/>
      <c r="B188" s="285" t="s">
        <v>487</v>
      </c>
      <c r="C188" s="286"/>
      <c r="D188" s="286"/>
      <c r="E188" s="286"/>
      <c r="F188" s="286"/>
      <c r="G188" s="286"/>
      <c r="H188" s="286"/>
      <c r="I188" s="286"/>
      <c r="J188" s="286"/>
      <c r="K188" s="286"/>
      <c r="L188" s="287"/>
      <c r="M188" s="290">
        <v>1114.0</v>
      </c>
      <c r="N188" s="289"/>
      <c r="O188" s="15"/>
      <c r="P188" s="15"/>
      <c r="Q188" s="16"/>
      <c r="R188" s="389"/>
      <c r="S188" s="279"/>
      <c r="T188" s="279"/>
      <c r="U188" s="279"/>
      <c r="V188" s="279"/>
      <c r="W188" s="279"/>
      <c r="X188" s="279"/>
      <c r="Y188" s="279"/>
      <c r="Z188" s="279"/>
      <c r="AA188" s="279"/>
      <c r="AB188" s="279"/>
      <c r="AC188" s="279"/>
      <c r="AD188" s="279"/>
      <c r="AE188" s="279"/>
      <c r="AF188" s="279"/>
      <c r="AG188" s="279"/>
      <c r="AH188" s="279"/>
      <c r="AI188" s="279"/>
      <c r="AJ188" s="279"/>
      <c r="AK188" s="279"/>
      <c r="AL188" s="279"/>
      <c r="AM188" s="279"/>
      <c r="AN188" s="279"/>
      <c r="AO188" s="279"/>
      <c r="AP188" s="279"/>
      <c r="AQ188" s="279"/>
      <c r="AR188" s="279"/>
      <c r="AS188" s="279"/>
      <c r="AT188" s="279"/>
      <c r="AU188" s="279"/>
      <c r="AV188" s="279"/>
      <c r="AW188" s="279"/>
      <c r="AX188" s="279"/>
      <c r="AY188" s="279"/>
      <c r="AZ188" s="279"/>
      <c r="BA188" s="279"/>
      <c r="BB188" s="279"/>
      <c r="BC188" s="279"/>
      <c r="BD188" s="279"/>
      <c r="BE188" s="279"/>
      <c r="BF188" s="279"/>
      <c r="BG188" s="279"/>
      <c r="BH188" s="279"/>
      <c r="BI188" s="279"/>
      <c r="BJ188" s="279"/>
      <c r="BK188" s="279"/>
      <c r="BL188" s="279"/>
      <c r="BM188" s="279"/>
      <c r="BN188" s="279"/>
      <c r="BO188" s="279"/>
      <c r="BP188" s="279"/>
      <c r="BQ188" s="279"/>
    </row>
    <row r="189" ht="12.75" customHeight="1">
      <c r="A189" s="269"/>
      <c r="B189" s="348" t="s">
        <v>488</v>
      </c>
      <c r="C189" s="15"/>
      <c r="D189" s="15"/>
      <c r="E189" s="15"/>
      <c r="F189" s="15"/>
      <c r="G189" s="15"/>
      <c r="H189" s="15"/>
      <c r="I189" s="15"/>
      <c r="J189" s="15"/>
      <c r="K189" s="15"/>
      <c r="L189" s="15"/>
      <c r="M189" s="15"/>
      <c r="N189" s="15"/>
      <c r="O189" s="15"/>
      <c r="P189" s="15"/>
      <c r="Q189" s="15"/>
      <c r="R189" s="16"/>
      <c r="S189" s="279"/>
      <c r="T189" s="279"/>
      <c r="U189" s="279"/>
      <c r="V189" s="279"/>
      <c r="W189" s="279"/>
      <c r="X189" s="279"/>
      <c r="Y189" s="279"/>
      <c r="Z189" s="279"/>
      <c r="AA189" s="279"/>
      <c r="AB189" s="279"/>
      <c r="AC189" s="279"/>
      <c r="AD189" s="279"/>
      <c r="AE189" s="279"/>
      <c r="AF189" s="279"/>
      <c r="AG189" s="279"/>
      <c r="AH189" s="279"/>
      <c r="AI189" s="279"/>
      <c r="AJ189" s="279"/>
      <c r="AK189" s="279"/>
      <c r="AL189" s="279"/>
      <c r="AM189" s="279"/>
      <c r="AN189" s="279"/>
      <c r="AO189" s="279"/>
      <c r="AP189" s="279"/>
      <c r="AQ189" s="279"/>
      <c r="AR189" s="279"/>
      <c r="AS189" s="279"/>
      <c r="AT189" s="279"/>
      <c r="AU189" s="279"/>
      <c r="AV189" s="279"/>
      <c r="AW189" s="279"/>
      <c r="AX189" s="279"/>
      <c r="AY189" s="279"/>
      <c r="AZ189" s="279"/>
      <c r="BA189" s="279"/>
      <c r="BB189" s="279"/>
      <c r="BC189" s="279"/>
      <c r="BD189" s="279"/>
      <c r="BE189" s="279"/>
      <c r="BF189" s="279"/>
      <c r="BG189" s="279"/>
      <c r="BH189" s="279"/>
      <c r="BI189" s="279"/>
      <c r="BJ189" s="279"/>
      <c r="BK189" s="279"/>
      <c r="BL189" s="279"/>
      <c r="BM189" s="279"/>
      <c r="BN189" s="279"/>
      <c r="BO189" s="279"/>
      <c r="BP189" s="279"/>
      <c r="BQ189" s="279"/>
    </row>
    <row r="190" ht="12.75" customHeight="1">
      <c r="A190" s="269"/>
      <c r="B190" s="285" t="s">
        <v>489</v>
      </c>
      <c r="C190" s="286"/>
      <c r="D190" s="286"/>
      <c r="E190" s="286"/>
      <c r="F190" s="286"/>
      <c r="G190" s="286"/>
      <c r="H190" s="286"/>
      <c r="I190" s="286"/>
      <c r="J190" s="286"/>
      <c r="K190" s="286"/>
      <c r="L190" s="287"/>
      <c r="M190" s="290">
        <v>1063.0</v>
      </c>
      <c r="N190" s="289"/>
      <c r="O190" s="15"/>
      <c r="P190" s="15"/>
      <c r="Q190" s="16"/>
      <c r="R190" s="389"/>
      <c r="S190" s="279"/>
      <c r="T190" s="279"/>
      <c r="U190" s="279"/>
      <c r="V190" s="279"/>
      <c r="W190" s="279"/>
      <c r="X190" s="279"/>
      <c r="Y190" s="279"/>
      <c r="Z190" s="279"/>
      <c r="AA190" s="279"/>
      <c r="AB190" s="279"/>
      <c r="AC190" s="279"/>
      <c r="AD190" s="279"/>
      <c r="AE190" s="279"/>
      <c r="AF190" s="279"/>
      <c r="AG190" s="279"/>
      <c r="AH190" s="279"/>
      <c r="AI190" s="279"/>
      <c r="AJ190" s="279"/>
      <c r="AK190" s="279"/>
      <c r="AL190" s="279"/>
      <c r="AM190" s="279"/>
      <c r="AN190" s="279"/>
      <c r="AO190" s="279"/>
      <c r="AP190" s="279"/>
      <c r="AQ190" s="279"/>
      <c r="AR190" s="279"/>
      <c r="AS190" s="279"/>
      <c r="AT190" s="279"/>
      <c r="AU190" s="279"/>
      <c r="AV190" s="279"/>
      <c r="AW190" s="279"/>
      <c r="AX190" s="279"/>
      <c r="AY190" s="279"/>
      <c r="AZ190" s="279"/>
      <c r="BA190" s="279"/>
      <c r="BB190" s="279"/>
      <c r="BC190" s="279"/>
      <c r="BD190" s="279"/>
      <c r="BE190" s="279"/>
      <c r="BF190" s="279"/>
      <c r="BG190" s="279"/>
      <c r="BH190" s="279"/>
      <c r="BI190" s="279"/>
      <c r="BJ190" s="279"/>
      <c r="BK190" s="279"/>
      <c r="BL190" s="279"/>
      <c r="BM190" s="279"/>
      <c r="BN190" s="279"/>
      <c r="BO190" s="279"/>
      <c r="BP190" s="279"/>
      <c r="BQ190" s="279"/>
    </row>
    <row r="191" ht="12.75" customHeight="1">
      <c r="A191" s="269"/>
      <c r="B191" s="312" t="s">
        <v>490</v>
      </c>
      <c r="C191" s="312"/>
      <c r="D191" s="312"/>
      <c r="E191" s="312"/>
      <c r="F191" s="312"/>
      <c r="G191" s="312"/>
      <c r="H191" s="312"/>
      <c r="I191" s="312"/>
      <c r="J191" s="312"/>
      <c r="K191" s="312"/>
      <c r="L191" s="312"/>
      <c r="M191" s="290">
        <v>1064.0</v>
      </c>
      <c r="N191" s="289"/>
      <c r="O191" s="15"/>
      <c r="P191" s="15"/>
      <c r="Q191" s="16"/>
      <c r="R191" s="389"/>
      <c r="S191" s="279"/>
      <c r="T191" s="279"/>
      <c r="U191" s="279"/>
      <c r="V191" s="279"/>
      <c r="W191" s="279"/>
      <c r="X191" s="279"/>
      <c r="Y191" s="279"/>
      <c r="Z191" s="279"/>
      <c r="AA191" s="279"/>
      <c r="AB191" s="279"/>
      <c r="AC191" s="279"/>
      <c r="AD191" s="279"/>
      <c r="AE191" s="279"/>
      <c r="AF191" s="279"/>
      <c r="AG191" s="279"/>
      <c r="AH191" s="279"/>
      <c r="AI191" s="279"/>
      <c r="AJ191" s="279"/>
      <c r="AK191" s="279"/>
      <c r="AL191" s="279"/>
      <c r="AM191" s="279"/>
      <c r="AN191" s="279"/>
      <c r="AO191" s="279"/>
      <c r="AP191" s="279"/>
      <c r="AQ191" s="279"/>
      <c r="AR191" s="279"/>
      <c r="AS191" s="279"/>
      <c r="AT191" s="279"/>
      <c r="AU191" s="279"/>
      <c r="AV191" s="279"/>
      <c r="AW191" s="279"/>
      <c r="AX191" s="279"/>
      <c r="AY191" s="279"/>
      <c r="AZ191" s="279"/>
      <c r="BA191" s="279"/>
      <c r="BB191" s="279"/>
      <c r="BC191" s="279"/>
      <c r="BD191" s="279"/>
      <c r="BE191" s="279"/>
      <c r="BF191" s="279"/>
      <c r="BG191" s="279"/>
      <c r="BH191" s="279"/>
      <c r="BI191" s="279"/>
      <c r="BJ191" s="279"/>
      <c r="BK191" s="279"/>
      <c r="BL191" s="279"/>
      <c r="BM191" s="279"/>
      <c r="BN191" s="279"/>
      <c r="BO191" s="279"/>
      <c r="BP191" s="279"/>
      <c r="BQ191" s="279"/>
    </row>
    <row r="192" ht="12.75" customHeight="1">
      <c r="A192" s="269"/>
      <c r="B192" s="312" t="s">
        <v>491</v>
      </c>
      <c r="C192" s="312"/>
      <c r="D192" s="312"/>
      <c r="E192" s="312"/>
      <c r="F192" s="312"/>
      <c r="G192" s="312"/>
      <c r="H192" s="312"/>
      <c r="I192" s="312"/>
      <c r="J192" s="312"/>
      <c r="K192" s="312"/>
      <c r="L192" s="312"/>
      <c r="M192" s="290">
        <v>1065.0</v>
      </c>
      <c r="N192" s="289"/>
      <c r="O192" s="15"/>
      <c r="P192" s="15"/>
      <c r="Q192" s="16"/>
      <c r="R192" s="389"/>
      <c r="S192" s="279"/>
      <c r="T192" s="279"/>
      <c r="U192" s="279"/>
      <c r="V192" s="279"/>
      <c r="W192" s="279"/>
      <c r="X192" s="279"/>
      <c r="Y192" s="279"/>
      <c r="Z192" s="279"/>
      <c r="AA192" s="279"/>
      <c r="AB192" s="279"/>
      <c r="AC192" s="279"/>
      <c r="AD192" s="279"/>
      <c r="AE192" s="279"/>
      <c r="AF192" s="279"/>
      <c r="AG192" s="279"/>
      <c r="AH192" s="279"/>
      <c r="AI192" s="279"/>
      <c r="AJ192" s="279"/>
      <c r="AK192" s="279"/>
      <c r="AL192" s="279"/>
      <c r="AM192" s="279"/>
      <c r="AN192" s="279"/>
      <c r="AO192" s="279"/>
      <c r="AP192" s="279"/>
      <c r="AQ192" s="279"/>
      <c r="AR192" s="279"/>
      <c r="AS192" s="279"/>
      <c r="AT192" s="279"/>
      <c r="AU192" s="279"/>
      <c r="AV192" s="279"/>
      <c r="AW192" s="279"/>
      <c r="AX192" s="279"/>
      <c r="AY192" s="279"/>
      <c r="AZ192" s="279"/>
      <c r="BA192" s="279"/>
      <c r="BB192" s="279"/>
      <c r="BC192" s="279"/>
      <c r="BD192" s="279"/>
      <c r="BE192" s="279"/>
      <c r="BF192" s="279"/>
      <c r="BG192" s="279"/>
      <c r="BH192" s="279"/>
      <c r="BI192" s="279"/>
      <c r="BJ192" s="279"/>
      <c r="BK192" s="279"/>
      <c r="BL192" s="279"/>
      <c r="BM192" s="279"/>
      <c r="BN192" s="279"/>
      <c r="BO192" s="279"/>
      <c r="BP192" s="279"/>
      <c r="BQ192" s="279"/>
    </row>
    <row r="193" ht="12.75" customHeight="1">
      <c r="A193" s="269"/>
      <c r="B193" s="279"/>
      <c r="C193" s="279"/>
      <c r="D193" s="279"/>
      <c r="E193" s="279"/>
      <c r="F193" s="279"/>
      <c r="G193" s="279"/>
      <c r="H193" s="279"/>
      <c r="I193" s="279"/>
      <c r="J193" s="279"/>
      <c r="K193" s="279"/>
      <c r="L193" s="279"/>
      <c r="M193" s="279"/>
      <c r="N193" s="279"/>
      <c r="O193" s="279"/>
      <c r="P193" s="279"/>
      <c r="Q193" s="279"/>
      <c r="R193" s="279"/>
      <c r="S193" s="279"/>
      <c r="T193" s="279"/>
      <c r="U193" s="279"/>
      <c r="V193" s="279"/>
      <c r="W193" s="279"/>
      <c r="X193" s="279"/>
      <c r="Y193" s="279"/>
      <c r="Z193" s="279"/>
      <c r="AA193" s="279"/>
      <c r="AB193" s="279"/>
      <c r="AC193" s="279"/>
      <c r="AD193" s="279"/>
      <c r="AE193" s="279"/>
      <c r="AF193" s="279"/>
      <c r="AG193" s="279"/>
      <c r="AH193" s="279"/>
      <c r="AI193" s="279"/>
      <c r="AJ193" s="279"/>
      <c r="AK193" s="279"/>
      <c r="AL193" s="279"/>
      <c r="AM193" s="279"/>
      <c r="AN193" s="279"/>
      <c r="AO193" s="279"/>
      <c r="AP193" s="279"/>
      <c r="AQ193" s="279"/>
      <c r="AR193" s="279"/>
      <c r="AS193" s="279"/>
      <c r="AT193" s="279"/>
      <c r="AU193" s="279"/>
      <c r="AV193" s="279"/>
      <c r="AW193" s="279"/>
      <c r="AX193" s="279"/>
      <c r="AY193" s="279"/>
      <c r="AZ193" s="279"/>
      <c r="BA193" s="279"/>
      <c r="BB193" s="279"/>
      <c r="BC193" s="279"/>
      <c r="BD193" s="279"/>
      <c r="BE193" s="279"/>
      <c r="BF193" s="279"/>
      <c r="BG193" s="279"/>
      <c r="BH193" s="279"/>
      <c r="BI193" s="279"/>
      <c r="BJ193" s="279"/>
      <c r="BK193" s="279"/>
      <c r="BL193" s="279"/>
      <c r="BM193" s="279"/>
      <c r="BN193" s="279"/>
      <c r="BO193" s="279"/>
      <c r="BP193" s="279"/>
      <c r="BQ193" s="279"/>
    </row>
    <row r="194" ht="12.75" customHeight="1">
      <c r="A194" s="275"/>
      <c r="B194" s="388" t="s">
        <v>492</v>
      </c>
      <c r="C194" s="22"/>
      <c r="D194" s="22"/>
      <c r="E194" s="22"/>
      <c r="F194" s="22"/>
      <c r="G194" s="22"/>
      <c r="H194" s="22"/>
      <c r="I194" s="22"/>
      <c r="J194" s="22"/>
      <c r="K194" s="22"/>
      <c r="L194" s="22"/>
      <c r="M194" s="22"/>
      <c r="N194" s="23"/>
      <c r="O194" s="279"/>
      <c r="P194" s="279"/>
      <c r="Q194" s="279"/>
      <c r="R194" s="279"/>
      <c r="S194" s="279"/>
      <c r="T194" s="279"/>
      <c r="U194" s="279"/>
      <c r="V194" s="279"/>
      <c r="W194" s="279"/>
      <c r="X194" s="279"/>
      <c r="Y194" s="279"/>
      <c r="Z194" s="279"/>
      <c r="AA194" s="279"/>
      <c r="AB194" s="279"/>
      <c r="AC194" s="279"/>
      <c r="AD194" s="279"/>
      <c r="AE194" s="279"/>
      <c r="AF194" s="279"/>
      <c r="AG194" s="279"/>
      <c r="AH194" s="279"/>
      <c r="AI194" s="279"/>
      <c r="AJ194" s="279"/>
      <c r="AK194" s="279"/>
      <c r="AL194" s="279"/>
      <c r="AM194" s="279"/>
      <c r="AN194" s="279"/>
      <c r="AO194" s="279"/>
      <c r="AP194" s="279"/>
      <c r="AQ194" s="279"/>
      <c r="AR194" s="279"/>
      <c r="AS194" s="279"/>
      <c r="AT194" s="279"/>
      <c r="AU194" s="279"/>
      <c r="AV194" s="279"/>
      <c r="AW194" s="279"/>
      <c r="AX194" s="279"/>
      <c r="AY194" s="279"/>
      <c r="AZ194" s="279"/>
      <c r="BA194" s="279"/>
      <c r="BB194" s="279"/>
      <c r="BC194" s="279"/>
      <c r="BD194" s="279"/>
      <c r="BE194" s="279"/>
      <c r="BF194" s="279"/>
      <c r="BG194" s="279"/>
      <c r="BH194" s="279"/>
      <c r="BI194" s="279"/>
      <c r="BJ194" s="279"/>
      <c r="BK194" s="279"/>
      <c r="BL194" s="279"/>
      <c r="BM194" s="279"/>
      <c r="BN194" s="279"/>
      <c r="BO194" s="279"/>
      <c r="BP194" s="279"/>
      <c r="BQ194" s="279"/>
    </row>
    <row r="195" ht="12.75" customHeight="1">
      <c r="A195" s="275"/>
      <c r="B195" s="28"/>
      <c r="C195" s="29"/>
      <c r="D195" s="29"/>
      <c r="E195" s="29"/>
      <c r="F195" s="29"/>
      <c r="G195" s="29"/>
      <c r="H195" s="29"/>
      <c r="I195" s="29"/>
      <c r="J195" s="29"/>
      <c r="K195" s="29"/>
      <c r="L195" s="29"/>
      <c r="M195" s="29"/>
      <c r="N195" s="30"/>
      <c r="O195" s="279"/>
      <c r="P195" s="279"/>
      <c r="Q195" s="279"/>
      <c r="R195" s="279"/>
      <c r="S195" s="279"/>
      <c r="T195" s="279"/>
      <c r="U195" s="279"/>
      <c r="V195" s="279"/>
      <c r="W195" s="279"/>
      <c r="X195" s="279"/>
      <c r="Y195" s="279"/>
      <c r="Z195" s="279"/>
      <c r="AA195" s="279"/>
      <c r="AB195" s="279"/>
      <c r="AC195" s="279"/>
      <c r="AD195" s="279"/>
      <c r="AE195" s="279"/>
      <c r="AF195" s="279"/>
      <c r="AG195" s="279"/>
      <c r="AH195" s="279"/>
      <c r="AI195" s="279"/>
      <c r="AJ195" s="279"/>
      <c r="AK195" s="279"/>
      <c r="AL195" s="279"/>
      <c r="AM195" s="279"/>
      <c r="AN195" s="279"/>
      <c r="AO195" s="279"/>
      <c r="AP195" s="279"/>
      <c r="AQ195" s="279"/>
      <c r="AR195" s="279"/>
      <c r="AS195" s="279"/>
      <c r="AT195" s="279"/>
      <c r="AU195" s="279"/>
      <c r="AV195" s="279"/>
      <c r="AW195" s="279"/>
      <c r="AX195" s="279"/>
      <c r="AY195" s="279"/>
      <c r="AZ195" s="279"/>
      <c r="BA195" s="279"/>
      <c r="BB195" s="279"/>
      <c r="BC195" s="279"/>
      <c r="BD195" s="279"/>
      <c r="BE195" s="279"/>
      <c r="BF195" s="279"/>
      <c r="BG195" s="279"/>
      <c r="BH195" s="279"/>
      <c r="BI195" s="279"/>
      <c r="BJ195" s="279"/>
      <c r="BK195" s="279"/>
      <c r="BL195" s="279"/>
      <c r="BM195" s="279"/>
      <c r="BN195" s="279"/>
      <c r="BO195" s="279"/>
      <c r="BP195" s="279"/>
      <c r="BQ195" s="279"/>
    </row>
    <row r="196" ht="12.75" customHeight="1">
      <c r="A196" s="269"/>
      <c r="B196" s="325" t="s">
        <v>493</v>
      </c>
      <c r="C196" s="326"/>
      <c r="D196" s="326"/>
      <c r="E196" s="326"/>
      <c r="F196" s="326"/>
      <c r="G196" s="326"/>
      <c r="H196" s="326"/>
      <c r="I196" s="290">
        <v>701.0</v>
      </c>
      <c r="J196" s="289"/>
      <c r="K196" s="15"/>
      <c r="L196" s="15"/>
      <c r="M196" s="16"/>
      <c r="N196" s="338" t="s">
        <v>281</v>
      </c>
      <c r="O196" s="279"/>
      <c r="P196" s="279"/>
      <c r="Q196" s="279"/>
      <c r="R196" s="279"/>
      <c r="S196" s="279"/>
      <c r="T196" s="279"/>
      <c r="U196" s="279"/>
      <c r="V196" s="279"/>
      <c r="W196" s="279"/>
      <c r="X196" s="279"/>
      <c r="Y196" s="279"/>
      <c r="Z196" s="279"/>
      <c r="AA196" s="279"/>
      <c r="AB196" s="279"/>
      <c r="AC196" s="279"/>
      <c r="AD196" s="279"/>
      <c r="AE196" s="279"/>
      <c r="AF196" s="279"/>
      <c r="AG196" s="279"/>
      <c r="AH196" s="279"/>
      <c r="AI196" s="279"/>
      <c r="AJ196" s="279"/>
      <c r="AK196" s="279"/>
      <c r="AL196" s="279"/>
      <c r="AM196" s="279"/>
      <c r="AN196" s="279"/>
      <c r="AO196" s="279"/>
      <c r="AP196" s="279"/>
      <c r="AQ196" s="279"/>
      <c r="AR196" s="279"/>
      <c r="AS196" s="279"/>
      <c r="AT196" s="279"/>
      <c r="AU196" s="279"/>
      <c r="AV196" s="279"/>
      <c r="AW196" s="279"/>
      <c r="AX196" s="279"/>
      <c r="AY196" s="279"/>
      <c r="AZ196" s="279"/>
      <c r="BA196" s="279"/>
      <c r="BB196" s="279"/>
      <c r="BC196" s="279"/>
      <c r="BD196" s="279"/>
      <c r="BE196" s="279"/>
      <c r="BF196" s="279"/>
      <c r="BG196" s="279"/>
      <c r="BH196" s="279"/>
      <c r="BI196" s="279"/>
      <c r="BJ196" s="279"/>
      <c r="BK196" s="279"/>
      <c r="BL196" s="279"/>
      <c r="BM196" s="279"/>
      <c r="BN196" s="279"/>
      <c r="BO196" s="279"/>
      <c r="BP196" s="279"/>
      <c r="BQ196" s="279"/>
    </row>
    <row r="197" ht="12.75" customHeight="1">
      <c r="A197" s="269"/>
      <c r="B197" s="325" t="s">
        <v>494</v>
      </c>
      <c r="C197" s="326"/>
      <c r="D197" s="326"/>
      <c r="E197" s="326"/>
      <c r="F197" s="326"/>
      <c r="G197" s="326"/>
      <c r="H197" s="326"/>
      <c r="I197" s="290">
        <v>702.0</v>
      </c>
      <c r="J197" s="289"/>
      <c r="K197" s="15"/>
      <c r="L197" s="15"/>
      <c r="M197" s="16"/>
      <c r="N197" s="338" t="s">
        <v>312</v>
      </c>
      <c r="O197" s="279"/>
      <c r="P197" s="279"/>
      <c r="Q197" s="279"/>
      <c r="R197" s="279"/>
      <c r="S197" s="279"/>
      <c r="T197" s="279"/>
      <c r="U197" s="279"/>
      <c r="V197" s="279"/>
      <c r="W197" s="279"/>
      <c r="X197" s="279"/>
      <c r="Y197" s="279"/>
      <c r="Z197" s="279"/>
      <c r="AA197" s="279"/>
      <c r="AB197" s="279"/>
      <c r="AC197" s="279"/>
      <c r="AD197" s="279"/>
      <c r="AE197" s="279"/>
      <c r="AF197" s="279"/>
      <c r="AG197" s="279"/>
      <c r="AH197" s="279"/>
      <c r="AI197" s="279"/>
      <c r="AJ197" s="279"/>
      <c r="AK197" s="279"/>
      <c r="AL197" s="279"/>
      <c r="AM197" s="279"/>
      <c r="AN197" s="279"/>
      <c r="AO197" s="279"/>
      <c r="AP197" s="279"/>
      <c r="AQ197" s="279"/>
      <c r="AR197" s="279"/>
      <c r="AS197" s="279"/>
      <c r="AT197" s="279"/>
      <c r="AU197" s="279"/>
      <c r="AV197" s="279"/>
      <c r="AW197" s="279"/>
      <c r="AX197" s="279"/>
      <c r="AY197" s="279"/>
      <c r="AZ197" s="279"/>
      <c r="BA197" s="279"/>
      <c r="BB197" s="279"/>
      <c r="BC197" s="279"/>
      <c r="BD197" s="279"/>
      <c r="BE197" s="279"/>
      <c r="BF197" s="279"/>
      <c r="BG197" s="279"/>
      <c r="BH197" s="279"/>
      <c r="BI197" s="279"/>
      <c r="BJ197" s="279"/>
      <c r="BK197" s="279"/>
      <c r="BL197" s="279"/>
      <c r="BM197" s="279"/>
      <c r="BN197" s="279"/>
      <c r="BO197" s="279"/>
      <c r="BP197" s="279"/>
      <c r="BQ197" s="279"/>
    </row>
    <row r="198" ht="12.75" customHeight="1">
      <c r="A198" s="269"/>
      <c r="B198" s="325" t="s">
        <v>495</v>
      </c>
      <c r="C198" s="326"/>
      <c r="D198" s="326"/>
      <c r="E198" s="326"/>
      <c r="F198" s="326"/>
      <c r="G198" s="326"/>
      <c r="H198" s="326"/>
      <c r="I198" s="290">
        <v>703.0</v>
      </c>
      <c r="J198" s="289">
        <f>+$J$196-$J$197</f>
        <v>0</v>
      </c>
      <c r="K198" s="15"/>
      <c r="L198" s="15"/>
      <c r="M198" s="16"/>
      <c r="N198" s="338" t="s">
        <v>317</v>
      </c>
      <c r="O198" s="279"/>
      <c r="P198" s="279"/>
      <c r="Q198" s="279"/>
      <c r="R198" s="279"/>
      <c r="S198" s="279"/>
      <c r="T198" s="279"/>
      <c r="U198" s="279"/>
      <c r="V198" s="279"/>
      <c r="W198" s="279"/>
      <c r="X198" s="279"/>
      <c r="Y198" s="279"/>
      <c r="Z198" s="279"/>
      <c r="AA198" s="279"/>
      <c r="AB198" s="279"/>
      <c r="AC198" s="279"/>
      <c r="AD198" s="279"/>
      <c r="AE198" s="279"/>
      <c r="AF198" s="279"/>
      <c r="AG198" s="279"/>
      <c r="AH198" s="279"/>
      <c r="AI198" s="279"/>
      <c r="AJ198" s="279"/>
      <c r="AK198" s="279"/>
      <c r="AL198" s="279"/>
      <c r="AM198" s="279"/>
      <c r="AN198" s="279"/>
      <c r="AO198" s="279"/>
      <c r="AP198" s="279"/>
      <c r="AQ198" s="279"/>
      <c r="AR198" s="279"/>
      <c r="AS198" s="279"/>
      <c r="AT198" s="279"/>
      <c r="AU198" s="279"/>
      <c r="AV198" s="279"/>
      <c r="AW198" s="279"/>
      <c r="AX198" s="279"/>
      <c r="AY198" s="279"/>
      <c r="AZ198" s="279"/>
      <c r="BA198" s="279"/>
      <c r="BB198" s="279"/>
      <c r="BC198" s="279"/>
      <c r="BD198" s="279"/>
      <c r="BE198" s="279"/>
      <c r="BF198" s="279"/>
      <c r="BG198" s="279"/>
      <c r="BH198" s="279"/>
      <c r="BI198" s="279"/>
      <c r="BJ198" s="279"/>
      <c r="BK198" s="279"/>
      <c r="BL198" s="279"/>
      <c r="BM198" s="279"/>
      <c r="BN198" s="279"/>
      <c r="BO198" s="279"/>
      <c r="BP198" s="279"/>
      <c r="BQ198" s="279"/>
    </row>
    <row r="199" ht="12.75" customHeight="1">
      <c r="A199" s="269"/>
      <c r="B199" s="325" t="s">
        <v>496</v>
      </c>
      <c r="C199" s="326"/>
      <c r="D199" s="326"/>
      <c r="E199" s="326"/>
      <c r="F199" s="326"/>
      <c r="G199" s="326"/>
      <c r="H199" s="326"/>
      <c r="I199" s="290">
        <v>704.0</v>
      </c>
      <c r="J199" s="289"/>
      <c r="K199" s="15"/>
      <c r="L199" s="15"/>
      <c r="M199" s="16"/>
      <c r="N199" s="338" t="s">
        <v>281</v>
      </c>
      <c r="O199" s="279"/>
      <c r="P199" s="279"/>
      <c r="Q199" s="279"/>
      <c r="R199" s="279"/>
      <c r="S199" s="279"/>
      <c r="T199" s="279"/>
      <c r="U199" s="279"/>
      <c r="V199" s="279"/>
      <c r="W199" s="279"/>
      <c r="X199" s="279"/>
      <c r="Y199" s="279"/>
      <c r="Z199" s="279"/>
      <c r="AA199" s="279"/>
      <c r="AB199" s="279"/>
      <c r="AC199" s="279"/>
      <c r="AD199" s="279"/>
      <c r="AE199" s="279"/>
      <c r="AF199" s="279"/>
      <c r="AG199" s="279"/>
      <c r="AH199" s="279"/>
      <c r="AI199" s="279"/>
      <c r="AJ199" s="279"/>
      <c r="AK199" s="279"/>
      <c r="AL199" s="279"/>
      <c r="AM199" s="279"/>
      <c r="AN199" s="279"/>
      <c r="AO199" s="279"/>
      <c r="AP199" s="279"/>
      <c r="AQ199" s="279"/>
      <c r="AR199" s="279"/>
      <c r="AS199" s="279"/>
      <c r="AT199" s="279"/>
      <c r="AU199" s="279"/>
      <c r="AV199" s="279"/>
      <c r="AW199" s="279"/>
      <c r="AX199" s="279"/>
      <c r="AY199" s="279"/>
      <c r="AZ199" s="279"/>
      <c r="BA199" s="279"/>
      <c r="BB199" s="279"/>
      <c r="BC199" s="279"/>
      <c r="BD199" s="279"/>
      <c r="BE199" s="279"/>
      <c r="BF199" s="279"/>
      <c r="BG199" s="279"/>
      <c r="BH199" s="279"/>
      <c r="BI199" s="279"/>
      <c r="BJ199" s="279"/>
      <c r="BK199" s="279"/>
      <c r="BL199" s="279"/>
      <c r="BM199" s="279"/>
      <c r="BN199" s="279"/>
      <c r="BO199" s="279"/>
      <c r="BP199" s="279"/>
      <c r="BQ199" s="279"/>
    </row>
    <row r="200" ht="12.75" customHeight="1">
      <c r="A200" s="269"/>
      <c r="B200" s="325" t="s">
        <v>497</v>
      </c>
      <c r="C200" s="326"/>
      <c r="D200" s="326"/>
      <c r="E200" s="326"/>
      <c r="F200" s="326"/>
      <c r="G200" s="326"/>
      <c r="H200" s="326"/>
      <c r="I200" s="290">
        <v>930.0</v>
      </c>
      <c r="J200" s="289"/>
      <c r="K200" s="15"/>
      <c r="L200" s="15"/>
      <c r="M200" s="16"/>
      <c r="N200" s="338" t="s">
        <v>312</v>
      </c>
      <c r="O200" s="279"/>
      <c r="P200" s="279"/>
      <c r="Q200" s="279"/>
      <c r="R200" s="279"/>
      <c r="S200" s="279"/>
      <c r="T200" s="279"/>
      <c r="U200" s="279"/>
      <c r="V200" s="279"/>
      <c r="W200" s="279"/>
      <c r="X200" s="279"/>
      <c r="Y200" s="279"/>
      <c r="Z200" s="279"/>
      <c r="AA200" s="279"/>
      <c r="AB200" s="279"/>
      <c r="AC200" s="279"/>
      <c r="AD200" s="279"/>
      <c r="AE200" s="279"/>
      <c r="AF200" s="279"/>
      <c r="AG200" s="279"/>
      <c r="AH200" s="279"/>
      <c r="AI200" s="279"/>
      <c r="AJ200" s="279"/>
      <c r="AK200" s="279"/>
      <c r="AL200" s="279"/>
      <c r="AM200" s="279"/>
      <c r="AN200" s="279"/>
      <c r="AO200" s="279"/>
      <c r="AP200" s="279"/>
      <c r="AQ200" s="279"/>
      <c r="AR200" s="279"/>
      <c r="AS200" s="279"/>
      <c r="AT200" s="279"/>
      <c r="AU200" s="279"/>
      <c r="AV200" s="279"/>
      <c r="AW200" s="279"/>
      <c r="AX200" s="279"/>
      <c r="AY200" s="279"/>
      <c r="AZ200" s="279"/>
      <c r="BA200" s="279"/>
      <c r="BB200" s="279"/>
      <c r="BC200" s="279"/>
      <c r="BD200" s="279"/>
      <c r="BE200" s="279"/>
      <c r="BF200" s="279"/>
      <c r="BG200" s="279"/>
      <c r="BH200" s="279"/>
      <c r="BI200" s="279"/>
      <c r="BJ200" s="279"/>
      <c r="BK200" s="279"/>
      <c r="BL200" s="279"/>
      <c r="BM200" s="279"/>
      <c r="BN200" s="279"/>
      <c r="BO200" s="279"/>
      <c r="BP200" s="279"/>
      <c r="BQ200" s="279"/>
    </row>
    <row r="201" ht="12.75" customHeight="1">
      <c r="A201" s="269"/>
      <c r="B201" s="285" t="s">
        <v>498</v>
      </c>
      <c r="C201" s="286"/>
      <c r="D201" s="286"/>
      <c r="E201" s="286"/>
      <c r="F201" s="286"/>
      <c r="G201" s="286"/>
      <c r="H201" s="286"/>
      <c r="I201" s="290">
        <v>705.0</v>
      </c>
      <c r="J201" s="289">
        <f>+$J$198+$J$199-$J$200</f>
        <v>0</v>
      </c>
      <c r="K201" s="15"/>
      <c r="L201" s="15"/>
      <c r="M201" s="16"/>
      <c r="N201" s="338" t="s">
        <v>317</v>
      </c>
      <c r="O201" s="279"/>
      <c r="P201" s="279"/>
      <c r="Q201" s="279"/>
      <c r="R201" s="279"/>
      <c r="S201" s="279"/>
      <c r="T201" s="279"/>
      <c r="U201" s="279"/>
      <c r="V201" s="279"/>
      <c r="W201" s="279"/>
      <c r="X201" s="279"/>
      <c r="Y201" s="279"/>
      <c r="Z201" s="279"/>
      <c r="AA201" s="279"/>
      <c r="AB201" s="279"/>
      <c r="AC201" s="279"/>
      <c r="AD201" s="279"/>
      <c r="AE201" s="279"/>
      <c r="AF201" s="279"/>
      <c r="AG201" s="279"/>
      <c r="AH201" s="279"/>
      <c r="AI201" s="279"/>
      <c r="AJ201" s="279"/>
      <c r="AK201" s="279"/>
      <c r="AL201" s="279"/>
      <c r="AM201" s="279"/>
      <c r="AN201" s="279"/>
      <c r="AO201" s="279"/>
      <c r="AP201" s="279"/>
      <c r="AQ201" s="279"/>
      <c r="AR201" s="279"/>
      <c r="AS201" s="279"/>
      <c r="AT201" s="279"/>
      <c r="AU201" s="279"/>
      <c r="AV201" s="279"/>
      <c r="AW201" s="279"/>
      <c r="AX201" s="279"/>
      <c r="AY201" s="279"/>
      <c r="AZ201" s="279"/>
      <c r="BA201" s="279"/>
      <c r="BB201" s="279"/>
      <c r="BC201" s="279"/>
      <c r="BD201" s="279"/>
      <c r="BE201" s="279"/>
      <c r="BF201" s="279"/>
      <c r="BG201" s="279"/>
      <c r="BH201" s="279"/>
      <c r="BI201" s="279"/>
      <c r="BJ201" s="279"/>
      <c r="BK201" s="279"/>
      <c r="BL201" s="279"/>
      <c r="BM201" s="279"/>
      <c r="BN201" s="279"/>
      <c r="BO201" s="279"/>
      <c r="BP201" s="279"/>
      <c r="BQ201" s="279"/>
    </row>
    <row r="202" ht="12.75" customHeight="1">
      <c r="A202" s="269"/>
      <c r="B202" s="279"/>
      <c r="C202" s="279"/>
      <c r="D202" s="279"/>
      <c r="E202" s="279"/>
      <c r="F202" s="279"/>
      <c r="G202" s="279"/>
      <c r="H202" s="279"/>
      <c r="I202" s="279"/>
      <c r="J202" s="279"/>
      <c r="K202" s="279"/>
      <c r="L202" s="279"/>
      <c r="M202" s="6"/>
      <c r="N202" s="279"/>
      <c r="O202" s="279"/>
      <c r="P202" s="279"/>
      <c r="Q202" s="279"/>
      <c r="R202" s="279"/>
      <c r="S202" s="279"/>
      <c r="T202" s="279"/>
      <c r="U202" s="279"/>
      <c r="V202" s="279"/>
      <c r="W202" s="279"/>
      <c r="X202" s="279"/>
      <c r="Y202" s="279"/>
      <c r="Z202" s="279"/>
      <c r="AA202" s="279"/>
      <c r="AB202" s="279"/>
      <c r="AC202" s="279"/>
      <c r="AD202" s="279"/>
      <c r="AE202" s="279"/>
      <c r="AF202" s="279"/>
      <c r="AG202" s="279"/>
      <c r="AH202" s="279"/>
      <c r="AI202" s="279"/>
      <c r="AJ202" s="279"/>
      <c r="AK202" s="279"/>
      <c r="AL202" s="279"/>
      <c r="AM202" s="279"/>
      <c r="AN202" s="279"/>
      <c r="AO202" s="279"/>
      <c r="AP202" s="279"/>
      <c r="AQ202" s="279"/>
      <c r="AR202" s="279"/>
      <c r="AS202" s="279"/>
      <c r="AT202" s="279"/>
      <c r="AU202" s="279"/>
      <c r="AV202" s="279"/>
      <c r="AW202" s="279"/>
      <c r="AX202" s="279"/>
      <c r="AY202" s="279"/>
      <c r="AZ202" s="279"/>
      <c r="BA202" s="279"/>
      <c r="BB202" s="279"/>
      <c r="BC202" s="279"/>
      <c r="BD202" s="279"/>
      <c r="BE202" s="279"/>
      <c r="BF202" s="279"/>
      <c r="BG202" s="279"/>
      <c r="BH202" s="279"/>
      <c r="BI202" s="279"/>
      <c r="BJ202" s="279"/>
      <c r="BK202" s="279"/>
      <c r="BL202" s="279"/>
      <c r="BM202" s="279"/>
      <c r="BN202" s="279"/>
      <c r="BO202" s="279"/>
      <c r="BP202" s="279"/>
      <c r="BQ202" s="279"/>
    </row>
    <row r="203" ht="12.75" customHeight="1">
      <c r="A203" s="275"/>
      <c r="B203" s="388" t="s">
        <v>499</v>
      </c>
      <c r="C203" s="22"/>
      <c r="D203" s="22"/>
      <c r="E203" s="22"/>
      <c r="F203" s="22"/>
      <c r="G203" s="22"/>
      <c r="H203" s="22"/>
      <c r="I203" s="22"/>
      <c r="J203" s="22"/>
      <c r="K203" s="22"/>
      <c r="L203" s="22"/>
      <c r="M203" s="22"/>
      <c r="N203" s="22"/>
      <c r="O203" s="22"/>
      <c r="P203" s="22"/>
      <c r="Q203" s="22"/>
      <c r="R203" s="23"/>
      <c r="S203" s="279"/>
      <c r="T203" s="279"/>
      <c r="U203" s="279"/>
      <c r="V203" s="279"/>
      <c r="W203" s="279"/>
      <c r="X203" s="279"/>
      <c r="Y203" s="279"/>
      <c r="Z203" s="279"/>
      <c r="AA203" s="279"/>
      <c r="AB203" s="279"/>
      <c r="AC203" s="279"/>
      <c r="AD203" s="279"/>
      <c r="AE203" s="279"/>
      <c r="AF203" s="279"/>
      <c r="AG203" s="279"/>
      <c r="AH203" s="279"/>
      <c r="AI203" s="279"/>
      <c r="AJ203" s="279"/>
      <c r="AK203" s="279"/>
      <c r="AL203" s="279"/>
      <c r="AM203" s="279"/>
      <c r="AN203" s="279"/>
      <c r="AO203" s="279"/>
      <c r="AP203" s="279"/>
      <c r="AQ203" s="279"/>
      <c r="AR203" s="279"/>
      <c r="AS203" s="279"/>
      <c r="AT203" s="279"/>
      <c r="AU203" s="279"/>
      <c r="AV203" s="279"/>
      <c r="AW203" s="279"/>
      <c r="AX203" s="279"/>
      <c r="AY203" s="279"/>
      <c r="AZ203" s="279"/>
      <c r="BA203" s="279"/>
      <c r="BB203" s="279"/>
      <c r="BC203" s="279"/>
      <c r="BD203" s="279"/>
      <c r="BE203" s="279"/>
      <c r="BF203" s="279"/>
      <c r="BG203" s="279"/>
      <c r="BH203" s="279"/>
      <c r="BI203" s="279"/>
      <c r="BJ203" s="279"/>
      <c r="BK203" s="279"/>
      <c r="BL203" s="279"/>
      <c r="BM203" s="279"/>
      <c r="BN203" s="279"/>
      <c r="BO203" s="279"/>
      <c r="BP203" s="279"/>
      <c r="BQ203" s="279"/>
    </row>
    <row r="204" ht="12.75" customHeight="1">
      <c r="A204" s="275"/>
      <c r="B204" s="390"/>
      <c r="C204" s="391"/>
      <c r="D204" s="391"/>
      <c r="E204" s="391"/>
      <c r="F204" s="391"/>
      <c r="G204" s="391"/>
      <c r="H204" s="391"/>
      <c r="I204" s="391"/>
      <c r="J204" s="391"/>
      <c r="K204" s="391"/>
      <c r="L204" s="391"/>
      <c r="M204" s="391"/>
      <c r="N204" s="391"/>
      <c r="O204" s="391"/>
      <c r="P204" s="391"/>
      <c r="Q204" s="391"/>
      <c r="R204" s="392"/>
      <c r="S204" s="279"/>
      <c r="T204" s="279"/>
      <c r="U204" s="279"/>
      <c r="V204" s="279"/>
      <c r="W204" s="279"/>
      <c r="X204" s="279"/>
      <c r="Y204" s="279"/>
      <c r="Z204" s="279"/>
      <c r="AA204" s="279"/>
      <c r="AB204" s="279"/>
      <c r="AC204" s="279"/>
      <c r="AD204" s="279"/>
      <c r="AE204" s="279"/>
      <c r="AF204" s="279"/>
      <c r="AG204" s="279"/>
      <c r="AH204" s="279"/>
      <c r="AI204" s="279"/>
      <c r="AJ204" s="279"/>
      <c r="AK204" s="279"/>
      <c r="AL204" s="279"/>
      <c r="AM204" s="279"/>
      <c r="AN204" s="279"/>
      <c r="AO204" s="279"/>
      <c r="AP204" s="279"/>
      <c r="AQ204" s="279"/>
      <c r="AR204" s="279"/>
      <c r="AS204" s="279"/>
      <c r="AT204" s="279"/>
      <c r="AU204" s="279"/>
      <c r="AV204" s="279"/>
      <c r="AW204" s="279"/>
      <c r="AX204" s="279"/>
      <c r="AY204" s="279"/>
      <c r="AZ204" s="279"/>
      <c r="BA204" s="279"/>
      <c r="BB204" s="279"/>
      <c r="BC204" s="279"/>
      <c r="BD204" s="279"/>
      <c r="BE204" s="279"/>
      <c r="BF204" s="279"/>
      <c r="BG204" s="279"/>
      <c r="BH204" s="279"/>
      <c r="BI204" s="279"/>
      <c r="BJ204" s="279"/>
      <c r="BK204" s="279"/>
      <c r="BL204" s="279"/>
      <c r="BM204" s="279"/>
      <c r="BN204" s="279"/>
      <c r="BO204" s="279"/>
      <c r="BP204" s="279"/>
      <c r="BQ204" s="279"/>
    </row>
    <row r="205" ht="12.75" customHeight="1">
      <c r="A205" s="269"/>
      <c r="B205" s="282" t="s">
        <v>500</v>
      </c>
      <c r="C205" s="348" t="s">
        <v>501</v>
      </c>
      <c r="D205" s="15"/>
      <c r="E205" s="15"/>
      <c r="F205" s="15"/>
      <c r="G205" s="15"/>
      <c r="H205" s="15"/>
      <c r="I205" s="15"/>
      <c r="J205" s="15"/>
      <c r="K205" s="15"/>
      <c r="L205" s="15"/>
      <c r="M205" s="16"/>
      <c r="N205" s="348" t="s">
        <v>502</v>
      </c>
      <c r="O205" s="15"/>
      <c r="P205" s="15"/>
      <c r="Q205" s="15"/>
      <c r="R205" s="16"/>
      <c r="S205" s="279"/>
      <c r="T205" s="279"/>
      <c r="U205" s="279"/>
      <c r="V205" s="279"/>
      <c r="W205" s="279"/>
      <c r="X205" s="279"/>
      <c r="Y205" s="279"/>
      <c r="Z205" s="279"/>
      <c r="AA205" s="279"/>
      <c r="AB205" s="279"/>
      <c r="AC205" s="279"/>
      <c r="AD205" s="279"/>
      <c r="AE205" s="279"/>
      <c r="AF205" s="279"/>
      <c r="AG205" s="279"/>
      <c r="AH205" s="279"/>
      <c r="AI205" s="279"/>
      <c r="AJ205" s="279"/>
      <c r="AK205" s="279"/>
      <c r="AL205" s="279"/>
      <c r="AM205" s="279"/>
      <c r="AN205" s="279"/>
      <c r="AO205" s="279"/>
      <c r="AP205" s="279"/>
      <c r="AQ205" s="279"/>
      <c r="AR205" s="279"/>
      <c r="AS205" s="279"/>
      <c r="AT205" s="279"/>
      <c r="AU205" s="279"/>
      <c r="AV205" s="279"/>
      <c r="AW205" s="279"/>
      <c r="AX205" s="279"/>
      <c r="AY205" s="279"/>
      <c r="AZ205" s="279"/>
      <c r="BA205" s="279"/>
      <c r="BB205" s="279"/>
      <c r="BC205" s="279"/>
      <c r="BD205" s="279"/>
      <c r="BE205" s="279"/>
      <c r="BF205" s="279"/>
      <c r="BG205" s="279"/>
      <c r="BH205" s="279"/>
      <c r="BI205" s="279"/>
      <c r="BJ205" s="279"/>
      <c r="BK205" s="279"/>
      <c r="BL205" s="279"/>
      <c r="BM205" s="279"/>
      <c r="BN205" s="279"/>
      <c r="BO205" s="279"/>
      <c r="BP205" s="279"/>
      <c r="BQ205" s="279"/>
    </row>
    <row r="206" ht="12.75" customHeight="1">
      <c r="A206" s="269"/>
      <c r="B206" s="20"/>
      <c r="C206" s="285" t="s">
        <v>503</v>
      </c>
      <c r="D206" s="286"/>
      <c r="E206" s="286"/>
      <c r="F206" s="286"/>
      <c r="G206" s="286"/>
      <c r="H206" s="286"/>
      <c r="I206" s="286"/>
      <c r="J206" s="286"/>
      <c r="K206" s="286"/>
      <c r="L206" s="286"/>
      <c r="M206" s="287"/>
      <c r="N206" s="290">
        <v>1070.0</v>
      </c>
      <c r="O206" s="289"/>
      <c r="P206" s="15"/>
      <c r="Q206" s="15"/>
      <c r="R206" s="16"/>
      <c r="S206" s="279"/>
      <c r="T206" s="279"/>
      <c r="U206" s="279"/>
      <c r="V206" s="279"/>
      <c r="W206" s="279"/>
      <c r="X206" s="279"/>
      <c r="Y206" s="279"/>
      <c r="Z206" s="279"/>
      <c r="AA206" s="279"/>
      <c r="AB206" s="279"/>
      <c r="AC206" s="279"/>
      <c r="AD206" s="279"/>
      <c r="AE206" s="279"/>
      <c r="AF206" s="279"/>
      <c r="AG206" s="279"/>
      <c r="AH206" s="279"/>
      <c r="AI206" s="279"/>
      <c r="AJ206" s="279"/>
      <c r="AK206" s="279"/>
      <c r="AL206" s="279"/>
      <c r="AM206" s="279"/>
      <c r="AN206" s="279"/>
      <c r="AO206" s="279"/>
      <c r="AP206" s="279"/>
      <c r="AQ206" s="279"/>
      <c r="AR206" s="279"/>
      <c r="AS206" s="279"/>
      <c r="AT206" s="279"/>
      <c r="AU206" s="279"/>
      <c r="AV206" s="279"/>
      <c r="AW206" s="279"/>
      <c r="AX206" s="279"/>
      <c r="AY206" s="279"/>
      <c r="AZ206" s="279"/>
      <c r="BA206" s="279"/>
      <c r="BB206" s="279"/>
      <c r="BC206" s="279"/>
      <c r="BD206" s="279"/>
      <c r="BE206" s="279"/>
      <c r="BF206" s="279"/>
      <c r="BG206" s="279"/>
      <c r="BH206" s="279"/>
      <c r="BI206" s="279"/>
      <c r="BJ206" s="279"/>
      <c r="BK206" s="279"/>
      <c r="BL206" s="279"/>
      <c r="BM206" s="279"/>
      <c r="BN206" s="279"/>
      <c r="BO206" s="279"/>
      <c r="BP206" s="279"/>
      <c r="BQ206" s="279"/>
    </row>
    <row r="207" ht="12.75" customHeight="1">
      <c r="A207" s="269"/>
      <c r="B207" s="34"/>
      <c r="C207" s="285" t="s">
        <v>504</v>
      </c>
      <c r="D207" s="286"/>
      <c r="E207" s="286"/>
      <c r="F207" s="286"/>
      <c r="G207" s="286"/>
      <c r="H207" s="286"/>
      <c r="I207" s="286"/>
      <c r="J207" s="286"/>
      <c r="K207" s="286"/>
      <c r="L207" s="286"/>
      <c r="M207" s="287"/>
      <c r="N207" s="290">
        <v>1074.0</v>
      </c>
      <c r="O207" s="289"/>
      <c r="P207" s="15"/>
      <c r="Q207" s="15"/>
      <c r="R207" s="16"/>
      <c r="S207" s="279"/>
      <c r="T207" s="279"/>
      <c r="U207" s="279"/>
      <c r="V207" s="279"/>
      <c r="W207" s="279"/>
      <c r="X207" s="279"/>
      <c r="Y207" s="279"/>
      <c r="Z207" s="279"/>
      <c r="AA207" s="279"/>
      <c r="AB207" s="279"/>
      <c r="AC207" s="279"/>
      <c r="AD207" s="279"/>
      <c r="AE207" s="279"/>
      <c r="AF207" s="279"/>
      <c r="AG207" s="279"/>
      <c r="AH207" s="279"/>
      <c r="AI207" s="279"/>
      <c r="AJ207" s="279"/>
      <c r="AK207" s="279"/>
      <c r="AL207" s="279"/>
      <c r="AM207" s="279"/>
      <c r="AN207" s="279"/>
      <c r="AO207" s="279"/>
      <c r="AP207" s="279"/>
      <c r="AQ207" s="279"/>
      <c r="AR207" s="279"/>
      <c r="AS207" s="279"/>
      <c r="AT207" s="279"/>
      <c r="AU207" s="279"/>
      <c r="AV207" s="279"/>
      <c r="AW207" s="279"/>
      <c r="AX207" s="279"/>
      <c r="AY207" s="279"/>
      <c r="AZ207" s="279"/>
      <c r="BA207" s="279"/>
      <c r="BB207" s="279"/>
      <c r="BC207" s="279"/>
      <c r="BD207" s="279"/>
      <c r="BE207" s="279"/>
      <c r="BF207" s="279"/>
      <c r="BG207" s="279"/>
      <c r="BH207" s="279"/>
      <c r="BI207" s="279"/>
      <c r="BJ207" s="279"/>
      <c r="BK207" s="279"/>
      <c r="BL207" s="279"/>
      <c r="BM207" s="279"/>
      <c r="BN207" s="279"/>
      <c r="BO207" s="279"/>
      <c r="BP207" s="279"/>
      <c r="BQ207" s="279"/>
    </row>
    <row r="208" ht="12.75" customHeight="1">
      <c r="A208" s="269"/>
      <c r="B208" s="282" t="s">
        <v>505</v>
      </c>
      <c r="C208" s="348" t="s">
        <v>501</v>
      </c>
      <c r="D208" s="15"/>
      <c r="E208" s="15"/>
      <c r="F208" s="15"/>
      <c r="G208" s="15"/>
      <c r="H208" s="15"/>
      <c r="I208" s="15"/>
      <c r="J208" s="15"/>
      <c r="K208" s="15"/>
      <c r="L208" s="15"/>
      <c r="M208" s="16"/>
      <c r="N208" s="348" t="s">
        <v>502</v>
      </c>
      <c r="O208" s="15"/>
      <c r="P208" s="15"/>
      <c r="Q208" s="15"/>
      <c r="R208" s="16"/>
      <c r="S208" s="279"/>
      <c r="T208" s="279"/>
      <c r="U208" s="279"/>
      <c r="V208" s="279"/>
      <c r="W208" s="279"/>
      <c r="X208" s="279"/>
      <c r="Y208" s="279"/>
      <c r="Z208" s="279"/>
      <c r="AA208" s="279"/>
      <c r="AB208" s="279"/>
      <c r="AC208" s="279"/>
      <c r="AD208" s="279"/>
      <c r="AE208" s="279"/>
      <c r="AF208" s="279"/>
      <c r="AG208" s="279"/>
      <c r="AH208" s="279"/>
      <c r="AI208" s="279"/>
      <c r="AJ208" s="279"/>
      <c r="AK208" s="279"/>
      <c r="AL208" s="279"/>
      <c r="AM208" s="279"/>
      <c r="AN208" s="279"/>
      <c r="AO208" s="279"/>
      <c r="AP208" s="279"/>
      <c r="AQ208" s="279"/>
      <c r="AR208" s="279"/>
      <c r="AS208" s="279"/>
      <c r="AT208" s="279"/>
      <c r="AU208" s="279"/>
      <c r="AV208" s="279"/>
      <c r="AW208" s="279"/>
      <c r="AX208" s="279"/>
      <c r="AY208" s="279"/>
      <c r="AZ208" s="279"/>
      <c r="BA208" s="279"/>
      <c r="BB208" s="279"/>
      <c r="BC208" s="279"/>
      <c r="BD208" s="279"/>
      <c r="BE208" s="279"/>
      <c r="BF208" s="279"/>
      <c r="BG208" s="279"/>
      <c r="BH208" s="279"/>
      <c r="BI208" s="279"/>
      <c r="BJ208" s="279"/>
      <c r="BK208" s="279"/>
      <c r="BL208" s="279"/>
      <c r="BM208" s="279"/>
      <c r="BN208" s="279"/>
      <c r="BO208" s="279"/>
      <c r="BP208" s="279"/>
      <c r="BQ208" s="279"/>
    </row>
    <row r="209" ht="12.75" customHeight="1">
      <c r="A209" s="269"/>
      <c r="B209" s="20"/>
      <c r="C209" s="285" t="s">
        <v>503</v>
      </c>
      <c r="D209" s="286"/>
      <c r="E209" s="286"/>
      <c r="F209" s="286"/>
      <c r="G209" s="286"/>
      <c r="H209" s="286"/>
      <c r="I209" s="286"/>
      <c r="J209" s="286"/>
      <c r="K209" s="286"/>
      <c r="L209" s="286"/>
      <c r="M209" s="287"/>
      <c r="N209" s="290">
        <v>1079.0</v>
      </c>
      <c r="O209" s="289"/>
      <c r="P209" s="15"/>
      <c r="Q209" s="15"/>
      <c r="R209" s="16"/>
      <c r="S209" s="279"/>
      <c r="T209" s="279"/>
      <c r="U209" s="279"/>
      <c r="V209" s="279"/>
      <c r="W209" s="279"/>
      <c r="X209" s="279"/>
      <c r="Y209" s="279"/>
      <c r="Z209" s="279"/>
      <c r="AA209" s="279"/>
      <c r="AB209" s="279"/>
      <c r="AC209" s="279"/>
      <c r="AD209" s="279"/>
      <c r="AE209" s="279"/>
      <c r="AF209" s="279"/>
      <c r="AG209" s="279"/>
      <c r="AH209" s="279"/>
      <c r="AI209" s="279"/>
      <c r="AJ209" s="279"/>
      <c r="AK209" s="279"/>
      <c r="AL209" s="279"/>
      <c r="AM209" s="279"/>
      <c r="AN209" s="279"/>
      <c r="AO209" s="279"/>
      <c r="AP209" s="279"/>
      <c r="AQ209" s="279"/>
      <c r="AR209" s="279"/>
      <c r="AS209" s="279"/>
      <c r="AT209" s="279"/>
      <c r="AU209" s="279"/>
      <c r="AV209" s="279"/>
      <c r="AW209" s="279"/>
      <c r="AX209" s="279"/>
      <c r="AY209" s="279"/>
      <c r="AZ209" s="279"/>
      <c r="BA209" s="279"/>
      <c r="BB209" s="279"/>
      <c r="BC209" s="279"/>
      <c r="BD209" s="279"/>
      <c r="BE209" s="279"/>
      <c r="BF209" s="279"/>
      <c r="BG209" s="279"/>
      <c r="BH209" s="279"/>
      <c r="BI209" s="279"/>
      <c r="BJ209" s="279"/>
      <c r="BK209" s="279"/>
      <c r="BL209" s="279"/>
      <c r="BM209" s="279"/>
      <c r="BN209" s="279"/>
      <c r="BO209" s="279"/>
      <c r="BP209" s="279"/>
      <c r="BQ209" s="279"/>
    </row>
    <row r="210" ht="12.75" customHeight="1">
      <c r="A210" s="269"/>
      <c r="B210" s="34"/>
      <c r="C210" s="285" t="s">
        <v>504</v>
      </c>
      <c r="D210" s="286"/>
      <c r="E210" s="286"/>
      <c r="F210" s="286"/>
      <c r="G210" s="286"/>
      <c r="H210" s="286"/>
      <c r="I210" s="286"/>
      <c r="J210" s="286"/>
      <c r="K210" s="286"/>
      <c r="L210" s="286"/>
      <c r="M210" s="287"/>
      <c r="N210" s="290">
        <v>1083.0</v>
      </c>
      <c r="O210" s="289"/>
      <c r="P210" s="15"/>
      <c r="Q210" s="15"/>
      <c r="R210" s="16"/>
      <c r="S210" s="279"/>
      <c r="T210" s="279"/>
      <c r="U210" s="279"/>
      <c r="V210" s="279"/>
      <c r="W210" s="279"/>
      <c r="X210" s="279"/>
      <c r="Y210" s="279"/>
      <c r="Z210" s="279"/>
      <c r="AA210" s="279"/>
      <c r="AB210" s="279"/>
      <c r="AC210" s="279"/>
      <c r="AD210" s="279"/>
      <c r="AE210" s="279"/>
      <c r="AF210" s="279"/>
      <c r="AG210" s="279"/>
      <c r="AH210" s="279"/>
      <c r="AI210" s="279"/>
      <c r="AJ210" s="279"/>
      <c r="AK210" s="279"/>
      <c r="AL210" s="279"/>
      <c r="AM210" s="279"/>
      <c r="AN210" s="279"/>
      <c r="AO210" s="279"/>
      <c r="AP210" s="279"/>
      <c r="AQ210" s="279"/>
      <c r="AR210" s="279"/>
      <c r="AS210" s="279"/>
      <c r="AT210" s="279"/>
      <c r="AU210" s="279"/>
      <c r="AV210" s="279"/>
      <c r="AW210" s="279"/>
      <c r="AX210" s="279"/>
      <c r="AY210" s="279"/>
      <c r="AZ210" s="279"/>
      <c r="BA210" s="279"/>
      <c r="BB210" s="279"/>
      <c r="BC210" s="279"/>
      <c r="BD210" s="279"/>
      <c r="BE210" s="279"/>
      <c r="BF210" s="279"/>
      <c r="BG210" s="279"/>
      <c r="BH210" s="279"/>
      <c r="BI210" s="279"/>
      <c r="BJ210" s="279"/>
      <c r="BK210" s="279"/>
      <c r="BL210" s="279"/>
      <c r="BM210" s="279"/>
      <c r="BN210" s="279"/>
      <c r="BO210" s="279"/>
      <c r="BP210" s="279"/>
      <c r="BQ210" s="279"/>
    </row>
    <row r="211" ht="12.75" customHeight="1">
      <c r="A211" s="269"/>
      <c r="B211" s="282" t="s">
        <v>506</v>
      </c>
      <c r="C211" s="348" t="s">
        <v>501</v>
      </c>
      <c r="D211" s="15"/>
      <c r="E211" s="15"/>
      <c r="F211" s="15"/>
      <c r="G211" s="15"/>
      <c r="H211" s="15"/>
      <c r="I211" s="15"/>
      <c r="J211" s="15"/>
      <c r="K211" s="15"/>
      <c r="L211" s="15"/>
      <c r="M211" s="16"/>
      <c r="N211" s="348" t="s">
        <v>502</v>
      </c>
      <c r="O211" s="15"/>
      <c r="P211" s="15"/>
      <c r="Q211" s="15"/>
      <c r="R211" s="16"/>
      <c r="S211" s="279"/>
      <c r="T211" s="279"/>
      <c r="U211" s="279"/>
      <c r="V211" s="279"/>
      <c r="W211" s="279"/>
      <c r="X211" s="279"/>
      <c r="Y211" s="279"/>
      <c r="Z211" s="279"/>
      <c r="AA211" s="279"/>
      <c r="AB211" s="279"/>
      <c r="AC211" s="279"/>
      <c r="AD211" s="279"/>
      <c r="AE211" s="279"/>
      <c r="AF211" s="279"/>
      <c r="AG211" s="279"/>
      <c r="AH211" s="279"/>
      <c r="AI211" s="279"/>
      <c r="AJ211" s="279"/>
      <c r="AK211" s="279"/>
      <c r="AL211" s="279"/>
      <c r="AM211" s="279"/>
      <c r="AN211" s="279"/>
      <c r="AO211" s="279"/>
      <c r="AP211" s="279"/>
      <c r="AQ211" s="279"/>
      <c r="AR211" s="279"/>
      <c r="AS211" s="279"/>
      <c r="AT211" s="279"/>
      <c r="AU211" s="279"/>
      <c r="AV211" s="279"/>
      <c r="AW211" s="279"/>
      <c r="AX211" s="279"/>
      <c r="AY211" s="279"/>
      <c r="AZ211" s="279"/>
      <c r="BA211" s="279"/>
      <c r="BB211" s="279"/>
      <c r="BC211" s="279"/>
      <c r="BD211" s="279"/>
      <c r="BE211" s="279"/>
      <c r="BF211" s="279"/>
      <c r="BG211" s="279"/>
      <c r="BH211" s="279"/>
      <c r="BI211" s="279"/>
      <c r="BJ211" s="279"/>
      <c r="BK211" s="279"/>
      <c r="BL211" s="279"/>
      <c r="BM211" s="279"/>
      <c r="BN211" s="279"/>
      <c r="BO211" s="279"/>
      <c r="BP211" s="279"/>
      <c r="BQ211" s="279"/>
    </row>
    <row r="212" ht="12.75" customHeight="1">
      <c r="A212" s="269"/>
      <c r="B212" s="20"/>
      <c r="C212" s="285" t="s">
        <v>503</v>
      </c>
      <c r="D212" s="286"/>
      <c r="E212" s="286"/>
      <c r="F212" s="286"/>
      <c r="G212" s="286"/>
      <c r="H212" s="286"/>
      <c r="I212" s="286"/>
      <c r="J212" s="286"/>
      <c r="K212" s="286"/>
      <c r="L212" s="286"/>
      <c r="M212" s="287"/>
      <c r="N212" s="290">
        <v>1087.0</v>
      </c>
      <c r="O212" s="289"/>
      <c r="P212" s="15"/>
      <c r="Q212" s="15"/>
      <c r="R212" s="16"/>
      <c r="S212" s="279"/>
      <c r="T212" s="279"/>
      <c r="U212" s="279"/>
      <c r="V212" s="279"/>
      <c r="W212" s="279"/>
      <c r="X212" s="279"/>
      <c r="Y212" s="279"/>
      <c r="Z212" s="279"/>
      <c r="AA212" s="279"/>
      <c r="AB212" s="279"/>
      <c r="AC212" s="279"/>
      <c r="AD212" s="279"/>
      <c r="AE212" s="279"/>
      <c r="AF212" s="279"/>
      <c r="AG212" s="279"/>
      <c r="AH212" s="279"/>
      <c r="AI212" s="279"/>
      <c r="AJ212" s="279"/>
      <c r="AK212" s="279"/>
      <c r="AL212" s="279"/>
      <c r="AM212" s="279"/>
      <c r="AN212" s="279"/>
      <c r="AO212" s="279"/>
      <c r="AP212" s="279"/>
      <c r="AQ212" s="279"/>
      <c r="AR212" s="279"/>
      <c r="AS212" s="279"/>
      <c r="AT212" s="279"/>
      <c r="AU212" s="279"/>
      <c r="AV212" s="279"/>
      <c r="AW212" s="279"/>
      <c r="AX212" s="279"/>
      <c r="AY212" s="279"/>
      <c r="AZ212" s="279"/>
      <c r="BA212" s="279"/>
      <c r="BB212" s="279"/>
      <c r="BC212" s="279"/>
      <c r="BD212" s="279"/>
      <c r="BE212" s="279"/>
      <c r="BF212" s="279"/>
      <c r="BG212" s="279"/>
      <c r="BH212" s="279"/>
      <c r="BI212" s="279"/>
      <c r="BJ212" s="279"/>
      <c r="BK212" s="279"/>
      <c r="BL212" s="279"/>
      <c r="BM212" s="279"/>
      <c r="BN212" s="279"/>
      <c r="BO212" s="279"/>
      <c r="BP212" s="279"/>
      <c r="BQ212" s="279"/>
    </row>
    <row r="213" ht="12.75" customHeight="1">
      <c r="A213" s="269"/>
      <c r="B213" s="34"/>
      <c r="C213" s="285" t="s">
        <v>504</v>
      </c>
      <c r="D213" s="286"/>
      <c r="E213" s="286"/>
      <c r="F213" s="286"/>
      <c r="G213" s="286"/>
      <c r="H213" s="286"/>
      <c r="I213" s="286"/>
      <c r="J213" s="286"/>
      <c r="K213" s="286"/>
      <c r="L213" s="286"/>
      <c r="M213" s="287"/>
      <c r="N213" s="290">
        <v>1131.0</v>
      </c>
      <c r="O213" s="289"/>
      <c r="P213" s="15"/>
      <c r="Q213" s="15"/>
      <c r="R213" s="16"/>
      <c r="S213" s="279"/>
      <c r="T213" s="279"/>
      <c r="U213" s="279"/>
      <c r="V213" s="279"/>
      <c r="W213" s="279"/>
      <c r="X213" s="279"/>
      <c r="Y213" s="279"/>
      <c r="Z213" s="279"/>
      <c r="AA213" s="279"/>
      <c r="AB213" s="279"/>
      <c r="AC213" s="279"/>
      <c r="AD213" s="279"/>
      <c r="AE213" s="279"/>
      <c r="AF213" s="279"/>
      <c r="AG213" s="279"/>
      <c r="AH213" s="279"/>
      <c r="AI213" s="279"/>
      <c r="AJ213" s="279"/>
      <c r="AK213" s="279"/>
      <c r="AL213" s="279"/>
      <c r="AM213" s="279"/>
      <c r="AN213" s="279"/>
      <c r="AO213" s="279"/>
      <c r="AP213" s="279"/>
      <c r="AQ213" s="279"/>
      <c r="AR213" s="279"/>
      <c r="AS213" s="279"/>
      <c r="AT213" s="279"/>
      <c r="AU213" s="279"/>
      <c r="AV213" s="279"/>
      <c r="AW213" s="279"/>
      <c r="AX213" s="279"/>
      <c r="AY213" s="279"/>
      <c r="AZ213" s="279"/>
      <c r="BA213" s="279"/>
      <c r="BB213" s="279"/>
      <c r="BC213" s="279"/>
      <c r="BD213" s="279"/>
      <c r="BE213" s="279"/>
      <c r="BF213" s="279"/>
      <c r="BG213" s="279"/>
      <c r="BH213" s="279"/>
      <c r="BI213" s="279"/>
      <c r="BJ213" s="279"/>
      <c r="BK213" s="279"/>
      <c r="BL213" s="279"/>
      <c r="BM213" s="279"/>
      <c r="BN213" s="279"/>
      <c r="BO213" s="279"/>
      <c r="BP213" s="279"/>
      <c r="BQ213" s="279"/>
    </row>
    <row r="214" ht="12.75" customHeight="1">
      <c r="A214" s="269"/>
      <c r="B214" s="282" t="s">
        <v>507</v>
      </c>
      <c r="C214" s="348" t="s">
        <v>508</v>
      </c>
      <c r="D214" s="15"/>
      <c r="E214" s="15"/>
      <c r="F214" s="15"/>
      <c r="G214" s="15"/>
      <c r="H214" s="15"/>
      <c r="I214" s="15"/>
      <c r="J214" s="15"/>
      <c r="K214" s="15"/>
      <c r="L214" s="15"/>
      <c r="M214" s="16"/>
      <c r="N214" s="348" t="s">
        <v>502</v>
      </c>
      <c r="O214" s="15"/>
      <c r="P214" s="15"/>
      <c r="Q214" s="15"/>
      <c r="R214" s="16"/>
      <c r="S214" s="279"/>
      <c r="T214" s="279"/>
      <c r="U214" s="279"/>
      <c r="V214" s="279"/>
      <c r="W214" s="279"/>
      <c r="X214" s="279"/>
      <c r="Y214" s="279"/>
      <c r="Z214" s="279"/>
      <c r="AA214" s="279"/>
      <c r="AB214" s="279"/>
      <c r="AC214" s="279"/>
      <c r="AD214" s="279"/>
      <c r="AE214" s="279"/>
      <c r="AF214" s="279"/>
      <c r="AG214" s="279"/>
      <c r="AH214" s="279"/>
      <c r="AI214" s="279"/>
      <c r="AJ214" s="279"/>
      <c r="AK214" s="279"/>
      <c r="AL214" s="279"/>
      <c r="AM214" s="279"/>
      <c r="AN214" s="279"/>
      <c r="AO214" s="279"/>
      <c r="AP214" s="279"/>
      <c r="AQ214" s="279"/>
      <c r="AR214" s="279"/>
      <c r="AS214" s="279"/>
      <c r="AT214" s="279"/>
      <c r="AU214" s="279"/>
      <c r="AV214" s="279"/>
      <c r="AW214" s="279"/>
      <c r="AX214" s="279"/>
      <c r="AY214" s="279"/>
      <c r="AZ214" s="279"/>
      <c r="BA214" s="279"/>
      <c r="BB214" s="279"/>
      <c r="BC214" s="279"/>
      <c r="BD214" s="279"/>
      <c r="BE214" s="279"/>
      <c r="BF214" s="279"/>
      <c r="BG214" s="279"/>
      <c r="BH214" s="279"/>
      <c r="BI214" s="279"/>
      <c r="BJ214" s="279"/>
      <c r="BK214" s="279"/>
      <c r="BL214" s="279"/>
      <c r="BM214" s="279"/>
      <c r="BN214" s="279"/>
      <c r="BO214" s="279"/>
      <c r="BP214" s="279"/>
      <c r="BQ214" s="279"/>
    </row>
    <row r="215" ht="12.75" customHeight="1">
      <c r="A215" s="269"/>
      <c r="B215" s="20"/>
      <c r="C215" s="285" t="s">
        <v>500</v>
      </c>
      <c r="D215" s="286"/>
      <c r="E215" s="286"/>
      <c r="F215" s="286"/>
      <c r="G215" s="286"/>
      <c r="H215" s="286"/>
      <c r="I215" s="286"/>
      <c r="J215" s="286"/>
      <c r="K215" s="286"/>
      <c r="L215" s="286"/>
      <c r="M215" s="287"/>
      <c r="N215" s="290">
        <v>1809.0</v>
      </c>
      <c r="O215" s="289"/>
      <c r="P215" s="15"/>
      <c r="Q215" s="15"/>
      <c r="R215" s="16"/>
      <c r="S215" s="279"/>
      <c r="T215" s="279"/>
      <c r="U215" s="279"/>
      <c r="V215" s="279"/>
      <c r="W215" s="279"/>
      <c r="X215" s="279"/>
      <c r="Y215" s="279"/>
      <c r="Z215" s="279"/>
      <c r="AA215" s="279"/>
      <c r="AB215" s="279"/>
      <c r="AC215" s="279"/>
      <c r="AD215" s="279"/>
      <c r="AE215" s="279"/>
      <c r="AF215" s="279"/>
      <c r="AG215" s="279"/>
      <c r="AH215" s="279"/>
      <c r="AI215" s="279"/>
      <c r="AJ215" s="279"/>
      <c r="AK215" s="279"/>
      <c r="AL215" s="279"/>
      <c r="AM215" s="279"/>
      <c r="AN215" s="279"/>
      <c r="AO215" s="279"/>
      <c r="AP215" s="279"/>
      <c r="AQ215" s="279"/>
      <c r="AR215" s="279"/>
      <c r="AS215" s="279"/>
      <c r="AT215" s="279"/>
      <c r="AU215" s="279"/>
      <c r="AV215" s="279"/>
      <c r="AW215" s="279"/>
      <c r="AX215" s="279"/>
      <c r="AY215" s="279"/>
      <c r="AZ215" s="279"/>
      <c r="BA215" s="279"/>
      <c r="BB215" s="279"/>
      <c r="BC215" s="279"/>
      <c r="BD215" s="279"/>
      <c r="BE215" s="279"/>
      <c r="BF215" s="279"/>
      <c r="BG215" s="279"/>
      <c r="BH215" s="279"/>
      <c r="BI215" s="279"/>
      <c r="BJ215" s="279"/>
      <c r="BK215" s="279"/>
      <c r="BL215" s="279"/>
      <c r="BM215" s="279"/>
      <c r="BN215" s="279"/>
      <c r="BO215" s="279"/>
      <c r="BP215" s="279"/>
      <c r="BQ215" s="279"/>
    </row>
    <row r="216" ht="12.75" customHeight="1">
      <c r="A216" s="269"/>
      <c r="B216" s="20"/>
      <c r="C216" s="285" t="s">
        <v>509</v>
      </c>
      <c r="D216" s="286"/>
      <c r="E216" s="286"/>
      <c r="F216" s="286"/>
      <c r="G216" s="286"/>
      <c r="H216" s="286"/>
      <c r="I216" s="286"/>
      <c r="J216" s="286"/>
      <c r="K216" s="286"/>
      <c r="L216" s="286"/>
      <c r="M216" s="287"/>
      <c r="N216" s="290">
        <v>1813.0</v>
      </c>
      <c r="O216" s="289"/>
      <c r="P216" s="15"/>
      <c r="Q216" s="15"/>
      <c r="R216" s="16"/>
      <c r="S216" s="279"/>
      <c r="T216" s="279"/>
      <c r="U216" s="279"/>
      <c r="V216" s="279"/>
      <c r="W216" s="279"/>
      <c r="X216" s="279"/>
      <c r="Y216" s="279"/>
      <c r="Z216" s="279"/>
      <c r="AA216" s="279"/>
      <c r="AB216" s="279"/>
      <c r="AC216" s="279"/>
      <c r="AD216" s="279"/>
      <c r="AE216" s="279"/>
      <c r="AF216" s="279"/>
      <c r="AG216" s="279"/>
      <c r="AH216" s="279"/>
      <c r="AI216" s="279"/>
      <c r="AJ216" s="279"/>
      <c r="AK216" s="279"/>
      <c r="AL216" s="279"/>
      <c r="AM216" s="279"/>
      <c r="AN216" s="279"/>
      <c r="AO216" s="279"/>
      <c r="AP216" s="279"/>
      <c r="AQ216" s="279"/>
      <c r="AR216" s="279"/>
      <c r="AS216" s="279"/>
      <c r="AT216" s="279"/>
      <c r="AU216" s="279"/>
      <c r="AV216" s="279"/>
      <c r="AW216" s="279"/>
      <c r="AX216" s="279"/>
      <c r="AY216" s="279"/>
      <c r="AZ216" s="279"/>
      <c r="BA216" s="279"/>
      <c r="BB216" s="279"/>
      <c r="BC216" s="279"/>
      <c r="BD216" s="279"/>
      <c r="BE216" s="279"/>
      <c r="BF216" s="279"/>
      <c r="BG216" s="279"/>
      <c r="BH216" s="279"/>
      <c r="BI216" s="279"/>
      <c r="BJ216" s="279"/>
      <c r="BK216" s="279"/>
      <c r="BL216" s="279"/>
      <c r="BM216" s="279"/>
      <c r="BN216" s="279"/>
      <c r="BO216" s="279"/>
      <c r="BP216" s="279"/>
      <c r="BQ216" s="279"/>
    </row>
    <row r="217" ht="12.75" customHeight="1">
      <c r="A217" s="269"/>
      <c r="B217" s="20"/>
      <c r="C217" s="285" t="s">
        <v>510</v>
      </c>
      <c r="D217" s="286"/>
      <c r="E217" s="286"/>
      <c r="F217" s="286"/>
      <c r="G217" s="286"/>
      <c r="H217" s="286"/>
      <c r="I217" s="286"/>
      <c r="J217" s="286"/>
      <c r="K217" s="286"/>
      <c r="L217" s="286"/>
      <c r="M217" s="287"/>
      <c r="N217" s="290">
        <v>1814.0</v>
      </c>
      <c r="O217" s="289"/>
      <c r="P217" s="15"/>
      <c r="Q217" s="15"/>
      <c r="R217" s="16"/>
      <c r="S217" s="279"/>
      <c r="T217" s="279"/>
      <c r="U217" s="279"/>
      <c r="V217" s="279"/>
      <c r="W217" s="279"/>
      <c r="X217" s="279"/>
      <c r="Y217" s="279"/>
      <c r="Z217" s="279"/>
      <c r="AA217" s="279"/>
      <c r="AB217" s="279"/>
      <c r="AC217" s="279"/>
      <c r="AD217" s="279"/>
      <c r="AE217" s="279"/>
      <c r="AF217" s="279"/>
      <c r="AG217" s="279"/>
      <c r="AH217" s="279"/>
      <c r="AI217" s="279"/>
      <c r="AJ217" s="279"/>
      <c r="AK217" s="279"/>
      <c r="AL217" s="279"/>
      <c r="AM217" s="279"/>
      <c r="AN217" s="279"/>
      <c r="AO217" s="279"/>
      <c r="AP217" s="279"/>
      <c r="AQ217" s="279"/>
      <c r="AR217" s="279"/>
      <c r="AS217" s="279"/>
      <c r="AT217" s="279"/>
      <c r="AU217" s="279"/>
      <c r="AV217" s="279"/>
      <c r="AW217" s="279"/>
      <c r="AX217" s="279"/>
      <c r="AY217" s="279"/>
      <c r="AZ217" s="279"/>
      <c r="BA217" s="279"/>
      <c r="BB217" s="279"/>
      <c r="BC217" s="279"/>
      <c r="BD217" s="279"/>
      <c r="BE217" s="279"/>
      <c r="BF217" s="279"/>
      <c r="BG217" s="279"/>
      <c r="BH217" s="279"/>
      <c r="BI217" s="279"/>
      <c r="BJ217" s="279"/>
      <c r="BK217" s="279"/>
      <c r="BL217" s="279"/>
      <c r="BM217" s="279"/>
      <c r="BN217" s="279"/>
      <c r="BO217" s="279"/>
      <c r="BP217" s="279"/>
      <c r="BQ217" s="279"/>
    </row>
    <row r="218" ht="12.75" customHeight="1">
      <c r="A218" s="269"/>
      <c r="B218" s="20"/>
      <c r="C218" s="285" t="s">
        <v>511</v>
      </c>
      <c r="D218" s="286"/>
      <c r="E218" s="286"/>
      <c r="F218" s="286"/>
      <c r="G218" s="286"/>
      <c r="H218" s="286"/>
      <c r="I218" s="286"/>
      <c r="J218" s="286"/>
      <c r="K218" s="286"/>
      <c r="L218" s="286"/>
      <c r="M218" s="287"/>
      <c r="N218" s="290">
        <v>1815.0</v>
      </c>
      <c r="O218" s="289"/>
      <c r="P218" s="15"/>
      <c r="Q218" s="15"/>
      <c r="R218" s="16"/>
      <c r="S218" s="279"/>
      <c r="T218" s="279"/>
      <c r="U218" s="279"/>
      <c r="V218" s="279"/>
      <c r="W218" s="279"/>
      <c r="X218" s="279"/>
      <c r="Y218" s="279"/>
      <c r="Z218" s="279"/>
      <c r="AA218" s="279"/>
      <c r="AB218" s="279"/>
      <c r="AC218" s="279"/>
      <c r="AD218" s="279"/>
      <c r="AE218" s="279"/>
      <c r="AF218" s="279"/>
      <c r="AG218" s="279"/>
      <c r="AH218" s="279"/>
      <c r="AI218" s="279"/>
      <c r="AJ218" s="279"/>
      <c r="AK218" s="279"/>
      <c r="AL218" s="279"/>
      <c r="AM218" s="279"/>
      <c r="AN218" s="279"/>
      <c r="AO218" s="279"/>
      <c r="AP218" s="279"/>
      <c r="AQ218" s="279"/>
      <c r="AR218" s="279"/>
      <c r="AS218" s="279"/>
      <c r="AT218" s="279"/>
      <c r="AU218" s="279"/>
      <c r="AV218" s="279"/>
      <c r="AW218" s="279"/>
      <c r="AX218" s="279"/>
      <c r="AY218" s="279"/>
      <c r="AZ218" s="279"/>
      <c r="BA218" s="279"/>
      <c r="BB218" s="279"/>
      <c r="BC218" s="279"/>
      <c r="BD218" s="279"/>
      <c r="BE218" s="279"/>
      <c r="BF218" s="279"/>
      <c r="BG218" s="279"/>
      <c r="BH218" s="279"/>
      <c r="BI218" s="279"/>
      <c r="BJ218" s="279"/>
      <c r="BK218" s="279"/>
      <c r="BL218" s="279"/>
      <c r="BM218" s="279"/>
      <c r="BN218" s="279"/>
      <c r="BO218" s="279"/>
      <c r="BP218" s="279"/>
      <c r="BQ218" s="279"/>
    </row>
    <row r="219" ht="12.75" customHeight="1">
      <c r="A219" s="269"/>
      <c r="B219" s="34"/>
      <c r="C219" s="285" t="s">
        <v>512</v>
      </c>
      <c r="D219" s="286"/>
      <c r="E219" s="286"/>
      <c r="F219" s="286"/>
      <c r="G219" s="286"/>
      <c r="H219" s="286"/>
      <c r="I219" s="286"/>
      <c r="J219" s="286"/>
      <c r="K219" s="286"/>
      <c r="L219" s="286"/>
      <c r="M219" s="287"/>
      <c r="N219" s="290">
        <v>1816.0</v>
      </c>
      <c r="O219" s="289"/>
      <c r="P219" s="15"/>
      <c r="Q219" s="15"/>
      <c r="R219" s="16"/>
      <c r="S219" s="279"/>
      <c r="T219" s="279"/>
      <c r="U219" s="279"/>
      <c r="V219" s="279"/>
      <c r="W219" s="279"/>
      <c r="X219" s="279"/>
      <c r="Y219" s="279"/>
      <c r="Z219" s="279"/>
      <c r="AA219" s="279"/>
      <c r="AB219" s="279"/>
      <c r="AC219" s="279"/>
      <c r="AD219" s="279"/>
      <c r="AE219" s="279"/>
      <c r="AF219" s="279"/>
      <c r="AG219" s="279"/>
      <c r="AH219" s="279"/>
      <c r="AI219" s="279"/>
      <c r="AJ219" s="279"/>
      <c r="AK219" s="279"/>
      <c r="AL219" s="279"/>
      <c r="AM219" s="279"/>
      <c r="AN219" s="279"/>
      <c r="AO219" s="279"/>
      <c r="AP219" s="279"/>
      <c r="AQ219" s="279"/>
      <c r="AR219" s="279"/>
      <c r="AS219" s="279"/>
      <c r="AT219" s="279"/>
      <c r="AU219" s="279"/>
      <c r="AV219" s="279"/>
      <c r="AW219" s="279"/>
      <c r="AX219" s="279"/>
      <c r="AY219" s="279"/>
      <c r="AZ219" s="279"/>
      <c r="BA219" s="279"/>
      <c r="BB219" s="279"/>
      <c r="BC219" s="279"/>
      <c r="BD219" s="279"/>
      <c r="BE219" s="279"/>
      <c r="BF219" s="279"/>
      <c r="BG219" s="279"/>
      <c r="BH219" s="279"/>
      <c r="BI219" s="279"/>
      <c r="BJ219" s="279"/>
      <c r="BK219" s="279"/>
      <c r="BL219" s="279"/>
      <c r="BM219" s="279"/>
      <c r="BN219" s="279"/>
      <c r="BO219" s="279"/>
      <c r="BP219" s="279"/>
      <c r="BQ219" s="279"/>
    </row>
    <row r="220" ht="12.75" customHeight="1">
      <c r="A220" s="275"/>
      <c r="B220" s="393"/>
      <c r="C220" s="393"/>
      <c r="D220" s="393"/>
      <c r="E220" s="393"/>
      <c r="F220" s="393"/>
      <c r="G220" s="393"/>
      <c r="H220" s="393"/>
      <c r="I220" s="393"/>
      <c r="J220" s="393"/>
      <c r="K220" s="393"/>
      <c r="L220" s="393"/>
      <c r="M220" s="393"/>
      <c r="N220" s="387"/>
      <c r="O220" s="279"/>
      <c r="P220" s="279"/>
      <c r="Q220" s="279"/>
      <c r="R220" s="279"/>
      <c r="S220" s="279"/>
      <c r="T220" s="279"/>
      <c r="U220" s="279"/>
      <c r="V220" s="279"/>
      <c r="W220" s="279"/>
      <c r="X220" s="279"/>
      <c r="Y220" s="279"/>
      <c r="Z220" s="279"/>
      <c r="AA220" s="279"/>
      <c r="AB220" s="279"/>
      <c r="AC220" s="279"/>
      <c r="AD220" s="279"/>
      <c r="AE220" s="279"/>
      <c r="AF220" s="279"/>
      <c r="AG220" s="279"/>
      <c r="AH220" s="279"/>
      <c r="AI220" s="279"/>
      <c r="AJ220" s="279"/>
      <c r="AK220" s="279"/>
      <c r="AL220" s="279"/>
      <c r="AM220" s="279"/>
      <c r="AN220" s="279"/>
      <c r="AO220" s="279"/>
      <c r="AP220" s="279"/>
      <c r="AQ220" s="279"/>
      <c r="AR220" s="279"/>
      <c r="AS220" s="279"/>
      <c r="AT220" s="279"/>
      <c r="AU220" s="279"/>
      <c r="AV220" s="279"/>
      <c r="AW220" s="279"/>
      <c r="AX220" s="279"/>
      <c r="AY220" s="279"/>
      <c r="AZ220" s="279"/>
      <c r="BA220" s="279"/>
      <c r="BB220" s="279"/>
      <c r="BC220" s="279"/>
      <c r="BD220" s="279"/>
      <c r="BE220" s="279"/>
      <c r="BF220" s="279"/>
      <c r="BG220" s="279"/>
      <c r="BH220" s="279"/>
      <c r="BI220" s="279"/>
      <c r="BJ220" s="279"/>
      <c r="BK220" s="279"/>
      <c r="BL220" s="279"/>
      <c r="BM220" s="279"/>
      <c r="BN220" s="279"/>
      <c r="BO220" s="279"/>
      <c r="BP220" s="279"/>
      <c r="BQ220" s="279"/>
    </row>
    <row r="221" ht="12.75" customHeight="1">
      <c r="A221" s="275"/>
      <c r="B221" s="388" t="s">
        <v>513</v>
      </c>
      <c r="C221" s="22"/>
      <c r="D221" s="22"/>
      <c r="E221" s="22"/>
      <c r="F221" s="22"/>
      <c r="G221" s="22"/>
      <c r="H221" s="22"/>
      <c r="I221" s="22"/>
      <c r="J221" s="22"/>
      <c r="K221" s="22"/>
      <c r="L221" s="22"/>
      <c r="M221" s="22"/>
      <c r="N221" s="23"/>
      <c r="O221" s="279"/>
      <c r="P221" s="279"/>
      <c r="Q221" s="279"/>
      <c r="R221" s="279"/>
      <c r="S221" s="279"/>
      <c r="T221" s="279"/>
      <c r="U221" s="279"/>
      <c r="V221" s="279"/>
      <c r="W221" s="279"/>
      <c r="X221" s="279"/>
      <c r="Y221" s="279"/>
      <c r="Z221" s="279"/>
      <c r="AA221" s="279"/>
      <c r="AB221" s="279"/>
      <c r="AC221" s="279"/>
      <c r="AD221" s="279"/>
      <c r="AE221" s="279"/>
      <c r="AF221" s="279"/>
      <c r="AG221" s="279"/>
      <c r="AH221" s="279"/>
      <c r="AI221" s="279"/>
      <c r="AJ221" s="279"/>
      <c r="AK221" s="279"/>
      <c r="AL221" s="279"/>
      <c r="AM221" s="279"/>
      <c r="AN221" s="279"/>
      <c r="AO221" s="279"/>
      <c r="AP221" s="279"/>
      <c r="AQ221" s="279"/>
      <c r="AR221" s="279"/>
      <c r="AS221" s="279"/>
      <c r="AT221" s="279"/>
      <c r="AU221" s="279"/>
      <c r="AV221" s="279"/>
      <c r="AW221" s="279"/>
      <c r="AX221" s="279"/>
      <c r="AY221" s="279"/>
      <c r="AZ221" s="279"/>
      <c r="BA221" s="279"/>
      <c r="BB221" s="279"/>
      <c r="BC221" s="279"/>
      <c r="BD221" s="279"/>
      <c r="BE221" s="279"/>
      <c r="BF221" s="279"/>
      <c r="BG221" s="279"/>
      <c r="BH221" s="279"/>
      <c r="BI221" s="279"/>
      <c r="BJ221" s="279"/>
      <c r="BK221" s="279"/>
      <c r="BL221" s="279"/>
      <c r="BM221" s="279"/>
      <c r="BN221" s="279"/>
      <c r="BO221" s="279"/>
      <c r="BP221" s="279"/>
      <c r="BQ221" s="279"/>
    </row>
    <row r="222" ht="12.75" customHeight="1">
      <c r="A222" s="275"/>
      <c r="B222" s="28"/>
      <c r="C222" s="29"/>
      <c r="D222" s="29"/>
      <c r="E222" s="29"/>
      <c r="F222" s="29"/>
      <c r="G222" s="29"/>
      <c r="H222" s="29"/>
      <c r="I222" s="29"/>
      <c r="J222" s="29"/>
      <c r="K222" s="29"/>
      <c r="L222" s="29"/>
      <c r="M222" s="29"/>
      <c r="N222" s="30"/>
      <c r="O222" s="279"/>
      <c r="P222" s="279"/>
      <c r="Q222" s="279"/>
      <c r="R222" s="279"/>
      <c r="S222" s="279"/>
      <c r="T222" s="279"/>
      <c r="U222" s="279"/>
      <c r="V222" s="279"/>
      <c r="W222" s="279"/>
      <c r="X222" s="279"/>
      <c r="Y222" s="279"/>
      <c r="Z222" s="279"/>
      <c r="AA222" s="279"/>
      <c r="AB222" s="279"/>
      <c r="AC222" s="279"/>
      <c r="AD222" s="279"/>
      <c r="AE222" s="279"/>
      <c r="AF222" s="279"/>
      <c r="AG222" s="279"/>
      <c r="AH222" s="279"/>
      <c r="AI222" s="279"/>
      <c r="AJ222" s="279"/>
      <c r="AK222" s="279"/>
      <c r="AL222" s="279"/>
      <c r="AM222" s="279"/>
      <c r="AN222" s="279"/>
      <c r="AO222" s="279"/>
      <c r="AP222" s="279"/>
      <c r="AQ222" s="279"/>
      <c r="AR222" s="279"/>
      <c r="AS222" s="279"/>
      <c r="AT222" s="279"/>
      <c r="AU222" s="279"/>
      <c r="AV222" s="279"/>
      <c r="AW222" s="279"/>
      <c r="AX222" s="279"/>
      <c r="AY222" s="279"/>
      <c r="AZ222" s="279"/>
      <c r="BA222" s="279"/>
      <c r="BB222" s="279"/>
      <c r="BC222" s="279"/>
      <c r="BD222" s="279"/>
      <c r="BE222" s="279"/>
      <c r="BF222" s="279"/>
      <c r="BG222" s="279"/>
      <c r="BH222" s="279"/>
      <c r="BI222" s="279"/>
      <c r="BJ222" s="279"/>
      <c r="BK222" s="279"/>
      <c r="BL222" s="279"/>
      <c r="BM222" s="279"/>
      <c r="BN222" s="279"/>
      <c r="BO222" s="279"/>
      <c r="BP222" s="279"/>
      <c r="BQ222" s="279"/>
    </row>
    <row r="223" ht="12.75" customHeight="1">
      <c r="A223" s="269"/>
      <c r="B223" s="285" t="s">
        <v>514</v>
      </c>
      <c r="C223" s="286"/>
      <c r="D223" s="286"/>
      <c r="E223" s="286"/>
      <c r="F223" s="286"/>
      <c r="G223" s="286"/>
      <c r="H223" s="286"/>
      <c r="I223" s="288">
        <v>1651.0</v>
      </c>
      <c r="J223" s="289"/>
      <c r="K223" s="15"/>
      <c r="L223" s="15"/>
      <c r="M223" s="16"/>
      <c r="N223" s="338" t="s">
        <v>281</v>
      </c>
      <c r="O223" s="279"/>
      <c r="P223" s="279"/>
      <c r="Q223" s="279"/>
      <c r="R223" s="279"/>
      <c r="S223" s="279"/>
      <c r="T223" s="279"/>
      <c r="U223" s="279"/>
      <c r="V223" s="279"/>
      <c r="W223" s="279"/>
      <c r="X223" s="279"/>
      <c r="Y223" s="279"/>
      <c r="Z223" s="279"/>
      <c r="AA223" s="279"/>
      <c r="AB223" s="279"/>
      <c r="AC223" s="279"/>
      <c r="AD223" s="279"/>
      <c r="AE223" s="279"/>
      <c r="AF223" s="279"/>
      <c r="AG223" s="279"/>
      <c r="AH223" s="279"/>
      <c r="AI223" s="279"/>
      <c r="AJ223" s="279"/>
      <c r="AK223" s="279"/>
      <c r="AL223" s="279"/>
      <c r="AM223" s="279"/>
      <c r="AN223" s="279"/>
      <c r="AO223" s="279"/>
      <c r="AP223" s="279"/>
      <c r="AQ223" s="279"/>
      <c r="AR223" s="279"/>
      <c r="AS223" s="279"/>
      <c r="AT223" s="279"/>
      <c r="AU223" s="279"/>
      <c r="AV223" s="279"/>
      <c r="AW223" s="279"/>
      <c r="AX223" s="279"/>
      <c r="AY223" s="279"/>
      <c r="AZ223" s="279"/>
      <c r="BA223" s="279"/>
      <c r="BB223" s="279"/>
      <c r="BC223" s="279"/>
      <c r="BD223" s="279"/>
      <c r="BE223" s="279"/>
      <c r="BF223" s="279"/>
      <c r="BG223" s="279"/>
      <c r="BH223" s="279"/>
      <c r="BI223" s="279"/>
      <c r="BJ223" s="279"/>
      <c r="BK223" s="279"/>
      <c r="BL223" s="279"/>
      <c r="BM223" s="279"/>
      <c r="BN223" s="279"/>
      <c r="BO223" s="279"/>
      <c r="BP223" s="279"/>
      <c r="BQ223" s="279"/>
    </row>
    <row r="224" ht="12.75" customHeight="1">
      <c r="A224" s="269"/>
      <c r="B224" s="285" t="s">
        <v>515</v>
      </c>
      <c r="C224" s="286"/>
      <c r="D224" s="286"/>
      <c r="E224" s="286"/>
      <c r="F224" s="286"/>
      <c r="G224" s="286"/>
      <c r="H224" s="286"/>
      <c r="I224" s="290">
        <v>1652.0</v>
      </c>
      <c r="J224" s="289"/>
      <c r="K224" s="15"/>
      <c r="L224" s="15"/>
      <c r="M224" s="16"/>
      <c r="N224" s="338" t="s">
        <v>281</v>
      </c>
      <c r="O224" s="279"/>
      <c r="P224" s="279"/>
      <c r="Q224" s="279"/>
      <c r="R224" s="279"/>
      <c r="S224" s="279"/>
      <c r="T224" s="279"/>
      <c r="U224" s="279"/>
      <c r="V224" s="279"/>
      <c r="W224" s="279"/>
      <c r="X224" s="279"/>
      <c r="Y224" s="279"/>
      <c r="Z224" s="279"/>
      <c r="AA224" s="279"/>
      <c r="AB224" s="279"/>
      <c r="AC224" s="279"/>
      <c r="AD224" s="279"/>
      <c r="AE224" s="279"/>
      <c r="AF224" s="279"/>
      <c r="AG224" s="279"/>
      <c r="AH224" s="279"/>
      <c r="AI224" s="279"/>
      <c r="AJ224" s="279"/>
      <c r="AK224" s="279"/>
      <c r="AL224" s="279"/>
      <c r="AM224" s="279"/>
      <c r="AN224" s="279"/>
      <c r="AO224" s="279"/>
      <c r="AP224" s="279"/>
      <c r="AQ224" s="279"/>
      <c r="AR224" s="279"/>
      <c r="AS224" s="279"/>
      <c r="AT224" s="279"/>
      <c r="AU224" s="279"/>
      <c r="AV224" s="279"/>
      <c r="AW224" s="279"/>
      <c r="AX224" s="279"/>
      <c r="AY224" s="279"/>
      <c r="AZ224" s="279"/>
      <c r="BA224" s="279"/>
      <c r="BB224" s="279"/>
      <c r="BC224" s="279"/>
      <c r="BD224" s="279"/>
      <c r="BE224" s="279"/>
      <c r="BF224" s="279"/>
      <c r="BG224" s="279"/>
      <c r="BH224" s="279"/>
      <c r="BI224" s="279"/>
      <c r="BJ224" s="279"/>
      <c r="BK224" s="6"/>
      <c r="BL224" s="6"/>
      <c r="BM224" s="6"/>
      <c r="BN224" s="6"/>
      <c r="BO224" s="6"/>
      <c r="BP224" s="6"/>
      <c r="BQ224" s="6"/>
    </row>
    <row r="225" ht="12.75" customHeight="1">
      <c r="A225" s="269"/>
      <c r="B225" s="285" t="s">
        <v>516</v>
      </c>
      <c r="C225" s="286"/>
      <c r="D225" s="286"/>
      <c r="E225" s="286"/>
      <c r="F225" s="286"/>
      <c r="G225" s="286"/>
      <c r="H225" s="286"/>
      <c r="I225" s="290">
        <v>1653.0</v>
      </c>
      <c r="J225" s="289"/>
      <c r="K225" s="15"/>
      <c r="L225" s="15"/>
      <c r="M225" s="16"/>
      <c r="N225" s="338" t="s">
        <v>312</v>
      </c>
      <c r="O225" s="279"/>
      <c r="P225" s="279"/>
      <c r="Q225" s="279"/>
      <c r="R225" s="279"/>
      <c r="S225" s="279"/>
      <c r="T225" s="279"/>
      <c r="U225" s="279"/>
      <c r="V225" s="279"/>
      <c r="W225" s="279"/>
      <c r="X225" s="279"/>
      <c r="Y225" s="279"/>
      <c r="Z225" s="279"/>
      <c r="AA225" s="279"/>
      <c r="AB225" s="279"/>
      <c r="AC225" s="279"/>
      <c r="AD225" s="279"/>
      <c r="AE225" s="279"/>
      <c r="AF225" s="279"/>
      <c r="AG225" s="279"/>
      <c r="AH225" s="279"/>
      <c r="AI225" s="279"/>
      <c r="AJ225" s="279"/>
      <c r="AK225" s="279"/>
      <c r="AL225" s="279"/>
      <c r="AM225" s="279"/>
      <c r="AN225" s="279"/>
      <c r="AO225" s="279"/>
      <c r="AP225" s="279"/>
      <c r="AQ225" s="279"/>
      <c r="AR225" s="279"/>
      <c r="AS225" s="279"/>
      <c r="AT225" s="279"/>
      <c r="AU225" s="279"/>
      <c r="AV225" s="279"/>
      <c r="AW225" s="279"/>
      <c r="AX225" s="279"/>
      <c r="AY225" s="279"/>
      <c r="AZ225" s="279"/>
      <c r="BA225" s="279"/>
      <c r="BB225" s="279"/>
      <c r="BC225" s="279"/>
      <c r="BD225" s="279"/>
      <c r="BE225" s="279"/>
      <c r="BF225" s="279"/>
      <c r="BG225" s="279"/>
      <c r="BH225" s="279"/>
      <c r="BI225" s="279"/>
      <c r="BJ225" s="279"/>
      <c r="BK225" s="6"/>
      <c r="BL225" s="6"/>
      <c r="BM225" s="6"/>
      <c r="BN225" s="6"/>
      <c r="BO225" s="6"/>
      <c r="BP225" s="6"/>
      <c r="BQ225" s="6"/>
    </row>
    <row r="226" ht="12.75" customHeight="1">
      <c r="A226" s="269"/>
      <c r="B226" s="285" t="s">
        <v>517</v>
      </c>
      <c r="C226" s="286"/>
      <c r="D226" s="286"/>
      <c r="E226" s="286"/>
      <c r="F226" s="286"/>
      <c r="G226" s="286"/>
      <c r="H226" s="286"/>
      <c r="I226" s="290">
        <v>1654.0</v>
      </c>
      <c r="J226" s="289">
        <f>+$J$223+$J$224-$J$225</f>
        <v>0</v>
      </c>
      <c r="K226" s="15"/>
      <c r="L226" s="15"/>
      <c r="M226" s="16"/>
      <c r="N226" s="338" t="s">
        <v>317</v>
      </c>
      <c r="O226" s="279"/>
      <c r="P226" s="279"/>
      <c r="Q226" s="279"/>
      <c r="R226" s="279"/>
      <c r="S226" s="279"/>
      <c r="T226" s="279"/>
      <c r="U226" s="279"/>
      <c r="V226" s="279"/>
      <c r="W226" s="279"/>
      <c r="X226" s="279"/>
      <c r="Y226" s="279"/>
      <c r="Z226" s="279"/>
      <c r="AA226" s="279"/>
      <c r="AB226" s="279"/>
      <c r="AC226" s="279"/>
      <c r="AD226" s="279"/>
      <c r="AE226" s="279"/>
      <c r="AF226" s="279"/>
      <c r="AG226" s="279"/>
      <c r="AH226" s="279"/>
      <c r="AI226" s="279"/>
      <c r="AJ226" s="279"/>
      <c r="AK226" s="279"/>
      <c r="AL226" s="279"/>
      <c r="AM226" s="279"/>
      <c r="AN226" s="279"/>
      <c r="AO226" s="279"/>
      <c r="AP226" s="279"/>
      <c r="AQ226" s="279"/>
      <c r="AR226" s="279"/>
      <c r="AS226" s="279"/>
      <c r="AT226" s="279"/>
      <c r="AU226" s="279"/>
      <c r="AV226" s="279"/>
      <c r="AW226" s="279"/>
      <c r="AX226" s="279"/>
      <c r="AY226" s="279"/>
      <c r="AZ226" s="279"/>
      <c r="BA226" s="279"/>
      <c r="BB226" s="279"/>
      <c r="BC226" s="279"/>
      <c r="BD226" s="279"/>
      <c r="BE226" s="279"/>
      <c r="BF226" s="279"/>
      <c r="BG226" s="279"/>
      <c r="BH226" s="279"/>
      <c r="BI226" s="279"/>
      <c r="BJ226" s="279"/>
      <c r="BK226" s="6"/>
      <c r="BL226" s="6"/>
      <c r="BM226" s="6"/>
      <c r="BN226" s="6"/>
      <c r="BO226" s="6"/>
      <c r="BP226" s="6"/>
      <c r="BQ226" s="6"/>
    </row>
    <row r="227" ht="12.75" customHeight="1">
      <c r="A227" s="275"/>
      <c r="B227" s="387"/>
      <c r="C227" s="387"/>
      <c r="D227" s="387"/>
      <c r="E227" s="387"/>
      <c r="F227" s="387"/>
      <c r="G227" s="387"/>
      <c r="H227" s="387"/>
      <c r="I227" s="387"/>
      <c r="J227" s="387"/>
      <c r="K227" s="387"/>
      <c r="L227" s="387"/>
      <c r="M227" s="387"/>
      <c r="N227" s="387"/>
      <c r="O227" s="279"/>
      <c r="P227" s="279"/>
      <c r="Q227" s="279"/>
      <c r="R227" s="279"/>
      <c r="S227" s="279"/>
      <c r="T227" s="279"/>
      <c r="U227" s="279"/>
      <c r="V227" s="279"/>
      <c r="W227" s="279"/>
      <c r="X227" s="279"/>
      <c r="Y227" s="279"/>
      <c r="Z227" s="279"/>
      <c r="AA227" s="279"/>
      <c r="AB227" s="279"/>
      <c r="AC227" s="279"/>
      <c r="AD227" s="279"/>
      <c r="AE227" s="279"/>
      <c r="AF227" s="279"/>
      <c r="AG227" s="279"/>
      <c r="AH227" s="279"/>
      <c r="AI227" s="279"/>
      <c r="AJ227" s="279"/>
      <c r="AK227" s="279"/>
      <c r="AL227" s="279"/>
      <c r="AM227" s="279"/>
      <c r="AN227" s="279"/>
      <c r="AO227" s="279"/>
      <c r="AP227" s="279"/>
      <c r="AQ227" s="279"/>
      <c r="AR227" s="279"/>
      <c r="AS227" s="279"/>
      <c r="AT227" s="279"/>
      <c r="AU227" s="279"/>
      <c r="AV227" s="279"/>
      <c r="AW227" s="279"/>
      <c r="AX227" s="279"/>
      <c r="AY227" s="279"/>
      <c r="AZ227" s="279"/>
      <c r="BA227" s="279"/>
      <c r="BB227" s="279"/>
      <c r="BC227" s="279"/>
      <c r="BD227" s="279"/>
      <c r="BE227" s="279"/>
      <c r="BF227" s="279"/>
      <c r="BG227" s="279"/>
      <c r="BH227" s="279"/>
      <c r="BI227" s="279"/>
      <c r="BJ227" s="279"/>
      <c r="BK227" s="203"/>
      <c r="BL227" s="203"/>
      <c r="BM227" s="203"/>
      <c r="BN227" s="203"/>
      <c r="BO227" s="203"/>
      <c r="BP227" s="203"/>
      <c r="BQ227" s="203"/>
    </row>
    <row r="228" ht="12.75" customHeight="1">
      <c r="A228" s="275"/>
      <c r="B228" s="388" t="s">
        <v>518</v>
      </c>
      <c r="C228" s="22"/>
      <c r="D228" s="22"/>
      <c r="E228" s="22"/>
      <c r="F228" s="22"/>
      <c r="G228" s="22"/>
      <c r="H228" s="22"/>
      <c r="I228" s="22"/>
      <c r="J228" s="22"/>
      <c r="K228" s="22"/>
      <c r="L228" s="22"/>
      <c r="M228" s="22"/>
      <c r="N228" s="22"/>
      <c r="O228" s="22"/>
      <c r="P228" s="22"/>
      <c r="Q228" s="22"/>
      <c r="R228" s="23"/>
      <c r="S228" s="279"/>
      <c r="T228" s="279"/>
      <c r="U228" s="279"/>
      <c r="V228" s="279"/>
      <c r="W228" s="279"/>
      <c r="X228" s="279"/>
      <c r="Y228" s="279"/>
      <c r="Z228" s="279"/>
      <c r="AA228" s="279"/>
      <c r="AB228" s="279"/>
      <c r="AC228" s="279"/>
      <c r="AD228" s="279"/>
      <c r="AE228" s="279"/>
      <c r="AF228" s="279"/>
      <c r="AG228" s="279"/>
      <c r="AH228" s="279"/>
      <c r="AI228" s="279"/>
      <c r="AJ228" s="279"/>
      <c r="AK228" s="279"/>
      <c r="AL228" s="279"/>
      <c r="AM228" s="279"/>
      <c r="AN228" s="279"/>
      <c r="AO228" s="279"/>
      <c r="AP228" s="279"/>
      <c r="AQ228" s="279"/>
      <c r="AR228" s="279"/>
      <c r="AS228" s="279"/>
      <c r="AT228" s="279"/>
      <c r="AU228" s="279"/>
      <c r="AV228" s="279"/>
      <c r="AW228" s="279"/>
      <c r="AX228" s="279"/>
      <c r="AY228" s="279"/>
      <c r="AZ228" s="279"/>
      <c r="BA228" s="279"/>
      <c r="BB228" s="279"/>
      <c r="BC228" s="279"/>
      <c r="BD228" s="279"/>
      <c r="BE228" s="279"/>
      <c r="BF228" s="279"/>
      <c r="BG228" s="279"/>
      <c r="BH228" s="279"/>
      <c r="BI228" s="279"/>
      <c r="BJ228" s="279"/>
      <c r="BK228" s="279"/>
      <c r="BL228" s="279"/>
      <c r="BM228" s="279"/>
      <c r="BN228" s="279"/>
      <c r="BO228" s="279"/>
      <c r="BP228" s="279"/>
      <c r="BQ228" s="279"/>
    </row>
    <row r="229" ht="12.75" customHeight="1">
      <c r="A229" s="275"/>
      <c r="B229" s="28"/>
      <c r="C229" s="29"/>
      <c r="D229" s="29"/>
      <c r="E229" s="29"/>
      <c r="F229" s="29"/>
      <c r="G229" s="29"/>
      <c r="H229" s="29"/>
      <c r="I229" s="29"/>
      <c r="J229" s="29"/>
      <c r="K229" s="29"/>
      <c r="L229" s="29"/>
      <c r="M229" s="29"/>
      <c r="N229" s="29"/>
      <c r="O229" s="29"/>
      <c r="P229" s="29"/>
      <c r="Q229" s="29"/>
      <c r="R229" s="30"/>
      <c r="S229" s="279"/>
      <c r="T229" s="279"/>
      <c r="U229" s="279"/>
      <c r="V229" s="279"/>
      <c r="W229" s="279"/>
      <c r="X229" s="279"/>
      <c r="Y229" s="279"/>
      <c r="Z229" s="279"/>
      <c r="AA229" s="279"/>
      <c r="AB229" s="279"/>
      <c r="AC229" s="279"/>
      <c r="AD229" s="279"/>
      <c r="AE229" s="279"/>
      <c r="AF229" s="279"/>
      <c r="AG229" s="279"/>
      <c r="AH229" s="279"/>
      <c r="AI229" s="279"/>
      <c r="AJ229" s="279"/>
      <c r="AK229" s="279"/>
      <c r="AL229" s="279"/>
      <c r="AM229" s="279"/>
      <c r="AN229" s="279"/>
      <c r="AO229" s="279"/>
      <c r="AP229" s="279"/>
      <c r="AQ229" s="279"/>
      <c r="AR229" s="279"/>
      <c r="AS229" s="279"/>
      <c r="AT229" s="279"/>
      <c r="AU229" s="279"/>
      <c r="AV229" s="279"/>
      <c r="AW229" s="279"/>
      <c r="AX229" s="279"/>
      <c r="AY229" s="279"/>
      <c r="AZ229" s="279"/>
      <c r="BA229" s="279"/>
      <c r="BB229" s="279"/>
      <c r="BC229" s="279"/>
      <c r="BD229" s="279"/>
      <c r="BE229" s="279"/>
      <c r="BF229" s="279"/>
      <c r="BG229" s="279"/>
      <c r="BH229" s="279"/>
      <c r="BI229" s="279"/>
      <c r="BJ229" s="279"/>
      <c r="BK229" s="279"/>
      <c r="BL229" s="279"/>
      <c r="BM229" s="279"/>
      <c r="BN229" s="279"/>
      <c r="BO229" s="279"/>
      <c r="BP229" s="279"/>
      <c r="BQ229" s="279"/>
    </row>
    <row r="230" ht="12.75" customHeight="1">
      <c r="A230" s="269"/>
      <c r="B230" s="282" t="s">
        <v>519</v>
      </c>
      <c r="C230" s="285" t="s">
        <v>520</v>
      </c>
      <c r="D230" s="286"/>
      <c r="E230" s="286"/>
      <c r="F230" s="286"/>
      <c r="G230" s="286"/>
      <c r="H230" s="286"/>
      <c r="I230" s="286"/>
      <c r="J230" s="286"/>
      <c r="K230" s="286"/>
      <c r="L230" s="286"/>
      <c r="M230" s="287"/>
      <c r="N230" s="290">
        <v>783.0</v>
      </c>
      <c r="O230" s="289"/>
      <c r="P230" s="15"/>
      <c r="Q230" s="15"/>
      <c r="R230" s="16"/>
      <c r="S230" s="279"/>
      <c r="T230" s="279"/>
      <c r="U230" s="279"/>
      <c r="V230" s="279"/>
      <c r="W230" s="279"/>
      <c r="X230" s="279"/>
      <c r="Y230" s="279"/>
      <c r="Z230" s="279"/>
      <c r="AA230" s="279"/>
      <c r="AB230" s="279"/>
      <c r="AC230" s="279"/>
      <c r="AD230" s="279"/>
      <c r="AE230" s="279"/>
      <c r="AF230" s="279"/>
      <c r="AG230" s="279"/>
      <c r="AH230" s="279"/>
      <c r="AI230" s="279"/>
      <c r="AJ230" s="279"/>
      <c r="AK230" s="279"/>
      <c r="AL230" s="279"/>
      <c r="AM230" s="279"/>
      <c r="AN230" s="279"/>
      <c r="AO230" s="279"/>
      <c r="AP230" s="279"/>
      <c r="AQ230" s="279"/>
      <c r="AR230" s="279"/>
      <c r="AS230" s="279"/>
      <c r="AT230" s="279"/>
      <c r="AU230" s="279"/>
      <c r="AV230" s="279"/>
      <c r="AW230" s="279"/>
      <c r="AX230" s="279"/>
      <c r="AY230" s="279"/>
      <c r="AZ230" s="279"/>
      <c r="BA230" s="279"/>
      <c r="BB230" s="279"/>
      <c r="BC230" s="279"/>
      <c r="BD230" s="279"/>
      <c r="BE230" s="279"/>
      <c r="BF230" s="279"/>
      <c r="BG230" s="279"/>
      <c r="BH230" s="279"/>
      <c r="BI230" s="279"/>
      <c r="BJ230" s="279"/>
      <c r="BK230" s="279"/>
      <c r="BL230" s="279"/>
      <c r="BM230" s="279"/>
      <c r="BN230" s="279"/>
      <c r="BO230" s="279"/>
      <c r="BP230" s="279"/>
      <c r="BQ230" s="279"/>
    </row>
    <row r="231" ht="12.75" customHeight="1">
      <c r="A231" s="269"/>
      <c r="B231" s="20"/>
      <c r="C231" s="285" t="s">
        <v>521</v>
      </c>
      <c r="D231" s="286"/>
      <c r="E231" s="286"/>
      <c r="F231" s="286"/>
      <c r="G231" s="286"/>
      <c r="H231" s="286"/>
      <c r="I231" s="286"/>
      <c r="J231" s="286"/>
      <c r="K231" s="286"/>
      <c r="L231" s="286"/>
      <c r="M231" s="287"/>
      <c r="N231" s="290">
        <v>976.0</v>
      </c>
      <c r="O231" s="289"/>
      <c r="P231" s="15"/>
      <c r="Q231" s="15"/>
      <c r="R231" s="16"/>
      <c r="S231" s="279"/>
      <c r="T231" s="279"/>
      <c r="U231" s="279"/>
      <c r="V231" s="279"/>
      <c r="W231" s="279"/>
      <c r="X231" s="279"/>
      <c r="Y231" s="279"/>
      <c r="Z231" s="279"/>
      <c r="AA231" s="279"/>
      <c r="AB231" s="279"/>
      <c r="AC231" s="279"/>
      <c r="AD231" s="279"/>
      <c r="AE231" s="279"/>
      <c r="AF231" s="279"/>
      <c r="AG231" s="279"/>
      <c r="AH231" s="279"/>
      <c r="AI231" s="279"/>
      <c r="AJ231" s="279"/>
      <c r="AK231" s="279"/>
      <c r="AL231" s="279"/>
      <c r="AM231" s="279"/>
      <c r="AN231" s="279"/>
      <c r="AO231" s="279"/>
      <c r="AP231" s="279"/>
      <c r="AQ231" s="279"/>
      <c r="AR231" s="279"/>
      <c r="AS231" s="279"/>
      <c r="AT231" s="279"/>
      <c r="AU231" s="279"/>
      <c r="AV231" s="279"/>
      <c r="AW231" s="279"/>
      <c r="AX231" s="279"/>
      <c r="AY231" s="279"/>
      <c r="AZ231" s="279"/>
      <c r="BA231" s="279"/>
      <c r="BB231" s="279"/>
      <c r="BC231" s="279"/>
      <c r="BD231" s="279"/>
      <c r="BE231" s="279"/>
      <c r="BF231" s="279"/>
      <c r="BG231" s="279"/>
      <c r="BH231" s="279"/>
      <c r="BI231" s="279"/>
      <c r="BJ231" s="279"/>
      <c r="BK231" s="279"/>
      <c r="BL231" s="279"/>
      <c r="BM231" s="279"/>
      <c r="BN231" s="279"/>
      <c r="BO231" s="279"/>
      <c r="BP231" s="279"/>
      <c r="BQ231" s="279"/>
    </row>
    <row r="232" ht="12.75" customHeight="1">
      <c r="A232" s="269"/>
      <c r="B232" s="20"/>
      <c r="C232" s="285" t="s">
        <v>522</v>
      </c>
      <c r="D232" s="286"/>
      <c r="E232" s="286"/>
      <c r="F232" s="286"/>
      <c r="G232" s="286"/>
      <c r="H232" s="286"/>
      <c r="I232" s="286"/>
      <c r="J232" s="286"/>
      <c r="K232" s="286"/>
      <c r="L232" s="286"/>
      <c r="M232" s="287"/>
      <c r="N232" s="290">
        <v>978.0</v>
      </c>
      <c r="O232" s="289"/>
      <c r="P232" s="15"/>
      <c r="Q232" s="15"/>
      <c r="R232" s="16"/>
      <c r="S232" s="279"/>
      <c r="T232" s="279"/>
      <c r="U232" s="279"/>
      <c r="V232" s="279"/>
      <c r="W232" s="279"/>
      <c r="X232" s="279"/>
      <c r="Y232" s="279"/>
      <c r="Z232" s="279"/>
      <c r="AA232" s="279"/>
      <c r="AB232" s="279"/>
      <c r="AC232" s="279"/>
      <c r="AD232" s="279"/>
      <c r="AE232" s="279"/>
      <c r="AF232" s="279"/>
      <c r="AG232" s="279"/>
      <c r="AH232" s="279"/>
      <c r="AI232" s="279"/>
      <c r="AJ232" s="279"/>
      <c r="AK232" s="279"/>
      <c r="AL232" s="279"/>
      <c r="AM232" s="279"/>
      <c r="AN232" s="279"/>
      <c r="AO232" s="279"/>
      <c r="AP232" s="279"/>
      <c r="AQ232" s="279"/>
      <c r="AR232" s="279"/>
      <c r="AS232" s="279"/>
      <c r="AT232" s="279"/>
      <c r="AU232" s="279"/>
      <c r="AV232" s="279"/>
      <c r="AW232" s="279"/>
      <c r="AX232" s="279"/>
      <c r="AY232" s="279"/>
      <c r="AZ232" s="279"/>
      <c r="BA232" s="279"/>
      <c r="BB232" s="279"/>
      <c r="BC232" s="279"/>
      <c r="BD232" s="279"/>
      <c r="BE232" s="279"/>
      <c r="BF232" s="279"/>
      <c r="BG232" s="279"/>
      <c r="BH232" s="279"/>
      <c r="BI232" s="279"/>
      <c r="BJ232" s="279"/>
      <c r="BK232" s="279"/>
      <c r="BL232" s="279"/>
      <c r="BM232" s="279"/>
      <c r="BN232" s="279"/>
      <c r="BO232" s="279"/>
      <c r="BP232" s="279"/>
      <c r="BQ232" s="279"/>
    </row>
    <row r="233" ht="12.75" customHeight="1">
      <c r="A233" s="269"/>
      <c r="B233" s="20"/>
      <c r="C233" s="285" t="s">
        <v>523</v>
      </c>
      <c r="D233" s="286"/>
      <c r="E233" s="286"/>
      <c r="F233" s="286"/>
      <c r="G233" s="286"/>
      <c r="H233" s="286"/>
      <c r="I233" s="286"/>
      <c r="J233" s="286"/>
      <c r="K233" s="286"/>
      <c r="L233" s="286"/>
      <c r="M233" s="287"/>
      <c r="N233" s="290">
        <v>1020.0</v>
      </c>
      <c r="O233" s="289"/>
      <c r="P233" s="15"/>
      <c r="Q233" s="15"/>
      <c r="R233" s="16"/>
      <c r="S233" s="279"/>
      <c r="T233" s="279"/>
      <c r="U233" s="279"/>
      <c r="V233" s="279"/>
      <c r="W233" s="279"/>
      <c r="X233" s="279"/>
      <c r="Y233" s="279"/>
      <c r="Z233" s="279"/>
      <c r="AA233" s="279"/>
      <c r="AB233" s="279"/>
      <c r="AC233" s="279"/>
      <c r="AD233" s="279"/>
      <c r="AE233" s="279"/>
      <c r="AF233" s="279"/>
      <c r="AG233" s="279"/>
      <c r="AH233" s="279"/>
      <c r="AI233" s="279"/>
      <c r="AJ233" s="279"/>
      <c r="AK233" s="279"/>
      <c r="AL233" s="279"/>
      <c r="AM233" s="279"/>
      <c r="AN233" s="279"/>
      <c r="AO233" s="279"/>
      <c r="AP233" s="279"/>
      <c r="AQ233" s="279"/>
      <c r="AR233" s="279"/>
      <c r="AS233" s="279"/>
      <c r="AT233" s="279"/>
      <c r="AU233" s="279"/>
      <c r="AV233" s="279"/>
      <c r="AW233" s="279"/>
      <c r="AX233" s="279"/>
      <c r="AY233" s="279"/>
      <c r="AZ233" s="279"/>
      <c r="BA233" s="279"/>
      <c r="BB233" s="279"/>
      <c r="BC233" s="279"/>
      <c r="BD233" s="279"/>
      <c r="BE233" s="279"/>
      <c r="BF233" s="279"/>
      <c r="BG233" s="279"/>
      <c r="BH233" s="279"/>
      <c r="BI233" s="279"/>
      <c r="BJ233" s="279"/>
      <c r="BK233" s="279"/>
      <c r="BL233" s="279"/>
      <c r="BM233" s="279"/>
      <c r="BN233" s="279"/>
      <c r="BO233" s="279"/>
      <c r="BP233" s="279"/>
      <c r="BQ233" s="279"/>
    </row>
    <row r="234" ht="12.75" customHeight="1">
      <c r="A234" s="269"/>
      <c r="B234" s="20"/>
      <c r="C234" s="285" t="s">
        <v>524</v>
      </c>
      <c r="D234" s="286"/>
      <c r="E234" s="286"/>
      <c r="F234" s="286"/>
      <c r="G234" s="286"/>
      <c r="H234" s="286"/>
      <c r="I234" s="286"/>
      <c r="J234" s="286"/>
      <c r="K234" s="286"/>
      <c r="L234" s="286"/>
      <c r="M234" s="287"/>
      <c r="N234" s="290">
        <v>1019.0</v>
      </c>
      <c r="O234" s="289"/>
      <c r="P234" s="15"/>
      <c r="Q234" s="15"/>
      <c r="R234" s="16"/>
      <c r="S234" s="279"/>
      <c r="T234" s="279"/>
      <c r="U234" s="279"/>
      <c r="V234" s="279"/>
      <c r="W234" s="279"/>
      <c r="X234" s="279"/>
      <c r="Y234" s="279"/>
      <c r="Z234" s="279"/>
      <c r="AA234" s="279"/>
      <c r="AB234" s="279"/>
      <c r="AC234" s="279"/>
      <c r="AD234" s="279"/>
      <c r="AE234" s="279"/>
      <c r="AF234" s="279"/>
      <c r="AG234" s="279"/>
      <c r="AH234" s="279"/>
      <c r="AI234" s="279"/>
      <c r="AJ234" s="279"/>
      <c r="AK234" s="279"/>
      <c r="AL234" s="279"/>
      <c r="AM234" s="279"/>
      <c r="AN234" s="279"/>
      <c r="AO234" s="279"/>
      <c r="AP234" s="279"/>
      <c r="AQ234" s="279"/>
      <c r="AR234" s="279"/>
      <c r="AS234" s="279"/>
      <c r="AT234" s="279"/>
      <c r="AU234" s="279"/>
      <c r="AV234" s="279"/>
      <c r="AW234" s="279"/>
      <c r="AX234" s="279"/>
      <c r="AY234" s="279"/>
      <c r="AZ234" s="279"/>
      <c r="BA234" s="279"/>
      <c r="BB234" s="279"/>
      <c r="BC234" s="279"/>
      <c r="BD234" s="279"/>
      <c r="BE234" s="279"/>
      <c r="BF234" s="279"/>
      <c r="BG234" s="279"/>
      <c r="BH234" s="279"/>
      <c r="BI234" s="279"/>
      <c r="BJ234" s="279"/>
      <c r="BK234" s="279"/>
      <c r="BL234" s="279"/>
      <c r="BM234" s="279"/>
      <c r="BN234" s="279"/>
      <c r="BO234" s="279"/>
      <c r="BP234" s="279"/>
      <c r="BQ234" s="279"/>
    </row>
    <row r="235" ht="12.75" customHeight="1">
      <c r="A235" s="269"/>
      <c r="B235" s="34"/>
      <c r="C235" s="285" t="s">
        <v>525</v>
      </c>
      <c r="D235" s="286"/>
      <c r="E235" s="286"/>
      <c r="F235" s="286"/>
      <c r="G235" s="286"/>
      <c r="H235" s="286"/>
      <c r="I235" s="286"/>
      <c r="J235" s="286"/>
      <c r="K235" s="286"/>
      <c r="L235" s="286"/>
      <c r="M235" s="287"/>
      <c r="N235" s="290">
        <v>974.0</v>
      </c>
      <c r="O235" s="289"/>
      <c r="P235" s="15"/>
      <c r="Q235" s="15"/>
      <c r="R235" s="16"/>
      <c r="S235" s="279"/>
      <c r="T235" s="279"/>
      <c r="U235" s="279"/>
      <c r="V235" s="279"/>
      <c r="W235" s="279"/>
      <c r="X235" s="279"/>
      <c r="Y235" s="279"/>
      <c r="Z235" s="279"/>
      <c r="AA235" s="279"/>
      <c r="AB235" s="279"/>
      <c r="AC235" s="279"/>
      <c r="AD235" s="279"/>
      <c r="AE235" s="279"/>
      <c r="AF235" s="279"/>
      <c r="AG235" s="279"/>
      <c r="AH235" s="279"/>
      <c r="AI235" s="279"/>
      <c r="AJ235" s="279"/>
      <c r="AK235" s="279"/>
      <c r="AL235" s="279"/>
      <c r="AM235" s="279"/>
      <c r="AN235" s="279"/>
      <c r="AO235" s="279"/>
      <c r="AP235" s="279"/>
      <c r="AQ235" s="279"/>
      <c r="AR235" s="279"/>
      <c r="AS235" s="279"/>
      <c r="AT235" s="279"/>
      <c r="AU235" s="279"/>
      <c r="AV235" s="279"/>
      <c r="AW235" s="279"/>
      <c r="AX235" s="279"/>
      <c r="AY235" s="279"/>
      <c r="AZ235" s="279"/>
      <c r="BA235" s="279"/>
      <c r="BB235" s="279"/>
      <c r="BC235" s="279"/>
      <c r="BD235" s="279"/>
      <c r="BE235" s="279"/>
      <c r="BF235" s="279"/>
      <c r="BG235" s="279"/>
      <c r="BH235" s="279"/>
      <c r="BI235" s="279"/>
      <c r="BJ235" s="279"/>
      <c r="BK235" s="279"/>
      <c r="BL235" s="279"/>
      <c r="BM235" s="279"/>
      <c r="BN235" s="279"/>
      <c r="BO235" s="279"/>
      <c r="BP235" s="279"/>
      <c r="BQ235" s="279"/>
    </row>
    <row r="236" ht="12.75" customHeight="1">
      <c r="A236" s="269"/>
      <c r="B236" s="330" t="s">
        <v>526</v>
      </c>
      <c r="C236" s="285" t="s">
        <v>527</v>
      </c>
      <c r="D236" s="286"/>
      <c r="E236" s="286"/>
      <c r="F236" s="286"/>
      <c r="G236" s="286"/>
      <c r="H236" s="286"/>
      <c r="I236" s="286"/>
      <c r="J236" s="286"/>
      <c r="K236" s="286"/>
      <c r="L236" s="286"/>
      <c r="M236" s="287"/>
      <c r="N236" s="290">
        <v>122.0</v>
      </c>
      <c r="O236" s="351">
        <f>+'Balance 2023'!G30</f>
        <v>293967871</v>
      </c>
      <c r="P236" s="15"/>
      <c r="Q236" s="15"/>
      <c r="R236" s="16"/>
      <c r="S236" s="279"/>
      <c r="T236" s="279"/>
      <c r="U236" s="279"/>
      <c r="V236" s="279"/>
      <c r="W236" s="279"/>
      <c r="X236" s="279"/>
      <c r="Y236" s="279"/>
      <c r="Z236" s="279"/>
      <c r="AA236" s="279"/>
      <c r="AB236" s="279"/>
      <c r="AC236" s="279"/>
      <c r="AD236" s="279"/>
      <c r="AE236" s="279"/>
      <c r="AF236" s="279"/>
      <c r="AG236" s="279"/>
      <c r="AH236" s="279"/>
      <c r="AI236" s="279"/>
      <c r="AJ236" s="279"/>
      <c r="AK236" s="279"/>
      <c r="AL236" s="279"/>
      <c r="AM236" s="279"/>
      <c r="AN236" s="279"/>
      <c r="AO236" s="279"/>
      <c r="AP236" s="279"/>
      <c r="AQ236" s="279"/>
      <c r="AR236" s="279"/>
      <c r="AS236" s="279"/>
      <c r="AT236" s="279"/>
      <c r="AU236" s="279"/>
      <c r="AV236" s="279"/>
      <c r="AW236" s="279"/>
      <c r="AX236" s="279"/>
      <c r="AY236" s="279"/>
      <c r="AZ236" s="279"/>
      <c r="BA236" s="279"/>
      <c r="BB236" s="279"/>
      <c r="BC236" s="279"/>
      <c r="BD236" s="279"/>
      <c r="BE236" s="279"/>
      <c r="BF236" s="279"/>
      <c r="BG236" s="279"/>
      <c r="BH236" s="279"/>
      <c r="BI236" s="279"/>
      <c r="BJ236" s="279"/>
      <c r="BK236" s="279"/>
      <c r="BL236" s="279"/>
      <c r="BM236" s="279"/>
      <c r="BN236" s="279"/>
      <c r="BO236" s="279"/>
      <c r="BP236" s="279"/>
      <c r="BQ236" s="279"/>
    </row>
    <row r="237" ht="12.75" customHeight="1">
      <c r="A237" s="269"/>
      <c r="B237" s="20"/>
      <c r="C237" s="285" t="s">
        <v>528</v>
      </c>
      <c r="D237" s="286"/>
      <c r="E237" s="286"/>
      <c r="F237" s="286"/>
      <c r="G237" s="286"/>
      <c r="H237" s="286"/>
      <c r="I237" s="286"/>
      <c r="J237" s="286"/>
      <c r="K237" s="286"/>
      <c r="L237" s="286"/>
      <c r="M237" s="287"/>
      <c r="N237" s="290">
        <v>123.0</v>
      </c>
      <c r="O237" s="351">
        <f>+'Balance 2023'!H30</f>
        <v>308938472</v>
      </c>
      <c r="P237" s="15"/>
      <c r="Q237" s="15"/>
      <c r="R237" s="16"/>
      <c r="S237" s="279"/>
      <c r="T237" s="279"/>
      <c r="U237" s="279"/>
      <c r="V237" s="279"/>
      <c r="W237" s="279"/>
      <c r="X237" s="279"/>
      <c r="Y237" s="279"/>
      <c r="Z237" s="279"/>
      <c r="AA237" s="279"/>
      <c r="AB237" s="279"/>
      <c r="AC237" s="279"/>
      <c r="AD237" s="279"/>
      <c r="AE237" s="279"/>
      <c r="AF237" s="279"/>
      <c r="AG237" s="279"/>
      <c r="AH237" s="279"/>
      <c r="AI237" s="279"/>
      <c r="AJ237" s="279"/>
      <c r="AK237" s="279"/>
      <c r="AL237" s="279"/>
      <c r="AM237" s="279"/>
      <c r="AN237" s="279"/>
      <c r="AO237" s="279"/>
      <c r="AP237" s="279"/>
      <c r="AQ237" s="279"/>
      <c r="AR237" s="279"/>
      <c r="AS237" s="279"/>
      <c r="AT237" s="279"/>
      <c r="AU237" s="279"/>
      <c r="AV237" s="279"/>
      <c r="AW237" s="279"/>
      <c r="AX237" s="279"/>
      <c r="AY237" s="279"/>
      <c r="AZ237" s="279"/>
      <c r="BA237" s="279"/>
      <c r="BB237" s="279"/>
      <c r="BC237" s="279"/>
      <c r="BD237" s="279"/>
      <c r="BE237" s="279"/>
      <c r="BF237" s="279"/>
      <c r="BG237" s="279"/>
      <c r="BH237" s="279"/>
      <c r="BI237" s="279"/>
      <c r="BJ237" s="279"/>
      <c r="BK237" s="279"/>
      <c r="BL237" s="279"/>
      <c r="BM237" s="279"/>
      <c r="BN237" s="279"/>
      <c r="BO237" s="279"/>
      <c r="BP237" s="279"/>
      <c r="BQ237" s="279"/>
    </row>
    <row r="238" ht="12.75" customHeight="1">
      <c r="A238" s="269"/>
      <c r="B238" s="20"/>
      <c r="C238" s="285" t="s">
        <v>529</v>
      </c>
      <c r="D238" s="286"/>
      <c r="E238" s="286"/>
      <c r="F238" s="286"/>
      <c r="G238" s="286"/>
      <c r="H238" s="286"/>
      <c r="I238" s="286"/>
      <c r="J238" s="286"/>
      <c r="K238" s="286"/>
      <c r="L238" s="286"/>
      <c r="M238" s="287"/>
      <c r="N238" s="290">
        <v>101.0</v>
      </c>
      <c r="O238" s="351"/>
      <c r="P238" s="15"/>
      <c r="Q238" s="15"/>
      <c r="R238" s="16"/>
      <c r="S238" s="279"/>
      <c r="T238" s="279"/>
      <c r="U238" s="279"/>
      <c r="V238" s="279"/>
      <c r="W238" s="279"/>
      <c r="X238" s="279"/>
      <c r="Y238" s="279"/>
      <c r="Z238" s="279"/>
      <c r="AA238" s="279"/>
      <c r="AB238" s="279"/>
      <c r="AC238" s="279"/>
      <c r="AD238" s="279"/>
      <c r="AE238" s="279"/>
      <c r="AF238" s="279"/>
      <c r="AG238" s="279"/>
      <c r="AH238" s="279"/>
      <c r="AI238" s="279"/>
      <c r="AJ238" s="279"/>
      <c r="AK238" s="279"/>
      <c r="AL238" s="279"/>
      <c r="AM238" s="279"/>
      <c r="AN238" s="279"/>
      <c r="AO238" s="279"/>
      <c r="AP238" s="279"/>
      <c r="AQ238" s="279"/>
      <c r="AR238" s="279"/>
      <c r="AS238" s="279"/>
      <c r="AT238" s="279"/>
      <c r="AU238" s="279"/>
      <c r="AV238" s="279"/>
      <c r="AW238" s="279"/>
      <c r="AX238" s="279"/>
      <c r="AY238" s="279"/>
      <c r="AZ238" s="279"/>
      <c r="BA238" s="279"/>
      <c r="BB238" s="279"/>
      <c r="BC238" s="279"/>
      <c r="BD238" s="279"/>
      <c r="BE238" s="279"/>
      <c r="BF238" s="279"/>
      <c r="BG238" s="279"/>
      <c r="BH238" s="279"/>
      <c r="BI238" s="279"/>
      <c r="BJ238" s="279"/>
      <c r="BK238" s="279"/>
      <c r="BL238" s="279"/>
      <c r="BM238" s="279"/>
      <c r="BN238" s="279"/>
      <c r="BO238" s="279"/>
      <c r="BP238" s="279"/>
      <c r="BQ238" s="279"/>
    </row>
    <row r="239" ht="12.75" customHeight="1">
      <c r="A239" s="269"/>
      <c r="B239" s="20"/>
      <c r="C239" s="285" t="s">
        <v>530</v>
      </c>
      <c r="D239" s="286"/>
      <c r="E239" s="286"/>
      <c r="F239" s="286"/>
      <c r="G239" s="286"/>
      <c r="H239" s="286"/>
      <c r="I239" s="286"/>
      <c r="J239" s="286"/>
      <c r="K239" s="286"/>
      <c r="L239" s="286"/>
      <c r="M239" s="287"/>
      <c r="N239" s="290">
        <v>102.0</v>
      </c>
      <c r="O239" s="351">
        <f>+'CPT 2023'!F15</f>
        <v>211381356</v>
      </c>
      <c r="P239" s="15"/>
      <c r="Q239" s="15"/>
      <c r="R239" s="16"/>
      <c r="S239" s="279"/>
      <c r="T239" s="279"/>
      <c r="U239" s="279"/>
      <c r="V239" s="279"/>
      <c r="W239" s="279"/>
      <c r="X239" s="279"/>
      <c r="Y239" s="279"/>
      <c r="Z239" s="279"/>
      <c r="AA239" s="279"/>
      <c r="AB239" s="279"/>
      <c r="AC239" s="279"/>
      <c r="AD239" s="279"/>
      <c r="AE239" s="279"/>
      <c r="AF239" s="279"/>
      <c r="AG239" s="279"/>
      <c r="AH239" s="279"/>
      <c r="AI239" s="279"/>
      <c r="AJ239" s="279"/>
      <c r="AK239" s="279"/>
      <c r="AL239" s="279"/>
      <c r="AM239" s="279"/>
      <c r="AN239" s="279"/>
      <c r="AO239" s="279"/>
      <c r="AP239" s="279"/>
      <c r="AQ239" s="279"/>
      <c r="AR239" s="279"/>
      <c r="AS239" s="279"/>
      <c r="AT239" s="279"/>
      <c r="AU239" s="279"/>
      <c r="AV239" s="279"/>
      <c r="AW239" s="279"/>
      <c r="AX239" s="279"/>
      <c r="AY239" s="279"/>
      <c r="AZ239" s="279"/>
      <c r="BA239" s="279"/>
      <c r="BB239" s="279"/>
      <c r="BC239" s="279"/>
      <c r="BD239" s="279"/>
      <c r="BE239" s="279"/>
      <c r="BF239" s="279"/>
      <c r="BG239" s="279"/>
      <c r="BH239" s="279"/>
      <c r="BI239" s="279"/>
      <c r="BJ239" s="279"/>
      <c r="BK239" s="279"/>
      <c r="BL239" s="279"/>
      <c r="BM239" s="279"/>
      <c r="BN239" s="279"/>
      <c r="BO239" s="279"/>
      <c r="BP239" s="279"/>
      <c r="BQ239" s="279"/>
    </row>
    <row r="240" ht="12.75" customHeight="1">
      <c r="A240" s="269"/>
      <c r="B240" s="20"/>
      <c r="C240" s="285" t="s">
        <v>531</v>
      </c>
      <c r="D240" s="286"/>
      <c r="E240" s="286"/>
      <c r="F240" s="286"/>
      <c r="G240" s="286"/>
      <c r="H240" s="286"/>
      <c r="I240" s="286"/>
      <c r="J240" s="286"/>
      <c r="K240" s="286"/>
      <c r="L240" s="286"/>
      <c r="M240" s="287"/>
      <c r="N240" s="290">
        <v>784.0</v>
      </c>
      <c r="O240" s="351">
        <f>+'Balance 2023'!G7</f>
        <v>158309</v>
      </c>
      <c r="P240" s="15"/>
      <c r="Q240" s="15"/>
      <c r="R240" s="16"/>
      <c r="S240" s="279"/>
      <c r="T240" s="279"/>
      <c r="U240" s="279"/>
      <c r="V240" s="279"/>
      <c r="W240" s="279"/>
      <c r="X240" s="279"/>
      <c r="Y240" s="279"/>
      <c r="Z240" s="279"/>
      <c r="AA240" s="279"/>
      <c r="AB240" s="279"/>
      <c r="AC240" s="279"/>
      <c r="AD240" s="279"/>
      <c r="AE240" s="279"/>
      <c r="AF240" s="279"/>
      <c r="AG240" s="279"/>
      <c r="AH240" s="279"/>
      <c r="AI240" s="279"/>
      <c r="AJ240" s="279"/>
      <c r="AK240" s="279"/>
      <c r="AL240" s="279"/>
      <c r="AM240" s="279"/>
      <c r="AN240" s="279"/>
      <c r="AO240" s="279"/>
      <c r="AP240" s="279"/>
      <c r="AQ240" s="279"/>
      <c r="AR240" s="279"/>
      <c r="AS240" s="279"/>
      <c r="AT240" s="279"/>
      <c r="AU240" s="279"/>
      <c r="AV240" s="279"/>
      <c r="AW240" s="279"/>
      <c r="AX240" s="279"/>
      <c r="AY240" s="279"/>
      <c r="AZ240" s="279"/>
      <c r="BA240" s="279"/>
      <c r="BB240" s="279"/>
      <c r="BC240" s="279"/>
      <c r="BD240" s="279"/>
      <c r="BE240" s="279"/>
      <c r="BF240" s="279"/>
      <c r="BG240" s="279"/>
      <c r="BH240" s="279"/>
      <c r="BI240" s="279"/>
      <c r="BJ240" s="279"/>
      <c r="BK240" s="279"/>
      <c r="BL240" s="279"/>
      <c r="BM240" s="279"/>
      <c r="BN240" s="279"/>
      <c r="BO240" s="279"/>
      <c r="BP240" s="279"/>
      <c r="BQ240" s="279"/>
    </row>
    <row r="241" ht="12.75" customHeight="1">
      <c r="A241" s="269"/>
      <c r="B241" s="20"/>
      <c r="C241" s="285" t="s">
        <v>532</v>
      </c>
      <c r="D241" s="286"/>
      <c r="E241" s="286"/>
      <c r="F241" s="286"/>
      <c r="G241" s="286"/>
      <c r="H241" s="286"/>
      <c r="I241" s="286"/>
      <c r="J241" s="286"/>
      <c r="K241" s="286"/>
      <c r="L241" s="286"/>
      <c r="M241" s="287"/>
      <c r="N241" s="290">
        <v>129.0</v>
      </c>
      <c r="O241" s="351"/>
      <c r="P241" s="15"/>
      <c r="Q241" s="15"/>
      <c r="R241" s="16"/>
      <c r="S241" s="279"/>
      <c r="T241" s="279"/>
      <c r="U241" s="279"/>
      <c r="V241" s="279"/>
      <c r="W241" s="279"/>
      <c r="X241" s="279"/>
      <c r="Y241" s="279"/>
      <c r="Z241" s="279"/>
      <c r="AA241" s="279"/>
      <c r="AB241" s="279"/>
      <c r="AC241" s="279"/>
      <c r="AD241" s="279"/>
      <c r="AE241" s="279"/>
      <c r="AF241" s="279"/>
      <c r="AG241" s="279"/>
      <c r="AH241" s="279"/>
      <c r="AI241" s="279"/>
      <c r="AJ241" s="279"/>
      <c r="AK241" s="279"/>
      <c r="AL241" s="279"/>
      <c r="AM241" s="279"/>
      <c r="AN241" s="279"/>
      <c r="AO241" s="279"/>
      <c r="AP241" s="279"/>
      <c r="AQ241" s="279"/>
      <c r="AR241" s="279"/>
      <c r="AS241" s="279"/>
      <c r="AT241" s="279"/>
      <c r="AU241" s="279"/>
      <c r="AV241" s="279"/>
      <c r="AW241" s="279"/>
      <c r="AX241" s="279"/>
      <c r="AY241" s="279"/>
      <c r="AZ241" s="279"/>
      <c r="BA241" s="279"/>
      <c r="BB241" s="279"/>
      <c r="BC241" s="279"/>
      <c r="BD241" s="279"/>
      <c r="BE241" s="279"/>
      <c r="BF241" s="279"/>
      <c r="BG241" s="279"/>
      <c r="BH241" s="279"/>
      <c r="BI241" s="279"/>
      <c r="BJ241" s="279"/>
      <c r="BK241" s="279"/>
      <c r="BL241" s="279"/>
      <c r="BM241" s="279"/>
      <c r="BN241" s="279"/>
      <c r="BO241" s="279"/>
      <c r="BP241" s="279"/>
      <c r="BQ241" s="279"/>
    </row>
    <row r="242" ht="12.75" customHeight="1">
      <c r="A242" s="269"/>
      <c r="B242" s="20"/>
      <c r="C242" s="285" t="s">
        <v>533</v>
      </c>
      <c r="D242" s="286"/>
      <c r="E242" s="286"/>
      <c r="F242" s="286"/>
      <c r="G242" s="286"/>
      <c r="H242" s="286"/>
      <c r="I242" s="286"/>
      <c r="J242" s="286"/>
      <c r="K242" s="286"/>
      <c r="L242" s="286"/>
      <c r="M242" s="287"/>
      <c r="N242" s="290">
        <v>648.0</v>
      </c>
      <c r="O242" s="351"/>
      <c r="P242" s="15"/>
      <c r="Q242" s="15"/>
      <c r="R242" s="16"/>
      <c r="S242" s="279"/>
      <c r="T242" s="279"/>
      <c r="U242" s="279"/>
      <c r="V242" s="279"/>
      <c r="W242" s="279"/>
      <c r="X242" s="279"/>
      <c r="Y242" s="279"/>
      <c r="Z242" s="279"/>
      <c r="AA242" s="279"/>
      <c r="AB242" s="279"/>
      <c r="AC242" s="279"/>
      <c r="AD242" s="279"/>
      <c r="AE242" s="279"/>
      <c r="AF242" s="279"/>
      <c r="AG242" s="279"/>
      <c r="AH242" s="279"/>
      <c r="AI242" s="279"/>
      <c r="AJ242" s="279"/>
      <c r="AK242" s="279"/>
      <c r="AL242" s="279"/>
      <c r="AM242" s="279"/>
      <c r="AN242" s="279"/>
      <c r="AO242" s="279"/>
      <c r="AP242" s="279"/>
      <c r="AQ242" s="279"/>
      <c r="AR242" s="279"/>
      <c r="AS242" s="279"/>
      <c r="AT242" s="279"/>
      <c r="AU242" s="279"/>
      <c r="AV242" s="279"/>
      <c r="AW242" s="279"/>
      <c r="AX242" s="279"/>
      <c r="AY242" s="279"/>
      <c r="AZ242" s="279"/>
      <c r="BA242" s="279"/>
      <c r="BB242" s="279"/>
      <c r="BC242" s="279"/>
      <c r="BD242" s="279"/>
      <c r="BE242" s="279"/>
      <c r="BF242" s="279"/>
      <c r="BG242" s="279"/>
      <c r="BH242" s="279"/>
      <c r="BI242" s="279"/>
      <c r="BJ242" s="279"/>
      <c r="BK242" s="279"/>
      <c r="BL242" s="279"/>
      <c r="BM242" s="279"/>
      <c r="BN242" s="279"/>
      <c r="BO242" s="279"/>
      <c r="BP242" s="279"/>
      <c r="BQ242" s="279"/>
    </row>
    <row r="243" ht="12.75" customHeight="1">
      <c r="A243" s="269"/>
      <c r="B243" s="20"/>
      <c r="C243" s="285" t="s">
        <v>534</v>
      </c>
      <c r="D243" s="286"/>
      <c r="E243" s="286"/>
      <c r="F243" s="286"/>
      <c r="G243" s="286"/>
      <c r="H243" s="286"/>
      <c r="I243" s="286"/>
      <c r="J243" s="286"/>
      <c r="K243" s="286"/>
      <c r="L243" s="286"/>
      <c r="M243" s="287"/>
      <c r="N243" s="290">
        <v>647.0</v>
      </c>
      <c r="O243" s="351"/>
      <c r="P243" s="15"/>
      <c r="Q243" s="15"/>
      <c r="R243" s="16"/>
      <c r="S243" s="279"/>
      <c r="T243" s="279"/>
      <c r="U243" s="279"/>
      <c r="V243" s="279"/>
      <c r="W243" s="279"/>
      <c r="X243" s="279"/>
      <c r="Y243" s="279"/>
      <c r="Z243" s="279"/>
      <c r="AA243" s="279"/>
      <c r="AB243" s="279"/>
      <c r="AC243" s="279"/>
      <c r="AD243" s="279"/>
      <c r="AE243" s="279"/>
      <c r="AF243" s="279"/>
      <c r="AG243" s="279"/>
      <c r="AH243" s="279"/>
      <c r="AI243" s="279"/>
      <c r="AJ243" s="279"/>
      <c r="AK243" s="279"/>
      <c r="AL243" s="279"/>
      <c r="AM243" s="279"/>
      <c r="AN243" s="279"/>
      <c r="AO243" s="279"/>
      <c r="AP243" s="279"/>
      <c r="AQ243" s="279"/>
      <c r="AR243" s="279"/>
      <c r="AS243" s="279"/>
      <c r="AT243" s="279"/>
      <c r="AU243" s="279"/>
      <c r="AV243" s="279"/>
      <c r="AW243" s="279"/>
      <c r="AX243" s="279"/>
      <c r="AY243" s="279"/>
      <c r="AZ243" s="279"/>
      <c r="BA243" s="279"/>
      <c r="BB243" s="279"/>
      <c r="BC243" s="279"/>
      <c r="BD243" s="279"/>
      <c r="BE243" s="279"/>
      <c r="BF243" s="279"/>
      <c r="BG243" s="279"/>
      <c r="BH243" s="279"/>
      <c r="BI243" s="279"/>
      <c r="BJ243" s="279"/>
      <c r="BK243" s="279"/>
      <c r="BL243" s="279"/>
      <c r="BM243" s="279"/>
      <c r="BN243" s="279"/>
      <c r="BO243" s="279"/>
      <c r="BP243" s="279"/>
      <c r="BQ243" s="279"/>
    </row>
    <row r="244" ht="12.75" customHeight="1">
      <c r="A244" s="269"/>
      <c r="B244" s="20"/>
      <c r="C244" s="285" t="s">
        <v>535</v>
      </c>
      <c r="D244" s="286"/>
      <c r="E244" s="286"/>
      <c r="F244" s="286"/>
      <c r="G244" s="286"/>
      <c r="H244" s="286"/>
      <c r="I244" s="286"/>
      <c r="J244" s="286"/>
      <c r="K244" s="286"/>
      <c r="L244" s="286"/>
      <c r="M244" s="287"/>
      <c r="N244" s="290">
        <v>1003.0</v>
      </c>
      <c r="O244" s="351"/>
      <c r="P244" s="15"/>
      <c r="Q244" s="15"/>
      <c r="R244" s="16"/>
      <c r="S244" s="279"/>
      <c r="T244" s="279"/>
      <c r="U244" s="279"/>
      <c r="V244" s="279"/>
      <c r="W244" s="279"/>
      <c r="X244" s="279"/>
      <c r="Y244" s="279"/>
      <c r="Z244" s="279"/>
      <c r="AA244" s="279"/>
      <c r="AB244" s="279"/>
      <c r="AC244" s="279"/>
      <c r="AD244" s="279"/>
      <c r="AE244" s="279"/>
      <c r="AF244" s="279"/>
      <c r="AG244" s="279"/>
      <c r="AH244" s="279"/>
      <c r="AI244" s="279"/>
      <c r="AJ244" s="279"/>
      <c r="AK244" s="279"/>
      <c r="AL244" s="279"/>
      <c r="AM244" s="279"/>
      <c r="AN244" s="279"/>
      <c r="AO244" s="279"/>
      <c r="AP244" s="279"/>
      <c r="AQ244" s="279"/>
      <c r="AR244" s="279"/>
      <c r="AS244" s="279"/>
      <c r="AT244" s="279"/>
      <c r="AU244" s="279"/>
      <c r="AV244" s="279"/>
      <c r="AW244" s="279"/>
      <c r="AX244" s="279"/>
      <c r="AY244" s="279"/>
      <c r="AZ244" s="279"/>
      <c r="BA244" s="279"/>
      <c r="BB244" s="279"/>
      <c r="BC244" s="279"/>
      <c r="BD244" s="279"/>
      <c r="BE244" s="279"/>
      <c r="BF244" s="279"/>
      <c r="BG244" s="279"/>
      <c r="BH244" s="279"/>
      <c r="BI244" s="279"/>
      <c r="BJ244" s="279"/>
      <c r="BK244" s="279"/>
      <c r="BL244" s="279"/>
      <c r="BM244" s="279"/>
      <c r="BN244" s="279"/>
      <c r="BO244" s="279"/>
      <c r="BP244" s="279"/>
      <c r="BQ244" s="279"/>
    </row>
    <row r="245" ht="12.75" customHeight="1">
      <c r="A245" s="269"/>
      <c r="B245" s="20"/>
      <c r="C245" s="285" t="s">
        <v>536</v>
      </c>
      <c r="D245" s="286"/>
      <c r="E245" s="286"/>
      <c r="F245" s="286"/>
      <c r="G245" s="286"/>
      <c r="H245" s="286"/>
      <c r="I245" s="286"/>
      <c r="J245" s="286"/>
      <c r="K245" s="286"/>
      <c r="L245" s="286"/>
      <c r="M245" s="287"/>
      <c r="N245" s="290">
        <v>1004.0</v>
      </c>
      <c r="O245" s="351"/>
      <c r="P245" s="15"/>
      <c r="Q245" s="15"/>
      <c r="R245" s="16"/>
      <c r="S245" s="279"/>
      <c r="T245" s="279"/>
      <c r="U245" s="279"/>
      <c r="V245" s="279"/>
      <c r="W245" s="279"/>
      <c r="X245" s="279"/>
      <c r="Y245" s="279"/>
      <c r="Z245" s="279"/>
      <c r="AA245" s="279"/>
      <c r="AB245" s="279"/>
      <c r="AC245" s="279"/>
      <c r="AD245" s="279"/>
      <c r="AE245" s="279"/>
      <c r="AF245" s="279"/>
      <c r="AG245" s="279"/>
      <c r="AH245" s="279"/>
      <c r="AI245" s="279"/>
      <c r="AJ245" s="279"/>
      <c r="AK245" s="279"/>
      <c r="AL245" s="279"/>
      <c r="AM245" s="279"/>
      <c r="AN245" s="279"/>
      <c r="AO245" s="279"/>
      <c r="AP245" s="279"/>
      <c r="AQ245" s="279"/>
      <c r="AR245" s="279"/>
      <c r="AS245" s="279"/>
      <c r="AT245" s="279"/>
      <c r="AU245" s="279"/>
      <c r="AV245" s="279"/>
      <c r="AW245" s="279"/>
      <c r="AX245" s="279"/>
      <c r="AY245" s="279"/>
      <c r="AZ245" s="279"/>
      <c r="BA245" s="279"/>
      <c r="BB245" s="279"/>
      <c r="BC245" s="279"/>
      <c r="BD245" s="279"/>
      <c r="BE245" s="279"/>
      <c r="BF245" s="279"/>
      <c r="BG245" s="279"/>
      <c r="BH245" s="279"/>
      <c r="BI245" s="279"/>
      <c r="BJ245" s="279"/>
      <c r="BK245" s="279"/>
      <c r="BL245" s="279"/>
      <c r="BM245" s="279"/>
      <c r="BN245" s="279"/>
      <c r="BO245" s="279"/>
      <c r="BP245" s="279"/>
      <c r="BQ245" s="279"/>
    </row>
    <row r="246" ht="12.75" customHeight="1">
      <c r="A246" s="269"/>
      <c r="B246" s="34"/>
      <c r="C246" s="285" t="s">
        <v>537</v>
      </c>
      <c r="D246" s="286"/>
      <c r="E246" s="286"/>
      <c r="F246" s="286"/>
      <c r="G246" s="286"/>
      <c r="H246" s="286"/>
      <c r="I246" s="286"/>
      <c r="J246" s="286"/>
      <c r="K246" s="286"/>
      <c r="L246" s="286"/>
      <c r="M246" s="287"/>
      <c r="N246" s="290">
        <v>843.0</v>
      </c>
      <c r="O246" s="351">
        <f>+'Balance 2023'!H19+'Balance 2023'!H21-'Balance 2023'!G14-'Balance 2023'!J31</f>
        <v>204341533</v>
      </c>
      <c r="P246" s="15"/>
      <c r="Q246" s="15"/>
      <c r="R246" s="16"/>
      <c r="S246" s="279"/>
      <c r="T246" s="279"/>
      <c r="U246" s="279"/>
      <c r="V246" s="279"/>
      <c r="W246" s="279"/>
      <c r="X246" s="279"/>
      <c r="Y246" s="279"/>
      <c r="Z246" s="279"/>
      <c r="AA246" s="279"/>
      <c r="AB246" s="279"/>
      <c r="AC246" s="279"/>
      <c r="AD246" s="279"/>
      <c r="AE246" s="279"/>
      <c r="AF246" s="279"/>
      <c r="AG246" s="279"/>
      <c r="AH246" s="279"/>
      <c r="AI246" s="279"/>
      <c r="AJ246" s="279"/>
      <c r="AK246" s="279"/>
      <c r="AL246" s="279"/>
      <c r="AM246" s="279"/>
      <c r="AN246" s="279"/>
      <c r="AO246" s="279"/>
      <c r="AP246" s="279"/>
      <c r="AQ246" s="279"/>
      <c r="AR246" s="279"/>
      <c r="AS246" s="279"/>
      <c r="AT246" s="279"/>
      <c r="AU246" s="279"/>
      <c r="AV246" s="279"/>
      <c r="AW246" s="279"/>
      <c r="AX246" s="279"/>
      <c r="AY246" s="279"/>
      <c r="AZ246" s="279"/>
      <c r="BA246" s="279"/>
      <c r="BB246" s="279"/>
      <c r="BC246" s="279"/>
      <c r="BD246" s="279"/>
      <c r="BE246" s="279"/>
      <c r="BF246" s="279"/>
      <c r="BG246" s="279"/>
      <c r="BH246" s="279"/>
      <c r="BI246" s="279"/>
      <c r="BJ246" s="279"/>
      <c r="BK246" s="279"/>
      <c r="BL246" s="279"/>
      <c r="BM246" s="279"/>
      <c r="BN246" s="279"/>
      <c r="BO246" s="279"/>
      <c r="BP246" s="279"/>
      <c r="BQ246" s="279"/>
    </row>
    <row r="247" ht="12.75" customHeight="1">
      <c r="A247" s="269"/>
      <c r="B247" s="330" t="s">
        <v>538</v>
      </c>
      <c r="C247" s="285" t="s">
        <v>539</v>
      </c>
      <c r="D247" s="286"/>
      <c r="E247" s="286"/>
      <c r="F247" s="286"/>
      <c r="G247" s="286"/>
      <c r="H247" s="286"/>
      <c r="I247" s="286"/>
      <c r="J247" s="286"/>
      <c r="K247" s="286"/>
      <c r="L247" s="286"/>
      <c r="M247" s="287"/>
      <c r="N247" s="290">
        <v>1005.0</v>
      </c>
      <c r="O247" s="289"/>
      <c r="P247" s="15"/>
      <c r="Q247" s="15"/>
      <c r="R247" s="16"/>
      <c r="S247" s="279"/>
      <c r="T247" s="279"/>
      <c r="U247" s="279"/>
      <c r="V247" s="279"/>
      <c r="W247" s="279"/>
      <c r="X247" s="279"/>
      <c r="Y247" s="279"/>
      <c r="Z247" s="279"/>
      <c r="AA247" s="279"/>
      <c r="AB247" s="279"/>
      <c r="AC247" s="279"/>
      <c r="AD247" s="279"/>
      <c r="AE247" s="279"/>
      <c r="AF247" s="279"/>
      <c r="AG247" s="279"/>
      <c r="AH247" s="279"/>
      <c r="AI247" s="279"/>
      <c r="AJ247" s="279"/>
      <c r="AK247" s="279"/>
      <c r="AL247" s="279"/>
      <c r="AM247" s="279"/>
      <c r="AN247" s="279"/>
      <c r="AO247" s="279"/>
      <c r="AP247" s="279"/>
      <c r="AQ247" s="279"/>
      <c r="AR247" s="279"/>
      <c r="AS247" s="279"/>
      <c r="AT247" s="279"/>
      <c r="AU247" s="279"/>
      <c r="AV247" s="279"/>
      <c r="AW247" s="279"/>
      <c r="AX247" s="279"/>
      <c r="AY247" s="279"/>
      <c r="AZ247" s="279"/>
      <c r="BA247" s="279"/>
      <c r="BB247" s="279"/>
      <c r="BC247" s="279"/>
      <c r="BD247" s="279"/>
      <c r="BE247" s="279"/>
      <c r="BF247" s="279"/>
      <c r="BG247" s="279"/>
      <c r="BH247" s="279"/>
      <c r="BI247" s="279"/>
      <c r="BJ247" s="279"/>
      <c r="BK247" s="279"/>
      <c r="BL247" s="279"/>
      <c r="BM247" s="279"/>
      <c r="BN247" s="279"/>
      <c r="BO247" s="279"/>
      <c r="BP247" s="279"/>
      <c r="BQ247" s="279"/>
    </row>
    <row r="248" ht="12.75" customHeight="1">
      <c r="A248" s="269"/>
      <c r="B248" s="20"/>
      <c r="C248" s="285" t="s">
        <v>540</v>
      </c>
      <c r="D248" s="286"/>
      <c r="E248" s="286"/>
      <c r="F248" s="286"/>
      <c r="G248" s="286"/>
      <c r="H248" s="286"/>
      <c r="I248" s="286"/>
      <c r="J248" s="286"/>
      <c r="K248" s="286"/>
      <c r="L248" s="286"/>
      <c r="M248" s="287"/>
      <c r="N248" s="290">
        <v>975.0</v>
      </c>
      <c r="O248" s="289"/>
      <c r="P248" s="15"/>
      <c r="Q248" s="15"/>
      <c r="R248" s="16"/>
      <c r="S248" s="279"/>
      <c r="T248" s="279"/>
      <c r="U248" s="279"/>
      <c r="V248" s="279"/>
      <c r="W248" s="279"/>
      <c r="X248" s="279"/>
      <c r="Y248" s="279"/>
      <c r="Z248" s="279"/>
      <c r="AA248" s="279"/>
      <c r="AB248" s="279"/>
      <c r="AC248" s="279"/>
      <c r="AD248" s="279"/>
      <c r="AE248" s="279"/>
      <c r="AF248" s="279"/>
      <c r="AG248" s="279"/>
      <c r="AH248" s="279"/>
      <c r="AI248" s="279"/>
      <c r="AJ248" s="279"/>
      <c r="AK248" s="279"/>
      <c r="AL248" s="279"/>
      <c r="AM248" s="279"/>
      <c r="AN248" s="279"/>
      <c r="AO248" s="279"/>
      <c r="AP248" s="279"/>
      <c r="AQ248" s="279"/>
      <c r="AR248" s="279"/>
      <c r="AS248" s="279"/>
      <c r="AT248" s="279"/>
      <c r="AU248" s="279"/>
      <c r="AV248" s="279"/>
      <c r="AW248" s="279"/>
      <c r="AX248" s="279"/>
      <c r="AY248" s="279"/>
      <c r="AZ248" s="279"/>
      <c r="BA248" s="279"/>
      <c r="BB248" s="279"/>
      <c r="BC248" s="279"/>
      <c r="BD248" s="279"/>
      <c r="BE248" s="279"/>
      <c r="BF248" s="279"/>
      <c r="BG248" s="279"/>
      <c r="BH248" s="279"/>
      <c r="BI248" s="279"/>
      <c r="BJ248" s="279"/>
      <c r="BK248" s="279"/>
      <c r="BL248" s="279"/>
      <c r="BM248" s="279"/>
      <c r="BN248" s="279"/>
      <c r="BO248" s="279"/>
      <c r="BP248" s="279"/>
      <c r="BQ248" s="279"/>
    </row>
    <row r="249" ht="12.75" customHeight="1">
      <c r="A249" s="269"/>
      <c r="B249" s="20"/>
      <c r="C249" s="285" t="s">
        <v>541</v>
      </c>
      <c r="D249" s="286"/>
      <c r="E249" s="286"/>
      <c r="F249" s="286"/>
      <c r="G249" s="286"/>
      <c r="H249" s="286"/>
      <c r="I249" s="286"/>
      <c r="J249" s="286"/>
      <c r="K249" s="286"/>
      <c r="L249" s="286"/>
      <c r="M249" s="287"/>
      <c r="N249" s="290">
        <v>1021.0</v>
      </c>
      <c r="O249" s="289"/>
      <c r="P249" s="15"/>
      <c r="Q249" s="15"/>
      <c r="R249" s="16"/>
      <c r="S249" s="279"/>
      <c r="T249" s="279"/>
      <c r="U249" s="279"/>
      <c r="V249" s="279"/>
      <c r="W249" s="279"/>
      <c r="X249" s="279"/>
      <c r="Y249" s="279"/>
      <c r="Z249" s="279"/>
      <c r="AA249" s="279"/>
      <c r="AB249" s="279"/>
      <c r="AC249" s="279"/>
      <c r="AD249" s="279"/>
      <c r="AE249" s="279"/>
      <c r="AF249" s="279"/>
      <c r="AG249" s="279"/>
      <c r="AH249" s="279"/>
      <c r="AI249" s="279"/>
      <c r="AJ249" s="279"/>
      <c r="AK249" s="279"/>
      <c r="AL249" s="279"/>
      <c r="AM249" s="279"/>
      <c r="AN249" s="279"/>
      <c r="AO249" s="279"/>
      <c r="AP249" s="279"/>
      <c r="AQ249" s="279"/>
      <c r="AR249" s="279"/>
      <c r="AS249" s="279"/>
      <c r="AT249" s="279"/>
      <c r="AU249" s="279"/>
      <c r="AV249" s="279"/>
      <c r="AW249" s="279"/>
      <c r="AX249" s="279"/>
      <c r="AY249" s="279"/>
      <c r="AZ249" s="279"/>
      <c r="BA249" s="279"/>
      <c r="BB249" s="279"/>
      <c r="BC249" s="279"/>
      <c r="BD249" s="279"/>
      <c r="BE249" s="279"/>
      <c r="BF249" s="279"/>
      <c r="BG249" s="279"/>
      <c r="BH249" s="279"/>
      <c r="BI249" s="279"/>
      <c r="BJ249" s="279"/>
      <c r="BK249" s="279"/>
      <c r="BL249" s="279"/>
      <c r="BM249" s="279"/>
      <c r="BN249" s="279"/>
      <c r="BO249" s="279"/>
      <c r="BP249" s="279"/>
      <c r="BQ249" s="279"/>
    </row>
    <row r="250" ht="12.75" customHeight="1">
      <c r="A250" s="269"/>
      <c r="B250" s="20"/>
      <c r="C250" s="285" t="s">
        <v>542</v>
      </c>
      <c r="D250" s="286"/>
      <c r="E250" s="286"/>
      <c r="F250" s="286"/>
      <c r="G250" s="286"/>
      <c r="H250" s="286"/>
      <c r="I250" s="286"/>
      <c r="J250" s="286"/>
      <c r="K250" s="286"/>
      <c r="L250" s="286"/>
      <c r="M250" s="287"/>
      <c r="N250" s="290">
        <v>1191.0</v>
      </c>
      <c r="O250" s="289"/>
      <c r="P250" s="15"/>
      <c r="Q250" s="15"/>
      <c r="R250" s="16"/>
      <c r="S250" s="279"/>
      <c r="T250" s="279"/>
      <c r="U250" s="279"/>
      <c r="V250" s="279"/>
      <c r="W250" s="279"/>
      <c r="X250" s="279"/>
      <c r="Y250" s="279"/>
      <c r="Z250" s="279"/>
      <c r="AA250" s="279"/>
      <c r="AB250" s="279"/>
      <c r="AC250" s="279"/>
      <c r="AD250" s="279"/>
      <c r="AE250" s="279"/>
      <c r="AF250" s="279"/>
      <c r="AG250" s="279"/>
      <c r="AH250" s="279"/>
      <c r="AI250" s="279"/>
      <c r="AJ250" s="279"/>
      <c r="AK250" s="279"/>
      <c r="AL250" s="279"/>
      <c r="AM250" s="279"/>
      <c r="AN250" s="279"/>
      <c r="AO250" s="279"/>
      <c r="AP250" s="279"/>
      <c r="AQ250" s="279"/>
      <c r="AR250" s="279"/>
      <c r="AS250" s="279"/>
      <c r="AT250" s="279"/>
      <c r="AU250" s="279"/>
      <c r="AV250" s="279"/>
      <c r="AW250" s="279"/>
      <c r="AX250" s="279"/>
      <c r="AY250" s="279"/>
      <c r="AZ250" s="279"/>
      <c r="BA250" s="279"/>
      <c r="BB250" s="279"/>
      <c r="BC250" s="279"/>
      <c r="BD250" s="279"/>
      <c r="BE250" s="279"/>
      <c r="BF250" s="279"/>
      <c r="BG250" s="279"/>
      <c r="BH250" s="279"/>
      <c r="BI250" s="279"/>
      <c r="BJ250" s="279"/>
      <c r="BK250" s="279"/>
      <c r="BL250" s="279"/>
      <c r="BM250" s="279"/>
      <c r="BN250" s="279"/>
      <c r="BO250" s="279"/>
      <c r="BP250" s="279"/>
      <c r="BQ250" s="279"/>
    </row>
    <row r="251" ht="12.75" customHeight="1">
      <c r="A251" s="269"/>
      <c r="B251" s="20"/>
      <c r="C251" s="285" t="s">
        <v>543</v>
      </c>
      <c r="D251" s="286"/>
      <c r="E251" s="286"/>
      <c r="F251" s="286"/>
      <c r="G251" s="286"/>
      <c r="H251" s="286"/>
      <c r="I251" s="286"/>
      <c r="J251" s="286"/>
      <c r="K251" s="286"/>
      <c r="L251" s="286"/>
      <c r="M251" s="287"/>
      <c r="N251" s="290">
        <v>1192.0</v>
      </c>
      <c r="O251" s="289"/>
      <c r="P251" s="15"/>
      <c r="Q251" s="15"/>
      <c r="R251" s="16"/>
      <c r="S251" s="279"/>
      <c r="T251" s="279"/>
      <c r="U251" s="279"/>
      <c r="V251" s="279"/>
      <c r="W251" s="279"/>
      <c r="X251" s="279"/>
      <c r="Y251" s="279"/>
      <c r="Z251" s="279"/>
      <c r="AA251" s="279"/>
      <c r="AB251" s="279"/>
      <c r="AC251" s="279"/>
      <c r="AD251" s="279"/>
      <c r="AE251" s="279"/>
      <c r="AF251" s="279"/>
      <c r="AG251" s="279"/>
      <c r="AH251" s="279"/>
      <c r="AI251" s="279"/>
      <c r="AJ251" s="279"/>
      <c r="AK251" s="279"/>
      <c r="AL251" s="279"/>
      <c r="AM251" s="279"/>
      <c r="AN251" s="279"/>
      <c r="AO251" s="279"/>
      <c r="AP251" s="279"/>
      <c r="AQ251" s="279"/>
      <c r="AR251" s="279"/>
      <c r="AS251" s="279"/>
      <c r="AT251" s="279"/>
      <c r="AU251" s="279"/>
      <c r="AV251" s="279"/>
      <c r="AW251" s="279"/>
      <c r="AX251" s="279"/>
      <c r="AY251" s="279"/>
      <c r="AZ251" s="279"/>
      <c r="BA251" s="279"/>
      <c r="BB251" s="279"/>
      <c r="BC251" s="279"/>
      <c r="BD251" s="279"/>
      <c r="BE251" s="279"/>
      <c r="BF251" s="279"/>
      <c r="BG251" s="279"/>
      <c r="BH251" s="279"/>
      <c r="BI251" s="279"/>
      <c r="BJ251" s="279"/>
      <c r="BK251" s="279"/>
      <c r="BL251" s="279"/>
      <c r="BM251" s="279"/>
      <c r="BN251" s="279"/>
      <c r="BO251" s="279"/>
      <c r="BP251" s="279"/>
      <c r="BQ251" s="279"/>
    </row>
    <row r="252" ht="12.75" customHeight="1">
      <c r="A252" s="269"/>
      <c r="B252" s="20"/>
      <c r="C252" s="285" t="s">
        <v>544</v>
      </c>
      <c r="D252" s="286"/>
      <c r="E252" s="286"/>
      <c r="F252" s="286"/>
      <c r="G252" s="286"/>
      <c r="H252" s="286"/>
      <c r="I252" s="286"/>
      <c r="J252" s="286"/>
      <c r="K252" s="286"/>
      <c r="L252" s="286"/>
      <c r="M252" s="287"/>
      <c r="N252" s="290">
        <v>1193.0</v>
      </c>
      <c r="O252" s="289"/>
      <c r="P252" s="15"/>
      <c r="Q252" s="15"/>
      <c r="R252" s="16"/>
      <c r="S252" s="279"/>
      <c r="T252" s="279"/>
      <c r="U252" s="279"/>
      <c r="V252" s="279"/>
      <c r="W252" s="279"/>
      <c r="X252" s="279"/>
      <c r="Y252" s="279"/>
      <c r="Z252" s="279"/>
      <c r="AA252" s="279"/>
      <c r="AB252" s="279"/>
      <c r="AC252" s="279"/>
      <c r="AD252" s="279"/>
      <c r="AE252" s="279"/>
      <c r="AF252" s="279"/>
      <c r="AG252" s="279"/>
      <c r="AH252" s="279"/>
      <c r="AI252" s="279"/>
      <c r="AJ252" s="279"/>
      <c r="AK252" s="279"/>
      <c r="AL252" s="279"/>
      <c r="AM252" s="279"/>
      <c r="AN252" s="279"/>
      <c r="AO252" s="279"/>
      <c r="AP252" s="279"/>
      <c r="AQ252" s="279"/>
      <c r="AR252" s="279"/>
      <c r="AS252" s="279"/>
      <c r="AT252" s="279"/>
      <c r="AU252" s="279"/>
      <c r="AV252" s="279"/>
      <c r="AW252" s="279"/>
      <c r="AX252" s="279"/>
      <c r="AY252" s="279"/>
      <c r="AZ252" s="279"/>
      <c r="BA252" s="279"/>
      <c r="BB252" s="279"/>
      <c r="BC252" s="279"/>
      <c r="BD252" s="279"/>
      <c r="BE252" s="279"/>
      <c r="BF252" s="279"/>
      <c r="BG252" s="279"/>
      <c r="BH252" s="279"/>
      <c r="BI252" s="279"/>
      <c r="BJ252" s="279"/>
      <c r="BK252" s="279"/>
      <c r="BL252" s="279"/>
      <c r="BM252" s="279"/>
      <c r="BN252" s="279"/>
      <c r="BO252" s="279"/>
      <c r="BP252" s="279"/>
      <c r="BQ252" s="279"/>
    </row>
    <row r="253" ht="12.75" customHeight="1">
      <c r="A253" s="269"/>
      <c r="B253" s="20"/>
      <c r="C253" s="285" t="s">
        <v>545</v>
      </c>
      <c r="D253" s="286"/>
      <c r="E253" s="286"/>
      <c r="F253" s="286"/>
      <c r="G253" s="286"/>
      <c r="H253" s="286"/>
      <c r="I253" s="286"/>
      <c r="J253" s="286"/>
      <c r="K253" s="286"/>
      <c r="L253" s="286"/>
      <c r="M253" s="287"/>
      <c r="N253" s="290">
        <v>1194.0</v>
      </c>
      <c r="O253" s="289"/>
      <c r="P253" s="15"/>
      <c r="Q253" s="15"/>
      <c r="R253" s="16"/>
      <c r="S253" s="279"/>
      <c r="T253" s="279"/>
      <c r="U253" s="279"/>
      <c r="V253" s="279"/>
      <c r="W253" s="279"/>
      <c r="X253" s="279"/>
      <c r="Y253" s="279"/>
      <c r="Z253" s="279"/>
      <c r="AA253" s="279"/>
      <c r="AB253" s="279"/>
      <c r="AC253" s="279"/>
      <c r="AD253" s="279"/>
      <c r="AE253" s="279"/>
      <c r="AF253" s="279"/>
      <c r="AG253" s="279"/>
      <c r="AH253" s="279"/>
      <c r="AI253" s="279"/>
      <c r="AJ253" s="279"/>
      <c r="AK253" s="279"/>
      <c r="AL253" s="279"/>
      <c r="AM253" s="279"/>
      <c r="AN253" s="279"/>
      <c r="AO253" s="279"/>
      <c r="AP253" s="279"/>
      <c r="AQ253" s="279"/>
      <c r="AR253" s="279"/>
      <c r="AS253" s="279"/>
      <c r="AT253" s="279"/>
      <c r="AU253" s="279"/>
      <c r="AV253" s="279"/>
      <c r="AW253" s="279"/>
      <c r="AX253" s="279"/>
      <c r="AY253" s="279"/>
      <c r="AZ253" s="279"/>
      <c r="BA253" s="279"/>
      <c r="BB253" s="279"/>
      <c r="BC253" s="279"/>
      <c r="BD253" s="279"/>
      <c r="BE253" s="279"/>
      <c r="BF253" s="279"/>
      <c r="BG253" s="279"/>
      <c r="BH253" s="279"/>
      <c r="BI253" s="279"/>
      <c r="BJ253" s="279"/>
      <c r="BK253" s="279"/>
      <c r="BL253" s="279"/>
      <c r="BM253" s="279"/>
      <c r="BN253" s="279"/>
      <c r="BO253" s="279"/>
      <c r="BP253" s="279"/>
      <c r="BQ253" s="279"/>
    </row>
    <row r="254" ht="12.75" customHeight="1">
      <c r="A254" s="269"/>
      <c r="B254" s="20"/>
      <c r="C254" s="285" t="s">
        <v>546</v>
      </c>
      <c r="D254" s="286"/>
      <c r="E254" s="286"/>
      <c r="F254" s="286"/>
      <c r="G254" s="286"/>
      <c r="H254" s="286"/>
      <c r="I254" s="286"/>
      <c r="J254" s="286"/>
      <c r="K254" s="286"/>
      <c r="L254" s="286"/>
      <c r="M254" s="287"/>
      <c r="N254" s="290">
        <v>1782.0</v>
      </c>
      <c r="O254" s="289"/>
      <c r="P254" s="15"/>
      <c r="Q254" s="15"/>
      <c r="R254" s="16"/>
      <c r="S254" s="279"/>
      <c r="T254" s="279"/>
      <c r="U254" s="279"/>
      <c r="V254" s="279"/>
      <c r="W254" s="279"/>
      <c r="X254" s="279"/>
      <c r="Y254" s="279"/>
      <c r="Z254" s="279"/>
      <c r="AA254" s="279"/>
      <c r="AB254" s="279"/>
      <c r="AC254" s="279"/>
      <c r="AD254" s="279"/>
      <c r="AE254" s="279"/>
      <c r="AF254" s="279"/>
      <c r="AG254" s="279"/>
      <c r="AH254" s="279"/>
      <c r="AI254" s="279"/>
      <c r="AJ254" s="279"/>
      <c r="AK254" s="279"/>
      <c r="AL254" s="279"/>
      <c r="AM254" s="279"/>
      <c r="AN254" s="279"/>
      <c r="AO254" s="279"/>
      <c r="AP254" s="279"/>
      <c r="AQ254" s="279"/>
      <c r="AR254" s="279"/>
      <c r="AS254" s="279"/>
      <c r="AT254" s="279"/>
      <c r="AU254" s="279"/>
      <c r="AV254" s="279"/>
      <c r="AW254" s="279"/>
      <c r="AX254" s="279"/>
      <c r="AY254" s="279"/>
      <c r="AZ254" s="279"/>
      <c r="BA254" s="279"/>
      <c r="BB254" s="279"/>
      <c r="BC254" s="279"/>
      <c r="BD254" s="279"/>
      <c r="BE254" s="279"/>
      <c r="BF254" s="279"/>
      <c r="BG254" s="279"/>
      <c r="BH254" s="279"/>
      <c r="BI254" s="279"/>
      <c r="BJ254" s="279"/>
      <c r="BK254" s="279"/>
      <c r="BL254" s="279"/>
      <c r="BM254" s="279"/>
      <c r="BN254" s="279"/>
      <c r="BO254" s="279"/>
      <c r="BP254" s="279"/>
      <c r="BQ254" s="279"/>
    </row>
    <row r="255" ht="12.75" customHeight="1">
      <c r="A255" s="269"/>
      <c r="B255" s="34"/>
      <c r="C255" s="285" t="s">
        <v>547</v>
      </c>
      <c r="D255" s="286"/>
      <c r="E255" s="286"/>
      <c r="F255" s="286"/>
      <c r="G255" s="286"/>
      <c r="H255" s="286"/>
      <c r="I255" s="286"/>
      <c r="J255" s="286"/>
      <c r="K255" s="286"/>
      <c r="L255" s="286"/>
      <c r="M255" s="287"/>
      <c r="N255" s="290">
        <v>1783.0</v>
      </c>
      <c r="O255" s="289"/>
      <c r="P255" s="15"/>
      <c r="Q255" s="15"/>
      <c r="R255" s="16"/>
      <c r="S255" s="279"/>
      <c r="T255" s="279"/>
      <c r="U255" s="279"/>
      <c r="V255" s="279"/>
      <c r="W255" s="279"/>
      <c r="X255" s="279"/>
      <c r="Y255" s="279"/>
      <c r="Z255" s="279"/>
      <c r="AA255" s="279"/>
      <c r="AB255" s="279"/>
      <c r="AC255" s="279"/>
      <c r="AD255" s="279"/>
      <c r="AE255" s="279"/>
      <c r="AF255" s="279"/>
      <c r="AG255" s="279"/>
      <c r="AH255" s="279"/>
      <c r="AI255" s="279"/>
      <c r="AJ255" s="279"/>
      <c r="AK255" s="279"/>
      <c r="AL255" s="279"/>
      <c r="AM255" s="279"/>
      <c r="AN255" s="279"/>
      <c r="AO255" s="279"/>
      <c r="AP255" s="279"/>
      <c r="AQ255" s="279"/>
      <c r="AR255" s="279"/>
      <c r="AS255" s="279"/>
      <c r="AT255" s="279"/>
      <c r="AU255" s="279"/>
      <c r="AV255" s="279"/>
      <c r="AW255" s="279"/>
      <c r="AX255" s="279"/>
      <c r="AY255" s="279"/>
      <c r="AZ255" s="279"/>
      <c r="BA255" s="279"/>
      <c r="BB255" s="279"/>
      <c r="BC255" s="279"/>
      <c r="BD255" s="279"/>
      <c r="BE255" s="279"/>
      <c r="BF255" s="279"/>
      <c r="BG255" s="279"/>
      <c r="BH255" s="279"/>
      <c r="BI255" s="279"/>
      <c r="BJ255" s="279"/>
      <c r="BK255" s="279"/>
      <c r="BL255" s="279"/>
      <c r="BM255" s="279"/>
      <c r="BN255" s="279"/>
      <c r="BO255" s="279"/>
      <c r="BP255" s="279"/>
      <c r="BQ255" s="279"/>
    </row>
    <row r="256" ht="12.75" customHeight="1">
      <c r="A256" s="269"/>
      <c r="B256" s="330" t="s">
        <v>548</v>
      </c>
      <c r="C256" s="285" t="s">
        <v>549</v>
      </c>
      <c r="D256" s="286"/>
      <c r="E256" s="286"/>
      <c r="F256" s="286"/>
      <c r="G256" s="286"/>
      <c r="H256" s="286"/>
      <c r="I256" s="286"/>
      <c r="J256" s="286"/>
      <c r="K256" s="286"/>
      <c r="L256" s="286"/>
      <c r="M256" s="287"/>
      <c r="N256" s="290">
        <v>1195.0</v>
      </c>
      <c r="O256" s="289"/>
      <c r="P256" s="15"/>
      <c r="Q256" s="15"/>
      <c r="R256" s="16"/>
      <c r="S256" s="279"/>
      <c r="T256" s="279"/>
      <c r="U256" s="279"/>
      <c r="V256" s="279"/>
      <c r="W256" s="279"/>
      <c r="X256" s="279"/>
      <c r="Y256" s="279"/>
      <c r="Z256" s="279"/>
      <c r="AA256" s="279"/>
      <c r="AB256" s="279"/>
      <c r="AC256" s="279"/>
      <c r="AD256" s="279"/>
      <c r="AE256" s="279"/>
      <c r="AF256" s="279"/>
      <c r="AG256" s="279"/>
      <c r="AH256" s="279"/>
      <c r="AI256" s="279"/>
      <c r="AJ256" s="279"/>
      <c r="AK256" s="279"/>
      <c r="AL256" s="279"/>
      <c r="AM256" s="279"/>
      <c r="AN256" s="279"/>
      <c r="AO256" s="279"/>
      <c r="AP256" s="279"/>
      <c r="AQ256" s="279"/>
      <c r="AR256" s="279"/>
      <c r="AS256" s="279"/>
      <c r="AT256" s="279"/>
      <c r="AU256" s="279"/>
      <c r="AV256" s="279"/>
      <c r="AW256" s="279"/>
      <c r="AX256" s="279"/>
      <c r="AY256" s="279"/>
      <c r="AZ256" s="279"/>
      <c r="BA256" s="279"/>
      <c r="BB256" s="279"/>
      <c r="BC256" s="279"/>
      <c r="BD256" s="279"/>
      <c r="BE256" s="279"/>
      <c r="BF256" s="279"/>
      <c r="BG256" s="279"/>
      <c r="BH256" s="279"/>
      <c r="BI256" s="279"/>
      <c r="BJ256" s="279"/>
      <c r="BK256" s="279"/>
      <c r="BL256" s="279"/>
      <c r="BM256" s="279"/>
      <c r="BN256" s="279"/>
      <c r="BO256" s="279"/>
      <c r="BP256" s="279"/>
      <c r="BQ256" s="279"/>
    </row>
    <row r="257" ht="12.75" customHeight="1">
      <c r="A257" s="269"/>
      <c r="B257" s="20"/>
      <c r="C257" s="285" t="s">
        <v>550</v>
      </c>
      <c r="D257" s="286"/>
      <c r="E257" s="286"/>
      <c r="F257" s="286"/>
      <c r="G257" s="286"/>
      <c r="H257" s="286"/>
      <c r="I257" s="286"/>
      <c r="J257" s="286"/>
      <c r="K257" s="286"/>
      <c r="L257" s="286"/>
      <c r="M257" s="287"/>
      <c r="N257" s="290">
        <v>1691.0</v>
      </c>
      <c r="O257" s="289"/>
      <c r="P257" s="15"/>
      <c r="Q257" s="15"/>
      <c r="R257" s="16"/>
      <c r="S257" s="279"/>
      <c r="T257" s="279"/>
      <c r="U257" s="279"/>
      <c r="V257" s="279"/>
      <c r="W257" s="279"/>
      <c r="X257" s="279"/>
      <c r="Y257" s="279"/>
      <c r="Z257" s="279"/>
      <c r="AA257" s="279"/>
      <c r="AB257" s="279"/>
      <c r="AC257" s="279"/>
      <c r="AD257" s="279"/>
      <c r="AE257" s="279"/>
      <c r="AF257" s="279"/>
      <c r="AG257" s="279"/>
      <c r="AH257" s="279"/>
      <c r="AI257" s="279"/>
      <c r="AJ257" s="279"/>
      <c r="AK257" s="279"/>
      <c r="AL257" s="279"/>
      <c r="AM257" s="279"/>
      <c r="AN257" s="279"/>
      <c r="AO257" s="279"/>
      <c r="AP257" s="279"/>
      <c r="AQ257" s="279"/>
      <c r="AR257" s="279"/>
      <c r="AS257" s="279"/>
      <c r="AT257" s="279"/>
      <c r="AU257" s="279"/>
      <c r="AV257" s="279"/>
      <c r="AW257" s="279"/>
      <c r="AX257" s="279"/>
      <c r="AY257" s="279"/>
      <c r="AZ257" s="279"/>
      <c r="BA257" s="279"/>
      <c r="BB257" s="279"/>
      <c r="BC257" s="279"/>
      <c r="BD257" s="279"/>
      <c r="BE257" s="279"/>
      <c r="BF257" s="279"/>
      <c r="BG257" s="279"/>
      <c r="BH257" s="279"/>
      <c r="BI257" s="279"/>
      <c r="BJ257" s="279"/>
      <c r="BK257" s="279"/>
      <c r="BL257" s="279"/>
      <c r="BM257" s="279"/>
      <c r="BN257" s="279"/>
      <c r="BO257" s="279"/>
      <c r="BP257" s="279"/>
      <c r="BQ257" s="279"/>
    </row>
    <row r="258" ht="12.75" customHeight="1">
      <c r="A258" s="269"/>
      <c r="B258" s="20"/>
      <c r="C258" s="285" t="s">
        <v>551</v>
      </c>
      <c r="D258" s="286"/>
      <c r="E258" s="286"/>
      <c r="F258" s="286"/>
      <c r="G258" s="286"/>
      <c r="H258" s="286"/>
      <c r="I258" s="286"/>
      <c r="J258" s="286"/>
      <c r="K258" s="286"/>
      <c r="L258" s="286"/>
      <c r="M258" s="287"/>
      <c r="N258" s="290">
        <v>1196.0</v>
      </c>
      <c r="O258" s="289"/>
      <c r="P258" s="15"/>
      <c r="Q258" s="15"/>
      <c r="R258" s="16"/>
      <c r="S258" s="279"/>
      <c r="T258" s="279"/>
      <c r="U258" s="279"/>
      <c r="V258" s="279"/>
      <c r="W258" s="279"/>
      <c r="X258" s="279"/>
      <c r="Y258" s="279"/>
      <c r="Z258" s="279"/>
      <c r="AA258" s="279"/>
      <c r="AB258" s="279"/>
      <c r="AC258" s="279"/>
      <c r="AD258" s="279"/>
      <c r="AE258" s="279"/>
      <c r="AF258" s="279"/>
      <c r="AG258" s="279"/>
      <c r="AH258" s="279"/>
      <c r="AI258" s="279"/>
      <c r="AJ258" s="279"/>
      <c r="AK258" s="279"/>
      <c r="AL258" s="279"/>
      <c r="AM258" s="279"/>
      <c r="AN258" s="279"/>
      <c r="AO258" s="279"/>
      <c r="AP258" s="279"/>
      <c r="AQ258" s="279"/>
      <c r="AR258" s="279"/>
      <c r="AS258" s="279"/>
      <c r="AT258" s="279"/>
      <c r="AU258" s="279"/>
      <c r="AV258" s="279"/>
      <c r="AW258" s="279"/>
      <c r="AX258" s="279"/>
      <c r="AY258" s="279"/>
      <c r="AZ258" s="279"/>
      <c r="BA258" s="279"/>
      <c r="BB258" s="279"/>
      <c r="BC258" s="279"/>
      <c r="BD258" s="279"/>
      <c r="BE258" s="279"/>
      <c r="BF258" s="279"/>
      <c r="BG258" s="279"/>
      <c r="BH258" s="279"/>
      <c r="BI258" s="279"/>
      <c r="BJ258" s="279"/>
      <c r="BK258" s="279"/>
      <c r="BL258" s="279"/>
      <c r="BM258" s="279"/>
      <c r="BN258" s="279"/>
      <c r="BO258" s="279"/>
      <c r="BP258" s="279"/>
      <c r="BQ258" s="279"/>
    </row>
    <row r="259" ht="12.75" customHeight="1">
      <c r="A259" s="269"/>
      <c r="B259" s="20"/>
      <c r="C259" s="285" t="s">
        <v>552</v>
      </c>
      <c r="D259" s="286"/>
      <c r="E259" s="286"/>
      <c r="F259" s="286"/>
      <c r="G259" s="286"/>
      <c r="H259" s="286"/>
      <c r="I259" s="286"/>
      <c r="J259" s="286"/>
      <c r="K259" s="286"/>
      <c r="L259" s="286"/>
      <c r="M259" s="287"/>
      <c r="N259" s="290">
        <v>1197.0</v>
      </c>
      <c r="O259" s="289"/>
      <c r="P259" s="15"/>
      <c r="Q259" s="15"/>
      <c r="R259" s="16"/>
      <c r="S259" s="279"/>
      <c r="T259" s="279"/>
      <c r="U259" s="279"/>
      <c r="V259" s="279"/>
      <c r="W259" s="279"/>
      <c r="X259" s="279"/>
      <c r="Y259" s="279"/>
      <c r="Z259" s="279"/>
      <c r="AA259" s="279"/>
      <c r="AB259" s="279"/>
      <c r="AC259" s="279"/>
      <c r="AD259" s="279"/>
      <c r="AE259" s="279"/>
      <c r="AF259" s="279"/>
      <c r="AG259" s="279"/>
      <c r="AH259" s="279"/>
      <c r="AI259" s="279"/>
      <c r="AJ259" s="279"/>
      <c r="AK259" s="279"/>
      <c r="AL259" s="279"/>
      <c r="AM259" s="279"/>
      <c r="AN259" s="279"/>
      <c r="AO259" s="279"/>
      <c r="AP259" s="279"/>
      <c r="AQ259" s="279"/>
      <c r="AR259" s="279"/>
      <c r="AS259" s="279"/>
      <c r="AT259" s="279"/>
      <c r="AU259" s="279"/>
      <c r="AV259" s="279"/>
      <c r="AW259" s="279"/>
      <c r="AX259" s="279"/>
      <c r="AY259" s="279"/>
      <c r="AZ259" s="279"/>
      <c r="BA259" s="279"/>
      <c r="BB259" s="279"/>
      <c r="BC259" s="279"/>
      <c r="BD259" s="279"/>
      <c r="BE259" s="279"/>
      <c r="BF259" s="279"/>
      <c r="BG259" s="279"/>
      <c r="BH259" s="279"/>
      <c r="BI259" s="279"/>
      <c r="BJ259" s="279"/>
      <c r="BK259" s="279"/>
      <c r="BL259" s="279"/>
      <c r="BM259" s="279"/>
      <c r="BN259" s="279"/>
      <c r="BO259" s="279"/>
      <c r="BP259" s="279"/>
      <c r="BQ259" s="279"/>
    </row>
    <row r="260" ht="12.75" customHeight="1">
      <c r="A260" s="269"/>
      <c r="B260" s="20"/>
      <c r="C260" s="285" t="s">
        <v>553</v>
      </c>
      <c r="D260" s="286"/>
      <c r="E260" s="286"/>
      <c r="F260" s="286"/>
      <c r="G260" s="286"/>
      <c r="H260" s="286"/>
      <c r="I260" s="286"/>
      <c r="J260" s="286"/>
      <c r="K260" s="286"/>
      <c r="L260" s="286"/>
      <c r="M260" s="287"/>
      <c r="N260" s="290">
        <v>238.0</v>
      </c>
      <c r="O260" s="289"/>
      <c r="P260" s="15"/>
      <c r="Q260" s="15"/>
      <c r="R260" s="16"/>
      <c r="S260" s="279"/>
      <c r="T260" s="279"/>
      <c r="U260" s="279"/>
      <c r="V260" s="279"/>
      <c r="W260" s="279"/>
      <c r="X260" s="279"/>
      <c r="Y260" s="279"/>
      <c r="Z260" s="279"/>
      <c r="AA260" s="279"/>
      <c r="AB260" s="279"/>
      <c r="AC260" s="279"/>
      <c r="AD260" s="279"/>
      <c r="AE260" s="279"/>
      <c r="AF260" s="279"/>
      <c r="AG260" s="279"/>
      <c r="AH260" s="279"/>
      <c r="AI260" s="279"/>
      <c r="AJ260" s="279"/>
      <c r="AK260" s="279"/>
      <c r="AL260" s="279"/>
      <c r="AM260" s="279"/>
      <c r="AN260" s="279"/>
      <c r="AO260" s="279"/>
      <c r="AP260" s="279"/>
      <c r="AQ260" s="279"/>
      <c r="AR260" s="279"/>
      <c r="AS260" s="279"/>
      <c r="AT260" s="279"/>
      <c r="AU260" s="279"/>
      <c r="AV260" s="279"/>
      <c r="AW260" s="279"/>
      <c r="AX260" s="279"/>
      <c r="AY260" s="279"/>
      <c r="AZ260" s="279"/>
      <c r="BA260" s="279"/>
      <c r="BB260" s="279"/>
      <c r="BC260" s="279"/>
      <c r="BD260" s="279"/>
      <c r="BE260" s="279"/>
      <c r="BF260" s="279"/>
      <c r="BG260" s="279"/>
      <c r="BH260" s="279"/>
      <c r="BI260" s="279"/>
      <c r="BJ260" s="279"/>
      <c r="BK260" s="279"/>
      <c r="BL260" s="279"/>
      <c r="BM260" s="279"/>
      <c r="BN260" s="279"/>
      <c r="BO260" s="279"/>
      <c r="BP260" s="279"/>
      <c r="BQ260" s="279"/>
    </row>
    <row r="261" ht="12.75" customHeight="1">
      <c r="A261" s="269"/>
      <c r="B261" s="34"/>
      <c r="C261" s="285" t="s">
        <v>554</v>
      </c>
      <c r="D261" s="286"/>
      <c r="E261" s="286"/>
      <c r="F261" s="286"/>
      <c r="G261" s="286"/>
      <c r="H261" s="286"/>
      <c r="I261" s="286"/>
      <c r="J261" s="286"/>
      <c r="K261" s="286"/>
      <c r="L261" s="286"/>
      <c r="M261" s="287"/>
      <c r="N261" s="290">
        <v>1586.0</v>
      </c>
      <c r="O261" s="289"/>
      <c r="P261" s="15"/>
      <c r="Q261" s="15"/>
      <c r="R261" s="16"/>
      <c r="S261" s="279"/>
      <c r="T261" s="279"/>
      <c r="U261" s="279"/>
      <c r="V261" s="279"/>
      <c r="W261" s="279"/>
      <c r="X261" s="279"/>
      <c r="Y261" s="279"/>
      <c r="Z261" s="279"/>
      <c r="AA261" s="279"/>
      <c r="AB261" s="279"/>
      <c r="AC261" s="279"/>
      <c r="AD261" s="279"/>
      <c r="AE261" s="279"/>
      <c r="AF261" s="279"/>
      <c r="AG261" s="279"/>
      <c r="AH261" s="279"/>
      <c r="AI261" s="279"/>
      <c r="AJ261" s="279"/>
      <c r="AK261" s="279"/>
      <c r="AL261" s="279"/>
      <c r="AM261" s="279"/>
      <c r="AN261" s="279"/>
      <c r="AO261" s="279"/>
      <c r="AP261" s="279"/>
      <c r="AQ261" s="279"/>
      <c r="AR261" s="279"/>
      <c r="AS261" s="279"/>
      <c r="AT261" s="279"/>
      <c r="AU261" s="279"/>
      <c r="AV261" s="279"/>
      <c r="AW261" s="279"/>
      <c r="AX261" s="279"/>
      <c r="AY261" s="279"/>
      <c r="AZ261" s="279"/>
      <c r="BA261" s="279"/>
      <c r="BB261" s="279"/>
      <c r="BC261" s="279"/>
      <c r="BD261" s="279"/>
      <c r="BE261" s="279"/>
      <c r="BF261" s="279"/>
      <c r="BG261" s="279"/>
      <c r="BH261" s="279"/>
      <c r="BI261" s="279"/>
      <c r="BJ261" s="279"/>
      <c r="BK261" s="279"/>
      <c r="BL261" s="279"/>
      <c r="BM261" s="279"/>
      <c r="BN261" s="279"/>
      <c r="BO261" s="279"/>
      <c r="BP261" s="279"/>
      <c r="BQ261" s="279"/>
    </row>
    <row r="262" ht="12.75" customHeight="1">
      <c r="A262" s="269"/>
      <c r="B262" s="282" t="s">
        <v>555</v>
      </c>
      <c r="C262" s="285" t="s">
        <v>556</v>
      </c>
      <c r="D262" s="286"/>
      <c r="E262" s="286"/>
      <c r="F262" s="286"/>
      <c r="G262" s="286"/>
      <c r="H262" s="286"/>
      <c r="I262" s="286"/>
      <c r="J262" s="286"/>
      <c r="K262" s="286"/>
      <c r="L262" s="286"/>
      <c r="M262" s="287"/>
      <c r="N262" s="290">
        <v>1823.0</v>
      </c>
      <c r="O262" s="289"/>
      <c r="P262" s="15"/>
      <c r="Q262" s="15"/>
      <c r="R262" s="16"/>
      <c r="S262" s="279"/>
      <c r="T262" s="279"/>
      <c r="U262" s="279"/>
      <c r="V262" s="279"/>
      <c r="W262" s="279"/>
      <c r="X262" s="279"/>
      <c r="Y262" s="279"/>
      <c r="Z262" s="279"/>
      <c r="AA262" s="279"/>
      <c r="AB262" s="279"/>
      <c r="AC262" s="279"/>
      <c r="AD262" s="279"/>
      <c r="AE262" s="279"/>
      <c r="AF262" s="279"/>
      <c r="AG262" s="279"/>
      <c r="AH262" s="279"/>
      <c r="AI262" s="279"/>
      <c r="AJ262" s="279"/>
      <c r="AK262" s="279"/>
      <c r="AL262" s="279"/>
      <c r="AM262" s="279"/>
      <c r="AN262" s="279"/>
      <c r="AO262" s="279"/>
      <c r="AP262" s="279"/>
      <c r="AQ262" s="279"/>
      <c r="AR262" s="279"/>
      <c r="AS262" s="279"/>
      <c r="AT262" s="279"/>
      <c r="AU262" s="279"/>
      <c r="AV262" s="279"/>
      <c r="AW262" s="279"/>
      <c r="AX262" s="279"/>
      <c r="AY262" s="279"/>
      <c r="AZ262" s="279"/>
      <c r="BA262" s="279"/>
      <c r="BB262" s="279"/>
      <c r="BC262" s="279"/>
      <c r="BD262" s="279"/>
      <c r="BE262" s="279"/>
      <c r="BF262" s="279"/>
      <c r="BG262" s="279"/>
      <c r="BH262" s="279"/>
      <c r="BI262" s="279"/>
      <c r="BJ262" s="279"/>
      <c r="BK262" s="279"/>
      <c r="BL262" s="279"/>
      <c r="BM262" s="279"/>
      <c r="BN262" s="279"/>
      <c r="BO262" s="279"/>
      <c r="BP262" s="279"/>
      <c r="BQ262" s="279"/>
    </row>
    <row r="263" ht="12.75" customHeight="1">
      <c r="A263" s="269"/>
      <c r="B263" s="20"/>
      <c r="C263" s="285" t="s">
        <v>557</v>
      </c>
      <c r="D263" s="286"/>
      <c r="E263" s="286"/>
      <c r="F263" s="286"/>
      <c r="G263" s="286"/>
      <c r="H263" s="286"/>
      <c r="I263" s="286"/>
      <c r="J263" s="286"/>
      <c r="K263" s="286"/>
      <c r="L263" s="286"/>
      <c r="M263" s="287"/>
      <c r="N263" s="290">
        <v>1824.0</v>
      </c>
      <c r="O263" s="289"/>
      <c r="P263" s="15"/>
      <c r="Q263" s="15"/>
      <c r="R263" s="16"/>
      <c r="S263" s="279"/>
      <c r="T263" s="279"/>
      <c r="U263" s="279"/>
      <c r="V263" s="279"/>
      <c r="W263" s="279"/>
      <c r="X263" s="279"/>
      <c r="Y263" s="279"/>
      <c r="Z263" s="279"/>
      <c r="AA263" s="279"/>
      <c r="AB263" s="279"/>
      <c r="AC263" s="279"/>
      <c r="AD263" s="279"/>
      <c r="AE263" s="279"/>
      <c r="AF263" s="279"/>
      <c r="AG263" s="279"/>
      <c r="AH263" s="279"/>
      <c r="AI263" s="279"/>
      <c r="AJ263" s="279"/>
      <c r="AK263" s="279"/>
      <c r="AL263" s="279"/>
      <c r="AM263" s="279"/>
      <c r="AN263" s="279"/>
      <c r="AO263" s="279"/>
      <c r="AP263" s="279"/>
      <c r="AQ263" s="279"/>
      <c r="AR263" s="279"/>
      <c r="AS263" s="279"/>
      <c r="AT263" s="279"/>
      <c r="AU263" s="279"/>
      <c r="AV263" s="279"/>
      <c r="AW263" s="279"/>
      <c r="AX263" s="279"/>
      <c r="AY263" s="279"/>
      <c r="AZ263" s="279"/>
      <c r="BA263" s="279"/>
      <c r="BB263" s="279"/>
      <c r="BC263" s="279"/>
      <c r="BD263" s="279"/>
      <c r="BE263" s="279"/>
      <c r="BF263" s="279"/>
      <c r="BG263" s="279"/>
      <c r="BH263" s="279"/>
      <c r="BI263" s="279"/>
      <c r="BJ263" s="279"/>
      <c r="BK263" s="279"/>
      <c r="BL263" s="279"/>
      <c r="BM263" s="279"/>
      <c r="BN263" s="279"/>
      <c r="BO263" s="279"/>
      <c r="BP263" s="279"/>
      <c r="BQ263" s="279"/>
    </row>
    <row r="264" ht="12.75" customHeight="1">
      <c r="A264" s="269"/>
      <c r="B264" s="20"/>
      <c r="C264" s="285" t="s">
        <v>558</v>
      </c>
      <c r="D264" s="286"/>
      <c r="E264" s="286"/>
      <c r="F264" s="286"/>
      <c r="G264" s="286"/>
      <c r="H264" s="286"/>
      <c r="I264" s="286"/>
      <c r="J264" s="286"/>
      <c r="K264" s="286"/>
      <c r="L264" s="286"/>
      <c r="M264" s="287"/>
      <c r="N264" s="290">
        <v>1825.0</v>
      </c>
      <c r="O264" s="289"/>
      <c r="P264" s="15"/>
      <c r="Q264" s="15"/>
      <c r="R264" s="16"/>
      <c r="S264" s="279"/>
      <c r="T264" s="279"/>
      <c r="U264" s="279"/>
      <c r="V264" s="279"/>
      <c r="W264" s="279"/>
      <c r="X264" s="279"/>
      <c r="Y264" s="279"/>
      <c r="Z264" s="279"/>
      <c r="AA264" s="279"/>
      <c r="AB264" s="279"/>
      <c r="AC264" s="279"/>
      <c r="AD264" s="279"/>
      <c r="AE264" s="279"/>
      <c r="AF264" s="279"/>
      <c r="AG264" s="279"/>
      <c r="AH264" s="279"/>
      <c r="AI264" s="279"/>
      <c r="AJ264" s="279"/>
      <c r="AK264" s="279"/>
      <c r="AL264" s="279"/>
      <c r="AM264" s="279"/>
      <c r="AN264" s="279"/>
      <c r="AO264" s="279"/>
      <c r="AP264" s="279"/>
      <c r="AQ264" s="279"/>
      <c r="AR264" s="279"/>
      <c r="AS264" s="279"/>
      <c r="AT264" s="279"/>
      <c r="AU264" s="279"/>
      <c r="AV264" s="279"/>
      <c r="AW264" s="279"/>
      <c r="AX264" s="279"/>
      <c r="AY264" s="279"/>
      <c r="AZ264" s="279"/>
      <c r="BA264" s="279"/>
      <c r="BB264" s="279"/>
      <c r="BC264" s="279"/>
      <c r="BD264" s="279"/>
      <c r="BE264" s="279"/>
      <c r="BF264" s="279"/>
      <c r="BG264" s="279"/>
      <c r="BH264" s="279"/>
      <c r="BI264" s="279"/>
      <c r="BJ264" s="279"/>
      <c r="BK264" s="279"/>
      <c r="BL264" s="279"/>
      <c r="BM264" s="279"/>
      <c r="BN264" s="279"/>
      <c r="BO264" s="279"/>
      <c r="BP264" s="279"/>
      <c r="BQ264" s="279"/>
    </row>
    <row r="265" ht="12.75" customHeight="1">
      <c r="A265" s="269"/>
      <c r="B265" s="34"/>
      <c r="C265" s="285" t="s">
        <v>559</v>
      </c>
      <c r="D265" s="286"/>
      <c r="E265" s="286"/>
      <c r="F265" s="286"/>
      <c r="G265" s="286"/>
      <c r="H265" s="286"/>
      <c r="I265" s="286"/>
      <c r="J265" s="286"/>
      <c r="K265" s="286"/>
      <c r="L265" s="286"/>
      <c r="M265" s="287"/>
      <c r="N265" s="290">
        <v>1826.0</v>
      </c>
      <c r="O265" s="289"/>
      <c r="P265" s="15"/>
      <c r="Q265" s="15"/>
      <c r="R265" s="16"/>
      <c r="S265" s="279"/>
      <c r="T265" s="279"/>
      <c r="U265" s="279"/>
      <c r="V265" s="279"/>
      <c r="W265" s="279"/>
      <c r="X265" s="279"/>
      <c r="Y265" s="279"/>
      <c r="Z265" s="279"/>
      <c r="AA265" s="279"/>
      <c r="AB265" s="279"/>
      <c r="AC265" s="279"/>
      <c r="AD265" s="279"/>
      <c r="AE265" s="279"/>
      <c r="AF265" s="279"/>
      <c r="AG265" s="279"/>
      <c r="AH265" s="279"/>
      <c r="AI265" s="279"/>
      <c r="AJ265" s="279"/>
      <c r="AK265" s="279"/>
      <c r="AL265" s="279"/>
      <c r="AM265" s="279"/>
      <c r="AN265" s="279"/>
      <c r="AO265" s="279"/>
      <c r="AP265" s="279"/>
      <c r="AQ265" s="279"/>
      <c r="AR265" s="279"/>
      <c r="AS265" s="279"/>
      <c r="AT265" s="279"/>
      <c r="AU265" s="279"/>
      <c r="AV265" s="279"/>
      <c r="AW265" s="279"/>
      <c r="AX265" s="279"/>
      <c r="AY265" s="279"/>
      <c r="AZ265" s="279"/>
      <c r="BA265" s="279"/>
      <c r="BB265" s="279"/>
      <c r="BC265" s="279"/>
      <c r="BD265" s="279"/>
      <c r="BE265" s="279"/>
      <c r="BF265" s="279"/>
      <c r="BG265" s="279"/>
      <c r="BH265" s="279"/>
      <c r="BI265" s="279"/>
      <c r="BJ265" s="279"/>
      <c r="BK265" s="279"/>
      <c r="BL265" s="279"/>
      <c r="BM265" s="279"/>
      <c r="BN265" s="279"/>
      <c r="BO265" s="279"/>
      <c r="BP265" s="279"/>
      <c r="BQ265" s="279"/>
    </row>
    <row r="266" ht="12.75" customHeight="1">
      <c r="A266" s="275"/>
      <c r="B266" s="387"/>
      <c r="C266" s="387"/>
      <c r="D266" s="387"/>
      <c r="E266" s="387"/>
      <c r="F266" s="387"/>
      <c r="G266" s="387"/>
      <c r="H266" s="387"/>
      <c r="I266" s="387"/>
      <c r="J266" s="387"/>
      <c r="K266" s="387"/>
      <c r="L266" s="387"/>
      <c r="M266" s="387"/>
      <c r="N266" s="387"/>
      <c r="O266" s="387"/>
      <c r="P266" s="387"/>
      <c r="Q266" s="387"/>
      <c r="R266" s="387"/>
      <c r="S266" s="279"/>
      <c r="T266" s="279"/>
      <c r="U266" s="279"/>
      <c r="V266" s="279"/>
      <c r="W266" s="279"/>
      <c r="X266" s="279"/>
      <c r="Y266" s="279"/>
      <c r="Z266" s="279"/>
      <c r="AA266" s="279"/>
      <c r="AB266" s="279"/>
      <c r="AC266" s="279"/>
      <c r="AD266" s="279"/>
      <c r="AE266" s="279"/>
      <c r="AF266" s="279"/>
      <c r="AG266" s="279"/>
      <c r="AH266" s="279"/>
      <c r="AI266" s="279"/>
      <c r="AJ266" s="279"/>
      <c r="AK266" s="279"/>
      <c r="AL266" s="279"/>
      <c r="AM266" s="279"/>
      <c r="AN266" s="279"/>
      <c r="AO266" s="279"/>
      <c r="AP266" s="279"/>
      <c r="AQ266" s="279"/>
      <c r="AR266" s="279"/>
      <c r="AS266" s="279"/>
      <c r="AT266" s="279"/>
      <c r="AU266" s="279"/>
      <c r="AV266" s="279"/>
      <c r="AW266" s="279"/>
      <c r="AX266" s="279"/>
      <c r="AY266" s="279"/>
      <c r="AZ266" s="279"/>
      <c r="BA266" s="279"/>
      <c r="BB266" s="279"/>
      <c r="BC266" s="279"/>
      <c r="BD266" s="279"/>
      <c r="BE266" s="279"/>
      <c r="BF266" s="279"/>
      <c r="BG266" s="279"/>
      <c r="BH266" s="279"/>
      <c r="BI266" s="279"/>
      <c r="BJ266" s="279"/>
      <c r="BK266" s="279"/>
      <c r="BL266" s="279"/>
      <c r="BM266" s="279"/>
      <c r="BN266" s="279"/>
      <c r="BO266" s="279"/>
      <c r="BP266" s="279"/>
      <c r="BQ266" s="279"/>
    </row>
    <row r="267" ht="12.75" customHeight="1">
      <c r="A267" s="275"/>
      <c r="B267" s="388" t="s">
        <v>560</v>
      </c>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3"/>
      <c r="AG267" s="279"/>
      <c r="AH267" s="279"/>
      <c r="AI267" s="279"/>
      <c r="AJ267" s="279"/>
      <c r="AK267" s="279"/>
      <c r="AL267" s="279"/>
      <c r="AM267" s="279"/>
      <c r="AN267" s="279"/>
      <c r="AO267" s="279"/>
      <c r="AP267" s="279"/>
      <c r="AQ267" s="279"/>
      <c r="AR267" s="279"/>
      <c r="AS267" s="279"/>
      <c r="AT267" s="279"/>
      <c r="AU267" s="279"/>
      <c r="AV267" s="279"/>
      <c r="AW267" s="279"/>
      <c r="AX267" s="279"/>
      <c r="AY267" s="279"/>
      <c r="AZ267" s="279"/>
      <c r="BA267" s="279"/>
      <c r="BB267" s="279"/>
      <c r="BC267" s="279"/>
      <c r="BD267" s="279"/>
      <c r="BE267" s="279"/>
      <c r="BF267" s="279"/>
      <c r="BG267" s="279"/>
      <c r="BH267" s="279"/>
      <c r="BI267" s="279"/>
      <c r="BJ267" s="279"/>
      <c r="BK267" s="279"/>
      <c r="BL267" s="279"/>
      <c r="BM267" s="279"/>
      <c r="BN267" s="279"/>
      <c r="BO267" s="279"/>
      <c r="BP267" s="279"/>
      <c r="BQ267" s="279"/>
    </row>
    <row r="268" ht="12.75" customHeight="1">
      <c r="A268" s="275"/>
      <c r="B268" s="28"/>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30"/>
      <c r="AG268" s="279"/>
      <c r="AH268" s="279"/>
      <c r="AI268" s="279"/>
      <c r="AJ268" s="279"/>
      <c r="AK268" s="279"/>
      <c r="AL268" s="279"/>
      <c r="AM268" s="279"/>
      <c r="AN268" s="279"/>
      <c r="AO268" s="279"/>
      <c r="AP268" s="279"/>
      <c r="AQ268" s="279"/>
      <c r="AR268" s="279"/>
      <c r="AS268" s="279"/>
      <c r="AT268" s="279"/>
      <c r="AU268" s="279"/>
      <c r="AV268" s="279"/>
      <c r="AW268" s="279"/>
      <c r="AX268" s="279"/>
      <c r="AY268" s="279"/>
      <c r="AZ268" s="279"/>
      <c r="BA268" s="279"/>
      <c r="BB268" s="279"/>
      <c r="BC268" s="279"/>
      <c r="BD268" s="279"/>
      <c r="BE268" s="279"/>
      <c r="BF268" s="279"/>
      <c r="BG268" s="279"/>
      <c r="BH268" s="279"/>
      <c r="BI268" s="279"/>
      <c r="BJ268" s="279"/>
      <c r="BK268" s="279"/>
      <c r="BL268" s="279"/>
      <c r="BM268" s="279"/>
      <c r="BN268" s="279"/>
      <c r="BO268" s="279"/>
      <c r="BP268" s="279"/>
      <c r="BQ268" s="279"/>
    </row>
    <row r="269" ht="12.75" customHeight="1">
      <c r="A269" s="269"/>
      <c r="B269" s="394" t="s">
        <v>134</v>
      </c>
      <c r="C269" s="22"/>
      <c r="D269" s="22"/>
      <c r="E269" s="22"/>
      <c r="F269" s="22"/>
      <c r="G269" s="22"/>
      <c r="H269" s="22"/>
      <c r="I269" s="22"/>
      <c r="J269" s="22"/>
      <c r="K269" s="23"/>
      <c r="L269" s="394" t="s">
        <v>561</v>
      </c>
      <c r="M269" s="22"/>
      <c r="N269" s="22"/>
      <c r="O269" s="22"/>
      <c r="P269" s="23"/>
      <c r="Q269" s="394" t="s">
        <v>562</v>
      </c>
      <c r="R269" s="22"/>
      <c r="S269" s="22"/>
      <c r="T269" s="22"/>
      <c r="U269" s="23"/>
      <c r="V269" s="348" t="s">
        <v>563</v>
      </c>
      <c r="W269" s="15"/>
      <c r="X269" s="15"/>
      <c r="Y269" s="15"/>
      <c r="Z269" s="15"/>
      <c r="AA269" s="15"/>
      <c r="AB269" s="15"/>
      <c r="AC269" s="15"/>
      <c r="AD269" s="15"/>
      <c r="AE269" s="15"/>
      <c r="AF269" s="16"/>
      <c r="AG269" s="279"/>
      <c r="AH269" s="279"/>
      <c r="AI269" s="279"/>
      <c r="AJ269" s="279"/>
      <c r="AK269" s="279"/>
      <c r="AL269" s="279"/>
      <c r="AM269" s="279"/>
      <c r="AN269" s="279"/>
      <c r="AO269" s="279"/>
      <c r="AP269" s="279"/>
      <c r="AQ269" s="279"/>
      <c r="AR269" s="279"/>
      <c r="AS269" s="279"/>
      <c r="AT269" s="279"/>
      <c r="AU269" s="279"/>
      <c r="AV269" s="279"/>
      <c r="AW269" s="279"/>
      <c r="AX269" s="279"/>
      <c r="AY269" s="279"/>
      <c r="AZ269" s="279"/>
      <c r="BA269" s="279"/>
      <c r="BB269" s="279"/>
      <c r="BC269" s="279"/>
      <c r="BD269" s="279"/>
      <c r="BE269" s="279"/>
      <c r="BF269" s="279"/>
      <c r="BG269" s="279"/>
      <c r="BH269" s="279"/>
      <c r="BI269" s="279"/>
      <c r="BJ269" s="279"/>
      <c r="BK269" s="279"/>
      <c r="BL269" s="279"/>
      <c r="BM269" s="279"/>
      <c r="BN269" s="279"/>
      <c r="BO269" s="279"/>
      <c r="BP269" s="279"/>
      <c r="BQ269" s="279"/>
    </row>
    <row r="270" ht="12.75" customHeight="1">
      <c r="A270" s="269"/>
      <c r="B270" s="28"/>
      <c r="C270" s="29"/>
      <c r="D270" s="29"/>
      <c r="E270" s="29"/>
      <c r="F270" s="29"/>
      <c r="G270" s="29"/>
      <c r="H270" s="29"/>
      <c r="I270" s="29"/>
      <c r="J270" s="29"/>
      <c r="K270" s="30"/>
      <c r="L270" s="28"/>
      <c r="M270" s="29"/>
      <c r="N270" s="29"/>
      <c r="O270" s="29"/>
      <c r="P270" s="30"/>
      <c r="Q270" s="28"/>
      <c r="R270" s="29"/>
      <c r="S270" s="29"/>
      <c r="T270" s="29"/>
      <c r="U270" s="30"/>
      <c r="V270" s="348" t="s">
        <v>564</v>
      </c>
      <c r="W270" s="15"/>
      <c r="X270" s="15"/>
      <c r="Y270" s="15"/>
      <c r="Z270" s="16"/>
      <c r="AA270" s="348" t="s">
        <v>565</v>
      </c>
      <c r="AB270" s="15"/>
      <c r="AC270" s="15"/>
      <c r="AD270" s="15"/>
      <c r="AE270" s="16"/>
      <c r="AF270" s="371"/>
      <c r="AG270" s="279"/>
      <c r="AH270" s="279"/>
      <c r="AI270" s="279"/>
      <c r="AJ270" s="279"/>
      <c r="AK270" s="279"/>
      <c r="AL270" s="279"/>
      <c r="AM270" s="279"/>
      <c r="AN270" s="279"/>
      <c r="AO270" s="279"/>
      <c r="AP270" s="279"/>
      <c r="AQ270" s="279"/>
      <c r="AR270" s="279"/>
      <c r="AS270" s="279"/>
      <c r="AT270" s="279"/>
      <c r="AU270" s="279"/>
      <c r="AV270" s="279"/>
      <c r="AW270" s="279"/>
      <c r="AX270" s="279"/>
      <c r="AY270" s="279"/>
      <c r="AZ270" s="279"/>
      <c r="BA270" s="279"/>
      <c r="BB270" s="279"/>
      <c r="BC270" s="279"/>
      <c r="BD270" s="279"/>
      <c r="BE270" s="279"/>
      <c r="BF270" s="279"/>
      <c r="BG270" s="279"/>
      <c r="BH270" s="279"/>
      <c r="BI270" s="279"/>
      <c r="BJ270" s="279"/>
      <c r="BK270" s="279"/>
      <c r="BL270" s="279"/>
      <c r="BM270" s="279"/>
      <c r="BN270" s="279"/>
      <c r="BO270" s="279"/>
      <c r="BP270" s="279"/>
      <c r="BQ270" s="279"/>
    </row>
    <row r="271" ht="12.75" customHeight="1">
      <c r="A271" s="269"/>
      <c r="B271" s="285" t="s">
        <v>566</v>
      </c>
      <c r="C271" s="286"/>
      <c r="D271" s="286"/>
      <c r="E271" s="286"/>
      <c r="F271" s="286"/>
      <c r="G271" s="286"/>
      <c r="H271" s="286"/>
      <c r="I271" s="286"/>
      <c r="J271" s="286"/>
      <c r="K271" s="287"/>
      <c r="L271" s="350">
        <v>1358.0</v>
      </c>
      <c r="M271" s="289"/>
      <c r="N271" s="15"/>
      <c r="O271" s="15"/>
      <c r="P271" s="16"/>
      <c r="Q271" s="350">
        <v>1359.0</v>
      </c>
      <c r="R271" s="289"/>
      <c r="S271" s="15"/>
      <c r="T271" s="15"/>
      <c r="U271" s="16"/>
      <c r="V271" s="350">
        <v>1360.0</v>
      </c>
      <c r="W271" s="289"/>
      <c r="X271" s="15"/>
      <c r="Y271" s="15"/>
      <c r="Z271" s="16"/>
      <c r="AA271" s="350">
        <v>1361.0</v>
      </c>
      <c r="AB271" s="289"/>
      <c r="AC271" s="15"/>
      <c r="AD271" s="15"/>
      <c r="AE271" s="16"/>
      <c r="AF271" s="338" t="s">
        <v>281</v>
      </c>
      <c r="AG271" s="279"/>
      <c r="AH271" s="279"/>
      <c r="AI271" s="279"/>
      <c r="AJ271" s="279"/>
      <c r="AK271" s="279"/>
      <c r="AL271" s="279"/>
      <c r="AM271" s="279"/>
      <c r="AN271" s="279"/>
      <c r="AO271" s="279"/>
      <c r="AP271" s="279"/>
      <c r="AQ271" s="279"/>
      <c r="AR271" s="279"/>
      <c r="AS271" s="279"/>
      <c r="AT271" s="279"/>
      <c r="AU271" s="279"/>
      <c r="AV271" s="279"/>
      <c r="AW271" s="279"/>
      <c r="AX271" s="279"/>
      <c r="AY271" s="279"/>
      <c r="AZ271" s="279"/>
      <c r="BA271" s="279"/>
      <c r="BB271" s="279"/>
      <c r="BC271" s="279"/>
      <c r="BD271" s="279"/>
      <c r="BE271" s="279"/>
      <c r="BF271" s="279"/>
      <c r="BG271" s="279"/>
      <c r="BH271" s="279"/>
      <c r="BI271" s="279"/>
      <c r="BJ271" s="279"/>
      <c r="BK271" s="279"/>
      <c r="BL271" s="279"/>
      <c r="BM271" s="279"/>
      <c r="BN271" s="279"/>
      <c r="BO271" s="279"/>
      <c r="BP271" s="279"/>
      <c r="BQ271" s="279"/>
    </row>
    <row r="272" ht="12.75" customHeight="1">
      <c r="A272" s="269"/>
      <c r="B272" s="285" t="s">
        <v>567</v>
      </c>
      <c r="C272" s="286"/>
      <c r="D272" s="286"/>
      <c r="E272" s="286"/>
      <c r="F272" s="286"/>
      <c r="G272" s="286"/>
      <c r="H272" s="286"/>
      <c r="I272" s="286"/>
      <c r="J272" s="286"/>
      <c r="K272" s="287"/>
      <c r="L272" s="350">
        <v>1184.0</v>
      </c>
      <c r="M272" s="289"/>
      <c r="N272" s="15"/>
      <c r="O272" s="15"/>
      <c r="P272" s="16"/>
      <c r="Q272" s="350">
        <v>1362.0</v>
      </c>
      <c r="R272" s="289"/>
      <c r="S272" s="15"/>
      <c r="T272" s="15"/>
      <c r="U272" s="16"/>
      <c r="V272" s="350">
        <v>1363.0</v>
      </c>
      <c r="W272" s="289"/>
      <c r="X272" s="15"/>
      <c r="Y272" s="15"/>
      <c r="Z272" s="16"/>
      <c r="AA272" s="350">
        <v>1364.0</v>
      </c>
      <c r="AB272" s="289"/>
      <c r="AC272" s="15"/>
      <c r="AD272" s="15"/>
      <c r="AE272" s="16"/>
      <c r="AF272" s="338" t="s">
        <v>312</v>
      </c>
      <c r="AG272" s="279"/>
      <c r="AH272" s="279"/>
      <c r="AI272" s="279"/>
      <c r="AJ272" s="279"/>
      <c r="AK272" s="279"/>
      <c r="AL272" s="279"/>
      <c r="AM272" s="279"/>
      <c r="AN272" s="279"/>
      <c r="AO272" s="279"/>
      <c r="AP272" s="279"/>
      <c r="AQ272" s="279"/>
      <c r="AR272" s="279"/>
      <c r="AS272" s="279"/>
      <c r="AT272" s="279"/>
      <c r="AU272" s="279"/>
      <c r="AV272" s="279"/>
      <c r="AW272" s="279"/>
      <c r="AX272" s="279"/>
      <c r="AY272" s="279"/>
      <c r="AZ272" s="279"/>
      <c r="BA272" s="279"/>
      <c r="BB272" s="279"/>
      <c r="BC272" s="279"/>
      <c r="BD272" s="279"/>
      <c r="BE272" s="279"/>
      <c r="BF272" s="279"/>
      <c r="BG272" s="279"/>
      <c r="BH272" s="279"/>
      <c r="BI272" s="279"/>
      <c r="BJ272" s="279"/>
      <c r="BK272" s="279"/>
      <c r="BL272" s="279"/>
      <c r="BM272" s="279"/>
      <c r="BN272" s="279"/>
      <c r="BO272" s="279"/>
      <c r="BP272" s="279"/>
      <c r="BQ272" s="279"/>
    </row>
    <row r="273" ht="12.75" customHeight="1">
      <c r="A273" s="269"/>
      <c r="B273" s="285" t="s">
        <v>568</v>
      </c>
      <c r="C273" s="286"/>
      <c r="D273" s="286"/>
      <c r="E273" s="286"/>
      <c r="F273" s="286"/>
      <c r="G273" s="286"/>
      <c r="H273" s="286"/>
      <c r="I273" s="286"/>
      <c r="J273" s="286"/>
      <c r="K273" s="287"/>
      <c r="L273" s="350">
        <v>1365.0</v>
      </c>
      <c r="M273" s="289"/>
      <c r="N273" s="15"/>
      <c r="O273" s="15"/>
      <c r="P273" s="16"/>
      <c r="Q273" s="350">
        <v>1366.0</v>
      </c>
      <c r="R273" s="289"/>
      <c r="S273" s="15"/>
      <c r="T273" s="15"/>
      <c r="U273" s="16"/>
      <c r="V273" s="350">
        <v>1367.0</v>
      </c>
      <c r="W273" s="289"/>
      <c r="X273" s="15"/>
      <c r="Y273" s="15"/>
      <c r="Z273" s="16"/>
      <c r="AA273" s="332"/>
      <c r="AB273" s="333"/>
      <c r="AC273" s="333"/>
      <c r="AD273" s="333"/>
      <c r="AE273" s="335"/>
      <c r="AF273" s="338" t="s">
        <v>281</v>
      </c>
      <c r="AG273" s="279"/>
      <c r="AH273" s="279"/>
      <c r="AI273" s="279"/>
      <c r="AJ273" s="279"/>
      <c r="AK273" s="279"/>
      <c r="AL273" s="279"/>
      <c r="AM273" s="279"/>
      <c r="AN273" s="279"/>
      <c r="AO273" s="279"/>
      <c r="AP273" s="279"/>
      <c r="AQ273" s="279"/>
      <c r="AR273" s="279"/>
      <c r="AS273" s="279"/>
      <c r="AT273" s="279"/>
      <c r="AU273" s="279"/>
      <c r="AV273" s="279"/>
      <c r="AW273" s="279"/>
      <c r="AX273" s="279"/>
      <c r="AY273" s="279"/>
      <c r="AZ273" s="279"/>
      <c r="BA273" s="279"/>
      <c r="BB273" s="279"/>
      <c r="BC273" s="279"/>
      <c r="BD273" s="279"/>
      <c r="BE273" s="279"/>
      <c r="BF273" s="279"/>
      <c r="BG273" s="279"/>
      <c r="BH273" s="279"/>
      <c r="BI273" s="279"/>
      <c r="BJ273" s="279"/>
      <c r="BK273" s="279"/>
      <c r="BL273" s="279"/>
      <c r="BM273" s="279"/>
      <c r="BN273" s="279"/>
      <c r="BO273" s="279"/>
      <c r="BP273" s="279"/>
      <c r="BQ273" s="279"/>
    </row>
    <row r="274" ht="12.75" customHeight="1">
      <c r="A274" s="269"/>
      <c r="B274" s="285" t="s">
        <v>567</v>
      </c>
      <c r="C274" s="286"/>
      <c r="D274" s="286"/>
      <c r="E274" s="286"/>
      <c r="F274" s="286"/>
      <c r="G274" s="286"/>
      <c r="H274" s="286"/>
      <c r="I274" s="286"/>
      <c r="J274" s="286"/>
      <c r="K274" s="287"/>
      <c r="L274" s="350">
        <v>1185.0</v>
      </c>
      <c r="M274" s="289"/>
      <c r="N274" s="15"/>
      <c r="O274" s="15"/>
      <c r="P274" s="16"/>
      <c r="Q274" s="350">
        <v>1369.0</v>
      </c>
      <c r="R274" s="289"/>
      <c r="S274" s="15"/>
      <c r="T274" s="15"/>
      <c r="U274" s="16"/>
      <c r="V274" s="350">
        <v>1370.0</v>
      </c>
      <c r="W274" s="289"/>
      <c r="X274" s="15"/>
      <c r="Y274" s="15"/>
      <c r="Z274" s="16"/>
      <c r="AA274" s="332"/>
      <c r="AB274" s="333"/>
      <c r="AC274" s="333"/>
      <c r="AD274" s="333"/>
      <c r="AE274" s="335"/>
      <c r="AF274" s="338" t="s">
        <v>312</v>
      </c>
      <c r="AG274" s="279"/>
      <c r="AH274" s="279"/>
      <c r="AI274" s="279"/>
      <c r="AJ274" s="279"/>
      <c r="AK274" s="279"/>
      <c r="AL274" s="279"/>
      <c r="AM274" s="279"/>
      <c r="AN274" s="279"/>
      <c r="AO274" s="279"/>
      <c r="AP274" s="279"/>
      <c r="AQ274" s="279"/>
      <c r="AR274" s="279"/>
      <c r="AS274" s="279"/>
      <c r="AT274" s="279"/>
      <c r="AU274" s="279"/>
      <c r="AV274" s="279"/>
      <c r="AW274" s="279"/>
      <c r="AX274" s="279"/>
      <c r="AY274" s="279"/>
      <c r="AZ274" s="279"/>
      <c r="BA274" s="279"/>
      <c r="BB274" s="279"/>
      <c r="BC274" s="279"/>
      <c r="BD274" s="279"/>
      <c r="BE274" s="279"/>
      <c r="BF274" s="279"/>
      <c r="BG274" s="279"/>
      <c r="BH274" s="279"/>
      <c r="BI274" s="279"/>
      <c r="BJ274" s="279"/>
      <c r="BK274" s="279"/>
      <c r="BL274" s="279"/>
      <c r="BM274" s="279"/>
      <c r="BN274" s="279"/>
      <c r="BO274" s="279"/>
      <c r="BP274" s="279"/>
      <c r="BQ274" s="279"/>
    </row>
    <row r="275" ht="12.75" customHeight="1">
      <c r="A275" s="269"/>
      <c r="B275" s="285" t="s">
        <v>569</v>
      </c>
      <c r="C275" s="286"/>
      <c r="D275" s="286"/>
      <c r="E275" s="286"/>
      <c r="F275" s="286"/>
      <c r="G275" s="286"/>
      <c r="H275" s="286"/>
      <c r="I275" s="286"/>
      <c r="J275" s="286"/>
      <c r="K275" s="287"/>
      <c r="L275" s="350">
        <v>1096.0</v>
      </c>
      <c r="M275" s="289">
        <f>+$M$271-$M$272+$M$273-$M$274</f>
        <v>0</v>
      </c>
      <c r="N275" s="15"/>
      <c r="O275" s="15"/>
      <c r="P275" s="16"/>
      <c r="Q275" s="350">
        <v>1097.0</v>
      </c>
      <c r="R275" s="289">
        <f>+$R$271-$R$272+$R$273-$R$274</f>
        <v>0</v>
      </c>
      <c r="S275" s="15"/>
      <c r="T275" s="15"/>
      <c r="U275" s="16"/>
      <c r="V275" s="350">
        <v>1106.0</v>
      </c>
      <c r="W275" s="289">
        <f>+$W$271-$W$272+$W$273-$W$274</f>
        <v>0</v>
      </c>
      <c r="X275" s="15"/>
      <c r="Y275" s="15"/>
      <c r="Z275" s="16"/>
      <c r="AA275" s="290">
        <v>1372.0</v>
      </c>
      <c r="AB275" s="289">
        <f>+$AB$271-$AB$272</f>
        <v>0</v>
      </c>
      <c r="AC275" s="15"/>
      <c r="AD275" s="15"/>
      <c r="AE275" s="16"/>
      <c r="AF275" s="338" t="s">
        <v>317</v>
      </c>
      <c r="AG275" s="279"/>
      <c r="AH275" s="279"/>
      <c r="AI275" s="279"/>
      <c r="AJ275" s="279"/>
      <c r="AK275" s="279"/>
      <c r="AL275" s="279"/>
      <c r="AM275" s="279"/>
      <c r="AN275" s="279"/>
      <c r="AO275" s="279"/>
      <c r="AP275" s="279"/>
      <c r="AQ275" s="279"/>
      <c r="AR275" s="279"/>
      <c r="AS275" s="279"/>
      <c r="AT275" s="279"/>
      <c r="AU275" s="279"/>
      <c r="AV275" s="279"/>
      <c r="AW275" s="279"/>
      <c r="AX275" s="279"/>
      <c r="AY275" s="279"/>
      <c r="AZ275" s="279"/>
      <c r="BA275" s="279"/>
      <c r="BB275" s="279"/>
      <c r="BC275" s="279"/>
      <c r="BD275" s="279"/>
      <c r="BE275" s="279"/>
      <c r="BF275" s="279"/>
      <c r="BG275" s="279"/>
      <c r="BH275" s="279"/>
      <c r="BI275" s="279"/>
      <c r="BJ275" s="279"/>
      <c r="BK275" s="279"/>
      <c r="BL275" s="279"/>
      <c r="BM275" s="279"/>
      <c r="BN275" s="279"/>
      <c r="BO275" s="279"/>
      <c r="BP275" s="279"/>
      <c r="BQ275" s="279"/>
    </row>
    <row r="276" ht="12.75" customHeight="1">
      <c r="A276" s="275"/>
      <c r="B276" s="387"/>
      <c r="C276" s="387"/>
      <c r="D276" s="387"/>
      <c r="E276" s="387"/>
      <c r="F276" s="387"/>
      <c r="G276" s="387"/>
      <c r="H276" s="387"/>
      <c r="I276" s="387"/>
      <c r="J276" s="387"/>
      <c r="K276" s="387"/>
      <c r="L276" s="387"/>
      <c r="M276" s="387"/>
      <c r="N276" s="387"/>
      <c r="O276" s="387"/>
      <c r="P276" s="387"/>
      <c r="Q276" s="387"/>
      <c r="R276" s="387"/>
      <c r="S276" s="387"/>
      <c r="T276" s="387"/>
      <c r="U276" s="387"/>
      <c r="V276" s="387"/>
      <c r="W276" s="387"/>
      <c r="X276" s="387"/>
      <c r="Y276" s="387"/>
      <c r="Z276" s="387"/>
      <c r="AA276" s="387"/>
      <c r="AB276" s="387"/>
      <c r="AC276" s="387"/>
      <c r="AD276" s="387"/>
      <c r="AE276" s="387"/>
      <c r="AF276" s="279"/>
      <c r="AG276" s="279"/>
      <c r="AH276" s="279"/>
      <c r="AI276" s="279"/>
      <c r="AJ276" s="279"/>
      <c r="AK276" s="279"/>
      <c r="AL276" s="279"/>
      <c r="AM276" s="279"/>
      <c r="AN276" s="279"/>
      <c r="AO276" s="279"/>
      <c r="AP276" s="279"/>
      <c r="AQ276" s="279"/>
      <c r="AR276" s="279"/>
      <c r="AS276" s="279"/>
      <c r="AT276" s="279"/>
      <c r="AU276" s="279"/>
      <c r="AV276" s="279"/>
      <c r="AW276" s="279"/>
      <c r="AX276" s="279"/>
      <c r="AY276" s="279"/>
      <c r="AZ276" s="279"/>
      <c r="BA276" s="279"/>
      <c r="BB276" s="279"/>
      <c r="BC276" s="279"/>
      <c r="BD276" s="279"/>
      <c r="BE276" s="279"/>
      <c r="BF276" s="279"/>
      <c r="BG276" s="279"/>
      <c r="BH276" s="279"/>
      <c r="BI276" s="279"/>
      <c r="BJ276" s="279"/>
      <c r="BK276" s="279"/>
      <c r="BL276" s="279"/>
      <c r="BM276" s="279"/>
      <c r="BN276" s="279"/>
      <c r="BO276" s="279"/>
      <c r="BP276" s="279"/>
      <c r="BQ276" s="279"/>
    </row>
    <row r="277" ht="12.75" customHeight="1">
      <c r="A277" s="275"/>
      <c r="B277" s="388" t="s">
        <v>570</v>
      </c>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3"/>
      <c r="AF277" s="279"/>
      <c r="AG277" s="279"/>
      <c r="AH277" s="279"/>
      <c r="AI277" s="279"/>
      <c r="AJ277" s="279"/>
      <c r="AK277" s="279"/>
      <c r="AL277" s="279"/>
      <c r="AM277" s="279"/>
      <c r="AN277" s="279"/>
      <c r="AO277" s="279"/>
      <c r="AP277" s="279"/>
      <c r="AQ277" s="279"/>
      <c r="AR277" s="279"/>
      <c r="AS277" s="279"/>
      <c r="AT277" s="279"/>
      <c r="AU277" s="279"/>
      <c r="AV277" s="279"/>
      <c r="AW277" s="279"/>
      <c r="AX277" s="279"/>
      <c r="AY277" s="279"/>
      <c r="AZ277" s="279"/>
      <c r="BA277" s="279"/>
      <c r="BB277" s="279"/>
      <c r="BC277" s="279"/>
      <c r="BD277" s="279"/>
      <c r="BE277" s="279"/>
      <c r="BF277" s="279"/>
      <c r="BG277" s="279"/>
      <c r="BH277" s="279"/>
      <c r="BI277" s="279"/>
      <c r="BJ277" s="279"/>
      <c r="BK277" s="279"/>
      <c r="BL277" s="279"/>
      <c r="BM277" s="279"/>
      <c r="BN277" s="279"/>
      <c r="BO277" s="279"/>
      <c r="BP277" s="279"/>
      <c r="BQ277" s="279"/>
    </row>
    <row r="278" ht="12.75" customHeight="1">
      <c r="A278" s="275"/>
      <c r="B278" s="28"/>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30"/>
      <c r="AF278" s="279"/>
      <c r="AG278" s="279"/>
      <c r="AH278" s="279"/>
      <c r="AI278" s="279"/>
      <c r="AJ278" s="279"/>
      <c r="AK278" s="279"/>
      <c r="AL278" s="279"/>
      <c r="AM278" s="279"/>
      <c r="AN278" s="279"/>
      <c r="AO278" s="279"/>
      <c r="AP278" s="279"/>
      <c r="AQ278" s="279"/>
      <c r="AR278" s="279"/>
      <c r="AS278" s="279"/>
      <c r="AT278" s="279"/>
      <c r="AU278" s="279"/>
      <c r="AV278" s="279"/>
      <c r="AW278" s="279"/>
      <c r="AX278" s="279"/>
      <c r="AY278" s="279"/>
      <c r="AZ278" s="279"/>
      <c r="BA278" s="279"/>
      <c r="BB278" s="279"/>
      <c r="BC278" s="279"/>
      <c r="BD278" s="279"/>
      <c r="BE278" s="279"/>
      <c r="BF278" s="279"/>
      <c r="BG278" s="279"/>
      <c r="BH278" s="279"/>
      <c r="BI278" s="279"/>
      <c r="BJ278" s="279"/>
      <c r="BK278" s="279"/>
      <c r="BL278" s="279"/>
      <c r="BM278" s="279"/>
      <c r="BN278" s="279"/>
      <c r="BO278" s="279"/>
      <c r="BP278" s="279"/>
      <c r="BQ278" s="279"/>
    </row>
    <row r="279" ht="12.75" customHeight="1">
      <c r="A279" s="331"/>
      <c r="B279" s="282" t="s">
        <v>571</v>
      </c>
      <c r="C279" s="347" t="s">
        <v>134</v>
      </c>
      <c r="D279" s="15"/>
      <c r="E279" s="15"/>
      <c r="F279" s="15"/>
      <c r="G279" s="15"/>
      <c r="H279" s="15"/>
      <c r="I279" s="15"/>
      <c r="J279" s="15"/>
      <c r="K279" s="15"/>
      <c r="L279" s="15"/>
      <c r="M279" s="15"/>
      <c r="N279" s="15"/>
      <c r="O279" s="15"/>
      <c r="P279" s="16"/>
      <c r="Q279" s="348" t="s">
        <v>572</v>
      </c>
      <c r="R279" s="15"/>
      <c r="S279" s="15"/>
      <c r="T279" s="15"/>
      <c r="U279" s="16"/>
      <c r="V279" s="348" t="s">
        <v>573</v>
      </c>
      <c r="W279" s="15"/>
      <c r="X279" s="15"/>
      <c r="Y279" s="15"/>
      <c r="Z279" s="16"/>
      <c r="AA279" s="348" t="s">
        <v>574</v>
      </c>
      <c r="AB279" s="15"/>
      <c r="AC279" s="15"/>
      <c r="AD279" s="15"/>
      <c r="AE279" s="16"/>
      <c r="AF279" s="337"/>
      <c r="AG279" s="337"/>
      <c r="AH279" s="337"/>
      <c r="AI279" s="337"/>
      <c r="AJ279" s="337"/>
      <c r="AK279" s="337"/>
      <c r="AL279" s="337"/>
      <c r="AM279" s="337"/>
      <c r="AN279" s="337"/>
      <c r="AO279" s="337"/>
      <c r="AP279" s="337"/>
      <c r="AQ279" s="337"/>
      <c r="AR279" s="337"/>
      <c r="AS279" s="337"/>
      <c r="AT279" s="337"/>
      <c r="AU279" s="337"/>
      <c r="AV279" s="337"/>
      <c r="AW279" s="337"/>
      <c r="AX279" s="337"/>
      <c r="AY279" s="337"/>
      <c r="AZ279" s="337"/>
      <c r="BA279" s="337"/>
      <c r="BB279" s="337"/>
      <c r="BC279" s="337"/>
      <c r="BD279" s="337"/>
      <c r="BE279" s="337"/>
      <c r="BF279" s="337"/>
      <c r="BG279" s="337"/>
      <c r="BH279" s="337"/>
      <c r="BI279" s="337"/>
      <c r="BJ279" s="337"/>
      <c r="BK279" s="337"/>
      <c r="BL279" s="337"/>
      <c r="BM279" s="337"/>
      <c r="BN279" s="337"/>
      <c r="BO279" s="337"/>
      <c r="BP279" s="337"/>
      <c r="BQ279" s="337"/>
    </row>
    <row r="280" ht="12.75" customHeight="1">
      <c r="A280" s="269"/>
      <c r="B280" s="20"/>
      <c r="C280" s="285" t="s">
        <v>575</v>
      </c>
      <c r="D280" s="286"/>
      <c r="E280" s="286"/>
      <c r="F280" s="286"/>
      <c r="G280" s="286"/>
      <c r="H280" s="286"/>
      <c r="I280" s="286"/>
      <c r="J280" s="286"/>
      <c r="K280" s="286"/>
      <c r="L280" s="286"/>
      <c r="M280" s="286"/>
      <c r="N280" s="286"/>
      <c r="O280" s="286"/>
      <c r="P280" s="287"/>
      <c r="Q280" s="350">
        <v>994.0</v>
      </c>
      <c r="R280" s="289"/>
      <c r="S280" s="15"/>
      <c r="T280" s="15"/>
      <c r="U280" s="16"/>
      <c r="V280" s="350">
        <v>876.0</v>
      </c>
      <c r="W280" s="289"/>
      <c r="X280" s="15"/>
      <c r="Y280" s="15"/>
      <c r="Z280" s="16"/>
      <c r="AA280" s="350">
        <v>898.0</v>
      </c>
      <c r="AB280" s="289"/>
      <c r="AC280" s="15"/>
      <c r="AD280" s="15"/>
      <c r="AE280" s="16"/>
      <c r="AF280" s="279"/>
      <c r="AG280" s="279"/>
      <c r="AH280" s="279"/>
      <c r="AI280" s="279"/>
      <c r="AJ280" s="279"/>
      <c r="AK280" s="279"/>
      <c r="AL280" s="279"/>
      <c r="AM280" s="279"/>
      <c r="AN280" s="279"/>
      <c r="AO280" s="279"/>
      <c r="AP280" s="279"/>
      <c r="AQ280" s="279"/>
      <c r="AR280" s="279"/>
      <c r="AS280" s="279"/>
      <c r="AT280" s="279"/>
      <c r="AU280" s="279"/>
      <c r="AV280" s="279"/>
      <c r="AW280" s="279"/>
      <c r="AX280" s="279"/>
      <c r="AY280" s="279"/>
      <c r="AZ280" s="279"/>
      <c r="BA280" s="279"/>
      <c r="BB280" s="279"/>
      <c r="BC280" s="279"/>
      <c r="BD280" s="279"/>
      <c r="BE280" s="279"/>
      <c r="BF280" s="279"/>
      <c r="BG280" s="279"/>
      <c r="BH280" s="279"/>
      <c r="BI280" s="279"/>
      <c r="BJ280" s="279"/>
      <c r="BK280" s="279"/>
      <c r="BL280" s="279"/>
      <c r="BM280" s="279"/>
      <c r="BN280" s="279"/>
      <c r="BO280" s="279"/>
      <c r="BP280" s="279"/>
      <c r="BQ280" s="279"/>
    </row>
    <row r="281" ht="12.75" customHeight="1">
      <c r="A281" s="269"/>
      <c r="B281" s="20"/>
      <c r="C281" s="285" t="s">
        <v>576</v>
      </c>
      <c r="D281" s="286"/>
      <c r="E281" s="286"/>
      <c r="F281" s="286"/>
      <c r="G281" s="286"/>
      <c r="H281" s="286"/>
      <c r="I281" s="286"/>
      <c r="J281" s="286"/>
      <c r="K281" s="286"/>
      <c r="L281" s="286"/>
      <c r="M281" s="286"/>
      <c r="N281" s="286"/>
      <c r="O281" s="286"/>
      <c r="P281" s="287"/>
      <c r="Q281" s="350">
        <v>986.0</v>
      </c>
      <c r="R281" s="289"/>
      <c r="S281" s="15"/>
      <c r="T281" s="15"/>
      <c r="U281" s="16"/>
      <c r="V281" s="350">
        <v>990.0</v>
      </c>
      <c r="W281" s="289"/>
      <c r="X281" s="15"/>
      <c r="Y281" s="15"/>
      <c r="Z281" s="16"/>
      <c r="AA281" s="350">
        <v>373.0</v>
      </c>
      <c r="AB281" s="289"/>
      <c r="AC281" s="15"/>
      <c r="AD281" s="15"/>
      <c r="AE281" s="16"/>
      <c r="AF281" s="279"/>
      <c r="AG281" s="279"/>
      <c r="AH281" s="279"/>
      <c r="AI281" s="279"/>
      <c r="AJ281" s="279"/>
      <c r="AK281" s="279"/>
      <c r="AL281" s="279"/>
      <c r="AM281" s="279"/>
      <c r="AN281" s="279"/>
      <c r="AO281" s="279"/>
      <c r="AP281" s="279"/>
      <c r="AQ281" s="279"/>
      <c r="AR281" s="279"/>
      <c r="AS281" s="279"/>
      <c r="AT281" s="279"/>
      <c r="AU281" s="279"/>
      <c r="AV281" s="279"/>
      <c r="AW281" s="279"/>
      <c r="AX281" s="279"/>
      <c r="AY281" s="279"/>
      <c r="AZ281" s="279"/>
      <c r="BA281" s="279"/>
      <c r="BB281" s="279"/>
      <c r="BC281" s="279"/>
      <c r="BD281" s="279"/>
      <c r="BE281" s="279"/>
      <c r="BF281" s="279"/>
      <c r="BG281" s="279"/>
      <c r="BH281" s="279"/>
      <c r="BI281" s="279"/>
      <c r="BJ281" s="279"/>
      <c r="BK281" s="279"/>
      <c r="BL281" s="279"/>
      <c r="BM281" s="279"/>
      <c r="BN281" s="279"/>
      <c r="BO281" s="279"/>
      <c r="BP281" s="279"/>
      <c r="BQ281" s="279"/>
    </row>
    <row r="282" ht="12.75" customHeight="1">
      <c r="A282" s="269"/>
      <c r="B282" s="20"/>
      <c r="C282" s="285" t="s">
        <v>577</v>
      </c>
      <c r="D282" s="286"/>
      <c r="E282" s="286"/>
      <c r="F282" s="286"/>
      <c r="G282" s="286"/>
      <c r="H282" s="286"/>
      <c r="I282" s="286"/>
      <c r="J282" s="286"/>
      <c r="K282" s="286"/>
      <c r="L282" s="286"/>
      <c r="M282" s="286"/>
      <c r="N282" s="286"/>
      <c r="O282" s="286"/>
      <c r="P282" s="287"/>
      <c r="Q282" s="350">
        <v>987.0</v>
      </c>
      <c r="R282" s="289"/>
      <c r="S282" s="15"/>
      <c r="T282" s="15"/>
      <c r="U282" s="16"/>
      <c r="V282" s="350">
        <v>991.0</v>
      </c>
      <c r="W282" s="289"/>
      <c r="X282" s="15"/>
      <c r="Y282" s="15"/>
      <c r="Z282" s="16"/>
      <c r="AA282" s="350">
        <v>382.0</v>
      </c>
      <c r="AB282" s="289"/>
      <c r="AC282" s="15"/>
      <c r="AD282" s="15"/>
      <c r="AE282" s="16"/>
      <c r="AF282" s="279"/>
      <c r="AG282" s="279"/>
      <c r="AH282" s="279"/>
      <c r="AI282" s="279"/>
      <c r="AJ282" s="279"/>
      <c r="AK282" s="279"/>
      <c r="AL282" s="279"/>
      <c r="AM282" s="279"/>
      <c r="AN282" s="279"/>
      <c r="AO282" s="279"/>
      <c r="AP282" s="279"/>
      <c r="AQ282" s="279"/>
      <c r="AR282" s="279"/>
      <c r="AS282" s="279"/>
      <c r="AT282" s="279"/>
      <c r="AU282" s="279"/>
      <c r="AV282" s="279"/>
      <c r="AW282" s="279"/>
      <c r="AX282" s="279"/>
      <c r="AY282" s="279"/>
      <c r="AZ282" s="279"/>
      <c r="BA282" s="279"/>
      <c r="BB282" s="279"/>
      <c r="BC282" s="279"/>
      <c r="BD282" s="279"/>
      <c r="BE282" s="279"/>
      <c r="BF282" s="279"/>
      <c r="BG282" s="279"/>
      <c r="BH282" s="279"/>
      <c r="BI282" s="279"/>
      <c r="BJ282" s="279"/>
      <c r="BK282" s="279"/>
      <c r="BL282" s="279"/>
      <c r="BM282" s="279"/>
      <c r="BN282" s="279"/>
      <c r="BO282" s="279"/>
      <c r="BP282" s="279"/>
      <c r="BQ282" s="279"/>
    </row>
    <row r="283" ht="12.75" customHeight="1">
      <c r="A283" s="269"/>
      <c r="B283" s="20"/>
      <c r="C283" s="285" t="s">
        <v>578</v>
      </c>
      <c r="D283" s="286"/>
      <c r="E283" s="286"/>
      <c r="F283" s="286"/>
      <c r="G283" s="286"/>
      <c r="H283" s="286"/>
      <c r="I283" s="286"/>
      <c r="J283" s="286"/>
      <c r="K283" s="286"/>
      <c r="L283" s="286"/>
      <c r="M283" s="286"/>
      <c r="N283" s="286"/>
      <c r="O283" s="286"/>
      <c r="P283" s="287"/>
      <c r="Q283" s="350">
        <v>988.0</v>
      </c>
      <c r="R283" s="289"/>
      <c r="S283" s="15"/>
      <c r="T283" s="15"/>
      <c r="U283" s="16"/>
      <c r="V283" s="350">
        <v>1001.0</v>
      </c>
      <c r="W283" s="289"/>
      <c r="X283" s="15"/>
      <c r="Y283" s="15"/>
      <c r="Z283" s="16"/>
      <c r="AA283" s="350">
        <v>761.0</v>
      </c>
      <c r="AB283" s="289"/>
      <c r="AC283" s="15"/>
      <c r="AD283" s="15"/>
      <c r="AE283" s="16"/>
      <c r="AF283" s="279"/>
      <c r="AG283" s="279"/>
      <c r="AH283" s="279"/>
      <c r="AI283" s="279"/>
      <c r="AJ283" s="279"/>
      <c r="AK283" s="279"/>
      <c r="AL283" s="279"/>
      <c r="AM283" s="279"/>
      <c r="AN283" s="279"/>
      <c r="AO283" s="279"/>
      <c r="AP283" s="279"/>
      <c r="AQ283" s="279"/>
      <c r="AR283" s="279"/>
      <c r="AS283" s="279"/>
      <c r="AT283" s="279"/>
      <c r="AU283" s="279"/>
      <c r="AV283" s="279"/>
      <c r="AW283" s="279"/>
      <c r="AX283" s="279"/>
      <c r="AY283" s="279"/>
      <c r="AZ283" s="279"/>
      <c r="BA283" s="279"/>
      <c r="BB283" s="279"/>
      <c r="BC283" s="279"/>
      <c r="BD283" s="279"/>
      <c r="BE283" s="279"/>
      <c r="BF283" s="279"/>
      <c r="BG283" s="279"/>
      <c r="BH283" s="279"/>
      <c r="BI283" s="279"/>
      <c r="BJ283" s="279"/>
      <c r="BK283" s="279"/>
      <c r="BL283" s="279"/>
      <c r="BM283" s="279"/>
      <c r="BN283" s="279"/>
      <c r="BO283" s="279"/>
      <c r="BP283" s="279"/>
      <c r="BQ283" s="279"/>
    </row>
    <row r="284" ht="12.75" customHeight="1">
      <c r="A284" s="269"/>
      <c r="B284" s="20"/>
      <c r="C284" s="285" t="s">
        <v>579</v>
      </c>
      <c r="D284" s="286"/>
      <c r="E284" s="286"/>
      <c r="F284" s="286"/>
      <c r="G284" s="286"/>
      <c r="H284" s="286"/>
      <c r="I284" s="286"/>
      <c r="J284" s="286"/>
      <c r="K284" s="286"/>
      <c r="L284" s="286"/>
      <c r="M284" s="286"/>
      <c r="N284" s="286"/>
      <c r="O284" s="286"/>
      <c r="P284" s="287"/>
      <c r="Q284" s="350">
        <v>792.0</v>
      </c>
      <c r="R284" s="289"/>
      <c r="S284" s="15"/>
      <c r="T284" s="15"/>
      <c r="U284" s="16"/>
      <c r="V284" s="350">
        <v>794.0</v>
      </c>
      <c r="W284" s="289"/>
      <c r="X284" s="15"/>
      <c r="Y284" s="15"/>
      <c r="Z284" s="16"/>
      <c r="AA284" s="350">
        <v>773.0</v>
      </c>
      <c r="AB284" s="289"/>
      <c r="AC284" s="15"/>
      <c r="AD284" s="15"/>
      <c r="AE284" s="16"/>
      <c r="AF284" s="279"/>
      <c r="AG284" s="279"/>
      <c r="AH284" s="279"/>
      <c r="AI284" s="279"/>
      <c r="AJ284" s="279"/>
      <c r="AK284" s="279"/>
      <c r="AL284" s="279"/>
      <c r="AM284" s="279"/>
      <c r="AN284" s="279"/>
      <c r="AO284" s="279"/>
      <c r="AP284" s="279"/>
      <c r="AQ284" s="279"/>
      <c r="AR284" s="279"/>
      <c r="AS284" s="279"/>
      <c r="AT284" s="279"/>
      <c r="AU284" s="279"/>
      <c r="AV284" s="279"/>
      <c r="AW284" s="279"/>
      <c r="AX284" s="279"/>
      <c r="AY284" s="279"/>
      <c r="AZ284" s="279"/>
      <c r="BA284" s="279"/>
      <c r="BB284" s="279"/>
      <c r="BC284" s="279"/>
      <c r="BD284" s="279"/>
      <c r="BE284" s="279"/>
      <c r="BF284" s="279"/>
      <c r="BG284" s="279"/>
      <c r="BH284" s="279"/>
      <c r="BI284" s="279"/>
      <c r="BJ284" s="279"/>
      <c r="BK284" s="279"/>
      <c r="BL284" s="279"/>
      <c r="BM284" s="279"/>
      <c r="BN284" s="279"/>
      <c r="BO284" s="279"/>
      <c r="BP284" s="279"/>
      <c r="BQ284" s="279"/>
    </row>
    <row r="285" ht="12.75" customHeight="1">
      <c r="A285" s="269"/>
      <c r="B285" s="20"/>
      <c r="C285" s="285" t="s">
        <v>580</v>
      </c>
      <c r="D285" s="286"/>
      <c r="E285" s="286"/>
      <c r="F285" s="286"/>
      <c r="G285" s="286"/>
      <c r="H285" s="286"/>
      <c r="I285" s="286"/>
      <c r="J285" s="286"/>
      <c r="K285" s="286"/>
      <c r="L285" s="286"/>
      <c r="M285" s="286"/>
      <c r="N285" s="286"/>
      <c r="O285" s="286"/>
      <c r="P285" s="287"/>
      <c r="Q285" s="285"/>
      <c r="R285" s="286"/>
      <c r="S285" s="286"/>
      <c r="T285" s="286"/>
      <c r="U285" s="287"/>
      <c r="V285" s="285"/>
      <c r="W285" s="286"/>
      <c r="X285" s="286"/>
      <c r="Y285" s="286"/>
      <c r="Z285" s="287"/>
      <c r="AA285" s="350">
        <v>365.0</v>
      </c>
      <c r="AB285" s="289"/>
      <c r="AC285" s="15"/>
      <c r="AD285" s="15"/>
      <c r="AE285" s="16"/>
      <c r="AF285" s="279"/>
      <c r="AG285" s="279"/>
      <c r="AH285" s="279"/>
      <c r="AI285" s="279"/>
      <c r="AJ285" s="279"/>
      <c r="AK285" s="279"/>
      <c r="AL285" s="279"/>
      <c r="AM285" s="279"/>
      <c r="AN285" s="279"/>
      <c r="AO285" s="279"/>
      <c r="AP285" s="279"/>
      <c r="AQ285" s="279"/>
      <c r="AR285" s="279"/>
      <c r="AS285" s="279"/>
      <c r="AT285" s="279"/>
      <c r="AU285" s="279"/>
      <c r="AV285" s="279"/>
      <c r="AW285" s="279"/>
      <c r="AX285" s="279"/>
      <c r="AY285" s="279"/>
      <c r="AZ285" s="279"/>
      <c r="BA285" s="279"/>
      <c r="BB285" s="279"/>
      <c r="BC285" s="279"/>
      <c r="BD285" s="279"/>
      <c r="BE285" s="279"/>
      <c r="BF285" s="279"/>
      <c r="BG285" s="279"/>
      <c r="BH285" s="279"/>
      <c r="BI285" s="279"/>
      <c r="BJ285" s="279"/>
      <c r="BK285" s="279"/>
      <c r="BL285" s="279"/>
      <c r="BM285" s="279"/>
      <c r="BN285" s="279"/>
      <c r="BO285" s="279"/>
      <c r="BP285" s="279"/>
      <c r="BQ285" s="279"/>
    </row>
    <row r="286" ht="12.75" customHeight="1">
      <c r="A286" s="269"/>
      <c r="B286" s="20"/>
      <c r="C286" s="285" t="s">
        <v>581</v>
      </c>
      <c r="D286" s="286"/>
      <c r="E286" s="286"/>
      <c r="F286" s="286"/>
      <c r="G286" s="286"/>
      <c r="H286" s="286"/>
      <c r="I286" s="286"/>
      <c r="J286" s="286"/>
      <c r="K286" s="286"/>
      <c r="L286" s="286"/>
      <c r="M286" s="286"/>
      <c r="N286" s="286"/>
      <c r="O286" s="286"/>
      <c r="P286" s="287"/>
      <c r="Q286" s="285"/>
      <c r="R286" s="286"/>
      <c r="S286" s="286"/>
      <c r="T286" s="286"/>
      <c r="U286" s="287"/>
      <c r="V286" s="285"/>
      <c r="W286" s="286"/>
      <c r="X286" s="286"/>
      <c r="Y286" s="286"/>
      <c r="Z286" s="287"/>
      <c r="AA286" s="350">
        <v>366.0</v>
      </c>
      <c r="AB286" s="289"/>
      <c r="AC286" s="15"/>
      <c r="AD286" s="15"/>
      <c r="AE286" s="16"/>
      <c r="AF286" s="279"/>
      <c r="AG286" s="279"/>
      <c r="AH286" s="279"/>
      <c r="AI286" s="279"/>
      <c r="AJ286" s="279"/>
      <c r="AK286" s="279"/>
      <c r="AL286" s="279"/>
      <c r="AM286" s="279"/>
      <c r="AN286" s="279"/>
      <c r="AO286" s="279"/>
      <c r="AP286" s="279"/>
      <c r="AQ286" s="279"/>
      <c r="AR286" s="279"/>
      <c r="AS286" s="279"/>
      <c r="AT286" s="279"/>
      <c r="AU286" s="279"/>
      <c r="AV286" s="279"/>
      <c r="AW286" s="279"/>
      <c r="AX286" s="279"/>
      <c r="AY286" s="279"/>
      <c r="AZ286" s="279"/>
      <c r="BA286" s="279"/>
      <c r="BB286" s="279"/>
      <c r="BC286" s="279"/>
      <c r="BD286" s="279"/>
      <c r="BE286" s="279"/>
      <c r="BF286" s="279"/>
      <c r="BG286" s="279"/>
      <c r="BH286" s="279"/>
      <c r="BI286" s="279"/>
      <c r="BJ286" s="279"/>
      <c r="BK286" s="279"/>
      <c r="BL286" s="279"/>
      <c r="BM286" s="279"/>
      <c r="BN286" s="279"/>
      <c r="BO286" s="279"/>
      <c r="BP286" s="279"/>
      <c r="BQ286" s="279"/>
    </row>
    <row r="287" ht="12.75" customHeight="1">
      <c r="A287" s="269"/>
      <c r="B287" s="20"/>
      <c r="C287" s="285" t="s">
        <v>582</v>
      </c>
      <c r="D287" s="286"/>
      <c r="E287" s="286"/>
      <c r="F287" s="286"/>
      <c r="G287" s="286"/>
      <c r="H287" s="286"/>
      <c r="I287" s="286"/>
      <c r="J287" s="286"/>
      <c r="K287" s="286"/>
      <c r="L287" s="286"/>
      <c r="M287" s="286"/>
      <c r="N287" s="286"/>
      <c r="O287" s="286"/>
      <c r="P287" s="287"/>
      <c r="Q287" s="285"/>
      <c r="R287" s="286"/>
      <c r="S287" s="286"/>
      <c r="T287" s="286"/>
      <c r="U287" s="287"/>
      <c r="V287" s="285"/>
      <c r="W287" s="286"/>
      <c r="X287" s="286"/>
      <c r="Y287" s="286"/>
      <c r="Z287" s="287"/>
      <c r="AA287" s="350">
        <v>392.0</v>
      </c>
      <c r="AB287" s="289"/>
      <c r="AC287" s="15"/>
      <c r="AD287" s="15"/>
      <c r="AE287" s="16"/>
      <c r="AF287" s="279"/>
      <c r="AG287" s="279"/>
      <c r="AH287" s="279"/>
      <c r="AI287" s="279"/>
      <c r="AJ287" s="279"/>
      <c r="AK287" s="279"/>
      <c r="AL287" s="279"/>
      <c r="AM287" s="279"/>
      <c r="AN287" s="279"/>
      <c r="AO287" s="279"/>
      <c r="AP287" s="279"/>
      <c r="AQ287" s="279"/>
      <c r="AR287" s="279"/>
      <c r="AS287" s="279"/>
      <c r="AT287" s="279"/>
      <c r="AU287" s="279"/>
      <c r="AV287" s="279"/>
      <c r="AW287" s="279"/>
      <c r="AX287" s="279"/>
      <c r="AY287" s="279"/>
      <c r="AZ287" s="279"/>
      <c r="BA287" s="279"/>
      <c r="BB287" s="279"/>
      <c r="BC287" s="279"/>
      <c r="BD287" s="279"/>
      <c r="BE287" s="279"/>
      <c r="BF287" s="279"/>
      <c r="BG287" s="279"/>
      <c r="BH287" s="279"/>
      <c r="BI287" s="279"/>
      <c r="BJ287" s="279"/>
      <c r="BK287" s="279"/>
      <c r="BL287" s="279"/>
      <c r="BM287" s="279"/>
      <c r="BN287" s="279"/>
      <c r="BO287" s="279"/>
      <c r="BP287" s="279"/>
      <c r="BQ287" s="279"/>
    </row>
    <row r="288" ht="12.75" customHeight="1">
      <c r="A288" s="269"/>
      <c r="B288" s="20"/>
      <c r="C288" s="285" t="s">
        <v>583</v>
      </c>
      <c r="D288" s="286"/>
      <c r="E288" s="286"/>
      <c r="F288" s="286"/>
      <c r="G288" s="286"/>
      <c r="H288" s="286"/>
      <c r="I288" s="286"/>
      <c r="J288" s="286"/>
      <c r="K288" s="286"/>
      <c r="L288" s="286"/>
      <c r="M288" s="286"/>
      <c r="N288" s="286"/>
      <c r="O288" s="286"/>
      <c r="P288" s="287"/>
      <c r="Q288" s="285"/>
      <c r="R288" s="286"/>
      <c r="S288" s="286"/>
      <c r="T288" s="286"/>
      <c r="U288" s="287"/>
      <c r="V288" s="285"/>
      <c r="W288" s="286"/>
      <c r="X288" s="286"/>
      <c r="Y288" s="286"/>
      <c r="Z288" s="287"/>
      <c r="AA288" s="350">
        <v>1153.0</v>
      </c>
      <c r="AB288" s="289"/>
      <c r="AC288" s="15"/>
      <c r="AD288" s="15"/>
      <c r="AE288" s="16"/>
      <c r="AF288" s="279"/>
      <c r="AG288" s="279"/>
      <c r="AH288" s="279"/>
      <c r="AI288" s="279"/>
      <c r="AJ288" s="279"/>
      <c r="AK288" s="279"/>
      <c r="AL288" s="279"/>
      <c r="AM288" s="279"/>
      <c r="AN288" s="279"/>
      <c r="AO288" s="279"/>
      <c r="AP288" s="279"/>
      <c r="AQ288" s="279"/>
      <c r="AR288" s="279"/>
      <c r="AS288" s="279"/>
      <c r="AT288" s="279"/>
      <c r="AU288" s="279"/>
      <c r="AV288" s="279"/>
      <c r="AW288" s="279"/>
      <c r="AX288" s="279"/>
      <c r="AY288" s="279"/>
      <c r="AZ288" s="279"/>
      <c r="BA288" s="279"/>
      <c r="BB288" s="279"/>
      <c r="BC288" s="279"/>
      <c r="BD288" s="279"/>
      <c r="BE288" s="279"/>
      <c r="BF288" s="279"/>
      <c r="BG288" s="279"/>
      <c r="BH288" s="279"/>
      <c r="BI288" s="279"/>
      <c r="BJ288" s="279"/>
      <c r="BK288" s="279"/>
      <c r="BL288" s="279"/>
      <c r="BM288" s="279"/>
      <c r="BN288" s="279"/>
      <c r="BO288" s="279"/>
      <c r="BP288" s="279"/>
      <c r="BQ288" s="279"/>
    </row>
    <row r="289" ht="12.75" customHeight="1">
      <c r="A289" s="269"/>
      <c r="B289" s="34"/>
      <c r="C289" s="285" t="s">
        <v>584</v>
      </c>
      <c r="D289" s="286"/>
      <c r="E289" s="286"/>
      <c r="F289" s="286"/>
      <c r="G289" s="286"/>
      <c r="H289" s="286"/>
      <c r="I289" s="286"/>
      <c r="J289" s="286"/>
      <c r="K289" s="286"/>
      <c r="L289" s="286"/>
      <c r="M289" s="286"/>
      <c r="N289" s="286"/>
      <c r="O289" s="286"/>
      <c r="P289" s="287"/>
      <c r="Q289" s="285"/>
      <c r="R289" s="286"/>
      <c r="S289" s="286"/>
      <c r="T289" s="286"/>
      <c r="U289" s="287"/>
      <c r="V289" s="285"/>
      <c r="W289" s="286"/>
      <c r="X289" s="286"/>
      <c r="Y289" s="286"/>
      <c r="Z289" s="287"/>
      <c r="AA289" s="350">
        <v>984.0</v>
      </c>
      <c r="AB289" s="289"/>
      <c r="AC289" s="15"/>
      <c r="AD289" s="15"/>
      <c r="AE289" s="16"/>
      <c r="AF289" s="279"/>
      <c r="AG289" s="279"/>
      <c r="AH289" s="279"/>
      <c r="AI289" s="279"/>
      <c r="AJ289" s="279"/>
      <c r="AK289" s="279"/>
      <c r="AL289" s="279"/>
      <c r="AM289" s="279"/>
      <c r="AN289" s="279"/>
      <c r="AO289" s="279"/>
      <c r="AP289" s="279"/>
      <c r="AQ289" s="279"/>
      <c r="AR289" s="279"/>
      <c r="AS289" s="279"/>
      <c r="AT289" s="279"/>
      <c r="AU289" s="279"/>
      <c r="AV289" s="279"/>
      <c r="AW289" s="279"/>
      <c r="AX289" s="279"/>
      <c r="AY289" s="279"/>
      <c r="AZ289" s="279"/>
      <c r="BA289" s="279"/>
      <c r="BB289" s="279"/>
      <c r="BC289" s="279"/>
      <c r="BD289" s="279"/>
      <c r="BE289" s="279"/>
      <c r="BF289" s="279"/>
      <c r="BG289" s="279"/>
      <c r="BH289" s="279"/>
      <c r="BI289" s="279"/>
      <c r="BJ289" s="279"/>
      <c r="BK289" s="279"/>
      <c r="BL289" s="279"/>
      <c r="BM289" s="279"/>
      <c r="BN289" s="279"/>
      <c r="BO289" s="279"/>
      <c r="BP289" s="279"/>
      <c r="BQ289" s="279"/>
    </row>
    <row r="290" ht="12.75" customHeight="1">
      <c r="A290" s="269"/>
      <c r="B290" s="282" t="s">
        <v>585</v>
      </c>
      <c r="C290" s="312" t="s">
        <v>586</v>
      </c>
      <c r="D290" s="312"/>
      <c r="E290" s="312"/>
      <c r="F290" s="312"/>
      <c r="G290" s="312"/>
      <c r="H290" s="312"/>
      <c r="I290" s="312"/>
      <c r="J290" s="312"/>
      <c r="K290" s="312"/>
      <c r="L290" s="312"/>
      <c r="M290" s="312"/>
      <c r="N290" s="312"/>
      <c r="O290" s="312"/>
      <c r="P290" s="312"/>
      <c r="Q290" s="285"/>
      <c r="R290" s="286"/>
      <c r="S290" s="286"/>
      <c r="T290" s="286"/>
      <c r="U290" s="287"/>
      <c r="V290" s="285"/>
      <c r="W290" s="286"/>
      <c r="X290" s="286"/>
      <c r="Y290" s="286"/>
      <c r="Z290" s="287"/>
      <c r="AA290" s="350">
        <v>839.0</v>
      </c>
      <c r="AB290" s="289"/>
      <c r="AC290" s="15"/>
      <c r="AD290" s="15"/>
      <c r="AE290" s="16"/>
      <c r="AF290" s="279"/>
      <c r="AG290" s="279"/>
      <c r="AH290" s="279"/>
      <c r="AI290" s="279"/>
      <c r="AJ290" s="279"/>
      <c r="AK290" s="279"/>
      <c r="AL290" s="279"/>
      <c r="AM290" s="279"/>
      <c r="AN290" s="279"/>
      <c r="AO290" s="279"/>
      <c r="AP290" s="279"/>
      <c r="AQ290" s="279"/>
      <c r="AR290" s="279"/>
      <c r="AS290" s="279"/>
      <c r="AT290" s="279"/>
      <c r="AU290" s="279"/>
      <c r="AV290" s="279"/>
      <c r="AW290" s="279"/>
      <c r="AX290" s="279"/>
      <c r="AY290" s="279"/>
      <c r="AZ290" s="279"/>
      <c r="BA290" s="279"/>
      <c r="BB290" s="279"/>
      <c r="BC290" s="279"/>
      <c r="BD290" s="279"/>
      <c r="BE290" s="279"/>
      <c r="BF290" s="279"/>
      <c r="BG290" s="279"/>
      <c r="BH290" s="279"/>
      <c r="BI290" s="279"/>
      <c r="BJ290" s="279"/>
      <c r="BK290" s="279"/>
      <c r="BL290" s="279"/>
      <c r="BM290" s="279"/>
      <c r="BN290" s="279"/>
      <c r="BO290" s="279"/>
      <c r="BP290" s="279"/>
      <c r="BQ290" s="279"/>
    </row>
    <row r="291" ht="12.75" customHeight="1">
      <c r="A291" s="269"/>
      <c r="B291" s="20"/>
      <c r="C291" s="285" t="s">
        <v>587</v>
      </c>
      <c r="D291" s="286"/>
      <c r="E291" s="286"/>
      <c r="F291" s="286"/>
      <c r="G291" s="286"/>
      <c r="H291" s="286"/>
      <c r="I291" s="286"/>
      <c r="J291" s="286"/>
      <c r="K291" s="286"/>
      <c r="L291" s="286"/>
      <c r="M291" s="286"/>
      <c r="N291" s="286"/>
      <c r="O291" s="286"/>
      <c r="P291" s="287"/>
      <c r="Q291" s="350">
        <v>989.0</v>
      </c>
      <c r="R291" s="289"/>
      <c r="S291" s="15"/>
      <c r="T291" s="15"/>
      <c r="U291" s="16"/>
      <c r="V291" s="350">
        <v>993.0</v>
      </c>
      <c r="W291" s="289"/>
      <c r="X291" s="15"/>
      <c r="Y291" s="15"/>
      <c r="Z291" s="16"/>
      <c r="AA291" s="350">
        <v>384.0</v>
      </c>
      <c r="AB291" s="289"/>
      <c r="AC291" s="15"/>
      <c r="AD291" s="15"/>
      <c r="AE291" s="16"/>
      <c r="AF291" s="279"/>
      <c r="AG291" s="279"/>
      <c r="AH291" s="279"/>
      <c r="AI291" s="279"/>
      <c r="AJ291" s="279"/>
      <c r="AK291" s="279"/>
      <c r="AL291" s="279"/>
      <c r="AM291" s="279"/>
      <c r="AN291" s="279"/>
      <c r="AO291" s="279"/>
      <c r="AP291" s="279"/>
      <c r="AQ291" s="279"/>
      <c r="AR291" s="279"/>
      <c r="AS291" s="279"/>
      <c r="AT291" s="279"/>
      <c r="AU291" s="279"/>
      <c r="AV291" s="279"/>
      <c r="AW291" s="279"/>
      <c r="AX291" s="279"/>
      <c r="AY291" s="279"/>
      <c r="AZ291" s="279"/>
      <c r="BA291" s="279"/>
      <c r="BB291" s="279"/>
      <c r="BC291" s="279"/>
      <c r="BD291" s="279"/>
      <c r="BE291" s="279"/>
      <c r="BF291" s="279"/>
      <c r="BG291" s="279"/>
      <c r="BH291" s="279"/>
      <c r="BI291" s="279"/>
      <c r="BJ291" s="279"/>
      <c r="BK291" s="279"/>
      <c r="BL291" s="279"/>
      <c r="BM291" s="279"/>
      <c r="BN291" s="279"/>
      <c r="BO291" s="279"/>
      <c r="BP291" s="279"/>
      <c r="BQ291" s="279"/>
    </row>
    <row r="292" ht="12.75" customHeight="1">
      <c r="A292" s="269"/>
      <c r="B292" s="20"/>
      <c r="C292" s="285" t="s">
        <v>588</v>
      </c>
      <c r="D292" s="286"/>
      <c r="E292" s="286"/>
      <c r="F292" s="286"/>
      <c r="G292" s="286"/>
      <c r="H292" s="286"/>
      <c r="I292" s="286"/>
      <c r="J292" s="286"/>
      <c r="K292" s="286"/>
      <c r="L292" s="286"/>
      <c r="M292" s="286"/>
      <c r="N292" s="286"/>
      <c r="O292" s="286"/>
      <c r="P292" s="286"/>
      <c r="Q292" s="286"/>
      <c r="R292" s="286"/>
      <c r="S292" s="286"/>
      <c r="T292" s="286"/>
      <c r="U292" s="287"/>
      <c r="V292" s="350">
        <v>815.0</v>
      </c>
      <c r="W292" s="289"/>
      <c r="X292" s="15"/>
      <c r="Y292" s="15"/>
      <c r="Z292" s="16"/>
      <c r="AA292" s="350">
        <v>390.0</v>
      </c>
      <c r="AB292" s="289"/>
      <c r="AC292" s="15"/>
      <c r="AD292" s="15"/>
      <c r="AE292" s="16"/>
      <c r="AF292" s="279"/>
      <c r="AG292" s="279"/>
      <c r="AH292" s="279"/>
      <c r="AI292" s="279"/>
      <c r="AJ292" s="279"/>
      <c r="AK292" s="279"/>
      <c r="AL292" s="279"/>
      <c r="AM292" s="279"/>
      <c r="AN292" s="279"/>
      <c r="AO292" s="279"/>
      <c r="AP292" s="279"/>
      <c r="AQ292" s="279"/>
      <c r="AR292" s="279"/>
      <c r="AS292" s="279"/>
      <c r="AT292" s="279"/>
      <c r="AU292" s="279"/>
      <c r="AV292" s="279"/>
      <c r="AW292" s="279"/>
      <c r="AX292" s="279"/>
      <c r="AY292" s="279"/>
      <c r="AZ292" s="279"/>
      <c r="BA292" s="279"/>
      <c r="BB292" s="279"/>
      <c r="BC292" s="279"/>
      <c r="BD292" s="279"/>
      <c r="BE292" s="279"/>
      <c r="BF292" s="279"/>
      <c r="BG292" s="279"/>
      <c r="BH292" s="279"/>
      <c r="BI292" s="279"/>
      <c r="BJ292" s="279"/>
      <c r="BK292" s="279"/>
      <c r="BL292" s="279"/>
      <c r="BM292" s="279"/>
      <c r="BN292" s="279"/>
      <c r="BO292" s="279"/>
      <c r="BP292" s="279"/>
      <c r="BQ292" s="279"/>
    </row>
    <row r="293" ht="12.75" customHeight="1">
      <c r="A293" s="269"/>
      <c r="B293" s="20"/>
      <c r="C293" s="285" t="s">
        <v>589</v>
      </c>
      <c r="D293" s="286"/>
      <c r="E293" s="286"/>
      <c r="F293" s="286"/>
      <c r="G293" s="286"/>
      <c r="H293" s="286"/>
      <c r="I293" s="286"/>
      <c r="J293" s="286"/>
      <c r="K293" s="286"/>
      <c r="L293" s="286"/>
      <c r="M293" s="286"/>
      <c r="N293" s="286"/>
      <c r="O293" s="286"/>
      <c r="P293" s="286"/>
      <c r="Q293" s="286"/>
      <c r="R293" s="286"/>
      <c r="S293" s="286"/>
      <c r="T293" s="286"/>
      <c r="U293" s="287"/>
      <c r="V293" s="350">
        <v>741.0</v>
      </c>
      <c r="W293" s="289"/>
      <c r="X293" s="15"/>
      <c r="Y293" s="15"/>
      <c r="Z293" s="16"/>
      <c r="AA293" s="350">
        <v>742.0</v>
      </c>
      <c r="AB293" s="289"/>
      <c r="AC293" s="15"/>
      <c r="AD293" s="15"/>
      <c r="AE293" s="16"/>
      <c r="AF293" s="279"/>
      <c r="AG293" s="279"/>
      <c r="AH293" s="279"/>
      <c r="AI293" s="279"/>
      <c r="AJ293" s="279"/>
      <c r="AK293" s="279"/>
      <c r="AL293" s="279"/>
      <c r="AM293" s="279"/>
      <c r="AN293" s="279"/>
      <c r="AO293" s="279"/>
      <c r="AP293" s="279"/>
      <c r="AQ293" s="279"/>
      <c r="AR293" s="279"/>
      <c r="AS293" s="279"/>
      <c r="AT293" s="279"/>
      <c r="AU293" s="279"/>
      <c r="AV293" s="279"/>
      <c r="AW293" s="279"/>
      <c r="AX293" s="279"/>
      <c r="AY293" s="279"/>
      <c r="AZ293" s="279"/>
      <c r="BA293" s="279"/>
      <c r="BB293" s="279"/>
      <c r="BC293" s="279"/>
      <c r="BD293" s="279"/>
      <c r="BE293" s="279"/>
      <c r="BF293" s="279"/>
      <c r="BG293" s="279"/>
      <c r="BH293" s="279"/>
      <c r="BI293" s="279"/>
      <c r="BJ293" s="279"/>
      <c r="BK293" s="279"/>
      <c r="BL293" s="279"/>
      <c r="BM293" s="279"/>
      <c r="BN293" s="279"/>
      <c r="BO293" s="279"/>
      <c r="BP293" s="279"/>
      <c r="BQ293" s="279"/>
    </row>
    <row r="294" ht="12.75" customHeight="1">
      <c r="A294" s="269"/>
      <c r="B294" s="20"/>
      <c r="C294" s="285" t="s">
        <v>590</v>
      </c>
      <c r="D294" s="286"/>
      <c r="E294" s="286"/>
      <c r="F294" s="286"/>
      <c r="G294" s="286"/>
      <c r="H294" s="286"/>
      <c r="I294" s="286"/>
      <c r="J294" s="286"/>
      <c r="K294" s="286"/>
      <c r="L294" s="286"/>
      <c r="M294" s="286"/>
      <c r="N294" s="286"/>
      <c r="O294" s="286"/>
      <c r="P294" s="286"/>
      <c r="Q294" s="286"/>
      <c r="R294" s="286"/>
      <c r="S294" s="286"/>
      <c r="T294" s="286"/>
      <c r="U294" s="286"/>
      <c r="V294" s="286"/>
      <c r="W294" s="286"/>
      <c r="X294" s="286"/>
      <c r="Y294" s="286"/>
      <c r="Z294" s="287"/>
      <c r="AA294" s="350">
        <v>841.0</v>
      </c>
      <c r="AB294" s="289"/>
      <c r="AC294" s="15"/>
      <c r="AD294" s="15"/>
      <c r="AE294" s="16"/>
      <c r="AF294" s="279"/>
      <c r="AG294" s="279"/>
      <c r="AH294" s="279"/>
      <c r="AI294" s="279"/>
      <c r="AJ294" s="279"/>
      <c r="AK294" s="279"/>
      <c r="AL294" s="279"/>
      <c r="AM294" s="279"/>
      <c r="AN294" s="279"/>
      <c r="AO294" s="279"/>
      <c r="AP294" s="279"/>
      <c r="AQ294" s="279"/>
      <c r="AR294" s="279"/>
      <c r="AS294" s="279"/>
      <c r="AT294" s="279"/>
      <c r="AU294" s="279"/>
      <c r="AV294" s="279"/>
      <c r="AW294" s="279"/>
      <c r="AX294" s="279"/>
      <c r="AY294" s="279"/>
      <c r="AZ294" s="279"/>
      <c r="BA294" s="279"/>
      <c r="BB294" s="279"/>
      <c r="BC294" s="279"/>
      <c r="BD294" s="279"/>
      <c r="BE294" s="279"/>
      <c r="BF294" s="279"/>
      <c r="BG294" s="279"/>
      <c r="BH294" s="279"/>
      <c r="BI294" s="279"/>
      <c r="BJ294" s="279"/>
      <c r="BK294" s="279"/>
      <c r="BL294" s="279"/>
      <c r="BM294" s="279"/>
      <c r="BN294" s="279"/>
      <c r="BO294" s="279"/>
      <c r="BP294" s="279"/>
      <c r="BQ294" s="279"/>
    </row>
    <row r="295" ht="12.75" customHeight="1">
      <c r="A295" s="269"/>
      <c r="B295" s="34"/>
      <c r="C295" s="285" t="s">
        <v>591</v>
      </c>
      <c r="D295" s="286"/>
      <c r="E295" s="286"/>
      <c r="F295" s="286"/>
      <c r="G295" s="286"/>
      <c r="H295" s="286"/>
      <c r="I295" s="286"/>
      <c r="J295" s="286"/>
      <c r="K295" s="286"/>
      <c r="L295" s="286"/>
      <c r="M295" s="286"/>
      <c r="N295" s="286"/>
      <c r="O295" s="286"/>
      <c r="P295" s="286"/>
      <c r="Q295" s="286"/>
      <c r="R295" s="286"/>
      <c r="S295" s="286"/>
      <c r="T295" s="286"/>
      <c r="U295" s="286"/>
      <c r="V295" s="286"/>
      <c r="W295" s="286"/>
      <c r="X295" s="286"/>
      <c r="Y295" s="286"/>
      <c r="Z295" s="287"/>
      <c r="AA295" s="350">
        <v>855.0</v>
      </c>
      <c r="AB295" s="289"/>
      <c r="AC295" s="15"/>
      <c r="AD295" s="15"/>
      <c r="AE295" s="16"/>
      <c r="AF295" s="279"/>
      <c r="AG295" s="279"/>
      <c r="AH295" s="279"/>
      <c r="AI295" s="279"/>
      <c r="AJ295" s="279"/>
      <c r="AK295" s="279"/>
      <c r="AL295" s="279"/>
      <c r="AM295" s="279"/>
      <c r="AN295" s="279"/>
      <c r="AO295" s="279"/>
      <c r="AP295" s="279"/>
      <c r="AQ295" s="279"/>
      <c r="AR295" s="279"/>
      <c r="AS295" s="279"/>
      <c r="AT295" s="279"/>
      <c r="AU295" s="279"/>
      <c r="AV295" s="279"/>
      <c r="AW295" s="279"/>
      <c r="AX295" s="279"/>
      <c r="AY295" s="279"/>
      <c r="AZ295" s="279"/>
      <c r="BA295" s="279"/>
      <c r="BB295" s="279"/>
      <c r="BC295" s="279"/>
      <c r="BD295" s="279"/>
      <c r="BE295" s="279"/>
      <c r="BF295" s="279"/>
      <c r="BG295" s="279"/>
      <c r="BH295" s="279"/>
      <c r="BI295" s="279"/>
      <c r="BJ295" s="279"/>
      <c r="BK295" s="279"/>
      <c r="BL295" s="279"/>
      <c r="BM295" s="279"/>
      <c r="BN295" s="279"/>
      <c r="BO295" s="279"/>
      <c r="BP295" s="279"/>
      <c r="BQ295" s="279"/>
    </row>
    <row r="296" ht="14.25" customHeight="1">
      <c r="A296" s="269"/>
      <c r="B296" s="395" t="s">
        <v>592</v>
      </c>
      <c r="C296" s="312" t="s">
        <v>593</v>
      </c>
      <c r="D296" s="312"/>
      <c r="E296" s="312"/>
      <c r="F296" s="312"/>
      <c r="G296" s="290">
        <v>828.0</v>
      </c>
      <c r="H296" s="289"/>
      <c r="I296" s="15"/>
      <c r="J296" s="15"/>
      <c r="K296" s="16"/>
      <c r="L296" s="312" t="s">
        <v>594</v>
      </c>
      <c r="M296" s="371"/>
      <c r="N296" s="371"/>
      <c r="O296" s="371"/>
      <c r="P296" s="371"/>
      <c r="Q296" s="350">
        <v>830.0</v>
      </c>
      <c r="R296" s="289"/>
      <c r="S296" s="15"/>
      <c r="T296" s="15"/>
      <c r="U296" s="16"/>
      <c r="V296" s="312" t="s">
        <v>595</v>
      </c>
      <c r="W296" s="371"/>
      <c r="X296" s="371"/>
      <c r="Y296" s="371"/>
      <c r="Z296" s="371"/>
      <c r="AA296" s="350">
        <v>829.0</v>
      </c>
      <c r="AB296" s="289"/>
      <c r="AC296" s="15"/>
      <c r="AD296" s="15"/>
      <c r="AE296" s="16"/>
      <c r="AF296" s="279"/>
      <c r="AG296" s="279"/>
      <c r="AH296" s="279"/>
      <c r="AI296" s="279"/>
      <c r="AJ296" s="279"/>
      <c r="AK296" s="279"/>
      <c r="AL296" s="279"/>
      <c r="AM296" s="279"/>
      <c r="AN296" s="279"/>
      <c r="AO296" s="279"/>
      <c r="AP296" s="279"/>
      <c r="AQ296" s="279"/>
      <c r="AR296" s="279"/>
      <c r="AS296" s="279"/>
      <c r="AT296" s="279"/>
      <c r="AU296" s="279"/>
      <c r="AV296" s="279"/>
      <c r="AW296" s="279"/>
      <c r="AX296" s="279"/>
      <c r="AY296" s="279"/>
      <c r="AZ296" s="279"/>
      <c r="BA296" s="279"/>
      <c r="BB296" s="279"/>
      <c r="BC296" s="279"/>
      <c r="BD296" s="279"/>
      <c r="BE296" s="279"/>
      <c r="BF296" s="279"/>
      <c r="BG296" s="279"/>
      <c r="BH296" s="279"/>
      <c r="BI296" s="279"/>
      <c r="BJ296" s="279"/>
      <c r="BK296" s="279"/>
      <c r="BL296" s="279"/>
      <c r="BM296" s="279"/>
      <c r="BN296" s="279"/>
      <c r="BO296" s="279"/>
      <c r="BP296" s="279"/>
      <c r="BQ296" s="279"/>
    </row>
    <row r="297" ht="12.75" customHeight="1">
      <c r="A297" s="331"/>
      <c r="B297" s="396" t="s">
        <v>596</v>
      </c>
      <c r="C297" s="347" t="s">
        <v>134</v>
      </c>
      <c r="D297" s="15"/>
      <c r="E297" s="15"/>
      <c r="F297" s="15"/>
      <c r="G297" s="15"/>
      <c r="H297" s="15"/>
      <c r="I297" s="15"/>
      <c r="J297" s="15"/>
      <c r="K297" s="15"/>
      <c r="L297" s="15"/>
      <c r="M297" s="15"/>
      <c r="N297" s="15"/>
      <c r="O297" s="15"/>
      <c r="P297" s="16"/>
      <c r="Q297" s="348" t="s">
        <v>572</v>
      </c>
      <c r="R297" s="15"/>
      <c r="S297" s="15"/>
      <c r="T297" s="15"/>
      <c r="U297" s="16"/>
      <c r="V297" s="348" t="s">
        <v>573</v>
      </c>
      <c r="W297" s="15"/>
      <c r="X297" s="15"/>
      <c r="Y297" s="15"/>
      <c r="Z297" s="16"/>
      <c r="AA297" s="332"/>
      <c r="AB297" s="333"/>
      <c r="AC297" s="333"/>
      <c r="AD297" s="333"/>
      <c r="AE297" s="335"/>
      <c r="AF297" s="337"/>
      <c r="AG297" s="337"/>
      <c r="AH297" s="337"/>
      <c r="AI297" s="337"/>
      <c r="AJ297" s="337"/>
      <c r="AK297" s="337"/>
      <c r="AL297" s="337"/>
      <c r="AM297" s="337"/>
      <c r="AN297" s="337"/>
      <c r="AO297" s="337"/>
      <c r="AP297" s="337"/>
      <c r="AQ297" s="337"/>
      <c r="AR297" s="337"/>
      <c r="AS297" s="337"/>
      <c r="AT297" s="337"/>
      <c r="AU297" s="337"/>
      <c r="AV297" s="337"/>
      <c r="AW297" s="337"/>
      <c r="AX297" s="337"/>
      <c r="AY297" s="337"/>
      <c r="AZ297" s="337"/>
      <c r="BA297" s="337"/>
      <c r="BB297" s="337"/>
      <c r="BC297" s="337"/>
      <c r="BD297" s="337"/>
      <c r="BE297" s="337"/>
      <c r="BF297" s="337"/>
      <c r="BG297" s="337"/>
      <c r="BH297" s="337"/>
      <c r="BI297" s="337"/>
      <c r="BJ297" s="337"/>
      <c r="BK297" s="337"/>
      <c r="BL297" s="337"/>
      <c r="BM297" s="337"/>
      <c r="BN297" s="337"/>
      <c r="BO297" s="337"/>
      <c r="BP297" s="337"/>
      <c r="BQ297" s="337"/>
    </row>
    <row r="298" ht="12.75" customHeight="1">
      <c r="A298" s="269"/>
      <c r="B298" s="20"/>
      <c r="C298" s="285" t="s">
        <v>597</v>
      </c>
      <c r="D298" s="286"/>
      <c r="E298" s="286"/>
      <c r="F298" s="286"/>
      <c r="G298" s="286"/>
      <c r="H298" s="286"/>
      <c r="I298" s="286"/>
      <c r="J298" s="286"/>
      <c r="K298" s="286"/>
      <c r="L298" s="286"/>
      <c r="M298" s="286"/>
      <c r="N298" s="286"/>
      <c r="O298" s="286"/>
      <c r="P298" s="287"/>
      <c r="Q298" s="350">
        <v>772.0</v>
      </c>
      <c r="R298" s="289"/>
      <c r="S298" s="15"/>
      <c r="T298" s="15"/>
      <c r="U298" s="16"/>
      <c r="V298" s="350">
        <v>811.0</v>
      </c>
      <c r="W298" s="289"/>
      <c r="X298" s="15"/>
      <c r="Y298" s="15"/>
      <c r="Z298" s="16"/>
      <c r="AA298" s="285"/>
      <c r="AB298" s="286"/>
      <c r="AC298" s="286"/>
      <c r="AD298" s="286"/>
      <c r="AE298" s="287"/>
      <c r="AF298" s="279"/>
      <c r="AG298" s="279"/>
      <c r="AH298" s="279"/>
      <c r="AI298" s="279"/>
      <c r="AJ298" s="279"/>
      <c r="AK298" s="279"/>
      <c r="AL298" s="279"/>
      <c r="AM298" s="279"/>
      <c r="AN298" s="279"/>
      <c r="AO298" s="279"/>
      <c r="AP298" s="279"/>
      <c r="AQ298" s="279"/>
      <c r="AR298" s="279"/>
      <c r="AS298" s="279"/>
      <c r="AT298" s="279"/>
      <c r="AU298" s="279"/>
      <c r="AV298" s="279"/>
      <c r="AW298" s="279"/>
      <c r="AX298" s="279"/>
      <c r="AY298" s="279"/>
      <c r="AZ298" s="279"/>
      <c r="BA298" s="279"/>
      <c r="BB298" s="279"/>
      <c r="BC298" s="279"/>
      <c r="BD298" s="279"/>
      <c r="BE298" s="279"/>
      <c r="BF298" s="279"/>
      <c r="BG298" s="279"/>
      <c r="BH298" s="279"/>
      <c r="BI298" s="279"/>
      <c r="BJ298" s="279"/>
      <c r="BK298" s="279"/>
      <c r="BL298" s="279"/>
      <c r="BM298" s="279"/>
      <c r="BN298" s="279"/>
      <c r="BO298" s="279"/>
      <c r="BP298" s="279"/>
      <c r="BQ298" s="279"/>
    </row>
    <row r="299" ht="12.75" customHeight="1">
      <c r="A299" s="269"/>
      <c r="B299" s="20"/>
      <c r="C299" s="285" t="s">
        <v>598</v>
      </c>
      <c r="D299" s="286"/>
      <c r="E299" s="286"/>
      <c r="F299" s="286"/>
      <c r="G299" s="286"/>
      <c r="H299" s="286"/>
      <c r="I299" s="286"/>
      <c r="J299" s="286"/>
      <c r="K299" s="286"/>
      <c r="L299" s="286"/>
      <c r="M299" s="286"/>
      <c r="N299" s="286"/>
      <c r="O299" s="286"/>
      <c r="P299" s="287"/>
      <c r="Q299" s="350">
        <v>873.0</v>
      </c>
      <c r="R299" s="289"/>
      <c r="S299" s="15"/>
      <c r="T299" s="15"/>
      <c r="U299" s="16"/>
      <c r="V299" s="350">
        <v>1002.0</v>
      </c>
      <c r="W299" s="289"/>
      <c r="X299" s="15"/>
      <c r="Y299" s="15"/>
      <c r="Z299" s="16"/>
      <c r="AA299" s="285"/>
      <c r="AB299" s="286"/>
      <c r="AC299" s="286"/>
      <c r="AD299" s="286"/>
      <c r="AE299" s="287"/>
      <c r="AF299" s="279"/>
      <c r="AG299" s="279"/>
      <c r="AH299" s="279"/>
      <c r="AI299" s="279"/>
      <c r="AJ299" s="279"/>
      <c r="AK299" s="279"/>
      <c r="AL299" s="279"/>
      <c r="AM299" s="279"/>
      <c r="AN299" s="279"/>
      <c r="AO299" s="279"/>
      <c r="AP299" s="279"/>
      <c r="AQ299" s="279"/>
      <c r="AR299" s="279"/>
      <c r="AS299" s="279"/>
      <c r="AT299" s="279"/>
      <c r="AU299" s="279"/>
      <c r="AV299" s="279"/>
      <c r="AW299" s="279"/>
      <c r="AX299" s="279"/>
      <c r="AY299" s="279"/>
      <c r="AZ299" s="279"/>
      <c r="BA299" s="279"/>
      <c r="BB299" s="279"/>
      <c r="BC299" s="279"/>
      <c r="BD299" s="279"/>
      <c r="BE299" s="279"/>
      <c r="BF299" s="279"/>
      <c r="BG299" s="279"/>
      <c r="BH299" s="279"/>
      <c r="BI299" s="279"/>
      <c r="BJ299" s="279"/>
      <c r="BK299" s="279"/>
      <c r="BL299" s="279"/>
      <c r="BM299" s="279"/>
      <c r="BN299" s="279"/>
      <c r="BO299" s="279"/>
      <c r="BP299" s="279"/>
      <c r="BQ299" s="279"/>
    </row>
    <row r="300" ht="12.75" customHeight="1">
      <c r="A300" s="269"/>
      <c r="B300" s="20"/>
      <c r="C300" s="285" t="s">
        <v>599</v>
      </c>
      <c r="D300" s="286"/>
      <c r="E300" s="286"/>
      <c r="F300" s="286"/>
      <c r="G300" s="286"/>
      <c r="H300" s="286"/>
      <c r="I300" s="286"/>
      <c r="J300" s="286"/>
      <c r="K300" s="286"/>
      <c r="L300" s="286"/>
      <c r="M300" s="286"/>
      <c r="N300" s="286"/>
      <c r="O300" s="286"/>
      <c r="P300" s="287"/>
      <c r="Q300" s="350">
        <v>1120.0</v>
      </c>
      <c r="R300" s="289"/>
      <c r="S300" s="15"/>
      <c r="T300" s="15"/>
      <c r="U300" s="16"/>
      <c r="V300" s="350">
        <v>1121.0</v>
      </c>
      <c r="W300" s="289"/>
      <c r="X300" s="15"/>
      <c r="Y300" s="15"/>
      <c r="Z300" s="16"/>
      <c r="AA300" s="285"/>
      <c r="AB300" s="286"/>
      <c r="AC300" s="286"/>
      <c r="AD300" s="286"/>
      <c r="AE300" s="287"/>
      <c r="AF300" s="279"/>
      <c r="AG300" s="279"/>
      <c r="AH300" s="279"/>
      <c r="AI300" s="279"/>
      <c r="AJ300" s="279"/>
      <c r="AK300" s="279"/>
      <c r="AL300" s="279"/>
      <c r="AM300" s="279"/>
      <c r="AN300" s="279"/>
      <c r="AO300" s="279"/>
      <c r="AP300" s="279"/>
      <c r="AQ300" s="279"/>
      <c r="AR300" s="279"/>
      <c r="AS300" s="279"/>
      <c r="AT300" s="279"/>
      <c r="AU300" s="279"/>
      <c r="AV300" s="279"/>
      <c r="AW300" s="279"/>
      <c r="AX300" s="279"/>
      <c r="AY300" s="279"/>
      <c r="AZ300" s="279"/>
      <c r="BA300" s="279"/>
      <c r="BB300" s="279"/>
      <c r="BC300" s="279"/>
      <c r="BD300" s="279"/>
      <c r="BE300" s="279"/>
      <c r="BF300" s="279"/>
      <c r="BG300" s="279"/>
      <c r="BH300" s="279"/>
      <c r="BI300" s="279"/>
      <c r="BJ300" s="279"/>
      <c r="BK300" s="279"/>
      <c r="BL300" s="279"/>
      <c r="BM300" s="279"/>
      <c r="BN300" s="279"/>
      <c r="BO300" s="279"/>
      <c r="BP300" s="279"/>
      <c r="BQ300" s="279"/>
    </row>
    <row r="301" ht="12.75" customHeight="1">
      <c r="A301" s="269"/>
      <c r="B301" s="20"/>
      <c r="C301" s="285" t="s">
        <v>600</v>
      </c>
      <c r="D301" s="286"/>
      <c r="E301" s="286"/>
      <c r="F301" s="286"/>
      <c r="G301" s="286"/>
      <c r="H301" s="286"/>
      <c r="I301" s="286"/>
      <c r="J301" s="286"/>
      <c r="K301" s="286"/>
      <c r="L301" s="286"/>
      <c r="M301" s="286"/>
      <c r="N301" s="286"/>
      <c r="O301" s="286"/>
      <c r="P301" s="287"/>
      <c r="Q301" s="350">
        <v>1122.0</v>
      </c>
      <c r="R301" s="289"/>
      <c r="S301" s="15"/>
      <c r="T301" s="15"/>
      <c r="U301" s="16"/>
      <c r="V301" s="350">
        <v>1124.0</v>
      </c>
      <c r="W301" s="289"/>
      <c r="X301" s="15"/>
      <c r="Y301" s="15"/>
      <c r="Z301" s="16"/>
      <c r="AA301" s="285"/>
      <c r="AB301" s="286"/>
      <c r="AC301" s="286"/>
      <c r="AD301" s="286"/>
      <c r="AE301" s="287"/>
      <c r="AF301" s="279"/>
      <c r="AG301" s="279"/>
      <c r="AH301" s="279"/>
      <c r="AI301" s="279"/>
      <c r="AJ301" s="279"/>
      <c r="AK301" s="279"/>
      <c r="AL301" s="279"/>
      <c r="AM301" s="279"/>
      <c r="AN301" s="279"/>
      <c r="AO301" s="279"/>
      <c r="AP301" s="279"/>
      <c r="AQ301" s="279"/>
      <c r="AR301" s="279"/>
      <c r="AS301" s="279"/>
      <c r="AT301" s="279"/>
      <c r="AU301" s="279"/>
      <c r="AV301" s="279"/>
      <c r="AW301" s="279"/>
      <c r="AX301" s="279"/>
      <c r="AY301" s="279"/>
      <c r="AZ301" s="279"/>
      <c r="BA301" s="279"/>
      <c r="BB301" s="279"/>
      <c r="BC301" s="279"/>
      <c r="BD301" s="279"/>
      <c r="BE301" s="279"/>
      <c r="BF301" s="279"/>
      <c r="BG301" s="279"/>
      <c r="BH301" s="279"/>
      <c r="BI301" s="279"/>
      <c r="BJ301" s="279"/>
      <c r="BK301" s="279"/>
      <c r="BL301" s="279"/>
      <c r="BM301" s="279"/>
      <c r="BN301" s="279"/>
      <c r="BO301" s="279"/>
      <c r="BP301" s="279"/>
      <c r="BQ301" s="279"/>
    </row>
    <row r="302" ht="12.75" customHeight="1">
      <c r="A302" s="269"/>
      <c r="B302" s="20"/>
      <c r="C302" s="285" t="s">
        <v>601</v>
      </c>
      <c r="D302" s="286"/>
      <c r="E302" s="286"/>
      <c r="F302" s="286"/>
      <c r="G302" s="286"/>
      <c r="H302" s="286"/>
      <c r="I302" s="286"/>
      <c r="J302" s="286"/>
      <c r="K302" s="286"/>
      <c r="L302" s="286"/>
      <c r="M302" s="286"/>
      <c r="N302" s="286"/>
      <c r="O302" s="286"/>
      <c r="P302" s="287"/>
      <c r="Q302" s="350">
        <v>1838.0</v>
      </c>
      <c r="R302" s="289"/>
      <c r="S302" s="15"/>
      <c r="T302" s="15"/>
      <c r="U302" s="16"/>
      <c r="V302" s="350">
        <v>1839.0</v>
      </c>
      <c r="W302" s="289"/>
      <c r="X302" s="15"/>
      <c r="Y302" s="15"/>
      <c r="Z302" s="16"/>
      <c r="AA302" s="285"/>
      <c r="AB302" s="286"/>
      <c r="AC302" s="286"/>
      <c r="AD302" s="286"/>
      <c r="AE302" s="287"/>
      <c r="AF302" s="279"/>
      <c r="AG302" s="279"/>
      <c r="AH302" s="279"/>
      <c r="AI302" s="279"/>
      <c r="AJ302" s="279"/>
      <c r="AK302" s="279"/>
      <c r="AL302" s="279"/>
      <c r="AM302" s="279"/>
      <c r="AN302" s="279"/>
      <c r="AO302" s="279"/>
      <c r="AP302" s="279"/>
      <c r="AQ302" s="279"/>
      <c r="AR302" s="279"/>
      <c r="AS302" s="279"/>
      <c r="AT302" s="279"/>
      <c r="AU302" s="279"/>
      <c r="AV302" s="279"/>
      <c r="AW302" s="279"/>
      <c r="AX302" s="279"/>
      <c r="AY302" s="279"/>
      <c r="AZ302" s="279"/>
      <c r="BA302" s="279"/>
      <c r="BB302" s="279"/>
      <c r="BC302" s="279"/>
      <c r="BD302" s="279"/>
      <c r="BE302" s="279"/>
      <c r="BF302" s="279"/>
      <c r="BG302" s="279"/>
      <c r="BH302" s="279"/>
      <c r="BI302" s="279"/>
      <c r="BJ302" s="279"/>
      <c r="BK302" s="279"/>
      <c r="BL302" s="279"/>
      <c r="BM302" s="279"/>
      <c r="BN302" s="279"/>
      <c r="BO302" s="279"/>
      <c r="BP302" s="279"/>
      <c r="BQ302" s="279"/>
    </row>
    <row r="303" ht="12.75" customHeight="1">
      <c r="A303" s="269"/>
      <c r="B303" s="20"/>
      <c r="C303" s="285" t="s">
        <v>602</v>
      </c>
      <c r="D303" s="286"/>
      <c r="E303" s="286"/>
      <c r="F303" s="286"/>
      <c r="G303" s="286"/>
      <c r="H303" s="286"/>
      <c r="I303" s="286"/>
      <c r="J303" s="286"/>
      <c r="K303" s="286"/>
      <c r="L303" s="286"/>
      <c r="M303" s="286"/>
      <c r="N303" s="286"/>
      <c r="O303" s="286"/>
      <c r="P303" s="287"/>
      <c r="Q303" s="350">
        <v>1775.0</v>
      </c>
      <c r="R303" s="289"/>
      <c r="S303" s="15"/>
      <c r="T303" s="15"/>
      <c r="U303" s="16"/>
      <c r="V303" s="285"/>
      <c r="W303" s="286"/>
      <c r="X303" s="286"/>
      <c r="Y303" s="286"/>
      <c r="Z303" s="287"/>
      <c r="AA303" s="285"/>
      <c r="AB303" s="286"/>
      <c r="AC303" s="286"/>
      <c r="AD303" s="286"/>
      <c r="AE303" s="287"/>
      <c r="AF303" s="279"/>
      <c r="AG303" s="279"/>
      <c r="AH303" s="279"/>
      <c r="AI303" s="279"/>
      <c r="AJ303" s="279"/>
      <c r="AK303" s="279"/>
      <c r="AL303" s="279"/>
      <c r="AM303" s="279"/>
      <c r="AN303" s="279"/>
      <c r="AO303" s="279"/>
      <c r="AP303" s="279"/>
      <c r="AQ303" s="279"/>
      <c r="AR303" s="279"/>
      <c r="AS303" s="279"/>
      <c r="AT303" s="279"/>
      <c r="AU303" s="279"/>
      <c r="AV303" s="279"/>
      <c r="AW303" s="279"/>
      <c r="AX303" s="279"/>
      <c r="AY303" s="279"/>
      <c r="AZ303" s="279"/>
      <c r="BA303" s="279"/>
      <c r="BB303" s="279"/>
      <c r="BC303" s="279"/>
      <c r="BD303" s="279"/>
      <c r="BE303" s="279"/>
      <c r="BF303" s="279"/>
      <c r="BG303" s="279"/>
      <c r="BH303" s="279"/>
      <c r="BI303" s="279"/>
      <c r="BJ303" s="279"/>
      <c r="BK303" s="279"/>
      <c r="BL303" s="279"/>
      <c r="BM303" s="279"/>
      <c r="BN303" s="279"/>
      <c r="BO303" s="279"/>
      <c r="BP303" s="279"/>
      <c r="BQ303" s="279"/>
    </row>
    <row r="304" ht="12.75" customHeight="1">
      <c r="A304" s="269"/>
      <c r="B304" s="34"/>
      <c r="C304" s="307" t="s">
        <v>603</v>
      </c>
      <c r="D304" s="308"/>
      <c r="E304" s="308"/>
      <c r="F304" s="308"/>
      <c r="G304" s="308"/>
      <c r="H304" s="308"/>
      <c r="I304" s="308"/>
      <c r="J304" s="308"/>
      <c r="K304" s="308"/>
      <c r="L304" s="308"/>
      <c r="M304" s="308"/>
      <c r="N304" s="308"/>
      <c r="O304" s="308"/>
      <c r="P304" s="309"/>
      <c r="Q304" s="353">
        <v>1911.0</v>
      </c>
      <c r="R304" s="300"/>
      <c r="S304" s="15"/>
      <c r="T304" s="15"/>
      <c r="U304" s="16"/>
      <c r="V304" s="307"/>
      <c r="W304" s="308"/>
      <c r="X304" s="308"/>
      <c r="Y304" s="308"/>
      <c r="Z304" s="309"/>
      <c r="AA304" s="307"/>
      <c r="AB304" s="308"/>
      <c r="AC304" s="308"/>
      <c r="AD304" s="308"/>
      <c r="AE304" s="309"/>
      <c r="AF304" s="279"/>
      <c r="AG304" s="279"/>
      <c r="AH304" s="279"/>
      <c r="AI304" s="279"/>
      <c r="AJ304" s="279"/>
      <c r="AK304" s="279"/>
      <c r="AL304" s="279"/>
      <c r="AM304" s="279"/>
      <c r="AN304" s="279"/>
      <c r="AO304" s="279"/>
      <c r="AP304" s="279"/>
      <c r="AQ304" s="279"/>
      <c r="AR304" s="279"/>
      <c r="AS304" s="279"/>
      <c r="AT304" s="279"/>
      <c r="AU304" s="279"/>
      <c r="AV304" s="279"/>
      <c r="AW304" s="279"/>
      <c r="AX304" s="279"/>
      <c r="AY304" s="279"/>
      <c r="AZ304" s="279"/>
      <c r="BA304" s="279"/>
      <c r="BB304" s="279"/>
      <c r="BC304" s="279"/>
      <c r="BD304" s="279"/>
      <c r="BE304" s="279"/>
      <c r="BF304" s="279"/>
      <c r="BG304" s="279"/>
      <c r="BH304" s="279"/>
      <c r="BI304" s="279"/>
      <c r="BJ304" s="279"/>
      <c r="BK304" s="279"/>
      <c r="BL304" s="279"/>
      <c r="BM304" s="279"/>
      <c r="BN304" s="279"/>
      <c r="BO304" s="279"/>
      <c r="BP304" s="279"/>
      <c r="BQ304" s="279"/>
    </row>
    <row r="305" ht="12.75" customHeight="1">
      <c r="A305" s="331"/>
      <c r="B305" s="397" t="s">
        <v>604</v>
      </c>
      <c r="C305" s="22"/>
      <c r="D305" s="22"/>
      <c r="E305" s="22"/>
      <c r="F305" s="22"/>
      <c r="G305" s="22"/>
      <c r="H305" s="22"/>
      <c r="I305" s="22"/>
      <c r="J305" s="22"/>
      <c r="K305" s="22"/>
      <c r="L305" s="22"/>
      <c r="M305" s="22"/>
      <c r="N305" s="22"/>
      <c r="O305" s="22"/>
      <c r="P305" s="23"/>
      <c r="Q305" s="348" t="s">
        <v>605</v>
      </c>
      <c r="R305" s="15"/>
      <c r="S305" s="15"/>
      <c r="T305" s="15"/>
      <c r="U305" s="16"/>
      <c r="V305" s="348" t="s">
        <v>606</v>
      </c>
      <c r="W305" s="15"/>
      <c r="X305" s="15"/>
      <c r="Y305" s="15"/>
      <c r="Z305" s="16"/>
      <c r="AA305" s="348" t="s">
        <v>517</v>
      </c>
      <c r="AB305" s="15"/>
      <c r="AC305" s="15"/>
      <c r="AD305" s="15"/>
      <c r="AE305" s="16"/>
      <c r="AF305" s="337"/>
      <c r="AG305" s="337"/>
      <c r="AH305" s="337"/>
      <c r="AI305" s="337"/>
      <c r="AJ305" s="337"/>
      <c r="AK305" s="337"/>
      <c r="AL305" s="337"/>
      <c r="AM305" s="337"/>
      <c r="AN305" s="337"/>
      <c r="AO305" s="337"/>
      <c r="AP305" s="337"/>
      <c r="AQ305" s="337"/>
      <c r="AR305" s="337"/>
      <c r="AS305" s="337"/>
      <c r="AT305" s="337"/>
      <c r="AU305" s="337"/>
      <c r="AV305" s="337"/>
      <c r="AW305" s="337"/>
      <c r="AX305" s="337"/>
      <c r="AY305" s="337"/>
      <c r="AZ305" s="337"/>
      <c r="BA305" s="337"/>
      <c r="BB305" s="337"/>
      <c r="BC305" s="337"/>
      <c r="BD305" s="337"/>
      <c r="BE305" s="337"/>
      <c r="BF305" s="337"/>
      <c r="BG305" s="337"/>
      <c r="BH305" s="337"/>
      <c r="BI305" s="337"/>
      <c r="BJ305" s="337"/>
      <c r="BK305" s="337"/>
      <c r="BL305" s="337"/>
      <c r="BM305" s="337"/>
      <c r="BN305" s="337"/>
      <c r="BO305" s="337"/>
      <c r="BP305" s="337"/>
      <c r="BQ305" s="337"/>
    </row>
    <row r="306" ht="12.75" customHeight="1">
      <c r="A306" s="269"/>
      <c r="B306" s="28"/>
      <c r="C306" s="29"/>
      <c r="D306" s="29"/>
      <c r="E306" s="29"/>
      <c r="F306" s="29"/>
      <c r="G306" s="29"/>
      <c r="H306" s="29"/>
      <c r="I306" s="29"/>
      <c r="J306" s="29"/>
      <c r="K306" s="29"/>
      <c r="L306" s="29"/>
      <c r="M306" s="29"/>
      <c r="N306" s="29"/>
      <c r="O306" s="29"/>
      <c r="P306" s="30"/>
      <c r="Q306" s="350">
        <v>999.0</v>
      </c>
      <c r="R306" s="289"/>
      <c r="S306" s="15"/>
      <c r="T306" s="15"/>
      <c r="U306" s="16"/>
      <c r="V306" s="350">
        <v>998.0</v>
      </c>
      <c r="W306" s="289"/>
      <c r="X306" s="15"/>
      <c r="Y306" s="15"/>
      <c r="Z306" s="16"/>
      <c r="AA306" s="350">
        <v>953.0</v>
      </c>
      <c r="AB306" s="289"/>
      <c r="AC306" s="15"/>
      <c r="AD306" s="15"/>
      <c r="AE306" s="16"/>
      <c r="AF306" s="279"/>
      <c r="AG306" s="279"/>
      <c r="AH306" s="279"/>
      <c r="AI306" s="279"/>
      <c r="AJ306" s="279"/>
      <c r="AK306" s="279"/>
      <c r="AL306" s="279"/>
      <c r="AM306" s="279"/>
      <c r="AN306" s="279"/>
      <c r="AO306" s="279"/>
      <c r="AP306" s="279"/>
      <c r="AQ306" s="279"/>
      <c r="AR306" s="279"/>
      <c r="AS306" s="279"/>
      <c r="AT306" s="279"/>
      <c r="AU306" s="279"/>
      <c r="AV306" s="279"/>
      <c r="AW306" s="279"/>
      <c r="AX306" s="279"/>
      <c r="AY306" s="279"/>
      <c r="AZ306" s="279"/>
      <c r="BA306" s="279"/>
      <c r="BB306" s="279"/>
      <c r="BC306" s="279"/>
      <c r="BD306" s="279"/>
      <c r="BE306" s="279"/>
      <c r="BF306" s="279"/>
      <c r="BG306" s="279"/>
      <c r="BH306" s="279"/>
      <c r="BI306" s="279"/>
      <c r="BJ306" s="279"/>
      <c r="BK306" s="279"/>
      <c r="BL306" s="279"/>
      <c r="BM306" s="279"/>
      <c r="BN306" s="279"/>
      <c r="BO306" s="279"/>
      <c r="BP306" s="279"/>
      <c r="BQ306" s="279"/>
    </row>
    <row r="307" ht="12.75" customHeight="1">
      <c r="A307" s="275"/>
      <c r="B307" s="387"/>
      <c r="C307" s="387"/>
      <c r="D307" s="387"/>
      <c r="E307" s="387"/>
      <c r="F307" s="387"/>
      <c r="G307" s="387"/>
      <c r="H307" s="387"/>
      <c r="I307" s="387"/>
      <c r="J307" s="387"/>
      <c r="K307" s="387"/>
      <c r="L307" s="387"/>
      <c r="M307" s="387"/>
      <c r="N307" s="387"/>
      <c r="O307" s="387"/>
      <c r="P307" s="387"/>
      <c r="Q307" s="387"/>
      <c r="R307" s="387"/>
      <c r="S307" s="279"/>
      <c r="T307" s="279"/>
      <c r="U307" s="279"/>
      <c r="V307" s="279"/>
      <c r="W307" s="279"/>
      <c r="X307" s="279"/>
      <c r="Y307" s="279"/>
      <c r="Z307" s="279"/>
      <c r="AA307" s="279"/>
      <c r="AB307" s="279"/>
      <c r="AC307" s="279"/>
      <c r="AD307" s="279"/>
      <c r="AE307" s="279"/>
      <c r="AF307" s="279"/>
      <c r="AG307" s="279"/>
      <c r="AH307" s="279"/>
      <c r="AI307" s="279"/>
      <c r="AJ307" s="279"/>
      <c r="AK307" s="279"/>
      <c r="AL307" s="279"/>
      <c r="AM307" s="279"/>
      <c r="AN307" s="279"/>
      <c r="AO307" s="279"/>
      <c r="AP307" s="279"/>
      <c r="AQ307" s="279"/>
      <c r="AR307" s="279"/>
      <c r="AS307" s="279"/>
      <c r="AT307" s="279"/>
      <c r="AU307" s="279"/>
      <c r="AV307" s="279"/>
      <c r="AW307" s="279"/>
      <c r="AX307" s="279"/>
      <c r="AY307" s="279"/>
      <c r="AZ307" s="279"/>
      <c r="BA307" s="279"/>
      <c r="BB307" s="279"/>
      <c r="BC307" s="279"/>
      <c r="BD307" s="279"/>
      <c r="BE307" s="279"/>
      <c r="BF307" s="279"/>
      <c r="BG307" s="279"/>
      <c r="BH307" s="279"/>
      <c r="BI307" s="279"/>
      <c r="BJ307" s="279"/>
      <c r="BK307" s="279"/>
      <c r="BL307" s="279"/>
      <c r="BM307" s="279"/>
      <c r="BN307" s="279"/>
      <c r="BO307" s="279"/>
      <c r="BP307" s="279"/>
      <c r="BQ307" s="279"/>
    </row>
    <row r="308" ht="12.75" customHeight="1">
      <c r="A308" s="275"/>
      <c r="B308" s="388" t="s">
        <v>607</v>
      </c>
      <c r="C308" s="22"/>
      <c r="D308" s="22"/>
      <c r="E308" s="22"/>
      <c r="F308" s="22"/>
      <c r="G308" s="22"/>
      <c r="H308" s="22"/>
      <c r="I308" s="22"/>
      <c r="J308" s="22"/>
      <c r="K308" s="22"/>
      <c r="L308" s="22"/>
      <c r="M308" s="22"/>
      <c r="N308" s="22"/>
      <c r="O308" s="22"/>
      <c r="P308" s="22"/>
      <c r="Q308" s="22"/>
      <c r="R308" s="23"/>
      <c r="S308" s="279"/>
      <c r="T308" s="279"/>
      <c r="U308" s="279"/>
      <c r="V308" s="279"/>
      <c r="W308" s="279"/>
      <c r="X308" s="279"/>
      <c r="Y308" s="279"/>
      <c r="Z308" s="279"/>
      <c r="AA308" s="279"/>
      <c r="AB308" s="279"/>
      <c r="AC308" s="279"/>
      <c r="AD308" s="279"/>
      <c r="AE308" s="279"/>
      <c r="AF308" s="279"/>
      <c r="AG308" s="279"/>
      <c r="AH308" s="279"/>
      <c r="AI308" s="279"/>
      <c r="AJ308" s="279"/>
      <c r="AK308" s="279"/>
      <c r="AL308" s="279"/>
      <c r="AM308" s="279"/>
      <c r="AN308" s="279"/>
      <c r="AO308" s="279"/>
      <c r="AP308" s="279"/>
      <c r="AQ308" s="279"/>
      <c r="AR308" s="279"/>
      <c r="AS308" s="279"/>
      <c r="AT308" s="279"/>
      <c r="AU308" s="279"/>
      <c r="AV308" s="279"/>
      <c r="AW308" s="279"/>
      <c r="AX308" s="279"/>
      <c r="AY308" s="279"/>
      <c r="AZ308" s="279"/>
      <c r="BA308" s="279"/>
      <c r="BB308" s="279"/>
      <c r="BC308" s="279"/>
      <c r="BD308" s="279"/>
      <c r="BE308" s="279"/>
      <c r="BF308" s="279"/>
      <c r="BG308" s="279"/>
      <c r="BH308" s="279"/>
      <c r="BI308" s="279"/>
      <c r="BJ308" s="279"/>
      <c r="BK308" s="279"/>
      <c r="BL308" s="279"/>
      <c r="BM308" s="279"/>
      <c r="BN308" s="279"/>
      <c r="BO308" s="279"/>
      <c r="BP308" s="279"/>
      <c r="BQ308" s="279"/>
    </row>
    <row r="309" ht="12.75" customHeight="1">
      <c r="A309" s="275"/>
      <c r="B309" s="28"/>
      <c r="C309" s="29"/>
      <c r="D309" s="29"/>
      <c r="E309" s="29"/>
      <c r="F309" s="29"/>
      <c r="G309" s="29"/>
      <c r="H309" s="29"/>
      <c r="I309" s="29"/>
      <c r="J309" s="29"/>
      <c r="K309" s="29"/>
      <c r="L309" s="29"/>
      <c r="M309" s="29"/>
      <c r="N309" s="29"/>
      <c r="O309" s="29"/>
      <c r="P309" s="29"/>
      <c r="Q309" s="29"/>
      <c r="R309" s="30"/>
      <c r="S309" s="279"/>
      <c r="T309" s="279"/>
      <c r="U309" s="279"/>
      <c r="V309" s="279"/>
      <c r="W309" s="279"/>
      <c r="X309" s="279"/>
      <c r="Y309" s="279"/>
      <c r="Z309" s="279"/>
      <c r="AA309" s="279"/>
      <c r="AB309" s="279"/>
      <c r="AC309" s="279"/>
      <c r="AD309" s="279"/>
      <c r="AE309" s="279"/>
      <c r="AF309" s="279"/>
      <c r="AG309" s="279"/>
      <c r="AH309" s="279"/>
      <c r="AI309" s="279"/>
      <c r="AJ309" s="279"/>
      <c r="AK309" s="279"/>
      <c r="AL309" s="279"/>
      <c r="AM309" s="279"/>
      <c r="AN309" s="279"/>
      <c r="AO309" s="279"/>
      <c r="AP309" s="279"/>
      <c r="AQ309" s="279"/>
      <c r="AR309" s="279"/>
      <c r="AS309" s="279"/>
      <c r="AT309" s="279"/>
      <c r="AU309" s="279"/>
      <c r="AV309" s="279"/>
      <c r="AW309" s="279"/>
      <c r="AX309" s="279"/>
      <c r="AY309" s="279"/>
      <c r="AZ309" s="279"/>
      <c r="BA309" s="279"/>
      <c r="BB309" s="279"/>
      <c r="BC309" s="279"/>
      <c r="BD309" s="279"/>
      <c r="BE309" s="279"/>
      <c r="BF309" s="279"/>
      <c r="BG309" s="279"/>
      <c r="BH309" s="279"/>
      <c r="BI309" s="279"/>
      <c r="BJ309" s="279"/>
      <c r="BK309" s="279"/>
      <c r="BL309" s="279"/>
      <c r="BM309" s="279"/>
      <c r="BN309" s="279"/>
      <c r="BO309" s="279"/>
      <c r="BP309" s="279"/>
      <c r="BQ309" s="279"/>
    </row>
    <row r="310" ht="12.75" customHeight="1">
      <c r="A310" s="269"/>
      <c r="B310" s="325" t="s">
        <v>608</v>
      </c>
      <c r="C310" s="326"/>
      <c r="D310" s="326"/>
      <c r="E310" s="326"/>
      <c r="F310" s="326"/>
      <c r="G310" s="326"/>
      <c r="H310" s="326"/>
      <c r="I310" s="326"/>
      <c r="J310" s="326"/>
      <c r="K310" s="326"/>
      <c r="L310" s="327"/>
      <c r="M310" s="290">
        <v>1160.0</v>
      </c>
      <c r="N310" s="289"/>
      <c r="O310" s="15"/>
      <c r="P310" s="15"/>
      <c r="Q310" s="16"/>
      <c r="R310" s="338" t="s">
        <v>281</v>
      </c>
      <c r="S310" s="279"/>
      <c r="T310" s="279"/>
      <c r="U310" s="279"/>
      <c r="V310" s="279"/>
      <c r="W310" s="279"/>
      <c r="X310" s="279"/>
      <c r="Y310" s="279"/>
      <c r="Z310" s="279"/>
      <c r="AA310" s="279"/>
      <c r="AB310" s="279"/>
      <c r="AC310" s="279"/>
      <c r="AD310" s="279"/>
      <c r="AE310" s="279"/>
      <c r="AF310" s="279"/>
      <c r="AG310" s="279"/>
      <c r="AH310" s="279"/>
      <c r="AI310" s="279"/>
      <c r="AJ310" s="279"/>
      <c r="AK310" s="279"/>
      <c r="AL310" s="279"/>
      <c r="AM310" s="279"/>
      <c r="AN310" s="279"/>
      <c r="AO310" s="279"/>
      <c r="AP310" s="279"/>
      <c r="AQ310" s="279"/>
      <c r="AR310" s="279"/>
      <c r="AS310" s="279"/>
      <c r="AT310" s="279"/>
      <c r="AU310" s="279"/>
      <c r="AV310" s="279"/>
      <c r="AW310" s="279"/>
      <c r="AX310" s="279"/>
      <c r="AY310" s="279"/>
      <c r="AZ310" s="279"/>
      <c r="BA310" s="279"/>
      <c r="BB310" s="279"/>
      <c r="BC310" s="279"/>
      <c r="BD310" s="279"/>
      <c r="BE310" s="279"/>
      <c r="BF310" s="279"/>
      <c r="BG310" s="279"/>
      <c r="BH310" s="279"/>
      <c r="BI310" s="279"/>
      <c r="BJ310" s="279"/>
      <c r="BK310" s="279"/>
      <c r="BL310" s="279"/>
      <c r="BM310" s="279"/>
      <c r="BN310" s="279"/>
      <c r="BO310" s="279"/>
      <c r="BP310" s="279"/>
      <c r="BQ310" s="279"/>
    </row>
    <row r="311" ht="12.75" customHeight="1">
      <c r="A311" s="269"/>
      <c r="B311" s="325" t="s">
        <v>609</v>
      </c>
      <c r="C311" s="326"/>
      <c r="D311" s="326"/>
      <c r="E311" s="326"/>
      <c r="F311" s="326"/>
      <c r="G311" s="326"/>
      <c r="H311" s="326"/>
      <c r="I311" s="326"/>
      <c r="J311" s="326"/>
      <c r="K311" s="326"/>
      <c r="L311" s="327"/>
      <c r="M311" s="290">
        <v>1163.0</v>
      </c>
      <c r="N311" s="289"/>
      <c r="O311" s="15"/>
      <c r="P311" s="15"/>
      <c r="Q311" s="16"/>
      <c r="R311" s="338" t="s">
        <v>312</v>
      </c>
      <c r="S311" s="279"/>
      <c r="T311" s="279"/>
      <c r="U311" s="279"/>
      <c r="V311" s="279"/>
      <c r="W311" s="279"/>
      <c r="X311" s="279"/>
      <c r="Y311" s="279"/>
      <c r="Z311" s="279"/>
      <c r="AA311" s="279"/>
      <c r="AB311" s="279"/>
      <c r="AC311" s="279"/>
      <c r="AD311" s="279"/>
      <c r="AE311" s="279"/>
      <c r="AF311" s="279"/>
      <c r="AG311" s="279"/>
      <c r="AH311" s="279"/>
      <c r="AI311" s="279"/>
      <c r="AJ311" s="279"/>
      <c r="AK311" s="279"/>
      <c r="AL311" s="279"/>
      <c r="AM311" s="279"/>
      <c r="AN311" s="279"/>
      <c r="AO311" s="279"/>
      <c r="AP311" s="279"/>
      <c r="AQ311" s="279"/>
      <c r="AR311" s="279"/>
      <c r="AS311" s="279"/>
      <c r="AT311" s="279"/>
      <c r="AU311" s="279"/>
      <c r="AV311" s="279"/>
      <c r="AW311" s="279"/>
      <c r="AX311" s="279"/>
      <c r="AY311" s="279"/>
      <c r="AZ311" s="279"/>
      <c r="BA311" s="279"/>
      <c r="BB311" s="279"/>
      <c r="BC311" s="279"/>
      <c r="BD311" s="279"/>
      <c r="BE311" s="279"/>
      <c r="BF311" s="279"/>
      <c r="BG311" s="279"/>
      <c r="BH311" s="279"/>
      <c r="BI311" s="279"/>
      <c r="BJ311" s="279"/>
      <c r="BK311" s="279"/>
      <c r="BL311" s="279"/>
      <c r="BM311" s="279"/>
      <c r="BN311" s="279"/>
      <c r="BO311" s="279"/>
      <c r="BP311" s="279"/>
      <c r="BQ311" s="279"/>
    </row>
    <row r="312" ht="12.75" customHeight="1">
      <c r="A312" s="269"/>
      <c r="B312" s="325" t="s">
        <v>610</v>
      </c>
      <c r="C312" s="326"/>
      <c r="D312" s="326"/>
      <c r="E312" s="326"/>
      <c r="F312" s="326"/>
      <c r="G312" s="326"/>
      <c r="H312" s="326"/>
      <c r="I312" s="326"/>
      <c r="J312" s="326"/>
      <c r="K312" s="326"/>
      <c r="L312" s="327"/>
      <c r="M312" s="290">
        <v>1164.0</v>
      </c>
      <c r="N312" s="289"/>
      <c r="O312" s="15"/>
      <c r="P312" s="15"/>
      <c r="Q312" s="16"/>
      <c r="R312" s="338" t="s">
        <v>312</v>
      </c>
      <c r="S312" s="279"/>
      <c r="T312" s="279"/>
      <c r="U312" s="279"/>
      <c r="V312" s="279"/>
      <c r="W312" s="279"/>
      <c r="X312" s="279"/>
      <c r="Y312" s="279"/>
      <c r="Z312" s="279"/>
      <c r="AA312" s="279"/>
      <c r="AB312" s="279"/>
      <c r="AC312" s="279"/>
      <c r="AD312" s="279"/>
      <c r="AE312" s="279"/>
      <c r="AF312" s="279"/>
      <c r="AG312" s="279"/>
      <c r="AH312" s="279"/>
      <c r="AI312" s="279"/>
      <c r="AJ312" s="279"/>
      <c r="AK312" s="279"/>
      <c r="AL312" s="279"/>
      <c r="AM312" s="279"/>
      <c r="AN312" s="279"/>
      <c r="AO312" s="279"/>
      <c r="AP312" s="279"/>
      <c r="AQ312" s="279"/>
      <c r="AR312" s="279"/>
      <c r="AS312" s="279"/>
      <c r="AT312" s="279"/>
      <c r="AU312" s="279"/>
      <c r="AV312" s="279"/>
      <c r="AW312" s="279"/>
      <c r="AX312" s="279"/>
      <c r="AY312" s="279"/>
      <c r="AZ312" s="279"/>
      <c r="BA312" s="279"/>
      <c r="BB312" s="279"/>
      <c r="BC312" s="279"/>
      <c r="BD312" s="279"/>
      <c r="BE312" s="279"/>
      <c r="BF312" s="279"/>
      <c r="BG312" s="279"/>
      <c r="BH312" s="279"/>
      <c r="BI312" s="279"/>
      <c r="BJ312" s="279"/>
      <c r="BK312" s="279"/>
      <c r="BL312" s="279"/>
      <c r="BM312" s="279"/>
      <c r="BN312" s="279"/>
      <c r="BO312" s="279"/>
      <c r="BP312" s="279"/>
      <c r="BQ312" s="279"/>
    </row>
    <row r="313" ht="12.75" customHeight="1">
      <c r="A313" s="269"/>
      <c r="B313" s="325" t="s">
        <v>611</v>
      </c>
      <c r="C313" s="326"/>
      <c r="D313" s="326"/>
      <c r="E313" s="326"/>
      <c r="F313" s="326"/>
      <c r="G313" s="326"/>
      <c r="H313" s="326"/>
      <c r="I313" s="326"/>
      <c r="J313" s="326"/>
      <c r="K313" s="326"/>
      <c r="L313" s="327"/>
      <c r="M313" s="290">
        <v>1166.0</v>
      </c>
      <c r="N313" s="289"/>
      <c r="O313" s="15"/>
      <c r="P313" s="15"/>
      <c r="Q313" s="16"/>
      <c r="R313" s="338" t="s">
        <v>281</v>
      </c>
      <c r="S313" s="279"/>
      <c r="T313" s="279"/>
      <c r="U313" s="279"/>
      <c r="V313" s="279"/>
      <c r="W313" s="279"/>
      <c r="X313" s="279"/>
      <c r="Y313" s="279"/>
      <c r="Z313" s="279"/>
      <c r="AA313" s="279"/>
      <c r="AB313" s="279"/>
      <c r="AC313" s="279"/>
      <c r="AD313" s="279"/>
      <c r="AE313" s="279"/>
      <c r="AF313" s="279"/>
      <c r="AG313" s="279"/>
      <c r="AH313" s="279"/>
      <c r="AI313" s="279"/>
      <c r="AJ313" s="279"/>
      <c r="AK313" s="279"/>
      <c r="AL313" s="279"/>
      <c r="AM313" s="279"/>
      <c r="AN313" s="279"/>
      <c r="AO313" s="279"/>
      <c r="AP313" s="279"/>
      <c r="AQ313" s="279"/>
      <c r="AR313" s="279"/>
      <c r="AS313" s="279"/>
      <c r="AT313" s="279"/>
      <c r="AU313" s="279"/>
      <c r="AV313" s="279"/>
      <c r="AW313" s="279"/>
      <c r="AX313" s="279"/>
      <c r="AY313" s="279"/>
      <c r="AZ313" s="279"/>
      <c r="BA313" s="279"/>
      <c r="BB313" s="279"/>
      <c r="BC313" s="279"/>
      <c r="BD313" s="279"/>
      <c r="BE313" s="279"/>
      <c r="BF313" s="279"/>
      <c r="BG313" s="279"/>
      <c r="BH313" s="279"/>
      <c r="BI313" s="279"/>
      <c r="BJ313" s="279"/>
      <c r="BK313" s="279"/>
      <c r="BL313" s="279"/>
      <c r="BM313" s="279"/>
      <c r="BN313" s="279"/>
      <c r="BO313" s="279"/>
      <c r="BP313" s="279"/>
      <c r="BQ313" s="279"/>
    </row>
    <row r="314" ht="12.75" customHeight="1">
      <c r="A314" s="269"/>
      <c r="B314" s="325" t="s">
        <v>612</v>
      </c>
      <c r="C314" s="326"/>
      <c r="D314" s="326"/>
      <c r="E314" s="326"/>
      <c r="F314" s="326"/>
      <c r="G314" s="326"/>
      <c r="H314" s="326"/>
      <c r="I314" s="326"/>
      <c r="J314" s="326"/>
      <c r="K314" s="326"/>
      <c r="L314" s="327"/>
      <c r="M314" s="290">
        <v>1168.0</v>
      </c>
      <c r="N314" s="289">
        <f>+$N$310-$N$311-$N$312+N313</f>
        <v>0</v>
      </c>
      <c r="O314" s="15"/>
      <c r="P314" s="15"/>
      <c r="Q314" s="16"/>
      <c r="R314" s="338" t="s">
        <v>317</v>
      </c>
      <c r="S314" s="279"/>
      <c r="T314" s="279"/>
      <c r="U314" s="279"/>
      <c r="V314" s="279"/>
      <c r="W314" s="279"/>
      <c r="X314" s="279"/>
      <c r="Y314" s="279"/>
      <c r="Z314" s="279"/>
      <c r="AA314" s="279"/>
      <c r="AB314" s="279"/>
      <c r="AC314" s="279"/>
      <c r="AD314" s="279"/>
      <c r="AE314" s="279"/>
      <c r="AF314" s="279"/>
      <c r="AG314" s="279"/>
      <c r="AH314" s="279"/>
      <c r="AI314" s="279"/>
      <c r="AJ314" s="279"/>
      <c r="AK314" s="279"/>
      <c r="AL314" s="279"/>
      <c r="AM314" s="279"/>
      <c r="AN314" s="279"/>
      <c r="AO314" s="279"/>
      <c r="AP314" s="279"/>
      <c r="AQ314" s="279"/>
      <c r="AR314" s="279"/>
      <c r="AS314" s="279"/>
      <c r="AT314" s="279"/>
      <c r="AU314" s="279"/>
      <c r="AV314" s="279"/>
      <c r="AW314" s="279"/>
      <c r="AX314" s="279"/>
      <c r="AY314" s="279"/>
      <c r="AZ314" s="279"/>
      <c r="BA314" s="279"/>
      <c r="BB314" s="279"/>
      <c r="BC314" s="279"/>
      <c r="BD314" s="279"/>
      <c r="BE314" s="279"/>
      <c r="BF314" s="279"/>
      <c r="BG314" s="279"/>
      <c r="BH314" s="279"/>
      <c r="BI314" s="279"/>
      <c r="BJ314" s="279"/>
      <c r="BK314" s="279"/>
      <c r="BL314" s="279"/>
      <c r="BM314" s="279"/>
      <c r="BN314" s="279"/>
      <c r="BO314" s="279"/>
      <c r="BP314" s="279"/>
      <c r="BQ314" s="279"/>
    </row>
    <row r="315" ht="12.75" customHeight="1">
      <c r="A315" s="269"/>
      <c r="B315" s="325" t="s">
        <v>613</v>
      </c>
      <c r="C315" s="326"/>
      <c r="D315" s="326"/>
      <c r="E315" s="326"/>
      <c r="F315" s="326"/>
      <c r="G315" s="326"/>
      <c r="H315" s="326"/>
      <c r="I315" s="326"/>
      <c r="J315" s="326"/>
      <c r="K315" s="326"/>
      <c r="L315" s="327"/>
      <c r="M315" s="290">
        <v>1169.0</v>
      </c>
      <c r="N315" s="289">
        <v>0.0</v>
      </c>
      <c r="O315" s="15"/>
      <c r="P315" s="15"/>
      <c r="Q315" s="16"/>
      <c r="R315" s="338" t="s">
        <v>317</v>
      </c>
      <c r="S315" s="279"/>
      <c r="T315" s="279"/>
      <c r="U315" s="279"/>
      <c r="V315" s="279"/>
      <c r="W315" s="279"/>
      <c r="X315" s="279"/>
      <c r="Y315" s="279"/>
      <c r="Z315" s="279"/>
      <c r="AA315" s="279"/>
      <c r="AB315" s="279"/>
      <c r="AC315" s="279"/>
      <c r="AD315" s="279"/>
      <c r="AE315" s="279"/>
      <c r="AF315" s="279"/>
      <c r="AG315" s="279"/>
      <c r="AH315" s="279"/>
      <c r="AI315" s="279"/>
      <c r="AJ315" s="279"/>
      <c r="AK315" s="279"/>
      <c r="AL315" s="279"/>
      <c r="AM315" s="279"/>
      <c r="AN315" s="279"/>
      <c r="AO315" s="279"/>
      <c r="AP315" s="279"/>
      <c r="AQ315" s="279"/>
      <c r="AR315" s="279"/>
      <c r="AS315" s="279"/>
      <c r="AT315" s="279"/>
      <c r="AU315" s="279"/>
      <c r="AV315" s="279"/>
      <c r="AW315" s="279"/>
      <c r="AX315" s="279"/>
      <c r="AY315" s="279"/>
      <c r="AZ315" s="279"/>
      <c r="BA315" s="279"/>
      <c r="BB315" s="279"/>
      <c r="BC315" s="279"/>
      <c r="BD315" s="279"/>
      <c r="BE315" s="279"/>
      <c r="BF315" s="279"/>
      <c r="BG315" s="279"/>
      <c r="BH315" s="279"/>
      <c r="BI315" s="279"/>
      <c r="BJ315" s="279"/>
      <c r="BK315" s="279"/>
      <c r="BL315" s="279"/>
      <c r="BM315" s="279"/>
      <c r="BN315" s="279"/>
      <c r="BO315" s="279"/>
      <c r="BP315" s="279"/>
      <c r="BQ315" s="279"/>
    </row>
    <row r="316" ht="12.75" customHeight="1">
      <c r="A316" s="269"/>
      <c r="B316" s="325" t="s">
        <v>614</v>
      </c>
      <c r="C316" s="326"/>
      <c r="D316" s="326"/>
      <c r="E316" s="326"/>
      <c r="F316" s="326"/>
      <c r="G316" s="326"/>
      <c r="H316" s="326"/>
      <c r="I316" s="326"/>
      <c r="J316" s="326"/>
      <c r="K316" s="326"/>
      <c r="L316" s="327"/>
      <c r="M316" s="290">
        <v>1170.0</v>
      </c>
      <c r="N316" s="289">
        <v>0.0</v>
      </c>
      <c r="O316" s="15"/>
      <c r="P316" s="15"/>
      <c r="Q316" s="16"/>
      <c r="R316" s="338" t="s">
        <v>317</v>
      </c>
      <c r="S316" s="279"/>
      <c r="T316" s="279"/>
      <c r="U316" s="279"/>
      <c r="V316" s="279"/>
      <c r="W316" s="279"/>
      <c r="X316" s="279"/>
      <c r="Y316" s="279"/>
      <c r="Z316" s="279"/>
      <c r="AA316" s="279"/>
      <c r="AB316" s="279"/>
      <c r="AC316" s="279"/>
      <c r="AD316" s="279"/>
      <c r="AE316" s="279"/>
      <c r="AF316" s="279"/>
      <c r="AG316" s="279"/>
      <c r="AH316" s="279"/>
      <c r="AI316" s="279"/>
      <c r="AJ316" s="279"/>
      <c r="AK316" s="279"/>
      <c r="AL316" s="279"/>
      <c r="AM316" s="279"/>
      <c r="AN316" s="279"/>
      <c r="AO316" s="279"/>
      <c r="AP316" s="279"/>
      <c r="AQ316" s="279"/>
      <c r="AR316" s="279"/>
      <c r="AS316" s="279"/>
      <c r="AT316" s="279"/>
      <c r="AU316" s="279"/>
      <c r="AV316" s="279"/>
      <c r="AW316" s="279"/>
      <c r="AX316" s="279"/>
      <c r="AY316" s="279"/>
      <c r="AZ316" s="279"/>
      <c r="BA316" s="279"/>
      <c r="BB316" s="279"/>
      <c r="BC316" s="279"/>
      <c r="BD316" s="279"/>
      <c r="BE316" s="279"/>
      <c r="BF316" s="279"/>
      <c r="BG316" s="279"/>
      <c r="BH316" s="279"/>
      <c r="BI316" s="279"/>
      <c r="BJ316" s="279"/>
      <c r="BK316" s="279"/>
      <c r="BL316" s="279"/>
      <c r="BM316" s="279"/>
      <c r="BN316" s="279"/>
      <c r="BO316" s="279"/>
      <c r="BP316" s="279"/>
      <c r="BQ316" s="279"/>
    </row>
    <row r="317" ht="12.75" customHeight="1">
      <c r="A317" s="269"/>
      <c r="B317" s="325" t="s">
        <v>615</v>
      </c>
      <c r="C317" s="326"/>
      <c r="D317" s="326"/>
      <c r="E317" s="326"/>
      <c r="F317" s="326"/>
      <c r="G317" s="326"/>
      <c r="H317" s="326"/>
      <c r="I317" s="326"/>
      <c r="J317" s="326"/>
      <c r="K317" s="326"/>
      <c r="L317" s="327"/>
      <c r="M317" s="290">
        <v>1171.0</v>
      </c>
      <c r="N317" s="289"/>
      <c r="O317" s="15"/>
      <c r="P317" s="15"/>
      <c r="Q317" s="16"/>
      <c r="R317" s="338" t="s">
        <v>281</v>
      </c>
      <c r="S317" s="279"/>
      <c r="T317" s="279"/>
      <c r="U317" s="279"/>
      <c r="V317" s="279"/>
      <c r="W317" s="279"/>
      <c r="X317" s="279"/>
      <c r="Y317" s="279"/>
      <c r="Z317" s="279"/>
      <c r="AA317" s="279"/>
      <c r="AB317" s="279"/>
      <c r="AC317" s="279"/>
      <c r="AD317" s="279"/>
      <c r="AE317" s="279"/>
      <c r="AF317" s="279"/>
      <c r="AG317" s="279"/>
      <c r="AH317" s="279"/>
      <c r="AI317" s="279"/>
      <c r="AJ317" s="279"/>
      <c r="AK317" s="279"/>
      <c r="AL317" s="279"/>
      <c r="AM317" s="279"/>
      <c r="AN317" s="279"/>
      <c r="AO317" s="279"/>
      <c r="AP317" s="279"/>
      <c r="AQ317" s="279"/>
      <c r="AR317" s="279"/>
      <c r="AS317" s="279"/>
      <c r="AT317" s="279"/>
      <c r="AU317" s="279"/>
      <c r="AV317" s="279"/>
      <c r="AW317" s="279"/>
      <c r="AX317" s="279"/>
      <c r="AY317" s="279"/>
      <c r="AZ317" s="279"/>
      <c r="BA317" s="279"/>
      <c r="BB317" s="279"/>
      <c r="BC317" s="279"/>
      <c r="BD317" s="279"/>
      <c r="BE317" s="279"/>
      <c r="BF317" s="279"/>
      <c r="BG317" s="279"/>
      <c r="BH317" s="279"/>
      <c r="BI317" s="279"/>
      <c r="BJ317" s="279"/>
      <c r="BK317" s="279"/>
      <c r="BL317" s="279"/>
      <c r="BM317" s="279"/>
      <c r="BN317" s="279"/>
      <c r="BO317" s="279"/>
      <c r="BP317" s="279"/>
      <c r="BQ317" s="279"/>
    </row>
    <row r="318" ht="12.75" customHeight="1">
      <c r="A318" s="269"/>
      <c r="B318" s="325" t="s">
        <v>616</v>
      </c>
      <c r="C318" s="326"/>
      <c r="D318" s="326"/>
      <c r="E318" s="326"/>
      <c r="F318" s="326"/>
      <c r="G318" s="326"/>
      <c r="H318" s="326"/>
      <c r="I318" s="326"/>
      <c r="J318" s="326"/>
      <c r="K318" s="326"/>
      <c r="L318" s="327"/>
      <c r="M318" s="290">
        <v>1172.0</v>
      </c>
      <c r="N318" s="289"/>
      <c r="O318" s="15"/>
      <c r="P318" s="15"/>
      <c r="Q318" s="16"/>
      <c r="R318" s="338" t="s">
        <v>312</v>
      </c>
      <c r="S318" s="279"/>
      <c r="T318" s="279"/>
      <c r="U318" s="279"/>
      <c r="V318" s="279"/>
      <c r="W318" s="279"/>
      <c r="X318" s="279"/>
      <c r="Y318" s="279"/>
      <c r="Z318" s="279"/>
      <c r="AA318" s="279"/>
      <c r="AB318" s="279"/>
      <c r="AC318" s="279"/>
      <c r="AD318" s="279"/>
      <c r="AE318" s="279"/>
      <c r="AF318" s="279"/>
      <c r="AG318" s="279"/>
      <c r="AH318" s="279"/>
      <c r="AI318" s="279"/>
      <c r="AJ318" s="279"/>
      <c r="AK318" s="279"/>
      <c r="AL318" s="279"/>
      <c r="AM318" s="279"/>
      <c r="AN318" s="279"/>
      <c r="AO318" s="279"/>
      <c r="AP318" s="279"/>
      <c r="AQ318" s="279"/>
      <c r="AR318" s="279"/>
      <c r="AS318" s="279"/>
      <c r="AT318" s="279"/>
      <c r="AU318" s="279"/>
      <c r="AV318" s="279"/>
      <c r="AW318" s="279"/>
      <c r="AX318" s="279"/>
      <c r="AY318" s="279"/>
      <c r="AZ318" s="279"/>
      <c r="BA318" s="279"/>
      <c r="BB318" s="279"/>
      <c r="BC318" s="279"/>
      <c r="BD318" s="279"/>
      <c r="BE318" s="279"/>
      <c r="BF318" s="279"/>
      <c r="BG318" s="279"/>
      <c r="BH318" s="279"/>
      <c r="BI318" s="279"/>
      <c r="BJ318" s="279"/>
      <c r="BK318" s="279"/>
      <c r="BL318" s="279"/>
      <c r="BM318" s="279"/>
      <c r="BN318" s="279"/>
      <c r="BO318" s="279"/>
      <c r="BP318" s="279"/>
      <c r="BQ318" s="279"/>
    </row>
    <row r="319" ht="12.75" customHeight="1">
      <c r="A319" s="269"/>
      <c r="B319" s="325" t="s">
        <v>617</v>
      </c>
      <c r="C319" s="326"/>
      <c r="D319" s="326"/>
      <c r="E319" s="326"/>
      <c r="F319" s="326"/>
      <c r="G319" s="326"/>
      <c r="H319" s="326"/>
      <c r="I319" s="326"/>
      <c r="J319" s="326"/>
      <c r="K319" s="326"/>
      <c r="L319" s="327"/>
      <c r="M319" s="290">
        <v>1173.0</v>
      </c>
      <c r="N319" s="289"/>
      <c r="O319" s="15"/>
      <c r="P319" s="15"/>
      <c r="Q319" s="16"/>
      <c r="R319" s="338" t="s">
        <v>281</v>
      </c>
      <c r="S319" s="279"/>
      <c r="T319" s="279"/>
      <c r="U319" s="279"/>
      <c r="V319" s="279"/>
      <c r="W319" s="279"/>
      <c r="X319" s="279"/>
      <c r="Y319" s="279"/>
      <c r="Z319" s="279"/>
      <c r="AA319" s="279"/>
      <c r="AB319" s="279"/>
      <c r="AC319" s="279"/>
      <c r="AD319" s="279"/>
      <c r="AE319" s="279"/>
      <c r="AF319" s="279"/>
      <c r="AG319" s="279"/>
      <c r="AH319" s="279"/>
      <c r="AI319" s="279"/>
      <c r="AJ319" s="279"/>
      <c r="AK319" s="279"/>
      <c r="AL319" s="279"/>
      <c r="AM319" s="279"/>
      <c r="AN319" s="279"/>
      <c r="AO319" s="279"/>
      <c r="AP319" s="279"/>
      <c r="AQ319" s="279"/>
      <c r="AR319" s="279"/>
      <c r="AS319" s="279"/>
      <c r="AT319" s="279"/>
      <c r="AU319" s="279"/>
      <c r="AV319" s="279"/>
      <c r="AW319" s="279"/>
      <c r="AX319" s="279"/>
      <c r="AY319" s="279"/>
      <c r="AZ319" s="279"/>
      <c r="BA319" s="279"/>
      <c r="BB319" s="279"/>
      <c r="BC319" s="279"/>
      <c r="BD319" s="279"/>
      <c r="BE319" s="279"/>
      <c r="BF319" s="279"/>
      <c r="BG319" s="279"/>
      <c r="BH319" s="279"/>
      <c r="BI319" s="279"/>
      <c r="BJ319" s="279"/>
      <c r="BK319" s="279"/>
      <c r="BL319" s="279"/>
      <c r="BM319" s="279"/>
      <c r="BN319" s="279"/>
      <c r="BO319" s="279"/>
      <c r="BP319" s="279"/>
      <c r="BQ319" s="279"/>
    </row>
    <row r="320" ht="12.75" customHeight="1">
      <c r="A320" s="269"/>
      <c r="B320" s="285" t="s">
        <v>618</v>
      </c>
      <c r="C320" s="286"/>
      <c r="D320" s="286"/>
      <c r="E320" s="286"/>
      <c r="F320" s="286"/>
      <c r="G320" s="286"/>
      <c r="H320" s="286"/>
      <c r="I320" s="286"/>
      <c r="J320" s="286"/>
      <c r="K320" s="286"/>
      <c r="L320" s="287"/>
      <c r="M320" s="290">
        <v>1174.0</v>
      </c>
      <c r="N320" s="289">
        <f>+$N$317-$N$318+$N$319</f>
        <v>0</v>
      </c>
      <c r="O320" s="15"/>
      <c r="P320" s="15"/>
      <c r="Q320" s="16"/>
      <c r="R320" s="338" t="s">
        <v>317</v>
      </c>
      <c r="S320" s="279"/>
      <c r="T320" s="279"/>
      <c r="U320" s="279"/>
      <c r="V320" s="279"/>
      <c r="W320" s="279"/>
      <c r="X320" s="279"/>
      <c r="Y320" s="279"/>
      <c r="Z320" s="279"/>
      <c r="AA320" s="279"/>
      <c r="AB320" s="279"/>
      <c r="AC320" s="279"/>
      <c r="AD320" s="279"/>
      <c r="AE320" s="279"/>
      <c r="AF320" s="279"/>
      <c r="AG320" s="279"/>
      <c r="AH320" s="279"/>
      <c r="AI320" s="279"/>
      <c r="AJ320" s="279"/>
      <c r="AK320" s="279"/>
      <c r="AL320" s="279"/>
      <c r="AM320" s="279"/>
      <c r="AN320" s="279"/>
      <c r="AO320" s="279"/>
      <c r="AP320" s="279"/>
      <c r="AQ320" s="279"/>
      <c r="AR320" s="279"/>
      <c r="AS320" s="279"/>
      <c r="AT320" s="279"/>
      <c r="AU320" s="279"/>
      <c r="AV320" s="279"/>
      <c r="AW320" s="279"/>
      <c r="AX320" s="279"/>
      <c r="AY320" s="279"/>
      <c r="AZ320" s="279"/>
      <c r="BA320" s="279"/>
      <c r="BB320" s="279"/>
      <c r="BC320" s="279"/>
      <c r="BD320" s="279"/>
      <c r="BE320" s="279"/>
      <c r="BF320" s="279"/>
      <c r="BG320" s="279"/>
      <c r="BH320" s="279"/>
      <c r="BI320" s="279"/>
      <c r="BJ320" s="279"/>
      <c r="BK320" s="279"/>
      <c r="BL320" s="279"/>
      <c r="BM320" s="279"/>
      <c r="BN320" s="279"/>
      <c r="BO320" s="279"/>
      <c r="BP320" s="279"/>
      <c r="BQ320" s="279"/>
    </row>
    <row r="321" ht="12.75" customHeight="1">
      <c r="A321" s="275"/>
      <c r="B321" s="387"/>
      <c r="C321" s="387"/>
      <c r="D321" s="387"/>
      <c r="E321" s="387"/>
      <c r="F321" s="387"/>
      <c r="G321" s="387"/>
      <c r="H321" s="387"/>
      <c r="I321" s="387"/>
      <c r="J321" s="387"/>
      <c r="K321" s="387"/>
      <c r="L321" s="387"/>
      <c r="M321" s="387"/>
      <c r="N321" s="387"/>
      <c r="O321" s="203"/>
      <c r="P321" s="387"/>
      <c r="Q321" s="387"/>
      <c r="R321" s="387"/>
      <c r="S321" s="279"/>
      <c r="T321" s="279"/>
      <c r="U321" s="279"/>
      <c r="V321" s="279"/>
      <c r="W321" s="279"/>
      <c r="X321" s="279"/>
      <c r="Y321" s="279"/>
      <c r="Z321" s="279"/>
      <c r="AA321" s="279"/>
      <c r="AB321" s="279"/>
      <c r="AC321" s="279"/>
      <c r="AD321" s="279"/>
      <c r="AE321" s="279"/>
      <c r="AF321" s="279"/>
      <c r="AG321" s="279"/>
      <c r="AH321" s="279"/>
      <c r="AI321" s="279"/>
      <c r="AJ321" s="279"/>
      <c r="AK321" s="279"/>
      <c r="AL321" s="279"/>
      <c r="AM321" s="279"/>
      <c r="AN321" s="279"/>
      <c r="AO321" s="279"/>
      <c r="AP321" s="279"/>
      <c r="AQ321" s="279"/>
      <c r="AR321" s="279"/>
      <c r="AS321" s="279"/>
      <c r="AT321" s="279"/>
      <c r="AU321" s="279"/>
      <c r="AV321" s="279"/>
      <c r="AW321" s="279"/>
      <c r="AX321" s="279"/>
      <c r="AY321" s="279"/>
      <c r="AZ321" s="279"/>
      <c r="BA321" s="279"/>
      <c r="BB321" s="279"/>
      <c r="BC321" s="279"/>
      <c r="BD321" s="279"/>
      <c r="BE321" s="279"/>
      <c r="BF321" s="279"/>
      <c r="BG321" s="279"/>
      <c r="BH321" s="279"/>
      <c r="BI321" s="279"/>
      <c r="BJ321" s="279"/>
      <c r="BK321" s="279"/>
      <c r="BL321" s="279"/>
      <c r="BM321" s="279"/>
      <c r="BN321" s="279"/>
      <c r="BO321" s="279"/>
      <c r="BP321" s="279"/>
      <c r="BQ321" s="279"/>
    </row>
    <row r="322" ht="12.75" customHeight="1">
      <c r="A322" s="275"/>
      <c r="B322" s="388" t="s">
        <v>619</v>
      </c>
      <c r="C322" s="22"/>
      <c r="D322" s="22"/>
      <c r="E322" s="22"/>
      <c r="F322" s="22"/>
      <c r="G322" s="22"/>
      <c r="H322" s="22"/>
      <c r="I322" s="22"/>
      <c r="J322" s="22"/>
      <c r="K322" s="22"/>
      <c r="L322" s="22"/>
      <c r="M322" s="22"/>
      <c r="N322" s="22"/>
      <c r="O322" s="22"/>
      <c r="P322" s="22"/>
      <c r="Q322" s="22"/>
      <c r="R322" s="23"/>
      <c r="S322" s="279"/>
      <c r="T322" s="279"/>
      <c r="U322" s="279"/>
      <c r="V322" s="279"/>
      <c r="W322" s="279"/>
      <c r="X322" s="279"/>
      <c r="Y322" s="279"/>
      <c r="Z322" s="279"/>
      <c r="AA322" s="279"/>
      <c r="AB322" s="279"/>
      <c r="AC322" s="279"/>
      <c r="AD322" s="279"/>
      <c r="AE322" s="279"/>
      <c r="AF322" s="279"/>
      <c r="AG322" s="279"/>
      <c r="AH322" s="279"/>
      <c r="AI322" s="279"/>
      <c r="AJ322" s="279"/>
      <c r="AK322" s="279"/>
      <c r="AL322" s="279"/>
      <c r="AM322" s="279"/>
      <c r="AN322" s="279"/>
      <c r="AO322" s="279"/>
      <c r="AP322" s="279"/>
      <c r="AQ322" s="279"/>
      <c r="AR322" s="279"/>
      <c r="AS322" s="279"/>
      <c r="AT322" s="279"/>
      <c r="AU322" s="279"/>
      <c r="AV322" s="279"/>
      <c r="AW322" s="279"/>
      <c r="AX322" s="279"/>
      <c r="AY322" s="279"/>
      <c r="AZ322" s="279"/>
      <c r="BA322" s="279"/>
      <c r="BB322" s="279"/>
      <c r="BC322" s="279"/>
      <c r="BD322" s="279"/>
      <c r="BE322" s="279"/>
      <c r="BF322" s="279"/>
      <c r="BG322" s="279"/>
      <c r="BH322" s="279"/>
      <c r="BI322" s="279"/>
      <c r="BJ322" s="279"/>
      <c r="BK322" s="279"/>
      <c r="BL322" s="279"/>
      <c r="BM322" s="279"/>
      <c r="BN322" s="279"/>
      <c r="BO322" s="279"/>
      <c r="BP322" s="279"/>
      <c r="BQ322" s="279"/>
    </row>
    <row r="323" ht="12.75" customHeight="1">
      <c r="A323" s="275"/>
      <c r="B323" s="28"/>
      <c r="C323" s="29"/>
      <c r="D323" s="29"/>
      <c r="E323" s="29"/>
      <c r="F323" s="29"/>
      <c r="G323" s="29"/>
      <c r="H323" s="29"/>
      <c r="I323" s="29"/>
      <c r="J323" s="29"/>
      <c r="K323" s="29"/>
      <c r="L323" s="29"/>
      <c r="M323" s="29"/>
      <c r="N323" s="29"/>
      <c r="O323" s="29"/>
      <c r="P323" s="29"/>
      <c r="Q323" s="29"/>
      <c r="R323" s="30"/>
      <c r="S323" s="279"/>
      <c r="T323" s="279"/>
      <c r="U323" s="279"/>
      <c r="V323" s="279"/>
      <c r="W323" s="279"/>
      <c r="X323" s="279"/>
      <c r="Y323" s="279"/>
      <c r="Z323" s="279"/>
      <c r="AA323" s="279"/>
      <c r="AB323" s="279"/>
      <c r="AC323" s="279"/>
      <c r="AD323" s="279"/>
      <c r="AE323" s="279"/>
      <c r="AF323" s="279"/>
      <c r="AG323" s="279"/>
      <c r="AH323" s="279"/>
      <c r="AI323" s="279"/>
      <c r="AJ323" s="279"/>
      <c r="AK323" s="279"/>
      <c r="AL323" s="279"/>
      <c r="AM323" s="279"/>
      <c r="AN323" s="279"/>
      <c r="AO323" s="279"/>
      <c r="AP323" s="279"/>
      <c r="AQ323" s="279"/>
      <c r="AR323" s="279"/>
      <c r="AS323" s="279"/>
      <c r="AT323" s="279"/>
      <c r="AU323" s="279"/>
      <c r="AV323" s="279"/>
      <c r="AW323" s="279"/>
      <c r="AX323" s="279"/>
      <c r="AY323" s="279"/>
      <c r="AZ323" s="279"/>
      <c r="BA323" s="279"/>
      <c r="BB323" s="279"/>
      <c r="BC323" s="279"/>
      <c r="BD323" s="279"/>
      <c r="BE323" s="279"/>
      <c r="BF323" s="279"/>
      <c r="BG323" s="279"/>
      <c r="BH323" s="279"/>
      <c r="BI323" s="279"/>
      <c r="BJ323" s="279"/>
      <c r="BK323" s="279"/>
      <c r="BL323" s="279"/>
      <c r="BM323" s="279"/>
      <c r="BN323" s="279"/>
      <c r="BO323" s="279"/>
      <c r="BP323" s="279"/>
      <c r="BQ323" s="279"/>
    </row>
    <row r="324" ht="12.75" customHeight="1">
      <c r="A324" s="269"/>
      <c r="B324" s="285" t="s">
        <v>620</v>
      </c>
      <c r="C324" s="286"/>
      <c r="D324" s="286"/>
      <c r="E324" s="286"/>
      <c r="F324" s="286"/>
      <c r="G324" s="286"/>
      <c r="H324" s="286"/>
      <c r="I324" s="286"/>
      <c r="J324" s="286"/>
      <c r="K324" s="286"/>
      <c r="L324" s="287"/>
      <c r="M324" s="290">
        <v>940.0</v>
      </c>
      <c r="N324" s="289"/>
      <c r="O324" s="15"/>
      <c r="P324" s="15"/>
      <c r="Q324" s="16"/>
      <c r="R324" s="398"/>
      <c r="S324" s="279"/>
      <c r="T324" s="279"/>
      <c r="U324" s="279"/>
      <c r="V324" s="279"/>
      <c r="W324" s="279"/>
      <c r="X324" s="279"/>
      <c r="Y324" s="279"/>
      <c r="Z324" s="279"/>
      <c r="AA324" s="279"/>
      <c r="AB324" s="279"/>
      <c r="AC324" s="279"/>
      <c r="AD324" s="279"/>
      <c r="AE324" s="279"/>
      <c r="AF324" s="279"/>
      <c r="AG324" s="279"/>
      <c r="AH324" s="279"/>
      <c r="AI324" s="279"/>
      <c r="AJ324" s="279"/>
      <c r="AK324" s="279"/>
      <c r="AL324" s="279"/>
      <c r="AM324" s="279"/>
      <c r="AN324" s="279"/>
      <c r="AO324" s="279"/>
      <c r="AP324" s="279"/>
      <c r="AQ324" s="279"/>
      <c r="AR324" s="279"/>
      <c r="AS324" s="279"/>
      <c r="AT324" s="279"/>
      <c r="AU324" s="279"/>
      <c r="AV324" s="279"/>
      <c r="AW324" s="279"/>
      <c r="AX324" s="279"/>
      <c r="AY324" s="279"/>
      <c r="AZ324" s="279"/>
      <c r="BA324" s="279"/>
      <c r="BB324" s="279"/>
      <c r="BC324" s="279"/>
      <c r="BD324" s="279"/>
      <c r="BE324" s="279"/>
      <c r="BF324" s="279"/>
      <c r="BG324" s="279"/>
      <c r="BH324" s="279"/>
      <c r="BI324" s="279"/>
      <c r="BJ324" s="279"/>
      <c r="BK324" s="279"/>
      <c r="BL324" s="279"/>
      <c r="BM324" s="279"/>
      <c r="BN324" s="279"/>
      <c r="BO324" s="279"/>
      <c r="BP324" s="279"/>
      <c r="BQ324" s="279"/>
    </row>
    <row r="325" ht="12.75" customHeight="1">
      <c r="A325" s="269"/>
      <c r="B325" s="285" t="s">
        <v>621</v>
      </c>
      <c r="C325" s="286"/>
      <c r="D325" s="286"/>
      <c r="E325" s="286"/>
      <c r="F325" s="286"/>
      <c r="G325" s="286"/>
      <c r="H325" s="286"/>
      <c r="I325" s="286"/>
      <c r="J325" s="286"/>
      <c r="K325" s="286"/>
      <c r="L325" s="287"/>
      <c r="M325" s="290">
        <v>938.0</v>
      </c>
      <c r="N325" s="289"/>
      <c r="O325" s="15"/>
      <c r="P325" s="15"/>
      <c r="Q325" s="16"/>
      <c r="R325" s="338" t="s">
        <v>281</v>
      </c>
      <c r="S325" s="279"/>
      <c r="T325" s="279"/>
      <c r="U325" s="279"/>
      <c r="V325" s="279"/>
      <c r="W325" s="279"/>
      <c r="X325" s="279"/>
      <c r="Y325" s="279"/>
      <c r="Z325" s="279"/>
      <c r="AA325" s="279"/>
      <c r="AB325" s="279"/>
      <c r="AC325" s="279"/>
      <c r="AD325" s="279"/>
      <c r="AE325" s="279"/>
      <c r="AF325" s="279"/>
      <c r="AG325" s="279"/>
      <c r="AH325" s="279"/>
      <c r="AI325" s="279"/>
      <c r="AJ325" s="279"/>
      <c r="AK325" s="279"/>
      <c r="AL325" s="279"/>
      <c r="AM325" s="279"/>
      <c r="AN325" s="279"/>
      <c r="AO325" s="279"/>
      <c r="AP325" s="279"/>
      <c r="AQ325" s="279"/>
      <c r="AR325" s="279"/>
      <c r="AS325" s="279"/>
      <c r="AT325" s="279"/>
      <c r="AU325" s="279"/>
      <c r="AV325" s="279"/>
      <c r="AW325" s="279"/>
      <c r="AX325" s="279"/>
      <c r="AY325" s="279"/>
      <c r="AZ325" s="279"/>
      <c r="BA325" s="279"/>
      <c r="BB325" s="279"/>
      <c r="BC325" s="279"/>
      <c r="BD325" s="279"/>
      <c r="BE325" s="279"/>
      <c r="BF325" s="279"/>
      <c r="BG325" s="279"/>
      <c r="BH325" s="279"/>
      <c r="BI325" s="279"/>
      <c r="BJ325" s="279"/>
      <c r="BK325" s="279"/>
      <c r="BL325" s="279"/>
      <c r="BM325" s="279"/>
      <c r="BN325" s="279"/>
      <c r="BO325" s="279"/>
      <c r="BP325" s="279"/>
      <c r="BQ325" s="279"/>
    </row>
    <row r="326" ht="12.75" customHeight="1">
      <c r="A326" s="269"/>
      <c r="B326" s="285" t="s">
        <v>622</v>
      </c>
      <c r="C326" s="286"/>
      <c r="D326" s="286"/>
      <c r="E326" s="286"/>
      <c r="F326" s="286"/>
      <c r="G326" s="286"/>
      <c r="H326" s="286"/>
      <c r="I326" s="286"/>
      <c r="J326" s="286"/>
      <c r="K326" s="286"/>
      <c r="L326" s="287"/>
      <c r="M326" s="290">
        <v>949.0</v>
      </c>
      <c r="N326" s="289"/>
      <c r="O326" s="15"/>
      <c r="P326" s="15"/>
      <c r="Q326" s="16"/>
      <c r="R326" s="338" t="s">
        <v>281</v>
      </c>
      <c r="S326" s="279"/>
      <c r="T326" s="279"/>
      <c r="U326" s="279"/>
      <c r="V326" s="279"/>
      <c r="W326" s="279"/>
      <c r="X326" s="279"/>
      <c r="Y326" s="279"/>
      <c r="Z326" s="279"/>
      <c r="AA326" s="279"/>
      <c r="AB326" s="279"/>
      <c r="AC326" s="279"/>
      <c r="AD326" s="279"/>
      <c r="AE326" s="279"/>
      <c r="AF326" s="279"/>
      <c r="AG326" s="279"/>
      <c r="AH326" s="279"/>
      <c r="AI326" s="279"/>
      <c r="AJ326" s="279"/>
      <c r="AK326" s="279"/>
      <c r="AL326" s="279"/>
      <c r="AM326" s="279"/>
      <c r="AN326" s="279"/>
      <c r="AO326" s="279"/>
      <c r="AP326" s="279"/>
      <c r="AQ326" s="279"/>
      <c r="AR326" s="279"/>
      <c r="AS326" s="279"/>
      <c r="AT326" s="279"/>
      <c r="AU326" s="279"/>
      <c r="AV326" s="279"/>
      <c r="AW326" s="279"/>
      <c r="AX326" s="279"/>
      <c r="AY326" s="279"/>
      <c r="AZ326" s="279"/>
      <c r="BA326" s="279"/>
      <c r="BB326" s="279"/>
      <c r="BC326" s="279"/>
      <c r="BD326" s="279"/>
      <c r="BE326" s="279"/>
      <c r="BF326" s="279"/>
      <c r="BG326" s="279"/>
      <c r="BH326" s="279"/>
      <c r="BI326" s="279"/>
      <c r="BJ326" s="279"/>
      <c r="BK326" s="279"/>
      <c r="BL326" s="279"/>
      <c r="BM326" s="279"/>
      <c r="BN326" s="279"/>
      <c r="BO326" s="279"/>
      <c r="BP326" s="279"/>
      <c r="BQ326" s="279"/>
    </row>
    <row r="327" ht="12.75" customHeight="1">
      <c r="A327" s="269"/>
      <c r="B327" s="285" t="s">
        <v>623</v>
      </c>
      <c r="C327" s="286"/>
      <c r="D327" s="286"/>
      <c r="E327" s="286"/>
      <c r="F327" s="286"/>
      <c r="G327" s="286"/>
      <c r="H327" s="286"/>
      <c r="I327" s="286"/>
      <c r="J327" s="286"/>
      <c r="K327" s="286"/>
      <c r="L327" s="287"/>
      <c r="M327" s="290">
        <v>950.0</v>
      </c>
      <c r="N327" s="289"/>
      <c r="O327" s="15"/>
      <c r="P327" s="15"/>
      <c r="Q327" s="16"/>
      <c r="R327" s="338" t="s">
        <v>312</v>
      </c>
      <c r="S327" s="279"/>
      <c r="T327" s="279"/>
      <c r="U327" s="279"/>
      <c r="V327" s="279"/>
      <c r="W327" s="279"/>
      <c r="X327" s="279"/>
      <c r="Y327" s="279"/>
      <c r="Z327" s="279"/>
      <c r="AA327" s="279"/>
      <c r="AB327" s="279"/>
      <c r="AC327" s="279"/>
      <c r="AD327" s="279"/>
      <c r="AE327" s="279"/>
      <c r="AF327" s="279"/>
      <c r="AG327" s="279"/>
      <c r="AH327" s="279"/>
      <c r="AI327" s="279"/>
      <c r="AJ327" s="279"/>
      <c r="AK327" s="279"/>
      <c r="AL327" s="279"/>
      <c r="AM327" s="279"/>
      <c r="AN327" s="279"/>
      <c r="AO327" s="279"/>
      <c r="AP327" s="279"/>
      <c r="AQ327" s="279"/>
      <c r="AR327" s="279"/>
      <c r="AS327" s="279"/>
      <c r="AT327" s="279"/>
      <c r="AU327" s="279"/>
      <c r="AV327" s="279"/>
      <c r="AW327" s="279"/>
      <c r="AX327" s="279"/>
      <c r="AY327" s="279"/>
      <c r="AZ327" s="279"/>
      <c r="BA327" s="279"/>
      <c r="BB327" s="279"/>
      <c r="BC327" s="279"/>
      <c r="BD327" s="279"/>
      <c r="BE327" s="279"/>
      <c r="BF327" s="279"/>
      <c r="BG327" s="279"/>
      <c r="BH327" s="279"/>
      <c r="BI327" s="279"/>
      <c r="BJ327" s="279"/>
      <c r="BK327" s="279"/>
      <c r="BL327" s="279"/>
      <c r="BM327" s="279"/>
      <c r="BN327" s="279"/>
      <c r="BO327" s="279"/>
      <c r="BP327" s="279"/>
      <c r="BQ327" s="279"/>
    </row>
    <row r="328" ht="12.75" customHeight="1">
      <c r="A328" s="269"/>
      <c r="B328" s="285" t="s">
        <v>624</v>
      </c>
      <c r="C328" s="286"/>
      <c r="D328" s="286"/>
      <c r="E328" s="286"/>
      <c r="F328" s="286"/>
      <c r="G328" s="286"/>
      <c r="H328" s="286"/>
      <c r="I328" s="286"/>
      <c r="J328" s="286"/>
      <c r="K328" s="286"/>
      <c r="L328" s="287"/>
      <c r="M328" s="290">
        <v>1066.0</v>
      </c>
      <c r="N328" s="289">
        <f>+$N$325+$N$326-$N$327</f>
        <v>0</v>
      </c>
      <c r="O328" s="15"/>
      <c r="P328" s="15"/>
      <c r="Q328" s="16"/>
      <c r="R328" s="338" t="s">
        <v>317</v>
      </c>
      <c r="S328" s="279"/>
      <c r="T328" s="279"/>
      <c r="U328" s="279"/>
      <c r="V328" s="279"/>
      <c r="W328" s="279"/>
      <c r="X328" s="279"/>
      <c r="Y328" s="279"/>
      <c r="Z328" s="279"/>
      <c r="AA328" s="279"/>
      <c r="AB328" s="279"/>
      <c r="AC328" s="279"/>
      <c r="AD328" s="279"/>
      <c r="AE328" s="279"/>
      <c r="AF328" s="279"/>
      <c r="AG328" s="279"/>
      <c r="AH328" s="279"/>
      <c r="AI328" s="279"/>
      <c r="AJ328" s="279"/>
      <c r="AK328" s="279"/>
      <c r="AL328" s="279"/>
      <c r="AM328" s="279"/>
      <c r="AN328" s="279"/>
      <c r="AO328" s="279"/>
      <c r="AP328" s="279"/>
      <c r="AQ328" s="279"/>
      <c r="AR328" s="279"/>
      <c r="AS328" s="279"/>
      <c r="AT328" s="279"/>
      <c r="AU328" s="279"/>
      <c r="AV328" s="279"/>
      <c r="AW328" s="279"/>
      <c r="AX328" s="279"/>
      <c r="AY328" s="279"/>
      <c r="AZ328" s="279"/>
      <c r="BA328" s="279"/>
      <c r="BB328" s="279"/>
      <c r="BC328" s="279"/>
      <c r="BD328" s="279"/>
      <c r="BE328" s="279"/>
      <c r="BF328" s="279"/>
      <c r="BG328" s="279"/>
      <c r="BH328" s="279"/>
      <c r="BI328" s="279"/>
      <c r="BJ328" s="279"/>
      <c r="BK328" s="279"/>
      <c r="BL328" s="279"/>
      <c r="BM328" s="279"/>
      <c r="BN328" s="279"/>
      <c r="BO328" s="279"/>
      <c r="BP328" s="279"/>
      <c r="BQ328" s="279"/>
    </row>
    <row r="329" ht="12.75" customHeight="1">
      <c r="A329" s="269"/>
      <c r="B329" s="279"/>
      <c r="C329" s="279"/>
      <c r="D329" s="279"/>
      <c r="E329" s="279"/>
      <c r="F329" s="279"/>
      <c r="G329" s="279"/>
      <c r="H329" s="279"/>
      <c r="I329" s="279"/>
      <c r="J329" s="279"/>
      <c r="K329" s="279"/>
      <c r="L329" s="279"/>
      <c r="M329" s="279"/>
      <c r="N329" s="279"/>
      <c r="O329" s="6"/>
      <c r="P329" s="279"/>
      <c r="Q329" s="279"/>
      <c r="R329" s="279"/>
      <c r="S329" s="279"/>
      <c r="T329" s="279"/>
      <c r="U329" s="279"/>
      <c r="V329" s="279"/>
      <c r="W329" s="279"/>
      <c r="X329" s="279"/>
      <c r="Y329" s="279"/>
      <c r="Z329" s="279"/>
      <c r="AA329" s="279"/>
      <c r="AB329" s="279"/>
      <c r="AC329" s="279"/>
      <c r="AD329" s="279"/>
      <c r="AE329" s="279"/>
      <c r="AF329" s="279"/>
      <c r="AG329" s="279"/>
      <c r="AH329" s="279"/>
      <c r="AI329" s="279"/>
      <c r="AJ329" s="279"/>
      <c r="AK329" s="279"/>
      <c r="AL329" s="279"/>
      <c r="AM329" s="279"/>
      <c r="AN329" s="279"/>
      <c r="AO329" s="279"/>
      <c r="AP329" s="279"/>
      <c r="AQ329" s="279"/>
      <c r="AR329" s="279"/>
      <c r="AS329" s="279"/>
      <c r="AT329" s="279"/>
      <c r="AU329" s="279"/>
      <c r="AV329" s="279"/>
      <c r="AW329" s="279"/>
      <c r="AX329" s="279"/>
      <c r="AY329" s="279"/>
      <c r="AZ329" s="279"/>
      <c r="BA329" s="279"/>
      <c r="BB329" s="279"/>
      <c r="BC329" s="279"/>
      <c r="BD329" s="279"/>
      <c r="BE329" s="279"/>
      <c r="BF329" s="279"/>
      <c r="BG329" s="279"/>
      <c r="BH329" s="279"/>
      <c r="BI329" s="279"/>
      <c r="BJ329" s="279"/>
      <c r="BK329" s="279"/>
      <c r="BL329" s="279"/>
      <c r="BM329" s="279"/>
      <c r="BN329" s="279"/>
      <c r="BO329" s="279"/>
      <c r="BP329" s="279"/>
      <c r="BQ329" s="279"/>
    </row>
    <row r="330" ht="12.75" customHeight="1">
      <c r="A330" s="275"/>
      <c r="B330" s="370" t="s">
        <v>625</v>
      </c>
      <c r="C330" s="22"/>
      <c r="D330" s="22"/>
      <c r="E330" s="22"/>
      <c r="F330" s="22"/>
      <c r="G330" s="22"/>
      <c r="H330" s="22"/>
      <c r="I330" s="22"/>
      <c r="J330" s="22"/>
      <c r="K330" s="22"/>
      <c r="L330" s="22"/>
      <c r="M330" s="22"/>
      <c r="N330" s="22"/>
      <c r="O330" s="22"/>
      <c r="P330" s="22"/>
      <c r="Q330" s="22"/>
      <c r="R330" s="23"/>
      <c r="S330" s="279"/>
      <c r="T330" s="279"/>
      <c r="U330" s="279"/>
      <c r="V330" s="279"/>
      <c r="W330" s="279"/>
      <c r="X330" s="279"/>
      <c r="Y330" s="279"/>
      <c r="Z330" s="279"/>
      <c r="AA330" s="279"/>
      <c r="AB330" s="279"/>
      <c r="AC330" s="279"/>
      <c r="AD330" s="279"/>
      <c r="AE330" s="279"/>
      <c r="AF330" s="279"/>
      <c r="AG330" s="279"/>
      <c r="AH330" s="279"/>
      <c r="AI330" s="279"/>
      <c r="AJ330" s="279"/>
      <c r="AK330" s="279"/>
      <c r="AL330" s="279"/>
      <c r="AM330" s="279"/>
      <c r="AN330" s="279"/>
      <c r="AO330" s="279"/>
      <c r="AP330" s="279"/>
      <c r="AQ330" s="279"/>
      <c r="AR330" s="279"/>
      <c r="AS330" s="279"/>
      <c r="AT330" s="279"/>
      <c r="AU330" s="279"/>
      <c r="AV330" s="279"/>
      <c r="AW330" s="279"/>
      <c r="AX330" s="279"/>
      <c r="AY330" s="279"/>
      <c r="AZ330" s="279"/>
      <c r="BA330" s="279"/>
      <c r="BB330" s="279"/>
      <c r="BC330" s="279"/>
      <c r="BD330" s="279"/>
      <c r="BE330" s="279"/>
      <c r="BF330" s="279"/>
      <c r="BG330" s="279"/>
      <c r="BH330" s="279"/>
      <c r="BI330" s="279"/>
      <c r="BJ330" s="279"/>
      <c r="BK330" s="279"/>
      <c r="BL330" s="279"/>
      <c r="BM330" s="279"/>
      <c r="BN330" s="279"/>
      <c r="BO330" s="279"/>
      <c r="BP330" s="279"/>
      <c r="BQ330" s="279"/>
    </row>
    <row r="331" ht="12.75" customHeight="1">
      <c r="A331" s="275"/>
      <c r="B331" s="28"/>
      <c r="C331" s="29"/>
      <c r="D331" s="29"/>
      <c r="E331" s="29"/>
      <c r="F331" s="29"/>
      <c r="G331" s="29"/>
      <c r="H331" s="29"/>
      <c r="I331" s="29"/>
      <c r="J331" s="29"/>
      <c r="K331" s="29"/>
      <c r="L331" s="29"/>
      <c r="M331" s="29"/>
      <c r="N331" s="29"/>
      <c r="O331" s="29"/>
      <c r="P331" s="29"/>
      <c r="Q331" s="29"/>
      <c r="R331" s="30"/>
      <c r="S331" s="279"/>
      <c r="T331" s="279"/>
      <c r="U331" s="279"/>
      <c r="V331" s="279"/>
      <c r="W331" s="279"/>
      <c r="X331" s="279"/>
      <c r="Y331" s="279"/>
      <c r="Z331" s="279"/>
      <c r="AA331" s="279"/>
      <c r="AB331" s="279"/>
      <c r="AC331" s="279"/>
      <c r="AD331" s="279"/>
      <c r="AE331" s="279"/>
      <c r="AF331" s="279"/>
      <c r="AG331" s="279"/>
      <c r="AH331" s="279"/>
      <c r="AI331" s="279"/>
      <c r="AJ331" s="279"/>
      <c r="AK331" s="279"/>
      <c r="AL331" s="279"/>
      <c r="AM331" s="279"/>
      <c r="AN331" s="279"/>
      <c r="AO331" s="279"/>
      <c r="AP331" s="279"/>
      <c r="AQ331" s="279"/>
      <c r="AR331" s="279"/>
      <c r="AS331" s="279"/>
      <c r="AT331" s="279"/>
      <c r="AU331" s="279"/>
      <c r="AV331" s="279"/>
      <c r="AW331" s="279"/>
      <c r="AX331" s="279"/>
      <c r="AY331" s="279"/>
      <c r="AZ331" s="279"/>
      <c r="BA331" s="279"/>
      <c r="BB331" s="279"/>
      <c r="BC331" s="279"/>
      <c r="BD331" s="279"/>
      <c r="BE331" s="279"/>
      <c r="BF331" s="279"/>
      <c r="BG331" s="279"/>
      <c r="BH331" s="279"/>
      <c r="BI331" s="279"/>
      <c r="BJ331" s="279"/>
      <c r="BK331" s="279"/>
      <c r="BL331" s="279"/>
      <c r="BM331" s="279"/>
      <c r="BN331" s="279"/>
      <c r="BO331" s="279"/>
      <c r="BP331" s="279"/>
      <c r="BQ331" s="279"/>
    </row>
    <row r="332" ht="12.75" customHeight="1">
      <c r="A332" s="269"/>
      <c r="B332" s="312" t="s">
        <v>626</v>
      </c>
      <c r="C332" s="312"/>
      <c r="D332" s="312"/>
      <c r="E332" s="312"/>
      <c r="F332" s="312"/>
      <c r="G332" s="312"/>
      <c r="H332" s="312"/>
      <c r="I332" s="312"/>
      <c r="J332" s="312"/>
      <c r="K332" s="312"/>
      <c r="L332" s="312"/>
      <c r="M332" s="399">
        <v>884.0</v>
      </c>
      <c r="N332" s="289"/>
      <c r="O332" s="15"/>
      <c r="P332" s="15"/>
      <c r="Q332" s="16"/>
      <c r="R332" s="400"/>
      <c r="S332" s="279"/>
      <c r="T332" s="279"/>
      <c r="U332" s="279"/>
      <c r="V332" s="279"/>
      <c r="W332" s="279"/>
      <c r="X332" s="279"/>
      <c r="Y332" s="279"/>
      <c r="Z332" s="279"/>
      <c r="AA332" s="279"/>
      <c r="AB332" s="279"/>
      <c r="AC332" s="279"/>
      <c r="AD332" s="279"/>
      <c r="AE332" s="279"/>
      <c r="AF332" s="279"/>
      <c r="AG332" s="279"/>
      <c r="AH332" s="279"/>
      <c r="AI332" s="279"/>
      <c r="AJ332" s="279"/>
      <c r="AK332" s="279"/>
      <c r="AL332" s="279"/>
      <c r="AM332" s="279"/>
      <c r="AN332" s="279"/>
      <c r="AO332" s="279"/>
      <c r="AP332" s="279"/>
      <c r="AQ332" s="279"/>
      <c r="AR332" s="279"/>
      <c r="AS332" s="279"/>
      <c r="AT332" s="279"/>
      <c r="AU332" s="279"/>
      <c r="AV332" s="279"/>
      <c r="AW332" s="279"/>
      <c r="AX332" s="279"/>
      <c r="AY332" s="279"/>
      <c r="AZ332" s="279"/>
      <c r="BA332" s="279"/>
      <c r="BB332" s="279"/>
      <c r="BC332" s="279"/>
      <c r="BD332" s="279"/>
      <c r="BE332" s="279"/>
      <c r="BF332" s="279"/>
      <c r="BG332" s="279"/>
      <c r="BH332" s="279"/>
      <c r="BI332" s="279"/>
      <c r="BJ332" s="279"/>
      <c r="BK332" s="279"/>
      <c r="BL332" s="279"/>
      <c r="BM332" s="279"/>
      <c r="BN332" s="279"/>
      <c r="BO332" s="279"/>
      <c r="BP332" s="279"/>
      <c r="BQ332" s="279"/>
    </row>
    <row r="333" ht="12.75" customHeight="1">
      <c r="A333" s="269"/>
      <c r="B333" s="312" t="s">
        <v>627</v>
      </c>
      <c r="C333" s="312"/>
      <c r="D333" s="312"/>
      <c r="E333" s="312"/>
      <c r="F333" s="312"/>
      <c r="G333" s="312"/>
      <c r="H333" s="312"/>
      <c r="I333" s="312"/>
      <c r="J333" s="312"/>
      <c r="K333" s="312"/>
      <c r="L333" s="312"/>
      <c r="M333" s="399">
        <v>885.0</v>
      </c>
      <c r="N333" s="289"/>
      <c r="O333" s="15"/>
      <c r="P333" s="15"/>
      <c r="Q333" s="16"/>
      <c r="R333" s="400"/>
      <c r="S333" s="279"/>
      <c r="T333" s="279"/>
      <c r="U333" s="279"/>
      <c r="V333" s="279"/>
      <c r="W333" s="279"/>
      <c r="X333" s="279"/>
      <c r="Y333" s="279"/>
      <c r="Z333" s="279"/>
      <c r="AA333" s="279"/>
      <c r="AB333" s="279"/>
      <c r="AC333" s="279"/>
      <c r="AD333" s="279"/>
      <c r="AE333" s="279"/>
      <c r="AF333" s="279"/>
      <c r="AG333" s="279"/>
      <c r="AH333" s="279"/>
      <c r="AI333" s="279"/>
      <c r="AJ333" s="279"/>
      <c r="AK333" s="279"/>
      <c r="AL333" s="279"/>
      <c r="AM333" s="279"/>
      <c r="AN333" s="279"/>
      <c r="AO333" s="279"/>
      <c r="AP333" s="279"/>
      <c r="AQ333" s="279"/>
      <c r="AR333" s="279"/>
      <c r="AS333" s="279"/>
      <c r="AT333" s="279"/>
      <c r="AU333" s="279"/>
      <c r="AV333" s="279"/>
      <c r="AW333" s="279"/>
      <c r="AX333" s="279"/>
      <c r="AY333" s="279"/>
      <c r="AZ333" s="279"/>
      <c r="BA333" s="279"/>
      <c r="BB333" s="279"/>
      <c r="BC333" s="279"/>
      <c r="BD333" s="279"/>
      <c r="BE333" s="279"/>
      <c r="BF333" s="279"/>
      <c r="BG333" s="279"/>
      <c r="BH333" s="279"/>
      <c r="BI333" s="279"/>
      <c r="BJ333" s="279"/>
      <c r="BK333" s="279"/>
      <c r="BL333" s="279"/>
      <c r="BM333" s="279"/>
      <c r="BN333" s="279"/>
      <c r="BO333" s="279"/>
      <c r="BP333" s="279"/>
      <c r="BQ333" s="279"/>
    </row>
    <row r="334" ht="12.75" customHeight="1">
      <c r="A334" s="269"/>
      <c r="B334" s="312" t="s">
        <v>628</v>
      </c>
      <c r="C334" s="312"/>
      <c r="D334" s="312"/>
      <c r="E334" s="312"/>
      <c r="F334" s="312"/>
      <c r="G334" s="312"/>
      <c r="H334" s="312"/>
      <c r="I334" s="312"/>
      <c r="J334" s="312"/>
      <c r="K334" s="312"/>
      <c r="L334" s="312"/>
      <c r="M334" s="399">
        <v>886.0</v>
      </c>
      <c r="N334" s="289"/>
      <c r="O334" s="15"/>
      <c r="P334" s="15"/>
      <c r="Q334" s="16"/>
      <c r="R334" s="400"/>
      <c r="S334" s="279"/>
      <c r="T334" s="279"/>
      <c r="U334" s="279"/>
      <c r="V334" s="279"/>
      <c r="W334" s="279"/>
      <c r="X334" s="279"/>
      <c r="Y334" s="279"/>
      <c r="Z334" s="279"/>
      <c r="AA334" s="279"/>
      <c r="AB334" s="279"/>
      <c r="AC334" s="279"/>
      <c r="AD334" s="279"/>
      <c r="AE334" s="279"/>
      <c r="AF334" s="279"/>
      <c r="AG334" s="279"/>
      <c r="AH334" s="279"/>
      <c r="AI334" s="279"/>
      <c r="AJ334" s="279"/>
      <c r="AK334" s="279"/>
      <c r="AL334" s="279"/>
      <c r="AM334" s="279"/>
      <c r="AN334" s="279"/>
      <c r="AO334" s="279"/>
      <c r="AP334" s="279"/>
      <c r="AQ334" s="279"/>
      <c r="AR334" s="279"/>
      <c r="AS334" s="279"/>
      <c r="AT334" s="279"/>
      <c r="AU334" s="279"/>
      <c r="AV334" s="279"/>
      <c r="AW334" s="279"/>
      <c r="AX334" s="279"/>
      <c r="AY334" s="279"/>
      <c r="AZ334" s="279"/>
      <c r="BA334" s="279"/>
      <c r="BB334" s="279"/>
      <c r="BC334" s="279"/>
      <c r="BD334" s="279"/>
      <c r="BE334" s="279"/>
      <c r="BF334" s="279"/>
      <c r="BG334" s="279"/>
      <c r="BH334" s="279"/>
      <c r="BI334" s="279"/>
      <c r="BJ334" s="279"/>
      <c r="BK334" s="279"/>
      <c r="BL334" s="279"/>
      <c r="BM334" s="279"/>
      <c r="BN334" s="279"/>
      <c r="BO334" s="279"/>
      <c r="BP334" s="279"/>
      <c r="BQ334" s="279"/>
    </row>
    <row r="335" ht="12.75" customHeight="1">
      <c r="A335" s="269"/>
      <c r="B335" s="312" t="s">
        <v>629</v>
      </c>
      <c r="C335" s="312"/>
      <c r="D335" s="312"/>
      <c r="E335" s="312"/>
      <c r="F335" s="312"/>
      <c r="G335" s="312"/>
      <c r="H335" s="312"/>
      <c r="I335" s="312"/>
      <c r="J335" s="312"/>
      <c r="K335" s="312"/>
      <c r="L335" s="312"/>
      <c r="M335" s="399">
        <v>985.0</v>
      </c>
      <c r="N335" s="289"/>
      <c r="O335" s="15"/>
      <c r="P335" s="15"/>
      <c r="Q335" s="16"/>
      <c r="R335" s="400"/>
      <c r="S335" s="279"/>
      <c r="T335" s="279"/>
      <c r="U335" s="279"/>
      <c r="V335" s="279"/>
      <c r="W335" s="279"/>
      <c r="X335" s="279"/>
      <c r="Y335" s="279"/>
      <c r="Z335" s="279"/>
      <c r="AA335" s="279"/>
      <c r="AB335" s="279"/>
      <c r="AC335" s="279"/>
      <c r="AD335" s="279"/>
      <c r="AE335" s="279"/>
      <c r="AF335" s="279"/>
      <c r="AG335" s="279"/>
      <c r="AH335" s="279"/>
      <c r="AI335" s="279"/>
      <c r="AJ335" s="279"/>
      <c r="AK335" s="279"/>
      <c r="AL335" s="279"/>
      <c r="AM335" s="279"/>
      <c r="AN335" s="279"/>
      <c r="AO335" s="279"/>
      <c r="AP335" s="279"/>
      <c r="AQ335" s="279"/>
      <c r="AR335" s="279"/>
      <c r="AS335" s="279"/>
      <c r="AT335" s="279"/>
      <c r="AU335" s="279"/>
      <c r="AV335" s="279"/>
      <c r="AW335" s="279"/>
      <c r="AX335" s="279"/>
      <c r="AY335" s="279"/>
      <c r="AZ335" s="279"/>
      <c r="BA335" s="279"/>
      <c r="BB335" s="279"/>
      <c r="BC335" s="279"/>
      <c r="BD335" s="279"/>
      <c r="BE335" s="279"/>
      <c r="BF335" s="279"/>
      <c r="BG335" s="279"/>
      <c r="BH335" s="279"/>
      <c r="BI335" s="279"/>
      <c r="BJ335" s="279"/>
      <c r="BK335" s="279"/>
      <c r="BL335" s="279"/>
      <c r="BM335" s="279"/>
      <c r="BN335" s="279"/>
      <c r="BO335" s="279"/>
      <c r="BP335" s="279"/>
      <c r="BQ335" s="279"/>
    </row>
    <row r="336" ht="12.75" customHeight="1">
      <c r="A336" s="269"/>
      <c r="B336" s="285" t="s">
        <v>630</v>
      </c>
      <c r="C336" s="286"/>
      <c r="D336" s="286"/>
      <c r="E336" s="286"/>
      <c r="F336" s="286"/>
      <c r="G336" s="286"/>
      <c r="H336" s="286"/>
      <c r="I336" s="286"/>
      <c r="J336" s="286"/>
      <c r="K336" s="286"/>
      <c r="L336" s="287"/>
      <c r="M336" s="399">
        <v>887.0</v>
      </c>
      <c r="N336" s="289"/>
      <c r="O336" s="15"/>
      <c r="P336" s="15"/>
      <c r="Q336" s="16"/>
      <c r="R336" s="400"/>
      <c r="S336" s="279"/>
      <c r="T336" s="279"/>
      <c r="U336" s="279"/>
      <c r="V336" s="279"/>
      <c r="W336" s="279"/>
      <c r="X336" s="279"/>
      <c r="Y336" s="279"/>
      <c r="Z336" s="279"/>
      <c r="AA336" s="279"/>
      <c r="AB336" s="279"/>
      <c r="AC336" s="279"/>
      <c r="AD336" s="279"/>
      <c r="AE336" s="279"/>
      <c r="AF336" s="279"/>
      <c r="AG336" s="279"/>
      <c r="AH336" s="279"/>
      <c r="AI336" s="279"/>
      <c r="AJ336" s="279"/>
      <c r="AK336" s="279"/>
      <c r="AL336" s="279"/>
      <c r="AM336" s="279"/>
      <c r="AN336" s="279"/>
      <c r="AO336" s="279"/>
      <c r="AP336" s="279"/>
      <c r="AQ336" s="279"/>
      <c r="AR336" s="279"/>
      <c r="AS336" s="279"/>
      <c r="AT336" s="279"/>
      <c r="AU336" s="279"/>
      <c r="AV336" s="279"/>
      <c r="AW336" s="279"/>
      <c r="AX336" s="279"/>
      <c r="AY336" s="279"/>
      <c r="AZ336" s="279"/>
      <c r="BA336" s="279"/>
      <c r="BB336" s="279"/>
      <c r="BC336" s="279"/>
      <c r="BD336" s="279"/>
      <c r="BE336" s="279"/>
      <c r="BF336" s="279"/>
      <c r="BG336" s="279"/>
      <c r="BH336" s="279"/>
      <c r="BI336" s="279"/>
      <c r="BJ336" s="279"/>
      <c r="BK336" s="279"/>
      <c r="BL336" s="279"/>
      <c r="BM336" s="279"/>
      <c r="BN336" s="279"/>
      <c r="BO336" s="279"/>
      <c r="BP336" s="279"/>
      <c r="BQ336" s="279"/>
    </row>
    <row r="337" ht="12.75" customHeight="1">
      <c r="A337" s="275"/>
      <c r="B337" s="387"/>
      <c r="C337" s="387"/>
      <c r="D337" s="387"/>
      <c r="E337" s="387"/>
      <c r="F337" s="387"/>
      <c r="G337" s="387"/>
      <c r="H337" s="387"/>
      <c r="I337" s="387"/>
      <c r="J337" s="387"/>
      <c r="K337" s="387"/>
      <c r="L337" s="387"/>
      <c r="M337" s="387"/>
      <c r="N337" s="387"/>
      <c r="O337" s="387"/>
      <c r="P337" s="387"/>
      <c r="Q337" s="387"/>
      <c r="R337" s="387"/>
      <c r="S337" s="279"/>
      <c r="T337" s="279"/>
      <c r="U337" s="279"/>
      <c r="V337" s="279"/>
      <c r="W337" s="279"/>
      <c r="X337" s="279"/>
      <c r="Y337" s="279"/>
      <c r="Z337" s="279"/>
      <c r="AA337" s="279"/>
      <c r="AB337" s="279"/>
      <c r="AC337" s="279"/>
      <c r="AD337" s="279"/>
      <c r="AE337" s="279"/>
      <c r="AF337" s="279"/>
      <c r="AG337" s="279"/>
      <c r="AH337" s="279"/>
      <c r="AI337" s="279"/>
      <c r="AJ337" s="279"/>
      <c r="AK337" s="279"/>
      <c r="AL337" s="279"/>
      <c r="AM337" s="279"/>
      <c r="AN337" s="279"/>
      <c r="AO337" s="279"/>
      <c r="AP337" s="279"/>
      <c r="AQ337" s="279"/>
      <c r="AR337" s="279"/>
      <c r="AS337" s="279"/>
      <c r="AT337" s="279"/>
      <c r="AU337" s="279"/>
      <c r="AV337" s="279"/>
      <c r="AW337" s="279"/>
      <c r="AX337" s="279"/>
      <c r="AY337" s="279"/>
      <c r="AZ337" s="279"/>
      <c r="BA337" s="279"/>
      <c r="BB337" s="279"/>
      <c r="BC337" s="279"/>
      <c r="BD337" s="279"/>
      <c r="BE337" s="279"/>
      <c r="BF337" s="279"/>
      <c r="BG337" s="279"/>
      <c r="BH337" s="279"/>
      <c r="BI337" s="279"/>
      <c r="BJ337" s="279"/>
      <c r="BK337" s="279"/>
      <c r="BL337" s="279"/>
      <c r="BM337" s="279"/>
      <c r="BN337" s="279"/>
      <c r="BO337" s="279"/>
      <c r="BP337" s="279"/>
      <c r="BQ337" s="279"/>
    </row>
    <row r="338" ht="12.75" hidden="1" customHeight="1">
      <c r="A338" s="275"/>
      <c r="B338" s="388" t="s">
        <v>631</v>
      </c>
      <c r="C338" s="22"/>
      <c r="D338" s="22"/>
      <c r="E338" s="22"/>
      <c r="F338" s="22"/>
      <c r="G338" s="22"/>
      <c r="H338" s="22"/>
      <c r="I338" s="22"/>
      <c r="J338" s="22"/>
      <c r="K338" s="22"/>
      <c r="L338" s="22"/>
      <c r="M338" s="22"/>
      <c r="N338" s="22"/>
      <c r="O338" s="22"/>
      <c r="P338" s="22"/>
      <c r="Q338" s="22"/>
      <c r="R338" s="23"/>
      <c r="S338" s="279"/>
      <c r="T338" s="279"/>
      <c r="U338" s="279"/>
      <c r="V338" s="279"/>
      <c r="W338" s="279"/>
      <c r="X338" s="279"/>
      <c r="Y338" s="279"/>
      <c r="Z338" s="279"/>
      <c r="AA338" s="279"/>
      <c r="AB338" s="279"/>
      <c r="AC338" s="279"/>
      <c r="AD338" s="279"/>
      <c r="AE338" s="279"/>
      <c r="AF338" s="279"/>
      <c r="AG338" s="279"/>
      <c r="AH338" s="279"/>
      <c r="AI338" s="279"/>
      <c r="AJ338" s="279"/>
      <c r="AK338" s="279"/>
      <c r="AL338" s="279"/>
      <c r="AM338" s="279"/>
      <c r="AN338" s="279"/>
      <c r="AO338" s="279"/>
      <c r="AP338" s="279"/>
      <c r="AQ338" s="279"/>
      <c r="AR338" s="279"/>
      <c r="AS338" s="279"/>
      <c r="AT338" s="279"/>
      <c r="AU338" s="279"/>
      <c r="AV338" s="279"/>
      <c r="AW338" s="279"/>
      <c r="AX338" s="279"/>
      <c r="AY338" s="279"/>
      <c r="AZ338" s="279"/>
      <c r="BA338" s="279"/>
      <c r="BB338" s="279"/>
      <c r="BC338" s="279"/>
      <c r="BD338" s="279"/>
      <c r="BE338" s="279"/>
      <c r="BF338" s="279"/>
      <c r="BG338" s="279"/>
      <c r="BH338" s="279"/>
      <c r="BI338" s="279"/>
      <c r="BJ338" s="279"/>
      <c r="BK338" s="279"/>
      <c r="BL338" s="279"/>
      <c r="BM338" s="279"/>
      <c r="BN338" s="279"/>
      <c r="BO338" s="279"/>
      <c r="BP338" s="279"/>
      <c r="BQ338" s="279"/>
    </row>
    <row r="339" ht="12.75" hidden="1" customHeight="1">
      <c r="A339" s="275"/>
      <c r="B339" s="28"/>
      <c r="C339" s="29"/>
      <c r="D339" s="29"/>
      <c r="E339" s="29"/>
      <c r="F339" s="29"/>
      <c r="G339" s="29"/>
      <c r="H339" s="29"/>
      <c r="I339" s="29"/>
      <c r="J339" s="29"/>
      <c r="K339" s="29"/>
      <c r="L339" s="29"/>
      <c r="M339" s="29"/>
      <c r="N339" s="29"/>
      <c r="O339" s="29"/>
      <c r="P339" s="29"/>
      <c r="Q339" s="29"/>
      <c r="R339" s="30"/>
      <c r="S339" s="279"/>
      <c r="T339" s="279"/>
      <c r="U339" s="279"/>
      <c r="V339" s="279"/>
      <c r="W339" s="279"/>
      <c r="X339" s="279"/>
      <c r="Y339" s="279"/>
      <c r="Z339" s="279"/>
      <c r="AA339" s="279"/>
      <c r="AB339" s="279"/>
      <c r="AC339" s="279"/>
      <c r="AD339" s="279"/>
      <c r="AE339" s="279"/>
      <c r="AF339" s="279"/>
      <c r="AG339" s="279"/>
      <c r="AH339" s="279"/>
      <c r="AI339" s="279"/>
      <c r="AJ339" s="279"/>
      <c r="AK339" s="279"/>
      <c r="AL339" s="279"/>
      <c r="AM339" s="279"/>
      <c r="AN339" s="279"/>
      <c r="AO339" s="279"/>
      <c r="AP339" s="279"/>
      <c r="AQ339" s="279"/>
      <c r="AR339" s="279"/>
      <c r="AS339" s="279"/>
      <c r="AT339" s="279"/>
      <c r="AU339" s="279"/>
      <c r="AV339" s="279"/>
      <c r="AW339" s="279"/>
      <c r="AX339" s="279"/>
      <c r="AY339" s="279"/>
      <c r="AZ339" s="279"/>
      <c r="BA339" s="279"/>
      <c r="BB339" s="279"/>
      <c r="BC339" s="279"/>
      <c r="BD339" s="279"/>
      <c r="BE339" s="279"/>
      <c r="BF339" s="279"/>
      <c r="BG339" s="279"/>
      <c r="BH339" s="279"/>
      <c r="BI339" s="279"/>
      <c r="BJ339" s="279"/>
      <c r="BK339" s="279"/>
      <c r="BL339" s="279"/>
      <c r="BM339" s="279"/>
      <c r="BN339" s="279"/>
      <c r="BO339" s="279"/>
      <c r="BP339" s="279"/>
      <c r="BQ339" s="279"/>
    </row>
    <row r="340" ht="12.75" hidden="1" customHeight="1">
      <c r="A340" s="269"/>
      <c r="B340" s="401" t="s">
        <v>632</v>
      </c>
      <c r="C340" s="325" t="s">
        <v>633</v>
      </c>
      <c r="D340" s="326"/>
      <c r="E340" s="326"/>
      <c r="F340" s="326"/>
      <c r="G340" s="326"/>
      <c r="H340" s="326"/>
      <c r="I340" s="326"/>
      <c r="J340" s="326"/>
      <c r="K340" s="326"/>
      <c r="L340" s="327"/>
      <c r="M340" s="288">
        <v>1657.0</v>
      </c>
      <c r="N340" s="289"/>
      <c r="O340" s="15"/>
      <c r="P340" s="15"/>
      <c r="Q340" s="16"/>
      <c r="R340" s="402" t="s">
        <v>281</v>
      </c>
      <c r="S340" s="279"/>
      <c r="T340" s="279"/>
      <c r="U340" s="279"/>
      <c r="V340" s="279"/>
      <c r="W340" s="279"/>
      <c r="X340" s="279"/>
      <c r="Y340" s="279"/>
      <c r="Z340" s="279"/>
      <c r="AA340" s="279"/>
      <c r="AB340" s="279"/>
      <c r="AC340" s="279"/>
      <c r="AD340" s="279"/>
      <c r="AE340" s="279"/>
      <c r="AF340" s="279"/>
      <c r="AG340" s="279"/>
      <c r="AH340" s="279"/>
      <c r="AI340" s="279"/>
      <c r="AJ340" s="279"/>
      <c r="AK340" s="279"/>
      <c r="AL340" s="279"/>
      <c r="AM340" s="279"/>
      <c r="AN340" s="279"/>
      <c r="AO340" s="279"/>
      <c r="AP340" s="279"/>
      <c r="AQ340" s="279"/>
      <c r="AR340" s="279"/>
      <c r="AS340" s="279"/>
      <c r="AT340" s="279"/>
      <c r="AU340" s="279"/>
      <c r="AV340" s="279"/>
      <c r="AW340" s="279"/>
      <c r="AX340" s="279"/>
      <c r="AY340" s="279"/>
      <c r="AZ340" s="279"/>
      <c r="BA340" s="279"/>
      <c r="BB340" s="279"/>
      <c r="BC340" s="279"/>
      <c r="BD340" s="279"/>
      <c r="BE340" s="279"/>
      <c r="BF340" s="279"/>
      <c r="BG340" s="279"/>
      <c r="BH340" s="279"/>
      <c r="BI340" s="279"/>
      <c r="BJ340" s="279"/>
      <c r="BK340" s="279"/>
      <c r="BL340" s="279"/>
      <c r="BM340" s="279"/>
      <c r="BN340" s="279"/>
      <c r="BO340" s="279"/>
      <c r="BP340" s="279"/>
      <c r="BQ340" s="279"/>
    </row>
    <row r="341" ht="12.75" hidden="1" customHeight="1">
      <c r="A341" s="269"/>
      <c r="B341" s="20"/>
      <c r="C341" s="325" t="s">
        <v>634</v>
      </c>
      <c r="D341" s="326"/>
      <c r="E341" s="326"/>
      <c r="F341" s="326"/>
      <c r="G341" s="326"/>
      <c r="H341" s="326"/>
      <c r="I341" s="326"/>
      <c r="J341" s="326"/>
      <c r="K341" s="326"/>
      <c r="L341" s="327"/>
      <c r="M341" s="290">
        <v>1658.0</v>
      </c>
      <c r="N341" s="289"/>
      <c r="O341" s="15"/>
      <c r="P341" s="15"/>
      <c r="Q341" s="16"/>
      <c r="R341" s="355" t="s">
        <v>281</v>
      </c>
      <c r="S341" s="279"/>
      <c r="T341" s="279"/>
      <c r="U341" s="279"/>
      <c r="V341" s="279"/>
      <c r="W341" s="279"/>
      <c r="X341" s="279"/>
      <c r="Y341" s="279"/>
      <c r="Z341" s="279"/>
      <c r="AA341" s="279"/>
      <c r="AB341" s="279"/>
      <c r="AC341" s="279"/>
      <c r="AD341" s="279"/>
      <c r="AE341" s="279"/>
      <c r="AF341" s="279"/>
      <c r="AG341" s="279"/>
      <c r="AH341" s="279"/>
      <c r="AI341" s="279"/>
      <c r="AJ341" s="279"/>
      <c r="AK341" s="279"/>
      <c r="AL341" s="279"/>
      <c r="AM341" s="279"/>
      <c r="AN341" s="279"/>
      <c r="AO341" s="279"/>
      <c r="AP341" s="279"/>
      <c r="AQ341" s="279"/>
      <c r="AR341" s="279"/>
      <c r="AS341" s="279"/>
      <c r="AT341" s="279"/>
      <c r="AU341" s="279"/>
      <c r="AV341" s="279"/>
      <c r="AW341" s="279"/>
      <c r="AX341" s="279"/>
      <c r="AY341" s="279"/>
      <c r="AZ341" s="279"/>
      <c r="BA341" s="279"/>
      <c r="BB341" s="279"/>
      <c r="BC341" s="279"/>
      <c r="BD341" s="279"/>
      <c r="BE341" s="279"/>
      <c r="BF341" s="279"/>
      <c r="BG341" s="279"/>
      <c r="BH341" s="279"/>
      <c r="BI341" s="279"/>
      <c r="BJ341" s="279"/>
      <c r="BK341" s="279"/>
      <c r="BL341" s="279"/>
      <c r="BM341" s="279"/>
      <c r="BN341" s="279"/>
      <c r="BO341" s="279"/>
      <c r="BP341" s="279"/>
      <c r="BQ341" s="279"/>
    </row>
    <row r="342" ht="12.75" hidden="1" customHeight="1">
      <c r="A342" s="269"/>
      <c r="B342" s="20"/>
      <c r="C342" s="325" t="s">
        <v>635</v>
      </c>
      <c r="D342" s="326"/>
      <c r="E342" s="326"/>
      <c r="F342" s="326"/>
      <c r="G342" s="326"/>
      <c r="H342" s="326"/>
      <c r="I342" s="326"/>
      <c r="J342" s="326"/>
      <c r="K342" s="326"/>
      <c r="L342" s="327"/>
      <c r="M342" s="290">
        <v>1659.0</v>
      </c>
      <c r="N342" s="289"/>
      <c r="O342" s="15"/>
      <c r="P342" s="15"/>
      <c r="Q342" s="16"/>
      <c r="R342" s="355" t="s">
        <v>281</v>
      </c>
      <c r="S342" s="279"/>
      <c r="T342" s="279"/>
      <c r="U342" s="279"/>
      <c r="V342" s="279"/>
      <c r="W342" s="279"/>
      <c r="X342" s="279"/>
      <c r="Y342" s="279"/>
      <c r="Z342" s="279"/>
      <c r="AA342" s="279"/>
      <c r="AB342" s="279"/>
      <c r="AC342" s="279"/>
      <c r="AD342" s="279"/>
      <c r="AE342" s="279"/>
      <c r="AF342" s="279"/>
      <c r="AG342" s="279"/>
      <c r="AH342" s="279"/>
      <c r="AI342" s="279"/>
      <c r="AJ342" s="279"/>
      <c r="AK342" s="279"/>
      <c r="AL342" s="279"/>
      <c r="AM342" s="279"/>
      <c r="AN342" s="279"/>
      <c r="AO342" s="279"/>
      <c r="AP342" s="279"/>
      <c r="AQ342" s="279"/>
      <c r="AR342" s="279"/>
      <c r="AS342" s="279"/>
      <c r="AT342" s="279"/>
      <c r="AU342" s="279"/>
      <c r="AV342" s="279"/>
      <c r="AW342" s="279"/>
      <c r="AX342" s="279"/>
      <c r="AY342" s="279"/>
      <c r="AZ342" s="279"/>
      <c r="BA342" s="279"/>
      <c r="BB342" s="279"/>
      <c r="BC342" s="279"/>
      <c r="BD342" s="279"/>
      <c r="BE342" s="279"/>
      <c r="BF342" s="279"/>
      <c r="BG342" s="279"/>
      <c r="BH342" s="279"/>
      <c r="BI342" s="279"/>
      <c r="BJ342" s="279"/>
      <c r="BK342" s="279"/>
      <c r="BL342" s="279"/>
      <c r="BM342" s="279"/>
      <c r="BN342" s="279"/>
      <c r="BO342" s="279"/>
      <c r="BP342" s="279"/>
      <c r="BQ342" s="279"/>
    </row>
    <row r="343" ht="12.75" hidden="1" customHeight="1">
      <c r="A343" s="269"/>
      <c r="B343" s="20"/>
      <c r="C343" s="325" t="s">
        <v>636</v>
      </c>
      <c r="D343" s="326"/>
      <c r="E343" s="326"/>
      <c r="F343" s="326"/>
      <c r="G343" s="326"/>
      <c r="H343" s="326"/>
      <c r="I343" s="326"/>
      <c r="J343" s="326"/>
      <c r="K343" s="326"/>
      <c r="L343" s="327"/>
      <c r="M343" s="290">
        <v>1660.0</v>
      </c>
      <c r="N343" s="289"/>
      <c r="O343" s="15"/>
      <c r="P343" s="15"/>
      <c r="Q343" s="16"/>
      <c r="R343" s="355" t="s">
        <v>281</v>
      </c>
      <c r="S343" s="279"/>
      <c r="T343" s="279"/>
      <c r="U343" s="279"/>
      <c r="V343" s="279"/>
      <c r="W343" s="279"/>
      <c r="X343" s="279"/>
      <c r="Y343" s="279"/>
      <c r="Z343" s="279"/>
      <c r="AA343" s="279"/>
      <c r="AB343" s="279"/>
      <c r="AC343" s="279"/>
      <c r="AD343" s="279"/>
      <c r="AE343" s="279"/>
      <c r="AF343" s="279"/>
      <c r="AG343" s="279"/>
      <c r="AH343" s="279"/>
      <c r="AI343" s="279"/>
      <c r="AJ343" s="279"/>
      <c r="AK343" s="279"/>
      <c r="AL343" s="279"/>
      <c r="AM343" s="279"/>
      <c r="AN343" s="279"/>
      <c r="AO343" s="279"/>
      <c r="AP343" s="279"/>
      <c r="AQ343" s="279"/>
      <c r="AR343" s="279"/>
      <c r="AS343" s="279"/>
      <c r="AT343" s="279"/>
      <c r="AU343" s="279"/>
      <c r="AV343" s="279"/>
      <c r="AW343" s="279"/>
      <c r="AX343" s="279"/>
      <c r="AY343" s="279"/>
      <c r="AZ343" s="279"/>
      <c r="BA343" s="279"/>
      <c r="BB343" s="279"/>
      <c r="BC343" s="279"/>
      <c r="BD343" s="279"/>
      <c r="BE343" s="279"/>
      <c r="BF343" s="279"/>
      <c r="BG343" s="279"/>
      <c r="BH343" s="279"/>
      <c r="BI343" s="279"/>
      <c r="BJ343" s="279"/>
      <c r="BK343" s="279"/>
      <c r="BL343" s="279"/>
      <c r="BM343" s="279"/>
      <c r="BN343" s="279"/>
      <c r="BO343" s="279"/>
      <c r="BP343" s="279"/>
      <c r="BQ343" s="279"/>
    </row>
    <row r="344" ht="12.75" hidden="1" customHeight="1">
      <c r="A344" s="269"/>
      <c r="B344" s="20"/>
      <c r="C344" s="325" t="s">
        <v>637</v>
      </c>
      <c r="D344" s="326"/>
      <c r="E344" s="326"/>
      <c r="F344" s="326"/>
      <c r="G344" s="326"/>
      <c r="H344" s="326"/>
      <c r="I344" s="326"/>
      <c r="J344" s="326"/>
      <c r="K344" s="326"/>
      <c r="L344" s="327"/>
      <c r="M344" s="290">
        <v>1661.0</v>
      </c>
      <c r="N344" s="289"/>
      <c r="O344" s="15"/>
      <c r="P344" s="15"/>
      <c r="Q344" s="16"/>
      <c r="R344" s="355" t="s">
        <v>312</v>
      </c>
      <c r="S344" s="279"/>
      <c r="T344" s="279"/>
      <c r="U344" s="279"/>
      <c r="V344" s="279"/>
      <c r="W344" s="279"/>
      <c r="X344" s="279"/>
      <c r="Y344" s="279"/>
      <c r="Z344" s="279"/>
      <c r="AA344" s="279"/>
      <c r="AB344" s="279"/>
      <c r="AC344" s="279"/>
      <c r="AD344" s="279"/>
      <c r="AE344" s="279"/>
      <c r="AF344" s="279"/>
      <c r="AG344" s="279"/>
      <c r="AH344" s="279"/>
      <c r="AI344" s="279"/>
      <c r="AJ344" s="279"/>
      <c r="AK344" s="279"/>
      <c r="AL344" s="279"/>
      <c r="AM344" s="279"/>
      <c r="AN344" s="279"/>
      <c r="AO344" s="279"/>
      <c r="AP344" s="279"/>
      <c r="AQ344" s="279"/>
      <c r="AR344" s="279"/>
      <c r="AS344" s="279"/>
      <c r="AT344" s="279"/>
      <c r="AU344" s="279"/>
      <c r="AV344" s="279"/>
      <c r="AW344" s="279"/>
      <c r="AX344" s="279"/>
      <c r="AY344" s="279"/>
      <c r="AZ344" s="279"/>
      <c r="BA344" s="279"/>
      <c r="BB344" s="279"/>
      <c r="BC344" s="279"/>
      <c r="BD344" s="279"/>
      <c r="BE344" s="279"/>
      <c r="BF344" s="279"/>
      <c r="BG344" s="279"/>
      <c r="BH344" s="279"/>
      <c r="BI344" s="279"/>
      <c r="BJ344" s="279"/>
      <c r="BK344" s="279"/>
      <c r="BL344" s="279"/>
      <c r="BM344" s="279"/>
      <c r="BN344" s="279"/>
      <c r="BO344" s="279"/>
      <c r="BP344" s="279"/>
      <c r="BQ344" s="279"/>
    </row>
    <row r="345" ht="12.75" hidden="1" customHeight="1">
      <c r="A345" s="269"/>
      <c r="B345" s="20"/>
      <c r="C345" s="325" t="s">
        <v>638</v>
      </c>
      <c r="D345" s="326"/>
      <c r="E345" s="326"/>
      <c r="F345" s="326"/>
      <c r="G345" s="326"/>
      <c r="H345" s="326"/>
      <c r="I345" s="326"/>
      <c r="J345" s="326"/>
      <c r="K345" s="326"/>
      <c r="L345" s="327"/>
      <c r="M345" s="290">
        <v>1662.0</v>
      </c>
      <c r="N345" s="289"/>
      <c r="O345" s="15"/>
      <c r="P345" s="15"/>
      <c r="Q345" s="16"/>
      <c r="R345" s="355" t="s">
        <v>312</v>
      </c>
      <c r="S345" s="279"/>
      <c r="T345" s="279"/>
      <c r="U345" s="279"/>
      <c r="V345" s="279"/>
      <c r="W345" s="279"/>
      <c r="X345" s="279"/>
      <c r="Y345" s="279"/>
      <c r="Z345" s="279"/>
      <c r="AA345" s="279"/>
      <c r="AB345" s="279"/>
      <c r="AC345" s="279"/>
      <c r="AD345" s="279"/>
      <c r="AE345" s="279"/>
      <c r="AF345" s="279"/>
      <c r="AG345" s="279"/>
      <c r="AH345" s="279"/>
      <c r="AI345" s="279"/>
      <c r="AJ345" s="279"/>
      <c r="AK345" s="279"/>
      <c r="AL345" s="279"/>
      <c r="AM345" s="279"/>
      <c r="AN345" s="279"/>
      <c r="AO345" s="279"/>
      <c r="AP345" s="279"/>
      <c r="AQ345" s="279"/>
      <c r="AR345" s="279"/>
      <c r="AS345" s="279"/>
      <c r="AT345" s="279"/>
      <c r="AU345" s="279"/>
      <c r="AV345" s="279"/>
      <c r="AW345" s="279"/>
      <c r="AX345" s="279"/>
      <c r="AY345" s="279"/>
      <c r="AZ345" s="279"/>
      <c r="BA345" s="279"/>
      <c r="BB345" s="279"/>
      <c r="BC345" s="279"/>
      <c r="BD345" s="279"/>
      <c r="BE345" s="279"/>
      <c r="BF345" s="279"/>
      <c r="BG345" s="279"/>
      <c r="BH345" s="279"/>
      <c r="BI345" s="279"/>
      <c r="BJ345" s="279"/>
      <c r="BK345" s="279"/>
      <c r="BL345" s="279"/>
      <c r="BM345" s="279"/>
      <c r="BN345" s="279"/>
      <c r="BO345" s="279"/>
      <c r="BP345" s="279"/>
      <c r="BQ345" s="279"/>
    </row>
    <row r="346" ht="12.75" hidden="1" customHeight="1">
      <c r="A346" s="269"/>
      <c r="B346" s="20"/>
      <c r="C346" s="325" t="s">
        <v>639</v>
      </c>
      <c r="D346" s="326"/>
      <c r="E346" s="326"/>
      <c r="F346" s="326"/>
      <c r="G346" s="326"/>
      <c r="H346" s="326"/>
      <c r="I346" s="326"/>
      <c r="J346" s="326"/>
      <c r="K346" s="326"/>
      <c r="L346" s="327"/>
      <c r="M346" s="290">
        <v>1140.0</v>
      </c>
      <c r="N346" s="289"/>
      <c r="O346" s="15"/>
      <c r="P346" s="15"/>
      <c r="Q346" s="16"/>
      <c r="R346" s="355" t="s">
        <v>312</v>
      </c>
      <c r="S346" s="279"/>
      <c r="T346" s="279"/>
      <c r="U346" s="279"/>
      <c r="V346" s="279"/>
      <c r="W346" s="279"/>
      <c r="X346" s="279"/>
      <c r="Y346" s="279"/>
      <c r="Z346" s="279"/>
      <c r="AA346" s="279"/>
      <c r="AB346" s="279"/>
      <c r="AC346" s="279"/>
      <c r="AD346" s="279"/>
      <c r="AE346" s="279"/>
      <c r="AF346" s="279"/>
      <c r="AG346" s="279"/>
      <c r="AH346" s="279"/>
      <c r="AI346" s="279"/>
      <c r="AJ346" s="279"/>
      <c r="AK346" s="279"/>
      <c r="AL346" s="279"/>
      <c r="AM346" s="279"/>
      <c r="AN346" s="279"/>
      <c r="AO346" s="279"/>
      <c r="AP346" s="279"/>
      <c r="AQ346" s="279"/>
      <c r="AR346" s="279"/>
      <c r="AS346" s="279"/>
      <c r="AT346" s="279"/>
      <c r="AU346" s="279"/>
      <c r="AV346" s="279"/>
      <c r="AW346" s="279"/>
      <c r="AX346" s="279"/>
      <c r="AY346" s="279"/>
      <c r="AZ346" s="279"/>
      <c r="BA346" s="279"/>
      <c r="BB346" s="279"/>
      <c r="BC346" s="279"/>
      <c r="BD346" s="279"/>
      <c r="BE346" s="279"/>
      <c r="BF346" s="279"/>
      <c r="BG346" s="279"/>
      <c r="BH346" s="279"/>
      <c r="BI346" s="279"/>
      <c r="BJ346" s="279"/>
      <c r="BK346" s="279"/>
      <c r="BL346" s="279"/>
      <c r="BM346" s="279"/>
      <c r="BN346" s="279"/>
      <c r="BO346" s="279"/>
      <c r="BP346" s="279"/>
      <c r="BQ346" s="279"/>
    </row>
    <row r="347" ht="12.75" hidden="1" customHeight="1">
      <c r="A347" s="269"/>
      <c r="B347" s="20"/>
      <c r="C347" s="325" t="s">
        <v>640</v>
      </c>
      <c r="D347" s="326"/>
      <c r="E347" s="326"/>
      <c r="F347" s="326"/>
      <c r="G347" s="326"/>
      <c r="H347" s="326"/>
      <c r="I347" s="326"/>
      <c r="J347" s="326"/>
      <c r="K347" s="326"/>
      <c r="L347" s="327"/>
      <c r="M347" s="290">
        <v>1663.0</v>
      </c>
      <c r="N347" s="289"/>
      <c r="O347" s="15"/>
      <c r="P347" s="15"/>
      <c r="Q347" s="16"/>
      <c r="R347" s="355" t="s">
        <v>312</v>
      </c>
      <c r="S347" s="279"/>
      <c r="T347" s="279"/>
      <c r="U347" s="279"/>
      <c r="V347" s="279"/>
      <c r="W347" s="279"/>
      <c r="X347" s="279"/>
      <c r="Y347" s="279"/>
      <c r="Z347" s="279"/>
      <c r="AA347" s="279"/>
      <c r="AB347" s="279"/>
      <c r="AC347" s="279"/>
      <c r="AD347" s="279"/>
      <c r="AE347" s="279"/>
      <c r="AF347" s="279"/>
      <c r="AG347" s="279"/>
      <c r="AH347" s="279"/>
      <c r="AI347" s="279"/>
      <c r="AJ347" s="279"/>
      <c r="AK347" s="279"/>
      <c r="AL347" s="279"/>
      <c r="AM347" s="279"/>
      <c r="AN347" s="279"/>
      <c r="AO347" s="279"/>
      <c r="AP347" s="279"/>
      <c r="AQ347" s="279"/>
      <c r="AR347" s="279"/>
      <c r="AS347" s="279"/>
      <c r="AT347" s="279"/>
      <c r="AU347" s="279"/>
      <c r="AV347" s="279"/>
      <c r="AW347" s="279"/>
      <c r="AX347" s="279"/>
      <c r="AY347" s="279"/>
      <c r="AZ347" s="279"/>
      <c r="BA347" s="279"/>
      <c r="BB347" s="279"/>
      <c r="BC347" s="279"/>
      <c r="BD347" s="279"/>
      <c r="BE347" s="279"/>
      <c r="BF347" s="279"/>
      <c r="BG347" s="279"/>
      <c r="BH347" s="279"/>
      <c r="BI347" s="279"/>
      <c r="BJ347" s="279"/>
      <c r="BK347" s="279"/>
      <c r="BL347" s="279"/>
      <c r="BM347" s="279"/>
      <c r="BN347" s="279"/>
      <c r="BO347" s="279"/>
      <c r="BP347" s="279"/>
      <c r="BQ347" s="279"/>
    </row>
    <row r="348" ht="12.75" hidden="1" customHeight="1">
      <c r="A348" s="269"/>
      <c r="B348" s="20"/>
      <c r="C348" s="325" t="s">
        <v>641</v>
      </c>
      <c r="D348" s="326"/>
      <c r="E348" s="326"/>
      <c r="F348" s="326"/>
      <c r="G348" s="326"/>
      <c r="H348" s="326"/>
      <c r="I348" s="326"/>
      <c r="J348" s="326"/>
      <c r="K348" s="326"/>
      <c r="L348" s="327"/>
      <c r="M348" s="290">
        <v>1664.0</v>
      </c>
      <c r="N348" s="289"/>
      <c r="O348" s="15"/>
      <c r="P348" s="15"/>
      <c r="Q348" s="16"/>
      <c r="R348" s="355" t="s">
        <v>312</v>
      </c>
      <c r="S348" s="279"/>
      <c r="T348" s="279"/>
      <c r="U348" s="279"/>
      <c r="V348" s="279"/>
      <c r="W348" s="279"/>
      <c r="X348" s="279"/>
      <c r="Y348" s="279"/>
      <c r="Z348" s="279"/>
      <c r="AA348" s="279"/>
      <c r="AB348" s="279"/>
      <c r="AC348" s="279"/>
      <c r="AD348" s="279"/>
      <c r="AE348" s="279"/>
      <c r="AF348" s="279"/>
      <c r="AG348" s="279"/>
      <c r="AH348" s="279"/>
      <c r="AI348" s="279"/>
      <c r="AJ348" s="279"/>
      <c r="AK348" s="279"/>
      <c r="AL348" s="279"/>
      <c r="AM348" s="279"/>
      <c r="AN348" s="279"/>
      <c r="AO348" s="279"/>
      <c r="AP348" s="279"/>
      <c r="AQ348" s="279"/>
      <c r="AR348" s="279"/>
      <c r="AS348" s="279"/>
      <c r="AT348" s="279"/>
      <c r="AU348" s="279"/>
      <c r="AV348" s="279"/>
      <c r="AW348" s="279"/>
      <c r="AX348" s="279"/>
      <c r="AY348" s="279"/>
      <c r="AZ348" s="279"/>
      <c r="BA348" s="279"/>
      <c r="BB348" s="279"/>
      <c r="BC348" s="279"/>
      <c r="BD348" s="279"/>
      <c r="BE348" s="279"/>
      <c r="BF348" s="279"/>
      <c r="BG348" s="279"/>
      <c r="BH348" s="279"/>
      <c r="BI348" s="279"/>
      <c r="BJ348" s="279"/>
      <c r="BK348" s="279"/>
      <c r="BL348" s="279"/>
      <c r="BM348" s="279"/>
      <c r="BN348" s="279"/>
      <c r="BO348" s="279"/>
      <c r="BP348" s="279"/>
      <c r="BQ348" s="279"/>
    </row>
    <row r="349" ht="12.75" hidden="1" customHeight="1">
      <c r="A349" s="269"/>
      <c r="B349" s="20"/>
      <c r="C349" s="325" t="s">
        <v>642</v>
      </c>
      <c r="D349" s="326"/>
      <c r="E349" s="326"/>
      <c r="F349" s="326"/>
      <c r="G349" s="326"/>
      <c r="H349" s="326"/>
      <c r="I349" s="326"/>
      <c r="J349" s="326"/>
      <c r="K349" s="326"/>
      <c r="L349" s="327"/>
      <c r="M349" s="290">
        <v>1665.0</v>
      </c>
      <c r="N349" s="289"/>
      <c r="O349" s="15"/>
      <c r="P349" s="15"/>
      <c r="Q349" s="16"/>
      <c r="R349" s="355" t="s">
        <v>312</v>
      </c>
      <c r="S349" s="279"/>
      <c r="T349" s="279"/>
      <c r="U349" s="279"/>
      <c r="V349" s="279"/>
      <c r="W349" s="279"/>
      <c r="X349" s="279"/>
      <c r="Y349" s="279"/>
      <c r="Z349" s="279"/>
      <c r="AA349" s="279"/>
      <c r="AB349" s="279"/>
      <c r="AC349" s="279"/>
      <c r="AD349" s="279"/>
      <c r="AE349" s="279"/>
      <c r="AF349" s="279"/>
      <c r="AG349" s="279"/>
      <c r="AH349" s="279"/>
      <c r="AI349" s="279"/>
      <c r="AJ349" s="279"/>
      <c r="AK349" s="279"/>
      <c r="AL349" s="279"/>
      <c r="AM349" s="279"/>
      <c r="AN349" s="279"/>
      <c r="AO349" s="279"/>
      <c r="AP349" s="279"/>
      <c r="AQ349" s="279"/>
      <c r="AR349" s="279"/>
      <c r="AS349" s="279"/>
      <c r="AT349" s="279"/>
      <c r="AU349" s="279"/>
      <c r="AV349" s="279"/>
      <c r="AW349" s="279"/>
      <c r="AX349" s="279"/>
      <c r="AY349" s="279"/>
      <c r="AZ349" s="279"/>
      <c r="BA349" s="279"/>
      <c r="BB349" s="279"/>
      <c r="BC349" s="279"/>
      <c r="BD349" s="279"/>
      <c r="BE349" s="279"/>
      <c r="BF349" s="279"/>
      <c r="BG349" s="279"/>
      <c r="BH349" s="279"/>
      <c r="BI349" s="279"/>
      <c r="BJ349" s="279"/>
      <c r="BK349" s="279"/>
      <c r="BL349" s="279"/>
      <c r="BM349" s="279"/>
      <c r="BN349" s="279"/>
      <c r="BO349" s="279"/>
      <c r="BP349" s="279"/>
      <c r="BQ349" s="279"/>
    </row>
    <row r="350" ht="12.75" hidden="1" customHeight="1">
      <c r="A350" s="269"/>
      <c r="B350" s="20"/>
      <c r="C350" s="325" t="s">
        <v>643</v>
      </c>
      <c r="D350" s="326"/>
      <c r="E350" s="326"/>
      <c r="F350" s="326"/>
      <c r="G350" s="326"/>
      <c r="H350" s="326"/>
      <c r="I350" s="326"/>
      <c r="J350" s="326"/>
      <c r="K350" s="326"/>
      <c r="L350" s="327"/>
      <c r="M350" s="290">
        <v>1666.0</v>
      </c>
      <c r="N350" s="289"/>
      <c r="O350" s="15"/>
      <c r="P350" s="15"/>
      <c r="Q350" s="16"/>
      <c r="R350" s="355" t="s">
        <v>312</v>
      </c>
      <c r="S350" s="279"/>
      <c r="T350" s="279"/>
      <c r="U350" s="279"/>
      <c r="V350" s="279"/>
      <c r="W350" s="279"/>
      <c r="X350" s="279"/>
      <c r="Y350" s="279"/>
      <c r="Z350" s="279"/>
      <c r="AA350" s="279"/>
      <c r="AB350" s="279"/>
      <c r="AC350" s="279"/>
      <c r="AD350" s="279"/>
      <c r="AE350" s="279"/>
      <c r="AF350" s="279"/>
      <c r="AG350" s="279"/>
      <c r="AH350" s="279"/>
      <c r="AI350" s="279"/>
      <c r="AJ350" s="279"/>
      <c r="AK350" s="279"/>
      <c r="AL350" s="279"/>
      <c r="AM350" s="279"/>
      <c r="AN350" s="279"/>
      <c r="AO350" s="279"/>
      <c r="AP350" s="279"/>
      <c r="AQ350" s="279"/>
      <c r="AR350" s="279"/>
      <c r="AS350" s="279"/>
      <c r="AT350" s="279"/>
      <c r="AU350" s="279"/>
      <c r="AV350" s="279"/>
      <c r="AW350" s="279"/>
      <c r="AX350" s="279"/>
      <c r="AY350" s="279"/>
      <c r="AZ350" s="279"/>
      <c r="BA350" s="279"/>
      <c r="BB350" s="279"/>
      <c r="BC350" s="279"/>
      <c r="BD350" s="279"/>
      <c r="BE350" s="279"/>
      <c r="BF350" s="279"/>
      <c r="BG350" s="279"/>
      <c r="BH350" s="279"/>
      <c r="BI350" s="279"/>
      <c r="BJ350" s="279"/>
      <c r="BK350" s="279"/>
      <c r="BL350" s="279"/>
      <c r="BM350" s="279"/>
      <c r="BN350" s="279"/>
      <c r="BO350" s="279"/>
      <c r="BP350" s="279"/>
      <c r="BQ350" s="279"/>
    </row>
    <row r="351" ht="12.75" hidden="1" customHeight="1">
      <c r="A351" s="269"/>
      <c r="B351" s="20"/>
      <c r="C351" s="325" t="s">
        <v>644</v>
      </c>
      <c r="D351" s="326"/>
      <c r="E351" s="326"/>
      <c r="F351" s="326"/>
      <c r="G351" s="326"/>
      <c r="H351" s="326"/>
      <c r="I351" s="326"/>
      <c r="J351" s="326"/>
      <c r="K351" s="326"/>
      <c r="L351" s="327"/>
      <c r="M351" s="290">
        <v>1667.0</v>
      </c>
      <c r="N351" s="289"/>
      <c r="O351" s="15"/>
      <c r="P351" s="15"/>
      <c r="Q351" s="16"/>
      <c r="R351" s="355" t="s">
        <v>312</v>
      </c>
      <c r="S351" s="279"/>
      <c r="T351" s="279"/>
      <c r="U351" s="279"/>
      <c r="V351" s="279"/>
      <c r="W351" s="279"/>
      <c r="X351" s="279"/>
      <c r="Y351" s="279"/>
      <c r="Z351" s="279"/>
      <c r="AA351" s="279"/>
      <c r="AB351" s="279"/>
      <c r="AC351" s="279"/>
      <c r="AD351" s="279"/>
      <c r="AE351" s="279"/>
      <c r="AF351" s="279"/>
      <c r="AG351" s="279"/>
      <c r="AH351" s="279"/>
      <c r="AI351" s="279"/>
      <c r="AJ351" s="279"/>
      <c r="AK351" s="279"/>
      <c r="AL351" s="279"/>
      <c r="AM351" s="279"/>
      <c r="AN351" s="279"/>
      <c r="AO351" s="279"/>
      <c r="AP351" s="279"/>
      <c r="AQ351" s="279"/>
      <c r="AR351" s="279"/>
      <c r="AS351" s="279"/>
      <c r="AT351" s="279"/>
      <c r="AU351" s="279"/>
      <c r="AV351" s="279"/>
      <c r="AW351" s="279"/>
      <c r="AX351" s="279"/>
      <c r="AY351" s="279"/>
      <c r="AZ351" s="279"/>
      <c r="BA351" s="279"/>
      <c r="BB351" s="279"/>
      <c r="BC351" s="279"/>
      <c r="BD351" s="279"/>
      <c r="BE351" s="279"/>
      <c r="BF351" s="279"/>
      <c r="BG351" s="279"/>
      <c r="BH351" s="279"/>
      <c r="BI351" s="279"/>
      <c r="BJ351" s="279"/>
      <c r="BK351" s="279"/>
      <c r="BL351" s="279"/>
      <c r="BM351" s="279"/>
      <c r="BN351" s="279"/>
      <c r="BO351" s="279"/>
      <c r="BP351" s="279"/>
      <c r="BQ351" s="279"/>
    </row>
    <row r="352" ht="12.75" hidden="1" customHeight="1">
      <c r="A352" s="269"/>
      <c r="B352" s="20"/>
      <c r="C352" s="325" t="s">
        <v>645</v>
      </c>
      <c r="D352" s="326"/>
      <c r="E352" s="326"/>
      <c r="F352" s="326"/>
      <c r="G352" s="326"/>
      <c r="H352" s="326"/>
      <c r="I352" s="326"/>
      <c r="J352" s="326"/>
      <c r="K352" s="326"/>
      <c r="L352" s="327"/>
      <c r="M352" s="290">
        <v>1668.0</v>
      </c>
      <c r="N352" s="289"/>
      <c r="O352" s="15"/>
      <c r="P352" s="15"/>
      <c r="Q352" s="16"/>
      <c r="R352" s="355" t="s">
        <v>312</v>
      </c>
      <c r="S352" s="279"/>
      <c r="T352" s="279"/>
      <c r="U352" s="279"/>
      <c r="V352" s="279"/>
      <c r="W352" s="279"/>
      <c r="X352" s="279"/>
      <c r="Y352" s="279"/>
      <c r="Z352" s="279"/>
      <c r="AA352" s="279"/>
      <c r="AB352" s="279"/>
      <c r="AC352" s="279"/>
      <c r="AD352" s="279"/>
      <c r="AE352" s="279"/>
      <c r="AF352" s="279"/>
      <c r="AG352" s="279"/>
      <c r="AH352" s="279"/>
      <c r="AI352" s="279"/>
      <c r="AJ352" s="279"/>
      <c r="AK352" s="279"/>
      <c r="AL352" s="279"/>
      <c r="AM352" s="279"/>
      <c r="AN352" s="279"/>
      <c r="AO352" s="279"/>
      <c r="AP352" s="279"/>
      <c r="AQ352" s="279"/>
      <c r="AR352" s="279"/>
      <c r="AS352" s="279"/>
      <c r="AT352" s="279"/>
      <c r="AU352" s="279"/>
      <c r="AV352" s="279"/>
      <c r="AW352" s="279"/>
      <c r="AX352" s="279"/>
      <c r="AY352" s="279"/>
      <c r="AZ352" s="279"/>
      <c r="BA352" s="279"/>
      <c r="BB352" s="279"/>
      <c r="BC352" s="279"/>
      <c r="BD352" s="279"/>
      <c r="BE352" s="279"/>
      <c r="BF352" s="279"/>
      <c r="BG352" s="279"/>
      <c r="BH352" s="279"/>
      <c r="BI352" s="279"/>
      <c r="BJ352" s="279"/>
      <c r="BK352" s="279"/>
      <c r="BL352" s="279"/>
      <c r="BM352" s="279"/>
      <c r="BN352" s="279"/>
      <c r="BO352" s="279"/>
      <c r="BP352" s="279"/>
      <c r="BQ352" s="279"/>
    </row>
    <row r="353" ht="12.75" hidden="1" customHeight="1">
      <c r="A353" s="269"/>
      <c r="B353" s="20"/>
      <c r="C353" s="325" t="s">
        <v>646</v>
      </c>
      <c r="D353" s="326"/>
      <c r="E353" s="326"/>
      <c r="F353" s="326"/>
      <c r="G353" s="326"/>
      <c r="H353" s="326"/>
      <c r="I353" s="326"/>
      <c r="J353" s="326"/>
      <c r="K353" s="326"/>
      <c r="L353" s="327"/>
      <c r="M353" s="290">
        <v>1141.0</v>
      </c>
      <c r="N353" s="289"/>
      <c r="O353" s="15"/>
      <c r="P353" s="15"/>
      <c r="Q353" s="16"/>
      <c r="R353" s="355" t="s">
        <v>312</v>
      </c>
      <c r="S353" s="279"/>
      <c r="T353" s="279"/>
      <c r="U353" s="279"/>
      <c r="V353" s="279"/>
      <c r="W353" s="279"/>
      <c r="X353" s="279"/>
      <c r="Y353" s="279"/>
      <c r="Z353" s="279"/>
      <c r="AA353" s="279"/>
      <c r="AB353" s="279"/>
      <c r="AC353" s="279"/>
      <c r="AD353" s="279"/>
      <c r="AE353" s="279"/>
      <c r="AF353" s="279"/>
      <c r="AG353" s="279"/>
      <c r="AH353" s="279"/>
      <c r="AI353" s="279"/>
      <c r="AJ353" s="279"/>
      <c r="AK353" s="279"/>
      <c r="AL353" s="279"/>
      <c r="AM353" s="279"/>
      <c r="AN353" s="279"/>
      <c r="AO353" s="279"/>
      <c r="AP353" s="279"/>
      <c r="AQ353" s="279"/>
      <c r="AR353" s="279"/>
      <c r="AS353" s="279"/>
      <c r="AT353" s="279"/>
      <c r="AU353" s="279"/>
      <c r="AV353" s="279"/>
      <c r="AW353" s="279"/>
      <c r="AX353" s="279"/>
      <c r="AY353" s="279"/>
      <c r="AZ353" s="279"/>
      <c r="BA353" s="279"/>
      <c r="BB353" s="279"/>
      <c r="BC353" s="279"/>
      <c r="BD353" s="279"/>
      <c r="BE353" s="279"/>
      <c r="BF353" s="279"/>
      <c r="BG353" s="279"/>
      <c r="BH353" s="279"/>
      <c r="BI353" s="279"/>
      <c r="BJ353" s="279"/>
      <c r="BK353" s="279"/>
      <c r="BL353" s="279"/>
      <c r="BM353" s="279"/>
      <c r="BN353" s="279"/>
      <c r="BO353" s="279"/>
      <c r="BP353" s="279"/>
      <c r="BQ353" s="279"/>
    </row>
    <row r="354" ht="12.75" hidden="1" customHeight="1">
      <c r="A354" s="269"/>
      <c r="B354" s="20"/>
      <c r="C354" s="325" t="s">
        <v>647</v>
      </c>
      <c r="D354" s="326"/>
      <c r="E354" s="326"/>
      <c r="F354" s="326"/>
      <c r="G354" s="326"/>
      <c r="H354" s="326"/>
      <c r="I354" s="326"/>
      <c r="J354" s="326"/>
      <c r="K354" s="326"/>
      <c r="L354" s="327"/>
      <c r="M354" s="290">
        <v>1142.0</v>
      </c>
      <c r="N354" s="289"/>
      <c r="O354" s="15"/>
      <c r="P354" s="15"/>
      <c r="Q354" s="16"/>
      <c r="R354" s="355" t="s">
        <v>312</v>
      </c>
      <c r="S354" s="279"/>
      <c r="T354" s="279"/>
      <c r="U354" s="279"/>
      <c r="V354" s="279"/>
      <c r="W354" s="279"/>
      <c r="X354" s="279"/>
      <c r="Y354" s="279"/>
      <c r="Z354" s="279"/>
      <c r="AA354" s="279"/>
      <c r="AB354" s="279"/>
      <c r="AC354" s="279"/>
      <c r="AD354" s="279"/>
      <c r="AE354" s="279"/>
      <c r="AF354" s="279"/>
      <c r="AG354" s="279"/>
      <c r="AH354" s="279"/>
      <c r="AI354" s="279"/>
      <c r="AJ354" s="279"/>
      <c r="AK354" s="279"/>
      <c r="AL354" s="279"/>
      <c r="AM354" s="279"/>
      <c r="AN354" s="279"/>
      <c r="AO354" s="279"/>
      <c r="AP354" s="279"/>
      <c r="AQ354" s="279"/>
      <c r="AR354" s="279"/>
      <c r="AS354" s="279"/>
      <c r="AT354" s="279"/>
      <c r="AU354" s="279"/>
      <c r="AV354" s="279"/>
      <c r="AW354" s="279"/>
      <c r="AX354" s="279"/>
      <c r="AY354" s="279"/>
      <c r="AZ354" s="279"/>
      <c r="BA354" s="279"/>
      <c r="BB354" s="279"/>
      <c r="BC354" s="279"/>
      <c r="BD354" s="279"/>
      <c r="BE354" s="279"/>
      <c r="BF354" s="279"/>
      <c r="BG354" s="279"/>
      <c r="BH354" s="279"/>
      <c r="BI354" s="279"/>
      <c r="BJ354" s="279"/>
      <c r="BK354" s="279"/>
      <c r="BL354" s="279"/>
      <c r="BM354" s="279"/>
      <c r="BN354" s="279"/>
      <c r="BO354" s="279"/>
      <c r="BP354" s="279"/>
      <c r="BQ354" s="279"/>
    </row>
    <row r="355" ht="12.75" hidden="1" customHeight="1">
      <c r="A355" s="269"/>
      <c r="B355" s="20"/>
      <c r="C355" s="325" t="s">
        <v>648</v>
      </c>
      <c r="D355" s="326"/>
      <c r="E355" s="326"/>
      <c r="F355" s="326"/>
      <c r="G355" s="326"/>
      <c r="H355" s="326"/>
      <c r="I355" s="326"/>
      <c r="J355" s="326"/>
      <c r="K355" s="326"/>
      <c r="L355" s="327"/>
      <c r="M355" s="290">
        <v>1669.0</v>
      </c>
      <c r="N355" s="289"/>
      <c r="O355" s="15"/>
      <c r="P355" s="15"/>
      <c r="Q355" s="16"/>
      <c r="R355" s="355" t="s">
        <v>312</v>
      </c>
      <c r="S355" s="279"/>
      <c r="T355" s="279"/>
      <c r="U355" s="279"/>
      <c r="V355" s="279"/>
      <c r="W355" s="279"/>
      <c r="X355" s="279"/>
      <c r="Y355" s="279"/>
      <c r="Z355" s="279"/>
      <c r="AA355" s="279"/>
      <c r="AB355" s="279"/>
      <c r="AC355" s="279"/>
      <c r="AD355" s="279"/>
      <c r="AE355" s="279"/>
      <c r="AF355" s="279"/>
      <c r="AG355" s="279"/>
      <c r="AH355" s="279"/>
      <c r="AI355" s="279"/>
      <c r="AJ355" s="279"/>
      <c r="AK355" s="279"/>
      <c r="AL355" s="279"/>
      <c r="AM355" s="279"/>
      <c r="AN355" s="279"/>
      <c r="AO355" s="279"/>
      <c r="AP355" s="279"/>
      <c r="AQ355" s="279"/>
      <c r="AR355" s="279"/>
      <c r="AS355" s="279"/>
      <c r="AT355" s="279"/>
      <c r="AU355" s="279"/>
      <c r="AV355" s="279"/>
      <c r="AW355" s="279"/>
      <c r="AX355" s="279"/>
      <c r="AY355" s="279"/>
      <c r="AZ355" s="279"/>
      <c r="BA355" s="279"/>
      <c r="BB355" s="279"/>
      <c r="BC355" s="279"/>
      <c r="BD355" s="279"/>
      <c r="BE355" s="279"/>
      <c r="BF355" s="279"/>
      <c r="BG355" s="279"/>
      <c r="BH355" s="279"/>
      <c r="BI355" s="279"/>
      <c r="BJ355" s="279"/>
      <c r="BK355" s="279"/>
      <c r="BL355" s="279"/>
      <c r="BM355" s="279"/>
      <c r="BN355" s="279"/>
      <c r="BO355" s="279"/>
      <c r="BP355" s="279"/>
      <c r="BQ355" s="279"/>
    </row>
    <row r="356" ht="12.75" hidden="1" customHeight="1">
      <c r="A356" s="269"/>
      <c r="B356" s="20"/>
      <c r="C356" s="325" t="s">
        <v>649</v>
      </c>
      <c r="D356" s="326"/>
      <c r="E356" s="326"/>
      <c r="F356" s="326"/>
      <c r="G356" s="326"/>
      <c r="H356" s="326"/>
      <c r="I356" s="326"/>
      <c r="J356" s="326"/>
      <c r="K356" s="326"/>
      <c r="L356" s="327"/>
      <c r="M356" s="290">
        <v>1670.0</v>
      </c>
      <c r="N356" s="289"/>
      <c r="O356" s="15"/>
      <c r="P356" s="15"/>
      <c r="Q356" s="16"/>
      <c r="R356" s="355" t="s">
        <v>312</v>
      </c>
      <c r="S356" s="279"/>
      <c r="T356" s="279"/>
      <c r="U356" s="279"/>
      <c r="V356" s="279"/>
      <c r="W356" s="279"/>
      <c r="X356" s="279"/>
      <c r="Y356" s="279"/>
      <c r="Z356" s="279"/>
      <c r="AA356" s="279"/>
      <c r="AB356" s="279"/>
      <c r="AC356" s="279"/>
      <c r="AD356" s="279"/>
      <c r="AE356" s="279"/>
      <c r="AF356" s="279"/>
      <c r="AG356" s="279"/>
      <c r="AH356" s="279"/>
      <c r="AI356" s="279"/>
      <c r="AJ356" s="279"/>
      <c r="AK356" s="279"/>
      <c r="AL356" s="279"/>
      <c r="AM356" s="279"/>
      <c r="AN356" s="279"/>
      <c r="AO356" s="279"/>
      <c r="AP356" s="279"/>
      <c r="AQ356" s="279"/>
      <c r="AR356" s="279"/>
      <c r="AS356" s="279"/>
      <c r="AT356" s="279"/>
      <c r="AU356" s="279"/>
      <c r="AV356" s="279"/>
      <c r="AW356" s="279"/>
      <c r="AX356" s="279"/>
      <c r="AY356" s="279"/>
      <c r="AZ356" s="279"/>
      <c r="BA356" s="279"/>
      <c r="BB356" s="279"/>
      <c r="BC356" s="279"/>
      <c r="BD356" s="279"/>
      <c r="BE356" s="279"/>
      <c r="BF356" s="279"/>
      <c r="BG356" s="279"/>
      <c r="BH356" s="279"/>
      <c r="BI356" s="279"/>
      <c r="BJ356" s="279"/>
      <c r="BK356" s="279"/>
      <c r="BL356" s="279"/>
      <c r="BM356" s="279"/>
      <c r="BN356" s="279"/>
      <c r="BO356" s="279"/>
      <c r="BP356" s="279"/>
      <c r="BQ356" s="279"/>
    </row>
    <row r="357" ht="12.75" hidden="1" customHeight="1">
      <c r="A357" s="269"/>
      <c r="B357" s="20"/>
      <c r="C357" s="325" t="s">
        <v>650</v>
      </c>
      <c r="D357" s="326"/>
      <c r="E357" s="326"/>
      <c r="F357" s="326"/>
      <c r="G357" s="326"/>
      <c r="H357" s="326"/>
      <c r="I357" s="326"/>
      <c r="J357" s="326"/>
      <c r="K357" s="326"/>
      <c r="L357" s="327"/>
      <c r="M357" s="290">
        <v>1671.0</v>
      </c>
      <c r="N357" s="289"/>
      <c r="O357" s="15"/>
      <c r="P357" s="15"/>
      <c r="Q357" s="16"/>
      <c r="R357" s="355" t="s">
        <v>312</v>
      </c>
      <c r="S357" s="279"/>
      <c r="T357" s="279"/>
      <c r="U357" s="279"/>
      <c r="V357" s="279"/>
      <c r="W357" s="279"/>
      <c r="X357" s="279"/>
      <c r="Y357" s="279"/>
      <c r="Z357" s="279"/>
      <c r="AA357" s="279"/>
      <c r="AB357" s="279"/>
      <c r="AC357" s="279"/>
      <c r="AD357" s="279"/>
      <c r="AE357" s="279"/>
      <c r="AF357" s="279"/>
      <c r="AG357" s="279"/>
      <c r="AH357" s="279"/>
      <c r="AI357" s="279"/>
      <c r="AJ357" s="279"/>
      <c r="AK357" s="279"/>
      <c r="AL357" s="279"/>
      <c r="AM357" s="279"/>
      <c r="AN357" s="279"/>
      <c r="AO357" s="279"/>
      <c r="AP357" s="279"/>
      <c r="AQ357" s="279"/>
      <c r="AR357" s="279"/>
      <c r="AS357" s="279"/>
      <c r="AT357" s="279"/>
      <c r="AU357" s="279"/>
      <c r="AV357" s="279"/>
      <c r="AW357" s="279"/>
      <c r="AX357" s="279"/>
      <c r="AY357" s="279"/>
      <c r="AZ357" s="279"/>
      <c r="BA357" s="279"/>
      <c r="BB357" s="279"/>
      <c r="BC357" s="279"/>
      <c r="BD357" s="279"/>
      <c r="BE357" s="279"/>
      <c r="BF357" s="279"/>
      <c r="BG357" s="279"/>
      <c r="BH357" s="279"/>
      <c r="BI357" s="279"/>
      <c r="BJ357" s="279"/>
      <c r="BK357" s="279"/>
      <c r="BL357" s="279"/>
      <c r="BM357" s="279"/>
      <c r="BN357" s="279"/>
      <c r="BO357" s="279"/>
      <c r="BP357" s="279"/>
      <c r="BQ357" s="279"/>
    </row>
    <row r="358" ht="12.75" hidden="1" customHeight="1">
      <c r="A358" s="269"/>
      <c r="B358" s="34"/>
      <c r="C358" s="325" t="s">
        <v>632</v>
      </c>
      <c r="D358" s="326"/>
      <c r="E358" s="326"/>
      <c r="F358" s="326"/>
      <c r="G358" s="326"/>
      <c r="H358" s="326"/>
      <c r="I358" s="326"/>
      <c r="J358" s="326"/>
      <c r="K358" s="326"/>
      <c r="L358" s="327"/>
      <c r="M358" s="290">
        <v>1672.0</v>
      </c>
      <c r="N358" s="289">
        <f>+SUM($N$340:$Q$343)-SUM($N$344:$Q$357)</f>
        <v>0</v>
      </c>
      <c r="O358" s="15"/>
      <c r="P358" s="15"/>
      <c r="Q358" s="16"/>
      <c r="R358" s="355" t="s">
        <v>317</v>
      </c>
      <c r="S358" s="279"/>
      <c r="T358" s="279"/>
      <c r="U358" s="279"/>
      <c r="V358" s="279"/>
      <c r="W358" s="279"/>
      <c r="X358" s="279"/>
      <c r="Y358" s="279"/>
      <c r="Z358" s="279"/>
      <c r="AA358" s="279"/>
      <c r="AB358" s="279"/>
      <c r="AC358" s="279"/>
      <c r="AD358" s="279"/>
      <c r="AE358" s="279"/>
      <c r="AF358" s="279"/>
      <c r="AG358" s="279"/>
      <c r="AH358" s="279"/>
      <c r="AI358" s="279"/>
      <c r="AJ358" s="279"/>
      <c r="AK358" s="279"/>
      <c r="AL358" s="279"/>
      <c r="AM358" s="279"/>
      <c r="AN358" s="279"/>
      <c r="AO358" s="279"/>
      <c r="AP358" s="279"/>
      <c r="AQ358" s="279"/>
      <c r="AR358" s="279"/>
      <c r="AS358" s="279"/>
      <c r="AT358" s="279"/>
      <c r="AU358" s="279"/>
      <c r="AV358" s="279"/>
      <c r="AW358" s="279"/>
      <c r="AX358" s="279"/>
      <c r="AY358" s="279"/>
      <c r="AZ358" s="279"/>
      <c r="BA358" s="279"/>
      <c r="BB358" s="279"/>
      <c r="BC358" s="279"/>
      <c r="BD358" s="279"/>
      <c r="BE358" s="279"/>
      <c r="BF358" s="279"/>
      <c r="BG358" s="279"/>
      <c r="BH358" s="279"/>
      <c r="BI358" s="279"/>
      <c r="BJ358" s="279"/>
      <c r="BK358" s="279"/>
      <c r="BL358" s="279"/>
      <c r="BM358" s="279"/>
      <c r="BN358" s="279"/>
      <c r="BO358" s="279"/>
      <c r="BP358" s="279"/>
      <c r="BQ358" s="279"/>
    </row>
    <row r="359" ht="12.75" hidden="1" customHeight="1">
      <c r="A359" s="269"/>
      <c r="B359" s="330" t="s">
        <v>651</v>
      </c>
      <c r="C359" s="325" t="s">
        <v>652</v>
      </c>
      <c r="D359" s="326"/>
      <c r="E359" s="326"/>
      <c r="F359" s="326"/>
      <c r="G359" s="326"/>
      <c r="H359" s="326"/>
      <c r="I359" s="326"/>
      <c r="J359" s="326"/>
      <c r="K359" s="326"/>
      <c r="L359" s="327"/>
      <c r="M359" s="290">
        <v>1673.0</v>
      </c>
      <c r="N359" s="289"/>
      <c r="O359" s="15"/>
      <c r="P359" s="15"/>
      <c r="Q359" s="16"/>
      <c r="R359" s="355" t="s">
        <v>312</v>
      </c>
      <c r="S359" s="279"/>
      <c r="T359" s="279"/>
      <c r="U359" s="279"/>
      <c r="V359" s="279"/>
      <c r="W359" s="279"/>
      <c r="X359" s="279"/>
      <c r="Y359" s="279"/>
      <c r="Z359" s="279"/>
      <c r="AA359" s="279"/>
      <c r="AB359" s="279"/>
      <c r="AC359" s="279"/>
      <c r="AD359" s="279"/>
      <c r="AE359" s="279"/>
      <c r="AF359" s="279"/>
      <c r="AG359" s="279"/>
      <c r="AH359" s="279"/>
      <c r="AI359" s="279"/>
      <c r="AJ359" s="279"/>
      <c r="AK359" s="279"/>
      <c r="AL359" s="279"/>
      <c r="AM359" s="279"/>
      <c r="AN359" s="279"/>
      <c r="AO359" s="279"/>
      <c r="AP359" s="279"/>
      <c r="AQ359" s="279"/>
      <c r="AR359" s="279"/>
      <c r="AS359" s="279"/>
      <c r="AT359" s="279"/>
      <c r="AU359" s="279"/>
      <c r="AV359" s="279"/>
      <c r="AW359" s="279"/>
      <c r="AX359" s="279"/>
      <c r="AY359" s="279"/>
      <c r="AZ359" s="279"/>
      <c r="BA359" s="279"/>
      <c r="BB359" s="279"/>
      <c r="BC359" s="279"/>
      <c r="BD359" s="279"/>
      <c r="BE359" s="279"/>
      <c r="BF359" s="279"/>
      <c r="BG359" s="279"/>
      <c r="BH359" s="279"/>
      <c r="BI359" s="279"/>
      <c r="BJ359" s="279"/>
      <c r="BK359" s="279"/>
      <c r="BL359" s="279"/>
      <c r="BM359" s="279"/>
      <c r="BN359" s="279"/>
      <c r="BO359" s="279"/>
      <c r="BP359" s="279"/>
      <c r="BQ359" s="279"/>
    </row>
    <row r="360" ht="12.75" hidden="1" customHeight="1">
      <c r="A360" s="269"/>
      <c r="B360" s="20"/>
      <c r="C360" s="325" t="s">
        <v>653</v>
      </c>
      <c r="D360" s="326"/>
      <c r="E360" s="326"/>
      <c r="F360" s="326"/>
      <c r="G360" s="326"/>
      <c r="H360" s="326"/>
      <c r="I360" s="326"/>
      <c r="J360" s="326"/>
      <c r="K360" s="326"/>
      <c r="L360" s="327"/>
      <c r="M360" s="290">
        <v>1674.0</v>
      </c>
      <c r="N360" s="289"/>
      <c r="O360" s="15"/>
      <c r="P360" s="15"/>
      <c r="Q360" s="16"/>
      <c r="R360" s="355" t="s">
        <v>281</v>
      </c>
      <c r="S360" s="279"/>
      <c r="T360" s="279"/>
      <c r="U360" s="279"/>
      <c r="V360" s="279"/>
      <c r="W360" s="279"/>
      <c r="X360" s="279"/>
      <c r="Y360" s="279"/>
      <c r="Z360" s="279"/>
      <c r="AA360" s="279"/>
      <c r="AB360" s="279"/>
      <c r="AC360" s="279"/>
      <c r="AD360" s="279"/>
      <c r="AE360" s="279"/>
      <c r="AF360" s="279"/>
      <c r="AG360" s="279"/>
      <c r="AH360" s="279"/>
      <c r="AI360" s="279"/>
      <c r="AJ360" s="279"/>
      <c r="AK360" s="279"/>
      <c r="AL360" s="279"/>
      <c r="AM360" s="279"/>
      <c r="AN360" s="279"/>
      <c r="AO360" s="279"/>
      <c r="AP360" s="279"/>
      <c r="AQ360" s="279"/>
      <c r="AR360" s="279"/>
      <c r="AS360" s="279"/>
      <c r="AT360" s="279"/>
      <c r="AU360" s="279"/>
      <c r="AV360" s="279"/>
      <c r="AW360" s="279"/>
      <c r="AX360" s="279"/>
      <c r="AY360" s="279"/>
      <c r="AZ360" s="279"/>
      <c r="BA360" s="279"/>
      <c r="BB360" s="279"/>
      <c r="BC360" s="279"/>
      <c r="BD360" s="279"/>
      <c r="BE360" s="279"/>
      <c r="BF360" s="279"/>
      <c r="BG360" s="279"/>
      <c r="BH360" s="279"/>
      <c r="BI360" s="279"/>
      <c r="BJ360" s="279"/>
      <c r="BK360" s="279"/>
      <c r="BL360" s="279"/>
      <c r="BM360" s="279"/>
      <c r="BN360" s="279"/>
      <c r="BO360" s="279"/>
      <c r="BP360" s="279"/>
      <c r="BQ360" s="279"/>
    </row>
    <row r="361" ht="12.75" hidden="1" customHeight="1">
      <c r="A361" s="269"/>
      <c r="B361" s="20"/>
      <c r="C361" s="325" t="s">
        <v>654</v>
      </c>
      <c r="D361" s="326"/>
      <c r="E361" s="326"/>
      <c r="F361" s="326"/>
      <c r="G361" s="326"/>
      <c r="H361" s="326"/>
      <c r="I361" s="326"/>
      <c r="J361" s="326"/>
      <c r="K361" s="326"/>
      <c r="L361" s="327"/>
      <c r="M361" s="290">
        <v>1144.0</v>
      </c>
      <c r="N361" s="289"/>
      <c r="O361" s="15"/>
      <c r="P361" s="15"/>
      <c r="Q361" s="16"/>
      <c r="R361" s="355" t="s">
        <v>281</v>
      </c>
      <c r="S361" s="279"/>
      <c r="T361" s="279"/>
      <c r="U361" s="279"/>
      <c r="V361" s="279"/>
      <c r="W361" s="279"/>
      <c r="X361" s="279"/>
      <c r="Y361" s="279"/>
      <c r="Z361" s="279"/>
      <c r="AA361" s="279"/>
      <c r="AB361" s="279"/>
      <c r="AC361" s="279"/>
      <c r="AD361" s="279"/>
      <c r="AE361" s="279"/>
      <c r="AF361" s="279"/>
      <c r="AG361" s="279"/>
      <c r="AH361" s="279"/>
      <c r="AI361" s="279"/>
      <c r="AJ361" s="279"/>
      <c r="AK361" s="279"/>
      <c r="AL361" s="279"/>
      <c r="AM361" s="279"/>
      <c r="AN361" s="279"/>
      <c r="AO361" s="279"/>
      <c r="AP361" s="279"/>
      <c r="AQ361" s="279"/>
      <c r="AR361" s="279"/>
      <c r="AS361" s="279"/>
      <c r="AT361" s="279"/>
      <c r="AU361" s="279"/>
      <c r="AV361" s="279"/>
      <c r="AW361" s="279"/>
      <c r="AX361" s="279"/>
      <c r="AY361" s="279"/>
      <c r="AZ361" s="279"/>
      <c r="BA361" s="279"/>
      <c r="BB361" s="279"/>
      <c r="BC361" s="279"/>
      <c r="BD361" s="279"/>
      <c r="BE361" s="279"/>
      <c r="BF361" s="279"/>
      <c r="BG361" s="279"/>
      <c r="BH361" s="279"/>
      <c r="BI361" s="279"/>
      <c r="BJ361" s="279"/>
      <c r="BK361" s="279"/>
      <c r="BL361" s="279"/>
      <c r="BM361" s="279"/>
      <c r="BN361" s="279"/>
      <c r="BO361" s="279"/>
      <c r="BP361" s="279"/>
      <c r="BQ361" s="279"/>
    </row>
    <row r="362" ht="12.75" hidden="1" customHeight="1">
      <c r="A362" s="269"/>
      <c r="B362" s="20"/>
      <c r="C362" s="325" t="s">
        <v>640</v>
      </c>
      <c r="D362" s="326"/>
      <c r="E362" s="326"/>
      <c r="F362" s="326"/>
      <c r="G362" s="326"/>
      <c r="H362" s="326"/>
      <c r="I362" s="326"/>
      <c r="J362" s="326"/>
      <c r="K362" s="326"/>
      <c r="L362" s="327"/>
      <c r="M362" s="290">
        <v>1675.0</v>
      </c>
      <c r="N362" s="289"/>
      <c r="O362" s="15"/>
      <c r="P362" s="15"/>
      <c r="Q362" s="16"/>
      <c r="R362" s="355" t="s">
        <v>281</v>
      </c>
      <c r="S362" s="279"/>
      <c r="T362" s="279"/>
      <c r="U362" s="279"/>
      <c r="V362" s="279"/>
      <c r="W362" s="279"/>
      <c r="X362" s="279"/>
      <c r="Y362" s="279"/>
      <c r="Z362" s="279"/>
      <c r="AA362" s="279"/>
      <c r="AB362" s="279"/>
      <c r="AC362" s="279"/>
      <c r="AD362" s="279"/>
      <c r="AE362" s="279"/>
      <c r="AF362" s="279"/>
      <c r="AG362" s="279"/>
      <c r="AH362" s="279"/>
      <c r="AI362" s="279"/>
      <c r="AJ362" s="279"/>
      <c r="AK362" s="279"/>
      <c r="AL362" s="279"/>
      <c r="AM362" s="279"/>
      <c r="AN362" s="279"/>
      <c r="AO362" s="279"/>
      <c r="AP362" s="279"/>
      <c r="AQ362" s="279"/>
      <c r="AR362" s="279"/>
      <c r="AS362" s="279"/>
      <c r="AT362" s="279"/>
      <c r="AU362" s="279"/>
      <c r="AV362" s="279"/>
      <c r="AW362" s="279"/>
      <c r="AX362" s="279"/>
      <c r="AY362" s="279"/>
      <c r="AZ362" s="279"/>
      <c r="BA362" s="279"/>
      <c r="BB362" s="279"/>
      <c r="BC362" s="279"/>
      <c r="BD362" s="279"/>
      <c r="BE362" s="279"/>
      <c r="BF362" s="279"/>
      <c r="BG362" s="279"/>
      <c r="BH362" s="279"/>
      <c r="BI362" s="279"/>
      <c r="BJ362" s="279"/>
      <c r="BK362" s="279"/>
      <c r="BL362" s="279"/>
      <c r="BM362" s="279"/>
      <c r="BN362" s="279"/>
      <c r="BO362" s="279"/>
      <c r="BP362" s="279"/>
      <c r="BQ362" s="279"/>
    </row>
    <row r="363" ht="12.75" hidden="1" customHeight="1">
      <c r="A363" s="269"/>
      <c r="B363" s="20"/>
      <c r="C363" s="325" t="s">
        <v>655</v>
      </c>
      <c r="D363" s="326"/>
      <c r="E363" s="326"/>
      <c r="F363" s="326"/>
      <c r="G363" s="326"/>
      <c r="H363" s="326"/>
      <c r="I363" s="326"/>
      <c r="J363" s="326"/>
      <c r="K363" s="326"/>
      <c r="L363" s="327"/>
      <c r="M363" s="290">
        <v>1175.0</v>
      </c>
      <c r="N363" s="289"/>
      <c r="O363" s="15"/>
      <c r="P363" s="15"/>
      <c r="Q363" s="16"/>
      <c r="R363" s="355" t="s">
        <v>281</v>
      </c>
      <c r="S363" s="279"/>
      <c r="T363" s="279"/>
      <c r="U363" s="279"/>
      <c r="V363" s="279"/>
      <c r="W363" s="279"/>
      <c r="X363" s="279"/>
      <c r="Y363" s="279"/>
      <c r="Z363" s="279"/>
      <c r="AA363" s="279"/>
      <c r="AB363" s="279"/>
      <c r="AC363" s="279"/>
      <c r="AD363" s="279"/>
      <c r="AE363" s="279"/>
      <c r="AF363" s="279"/>
      <c r="AG363" s="279"/>
      <c r="AH363" s="279"/>
      <c r="AI363" s="279"/>
      <c r="AJ363" s="279"/>
      <c r="AK363" s="279"/>
      <c r="AL363" s="279"/>
      <c r="AM363" s="279"/>
      <c r="AN363" s="279"/>
      <c r="AO363" s="279"/>
      <c r="AP363" s="279"/>
      <c r="AQ363" s="279"/>
      <c r="AR363" s="279"/>
      <c r="AS363" s="279"/>
      <c r="AT363" s="279"/>
      <c r="AU363" s="279"/>
      <c r="AV363" s="279"/>
      <c r="AW363" s="279"/>
      <c r="AX363" s="279"/>
      <c r="AY363" s="279"/>
      <c r="AZ363" s="279"/>
      <c r="BA363" s="279"/>
      <c r="BB363" s="279"/>
      <c r="BC363" s="279"/>
      <c r="BD363" s="279"/>
      <c r="BE363" s="279"/>
      <c r="BF363" s="279"/>
      <c r="BG363" s="279"/>
      <c r="BH363" s="279"/>
      <c r="BI363" s="279"/>
      <c r="BJ363" s="279"/>
      <c r="BK363" s="279"/>
      <c r="BL363" s="279"/>
      <c r="BM363" s="279"/>
      <c r="BN363" s="279"/>
      <c r="BO363" s="279"/>
      <c r="BP363" s="279"/>
      <c r="BQ363" s="279"/>
    </row>
    <row r="364" ht="12.75" hidden="1" customHeight="1">
      <c r="A364" s="269"/>
      <c r="B364" s="20"/>
      <c r="C364" s="325" t="s">
        <v>656</v>
      </c>
      <c r="D364" s="326"/>
      <c r="E364" s="326"/>
      <c r="F364" s="326"/>
      <c r="G364" s="326"/>
      <c r="H364" s="326"/>
      <c r="I364" s="326"/>
      <c r="J364" s="326"/>
      <c r="K364" s="326"/>
      <c r="L364" s="327"/>
      <c r="M364" s="290">
        <v>1676.0</v>
      </c>
      <c r="N364" s="289"/>
      <c r="O364" s="15"/>
      <c r="P364" s="15"/>
      <c r="Q364" s="16"/>
      <c r="R364" s="355" t="s">
        <v>281</v>
      </c>
      <c r="S364" s="279"/>
      <c r="T364" s="279"/>
      <c r="U364" s="279"/>
      <c r="V364" s="279"/>
      <c r="W364" s="279"/>
      <c r="X364" s="279"/>
      <c r="Y364" s="279"/>
      <c r="Z364" s="279"/>
      <c r="AA364" s="279"/>
      <c r="AB364" s="279"/>
      <c r="AC364" s="279"/>
      <c r="AD364" s="279"/>
      <c r="AE364" s="279"/>
      <c r="AF364" s="279"/>
      <c r="AG364" s="279"/>
      <c r="AH364" s="279"/>
      <c r="AI364" s="279"/>
      <c r="AJ364" s="279"/>
      <c r="AK364" s="279"/>
      <c r="AL364" s="279"/>
      <c r="AM364" s="279"/>
      <c r="AN364" s="279"/>
      <c r="AO364" s="279"/>
      <c r="AP364" s="279"/>
      <c r="AQ364" s="279"/>
      <c r="AR364" s="279"/>
      <c r="AS364" s="279"/>
      <c r="AT364" s="279"/>
      <c r="AU364" s="279"/>
      <c r="AV364" s="279"/>
      <c r="AW364" s="279"/>
      <c r="AX364" s="279"/>
      <c r="AY364" s="279"/>
      <c r="AZ364" s="279"/>
      <c r="BA364" s="279"/>
      <c r="BB364" s="279"/>
      <c r="BC364" s="279"/>
      <c r="BD364" s="279"/>
      <c r="BE364" s="279"/>
      <c r="BF364" s="279"/>
      <c r="BG364" s="279"/>
      <c r="BH364" s="279"/>
      <c r="BI364" s="279"/>
      <c r="BJ364" s="279"/>
      <c r="BK364" s="279"/>
      <c r="BL364" s="279"/>
      <c r="BM364" s="279"/>
      <c r="BN364" s="279"/>
      <c r="BO364" s="279"/>
      <c r="BP364" s="279"/>
      <c r="BQ364" s="279"/>
    </row>
    <row r="365" ht="12.75" hidden="1" customHeight="1">
      <c r="A365" s="269"/>
      <c r="B365" s="20"/>
      <c r="C365" s="325" t="s">
        <v>657</v>
      </c>
      <c r="D365" s="326"/>
      <c r="E365" s="326"/>
      <c r="F365" s="326"/>
      <c r="G365" s="326"/>
      <c r="H365" s="326"/>
      <c r="I365" s="326"/>
      <c r="J365" s="326"/>
      <c r="K365" s="326"/>
      <c r="L365" s="327"/>
      <c r="M365" s="290">
        <v>1677.0</v>
      </c>
      <c r="N365" s="289"/>
      <c r="O365" s="15"/>
      <c r="P365" s="15"/>
      <c r="Q365" s="16"/>
      <c r="R365" s="355" t="s">
        <v>281</v>
      </c>
      <c r="S365" s="279"/>
      <c r="T365" s="279"/>
      <c r="U365" s="279"/>
      <c r="V365" s="279"/>
      <c r="W365" s="279"/>
      <c r="X365" s="279"/>
      <c r="Y365" s="279"/>
      <c r="Z365" s="279"/>
      <c r="AA365" s="279"/>
      <c r="AB365" s="279"/>
      <c r="AC365" s="279"/>
      <c r="AD365" s="279"/>
      <c r="AE365" s="279"/>
      <c r="AF365" s="279"/>
      <c r="AG365" s="279"/>
      <c r="AH365" s="279"/>
      <c r="AI365" s="279"/>
      <c r="AJ365" s="279"/>
      <c r="AK365" s="279"/>
      <c r="AL365" s="279"/>
      <c r="AM365" s="279"/>
      <c r="AN365" s="279"/>
      <c r="AO365" s="279"/>
      <c r="AP365" s="279"/>
      <c r="AQ365" s="279"/>
      <c r="AR365" s="279"/>
      <c r="AS365" s="279"/>
      <c r="AT365" s="279"/>
      <c r="AU365" s="279"/>
      <c r="AV365" s="279"/>
      <c r="AW365" s="279"/>
      <c r="AX365" s="279"/>
      <c r="AY365" s="279"/>
      <c r="AZ365" s="279"/>
      <c r="BA365" s="279"/>
      <c r="BB365" s="279"/>
      <c r="BC365" s="279"/>
      <c r="BD365" s="279"/>
      <c r="BE365" s="279"/>
      <c r="BF365" s="279"/>
      <c r="BG365" s="279"/>
      <c r="BH365" s="279"/>
      <c r="BI365" s="279"/>
      <c r="BJ365" s="279"/>
      <c r="BK365" s="279"/>
      <c r="BL365" s="279"/>
      <c r="BM365" s="279"/>
      <c r="BN365" s="279"/>
      <c r="BO365" s="279"/>
      <c r="BP365" s="279"/>
      <c r="BQ365" s="279"/>
    </row>
    <row r="366" ht="12.75" hidden="1" customHeight="1">
      <c r="A366" s="269"/>
      <c r="B366" s="20"/>
      <c r="C366" s="325" t="s">
        <v>658</v>
      </c>
      <c r="D366" s="326"/>
      <c r="E366" s="326"/>
      <c r="F366" s="326"/>
      <c r="G366" s="326"/>
      <c r="H366" s="326"/>
      <c r="I366" s="326"/>
      <c r="J366" s="326"/>
      <c r="K366" s="326"/>
      <c r="L366" s="327"/>
      <c r="M366" s="290">
        <v>1678.0</v>
      </c>
      <c r="N366" s="289"/>
      <c r="O366" s="15"/>
      <c r="P366" s="15"/>
      <c r="Q366" s="16"/>
      <c r="R366" s="355" t="s">
        <v>281</v>
      </c>
      <c r="S366" s="279"/>
      <c r="T366" s="279"/>
      <c r="U366" s="279"/>
      <c r="V366" s="279"/>
      <c r="W366" s="279"/>
      <c r="X366" s="279"/>
      <c r="Y366" s="279"/>
      <c r="Z366" s="279"/>
      <c r="AA366" s="279"/>
      <c r="AB366" s="279"/>
      <c r="AC366" s="279"/>
      <c r="AD366" s="279"/>
      <c r="AE366" s="279"/>
      <c r="AF366" s="279"/>
      <c r="AG366" s="279"/>
      <c r="AH366" s="279"/>
      <c r="AI366" s="279"/>
      <c r="AJ366" s="279"/>
      <c r="AK366" s="279"/>
      <c r="AL366" s="279"/>
      <c r="AM366" s="279"/>
      <c r="AN366" s="279"/>
      <c r="AO366" s="279"/>
      <c r="AP366" s="279"/>
      <c r="AQ366" s="279"/>
      <c r="AR366" s="279"/>
      <c r="AS366" s="279"/>
      <c r="AT366" s="279"/>
      <c r="AU366" s="279"/>
      <c r="AV366" s="279"/>
      <c r="AW366" s="279"/>
      <c r="AX366" s="279"/>
      <c r="AY366" s="279"/>
      <c r="AZ366" s="279"/>
      <c r="BA366" s="279"/>
      <c r="BB366" s="279"/>
      <c r="BC366" s="279"/>
      <c r="BD366" s="279"/>
      <c r="BE366" s="279"/>
      <c r="BF366" s="279"/>
      <c r="BG366" s="279"/>
      <c r="BH366" s="279"/>
      <c r="BI366" s="279"/>
      <c r="BJ366" s="279"/>
      <c r="BK366" s="279"/>
      <c r="BL366" s="279"/>
      <c r="BM366" s="279"/>
      <c r="BN366" s="279"/>
      <c r="BO366" s="279"/>
      <c r="BP366" s="279"/>
      <c r="BQ366" s="279"/>
    </row>
    <row r="367" ht="12.75" hidden="1" customHeight="1">
      <c r="A367" s="269"/>
      <c r="B367" s="20"/>
      <c r="C367" s="325" t="s">
        <v>659</v>
      </c>
      <c r="D367" s="326"/>
      <c r="E367" s="326"/>
      <c r="F367" s="326"/>
      <c r="G367" s="326"/>
      <c r="H367" s="326"/>
      <c r="I367" s="326"/>
      <c r="J367" s="326"/>
      <c r="K367" s="326"/>
      <c r="L367" s="327"/>
      <c r="M367" s="290">
        <v>1150.0</v>
      </c>
      <c r="N367" s="289"/>
      <c r="O367" s="15"/>
      <c r="P367" s="15"/>
      <c r="Q367" s="16"/>
      <c r="R367" s="355" t="s">
        <v>281</v>
      </c>
      <c r="S367" s="279"/>
      <c r="T367" s="279"/>
      <c r="U367" s="279"/>
      <c r="V367" s="279"/>
      <c r="W367" s="279"/>
      <c r="X367" s="279"/>
      <c r="Y367" s="279"/>
      <c r="Z367" s="279"/>
      <c r="AA367" s="279"/>
      <c r="AB367" s="279"/>
      <c r="AC367" s="279"/>
      <c r="AD367" s="279"/>
      <c r="AE367" s="279"/>
      <c r="AF367" s="279"/>
      <c r="AG367" s="279"/>
      <c r="AH367" s="279"/>
      <c r="AI367" s="279"/>
      <c r="AJ367" s="279"/>
      <c r="AK367" s="279"/>
      <c r="AL367" s="279"/>
      <c r="AM367" s="279"/>
      <c r="AN367" s="279"/>
      <c r="AO367" s="279"/>
      <c r="AP367" s="279"/>
      <c r="AQ367" s="279"/>
      <c r="AR367" s="279"/>
      <c r="AS367" s="279"/>
      <c r="AT367" s="279"/>
      <c r="AU367" s="279"/>
      <c r="AV367" s="279"/>
      <c r="AW367" s="279"/>
      <c r="AX367" s="279"/>
      <c r="AY367" s="279"/>
      <c r="AZ367" s="279"/>
      <c r="BA367" s="279"/>
      <c r="BB367" s="279"/>
      <c r="BC367" s="279"/>
      <c r="BD367" s="279"/>
      <c r="BE367" s="279"/>
      <c r="BF367" s="279"/>
      <c r="BG367" s="279"/>
      <c r="BH367" s="279"/>
      <c r="BI367" s="279"/>
      <c r="BJ367" s="279"/>
      <c r="BK367" s="279"/>
      <c r="BL367" s="279"/>
      <c r="BM367" s="279"/>
      <c r="BN367" s="279"/>
      <c r="BO367" s="279"/>
      <c r="BP367" s="279"/>
      <c r="BQ367" s="279"/>
    </row>
    <row r="368" ht="12.75" hidden="1" customHeight="1">
      <c r="A368" s="269"/>
      <c r="B368" s="20"/>
      <c r="C368" s="325" t="s">
        <v>660</v>
      </c>
      <c r="D368" s="326"/>
      <c r="E368" s="326"/>
      <c r="F368" s="326"/>
      <c r="G368" s="326"/>
      <c r="H368" s="326"/>
      <c r="I368" s="326"/>
      <c r="J368" s="326"/>
      <c r="K368" s="326"/>
      <c r="L368" s="327"/>
      <c r="M368" s="290">
        <v>1147.0</v>
      </c>
      <c r="N368" s="289"/>
      <c r="O368" s="15"/>
      <c r="P368" s="15"/>
      <c r="Q368" s="16"/>
      <c r="R368" s="355" t="s">
        <v>281</v>
      </c>
      <c r="S368" s="279"/>
      <c r="T368" s="279"/>
      <c r="U368" s="279"/>
      <c r="V368" s="279"/>
      <c r="W368" s="279"/>
      <c r="X368" s="279"/>
      <c r="Y368" s="279"/>
      <c r="Z368" s="279"/>
      <c r="AA368" s="279"/>
      <c r="AB368" s="279"/>
      <c r="AC368" s="279"/>
      <c r="AD368" s="279"/>
      <c r="AE368" s="279"/>
      <c r="AF368" s="279"/>
      <c r="AG368" s="279"/>
      <c r="AH368" s="279"/>
      <c r="AI368" s="279"/>
      <c r="AJ368" s="279"/>
      <c r="AK368" s="279"/>
      <c r="AL368" s="279"/>
      <c r="AM368" s="279"/>
      <c r="AN368" s="279"/>
      <c r="AO368" s="279"/>
      <c r="AP368" s="279"/>
      <c r="AQ368" s="279"/>
      <c r="AR368" s="279"/>
      <c r="AS368" s="279"/>
      <c r="AT368" s="279"/>
      <c r="AU368" s="279"/>
      <c r="AV368" s="279"/>
      <c r="AW368" s="279"/>
      <c r="AX368" s="279"/>
      <c r="AY368" s="279"/>
      <c r="AZ368" s="279"/>
      <c r="BA368" s="279"/>
      <c r="BB368" s="279"/>
      <c r="BC368" s="279"/>
      <c r="BD368" s="279"/>
      <c r="BE368" s="279"/>
      <c r="BF368" s="279"/>
      <c r="BG368" s="279"/>
      <c r="BH368" s="279"/>
      <c r="BI368" s="279"/>
      <c r="BJ368" s="279"/>
      <c r="BK368" s="279"/>
      <c r="BL368" s="279"/>
      <c r="BM368" s="279"/>
      <c r="BN368" s="279"/>
      <c r="BO368" s="279"/>
      <c r="BP368" s="279"/>
      <c r="BQ368" s="279"/>
    </row>
    <row r="369" ht="12.75" hidden="1" customHeight="1">
      <c r="A369" s="269"/>
      <c r="B369" s="20"/>
      <c r="C369" s="325" t="s">
        <v>661</v>
      </c>
      <c r="D369" s="326"/>
      <c r="E369" s="326"/>
      <c r="F369" s="326"/>
      <c r="G369" s="326"/>
      <c r="H369" s="326"/>
      <c r="I369" s="326"/>
      <c r="J369" s="326"/>
      <c r="K369" s="326"/>
      <c r="L369" s="327"/>
      <c r="M369" s="290">
        <v>1148.0</v>
      </c>
      <c r="N369" s="289"/>
      <c r="O369" s="15"/>
      <c r="P369" s="15"/>
      <c r="Q369" s="16"/>
      <c r="R369" s="355" t="s">
        <v>281</v>
      </c>
      <c r="S369" s="279"/>
      <c r="T369" s="279"/>
      <c r="U369" s="279"/>
      <c r="V369" s="279"/>
      <c r="W369" s="279"/>
      <c r="X369" s="279"/>
      <c r="Y369" s="279"/>
      <c r="Z369" s="279"/>
      <c r="AA369" s="279"/>
      <c r="AB369" s="279"/>
      <c r="AC369" s="279"/>
      <c r="AD369" s="279"/>
      <c r="AE369" s="279"/>
      <c r="AF369" s="279"/>
      <c r="AG369" s="279"/>
      <c r="AH369" s="279"/>
      <c r="AI369" s="279"/>
      <c r="AJ369" s="279"/>
      <c r="AK369" s="279"/>
      <c r="AL369" s="279"/>
      <c r="AM369" s="279"/>
      <c r="AN369" s="279"/>
      <c r="AO369" s="279"/>
      <c r="AP369" s="279"/>
      <c r="AQ369" s="279"/>
      <c r="AR369" s="279"/>
      <c r="AS369" s="279"/>
      <c r="AT369" s="279"/>
      <c r="AU369" s="279"/>
      <c r="AV369" s="279"/>
      <c r="AW369" s="279"/>
      <c r="AX369" s="279"/>
      <c r="AY369" s="279"/>
      <c r="AZ369" s="279"/>
      <c r="BA369" s="279"/>
      <c r="BB369" s="279"/>
      <c r="BC369" s="279"/>
      <c r="BD369" s="279"/>
      <c r="BE369" s="279"/>
      <c r="BF369" s="279"/>
      <c r="BG369" s="279"/>
      <c r="BH369" s="279"/>
      <c r="BI369" s="279"/>
      <c r="BJ369" s="279"/>
      <c r="BK369" s="279"/>
      <c r="BL369" s="279"/>
      <c r="BM369" s="279"/>
      <c r="BN369" s="279"/>
      <c r="BO369" s="279"/>
      <c r="BP369" s="279"/>
      <c r="BQ369" s="279"/>
    </row>
    <row r="370" ht="12.75" hidden="1" customHeight="1">
      <c r="A370" s="269"/>
      <c r="B370" s="20"/>
      <c r="C370" s="325" t="s">
        <v>662</v>
      </c>
      <c r="D370" s="326"/>
      <c r="E370" s="326"/>
      <c r="F370" s="326"/>
      <c r="G370" s="326"/>
      <c r="H370" s="326"/>
      <c r="I370" s="326"/>
      <c r="J370" s="326"/>
      <c r="K370" s="326"/>
      <c r="L370" s="327"/>
      <c r="M370" s="290">
        <v>1149.0</v>
      </c>
      <c r="N370" s="289"/>
      <c r="O370" s="15"/>
      <c r="P370" s="15"/>
      <c r="Q370" s="16"/>
      <c r="R370" s="355" t="s">
        <v>281</v>
      </c>
      <c r="S370" s="279"/>
      <c r="T370" s="279"/>
      <c r="U370" s="279"/>
      <c r="V370" s="279"/>
      <c r="W370" s="279"/>
      <c r="X370" s="279"/>
      <c r="Y370" s="279"/>
      <c r="Z370" s="279"/>
      <c r="AA370" s="279"/>
      <c r="AB370" s="279"/>
      <c r="AC370" s="279"/>
      <c r="AD370" s="279"/>
      <c r="AE370" s="279"/>
      <c r="AF370" s="279"/>
      <c r="AG370" s="279"/>
      <c r="AH370" s="279"/>
      <c r="AI370" s="279"/>
      <c r="AJ370" s="279"/>
      <c r="AK370" s="279"/>
      <c r="AL370" s="279"/>
      <c r="AM370" s="279"/>
      <c r="AN370" s="279"/>
      <c r="AO370" s="279"/>
      <c r="AP370" s="279"/>
      <c r="AQ370" s="279"/>
      <c r="AR370" s="279"/>
      <c r="AS370" s="279"/>
      <c r="AT370" s="279"/>
      <c r="AU370" s="279"/>
      <c r="AV370" s="279"/>
      <c r="AW370" s="279"/>
      <c r="AX370" s="279"/>
      <c r="AY370" s="279"/>
      <c r="AZ370" s="279"/>
      <c r="BA370" s="279"/>
      <c r="BB370" s="279"/>
      <c r="BC370" s="279"/>
      <c r="BD370" s="279"/>
      <c r="BE370" s="279"/>
      <c r="BF370" s="279"/>
      <c r="BG370" s="279"/>
      <c r="BH370" s="279"/>
      <c r="BI370" s="279"/>
      <c r="BJ370" s="279"/>
      <c r="BK370" s="279"/>
      <c r="BL370" s="279"/>
      <c r="BM370" s="279"/>
      <c r="BN370" s="279"/>
      <c r="BO370" s="279"/>
      <c r="BP370" s="279"/>
      <c r="BQ370" s="279"/>
    </row>
    <row r="371" ht="12.75" hidden="1" customHeight="1">
      <c r="A371" s="269"/>
      <c r="B371" s="20"/>
      <c r="C371" s="325" t="s">
        <v>663</v>
      </c>
      <c r="D371" s="326"/>
      <c r="E371" s="326"/>
      <c r="F371" s="326"/>
      <c r="G371" s="326"/>
      <c r="H371" s="326"/>
      <c r="I371" s="326"/>
      <c r="J371" s="326"/>
      <c r="K371" s="326"/>
      <c r="L371" s="327"/>
      <c r="M371" s="290">
        <v>1151.0</v>
      </c>
      <c r="N371" s="289"/>
      <c r="O371" s="15"/>
      <c r="P371" s="15"/>
      <c r="Q371" s="16"/>
      <c r="R371" s="355" t="s">
        <v>281</v>
      </c>
      <c r="S371" s="279"/>
      <c r="T371" s="279"/>
      <c r="U371" s="279"/>
      <c r="V371" s="279"/>
      <c r="W371" s="279"/>
      <c r="X371" s="279"/>
      <c r="Y371" s="279"/>
      <c r="Z371" s="279"/>
      <c r="AA371" s="279"/>
      <c r="AB371" s="279"/>
      <c r="AC371" s="279"/>
      <c r="AD371" s="279"/>
      <c r="AE371" s="279"/>
      <c r="AF371" s="279"/>
      <c r="AG371" s="279"/>
      <c r="AH371" s="279"/>
      <c r="AI371" s="279"/>
      <c r="AJ371" s="279"/>
      <c r="AK371" s="279"/>
      <c r="AL371" s="279"/>
      <c r="AM371" s="279"/>
      <c r="AN371" s="279"/>
      <c r="AO371" s="279"/>
      <c r="AP371" s="279"/>
      <c r="AQ371" s="279"/>
      <c r="AR371" s="279"/>
      <c r="AS371" s="279"/>
      <c r="AT371" s="279"/>
      <c r="AU371" s="279"/>
      <c r="AV371" s="279"/>
      <c r="AW371" s="279"/>
      <c r="AX371" s="279"/>
      <c r="AY371" s="279"/>
      <c r="AZ371" s="279"/>
      <c r="BA371" s="279"/>
      <c r="BB371" s="279"/>
      <c r="BC371" s="279"/>
      <c r="BD371" s="279"/>
      <c r="BE371" s="279"/>
      <c r="BF371" s="279"/>
      <c r="BG371" s="279"/>
      <c r="BH371" s="279"/>
      <c r="BI371" s="279"/>
      <c r="BJ371" s="279"/>
      <c r="BK371" s="279"/>
      <c r="BL371" s="279"/>
      <c r="BM371" s="279"/>
      <c r="BN371" s="279"/>
      <c r="BO371" s="279"/>
      <c r="BP371" s="279"/>
      <c r="BQ371" s="279"/>
    </row>
    <row r="372" ht="12.75" hidden="1" customHeight="1">
      <c r="A372" s="269"/>
      <c r="B372" s="20"/>
      <c r="C372" s="325" t="s">
        <v>664</v>
      </c>
      <c r="D372" s="326"/>
      <c r="E372" s="326"/>
      <c r="F372" s="326"/>
      <c r="G372" s="326"/>
      <c r="H372" s="326"/>
      <c r="I372" s="326"/>
      <c r="J372" s="326"/>
      <c r="K372" s="326"/>
      <c r="L372" s="327"/>
      <c r="M372" s="290">
        <v>1152.0</v>
      </c>
      <c r="N372" s="289"/>
      <c r="O372" s="15"/>
      <c r="P372" s="15"/>
      <c r="Q372" s="16"/>
      <c r="R372" s="355" t="s">
        <v>312</v>
      </c>
      <c r="S372" s="279"/>
      <c r="T372" s="279"/>
      <c r="U372" s="279"/>
      <c r="V372" s="279"/>
      <c r="W372" s="279"/>
      <c r="X372" s="279"/>
      <c r="Y372" s="279"/>
      <c r="Z372" s="279"/>
      <c r="AA372" s="279"/>
      <c r="AB372" s="279"/>
      <c r="AC372" s="279"/>
      <c r="AD372" s="279"/>
      <c r="AE372" s="279"/>
      <c r="AF372" s="279"/>
      <c r="AG372" s="279"/>
      <c r="AH372" s="279"/>
      <c r="AI372" s="279"/>
      <c r="AJ372" s="279"/>
      <c r="AK372" s="279"/>
      <c r="AL372" s="279"/>
      <c r="AM372" s="279"/>
      <c r="AN372" s="279"/>
      <c r="AO372" s="279"/>
      <c r="AP372" s="279"/>
      <c r="AQ372" s="279"/>
      <c r="AR372" s="279"/>
      <c r="AS372" s="279"/>
      <c r="AT372" s="279"/>
      <c r="AU372" s="279"/>
      <c r="AV372" s="279"/>
      <c r="AW372" s="279"/>
      <c r="AX372" s="279"/>
      <c r="AY372" s="279"/>
      <c r="AZ372" s="279"/>
      <c r="BA372" s="279"/>
      <c r="BB372" s="279"/>
      <c r="BC372" s="279"/>
      <c r="BD372" s="279"/>
      <c r="BE372" s="279"/>
      <c r="BF372" s="279"/>
      <c r="BG372" s="279"/>
      <c r="BH372" s="279"/>
      <c r="BI372" s="279"/>
      <c r="BJ372" s="279"/>
      <c r="BK372" s="279"/>
      <c r="BL372" s="279"/>
      <c r="BM372" s="279"/>
      <c r="BN372" s="279"/>
      <c r="BO372" s="279"/>
      <c r="BP372" s="279"/>
      <c r="BQ372" s="279"/>
    </row>
    <row r="373" ht="12.75" hidden="1" customHeight="1">
      <c r="A373" s="269"/>
      <c r="B373" s="20"/>
      <c r="C373" s="325" t="s">
        <v>665</v>
      </c>
      <c r="D373" s="326"/>
      <c r="E373" s="326"/>
      <c r="F373" s="326"/>
      <c r="G373" s="326"/>
      <c r="H373" s="326"/>
      <c r="I373" s="326"/>
      <c r="J373" s="326"/>
      <c r="K373" s="326"/>
      <c r="L373" s="327"/>
      <c r="M373" s="290">
        <v>1176.0</v>
      </c>
      <c r="N373" s="289"/>
      <c r="O373" s="15"/>
      <c r="P373" s="15"/>
      <c r="Q373" s="16"/>
      <c r="R373" s="355" t="s">
        <v>312</v>
      </c>
      <c r="S373" s="279"/>
      <c r="T373" s="279"/>
      <c r="U373" s="279"/>
      <c r="V373" s="279"/>
      <c r="W373" s="279"/>
      <c r="X373" s="279"/>
      <c r="Y373" s="279"/>
      <c r="Z373" s="279"/>
      <c r="AA373" s="279"/>
      <c r="AB373" s="279"/>
      <c r="AC373" s="279"/>
      <c r="AD373" s="279"/>
      <c r="AE373" s="279"/>
      <c r="AF373" s="279"/>
      <c r="AG373" s="279"/>
      <c r="AH373" s="279"/>
      <c r="AI373" s="279"/>
      <c r="AJ373" s="279"/>
      <c r="AK373" s="279"/>
      <c r="AL373" s="279"/>
      <c r="AM373" s="279"/>
      <c r="AN373" s="279"/>
      <c r="AO373" s="279"/>
      <c r="AP373" s="279"/>
      <c r="AQ373" s="279"/>
      <c r="AR373" s="279"/>
      <c r="AS373" s="279"/>
      <c r="AT373" s="279"/>
      <c r="AU373" s="279"/>
      <c r="AV373" s="279"/>
      <c r="AW373" s="279"/>
      <c r="AX373" s="279"/>
      <c r="AY373" s="279"/>
      <c r="AZ373" s="279"/>
      <c r="BA373" s="279"/>
      <c r="BB373" s="279"/>
      <c r="BC373" s="279"/>
      <c r="BD373" s="279"/>
      <c r="BE373" s="279"/>
      <c r="BF373" s="279"/>
      <c r="BG373" s="279"/>
      <c r="BH373" s="279"/>
      <c r="BI373" s="279"/>
      <c r="BJ373" s="279"/>
      <c r="BK373" s="279"/>
      <c r="BL373" s="279"/>
      <c r="BM373" s="279"/>
      <c r="BN373" s="279"/>
      <c r="BO373" s="279"/>
      <c r="BP373" s="279"/>
      <c r="BQ373" s="279"/>
    </row>
    <row r="374" ht="12.75" hidden="1" customHeight="1">
      <c r="A374" s="269"/>
      <c r="B374" s="20"/>
      <c r="C374" s="325" t="s">
        <v>666</v>
      </c>
      <c r="D374" s="326"/>
      <c r="E374" s="326"/>
      <c r="F374" s="326"/>
      <c r="G374" s="326"/>
      <c r="H374" s="326"/>
      <c r="I374" s="326"/>
      <c r="J374" s="326"/>
      <c r="K374" s="326"/>
      <c r="L374" s="327"/>
      <c r="M374" s="290">
        <v>1679.0</v>
      </c>
      <c r="N374" s="289"/>
      <c r="O374" s="15"/>
      <c r="P374" s="15"/>
      <c r="Q374" s="16"/>
      <c r="R374" s="355" t="s">
        <v>312</v>
      </c>
      <c r="S374" s="279"/>
      <c r="T374" s="279"/>
      <c r="U374" s="279"/>
      <c r="V374" s="279"/>
      <c r="W374" s="279"/>
      <c r="X374" s="279"/>
      <c r="Y374" s="279"/>
      <c r="Z374" s="279"/>
      <c r="AA374" s="279"/>
      <c r="AB374" s="279"/>
      <c r="AC374" s="279"/>
      <c r="AD374" s="279"/>
      <c r="AE374" s="279"/>
      <c r="AF374" s="279"/>
      <c r="AG374" s="279"/>
      <c r="AH374" s="279"/>
      <c r="AI374" s="279"/>
      <c r="AJ374" s="279"/>
      <c r="AK374" s="279"/>
      <c r="AL374" s="279"/>
      <c r="AM374" s="279"/>
      <c r="AN374" s="279"/>
      <c r="AO374" s="279"/>
      <c r="AP374" s="279"/>
      <c r="AQ374" s="279"/>
      <c r="AR374" s="279"/>
      <c r="AS374" s="279"/>
      <c r="AT374" s="279"/>
      <c r="AU374" s="279"/>
      <c r="AV374" s="279"/>
      <c r="AW374" s="279"/>
      <c r="AX374" s="279"/>
      <c r="AY374" s="279"/>
      <c r="AZ374" s="279"/>
      <c r="BA374" s="279"/>
      <c r="BB374" s="279"/>
      <c r="BC374" s="279"/>
      <c r="BD374" s="279"/>
      <c r="BE374" s="279"/>
      <c r="BF374" s="279"/>
      <c r="BG374" s="279"/>
      <c r="BH374" s="279"/>
      <c r="BI374" s="279"/>
      <c r="BJ374" s="279"/>
      <c r="BK374" s="279"/>
      <c r="BL374" s="279"/>
      <c r="BM374" s="279"/>
      <c r="BN374" s="279"/>
      <c r="BO374" s="279"/>
      <c r="BP374" s="279"/>
      <c r="BQ374" s="279"/>
    </row>
    <row r="375" ht="12.75" hidden="1" customHeight="1">
      <c r="A375" s="269"/>
      <c r="B375" s="20"/>
      <c r="C375" s="325" t="s">
        <v>667</v>
      </c>
      <c r="D375" s="326"/>
      <c r="E375" s="326"/>
      <c r="F375" s="326"/>
      <c r="G375" s="326"/>
      <c r="H375" s="326"/>
      <c r="I375" s="326"/>
      <c r="J375" s="326"/>
      <c r="K375" s="326"/>
      <c r="L375" s="327"/>
      <c r="M375" s="290">
        <v>1680.0</v>
      </c>
      <c r="N375" s="289"/>
      <c r="O375" s="15"/>
      <c r="P375" s="15"/>
      <c r="Q375" s="16"/>
      <c r="R375" s="355" t="s">
        <v>312</v>
      </c>
      <c r="S375" s="279"/>
      <c r="T375" s="279"/>
      <c r="U375" s="279"/>
      <c r="V375" s="279"/>
      <c r="W375" s="279"/>
      <c r="X375" s="279"/>
      <c r="Y375" s="279"/>
      <c r="Z375" s="279"/>
      <c r="AA375" s="279"/>
      <c r="AB375" s="279"/>
      <c r="AC375" s="279"/>
      <c r="AD375" s="279"/>
      <c r="AE375" s="279"/>
      <c r="AF375" s="279"/>
      <c r="AG375" s="279"/>
      <c r="AH375" s="279"/>
      <c r="AI375" s="279"/>
      <c r="AJ375" s="279"/>
      <c r="AK375" s="279"/>
      <c r="AL375" s="279"/>
      <c r="AM375" s="279"/>
      <c r="AN375" s="279"/>
      <c r="AO375" s="279"/>
      <c r="AP375" s="279"/>
      <c r="AQ375" s="279"/>
      <c r="AR375" s="279"/>
      <c r="AS375" s="279"/>
      <c r="AT375" s="279"/>
      <c r="AU375" s="279"/>
      <c r="AV375" s="279"/>
      <c r="AW375" s="279"/>
      <c r="AX375" s="279"/>
      <c r="AY375" s="279"/>
      <c r="AZ375" s="279"/>
      <c r="BA375" s="279"/>
      <c r="BB375" s="279"/>
      <c r="BC375" s="279"/>
      <c r="BD375" s="279"/>
      <c r="BE375" s="279"/>
      <c r="BF375" s="279"/>
      <c r="BG375" s="279"/>
      <c r="BH375" s="279"/>
      <c r="BI375" s="279"/>
      <c r="BJ375" s="279"/>
      <c r="BK375" s="279"/>
      <c r="BL375" s="279"/>
      <c r="BM375" s="279"/>
      <c r="BN375" s="279"/>
      <c r="BO375" s="279"/>
      <c r="BP375" s="279"/>
      <c r="BQ375" s="279"/>
    </row>
    <row r="376" ht="12.75" hidden="1" customHeight="1">
      <c r="A376" s="269"/>
      <c r="B376" s="20"/>
      <c r="C376" s="325" t="s">
        <v>668</v>
      </c>
      <c r="D376" s="326"/>
      <c r="E376" s="326"/>
      <c r="F376" s="326"/>
      <c r="G376" s="326"/>
      <c r="H376" s="326"/>
      <c r="I376" s="326"/>
      <c r="J376" s="326"/>
      <c r="K376" s="326"/>
      <c r="L376" s="327"/>
      <c r="M376" s="290">
        <v>1681.0</v>
      </c>
      <c r="N376" s="289"/>
      <c r="O376" s="15"/>
      <c r="P376" s="15"/>
      <c r="Q376" s="16"/>
      <c r="R376" s="355" t="s">
        <v>312</v>
      </c>
      <c r="S376" s="279"/>
      <c r="T376" s="279"/>
      <c r="U376" s="279"/>
      <c r="V376" s="279"/>
      <c r="W376" s="279"/>
      <c r="X376" s="279"/>
      <c r="Y376" s="279"/>
      <c r="Z376" s="279"/>
      <c r="AA376" s="279"/>
      <c r="AB376" s="279"/>
      <c r="AC376" s="279"/>
      <c r="AD376" s="279"/>
      <c r="AE376" s="279"/>
      <c r="AF376" s="279"/>
      <c r="AG376" s="279"/>
      <c r="AH376" s="279"/>
      <c r="AI376" s="279"/>
      <c r="AJ376" s="279"/>
      <c r="AK376" s="279"/>
      <c r="AL376" s="279"/>
      <c r="AM376" s="279"/>
      <c r="AN376" s="279"/>
      <c r="AO376" s="279"/>
      <c r="AP376" s="279"/>
      <c r="AQ376" s="279"/>
      <c r="AR376" s="279"/>
      <c r="AS376" s="279"/>
      <c r="AT376" s="279"/>
      <c r="AU376" s="279"/>
      <c r="AV376" s="279"/>
      <c r="AW376" s="279"/>
      <c r="AX376" s="279"/>
      <c r="AY376" s="279"/>
      <c r="AZ376" s="279"/>
      <c r="BA376" s="279"/>
      <c r="BB376" s="279"/>
      <c r="BC376" s="279"/>
      <c r="BD376" s="279"/>
      <c r="BE376" s="279"/>
      <c r="BF376" s="279"/>
      <c r="BG376" s="279"/>
      <c r="BH376" s="279"/>
      <c r="BI376" s="279"/>
      <c r="BJ376" s="279"/>
      <c r="BK376" s="279"/>
      <c r="BL376" s="279"/>
      <c r="BM376" s="279"/>
      <c r="BN376" s="279"/>
      <c r="BO376" s="279"/>
      <c r="BP376" s="279"/>
      <c r="BQ376" s="279"/>
    </row>
    <row r="377" ht="12.75" hidden="1" customHeight="1">
      <c r="A377" s="269"/>
      <c r="B377" s="20"/>
      <c r="C377" s="325" t="s">
        <v>669</v>
      </c>
      <c r="D377" s="326"/>
      <c r="E377" s="326"/>
      <c r="F377" s="326"/>
      <c r="G377" s="326"/>
      <c r="H377" s="326"/>
      <c r="I377" s="326"/>
      <c r="J377" s="326"/>
      <c r="K377" s="326"/>
      <c r="L377" s="327"/>
      <c r="M377" s="290">
        <v>1682.0</v>
      </c>
      <c r="N377" s="289"/>
      <c r="O377" s="15"/>
      <c r="P377" s="15"/>
      <c r="Q377" s="16"/>
      <c r="R377" s="355" t="s">
        <v>312</v>
      </c>
      <c r="S377" s="279"/>
      <c r="T377" s="279"/>
      <c r="U377" s="279"/>
      <c r="V377" s="279"/>
      <c r="W377" s="279"/>
      <c r="X377" s="279"/>
      <c r="Y377" s="279"/>
      <c r="Z377" s="279"/>
      <c r="AA377" s="279"/>
      <c r="AB377" s="279"/>
      <c r="AC377" s="279"/>
      <c r="AD377" s="279"/>
      <c r="AE377" s="279"/>
      <c r="AF377" s="279"/>
      <c r="AG377" s="279"/>
      <c r="AH377" s="279"/>
      <c r="AI377" s="279"/>
      <c r="AJ377" s="279"/>
      <c r="AK377" s="279"/>
      <c r="AL377" s="279"/>
      <c r="AM377" s="279"/>
      <c r="AN377" s="279"/>
      <c r="AO377" s="279"/>
      <c r="AP377" s="279"/>
      <c r="AQ377" s="279"/>
      <c r="AR377" s="279"/>
      <c r="AS377" s="279"/>
      <c r="AT377" s="279"/>
      <c r="AU377" s="279"/>
      <c r="AV377" s="279"/>
      <c r="AW377" s="279"/>
      <c r="AX377" s="279"/>
      <c r="AY377" s="279"/>
      <c r="AZ377" s="279"/>
      <c r="BA377" s="279"/>
      <c r="BB377" s="279"/>
      <c r="BC377" s="279"/>
      <c r="BD377" s="279"/>
      <c r="BE377" s="279"/>
      <c r="BF377" s="279"/>
      <c r="BG377" s="279"/>
      <c r="BH377" s="279"/>
      <c r="BI377" s="279"/>
      <c r="BJ377" s="279"/>
      <c r="BK377" s="279"/>
      <c r="BL377" s="279"/>
      <c r="BM377" s="279"/>
      <c r="BN377" s="279"/>
      <c r="BO377" s="279"/>
      <c r="BP377" s="279"/>
      <c r="BQ377" s="279"/>
    </row>
    <row r="378" ht="12.75" hidden="1" customHeight="1">
      <c r="A378" s="269"/>
      <c r="B378" s="20"/>
      <c r="C378" s="325" t="s">
        <v>670</v>
      </c>
      <c r="D378" s="326"/>
      <c r="E378" s="326"/>
      <c r="F378" s="326"/>
      <c r="G378" s="326"/>
      <c r="H378" s="326"/>
      <c r="I378" s="326"/>
      <c r="J378" s="326"/>
      <c r="K378" s="326"/>
      <c r="L378" s="327"/>
      <c r="M378" s="290">
        <v>1683.0</v>
      </c>
      <c r="N378" s="289"/>
      <c r="O378" s="15"/>
      <c r="P378" s="15"/>
      <c r="Q378" s="16"/>
      <c r="R378" s="355" t="s">
        <v>312</v>
      </c>
      <c r="S378" s="279"/>
      <c r="T378" s="279"/>
      <c r="U378" s="279"/>
      <c r="V378" s="279"/>
      <c r="W378" s="279"/>
      <c r="X378" s="279"/>
      <c r="Y378" s="279"/>
      <c r="Z378" s="279"/>
      <c r="AA378" s="279"/>
      <c r="AB378" s="279"/>
      <c r="AC378" s="279"/>
      <c r="AD378" s="279"/>
      <c r="AE378" s="279"/>
      <c r="AF378" s="279"/>
      <c r="AG378" s="279"/>
      <c r="AH378" s="279"/>
      <c r="AI378" s="279"/>
      <c r="AJ378" s="279"/>
      <c r="AK378" s="279"/>
      <c r="AL378" s="279"/>
      <c r="AM378" s="279"/>
      <c r="AN378" s="279"/>
      <c r="AO378" s="279"/>
      <c r="AP378" s="279"/>
      <c r="AQ378" s="279"/>
      <c r="AR378" s="279"/>
      <c r="AS378" s="279"/>
      <c r="AT378" s="279"/>
      <c r="AU378" s="279"/>
      <c r="AV378" s="279"/>
      <c r="AW378" s="279"/>
      <c r="AX378" s="279"/>
      <c r="AY378" s="279"/>
      <c r="AZ378" s="279"/>
      <c r="BA378" s="279"/>
      <c r="BB378" s="279"/>
      <c r="BC378" s="279"/>
      <c r="BD378" s="279"/>
      <c r="BE378" s="279"/>
      <c r="BF378" s="279"/>
      <c r="BG378" s="279"/>
      <c r="BH378" s="279"/>
      <c r="BI378" s="279"/>
      <c r="BJ378" s="279"/>
      <c r="BK378" s="279"/>
      <c r="BL378" s="279"/>
      <c r="BM378" s="279"/>
      <c r="BN378" s="279"/>
      <c r="BO378" s="279"/>
      <c r="BP378" s="279"/>
      <c r="BQ378" s="279"/>
    </row>
    <row r="379" ht="12.75" hidden="1" customHeight="1">
      <c r="A379" s="269"/>
      <c r="B379" s="20"/>
      <c r="C379" s="325" t="s">
        <v>671</v>
      </c>
      <c r="D379" s="326"/>
      <c r="E379" s="326"/>
      <c r="F379" s="326"/>
      <c r="G379" s="326"/>
      <c r="H379" s="326"/>
      <c r="I379" s="326"/>
      <c r="J379" s="326"/>
      <c r="K379" s="326"/>
      <c r="L379" s="327"/>
      <c r="M379" s="290">
        <v>1684.0</v>
      </c>
      <c r="N379" s="289"/>
      <c r="O379" s="15"/>
      <c r="P379" s="15"/>
      <c r="Q379" s="16"/>
      <c r="R379" s="355" t="s">
        <v>312</v>
      </c>
      <c r="S379" s="279"/>
      <c r="T379" s="279"/>
      <c r="U379" s="279"/>
      <c r="V379" s="279"/>
      <c r="W379" s="279"/>
      <c r="X379" s="279"/>
      <c r="Y379" s="279"/>
      <c r="Z379" s="279"/>
      <c r="AA379" s="279"/>
      <c r="AB379" s="279"/>
      <c r="AC379" s="279"/>
      <c r="AD379" s="279"/>
      <c r="AE379" s="279"/>
      <c r="AF379" s="279"/>
      <c r="AG379" s="279"/>
      <c r="AH379" s="279"/>
      <c r="AI379" s="279"/>
      <c r="AJ379" s="279"/>
      <c r="AK379" s="279"/>
      <c r="AL379" s="279"/>
      <c r="AM379" s="279"/>
      <c r="AN379" s="279"/>
      <c r="AO379" s="279"/>
      <c r="AP379" s="279"/>
      <c r="AQ379" s="279"/>
      <c r="AR379" s="279"/>
      <c r="AS379" s="279"/>
      <c r="AT379" s="279"/>
      <c r="AU379" s="279"/>
      <c r="AV379" s="279"/>
      <c r="AW379" s="279"/>
      <c r="AX379" s="279"/>
      <c r="AY379" s="279"/>
      <c r="AZ379" s="279"/>
      <c r="BA379" s="279"/>
      <c r="BB379" s="279"/>
      <c r="BC379" s="279"/>
      <c r="BD379" s="279"/>
      <c r="BE379" s="279"/>
      <c r="BF379" s="279"/>
      <c r="BG379" s="279"/>
      <c r="BH379" s="279"/>
      <c r="BI379" s="279"/>
      <c r="BJ379" s="279"/>
      <c r="BK379" s="279"/>
      <c r="BL379" s="279"/>
      <c r="BM379" s="279"/>
      <c r="BN379" s="279"/>
      <c r="BO379" s="279"/>
      <c r="BP379" s="279"/>
      <c r="BQ379" s="279"/>
    </row>
    <row r="380" ht="12.75" hidden="1" customHeight="1">
      <c r="A380" s="269"/>
      <c r="B380" s="20"/>
      <c r="C380" s="325" t="s">
        <v>672</v>
      </c>
      <c r="D380" s="326"/>
      <c r="E380" s="326"/>
      <c r="F380" s="326"/>
      <c r="G380" s="326"/>
      <c r="H380" s="326"/>
      <c r="I380" s="326"/>
      <c r="J380" s="326"/>
      <c r="K380" s="326"/>
      <c r="L380" s="327"/>
      <c r="M380" s="290">
        <v>1685.0</v>
      </c>
      <c r="N380" s="289"/>
      <c r="O380" s="15"/>
      <c r="P380" s="15"/>
      <c r="Q380" s="16"/>
      <c r="R380" s="355" t="s">
        <v>312</v>
      </c>
      <c r="S380" s="279"/>
      <c r="T380" s="279"/>
      <c r="U380" s="279"/>
      <c r="V380" s="279"/>
      <c r="W380" s="279"/>
      <c r="X380" s="279"/>
      <c r="Y380" s="279"/>
      <c r="Z380" s="279"/>
      <c r="AA380" s="279"/>
      <c r="AB380" s="279"/>
      <c r="AC380" s="279"/>
      <c r="AD380" s="279"/>
      <c r="AE380" s="279"/>
      <c r="AF380" s="279"/>
      <c r="AG380" s="279"/>
      <c r="AH380" s="279"/>
      <c r="AI380" s="279"/>
      <c r="AJ380" s="279"/>
      <c r="AK380" s="279"/>
      <c r="AL380" s="279"/>
      <c r="AM380" s="279"/>
      <c r="AN380" s="279"/>
      <c r="AO380" s="279"/>
      <c r="AP380" s="279"/>
      <c r="AQ380" s="279"/>
      <c r="AR380" s="279"/>
      <c r="AS380" s="279"/>
      <c r="AT380" s="279"/>
      <c r="AU380" s="279"/>
      <c r="AV380" s="279"/>
      <c r="AW380" s="279"/>
      <c r="AX380" s="279"/>
      <c r="AY380" s="279"/>
      <c r="AZ380" s="279"/>
      <c r="BA380" s="279"/>
      <c r="BB380" s="279"/>
      <c r="BC380" s="279"/>
      <c r="BD380" s="279"/>
      <c r="BE380" s="279"/>
      <c r="BF380" s="279"/>
      <c r="BG380" s="279"/>
      <c r="BH380" s="279"/>
      <c r="BI380" s="279"/>
      <c r="BJ380" s="279"/>
      <c r="BK380" s="279"/>
      <c r="BL380" s="279"/>
      <c r="BM380" s="279"/>
      <c r="BN380" s="279"/>
      <c r="BO380" s="279"/>
      <c r="BP380" s="279"/>
      <c r="BQ380" s="279"/>
    </row>
    <row r="381" ht="12.75" hidden="1" customHeight="1">
      <c r="A381" s="269"/>
      <c r="B381" s="20"/>
      <c r="C381" s="325" t="s">
        <v>673</v>
      </c>
      <c r="D381" s="326"/>
      <c r="E381" s="326"/>
      <c r="F381" s="326"/>
      <c r="G381" s="326"/>
      <c r="H381" s="326"/>
      <c r="I381" s="326"/>
      <c r="J381" s="326"/>
      <c r="K381" s="326"/>
      <c r="L381" s="327"/>
      <c r="M381" s="290">
        <v>1686.0</v>
      </c>
      <c r="N381" s="289"/>
      <c r="O381" s="15"/>
      <c r="P381" s="15"/>
      <c r="Q381" s="16"/>
      <c r="R381" s="355" t="s">
        <v>312</v>
      </c>
      <c r="S381" s="279"/>
      <c r="T381" s="279"/>
      <c r="U381" s="279"/>
      <c r="V381" s="279"/>
      <c r="W381" s="279"/>
      <c r="X381" s="279"/>
      <c r="Y381" s="279"/>
      <c r="Z381" s="279"/>
      <c r="AA381" s="279"/>
      <c r="AB381" s="279"/>
      <c r="AC381" s="279"/>
      <c r="AD381" s="279"/>
      <c r="AE381" s="279"/>
      <c r="AF381" s="279"/>
      <c r="AG381" s="279"/>
      <c r="AH381" s="279"/>
      <c r="AI381" s="279"/>
      <c r="AJ381" s="279"/>
      <c r="AK381" s="279"/>
      <c r="AL381" s="279"/>
      <c r="AM381" s="279"/>
      <c r="AN381" s="279"/>
      <c r="AO381" s="279"/>
      <c r="AP381" s="279"/>
      <c r="AQ381" s="279"/>
      <c r="AR381" s="279"/>
      <c r="AS381" s="279"/>
      <c r="AT381" s="279"/>
      <c r="AU381" s="279"/>
      <c r="AV381" s="279"/>
      <c r="AW381" s="279"/>
      <c r="AX381" s="279"/>
      <c r="AY381" s="279"/>
      <c r="AZ381" s="279"/>
      <c r="BA381" s="279"/>
      <c r="BB381" s="279"/>
      <c r="BC381" s="279"/>
      <c r="BD381" s="279"/>
      <c r="BE381" s="279"/>
      <c r="BF381" s="279"/>
      <c r="BG381" s="279"/>
      <c r="BH381" s="279"/>
      <c r="BI381" s="279"/>
      <c r="BJ381" s="279"/>
      <c r="BK381" s="279"/>
      <c r="BL381" s="279"/>
      <c r="BM381" s="279"/>
      <c r="BN381" s="279"/>
      <c r="BO381" s="279"/>
      <c r="BP381" s="279"/>
      <c r="BQ381" s="279"/>
    </row>
    <row r="382" ht="12.75" hidden="1" customHeight="1">
      <c r="A382" s="269"/>
      <c r="B382" s="20"/>
      <c r="C382" s="325" t="s">
        <v>674</v>
      </c>
      <c r="D382" s="326"/>
      <c r="E382" s="326"/>
      <c r="F382" s="326"/>
      <c r="G382" s="326"/>
      <c r="H382" s="326"/>
      <c r="I382" s="326"/>
      <c r="J382" s="326"/>
      <c r="K382" s="326"/>
      <c r="L382" s="327"/>
      <c r="M382" s="290">
        <v>1183.0</v>
      </c>
      <c r="N382" s="289"/>
      <c r="O382" s="15"/>
      <c r="P382" s="15"/>
      <c r="Q382" s="16"/>
      <c r="R382" s="355" t="s">
        <v>312</v>
      </c>
      <c r="S382" s="279"/>
      <c r="T382" s="279"/>
      <c r="U382" s="279"/>
      <c r="V382" s="279"/>
      <c r="W382" s="279"/>
      <c r="X382" s="279"/>
      <c r="Y382" s="279"/>
      <c r="Z382" s="279"/>
      <c r="AA382" s="279"/>
      <c r="AB382" s="279"/>
      <c r="AC382" s="279"/>
      <c r="AD382" s="279"/>
      <c r="AE382" s="279"/>
      <c r="AF382" s="279"/>
      <c r="AG382" s="279"/>
      <c r="AH382" s="279"/>
      <c r="AI382" s="279"/>
      <c r="AJ382" s="279"/>
      <c r="AK382" s="279"/>
      <c r="AL382" s="279"/>
      <c r="AM382" s="279"/>
      <c r="AN382" s="279"/>
      <c r="AO382" s="279"/>
      <c r="AP382" s="279"/>
      <c r="AQ382" s="279"/>
      <c r="AR382" s="279"/>
      <c r="AS382" s="279"/>
      <c r="AT382" s="279"/>
      <c r="AU382" s="279"/>
      <c r="AV382" s="279"/>
      <c r="AW382" s="279"/>
      <c r="AX382" s="279"/>
      <c r="AY382" s="279"/>
      <c r="AZ382" s="279"/>
      <c r="BA382" s="279"/>
      <c r="BB382" s="279"/>
      <c r="BC382" s="279"/>
      <c r="BD382" s="279"/>
      <c r="BE382" s="279"/>
      <c r="BF382" s="279"/>
      <c r="BG382" s="279"/>
      <c r="BH382" s="279"/>
      <c r="BI382" s="279"/>
      <c r="BJ382" s="279"/>
      <c r="BK382" s="279"/>
      <c r="BL382" s="279"/>
      <c r="BM382" s="279"/>
      <c r="BN382" s="279"/>
      <c r="BO382" s="279"/>
      <c r="BP382" s="279"/>
      <c r="BQ382" s="279"/>
    </row>
    <row r="383" ht="12.75" hidden="1" customHeight="1">
      <c r="A383" s="269"/>
      <c r="B383" s="20"/>
      <c r="C383" s="325" t="s">
        <v>675</v>
      </c>
      <c r="D383" s="326"/>
      <c r="E383" s="326"/>
      <c r="F383" s="326"/>
      <c r="G383" s="326"/>
      <c r="H383" s="326"/>
      <c r="I383" s="326"/>
      <c r="J383" s="326"/>
      <c r="K383" s="326"/>
      <c r="L383" s="327"/>
      <c r="M383" s="290">
        <v>1687.0</v>
      </c>
      <c r="N383" s="289"/>
      <c r="O383" s="15"/>
      <c r="P383" s="15"/>
      <c r="Q383" s="16"/>
      <c r="R383" s="355" t="s">
        <v>312</v>
      </c>
      <c r="S383" s="279"/>
      <c r="T383" s="279"/>
      <c r="U383" s="279"/>
      <c r="V383" s="279"/>
      <c r="W383" s="279"/>
      <c r="X383" s="279"/>
      <c r="Y383" s="279"/>
      <c r="Z383" s="279"/>
      <c r="AA383" s="279"/>
      <c r="AB383" s="279"/>
      <c r="AC383" s="279"/>
      <c r="AD383" s="279"/>
      <c r="AE383" s="279"/>
      <c r="AF383" s="279"/>
      <c r="AG383" s="279"/>
      <c r="AH383" s="279"/>
      <c r="AI383" s="279"/>
      <c r="AJ383" s="279"/>
      <c r="AK383" s="279"/>
      <c r="AL383" s="279"/>
      <c r="AM383" s="279"/>
      <c r="AN383" s="279"/>
      <c r="AO383" s="279"/>
      <c r="AP383" s="279"/>
      <c r="AQ383" s="279"/>
      <c r="AR383" s="279"/>
      <c r="AS383" s="279"/>
      <c r="AT383" s="279"/>
      <c r="AU383" s="279"/>
      <c r="AV383" s="279"/>
      <c r="AW383" s="279"/>
      <c r="AX383" s="279"/>
      <c r="AY383" s="279"/>
      <c r="AZ383" s="279"/>
      <c r="BA383" s="279"/>
      <c r="BB383" s="279"/>
      <c r="BC383" s="279"/>
      <c r="BD383" s="279"/>
      <c r="BE383" s="279"/>
      <c r="BF383" s="279"/>
      <c r="BG383" s="279"/>
      <c r="BH383" s="279"/>
      <c r="BI383" s="279"/>
      <c r="BJ383" s="279"/>
      <c r="BK383" s="279"/>
      <c r="BL383" s="279"/>
      <c r="BM383" s="279"/>
      <c r="BN383" s="279"/>
      <c r="BO383" s="279"/>
      <c r="BP383" s="279"/>
      <c r="BQ383" s="279"/>
    </row>
    <row r="384" ht="12.75" hidden="1" customHeight="1">
      <c r="A384" s="269"/>
      <c r="B384" s="20"/>
      <c r="C384" s="325" t="s">
        <v>676</v>
      </c>
      <c r="D384" s="326"/>
      <c r="E384" s="326"/>
      <c r="F384" s="326"/>
      <c r="G384" s="326"/>
      <c r="H384" s="326"/>
      <c r="I384" s="326"/>
      <c r="J384" s="326"/>
      <c r="K384" s="326"/>
      <c r="L384" s="327"/>
      <c r="M384" s="290">
        <v>1688.0</v>
      </c>
      <c r="N384" s="289"/>
      <c r="O384" s="15"/>
      <c r="P384" s="15"/>
      <c r="Q384" s="16"/>
      <c r="R384" s="355" t="s">
        <v>312</v>
      </c>
      <c r="S384" s="279"/>
      <c r="T384" s="279"/>
      <c r="U384" s="279"/>
      <c r="V384" s="279"/>
      <c r="W384" s="279"/>
      <c r="X384" s="279"/>
      <c r="Y384" s="279"/>
      <c r="Z384" s="279"/>
      <c r="AA384" s="279"/>
      <c r="AB384" s="279"/>
      <c r="AC384" s="279"/>
      <c r="AD384" s="279"/>
      <c r="AE384" s="279"/>
      <c r="AF384" s="279"/>
      <c r="AG384" s="279"/>
      <c r="AH384" s="279"/>
      <c r="AI384" s="279"/>
      <c r="AJ384" s="279"/>
      <c r="AK384" s="279"/>
      <c r="AL384" s="279"/>
      <c r="AM384" s="279"/>
      <c r="AN384" s="279"/>
      <c r="AO384" s="279"/>
      <c r="AP384" s="279"/>
      <c r="AQ384" s="279"/>
      <c r="AR384" s="279"/>
      <c r="AS384" s="279"/>
      <c r="AT384" s="279"/>
      <c r="AU384" s="279"/>
      <c r="AV384" s="279"/>
      <c r="AW384" s="279"/>
      <c r="AX384" s="279"/>
      <c r="AY384" s="279"/>
      <c r="AZ384" s="279"/>
      <c r="BA384" s="279"/>
      <c r="BB384" s="279"/>
      <c r="BC384" s="279"/>
      <c r="BD384" s="279"/>
      <c r="BE384" s="279"/>
      <c r="BF384" s="279"/>
      <c r="BG384" s="279"/>
      <c r="BH384" s="279"/>
      <c r="BI384" s="279"/>
      <c r="BJ384" s="279"/>
      <c r="BK384" s="279"/>
      <c r="BL384" s="279"/>
      <c r="BM384" s="279"/>
      <c r="BN384" s="279"/>
      <c r="BO384" s="279"/>
      <c r="BP384" s="279"/>
      <c r="BQ384" s="279"/>
    </row>
    <row r="385" ht="12.75" hidden="1" customHeight="1">
      <c r="A385" s="275"/>
      <c r="B385" s="20"/>
      <c r="C385" s="403" t="s">
        <v>677</v>
      </c>
      <c r="D385" s="404"/>
      <c r="E385" s="404"/>
      <c r="F385" s="404"/>
      <c r="G385" s="404"/>
      <c r="H385" s="404"/>
      <c r="I385" s="404"/>
      <c r="J385" s="404"/>
      <c r="K385" s="404"/>
      <c r="L385" s="405"/>
      <c r="M385" s="406">
        <v>1689.0</v>
      </c>
      <c r="N385" s="407"/>
      <c r="O385" s="15"/>
      <c r="P385" s="15"/>
      <c r="Q385" s="16"/>
      <c r="R385" s="408" t="s">
        <v>312</v>
      </c>
      <c r="S385" s="387"/>
      <c r="T385" s="387"/>
      <c r="U385" s="409"/>
      <c r="V385" s="387"/>
      <c r="W385" s="387"/>
      <c r="X385" s="387"/>
      <c r="Y385" s="387"/>
      <c r="Z385" s="387"/>
      <c r="AA385" s="387"/>
      <c r="AB385" s="387"/>
      <c r="AC385" s="387"/>
      <c r="AD385" s="387"/>
      <c r="AE385" s="387"/>
      <c r="AF385" s="387"/>
      <c r="AG385" s="387"/>
      <c r="AH385" s="387"/>
      <c r="AI385" s="387"/>
      <c r="AJ385" s="387"/>
      <c r="AK385" s="387"/>
      <c r="AL385" s="387"/>
      <c r="AM385" s="387"/>
      <c r="AN385" s="387"/>
      <c r="AO385" s="387"/>
      <c r="AP385" s="387"/>
      <c r="AQ385" s="387"/>
      <c r="AR385" s="387"/>
      <c r="AS385" s="387"/>
      <c r="AT385" s="387"/>
      <c r="AU385" s="387"/>
      <c r="AV385" s="387"/>
      <c r="AW385" s="387"/>
      <c r="AX385" s="387"/>
      <c r="AY385" s="387"/>
      <c r="AZ385" s="387"/>
      <c r="BA385" s="387"/>
      <c r="BB385" s="387"/>
      <c r="BC385" s="387"/>
      <c r="BD385" s="387"/>
      <c r="BE385" s="387"/>
      <c r="BF385" s="387"/>
      <c r="BG385" s="387"/>
      <c r="BH385" s="387"/>
      <c r="BI385" s="387"/>
      <c r="BJ385" s="387"/>
      <c r="BK385" s="387"/>
      <c r="BL385" s="387"/>
      <c r="BM385" s="387"/>
      <c r="BN385" s="387"/>
      <c r="BO385" s="387"/>
      <c r="BP385" s="387"/>
      <c r="BQ385" s="387"/>
    </row>
    <row r="386" ht="12.75" hidden="1" customHeight="1">
      <c r="A386" s="275"/>
      <c r="B386" s="20"/>
      <c r="C386" s="403" t="s">
        <v>678</v>
      </c>
      <c r="D386" s="404"/>
      <c r="E386" s="404"/>
      <c r="F386" s="404"/>
      <c r="G386" s="404"/>
      <c r="H386" s="404"/>
      <c r="I386" s="404"/>
      <c r="J386" s="404"/>
      <c r="K386" s="404"/>
      <c r="L386" s="405"/>
      <c r="M386" s="406">
        <v>1728.0</v>
      </c>
      <c r="N386" s="407">
        <f>+$N$358-$N$359+SUM($N$360:$Q$371)-SUM($N$372:$Q$385)</f>
        <v>0</v>
      </c>
      <c r="O386" s="15"/>
      <c r="P386" s="15"/>
      <c r="Q386" s="16"/>
      <c r="R386" s="408" t="s">
        <v>317</v>
      </c>
      <c r="S386" s="387"/>
      <c r="T386" s="387"/>
      <c r="U386" s="387"/>
      <c r="V386" s="387"/>
      <c r="W386" s="387"/>
      <c r="X386" s="387"/>
      <c r="Y386" s="387"/>
      <c r="Z386" s="387"/>
      <c r="AA386" s="387"/>
      <c r="AB386" s="387"/>
      <c r="AC386" s="387"/>
      <c r="AD386" s="387"/>
      <c r="AE386" s="387"/>
      <c r="AF386" s="387"/>
      <c r="AG386" s="387"/>
      <c r="AH386" s="387"/>
      <c r="AI386" s="387"/>
      <c r="AJ386" s="387"/>
      <c r="AK386" s="387"/>
      <c r="AL386" s="387"/>
      <c r="AM386" s="387"/>
      <c r="AN386" s="387"/>
      <c r="AO386" s="387"/>
      <c r="AP386" s="387"/>
      <c r="AQ386" s="387"/>
      <c r="AR386" s="387"/>
      <c r="AS386" s="387"/>
      <c r="AT386" s="387"/>
      <c r="AU386" s="387"/>
      <c r="AV386" s="387"/>
      <c r="AW386" s="387"/>
      <c r="AX386" s="387"/>
      <c r="AY386" s="387"/>
      <c r="AZ386" s="387"/>
      <c r="BA386" s="387"/>
      <c r="BB386" s="387"/>
      <c r="BC386" s="387"/>
      <c r="BD386" s="387"/>
      <c r="BE386" s="387"/>
      <c r="BF386" s="387"/>
      <c r="BG386" s="387"/>
      <c r="BH386" s="387"/>
      <c r="BI386" s="387"/>
      <c r="BJ386" s="387"/>
      <c r="BK386" s="387"/>
      <c r="BL386" s="387"/>
      <c r="BM386" s="387"/>
      <c r="BN386" s="387"/>
      <c r="BO386" s="387"/>
      <c r="BP386" s="387"/>
      <c r="BQ386" s="387"/>
    </row>
    <row r="387" ht="12.75" hidden="1" customHeight="1">
      <c r="A387" s="275"/>
      <c r="B387" s="20"/>
      <c r="C387" s="403" t="s">
        <v>679</v>
      </c>
      <c r="D387" s="404"/>
      <c r="E387" s="404"/>
      <c r="F387" s="404"/>
      <c r="G387" s="404"/>
      <c r="H387" s="404"/>
      <c r="I387" s="404"/>
      <c r="J387" s="404"/>
      <c r="K387" s="404"/>
      <c r="L387" s="405"/>
      <c r="M387" s="406">
        <v>1154.0</v>
      </c>
      <c r="N387" s="407"/>
      <c r="O387" s="15"/>
      <c r="P387" s="15"/>
      <c r="Q387" s="16"/>
      <c r="R387" s="408" t="s">
        <v>312</v>
      </c>
      <c r="S387" s="387"/>
      <c r="T387" s="387"/>
      <c r="U387" s="387"/>
      <c r="V387" s="387"/>
      <c r="W387" s="387"/>
      <c r="X387" s="387"/>
      <c r="Y387" s="387"/>
      <c r="Z387" s="387"/>
      <c r="AA387" s="387"/>
      <c r="AB387" s="387"/>
      <c r="AC387" s="387"/>
      <c r="AD387" s="387"/>
      <c r="AE387" s="387"/>
      <c r="AF387" s="387"/>
      <c r="AG387" s="387"/>
      <c r="AH387" s="387"/>
      <c r="AI387" s="387"/>
      <c r="AJ387" s="387"/>
      <c r="AK387" s="387"/>
      <c r="AL387" s="387"/>
      <c r="AM387" s="387"/>
      <c r="AN387" s="387"/>
      <c r="AO387" s="387"/>
      <c r="AP387" s="387"/>
      <c r="AQ387" s="387"/>
      <c r="AR387" s="387"/>
      <c r="AS387" s="387"/>
      <c r="AT387" s="387"/>
      <c r="AU387" s="387"/>
      <c r="AV387" s="387"/>
      <c r="AW387" s="387"/>
      <c r="AX387" s="387"/>
      <c r="AY387" s="387"/>
      <c r="AZ387" s="387"/>
      <c r="BA387" s="387"/>
      <c r="BB387" s="387"/>
      <c r="BC387" s="387"/>
      <c r="BD387" s="387"/>
      <c r="BE387" s="387"/>
      <c r="BF387" s="387"/>
      <c r="BG387" s="387"/>
      <c r="BH387" s="387"/>
      <c r="BI387" s="387"/>
      <c r="BJ387" s="387"/>
      <c r="BK387" s="387"/>
      <c r="BL387" s="387"/>
      <c r="BM387" s="387"/>
      <c r="BN387" s="387"/>
      <c r="BO387" s="387"/>
      <c r="BP387" s="387"/>
      <c r="BQ387" s="387"/>
    </row>
    <row r="388" ht="12.75" hidden="1" customHeight="1">
      <c r="A388" s="275"/>
      <c r="B388" s="20"/>
      <c r="C388" s="403" t="s">
        <v>680</v>
      </c>
      <c r="D388" s="404"/>
      <c r="E388" s="404"/>
      <c r="F388" s="404"/>
      <c r="G388" s="404"/>
      <c r="H388" s="404"/>
      <c r="I388" s="404"/>
      <c r="J388" s="404"/>
      <c r="K388" s="404"/>
      <c r="L388" s="405"/>
      <c r="M388" s="406">
        <v>1157.0</v>
      </c>
      <c r="N388" s="407"/>
      <c r="O388" s="15"/>
      <c r="P388" s="15"/>
      <c r="Q388" s="16"/>
      <c r="R388" s="408" t="s">
        <v>312</v>
      </c>
      <c r="S388" s="387"/>
      <c r="T388" s="387"/>
      <c r="U388" s="387"/>
      <c r="V388" s="387"/>
      <c r="W388" s="387"/>
      <c r="X388" s="387"/>
      <c r="Y388" s="387"/>
      <c r="Z388" s="387"/>
      <c r="AA388" s="387"/>
      <c r="AB388" s="387"/>
      <c r="AC388" s="387"/>
      <c r="AD388" s="387"/>
      <c r="AE388" s="387"/>
      <c r="AF388" s="387"/>
      <c r="AG388" s="387"/>
      <c r="AH388" s="387"/>
      <c r="AI388" s="387"/>
      <c r="AJ388" s="387"/>
      <c r="AK388" s="387"/>
      <c r="AL388" s="387"/>
      <c r="AM388" s="387"/>
      <c r="AN388" s="387"/>
      <c r="AO388" s="387"/>
      <c r="AP388" s="387"/>
      <c r="AQ388" s="387"/>
      <c r="AR388" s="387"/>
      <c r="AS388" s="387"/>
      <c r="AT388" s="387"/>
      <c r="AU388" s="387"/>
      <c r="AV388" s="387"/>
      <c r="AW388" s="387"/>
      <c r="AX388" s="387"/>
      <c r="AY388" s="387"/>
      <c r="AZ388" s="387"/>
      <c r="BA388" s="387"/>
      <c r="BB388" s="387"/>
      <c r="BC388" s="387"/>
      <c r="BD388" s="387"/>
      <c r="BE388" s="387"/>
      <c r="BF388" s="387"/>
      <c r="BG388" s="387"/>
      <c r="BH388" s="387"/>
      <c r="BI388" s="387"/>
      <c r="BJ388" s="387"/>
      <c r="BK388" s="387"/>
      <c r="BL388" s="387"/>
      <c r="BM388" s="387"/>
      <c r="BN388" s="387"/>
      <c r="BO388" s="387"/>
      <c r="BP388" s="387"/>
      <c r="BQ388" s="387"/>
    </row>
    <row r="389" ht="12.75" hidden="1" customHeight="1">
      <c r="A389" s="275"/>
      <c r="B389" s="20"/>
      <c r="C389" s="403" t="s">
        <v>681</v>
      </c>
      <c r="D389" s="404"/>
      <c r="E389" s="404"/>
      <c r="F389" s="404"/>
      <c r="G389" s="404"/>
      <c r="H389" s="404"/>
      <c r="I389" s="404"/>
      <c r="J389" s="404"/>
      <c r="K389" s="404"/>
      <c r="L389" s="405"/>
      <c r="M389" s="406">
        <v>1690.0</v>
      </c>
      <c r="N389" s="407">
        <f>+$N$386-$N$387-$N$388</f>
        <v>0</v>
      </c>
      <c r="O389" s="15"/>
      <c r="P389" s="15"/>
      <c r="Q389" s="16"/>
      <c r="R389" s="408" t="s">
        <v>317</v>
      </c>
      <c r="S389" s="387"/>
      <c r="T389" s="387"/>
      <c r="U389" s="387"/>
      <c r="V389" s="387"/>
      <c r="W389" s="387"/>
      <c r="X389" s="387"/>
      <c r="Y389" s="387"/>
      <c r="Z389" s="387"/>
      <c r="AA389" s="387"/>
      <c r="AB389" s="387"/>
      <c r="AC389" s="387"/>
      <c r="AD389" s="387"/>
      <c r="AE389" s="387"/>
      <c r="AF389" s="387"/>
      <c r="AG389" s="387"/>
      <c r="AH389" s="387"/>
      <c r="AI389" s="387"/>
      <c r="AJ389" s="387"/>
      <c r="AK389" s="387"/>
      <c r="AL389" s="387"/>
      <c r="AM389" s="387"/>
      <c r="AN389" s="387"/>
      <c r="AO389" s="387"/>
      <c r="AP389" s="387"/>
      <c r="AQ389" s="387"/>
      <c r="AR389" s="387"/>
      <c r="AS389" s="387"/>
      <c r="AT389" s="387"/>
      <c r="AU389" s="387"/>
      <c r="AV389" s="387"/>
      <c r="AW389" s="387"/>
      <c r="AX389" s="387"/>
      <c r="AY389" s="387"/>
      <c r="AZ389" s="387"/>
      <c r="BA389" s="387"/>
      <c r="BB389" s="387"/>
      <c r="BC389" s="387"/>
      <c r="BD389" s="387"/>
      <c r="BE389" s="387"/>
      <c r="BF389" s="387"/>
      <c r="BG389" s="387"/>
      <c r="BH389" s="387"/>
      <c r="BI389" s="387"/>
      <c r="BJ389" s="387"/>
      <c r="BK389" s="387"/>
      <c r="BL389" s="387"/>
      <c r="BM389" s="387"/>
      <c r="BN389" s="387"/>
      <c r="BO389" s="387"/>
      <c r="BP389" s="387"/>
      <c r="BQ389" s="387"/>
    </row>
    <row r="390" ht="12.75" hidden="1" customHeight="1">
      <c r="A390" s="275"/>
      <c r="B390" s="20"/>
      <c r="C390" s="410" t="s">
        <v>682</v>
      </c>
      <c r="D390" s="15"/>
      <c r="E390" s="15"/>
      <c r="F390" s="15"/>
      <c r="G390" s="15"/>
      <c r="H390" s="15"/>
      <c r="I390" s="15"/>
      <c r="J390" s="15"/>
      <c r="K390" s="15"/>
      <c r="L390" s="15"/>
      <c r="M390" s="15"/>
      <c r="N390" s="15"/>
      <c r="O390" s="15"/>
      <c r="P390" s="15"/>
      <c r="Q390" s="15"/>
      <c r="R390" s="16"/>
      <c r="S390" s="387"/>
      <c r="T390" s="387"/>
      <c r="U390" s="387"/>
      <c r="V390" s="387"/>
      <c r="W390" s="387"/>
      <c r="X390" s="387"/>
      <c r="Y390" s="387"/>
      <c r="Z390" s="387"/>
      <c r="AA390" s="387"/>
      <c r="AB390" s="387"/>
      <c r="AC390" s="387"/>
      <c r="AD390" s="387"/>
      <c r="AE390" s="387"/>
      <c r="AF390" s="387"/>
      <c r="AG390" s="387"/>
      <c r="AH390" s="387"/>
      <c r="AI390" s="387"/>
      <c r="AJ390" s="387"/>
      <c r="AK390" s="387"/>
      <c r="AL390" s="387"/>
      <c r="AM390" s="387"/>
      <c r="AN390" s="387"/>
      <c r="AO390" s="387"/>
      <c r="AP390" s="387"/>
      <c r="AQ390" s="387"/>
      <c r="AR390" s="387"/>
      <c r="AS390" s="387"/>
      <c r="AT390" s="387"/>
      <c r="AU390" s="387"/>
      <c r="AV390" s="387"/>
      <c r="AW390" s="387"/>
      <c r="AX390" s="387"/>
      <c r="AY390" s="387"/>
      <c r="AZ390" s="387"/>
      <c r="BA390" s="387"/>
      <c r="BB390" s="387"/>
      <c r="BC390" s="387"/>
      <c r="BD390" s="387"/>
      <c r="BE390" s="387"/>
      <c r="BF390" s="387"/>
      <c r="BG390" s="387"/>
      <c r="BH390" s="387"/>
      <c r="BI390" s="387"/>
      <c r="BJ390" s="387"/>
      <c r="BK390" s="387"/>
      <c r="BL390" s="387"/>
      <c r="BM390" s="387"/>
      <c r="BN390" s="387"/>
      <c r="BO390" s="387"/>
      <c r="BP390" s="387"/>
      <c r="BQ390" s="387"/>
    </row>
    <row r="391" ht="12.75" hidden="1" customHeight="1">
      <c r="A391" s="275"/>
      <c r="B391" s="20"/>
      <c r="C391" s="403" t="s">
        <v>683</v>
      </c>
      <c r="D391" s="404"/>
      <c r="E391" s="404"/>
      <c r="F391" s="404"/>
      <c r="G391" s="404"/>
      <c r="H391" s="404"/>
      <c r="I391" s="404"/>
      <c r="J391" s="404"/>
      <c r="K391" s="404"/>
      <c r="L391" s="405"/>
      <c r="M391" s="406">
        <v>1155.0</v>
      </c>
      <c r="N391" s="407"/>
      <c r="O391" s="15"/>
      <c r="P391" s="15"/>
      <c r="Q391" s="16"/>
      <c r="R391" s="408" t="s">
        <v>281</v>
      </c>
      <c r="S391" s="387"/>
      <c r="T391" s="387"/>
      <c r="U391" s="387"/>
      <c r="V391" s="387"/>
      <c r="W391" s="387"/>
      <c r="X391" s="387"/>
      <c r="Y391" s="387"/>
      <c r="Z391" s="387"/>
      <c r="AA391" s="387"/>
      <c r="AB391" s="387"/>
      <c r="AC391" s="387"/>
      <c r="AD391" s="387"/>
      <c r="AE391" s="387"/>
      <c r="AF391" s="387"/>
      <c r="AG391" s="387"/>
      <c r="AH391" s="387"/>
      <c r="AI391" s="387"/>
      <c r="AJ391" s="387"/>
      <c r="AK391" s="387"/>
      <c r="AL391" s="387"/>
      <c r="AM391" s="387"/>
      <c r="AN391" s="387"/>
      <c r="AO391" s="387"/>
      <c r="AP391" s="387"/>
      <c r="AQ391" s="387"/>
      <c r="AR391" s="387"/>
      <c r="AS391" s="387"/>
      <c r="AT391" s="387"/>
      <c r="AU391" s="387"/>
      <c r="AV391" s="387"/>
      <c r="AW391" s="387"/>
      <c r="AX391" s="387"/>
      <c r="AY391" s="387"/>
      <c r="AZ391" s="387"/>
      <c r="BA391" s="387"/>
      <c r="BB391" s="387"/>
      <c r="BC391" s="387"/>
      <c r="BD391" s="387"/>
      <c r="BE391" s="387"/>
      <c r="BF391" s="387"/>
      <c r="BG391" s="387"/>
      <c r="BH391" s="387"/>
      <c r="BI391" s="387"/>
      <c r="BJ391" s="387"/>
      <c r="BK391" s="387"/>
      <c r="BL391" s="387"/>
      <c r="BM391" s="387"/>
      <c r="BN391" s="387"/>
      <c r="BO391" s="387"/>
      <c r="BP391" s="387"/>
      <c r="BQ391" s="387"/>
    </row>
    <row r="392" ht="12.75" hidden="1" customHeight="1">
      <c r="A392" s="275"/>
      <c r="B392" s="20"/>
      <c r="C392" s="403" t="s">
        <v>684</v>
      </c>
      <c r="D392" s="404"/>
      <c r="E392" s="404"/>
      <c r="F392" s="404"/>
      <c r="G392" s="404"/>
      <c r="H392" s="404"/>
      <c r="I392" s="404"/>
      <c r="J392" s="404"/>
      <c r="K392" s="404"/>
      <c r="L392" s="405"/>
      <c r="M392" s="406">
        <v>1156.0</v>
      </c>
      <c r="N392" s="407"/>
      <c r="O392" s="15"/>
      <c r="P392" s="15"/>
      <c r="Q392" s="16"/>
      <c r="R392" s="408" t="s">
        <v>281</v>
      </c>
      <c r="S392" s="387"/>
      <c r="T392" s="387"/>
      <c r="U392" s="387"/>
      <c r="V392" s="387"/>
      <c r="W392" s="387"/>
      <c r="X392" s="387"/>
      <c r="Y392" s="387"/>
      <c r="Z392" s="387"/>
      <c r="AA392" s="387"/>
      <c r="AB392" s="387"/>
      <c r="AC392" s="387"/>
      <c r="AD392" s="387"/>
      <c r="AE392" s="387"/>
      <c r="AF392" s="387"/>
      <c r="AG392" s="387"/>
      <c r="AH392" s="387"/>
      <c r="AI392" s="387"/>
      <c r="AJ392" s="387"/>
      <c r="AK392" s="387"/>
      <c r="AL392" s="387"/>
      <c r="AM392" s="387"/>
      <c r="AN392" s="387"/>
      <c r="AO392" s="387"/>
      <c r="AP392" s="387"/>
      <c r="AQ392" s="387"/>
      <c r="AR392" s="387"/>
      <c r="AS392" s="387"/>
      <c r="AT392" s="387"/>
      <c r="AU392" s="387"/>
      <c r="AV392" s="387"/>
      <c r="AW392" s="387"/>
      <c r="AX392" s="387"/>
      <c r="AY392" s="387"/>
      <c r="AZ392" s="387"/>
      <c r="BA392" s="387"/>
      <c r="BB392" s="387"/>
      <c r="BC392" s="387"/>
      <c r="BD392" s="387"/>
      <c r="BE392" s="387"/>
      <c r="BF392" s="387"/>
      <c r="BG392" s="387"/>
      <c r="BH392" s="387"/>
      <c r="BI392" s="387"/>
      <c r="BJ392" s="387"/>
      <c r="BK392" s="387"/>
      <c r="BL392" s="387"/>
      <c r="BM392" s="387"/>
      <c r="BN392" s="387"/>
      <c r="BO392" s="387"/>
      <c r="BP392" s="387"/>
      <c r="BQ392" s="387"/>
    </row>
    <row r="393" ht="12.75" hidden="1" customHeight="1">
      <c r="A393" s="275"/>
      <c r="B393" s="34"/>
      <c r="C393" s="411" t="s">
        <v>685</v>
      </c>
      <c r="D393" s="412"/>
      <c r="E393" s="412"/>
      <c r="F393" s="412"/>
      <c r="G393" s="412"/>
      <c r="H393" s="412"/>
      <c r="I393" s="412"/>
      <c r="J393" s="412"/>
      <c r="K393" s="412"/>
      <c r="L393" s="413"/>
      <c r="M393" s="406">
        <v>1143.0</v>
      </c>
      <c r="N393" s="407">
        <f>+IF((N389)&lt;0,$N$389+N391+N392,0)</f>
        <v>0</v>
      </c>
      <c r="O393" s="15"/>
      <c r="P393" s="15"/>
      <c r="Q393" s="16"/>
      <c r="R393" s="408" t="s">
        <v>317</v>
      </c>
      <c r="S393" s="387"/>
      <c r="T393" s="387"/>
      <c r="U393" s="387"/>
      <c r="V393" s="387"/>
      <c r="W393" s="387"/>
      <c r="X393" s="387"/>
      <c r="Y393" s="387"/>
      <c r="Z393" s="387"/>
      <c r="AA393" s="387"/>
      <c r="AB393" s="387"/>
      <c r="AC393" s="387"/>
      <c r="AD393" s="387"/>
      <c r="AE393" s="387"/>
      <c r="AF393" s="387"/>
      <c r="AG393" s="387"/>
      <c r="AH393" s="387"/>
      <c r="AI393" s="387"/>
      <c r="AJ393" s="387"/>
      <c r="AK393" s="387"/>
      <c r="AL393" s="387"/>
      <c r="AM393" s="387"/>
      <c r="AN393" s="387"/>
      <c r="AO393" s="387"/>
      <c r="AP393" s="387"/>
      <c r="AQ393" s="387"/>
      <c r="AR393" s="387"/>
      <c r="AS393" s="387"/>
      <c r="AT393" s="387"/>
      <c r="AU393" s="387"/>
      <c r="AV393" s="387"/>
      <c r="AW393" s="387"/>
      <c r="AX393" s="387"/>
      <c r="AY393" s="387"/>
      <c r="AZ393" s="387"/>
      <c r="BA393" s="387"/>
      <c r="BB393" s="387"/>
      <c r="BC393" s="387"/>
      <c r="BD393" s="387"/>
      <c r="BE393" s="387"/>
      <c r="BF393" s="387"/>
      <c r="BG393" s="387"/>
      <c r="BH393" s="387"/>
      <c r="BI393" s="387"/>
      <c r="BJ393" s="387"/>
      <c r="BK393" s="387"/>
      <c r="BL393" s="387"/>
      <c r="BM393" s="387"/>
      <c r="BN393" s="387"/>
      <c r="BO393" s="387"/>
      <c r="BP393" s="387"/>
      <c r="BQ393" s="387"/>
    </row>
    <row r="394" ht="12.75" hidden="1" customHeight="1">
      <c r="A394" s="275"/>
      <c r="B394" s="387"/>
      <c r="C394" s="387"/>
      <c r="D394" s="387"/>
      <c r="E394" s="387"/>
      <c r="F394" s="387"/>
      <c r="G394" s="387"/>
      <c r="H394" s="387"/>
      <c r="I394" s="387"/>
      <c r="J394" s="387"/>
      <c r="K394" s="387"/>
      <c r="L394" s="387"/>
      <c r="M394" s="387"/>
      <c r="N394" s="387"/>
      <c r="O394" s="387"/>
      <c r="P394" s="387"/>
      <c r="Q394" s="387"/>
      <c r="R394" s="387"/>
      <c r="S394" s="279"/>
      <c r="T394" s="279"/>
      <c r="U394" s="279"/>
      <c r="V394" s="279"/>
      <c r="W394" s="279"/>
      <c r="X394" s="279"/>
      <c r="Y394" s="279"/>
      <c r="Z394" s="279"/>
      <c r="AA394" s="279"/>
      <c r="AB394" s="279"/>
      <c r="AC394" s="279"/>
      <c r="AD394" s="279"/>
      <c r="AE394" s="279"/>
      <c r="AF394" s="279"/>
      <c r="AG394" s="279"/>
      <c r="AH394" s="279"/>
      <c r="AI394" s="279"/>
      <c r="AJ394" s="279"/>
      <c r="AK394" s="279"/>
      <c r="AL394" s="279"/>
      <c r="AM394" s="279"/>
      <c r="AN394" s="279"/>
      <c r="AO394" s="279"/>
      <c r="AP394" s="279"/>
      <c r="AQ394" s="279"/>
      <c r="AR394" s="279"/>
      <c r="AS394" s="279"/>
      <c r="AT394" s="279"/>
      <c r="AU394" s="279"/>
      <c r="AV394" s="279"/>
      <c r="AW394" s="279"/>
      <c r="AX394" s="279"/>
      <c r="AY394" s="279"/>
      <c r="AZ394" s="279"/>
      <c r="BA394" s="279"/>
      <c r="BB394" s="279"/>
      <c r="BC394" s="279"/>
      <c r="BD394" s="279"/>
      <c r="BE394" s="279"/>
      <c r="BF394" s="279"/>
      <c r="BG394" s="279"/>
      <c r="BH394" s="279"/>
      <c r="BI394" s="279"/>
      <c r="BJ394" s="279"/>
      <c r="BK394" s="279"/>
      <c r="BL394" s="279"/>
      <c r="BM394" s="279"/>
      <c r="BN394" s="279"/>
      <c r="BO394" s="279"/>
      <c r="BP394" s="279"/>
      <c r="BQ394" s="279"/>
    </row>
    <row r="395" ht="12.75" hidden="1" customHeight="1">
      <c r="A395" s="275"/>
      <c r="B395" s="388" t="s">
        <v>686</v>
      </c>
      <c r="C395" s="22"/>
      <c r="D395" s="22"/>
      <c r="E395" s="22"/>
      <c r="F395" s="22"/>
      <c r="G395" s="22"/>
      <c r="H395" s="22"/>
      <c r="I395" s="22"/>
      <c r="J395" s="22"/>
      <c r="K395" s="22"/>
      <c r="L395" s="22"/>
      <c r="M395" s="22"/>
      <c r="N395" s="22"/>
      <c r="O395" s="22"/>
      <c r="P395" s="22"/>
      <c r="Q395" s="22"/>
      <c r="R395" s="23"/>
      <c r="S395" s="279"/>
      <c r="T395" s="279"/>
      <c r="U395" s="279"/>
      <c r="V395" s="279"/>
      <c r="W395" s="279"/>
      <c r="X395" s="279"/>
      <c r="Y395" s="279"/>
      <c r="Z395" s="279"/>
      <c r="AA395" s="279"/>
      <c r="AB395" s="279"/>
      <c r="AC395" s="279"/>
      <c r="AD395" s="279"/>
      <c r="AE395" s="279"/>
      <c r="AF395" s="279"/>
      <c r="AG395" s="279"/>
      <c r="AH395" s="279"/>
      <c r="AI395" s="279"/>
      <c r="AJ395" s="279"/>
      <c r="AK395" s="279"/>
      <c r="AL395" s="279"/>
      <c r="AM395" s="279"/>
      <c r="AN395" s="279"/>
      <c r="AO395" s="279"/>
      <c r="AP395" s="279"/>
      <c r="AQ395" s="279"/>
      <c r="AR395" s="279"/>
      <c r="AS395" s="279"/>
      <c r="AT395" s="279"/>
      <c r="AU395" s="279"/>
      <c r="AV395" s="279"/>
      <c r="AW395" s="279"/>
      <c r="AX395" s="279"/>
      <c r="AY395" s="279"/>
      <c r="AZ395" s="279"/>
      <c r="BA395" s="279"/>
      <c r="BB395" s="279"/>
      <c r="BC395" s="279"/>
      <c r="BD395" s="279"/>
      <c r="BE395" s="279"/>
      <c r="BF395" s="279"/>
      <c r="BG395" s="279"/>
      <c r="BH395" s="279"/>
      <c r="BI395" s="279"/>
      <c r="BJ395" s="279"/>
      <c r="BK395" s="279"/>
      <c r="BL395" s="279"/>
      <c r="BM395" s="279"/>
      <c r="BN395" s="279"/>
      <c r="BO395" s="279"/>
      <c r="BP395" s="279"/>
      <c r="BQ395" s="279"/>
    </row>
    <row r="396" ht="12.75" hidden="1" customHeight="1">
      <c r="A396" s="275"/>
      <c r="B396" s="28"/>
      <c r="C396" s="29"/>
      <c r="D396" s="29"/>
      <c r="E396" s="29"/>
      <c r="F396" s="29"/>
      <c r="G396" s="29"/>
      <c r="H396" s="29"/>
      <c r="I396" s="29"/>
      <c r="J396" s="29"/>
      <c r="K396" s="29"/>
      <c r="L396" s="29"/>
      <c r="M396" s="29"/>
      <c r="N396" s="29"/>
      <c r="O396" s="29"/>
      <c r="P396" s="29"/>
      <c r="Q396" s="29"/>
      <c r="R396" s="30"/>
      <c r="S396" s="279"/>
      <c r="T396" s="279"/>
      <c r="U396" s="279"/>
      <c r="V396" s="279"/>
      <c r="W396" s="279"/>
      <c r="X396" s="279"/>
      <c r="Y396" s="279"/>
      <c r="Z396" s="279"/>
      <c r="AA396" s="279"/>
      <c r="AB396" s="279"/>
      <c r="AC396" s="279"/>
      <c r="AD396" s="279"/>
      <c r="AE396" s="279"/>
      <c r="AF396" s="279"/>
      <c r="AG396" s="279"/>
      <c r="AH396" s="279"/>
      <c r="AI396" s="279"/>
      <c r="AJ396" s="279"/>
      <c r="AK396" s="279"/>
      <c r="AL396" s="279"/>
      <c r="AM396" s="279"/>
      <c r="AN396" s="279"/>
      <c r="AO396" s="279"/>
      <c r="AP396" s="279"/>
      <c r="AQ396" s="279"/>
      <c r="AR396" s="279"/>
      <c r="AS396" s="279"/>
      <c r="AT396" s="279"/>
      <c r="AU396" s="279"/>
      <c r="AV396" s="279"/>
      <c r="AW396" s="279"/>
      <c r="AX396" s="279"/>
      <c r="AY396" s="279"/>
      <c r="AZ396" s="279"/>
      <c r="BA396" s="279"/>
      <c r="BB396" s="279"/>
      <c r="BC396" s="279"/>
      <c r="BD396" s="279"/>
      <c r="BE396" s="279"/>
      <c r="BF396" s="279"/>
      <c r="BG396" s="279"/>
      <c r="BH396" s="279"/>
      <c r="BI396" s="279"/>
      <c r="BJ396" s="279"/>
      <c r="BK396" s="279"/>
      <c r="BL396" s="279"/>
      <c r="BM396" s="279"/>
      <c r="BN396" s="279"/>
      <c r="BO396" s="279"/>
      <c r="BP396" s="279"/>
      <c r="BQ396" s="279"/>
    </row>
    <row r="397" ht="12.75" hidden="1" customHeight="1">
      <c r="A397" s="269"/>
      <c r="B397" s="285" t="s">
        <v>687</v>
      </c>
      <c r="C397" s="286"/>
      <c r="D397" s="286"/>
      <c r="E397" s="286"/>
      <c r="F397" s="286"/>
      <c r="G397" s="286"/>
      <c r="H397" s="286"/>
      <c r="I397" s="286"/>
      <c r="J397" s="286"/>
      <c r="K397" s="286"/>
      <c r="L397" s="287"/>
      <c r="M397" s="288">
        <v>1698.0</v>
      </c>
      <c r="N397" s="289"/>
      <c r="O397" s="15"/>
      <c r="P397" s="15"/>
      <c r="Q397" s="16"/>
      <c r="R397" s="310" t="s">
        <v>281</v>
      </c>
      <c r="S397" s="279"/>
      <c r="T397" s="279"/>
      <c r="U397" s="279"/>
      <c r="V397" s="279"/>
      <c r="W397" s="279"/>
      <c r="X397" s="279"/>
      <c r="Y397" s="279"/>
      <c r="Z397" s="279"/>
      <c r="AA397" s="279"/>
      <c r="AB397" s="279"/>
      <c r="AC397" s="279"/>
      <c r="AD397" s="279"/>
      <c r="AE397" s="279"/>
      <c r="AF397" s="279"/>
      <c r="AG397" s="279"/>
      <c r="AH397" s="279"/>
      <c r="AI397" s="279"/>
      <c r="AJ397" s="279"/>
      <c r="AK397" s="279"/>
      <c r="AL397" s="279"/>
      <c r="AM397" s="279"/>
      <c r="AN397" s="279"/>
      <c r="AO397" s="279"/>
      <c r="AP397" s="279"/>
      <c r="AQ397" s="279"/>
      <c r="AR397" s="279"/>
      <c r="AS397" s="279"/>
      <c r="AT397" s="279"/>
      <c r="AU397" s="279"/>
      <c r="AV397" s="279"/>
      <c r="AW397" s="279"/>
      <c r="AX397" s="279"/>
      <c r="AY397" s="279"/>
      <c r="AZ397" s="279"/>
      <c r="BA397" s="279"/>
      <c r="BB397" s="279"/>
      <c r="BC397" s="279"/>
      <c r="BD397" s="279"/>
      <c r="BE397" s="279"/>
      <c r="BF397" s="279"/>
      <c r="BG397" s="279"/>
      <c r="BH397" s="279"/>
      <c r="BI397" s="279"/>
      <c r="BJ397" s="279"/>
      <c r="BK397" s="279"/>
      <c r="BL397" s="279"/>
      <c r="BM397" s="279"/>
      <c r="BN397" s="279"/>
      <c r="BO397" s="279"/>
      <c r="BP397" s="279"/>
      <c r="BQ397" s="279"/>
    </row>
    <row r="398" ht="12.75" hidden="1" customHeight="1">
      <c r="A398" s="269"/>
      <c r="B398" s="285" t="s">
        <v>688</v>
      </c>
      <c r="C398" s="286"/>
      <c r="D398" s="286"/>
      <c r="E398" s="286"/>
      <c r="F398" s="286"/>
      <c r="G398" s="286"/>
      <c r="H398" s="286"/>
      <c r="I398" s="286"/>
      <c r="J398" s="286"/>
      <c r="K398" s="286"/>
      <c r="L398" s="287"/>
      <c r="M398" s="290">
        <v>1717.0</v>
      </c>
      <c r="N398" s="289"/>
      <c r="O398" s="15"/>
      <c r="P398" s="15"/>
      <c r="Q398" s="16"/>
      <c r="R398" s="338" t="s">
        <v>312</v>
      </c>
      <c r="S398" s="279"/>
      <c r="T398" s="279"/>
      <c r="U398" s="279"/>
      <c r="V398" s="279"/>
      <c r="W398" s="279"/>
      <c r="X398" s="279"/>
      <c r="Y398" s="279"/>
      <c r="Z398" s="279"/>
      <c r="AA398" s="279"/>
      <c r="AB398" s="279"/>
      <c r="AC398" s="279"/>
      <c r="AD398" s="279"/>
      <c r="AE398" s="279"/>
      <c r="AF398" s="279"/>
      <c r="AG398" s="279"/>
      <c r="AH398" s="279"/>
      <c r="AI398" s="279"/>
      <c r="AJ398" s="279"/>
      <c r="AK398" s="279"/>
      <c r="AL398" s="279"/>
      <c r="AM398" s="279"/>
      <c r="AN398" s="279"/>
      <c r="AO398" s="279"/>
      <c r="AP398" s="279"/>
      <c r="AQ398" s="279"/>
      <c r="AR398" s="279"/>
      <c r="AS398" s="279"/>
      <c r="AT398" s="279"/>
      <c r="AU398" s="279"/>
      <c r="AV398" s="279"/>
      <c r="AW398" s="279"/>
      <c r="AX398" s="279"/>
      <c r="AY398" s="279"/>
      <c r="AZ398" s="279"/>
      <c r="BA398" s="279"/>
      <c r="BB398" s="279"/>
      <c r="BC398" s="279"/>
      <c r="BD398" s="279"/>
      <c r="BE398" s="279"/>
      <c r="BF398" s="279"/>
      <c r="BG398" s="279"/>
      <c r="BH398" s="279"/>
      <c r="BI398" s="279"/>
      <c r="BJ398" s="279"/>
      <c r="BK398" s="279"/>
      <c r="BL398" s="279"/>
      <c r="BM398" s="279"/>
      <c r="BN398" s="279"/>
      <c r="BO398" s="279"/>
      <c r="BP398" s="279"/>
      <c r="BQ398" s="279"/>
    </row>
    <row r="399" ht="12.75" hidden="1" customHeight="1">
      <c r="A399" s="269"/>
      <c r="B399" s="285" t="s">
        <v>689</v>
      </c>
      <c r="C399" s="286"/>
      <c r="D399" s="286"/>
      <c r="E399" s="286"/>
      <c r="F399" s="286"/>
      <c r="G399" s="286"/>
      <c r="H399" s="286"/>
      <c r="I399" s="286"/>
      <c r="J399" s="286"/>
      <c r="K399" s="286"/>
      <c r="L399" s="287"/>
      <c r="M399" s="290">
        <v>1692.0</v>
      </c>
      <c r="N399" s="289"/>
      <c r="O399" s="15"/>
      <c r="P399" s="15"/>
      <c r="Q399" s="16"/>
      <c r="R399" s="338" t="s">
        <v>281</v>
      </c>
      <c r="S399" s="279"/>
      <c r="T399" s="279"/>
      <c r="U399" s="279"/>
      <c r="V399" s="279"/>
      <c r="W399" s="279"/>
      <c r="X399" s="279"/>
      <c r="Y399" s="279"/>
      <c r="Z399" s="279"/>
      <c r="AA399" s="279"/>
      <c r="AB399" s="279"/>
      <c r="AC399" s="279"/>
      <c r="AD399" s="279"/>
      <c r="AE399" s="279"/>
      <c r="AF399" s="279"/>
      <c r="AG399" s="279"/>
      <c r="AH399" s="279"/>
      <c r="AI399" s="279"/>
      <c r="AJ399" s="279"/>
      <c r="AK399" s="279"/>
      <c r="AL399" s="279"/>
      <c r="AM399" s="279"/>
      <c r="AN399" s="279"/>
      <c r="AO399" s="279"/>
      <c r="AP399" s="279"/>
      <c r="AQ399" s="279"/>
      <c r="AR399" s="279"/>
      <c r="AS399" s="279"/>
      <c r="AT399" s="279"/>
      <c r="AU399" s="279"/>
      <c r="AV399" s="279"/>
      <c r="AW399" s="279"/>
      <c r="AX399" s="279"/>
      <c r="AY399" s="279"/>
      <c r="AZ399" s="279"/>
      <c r="BA399" s="279"/>
      <c r="BB399" s="279"/>
      <c r="BC399" s="279"/>
      <c r="BD399" s="279"/>
      <c r="BE399" s="279"/>
      <c r="BF399" s="279"/>
      <c r="BG399" s="279"/>
      <c r="BH399" s="279"/>
      <c r="BI399" s="279"/>
      <c r="BJ399" s="279"/>
      <c r="BK399" s="279"/>
      <c r="BL399" s="279"/>
      <c r="BM399" s="279"/>
      <c r="BN399" s="279"/>
      <c r="BO399" s="279"/>
      <c r="BP399" s="279"/>
      <c r="BQ399" s="279"/>
    </row>
    <row r="400" ht="12.75" hidden="1" customHeight="1">
      <c r="A400" s="269"/>
      <c r="B400" s="285" t="s">
        <v>690</v>
      </c>
      <c r="C400" s="286"/>
      <c r="D400" s="286"/>
      <c r="E400" s="286"/>
      <c r="F400" s="286"/>
      <c r="G400" s="286"/>
      <c r="H400" s="286"/>
      <c r="I400" s="286"/>
      <c r="J400" s="286"/>
      <c r="K400" s="286"/>
      <c r="L400" s="287"/>
      <c r="M400" s="290">
        <v>1699.0</v>
      </c>
      <c r="N400" s="289"/>
      <c r="O400" s="15"/>
      <c r="P400" s="15"/>
      <c r="Q400" s="16"/>
      <c r="R400" s="338" t="s">
        <v>281</v>
      </c>
      <c r="S400" s="279"/>
      <c r="T400" s="279"/>
      <c r="U400" s="279"/>
      <c r="V400" s="279"/>
      <c r="W400" s="279"/>
      <c r="X400" s="279"/>
      <c r="Y400" s="279"/>
      <c r="Z400" s="279"/>
      <c r="AA400" s="279"/>
      <c r="AB400" s="279"/>
      <c r="AC400" s="279"/>
      <c r="AD400" s="279"/>
      <c r="AE400" s="279"/>
      <c r="AF400" s="279"/>
      <c r="AG400" s="279"/>
      <c r="AH400" s="279"/>
      <c r="AI400" s="279"/>
      <c r="AJ400" s="279"/>
      <c r="AK400" s="279"/>
      <c r="AL400" s="279"/>
      <c r="AM400" s="279"/>
      <c r="AN400" s="279"/>
      <c r="AO400" s="279"/>
      <c r="AP400" s="279"/>
      <c r="AQ400" s="279"/>
      <c r="AR400" s="279"/>
      <c r="AS400" s="279"/>
      <c r="AT400" s="279"/>
      <c r="AU400" s="279"/>
      <c r="AV400" s="279"/>
      <c r="AW400" s="279"/>
      <c r="AX400" s="279"/>
      <c r="AY400" s="279"/>
      <c r="AZ400" s="279"/>
      <c r="BA400" s="279"/>
      <c r="BB400" s="279"/>
      <c r="BC400" s="279"/>
      <c r="BD400" s="279"/>
      <c r="BE400" s="279"/>
      <c r="BF400" s="279"/>
      <c r="BG400" s="279"/>
      <c r="BH400" s="279"/>
      <c r="BI400" s="279"/>
      <c r="BJ400" s="279"/>
      <c r="BK400" s="279"/>
      <c r="BL400" s="279"/>
      <c r="BM400" s="279"/>
      <c r="BN400" s="279"/>
      <c r="BO400" s="279"/>
      <c r="BP400" s="279"/>
      <c r="BQ400" s="279"/>
    </row>
    <row r="401" ht="12.75" hidden="1" customHeight="1">
      <c r="A401" s="269"/>
      <c r="B401" s="285" t="s">
        <v>691</v>
      </c>
      <c r="C401" s="286"/>
      <c r="D401" s="286"/>
      <c r="E401" s="286"/>
      <c r="F401" s="286"/>
      <c r="G401" s="286"/>
      <c r="H401" s="286"/>
      <c r="I401" s="286"/>
      <c r="J401" s="286"/>
      <c r="K401" s="286"/>
      <c r="L401" s="287"/>
      <c r="M401" s="290">
        <v>1718.0</v>
      </c>
      <c r="N401" s="289">
        <f>+IF(($N$397-$N$398+$N$399+$N$400)&gt;0,$N$397-$N$398+$N$399+$N$400,0)</f>
        <v>0</v>
      </c>
      <c r="O401" s="15"/>
      <c r="P401" s="15"/>
      <c r="Q401" s="16"/>
      <c r="R401" s="338" t="s">
        <v>317</v>
      </c>
      <c r="S401" s="279"/>
      <c r="T401" s="279"/>
      <c r="U401" s="279"/>
      <c r="V401" s="279"/>
      <c r="W401" s="279"/>
      <c r="X401" s="279"/>
      <c r="Y401" s="279"/>
      <c r="Z401" s="279"/>
      <c r="AA401" s="279"/>
      <c r="AB401" s="279"/>
      <c r="AC401" s="279"/>
      <c r="AD401" s="279"/>
      <c r="AE401" s="279"/>
      <c r="AF401" s="279"/>
      <c r="AG401" s="279"/>
      <c r="AH401" s="279"/>
      <c r="AI401" s="279"/>
      <c r="AJ401" s="279"/>
      <c r="AK401" s="279"/>
      <c r="AL401" s="279"/>
      <c r="AM401" s="279"/>
      <c r="AN401" s="279"/>
      <c r="AO401" s="279"/>
      <c r="AP401" s="279"/>
      <c r="AQ401" s="279"/>
      <c r="AR401" s="279"/>
      <c r="AS401" s="279"/>
      <c r="AT401" s="279"/>
      <c r="AU401" s="279"/>
      <c r="AV401" s="279"/>
      <c r="AW401" s="279"/>
      <c r="AX401" s="279"/>
      <c r="AY401" s="279"/>
      <c r="AZ401" s="279"/>
      <c r="BA401" s="279"/>
      <c r="BB401" s="279"/>
      <c r="BC401" s="279"/>
      <c r="BD401" s="279"/>
      <c r="BE401" s="279"/>
      <c r="BF401" s="279"/>
      <c r="BG401" s="279"/>
      <c r="BH401" s="279"/>
      <c r="BI401" s="279"/>
      <c r="BJ401" s="279"/>
      <c r="BK401" s="279"/>
      <c r="BL401" s="279"/>
      <c r="BM401" s="279"/>
      <c r="BN401" s="279"/>
      <c r="BO401" s="279"/>
      <c r="BP401" s="279"/>
      <c r="BQ401" s="279"/>
    </row>
    <row r="402" ht="12.75" hidden="1" customHeight="1">
      <c r="A402" s="269"/>
      <c r="B402" s="285" t="s">
        <v>692</v>
      </c>
      <c r="C402" s="286"/>
      <c r="D402" s="286"/>
      <c r="E402" s="286"/>
      <c r="F402" s="286"/>
      <c r="G402" s="286"/>
      <c r="H402" s="286"/>
      <c r="I402" s="286"/>
      <c r="J402" s="286"/>
      <c r="K402" s="286"/>
      <c r="L402" s="287"/>
      <c r="M402" s="290">
        <v>1693.0</v>
      </c>
      <c r="N402" s="289"/>
      <c r="O402" s="15"/>
      <c r="P402" s="15"/>
      <c r="Q402" s="16"/>
      <c r="R402" s="338" t="s">
        <v>312</v>
      </c>
      <c r="S402" s="279"/>
      <c r="T402" s="279"/>
      <c r="U402" s="279"/>
      <c r="V402" s="279"/>
      <c r="W402" s="279"/>
      <c r="X402" s="279"/>
      <c r="Y402" s="279"/>
      <c r="Z402" s="279"/>
      <c r="AA402" s="279"/>
      <c r="AB402" s="279"/>
      <c r="AC402" s="279"/>
      <c r="AD402" s="279"/>
      <c r="AE402" s="279"/>
      <c r="AF402" s="279"/>
      <c r="AG402" s="279"/>
      <c r="AH402" s="279"/>
      <c r="AI402" s="279"/>
      <c r="AJ402" s="279"/>
      <c r="AK402" s="279"/>
      <c r="AL402" s="279"/>
      <c r="AM402" s="279"/>
      <c r="AN402" s="279"/>
      <c r="AO402" s="279"/>
      <c r="AP402" s="279"/>
      <c r="AQ402" s="279"/>
      <c r="AR402" s="279"/>
      <c r="AS402" s="279"/>
      <c r="AT402" s="279"/>
      <c r="AU402" s="279"/>
      <c r="AV402" s="279"/>
      <c r="AW402" s="279"/>
      <c r="AX402" s="279"/>
      <c r="AY402" s="279"/>
      <c r="AZ402" s="279"/>
      <c r="BA402" s="279"/>
      <c r="BB402" s="279"/>
      <c r="BC402" s="279"/>
      <c r="BD402" s="279"/>
      <c r="BE402" s="279"/>
      <c r="BF402" s="279"/>
      <c r="BG402" s="279"/>
      <c r="BH402" s="279"/>
      <c r="BI402" s="279"/>
      <c r="BJ402" s="279"/>
      <c r="BK402" s="279"/>
      <c r="BL402" s="279"/>
      <c r="BM402" s="279"/>
      <c r="BN402" s="279"/>
      <c r="BO402" s="279"/>
      <c r="BP402" s="279"/>
      <c r="BQ402" s="279"/>
    </row>
    <row r="403" ht="12.75" hidden="1" customHeight="1">
      <c r="A403" s="269"/>
      <c r="B403" s="285" t="s">
        <v>693</v>
      </c>
      <c r="C403" s="286"/>
      <c r="D403" s="286"/>
      <c r="E403" s="286"/>
      <c r="F403" s="286"/>
      <c r="G403" s="286"/>
      <c r="H403" s="286"/>
      <c r="I403" s="286"/>
      <c r="J403" s="286"/>
      <c r="K403" s="286"/>
      <c r="L403" s="287"/>
      <c r="M403" s="290">
        <v>844.0</v>
      </c>
      <c r="N403" s="289"/>
      <c r="O403" s="15"/>
      <c r="P403" s="15"/>
      <c r="Q403" s="16"/>
      <c r="R403" s="338" t="s">
        <v>312</v>
      </c>
      <c r="S403" s="279"/>
      <c r="T403" s="279"/>
      <c r="U403" s="279"/>
      <c r="V403" s="279"/>
      <c r="W403" s="279"/>
      <c r="X403" s="279"/>
      <c r="Y403" s="279"/>
      <c r="Z403" s="279"/>
      <c r="AA403" s="279"/>
      <c r="AB403" s="279"/>
      <c r="AC403" s="279"/>
      <c r="AD403" s="279"/>
      <c r="AE403" s="279"/>
      <c r="AF403" s="279"/>
      <c r="AG403" s="279"/>
      <c r="AH403" s="279"/>
      <c r="AI403" s="279"/>
      <c r="AJ403" s="279"/>
      <c r="AK403" s="279"/>
      <c r="AL403" s="279"/>
      <c r="AM403" s="279"/>
      <c r="AN403" s="279"/>
      <c r="AO403" s="279"/>
      <c r="AP403" s="279"/>
      <c r="AQ403" s="279"/>
      <c r="AR403" s="279"/>
      <c r="AS403" s="279"/>
      <c r="AT403" s="279"/>
      <c r="AU403" s="279"/>
      <c r="AV403" s="279"/>
      <c r="AW403" s="279"/>
      <c r="AX403" s="279"/>
      <c r="AY403" s="279"/>
      <c r="AZ403" s="279"/>
      <c r="BA403" s="279"/>
      <c r="BB403" s="279"/>
      <c r="BC403" s="279"/>
      <c r="BD403" s="279"/>
      <c r="BE403" s="279"/>
      <c r="BF403" s="279"/>
      <c r="BG403" s="279"/>
      <c r="BH403" s="279"/>
      <c r="BI403" s="279"/>
      <c r="BJ403" s="279"/>
      <c r="BK403" s="279"/>
      <c r="BL403" s="279"/>
      <c r="BM403" s="279"/>
      <c r="BN403" s="279"/>
      <c r="BO403" s="279"/>
      <c r="BP403" s="279"/>
      <c r="BQ403" s="279"/>
    </row>
    <row r="404" ht="12.75" hidden="1" customHeight="1">
      <c r="A404" s="269"/>
      <c r="B404" s="285" t="s">
        <v>694</v>
      </c>
      <c r="C404" s="286"/>
      <c r="D404" s="286"/>
      <c r="E404" s="286"/>
      <c r="F404" s="286"/>
      <c r="G404" s="286"/>
      <c r="H404" s="286"/>
      <c r="I404" s="286"/>
      <c r="J404" s="286"/>
      <c r="K404" s="286"/>
      <c r="L404" s="287"/>
      <c r="M404" s="290">
        <v>982.0</v>
      </c>
      <c r="N404" s="289"/>
      <c r="O404" s="15"/>
      <c r="P404" s="15"/>
      <c r="Q404" s="16"/>
      <c r="R404" s="338" t="s">
        <v>312</v>
      </c>
      <c r="S404" s="279"/>
      <c r="T404" s="279"/>
      <c r="U404" s="279"/>
      <c r="V404" s="279"/>
      <c r="W404" s="279"/>
      <c r="X404" s="279"/>
      <c r="Y404" s="279"/>
      <c r="Z404" s="279"/>
      <c r="AA404" s="279"/>
      <c r="AB404" s="279"/>
      <c r="AC404" s="279"/>
      <c r="AD404" s="279"/>
      <c r="AE404" s="279"/>
      <c r="AF404" s="279"/>
      <c r="AG404" s="279"/>
      <c r="AH404" s="279"/>
      <c r="AI404" s="279"/>
      <c r="AJ404" s="279"/>
      <c r="AK404" s="279"/>
      <c r="AL404" s="279"/>
      <c r="AM404" s="279"/>
      <c r="AN404" s="279"/>
      <c r="AO404" s="279"/>
      <c r="AP404" s="279"/>
      <c r="AQ404" s="279"/>
      <c r="AR404" s="279"/>
      <c r="AS404" s="279"/>
      <c r="AT404" s="279"/>
      <c r="AU404" s="279"/>
      <c r="AV404" s="279"/>
      <c r="AW404" s="279"/>
      <c r="AX404" s="279"/>
      <c r="AY404" s="279"/>
      <c r="AZ404" s="279"/>
      <c r="BA404" s="279"/>
      <c r="BB404" s="279"/>
      <c r="BC404" s="279"/>
      <c r="BD404" s="279"/>
      <c r="BE404" s="279"/>
      <c r="BF404" s="279"/>
      <c r="BG404" s="279"/>
      <c r="BH404" s="279"/>
      <c r="BI404" s="279"/>
      <c r="BJ404" s="279"/>
      <c r="BK404" s="279"/>
      <c r="BL404" s="279"/>
      <c r="BM404" s="279"/>
      <c r="BN404" s="279"/>
      <c r="BO404" s="279"/>
      <c r="BP404" s="279"/>
      <c r="BQ404" s="279"/>
    </row>
    <row r="405" ht="12.75" hidden="1" customHeight="1">
      <c r="A405" s="269"/>
      <c r="B405" s="285" t="s">
        <v>695</v>
      </c>
      <c r="C405" s="286"/>
      <c r="D405" s="286"/>
      <c r="E405" s="286"/>
      <c r="F405" s="286"/>
      <c r="G405" s="286"/>
      <c r="H405" s="286"/>
      <c r="I405" s="286"/>
      <c r="J405" s="286"/>
      <c r="K405" s="286"/>
      <c r="L405" s="287"/>
      <c r="M405" s="290">
        <v>1198.0</v>
      </c>
      <c r="N405" s="289"/>
      <c r="O405" s="15"/>
      <c r="P405" s="15"/>
      <c r="Q405" s="16"/>
      <c r="R405" s="338" t="s">
        <v>312</v>
      </c>
      <c r="S405" s="279"/>
      <c r="T405" s="279"/>
      <c r="U405" s="279"/>
      <c r="V405" s="279"/>
      <c r="W405" s="279"/>
      <c r="X405" s="279"/>
      <c r="Y405" s="279"/>
      <c r="Z405" s="279"/>
      <c r="AA405" s="279"/>
      <c r="AB405" s="279"/>
      <c r="AC405" s="279"/>
      <c r="AD405" s="279"/>
      <c r="AE405" s="279"/>
      <c r="AF405" s="279"/>
      <c r="AG405" s="279"/>
      <c r="AH405" s="279"/>
      <c r="AI405" s="279"/>
      <c r="AJ405" s="279"/>
      <c r="AK405" s="279"/>
      <c r="AL405" s="279"/>
      <c r="AM405" s="279"/>
      <c r="AN405" s="279"/>
      <c r="AO405" s="279"/>
      <c r="AP405" s="279"/>
      <c r="AQ405" s="279"/>
      <c r="AR405" s="279"/>
      <c r="AS405" s="279"/>
      <c r="AT405" s="279"/>
      <c r="AU405" s="279"/>
      <c r="AV405" s="279"/>
      <c r="AW405" s="279"/>
      <c r="AX405" s="279"/>
      <c r="AY405" s="279"/>
      <c r="AZ405" s="279"/>
      <c r="BA405" s="279"/>
      <c r="BB405" s="279"/>
      <c r="BC405" s="279"/>
      <c r="BD405" s="279"/>
      <c r="BE405" s="279"/>
      <c r="BF405" s="279"/>
      <c r="BG405" s="279"/>
      <c r="BH405" s="279"/>
      <c r="BI405" s="279"/>
      <c r="BJ405" s="279"/>
      <c r="BK405" s="279"/>
      <c r="BL405" s="279"/>
      <c r="BM405" s="279"/>
      <c r="BN405" s="279"/>
      <c r="BO405" s="279"/>
      <c r="BP405" s="279"/>
      <c r="BQ405" s="279"/>
    </row>
    <row r="406" ht="12.75" hidden="1" customHeight="1">
      <c r="A406" s="269"/>
      <c r="B406" s="285" t="s">
        <v>696</v>
      </c>
      <c r="C406" s="286"/>
      <c r="D406" s="286"/>
      <c r="E406" s="286"/>
      <c r="F406" s="286"/>
      <c r="G406" s="286"/>
      <c r="H406" s="286"/>
      <c r="I406" s="286"/>
      <c r="J406" s="286"/>
      <c r="K406" s="286"/>
      <c r="L406" s="287"/>
      <c r="M406" s="290">
        <v>1199.0</v>
      </c>
      <c r="N406" s="289">
        <f>+IF(($N$401-$N$402-$N$403-$N$404-$N$405)&gt;0,($N$401-$N$402-$N$403-$N$404-$N$405),0)</f>
        <v>0</v>
      </c>
      <c r="O406" s="15"/>
      <c r="P406" s="15"/>
      <c r="Q406" s="16"/>
      <c r="R406" s="355" t="s">
        <v>317</v>
      </c>
      <c r="S406" s="279"/>
      <c r="T406" s="279"/>
      <c r="U406" s="279"/>
      <c r="V406" s="279"/>
      <c r="W406" s="279"/>
      <c r="X406" s="279"/>
      <c r="Y406" s="279"/>
      <c r="Z406" s="279"/>
      <c r="AA406" s="279"/>
      <c r="AB406" s="279"/>
      <c r="AC406" s="279"/>
      <c r="AD406" s="279"/>
      <c r="AE406" s="279"/>
      <c r="AF406" s="279"/>
      <c r="AG406" s="279"/>
      <c r="AH406" s="279"/>
      <c r="AI406" s="279"/>
      <c r="AJ406" s="279"/>
      <c r="AK406" s="279"/>
      <c r="AL406" s="279"/>
      <c r="AM406" s="279"/>
      <c r="AN406" s="279"/>
      <c r="AO406" s="279"/>
      <c r="AP406" s="279"/>
      <c r="AQ406" s="279"/>
      <c r="AR406" s="279"/>
      <c r="AS406" s="279"/>
      <c r="AT406" s="279"/>
      <c r="AU406" s="279"/>
      <c r="AV406" s="279"/>
      <c r="AW406" s="279"/>
      <c r="AX406" s="279"/>
      <c r="AY406" s="279"/>
      <c r="AZ406" s="279"/>
      <c r="BA406" s="279"/>
      <c r="BB406" s="279"/>
      <c r="BC406" s="279"/>
      <c r="BD406" s="279"/>
      <c r="BE406" s="279"/>
      <c r="BF406" s="279"/>
      <c r="BG406" s="279"/>
      <c r="BH406" s="279"/>
      <c r="BI406" s="279"/>
      <c r="BJ406" s="279"/>
      <c r="BK406" s="279"/>
      <c r="BL406" s="279"/>
      <c r="BM406" s="279"/>
      <c r="BN406" s="279"/>
      <c r="BO406" s="279"/>
      <c r="BP406" s="279"/>
      <c r="BQ406" s="279"/>
    </row>
    <row r="407" ht="12.75" hidden="1" customHeight="1">
      <c r="A407" s="275"/>
      <c r="B407" s="387"/>
      <c r="C407" s="387"/>
      <c r="D407" s="387"/>
      <c r="E407" s="387"/>
      <c r="F407" s="387"/>
      <c r="G407" s="387"/>
      <c r="H407" s="387"/>
      <c r="I407" s="387"/>
      <c r="J407" s="387"/>
      <c r="K407" s="387"/>
      <c r="L407" s="387"/>
      <c r="M407" s="387"/>
      <c r="N407" s="387"/>
      <c r="O407" s="387"/>
      <c r="P407" s="387"/>
      <c r="Q407" s="387"/>
      <c r="R407" s="387"/>
      <c r="S407" s="279"/>
      <c r="T407" s="279"/>
      <c r="U407" s="279"/>
      <c r="V407" s="279"/>
      <c r="W407" s="279"/>
      <c r="X407" s="279"/>
      <c r="Y407" s="279"/>
      <c r="Z407" s="279"/>
      <c r="AA407" s="279"/>
      <c r="AB407" s="279"/>
      <c r="AC407" s="279"/>
      <c r="AD407" s="279"/>
      <c r="AE407" s="279"/>
      <c r="AF407" s="279"/>
      <c r="AG407" s="279"/>
      <c r="AH407" s="279"/>
      <c r="AI407" s="279"/>
      <c r="AJ407" s="279"/>
      <c r="AK407" s="279"/>
      <c r="AL407" s="279"/>
      <c r="AM407" s="279"/>
      <c r="AN407" s="279"/>
      <c r="AO407" s="279"/>
      <c r="AP407" s="279"/>
      <c r="AQ407" s="279"/>
      <c r="AR407" s="279"/>
      <c r="AS407" s="279"/>
      <c r="AT407" s="279"/>
      <c r="AU407" s="279"/>
      <c r="AV407" s="279"/>
      <c r="AW407" s="279"/>
      <c r="AX407" s="279"/>
      <c r="AY407" s="279"/>
      <c r="AZ407" s="279"/>
      <c r="BA407" s="279"/>
      <c r="BB407" s="279"/>
      <c r="BC407" s="279"/>
      <c r="BD407" s="279"/>
      <c r="BE407" s="279"/>
      <c r="BF407" s="279"/>
      <c r="BG407" s="279"/>
      <c r="BH407" s="279"/>
      <c r="BI407" s="279"/>
      <c r="BJ407" s="279"/>
      <c r="BK407" s="279"/>
      <c r="BL407" s="279"/>
      <c r="BM407" s="279"/>
      <c r="BN407" s="279"/>
      <c r="BO407" s="279"/>
      <c r="BP407" s="279"/>
      <c r="BQ407" s="279"/>
    </row>
    <row r="408" ht="12.75" hidden="1" customHeight="1">
      <c r="A408" s="275"/>
      <c r="B408" s="370" t="s">
        <v>697</v>
      </c>
      <c r="C408" s="22"/>
      <c r="D408" s="22"/>
      <c r="E408" s="22"/>
      <c r="F408" s="22"/>
      <c r="G408" s="22"/>
      <c r="H408" s="22"/>
      <c r="I408" s="22"/>
      <c r="J408" s="22"/>
      <c r="K408" s="22"/>
      <c r="L408" s="22"/>
      <c r="M408" s="22"/>
      <c r="N408" s="22"/>
      <c r="O408" s="22"/>
      <c r="P408" s="22"/>
      <c r="Q408" s="22"/>
      <c r="R408" s="23"/>
      <c r="S408" s="279"/>
      <c r="T408" s="279"/>
      <c r="U408" s="279"/>
      <c r="V408" s="279"/>
      <c r="W408" s="279"/>
      <c r="X408" s="279"/>
      <c r="Y408" s="279"/>
      <c r="Z408" s="279"/>
      <c r="AA408" s="279"/>
      <c r="AB408" s="279"/>
      <c r="AC408" s="279"/>
      <c r="AD408" s="279"/>
      <c r="AE408" s="279"/>
      <c r="AF408" s="279"/>
      <c r="AG408" s="279"/>
      <c r="AH408" s="279"/>
      <c r="AI408" s="279"/>
      <c r="AJ408" s="279"/>
      <c r="AK408" s="279"/>
      <c r="AL408" s="279"/>
      <c r="AM408" s="279"/>
      <c r="AN408" s="279"/>
      <c r="AO408" s="279"/>
      <c r="AP408" s="279"/>
      <c r="AQ408" s="279"/>
      <c r="AR408" s="279"/>
      <c r="AS408" s="279"/>
      <c r="AT408" s="279"/>
      <c r="AU408" s="279"/>
      <c r="AV408" s="279"/>
      <c r="AW408" s="279"/>
      <c r="AX408" s="279"/>
      <c r="AY408" s="279"/>
      <c r="AZ408" s="279"/>
      <c r="BA408" s="279"/>
      <c r="BB408" s="279"/>
      <c r="BC408" s="279"/>
      <c r="BD408" s="279"/>
      <c r="BE408" s="279"/>
      <c r="BF408" s="279"/>
      <c r="BG408" s="279"/>
      <c r="BH408" s="279"/>
      <c r="BI408" s="279"/>
      <c r="BJ408" s="279"/>
      <c r="BK408" s="279"/>
      <c r="BL408" s="279"/>
      <c r="BM408" s="279"/>
      <c r="BN408" s="279"/>
      <c r="BO408" s="279"/>
      <c r="BP408" s="279"/>
      <c r="BQ408" s="279"/>
    </row>
    <row r="409" ht="12.75" hidden="1" customHeight="1">
      <c r="A409" s="275"/>
      <c r="B409" s="28"/>
      <c r="C409" s="29"/>
      <c r="D409" s="29"/>
      <c r="E409" s="29"/>
      <c r="F409" s="29"/>
      <c r="G409" s="29"/>
      <c r="H409" s="29"/>
      <c r="I409" s="29"/>
      <c r="J409" s="29"/>
      <c r="K409" s="29"/>
      <c r="L409" s="29"/>
      <c r="M409" s="29"/>
      <c r="N409" s="29"/>
      <c r="O409" s="29"/>
      <c r="P409" s="29"/>
      <c r="Q409" s="29"/>
      <c r="R409" s="30"/>
      <c r="S409" s="279"/>
      <c r="T409" s="279"/>
      <c r="U409" s="279"/>
      <c r="V409" s="279"/>
      <c r="W409" s="279"/>
      <c r="X409" s="279"/>
      <c r="Y409" s="279"/>
      <c r="Z409" s="279"/>
      <c r="AA409" s="279"/>
      <c r="AB409" s="279"/>
      <c r="AC409" s="279"/>
      <c r="AD409" s="279"/>
      <c r="AE409" s="279"/>
      <c r="AF409" s="279"/>
      <c r="AG409" s="279"/>
      <c r="AH409" s="279"/>
      <c r="AI409" s="279"/>
      <c r="AJ409" s="279"/>
      <c r="AK409" s="279"/>
      <c r="AL409" s="279"/>
      <c r="AM409" s="279"/>
      <c r="AN409" s="279"/>
      <c r="AO409" s="279"/>
      <c r="AP409" s="279"/>
      <c r="AQ409" s="279"/>
      <c r="AR409" s="279"/>
      <c r="AS409" s="279"/>
      <c r="AT409" s="279"/>
      <c r="AU409" s="279"/>
      <c r="AV409" s="279"/>
      <c r="AW409" s="279"/>
      <c r="AX409" s="279"/>
      <c r="AY409" s="279"/>
      <c r="AZ409" s="279"/>
      <c r="BA409" s="279"/>
      <c r="BB409" s="279"/>
      <c r="BC409" s="279"/>
      <c r="BD409" s="279"/>
      <c r="BE409" s="279"/>
      <c r="BF409" s="279"/>
      <c r="BG409" s="279"/>
      <c r="BH409" s="279"/>
      <c r="BI409" s="279"/>
      <c r="BJ409" s="279"/>
      <c r="BK409" s="279"/>
      <c r="BL409" s="279"/>
      <c r="BM409" s="279"/>
      <c r="BN409" s="279"/>
      <c r="BO409" s="279"/>
      <c r="BP409" s="279"/>
      <c r="BQ409" s="279"/>
    </row>
    <row r="410" ht="12.75" hidden="1" customHeight="1">
      <c r="A410" s="269"/>
      <c r="B410" s="325" t="s">
        <v>698</v>
      </c>
      <c r="C410" s="326"/>
      <c r="D410" s="326"/>
      <c r="E410" s="326"/>
      <c r="F410" s="326"/>
      <c r="G410" s="326"/>
      <c r="H410" s="326"/>
      <c r="I410" s="326"/>
      <c r="J410" s="326"/>
      <c r="K410" s="326"/>
      <c r="L410" s="327"/>
      <c r="M410" s="288">
        <v>1145.0</v>
      </c>
      <c r="N410" s="289"/>
      <c r="O410" s="15"/>
      <c r="P410" s="15"/>
      <c r="Q410" s="16"/>
      <c r="R410" s="310" t="s">
        <v>281</v>
      </c>
      <c r="S410" s="279"/>
      <c r="T410" s="279"/>
      <c r="U410" s="279"/>
      <c r="V410" s="279"/>
      <c r="W410" s="279"/>
      <c r="X410" s="279"/>
      <c r="Y410" s="279"/>
      <c r="Z410" s="279"/>
      <c r="AA410" s="279"/>
      <c r="AB410" s="279"/>
      <c r="AC410" s="279"/>
      <c r="AD410" s="279"/>
      <c r="AE410" s="279"/>
      <c r="AF410" s="279"/>
      <c r="AG410" s="279"/>
      <c r="AH410" s="279"/>
      <c r="AI410" s="279"/>
      <c r="AJ410" s="279"/>
      <c r="AK410" s="279"/>
      <c r="AL410" s="279"/>
      <c r="AM410" s="279"/>
      <c r="AN410" s="279"/>
      <c r="AO410" s="279"/>
      <c r="AP410" s="279"/>
      <c r="AQ410" s="279"/>
      <c r="AR410" s="279"/>
      <c r="AS410" s="279"/>
      <c r="AT410" s="279"/>
      <c r="AU410" s="279"/>
      <c r="AV410" s="279"/>
      <c r="AW410" s="279"/>
      <c r="AX410" s="279"/>
      <c r="AY410" s="279"/>
      <c r="AZ410" s="279"/>
      <c r="BA410" s="279"/>
      <c r="BB410" s="279"/>
      <c r="BC410" s="279"/>
      <c r="BD410" s="279"/>
      <c r="BE410" s="279"/>
      <c r="BF410" s="279"/>
      <c r="BG410" s="279"/>
      <c r="BH410" s="279"/>
      <c r="BI410" s="279"/>
      <c r="BJ410" s="279"/>
      <c r="BK410" s="279"/>
      <c r="BL410" s="279"/>
      <c r="BM410" s="279"/>
      <c r="BN410" s="279"/>
      <c r="BO410" s="279"/>
      <c r="BP410" s="279"/>
      <c r="BQ410" s="279"/>
    </row>
    <row r="411" ht="12.75" hidden="1" customHeight="1">
      <c r="A411" s="269"/>
      <c r="B411" s="325" t="s">
        <v>699</v>
      </c>
      <c r="C411" s="326"/>
      <c r="D411" s="326"/>
      <c r="E411" s="326"/>
      <c r="F411" s="326"/>
      <c r="G411" s="326"/>
      <c r="H411" s="326"/>
      <c r="I411" s="326"/>
      <c r="J411" s="326"/>
      <c r="K411" s="326"/>
      <c r="L411" s="327"/>
      <c r="M411" s="290">
        <v>1146.0</v>
      </c>
      <c r="N411" s="289"/>
      <c r="O411" s="15"/>
      <c r="P411" s="15"/>
      <c r="Q411" s="16"/>
      <c r="R411" s="338" t="s">
        <v>312</v>
      </c>
      <c r="S411" s="279"/>
      <c r="T411" s="279"/>
      <c r="U411" s="279"/>
      <c r="V411" s="279"/>
      <c r="W411" s="279"/>
      <c r="X411" s="279"/>
      <c r="Y411" s="279"/>
      <c r="Z411" s="279"/>
      <c r="AA411" s="279"/>
      <c r="AB411" s="279"/>
      <c r="AC411" s="279"/>
      <c r="AD411" s="279"/>
      <c r="AE411" s="279"/>
      <c r="AF411" s="279"/>
      <c r="AG411" s="279"/>
      <c r="AH411" s="279"/>
      <c r="AI411" s="279"/>
      <c r="AJ411" s="279"/>
      <c r="AK411" s="279"/>
      <c r="AL411" s="279"/>
      <c r="AM411" s="279"/>
      <c r="AN411" s="279"/>
      <c r="AO411" s="279"/>
      <c r="AP411" s="279"/>
      <c r="AQ411" s="279"/>
      <c r="AR411" s="279"/>
      <c r="AS411" s="279"/>
      <c r="AT411" s="279"/>
      <c r="AU411" s="279"/>
      <c r="AV411" s="279"/>
      <c r="AW411" s="279"/>
      <c r="AX411" s="279"/>
      <c r="AY411" s="279"/>
      <c r="AZ411" s="279"/>
      <c r="BA411" s="279"/>
      <c r="BB411" s="279"/>
      <c r="BC411" s="279"/>
      <c r="BD411" s="279"/>
      <c r="BE411" s="279"/>
      <c r="BF411" s="279"/>
      <c r="BG411" s="279"/>
      <c r="BH411" s="279"/>
      <c r="BI411" s="279"/>
      <c r="BJ411" s="279"/>
      <c r="BK411" s="279"/>
      <c r="BL411" s="279"/>
      <c r="BM411" s="279"/>
      <c r="BN411" s="279"/>
      <c r="BO411" s="279"/>
      <c r="BP411" s="279"/>
      <c r="BQ411" s="279"/>
    </row>
    <row r="412" ht="12.75" hidden="1" customHeight="1">
      <c r="A412" s="269"/>
      <c r="B412" s="325" t="s">
        <v>700</v>
      </c>
      <c r="C412" s="326"/>
      <c r="D412" s="326"/>
      <c r="E412" s="326"/>
      <c r="F412" s="326"/>
      <c r="G412" s="326"/>
      <c r="H412" s="326"/>
      <c r="I412" s="326"/>
      <c r="J412" s="326"/>
      <c r="K412" s="326"/>
      <c r="L412" s="327"/>
      <c r="M412" s="290">
        <v>1177.0</v>
      </c>
      <c r="N412" s="289"/>
      <c r="O412" s="15"/>
      <c r="P412" s="15"/>
      <c r="Q412" s="16"/>
      <c r="R412" s="338" t="s">
        <v>281</v>
      </c>
      <c r="S412" s="279"/>
      <c r="T412" s="279"/>
      <c r="U412" s="279"/>
      <c r="V412" s="279"/>
      <c r="W412" s="279"/>
      <c r="X412" s="279"/>
      <c r="Y412" s="279"/>
      <c r="Z412" s="279"/>
      <c r="AA412" s="279"/>
      <c r="AB412" s="279"/>
      <c r="AC412" s="279"/>
      <c r="AD412" s="279"/>
      <c r="AE412" s="279"/>
      <c r="AF412" s="279"/>
      <c r="AG412" s="279"/>
      <c r="AH412" s="279"/>
      <c r="AI412" s="279"/>
      <c r="AJ412" s="279"/>
      <c r="AK412" s="279"/>
      <c r="AL412" s="279"/>
      <c r="AM412" s="279"/>
      <c r="AN412" s="279"/>
      <c r="AO412" s="279"/>
      <c r="AP412" s="279"/>
      <c r="AQ412" s="279"/>
      <c r="AR412" s="279"/>
      <c r="AS412" s="279"/>
      <c r="AT412" s="279"/>
      <c r="AU412" s="279"/>
      <c r="AV412" s="279"/>
      <c r="AW412" s="279"/>
      <c r="AX412" s="279"/>
      <c r="AY412" s="279"/>
      <c r="AZ412" s="279"/>
      <c r="BA412" s="279"/>
      <c r="BB412" s="279"/>
      <c r="BC412" s="279"/>
      <c r="BD412" s="279"/>
      <c r="BE412" s="279"/>
      <c r="BF412" s="279"/>
      <c r="BG412" s="279"/>
      <c r="BH412" s="279"/>
      <c r="BI412" s="279"/>
      <c r="BJ412" s="279"/>
      <c r="BK412" s="279"/>
      <c r="BL412" s="279"/>
      <c r="BM412" s="279"/>
      <c r="BN412" s="279"/>
      <c r="BO412" s="279"/>
      <c r="BP412" s="279"/>
      <c r="BQ412" s="279"/>
    </row>
    <row r="413" ht="12.75" hidden="1" customHeight="1">
      <c r="A413" s="269"/>
      <c r="B413" s="325" t="s">
        <v>701</v>
      </c>
      <c r="C413" s="326"/>
      <c r="D413" s="326"/>
      <c r="E413" s="326"/>
      <c r="F413" s="326"/>
      <c r="G413" s="326"/>
      <c r="H413" s="326"/>
      <c r="I413" s="326"/>
      <c r="J413" s="326"/>
      <c r="K413" s="326"/>
      <c r="L413" s="327"/>
      <c r="M413" s="290">
        <v>893.0</v>
      </c>
      <c r="N413" s="289"/>
      <c r="O413" s="15"/>
      <c r="P413" s="15"/>
      <c r="Q413" s="16"/>
      <c r="R413" s="338" t="s">
        <v>281</v>
      </c>
      <c r="S413" s="279"/>
      <c r="T413" s="279"/>
      <c r="U413" s="279"/>
      <c r="V413" s="279"/>
      <c r="W413" s="279"/>
      <c r="X413" s="279"/>
      <c r="Y413" s="279"/>
      <c r="Z413" s="279"/>
      <c r="AA413" s="279"/>
      <c r="AB413" s="279"/>
      <c r="AC413" s="279"/>
      <c r="AD413" s="279"/>
      <c r="AE413" s="279"/>
      <c r="AF413" s="279"/>
      <c r="AG413" s="279"/>
      <c r="AH413" s="279"/>
      <c r="AI413" s="279"/>
      <c r="AJ413" s="279"/>
      <c r="AK413" s="279"/>
      <c r="AL413" s="279"/>
      <c r="AM413" s="279"/>
      <c r="AN413" s="279"/>
      <c r="AO413" s="279"/>
      <c r="AP413" s="279"/>
      <c r="AQ413" s="279"/>
      <c r="AR413" s="279"/>
      <c r="AS413" s="279"/>
      <c r="AT413" s="279"/>
      <c r="AU413" s="279"/>
      <c r="AV413" s="279"/>
      <c r="AW413" s="279"/>
      <c r="AX413" s="279"/>
      <c r="AY413" s="279"/>
      <c r="AZ413" s="279"/>
      <c r="BA413" s="279"/>
      <c r="BB413" s="279"/>
      <c r="BC413" s="279"/>
      <c r="BD413" s="279"/>
      <c r="BE413" s="279"/>
      <c r="BF413" s="279"/>
      <c r="BG413" s="279"/>
      <c r="BH413" s="279"/>
      <c r="BI413" s="279"/>
      <c r="BJ413" s="279"/>
      <c r="BK413" s="279"/>
      <c r="BL413" s="279"/>
      <c r="BM413" s="279"/>
      <c r="BN413" s="279"/>
      <c r="BO413" s="279"/>
      <c r="BP413" s="279"/>
      <c r="BQ413" s="279"/>
    </row>
    <row r="414" ht="12.75" hidden="1" customHeight="1">
      <c r="A414" s="269"/>
      <c r="B414" s="325" t="s">
        <v>702</v>
      </c>
      <c r="C414" s="326"/>
      <c r="D414" s="326"/>
      <c r="E414" s="326"/>
      <c r="F414" s="326"/>
      <c r="G414" s="326"/>
      <c r="H414" s="326"/>
      <c r="I414" s="326"/>
      <c r="J414" s="326"/>
      <c r="K414" s="326"/>
      <c r="L414" s="327"/>
      <c r="M414" s="290">
        <v>894.0</v>
      </c>
      <c r="N414" s="289"/>
      <c r="O414" s="15"/>
      <c r="P414" s="15"/>
      <c r="Q414" s="16"/>
      <c r="R414" s="338" t="s">
        <v>312</v>
      </c>
      <c r="S414" s="279"/>
      <c r="T414" s="279"/>
      <c r="U414" s="279"/>
      <c r="V414" s="279"/>
      <c r="W414" s="279"/>
      <c r="X414" s="279"/>
      <c r="Y414" s="279"/>
      <c r="Z414" s="279"/>
      <c r="AA414" s="279"/>
      <c r="AB414" s="279"/>
      <c r="AC414" s="279"/>
      <c r="AD414" s="279"/>
      <c r="AE414" s="279"/>
      <c r="AF414" s="279"/>
      <c r="AG414" s="279"/>
      <c r="AH414" s="279"/>
      <c r="AI414" s="279"/>
      <c r="AJ414" s="279"/>
      <c r="AK414" s="279"/>
      <c r="AL414" s="279"/>
      <c r="AM414" s="279"/>
      <c r="AN414" s="279"/>
      <c r="AO414" s="279"/>
      <c r="AP414" s="279"/>
      <c r="AQ414" s="279"/>
      <c r="AR414" s="279"/>
      <c r="AS414" s="279"/>
      <c r="AT414" s="279"/>
      <c r="AU414" s="279"/>
      <c r="AV414" s="279"/>
      <c r="AW414" s="279"/>
      <c r="AX414" s="279"/>
      <c r="AY414" s="279"/>
      <c r="AZ414" s="279"/>
      <c r="BA414" s="279"/>
      <c r="BB414" s="279"/>
      <c r="BC414" s="279"/>
      <c r="BD414" s="279"/>
      <c r="BE414" s="279"/>
      <c r="BF414" s="279"/>
      <c r="BG414" s="279"/>
      <c r="BH414" s="279"/>
      <c r="BI414" s="279"/>
      <c r="BJ414" s="279"/>
      <c r="BK414" s="279"/>
      <c r="BL414" s="279"/>
      <c r="BM414" s="279"/>
      <c r="BN414" s="279"/>
      <c r="BO414" s="279"/>
      <c r="BP414" s="279"/>
      <c r="BQ414" s="279"/>
    </row>
    <row r="415" ht="12.75" hidden="1" customHeight="1">
      <c r="A415" s="269"/>
      <c r="B415" s="325" t="s">
        <v>703</v>
      </c>
      <c r="C415" s="326"/>
      <c r="D415" s="326"/>
      <c r="E415" s="326"/>
      <c r="F415" s="326"/>
      <c r="G415" s="326"/>
      <c r="H415" s="326"/>
      <c r="I415" s="326"/>
      <c r="J415" s="326"/>
      <c r="K415" s="326"/>
      <c r="L415" s="327"/>
      <c r="M415" s="290">
        <v>1694.0</v>
      </c>
      <c r="N415" s="289"/>
      <c r="O415" s="15"/>
      <c r="P415" s="15"/>
      <c r="Q415" s="16"/>
      <c r="R415" s="338" t="s">
        <v>281</v>
      </c>
      <c r="S415" s="279"/>
      <c r="T415" s="279"/>
      <c r="U415" s="279"/>
      <c r="V415" s="279"/>
      <c r="W415" s="279"/>
      <c r="X415" s="279"/>
      <c r="Y415" s="279"/>
      <c r="Z415" s="279"/>
      <c r="AA415" s="279"/>
      <c r="AB415" s="279"/>
      <c r="AC415" s="279"/>
      <c r="AD415" s="279"/>
      <c r="AE415" s="279"/>
      <c r="AF415" s="279"/>
      <c r="AG415" s="279"/>
      <c r="AH415" s="279"/>
      <c r="AI415" s="279"/>
      <c r="AJ415" s="279"/>
      <c r="AK415" s="279"/>
      <c r="AL415" s="279"/>
      <c r="AM415" s="279"/>
      <c r="AN415" s="279"/>
      <c r="AO415" s="279"/>
      <c r="AP415" s="279"/>
      <c r="AQ415" s="279"/>
      <c r="AR415" s="279"/>
      <c r="AS415" s="279"/>
      <c r="AT415" s="279"/>
      <c r="AU415" s="279"/>
      <c r="AV415" s="279"/>
      <c r="AW415" s="279"/>
      <c r="AX415" s="279"/>
      <c r="AY415" s="279"/>
      <c r="AZ415" s="279"/>
      <c r="BA415" s="279"/>
      <c r="BB415" s="279"/>
      <c r="BC415" s="279"/>
      <c r="BD415" s="279"/>
      <c r="BE415" s="279"/>
      <c r="BF415" s="279"/>
      <c r="BG415" s="279"/>
      <c r="BH415" s="279"/>
      <c r="BI415" s="279"/>
      <c r="BJ415" s="279"/>
      <c r="BK415" s="279"/>
      <c r="BL415" s="279"/>
      <c r="BM415" s="279"/>
      <c r="BN415" s="279"/>
      <c r="BO415" s="279"/>
      <c r="BP415" s="279"/>
      <c r="BQ415" s="279"/>
    </row>
    <row r="416" ht="12.75" hidden="1" customHeight="1">
      <c r="A416" s="269"/>
      <c r="B416" s="325" t="s">
        <v>685</v>
      </c>
      <c r="C416" s="326"/>
      <c r="D416" s="326"/>
      <c r="E416" s="326"/>
      <c r="F416" s="326"/>
      <c r="G416" s="326"/>
      <c r="H416" s="326"/>
      <c r="I416" s="326"/>
      <c r="J416" s="326"/>
      <c r="K416" s="326"/>
      <c r="L416" s="327"/>
      <c r="M416" s="290">
        <v>1695.0</v>
      </c>
      <c r="N416" s="289"/>
      <c r="O416" s="15"/>
      <c r="P416" s="15"/>
      <c r="Q416" s="16"/>
      <c r="R416" s="338" t="s">
        <v>312</v>
      </c>
      <c r="S416" s="279"/>
      <c r="T416" s="279"/>
      <c r="U416" s="279"/>
      <c r="V416" s="279"/>
      <c r="W416" s="279"/>
      <c r="X416" s="279"/>
      <c r="Y416" s="279"/>
      <c r="Z416" s="279"/>
      <c r="AA416" s="279"/>
      <c r="AB416" s="279"/>
      <c r="AC416" s="279"/>
      <c r="AD416" s="279"/>
      <c r="AE416" s="279"/>
      <c r="AF416" s="279"/>
      <c r="AG416" s="279"/>
      <c r="AH416" s="279"/>
      <c r="AI416" s="279"/>
      <c r="AJ416" s="279"/>
      <c r="AK416" s="279"/>
      <c r="AL416" s="279"/>
      <c r="AM416" s="279"/>
      <c r="AN416" s="279"/>
      <c r="AO416" s="279"/>
      <c r="AP416" s="279"/>
      <c r="AQ416" s="279"/>
      <c r="AR416" s="279"/>
      <c r="AS416" s="279"/>
      <c r="AT416" s="279"/>
      <c r="AU416" s="279"/>
      <c r="AV416" s="279"/>
      <c r="AW416" s="279"/>
      <c r="AX416" s="279"/>
      <c r="AY416" s="279"/>
      <c r="AZ416" s="279"/>
      <c r="BA416" s="279"/>
      <c r="BB416" s="279"/>
      <c r="BC416" s="279"/>
      <c r="BD416" s="279"/>
      <c r="BE416" s="279"/>
      <c r="BF416" s="279"/>
      <c r="BG416" s="279"/>
      <c r="BH416" s="279"/>
      <c r="BI416" s="279"/>
      <c r="BJ416" s="279"/>
      <c r="BK416" s="279"/>
      <c r="BL416" s="279"/>
      <c r="BM416" s="279"/>
      <c r="BN416" s="279"/>
      <c r="BO416" s="279"/>
      <c r="BP416" s="279"/>
      <c r="BQ416" s="279"/>
    </row>
    <row r="417" ht="12.75" hidden="1" customHeight="1">
      <c r="A417" s="269"/>
      <c r="B417" s="325" t="s">
        <v>677</v>
      </c>
      <c r="C417" s="326"/>
      <c r="D417" s="326"/>
      <c r="E417" s="326"/>
      <c r="F417" s="326"/>
      <c r="G417" s="326"/>
      <c r="H417" s="326"/>
      <c r="I417" s="326"/>
      <c r="J417" s="326"/>
      <c r="K417" s="326"/>
      <c r="L417" s="327"/>
      <c r="M417" s="290">
        <v>1696.0</v>
      </c>
      <c r="N417" s="289"/>
      <c r="O417" s="15"/>
      <c r="P417" s="15"/>
      <c r="Q417" s="16"/>
      <c r="R417" s="338" t="s">
        <v>281</v>
      </c>
      <c r="S417" s="279"/>
      <c r="T417" s="279"/>
      <c r="U417" s="279"/>
      <c r="V417" s="279"/>
      <c r="W417" s="279"/>
      <c r="X417" s="279"/>
      <c r="Y417" s="279"/>
      <c r="Z417" s="279"/>
      <c r="AA417" s="279"/>
      <c r="AB417" s="279"/>
      <c r="AC417" s="279"/>
      <c r="AD417" s="279"/>
      <c r="AE417" s="279"/>
      <c r="AF417" s="279"/>
      <c r="AG417" s="279"/>
      <c r="AH417" s="279"/>
      <c r="AI417" s="279"/>
      <c r="AJ417" s="279"/>
      <c r="AK417" s="279"/>
      <c r="AL417" s="279"/>
      <c r="AM417" s="279"/>
      <c r="AN417" s="279"/>
      <c r="AO417" s="279"/>
      <c r="AP417" s="279"/>
      <c r="AQ417" s="279"/>
      <c r="AR417" s="279"/>
      <c r="AS417" s="279"/>
      <c r="AT417" s="279"/>
      <c r="AU417" s="279"/>
      <c r="AV417" s="279"/>
      <c r="AW417" s="279"/>
      <c r="AX417" s="279"/>
      <c r="AY417" s="279"/>
      <c r="AZ417" s="279"/>
      <c r="BA417" s="279"/>
      <c r="BB417" s="279"/>
      <c r="BC417" s="279"/>
      <c r="BD417" s="279"/>
      <c r="BE417" s="279"/>
      <c r="BF417" s="279"/>
      <c r="BG417" s="279"/>
      <c r="BH417" s="279"/>
      <c r="BI417" s="279"/>
      <c r="BJ417" s="279"/>
      <c r="BK417" s="279"/>
      <c r="BL417" s="279"/>
      <c r="BM417" s="279"/>
      <c r="BN417" s="279"/>
      <c r="BO417" s="279"/>
      <c r="BP417" s="279"/>
      <c r="BQ417" s="279"/>
    </row>
    <row r="418" ht="12.75" hidden="1" customHeight="1">
      <c r="A418" s="269"/>
      <c r="B418" s="325" t="s">
        <v>704</v>
      </c>
      <c r="C418" s="326"/>
      <c r="D418" s="326"/>
      <c r="E418" s="326"/>
      <c r="F418" s="326"/>
      <c r="G418" s="326"/>
      <c r="H418" s="326"/>
      <c r="I418" s="326"/>
      <c r="J418" s="326"/>
      <c r="K418" s="326"/>
      <c r="L418" s="327"/>
      <c r="M418" s="290">
        <v>1178.0</v>
      </c>
      <c r="N418" s="289"/>
      <c r="O418" s="15"/>
      <c r="P418" s="15"/>
      <c r="Q418" s="16"/>
      <c r="R418" s="338" t="s">
        <v>281</v>
      </c>
      <c r="S418" s="279"/>
      <c r="T418" s="279"/>
      <c r="U418" s="279"/>
      <c r="V418" s="279"/>
      <c r="W418" s="279"/>
      <c r="X418" s="279"/>
      <c r="Y418" s="279"/>
      <c r="Z418" s="279"/>
      <c r="AA418" s="279"/>
      <c r="AB418" s="279"/>
      <c r="AC418" s="279"/>
      <c r="AD418" s="279"/>
      <c r="AE418" s="279"/>
      <c r="AF418" s="279"/>
      <c r="AG418" s="279"/>
      <c r="AH418" s="279"/>
      <c r="AI418" s="279"/>
      <c r="AJ418" s="279"/>
      <c r="AK418" s="279"/>
      <c r="AL418" s="279"/>
      <c r="AM418" s="279"/>
      <c r="AN418" s="279"/>
      <c r="AO418" s="279"/>
      <c r="AP418" s="279"/>
      <c r="AQ418" s="279"/>
      <c r="AR418" s="279"/>
      <c r="AS418" s="279"/>
      <c r="AT418" s="279"/>
      <c r="AU418" s="279"/>
      <c r="AV418" s="279"/>
      <c r="AW418" s="279"/>
      <c r="AX418" s="279"/>
      <c r="AY418" s="279"/>
      <c r="AZ418" s="279"/>
      <c r="BA418" s="279"/>
      <c r="BB418" s="279"/>
      <c r="BC418" s="279"/>
      <c r="BD418" s="279"/>
      <c r="BE418" s="279"/>
      <c r="BF418" s="279"/>
      <c r="BG418" s="279"/>
      <c r="BH418" s="279"/>
      <c r="BI418" s="279"/>
      <c r="BJ418" s="279"/>
      <c r="BK418" s="279"/>
      <c r="BL418" s="279"/>
      <c r="BM418" s="279"/>
      <c r="BN418" s="279"/>
      <c r="BO418" s="279"/>
      <c r="BP418" s="279"/>
      <c r="BQ418" s="279"/>
    </row>
    <row r="419" ht="12.75" hidden="1" customHeight="1">
      <c r="A419" s="269"/>
      <c r="B419" s="325" t="s">
        <v>705</v>
      </c>
      <c r="C419" s="326"/>
      <c r="D419" s="326"/>
      <c r="E419" s="326"/>
      <c r="F419" s="326"/>
      <c r="G419" s="326"/>
      <c r="H419" s="326"/>
      <c r="I419" s="326"/>
      <c r="J419" s="326"/>
      <c r="K419" s="326"/>
      <c r="L419" s="327"/>
      <c r="M419" s="290">
        <v>1179.0</v>
      </c>
      <c r="N419" s="289"/>
      <c r="O419" s="15"/>
      <c r="P419" s="15"/>
      <c r="Q419" s="16"/>
      <c r="R419" s="338" t="s">
        <v>312</v>
      </c>
      <c r="S419" s="279"/>
      <c r="T419" s="279"/>
      <c r="U419" s="279"/>
      <c r="V419" s="279"/>
      <c r="W419" s="279"/>
      <c r="X419" s="279"/>
      <c r="Y419" s="279"/>
      <c r="Z419" s="279"/>
      <c r="AA419" s="279"/>
      <c r="AB419" s="279"/>
      <c r="AC419" s="279"/>
      <c r="AD419" s="279"/>
      <c r="AE419" s="279"/>
      <c r="AF419" s="279"/>
      <c r="AG419" s="279"/>
      <c r="AH419" s="279"/>
      <c r="AI419" s="279"/>
      <c r="AJ419" s="279"/>
      <c r="AK419" s="279"/>
      <c r="AL419" s="279"/>
      <c r="AM419" s="279"/>
      <c r="AN419" s="279"/>
      <c r="AO419" s="279"/>
      <c r="AP419" s="279"/>
      <c r="AQ419" s="279"/>
      <c r="AR419" s="279"/>
      <c r="AS419" s="279"/>
      <c r="AT419" s="279"/>
      <c r="AU419" s="279"/>
      <c r="AV419" s="279"/>
      <c r="AW419" s="279"/>
      <c r="AX419" s="279"/>
      <c r="AY419" s="279"/>
      <c r="AZ419" s="279"/>
      <c r="BA419" s="279"/>
      <c r="BB419" s="279"/>
      <c r="BC419" s="279"/>
      <c r="BD419" s="279"/>
      <c r="BE419" s="279"/>
      <c r="BF419" s="279"/>
      <c r="BG419" s="279"/>
      <c r="BH419" s="279"/>
      <c r="BI419" s="279"/>
      <c r="BJ419" s="279"/>
      <c r="BK419" s="279"/>
      <c r="BL419" s="279"/>
      <c r="BM419" s="279"/>
      <c r="BN419" s="279"/>
      <c r="BO419" s="279"/>
      <c r="BP419" s="279"/>
      <c r="BQ419" s="279"/>
    </row>
    <row r="420" ht="12.75" hidden="1" customHeight="1">
      <c r="A420" s="269"/>
      <c r="B420" s="325" t="s">
        <v>706</v>
      </c>
      <c r="C420" s="326"/>
      <c r="D420" s="326"/>
      <c r="E420" s="326"/>
      <c r="F420" s="326"/>
      <c r="G420" s="326"/>
      <c r="H420" s="326"/>
      <c r="I420" s="326"/>
      <c r="J420" s="326"/>
      <c r="K420" s="326"/>
      <c r="L420" s="327"/>
      <c r="M420" s="290">
        <v>1180.0</v>
      </c>
      <c r="N420" s="289"/>
      <c r="O420" s="15"/>
      <c r="P420" s="15"/>
      <c r="Q420" s="16"/>
      <c r="R420" s="338" t="s">
        <v>281</v>
      </c>
      <c r="S420" s="279"/>
      <c r="T420" s="279"/>
      <c r="U420" s="279"/>
      <c r="V420" s="279"/>
      <c r="W420" s="279"/>
      <c r="X420" s="279"/>
      <c r="Y420" s="279"/>
      <c r="Z420" s="279"/>
      <c r="AA420" s="279"/>
      <c r="AB420" s="279"/>
      <c r="AC420" s="279"/>
      <c r="AD420" s="279"/>
      <c r="AE420" s="279"/>
      <c r="AF420" s="279"/>
      <c r="AG420" s="279"/>
      <c r="AH420" s="279"/>
      <c r="AI420" s="279"/>
      <c r="AJ420" s="279"/>
      <c r="AK420" s="279"/>
      <c r="AL420" s="279"/>
      <c r="AM420" s="279"/>
      <c r="AN420" s="279"/>
      <c r="AO420" s="279"/>
      <c r="AP420" s="279"/>
      <c r="AQ420" s="279"/>
      <c r="AR420" s="279"/>
      <c r="AS420" s="279"/>
      <c r="AT420" s="279"/>
      <c r="AU420" s="279"/>
      <c r="AV420" s="279"/>
      <c r="AW420" s="279"/>
      <c r="AX420" s="279"/>
      <c r="AY420" s="279"/>
      <c r="AZ420" s="279"/>
      <c r="BA420" s="279"/>
      <c r="BB420" s="279"/>
      <c r="BC420" s="279"/>
      <c r="BD420" s="279"/>
      <c r="BE420" s="279"/>
      <c r="BF420" s="279"/>
      <c r="BG420" s="279"/>
      <c r="BH420" s="279"/>
      <c r="BI420" s="279"/>
      <c r="BJ420" s="279"/>
      <c r="BK420" s="279"/>
      <c r="BL420" s="279"/>
      <c r="BM420" s="279"/>
      <c r="BN420" s="279"/>
      <c r="BO420" s="279"/>
      <c r="BP420" s="279"/>
      <c r="BQ420" s="279"/>
    </row>
    <row r="421" ht="12.75" hidden="1" customHeight="1">
      <c r="A421" s="269"/>
      <c r="B421" s="325" t="s">
        <v>707</v>
      </c>
      <c r="C421" s="326"/>
      <c r="D421" s="326"/>
      <c r="E421" s="326"/>
      <c r="F421" s="326"/>
      <c r="G421" s="326"/>
      <c r="H421" s="326"/>
      <c r="I421" s="326"/>
      <c r="J421" s="326"/>
      <c r="K421" s="326"/>
      <c r="L421" s="327"/>
      <c r="M421" s="290">
        <v>1181.0</v>
      </c>
      <c r="N421" s="289"/>
      <c r="O421" s="15"/>
      <c r="P421" s="15"/>
      <c r="Q421" s="16"/>
      <c r="R421" s="338" t="s">
        <v>312</v>
      </c>
      <c r="S421" s="279"/>
      <c r="T421" s="279"/>
      <c r="U421" s="279"/>
      <c r="V421" s="279"/>
      <c r="W421" s="279"/>
      <c r="X421" s="279"/>
      <c r="Y421" s="279"/>
      <c r="Z421" s="279"/>
      <c r="AA421" s="279"/>
      <c r="AB421" s="279"/>
      <c r="AC421" s="279"/>
      <c r="AD421" s="279"/>
      <c r="AE421" s="279"/>
      <c r="AF421" s="279"/>
      <c r="AG421" s="279"/>
      <c r="AH421" s="279"/>
      <c r="AI421" s="279"/>
      <c r="AJ421" s="279"/>
      <c r="AK421" s="279"/>
      <c r="AL421" s="279"/>
      <c r="AM421" s="279"/>
      <c r="AN421" s="279"/>
      <c r="AO421" s="279"/>
      <c r="AP421" s="279"/>
      <c r="AQ421" s="279"/>
      <c r="AR421" s="279"/>
      <c r="AS421" s="279"/>
      <c r="AT421" s="279"/>
      <c r="AU421" s="279"/>
      <c r="AV421" s="279"/>
      <c r="AW421" s="279"/>
      <c r="AX421" s="279"/>
      <c r="AY421" s="279"/>
      <c r="AZ421" s="279"/>
      <c r="BA421" s="279"/>
      <c r="BB421" s="279"/>
      <c r="BC421" s="279"/>
      <c r="BD421" s="279"/>
      <c r="BE421" s="279"/>
      <c r="BF421" s="279"/>
      <c r="BG421" s="279"/>
      <c r="BH421" s="279"/>
      <c r="BI421" s="279"/>
      <c r="BJ421" s="279"/>
      <c r="BK421" s="279"/>
      <c r="BL421" s="279"/>
      <c r="BM421" s="279"/>
      <c r="BN421" s="279"/>
      <c r="BO421" s="279"/>
      <c r="BP421" s="279"/>
      <c r="BQ421" s="279"/>
    </row>
    <row r="422" ht="12.75" hidden="1" customHeight="1">
      <c r="A422" s="269"/>
      <c r="B422" s="325" t="s">
        <v>690</v>
      </c>
      <c r="C422" s="326"/>
      <c r="D422" s="326"/>
      <c r="E422" s="326"/>
      <c r="F422" s="326"/>
      <c r="G422" s="326"/>
      <c r="H422" s="326"/>
      <c r="I422" s="326"/>
      <c r="J422" s="326"/>
      <c r="K422" s="326"/>
      <c r="L422" s="327"/>
      <c r="M422" s="290">
        <v>1182.0</v>
      </c>
      <c r="N422" s="289"/>
      <c r="O422" s="15"/>
      <c r="P422" s="15"/>
      <c r="Q422" s="16"/>
      <c r="R422" s="338" t="s">
        <v>312</v>
      </c>
      <c r="S422" s="279"/>
      <c r="T422" s="279"/>
      <c r="U422" s="279"/>
      <c r="V422" s="279"/>
      <c r="W422" s="279"/>
      <c r="X422" s="279"/>
      <c r="Y422" s="279"/>
      <c r="Z422" s="279"/>
      <c r="AA422" s="279"/>
      <c r="AB422" s="279"/>
      <c r="AC422" s="279"/>
      <c r="AD422" s="279"/>
      <c r="AE422" s="279"/>
      <c r="AF422" s="279"/>
      <c r="AG422" s="279"/>
      <c r="AH422" s="279"/>
      <c r="AI422" s="279"/>
      <c r="AJ422" s="279"/>
      <c r="AK422" s="279"/>
      <c r="AL422" s="279"/>
      <c r="AM422" s="279"/>
      <c r="AN422" s="279"/>
      <c r="AO422" s="279"/>
      <c r="AP422" s="279"/>
      <c r="AQ422" s="279"/>
      <c r="AR422" s="279"/>
      <c r="AS422" s="279"/>
      <c r="AT422" s="279"/>
      <c r="AU422" s="279"/>
      <c r="AV422" s="279"/>
      <c r="AW422" s="279"/>
      <c r="AX422" s="279"/>
      <c r="AY422" s="279"/>
      <c r="AZ422" s="279"/>
      <c r="BA422" s="279"/>
      <c r="BB422" s="279"/>
      <c r="BC422" s="279"/>
      <c r="BD422" s="279"/>
      <c r="BE422" s="279"/>
      <c r="BF422" s="279"/>
      <c r="BG422" s="279"/>
      <c r="BH422" s="279"/>
      <c r="BI422" s="279"/>
      <c r="BJ422" s="279"/>
      <c r="BK422" s="279"/>
      <c r="BL422" s="279"/>
      <c r="BM422" s="279"/>
      <c r="BN422" s="279"/>
      <c r="BO422" s="279"/>
      <c r="BP422" s="279"/>
      <c r="BQ422" s="279"/>
    </row>
    <row r="423" ht="12.75" hidden="1" customHeight="1">
      <c r="A423" s="269"/>
      <c r="B423" s="325" t="s">
        <v>654</v>
      </c>
      <c r="C423" s="326"/>
      <c r="D423" s="326"/>
      <c r="E423" s="326"/>
      <c r="F423" s="326"/>
      <c r="G423" s="326"/>
      <c r="H423" s="326"/>
      <c r="I423" s="326"/>
      <c r="J423" s="326"/>
      <c r="K423" s="326"/>
      <c r="L423" s="327"/>
      <c r="M423" s="290">
        <v>1697.0</v>
      </c>
      <c r="N423" s="289"/>
      <c r="O423" s="15"/>
      <c r="P423" s="15"/>
      <c r="Q423" s="16"/>
      <c r="R423" s="338" t="s">
        <v>312</v>
      </c>
      <c r="S423" s="279"/>
      <c r="T423" s="279"/>
      <c r="U423" s="279"/>
      <c r="V423" s="279"/>
      <c r="W423" s="279"/>
      <c r="X423" s="279"/>
      <c r="Y423" s="279"/>
      <c r="Z423" s="279"/>
      <c r="AA423" s="279"/>
      <c r="AB423" s="279"/>
      <c r="AC423" s="279"/>
      <c r="AD423" s="279"/>
      <c r="AE423" s="279"/>
      <c r="AF423" s="279"/>
      <c r="AG423" s="279"/>
      <c r="AH423" s="279"/>
      <c r="AI423" s="279"/>
      <c r="AJ423" s="279"/>
      <c r="AK423" s="279"/>
      <c r="AL423" s="279"/>
      <c r="AM423" s="279"/>
      <c r="AN423" s="279"/>
      <c r="AO423" s="279"/>
      <c r="AP423" s="279"/>
      <c r="AQ423" s="279"/>
      <c r="AR423" s="279"/>
      <c r="AS423" s="279"/>
      <c r="AT423" s="279"/>
      <c r="AU423" s="279"/>
      <c r="AV423" s="279"/>
      <c r="AW423" s="279"/>
      <c r="AX423" s="279"/>
      <c r="AY423" s="279"/>
      <c r="AZ423" s="279"/>
      <c r="BA423" s="279"/>
      <c r="BB423" s="279"/>
      <c r="BC423" s="279"/>
      <c r="BD423" s="279"/>
      <c r="BE423" s="279"/>
      <c r="BF423" s="279"/>
      <c r="BG423" s="279"/>
      <c r="BH423" s="279"/>
      <c r="BI423" s="279"/>
      <c r="BJ423" s="279"/>
      <c r="BK423" s="279"/>
      <c r="BL423" s="279"/>
      <c r="BM423" s="279"/>
      <c r="BN423" s="279"/>
      <c r="BO423" s="279"/>
      <c r="BP423" s="279"/>
      <c r="BQ423" s="279"/>
    </row>
    <row r="424" ht="12.75" hidden="1" customHeight="1">
      <c r="A424" s="269"/>
      <c r="B424" s="325" t="s">
        <v>708</v>
      </c>
      <c r="C424" s="326"/>
      <c r="D424" s="326"/>
      <c r="E424" s="326"/>
      <c r="F424" s="326"/>
      <c r="G424" s="326"/>
      <c r="H424" s="326"/>
      <c r="I424" s="326"/>
      <c r="J424" s="326"/>
      <c r="K424" s="326"/>
      <c r="L424" s="327"/>
      <c r="M424" s="290">
        <v>1186.0</v>
      </c>
      <c r="N424" s="289"/>
      <c r="O424" s="15"/>
      <c r="P424" s="15"/>
      <c r="Q424" s="16"/>
      <c r="R424" s="338" t="s">
        <v>281</v>
      </c>
      <c r="S424" s="279"/>
      <c r="T424" s="279"/>
      <c r="U424" s="279"/>
      <c r="V424" s="279"/>
      <c r="W424" s="279"/>
      <c r="X424" s="279"/>
      <c r="Y424" s="279"/>
      <c r="Z424" s="279"/>
      <c r="AA424" s="279"/>
      <c r="AB424" s="279"/>
      <c r="AC424" s="279"/>
      <c r="AD424" s="279"/>
      <c r="AE424" s="279"/>
      <c r="AF424" s="279"/>
      <c r="AG424" s="279"/>
      <c r="AH424" s="279"/>
      <c r="AI424" s="279"/>
      <c r="AJ424" s="279"/>
      <c r="AK424" s="279"/>
      <c r="AL424" s="279"/>
      <c r="AM424" s="279"/>
      <c r="AN424" s="279"/>
      <c r="AO424" s="279"/>
      <c r="AP424" s="279"/>
      <c r="AQ424" s="279"/>
      <c r="AR424" s="279"/>
      <c r="AS424" s="279"/>
      <c r="AT424" s="279"/>
      <c r="AU424" s="279"/>
      <c r="AV424" s="279"/>
      <c r="AW424" s="279"/>
      <c r="AX424" s="279"/>
      <c r="AY424" s="279"/>
      <c r="AZ424" s="279"/>
      <c r="BA424" s="279"/>
      <c r="BB424" s="279"/>
      <c r="BC424" s="279"/>
      <c r="BD424" s="279"/>
      <c r="BE424" s="279"/>
      <c r="BF424" s="279"/>
      <c r="BG424" s="279"/>
      <c r="BH424" s="279"/>
      <c r="BI424" s="279"/>
      <c r="BJ424" s="279"/>
      <c r="BK424" s="279"/>
      <c r="BL424" s="279"/>
      <c r="BM424" s="279"/>
      <c r="BN424" s="279"/>
      <c r="BO424" s="279"/>
      <c r="BP424" s="279"/>
      <c r="BQ424" s="279"/>
    </row>
    <row r="425" ht="12.75" hidden="1" customHeight="1">
      <c r="A425" s="269"/>
      <c r="B425" s="325" t="s">
        <v>709</v>
      </c>
      <c r="C425" s="326"/>
      <c r="D425" s="326"/>
      <c r="E425" s="326"/>
      <c r="F425" s="326"/>
      <c r="G425" s="326"/>
      <c r="H425" s="326"/>
      <c r="I425" s="326"/>
      <c r="J425" s="326"/>
      <c r="K425" s="326"/>
      <c r="L425" s="327"/>
      <c r="M425" s="290">
        <v>1187.0</v>
      </c>
      <c r="N425" s="289"/>
      <c r="O425" s="15"/>
      <c r="P425" s="15"/>
      <c r="Q425" s="16"/>
      <c r="R425" s="338" t="s">
        <v>312</v>
      </c>
      <c r="S425" s="279"/>
      <c r="T425" s="279"/>
      <c r="U425" s="279"/>
      <c r="V425" s="279"/>
      <c r="W425" s="279"/>
      <c r="X425" s="279"/>
      <c r="Y425" s="279"/>
      <c r="Z425" s="279"/>
      <c r="AA425" s="279"/>
      <c r="AB425" s="279"/>
      <c r="AC425" s="279"/>
      <c r="AD425" s="279"/>
      <c r="AE425" s="279"/>
      <c r="AF425" s="279"/>
      <c r="AG425" s="279"/>
      <c r="AH425" s="279"/>
      <c r="AI425" s="279"/>
      <c r="AJ425" s="279"/>
      <c r="AK425" s="279"/>
      <c r="AL425" s="279"/>
      <c r="AM425" s="279"/>
      <c r="AN425" s="279"/>
      <c r="AO425" s="279"/>
      <c r="AP425" s="279"/>
      <c r="AQ425" s="279"/>
      <c r="AR425" s="279"/>
      <c r="AS425" s="279"/>
      <c r="AT425" s="279"/>
      <c r="AU425" s="279"/>
      <c r="AV425" s="279"/>
      <c r="AW425" s="279"/>
      <c r="AX425" s="279"/>
      <c r="AY425" s="279"/>
      <c r="AZ425" s="279"/>
      <c r="BA425" s="279"/>
      <c r="BB425" s="279"/>
      <c r="BC425" s="279"/>
      <c r="BD425" s="279"/>
      <c r="BE425" s="279"/>
      <c r="BF425" s="279"/>
      <c r="BG425" s="279"/>
      <c r="BH425" s="279"/>
      <c r="BI425" s="279"/>
      <c r="BJ425" s="279"/>
      <c r="BK425" s="279"/>
      <c r="BL425" s="279"/>
      <c r="BM425" s="279"/>
      <c r="BN425" s="279"/>
      <c r="BO425" s="279"/>
      <c r="BP425" s="279"/>
      <c r="BQ425" s="279"/>
    </row>
    <row r="426" ht="12.75" hidden="1" customHeight="1">
      <c r="A426" s="269"/>
      <c r="B426" s="325" t="s">
        <v>659</v>
      </c>
      <c r="C426" s="326"/>
      <c r="D426" s="326"/>
      <c r="E426" s="326"/>
      <c r="F426" s="326"/>
      <c r="G426" s="326"/>
      <c r="H426" s="326"/>
      <c r="I426" s="326"/>
      <c r="J426" s="326"/>
      <c r="K426" s="326"/>
      <c r="L426" s="327"/>
      <c r="M426" s="290">
        <v>1700.0</v>
      </c>
      <c r="N426" s="289"/>
      <c r="O426" s="15"/>
      <c r="P426" s="15"/>
      <c r="Q426" s="16"/>
      <c r="R426" s="338" t="s">
        <v>312</v>
      </c>
      <c r="S426" s="279"/>
      <c r="T426" s="279"/>
      <c r="U426" s="279"/>
      <c r="V426" s="279"/>
      <c r="W426" s="279"/>
      <c r="X426" s="279"/>
      <c r="Y426" s="279"/>
      <c r="Z426" s="279"/>
      <c r="AA426" s="279"/>
      <c r="AB426" s="279"/>
      <c r="AC426" s="279"/>
      <c r="AD426" s="279"/>
      <c r="AE426" s="279"/>
      <c r="AF426" s="279"/>
      <c r="AG426" s="279"/>
      <c r="AH426" s="279"/>
      <c r="AI426" s="279"/>
      <c r="AJ426" s="279"/>
      <c r="AK426" s="279"/>
      <c r="AL426" s="279"/>
      <c r="AM426" s="279"/>
      <c r="AN426" s="279"/>
      <c r="AO426" s="279"/>
      <c r="AP426" s="279"/>
      <c r="AQ426" s="279"/>
      <c r="AR426" s="279"/>
      <c r="AS426" s="279"/>
      <c r="AT426" s="279"/>
      <c r="AU426" s="279"/>
      <c r="AV426" s="279"/>
      <c r="AW426" s="279"/>
      <c r="AX426" s="279"/>
      <c r="AY426" s="279"/>
      <c r="AZ426" s="279"/>
      <c r="BA426" s="279"/>
      <c r="BB426" s="279"/>
      <c r="BC426" s="279"/>
      <c r="BD426" s="279"/>
      <c r="BE426" s="279"/>
      <c r="BF426" s="279"/>
      <c r="BG426" s="279"/>
      <c r="BH426" s="279"/>
      <c r="BI426" s="279"/>
      <c r="BJ426" s="279"/>
      <c r="BK426" s="279"/>
      <c r="BL426" s="279"/>
      <c r="BM426" s="279"/>
      <c r="BN426" s="279"/>
      <c r="BO426" s="279"/>
      <c r="BP426" s="279"/>
      <c r="BQ426" s="279"/>
    </row>
    <row r="427" ht="12.75" hidden="1" customHeight="1">
      <c r="A427" s="269"/>
      <c r="B427" s="325" t="s">
        <v>710</v>
      </c>
      <c r="C427" s="326"/>
      <c r="D427" s="326"/>
      <c r="E427" s="326"/>
      <c r="F427" s="326"/>
      <c r="G427" s="326"/>
      <c r="H427" s="326"/>
      <c r="I427" s="326"/>
      <c r="J427" s="326"/>
      <c r="K427" s="326"/>
      <c r="L427" s="327"/>
      <c r="M427" s="290">
        <v>1188.0</v>
      </c>
      <c r="N427" s="289"/>
      <c r="O427" s="15"/>
      <c r="P427" s="15"/>
      <c r="Q427" s="16"/>
      <c r="R427" s="338" t="s">
        <v>312</v>
      </c>
      <c r="S427" s="279"/>
      <c r="T427" s="279"/>
      <c r="U427" s="279"/>
      <c r="V427" s="279"/>
      <c r="W427" s="279"/>
      <c r="X427" s="279"/>
      <c r="Y427" s="279"/>
      <c r="Z427" s="279"/>
      <c r="AA427" s="279"/>
      <c r="AB427" s="279"/>
      <c r="AC427" s="279"/>
      <c r="AD427" s="279"/>
      <c r="AE427" s="279"/>
      <c r="AF427" s="279"/>
      <c r="AG427" s="279"/>
      <c r="AH427" s="279"/>
      <c r="AI427" s="279"/>
      <c r="AJ427" s="279"/>
      <c r="AK427" s="279"/>
      <c r="AL427" s="279"/>
      <c r="AM427" s="279"/>
      <c r="AN427" s="279"/>
      <c r="AO427" s="279"/>
      <c r="AP427" s="279"/>
      <c r="AQ427" s="279"/>
      <c r="AR427" s="279"/>
      <c r="AS427" s="279"/>
      <c r="AT427" s="279"/>
      <c r="AU427" s="279"/>
      <c r="AV427" s="279"/>
      <c r="AW427" s="279"/>
      <c r="AX427" s="279"/>
      <c r="AY427" s="279"/>
      <c r="AZ427" s="279"/>
      <c r="BA427" s="279"/>
      <c r="BB427" s="279"/>
      <c r="BC427" s="279"/>
      <c r="BD427" s="279"/>
      <c r="BE427" s="279"/>
      <c r="BF427" s="279"/>
      <c r="BG427" s="279"/>
      <c r="BH427" s="279"/>
      <c r="BI427" s="279"/>
      <c r="BJ427" s="279"/>
      <c r="BK427" s="279"/>
      <c r="BL427" s="279"/>
      <c r="BM427" s="279"/>
      <c r="BN427" s="279"/>
      <c r="BO427" s="279"/>
      <c r="BP427" s="279"/>
      <c r="BQ427" s="279"/>
    </row>
    <row r="428" ht="12.75" hidden="1" customHeight="1">
      <c r="A428" s="269"/>
      <c r="B428" s="325" t="s">
        <v>679</v>
      </c>
      <c r="C428" s="326"/>
      <c r="D428" s="326"/>
      <c r="E428" s="326"/>
      <c r="F428" s="326"/>
      <c r="G428" s="326"/>
      <c r="H428" s="326"/>
      <c r="I428" s="326"/>
      <c r="J428" s="326"/>
      <c r="K428" s="326"/>
      <c r="L428" s="327"/>
      <c r="M428" s="290">
        <v>1701.0</v>
      </c>
      <c r="N428" s="289"/>
      <c r="O428" s="15"/>
      <c r="P428" s="15"/>
      <c r="Q428" s="16"/>
      <c r="R428" s="338" t="s">
        <v>281</v>
      </c>
      <c r="S428" s="279"/>
      <c r="T428" s="279"/>
      <c r="U428" s="279"/>
      <c r="V428" s="279"/>
      <c r="W428" s="279"/>
      <c r="X428" s="279"/>
      <c r="Y428" s="279"/>
      <c r="Z428" s="279"/>
      <c r="AA428" s="279"/>
      <c r="AB428" s="279"/>
      <c r="AC428" s="279"/>
      <c r="AD428" s="279"/>
      <c r="AE428" s="279"/>
      <c r="AF428" s="279"/>
      <c r="AG428" s="279"/>
      <c r="AH428" s="279"/>
      <c r="AI428" s="279"/>
      <c r="AJ428" s="279"/>
      <c r="AK428" s="279"/>
      <c r="AL428" s="279"/>
      <c r="AM428" s="279"/>
      <c r="AN428" s="279"/>
      <c r="AO428" s="279"/>
      <c r="AP428" s="279"/>
      <c r="AQ428" s="279"/>
      <c r="AR428" s="279"/>
      <c r="AS428" s="279"/>
      <c r="AT428" s="279"/>
      <c r="AU428" s="279"/>
      <c r="AV428" s="279"/>
      <c r="AW428" s="279"/>
      <c r="AX428" s="279"/>
      <c r="AY428" s="279"/>
      <c r="AZ428" s="279"/>
      <c r="BA428" s="279"/>
      <c r="BB428" s="279"/>
      <c r="BC428" s="279"/>
      <c r="BD428" s="279"/>
      <c r="BE428" s="279"/>
      <c r="BF428" s="279"/>
      <c r="BG428" s="279"/>
      <c r="BH428" s="279"/>
      <c r="BI428" s="279"/>
      <c r="BJ428" s="279"/>
      <c r="BK428" s="279"/>
      <c r="BL428" s="279"/>
      <c r="BM428" s="279"/>
      <c r="BN428" s="279"/>
      <c r="BO428" s="279"/>
      <c r="BP428" s="279"/>
      <c r="BQ428" s="279"/>
    </row>
    <row r="429" ht="12.75" hidden="1" customHeight="1">
      <c r="A429" s="269"/>
      <c r="B429" s="325" t="s">
        <v>711</v>
      </c>
      <c r="C429" s="326"/>
      <c r="D429" s="326"/>
      <c r="E429" s="326"/>
      <c r="F429" s="326"/>
      <c r="G429" s="326"/>
      <c r="H429" s="326"/>
      <c r="I429" s="326"/>
      <c r="J429" s="326"/>
      <c r="K429" s="326"/>
      <c r="L429" s="327"/>
      <c r="M429" s="290">
        <v>1702.0</v>
      </c>
      <c r="N429" s="289"/>
      <c r="O429" s="15"/>
      <c r="P429" s="15"/>
      <c r="Q429" s="16"/>
      <c r="R429" s="338" t="s">
        <v>281</v>
      </c>
      <c r="S429" s="279"/>
      <c r="T429" s="279"/>
      <c r="U429" s="279"/>
      <c r="V429" s="279"/>
      <c r="W429" s="279"/>
      <c r="X429" s="279"/>
      <c r="Y429" s="279"/>
      <c r="Z429" s="279"/>
      <c r="AA429" s="279"/>
      <c r="AB429" s="279"/>
      <c r="AC429" s="279"/>
      <c r="AD429" s="279"/>
      <c r="AE429" s="279"/>
      <c r="AF429" s="279"/>
      <c r="AG429" s="279"/>
      <c r="AH429" s="279"/>
      <c r="AI429" s="279"/>
      <c r="AJ429" s="279"/>
      <c r="AK429" s="279"/>
      <c r="AL429" s="279"/>
      <c r="AM429" s="279"/>
      <c r="AN429" s="279"/>
      <c r="AO429" s="279"/>
      <c r="AP429" s="279"/>
      <c r="AQ429" s="279"/>
      <c r="AR429" s="279"/>
      <c r="AS429" s="279"/>
      <c r="AT429" s="279"/>
      <c r="AU429" s="279"/>
      <c r="AV429" s="279"/>
      <c r="AW429" s="279"/>
      <c r="AX429" s="279"/>
      <c r="AY429" s="279"/>
      <c r="AZ429" s="279"/>
      <c r="BA429" s="279"/>
      <c r="BB429" s="279"/>
      <c r="BC429" s="279"/>
      <c r="BD429" s="279"/>
      <c r="BE429" s="279"/>
      <c r="BF429" s="279"/>
      <c r="BG429" s="279"/>
      <c r="BH429" s="279"/>
      <c r="BI429" s="279"/>
      <c r="BJ429" s="279"/>
      <c r="BK429" s="279"/>
      <c r="BL429" s="279"/>
      <c r="BM429" s="279"/>
      <c r="BN429" s="279"/>
      <c r="BO429" s="279"/>
      <c r="BP429" s="279"/>
      <c r="BQ429" s="279"/>
    </row>
    <row r="430" ht="12.75" hidden="1" customHeight="1">
      <c r="A430" s="269"/>
      <c r="B430" s="325" t="s">
        <v>712</v>
      </c>
      <c r="C430" s="326"/>
      <c r="D430" s="326"/>
      <c r="E430" s="326"/>
      <c r="F430" s="326"/>
      <c r="G430" s="326"/>
      <c r="H430" s="326"/>
      <c r="I430" s="326"/>
      <c r="J430" s="326"/>
      <c r="K430" s="326"/>
      <c r="L430" s="327"/>
      <c r="M430" s="290">
        <v>1189.0</v>
      </c>
      <c r="N430" s="289"/>
      <c r="O430" s="15"/>
      <c r="P430" s="15"/>
      <c r="Q430" s="16"/>
      <c r="R430" s="338" t="s">
        <v>281</v>
      </c>
      <c r="S430" s="279"/>
      <c r="T430" s="279"/>
      <c r="U430" s="279"/>
      <c r="V430" s="279"/>
      <c r="W430" s="279"/>
      <c r="X430" s="279"/>
      <c r="Y430" s="279"/>
      <c r="Z430" s="279"/>
      <c r="AA430" s="279"/>
      <c r="AB430" s="279"/>
      <c r="AC430" s="279"/>
      <c r="AD430" s="279"/>
      <c r="AE430" s="279"/>
      <c r="AF430" s="279"/>
      <c r="AG430" s="279"/>
      <c r="AH430" s="279"/>
      <c r="AI430" s="279"/>
      <c r="AJ430" s="279"/>
      <c r="AK430" s="279"/>
      <c r="AL430" s="279"/>
      <c r="AM430" s="279"/>
      <c r="AN430" s="279"/>
      <c r="AO430" s="279"/>
      <c r="AP430" s="279"/>
      <c r="AQ430" s="279"/>
      <c r="AR430" s="279"/>
      <c r="AS430" s="279"/>
      <c r="AT430" s="279"/>
      <c r="AU430" s="279"/>
      <c r="AV430" s="279"/>
      <c r="AW430" s="279"/>
      <c r="AX430" s="279"/>
      <c r="AY430" s="279"/>
      <c r="AZ430" s="279"/>
      <c r="BA430" s="279"/>
      <c r="BB430" s="279"/>
      <c r="BC430" s="279"/>
      <c r="BD430" s="279"/>
      <c r="BE430" s="279"/>
      <c r="BF430" s="279"/>
      <c r="BG430" s="279"/>
      <c r="BH430" s="279"/>
      <c r="BI430" s="279"/>
      <c r="BJ430" s="279"/>
      <c r="BK430" s="279"/>
      <c r="BL430" s="279"/>
      <c r="BM430" s="279"/>
      <c r="BN430" s="279"/>
      <c r="BO430" s="279"/>
      <c r="BP430" s="279"/>
      <c r="BQ430" s="279"/>
    </row>
    <row r="431" ht="12.75" hidden="1" customHeight="1">
      <c r="A431" s="269"/>
      <c r="B431" s="325" t="s">
        <v>713</v>
      </c>
      <c r="C431" s="326"/>
      <c r="D431" s="326"/>
      <c r="E431" s="326"/>
      <c r="F431" s="326"/>
      <c r="G431" s="326"/>
      <c r="H431" s="326"/>
      <c r="I431" s="326"/>
      <c r="J431" s="326"/>
      <c r="K431" s="326"/>
      <c r="L431" s="327"/>
      <c r="M431" s="290">
        <v>1190.0</v>
      </c>
      <c r="N431" s="289"/>
      <c r="O431" s="15"/>
      <c r="P431" s="15"/>
      <c r="Q431" s="16"/>
      <c r="R431" s="338" t="s">
        <v>312</v>
      </c>
      <c r="S431" s="279"/>
      <c r="T431" s="279"/>
      <c r="U431" s="279"/>
      <c r="V431" s="279"/>
      <c r="W431" s="279"/>
      <c r="X431" s="279"/>
      <c r="Y431" s="279"/>
      <c r="Z431" s="279"/>
      <c r="AA431" s="279"/>
      <c r="AB431" s="279"/>
      <c r="AC431" s="279"/>
      <c r="AD431" s="279"/>
      <c r="AE431" s="279"/>
      <c r="AF431" s="279"/>
      <c r="AG431" s="279"/>
      <c r="AH431" s="279"/>
      <c r="AI431" s="279"/>
      <c r="AJ431" s="279"/>
      <c r="AK431" s="279"/>
      <c r="AL431" s="279"/>
      <c r="AM431" s="279"/>
      <c r="AN431" s="279"/>
      <c r="AO431" s="279"/>
      <c r="AP431" s="279"/>
      <c r="AQ431" s="279"/>
      <c r="AR431" s="279"/>
      <c r="AS431" s="279"/>
      <c r="AT431" s="279"/>
      <c r="AU431" s="279"/>
      <c r="AV431" s="279"/>
      <c r="AW431" s="279"/>
      <c r="AX431" s="279"/>
      <c r="AY431" s="279"/>
      <c r="AZ431" s="279"/>
      <c r="BA431" s="279"/>
      <c r="BB431" s="279"/>
      <c r="BC431" s="279"/>
      <c r="BD431" s="279"/>
      <c r="BE431" s="279"/>
      <c r="BF431" s="279"/>
      <c r="BG431" s="279"/>
      <c r="BH431" s="279"/>
      <c r="BI431" s="279"/>
      <c r="BJ431" s="279"/>
      <c r="BK431" s="279"/>
      <c r="BL431" s="279"/>
      <c r="BM431" s="279"/>
      <c r="BN431" s="279"/>
      <c r="BO431" s="279"/>
      <c r="BP431" s="279"/>
      <c r="BQ431" s="279"/>
    </row>
    <row r="432" ht="12.75" hidden="1" customHeight="1">
      <c r="A432" s="269"/>
      <c r="B432" s="325" t="s">
        <v>714</v>
      </c>
      <c r="C432" s="326"/>
      <c r="D432" s="326"/>
      <c r="E432" s="326"/>
      <c r="F432" s="326"/>
      <c r="G432" s="326"/>
      <c r="H432" s="326"/>
      <c r="I432" s="326"/>
      <c r="J432" s="326"/>
      <c r="K432" s="326"/>
      <c r="L432" s="327"/>
      <c r="M432" s="290">
        <v>645.0</v>
      </c>
      <c r="N432" s="289">
        <f>+IF(($N$410+$N$412+$N$413+$N$415+$N$417+$N$418+$N$420+$N$424+$N$428+$N$429+$N$430-$N$411-$N$414-$N$416-$N$419-$N$421-$N$422-$N$423-$N$425-$N$426-$N$427-$N$431)&gt;0,$N$410+$N$412+$N$413+$N$415+$N$417+$N$418+$N$420+$N$424+$N$428+$N$429+$N$430-$N$411-$N$414-$N$416-$N$419-$N$421-$N$422-$N$423-$N$425-$N$426-$N$427-$N$431,0)</f>
        <v>0</v>
      </c>
      <c r="O432" s="15"/>
      <c r="P432" s="15"/>
      <c r="Q432" s="16"/>
      <c r="R432" s="355" t="s">
        <v>317</v>
      </c>
      <c r="S432" s="279"/>
      <c r="T432" s="279"/>
      <c r="U432" s="279"/>
      <c r="V432" s="279"/>
      <c r="W432" s="279"/>
      <c r="X432" s="279"/>
      <c r="Y432" s="279"/>
      <c r="Z432" s="279"/>
      <c r="AA432" s="279"/>
      <c r="AB432" s="279"/>
      <c r="AC432" s="279"/>
      <c r="AD432" s="279"/>
      <c r="AE432" s="279"/>
      <c r="AF432" s="279"/>
      <c r="AG432" s="279"/>
      <c r="AH432" s="279"/>
      <c r="AI432" s="279"/>
      <c r="AJ432" s="279"/>
      <c r="AK432" s="279"/>
      <c r="AL432" s="279"/>
      <c r="AM432" s="279"/>
      <c r="AN432" s="279"/>
      <c r="AO432" s="279"/>
      <c r="AP432" s="279"/>
      <c r="AQ432" s="279"/>
      <c r="AR432" s="279"/>
      <c r="AS432" s="279"/>
      <c r="AT432" s="279"/>
      <c r="AU432" s="279"/>
      <c r="AV432" s="279"/>
      <c r="AW432" s="279"/>
      <c r="AX432" s="279"/>
      <c r="AY432" s="279"/>
      <c r="AZ432" s="279"/>
      <c r="BA432" s="279"/>
      <c r="BB432" s="279"/>
      <c r="BC432" s="279"/>
      <c r="BD432" s="279"/>
      <c r="BE432" s="279"/>
      <c r="BF432" s="279"/>
      <c r="BG432" s="279"/>
      <c r="BH432" s="279"/>
      <c r="BI432" s="279"/>
      <c r="BJ432" s="279"/>
      <c r="BK432" s="279"/>
      <c r="BL432" s="279"/>
      <c r="BM432" s="279"/>
      <c r="BN432" s="279"/>
      <c r="BO432" s="279"/>
      <c r="BP432" s="279"/>
      <c r="BQ432" s="279"/>
    </row>
    <row r="433" ht="12.75" hidden="1" customHeight="1">
      <c r="A433" s="269"/>
      <c r="B433" s="285" t="s">
        <v>715</v>
      </c>
      <c r="C433" s="286"/>
      <c r="D433" s="286"/>
      <c r="E433" s="286"/>
      <c r="F433" s="286"/>
      <c r="G433" s="286"/>
      <c r="H433" s="286"/>
      <c r="I433" s="286"/>
      <c r="J433" s="286"/>
      <c r="K433" s="286"/>
      <c r="L433" s="287"/>
      <c r="M433" s="290">
        <v>646.0</v>
      </c>
      <c r="N433" s="289">
        <f>-IF(($N$410+$N$412+$N$413+$N$415+$N$417+$N$418+$N$420+$N$424+$N$428+$N$429+$N$430-$N$411-$N$414-$N$416-$N$419-$N$421-$N$422-$N$423-$N$425-$N$426-$N$427-$N$431)&lt;0,$N$410+$N$412+$N$413+$N$415+$N$417+$N$418+$N$420+$N$424+$N$428+$N$429+$N$430-$N$411-$N$414-$N$416-$N$419-$N$421-$N$422-$N$423-$N$425-$N$426-$N$427-$N$431,0)</f>
        <v>0</v>
      </c>
      <c r="O433" s="15"/>
      <c r="P433" s="15"/>
      <c r="Q433" s="16"/>
      <c r="R433" s="338" t="s">
        <v>317</v>
      </c>
      <c r="S433" s="279"/>
      <c r="T433" s="279"/>
      <c r="U433" s="279"/>
      <c r="V433" s="279"/>
      <c r="W433" s="279"/>
      <c r="X433" s="279"/>
      <c r="Y433" s="279"/>
      <c r="Z433" s="279"/>
      <c r="AA433" s="279"/>
      <c r="AB433" s="279"/>
      <c r="AC433" s="279"/>
      <c r="AD433" s="279"/>
      <c r="AE433" s="279"/>
      <c r="AF433" s="279"/>
      <c r="AG433" s="279"/>
      <c r="AH433" s="279"/>
      <c r="AI433" s="279"/>
      <c r="AJ433" s="279"/>
      <c r="AK433" s="279"/>
      <c r="AL433" s="279"/>
      <c r="AM433" s="279"/>
      <c r="AN433" s="279"/>
      <c r="AO433" s="279"/>
      <c r="AP433" s="279"/>
      <c r="AQ433" s="279"/>
      <c r="AR433" s="279"/>
      <c r="AS433" s="279"/>
      <c r="AT433" s="279"/>
      <c r="AU433" s="279"/>
      <c r="AV433" s="279"/>
      <c r="AW433" s="279"/>
      <c r="AX433" s="279"/>
      <c r="AY433" s="279"/>
      <c r="AZ433" s="279"/>
      <c r="BA433" s="279"/>
      <c r="BB433" s="279"/>
      <c r="BC433" s="279"/>
      <c r="BD433" s="279"/>
      <c r="BE433" s="279"/>
      <c r="BF433" s="279"/>
      <c r="BG433" s="279"/>
      <c r="BH433" s="279"/>
      <c r="BI433" s="279"/>
      <c r="BJ433" s="279"/>
      <c r="BK433" s="279"/>
      <c r="BL433" s="279"/>
      <c r="BM433" s="279"/>
      <c r="BN433" s="279"/>
      <c r="BO433" s="279"/>
      <c r="BP433" s="279"/>
      <c r="BQ433" s="279"/>
    </row>
    <row r="434" ht="12.75" hidden="1" customHeight="1">
      <c r="A434" s="275"/>
      <c r="B434" s="387"/>
      <c r="C434" s="387"/>
      <c r="D434" s="387"/>
      <c r="E434" s="387"/>
      <c r="F434" s="387"/>
      <c r="G434" s="387"/>
      <c r="H434" s="387"/>
      <c r="I434" s="387"/>
      <c r="J434" s="387"/>
      <c r="K434" s="387"/>
      <c r="L434" s="387"/>
      <c r="M434" s="387"/>
      <c r="N434" s="387"/>
      <c r="O434" s="387"/>
      <c r="P434" s="387"/>
      <c r="Q434" s="387"/>
      <c r="R434" s="387"/>
      <c r="S434" s="279"/>
      <c r="T434" s="279"/>
      <c r="U434" s="279"/>
      <c r="V434" s="279"/>
      <c r="W434" s="279"/>
      <c r="X434" s="279"/>
      <c r="Y434" s="279"/>
      <c r="Z434" s="279"/>
      <c r="AA434" s="279"/>
      <c r="AB434" s="279"/>
      <c r="AC434" s="279"/>
      <c r="AD434" s="279"/>
      <c r="AE434" s="279"/>
      <c r="AF434" s="279"/>
      <c r="AG434" s="279"/>
      <c r="AH434" s="279"/>
      <c r="AI434" s="279"/>
      <c r="AJ434" s="279"/>
      <c r="AK434" s="279"/>
      <c r="AL434" s="279"/>
      <c r="AM434" s="279"/>
      <c r="AN434" s="279"/>
      <c r="AO434" s="279"/>
      <c r="AP434" s="279"/>
      <c r="AQ434" s="279"/>
      <c r="AR434" s="279"/>
      <c r="AS434" s="279"/>
      <c r="AT434" s="279"/>
      <c r="AU434" s="279"/>
      <c r="AV434" s="279"/>
      <c r="AW434" s="279"/>
      <c r="AX434" s="279"/>
      <c r="AY434" s="279"/>
      <c r="AZ434" s="279"/>
      <c r="BA434" s="279"/>
      <c r="BB434" s="279"/>
      <c r="BC434" s="279"/>
      <c r="BD434" s="279"/>
      <c r="BE434" s="279"/>
      <c r="BF434" s="279"/>
      <c r="BG434" s="279"/>
      <c r="BH434" s="279"/>
      <c r="BI434" s="279"/>
      <c r="BJ434" s="279"/>
      <c r="BK434" s="279"/>
      <c r="BL434" s="279"/>
      <c r="BM434" s="279"/>
      <c r="BN434" s="279"/>
      <c r="BO434" s="279"/>
      <c r="BP434" s="279"/>
      <c r="BQ434" s="279"/>
    </row>
    <row r="435" ht="12.75" hidden="1" customHeight="1">
      <c r="A435" s="275"/>
      <c r="B435" s="281" t="s">
        <v>716</v>
      </c>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6"/>
      <c r="AX435" s="279"/>
      <c r="AY435" s="279"/>
      <c r="AZ435" s="279"/>
      <c r="BA435" s="279"/>
      <c r="BB435" s="279"/>
      <c r="BC435" s="279"/>
      <c r="BD435" s="279"/>
      <c r="BE435" s="279"/>
      <c r="BF435" s="279"/>
      <c r="BG435" s="279"/>
      <c r="BH435" s="279"/>
      <c r="BI435" s="279"/>
      <c r="BJ435" s="279"/>
      <c r="BK435" s="279"/>
      <c r="BL435" s="279"/>
      <c r="BM435" s="279"/>
      <c r="BN435" s="279"/>
      <c r="BO435" s="279"/>
      <c r="BP435" s="279"/>
      <c r="BQ435" s="279"/>
    </row>
    <row r="436" ht="12.75" hidden="1" customHeight="1">
      <c r="A436" s="275"/>
      <c r="B436" s="414"/>
      <c r="C436" s="415"/>
      <c r="D436" s="415"/>
      <c r="E436" s="415"/>
      <c r="F436" s="415"/>
      <c r="G436" s="415"/>
      <c r="H436" s="416"/>
      <c r="I436" s="370" t="s">
        <v>717</v>
      </c>
      <c r="J436" s="22"/>
      <c r="K436" s="22"/>
      <c r="L436" s="22"/>
      <c r="M436" s="23"/>
      <c r="N436" s="370" t="s">
        <v>718</v>
      </c>
      <c r="O436" s="22"/>
      <c r="P436" s="22"/>
      <c r="Q436" s="22"/>
      <c r="R436" s="23"/>
      <c r="S436" s="281" t="s">
        <v>167</v>
      </c>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6"/>
      <c r="AR436" s="388" t="s">
        <v>719</v>
      </c>
      <c r="AS436" s="22"/>
      <c r="AT436" s="22"/>
      <c r="AU436" s="22"/>
      <c r="AV436" s="23"/>
      <c r="AW436" s="417"/>
      <c r="AX436" s="279"/>
      <c r="AY436" s="279"/>
      <c r="AZ436" s="279"/>
      <c r="BA436" s="279"/>
      <c r="BB436" s="279"/>
      <c r="BC436" s="279"/>
      <c r="BD436" s="279"/>
      <c r="BE436" s="279"/>
      <c r="BF436" s="279"/>
      <c r="BG436" s="279"/>
      <c r="BH436" s="279"/>
      <c r="BI436" s="279"/>
      <c r="BJ436" s="279"/>
      <c r="BK436" s="279"/>
      <c r="BL436" s="279"/>
      <c r="BM436" s="279"/>
      <c r="BN436" s="279"/>
      <c r="BO436" s="279"/>
      <c r="BP436" s="279"/>
      <c r="BQ436" s="279"/>
    </row>
    <row r="437" ht="12.75" hidden="1" customHeight="1">
      <c r="A437" s="275"/>
      <c r="B437" s="418"/>
      <c r="C437" s="419"/>
      <c r="D437" s="419"/>
      <c r="E437" s="419"/>
      <c r="F437" s="419"/>
      <c r="G437" s="419"/>
      <c r="H437" s="420"/>
      <c r="I437" s="25"/>
      <c r="M437" s="26"/>
      <c r="N437" s="25"/>
      <c r="R437" s="26"/>
      <c r="S437" s="281" t="s">
        <v>720</v>
      </c>
      <c r="T437" s="15"/>
      <c r="U437" s="15"/>
      <c r="V437" s="15"/>
      <c r="W437" s="15"/>
      <c r="X437" s="15"/>
      <c r="Y437" s="15"/>
      <c r="Z437" s="15"/>
      <c r="AA437" s="15"/>
      <c r="AB437" s="15"/>
      <c r="AC437" s="15"/>
      <c r="AD437" s="15"/>
      <c r="AE437" s="15"/>
      <c r="AF437" s="15"/>
      <c r="AG437" s="16"/>
      <c r="AH437" s="388" t="s">
        <v>721</v>
      </c>
      <c r="AI437" s="22"/>
      <c r="AJ437" s="22"/>
      <c r="AK437" s="22"/>
      <c r="AL437" s="23"/>
      <c r="AM437" s="388" t="s">
        <v>722</v>
      </c>
      <c r="AN437" s="22"/>
      <c r="AO437" s="22"/>
      <c r="AP437" s="22"/>
      <c r="AQ437" s="23"/>
      <c r="AR437" s="25"/>
      <c r="AV437" s="26"/>
      <c r="AW437" s="421"/>
      <c r="AX437" s="279"/>
      <c r="AY437" s="279"/>
      <c r="AZ437" s="279"/>
      <c r="BA437" s="279"/>
      <c r="BB437" s="279"/>
      <c r="BC437" s="279"/>
      <c r="BD437" s="279"/>
      <c r="BE437" s="279"/>
      <c r="BF437" s="279"/>
      <c r="BG437" s="279"/>
      <c r="BH437" s="279"/>
      <c r="BI437" s="279"/>
      <c r="BJ437" s="279"/>
      <c r="BK437" s="279"/>
      <c r="BL437" s="279"/>
      <c r="BM437" s="279"/>
      <c r="BN437" s="279"/>
      <c r="BO437" s="279"/>
      <c r="BP437" s="279"/>
      <c r="BQ437" s="279"/>
    </row>
    <row r="438" ht="12.75" hidden="1" customHeight="1">
      <c r="A438" s="275"/>
      <c r="B438" s="422"/>
      <c r="C438" s="423"/>
      <c r="D438" s="423"/>
      <c r="E438" s="423"/>
      <c r="F438" s="423"/>
      <c r="G438" s="423"/>
      <c r="H438" s="424"/>
      <c r="I438" s="28"/>
      <c r="J438" s="29"/>
      <c r="K438" s="29"/>
      <c r="L438" s="29"/>
      <c r="M438" s="30"/>
      <c r="N438" s="28"/>
      <c r="O438" s="29"/>
      <c r="P438" s="29"/>
      <c r="Q438" s="29"/>
      <c r="R438" s="30"/>
      <c r="S438" s="425" t="s">
        <v>723</v>
      </c>
      <c r="T438" s="15"/>
      <c r="U438" s="15"/>
      <c r="V438" s="15"/>
      <c r="W438" s="16"/>
      <c r="X438" s="281" t="s">
        <v>724</v>
      </c>
      <c r="Y438" s="15"/>
      <c r="Z438" s="15"/>
      <c r="AA438" s="15"/>
      <c r="AB438" s="16"/>
      <c r="AC438" s="281" t="s">
        <v>725</v>
      </c>
      <c r="AD438" s="15"/>
      <c r="AE438" s="15"/>
      <c r="AF438" s="15"/>
      <c r="AG438" s="16"/>
      <c r="AH438" s="28"/>
      <c r="AI438" s="29"/>
      <c r="AJ438" s="29"/>
      <c r="AK438" s="29"/>
      <c r="AL438" s="30"/>
      <c r="AM438" s="28"/>
      <c r="AN438" s="29"/>
      <c r="AO438" s="29"/>
      <c r="AP438" s="29"/>
      <c r="AQ438" s="30"/>
      <c r="AR438" s="28"/>
      <c r="AS438" s="29"/>
      <c r="AT438" s="29"/>
      <c r="AU438" s="29"/>
      <c r="AV438" s="30"/>
      <c r="AW438" s="426"/>
      <c r="AX438" s="279"/>
      <c r="AY438" s="279"/>
      <c r="AZ438" s="279"/>
      <c r="BA438" s="279"/>
      <c r="BB438" s="279"/>
      <c r="BC438" s="279"/>
      <c r="BD438" s="279"/>
      <c r="BE438" s="279"/>
      <c r="BF438" s="279"/>
      <c r="BG438" s="279"/>
      <c r="BH438" s="279"/>
      <c r="BI438" s="279"/>
      <c r="BJ438" s="279"/>
      <c r="BK438" s="279"/>
      <c r="BL438" s="279"/>
      <c r="BM438" s="279"/>
      <c r="BN438" s="279"/>
      <c r="BO438" s="279"/>
      <c r="BP438" s="279"/>
      <c r="BQ438" s="279"/>
    </row>
    <row r="439" ht="12.75" hidden="1" customHeight="1">
      <c r="A439" s="269"/>
      <c r="B439" s="325" t="s">
        <v>726</v>
      </c>
      <c r="C439" s="326"/>
      <c r="D439" s="326"/>
      <c r="E439" s="326"/>
      <c r="F439" s="326"/>
      <c r="G439" s="326"/>
      <c r="H439" s="327"/>
      <c r="I439" s="290">
        <v>1200.0</v>
      </c>
      <c r="J439" s="289"/>
      <c r="K439" s="15"/>
      <c r="L439" s="15"/>
      <c r="M439" s="16"/>
      <c r="N439" s="290">
        <v>1211.0</v>
      </c>
      <c r="O439" s="289"/>
      <c r="P439" s="15"/>
      <c r="Q439" s="15"/>
      <c r="R439" s="16"/>
      <c r="S439" s="290">
        <v>1221.0</v>
      </c>
      <c r="T439" s="289"/>
      <c r="U439" s="15"/>
      <c r="V439" s="15"/>
      <c r="W439" s="16"/>
      <c r="X439" s="290">
        <v>1730.0</v>
      </c>
      <c r="Y439" s="289"/>
      <c r="Z439" s="15"/>
      <c r="AA439" s="15"/>
      <c r="AB439" s="16"/>
      <c r="AC439" s="290">
        <v>1731.0</v>
      </c>
      <c r="AD439" s="289"/>
      <c r="AE439" s="15"/>
      <c r="AF439" s="15"/>
      <c r="AG439" s="16"/>
      <c r="AH439" s="290">
        <v>1234.0</v>
      </c>
      <c r="AI439" s="289"/>
      <c r="AJ439" s="15"/>
      <c r="AK439" s="15"/>
      <c r="AL439" s="16"/>
      <c r="AM439" s="290">
        <v>1246.0</v>
      </c>
      <c r="AN439" s="289"/>
      <c r="AO439" s="15"/>
      <c r="AP439" s="15"/>
      <c r="AQ439" s="16"/>
      <c r="AR439" s="290">
        <v>1260.0</v>
      </c>
      <c r="AS439" s="289"/>
      <c r="AT439" s="15"/>
      <c r="AU439" s="15"/>
      <c r="AV439" s="16"/>
      <c r="AW439" s="338" t="s">
        <v>281</v>
      </c>
      <c r="AX439" s="279"/>
      <c r="AY439" s="279"/>
      <c r="AZ439" s="279"/>
      <c r="BA439" s="279"/>
      <c r="BB439" s="279"/>
      <c r="BC439" s="279"/>
      <c r="BD439" s="279"/>
      <c r="BE439" s="279"/>
      <c r="BF439" s="279"/>
      <c r="BG439" s="279"/>
      <c r="BH439" s="279"/>
      <c r="BI439" s="279"/>
      <c r="BJ439" s="279"/>
      <c r="BK439" s="279"/>
      <c r="BL439" s="279"/>
      <c r="BM439" s="279"/>
      <c r="BN439" s="279"/>
      <c r="BO439" s="279"/>
      <c r="BP439" s="279"/>
      <c r="BQ439" s="279"/>
    </row>
    <row r="440" ht="12.75" hidden="1" customHeight="1">
      <c r="A440" s="269"/>
      <c r="B440" s="285" t="s">
        <v>727</v>
      </c>
      <c r="C440" s="286"/>
      <c r="D440" s="286"/>
      <c r="E440" s="286"/>
      <c r="F440" s="286"/>
      <c r="G440" s="286"/>
      <c r="H440" s="287"/>
      <c r="I440" s="332"/>
      <c r="J440" s="333"/>
      <c r="K440" s="333"/>
      <c r="L440" s="333"/>
      <c r="M440" s="335"/>
      <c r="N440" s="332"/>
      <c r="O440" s="333"/>
      <c r="P440" s="333"/>
      <c r="Q440" s="333"/>
      <c r="R440" s="335"/>
      <c r="S440" s="347">
        <v>1222.0</v>
      </c>
      <c r="T440" s="289"/>
      <c r="U440" s="15"/>
      <c r="V440" s="15"/>
      <c r="W440" s="16"/>
      <c r="X440" s="332"/>
      <c r="Y440" s="333"/>
      <c r="Z440" s="333"/>
      <c r="AA440" s="333"/>
      <c r="AB440" s="335"/>
      <c r="AC440" s="290">
        <v>1843.0</v>
      </c>
      <c r="AD440" s="289"/>
      <c r="AE440" s="15"/>
      <c r="AF440" s="15"/>
      <c r="AG440" s="16"/>
      <c r="AH440" s="290">
        <v>1235.0</v>
      </c>
      <c r="AI440" s="289"/>
      <c r="AJ440" s="15"/>
      <c r="AK440" s="15"/>
      <c r="AL440" s="16"/>
      <c r="AM440" s="290">
        <v>1247.0</v>
      </c>
      <c r="AN440" s="289"/>
      <c r="AO440" s="15"/>
      <c r="AP440" s="15"/>
      <c r="AQ440" s="16"/>
      <c r="AR440" s="332"/>
      <c r="AS440" s="333"/>
      <c r="AT440" s="333"/>
      <c r="AU440" s="333"/>
      <c r="AV440" s="335"/>
      <c r="AW440" s="338" t="s">
        <v>312</v>
      </c>
      <c r="AX440" s="279"/>
      <c r="AY440" s="279"/>
      <c r="AZ440" s="279"/>
      <c r="BA440" s="279"/>
      <c r="BB440" s="279"/>
      <c r="BC440" s="279"/>
      <c r="BD440" s="279"/>
      <c r="BE440" s="279"/>
      <c r="BF440" s="279"/>
      <c r="BG440" s="279"/>
      <c r="BH440" s="279"/>
      <c r="BI440" s="279"/>
      <c r="BJ440" s="279"/>
      <c r="BK440" s="279"/>
      <c r="BL440" s="279"/>
      <c r="BM440" s="279"/>
      <c r="BN440" s="279"/>
      <c r="BO440" s="279"/>
      <c r="BP440" s="279"/>
      <c r="BQ440" s="279"/>
    </row>
    <row r="441" ht="12.75" hidden="1" customHeight="1">
      <c r="A441" s="269"/>
      <c r="B441" s="325" t="s">
        <v>708</v>
      </c>
      <c r="C441" s="326"/>
      <c r="D441" s="326"/>
      <c r="E441" s="326"/>
      <c r="F441" s="326"/>
      <c r="G441" s="326"/>
      <c r="H441" s="327"/>
      <c r="I441" s="290">
        <v>1202.0</v>
      </c>
      <c r="J441" s="289"/>
      <c r="K441" s="15"/>
      <c r="L441" s="15"/>
      <c r="M441" s="16"/>
      <c r="N441" s="290">
        <v>1212.0</v>
      </c>
      <c r="O441" s="289"/>
      <c r="P441" s="15"/>
      <c r="Q441" s="15"/>
      <c r="R441" s="16"/>
      <c r="S441" s="290">
        <v>1224.0</v>
      </c>
      <c r="T441" s="289"/>
      <c r="U441" s="15"/>
      <c r="V441" s="15"/>
      <c r="W441" s="16"/>
      <c r="X441" s="290">
        <v>1733.0</v>
      </c>
      <c r="Y441" s="289"/>
      <c r="Z441" s="15"/>
      <c r="AA441" s="15"/>
      <c r="AB441" s="16"/>
      <c r="AC441" s="290">
        <v>1734.0</v>
      </c>
      <c r="AD441" s="289"/>
      <c r="AE441" s="15"/>
      <c r="AF441" s="15"/>
      <c r="AG441" s="16"/>
      <c r="AH441" s="290">
        <v>1236.0</v>
      </c>
      <c r="AI441" s="289"/>
      <c r="AJ441" s="15"/>
      <c r="AK441" s="15"/>
      <c r="AL441" s="16"/>
      <c r="AM441" s="290">
        <v>1248.0</v>
      </c>
      <c r="AN441" s="289"/>
      <c r="AO441" s="15"/>
      <c r="AP441" s="15"/>
      <c r="AQ441" s="16"/>
      <c r="AR441" s="290">
        <v>1262.0</v>
      </c>
      <c r="AS441" s="289"/>
      <c r="AT441" s="15"/>
      <c r="AU441" s="15"/>
      <c r="AV441" s="16"/>
      <c r="AW441" s="338" t="s">
        <v>281</v>
      </c>
      <c r="AX441" s="279"/>
      <c r="AY441" s="279"/>
      <c r="AZ441" s="279"/>
      <c r="BA441" s="279"/>
      <c r="BB441" s="279"/>
      <c r="BC441" s="279"/>
      <c r="BD441" s="279"/>
      <c r="BE441" s="279"/>
      <c r="BF441" s="279"/>
      <c r="BG441" s="279"/>
      <c r="BH441" s="279"/>
      <c r="BI441" s="279"/>
      <c r="BJ441" s="279"/>
      <c r="BK441" s="279"/>
      <c r="BL441" s="279"/>
      <c r="BM441" s="279"/>
      <c r="BN441" s="279"/>
      <c r="BO441" s="279"/>
      <c r="BP441" s="279"/>
      <c r="BQ441" s="279"/>
    </row>
    <row r="442" ht="12.75" hidden="1" customHeight="1">
      <c r="A442" s="269"/>
      <c r="B442" s="325" t="s">
        <v>709</v>
      </c>
      <c r="C442" s="326"/>
      <c r="D442" s="326"/>
      <c r="E442" s="326"/>
      <c r="F442" s="326"/>
      <c r="G442" s="326"/>
      <c r="H442" s="327"/>
      <c r="I442" s="290">
        <v>1203.0</v>
      </c>
      <c r="J442" s="289"/>
      <c r="K442" s="15"/>
      <c r="L442" s="15"/>
      <c r="M442" s="16"/>
      <c r="N442" s="290">
        <v>1213.0</v>
      </c>
      <c r="O442" s="289"/>
      <c r="P442" s="15"/>
      <c r="Q442" s="15"/>
      <c r="R442" s="16"/>
      <c r="S442" s="290">
        <v>1225.0</v>
      </c>
      <c r="T442" s="289"/>
      <c r="U442" s="15"/>
      <c r="V442" s="15"/>
      <c r="W442" s="16"/>
      <c r="X442" s="290">
        <v>1735.0</v>
      </c>
      <c r="Y442" s="289"/>
      <c r="Z442" s="15"/>
      <c r="AA442" s="15"/>
      <c r="AB442" s="16"/>
      <c r="AC442" s="290">
        <v>1736.0</v>
      </c>
      <c r="AD442" s="289"/>
      <c r="AE442" s="15"/>
      <c r="AF442" s="15"/>
      <c r="AG442" s="16"/>
      <c r="AH442" s="290">
        <v>1237.0</v>
      </c>
      <c r="AI442" s="289"/>
      <c r="AJ442" s="15"/>
      <c r="AK442" s="15"/>
      <c r="AL442" s="16"/>
      <c r="AM442" s="290">
        <v>1249.0</v>
      </c>
      <c r="AN442" s="289"/>
      <c r="AO442" s="15"/>
      <c r="AP442" s="15"/>
      <c r="AQ442" s="16"/>
      <c r="AR442" s="290">
        <v>1263.0</v>
      </c>
      <c r="AS442" s="289"/>
      <c r="AT442" s="15"/>
      <c r="AU442" s="15"/>
      <c r="AV442" s="16"/>
      <c r="AW442" s="338" t="s">
        <v>312</v>
      </c>
      <c r="AX442" s="279"/>
      <c r="AY442" s="279"/>
      <c r="AZ442" s="279"/>
      <c r="BA442" s="279"/>
      <c r="BB442" s="279"/>
      <c r="BC442" s="279"/>
      <c r="BD442" s="279"/>
      <c r="BE442" s="279"/>
      <c r="BF442" s="279"/>
      <c r="BG442" s="279"/>
      <c r="BH442" s="279"/>
      <c r="BI442" s="279"/>
      <c r="BJ442" s="279"/>
      <c r="BK442" s="279"/>
      <c r="BL442" s="279"/>
      <c r="BM442" s="279"/>
      <c r="BN442" s="279"/>
      <c r="BO442" s="279"/>
      <c r="BP442" s="279"/>
      <c r="BQ442" s="279"/>
    </row>
    <row r="443" ht="12.75" hidden="1" customHeight="1">
      <c r="A443" s="269"/>
      <c r="B443" s="325" t="s">
        <v>728</v>
      </c>
      <c r="C443" s="326"/>
      <c r="D443" s="326"/>
      <c r="E443" s="326"/>
      <c r="F443" s="326"/>
      <c r="G443" s="326"/>
      <c r="H443" s="327"/>
      <c r="I443" s="290">
        <v>1204.0</v>
      </c>
      <c r="J443" s="289"/>
      <c r="K443" s="15"/>
      <c r="L443" s="15"/>
      <c r="M443" s="16"/>
      <c r="N443" s="290">
        <v>1214.0</v>
      </c>
      <c r="O443" s="289"/>
      <c r="P443" s="15"/>
      <c r="Q443" s="15"/>
      <c r="R443" s="16"/>
      <c r="S443" s="290">
        <v>1226.0</v>
      </c>
      <c r="T443" s="289"/>
      <c r="U443" s="15"/>
      <c r="V443" s="15"/>
      <c r="W443" s="16"/>
      <c r="X443" s="290">
        <v>1737.0</v>
      </c>
      <c r="Y443" s="289"/>
      <c r="Z443" s="15"/>
      <c r="AA443" s="15"/>
      <c r="AB443" s="16"/>
      <c r="AC443" s="290">
        <v>1738.0</v>
      </c>
      <c r="AD443" s="289"/>
      <c r="AE443" s="15"/>
      <c r="AF443" s="15"/>
      <c r="AG443" s="16"/>
      <c r="AH443" s="290">
        <v>1238.0</v>
      </c>
      <c r="AI443" s="289"/>
      <c r="AJ443" s="15"/>
      <c r="AK443" s="15"/>
      <c r="AL443" s="16"/>
      <c r="AM443" s="290">
        <v>1250.0</v>
      </c>
      <c r="AN443" s="289"/>
      <c r="AO443" s="15"/>
      <c r="AP443" s="15"/>
      <c r="AQ443" s="16"/>
      <c r="AR443" s="290">
        <v>1264.0</v>
      </c>
      <c r="AS443" s="289"/>
      <c r="AT443" s="15"/>
      <c r="AU443" s="15"/>
      <c r="AV443" s="16"/>
      <c r="AW443" s="338" t="s">
        <v>312</v>
      </c>
      <c r="AX443" s="279"/>
      <c r="AY443" s="279"/>
      <c r="AZ443" s="279"/>
      <c r="BA443" s="279"/>
      <c r="BB443" s="279"/>
      <c r="BC443" s="279"/>
      <c r="BD443" s="279"/>
      <c r="BE443" s="279"/>
      <c r="BF443" s="279"/>
      <c r="BG443" s="279"/>
      <c r="BH443" s="279"/>
      <c r="BI443" s="279"/>
      <c r="BJ443" s="279"/>
      <c r="BK443" s="279"/>
      <c r="BL443" s="279"/>
      <c r="BM443" s="279"/>
      <c r="BN443" s="279"/>
      <c r="BO443" s="279"/>
      <c r="BP443" s="279"/>
      <c r="BQ443" s="279"/>
    </row>
    <row r="444" ht="12.75" hidden="1" customHeight="1">
      <c r="A444" s="269"/>
      <c r="B444" s="325" t="s">
        <v>729</v>
      </c>
      <c r="C444" s="326"/>
      <c r="D444" s="326"/>
      <c r="E444" s="326"/>
      <c r="F444" s="326"/>
      <c r="G444" s="326"/>
      <c r="H444" s="327"/>
      <c r="I444" s="290">
        <v>1205.0</v>
      </c>
      <c r="J444" s="289"/>
      <c r="K444" s="15"/>
      <c r="L444" s="15"/>
      <c r="M444" s="16"/>
      <c r="N444" s="290">
        <v>1215.0</v>
      </c>
      <c r="O444" s="289"/>
      <c r="P444" s="15"/>
      <c r="Q444" s="15"/>
      <c r="R444" s="16"/>
      <c r="S444" s="332"/>
      <c r="T444" s="333"/>
      <c r="U444" s="333"/>
      <c r="V444" s="333"/>
      <c r="W444" s="335"/>
      <c r="X444" s="332"/>
      <c r="Y444" s="333"/>
      <c r="Z444" s="333"/>
      <c r="AA444" s="333"/>
      <c r="AB444" s="335"/>
      <c r="AC444" s="290">
        <v>1740.0</v>
      </c>
      <c r="AD444" s="289"/>
      <c r="AE444" s="15"/>
      <c r="AF444" s="15"/>
      <c r="AG444" s="16"/>
      <c r="AH444" s="290">
        <v>1239.0</v>
      </c>
      <c r="AI444" s="289"/>
      <c r="AJ444" s="15"/>
      <c r="AK444" s="15"/>
      <c r="AL444" s="16"/>
      <c r="AM444" s="290">
        <v>1251.0</v>
      </c>
      <c r="AN444" s="289"/>
      <c r="AO444" s="15"/>
      <c r="AP444" s="15"/>
      <c r="AQ444" s="16"/>
      <c r="AR444" s="332"/>
      <c r="AS444" s="333"/>
      <c r="AT444" s="333"/>
      <c r="AU444" s="333"/>
      <c r="AV444" s="335"/>
      <c r="AW444" s="338" t="s">
        <v>281</v>
      </c>
      <c r="AX444" s="279"/>
      <c r="AY444" s="279"/>
      <c r="AZ444" s="279"/>
      <c r="BA444" s="279"/>
      <c r="BB444" s="279"/>
      <c r="BC444" s="279"/>
      <c r="BD444" s="279"/>
      <c r="BE444" s="279"/>
      <c r="BF444" s="279"/>
      <c r="BG444" s="279"/>
      <c r="BH444" s="279"/>
      <c r="BI444" s="279"/>
      <c r="BJ444" s="279"/>
      <c r="BK444" s="279"/>
      <c r="BL444" s="279"/>
      <c r="BM444" s="279"/>
      <c r="BN444" s="279"/>
      <c r="BO444" s="279"/>
      <c r="BP444" s="279"/>
      <c r="BQ444" s="279"/>
    </row>
    <row r="445" ht="12.75" hidden="1" customHeight="1">
      <c r="A445" s="269"/>
      <c r="B445" s="325" t="s">
        <v>730</v>
      </c>
      <c r="C445" s="326"/>
      <c r="D445" s="326"/>
      <c r="E445" s="326"/>
      <c r="F445" s="326"/>
      <c r="G445" s="326"/>
      <c r="H445" s="327"/>
      <c r="I445" s="290">
        <v>1206.0</v>
      </c>
      <c r="J445" s="289"/>
      <c r="K445" s="15"/>
      <c r="L445" s="15"/>
      <c r="M445" s="16"/>
      <c r="N445" s="290">
        <v>1216.0</v>
      </c>
      <c r="O445" s="289"/>
      <c r="P445" s="15"/>
      <c r="Q445" s="15"/>
      <c r="R445" s="16"/>
      <c r="S445" s="290">
        <v>1228.0</v>
      </c>
      <c r="T445" s="289"/>
      <c r="U445" s="15"/>
      <c r="V445" s="15"/>
      <c r="W445" s="16"/>
      <c r="X445" s="290">
        <v>1741.0</v>
      </c>
      <c r="Y445" s="289"/>
      <c r="Z445" s="15"/>
      <c r="AA445" s="15"/>
      <c r="AB445" s="16"/>
      <c r="AC445" s="290">
        <v>1742.0</v>
      </c>
      <c r="AD445" s="289"/>
      <c r="AE445" s="15"/>
      <c r="AF445" s="15"/>
      <c r="AG445" s="16"/>
      <c r="AH445" s="290">
        <v>1240.0</v>
      </c>
      <c r="AI445" s="289"/>
      <c r="AJ445" s="15"/>
      <c r="AK445" s="15"/>
      <c r="AL445" s="16"/>
      <c r="AM445" s="290">
        <v>1252.0</v>
      </c>
      <c r="AN445" s="289"/>
      <c r="AO445" s="15"/>
      <c r="AP445" s="15"/>
      <c r="AQ445" s="16"/>
      <c r="AR445" s="290">
        <v>1265.0</v>
      </c>
      <c r="AS445" s="289"/>
      <c r="AT445" s="15"/>
      <c r="AU445" s="15"/>
      <c r="AV445" s="16"/>
      <c r="AW445" s="338" t="s">
        <v>281</v>
      </c>
      <c r="AX445" s="279"/>
      <c r="AY445" s="279"/>
      <c r="AZ445" s="279"/>
      <c r="BA445" s="279"/>
      <c r="BB445" s="279"/>
      <c r="BC445" s="279"/>
      <c r="BD445" s="279"/>
      <c r="BE445" s="279"/>
      <c r="BF445" s="279"/>
      <c r="BG445" s="279"/>
      <c r="BH445" s="279"/>
      <c r="BI445" s="279"/>
      <c r="BJ445" s="279"/>
      <c r="BK445" s="279"/>
      <c r="BL445" s="279"/>
      <c r="BM445" s="279"/>
      <c r="BN445" s="279"/>
      <c r="BO445" s="279"/>
      <c r="BP445" s="279"/>
      <c r="BQ445" s="279"/>
    </row>
    <row r="446" ht="12.75" hidden="1" customHeight="1">
      <c r="A446" s="269"/>
      <c r="B446" s="325" t="s">
        <v>731</v>
      </c>
      <c r="C446" s="326"/>
      <c r="D446" s="326"/>
      <c r="E446" s="326"/>
      <c r="F446" s="326"/>
      <c r="G446" s="326"/>
      <c r="H446" s="327"/>
      <c r="I446" s="290">
        <v>1207.0</v>
      </c>
      <c r="J446" s="289"/>
      <c r="K446" s="15"/>
      <c r="L446" s="15"/>
      <c r="M446" s="16"/>
      <c r="N446" s="290">
        <v>1217.0</v>
      </c>
      <c r="O446" s="289"/>
      <c r="P446" s="15"/>
      <c r="Q446" s="15"/>
      <c r="R446" s="16"/>
      <c r="S446" s="290">
        <v>1229.0</v>
      </c>
      <c r="T446" s="289"/>
      <c r="U446" s="15"/>
      <c r="V446" s="15"/>
      <c r="W446" s="16"/>
      <c r="X446" s="290">
        <v>1743.0</v>
      </c>
      <c r="Y446" s="289"/>
      <c r="Z446" s="15"/>
      <c r="AA446" s="15"/>
      <c r="AB446" s="16"/>
      <c r="AC446" s="290">
        <v>1744.0</v>
      </c>
      <c r="AD446" s="289"/>
      <c r="AE446" s="15"/>
      <c r="AF446" s="15"/>
      <c r="AG446" s="16"/>
      <c r="AH446" s="290">
        <v>1241.0</v>
      </c>
      <c r="AI446" s="289"/>
      <c r="AJ446" s="15"/>
      <c r="AK446" s="15"/>
      <c r="AL446" s="16"/>
      <c r="AM446" s="290">
        <v>1253.0</v>
      </c>
      <c r="AN446" s="289"/>
      <c r="AO446" s="15"/>
      <c r="AP446" s="15"/>
      <c r="AQ446" s="16"/>
      <c r="AR446" s="290">
        <v>1266.0</v>
      </c>
      <c r="AS446" s="289"/>
      <c r="AT446" s="15"/>
      <c r="AU446" s="15"/>
      <c r="AV446" s="16"/>
      <c r="AW446" s="338" t="s">
        <v>312</v>
      </c>
      <c r="AX446" s="279"/>
      <c r="AY446" s="279"/>
      <c r="AZ446" s="279"/>
      <c r="BA446" s="279"/>
      <c r="BB446" s="279"/>
      <c r="BC446" s="279"/>
      <c r="BD446" s="279"/>
      <c r="BE446" s="279"/>
      <c r="BF446" s="279"/>
      <c r="BG446" s="279"/>
      <c r="BH446" s="279"/>
      <c r="BI446" s="279"/>
      <c r="BJ446" s="279"/>
      <c r="BK446" s="279"/>
      <c r="BL446" s="279"/>
      <c r="BM446" s="279"/>
      <c r="BN446" s="279"/>
      <c r="BO446" s="279"/>
      <c r="BP446" s="279"/>
      <c r="BQ446" s="279"/>
    </row>
    <row r="447" ht="12.75" hidden="1" customHeight="1">
      <c r="A447" s="269"/>
      <c r="B447" s="325" t="s">
        <v>732</v>
      </c>
      <c r="C447" s="326"/>
      <c r="D447" s="326"/>
      <c r="E447" s="326"/>
      <c r="F447" s="326"/>
      <c r="G447" s="326"/>
      <c r="H447" s="327"/>
      <c r="I447" s="290">
        <v>1208.0</v>
      </c>
      <c r="J447" s="289"/>
      <c r="K447" s="15"/>
      <c r="L447" s="15"/>
      <c r="M447" s="16"/>
      <c r="N447" s="290">
        <v>1218.0</v>
      </c>
      <c r="O447" s="289"/>
      <c r="P447" s="15"/>
      <c r="Q447" s="15"/>
      <c r="R447" s="16"/>
      <c r="S447" s="290">
        <v>1230.0</v>
      </c>
      <c r="T447" s="289"/>
      <c r="U447" s="15"/>
      <c r="V447" s="15"/>
      <c r="W447" s="16"/>
      <c r="X447" s="290">
        <v>1745.0</v>
      </c>
      <c r="Y447" s="289"/>
      <c r="Z447" s="15"/>
      <c r="AA447" s="15"/>
      <c r="AB447" s="16"/>
      <c r="AC447" s="290">
        <v>1746.0</v>
      </c>
      <c r="AD447" s="289"/>
      <c r="AE447" s="15"/>
      <c r="AF447" s="15"/>
      <c r="AG447" s="16"/>
      <c r="AH447" s="290">
        <v>1242.0</v>
      </c>
      <c r="AI447" s="289"/>
      <c r="AJ447" s="15"/>
      <c r="AK447" s="15"/>
      <c r="AL447" s="16"/>
      <c r="AM447" s="290">
        <v>1254.0</v>
      </c>
      <c r="AN447" s="289"/>
      <c r="AO447" s="15"/>
      <c r="AP447" s="15"/>
      <c r="AQ447" s="16"/>
      <c r="AR447" s="290">
        <v>1267.0</v>
      </c>
      <c r="AS447" s="289"/>
      <c r="AT447" s="15"/>
      <c r="AU447" s="15"/>
      <c r="AV447" s="16"/>
      <c r="AW447" s="338" t="s">
        <v>312</v>
      </c>
      <c r="AX447" s="279"/>
      <c r="AY447" s="279"/>
      <c r="AZ447" s="279"/>
      <c r="BA447" s="279"/>
      <c r="BB447" s="279"/>
      <c r="BC447" s="279"/>
      <c r="BD447" s="279"/>
      <c r="BE447" s="279"/>
      <c r="BF447" s="279"/>
      <c r="BG447" s="279"/>
      <c r="BH447" s="279"/>
      <c r="BI447" s="279"/>
      <c r="BJ447" s="279"/>
      <c r="BK447" s="279"/>
      <c r="BL447" s="279"/>
      <c r="BM447" s="279"/>
      <c r="BN447" s="279"/>
      <c r="BO447" s="279"/>
      <c r="BP447" s="279"/>
      <c r="BQ447" s="279"/>
    </row>
    <row r="448" ht="12.75" hidden="1" customHeight="1">
      <c r="A448" s="269"/>
      <c r="B448" s="325" t="s">
        <v>733</v>
      </c>
      <c r="C448" s="326"/>
      <c r="D448" s="326"/>
      <c r="E448" s="326"/>
      <c r="F448" s="326"/>
      <c r="G448" s="326"/>
      <c r="H448" s="327"/>
      <c r="I448" s="290">
        <v>1209.0</v>
      </c>
      <c r="J448" s="289"/>
      <c r="K448" s="15"/>
      <c r="L448" s="15"/>
      <c r="M448" s="16"/>
      <c r="N448" s="290">
        <v>1219.0</v>
      </c>
      <c r="O448" s="289"/>
      <c r="P448" s="15"/>
      <c r="Q448" s="15"/>
      <c r="R448" s="16"/>
      <c r="S448" s="290">
        <v>1231.0</v>
      </c>
      <c r="T448" s="289"/>
      <c r="U448" s="15"/>
      <c r="V448" s="15"/>
      <c r="W448" s="16"/>
      <c r="X448" s="290">
        <v>1747.0</v>
      </c>
      <c r="Y448" s="289"/>
      <c r="Z448" s="15"/>
      <c r="AA448" s="15"/>
      <c r="AB448" s="16"/>
      <c r="AC448" s="290">
        <v>1748.0</v>
      </c>
      <c r="AD448" s="289"/>
      <c r="AE448" s="15"/>
      <c r="AF448" s="15"/>
      <c r="AG448" s="16"/>
      <c r="AH448" s="290">
        <v>1243.0</v>
      </c>
      <c r="AI448" s="289"/>
      <c r="AJ448" s="15"/>
      <c r="AK448" s="15"/>
      <c r="AL448" s="16"/>
      <c r="AM448" s="290">
        <v>1255.0</v>
      </c>
      <c r="AN448" s="289"/>
      <c r="AO448" s="15"/>
      <c r="AP448" s="15"/>
      <c r="AQ448" s="16"/>
      <c r="AR448" s="290">
        <v>1268.0</v>
      </c>
      <c r="AS448" s="289"/>
      <c r="AT448" s="15"/>
      <c r="AU448" s="15"/>
      <c r="AV448" s="16"/>
      <c r="AW448" s="338" t="s">
        <v>312</v>
      </c>
      <c r="AX448" s="279"/>
      <c r="AY448" s="279"/>
      <c r="AZ448" s="279"/>
      <c r="BA448" s="279"/>
      <c r="BB448" s="279"/>
      <c r="BC448" s="279"/>
      <c r="BD448" s="279"/>
      <c r="BE448" s="279"/>
      <c r="BF448" s="279"/>
      <c r="BG448" s="279"/>
      <c r="BH448" s="279"/>
      <c r="BI448" s="279"/>
      <c r="BJ448" s="279"/>
      <c r="BK448" s="279"/>
      <c r="BL448" s="279"/>
      <c r="BM448" s="279"/>
      <c r="BN448" s="279"/>
      <c r="BO448" s="279"/>
      <c r="BP448" s="279"/>
      <c r="BQ448" s="279"/>
    </row>
    <row r="449" ht="12.75" hidden="1" customHeight="1">
      <c r="A449" s="269"/>
      <c r="B449" s="325" t="s">
        <v>734</v>
      </c>
      <c r="C449" s="326"/>
      <c r="D449" s="326"/>
      <c r="E449" s="326"/>
      <c r="F449" s="326"/>
      <c r="G449" s="326"/>
      <c r="H449" s="327"/>
      <c r="I449" s="290">
        <v>1210.0</v>
      </c>
      <c r="J449" s="289">
        <f>+IF(($J$439+$J$441+$J$444+$J$445-$J$440-$J$442-$J$443-$J$446-$J$447-$J$448)&gt;0,$J$439+$J$441+$J$444+$J$445-$J$440-$J$442-$J$443-$J$446-$J$447-$J$448,0)</f>
        <v>0</v>
      </c>
      <c r="K449" s="15"/>
      <c r="L449" s="15"/>
      <c r="M449" s="16"/>
      <c r="N449" s="290">
        <v>1220.0</v>
      </c>
      <c r="O449" s="289">
        <f>+IF(($O$439+$O$441+$O$444+$O$445-$O$440-$O$442-$O$443-$O$446-$O$447-$O$448)&gt;0,$O$439+$O$441+$O$444+$O$445-$O$440-$O$442-$O$443-$O$446-$O$447-$O$448,0)</f>
        <v>0</v>
      </c>
      <c r="P449" s="15"/>
      <c r="Q449" s="15"/>
      <c r="R449" s="16"/>
      <c r="S449" s="290">
        <v>1232.0</v>
      </c>
      <c r="T449" s="289">
        <f>+IF(($T$439+$T$441+$T$444+$T$445-$T$440-$T$442-$T$443-$T$446-$T$447-$T$448)&gt;0,$T$439+$T$441+$T$444+$T$445-$T$440-$T$442-$T$443-$T$446-$T$447-$T$448,0)</f>
        <v>0</v>
      </c>
      <c r="U449" s="15"/>
      <c r="V449" s="15"/>
      <c r="W449" s="16"/>
      <c r="X449" s="290">
        <v>1749.0</v>
      </c>
      <c r="Y449" s="289">
        <f>+IF(($Y$439+$Y$441+$Y$444+$Y$445-$Y$440-$Y$442-$Y$443-$Y$446-$Y$447-$Y$448)&gt;0,$Y$439+$Y$441+$Y$444+$Y$445-$Y$440-$Y$442-$Y$443-$Y$446-$Y$447-$Y$448,0)</f>
        <v>0</v>
      </c>
      <c r="Z449" s="15"/>
      <c r="AA449" s="15"/>
      <c r="AB449" s="16"/>
      <c r="AC449" s="290">
        <v>1750.0</v>
      </c>
      <c r="AD449" s="289">
        <f>+IF(($AD$439+$AD$441+$AD$444+$AD$445-$AD$440-$AD$442-$AD$443-$AD$446-$AD$447-$AD$448)&gt;0,$AD$439+$AD$441+$AD$444+$AD$445-$AD$440-$AD$442-$AD$443-$AD$446-$AD$447-$AD$448,0)</f>
        <v>0</v>
      </c>
      <c r="AE449" s="15"/>
      <c r="AF449" s="15"/>
      <c r="AG449" s="16"/>
      <c r="AH449" s="290">
        <v>1244.0</v>
      </c>
      <c r="AI449" s="289">
        <f>+IF(($AI$439+$AI$441+$AI$444+$AI$445-$AI$440-$AI$442-$AI$443-$AI$446-$AI$447-$AI$448)&gt;0,$AI$439+$AI$441+$AI$444+$AI$445-$AI$440-$AI$442-$AI$443-$AI$446-$AI$447-$AI$448,0)</f>
        <v>0</v>
      </c>
      <c r="AJ449" s="15"/>
      <c r="AK449" s="15"/>
      <c r="AL449" s="16"/>
      <c r="AM449" s="290">
        <v>1256.0</v>
      </c>
      <c r="AN449" s="289">
        <f>+IF(($AN$439+$AN$441+$AN$444+$AN$445-$AN$440-$AN$442-$AN$443-$AN$446-$AN$447-$AN$448)&gt;0,$AN$439+$AN$441+$AN$444+$AN$445-$AN$440-$AN$442-$AN$443-$AN$446-$AN$447-$AN$448,0)</f>
        <v>0</v>
      </c>
      <c r="AO449" s="15"/>
      <c r="AP449" s="15"/>
      <c r="AQ449" s="16"/>
      <c r="AR449" s="290">
        <v>1269.0</v>
      </c>
      <c r="AS449" s="289">
        <f>+IF(($AS$439+$AS$441+$AS$444+$AS$445-$AS$440-$AS$442-$AS$443-$AS$446-$AS$447-$AS$448)&gt;0,$AS$439+$AS$441+$AS$444+$AS$445-$AS$440-$AS$442-$AS$443-$AS$446-$AS$447-$AS$448,0)</f>
        <v>0</v>
      </c>
      <c r="AT449" s="15"/>
      <c r="AU449" s="15"/>
      <c r="AV449" s="16"/>
      <c r="AW449" s="338" t="s">
        <v>317</v>
      </c>
      <c r="AX449" s="279"/>
      <c r="AY449" s="279"/>
      <c r="AZ449" s="279"/>
      <c r="BA449" s="279"/>
      <c r="BB449" s="279"/>
      <c r="BC449" s="279"/>
      <c r="BD449" s="279"/>
      <c r="BE449" s="279"/>
      <c r="BF449" s="279"/>
      <c r="BG449" s="279"/>
      <c r="BH449" s="279"/>
      <c r="BI449" s="279"/>
      <c r="BJ449" s="279"/>
      <c r="BK449" s="279"/>
      <c r="BL449" s="279"/>
      <c r="BM449" s="279"/>
      <c r="BN449" s="279"/>
      <c r="BO449" s="279"/>
      <c r="BP449" s="279"/>
      <c r="BQ449" s="279"/>
    </row>
    <row r="450" ht="12.75" hidden="1" customHeight="1">
      <c r="A450" s="269"/>
      <c r="B450" s="285" t="s">
        <v>735</v>
      </c>
      <c r="C450" s="286"/>
      <c r="D450" s="286"/>
      <c r="E450" s="286"/>
      <c r="F450" s="286"/>
      <c r="G450" s="286"/>
      <c r="H450" s="287"/>
      <c r="I450" s="332"/>
      <c r="J450" s="333"/>
      <c r="K450" s="333"/>
      <c r="L450" s="333"/>
      <c r="M450" s="335"/>
      <c r="N450" s="332"/>
      <c r="O450" s="333"/>
      <c r="P450" s="333"/>
      <c r="Q450" s="333"/>
      <c r="R450" s="335"/>
      <c r="S450" s="290">
        <v>1233.0</v>
      </c>
      <c r="T450" s="289">
        <f>-IF(($T$439+$T$441+$T$444+$T$445-$T$440-$T$442-$T$443-$T$446-$T$447-$T$448)&lt;0,$T$439+$T$441+$T$444+$T$445-$T$440-$T$442-$T$443-$T$446-$T$447-$T$448,0)</f>
        <v>0</v>
      </c>
      <c r="U450" s="15"/>
      <c r="V450" s="15"/>
      <c r="W450" s="16"/>
      <c r="X450" s="332"/>
      <c r="Y450" s="333"/>
      <c r="Z450" s="333"/>
      <c r="AA450" s="333"/>
      <c r="AB450" s="335"/>
      <c r="AC450" s="290">
        <v>1844.0</v>
      </c>
      <c r="AD450" s="289">
        <f>-IF(($AD$439+$AD$441+$AD$444+$AD$445-$AD$440-$AD$442-$AD$443-$AD$446-$AD$447-$AD$448)&lt;0,$AD$439+$AD$441+$AD$444+$AD$445-$AD$440-$AD$442-$AD$443-$AD$446-$AD$447-$AD$448,0)</f>
        <v>0</v>
      </c>
      <c r="AE450" s="15"/>
      <c r="AF450" s="15"/>
      <c r="AG450" s="16"/>
      <c r="AH450" s="290">
        <v>1245.0</v>
      </c>
      <c r="AI450" s="289">
        <f>-IF(($AI$439+$AI$441+$AI$444+$AI$445-$AI$440-$AI$442-$AI$443-$AI$446-$AI$447-$AI$448)&lt;0,$AI$439+$AI$441+$AI$444+$AI$445-$AI$440-$AI$442-$AI$443-$AI$446-$AI$447-$AI$448,0)</f>
        <v>0</v>
      </c>
      <c r="AJ450" s="15"/>
      <c r="AK450" s="15"/>
      <c r="AL450" s="16"/>
      <c r="AM450" s="290">
        <v>1257.0</v>
      </c>
      <c r="AN450" s="289">
        <f>-IF(($AN$439+$AN$441+$AN$444+$AN$445-$AN$440-$AN$442-$AN$443-$AN$446-$AN$447-$AN$448)&lt;0,$AN$439+$AN$441+$AN$444+$AN$445-$AN$440-$AN$442-$AN$443-$AN$446-$AN$447-$AN$448,0)</f>
        <v>0</v>
      </c>
      <c r="AO450" s="15"/>
      <c r="AP450" s="15"/>
      <c r="AQ450" s="16"/>
      <c r="AR450" s="332"/>
      <c r="AS450" s="333"/>
      <c r="AT450" s="333"/>
      <c r="AU450" s="333"/>
      <c r="AV450" s="335"/>
      <c r="AW450" s="338" t="s">
        <v>317</v>
      </c>
      <c r="AX450" s="279"/>
      <c r="AY450" s="279"/>
      <c r="AZ450" s="279"/>
      <c r="BA450" s="279"/>
      <c r="BB450" s="279"/>
      <c r="BC450" s="279"/>
      <c r="BD450" s="279"/>
      <c r="BE450" s="279"/>
      <c r="BF450" s="279"/>
      <c r="BG450" s="279"/>
      <c r="BH450" s="279"/>
      <c r="BI450" s="279"/>
      <c r="BJ450" s="279"/>
      <c r="BK450" s="279"/>
      <c r="BL450" s="279"/>
      <c r="BM450" s="279"/>
      <c r="BN450" s="279"/>
      <c r="BO450" s="279"/>
      <c r="BP450" s="279"/>
      <c r="BQ450" s="279"/>
    </row>
    <row r="451" ht="12.75" hidden="1" customHeight="1">
      <c r="A451" s="275"/>
      <c r="B451" s="387"/>
      <c r="C451" s="387"/>
      <c r="D451" s="387"/>
      <c r="E451" s="387"/>
      <c r="F451" s="387"/>
      <c r="G451" s="387"/>
      <c r="H451" s="387"/>
      <c r="I451" s="387"/>
      <c r="J451" s="387"/>
      <c r="K451" s="387"/>
      <c r="L451" s="387"/>
      <c r="M451" s="387"/>
      <c r="N451" s="387"/>
      <c r="O451" s="387"/>
      <c r="P451" s="387"/>
      <c r="Q451" s="387"/>
      <c r="R451" s="387"/>
      <c r="S451" s="387"/>
      <c r="T451" s="387"/>
      <c r="U451" s="387"/>
      <c r="V451" s="387"/>
      <c r="W451" s="387"/>
      <c r="X451" s="387"/>
      <c r="Y451" s="387"/>
      <c r="Z451" s="387"/>
      <c r="AA451" s="387"/>
      <c r="AB451" s="387"/>
      <c r="AC451" s="387"/>
      <c r="AD451" s="387"/>
      <c r="AE451" s="387"/>
      <c r="AF451" s="387"/>
      <c r="AG451" s="387"/>
      <c r="AH451" s="387"/>
      <c r="AI451" s="387"/>
      <c r="AJ451" s="387"/>
      <c r="AK451" s="387"/>
      <c r="AL451" s="387"/>
      <c r="AM451" s="387"/>
      <c r="AN451" s="387"/>
      <c r="AO451" s="387"/>
      <c r="AP451" s="387"/>
      <c r="AQ451" s="387"/>
      <c r="AR451" s="387"/>
      <c r="AS451" s="387"/>
      <c r="AT451" s="387"/>
      <c r="AU451" s="387"/>
      <c r="AV451" s="387"/>
      <c r="AW451" s="387"/>
      <c r="AX451" s="279"/>
      <c r="AY451" s="279"/>
      <c r="AZ451" s="279"/>
      <c r="BA451" s="279"/>
      <c r="BB451" s="279"/>
      <c r="BC451" s="279"/>
      <c r="BD451" s="279"/>
      <c r="BE451" s="279"/>
      <c r="BF451" s="279"/>
      <c r="BG451" s="279"/>
      <c r="BH451" s="279"/>
      <c r="BI451" s="279"/>
      <c r="BJ451" s="279"/>
      <c r="BK451" s="279"/>
      <c r="BL451" s="279"/>
      <c r="BM451" s="279"/>
      <c r="BN451" s="279"/>
      <c r="BO451" s="279"/>
      <c r="BP451" s="279"/>
      <c r="BQ451" s="279"/>
    </row>
    <row r="452" ht="12.75" hidden="1" customHeight="1">
      <c r="A452" s="275"/>
      <c r="B452" s="281" t="s">
        <v>736</v>
      </c>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6"/>
      <c r="AX452" s="279"/>
      <c r="AY452" s="279"/>
      <c r="AZ452" s="279"/>
      <c r="BA452" s="279"/>
      <c r="BB452" s="279"/>
      <c r="BC452" s="279"/>
      <c r="BD452" s="279"/>
      <c r="BE452" s="279"/>
      <c r="BF452" s="279"/>
      <c r="BG452" s="279"/>
      <c r="BH452" s="279"/>
      <c r="BI452" s="279"/>
      <c r="BJ452" s="279"/>
      <c r="BK452" s="279"/>
      <c r="BL452" s="279"/>
      <c r="BM452" s="279"/>
      <c r="BN452" s="279"/>
      <c r="BO452" s="279"/>
      <c r="BP452" s="279"/>
      <c r="BQ452" s="279"/>
    </row>
    <row r="453" ht="12.75" hidden="1" customHeight="1">
      <c r="A453" s="275"/>
      <c r="B453" s="414"/>
      <c r="C453" s="415"/>
      <c r="D453" s="415"/>
      <c r="E453" s="415"/>
      <c r="F453" s="415"/>
      <c r="G453" s="415"/>
      <c r="H453" s="416"/>
      <c r="I453" s="281" t="s">
        <v>737</v>
      </c>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6"/>
      <c r="AH453" s="281" t="s">
        <v>142</v>
      </c>
      <c r="AI453" s="15"/>
      <c r="AJ453" s="15"/>
      <c r="AK453" s="15"/>
      <c r="AL453" s="15"/>
      <c r="AM453" s="15"/>
      <c r="AN453" s="15"/>
      <c r="AO453" s="15"/>
      <c r="AP453" s="15"/>
      <c r="AQ453" s="15"/>
      <c r="AR453" s="15"/>
      <c r="AS453" s="15"/>
      <c r="AT453" s="15"/>
      <c r="AU453" s="15"/>
      <c r="AV453" s="16"/>
      <c r="AW453" s="417"/>
      <c r="AX453" s="279"/>
      <c r="AY453" s="279"/>
      <c r="AZ453" s="279"/>
      <c r="BA453" s="279"/>
      <c r="BB453" s="279"/>
      <c r="BC453" s="279"/>
      <c r="BD453" s="279"/>
      <c r="BE453" s="279"/>
      <c r="BF453" s="279"/>
      <c r="BG453" s="279"/>
      <c r="BH453" s="279"/>
      <c r="BI453" s="279"/>
      <c r="BJ453" s="279"/>
      <c r="BK453" s="279"/>
      <c r="BL453" s="279"/>
      <c r="BM453" s="279"/>
      <c r="BN453" s="279"/>
      <c r="BO453" s="279"/>
      <c r="BP453" s="279"/>
      <c r="BQ453" s="279"/>
    </row>
    <row r="454" ht="12.75" hidden="1" customHeight="1">
      <c r="A454" s="275"/>
      <c r="B454" s="418"/>
      <c r="C454" s="419"/>
      <c r="D454" s="419"/>
      <c r="E454" s="419"/>
      <c r="F454" s="419"/>
      <c r="G454" s="419"/>
      <c r="H454" s="420"/>
      <c r="I454" s="281" t="s">
        <v>564</v>
      </c>
      <c r="J454" s="15"/>
      <c r="K454" s="15"/>
      <c r="L454" s="15"/>
      <c r="M454" s="15"/>
      <c r="N454" s="15"/>
      <c r="O454" s="15"/>
      <c r="P454" s="15"/>
      <c r="Q454" s="15"/>
      <c r="R454" s="16"/>
      <c r="S454" s="281" t="s">
        <v>738</v>
      </c>
      <c r="T454" s="15"/>
      <c r="U454" s="15"/>
      <c r="V454" s="15"/>
      <c r="W454" s="15"/>
      <c r="X454" s="15"/>
      <c r="Y454" s="15"/>
      <c r="Z454" s="15"/>
      <c r="AA454" s="15"/>
      <c r="AB454" s="16"/>
      <c r="AC454" s="388" t="s">
        <v>739</v>
      </c>
      <c r="AD454" s="22"/>
      <c r="AE454" s="22"/>
      <c r="AF454" s="22"/>
      <c r="AG454" s="23"/>
      <c r="AH454" s="388" t="s">
        <v>740</v>
      </c>
      <c r="AI454" s="22"/>
      <c r="AJ454" s="22"/>
      <c r="AK454" s="22"/>
      <c r="AL454" s="23"/>
      <c r="AM454" s="388" t="s">
        <v>741</v>
      </c>
      <c r="AN454" s="22"/>
      <c r="AO454" s="22"/>
      <c r="AP454" s="22"/>
      <c r="AQ454" s="23"/>
      <c r="AR454" s="388" t="s">
        <v>739</v>
      </c>
      <c r="AS454" s="22"/>
      <c r="AT454" s="22"/>
      <c r="AU454" s="22"/>
      <c r="AV454" s="23"/>
      <c r="AW454" s="421"/>
      <c r="AX454" s="279"/>
      <c r="AY454" s="279"/>
      <c r="AZ454" s="279"/>
      <c r="BA454" s="279"/>
      <c r="BB454" s="279"/>
      <c r="BC454" s="279"/>
      <c r="BD454" s="279"/>
      <c r="BE454" s="279"/>
      <c r="BF454" s="279"/>
      <c r="BG454" s="279"/>
      <c r="BH454" s="279"/>
      <c r="BI454" s="279"/>
      <c r="BJ454" s="279"/>
      <c r="BK454" s="279"/>
      <c r="BL454" s="279"/>
      <c r="BM454" s="279"/>
      <c r="BN454" s="279"/>
      <c r="BO454" s="279"/>
      <c r="BP454" s="279"/>
      <c r="BQ454" s="279"/>
    </row>
    <row r="455" ht="12.75" hidden="1" customHeight="1">
      <c r="A455" s="275"/>
      <c r="B455" s="422"/>
      <c r="C455" s="423"/>
      <c r="D455" s="423"/>
      <c r="E455" s="423"/>
      <c r="F455" s="423"/>
      <c r="G455" s="423"/>
      <c r="H455" s="424"/>
      <c r="I455" s="281" t="s">
        <v>740</v>
      </c>
      <c r="J455" s="15"/>
      <c r="K455" s="15"/>
      <c r="L455" s="15"/>
      <c r="M455" s="427"/>
      <c r="N455" s="281" t="s">
        <v>742</v>
      </c>
      <c r="O455" s="15"/>
      <c r="P455" s="15"/>
      <c r="Q455" s="15"/>
      <c r="R455" s="16"/>
      <c r="S455" s="281" t="s">
        <v>740</v>
      </c>
      <c r="T455" s="15"/>
      <c r="U455" s="15"/>
      <c r="V455" s="15"/>
      <c r="W455" s="427"/>
      <c r="X455" s="281" t="s">
        <v>743</v>
      </c>
      <c r="Y455" s="15"/>
      <c r="Z455" s="15"/>
      <c r="AA455" s="15"/>
      <c r="AB455" s="16"/>
      <c r="AC455" s="28"/>
      <c r="AD455" s="29"/>
      <c r="AE455" s="29"/>
      <c r="AF455" s="29"/>
      <c r="AG455" s="30"/>
      <c r="AH455" s="28"/>
      <c r="AI455" s="29"/>
      <c r="AJ455" s="29"/>
      <c r="AK455" s="29"/>
      <c r="AL455" s="30"/>
      <c r="AM455" s="28"/>
      <c r="AN455" s="29"/>
      <c r="AO455" s="29"/>
      <c r="AP455" s="29"/>
      <c r="AQ455" s="30"/>
      <c r="AR455" s="28"/>
      <c r="AS455" s="29"/>
      <c r="AT455" s="29"/>
      <c r="AU455" s="29"/>
      <c r="AV455" s="30"/>
      <c r="AW455" s="426"/>
      <c r="AX455" s="279"/>
      <c r="AY455" s="279"/>
      <c r="AZ455" s="279"/>
      <c r="BA455" s="279"/>
      <c r="BB455" s="279"/>
      <c r="BC455" s="279"/>
      <c r="BD455" s="279"/>
      <c r="BE455" s="279"/>
      <c r="BF455" s="279"/>
      <c r="BG455" s="279"/>
      <c r="BH455" s="279"/>
      <c r="BI455" s="279"/>
      <c r="BJ455" s="279"/>
      <c r="BK455" s="279"/>
      <c r="BL455" s="279"/>
      <c r="BM455" s="279"/>
      <c r="BN455" s="279"/>
      <c r="BO455" s="279"/>
      <c r="BP455" s="279"/>
      <c r="BQ455" s="279"/>
    </row>
    <row r="456" ht="12.75" hidden="1" customHeight="1">
      <c r="A456" s="269"/>
      <c r="B456" s="285" t="s">
        <v>744</v>
      </c>
      <c r="C456" s="286"/>
      <c r="D456" s="286"/>
      <c r="E456" s="286"/>
      <c r="F456" s="286"/>
      <c r="G456" s="286"/>
      <c r="H456" s="287"/>
      <c r="I456" s="290">
        <v>1270.0</v>
      </c>
      <c r="J456" s="289"/>
      <c r="K456" s="15"/>
      <c r="L456" s="15"/>
      <c r="M456" s="16"/>
      <c r="N456" s="290">
        <v>1279.0</v>
      </c>
      <c r="O456" s="289"/>
      <c r="P456" s="15"/>
      <c r="Q456" s="15"/>
      <c r="R456" s="16"/>
      <c r="S456" s="290">
        <v>1288.0</v>
      </c>
      <c r="T456" s="289"/>
      <c r="U456" s="15"/>
      <c r="V456" s="15"/>
      <c r="W456" s="16"/>
      <c r="X456" s="290">
        <v>1301.0</v>
      </c>
      <c r="Y456" s="289"/>
      <c r="Z456" s="15"/>
      <c r="AA456" s="15"/>
      <c r="AB456" s="16"/>
      <c r="AC456" s="290">
        <v>1313.0</v>
      </c>
      <c r="AD456" s="289"/>
      <c r="AE456" s="15"/>
      <c r="AF456" s="15"/>
      <c r="AG456" s="16"/>
      <c r="AH456" s="290">
        <v>1324.0</v>
      </c>
      <c r="AI456" s="289"/>
      <c r="AJ456" s="15"/>
      <c r="AK456" s="15"/>
      <c r="AL456" s="16"/>
      <c r="AM456" s="290">
        <v>1335.0</v>
      </c>
      <c r="AN456" s="289"/>
      <c r="AO456" s="15"/>
      <c r="AP456" s="15"/>
      <c r="AQ456" s="16"/>
      <c r="AR456" s="290">
        <v>1346.0</v>
      </c>
      <c r="AS456" s="289"/>
      <c r="AT456" s="15"/>
      <c r="AU456" s="15"/>
      <c r="AV456" s="16"/>
      <c r="AW456" s="338" t="s">
        <v>281</v>
      </c>
      <c r="AX456" s="279"/>
      <c r="AY456" s="279"/>
      <c r="AZ456" s="279"/>
      <c r="BA456" s="279"/>
      <c r="BB456" s="279"/>
      <c r="BC456" s="279"/>
      <c r="BD456" s="279"/>
      <c r="BE456" s="279"/>
      <c r="BF456" s="279"/>
      <c r="BG456" s="279"/>
      <c r="BH456" s="279"/>
      <c r="BI456" s="279"/>
      <c r="BJ456" s="279"/>
      <c r="BK456" s="279"/>
      <c r="BL456" s="279"/>
      <c r="BM456" s="279"/>
      <c r="BN456" s="279"/>
      <c r="BO456" s="279"/>
      <c r="BP456" s="279"/>
      <c r="BQ456" s="279"/>
    </row>
    <row r="457" ht="12.75" hidden="1" customHeight="1">
      <c r="A457" s="269"/>
      <c r="B457" s="285" t="s">
        <v>745</v>
      </c>
      <c r="C457" s="286"/>
      <c r="D457" s="286"/>
      <c r="E457" s="286"/>
      <c r="F457" s="286"/>
      <c r="G457" s="286"/>
      <c r="H457" s="287"/>
      <c r="I457" s="290">
        <v>1821.0</v>
      </c>
      <c r="J457" s="289"/>
      <c r="K457" s="15"/>
      <c r="L457" s="15"/>
      <c r="M457" s="16"/>
      <c r="N457" s="290">
        <v>1822.0</v>
      </c>
      <c r="O457" s="289"/>
      <c r="P457" s="15"/>
      <c r="Q457" s="15"/>
      <c r="R457" s="16"/>
      <c r="S457" s="290">
        <v>1289.0</v>
      </c>
      <c r="T457" s="289"/>
      <c r="U457" s="15"/>
      <c r="V457" s="15"/>
      <c r="W457" s="16"/>
      <c r="X457" s="290">
        <v>1302.0</v>
      </c>
      <c r="Y457" s="289"/>
      <c r="Z457" s="15"/>
      <c r="AA457" s="15"/>
      <c r="AB457" s="16"/>
      <c r="AC457" s="332"/>
      <c r="AD457" s="333"/>
      <c r="AE457" s="333"/>
      <c r="AF457" s="333"/>
      <c r="AG457" s="335"/>
      <c r="AH457" s="332"/>
      <c r="AI457" s="333"/>
      <c r="AJ457" s="333"/>
      <c r="AK457" s="333"/>
      <c r="AL457" s="335"/>
      <c r="AM457" s="332"/>
      <c r="AN457" s="333"/>
      <c r="AO457" s="333"/>
      <c r="AP457" s="333"/>
      <c r="AQ457" s="335"/>
      <c r="AR457" s="332"/>
      <c r="AS457" s="333"/>
      <c r="AT457" s="333"/>
      <c r="AU457" s="333"/>
      <c r="AV457" s="335"/>
      <c r="AW457" s="338" t="s">
        <v>312</v>
      </c>
      <c r="AX457" s="279"/>
      <c r="AY457" s="279"/>
      <c r="AZ457" s="279"/>
      <c r="BA457" s="279"/>
      <c r="BB457" s="279"/>
      <c r="BC457" s="279"/>
      <c r="BD457" s="279"/>
      <c r="BE457" s="279"/>
      <c r="BF457" s="279"/>
      <c r="BG457" s="279"/>
      <c r="BH457" s="279"/>
      <c r="BI457" s="279"/>
      <c r="BJ457" s="279"/>
      <c r="BK457" s="279"/>
      <c r="BL457" s="279"/>
      <c r="BM457" s="279"/>
      <c r="BN457" s="279"/>
      <c r="BO457" s="279"/>
      <c r="BP457" s="279"/>
      <c r="BQ457" s="279"/>
    </row>
    <row r="458" ht="12.75" hidden="1" customHeight="1">
      <c r="A458" s="269"/>
      <c r="B458" s="285" t="s">
        <v>708</v>
      </c>
      <c r="C458" s="286"/>
      <c r="D458" s="286"/>
      <c r="E458" s="286"/>
      <c r="F458" s="286"/>
      <c r="G458" s="286"/>
      <c r="H458" s="287"/>
      <c r="I458" s="290">
        <v>1271.0</v>
      </c>
      <c r="J458" s="289"/>
      <c r="K458" s="15"/>
      <c r="L458" s="15"/>
      <c r="M458" s="16"/>
      <c r="N458" s="290">
        <v>1280.0</v>
      </c>
      <c r="O458" s="289"/>
      <c r="P458" s="15"/>
      <c r="Q458" s="15"/>
      <c r="R458" s="16"/>
      <c r="S458" s="290">
        <v>1290.0</v>
      </c>
      <c r="T458" s="289"/>
      <c r="U458" s="15"/>
      <c r="V458" s="15"/>
      <c r="W458" s="16"/>
      <c r="X458" s="290">
        <v>1303.0</v>
      </c>
      <c r="Y458" s="289"/>
      <c r="Z458" s="15"/>
      <c r="AA458" s="15"/>
      <c r="AB458" s="16"/>
      <c r="AC458" s="290">
        <v>1314.0</v>
      </c>
      <c r="AD458" s="289"/>
      <c r="AE458" s="15"/>
      <c r="AF458" s="15"/>
      <c r="AG458" s="16"/>
      <c r="AH458" s="290">
        <v>1326.0</v>
      </c>
      <c r="AI458" s="289"/>
      <c r="AJ458" s="15"/>
      <c r="AK458" s="15"/>
      <c r="AL458" s="16"/>
      <c r="AM458" s="290">
        <v>1337.0</v>
      </c>
      <c r="AN458" s="289"/>
      <c r="AO458" s="15"/>
      <c r="AP458" s="15"/>
      <c r="AQ458" s="16"/>
      <c r="AR458" s="290">
        <v>1347.0</v>
      </c>
      <c r="AS458" s="289"/>
      <c r="AT458" s="15"/>
      <c r="AU458" s="15"/>
      <c r="AV458" s="16"/>
      <c r="AW458" s="338" t="s">
        <v>281</v>
      </c>
      <c r="AX458" s="279"/>
      <c r="AY458" s="279"/>
      <c r="AZ458" s="279"/>
      <c r="BA458" s="279"/>
      <c r="BB458" s="279"/>
      <c r="BC458" s="279"/>
      <c r="BD458" s="279"/>
      <c r="BE458" s="279"/>
      <c r="BF458" s="279"/>
      <c r="BG458" s="279"/>
      <c r="BH458" s="279"/>
      <c r="BI458" s="279"/>
      <c r="BJ458" s="279"/>
      <c r="BK458" s="279"/>
      <c r="BL458" s="279"/>
      <c r="BM458" s="279"/>
      <c r="BN458" s="279"/>
      <c r="BO458" s="279"/>
      <c r="BP458" s="279"/>
      <c r="BQ458" s="279"/>
    </row>
    <row r="459" ht="12.75" hidden="1" customHeight="1">
      <c r="A459" s="269"/>
      <c r="B459" s="285" t="s">
        <v>709</v>
      </c>
      <c r="C459" s="286"/>
      <c r="D459" s="286"/>
      <c r="E459" s="286"/>
      <c r="F459" s="286"/>
      <c r="G459" s="286"/>
      <c r="H459" s="287"/>
      <c r="I459" s="290">
        <v>1272.0</v>
      </c>
      <c r="J459" s="289"/>
      <c r="K459" s="15"/>
      <c r="L459" s="15"/>
      <c r="M459" s="16"/>
      <c r="N459" s="290">
        <v>1281.0</v>
      </c>
      <c r="O459" s="289"/>
      <c r="P459" s="15"/>
      <c r="Q459" s="15"/>
      <c r="R459" s="16"/>
      <c r="S459" s="290">
        <v>1291.0</v>
      </c>
      <c r="T459" s="289"/>
      <c r="U459" s="15"/>
      <c r="V459" s="15"/>
      <c r="W459" s="16"/>
      <c r="X459" s="290">
        <v>1304.0</v>
      </c>
      <c r="Y459" s="289"/>
      <c r="Z459" s="15"/>
      <c r="AA459" s="15"/>
      <c r="AB459" s="16"/>
      <c r="AC459" s="290">
        <v>1315.0</v>
      </c>
      <c r="AD459" s="289"/>
      <c r="AE459" s="15"/>
      <c r="AF459" s="15"/>
      <c r="AG459" s="16"/>
      <c r="AH459" s="290">
        <v>1327.0</v>
      </c>
      <c r="AI459" s="289"/>
      <c r="AJ459" s="15"/>
      <c r="AK459" s="15"/>
      <c r="AL459" s="16"/>
      <c r="AM459" s="290">
        <v>1338.0</v>
      </c>
      <c r="AN459" s="289"/>
      <c r="AO459" s="15"/>
      <c r="AP459" s="15"/>
      <c r="AQ459" s="16"/>
      <c r="AR459" s="290">
        <v>1348.0</v>
      </c>
      <c r="AS459" s="289"/>
      <c r="AT459" s="15"/>
      <c r="AU459" s="15"/>
      <c r="AV459" s="16"/>
      <c r="AW459" s="338" t="s">
        <v>312</v>
      </c>
      <c r="AX459" s="279"/>
      <c r="AY459" s="279"/>
      <c r="AZ459" s="279"/>
      <c r="BA459" s="279"/>
      <c r="BB459" s="279"/>
      <c r="BC459" s="279"/>
      <c r="BD459" s="279"/>
      <c r="BE459" s="279"/>
      <c r="BF459" s="279"/>
      <c r="BG459" s="279"/>
      <c r="BH459" s="279"/>
      <c r="BI459" s="279"/>
      <c r="BJ459" s="279"/>
      <c r="BK459" s="279"/>
      <c r="BL459" s="279"/>
      <c r="BM459" s="279"/>
      <c r="BN459" s="279"/>
      <c r="BO459" s="279"/>
      <c r="BP459" s="279"/>
      <c r="BQ459" s="279"/>
    </row>
    <row r="460" ht="12.75" hidden="1" customHeight="1">
      <c r="A460" s="269"/>
      <c r="B460" s="285" t="s">
        <v>746</v>
      </c>
      <c r="C460" s="286"/>
      <c r="D460" s="286"/>
      <c r="E460" s="286"/>
      <c r="F460" s="286"/>
      <c r="G460" s="286"/>
      <c r="H460" s="287"/>
      <c r="I460" s="332"/>
      <c r="J460" s="333"/>
      <c r="K460" s="333"/>
      <c r="L460" s="333"/>
      <c r="M460" s="335"/>
      <c r="N460" s="332"/>
      <c r="O460" s="333"/>
      <c r="P460" s="333"/>
      <c r="Q460" s="333"/>
      <c r="R460" s="335"/>
      <c r="S460" s="290">
        <v>1292.0</v>
      </c>
      <c r="T460" s="289"/>
      <c r="U460" s="15"/>
      <c r="V460" s="15"/>
      <c r="W460" s="16"/>
      <c r="X460" s="290">
        <v>1305.0</v>
      </c>
      <c r="Y460" s="289"/>
      <c r="Z460" s="15"/>
      <c r="AA460" s="15"/>
      <c r="AB460" s="16"/>
      <c r="AC460" s="290">
        <v>1316.0</v>
      </c>
      <c r="AD460" s="289"/>
      <c r="AE460" s="15"/>
      <c r="AF460" s="15"/>
      <c r="AG460" s="16"/>
      <c r="AH460" s="332"/>
      <c r="AI460" s="333"/>
      <c r="AJ460" s="333"/>
      <c r="AK460" s="333"/>
      <c r="AL460" s="335"/>
      <c r="AM460" s="332"/>
      <c r="AN460" s="333"/>
      <c r="AO460" s="333"/>
      <c r="AP460" s="333"/>
      <c r="AQ460" s="335"/>
      <c r="AR460" s="332"/>
      <c r="AS460" s="333"/>
      <c r="AT460" s="333"/>
      <c r="AU460" s="333"/>
      <c r="AV460" s="335"/>
      <c r="AW460" s="338" t="s">
        <v>281</v>
      </c>
      <c r="AX460" s="279"/>
      <c r="AY460" s="279"/>
      <c r="AZ460" s="279"/>
      <c r="BA460" s="279"/>
      <c r="BB460" s="279"/>
      <c r="BC460" s="279"/>
      <c r="BD460" s="279"/>
      <c r="BE460" s="279"/>
      <c r="BF460" s="279"/>
      <c r="BG460" s="279"/>
      <c r="BH460" s="279"/>
      <c r="BI460" s="279"/>
      <c r="BJ460" s="279"/>
      <c r="BK460" s="279"/>
      <c r="BL460" s="279"/>
      <c r="BM460" s="279"/>
      <c r="BN460" s="279"/>
      <c r="BO460" s="279"/>
      <c r="BP460" s="279"/>
      <c r="BQ460" s="279"/>
    </row>
    <row r="461" ht="12.75" hidden="1" customHeight="1">
      <c r="A461" s="269"/>
      <c r="B461" s="285" t="s">
        <v>747</v>
      </c>
      <c r="C461" s="286"/>
      <c r="D461" s="286"/>
      <c r="E461" s="286"/>
      <c r="F461" s="286"/>
      <c r="G461" s="286"/>
      <c r="H461" s="287"/>
      <c r="I461" s="290">
        <v>1273.0</v>
      </c>
      <c r="J461" s="289"/>
      <c r="K461" s="15"/>
      <c r="L461" s="15"/>
      <c r="M461" s="16"/>
      <c r="N461" s="290">
        <v>1282.0</v>
      </c>
      <c r="O461" s="289"/>
      <c r="P461" s="15"/>
      <c r="Q461" s="15"/>
      <c r="R461" s="16"/>
      <c r="S461" s="290">
        <v>1293.0</v>
      </c>
      <c r="T461" s="289"/>
      <c r="U461" s="15"/>
      <c r="V461" s="15"/>
      <c r="W461" s="16"/>
      <c r="X461" s="290">
        <v>1306.0</v>
      </c>
      <c r="Y461" s="289"/>
      <c r="Z461" s="15"/>
      <c r="AA461" s="15"/>
      <c r="AB461" s="16"/>
      <c r="AC461" s="290">
        <v>1317.0</v>
      </c>
      <c r="AD461" s="289"/>
      <c r="AE461" s="15"/>
      <c r="AF461" s="15"/>
      <c r="AG461" s="16"/>
      <c r="AH461" s="290">
        <v>1328.0</v>
      </c>
      <c r="AI461" s="289"/>
      <c r="AJ461" s="15"/>
      <c r="AK461" s="15"/>
      <c r="AL461" s="16"/>
      <c r="AM461" s="290">
        <v>1339.0</v>
      </c>
      <c r="AN461" s="289"/>
      <c r="AO461" s="15"/>
      <c r="AP461" s="15"/>
      <c r="AQ461" s="16"/>
      <c r="AR461" s="347">
        <v>1349.0</v>
      </c>
      <c r="AS461" s="289"/>
      <c r="AT461" s="15"/>
      <c r="AU461" s="15"/>
      <c r="AV461" s="16"/>
      <c r="AW461" s="338" t="s">
        <v>281</v>
      </c>
      <c r="AX461" s="279"/>
      <c r="AY461" s="279"/>
      <c r="AZ461" s="279"/>
      <c r="BA461" s="279"/>
      <c r="BB461" s="279"/>
      <c r="BC461" s="279"/>
      <c r="BD461" s="279"/>
      <c r="BE461" s="279"/>
      <c r="BF461" s="279"/>
      <c r="BG461" s="279"/>
      <c r="BH461" s="279"/>
      <c r="BI461" s="279"/>
      <c r="BJ461" s="279"/>
      <c r="BK461" s="279"/>
      <c r="BL461" s="279"/>
      <c r="BM461" s="279"/>
      <c r="BN461" s="279"/>
      <c r="BO461" s="279"/>
      <c r="BP461" s="279"/>
      <c r="BQ461" s="279"/>
    </row>
    <row r="462" ht="12.75" hidden="1" customHeight="1">
      <c r="A462" s="269"/>
      <c r="B462" s="285" t="s">
        <v>730</v>
      </c>
      <c r="C462" s="286"/>
      <c r="D462" s="286"/>
      <c r="E462" s="286"/>
      <c r="F462" s="286"/>
      <c r="G462" s="286"/>
      <c r="H462" s="287"/>
      <c r="I462" s="290">
        <v>1274.0</v>
      </c>
      <c r="J462" s="289"/>
      <c r="K462" s="15"/>
      <c r="L462" s="15"/>
      <c r="M462" s="16"/>
      <c r="N462" s="290">
        <v>1283.0</v>
      </c>
      <c r="O462" s="289"/>
      <c r="P462" s="15"/>
      <c r="Q462" s="15"/>
      <c r="R462" s="16"/>
      <c r="S462" s="290">
        <v>1294.0</v>
      </c>
      <c r="T462" s="289"/>
      <c r="U462" s="15"/>
      <c r="V462" s="15"/>
      <c r="W462" s="16"/>
      <c r="X462" s="290">
        <v>1307.0</v>
      </c>
      <c r="Y462" s="289"/>
      <c r="Z462" s="15"/>
      <c r="AA462" s="15"/>
      <c r="AB462" s="16"/>
      <c r="AC462" s="290">
        <v>1318.0</v>
      </c>
      <c r="AD462" s="289"/>
      <c r="AE462" s="15"/>
      <c r="AF462" s="15"/>
      <c r="AG462" s="16"/>
      <c r="AH462" s="290">
        <v>1329.0</v>
      </c>
      <c r="AI462" s="289"/>
      <c r="AJ462" s="15"/>
      <c r="AK462" s="15"/>
      <c r="AL462" s="16"/>
      <c r="AM462" s="290">
        <v>1340.0</v>
      </c>
      <c r="AN462" s="289"/>
      <c r="AO462" s="15"/>
      <c r="AP462" s="15"/>
      <c r="AQ462" s="16"/>
      <c r="AR462" s="290">
        <v>1350.0</v>
      </c>
      <c r="AS462" s="289"/>
      <c r="AT462" s="15"/>
      <c r="AU462" s="15"/>
      <c r="AV462" s="16"/>
      <c r="AW462" s="338" t="s">
        <v>281</v>
      </c>
      <c r="AX462" s="279"/>
      <c r="AY462" s="279"/>
      <c r="AZ462" s="279"/>
      <c r="BA462" s="279"/>
      <c r="BB462" s="279"/>
      <c r="BC462" s="279"/>
      <c r="BD462" s="279"/>
      <c r="BE462" s="279"/>
      <c r="BF462" s="279"/>
      <c r="BG462" s="279"/>
      <c r="BH462" s="279"/>
      <c r="BI462" s="279"/>
      <c r="BJ462" s="279"/>
      <c r="BK462" s="279"/>
      <c r="BL462" s="279"/>
      <c r="BM462" s="279"/>
      <c r="BN462" s="279"/>
      <c r="BO462" s="279"/>
      <c r="BP462" s="279"/>
      <c r="BQ462" s="279"/>
    </row>
    <row r="463" ht="12.75" hidden="1" customHeight="1">
      <c r="A463" s="269"/>
      <c r="B463" s="285" t="s">
        <v>731</v>
      </c>
      <c r="C463" s="286"/>
      <c r="D463" s="286"/>
      <c r="E463" s="286"/>
      <c r="F463" s="286"/>
      <c r="G463" s="286"/>
      <c r="H463" s="287"/>
      <c r="I463" s="290">
        <v>1275.0</v>
      </c>
      <c r="J463" s="289"/>
      <c r="K463" s="15"/>
      <c r="L463" s="15"/>
      <c r="M463" s="16"/>
      <c r="N463" s="290">
        <v>1284.0</v>
      </c>
      <c r="O463" s="289"/>
      <c r="P463" s="15"/>
      <c r="Q463" s="15"/>
      <c r="R463" s="16"/>
      <c r="S463" s="290">
        <v>1295.0</v>
      </c>
      <c r="T463" s="289"/>
      <c r="U463" s="15"/>
      <c r="V463" s="15"/>
      <c r="W463" s="16"/>
      <c r="X463" s="290">
        <v>1308.0</v>
      </c>
      <c r="Y463" s="289"/>
      <c r="Z463" s="15"/>
      <c r="AA463" s="15"/>
      <c r="AB463" s="16"/>
      <c r="AC463" s="290">
        <v>1319.0</v>
      </c>
      <c r="AD463" s="289"/>
      <c r="AE463" s="15"/>
      <c r="AF463" s="15"/>
      <c r="AG463" s="16"/>
      <c r="AH463" s="290">
        <v>1330.0</v>
      </c>
      <c r="AI463" s="289"/>
      <c r="AJ463" s="15"/>
      <c r="AK463" s="15"/>
      <c r="AL463" s="16"/>
      <c r="AM463" s="290">
        <v>1341.0</v>
      </c>
      <c r="AN463" s="289"/>
      <c r="AO463" s="15"/>
      <c r="AP463" s="15"/>
      <c r="AQ463" s="16"/>
      <c r="AR463" s="290">
        <v>1351.0</v>
      </c>
      <c r="AS463" s="289"/>
      <c r="AT463" s="15"/>
      <c r="AU463" s="15"/>
      <c r="AV463" s="16"/>
      <c r="AW463" s="338" t="s">
        <v>312</v>
      </c>
      <c r="AX463" s="279"/>
      <c r="AY463" s="279"/>
      <c r="AZ463" s="279"/>
      <c r="BA463" s="279"/>
      <c r="BB463" s="279"/>
      <c r="BC463" s="279"/>
      <c r="BD463" s="279"/>
      <c r="BE463" s="279"/>
      <c r="BF463" s="279"/>
      <c r="BG463" s="279"/>
      <c r="BH463" s="279"/>
      <c r="BI463" s="279"/>
      <c r="BJ463" s="279"/>
      <c r="BK463" s="279"/>
      <c r="BL463" s="279"/>
      <c r="BM463" s="279"/>
      <c r="BN463" s="279"/>
      <c r="BO463" s="279"/>
      <c r="BP463" s="279"/>
      <c r="BQ463" s="279"/>
    </row>
    <row r="464" ht="12.75" hidden="1" customHeight="1">
      <c r="A464" s="269"/>
      <c r="B464" s="285" t="s">
        <v>748</v>
      </c>
      <c r="C464" s="286"/>
      <c r="D464" s="286"/>
      <c r="E464" s="286"/>
      <c r="F464" s="286"/>
      <c r="G464" s="286"/>
      <c r="H464" s="287"/>
      <c r="I464" s="290">
        <v>1276.0</v>
      </c>
      <c r="J464" s="289"/>
      <c r="K464" s="15"/>
      <c r="L464" s="15"/>
      <c r="M464" s="16"/>
      <c r="N464" s="290">
        <v>1285.0</v>
      </c>
      <c r="O464" s="289"/>
      <c r="P464" s="15"/>
      <c r="Q464" s="15"/>
      <c r="R464" s="16"/>
      <c r="S464" s="290">
        <v>1296.0</v>
      </c>
      <c r="T464" s="289"/>
      <c r="U464" s="15"/>
      <c r="V464" s="15"/>
      <c r="W464" s="16"/>
      <c r="X464" s="290">
        <v>1309.0</v>
      </c>
      <c r="Y464" s="289"/>
      <c r="Z464" s="15"/>
      <c r="AA464" s="15"/>
      <c r="AB464" s="16"/>
      <c r="AC464" s="290">
        <v>1320.0</v>
      </c>
      <c r="AD464" s="289"/>
      <c r="AE464" s="15"/>
      <c r="AF464" s="15"/>
      <c r="AG464" s="16"/>
      <c r="AH464" s="290">
        <v>1331.0</v>
      </c>
      <c r="AI464" s="289"/>
      <c r="AJ464" s="15"/>
      <c r="AK464" s="15"/>
      <c r="AL464" s="16"/>
      <c r="AM464" s="290">
        <v>1342.0</v>
      </c>
      <c r="AN464" s="289"/>
      <c r="AO464" s="15"/>
      <c r="AP464" s="15"/>
      <c r="AQ464" s="16"/>
      <c r="AR464" s="290">
        <v>1352.0</v>
      </c>
      <c r="AS464" s="289"/>
      <c r="AT464" s="15"/>
      <c r="AU464" s="15"/>
      <c r="AV464" s="16"/>
      <c r="AW464" s="338" t="s">
        <v>312</v>
      </c>
      <c r="AX464" s="279"/>
      <c r="AY464" s="279"/>
      <c r="AZ464" s="279"/>
      <c r="BA464" s="279"/>
      <c r="BB464" s="279"/>
      <c r="BC464" s="279"/>
      <c r="BD464" s="279"/>
      <c r="BE464" s="279"/>
      <c r="BF464" s="279"/>
      <c r="BG464" s="279"/>
      <c r="BH464" s="279"/>
      <c r="BI464" s="279"/>
      <c r="BJ464" s="279"/>
      <c r="BK464" s="279"/>
      <c r="BL464" s="279"/>
      <c r="BM464" s="279"/>
      <c r="BN464" s="279"/>
      <c r="BO464" s="279"/>
      <c r="BP464" s="279"/>
      <c r="BQ464" s="279"/>
    </row>
    <row r="465" ht="12.75" hidden="1" customHeight="1">
      <c r="A465" s="269"/>
      <c r="B465" s="285" t="s">
        <v>749</v>
      </c>
      <c r="C465" s="286"/>
      <c r="D465" s="286"/>
      <c r="E465" s="286"/>
      <c r="F465" s="286"/>
      <c r="G465" s="286"/>
      <c r="H465" s="287"/>
      <c r="I465" s="290">
        <v>1277.0</v>
      </c>
      <c r="J465" s="289"/>
      <c r="K465" s="15"/>
      <c r="L465" s="15"/>
      <c r="M465" s="16"/>
      <c r="N465" s="290">
        <v>1286.0</v>
      </c>
      <c r="O465" s="289"/>
      <c r="P465" s="15"/>
      <c r="Q465" s="15"/>
      <c r="R465" s="16"/>
      <c r="S465" s="290">
        <v>1297.0</v>
      </c>
      <c r="T465" s="289"/>
      <c r="U465" s="15"/>
      <c r="V465" s="15"/>
      <c r="W465" s="16"/>
      <c r="X465" s="290">
        <v>1310.0</v>
      </c>
      <c r="Y465" s="289"/>
      <c r="Z465" s="15"/>
      <c r="AA465" s="15"/>
      <c r="AB465" s="16"/>
      <c r="AC465" s="290">
        <v>1321.0</v>
      </c>
      <c r="AD465" s="289"/>
      <c r="AE465" s="15"/>
      <c r="AF465" s="15"/>
      <c r="AG465" s="16"/>
      <c r="AH465" s="290">
        <v>1332.0</v>
      </c>
      <c r="AI465" s="289"/>
      <c r="AJ465" s="15"/>
      <c r="AK465" s="15"/>
      <c r="AL465" s="16"/>
      <c r="AM465" s="290">
        <v>1343.0</v>
      </c>
      <c r="AN465" s="289"/>
      <c r="AO465" s="15"/>
      <c r="AP465" s="15"/>
      <c r="AQ465" s="16"/>
      <c r="AR465" s="290">
        <v>1353.0</v>
      </c>
      <c r="AS465" s="289"/>
      <c r="AT465" s="15"/>
      <c r="AU465" s="15"/>
      <c r="AV465" s="16"/>
      <c r="AW465" s="338" t="s">
        <v>312</v>
      </c>
      <c r="AX465" s="279"/>
      <c r="AY465" s="279"/>
      <c r="AZ465" s="279"/>
      <c r="BA465" s="279"/>
      <c r="BB465" s="279"/>
      <c r="BC465" s="279"/>
      <c r="BD465" s="279"/>
      <c r="BE465" s="279"/>
      <c r="BF465" s="279"/>
      <c r="BG465" s="279"/>
      <c r="BH465" s="279"/>
      <c r="BI465" s="279"/>
      <c r="BJ465" s="279"/>
      <c r="BK465" s="279"/>
      <c r="BL465" s="279"/>
      <c r="BM465" s="279"/>
      <c r="BN465" s="279"/>
      <c r="BO465" s="279"/>
      <c r="BP465" s="279"/>
      <c r="BQ465" s="279"/>
    </row>
    <row r="466" ht="12.75" hidden="1" customHeight="1">
      <c r="A466" s="269"/>
      <c r="B466" s="285" t="s">
        <v>750</v>
      </c>
      <c r="C466" s="286"/>
      <c r="D466" s="286"/>
      <c r="E466" s="286"/>
      <c r="F466" s="286"/>
      <c r="G466" s="286"/>
      <c r="H466" s="287"/>
      <c r="I466" s="332"/>
      <c r="J466" s="333"/>
      <c r="K466" s="333"/>
      <c r="L466" s="333"/>
      <c r="M466" s="335"/>
      <c r="N466" s="332"/>
      <c r="O466" s="333"/>
      <c r="P466" s="333"/>
      <c r="Q466" s="333"/>
      <c r="R466" s="335"/>
      <c r="S466" s="290">
        <v>1298.0</v>
      </c>
      <c r="T466" s="289"/>
      <c r="U466" s="15"/>
      <c r="V466" s="15"/>
      <c r="W466" s="16"/>
      <c r="X466" s="290">
        <v>1311.0</v>
      </c>
      <c r="Y466" s="289"/>
      <c r="Z466" s="15"/>
      <c r="AA466" s="15"/>
      <c r="AB466" s="16"/>
      <c r="AC466" s="290">
        <v>1322.0</v>
      </c>
      <c r="AD466" s="289"/>
      <c r="AE466" s="15"/>
      <c r="AF466" s="15"/>
      <c r="AG466" s="16"/>
      <c r="AH466" s="290">
        <v>1333.0</v>
      </c>
      <c r="AI466" s="289"/>
      <c r="AJ466" s="15"/>
      <c r="AK466" s="15"/>
      <c r="AL466" s="16"/>
      <c r="AM466" s="290">
        <v>1344.0</v>
      </c>
      <c r="AN466" s="289"/>
      <c r="AO466" s="15"/>
      <c r="AP466" s="15"/>
      <c r="AQ466" s="16"/>
      <c r="AR466" s="290">
        <v>1354.0</v>
      </c>
      <c r="AS466" s="289"/>
      <c r="AT466" s="15"/>
      <c r="AU466" s="15"/>
      <c r="AV466" s="16"/>
      <c r="AW466" s="338" t="s">
        <v>312</v>
      </c>
      <c r="AX466" s="279"/>
      <c r="AY466" s="279"/>
      <c r="AZ466" s="279"/>
      <c r="BA466" s="279"/>
      <c r="BB466" s="279"/>
      <c r="BC466" s="279"/>
      <c r="BD466" s="279"/>
      <c r="BE466" s="279"/>
      <c r="BF466" s="279"/>
      <c r="BG466" s="279"/>
      <c r="BH466" s="279"/>
      <c r="BI466" s="279"/>
      <c r="BJ466" s="279"/>
      <c r="BK466" s="279"/>
      <c r="BL466" s="279"/>
      <c r="BM466" s="279"/>
      <c r="BN466" s="279"/>
      <c r="BO466" s="279"/>
      <c r="BP466" s="279"/>
      <c r="BQ466" s="279"/>
    </row>
    <row r="467" ht="12.75" hidden="1" customHeight="1">
      <c r="A467" s="269"/>
      <c r="B467" s="285" t="s">
        <v>734</v>
      </c>
      <c r="C467" s="286"/>
      <c r="D467" s="286"/>
      <c r="E467" s="286"/>
      <c r="F467" s="286"/>
      <c r="G467" s="286"/>
      <c r="H467" s="287"/>
      <c r="I467" s="290">
        <v>1278.0</v>
      </c>
      <c r="J467" s="289">
        <f>+IF(($J$456+$J$458+$J$460+$J$461+$J$462-$J$457-$J$459-$J$463-$J$464-$J$465-$J$466)&gt;0,($J$456+$J$458+$J$460+$J$461+$J$462-$J$457-$J$459-$J$463-$J$464-$J$465-$J$466),0)</f>
        <v>0</v>
      </c>
      <c r="K467" s="15"/>
      <c r="L467" s="15"/>
      <c r="M467" s="16"/>
      <c r="N467" s="290">
        <v>1287.0</v>
      </c>
      <c r="O467" s="289">
        <f>+IF(($O$456+$O$458+$O$460+$O$461+$O$462-$O$457-$O$459-$O$463-$O$464-$O$465-$O$466)&gt;0,($O$456+$O$458+$O$460+$O$461+$O$462-$O$457-$O$459-$O$463-$O$464-$O$465-$O$466),0)</f>
        <v>0</v>
      </c>
      <c r="P467" s="15"/>
      <c r="Q467" s="15"/>
      <c r="R467" s="16"/>
      <c r="S467" s="290">
        <v>1312.0</v>
      </c>
      <c r="T467" s="289">
        <f>+IF(($T$456+$T$458+$T$460+$T$461+$T$462-$T$457-$T$459-$T$463-$T$464-$T$465-$T$466)&gt;0,($T$456+$T$458+$T$460+$T$461+$T$462-$T$457-$T$459-$T$463-$T$464-$T$465-$T$466),0)</f>
        <v>0</v>
      </c>
      <c r="U467" s="15"/>
      <c r="V467" s="15"/>
      <c r="W467" s="16"/>
      <c r="X467" s="290">
        <v>1300.0</v>
      </c>
      <c r="Y467" s="289">
        <f>+IF(($Y$456+$Y$458+$Y$460+$Y$461+$Y$462-$Y$457-$Y$459-$Y$463-$Y$464-$Y$465-$Y$466)&gt;0,($Y$456+$Y$458+$Y$460+$Y$461+$Y$462-$Y$457-$Y$459-$Y$463-$Y$464-$Y$465-$Y$466),0)</f>
        <v>0</v>
      </c>
      <c r="Z467" s="15"/>
      <c r="AA467" s="15"/>
      <c r="AB467" s="16"/>
      <c r="AC467" s="290">
        <v>1323.0</v>
      </c>
      <c r="AD467" s="289">
        <f>+IF(($AD$456+$AD$458+$AD$460+$AD$461+$AD$462-$AD$457-$AD$459-$AD$463-$AD$464-$AD$465-$AD$466)&gt;0,($AD$456+$AD$458+$AD$460+$AD$461+$AD$462-$AD$457-$AD$459-$AD$463-$AD$464-$AD$465-$AD$466),0)</f>
        <v>0</v>
      </c>
      <c r="AE467" s="15"/>
      <c r="AF467" s="15"/>
      <c r="AG467" s="16"/>
      <c r="AH467" s="290">
        <v>1334.0</v>
      </c>
      <c r="AI467" s="289">
        <f>+IF(($AI$456+$AI$458+$AI$460+$AI$461+$AI$462-$AI$457-$AI$459-$AI$463-$AI$464-$AI$465-$AI$466)&gt;0,($AI$456+$AI$458+$AI$460+$AI$461+$AI$462-$AI$457-$AI$459-$AI$463-$AI$464-$AI$465-$AI$466),0)</f>
        <v>0</v>
      </c>
      <c r="AJ467" s="15"/>
      <c r="AK467" s="15"/>
      <c r="AL467" s="16"/>
      <c r="AM467" s="290">
        <v>1345.0</v>
      </c>
      <c r="AN467" s="289">
        <f>+IF(($AN$456+$AN$458+$AN$460+$AN$461+$AN$462-$AN$457-$AN$459-$AN$463-$AN$464-$AN$465-$AN$466)&gt;0,($AN$456+$AN$458+$AN$460+$AN$461+$AN$462-$AN$457-$AN$459-$AN$463-$AN$464-$AN$465-$AN$466),0)</f>
        <v>0</v>
      </c>
      <c r="AO467" s="15"/>
      <c r="AP467" s="15"/>
      <c r="AQ467" s="16"/>
      <c r="AR467" s="290">
        <v>1355.0</v>
      </c>
      <c r="AS467" s="289">
        <f>+IF(($AS$456+$AS$458+$AS$460+$AS$461+$AS$462-$AS$457-$AS$459-$AS$463-$AS$464-$AS$465-$AS$466)&gt;0,($AS$456+$AS$458+$AS$460+$AS$461+$AS$462-$AS$457-$AS$459-$AS$463-$AS$464-$AS$465-$AS$466),0)</f>
        <v>0</v>
      </c>
      <c r="AT467" s="15"/>
      <c r="AU467" s="15"/>
      <c r="AV467" s="16"/>
      <c r="AW467" s="338" t="s">
        <v>317</v>
      </c>
      <c r="AX467" s="279"/>
      <c r="AY467" s="279"/>
      <c r="AZ467" s="279"/>
      <c r="BA467" s="279"/>
      <c r="BB467" s="279"/>
      <c r="BC467" s="279"/>
      <c r="BD467" s="279"/>
      <c r="BE467" s="279"/>
      <c r="BF467" s="279"/>
      <c r="BG467" s="279"/>
      <c r="BH467" s="279"/>
      <c r="BI467" s="279"/>
      <c r="BJ467" s="279"/>
      <c r="BK467" s="279"/>
      <c r="BL467" s="279"/>
      <c r="BM467" s="279"/>
      <c r="BN467" s="279"/>
      <c r="BO467" s="279"/>
      <c r="BP467" s="279"/>
      <c r="BQ467" s="279"/>
    </row>
    <row r="468" ht="12.75" hidden="1" customHeight="1">
      <c r="A468" s="269"/>
      <c r="B468" s="285" t="s">
        <v>735</v>
      </c>
      <c r="C468" s="286"/>
      <c r="D468" s="286"/>
      <c r="E468" s="286"/>
      <c r="F468" s="286"/>
      <c r="G468" s="286"/>
      <c r="H468" s="287"/>
      <c r="I468" s="290">
        <v>1723.0</v>
      </c>
      <c r="J468" s="289">
        <f>-IF(($J$456+$J$458+$J$460+$J$461+$J$462-$J$457-$J$459-$J$463-$J$464-$J$465-$J$466)&lt;0,($J$456+$J$458+$J$460+$J$461+$J$462-$J$457-$J$459-$J$463-$J$464-$J$465-$J$466),0)</f>
        <v>0</v>
      </c>
      <c r="K468" s="15"/>
      <c r="L468" s="15"/>
      <c r="M468" s="16"/>
      <c r="N468" s="290">
        <v>1724.0</v>
      </c>
      <c r="O468" s="289">
        <f>-IF(($O$456+$O$458+$O$460+$O$461+$O$462-$O$457-$O$459-$O$463-$O$464-$O$465-$O$466)&lt;0,($O$456+$O$458+$O$460+$O$461+$O$462-$O$457-$O$459-$O$463-$O$464-$O$465-$O$466),0)</f>
        <v>0</v>
      </c>
      <c r="P468" s="15"/>
      <c r="Q468" s="15"/>
      <c r="R468" s="16"/>
      <c r="S468" s="290">
        <v>1299.0</v>
      </c>
      <c r="T468" s="289">
        <f>-IF(($T$456+$T$458+$T$460+$T$461+$T$462-$T$457-$T$459-$T$463-$T$464-$T$465-$T$466)&lt;0,($T$456+$T$458+$T$460+$T$461+$T$462-$T$457-$T$459-$T$463-$T$464-$T$465-$T$466),0)</f>
        <v>0</v>
      </c>
      <c r="U468" s="15"/>
      <c r="V468" s="15"/>
      <c r="W468" s="16"/>
      <c r="X468" s="290">
        <v>1373.0</v>
      </c>
      <c r="Y468" s="289">
        <f>-IF(($Y$456+$Y$458+$Y$460+$Y$461+$Y$462-$Y$457-$Y$459-$Y$463-$Y$464-$Y$465-$Y$466)&lt;0,($Y$456+$Y$458+$Y$460+$Y$461+$Y$462-$Y$457-$Y$459-$Y$463-$Y$464-$Y$465-$Y$466),0)</f>
        <v>0</v>
      </c>
      <c r="Z468" s="15"/>
      <c r="AA468" s="15"/>
      <c r="AB468" s="16"/>
      <c r="AC468" s="332"/>
      <c r="AD468" s="333"/>
      <c r="AE468" s="333"/>
      <c r="AF468" s="333"/>
      <c r="AG468" s="333"/>
      <c r="AH468" s="333"/>
      <c r="AI468" s="333"/>
      <c r="AJ468" s="333"/>
      <c r="AK468" s="333"/>
      <c r="AL468" s="333"/>
      <c r="AM468" s="333"/>
      <c r="AN468" s="333"/>
      <c r="AO468" s="333"/>
      <c r="AP468" s="333"/>
      <c r="AQ468" s="333"/>
      <c r="AR468" s="333"/>
      <c r="AS468" s="333"/>
      <c r="AT468" s="333"/>
      <c r="AU468" s="333"/>
      <c r="AV468" s="335"/>
      <c r="AW468" s="338" t="s">
        <v>317</v>
      </c>
      <c r="AX468" s="279"/>
      <c r="AY468" s="279"/>
      <c r="AZ468" s="279"/>
      <c r="BA468" s="279"/>
      <c r="BB468" s="279"/>
      <c r="BC468" s="279"/>
      <c r="BD468" s="279"/>
      <c r="BE468" s="279"/>
      <c r="BF468" s="279"/>
      <c r="BG468" s="279"/>
      <c r="BH468" s="279"/>
      <c r="BI468" s="279"/>
      <c r="BJ468" s="279"/>
      <c r="BK468" s="279"/>
      <c r="BL468" s="279"/>
      <c r="BM468" s="279"/>
      <c r="BN468" s="279"/>
      <c r="BO468" s="279"/>
      <c r="BP468" s="279"/>
      <c r="BQ468" s="279"/>
    </row>
    <row r="469" ht="12.75" customHeight="1">
      <c r="A469" s="269"/>
      <c r="B469" s="279"/>
      <c r="C469" s="279"/>
      <c r="D469" s="279"/>
      <c r="E469" s="279"/>
      <c r="F469" s="279"/>
      <c r="G469" s="279"/>
      <c r="H469" s="279"/>
      <c r="I469" s="279"/>
      <c r="J469" s="279"/>
      <c r="K469" s="279"/>
      <c r="L469" s="279"/>
      <c r="M469" s="279"/>
      <c r="N469" s="279"/>
      <c r="O469" s="279"/>
      <c r="P469" s="279"/>
      <c r="Q469" s="279"/>
      <c r="R469" s="279"/>
      <c r="S469" s="279"/>
      <c r="T469" s="279"/>
      <c r="U469" s="279"/>
      <c r="V469" s="279"/>
      <c r="W469" s="279"/>
      <c r="X469" s="279"/>
      <c r="Y469" s="279"/>
      <c r="Z469" s="279"/>
      <c r="AA469" s="279"/>
      <c r="AB469" s="279"/>
      <c r="AC469" s="279"/>
      <c r="AD469" s="279"/>
      <c r="AE469" s="279"/>
      <c r="AF469" s="279"/>
      <c r="AG469" s="279"/>
      <c r="AH469" s="279"/>
      <c r="AI469" s="279"/>
      <c r="AJ469" s="279"/>
      <c r="AK469" s="279"/>
      <c r="AL469" s="279"/>
      <c r="AM469" s="279"/>
      <c r="AN469" s="279"/>
      <c r="AO469" s="279"/>
      <c r="AP469" s="279"/>
      <c r="AQ469" s="279"/>
      <c r="AR469" s="279"/>
      <c r="AS469" s="279"/>
      <c r="AT469" s="279"/>
      <c r="AU469" s="279"/>
      <c r="AV469" s="279"/>
      <c r="AW469" s="279"/>
      <c r="AX469" s="279"/>
      <c r="AY469" s="279"/>
      <c r="AZ469" s="279"/>
      <c r="BA469" s="279"/>
      <c r="BB469" s="279"/>
      <c r="BC469" s="279"/>
      <c r="BD469" s="279"/>
      <c r="BE469" s="279"/>
      <c r="BF469" s="279"/>
      <c r="BG469" s="279"/>
      <c r="BH469" s="279"/>
      <c r="BI469" s="279"/>
      <c r="BJ469" s="279"/>
      <c r="BK469" s="279"/>
      <c r="BL469" s="279"/>
      <c r="BM469" s="279"/>
      <c r="BN469" s="279"/>
      <c r="BO469" s="279"/>
      <c r="BP469" s="279"/>
      <c r="BQ469" s="279"/>
    </row>
    <row r="470" ht="12.75" customHeight="1">
      <c r="A470" s="275"/>
      <c r="B470" s="388" t="s">
        <v>751</v>
      </c>
      <c r="C470" s="22"/>
      <c r="D470" s="22"/>
      <c r="E470" s="22"/>
      <c r="F470" s="22"/>
      <c r="G470" s="22"/>
      <c r="H470" s="22"/>
      <c r="I470" s="22"/>
      <c r="J470" s="22"/>
      <c r="K470" s="22"/>
      <c r="L470" s="22"/>
      <c r="M470" s="22"/>
      <c r="N470" s="22"/>
      <c r="O470" s="22"/>
      <c r="P470" s="22"/>
      <c r="Q470" s="22"/>
      <c r="R470" s="23"/>
      <c r="S470" s="279"/>
      <c r="T470" s="279"/>
      <c r="U470" s="279"/>
      <c r="V470" s="279"/>
      <c r="W470" s="279"/>
      <c r="X470" s="279"/>
      <c r="Y470" s="279"/>
      <c r="Z470" s="279"/>
      <c r="AA470" s="279"/>
      <c r="AB470" s="279"/>
      <c r="AC470" s="279"/>
      <c r="AD470" s="279"/>
      <c r="AE470" s="279"/>
      <c r="AF470" s="279"/>
      <c r="AG470" s="279"/>
      <c r="AH470" s="279"/>
      <c r="AI470" s="279"/>
      <c r="AJ470" s="279"/>
      <c r="AK470" s="279"/>
      <c r="AL470" s="279"/>
      <c r="AM470" s="279"/>
      <c r="AN470" s="279"/>
      <c r="AO470" s="279"/>
      <c r="AP470" s="279"/>
      <c r="AQ470" s="279"/>
      <c r="AR470" s="279"/>
      <c r="AS470" s="279"/>
      <c r="AT470" s="279"/>
      <c r="AU470" s="279"/>
      <c r="AV470" s="279"/>
      <c r="AW470" s="279"/>
      <c r="AX470" s="279"/>
      <c r="AY470" s="279"/>
      <c r="AZ470" s="279"/>
      <c r="BA470" s="279"/>
      <c r="BB470" s="279"/>
      <c r="BC470" s="279"/>
      <c r="BD470" s="279"/>
      <c r="BE470" s="279"/>
      <c r="BF470" s="279"/>
      <c r="BG470" s="279"/>
      <c r="BH470" s="279"/>
      <c r="BI470" s="279"/>
      <c r="BJ470" s="279"/>
      <c r="BK470" s="279"/>
      <c r="BL470" s="279"/>
      <c r="BM470" s="279"/>
      <c r="BN470" s="279"/>
      <c r="BO470" s="279"/>
      <c r="BP470" s="279"/>
      <c r="BQ470" s="279"/>
    </row>
    <row r="471" ht="12.75" customHeight="1">
      <c r="A471" s="275"/>
      <c r="B471" s="28"/>
      <c r="C471" s="29"/>
      <c r="D471" s="29"/>
      <c r="E471" s="29"/>
      <c r="F471" s="29"/>
      <c r="G471" s="29"/>
      <c r="H471" s="29"/>
      <c r="I471" s="29"/>
      <c r="J471" s="29"/>
      <c r="K471" s="29"/>
      <c r="L471" s="29"/>
      <c r="M471" s="29"/>
      <c r="N471" s="29"/>
      <c r="O471" s="29"/>
      <c r="P471" s="29"/>
      <c r="Q471" s="29"/>
      <c r="R471" s="30"/>
      <c r="S471" s="279"/>
      <c r="T471" s="279"/>
      <c r="U471" s="279"/>
      <c r="V471" s="279"/>
      <c r="W471" s="279"/>
      <c r="X471" s="279"/>
      <c r="Y471" s="279"/>
      <c r="Z471" s="279"/>
      <c r="AA471" s="279"/>
      <c r="AB471" s="279"/>
      <c r="AC471" s="279"/>
      <c r="AD471" s="279"/>
      <c r="AE471" s="279"/>
      <c r="AF471" s="279"/>
      <c r="AG471" s="279"/>
      <c r="AH471" s="279"/>
      <c r="AI471" s="279"/>
      <c r="AJ471" s="279"/>
      <c r="AK471" s="279"/>
      <c r="AL471" s="279"/>
      <c r="AM471" s="279"/>
      <c r="AN471" s="279"/>
      <c r="AO471" s="279"/>
      <c r="AP471" s="279"/>
      <c r="AQ471" s="279"/>
      <c r="AR471" s="279"/>
      <c r="AS471" s="279"/>
      <c r="AT471" s="279"/>
      <c r="AU471" s="279"/>
      <c r="AV471" s="279"/>
      <c r="AW471" s="279"/>
      <c r="AX471" s="279"/>
      <c r="AY471" s="279"/>
      <c r="AZ471" s="279"/>
      <c r="BA471" s="279"/>
      <c r="BB471" s="279"/>
      <c r="BC471" s="279"/>
      <c r="BD471" s="279"/>
      <c r="BE471" s="279"/>
      <c r="BF471" s="279"/>
      <c r="BG471" s="279"/>
      <c r="BH471" s="279"/>
      <c r="BI471" s="279"/>
      <c r="BJ471" s="279"/>
      <c r="BK471" s="279"/>
      <c r="BL471" s="279"/>
      <c r="BM471" s="279"/>
      <c r="BN471" s="279"/>
      <c r="BO471" s="279"/>
      <c r="BP471" s="279"/>
      <c r="BQ471" s="279"/>
    </row>
    <row r="472" ht="12.75" customHeight="1">
      <c r="A472" s="275"/>
      <c r="B472" s="325"/>
      <c r="C472" s="326"/>
      <c r="D472" s="326"/>
      <c r="E472" s="326"/>
      <c r="F472" s="326"/>
      <c r="G472" s="326"/>
      <c r="H472" s="326"/>
      <c r="I472" s="326"/>
      <c r="J472" s="326"/>
      <c r="K472" s="326"/>
      <c r="L472" s="327"/>
      <c r="M472" s="288"/>
      <c r="N472" s="428" t="s">
        <v>752</v>
      </c>
      <c r="O472" s="15"/>
      <c r="P472" s="15"/>
      <c r="Q472" s="16"/>
      <c r="R472" s="402"/>
      <c r="S472" s="279"/>
      <c r="T472" s="279"/>
      <c r="U472" s="279"/>
      <c r="V472" s="279"/>
      <c r="W472" s="279"/>
      <c r="X472" s="279"/>
      <c r="Y472" s="279"/>
      <c r="Z472" s="279"/>
      <c r="AA472" s="279"/>
      <c r="AB472" s="279"/>
      <c r="AC472" s="279"/>
      <c r="AD472" s="279"/>
      <c r="AE472" s="279"/>
      <c r="AF472" s="279"/>
      <c r="AG472" s="279"/>
      <c r="AH472" s="279"/>
      <c r="AI472" s="279"/>
      <c r="AJ472" s="279"/>
      <c r="AK472" s="279"/>
      <c r="AL472" s="279"/>
      <c r="AM472" s="279"/>
      <c r="AN472" s="279"/>
      <c r="AO472" s="279"/>
      <c r="AP472" s="279"/>
      <c r="AQ472" s="279"/>
      <c r="AR472" s="279"/>
      <c r="AS472" s="279"/>
      <c r="AT472" s="279"/>
      <c r="AU472" s="279"/>
      <c r="AV472" s="279"/>
      <c r="AW472" s="279"/>
      <c r="AX472" s="279"/>
      <c r="AY472" s="279"/>
      <c r="AZ472" s="279"/>
      <c r="BA472" s="279"/>
      <c r="BB472" s="279"/>
      <c r="BC472" s="279"/>
      <c r="BD472" s="279"/>
      <c r="BE472" s="279"/>
      <c r="BF472" s="279"/>
      <c r="BG472" s="279"/>
      <c r="BH472" s="279"/>
      <c r="BI472" s="279"/>
      <c r="BJ472" s="279"/>
      <c r="BK472" s="279"/>
      <c r="BL472" s="279"/>
      <c r="BM472" s="279"/>
      <c r="BN472" s="279"/>
      <c r="BO472" s="279"/>
      <c r="BP472" s="279"/>
      <c r="BQ472" s="279"/>
    </row>
    <row r="473" ht="12.75" customHeight="1">
      <c r="A473" s="269"/>
      <c r="B473" s="285" t="s">
        <v>753</v>
      </c>
      <c r="C473" s="286"/>
      <c r="D473" s="286"/>
      <c r="E473" s="286"/>
      <c r="F473" s="286"/>
      <c r="G473" s="286"/>
      <c r="H473" s="286"/>
      <c r="I473" s="286"/>
      <c r="J473" s="286"/>
      <c r="K473" s="286"/>
      <c r="L473" s="287"/>
      <c r="M473" s="290">
        <v>1400.0</v>
      </c>
      <c r="N473" s="351">
        <v>0.0</v>
      </c>
      <c r="O473" s="15"/>
      <c r="P473" s="15"/>
      <c r="Q473" s="16"/>
      <c r="R473" s="355" t="s">
        <v>281</v>
      </c>
      <c r="S473" s="279"/>
      <c r="T473" s="279"/>
      <c r="U473" s="279"/>
      <c r="V473" s="279"/>
      <c r="W473" s="279"/>
      <c r="X473" s="279"/>
      <c r="Y473" s="279"/>
      <c r="Z473" s="279"/>
      <c r="AA473" s="279"/>
      <c r="AB473" s="279"/>
      <c r="AC473" s="279"/>
      <c r="AD473" s="279"/>
      <c r="AE473" s="279"/>
      <c r="AF473" s="279"/>
      <c r="AG473" s="279"/>
      <c r="AH473" s="279"/>
      <c r="AI473" s="279"/>
      <c r="AJ473" s="279"/>
      <c r="AK473" s="279"/>
      <c r="AL473" s="279"/>
      <c r="AM473" s="279"/>
      <c r="AN473" s="279"/>
      <c r="AO473" s="279"/>
      <c r="AP473" s="279"/>
      <c r="AQ473" s="279"/>
      <c r="AR473" s="279"/>
      <c r="AS473" s="279"/>
      <c r="AT473" s="279"/>
      <c r="AU473" s="279"/>
      <c r="AV473" s="279"/>
      <c r="AW473" s="279"/>
      <c r="AX473" s="279"/>
      <c r="AY473" s="279"/>
      <c r="AZ473" s="279"/>
      <c r="BA473" s="279"/>
      <c r="BB473" s="279"/>
      <c r="BC473" s="279"/>
      <c r="BD473" s="279"/>
      <c r="BE473" s="279"/>
      <c r="BF473" s="279"/>
      <c r="BG473" s="279"/>
      <c r="BH473" s="279"/>
      <c r="BI473" s="279"/>
      <c r="BJ473" s="279"/>
      <c r="BK473" s="279"/>
      <c r="BL473" s="279"/>
      <c r="BM473" s="279"/>
      <c r="BN473" s="279"/>
      <c r="BO473" s="279"/>
      <c r="BP473" s="279"/>
      <c r="BQ473" s="279"/>
    </row>
    <row r="474" ht="12.75" customHeight="1">
      <c r="A474" s="269"/>
      <c r="B474" s="285" t="s">
        <v>754</v>
      </c>
      <c r="C474" s="286"/>
      <c r="D474" s="286"/>
      <c r="E474" s="286"/>
      <c r="F474" s="286"/>
      <c r="G474" s="286"/>
      <c r="H474" s="286"/>
      <c r="I474" s="286"/>
      <c r="J474" s="286"/>
      <c r="K474" s="286"/>
      <c r="L474" s="287"/>
      <c r="M474" s="290">
        <v>1817.0</v>
      </c>
      <c r="N474" s="351"/>
      <c r="O474" s="15"/>
      <c r="P474" s="15"/>
      <c r="Q474" s="16"/>
      <c r="R474" s="355" t="s">
        <v>281</v>
      </c>
      <c r="S474" s="279"/>
      <c r="T474" s="279"/>
      <c r="U474" s="279"/>
      <c r="V474" s="279"/>
      <c r="W474" s="279"/>
      <c r="X474" s="279"/>
      <c r="Y474" s="279"/>
      <c r="Z474" s="279"/>
      <c r="AA474" s="279"/>
      <c r="AB474" s="279"/>
      <c r="AC474" s="279"/>
      <c r="AD474" s="279"/>
      <c r="AE474" s="279"/>
      <c r="AF474" s="279"/>
      <c r="AG474" s="279"/>
      <c r="AH474" s="279"/>
      <c r="AI474" s="279"/>
      <c r="AJ474" s="279"/>
      <c r="AK474" s="279"/>
      <c r="AL474" s="279"/>
      <c r="AM474" s="279"/>
      <c r="AN474" s="279"/>
      <c r="AO474" s="279"/>
      <c r="AP474" s="279"/>
      <c r="AQ474" s="279"/>
      <c r="AR474" s="279"/>
      <c r="AS474" s="279"/>
      <c r="AT474" s="279"/>
      <c r="AU474" s="279"/>
      <c r="AV474" s="279"/>
      <c r="AW474" s="279"/>
      <c r="AX474" s="279"/>
      <c r="AY474" s="279"/>
      <c r="AZ474" s="279"/>
      <c r="BA474" s="279"/>
      <c r="BB474" s="279"/>
      <c r="BC474" s="279"/>
      <c r="BD474" s="279"/>
      <c r="BE474" s="279"/>
      <c r="BF474" s="279"/>
      <c r="BG474" s="279"/>
      <c r="BH474" s="279"/>
      <c r="BI474" s="279"/>
      <c r="BJ474" s="279"/>
      <c r="BK474" s="279"/>
      <c r="BL474" s="279"/>
      <c r="BM474" s="279"/>
      <c r="BN474" s="279"/>
      <c r="BO474" s="279"/>
      <c r="BP474" s="279"/>
      <c r="BQ474" s="279"/>
    </row>
    <row r="475" ht="12.75" customHeight="1">
      <c r="A475" s="269"/>
      <c r="B475" s="285" t="s">
        <v>755</v>
      </c>
      <c r="C475" s="286"/>
      <c r="D475" s="286"/>
      <c r="E475" s="286"/>
      <c r="F475" s="286"/>
      <c r="G475" s="286"/>
      <c r="H475" s="286"/>
      <c r="I475" s="286"/>
      <c r="J475" s="286"/>
      <c r="K475" s="286"/>
      <c r="L475" s="287"/>
      <c r="M475" s="290">
        <v>1401.0</v>
      </c>
      <c r="N475" s="351"/>
      <c r="O475" s="15"/>
      <c r="P475" s="15"/>
      <c r="Q475" s="16"/>
      <c r="R475" s="355" t="s">
        <v>281</v>
      </c>
      <c r="S475" s="279"/>
      <c r="T475" s="279"/>
      <c r="U475" s="279"/>
      <c r="V475" s="279"/>
      <c r="W475" s="279"/>
      <c r="X475" s="279"/>
      <c r="Y475" s="279"/>
      <c r="Z475" s="279"/>
      <c r="AA475" s="279"/>
      <c r="AB475" s="279"/>
      <c r="AC475" s="279"/>
      <c r="AD475" s="279"/>
      <c r="AE475" s="279"/>
      <c r="AF475" s="279"/>
      <c r="AG475" s="279"/>
      <c r="AH475" s="279"/>
      <c r="AI475" s="279"/>
      <c r="AJ475" s="279"/>
      <c r="AK475" s="279"/>
      <c r="AL475" s="279"/>
      <c r="AM475" s="279"/>
      <c r="AN475" s="279"/>
      <c r="AO475" s="279"/>
      <c r="AP475" s="279"/>
      <c r="AQ475" s="279"/>
      <c r="AR475" s="279"/>
      <c r="AS475" s="279"/>
      <c r="AT475" s="279"/>
      <c r="AU475" s="279"/>
      <c r="AV475" s="279"/>
      <c r="AW475" s="279"/>
      <c r="AX475" s="279"/>
      <c r="AY475" s="279"/>
      <c r="AZ475" s="279"/>
      <c r="BA475" s="279"/>
      <c r="BB475" s="279"/>
      <c r="BC475" s="279"/>
      <c r="BD475" s="279"/>
      <c r="BE475" s="279"/>
      <c r="BF475" s="279"/>
      <c r="BG475" s="279"/>
      <c r="BH475" s="279"/>
      <c r="BI475" s="279"/>
      <c r="BJ475" s="279"/>
      <c r="BK475" s="279"/>
      <c r="BL475" s="279"/>
      <c r="BM475" s="279"/>
      <c r="BN475" s="279"/>
      <c r="BO475" s="279"/>
      <c r="BP475" s="279"/>
      <c r="BQ475" s="279"/>
    </row>
    <row r="476" ht="12.75" customHeight="1">
      <c r="A476" s="269"/>
      <c r="B476" s="285" t="s">
        <v>756</v>
      </c>
      <c r="C476" s="286"/>
      <c r="D476" s="286"/>
      <c r="E476" s="286"/>
      <c r="F476" s="286"/>
      <c r="G476" s="286"/>
      <c r="H476" s="286"/>
      <c r="I476" s="286"/>
      <c r="J476" s="286"/>
      <c r="K476" s="286"/>
      <c r="L476" s="287"/>
      <c r="M476" s="290">
        <v>1402.0</v>
      </c>
      <c r="N476" s="351">
        <v>0.0</v>
      </c>
      <c r="O476" s="15"/>
      <c r="P476" s="15"/>
      <c r="Q476" s="16"/>
      <c r="R476" s="355" t="s">
        <v>281</v>
      </c>
      <c r="S476" s="279"/>
      <c r="T476" s="279"/>
      <c r="U476" s="279"/>
      <c r="V476" s="279"/>
      <c r="W476" s="279"/>
      <c r="X476" s="279"/>
      <c r="Y476" s="279"/>
      <c r="Z476" s="279"/>
      <c r="AA476" s="279"/>
      <c r="AB476" s="279"/>
      <c r="AC476" s="279"/>
      <c r="AD476" s="279"/>
      <c r="AE476" s="279"/>
      <c r="AF476" s="279"/>
      <c r="AG476" s="279"/>
      <c r="AH476" s="279"/>
      <c r="AI476" s="279"/>
      <c r="AJ476" s="279"/>
      <c r="AK476" s="279"/>
      <c r="AL476" s="279"/>
      <c r="AM476" s="279"/>
      <c r="AN476" s="279"/>
      <c r="AO476" s="279"/>
      <c r="AP476" s="279"/>
      <c r="AQ476" s="279"/>
      <c r="AR476" s="279"/>
      <c r="AS476" s="279"/>
      <c r="AT476" s="279"/>
      <c r="AU476" s="279"/>
      <c r="AV476" s="279"/>
      <c r="AW476" s="279"/>
      <c r="AX476" s="279"/>
      <c r="AY476" s="279"/>
      <c r="AZ476" s="279"/>
      <c r="BA476" s="279"/>
      <c r="BB476" s="279"/>
      <c r="BC476" s="279"/>
      <c r="BD476" s="279"/>
      <c r="BE476" s="279"/>
      <c r="BF476" s="279"/>
      <c r="BG476" s="279"/>
      <c r="BH476" s="279"/>
      <c r="BI476" s="279"/>
      <c r="BJ476" s="279"/>
      <c r="BK476" s="279"/>
      <c r="BL476" s="279"/>
      <c r="BM476" s="279"/>
      <c r="BN476" s="279"/>
      <c r="BO476" s="279"/>
      <c r="BP476" s="279"/>
      <c r="BQ476" s="279"/>
    </row>
    <row r="477" ht="12.75" customHeight="1">
      <c r="A477" s="269"/>
      <c r="B477" s="285" t="s">
        <v>757</v>
      </c>
      <c r="C477" s="286"/>
      <c r="D477" s="286"/>
      <c r="E477" s="286"/>
      <c r="F477" s="286"/>
      <c r="G477" s="286"/>
      <c r="H477" s="286"/>
      <c r="I477" s="286"/>
      <c r="J477" s="286"/>
      <c r="K477" s="286"/>
      <c r="L477" s="287"/>
      <c r="M477" s="290">
        <v>1403.0</v>
      </c>
      <c r="N477" s="351">
        <v>0.0</v>
      </c>
      <c r="O477" s="15"/>
      <c r="P477" s="15"/>
      <c r="Q477" s="16"/>
      <c r="R477" s="355" t="s">
        <v>281</v>
      </c>
      <c r="S477" s="279"/>
      <c r="T477" s="279"/>
      <c r="U477" s="279"/>
      <c r="V477" s="279"/>
      <c r="W477" s="279"/>
      <c r="X477" s="279"/>
      <c r="Y477" s="279"/>
      <c r="Z477" s="279"/>
      <c r="AA477" s="279"/>
      <c r="AB477" s="279"/>
      <c r="AC477" s="279"/>
      <c r="AD477" s="279"/>
      <c r="AE477" s="279"/>
      <c r="AF477" s="279"/>
      <c r="AG477" s="279"/>
      <c r="AH477" s="279"/>
      <c r="AI477" s="279"/>
      <c r="AJ477" s="279"/>
      <c r="AK477" s="279"/>
      <c r="AL477" s="279"/>
      <c r="AM477" s="279"/>
      <c r="AN477" s="279"/>
      <c r="AO477" s="279"/>
      <c r="AP477" s="279"/>
      <c r="AQ477" s="279"/>
      <c r="AR477" s="279"/>
      <c r="AS477" s="279"/>
      <c r="AT477" s="279"/>
      <c r="AU477" s="279"/>
      <c r="AV477" s="279"/>
      <c r="AW477" s="279"/>
      <c r="AX477" s="279"/>
      <c r="AY477" s="279"/>
      <c r="AZ477" s="279"/>
      <c r="BA477" s="279"/>
      <c r="BB477" s="279"/>
      <c r="BC477" s="279"/>
      <c r="BD477" s="279"/>
      <c r="BE477" s="279"/>
      <c r="BF477" s="279"/>
      <c r="BG477" s="279"/>
      <c r="BH477" s="279"/>
      <c r="BI477" s="279"/>
      <c r="BJ477" s="279"/>
      <c r="BK477" s="279"/>
      <c r="BL477" s="279"/>
      <c r="BM477" s="279"/>
      <c r="BN477" s="279"/>
      <c r="BO477" s="279"/>
      <c r="BP477" s="279"/>
      <c r="BQ477" s="279"/>
    </row>
    <row r="478" ht="12.75" customHeight="1">
      <c r="A478" s="269"/>
      <c r="B478" s="285" t="s">
        <v>758</v>
      </c>
      <c r="C478" s="286"/>
      <c r="D478" s="286"/>
      <c r="E478" s="286"/>
      <c r="F478" s="286"/>
      <c r="G478" s="286"/>
      <c r="H478" s="286"/>
      <c r="I478" s="286"/>
      <c r="J478" s="286"/>
      <c r="K478" s="286"/>
      <c r="L478" s="287"/>
      <c r="M478" s="290">
        <v>1587.0</v>
      </c>
      <c r="N478" s="351"/>
      <c r="O478" s="15"/>
      <c r="P478" s="15"/>
      <c r="Q478" s="16"/>
      <c r="R478" s="355" t="s">
        <v>281</v>
      </c>
      <c r="S478" s="279"/>
      <c r="T478" s="279"/>
      <c r="U478" s="279"/>
      <c r="V478" s="279"/>
      <c r="W478" s="279"/>
      <c r="X478" s="279"/>
      <c r="Y478" s="279"/>
      <c r="Z478" s="279"/>
      <c r="AA478" s="279"/>
      <c r="AB478" s="279"/>
      <c r="AC478" s="279"/>
      <c r="AD478" s="279"/>
      <c r="AE478" s="279"/>
      <c r="AF478" s="279"/>
      <c r="AG478" s="279"/>
      <c r="AH478" s="279"/>
      <c r="AI478" s="279"/>
      <c r="AJ478" s="279"/>
      <c r="AK478" s="279"/>
      <c r="AL478" s="279"/>
      <c r="AM478" s="279"/>
      <c r="AN478" s="279"/>
      <c r="AO478" s="279"/>
      <c r="AP478" s="279"/>
      <c r="AQ478" s="279"/>
      <c r="AR478" s="279"/>
      <c r="AS478" s="279"/>
      <c r="AT478" s="279"/>
      <c r="AU478" s="279"/>
      <c r="AV478" s="279"/>
      <c r="AW478" s="279"/>
      <c r="AX478" s="279"/>
      <c r="AY478" s="279"/>
      <c r="AZ478" s="279"/>
      <c r="BA478" s="279"/>
      <c r="BB478" s="279"/>
      <c r="BC478" s="279"/>
      <c r="BD478" s="279"/>
      <c r="BE478" s="279"/>
      <c r="BF478" s="279"/>
      <c r="BG478" s="279"/>
      <c r="BH478" s="279"/>
      <c r="BI478" s="279"/>
      <c r="BJ478" s="279"/>
      <c r="BK478" s="279"/>
      <c r="BL478" s="279"/>
      <c r="BM478" s="279"/>
      <c r="BN478" s="279"/>
      <c r="BO478" s="279"/>
      <c r="BP478" s="279"/>
      <c r="BQ478" s="279"/>
    </row>
    <row r="479" ht="12.75" customHeight="1">
      <c r="A479" s="269"/>
      <c r="B479" s="285" t="s">
        <v>636</v>
      </c>
      <c r="C479" s="286"/>
      <c r="D479" s="286"/>
      <c r="E479" s="286"/>
      <c r="F479" s="286"/>
      <c r="G479" s="286"/>
      <c r="H479" s="286"/>
      <c r="I479" s="286"/>
      <c r="J479" s="286"/>
      <c r="K479" s="286"/>
      <c r="L479" s="287"/>
      <c r="M479" s="290">
        <v>1588.0</v>
      </c>
      <c r="N479" s="351">
        <v>0.0</v>
      </c>
      <c r="O479" s="15"/>
      <c r="P479" s="15"/>
      <c r="Q479" s="16"/>
      <c r="R479" s="355" t="s">
        <v>281</v>
      </c>
      <c r="S479" s="279"/>
      <c r="T479" s="279"/>
      <c r="U479" s="279"/>
      <c r="V479" s="279"/>
      <c r="W479" s="279"/>
      <c r="X479" s="279"/>
      <c r="Y479" s="279"/>
      <c r="Z479" s="279"/>
      <c r="AA479" s="279"/>
      <c r="AB479" s="279"/>
      <c r="AC479" s="279"/>
      <c r="AD479" s="279"/>
      <c r="AE479" s="279"/>
      <c r="AF479" s="279"/>
      <c r="AG479" s="279"/>
      <c r="AH479" s="279"/>
      <c r="AI479" s="279"/>
      <c r="AJ479" s="279"/>
      <c r="AK479" s="279"/>
      <c r="AL479" s="279"/>
      <c r="AM479" s="279"/>
      <c r="AN479" s="279"/>
      <c r="AO479" s="279"/>
      <c r="AP479" s="279"/>
      <c r="AQ479" s="279"/>
      <c r="AR479" s="279"/>
      <c r="AS479" s="279"/>
      <c r="AT479" s="279"/>
      <c r="AU479" s="279"/>
      <c r="AV479" s="279"/>
      <c r="AW479" s="279"/>
      <c r="AX479" s="279"/>
      <c r="AY479" s="279"/>
      <c r="AZ479" s="279"/>
      <c r="BA479" s="279"/>
      <c r="BB479" s="279"/>
      <c r="BC479" s="279"/>
      <c r="BD479" s="279"/>
      <c r="BE479" s="279"/>
      <c r="BF479" s="279"/>
      <c r="BG479" s="279"/>
      <c r="BH479" s="279"/>
      <c r="BI479" s="279"/>
      <c r="BJ479" s="279"/>
      <c r="BK479" s="279"/>
      <c r="BL479" s="279"/>
      <c r="BM479" s="279"/>
      <c r="BN479" s="279"/>
      <c r="BO479" s="279"/>
      <c r="BP479" s="279"/>
      <c r="BQ479" s="279"/>
    </row>
    <row r="480" ht="12.75" customHeight="1">
      <c r="A480" s="269"/>
      <c r="B480" s="285" t="s">
        <v>759</v>
      </c>
      <c r="C480" s="286"/>
      <c r="D480" s="286"/>
      <c r="E480" s="286"/>
      <c r="F480" s="286"/>
      <c r="G480" s="286"/>
      <c r="H480" s="286"/>
      <c r="I480" s="286"/>
      <c r="J480" s="286"/>
      <c r="K480" s="286"/>
      <c r="L480" s="287"/>
      <c r="M480" s="290">
        <v>1404.0</v>
      </c>
      <c r="N480" s="351"/>
      <c r="O480" s="15"/>
      <c r="P480" s="15"/>
      <c r="Q480" s="16"/>
      <c r="R480" s="355" t="s">
        <v>281</v>
      </c>
      <c r="S480" s="279"/>
      <c r="T480" s="279"/>
      <c r="U480" s="279"/>
      <c r="V480" s="279"/>
      <c r="W480" s="279"/>
      <c r="X480" s="279"/>
      <c r="Y480" s="279"/>
      <c r="Z480" s="279"/>
      <c r="AA480" s="279"/>
      <c r="AB480" s="279"/>
      <c r="AC480" s="279"/>
      <c r="AD480" s="279"/>
      <c r="AE480" s="279"/>
      <c r="AF480" s="279"/>
      <c r="AG480" s="279"/>
      <c r="AH480" s="279"/>
      <c r="AI480" s="279"/>
      <c r="AJ480" s="279"/>
      <c r="AK480" s="279"/>
      <c r="AL480" s="279"/>
      <c r="AM480" s="279"/>
      <c r="AN480" s="279"/>
      <c r="AO480" s="279"/>
      <c r="AP480" s="279"/>
      <c r="AQ480" s="279"/>
      <c r="AR480" s="279"/>
      <c r="AS480" s="279"/>
      <c r="AT480" s="279"/>
      <c r="AU480" s="279"/>
      <c r="AV480" s="279"/>
      <c r="AW480" s="279"/>
      <c r="AX480" s="279"/>
      <c r="AY480" s="279"/>
      <c r="AZ480" s="279"/>
      <c r="BA480" s="279"/>
      <c r="BB480" s="279"/>
      <c r="BC480" s="279"/>
      <c r="BD480" s="279"/>
      <c r="BE480" s="279"/>
      <c r="BF480" s="279"/>
      <c r="BG480" s="279"/>
      <c r="BH480" s="279"/>
      <c r="BI480" s="279"/>
      <c r="BJ480" s="279"/>
      <c r="BK480" s="279"/>
      <c r="BL480" s="279"/>
      <c r="BM480" s="279"/>
      <c r="BN480" s="279"/>
      <c r="BO480" s="279"/>
      <c r="BP480" s="279"/>
      <c r="BQ480" s="279"/>
    </row>
    <row r="481" ht="12.75" customHeight="1">
      <c r="A481" s="269"/>
      <c r="B481" s="285" t="s">
        <v>760</v>
      </c>
      <c r="C481" s="286"/>
      <c r="D481" s="286"/>
      <c r="E481" s="286"/>
      <c r="F481" s="286"/>
      <c r="G481" s="286"/>
      <c r="H481" s="286"/>
      <c r="I481" s="286"/>
      <c r="J481" s="286"/>
      <c r="K481" s="286"/>
      <c r="L481" s="287"/>
      <c r="M481" s="290">
        <v>1405.0</v>
      </c>
      <c r="N481" s="351"/>
      <c r="O481" s="15"/>
      <c r="P481" s="15"/>
      <c r="Q481" s="16"/>
      <c r="R481" s="355" t="s">
        <v>281</v>
      </c>
      <c r="S481" s="279"/>
      <c r="T481" s="279"/>
      <c r="U481" s="279"/>
      <c r="V481" s="279"/>
      <c r="W481" s="279"/>
      <c r="X481" s="279"/>
      <c r="Y481" s="279"/>
      <c r="Z481" s="279"/>
      <c r="AA481" s="279"/>
      <c r="AB481" s="279"/>
      <c r="AC481" s="279"/>
      <c r="AD481" s="279"/>
      <c r="AE481" s="279"/>
      <c r="AF481" s="279"/>
      <c r="AG481" s="279"/>
      <c r="AH481" s="279"/>
      <c r="AI481" s="279"/>
      <c r="AJ481" s="279"/>
      <c r="AK481" s="279"/>
      <c r="AL481" s="279"/>
      <c r="AM481" s="279"/>
      <c r="AN481" s="279"/>
      <c r="AO481" s="279"/>
      <c r="AP481" s="279"/>
      <c r="AQ481" s="279"/>
      <c r="AR481" s="279"/>
      <c r="AS481" s="279"/>
      <c r="AT481" s="279"/>
      <c r="AU481" s="279"/>
      <c r="AV481" s="279"/>
      <c r="AW481" s="279"/>
      <c r="AX481" s="279"/>
      <c r="AY481" s="279"/>
      <c r="AZ481" s="279"/>
      <c r="BA481" s="279"/>
      <c r="BB481" s="279"/>
      <c r="BC481" s="279"/>
      <c r="BD481" s="279"/>
      <c r="BE481" s="279"/>
      <c r="BF481" s="279"/>
      <c r="BG481" s="279"/>
      <c r="BH481" s="279"/>
      <c r="BI481" s="279"/>
      <c r="BJ481" s="279"/>
      <c r="BK481" s="279"/>
      <c r="BL481" s="279"/>
      <c r="BM481" s="279"/>
      <c r="BN481" s="279"/>
      <c r="BO481" s="279"/>
      <c r="BP481" s="279"/>
      <c r="BQ481" s="279"/>
    </row>
    <row r="482" ht="12.75" customHeight="1">
      <c r="A482" s="269"/>
      <c r="B482" s="285" t="s">
        <v>761</v>
      </c>
      <c r="C482" s="286"/>
      <c r="D482" s="286"/>
      <c r="E482" s="286"/>
      <c r="F482" s="286"/>
      <c r="G482" s="286"/>
      <c r="H482" s="286"/>
      <c r="I482" s="286"/>
      <c r="J482" s="286"/>
      <c r="K482" s="286"/>
      <c r="L482" s="287"/>
      <c r="M482" s="290">
        <v>1410.0</v>
      </c>
      <c r="N482" s="351">
        <f>+SUM($N$473:$Q$481)</f>
        <v>0</v>
      </c>
      <c r="O482" s="15"/>
      <c r="P482" s="15"/>
      <c r="Q482" s="16"/>
      <c r="R482" s="355" t="s">
        <v>317</v>
      </c>
      <c r="S482" s="279"/>
      <c r="T482" s="279"/>
      <c r="U482" s="279"/>
      <c r="V482" s="279"/>
      <c r="W482" s="279"/>
      <c r="X482" s="279"/>
      <c r="Y482" s="279"/>
      <c r="Z482" s="279"/>
      <c r="AA482" s="279"/>
      <c r="AB482" s="279"/>
      <c r="AC482" s="279"/>
      <c r="AD482" s="279"/>
      <c r="AE482" s="279"/>
      <c r="AF482" s="279"/>
      <c r="AG482" s="279"/>
      <c r="AH482" s="279"/>
      <c r="AI482" s="279"/>
      <c r="AJ482" s="279"/>
      <c r="AK482" s="279"/>
      <c r="AL482" s="279"/>
      <c r="AM482" s="279"/>
      <c r="AN482" s="279"/>
      <c r="AO482" s="279"/>
      <c r="AP482" s="279"/>
      <c r="AQ482" s="279"/>
      <c r="AR482" s="279"/>
      <c r="AS482" s="279"/>
      <c r="AT482" s="279"/>
      <c r="AU482" s="279"/>
      <c r="AV482" s="279"/>
      <c r="AW482" s="279"/>
      <c r="AX482" s="279"/>
      <c r="AY482" s="279"/>
      <c r="AZ482" s="279"/>
      <c r="BA482" s="279"/>
      <c r="BB482" s="279"/>
      <c r="BC482" s="279"/>
      <c r="BD482" s="279"/>
      <c r="BE482" s="279"/>
      <c r="BF482" s="279"/>
      <c r="BG482" s="279"/>
      <c r="BH482" s="279"/>
      <c r="BI482" s="279"/>
      <c r="BJ482" s="279"/>
      <c r="BK482" s="279"/>
      <c r="BL482" s="279"/>
      <c r="BM482" s="279"/>
      <c r="BN482" s="279"/>
      <c r="BO482" s="279"/>
      <c r="BP482" s="279"/>
      <c r="BQ482" s="279"/>
    </row>
    <row r="483" ht="12.75" customHeight="1">
      <c r="A483" s="269"/>
      <c r="B483" s="285" t="s">
        <v>762</v>
      </c>
      <c r="C483" s="286"/>
      <c r="D483" s="286"/>
      <c r="E483" s="286"/>
      <c r="F483" s="286"/>
      <c r="G483" s="286"/>
      <c r="H483" s="286"/>
      <c r="I483" s="286"/>
      <c r="J483" s="286"/>
      <c r="K483" s="286"/>
      <c r="L483" s="287"/>
      <c r="M483" s="290">
        <v>1406.0</v>
      </c>
      <c r="N483" s="351"/>
      <c r="O483" s="15"/>
      <c r="P483" s="15"/>
      <c r="Q483" s="16"/>
      <c r="R483" s="355" t="s">
        <v>312</v>
      </c>
      <c r="S483" s="279"/>
      <c r="T483" s="279"/>
      <c r="U483" s="279"/>
      <c r="V483" s="279"/>
      <c r="W483" s="279"/>
      <c r="X483" s="279"/>
      <c r="Y483" s="279"/>
      <c r="Z483" s="279"/>
      <c r="AA483" s="279"/>
      <c r="AB483" s="279"/>
      <c r="AC483" s="279"/>
      <c r="AD483" s="279"/>
      <c r="AE483" s="279"/>
      <c r="AF483" s="279"/>
      <c r="AG483" s="279"/>
      <c r="AH483" s="279"/>
      <c r="AI483" s="279"/>
      <c r="AJ483" s="279"/>
      <c r="AK483" s="279"/>
      <c r="AL483" s="279"/>
      <c r="AM483" s="279"/>
      <c r="AN483" s="279"/>
      <c r="AO483" s="279"/>
      <c r="AP483" s="279"/>
      <c r="AQ483" s="279"/>
      <c r="AR483" s="279"/>
      <c r="AS483" s="279"/>
      <c r="AT483" s="279"/>
      <c r="AU483" s="279"/>
      <c r="AV483" s="279"/>
      <c r="AW483" s="279"/>
      <c r="AX483" s="279"/>
      <c r="AY483" s="279"/>
      <c r="AZ483" s="279"/>
      <c r="BA483" s="279"/>
      <c r="BB483" s="279"/>
      <c r="BC483" s="279"/>
      <c r="BD483" s="279"/>
      <c r="BE483" s="279"/>
      <c r="BF483" s="279"/>
      <c r="BG483" s="279"/>
      <c r="BH483" s="279"/>
      <c r="BI483" s="279"/>
      <c r="BJ483" s="279"/>
      <c r="BK483" s="279"/>
      <c r="BL483" s="279"/>
      <c r="BM483" s="279"/>
      <c r="BN483" s="279"/>
      <c r="BO483" s="279"/>
      <c r="BP483" s="279"/>
      <c r="BQ483" s="279"/>
    </row>
    <row r="484" ht="12.75" customHeight="1">
      <c r="A484" s="269"/>
      <c r="B484" s="285" t="s">
        <v>763</v>
      </c>
      <c r="C484" s="286"/>
      <c r="D484" s="286"/>
      <c r="E484" s="286"/>
      <c r="F484" s="286"/>
      <c r="G484" s="286"/>
      <c r="H484" s="286"/>
      <c r="I484" s="286"/>
      <c r="J484" s="286"/>
      <c r="K484" s="286"/>
      <c r="L484" s="287"/>
      <c r="M484" s="290">
        <v>1407.0</v>
      </c>
      <c r="N484" s="351"/>
      <c r="O484" s="15"/>
      <c r="P484" s="15"/>
      <c r="Q484" s="16"/>
      <c r="R484" s="355" t="s">
        <v>312</v>
      </c>
      <c r="S484" s="279"/>
      <c r="T484" s="279"/>
      <c r="U484" s="279"/>
      <c r="V484" s="279"/>
      <c r="W484" s="279"/>
      <c r="X484" s="279"/>
      <c r="Y484" s="279"/>
      <c r="Z484" s="279"/>
      <c r="AA484" s="279"/>
      <c r="AB484" s="279"/>
      <c r="AC484" s="279"/>
      <c r="AD484" s="279"/>
      <c r="AE484" s="279"/>
      <c r="AF484" s="279"/>
      <c r="AG484" s="279"/>
      <c r="AH484" s="279"/>
      <c r="AI484" s="279"/>
      <c r="AJ484" s="279"/>
      <c r="AK484" s="279"/>
      <c r="AL484" s="279"/>
      <c r="AM484" s="279"/>
      <c r="AN484" s="279"/>
      <c r="AO484" s="279"/>
      <c r="AP484" s="279"/>
      <c r="AQ484" s="279"/>
      <c r="AR484" s="279"/>
      <c r="AS484" s="279"/>
      <c r="AT484" s="279"/>
      <c r="AU484" s="279"/>
      <c r="AV484" s="279"/>
      <c r="AW484" s="279"/>
      <c r="AX484" s="279"/>
      <c r="AY484" s="279"/>
      <c r="AZ484" s="279"/>
      <c r="BA484" s="279"/>
      <c r="BB484" s="279"/>
      <c r="BC484" s="279"/>
      <c r="BD484" s="279"/>
      <c r="BE484" s="279"/>
      <c r="BF484" s="279"/>
      <c r="BG484" s="279"/>
      <c r="BH484" s="279"/>
      <c r="BI484" s="279"/>
      <c r="BJ484" s="279"/>
      <c r="BK484" s="279"/>
      <c r="BL484" s="279"/>
      <c r="BM484" s="279"/>
      <c r="BN484" s="279"/>
      <c r="BO484" s="279"/>
      <c r="BP484" s="279"/>
      <c r="BQ484" s="279"/>
    </row>
    <row r="485" ht="12.75" customHeight="1">
      <c r="A485" s="269"/>
      <c r="B485" s="285" t="s">
        <v>764</v>
      </c>
      <c r="C485" s="286"/>
      <c r="D485" s="286"/>
      <c r="E485" s="286"/>
      <c r="F485" s="286"/>
      <c r="G485" s="286"/>
      <c r="H485" s="286"/>
      <c r="I485" s="286"/>
      <c r="J485" s="286"/>
      <c r="K485" s="286"/>
      <c r="L485" s="287"/>
      <c r="M485" s="290">
        <v>1408.0</v>
      </c>
      <c r="N485" s="351"/>
      <c r="O485" s="15"/>
      <c r="P485" s="15"/>
      <c r="Q485" s="16"/>
      <c r="R485" s="355" t="s">
        <v>312</v>
      </c>
      <c r="S485" s="279"/>
      <c r="T485" s="279"/>
      <c r="U485" s="279"/>
      <c r="V485" s="279"/>
      <c r="W485" s="279"/>
      <c r="X485" s="279"/>
      <c r="Y485" s="279"/>
      <c r="Z485" s="279"/>
      <c r="AA485" s="279"/>
      <c r="AB485" s="279"/>
      <c r="AC485" s="279"/>
      <c r="AD485" s="279"/>
      <c r="AE485" s="279"/>
      <c r="AF485" s="279"/>
      <c r="AG485" s="279"/>
      <c r="AH485" s="279"/>
      <c r="AI485" s="279"/>
      <c r="AJ485" s="279"/>
      <c r="AK485" s="279"/>
      <c r="AL485" s="279"/>
      <c r="AM485" s="279"/>
      <c r="AN485" s="279"/>
      <c r="AO485" s="279"/>
      <c r="AP485" s="279"/>
      <c r="AQ485" s="279"/>
      <c r="AR485" s="279"/>
      <c r="AS485" s="279"/>
      <c r="AT485" s="279"/>
      <c r="AU485" s="279"/>
      <c r="AV485" s="279"/>
      <c r="AW485" s="279"/>
      <c r="AX485" s="279"/>
      <c r="AY485" s="279"/>
      <c r="AZ485" s="279"/>
      <c r="BA485" s="279"/>
      <c r="BB485" s="279"/>
      <c r="BC485" s="279"/>
      <c r="BD485" s="279"/>
      <c r="BE485" s="279"/>
      <c r="BF485" s="279"/>
      <c r="BG485" s="279"/>
      <c r="BH485" s="279"/>
      <c r="BI485" s="279"/>
      <c r="BJ485" s="279"/>
      <c r="BK485" s="279"/>
      <c r="BL485" s="279"/>
      <c r="BM485" s="279"/>
      <c r="BN485" s="279"/>
      <c r="BO485" s="279"/>
      <c r="BP485" s="279"/>
      <c r="BQ485" s="279"/>
    </row>
    <row r="486" ht="12.75" customHeight="1">
      <c r="A486" s="269"/>
      <c r="B486" s="285" t="s">
        <v>765</v>
      </c>
      <c r="C486" s="286"/>
      <c r="D486" s="286"/>
      <c r="E486" s="286"/>
      <c r="F486" s="286"/>
      <c r="G486" s="286"/>
      <c r="H486" s="286"/>
      <c r="I486" s="286"/>
      <c r="J486" s="286"/>
      <c r="K486" s="286"/>
      <c r="L486" s="287"/>
      <c r="M486" s="290">
        <v>1409.0</v>
      </c>
      <c r="N486" s="351">
        <f>+'Balance 2023'!I22+'Balance 2023'!I23+'Balance 2023'!I24+'Balance 2023'!I25+'Balance 2023'!I27</f>
        <v>508263</v>
      </c>
      <c r="O486" s="15"/>
      <c r="P486" s="15"/>
      <c r="Q486" s="16"/>
      <c r="R486" s="355" t="s">
        <v>312</v>
      </c>
      <c r="S486" s="279"/>
      <c r="T486" s="279"/>
      <c r="U486" s="279"/>
      <c r="V486" s="279"/>
      <c r="W486" s="279"/>
      <c r="X486" s="279"/>
      <c r="Y486" s="279"/>
      <c r="Z486" s="279"/>
      <c r="AA486" s="279"/>
      <c r="AB486" s="279"/>
      <c r="AC486" s="279"/>
      <c r="AD486" s="279"/>
      <c r="AE486" s="279"/>
      <c r="AF486" s="279"/>
      <c r="AG486" s="279"/>
      <c r="AH486" s="279"/>
      <c r="AI486" s="279"/>
      <c r="AJ486" s="279"/>
      <c r="AK486" s="279"/>
      <c r="AL486" s="279"/>
      <c r="AM486" s="279"/>
      <c r="AN486" s="279"/>
      <c r="AO486" s="279"/>
      <c r="AP486" s="279"/>
      <c r="AQ486" s="279"/>
      <c r="AR486" s="279"/>
      <c r="AS486" s="279"/>
      <c r="AT486" s="279"/>
      <c r="AU486" s="279"/>
      <c r="AV486" s="279"/>
      <c r="AW486" s="279"/>
      <c r="AX486" s="279"/>
      <c r="AY486" s="279"/>
      <c r="AZ486" s="279"/>
      <c r="BA486" s="279"/>
      <c r="BB486" s="279"/>
      <c r="BC486" s="279"/>
      <c r="BD486" s="279"/>
      <c r="BE486" s="279"/>
      <c r="BF486" s="279"/>
      <c r="BG486" s="279"/>
      <c r="BH486" s="279"/>
      <c r="BI486" s="279"/>
      <c r="BJ486" s="279"/>
      <c r="BK486" s="279"/>
      <c r="BL486" s="279"/>
      <c r="BM486" s="279"/>
      <c r="BN486" s="279"/>
      <c r="BO486" s="279"/>
      <c r="BP486" s="279"/>
      <c r="BQ486" s="279"/>
    </row>
    <row r="487" ht="12.75" customHeight="1">
      <c r="A487" s="269"/>
      <c r="B487" s="285" t="s">
        <v>766</v>
      </c>
      <c r="C487" s="286"/>
      <c r="D487" s="286"/>
      <c r="E487" s="286"/>
      <c r="F487" s="286"/>
      <c r="G487" s="286"/>
      <c r="H487" s="286"/>
      <c r="I487" s="286"/>
      <c r="J487" s="286"/>
      <c r="K487" s="286"/>
      <c r="L487" s="287"/>
      <c r="M487" s="290">
        <v>1818.0</v>
      </c>
      <c r="N487" s="351"/>
      <c r="O487" s="15"/>
      <c r="P487" s="15"/>
      <c r="Q487" s="16"/>
      <c r="R487" s="355" t="s">
        <v>312</v>
      </c>
      <c r="S487" s="279"/>
      <c r="T487" s="279"/>
      <c r="U487" s="279"/>
      <c r="V487" s="279"/>
      <c r="W487" s="279"/>
      <c r="X487" s="279"/>
      <c r="Y487" s="279"/>
      <c r="Z487" s="279"/>
      <c r="AA487" s="279"/>
      <c r="AB487" s="279"/>
      <c r="AC487" s="279"/>
      <c r="AD487" s="279"/>
      <c r="AE487" s="279"/>
      <c r="AF487" s="279"/>
      <c r="AG487" s="279"/>
      <c r="AH487" s="279"/>
      <c r="AI487" s="279"/>
      <c r="AJ487" s="279"/>
      <c r="AK487" s="279"/>
      <c r="AL487" s="279"/>
      <c r="AM487" s="279"/>
      <c r="AN487" s="279"/>
      <c r="AO487" s="279"/>
      <c r="AP487" s="279"/>
      <c r="AQ487" s="279"/>
      <c r="AR487" s="279"/>
      <c r="AS487" s="279"/>
      <c r="AT487" s="279"/>
      <c r="AU487" s="279"/>
      <c r="AV487" s="279"/>
      <c r="AW487" s="279"/>
      <c r="AX487" s="279"/>
      <c r="AY487" s="279"/>
      <c r="AZ487" s="279"/>
      <c r="BA487" s="279"/>
      <c r="BB487" s="279"/>
      <c r="BC487" s="279"/>
      <c r="BD487" s="279"/>
      <c r="BE487" s="279"/>
      <c r="BF487" s="279"/>
      <c r="BG487" s="279"/>
      <c r="BH487" s="279"/>
      <c r="BI487" s="279"/>
      <c r="BJ487" s="279"/>
      <c r="BK487" s="279"/>
      <c r="BL487" s="279"/>
      <c r="BM487" s="279"/>
      <c r="BN487" s="279"/>
      <c r="BO487" s="279"/>
      <c r="BP487" s="279"/>
      <c r="BQ487" s="279"/>
    </row>
    <row r="488" ht="12.75" customHeight="1">
      <c r="A488" s="269"/>
      <c r="B488" s="285" t="s">
        <v>767</v>
      </c>
      <c r="C488" s="286"/>
      <c r="D488" s="286"/>
      <c r="E488" s="286"/>
      <c r="F488" s="286"/>
      <c r="G488" s="286"/>
      <c r="H488" s="286"/>
      <c r="I488" s="286"/>
      <c r="J488" s="286"/>
      <c r="K488" s="286"/>
      <c r="L488" s="287"/>
      <c r="M488" s="290">
        <v>1429.0</v>
      </c>
      <c r="N488" s="351"/>
      <c r="O488" s="15"/>
      <c r="P488" s="15"/>
      <c r="Q488" s="16"/>
      <c r="R488" s="355" t="s">
        <v>312</v>
      </c>
      <c r="S488" s="279"/>
      <c r="T488" s="279"/>
      <c r="U488" s="279"/>
      <c r="V488" s="279"/>
      <c r="W488" s="279"/>
      <c r="X488" s="279"/>
      <c r="Y488" s="279"/>
      <c r="Z488" s="279"/>
      <c r="AA488" s="279"/>
      <c r="AB488" s="279"/>
      <c r="AC488" s="279"/>
      <c r="AD488" s="279"/>
      <c r="AE488" s="279"/>
      <c r="AF488" s="279"/>
      <c r="AG488" s="279"/>
      <c r="AH488" s="279"/>
      <c r="AI488" s="279"/>
      <c r="AJ488" s="279"/>
      <c r="AK488" s="279"/>
      <c r="AL488" s="279"/>
      <c r="AM488" s="279"/>
      <c r="AN488" s="279"/>
      <c r="AO488" s="279"/>
      <c r="AP488" s="279"/>
      <c r="AQ488" s="279"/>
      <c r="AR488" s="279"/>
      <c r="AS488" s="279"/>
      <c r="AT488" s="279"/>
      <c r="AU488" s="279"/>
      <c r="AV488" s="279"/>
      <c r="AW488" s="279"/>
      <c r="AX488" s="279"/>
      <c r="AY488" s="279"/>
      <c r="AZ488" s="279"/>
      <c r="BA488" s="279"/>
      <c r="BB488" s="279"/>
      <c r="BC488" s="279"/>
      <c r="BD488" s="279"/>
      <c r="BE488" s="279"/>
      <c r="BF488" s="279"/>
      <c r="BG488" s="279"/>
      <c r="BH488" s="279"/>
      <c r="BI488" s="279"/>
      <c r="BJ488" s="279"/>
      <c r="BK488" s="279"/>
      <c r="BL488" s="279"/>
      <c r="BM488" s="279"/>
      <c r="BN488" s="279"/>
      <c r="BO488" s="279"/>
      <c r="BP488" s="279"/>
      <c r="BQ488" s="279"/>
    </row>
    <row r="489" ht="12.75" customHeight="1">
      <c r="A489" s="269"/>
      <c r="B489" s="285" t="s">
        <v>768</v>
      </c>
      <c r="C489" s="286"/>
      <c r="D489" s="286"/>
      <c r="E489" s="286"/>
      <c r="F489" s="286"/>
      <c r="G489" s="286"/>
      <c r="H489" s="286"/>
      <c r="I489" s="286"/>
      <c r="J489" s="286"/>
      <c r="K489" s="286"/>
      <c r="L489" s="287"/>
      <c r="M489" s="290">
        <v>1411.0</v>
      </c>
      <c r="N489" s="351">
        <v>0.0</v>
      </c>
      <c r="O489" s="15"/>
      <c r="P489" s="15"/>
      <c r="Q489" s="16"/>
      <c r="R489" s="355" t="s">
        <v>312</v>
      </c>
      <c r="S489" s="279"/>
      <c r="T489" s="279"/>
      <c r="U489" s="279"/>
      <c r="V489" s="279"/>
      <c r="W489" s="279"/>
      <c r="X489" s="279"/>
      <c r="Y489" s="279"/>
      <c r="Z489" s="279"/>
      <c r="AA489" s="279"/>
      <c r="AB489" s="279"/>
      <c r="AC489" s="279"/>
      <c r="AD489" s="279"/>
      <c r="AE489" s="279"/>
      <c r="AF489" s="279"/>
      <c r="AG489" s="279"/>
      <c r="AH489" s="279"/>
      <c r="AI489" s="279"/>
      <c r="AJ489" s="279"/>
      <c r="AK489" s="279"/>
      <c r="AL489" s="279"/>
      <c r="AM489" s="279"/>
      <c r="AN489" s="279"/>
      <c r="AO489" s="279"/>
      <c r="AP489" s="279"/>
      <c r="AQ489" s="279"/>
      <c r="AR489" s="279"/>
      <c r="AS489" s="279"/>
      <c r="AT489" s="279"/>
      <c r="AU489" s="279"/>
      <c r="AV489" s="279"/>
      <c r="AW489" s="279"/>
      <c r="AX489" s="279"/>
      <c r="AY489" s="279"/>
      <c r="AZ489" s="279"/>
      <c r="BA489" s="279"/>
      <c r="BB489" s="279"/>
      <c r="BC489" s="279"/>
      <c r="BD489" s="279"/>
      <c r="BE489" s="279"/>
      <c r="BF489" s="279"/>
      <c r="BG489" s="279"/>
      <c r="BH489" s="279"/>
      <c r="BI489" s="279"/>
      <c r="BJ489" s="279"/>
      <c r="BK489" s="279"/>
      <c r="BL489" s="279"/>
      <c r="BM489" s="279"/>
      <c r="BN489" s="279"/>
      <c r="BO489" s="279"/>
      <c r="BP489" s="279"/>
      <c r="BQ489" s="279"/>
    </row>
    <row r="490" ht="12.75" customHeight="1">
      <c r="A490" s="269"/>
      <c r="B490" s="285" t="s">
        <v>769</v>
      </c>
      <c r="C490" s="286"/>
      <c r="D490" s="286"/>
      <c r="E490" s="286"/>
      <c r="F490" s="286"/>
      <c r="G490" s="286"/>
      <c r="H490" s="286"/>
      <c r="I490" s="286"/>
      <c r="J490" s="286"/>
      <c r="K490" s="286"/>
      <c r="L490" s="287"/>
      <c r="M490" s="290">
        <v>1412.0</v>
      </c>
      <c r="N490" s="351"/>
      <c r="O490" s="15"/>
      <c r="P490" s="15"/>
      <c r="Q490" s="16"/>
      <c r="R490" s="355" t="s">
        <v>312</v>
      </c>
      <c r="S490" s="279"/>
      <c r="T490" s="279"/>
      <c r="U490" s="279"/>
      <c r="V490" s="279"/>
      <c r="W490" s="279"/>
      <c r="X490" s="279"/>
      <c r="Y490" s="279"/>
      <c r="Z490" s="279"/>
      <c r="AA490" s="279"/>
      <c r="AB490" s="279"/>
      <c r="AC490" s="279"/>
      <c r="AD490" s="279"/>
      <c r="AE490" s="279"/>
      <c r="AF490" s="279"/>
      <c r="AG490" s="279"/>
      <c r="AH490" s="279"/>
      <c r="AI490" s="279"/>
      <c r="AJ490" s="279"/>
      <c r="AK490" s="279"/>
      <c r="AL490" s="279"/>
      <c r="AM490" s="279"/>
      <c r="AN490" s="279"/>
      <c r="AO490" s="279"/>
      <c r="AP490" s="279"/>
      <c r="AQ490" s="279"/>
      <c r="AR490" s="279"/>
      <c r="AS490" s="279"/>
      <c r="AT490" s="279"/>
      <c r="AU490" s="279"/>
      <c r="AV490" s="279"/>
      <c r="AW490" s="279"/>
      <c r="AX490" s="279"/>
      <c r="AY490" s="279"/>
      <c r="AZ490" s="279"/>
      <c r="BA490" s="279"/>
      <c r="BB490" s="279"/>
      <c r="BC490" s="279"/>
      <c r="BD490" s="279"/>
      <c r="BE490" s="279"/>
      <c r="BF490" s="279"/>
      <c r="BG490" s="279"/>
      <c r="BH490" s="279"/>
      <c r="BI490" s="279"/>
      <c r="BJ490" s="279"/>
      <c r="BK490" s="279"/>
      <c r="BL490" s="279"/>
      <c r="BM490" s="279"/>
      <c r="BN490" s="279"/>
      <c r="BO490" s="279"/>
      <c r="BP490" s="279"/>
      <c r="BQ490" s="279"/>
    </row>
    <row r="491" ht="12.75" customHeight="1">
      <c r="A491" s="269"/>
      <c r="B491" s="285" t="s">
        <v>770</v>
      </c>
      <c r="C491" s="286"/>
      <c r="D491" s="286"/>
      <c r="E491" s="286"/>
      <c r="F491" s="286"/>
      <c r="G491" s="286"/>
      <c r="H491" s="286"/>
      <c r="I491" s="286"/>
      <c r="J491" s="286"/>
      <c r="K491" s="286"/>
      <c r="L491" s="287"/>
      <c r="M491" s="290">
        <v>1413.0</v>
      </c>
      <c r="N491" s="351"/>
      <c r="O491" s="15"/>
      <c r="P491" s="15"/>
      <c r="Q491" s="16"/>
      <c r="R491" s="355" t="s">
        <v>312</v>
      </c>
      <c r="S491" s="279"/>
      <c r="T491" s="279"/>
      <c r="U491" s="279"/>
      <c r="V491" s="279"/>
      <c r="W491" s="279"/>
      <c r="X491" s="279"/>
      <c r="Y491" s="279"/>
      <c r="Z491" s="279"/>
      <c r="AA491" s="279"/>
      <c r="AB491" s="279"/>
      <c r="AC491" s="279"/>
      <c r="AD491" s="279"/>
      <c r="AE491" s="279"/>
      <c r="AF491" s="279"/>
      <c r="AG491" s="279"/>
      <c r="AH491" s="279"/>
      <c r="AI491" s="279"/>
      <c r="AJ491" s="279"/>
      <c r="AK491" s="279"/>
      <c r="AL491" s="279"/>
      <c r="AM491" s="279"/>
      <c r="AN491" s="279"/>
      <c r="AO491" s="279"/>
      <c r="AP491" s="279"/>
      <c r="AQ491" s="279"/>
      <c r="AR491" s="279"/>
      <c r="AS491" s="279"/>
      <c r="AT491" s="279"/>
      <c r="AU491" s="279"/>
      <c r="AV491" s="279"/>
      <c r="AW491" s="279"/>
      <c r="AX491" s="279"/>
      <c r="AY491" s="279"/>
      <c r="AZ491" s="279"/>
      <c r="BA491" s="279"/>
      <c r="BB491" s="279"/>
      <c r="BC491" s="279"/>
      <c r="BD491" s="279"/>
      <c r="BE491" s="279"/>
      <c r="BF491" s="279"/>
      <c r="BG491" s="279"/>
      <c r="BH491" s="279"/>
      <c r="BI491" s="279"/>
      <c r="BJ491" s="279"/>
      <c r="BK491" s="279"/>
      <c r="BL491" s="279"/>
      <c r="BM491" s="279"/>
      <c r="BN491" s="279"/>
      <c r="BO491" s="279"/>
      <c r="BP491" s="279"/>
      <c r="BQ491" s="279"/>
    </row>
    <row r="492" ht="12.75" customHeight="1">
      <c r="A492" s="269"/>
      <c r="B492" s="285" t="s">
        <v>771</v>
      </c>
      <c r="C492" s="286"/>
      <c r="D492" s="286"/>
      <c r="E492" s="286"/>
      <c r="F492" s="286"/>
      <c r="G492" s="286"/>
      <c r="H492" s="286"/>
      <c r="I492" s="286"/>
      <c r="J492" s="286"/>
      <c r="K492" s="286"/>
      <c r="L492" s="287"/>
      <c r="M492" s="290">
        <v>1415.0</v>
      </c>
      <c r="N492" s="351"/>
      <c r="O492" s="15"/>
      <c r="P492" s="15"/>
      <c r="Q492" s="16"/>
      <c r="R492" s="355" t="s">
        <v>312</v>
      </c>
      <c r="S492" s="279"/>
      <c r="T492" s="279"/>
      <c r="U492" s="279"/>
      <c r="V492" s="279"/>
      <c r="W492" s="279"/>
      <c r="X492" s="279"/>
      <c r="Y492" s="279"/>
      <c r="Z492" s="279"/>
      <c r="AA492" s="279"/>
      <c r="AB492" s="279"/>
      <c r="AC492" s="279"/>
      <c r="AD492" s="279"/>
      <c r="AE492" s="279"/>
      <c r="AF492" s="279"/>
      <c r="AG492" s="279"/>
      <c r="AH492" s="279"/>
      <c r="AI492" s="279"/>
      <c r="AJ492" s="279"/>
      <c r="AK492" s="279"/>
      <c r="AL492" s="279"/>
      <c r="AM492" s="279"/>
      <c r="AN492" s="279"/>
      <c r="AO492" s="279"/>
      <c r="AP492" s="279"/>
      <c r="AQ492" s="279"/>
      <c r="AR492" s="279"/>
      <c r="AS492" s="279"/>
      <c r="AT492" s="279"/>
      <c r="AU492" s="279"/>
      <c r="AV492" s="279"/>
      <c r="AW492" s="279"/>
      <c r="AX492" s="279"/>
      <c r="AY492" s="279"/>
      <c r="AZ492" s="279"/>
      <c r="BA492" s="279"/>
      <c r="BB492" s="279"/>
      <c r="BC492" s="279"/>
      <c r="BD492" s="279"/>
      <c r="BE492" s="279"/>
      <c r="BF492" s="279"/>
      <c r="BG492" s="279"/>
      <c r="BH492" s="279"/>
      <c r="BI492" s="279"/>
      <c r="BJ492" s="279"/>
      <c r="BK492" s="279"/>
      <c r="BL492" s="279"/>
      <c r="BM492" s="279"/>
      <c r="BN492" s="279"/>
      <c r="BO492" s="279"/>
      <c r="BP492" s="279"/>
      <c r="BQ492" s="279"/>
    </row>
    <row r="493" ht="12.75" customHeight="1">
      <c r="A493" s="269"/>
      <c r="B493" s="285" t="s">
        <v>772</v>
      </c>
      <c r="C493" s="286"/>
      <c r="D493" s="286"/>
      <c r="E493" s="286"/>
      <c r="F493" s="286"/>
      <c r="G493" s="286"/>
      <c r="H493" s="286"/>
      <c r="I493" s="286"/>
      <c r="J493" s="286"/>
      <c r="K493" s="286"/>
      <c r="L493" s="287"/>
      <c r="M493" s="290">
        <v>1416.0</v>
      </c>
      <c r="N493" s="351"/>
      <c r="O493" s="15"/>
      <c r="P493" s="15"/>
      <c r="Q493" s="16"/>
      <c r="R493" s="355" t="s">
        <v>312</v>
      </c>
      <c r="S493" s="279"/>
      <c r="T493" s="279"/>
      <c r="U493" s="279"/>
      <c r="V493" s="279"/>
      <c r="W493" s="279"/>
      <c r="X493" s="279"/>
      <c r="Y493" s="279"/>
      <c r="Z493" s="279"/>
      <c r="AA493" s="279"/>
      <c r="AB493" s="279"/>
      <c r="AC493" s="279"/>
      <c r="AD493" s="279"/>
      <c r="AE493" s="279"/>
      <c r="AF493" s="279"/>
      <c r="AG493" s="279"/>
      <c r="AH493" s="279"/>
      <c r="AI493" s="279"/>
      <c r="AJ493" s="279"/>
      <c r="AK493" s="279"/>
      <c r="AL493" s="279"/>
      <c r="AM493" s="279"/>
      <c r="AN493" s="279"/>
      <c r="AO493" s="279"/>
      <c r="AP493" s="279"/>
      <c r="AQ493" s="279"/>
      <c r="AR493" s="279"/>
      <c r="AS493" s="279"/>
      <c r="AT493" s="279"/>
      <c r="AU493" s="279"/>
      <c r="AV493" s="279"/>
      <c r="AW493" s="279"/>
      <c r="AX493" s="279"/>
      <c r="AY493" s="279"/>
      <c r="AZ493" s="279"/>
      <c r="BA493" s="279"/>
      <c r="BB493" s="279"/>
      <c r="BC493" s="279"/>
      <c r="BD493" s="279"/>
      <c r="BE493" s="279"/>
      <c r="BF493" s="279"/>
      <c r="BG493" s="279"/>
      <c r="BH493" s="279"/>
      <c r="BI493" s="279"/>
      <c r="BJ493" s="279"/>
      <c r="BK493" s="279"/>
      <c r="BL493" s="279"/>
      <c r="BM493" s="279"/>
      <c r="BN493" s="279"/>
      <c r="BO493" s="279"/>
      <c r="BP493" s="279"/>
      <c r="BQ493" s="279"/>
    </row>
    <row r="494" ht="12.75" customHeight="1">
      <c r="A494" s="269"/>
      <c r="B494" s="285" t="s">
        <v>773</v>
      </c>
      <c r="C494" s="286"/>
      <c r="D494" s="286"/>
      <c r="E494" s="286"/>
      <c r="F494" s="286"/>
      <c r="G494" s="286"/>
      <c r="H494" s="286"/>
      <c r="I494" s="286"/>
      <c r="J494" s="286"/>
      <c r="K494" s="286"/>
      <c r="L494" s="287"/>
      <c r="M494" s="290">
        <v>1417.0</v>
      </c>
      <c r="N494" s="351"/>
      <c r="O494" s="15"/>
      <c r="P494" s="15"/>
      <c r="Q494" s="16"/>
      <c r="R494" s="355" t="s">
        <v>312</v>
      </c>
      <c r="S494" s="279"/>
      <c r="T494" s="279"/>
      <c r="U494" s="279"/>
      <c r="V494" s="279"/>
      <c r="W494" s="279"/>
      <c r="X494" s="279"/>
      <c r="Y494" s="279"/>
      <c r="Z494" s="279"/>
      <c r="AA494" s="279"/>
      <c r="AB494" s="279"/>
      <c r="AC494" s="279"/>
      <c r="AD494" s="279"/>
      <c r="AE494" s="279"/>
      <c r="AF494" s="279"/>
      <c r="AG494" s="279"/>
      <c r="AH494" s="279"/>
      <c r="AI494" s="279"/>
      <c r="AJ494" s="279"/>
      <c r="AK494" s="279"/>
      <c r="AL494" s="279"/>
      <c r="AM494" s="279"/>
      <c r="AN494" s="279"/>
      <c r="AO494" s="279"/>
      <c r="AP494" s="279"/>
      <c r="AQ494" s="279"/>
      <c r="AR494" s="279"/>
      <c r="AS494" s="279"/>
      <c r="AT494" s="279"/>
      <c r="AU494" s="279"/>
      <c r="AV494" s="279"/>
      <c r="AW494" s="279"/>
      <c r="AX494" s="279"/>
      <c r="AY494" s="279"/>
      <c r="AZ494" s="279"/>
      <c r="BA494" s="279"/>
      <c r="BB494" s="279"/>
      <c r="BC494" s="279"/>
      <c r="BD494" s="279"/>
      <c r="BE494" s="279"/>
      <c r="BF494" s="279"/>
      <c r="BG494" s="279"/>
      <c r="BH494" s="279"/>
      <c r="BI494" s="279"/>
      <c r="BJ494" s="279"/>
      <c r="BK494" s="279"/>
      <c r="BL494" s="279"/>
      <c r="BM494" s="279"/>
      <c r="BN494" s="279"/>
      <c r="BO494" s="279"/>
      <c r="BP494" s="279"/>
      <c r="BQ494" s="279"/>
    </row>
    <row r="495" ht="12.75" customHeight="1">
      <c r="A495" s="269"/>
      <c r="B495" s="285" t="s">
        <v>644</v>
      </c>
      <c r="C495" s="286"/>
      <c r="D495" s="286"/>
      <c r="E495" s="286"/>
      <c r="F495" s="286"/>
      <c r="G495" s="286"/>
      <c r="H495" s="286"/>
      <c r="I495" s="286"/>
      <c r="J495" s="286"/>
      <c r="K495" s="286"/>
      <c r="L495" s="287"/>
      <c r="M495" s="290">
        <v>1418.0</v>
      </c>
      <c r="N495" s="351"/>
      <c r="O495" s="15"/>
      <c r="P495" s="15"/>
      <c r="Q495" s="16"/>
      <c r="R495" s="355" t="s">
        <v>312</v>
      </c>
      <c r="S495" s="279"/>
      <c r="T495" s="279"/>
      <c r="U495" s="279"/>
      <c r="V495" s="279"/>
      <c r="W495" s="279"/>
      <c r="X495" s="279"/>
      <c r="Y495" s="279"/>
      <c r="Z495" s="279"/>
      <c r="AA495" s="279"/>
      <c r="AB495" s="279"/>
      <c r="AC495" s="279"/>
      <c r="AD495" s="279"/>
      <c r="AE495" s="279"/>
      <c r="AF495" s="279"/>
      <c r="AG495" s="279"/>
      <c r="AH495" s="279"/>
      <c r="AI495" s="279"/>
      <c r="AJ495" s="279"/>
      <c r="AK495" s="279"/>
      <c r="AL495" s="279"/>
      <c r="AM495" s="279"/>
      <c r="AN495" s="279"/>
      <c r="AO495" s="279"/>
      <c r="AP495" s="279"/>
      <c r="AQ495" s="279"/>
      <c r="AR495" s="279"/>
      <c r="AS495" s="279"/>
      <c r="AT495" s="279"/>
      <c r="AU495" s="279"/>
      <c r="AV495" s="279"/>
      <c r="AW495" s="279"/>
      <c r="AX495" s="279"/>
      <c r="AY495" s="279"/>
      <c r="AZ495" s="279"/>
      <c r="BA495" s="279"/>
      <c r="BB495" s="279"/>
      <c r="BC495" s="279"/>
      <c r="BD495" s="279"/>
      <c r="BE495" s="279"/>
      <c r="BF495" s="279"/>
      <c r="BG495" s="279"/>
      <c r="BH495" s="279"/>
      <c r="BI495" s="279"/>
      <c r="BJ495" s="279"/>
      <c r="BK495" s="279"/>
      <c r="BL495" s="279"/>
      <c r="BM495" s="279"/>
      <c r="BN495" s="279"/>
      <c r="BO495" s="279"/>
      <c r="BP495" s="279"/>
      <c r="BQ495" s="279"/>
    </row>
    <row r="496" ht="12.75" customHeight="1">
      <c r="A496" s="269"/>
      <c r="B496" s="285" t="s">
        <v>774</v>
      </c>
      <c r="C496" s="286"/>
      <c r="D496" s="286"/>
      <c r="E496" s="286"/>
      <c r="F496" s="286"/>
      <c r="G496" s="286"/>
      <c r="H496" s="286"/>
      <c r="I496" s="286"/>
      <c r="J496" s="286"/>
      <c r="K496" s="286"/>
      <c r="L496" s="287"/>
      <c r="M496" s="290">
        <v>1419.0</v>
      </c>
      <c r="N496" s="351"/>
      <c r="O496" s="15"/>
      <c r="P496" s="15"/>
      <c r="Q496" s="16"/>
      <c r="R496" s="355" t="s">
        <v>312</v>
      </c>
      <c r="S496" s="279"/>
      <c r="T496" s="279"/>
      <c r="U496" s="279"/>
      <c r="V496" s="279"/>
      <c r="W496" s="279"/>
      <c r="X496" s="279"/>
      <c r="Y496" s="279"/>
      <c r="Z496" s="279"/>
      <c r="AA496" s="279"/>
      <c r="AB496" s="279"/>
      <c r="AC496" s="279"/>
      <c r="AD496" s="279"/>
      <c r="AE496" s="279"/>
      <c r="AF496" s="279"/>
      <c r="AG496" s="279"/>
      <c r="AH496" s="279"/>
      <c r="AI496" s="279"/>
      <c r="AJ496" s="279"/>
      <c r="AK496" s="279"/>
      <c r="AL496" s="279"/>
      <c r="AM496" s="279"/>
      <c r="AN496" s="279"/>
      <c r="AO496" s="279"/>
      <c r="AP496" s="279"/>
      <c r="AQ496" s="279"/>
      <c r="AR496" s="279"/>
      <c r="AS496" s="279"/>
      <c r="AT496" s="279"/>
      <c r="AU496" s="279"/>
      <c r="AV496" s="279"/>
      <c r="AW496" s="279"/>
      <c r="AX496" s="279"/>
      <c r="AY496" s="279"/>
      <c r="AZ496" s="279"/>
      <c r="BA496" s="279"/>
      <c r="BB496" s="279"/>
      <c r="BC496" s="279"/>
      <c r="BD496" s="279"/>
      <c r="BE496" s="279"/>
      <c r="BF496" s="279"/>
      <c r="BG496" s="279"/>
      <c r="BH496" s="279"/>
      <c r="BI496" s="279"/>
      <c r="BJ496" s="279"/>
      <c r="BK496" s="279"/>
      <c r="BL496" s="279"/>
      <c r="BM496" s="279"/>
      <c r="BN496" s="279"/>
      <c r="BO496" s="279"/>
      <c r="BP496" s="279"/>
      <c r="BQ496" s="279"/>
    </row>
    <row r="497" ht="12.75" customHeight="1">
      <c r="A497" s="269"/>
      <c r="B497" s="285" t="s">
        <v>775</v>
      </c>
      <c r="C497" s="286"/>
      <c r="D497" s="286"/>
      <c r="E497" s="286"/>
      <c r="F497" s="286"/>
      <c r="G497" s="286"/>
      <c r="H497" s="286"/>
      <c r="I497" s="286"/>
      <c r="J497" s="286"/>
      <c r="K497" s="286"/>
      <c r="L497" s="287"/>
      <c r="M497" s="290">
        <v>1421.0</v>
      </c>
      <c r="N497" s="351"/>
      <c r="O497" s="15"/>
      <c r="P497" s="15"/>
      <c r="Q497" s="16"/>
      <c r="R497" s="355" t="s">
        <v>312</v>
      </c>
      <c r="S497" s="279"/>
      <c r="T497" s="279"/>
      <c r="U497" s="279"/>
      <c r="V497" s="279"/>
      <c r="W497" s="279"/>
      <c r="X497" s="279"/>
      <c r="Y497" s="279"/>
      <c r="Z497" s="279"/>
      <c r="AA497" s="279"/>
      <c r="AB497" s="279"/>
      <c r="AC497" s="279"/>
      <c r="AD497" s="279"/>
      <c r="AE497" s="279"/>
      <c r="AF497" s="279"/>
      <c r="AG497" s="279"/>
      <c r="AH497" s="279"/>
      <c r="AI497" s="279"/>
      <c r="AJ497" s="279"/>
      <c r="AK497" s="279"/>
      <c r="AL497" s="279"/>
      <c r="AM497" s="279"/>
      <c r="AN497" s="279"/>
      <c r="AO497" s="279"/>
      <c r="AP497" s="279"/>
      <c r="AQ497" s="279"/>
      <c r="AR497" s="279"/>
      <c r="AS497" s="279"/>
      <c r="AT497" s="279"/>
      <c r="AU497" s="279"/>
      <c r="AV497" s="279"/>
      <c r="AW497" s="279"/>
      <c r="AX497" s="279"/>
      <c r="AY497" s="279"/>
      <c r="AZ497" s="279"/>
      <c r="BA497" s="279"/>
      <c r="BB497" s="279"/>
      <c r="BC497" s="279"/>
      <c r="BD497" s="279"/>
      <c r="BE497" s="279"/>
      <c r="BF497" s="279"/>
      <c r="BG497" s="279"/>
      <c r="BH497" s="279"/>
      <c r="BI497" s="279"/>
      <c r="BJ497" s="279"/>
      <c r="BK497" s="279"/>
      <c r="BL497" s="279"/>
      <c r="BM497" s="279"/>
      <c r="BN497" s="279"/>
      <c r="BO497" s="279"/>
      <c r="BP497" s="279"/>
      <c r="BQ497" s="279"/>
    </row>
    <row r="498" ht="12.75" customHeight="1">
      <c r="A498" s="269"/>
      <c r="B498" s="285" t="s">
        <v>776</v>
      </c>
      <c r="C498" s="286"/>
      <c r="D498" s="286"/>
      <c r="E498" s="286"/>
      <c r="F498" s="286"/>
      <c r="G498" s="286"/>
      <c r="H498" s="286"/>
      <c r="I498" s="286"/>
      <c r="J498" s="286"/>
      <c r="K498" s="286"/>
      <c r="L498" s="287"/>
      <c r="M498" s="290">
        <v>1422.0</v>
      </c>
      <c r="N498" s="351">
        <f>+'Balance 2023'!I26+'Balance 2023'!I28+'Balance 2023'!I29</f>
        <v>14462338</v>
      </c>
      <c r="O498" s="15"/>
      <c r="P498" s="15"/>
      <c r="Q498" s="16"/>
      <c r="R498" s="355" t="s">
        <v>312</v>
      </c>
      <c r="S498" s="279"/>
      <c r="T498" s="279"/>
      <c r="U498" s="279"/>
      <c r="V498" s="279"/>
      <c r="W498" s="279"/>
      <c r="X498" s="279"/>
      <c r="Y498" s="279"/>
      <c r="Z498" s="279"/>
      <c r="AA498" s="279"/>
      <c r="AB498" s="279"/>
      <c r="AC498" s="279"/>
      <c r="AD498" s="279"/>
      <c r="AE498" s="279"/>
      <c r="AF498" s="279"/>
      <c r="AG498" s="279"/>
      <c r="AH498" s="279"/>
      <c r="AI498" s="279"/>
      <c r="AJ498" s="279"/>
      <c r="AK498" s="279"/>
      <c r="AL498" s="279"/>
      <c r="AM498" s="279"/>
      <c r="AN498" s="279"/>
      <c r="AO498" s="279"/>
      <c r="AP498" s="279"/>
      <c r="AQ498" s="279"/>
      <c r="AR498" s="279"/>
      <c r="AS498" s="279"/>
      <c r="AT498" s="279"/>
      <c r="AU498" s="279"/>
      <c r="AV498" s="279"/>
      <c r="AW498" s="279"/>
      <c r="AX498" s="279"/>
      <c r="AY498" s="279"/>
      <c r="AZ498" s="279"/>
      <c r="BA498" s="279"/>
      <c r="BB498" s="279"/>
      <c r="BC498" s="279"/>
      <c r="BD498" s="279"/>
      <c r="BE498" s="279"/>
      <c r="BF498" s="279"/>
      <c r="BG498" s="279"/>
      <c r="BH498" s="279"/>
      <c r="BI498" s="279"/>
      <c r="BJ498" s="279"/>
      <c r="BK498" s="279"/>
      <c r="BL498" s="279"/>
      <c r="BM498" s="279"/>
      <c r="BN498" s="279"/>
      <c r="BO498" s="279"/>
      <c r="BP498" s="279"/>
      <c r="BQ498" s="279"/>
    </row>
    <row r="499" ht="12.75" customHeight="1">
      <c r="A499" s="269"/>
      <c r="B499" s="285" t="s">
        <v>777</v>
      </c>
      <c r="C499" s="286"/>
      <c r="D499" s="286"/>
      <c r="E499" s="286"/>
      <c r="F499" s="286"/>
      <c r="G499" s="286"/>
      <c r="H499" s="286"/>
      <c r="I499" s="286"/>
      <c r="J499" s="286"/>
      <c r="K499" s="286"/>
      <c r="L499" s="287"/>
      <c r="M499" s="290">
        <v>1423.0</v>
      </c>
      <c r="N499" s="351"/>
      <c r="O499" s="15"/>
      <c r="P499" s="15"/>
      <c r="Q499" s="16"/>
      <c r="R499" s="355" t="s">
        <v>312</v>
      </c>
      <c r="S499" s="279"/>
      <c r="T499" s="279"/>
      <c r="U499" s="279"/>
      <c r="V499" s="279"/>
      <c r="W499" s="279"/>
      <c r="X499" s="279"/>
      <c r="Y499" s="279"/>
      <c r="Z499" s="279"/>
      <c r="AA499" s="279"/>
      <c r="AB499" s="279"/>
      <c r="AC499" s="279"/>
      <c r="AD499" s="279"/>
      <c r="AE499" s="279"/>
      <c r="AF499" s="279"/>
      <c r="AG499" s="279"/>
      <c r="AH499" s="279"/>
      <c r="AI499" s="279"/>
      <c r="AJ499" s="279"/>
      <c r="AK499" s="279"/>
      <c r="AL499" s="279"/>
      <c r="AM499" s="279"/>
      <c r="AN499" s="279"/>
      <c r="AO499" s="279"/>
      <c r="AP499" s="279"/>
      <c r="AQ499" s="279"/>
      <c r="AR499" s="279"/>
      <c r="AS499" s="279"/>
      <c r="AT499" s="279"/>
      <c r="AU499" s="279"/>
      <c r="AV499" s="279"/>
      <c r="AW499" s="279"/>
      <c r="AX499" s="279"/>
      <c r="AY499" s="279"/>
      <c r="AZ499" s="279"/>
      <c r="BA499" s="279"/>
      <c r="BB499" s="279"/>
      <c r="BC499" s="279"/>
      <c r="BD499" s="279"/>
      <c r="BE499" s="279"/>
      <c r="BF499" s="279"/>
      <c r="BG499" s="279"/>
      <c r="BH499" s="279"/>
      <c r="BI499" s="279"/>
      <c r="BJ499" s="279"/>
      <c r="BK499" s="279"/>
      <c r="BL499" s="279"/>
      <c r="BM499" s="279"/>
      <c r="BN499" s="279"/>
      <c r="BO499" s="279"/>
      <c r="BP499" s="279"/>
      <c r="BQ499" s="279"/>
    </row>
    <row r="500" ht="12.75" customHeight="1">
      <c r="A500" s="269"/>
      <c r="B500" s="285" t="s">
        <v>778</v>
      </c>
      <c r="C500" s="286"/>
      <c r="D500" s="286"/>
      <c r="E500" s="286"/>
      <c r="F500" s="286"/>
      <c r="G500" s="286"/>
      <c r="H500" s="286"/>
      <c r="I500" s="286"/>
      <c r="J500" s="286"/>
      <c r="K500" s="286"/>
      <c r="L500" s="287"/>
      <c r="M500" s="290">
        <v>1424.0</v>
      </c>
      <c r="N500" s="351"/>
      <c r="O500" s="15"/>
      <c r="P500" s="15"/>
      <c r="Q500" s="16"/>
      <c r="R500" s="355" t="s">
        <v>312</v>
      </c>
      <c r="S500" s="279"/>
      <c r="T500" s="279"/>
      <c r="U500" s="279"/>
      <c r="V500" s="279"/>
      <c r="W500" s="279"/>
      <c r="X500" s="279"/>
      <c r="Y500" s="279"/>
      <c r="Z500" s="279"/>
      <c r="AA500" s="279"/>
      <c r="AB500" s="279"/>
      <c r="AC500" s="279"/>
      <c r="AD500" s="279"/>
      <c r="AE500" s="279"/>
      <c r="AF500" s="279"/>
      <c r="AG500" s="279"/>
      <c r="AH500" s="279"/>
      <c r="AI500" s="279"/>
      <c r="AJ500" s="279"/>
      <c r="AK500" s="279"/>
      <c r="AL500" s="279"/>
      <c r="AM500" s="279"/>
      <c r="AN500" s="279"/>
      <c r="AO500" s="279"/>
      <c r="AP500" s="279"/>
      <c r="AQ500" s="279"/>
      <c r="AR500" s="279"/>
      <c r="AS500" s="279"/>
      <c r="AT500" s="279"/>
      <c r="AU500" s="279"/>
      <c r="AV500" s="279"/>
      <c r="AW500" s="279"/>
      <c r="AX500" s="279"/>
      <c r="AY500" s="279"/>
      <c r="AZ500" s="279"/>
      <c r="BA500" s="279"/>
      <c r="BB500" s="279"/>
      <c r="BC500" s="279"/>
      <c r="BD500" s="279"/>
      <c r="BE500" s="279"/>
      <c r="BF500" s="279"/>
      <c r="BG500" s="279"/>
      <c r="BH500" s="279"/>
      <c r="BI500" s="279"/>
      <c r="BJ500" s="279"/>
      <c r="BK500" s="279"/>
      <c r="BL500" s="279"/>
      <c r="BM500" s="279"/>
      <c r="BN500" s="279"/>
      <c r="BO500" s="279"/>
      <c r="BP500" s="279"/>
      <c r="BQ500" s="279"/>
    </row>
    <row r="501" ht="12.75" customHeight="1">
      <c r="A501" s="269"/>
      <c r="B501" s="285" t="s">
        <v>779</v>
      </c>
      <c r="C501" s="286"/>
      <c r="D501" s="286"/>
      <c r="E501" s="286"/>
      <c r="F501" s="286"/>
      <c r="G501" s="286"/>
      <c r="H501" s="286"/>
      <c r="I501" s="286"/>
      <c r="J501" s="286"/>
      <c r="K501" s="286"/>
      <c r="L501" s="287"/>
      <c r="M501" s="290">
        <v>1425.0</v>
      </c>
      <c r="N501" s="351"/>
      <c r="O501" s="15"/>
      <c r="P501" s="15"/>
      <c r="Q501" s="16"/>
      <c r="R501" s="355" t="s">
        <v>312</v>
      </c>
      <c r="S501" s="279"/>
      <c r="T501" s="279"/>
      <c r="U501" s="279"/>
      <c r="V501" s="279"/>
      <c r="W501" s="279"/>
      <c r="X501" s="279"/>
      <c r="Y501" s="279"/>
      <c r="Z501" s="279"/>
      <c r="AA501" s="279"/>
      <c r="AB501" s="279"/>
      <c r="AC501" s="279"/>
      <c r="AD501" s="279"/>
      <c r="AE501" s="279"/>
      <c r="AF501" s="279"/>
      <c r="AG501" s="279"/>
      <c r="AH501" s="279"/>
      <c r="AI501" s="279"/>
      <c r="AJ501" s="279"/>
      <c r="AK501" s="279"/>
      <c r="AL501" s="279"/>
      <c r="AM501" s="279"/>
      <c r="AN501" s="279"/>
      <c r="AO501" s="279"/>
      <c r="AP501" s="279"/>
      <c r="AQ501" s="279"/>
      <c r="AR501" s="279"/>
      <c r="AS501" s="279"/>
      <c r="AT501" s="279"/>
      <c r="AU501" s="279"/>
      <c r="AV501" s="279"/>
      <c r="AW501" s="279"/>
      <c r="AX501" s="279"/>
      <c r="AY501" s="279"/>
      <c r="AZ501" s="279"/>
      <c r="BA501" s="279"/>
      <c r="BB501" s="279"/>
      <c r="BC501" s="279"/>
      <c r="BD501" s="279"/>
      <c r="BE501" s="279"/>
      <c r="BF501" s="279"/>
      <c r="BG501" s="279"/>
      <c r="BH501" s="279"/>
      <c r="BI501" s="279"/>
      <c r="BJ501" s="279"/>
      <c r="BK501" s="279"/>
      <c r="BL501" s="279"/>
      <c r="BM501" s="279"/>
      <c r="BN501" s="279"/>
      <c r="BO501" s="279"/>
      <c r="BP501" s="279"/>
      <c r="BQ501" s="279"/>
    </row>
    <row r="502" ht="12.75" customHeight="1">
      <c r="A502" s="275"/>
      <c r="B502" s="411" t="s">
        <v>780</v>
      </c>
      <c r="C502" s="412"/>
      <c r="D502" s="412"/>
      <c r="E502" s="412"/>
      <c r="F502" s="412"/>
      <c r="G502" s="412"/>
      <c r="H502" s="412"/>
      <c r="I502" s="412"/>
      <c r="J502" s="412"/>
      <c r="K502" s="412"/>
      <c r="L502" s="413"/>
      <c r="M502" s="406">
        <v>1426.0</v>
      </c>
      <c r="N502" s="351"/>
      <c r="O502" s="15"/>
      <c r="P502" s="15"/>
      <c r="Q502" s="16"/>
      <c r="R502" s="408" t="s">
        <v>312</v>
      </c>
      <c r="S502" s="387"/>
      <c r="T502" s="387"/>
      <c r="U502" s="387"/>
      <c r="V502" s="387"/>
      <c r="W502" s="387"/>
      <c r="X502" s="387"/>
      <c r="Y502" s="387"/>
      <c r="Z502" s="387"/>
      <c r="AA502" s="387"/>
      <c r="AB502" s="387"/>
      <c r="AC502" s="387"/>
      <c r="AD502" s="387"/>
      <c r="AE502" s="387"/>
      <c r="AF502" s="387"/>
      <c r="AG502" s="387"/>
      <c r="AH502" s="387"/>
      <c r="AI502" s="387"/>
      <c r="AJ502" s="387"/>
      <c r="AK502" s="387"/>
      <c r="AL502" s="387"/>
      <c r="AM502" s="387"/>
      <c r="AN502" s="387"/>
      <c r="AO502" s="387"/>
      <c r="AP502" s="387"/>
      <c r="AQ502" s="387"/>
      <c r="AR502" s="387"/>
      <c r="AS502" s="387"/>
      <c r="AT502" s="387"/>
      <c r="AU502" s="387"/>
      <c r="AV502" s="387"/>
      <c r="AW502" s="387"/>
      <c r="AX502" s="387"/>
      <c r="AY502" s="387"/>
      <c r="AZ502" s="387"/>
      <c r="BA502" s="387"/>
      <c r="BB502" s="387"/>
      <c r="BC502" s="387"/>
      <c r="BD502" s="387"/>
      <c r="BE502" s="387"/>
      <c r="BF502" s="387"/>
      <c r="BG502" s="387"/>
      <c r="BH502" s="387"/>
      <c r="BI502" s="387"/>
      <c r="BJ502" s="387"/>
      <c r="BK502" s="387"/>
      <c r="BL502" s="387"/>
      <c r="BM502" s="387"/>
      <c r="BN502" s="387"/>
      <c r="BO502" s="387"/>
      <c r="BP502" s="387"/>
      <c r="BQ502" s="387"/>
    </row>
    <row r="503" ht="12.75" customHeight="1">
      <c r="A503" s="269"/>
      <c r="B503" s="285" t="s">
        <v>781</v>
      </c>
      <c r="C503" s="286"/>
      <c r="D503" s="286"/>
      <c r="E503" s="286"/>
      <c r="F503" s="286"/>
      <c r="G503" s="286"/>
      <c r="H503" s="286"/>
      <c r="I503" s="286"/>
      <c r="J503" s="286"/>
      <c r="K503" s="286"/>
      <c r="L503" s="287"/>
      <c r="M503" s="290">
        <v>1427.0</v>
      </c>
      <c r="N503" s="351"/>
      <c r="O503" s="15"/>
      <c r="P503" s="15"/>
      <c r="Q503" s="16"/>
      <c r="R503" s="355" t="s">
        <v>312</v>
      </c>
      <c r="S503" s="279"/>
      <c r="T503" s="279"/>
      <c r="U503" s="279"/>
      <c r="V503" s="279"/>
      <c r="W503" s="279"/>
      <c r="X503" s="279"/>
      <c r="Y503" s="279"/>
      <c r="Z503" s="279"/>
      <c r="AA503" s="279"/>
      <c r="AB503" s="279"/>
      <c r="AC503" s="279"/>
      <c r="AD503" s="279"/>
      <c r="AE503" s="279"/>
      <c r="AF503" s="279"/>
      <c r="AG503" s="279"/>
      <c r="AH503" s="279"/>
      <c r="AI503" s="279"/>
      <c r="AJ503" s="279"/>
      <c r="AK503" s="279"/>
      <c r="AL503" s="279"/>
      <c r="AM503" s="279"/>
      <c r="AN503" s="279"/>
      <c r="AO503" s="279"/>
      <c r="AP503" s="279"/>
      <c r="AQ503" s="279"/>
      <c r="AR503" s="279"/>
      <c r="AS503" s="279"/>
      <c r="AT503" s="279"/>
      <c r="AU503" s="279"/>
      <c r="AV503" s="279"/>
      <c r="AW503" s="279"/>
      <c r="AX503" s="279"/>
      <c r="AY503" s="279"/>
      <c r="AZ503" s="279"/>
      <c r="BA503" s="279"/>
      <c r="BB503" s="279"/>
      <c r="BC503" s="279"/>
      <c r="BD503" s="279"/>
      <c r="BE503" s="279"/>
      <c r="BF503" s="279"/>
      <c r="BG503" s="279"/>
      <c r="BH503" s="279"/>
      <c r="BI503" s="279"/>
      <c r="BJ503" s="279"/>
      <c r="BK503" s="279"/>
      <c r="BL503" s="279"/>
      <c r="BM503" s="279"/>
      <c r="BN503" s="279"/>
      <c r="BO503" s="279"/>
      <c r="BP503" s="279"/>
      <c r="BQ503" s="279"/>
    </row>
    <row r="504" ht="12.75" customHeight="1">
      <c r="A504" s="269"/>
      <c r="B504" s="285" t="s">
        <v>675</v>
      </c>
      <c r="C504" s="286"/>
      <c r="D504" s="286"/>
      <c r="E504" s="286"/>
      <c r="F504" s="286"/>
      <c r="G504" s="286"/>
      <c r="H504" s="286"/>
      <c r="I504" s="286"/>
      <c r="J504" s="286"/>
      <c r="K504" s="286"/>
      <c r="L504" s="287"/>
      <c r="M504" s="290">
        <v>1428.0</v>
      </c>
      <c r="N504" s="351"/>
      <c r="O504" s="15"/>
      <c r="P504" s="15"/>
      <c r="Q504" s="16"/>
      <c r="R504" s="355" t="s">
        <v>312</v>
      </c>
      <c r="S504" s="279"/>
      <c r="T504" s="279"/>
      <c r="U504" s="279"/>
      <c r="V504" s="279"/>
      <c r="W504" s="279"/>
      <c r="X504" s="279"/>
      <c r="Y504" s="279"/>
      <c r="Z504" s="279"/>
      <c r="AA504" s="279"/>
      <c r="AB504" s="279"/>
      <c r="AC504" s="279"/>
      <c r="AD504" s="279"/>
      <c r="AE504" s="279"/>
      <c r="AF504" s="279"/>
      <c r="AG504" s="279"/>
      <c r="AH504" s="279"/>
      <c r="AI504" s="279"/>
      <c r="AJ504" s="279"/>
      <c r="AK504" s="279"/>
      <c r="AL504" s="279"/>
      <c r="AM504" s="279"/>
      <c r="AN504" s="279"/>
      <c r="AO504" s="279"/>
      <c r="AP504" s="279"/>
      <c r="AQ504" s="279"/>
      <c r="AR504" s="279"/>
      <c r="AS504" s="279"/>
      <c r="AT504" s="279"/>
      <c r="AU504" s="279"/>
      <c r="AV504" s="279"/>
      <c r="AW504" s="279"/>
      <c r="AX504" s="279"/>
      <c r="AY504" s="279"/>
      <c r="AZ504" s="279"/>
      <c r="BA504" s="279"/>
      <c r="BB504" s="279"/>
      <c r="BC504" s="279"/>
      <c r="BD504" s="279"/>
      <c r="BE504" s="279"/>
      <c r="BF504" s="279"/>
      <c r="BG504" s="279"/>
      <c r="BH504" s="279"/>
      <c r="BI504" s="279"/>
      <c r="BJ504" s="279"/>
      <c r="BK504" s="279"/>
      <c r="BL504" s="279"/>
      <c r="BM504" s="279"/>
      <c r="BN504" s="279"/>
      <c r="BO504" s="279"/>
      <c r="BP504" s="279"/>
      <c r="BQ504" s="279"/>
    </row>
    <row r="505" ht="12.75" customHeight="1">
      <c r="A505" s="269"/>
      <c r="B505" s="285" t="s">
        <v>782</v>
      </c>
      <c r="C505" s="286"/>
      <c r="D505" s="286"/>
      <c r="E505" s="286"/>
      <c r="F505" s="286"/>
      <c r="G505" s="286"/>
      <c r="H505" s="286"/>
      <c r="I505" s="286"/>
      <c r="J505" s="286"/>
      <c r="K505" s="286"/>
      <c r="L505" s="287"/>
      <c r="M505" s="290">
        <v>1430.0</v>
      </c>
      <c r="N505" s="351">
        <f>+SUM(N483:Q504)</f>
        <v>14970601</v>
      </c>
      <c r="O505" s="15"/>
      <c r="P505" s="15"/>
      <c r="Q505" s="16"/>
      <c r="R505" s="355" t="s">
        <v>317</v>
      </c>
      <c r="S505" s="279"/>
      <c r="T505" s="279"/>
      <c r="U505" s="279"/>
      <c r="V505" s="279"/>
      <c r="W505" s="279"/>
      <c r="X505" s="279"/>
      <c r="Y505" s="279"/>
      <c r="Z505" s="279"/>
      <c r="AA505" s="279"/>
      <c r="AB505" s="279"/>
      <c r="AC505" s="279"/>
      <c r="AD505" s="279"/>
      <c r="AE505" s="279"/>
      <c r="AF505" s="279"/>
      <c r="AG505" s="279"/>
      <c r="AH505" s="279"/>
      <c r="AI505" s="279"/>
      <c r="AJ505" s="279"/>
      <c r="AK505" s="279"/>
      <c r="AL505" s="279"/>
      <c r="AM505" s="279"/>
      <c r="AN505" s="279"/>
      <c r="AO505" s="279"/>
      <c r="AP505" s="279"/>
      <c r="AQ505" s="279"/>
      <c r="AR505" s="279"/>
      <c r="AS505" s="279"/>
      <c r="AT505" s="279"/>
      <c r="AU505" s="279"/>
      <c r="AV505" s="279"/>
      <c r="AW505" s="279"/>
      <c r="AX505" s="279"/>
      <c r="AY505" s="279"/>
      <c r="AZ505" s="279"/>
      <c r="BA505" s="279"/>
      <c r="BB505" s="279"/>
      <c r="BC505" s="279"/>
      <c r="BD505" s="279"/>
      <c r="BE505" s="279"/>
      <c r="BF505" s="279"/>
      <c r="BG505" s="279"/>
      <c r="BH505" s="279"/>
      <c r="BI505" s="279"/>
      <c r="BJ505" s="279"/>
      <c r="BK505" s="279"/>
      <c r="BL505" s="279"/>
      <c r="BM505" s="279"/>
      <c r="BN505" s="279"/>
      <c r="BO505" s="279"/>
      <c r="BP505" s="279"/>
      <c r="BQ505" s="279"/>
    </row>
    <row r="506" ht="12.75" customHeight="1">
      <c r="A506" s="269"/>
      <c r="B506" s="285" t="s">
        <v>783</v>
      </c>
      <c r="C506" s="286"/>
      <c r="D506" s="286"/>
      <c r="E506" s="286"/>
      <c r="F506" s="286"/>
      <c r="G506" s="286"/>
      <c r="H506" s="286"/>
      <c r="I506" s="286"/>
      <c r="J506" s="286"/>
      <c r="K506" s="286"/>
      <c r="L506" s="287"/>
      <c r="M506" s="290">
        <v>1431.0</v>
      </c>
      <c r="N506" s="351">
        <f>+'RLI 2023'!E9</f>
        <v>14462338</v>
      </c>
      <c r="O506" s="15"/>
      <c r="P506" s="15"/>
      <c r="Q506" s="16"/>
      <c r="R506" s="355" t="s">
        <v>281</v>
      </c>
      <c r="S506" s="279"/>
      <c r="T506" s="279"/>
      <c r="U506" s="279"/>
      <c r="V506" s="279"/>
      <c r="W506" s="279"/>
      <c r="X506" s="279"/>
      <c r="Y506" s="279"/>
      <c r="Z506" s="279"/>
      <c r="AA506" s="279"/>
      <c r="AB506" s="279"/>
      <c r="AC506" s="279"/>
      <c r="AD506" s="279"/>
      <c r="AE506" s="279"/>
      <c r="AF506" s="279"/>
      <c r="AG506" s="279"/>
      <c r="AH506" s="279"/>
      <c r="AI506" s="279"/>
      <c r="AJ506" s="279"/>
      <c r="AK506" s="279"/>
      <c r="AL506" s="279"/>
      <c r="AM506" s="279"/>
      <c r="AN506" s="279"/>
      <c r="AO506" s="279"/>
      <c r="AP506" s="279"/>
      <c r="AQ506" s="279"/>
      <c r="AR506" s="279"/>
      <c r="AS506" s="279"/>
      <c r="AT506" s="279"/>
      <c r="AU506" s="279"/>
      <c r="AV506" s="279"/>
      <c r="AW506" s="279"/>
      <c r="AX506" s="279"/>
      <c r="AY506" s="279"/>
      <c r="AZ506" s="279"/>
      <c r="BA506" s="279"/>
      <c r="BB506" s="279"/>
      <c r="BC506" s="279"/>
      <c r="BD506" s="279"/>
      <c r="BE506" s="279"/>
      <c r="BF506" s="279"/>
      <c r="BG506" s="279"/>
      <c r="BH506" s="279"/>
      <c r="BI506" s="279"/>
      <c r="BJ506" s="279"/>
      <c r="BK506" s="279"/>
      <c r="BL506" s="279"/>
      <c r="BM506" s="279"/>
      <c r="BN506" s="279"/>
      <c r="BO506" s="279"/>
      <c r="BP506" s="279"/>
      <c r="BQ506" s="279"/>
    </row>
    <row r="507" ht="12.75" customHeight="1">
      <c r="A507" s="269"/>
      <c r="B507" s="285" t="s">
        <v>784</v>
      </c>
      <c r="C507" s="286"/>
      <c r="D507" s="286"/>
      <c r="E507" s="286"/>
      <c r="F507" s="286"/>
      <c r="G507" s="286"/>
      <c r="H507" s="286"/>
      <c r="I507" s="286"/>
      <c r="J507" s="286"/>
      <c r="K507" s="286"/>
      <c r="L507" s="287"/>
      <c r="M507" s="290">
        <v>1729.0</v>
      </c>
      <c r="N507" s="351">
        <f>+$N$482-$N$505+$N$506</f>
        <v>-508263</v>
      </c>
      <c r="O507" s="15"/>
      <c r="P507" s="15"/>
      <c r="Q507" s="16"/>
      <c r="R507" s="355" t="s">
        <v>317</v>
      </c>
      <c r="S507" s="279"/>
      <c r="T507" s="279"/>
      <c r="U507" s="279"/>
      <c r="V507" s="279"/>
      <c r="W507" s="279"/>
      <c r="X507" s="279"/>
      <c r="Y507" s="279"/>
      <c r="Z507" s="279"/>
      <c r="AA507" s="279"/>
      <c r="AB507" s="279"/>
      <c r="AC507" s="279"/>
      <c r="AD507" s="279"/>
      <c r="AE507" s="279"/>
      <c r="AF507" s="279"/>
      <c r="AG507" s="279"/>
      <c r="AH507" s="279"/>
      <c r="AI507" s="279"/>
      <c r="AJ507" s="279"/>
      <c r="AK507" s="279"/>
      <c r="AL507" s="279"/>
      <c r="AM507" s="279"/>
      <c r="AN507" s="279"/>
      <c r="AO507" s="279"/>
      <c r="AP507" s="279"/>
      <c r="AQ507" s="279"/>
      <c r="AR507" s="279"/>
      <c r="AS507" s="279"/>
      <c r="AT507" s="279"/>
      <c r="AU507" s="279"/>
      <c r="AV507" s="279"/>
      <c r="AW507" s="279"/>
      <c r="AX507" s="279"/>
      <c r="AY507" s="279"/>
      <c r="AZ507" s="279"/>
      <c r="BA507" s="279"/>
      <c r="BB507" s="279"/>
      <c r="BC507" s="279"/>
      <c r="BD507" s="279"/>
      <c r="BE507" s="279"/>
      <c r="BF507" s="279"/>
      <c r="BG507" s="279"/>
      <c r="BH507" s="279"/>
      <c r="BI507" s="279"/>
      <c r="BJ507" s="279"/>
      <c r="BK507" s="279"/>
      <c r="BL507" s="279"/>
      <c r="BM507" s="279"/>
      <c r="BN507" s="279"/>
      <c r="BO507" s="279"/>
      <c r="BP507" s="279"/>
      <c r="BQ507" s="279"/>
    </row>
    <row r="508" ht="12.75" customHeight="1">
      <c r="A508" s="269"/>
      <c r="B508" s="285" t="s">
        <v>679</v>
      </c>
      <c r="C508" s="286"/>
      <c r="D508" s="286"/>
      <c r="E508" s="286"/>
      <c r="F508" s="286"/>
      <c r="G508" s="286"/>
      <c r="H508" s="286"/>
      <c r="I508" s="286"/>
      <c r="J508" s="286"/>
      <c r="K508" s="286"/>
      <c r="L508" s="287"/>
      <c r="M508" s="290">
        <v>1432.0</v>
      </c>
      <c r="N508" s="351"/>
      <c r="O508" s="15"/>
      <c r="P508" s="15"/>
      <c r="Q508" s="16"/>
      <c r="R508" s="355" t="s">
        <v>312</v>
      </c>
      <c r="S508" s="279"/>
      <c r="T508" s="279"/>
      <c r="U508" s="279"/>
      <c r="V508" s="279"/>
      <c r="W508" s="279"/>
      <c r="X508" s="279"/>
      <c r="Y508" s="279"/>
      <c r="Z508" s="279"/>
      <c r="AA508" s="279"/>
      <c r="AB508" s="279"/>
      <c r="AC508" s="279"/>
      <c r="AD508" s="279"/>
      <c r="AE508" s="279"/>
      <c r="AF508" s="279"/>
      <c r="AG508" s="279"/>
      <c r="AH508" s="279"/>
      <c r="AI508" s="279"/>
      <c r="AJ508" s="279"/>
      <c r="AK508" s="279"/>
      <c r="AL508" s="279"/>
      <c r="AM508" s="279"/>
      <c r="AN508" s="279"/>
      <c r="AO508" s="279"/>
      <c r="AP508" s="279"/>
      <c r="AQ508" s="279"/>
      <c r="AR508" s="279"/>
      <c r="AS508" s="279"/>
      <c r="AT508" s="279"/>
      <c r="AU508" s="279"/>
      <c r="AV508" s="279"/>
      <c r="AW508" s="279"/>
      <c r="AX508" s="279"/>
      <c r="AY508" s="279"/>
      <c r="AZ508" s="279"/>
      <c r="BA508" s="279"/>
      <c r="BB508" s="279"/>
      <c r="BC508" s="279"/>
      <c r="BD508" s="279"/>
      <c r="BE508" s="279"/>
      <c r="BF508" s="279"/>
      <c r="BG508" s="279"/>
      <c r="BH508" s="279"/>
      <c r="BI508" s="279"/>
      <c r="BJ508" s="279"/>
      <c r="BK508" s="279"/>
      <c r="BL508" s="279"/>
      <c r="BM508" s="279"/>
      <c r="BN508" s="279"/>
      <c r="BO508" s="279"/>
      <c r="BP508" s="279"/>
      <c r="BQ508" s="279"/>
    </row>
    <row r="509" ht="12.75" customHeight="1">
      <c r="A509" s="269"/>
      <c r="B509" s="285" t="s">
        <v>680</v>
      </c>
      <c r="C509" s="286"/>
      <c r="D509" s="286"/>
      <c r="E509" s="286"/>
      <c r="F509" s="286"/>
      <c r="G509" s="286"/>
      <c r="H509" s="286"/>
      <c r="I509" s="286"/>
      <c r="J509" s="286"/>
      <c r="K509" s="286"/>
      <c r="L509" s="287"/>
      <c r="M509" s="290">
        <v>1433.0</v>
      </c>
      <c r="N509" s="351"/>
      <c r="O509" s="15"/>
      <c r="P509" s="15"/>
      <c r="Q509" s="16"/>
      <c r="R509" s="355" t="s">
        <v>312</v>
      </c>
      <c r="S509" s="279"/>
      <c r="T509" s="279"/>
      <c r="U509" s="279"/>
      <c r="V509" s="279"/>
      <c r="W509" s="279"/>
      <c r="X509" s="279"/>
      <c r="Y509" s="279"/>
      <c r="Z509" s="279"/>
      <c r="AA509" s="279"/>
      <c r="AB509" s="279"/>
      <c r="AC509" s="279"/>
      <c r="AD509" s="279"/>
      <c r="AE509" s="279"/>
      <c r="AF509" s="279"/>
      <c r="AG509" s="279"/>
      <c r="AH509" s="279"/>
      <c r="AI509" s="279"/>
      <c r="AJ509" s="279"/>
      <c r="AK509" s="279"/>
      <c r="AL509" s="279"/>
      <c r="AM509" s="279"/>
      <c r="AN509" s="279"/>
      <c r="AO509" s="279"/>
      <c r="AP509" s="279"/>
      <c r="AQ509" s="279"/>
      <c r="AR509" s="279"/>
      <c r="AS509" s="279"/>
      <c r="AT509" s="279"/>
      <c r="AU509" s="279"/>
      <c r="AV509" s="279"/>
      <c r="AW509" s="279"/>
      <c r="AX509" s="279"/>
      <c r="AY509" s="279"/>
      <c r="AZ509" s="279"/>
      <c r="BA509" s="279"/>
      <c r="BB509" s="279"/>
      <c r="BC509" s="279"/>
      <c r="BD509" s="279"/>
      <c r="BE509" s="279"/>
      <c r="BF509" s="279"/>
      <c r="BG509" s="279"/>
      <c r="BH509" s="279"/>
      <c r="BI509" s="279"/>
      <c r="BJ509" s="279"/>
      <c r="BK509" s="279"/>
      <c r="BL509" s="279"/>
      <c r="BM509" s="279"/>
      <c r="BN509" s="279"/>
      <c r="BO509" s="279"/>
      <c r="BP509" s="279"/>
      <c r="BQ509" s="279"/>
    </row>
    <row r="510" ht="12.75" customHeight="1">
      <c r="A510" s="269"/>
      <c r="B510" s="285" t="s">
        <v>785</v>
      </c>
      <c r="C510" s="286"/>
      <c r="D510" s="286"/>
      <c r="E510" s="286"/>
      <c r="F510" s="286"/>
      <c r="G510" s="286"/>
      <c r="H510" s="286"/>
      <c r="I510" s="286"/>
      <c r="J510" s="286"/>
      <c r="K510" s="286"/>
      <c r="L510" s="287"/>
      <c r="M510" s="290">
        <v>1440.0</v>
      </c>
      <c r="N510" s="351">
        <f>+$N$507-$N$508-$N$509</f>
        <v>-508263</v>
      </c>
      <c r="O510" s="15"/>
      <c r="P510" s="15"/>
      <c r="Q510" s="16"/>
      <c r="R510" s="355" t="s">
        <v>317</v>
      </c>
      <c r="S510" s="279"/>
      <c r="T510" s="279"/>
      <c r="U510" s="279"/>
      <c r="V510" s="279"/>
      <c r="W510" s="279"/>
      <c r="X510" s="279"/>
      <c r="Y510" s="279"/>
      <c r="Z510" s="279"/>
      <c r="AA510" s="279"/>
      <c r="AB510" s="279"/>
      <c r="AC510" s="279"/>
      <c r="AD510" s="279"/>
      <c r="AE510" s="279"/>
      <c r="AF510" s="279"/>
      <c r="AG510" s="279"/>
      <c r="AH510" s="279"/>
      <c r="AI510" s="279"/>
      <c r="AJ510" s="279"/>
      <c r="AK510" s="279"/>
      <c r="AL510" s="279"/>
      <c r="AM510" s="279"/>
      <c r="AN510" s="279"/>
      <c r="AO510" s="279"/>
      <c r="AP510" s="279"/>
      <c r="AQ510" s="279"/>
      <c r="AR510" s="279"/>
      <c r="AS510" s="279"/>
      <c r="AT510" s="279"/>
      <c r="AU510" s="279"/>
      <c r="AV510" s="279"/>
      <c r="AW510" s="279"/>
      <c r="AX510" s="279"/>
      <c r="AY510" s="279"/>
      <c r="AZ510" s="279"/>
      <c r="BA510" s="279"/>
      <c r="BB510" s="279"/>
      <c r="BC510" s="279"/>
      <c r="BD510" s="279"/>
      <c r="BE510" s="279"/>
      <c r="BF510" s="279"/>
      <c r="BG510" s="279"/>
      <c r="BH510" s="279"/>
      <c r="BI510" s="279"/>
      <c r="BJ510" s="279"/>
      <c r="BK510" s="279"/>
      <c r="BL510" s="279"/>
      <c r="BM510" s="279"/>
      <c r="BN510" s="279"/>
      <c r="BO510" s="279"/>
      <c r="BP510" s="279"/>
      <c r="BQ510" s="279"/>
    </row>
    <row r="511" ht="12.75" customHeight="1">
      <c r="A511" s="269"/>
      <c r="B511" s="429" t="s">
        <v>682</v>
      </c>
      <c r="C511" s="15"/>
      <c r="D511" s="15"/>
      <c r="E511" s="15"/>
      <c r="F511" s="15"/>
      <c r="G511" s="15"/>
      <c r="H511" s="15"/>
      <c r="I511" s="15"/>
      <c r="J511" s="15"/>
      <c r="K511" s="15"/>
      <c r="L511" s="15"/>
      <c r="M511" s="15"/>
      <c r="N511" s="15"/>
      <c r="O511" s="15"/>
      <c r="P511" s="15"/>
      <c r="Q511" s="15"/>
      <c r="R511" s="16"/>
      <c r="S511" s="279"/>
      <c r="T511" s="279"/>
      <c r="U511" s="279"/>
      <c r="V511" s="279"/>
      <c r="W511" s="279"/>
      <c r="X511" s="279"/>
      <c r="Y511" s="279"/>
      <c r="Z511" s="279"/>
      <c r="AA511" s="279"/>
      <c r="AB511" s="279"/>
      <c r="AC511" s="279"/>
      <c r="AD511" s="279"/>
      <c r="AE511" s="279"/>
      <c r="AF511" s="279"/>
      <c r="AG511" s="279"/>
      <c r="AH511" s="279"/>
      <c r="AI511" s="279"/>
      <c r="AJ511" s="279"/>
      <c r="AK511" s="279"/>
      <c r="AL511" s="279"/>
      <c r="AM511" s="279"/>
      <c r="AN511" s="279"/>
      <c r="AO511" s="279"/>
      <c r="AP511" s="279"/>
      <c r="AQ511" s="279"/>
      <c r="AR511" s="279"/>
      <c r="AS511" s="279"/>
      <c r="AT511" s="279"/>
      <c r="AU511" s="279"/>
      <c r="AV511" s="279"/>
      <c r="AW511" s="279"/>
      <c r="AX511" s="279"/>
      <c r="AY511" s="279"/>
      <c r="AZ511" s="279"/>
      <c r="BA511" s="279"/>
      <c r="BB511" s="279"/>
      <c r="BC511" s="279"/>
      <c r="BD511" s="279"/>
      <c r="BE511" s="279"/>
      <c r="BF511" s="279"/>
      <c r="BG511" s="279"/>
      <c r="BH511" s="279"/>
      <c r="BI511" s="279"/>
      <c r="BJ511" s="279"/>
      <c r="BK511" s="279"/>
      <c r="BL511" s="279"/>
      <c r="BM511" s="279"/>
      <c r="BN511" s="279"/>
      <c r="BO511" s="279"/>
      <c r="BP511" s="279"/>
      <c r="BQ511" s="279"/>
    </row>
    <row r="512" ht="12.75" customHeight="1">
      <c r="A512" s="269"/>
      <c r="B512" s="285" t="s">
        <v>683</v>
      </c>
      <c r="C512" s="286"/>
      <c r="D512" s="286"/>
      <c r="E512" s="286"/>
      <c r="F512" s="286"/>
      <c r="G512" s="286"/>
      <c r="H512" s="286"/>
      <c r="I512" s="286"/>
      <c r="J512" s="286"/>
      <c r="K512" s="286"/>
      <c r="L512" s="287"/>
      <c r="M512" s="290">
        <v>1434.0</v>
      </c>
      <c r="N512" s="289"/>
      <c r="O512" s="15"/>
      <c r="P512" s="15"/>
      <c r="Q512" s="16"/>
      <c r="R512" s="355" t="s">
        <v>281</v>
      </c>
      <c r="S512" s="279"/>
      <c r="T512" s="279"/>
      <c r="U512" s="279"/>
      <c r="V512" s="279"/>
      <c r="W512" s="279"/>
      <c r="X512" s="279"/>
      <c r="Y512" s="279"/>
      <c r="Z512" s="279"/>
      <c r="AA512" s="279"/>
      <c r="AB512" s="279"/>
      <c r="AC512" s="279"/>
      <c r="AD512" s="279"/>
      <c r="AE512" s="279"/>
      <c r="AF512" s="279"/>
      <c r="AG512" s="279"/>
      <c r="AH512" s="279"/>
      <c r="AI512" s="279"/>
      <c r="AJ512" s="279"/>
      <c r="AK512" s="279"/>
      <c r="AL512" s="279"/>
      <c r="AM512" s="279"/>
      <c r="AN512" s="279"/>
      <c r="AO512" s="279"/>
      <c r="AP512" s="279"/>
      <c r="AQ512" s="279"/>
      <c r="AR512" s="279"/>
      <c r="AS512" s="279"/>
      <c r="AT512" s="279"/>
      <c r="AU512" s="279"/>
      <c r="AV512" s="279"/>
      <c r="AW512" s="279"/>
      <c r="AX512" s="279"/>
      <c r="AY512" s="279"/>
      <c r="AZ512" s="279"/>
      <c r="BA512" s="279"/>
      <c r="BB512" s="279"/>
      <c r="BC512" s="279"/>
      <c r="BD512" s="279"/>
      <c r="BE512" s="279"/>
      <c r="BF512" s="279"/>
      <c r="BG512" s="279"/>
      <c r="BH512" s="279"/>
      <c r="BI512" s="279"/>
      <c r="BJ512" s="279"/>
      <c r="BK512" s="279"/>
      <c r="BL512" s="279"/>
      <c r="BM512" s="279"/>
      <c r="BN512" s="279"/>
      <c r="BO512" s="279"/>
      <c r="BP512" s="279"/>
      <c r="BQ512" s="279"/>
    </row>
    <row r="513" ht="12.75" customHeight="1">
      <c r="A513" s="269"/>
      <c r="B513" s="285" t="s">
        <v>684</v>
      </c>
      <c r="C513" s="286"/>
      <c r="D513" s="286"/>
      <c r="E513" s="286"/>
      <c r="F513" s="286"/>
      <c r="G513" s="286"/>
      <c r="H513" s="286"/>
      <c r="I513" s="286"/>
      <c r="J513" s="286"/>
      <c r="K513" s="286"/>
      <c r="L513" s="287"/>
      <c r="M513" s="290">
        <v>1435.0</v>
      </c>
      <c r="N513" s="289"/>
      <c r="O513" s="15"/>
      <c r="P513" s="15"/>
      <c r="Q513" s="16"/>
      <c r="R513" s="355" t="s">
        <v>281</v>
      </c>
      <c r="S513" s="279"/>
      <c r="T513" s="279"/>
      <c r="U513" s="279"/>
      <c r="V513" s="279"/>
      <c r="W513" s="279"/>
      <c r="X513" s="279"/>
      <c r="Y513" s="279"/>
      <c r="Z513" s="279"/>
      <c r="AA513" s="279"/>
      <c r="AB513" s="279"/>
      <c r="AC513" s="279"/>
      <c r="AD513" s="279"/>
      <c r="AE513" s="279"/>
      <c r="AF513" s="279"/>
      <c r="AG513" s="279"/>
      <c r="AH513" s="279"/>
      <c r="AI513" s="279"/>
      <c r="AJ513" s="279"/>
      <c r="AK513" s="279"/>
      <c r="AL513" s="279"/>
      <c r="AM513" s="279"/>
      <c r="AN513" s="279"/>
      <c r="AO513" s="279"/>
      <c r="AP513" s="279"/>
      <c r="AQ513" s="279"/>
      <c r="AR513" s="279"/>
      <c r="AS513" s="279"/>
      <c r="AT513" s="279"/>
      <c r="AU513" s="279"/>
      <c r="AV513" s="279"/>
      <c r="AW513" s="279"/>
      <c r="AX513" s="279"/>
      <c r="AY513" s="279"/>
      <c r="AZ513" s="279"/>
      <c r="BA513" s="279"/>
      <c r="BB513" s="279"/>
      <c r="BC513" s="279"/>
      <c r="BD513" s="279"/>
      <c r="BE513" s="279"/>
      <c r="BF513" s="279"/>
      <c r="BG513" s="279"/>
      <c r="BH513" s="279"/>
      <c r="BI513" s="279"/>
      <c r="BJ513" s="279"/>
      <c r="BK513" s="279"/>
      <c r="BL513" s="279"/>
      <c r="BM513" s="279"/>
      <c r="BN513" s="279"/>
      <c r="BO513" s="279"/>
      <c r="BP513" s="279"/>
      <c r="BQ513" s="279"/>
    </row>
    <row r="514" ht="12.75" customHeight="1">
      <c r="A514" s="275"/>
      <c r="B514" s="411" t="s">
        <v>685</v>
      </c>
      <c r="C514" s="412"/>
      <c r="D514" s="412"/>
      <c r="E514" s="412"/>
      <c r="F514" s="412"/>
      <c r="G514" s="412"/>
      <c r="H514" s="412"/>
      <c r="I514" s="412"/>
      <c r="J514" s="412"/>
      <c r="K514" s="412"/>
      <c r="L514" s="413"/>
      <c r="M514" s="406">
        <v>1450.0</v>
      </c>
      <c r="N514" s="351">
        <f>+IF((N510)&lt;0,$N$510+N512+N513,0)</f>
        <v>-508263</v>
      </c>
      <c r="O514" s="15"/>
      <c r="P514" s="15"/>
      <c r="Q514" s="16"/>
      <c r="R514" s="408" t="s">
        <v>317</v>
      </c>
      <c r="S514" s="387"/>
      <c r="T514" s="387"/>
      <c r="U514" s="387"/>
      <c r="V514" s="387"/>
      <c r="W514" s="387"/>
      <c r="X514" s="387"/>
      <c r="Y514" s="387"/>
      <c r="Z514" s="387"/>
      <c r="AA514" s="387"/>
      <c r="AB514" s="387"/>
      <c r="AC514" s="387"/>
      <c r="AD514" s="387"/>
      <c r="AE514" s="387"/>
      <c r="AF514" s="387"/>
      <c r="AG514" s="387"/>
      <c r="AH514" s="387"/>
      <c r="AI514" s="387"/>
      <c r="AJ514" s="387"/>
      <c r="AK514" s="387"/>
      <c r="AL514" s="387"/>
      <c r="AM514" s="387"/>
      <c r="AN514" s="387"/>
      <c r="AO514" s="387"/>
      <c r="AP514" s="387"/>
      <c r="AQ514" s="387"/>
      <c r="AR514" s="387"/>
      <c r="AS514" s="387"/>
      <c r="AT514" s="387"/>
      <c r="AU514" s="387"/>
      <c r="AV514" s="387"/>
      <c r="AW514" s="387"/>
      <c r="AX514" s="387"/>
      <c r="AY514" s="387"/>
      <c r="AZ514" s="387"/>
      <c r="BA514" s="387"/>
      <c r="BB514" s="387"/>
      <c r="BC514" s="387"/>
      <c r="BD514" s="387"/>
      <c r="BE514" s="387"/>
      <c r="BF514" s="387"/>
      <c r="BG514" s="387"/>
      <c r="BH514" s="387"/>
      <c r="BI514" s="387"/>
      <c r="BJ514" s="387"/>
      <c r="BK514" s="387"/>
      <c r="BL514" s="387"/>
      <c r="BM514" s="387"/>
      <c r="BN514" s="387"/>
      <c r="BO514" s="387"/>
      <c r="BP514" s="387"/>
      <c r="BQ514" s="387"/>
    </row>
    <row r="515" ht="12.75" customHeight="1">
      <c r="A515" s="275"/>
      <c r="B515" s="387"/>
      <c r="C515" s="387"/>
      <c r="D515" s="387"/>
      <c r="E515" s="387"/>
      <c r="F515" s="387"/>
      <c r="G515" s="387"/>
      <c r="H515" s="387"/>
      <c r="I515" s="387"/>
      <c r="J515" s="387"/>
      <c r="K515" s="387"/>
      <c r="L515" s="387"/>
      <c r="M515" s="387"/>
      <c r="N515" s="387"/>
      <c r="O515" s="387"/>
      <c r="P515" s="387"/>
      <c r="Q515" s="387"/>
      <c r="R515" s="387"/>
      <c r="S515" s="279"/>
      <c r="T515" s="279"/>
      <c r="U515" s="279"/>
      <c r="V515" s="279"/>
      <c r="W515" s="279"/>
      <c r="X515" s="279"/>
      <c r="Y515" s="279"/>
      <c r="Z515" s="279"/>
      <c r="AA515" s="279"/>
      <c r="AB515" s="279"/>
      <c r="AC515" s="279"/>
      <c r="AD515" s="279"/>
      <c r="AE515" s="279"/>
      <c r="AF515" s="279"/>
      <c r="AG515" s="279"/>
      <c r="AH515" s="279"/>
      <c r="AI515" s="279"/>
      <c r="AJ515" s="279"/>
      <c r="AK515" s="279"/>
      <c r="AL515" s="279"/>
      <c r="AM515" s="279"/>
      <c r="AN515" s="279"/>
      <c r="AO515" s="279"/>
      <c r="AP515" s="279"/>
      <c r="AQ515" s="279"/>
      <c r="AR515" s="279"/>
      <c r="AS515" s="279"/>
      <c r="AT515" s="279"/>
      <c r="AU515" s="279"/>
      <c r="AV515" s="279"/>
      <c r="AW515" s="279"/>
      <c r="AX515" s="279"/>
      <c r="AY515" s="279"/>
      <c r="AZ515" s="279"/>
      <c r="BA515" s="279"/>
      <c r="BB515" s="279"/>
      <c r="BC515" s="279"/>
      <c r="BD515" s="279"/>
      <c r="BE515" s="279"/>
      <c r="BF515" s="279"/>
      <c r="BG515" s="279"/>
      <c r="BH515" s="279"/>
      <c r="BI515" s="279"/>
      <c r="BJ515" s="279"/>
      <c r="BK515" s="279"/>
      <c r="BL515" s="279"/>
      <c r="BM515" s="279"/>
      <c r="BN515" s="279"/>
      <c r="BO515" s="279"/>
      <c r="BP515" s="279"/>
      <c r="BQ515" s="279"/>
    </row>
    <row r="516" ht="12.75" customHeight="1">
      <c r="A516" s="275"/>
      <c r="B516" s="388" t="s">
        <v>786</v>
      </c>
      <c r="C516" s="22"/>
      <c r="D516" s="22"/>
      <c r="E516" s="22"/>
      <c r="F516" s="22"/>
      <c r="G516" s="22"/>
      <c r="H516" s="22"/>
      <c r="I516" s="22"/>
      <c r="J516" s="22"/>
      <c r="K516" s="22"/>
      <c r="L516" s="22"/>
      <c r="M516" s="22"/>
      <c r="N516" s="22"/>
      <c r="O516" s="22"/>
      <c r="P516" s="22"/>
      <c r="Q516" s="22"/>
      <c r="R516" s="23"/>
      <c r="S516" s="279"/>
      <c r="T516" s="279"/>
      <c r="U516" s="279"/>
      <c r="V516" s="279"/>
      <c r="W516" s="279"/>
      <c r="X516" s="279"/>
      <c r="Y516" s="279"/>
      <c r="Z516" s="279"/>
      <c r="AA516" s="279"/>
      <c r="AB516" s="279"/>
      <c r="AC516" s="279"/>
      <c r="AD516" s="279"/>
      <c r="AE516" s="279"/>
      <c r="AF516" s="279"/>
      <c r="AG516" s="279"/>
      <c r="AH516" s="279"/>
      <c r="AI516" s="279"/>
      <c r="AJ516" s="279"/>
      <c r="AK516" s="279"/>
      <c r="AL516" s="279"/>
      <c r="AM516" s="279"/>
      <c r="AN516" s="279"/>
      <c r="AO516" s="279"/>
      <c r="AP516" s="279"/>
      <c r="AQ516" s="279"/>
      <c r="AR516" s="279"/>
      <c r="AS516" s="279"/>
      <c r="AT516" s="279"/>
      <c r="AU516" s="279"/>
      <c r="AV516" s="279"/>
      <c r="AW516" s="279"/>
      <c r="AX516" s="279"/>
      <c r="AY516" s="279"/>
      <c r="AZ516" s="279"/>
      <c r="BA516" s="279"/>
      <c r="BB516" s="279"/>
      <c r="BC516" s="279"/>
      <c r="BD516" s="279"/>
      <c r="BE516" s="279"/>
      <c r="BF516" s="279"/>
      <c r="BG516" s="279"/>
      <c r="BH516" s="279"/>
      <c r="BI516" s="279"/>
      <c r="BJ516" s="279"/>
      <c r="BK516" s="279"/>
      <c r="BL516" s="279"/>
      <c r="BM516" s="279"/>
      <c r="BN516" s="279"/>
      <c r="BO516" s="279"/>
      <c r="BP516" s="279"/>
      <c r="BQ516" s="279"/>
    </row>
    <row r="517" ht="12.75" customHeight="1">
      <c r="A517" s="275"/>
      <c r="B517" s="28"/>
      <c r="C517" s="29"/>
      <c r="D517" s="29"/>
      <c r="E517" s="29"/>
      <c r="F517" s="29"/>
      <c r="G517" s="29"/>
      <c r="H517" s="29"/>
      <c r="I517" s="29"/>
      <c r="J517" s="29"/>
      <c r="K517" s="29"/>
      <c r="L517" s="29"/>
      <c r="M517" s="29"/>
      <c r="N517" s="29"/>
      <c r="O517" s="29"/>
      <c r="P517" s="29"/>
      <c r="Q517" s="29"/>
      <c r="R517" s="30"/>
      <c r="S517" s="279"/>
      <c r="T517" s="279"/>
      <c r="U517" s="279"/>
      <c r="V517" s="279"/>
      <c r="W517" s="279"/>
      <c r="X517" s="279"/>
      <c r="Y517" s="279"/>
      <c r="Z517" s="279"/>
      <c r="AA517" s="279"/>
      <c r="AB517" s="279"/>
      <c r="AC517" s="279"/>
      <c r="AD517" s="279"/>
      <c r="AE517" s="279"/>
      <c r="AF517" s="279"/>
      <c r="AG517" s="279"/>
      <c r="AH517" s="279"/>
      <c r="AI517" s="279"/>
      <c r="AJ517" s="279"/>
      <c r="AK517" s="279"/>
      <c r="AL517" s="279"/>
      <c r="AM517" s="279"/>
      <c r="AN517" s="279"/>
      <c r="AO517" s="279"/>
      <c r="AP517" s="279"/>
      <c r="AQ517" s="279"/>
      <c r="AR517" s="279"/>
      <c r="AS517" s="279"/>
      <c r="AT517" s="279"/>
      <c r="AU517" s="279"/>
      <c r="AV517" s="279"/>
      <c r="AW517" s="279"/>
      <c r="AX517" s="279"/>
      <c r="AY517" s="279"/>
      <c r="AZ517" s="279"/>
      <c r="BA517" s="279"/>
      <c r="BB517" s="279"/>
      <c r="BC517" s="279"/>
      <c r="BD517" s="279"/>
      <c r="BE517" s="279"/>
      <c r="BF517" s="279"/>
      <c r="BG517" s="279"/>
      <c r="BH517" s="279"/>
      <c r="BI517" s="279"/>
      <c r="BJ517" s="279"/>
      <c r="BK517" s="279"/>
      <c r="BL517" s="279"/>
      <c r="BM517" s="279"/>
      <c r="BN517" s="279"/>
      <c r="BO517" s="279"/>
      <c r="BP517" s="279"/>
      <c r="BQ517" s="279"/>
    </row>
    <row r="518" ht="12.75" customHeight="1">
      <c r="A518" s="269"/>
      <c r="B518" s="285" t="s">
        <v>787</v>
      </c>
      <c r="C518" s="286"/>
      <c r="D518" s="286"/>
      <c r="E518" s="286"/>
      <c r="F518" s="286"/>
      <c r="G518" s="286"/>
      <c r="H518" s="286"/>
      <c r="I518" s="286"/>
      <c r="J518" s="286"/>
      <c r="K518" s="286"/>
      <c r="L518" s="287"/>
      <c r="M518" s="288">
        <v>1703.0</v>
      </c>
      <c r="N518" s="351">
        <f>+'RRE 2023'!D34</f>
        <v>204341533</v>
      </c>
      <c r="O518" s="15"/>
      <c r="P518" s="15"/>
      <c r="Q518" s="16"/>
      <c r="R518" s="402" t="s">
        <v>281</v>
      </c>
      <c r="S518" s="279"/>
      <c r="T518" s="279"/>
      <c r="U518" s="279"/>
      <c r="V518" s="279"/>
      <c r="W518" s="279"/>
      <c r="X518" s="279"/>
      <c r="Y518" s="279"/>
      <c r="Z518" s="279"/>
      <c r="AA518" s="279"/>
      <c r="AB518" s="279"/>
      <c r="AC518" s="279"/>
      <c r="AD518" s="279"/>
      <c r="AE518" s="279"/>
      <c r="AF518" s="279"/>
      <c r="AG518" s="279"/>
      <c r="AH518" s="279"/>
      <c r="AI518" s="279"/>
      <c r="AJ518" s="279"/>
      <c r="AK518" s="279"/>
      <c r="AL518" s="279"/>
      <c r="AM518" s="279"/>
      <c r="AN518" s="279"/>
      <c r="AO518" s="279"/>
      <c r="AP518" s="279"/>
      <c r="AQ518" s="279"/>
      <c r="AR518" s="279"/>
      <c r="AS518" s="279"/>
      <c r="AT518" s="279"/>
      <c r="AU518" s="279"/>
      <c r="AV518" s="279"/>
      <c r="AW518" s="279"/>
      <c r="AX518" s="279"/>
      <c r="AY518" s="279"/>
      <c r="AZ518" s="279"/>
      <c r="BA518" s="279"/>
      <c r="BB518" s="279"/>
      <c r="BC518" s="279"/>
      <c r="BD518" s="279"/>
      <c r="BE518" s="279"/>
      <c r="BF518" s="279"/>
      <c r="BG518" s="279"/>
      <c r="BH518" s="279"/>
      <c r="BI518" s="279"/>
      <c r="BJ518" s="279"/>
      <c r="BK518" s="279"/>
      <c r="BL518" s="279"/>
      <c r="BM518" s="279"/>
      <c r="BN518" s="279"/>
      <c r="BO518" s="279"/>
      <c r="BP518" s="279"/>
      <c r="BQ518" s="279"/>
    </row>
    <row r="519" ht="12.75" customHeight="1">
      <c r="A519" s="269"/>
      <c r="B519" s="285" t="s">
        <v>788</v>
      </c>
      <c r="C519" s="286"/>
      <c r="D519" s="286"/>
      <c r="E519" s="286"/>
      <c r="F519" s="286"/>
      <c r="G519" s="286"/>
      <c r="H519" s="286"/>
      <c r="I519" s="286"/>
      <c r="J519" s="286"/>
      <c r="K519" s="286"/>
      <c r="L519" s="287"/>
      <c r="M519" s="290">
        <v>1719.0</v>
      </c>
      <c r="N519" s="351"/>
      <c r="O519" s="15"/>
      <c r="P519" s="15"/>
      <c r="Q519" s="16"/>
      <c r="R519" s="355" t="s">
        <v>312</v>
      </c>
      <c r="S519" s="279"/>
      <c r="T519" s="279"/>
      <c r="U519" s="279"/>
      <c r="V519" s="279"/>
      <c r="W519" s="279"/>
      <c r="X519" s="279"/>
      <c r="Y519" s="279"/>
      <c r="Z519" s="279"/>
      <c r="AA519" s="279"/>
      <c r="AB519" s="279"/>
      <c r="AC519" s="279"/>
      <c r="AD519" s="279"/>
      <c r="AE519" s="279"/>
      <c r="AF519" s="279"/>
      <c r="AG519" s="279"/>
      <c r="AH519" s="279"/>
      <c r="AI519" s="279"/>
      <c r="AJ519" s="279"/>
      <c r="AK519" s="279"/>
      <c r="AL519" s="279"/>
      <c r="AM519" s="279"/>
      <c r="AN519" s="279"/>
      <c r="AO519" s="279"/>
      <c r="AP519" s="279"/>
      <c r="AQ519" s="279"/>
      <c r="AR519" s="279"/>
      <c r="AS519" s="279"/>
      <c r="AT519" s="279"/>
      <c r="AU519" s="279"/>
      <c r="AV519" s="279"/>
      <c r="AW519" s="279"/>
      <c r="AX519" s="279"/>
      <c r="AY519" s="279"/>
      <c r="AZ519" s="279"/>
      <c r="BA519" s="279"/>
      <c r="BB519" s="279"/>
      <c r="BC519" s="279"/>
      <c r="BD519" s="279"/>
      <c r="BE519" s="279"/>
      <c r="BF519" s="279"/>
      <c r="BG519" s="279"/>
      <c r="BH519" s="279"/>
      <c r="BI519" s="279"/>
      <c r="BJ519" s="279"/>
      <c r="BK519" s="279"/>
      <c r="BL519" s="279"/>
      <c r="BM519" s="279"/>
      <c r="BN519" s="279"/>
      <c r="BO519" s="279"/>
      <c r="BP519" s="279"/>
      <c r="BQ519" s="279"/>
    </row>
    <row r="520" ht="12.75" customHeight="1">
      <c r="A520" s="269"/>
      <c r="B520" s="285" t="s">
        <v>689</v>
      </c>
      <c r="C520" s="286"/>
      <c r="D520" s="286"/>
      <c r="E520" s="286"/>
      <c r="F520" s="286"/>
      <c r="G520" s="286"/>
      <c r="H520" s="286"/>
      <c r="I520" s="286"/>
      <c r="J520" s="286"/>
      <c r="K520" s="286"/>
      <c r="L520" s="287"/>
      <c r="M520" s="290">
        <v>1492.0</v>
      </c>
      <c r="N520" s="351"/>
      <c r="O520" s="15"/>
      <c r="P520" s="15"/>
      <c r="Q520" s="16"/>
      <c r="R520" s="355" t="s">
        <v>281</v>
      </c>
      <c r="S520" s="279"/>
      <c r="T520" s="279"/>
      <c r="U520" s="279"/>
      <c r="V520" s="279"/>
      <c r="W520" s="279"/>
      <c r="X520" s="279"/>
      <c r="Y520" s="279"/>
      <c r="Z520" s="279"/>
      <c r="AA520" s="279"/>
      <c r="AB520" s="279"/>
      <c r="AC520" s="279"/>
      <c r="AD520" s="279"/>
      <c r="AE520" s="279"/>
      <c r="AF520" s="279"/>
      <c r="AG520" s="279"/>
      <c r="AH520" s="279"/>
      <c r="AI520" s="279"/>
      <c r="AJ520" s="279"/>
      <c r="AK520" s="279"/>
      <c r="AL520" s="279"/>
      <c r="AM520" s="279"/>
      <c r="AN520" s="279"/>
      <c r="AO520" s="279"/>
      <c r="AP520" s="279"/>
      <c r="AQ520" s="279"/>
      <c r="AR520" s="279"/>
      <c r="AS520" s="279"/>
      <c r="AT520" s="279"/>
      <c r="AU520" s="279"/>
      <c r="AV520" s="279"/>
      <c r="AW520" s="279"/>
      <c r="AX520" s="279"/>
      <c r="AY520" s="279"/>
      <c r="AZ520" s="279"/>
      <c r="BA520" s="279"/>
      <c r="BB520" s="279"/>
      <c r="BC520" s="279"/>
      <c r="BD520" s="279"/>
      <c r="BE520" s="279"/>
      <c r="BF520" s="279"/>
      <c r="BG520" s="279"/>
      <c r="BH520" s="279"/>
      <c r="BI520" s="279"/>
      <c r="BJ520" s="279"/>
      <c r="BK520" s="279"/>
      <c r="BL520" s="279"/>
      <c r="BM520" s="279"/>
      <c r="BN520" s="279"/>
      <c r="BO520" s="279"/>
      <c r="BP520" s="279"/>
      <c r="BQ520" s="279"/>
    </row>
    <row r="521" ht="12.75" customHeight="1">
      <c r="A521" s="269"/>
      <c r="B521" s="285" t="s">
        <v>789</v>
      </c>
      <c r="C521" s="286"/>
      <c r="D521" s="286"/>
      <c r="E521" s="286"/>
      <c r="F521" s="286"/>
      <c r="G521" s="286"/>
      <c r="H521" s="286"/>
      <c r="I521" s="286"/>
      <c r="J521" s="286"/>
      <c r="K521" s="286"/>
      <c r="L521" s="287"/>
      <c r="M521" s="290">
        <v>1704.0</v>
      </c>
      <c r="N521" s="351">
        <f>+'RRE 2023'!D36</f>
        <v>82586515</v>
      </c>
      <c r="O521" s="15"/>
      <c r="P521" s="15"/>
      <c r="Q521" s="16"/>
      <c r="R521" s="355" t="s">
        <v>281</v>
      </c>
      <c r="S521" s="279"/>
      <c r="T521" s="279"/>
      <c r="U521" s="279"/>
      <c r="V521" s="279"/>
      <c r="W521" s="279"/>
      <c r="X521" s="279"/>
      <c r="Y521" s="279"/>
      <c r="Z521" s="279"/>
      <c r="AA521" s="279"/>
      <c r="AB521" s="279"/>
      <c r="AC521" s="279"/>
      <c r="AD521" s="279"/>
      <c r="AE521" s="279"/>
      <c r="AF521" s="279"/>
      <c r="AG521" s="279"/>
      <c r="AH521" s="279"/>
      <c r="AI521" s="279"/>
      <c r="AJ521" s="279"/>
      <c r="AK521" s="279"/>
      <c r="AL521" s="279"/>
      <c r="AM521" s="279"/>
      <c r="AN521" s="279"/>
      <c r="AO521" s="279"/>
      <c r="AP521" s="279"/>
      <c r="AQ521" s="279"/>
      <c r="AR521" s="279"/>
      <c r="AS521" s="279"/>
      <c r="AT521" s="279"/>
      <c r="AU521" s="279"/>
      <c r="AV521" s="279"/>
      <c r="AW521" s="279"/>
      <c r="AX521" s="279"/>
      <c r="AY521" s="279"/>
      <c r="AZ521" s="279"/>
      <c r="BA521" s="279"/>
      <c r="BB521" s="279"/>
      <c r="BC521" s="279"/>
      <c r="BD521" s="279"/>
      <c r="BE521" s="279"/>
      <c r="BF521" s="279"/>
      <c r="BG521" s="279"/>
      <c r="BH521" s="279"/>
      <c r="BI521" s="279"/>
      <c r="BJ521" s="279"/>
      <c r="BK521" s="279"/>
      <c r="BL521" s="279"/>
      <c r="BM521" s="279"/>
      <c r="BN521" s="279"/>
      <c r="BO521" s="279"/>
      <c r="BP521" s="279"/>
      <c r="BQ521" s="279"/>
    </row>
    <row r="522" ht="12.75" customHeight="1">
      <c r="A522" s="269"/>
      <c r="B522" s="285" t="s">
        <v>691</v>
      </c>
      <c r="C522" s="286"/>
      <c r="D522" s="286"/>
      <c r="E522" s="286"/>
      <c r="F522" s="286"/>
      <c r="G522" s="286"/>
      <c r="H522" s="286"/>
      <c r="I522" s="286"/>
      <c r="J522" s="286"/>
      <c r="K522" s="286"/>
      <c r="L522" s="287"/>
      <c r="M522" s="290">
        <v>1720.0</v>
      </c>
      <c r="N522" s="351">
        <f>+IF(($N$518+$N$520+$N$521-$N$519)&gt;0,($N$518+$N$520+$N$521-$N$519),0)</f>
        <v>286928048</v>
      </c>
      <c r="O522" s="15"/>
      <c r="P522" s="15"/>
      <c r="Q522" s="16"/>
      <c r="R522" s="355" t="s">
        <v>317</v>
      </c>
      <c r="S522" s="279"/>
      <c r="T522" s="279"/>
      <c r="U522" s="279"/>
      <c r="V522" s="279"/>
      <c r="W522" s="279"/>
      <c r="X522" s="279"/>
      <c r="Y522" s="279"/>
      <c r="Z522" s="279"/>
      <c r="AA522" s="279"/>
      <c r="AB522" s="279"/>
      <c r="AC522" s="279"/>
      <c r="AD522" s="279"/>
      <c r="AE522" s="279"/>
      <c r="AF522" s="279"/>
      <c r="AG522" s="279"/>
      <c r="AH522" s="279"/>
      <c r="AI522" s="279"/>
      <c r="AJ522" s="279"/>
      <c r="AK522" s="279"/>
      <c r="AL522" s="279"/>
      <c r="AM522" s="279"/>
      <c r="AN522" s="279"/>
      <c r="AO522" s="279"/>
      <c r="AP522" s="279"/>
      <c r="AQ522" s="279"/>
      <c r="AR522" s="279"/>
      <c r="AS522" s="279"/>
      <c r="AT522" s="279"/>
      <c r="AU522" s="279"/>
      <c r="AV522" s="279"/>
      <c r="AW522" s="279"/>
      <c r="AX522" s="279"/>
      <c r="AY522" s="279"/>
      <c r="AZ522" s="279"/>
      <c r="BA522" s="279"/>
      <c r="BB522" s="279"/>
      <c r="BC522" s="279"/>
      <c r="BD522" s="279"/>
      <c r="BE522" s="279"/>
      <c r="BF522" s="279"/>
      <c r="BG522" s="279"/>
      <c r="BH522" s="279"/>
      <c r="BI522" s="279"/>
      <c r="BJ522" s="279"/>
      <c r="BK522" s="279"/>
      <c r="BL522" s="279"/>
      <c r="BM522" s="279"/>
      <c r="BN522" s="279"/>
      <c r="BO522" s="279"/>
      <c r="BP522" s="279"/>
      <c r="BQ522" s="279"/>
    </row>
    <row r="523" ht="12.75" customHeight="1">
      <c r="A523" s="269"/>
      <c r="B523" s="285" t="s">
        <v>692</v>
      </c>
      <c r="C523" s="286"/>
      <c r="D523" s="286"/>
      <c r="E523" s="286"/>
      <c r="F523" s="286"/>
      <c r="G523" s="286"/>
      <c r="H523" s="286"/>
      <c r="I523" s="286"/>
      <c r="J523" s="286"/>
      <c r="K523" s="286"/>
      <c r="L523" s="287"/>
      <c r="M523" s="290">
        <v>1493.0</v>
      </c>
      <c r="N523" s="351"/>
      <c r="O523" s="15"/>
      <c r="P523" s="15"/>
      <c r="Q523" s="16"/>
      <c r="R523" s="355" t="s">
        <v>312</v>
      </c>
      <c r="S523" s="279"/>
      <c r="T523" s="279"/>
      <c r="U523" s="279"/>
      <c r="V523" s="279"/>
      <c r="W523" s="279"/>
      <c r="X523" s="279"/>
      <c r="Y523" s="279"/>
      <c r="Z523" s="279"/>
      <c r="AA523" s="279"/>
      <c r="AB523" s="279"/>
      <c r="AC523" s="279"/>
      <c r="AD523" s="279"/>
      <c r="AE523" s="279"/>
      <c r="AF523" s="279"/>
      <c r="AG523" s="279"/>
      <c r="AH523" s="279"/>
      <c r="AI523" s="279"/>
      <c r="AJ523" s="279"/>
      <c r="AK523" s="279"/>
      <c r="AL523" s="279"/>
      <c r="AM523" s="279"/>
      <c r="AN523" s="279"/>
      <c r="AO523" s="279"/>
      <c r="AP523" s="279"/>
      <c r="AQ523" s="279"/>
      <c r="AR523" s="279"/>
      <c r="AS523" s="279"/>
      <c r="AT523" s="279"/>
      <c r="AU523" s="279"/>
      <c r="AV523" s="279"/>
      <c r="AW523" s="279"/>
      <c r="AX523" s="279"/>
      <c r="AY523" s="279"/>
      <c r="AZ523" s="279"/>
      <c r="BA523" s="279"/>
      <c r="BB523" s="279"/>
      <c r="BC523" s="279"/>
      <c r="BD523" s="279"/>
      <c r="BE523" s="279"/>
      <c r="BF523" s="279"/>
      <c r="BG523" s="279"/>
      <c r="BH523" s="279"/>
      <c r="BI523" s="279"/>
      <c r="BJ523" s="279"/>
      <c r="BK523" s="279"/>
      <c r="BL523" s="279"/>
      <c r="BM523" s="279"/>
      <c r="BN523" s="279"/>
      <c r="BO523" s="279"/>
      <c r="BP523" s="279"/>
      <c r="BQ523" s="279"/>
    </row>
    <row r="524" ht="12.75" customHeight="1">
      <c r="A524" s="269"/>
      <c r="B524" s="285" t="s">
        <v>790</v>
      </c>
      <c r="C524" s="286"/>
      <c r="D524" s="286"/>
      <c r="E524" s="286"/>
      <c r="F524" s="286"/>
      <c r="G524" s="286"/>
      <c r="H524" s="286"/>
      <c r="I524" s="286"/>
      <c r="J524" s="286"/>
      <c r="K524" s="286"/>
      <c r="L524" s="287"/>
      <c r="M524" s="290">
        <v>1494.0</v>
      </c>
      <c r="N524" s="351">
        <f>-'RRE 2023'!D39</f>
        <v>100000</v>
      </c>
      <c r="O524" s="15"/>
      <c r="P524" s="15"/>
      <c r="Q524" s="16"/>
      <c r="R524" s="355" t="s">
        <v>312</v>
      </c>
      <c r="S524" s="279"/>
      <c r="T524" s="279"/>
      <c r="U524" s="279"/>
      <c r="V524" s="279"/>
      <c r="W524" s="279"/>
      <c r="X524" s="279"/>
      <c r="Y524" s="279"/>
      <c r="Z524" s="279"/>
      <c r="AA524" s="279"/>
      <c r="AB524" s="279"/>
      <c r="AC524" s="279"/>
      <c r="AD524" s="279"/>
      <c r="AE524" s="279"/>
      <c r="AF524" s="279"/>
      <c r="AG524" s="279"/>
      <c r="AH524" s="279"/>
      <c r="AI524" s="279"/>
      <c r="AJ524" s="279"/>
      <c r="AK524" s="279"/>
      <c r="AL524" s="279"/>
      <c r="AM524" s="279"/>
      <c r="AN524" s="279"/>
      <c r="AO524" s="279"/>
      <c r="AP524" s="279"/>
      <c r="AQ524" s="279"/>
      <c r="AR524" s="279"/>
      <c r="AS524" s="279"/>
      <c r="AT524" s="279"/>
      <c r="AU524" s="279"/>
      <c r="AV524" s="279"/>
      <c r="AW524" s="279"/>
      <c r="AX524" s="279"/>
      <c r="AY524" s="279"/>
      <c r="AZ524" s="279"/>
      <c r="BA524" s="279"/>
      <c r="BB524" s="279"/>
      <c r="BC524" s="279"/>
      <c r="BD524" s="279"/>
      <c r="BE524" s="279"/>
      <c r="BF524" s="279"/>
      <c r="BG524" s="279"/>
      <c r="BH524" s="279"/>
      <c r="BI524" s="279"/>
      <c r="BJ524" s="279"/>
      <c r="BK524" s="279"/>
      <c r="BL524" s="279"/>
      <c r="BM524" s="279"/>
      <c r="BN524" s="279"/>
      <c r="BO524" s="279"/>
      <c r="BP524" s="279"/>
      <c r="BQ524" s="279"/>
    </row>
    <row r="525" ht="12.75" customHeight="1">
      <c r="A525" s="269"/>
      <c r="B525" s="285" t="s">
        <v>694</v>
      </c>
      <c r="C525" s="286"/>
      <c r="D525" s="286"/>
      <c r="E525" s="286"/>
      <c r="F525" s="286"/>
      <c r="G525" s="286"/>
      <c r="H525" s="286"/>
      <c r="I525" s="286"/>
      <c r="J525" s="286"/>
      <c r="K525" s="286"/>
      <c r="L525" s="287"/>
      <c r="M525" s="290">
        <v>1725.0</v>
      </c>
      <c r="N525" s="351"/>
      <c r="O525" s="15"/>
      <c r="P525" s="15"/>
      <c r="Q525" s="16"/>
      <c r="R525" s="355" t="s">
        <v>312</v>
      </c>
      <c r="S525" s="279"/>
      <c r="T525" s="279"/>
      <c r="U525" s="279"/>
      <c r="V525" s="279"/>
      <c r="W525" s="279"/>
      <c r="X525" s="279"/>
      <c r="Y525" s="279"/>
      <c r="Z525" s="279"/>
      <c r="AA525" s="279"/>
      <c r="AB525" s="279"/>
      <c r="AC525" s="279"/>
      <c r="AD525" s="279"/>
      <c r="AE525" s="279"/>
      <c r="AF525" s="279"/>
      <c r="AG525" s="279"/>
      <c r="AH525" s="279"/>
      <c r="AI525" s="279"/>
      <c r="AJ525" s="279"/>
      <c r="AK525" s="279"/>
      <c r="AL525" s="279"/>
      <c r="AM525" s="279"/>
      <c r="AN525" s="279"/>
      <c r="AO525" s="279"/>
      <c r="AP525" s="279"/>
      <c r="AQ525" s="279"/>
      <c r="AR525" s="279"/>
      <c r="AS525" s="279"/>
      <c r="AT525" s="279"/>
      <c r="AU525" s="279"/>
      <c r="AV525" s="279"/>
      <c r="AW525" s="279"/>
      <c r="AX525" s="279"/>
      <c r="AY525" s="279"/>
      <c r="AZ525" s="279"/>
      <c r="BA525" s="279"/>
      <c r="BB525" s="279"/>
      <c r="BC525" s="279"/>
      <c r="BD525" s="279"/>
      <c r="BE525" s="279"/>
      <c r="BF525" s="279"/>
      <c r="BG525" s="279"/>
      <c r="BH525" s="279"/>
      <c r="BI525" s="279"/>
      <c r="BJ525" s="279"/>
      <c r="BK525" s="279"/>
      <c r="BL525" s="279"/>
      <c r="BM525" s="279"/>
      <c r="BN525" s="279"/>
      <c r="BO525" s="279"/>
      <c r="BP525" s="279"/>
      <c r="BQ525" s="279"/>
    </row>
    <row r="526" ht="12.75" customHeight="1">
      <c r="A526" s="269"/>
      <c r="B526" s="285" t="s">
        <v>791</v>
      </c>
      <c r="C526" s="286"/>
      <c r="D526" s="286"/>
      <c r="E526" s="286"/>
      <c r="F526" s="286"/>
      <c r="G526" s="286"/>
      <c r="H526" s="286"/>
      <c r="I526" s="286"/>
      <c r="J526" s="286"/>
      <c r="K526" s="286"/>
      <c r="L526" s="287"/>
      <c r="M526" s="290">
        <v>1727.0</v>
      </c>
      <c r="N526" s="351"/>
      <c r="O526" s="15"/>
      <c r="P526" s="15"/>
      <c r="Q526" s="16"/>
      <c r="R526" s="355" t="s">
        <v>312</v>
      </c>
      <c r="S526" s="279"/>
      <c r="T526" s="279"/>
      <c r="U526" s="279"/>
      <c r="V526" s="279"/>
      <c r="W526" s="279"/>
      <c r="X526" s="279"/>
      <c r="Y526" s="279"/>
      <c r="Z526" s="279"/>
      <c r="AA526" s="279"/>
      <c r="AB526" s="279"/>
      <c r="AC526" s="279"/>
      <c r="AD526" s="279"/>
      <c r="AE526" s="279"/>
      <c r="AF526" s="279"/>
      <c r="AG526" s="279"/>
      <c r="AH526" s="279"/>
      <c r="AI526" s="279"/>
      <c r="AJ526" s="279"/>
      <c r="AK526" s="279"/>
      <c r="AL526" s="279"/>
      <c r="AM526" s="279"/>
      <c r="AN526" s="279"/>
      <c r="AO526" s="279"/>
      <c r="AP526" s="279"/>
      <c r="AQ526" s="279"/>
      <c r="AR526" s="279"/>
      <c r="AS526" s="279"/>
      <c r="AT526" s="279"/>
      <c r="AU526" s="279"/>
      <c r="AV526" s="279"/>
      <c r="AW526" s="279"/>
      <c r="AX526" s="279"/>
      <c r="AY526" s="279"/>
      <c r="AZ526" s="279"/>
      <c r="BA526" s="279"/>
      <c r="BB526" s="279"/>
      <c r="BC526" s="279"/>
      <c r="BD526" s="279"/>
      <c r="BE526" s="279"/>
      <c r="BF526" s="279"/>
      <c r="BG526" s="279"/>
      <c r="BH526" s="279"/>
      <c r="BI526" s="279"/>
      <c r="BJ526" s="279"/>
      <c r="BK526" s="279"/>
      <c r="BL526" s="279"/>
      <c r="BM526" s="279"/>
      <c r="BN526" s="279"/>
      <c r="BO526" s="279"/>
      <c r="BP526" s="279"/>
      <c r="BQ526" s="279"/>
    </row>
    <row r="527" ht="12.75" customHeight="1">
      <c r="A527" s="269"/>
      <c r="B527" s="285" t="s">
        <v>696</v>
      </c>
      <c r="C527" s="286"/>
      <c r="D527" s="286"/>
      <c r="E527" s="286"/>
      <c r="F527" s="286"/>
      <c r="G527" s="286"/>
      <c r="H527" s="286"/>
      <c r="I527" s="286"/>
      <c r="J527" s="286"/>
      <c r="K527" s="286"/>
      <c r="L527" s="287"/>
      <c r="M527" s="290">
        <v>1500.0</v>
      </c>
      <c r="N527" s="351">
        <f>+IF(($N$522-$N$523-$N$524-$N$525-$N$526)&gt;0,($N$522-$N$523-$N$524-$N$525-$N$526),0)</f>
        <v>286828048</v>
      </c>
      <c r="O527" s="15"/>
      <c r="P527" s="15"/>
      <c r="Q527" s="16"/>
      <c r="R527" s="355" t="s">
        <v>317</v>
      </c>
      <c r="S527" s="279"/>
      <c r="T527" s="279"/>
      <c r="U527" s="279"/>
      <c r="V527" s="279"/>
      <c r="W527" s="279"/>
      <c r="X527" s="279"/>
      <c r="Y527" s="279"/>
      <c r="Z527" s="279"/>
      <c r="AA527" s="279"/>
      <c r="AB527" s="279"/>
      <c r="AC527" s="279"/>
      <c r="AD527" s="279"/>
      <c r="AE527" s="279"/>
      <c r="AF527" s="279"/>
      <c r="AG527" s="279"/>
      <c r="AH527" s="279"/>
      <c r="AI527" s="279"/>
      <c r="AJ527" s="279"/>
      <c r="AK527" s="279"/>
      <c r="AL527" s="279"/>
      <c r="AM527" s="279"/>
      <c r="AN527" s="279"/>
      <c r="AO527" s="279"/>
      <c r="AP527" s="279"/>
      <c r="AQ527" s="279"/>
      <c r="AR527" s="279"/>
      <c r="AS527" s="279"/>
      <c r="AT527" s="279"/>
      <c r="AU527" s="279"/>
      <c r="AV527" s="279"/>
      <c r="AW527" s="279"/>
      <c r="AX527" s="279"/>
      <c r="AY527" s="279"/>
      <c r="AZ527" s="279"/>
      <c r="BA527" s="279"/>
      <c r="BB527" s="279"/>
      <c r="BC527" s="279"/>
      <c r="BD527" s="279"/>
      <c r="BE527" s="279"/>
      <c r="BF527" s="279"/>
      <c r="BG527" s="279"/>
      <c r="BH527" s="279"/>
      <c r="BI527" s="279"/>
      <c r="BJ527" s="279"/>
      <c r="BK527" s="279"/>
      <c r="BL527" s="279"/>
      <c r="BM527" s="279"/>
      <c r="BN527" s="279"/>
      <c r="BO527" s="279"/>
      <c r="BP527" s="279"/>
      <c r="BQ527" s="279"/>
    </row>
    <row r="528" ht="12.75" customHeight="1">
      <c r="A528" s="275"/>
      <c r="B528" s="387"/>
      <c r="C528" s="387"/>
      <c r="D528" s="387"/>
      <c r="E528" s="387"/>
      <c r="F528" s="387"/>
      <c r="G528" s="387"/>
      <c r="H528" s="387"/>
      <c r="I528" s="387"/>
      <c r="J528" s="387"/>
      <c r="K528" s="387"/>
      <c r="L528" s="387"/>
      <c r="M528" s="387"/>
      <c r="N528" s="387"/>
      <c r="O528" s="387"/>
      <c r="P528" s="387"/>
      <c r="Q528" s="387"/>
      <c r="R528" s="387"/>
      <c r="S528" s="279"/>
      <c r="T528" s="279"/>
      <c r="U528" s="279"/>
      <c r="V528" s="279"/>
      <c r="W528" s="279"/>
      <c r="X528" s="279"/>
      <c r="Y528" s="279"/>
      <c r="Z528" s="279"/>
      <c r="AA528" s="279"/>
      <c r="AB528" s="279"/>
      <c r="AC528" s="279"/>
      <c r="AD528" s="279"/>
      <c r="AE528" s="279"/>
      <c r="AF528" s="279"/>
      <c r="AG528" s="279"/>
      <c r="AH528" s="279"/>
      <c r="AI528" s="279"/>
      <c r="AJ528" s="279"/>
      <c r="AK528" s="279"/>
      <c r="AL528" s="279"/>
      <c r="AM528" s="279"/>
      <c r="AN528" s="279"/>
      <c r="AO528" s="279"/>
      <c r="AP528" s="279"/>
      <c r="AQ528" s="279"/>
      <c r="AR528" s="279"/>
      <c r="AS528" s="279"/>
      <c r="AT528" s="279"/>
      <c r="AU528" s="279"/>
      <c r="AV528" s="279"/>
      <c r="AW528" s="279"/>
      <c r="AX528" s="279"/>
      <c r="AY528" s="279"/>
      <c r="AZ528" s="279"/>
      <c r="BA528" s="279"/>
      <c r="BB528" s="279"/>
      <c r="BC528" s="279"/>
      <c r="BD528" s="279"/>
      <c r="BE528" s="279"/>
      <c r="BF528" s="279"/>
      <c r="BG528" s="279"/>
      <c r="BH528" s="279"/>
      <c r="BI528" s="279"/>
      <c r="BJ528" s="279"/>
      <c r="BK528" s="279"/>
      <c r="BL528" s="279"/>
      <c r="BM528" s="279"/>
      <c r="BN528" s="279"/>
      <c r="BO528" s="279"/>
      <c r="BP528" s="279"/>
      <c r="BQ528" s="279"/>
    </row>
    <row r="529" ht="12.75" customHeight="1">
      <c r="A529" s="275"/>
      <c r="B529" s="370" t="s">
        <v>792</v>
      </c>
      <c r="C529" s="22"/>
      <c r="D529" s="22"/>
      <c r="E529" s="22"/>
      <c r="F529" s="22"/>
      <c r="G529" s="22"/>
      <c r="H529" s="22"/>
      <c r="I529" s="22"/>
      <c r="J529" s="22"/>
      <c r="K529" s="22"/>
      <c r="L529" s="22"/>
      <c r="M529" s="22"/>
      <c r="N529" s="22"/>
      <c r="O529" s="22"/>
      <c r="P529" s="22"/>
      <c r="Q529" s="22"/>
      <c r="R529" s="23"/>
      <c r="S529" s="279"/>
      <c r="T529" s="279"/>
      <c r="U529" s="279"/>
      <c r="V529" s="279"/>
      <c r="W529" s="279"/>
      <c r="X529" s="279"/>
      <c r="Y529" s="279"/>
      <c r="Z529" s="279"/>
      <c r="AA529" s="279"/>
      <c r="AB529" s="279"/>
      <c r="AC529" s="279"/>
      <c r="AD529" s="279"/>
      <c r="AE529" s="279"/>
      <c r="AF529" s="279"/>
      <c r="AG529" s="279"/>
      <c r="AH529" s="279"/>
      <c r="AI529" s="279"/>
      <c r="AJ529" s="279"/>
      <c r="AK529" s="279"/>
      <c r="AL529" s="279"/>
      <c r="AM529" s="279"/>
      <c r="AN529" s="279"/>
      <c r="AO529" s="279"/>
      <c r="AP529" s="279"/>
      <c r="AQ529" s="279"/>
      <c r="AR529" s="279"/>
      <c r="AS529" s="279"/>
      <c r="AT529" s="279"/>
      <c r="AU529" s="279"/>
      <c r="AV529" s="279"/>
      <c r="AW529" s="279"/>
      <c r="AX529" s="279"/>
      <c r="AY529" s="279"/>
      <c r="AZ529" s="279"/>
      <c r="BA529" s="279"/>
      <c r="BB529" s="279"/>
      <c r="BC529" s="279"/>
      <c r="BD529" s="279"/>
      <c r="BE529" s="279"/>
      <c r="BF529" s="279"/>
      <c r="BG529" s="279"/>
      <c r="BH529" s="279"/>
      <c r="BI529" s="279"/>
      <c r="BJ529" s="279"/>
      <c r="BK529" s="279"/>
      <c r="BL529" s="279"/>
      <c r="BM529" s="279"/>
      <c r="BN529" s="279"/>
      <c r="BO529" s="279"/>
      <c r="BP529" s="279"/>
      <c r="BQ529" s="279"/>
    </row>
    <row r="530" ht="12.75" customHeight="1">
      <c r="A530" s="275"/>
      <c r="B530" s="28"/>
      <c r="C530" s="29"/>
      <c r="D530" s="29"/>
      <c r="E530" s="29"/>
      <c r="F530" s="29"/>
      <c r="G530" s="29"/>
      <c r="H530" s="29"/>
      <c r="I530" s="29"/>
      <c r="J530" s="29"/>
      <c r="K530" s="29"/>
      <c r="L530" s="29"/>
      <c r="M530" s="29"/>
      <c r="N530" s="29"/>
      <c r="O530" s="29"/>
      <c r="P530" s="29"/>
      <c r="Q530" s="29"/>
      <c r="R530" s="30"/>
      <c r="S530" s="279"/>
      <c r="T530" s="279"/>
      <c r="U530" s="279"/>
      <c r="V530" s="279"/>
      <c r="W530" s="279"/>
      <c r="X530" s="279"/>
      <c r="Y530" s="279"/>
      <c r="Z530" s="279"/>
      <c r="AA530" s="279"/>
      <c r="AB530" s="279"/>
      <c r="AC530" s="279"/>
      <c r="AD530" s="279"/>
      <c r="AE530" s="279"/>
      <c r="AF530" s="279"/>
      <c r="AG530" s="279"/>
      <c r="AH530" s="279"/>
      <c r="AI530" s="279"/>
      <c r="AJ530" s="279"/>
      <c r="AK530" s="279"/>
      <c r="AL530" s="279"/>
      <c r="AM530" s="279"/>
      <c r="AN530" s="279"/>
      <c r="AO530" s="279"/>
      <c r="AP530" s="279"/>
      <c r="AQ530" s="279"/>
      <c r="AR530" s="279"/>
      <c r="AS530" s="279"/>
      <c r="AT530" s="279"/>
      <c r="AU530" s="279"/>
      <c r="AV530" s="279"/>
      <c r="AW530" s="279"/>
      <c r="AX530" s="279"/>
      <c r="AY530" s="279"/>
      <c r="AZ530" s="279"/>
      <c r="BA530" s="279"/>
      <c r="BB530" s="279"/>
      <c r="BC530" s="279"/>
      <c r="BD530" s="279"/>
      <c r="BE530" s="279"/>
      <c r="BF530" s="279"/>
      <c r="BG530" s="279"/>
      <c r="BH530" s="279"/>
      <c r="BI530" s="279"/>
      <c r="BJ530" s="279"/>
      <c r="BK530" s="279"/>
      <c r="BL530" s="279"/>
      <c r="BM530" s="279"/>
      <c r="BN530" s="279"/>
      <c r="BO530" s="279"/>
      <c r="BP530" s="279"/>
      <c r="BQ530" s="279"/>
    </row>
    <row r="531" ht="12.75" customHeight="1">
      <c r="A531" s="269"/>
      <c r="B531" s="285" t="s">
        <v>793</v>
      </c>
      <c r="C531" s="286"/>
      <c r="D531" s="286"/>
      <c r="E531" s="286"/>
      <c r="F531" s="286"/>
      <c r="G531" s="286"/>
      <c r="H531" s="286"/>
      <c r="I531" s="286"/>
      <c r="J531" s="286"/>
      <c r="K531" s="286"/>
      <c r="L531" s="287"/>
      <c r="M531" s="288">
        <v>1445.0</v>
      </c>
      <c r="N531" s="351">
        <f>+'CPT 2023'!D32</f>
        <v>533941272</v>
      </c>
      <c r="O531" s="15"/>
      <c r="P531" s="15"/>
      <c r="Q531" s="16"/>
      <c r="R531" s="402" t="s">
        <v>281</v>
      </c>
      <c r="S531" s="279"/>
      <c r="T531" s="279"/>
      <c r="U531" s="279"/>
      <c r="V531" s="279"/>
      <c r="W531" s="279"/>
      <c r="X531" s="279"/>
      <c r="Y531" s="279"/>
      <c r="Z531" s="279"/>
      <c r="AA531" s="279"/>
      <c r="AB531" s="279"/>
      <c r="AC531" s="279"/>
      <c r="AD531" s="279"/>
      <c r="AE531" s="279"/>
      <c r="AF531" s="279"/>
      <c r="AG531" s="279"/>
      <c r="AH531" s="279"/>
      <c r="AI531" s="279"/>
      <c r="AJ531" s="279"/>
      <c r="AK531" s="279"/>
      <c r="AL531" s="279"/>
      <c r="AM531" s="279"/>
      <c r="AN531" s="279"/>
      <c r="AO531" s="279"/>
      <c r="AP531" s="279"/>
      <c r="AQ531" s="279"/>
      <c r="AR531" s="279"/>
      <c r="AS531" s="279"/>
      <c r="AT531" s="279"/>
      <c r="AU531" s="279"/>
      <c r="AV531" s="279"/>
      <c r="AW531" s="279"/>
      <c r="AX531" s="279"/>
      <c r="AY531" s="279"/>
      <c r="AZ531" s="279"/>
      <c r="BA531" s="279"/>
      <c r="BB531" s="279"/>
      <c r="BC531" s="279"/>
      <c r="BD531" s="279"/>
      <c r="BE531" s="279"/>
      <c r="BF531" s="279"/>
      <c r="BG531" s="279"/>
      <c r="BH531" s="279"/>
      <c r="BI531" s="279"/>
      <c r="BJ531" s="279"/>
      <c r="BK531" s="279"/>
      <c r="BL531" s="279"/>
      <c r="BM531" s="279"/>
      <c r="BN531" s="279"/>
      <c r="BO531" s="279"/>
      <c r="BP531" s="279"/>
      <c r="BQ531" s="279"/>
    </row>
    <row r="532" ht="12.75" customHeight="1">
      <c r="A532" s="269"/>
      <c r="B532" s="285" t="s">
        <v>794</v>
      </c>
      <c r="C532" s="286"/>
      <c r="D532" s="286"/>
      <c r="E532" s="286"/>
      <c r="F532" s="286"/>
      <c r="G532" s="286"/>
      <c r="H532" s="286"/>
      <c r="I532" s="286"/>
      <c r="J532" s="286"/>
      <c r="K532" s="286"/>
      <c r="L532" s="287"/>
      <c r="M532" s="290">
        <v>1446.0</v>
      </c>
      <c r="N532" s="351"/>
      <c r="O532" s="15"/>
      <c r="P532" s="15"/>
      <c r="Q532" s="16"/>
      <c r="R532" s="355" t="s">
        <v>312</v>
      </c>
      <c r="S532" s="279"/>
      <c r="T532" s="279"/>
      <c r="U532" s="279"/>
      <c r="V532" s="279"/>
      <c r="W532" s="279"/>
      <c r="X532" s="279"/>
      <c r="Y532" s="279"/>
      <c r="Z532" s="279"/>
      <c r="AA532" s="279"/>
      <c r="AB532" s="279"/>
      <c r="AC532" s="279"/>
      <c r="AD532" s="279"/>
      <c r="AE532" s="279"/>
      <c r="AF532" s="279"/>
      <c r="AG532" s="279"/>
      <c r="AH532" s="279"/>
      <c r="AI532" s="279"/>
      <c r="AJ532" s="279"/>
      <c r="AK532" s="279"/>
      <c r="AL532" s="279"/>
      <c r="AM532" s="279"/>
      <c r="AN532" s="279"/>
      <c r="AO532" s="279"/>
      <c r="AP532" s="279"/>
      <c r="AQ532" s="279"/>
      <c r="AR532" s="279"/>
      <c r="AS532" s="279"/>
      <c r="AT532" s="279"/>
      <c r="AU532" s="279"/>
      <c r="AV532" s="279"/>
      <c r="AW532" s="279"/>
      <c r="AX532" s="279"/>
      <c r="AY532" s="279"/>
      <c r="AZ532" s="279"/>
      <c r="BA532" s="279"/>
      <c r="BB532" s="279"/>
      <c r="BC532" s="279"/>
      <c r="BD532" s="279"/>
      <c r="BE532" s="279"/>
      <c r="BF532" s="279"/>
      <c r="BG532" s="279"/>
      <c r="BH532" s="279"/>
      <c r="BI532" s="279"/>
      <c r="BJ532" s="279"/>
      <c r="BK532" s="279"/>
      <c r="BL532" s="279"/>
      <c r="BM532" s="279"/>
      <c r="BN532" s="279"/>
      <c r="BO532" s="279"/>
      <c r="BP532" s="279"/>
      <c r="BQ532" s="279"/>
    </row>
    <row r="533" ht="12.75" customHeight="1">
      <c r="A533" s="269"/>
      <c r="B533" s="285" t="s">
        <v>795</v>
      </c>
      <c r="C533" s="286"/>
      <c r="D533" s="286"/>
      <c r="E533" s="286"/>
      <c r="F533" s="286"/>
      <c r="G533" s="286"/>
      <c r="H533" s="286"/>
      <c r="I533" s="286"/>
      <c r="J533" s="286"/>
      <c r="K533" s="286"/>
      <c r="L533" s="287"/>
      <c r="M533" s="290">
        <v>1374.0</v>
      </c>
      <c r="N533" s="351"/>
      <c r="O533" s="15"/>
      <c r="P533" s="15"/>
      <c r="Q533" s="16"/>
      <c r="R533" s="355" t="s">
        <v>281</v>
      </c>
      <c r="S533" s="279"/>
      <c r="T533" s="279"/>
      <c r="U533" s="279"/>
      <c r="V533" s="279"/>
      <c r="W533" s="279"/>
      <c r="X533" s="279"/>
      <c r="Y533" s="279"/>
      <c r="Z533" s="279"/>
      <c r="AA533" s="279"/>
      <c r="AB533" s="279"/>
      <c r="AC533" s="279"/>
      <c r="AD533" s="279"/>
      <c r="AE533" s="279"/>
      <c r="AF533" s="279"/>
      <c r="AG533" s="279"/>
      <c r="AH533" s="279"/>
      <c r="AI533" s="279"/>
      <c r="AJ533" s="279"/>
      <c r="AK533" s="279"/>
      <c r="AL533" s="279"/>
      <c r="AM533" s="279"/>
      <c r="AN533" s="279"/>
      <c r="AO533" s="279"/>
      <c r="AP533" s="279"/>
      <c r="AQ533" s="279"/>
      <c r="AR533" s="279"/>
      <c r="AS533" s="279"/>
      <c r="AT533" s="279"/>
      <c r="AU533" s="279"/>
      <c r="AV533" s="279"/>
      <c r="AW533" s="279"/>
      <c r="AX533" s="279"/>
      <c r="AY533" s="279"/>
      <c r="AZ533" s="279"/>
      <c r="BA533" s="279"/>
      <c r="BB533" s="279"/>
      <c r="BC533" s="279"/>
      <c r="BD533" s="279"/>
      <c r="BE533" s="279"/>
      <c r="BF533" s="279"/>
      <c r="BG533" s="279"/>
      <c r="BH533" s="279"/>
      <c r="BI533" s="279"/>
      <c r="BJ533" s="279"/>
      <c r="BK533" s="279"/>
      <c r="BL533" s="279"/>
      <c r="BM533" s="279"/>
      <c r="BN533" s="279"/>
      <c r="BO533" s="279"/>
      <c r="BP533" s="279"/>
      <c r="BQ533" s="279"/>
    </row>
    <row r="534" ht="12.75" customHeight="1">
      <c r="A534" s="269"/>
      <c r="B534" s="285" t="s">
        <v>796</v>
      </c>
      <c r="C534" s="286"/>
      <c r="D534" s="286"/>
      <c r="E534" s="286"/>
      <c r="F534" s="286"/>
      <c r="G534" s="286"/>
      <c r="H534" s="286"/>
      <c r="I534" s="286"/>
      <c r="J534" s="286"/>
      <c r="K534" s="286"/>
      <c r="L534" s="287"/>
      <c r="M534" s="290">
        <v>1375.0</v>
      </c>
      <c r="N534" s="351"/>
      <c r="O534" s="15"/>
      <c r="P534" s="15"/>
      <c r="Q534" s="16"/>
      <c r="R534" s="355" t="s">
        <v>281</v>
      </c>
      <c r="S534" s="279"/>
      <c r="T534" s="279"/>
      <c r="U534" s="279"/>
      <c r="V534" s="279"/>
      <c r="W534" s="279"/>
      <c r="X534" s="279"/>
      <c r="Y534" s="279"/>
      <c r="Z534" s="279"/>
      <c r="AA534" s="279"/>
      <c r="AB534" s="279"/>
      <c r="AC534" s="279"/>
      <c r="AD534" s="279"/>
      <c r="AE534" s="279"/>
      <c r="AF534" s="279"/>
      <c r="AG534" s="279"/>
      <c r="AH534" s="279"/>
      <c r="AI534" s="279"/>
      <c r="AJ534" s="279"/>
      <c r="AK534" s="279"/>
      <c r="AL534" s="279"/>
      <c r="AM534" s="279"/>
      <c r="AN534" s="279"/>
      <c r="AO534" s="279"/>
      <c r="AP534" s="279"/>
      <c r="AQ534" s="279"/>
      <c r="AR534" s="279"/>
      <c r="AS534" s="279"/>
      <c r="AT534" s="279"/>
      <c r="AU534" s="279"/>
      <c r="AV534" s="279"/>
      <c r="AW534" s="279"/>
      <c r="AX534" s="279"/>
      <c r="AY534" s="279"/>
      <c r="AZ534" s="279"/>
      <c r="BA534" s="279"/>
      <c r="BB534" s="279"/>
      <c r="BC534" s="279"/>
      <c r="BD534" s="279"/>
      <c r="BE534" s="279"/>
      <c r="BF534" s="279"/>
      <c r="BG534" s="279"/>
      <c r="BH534" s="279"/>
      <c r="BI534" s="279"/>
      <c r="BJ534" s="279"/>
      <c r="BK534" s="279"/>
      <c r="BL534" s="279"/>
      <c r="BM534" s="279"/>
      <c r="BN534" s="279"/>
      <c r="BO534" s="279"/>
      <c r="BP534" s="279"/>
      <c r="BQ534" s="279"/>
    </row>
    <row r="535" ht="12.75" customHeight="1">
      <c r="A535" s="269"/>
      <c r="B535" s="285" t="s">
        <v>797</v>
      </c>
      <c r="C535" s="286"/>
      <c r="D535" s="286"/>
      <c r="E535" s="286"/>
      <c r="F535" s="286"/>
      <c r="G535" s="286"/>
      <c r="H535" s="286"/>
      <c r="I535" s="286"/>
      <c r="J535" s="286"/>
      <c r="K535" s="286"/>
      <c r="L535" s="287"/>
      <c r="M535" s="290">
        <v>1376.0</v>
      </c>
      <c r="N535" s="351"/>
      <c r="O535" s="15"/>
      <c r="P535" s="15"/>
      <c r="Q535" s="16"/>
      <c r="R535" s="355" t="s">
        <v>312</v>
      </c>
      <c r="S535" s="279"/>
      <c r="T535" s="279"/>
      <c r="U535" s="279"/>
      <c r="V535" s="279"/>
      <c r="W535" s="279"/>
      <c r="X535" s="279"/>
      <c r="Y535" s="279"/>
      <c r="Z535" s="279"/>
      <c r="AA535" s="279"/>
      <c r="AB535" s="279"/>
      <c r="AC535" s="279"/>
      <c r="AD535" s="279"/>
      <c r="AE535" s="279"/>
      <c r="AF535" s="279"/>
      <c r="AG535" s="279"/>
      <c r="AH535" s="279"/>
      <c r="AI535" s="279"/>
      <c r="AJ535" s="279"/>
      <c r="AK535" s="279"/>
      <c r="AL535" s="279"/>
      <c r="AM535" s="279"/>
      <c r="AN535" s="279"/>
      <c r="AO535" s="279"/>
      <c r="AP535" s="279"/>
      <c r="AQ535" s="279"/>
      <c r="AR535" s="279"/>
      <c r="AS535" s="279"/>
      <c r="AT535" s="279"/>
      <c r="AU535" s="279"/>
      <c r="AV535" s="279"/>
      <c r="AW535" s="279"/>
      <c r="AX535" s="279"/>
      <c r="AY535" s="279"/>
      <c r="AZ535" s="279"/>
      <c r="BA535" s="279"/>
      <c r="BB535" s="279"/>
      <c r="BC535" s="279"/>
      <c r="BD535" s="279"/>
      <c r="BE535" s="279"/>
      <c r="BF535" s="279"/>
      <c r="BG535" s="279"/>
      <c r="BH535" s="279"/>
      <c r="BI535" s="279"/>
      <c r="BJ535" s="279"/>
      <c r="BK535" s="279"/>
      <c r="BL535" s="279"/>
      <c r="BM535" s="279"/>
      <c r="BN535" s="279"/>
      <c r="BO535" s="279"/>
      <c r="BP535" s="279"/>
      <c r="BQ535" s="279"/>
    </row>
    <row r="536" ht="12.75" customHeight="1">
      <c r="A536" s="269"/>
      <c r="B536" s="285" t="s">
        <v>798</v>
      </c>
      <c r="C536" s="286"/>
      <c r="D536" s="286"/>
      <c r="E536" s="286"/>
      <c r="F536" s="286"/>
      <c r="G536" s="286"/>
      <c r="H536" s="286"/>
      <c r="I536" s="286"/>
      <c r="J536" s="286"/>
      <c r="K536" s="286"/>
      <c r="L536" s="287"/>
      <c r="M536" s="290">
        <v>1705.0</v>
      </c>
      <c r="N536" s="351">
        <v>0.0</v>
      </c>
      <c r="O536" s="15"/>
      <c r="P536" s="15"/>
      <c r="Q536" s="16"/>
      <c r="R536" s="355" t="s">
        <v>281</v>
      </c>
      <c r="S536" s="279"/>
      <c r="T536" s="279"/>
      <c r="U536" s="279"/>
      <c r="V536" s="279"/>
      <c r="W536" s="279"/>
      <c r="X536" s="279"/>
      <c r="Y536" s="279"/>
      <c r="Z536" s="279"/>
      <c r="AA536" s="279"/>
      <c r="AB536" s="279"/>
      <c r="AC536" s="279"/>
      <c r="AD536" s="279"/>
      <c r="AE536" s="279"/>
      <c r="AF536" s="279"/>
      <c r="AG536" s="279"/>
      <c r="AH536" s="279"/>
      <c r="AI536" s="279"/>
      <c r="AJ536" s="279"/>
      <c r="AK536" s="279"/>
      <c r="AL536" s="279"/>
      <c r="AM536" s="279"/>
      <c r="AN536" s="279"/>
      <c r="AO536" s="279"/>
      <c r="AP536" s="279"/>
      <c r="AQ536" s="279"/>
      <c r="AR536" s="279"/>
      <c r="AS536" s="279"/>
      <c r="AT536" s="279"/>
      <c r="AU536" s="279"/>
      <c r="AV536" s="279"/>
      <c r="AW536" s="279"/>
      <c r="AX536" s="279"/>
      <c r="AY536" s="279"/>
      <c r="AZ536" s="279"/>
      <c r="BA536" s="279"/>
      <c r="BB536" s="279"/>
      <c r="BC536" s="279"/>
      <c r="BD536" s="279"/>
      <c r="BE536" s="279"/>
      <c r="BF536" s="279"/>
      <c r="BG536" s="279"/>
      <c r="BH536" s="279"/>
      <c r="BI536" s="279"/>
      <c r="BJ536" s="279"/>
      <c r="BK536" s="279"/>
      <c r="BL536" s="279"/>
      <c r="BM536" s="279"/>
      <c r="BN536" s="279"/>
      <c r="BO536" s="279"/>
      <c r="BP536" s="279"/>
      <c r="BQ536" s="279"/>
    </row>
    <row r="537" ht="12.75" customHeight="1">
      <c r="A537" s="269"/>
      <c r="B537" s="285" t="s">
        <v>685</v>
      </c>
      <c r="C537" s="286"/>
      <c r="D537" s="286"/>
      <c r="E537" s="286"/>
      <c r="F537" s="286"/>
      <c r="G537" s="286"/>
      <c r="H537" s="286"/>
      <c r="I537" s="286"/>
      <c r="J537" s="286"/>
      <c r="K537" s="286"/>
      <c r="L537" s="287"/>
      <c r="M537" s="290">
        <v>1706.0</v>
      </c>
      <c r="N537" s="351">
        <f>-'CPT 2023'!D37</f>
        <v>508263</v>
      </c>
      <c r="O537" s="15"/>
      <c r="P537" s="15"/>
      <c r="Q537" s="16"/>
      <c r="R537" s="355" t="s">
        <v>312</v>
      </c>
      <c r="S537" s="279"/>
      <c r="T537" s="279"/>
      <c r="U537" s="279"/>
      <c r="V537" s="279"/>
      <c r="W537" s="279"/>
      <c r="X537" s="279"/>
      <c r="Y537" s="279"/>
      <c r="Z537" s="279"/>
      <c r="AA537" s="279"/>
      <c r="AB537" s="279"/>
      <c r="AC537" s="279"/>
      <c r="AD537" s="279"/>
      <c r="AE537" s="279"/>
      <c r="AF537" s="279"/>
      <c r="AG537" s="279"/>
      <c r="AH537" s="279"/>
      <c r="AI537" s="279"/>
      <c r="AJ537" s="279"/>
      <c r="AK537" s="279"/>
      <c r="AL537" s="279"/>
      <c r="AM537" s="279"/>
      <c r="AN537" s="279"/>
      <c r="AO537" s="279"/>
      <c r="AP537" s="279"/>
      <c r="AQ537" s="279"/>
      <c r="AR537" s="279"/>
      <c r="AS537" s="279"/>
      <c r="AT537" s="279"/>
      <c r="AU537" s="279"/>
      <c r="AV537" s="279"/>
      <c r="AW537" s="279"/>
      <c r="AX537" s="279"/>
      <c r="AY537" s="279"/>
      <c r="AZ537" s="279"/>
      <c r="BA537" s="279"/>
      <c r="BB537" s="279"/>
      <c r="BC537" s="279"/>
      <c r="BD537" s="279"/>
      <c r="BE537" s="279"/>
      <c r="BF537" s="279"/>
      <c r="BG537" s="279"/>
      <c r="BH537" s="279"/>
      <c r="BI537" s="279"/>
      <c r="BJ537" s="279"/>
      <c r="BK537" s="279"/>
      <c r="BL537" s="279"/>
      <c r="BM537" s="279"/>
      <c r="BN537" s="279"/>
      <c r="BO537" s="279"/>
      <c r="BP537" s="279"/>
      <c r="BQ537" s="279"/>
    </row>
    <row r="538" ht="12.75" customHeight="1">
      <c r="A538" s="269"/>
      <c r="B538" s="285" t="s">
        <v>780</v>
      </c>
      <c r="C538" s="286"/>
      <c r="D538" s="286"/>
      <c r="E538" s="286"/>
      <c r="F538" s="286"/>
      <c r="G538" s="286"/>
      <c r="H538" s="286"/>
      <c r="I538" s="286"/>
      <c r="J538" s="286"/>
      <c r="K538" s="286"/>
      <c r="L538" s="287"/>
      <c r="M538" s="290">
        <v>1707.0</v>
      </c>
      <c r="N538" s="351"/>
      <c r="O538" s="15"/>
      <c r="P538" s="15"/>
      <c r="Q538" s="16"/>
      <c r="R538" s="355" t="s">
        <v>281</v>
      </c>
      <c r="S538" s="279"/>
      <c r="T538" s="279"/>
      <c r="U538" s="279"/>
      <c r="V538" s="279"/>
      <c r="W538" s="279"/>
      <c r="X538" s="279"/>
      <c r="Y538" s="279"/>
      <c r="Z538" s="279"/>
      <c r="AA538" s="279"/>
      <c r="AB538" s="279"/>
      <c r="AC538" s="279"/>
      <c r="AD538" s="279"/>
      <c r="AE538" s="279"/>
      <c r="AF538" s="279"/>
      <c r="AG538" s="279"/>
      <c r="AH538" s="279"/>
      <c r="AI538" s="279"/>
      <c r="AJ538" s="279"/>
      <c r="AK538" s="279"/>
      <c r="AL538" s="279"/>
      <c r="AM538" s="279"/>
      <c r="AN538" s="279"/>
      <c r="AO538" s="279"/>
      <c r="AP538" s="279"/>
      <c r="AQ538" s="279"/>
      <c r="AR538" s="279"/>
      <c r="AS538" s="279"/>
      <c r="AT538" s="279"/>
      <c r="AU538" s="279"/>
      <c r="AV538" s="279"/>
      <c r="AW538" s="279"/>
      <c r="AX538" s="279"/>
      <c r="AY538" s="279"/>
      <c r="AZ538" s="279"/>
      <c r="BA538" s="279"/>
      <c r="BB538" s="279"/>
      <c r="BC538" s="279"/>
      <c r="BD538" s="279"/>
      <c r="BE538" s="279"/>
      <c r="BF538" s="279"/>
      <c r="BG538" s="279"/>
      <c r="BH538" s="279"/>
      <c r="BI538" s="279"/>
      <c r="BJ538" s="279"/>
      <c r="BK538" s="279"/>
      <c r="BL538" s="279"/>
      <c r="BM538" s="279"/>
      <c r="BN538" s="279"/>
      <c r="BO538" s="279"/>
      <c r="BP538" s="279"/>
      <c r="BQ538" s="279"/>
    </row>
    <row r="539" ht="12.75" customHeight="1">
      <c r="A539" s="269"/>
      <c r="B539" s="285" t="s">
        <v>799</v>
      </c>
      <c r="C539" s="286"/>
      <c r="D539" s="286"/>
      <c r="E539" s="286"/>
      <c r="F539" s="286"/>
      <c r="G539" s="286"/>
      <c r="H539" s="286"/>
      <c r="I539" s="286"/>
      <c r="J539" s="286"/>
      <c r="K539" s="286"/>
      <c r="L539" s="287"/>
      <c r="M539" s="290">
        <v>1377.0</v>
      </c>
      <c r="N539" s="351"/>
      <c r="O539" s="15"/>
      <c r="P539" s="15"/>
      <c r="Q539" s="16"/>
      <c r="R539" s="355" t="s">
        <v>281</v>
      </c>
      <c r="S539" s="279"/>
      <c r="T539" s="279"/>
      <c r="U539" s="279"/>
      <c r="V539" s="279"/>
      <c r="W539" s="279"/>
      <c r="X539" s="279"/>
      <c r="Y539" s="279"/>
      <c r="Z539" s="279"/>
      <c r="AA539" s="279"/>
      <c r="AB539" s="279"/>
      <c r="AC539" s="279"/>
      <c r="AD539" s="279"/>
      <c r="AE539" s="279"/>
      <c r="AF539" s="279"/>
      <c r="AG539" s="279"/>
      <c r="AH539" s="279"/>
      <c r="AI539" s="279"/>
      <c r="AJ539" s="279"/>
      <c r="AK539" s="279"/>
      <c r="AL539" s="279"/>
      <c r="AM539" s="279"/>
      <c r="AN539" s="279"/>
      <c r="AO539" s="279"/>
      <c r="AP539" s="279"/>
      <c r="AQ539" s="279"/>
      <c r="AR539" s="279"/>
      <c r="AS539" s="279"/>
      <c r="AT539" s="279"/>
      <c r="AU539" s="279"/>
      <c r="AV539" s="279"/>
      <c r="AW539" s="279"/>
      <c r="AX539" s="279"/>
      <c r="AY539" s="279"/>
      <c r="AZ539" s="279"/>
      <c r="BA539" s="279"/>
      <c r="BB539" s="279"/>
      <c r="BC539" s="279"/>
      <c r="BD539" s="279"/>
      <c r="BE539" s="279"/>
      <c r="BF539" s="279"/>
      <c r="BG539" s="279"/>
      <c r="BH539" s="279"/>
      <c r="BI539" s="279"/>
      <c r="BJ539" s="279"/>
      <c r="BK539" s="279"/>
      <c r="BL539" s="279"/>
      <c r="BM539" s="279"/>
      <c r="BN539" s="279"/>
      <c r="BO539" s="279"/>
      <c r="BP539" s="279"/>
      <c r="BQ539" s="279"/>
    </row>
    <row r="540" ht="12.75" customHeight="1">
      <c r="A540" s="269"/>
      <c r="B540" s="285" t="s">
        <v>800</v>
      </c>
      <c r="C540" s="286"/>
      <c r="D540" s="286"/>
      <c r="E540" s="286"/>
      <c r="F540" s="286"/>
      <c r="G540" s="286"/>
      <c r="H540" s="286"/>
      <c r="I540" s="286"/>
      <c r="J540" s="286"/>
      <c r="K540" s="286"/>
      <c r="L540" s="287"/>
      <c r="M540" s="290">
        <v>1378.0</v>
      </c>
      <c r="N540" s="351"/>
      <c r="O540" s="15"/>
      <c r="P540" s="15"/>
      <c r="Q540" s="16"/>
      <c r="R540" s="355" t="s">
        <v>312</v>
      </c>
      <c r="S540" s="279"/>
      <c r="T540" s="279"/>
      <c r="U540" s="279"/>
      <c r="V540" s="279"/>
      <c r="W540" s="279"/>
      <c r="X540" s="279"/>
      <c r="Y540" s="279"/>
      <c r="Z540" s="279"/>
      <c r="AA540" s="279"/>
      <c r="AB540" s="279"/>
      <c r="AC540" s="279"/>
      <c r="AD540" s="279"/>
      <c r="AE540" s="279"/>
      <c r="AF540" s="279"/>
      <c r="AG540" s="279"/>
      <c r="AH540" s="279"/>
      <c r="AI540" s="279"/>
      <c r="AJ540" s="279"/>
      <c r="AK540" s="279"/>
      <c r="AL540" s="279"/>
      <c r="AM540" s="279"/>
      <c r="AN540" s="279"/>
      <c r="AO540" s="279"/>
      <c r="AP540" s="279"/>
      <c r="AQ540" s="279"/>
      <c r="AR540" s="279"/>
      <c r="AS540" s="279"/>
      <c r="AT540" s="279"/>
      <c r="AU540" s="279"/>
      <c r="AV540" s="279"/>
      <c r="AW540" s="279"/>
      <c r="AX540" s="279"/>
      <c r="AY540" s="279"/>
      <c r="AZ540" s="279"/>
      <c r="BA540" s="279"/>
      <c r="BB540" s="279"/>
      <c r="BC540" s="279"/>
      <c r="BD540" s="279"/>
      <c r="BE540" s="279"/>
      <c r="BF540" s="279"/>
      <c r="BG540" s="279"/>
      <c r="BH540" s="279"/>
      <c r="BI540" s="279"/>
      <c r="BJ540" s="279"/>
      <c r="BK540" s="279"/>
      <c r="BL540" s="279"/>
      <c r="BM540" s="279"/>
      <c r="BN540" s="279"/>
      <c r="BO540" s="279"/>
      <c r="BP540" s="279"/>
      <c r="BQ540" s="279"/>
    </row>
    <row r="541" ht="12.75" customHeight="1">
      <c r="A541" s="269"/>
      <c r="B541" s="285" t="s">
        <v>706</v>
      </c>
      <c r="C541" s="286"/>
      <c r="D541" s="286"/>
      <c r="E541" s="286"/>
      <c r="F541" s="286"/>
      <c r="G541" s="286"/>
      <c r="H541" s="286"/>
      <c r="I541" s="286"/>
      <c r="J541" s="286"/>
      <c r="K541" s="286"/>
      <c r="L541" s="287"/>
      <c r="M541" s="290">
        <v>1726.0</v>
      </c>
      <c r="N541" s="351"/>
      <c r="O541" s="15"/>
      <c r="P541" s="15"/>
      <c r="Q541" s="16"/>
      <c r="R541" s="355" t="s">
        <v>281</v>
      </c>
      <c r="S541" s="279"/>
      <c r="T541" s="279"/>
      <c r="U541" s="279"/>
      <c r="V541" s="279"/>
      <c r="W541" s="279"/>
      <c r="X541" s="279"/>
      <c r="Y541" s="279"/>
      <c r="Z541" s="279"/>
      <c r="AA541" s="279"/>
      <c r="AB541" s="279"/>
      <c r="AC541" s="279"/>
      <c r="AD541" s="279"/>
      <c r="AE541" s="279"/>
      <c r="AF541" s="279"/>
      <c r="AG541" s="279"/>
      <c r="AH541" s="279"/>
      <c r="AI541" s="279"/>
      <c r="AJ541" s="279"/>
      <c r="AK541" s="279"/>
      <c r="AL541" s="279"/>
      <c r="AM541" s="279"/>
      <c r="AN541" s="279"/>
      <c r="AO541" s="279"/>
      <c r="AP541" s="279"/>
      <c r="AQ541" s="279"/>
      <c r="AR541" s="279"/>
      <c r="AS541" s="279"/>
      <c r="AT541" s="279"/>
      <c r="AU541" s="279"/>
      <c r="AV541" s="279"/>
      <c r="AW541" s="279"/>
      <c r="AX541" s="279"/>
      <c r="AY541" s="279"/>
      <c r="AZ541" s="279"/>
      <c r="BA541" s="279"/>
      <c r="BB541" s="279"/>
      <c r="BC541" s="279"/>
      <c r="BD541" s="279"/>
      <c r="BE541" s="279"/>
      <c r="BF541" s="279"/>
      <c r="BG541" s="279"/>
      <c r="BH541" s="279"/>
      <c r="BI541" s="279"/>
      <c r="BJ541" s="279"/>
      <c r="BK541" s="279"/>
      <c r="BL541" s="279"/>
      <c r="BM541" s="279"/>
      <c r="BN541" s="279"/>
      <c r="BO541" s="279"/>
      <c r="BP541" s="279"/>
      <c r="BQ541" s="279"/>
    </row>
    <row r="542" ht="12.75" customHeight="1">
      <c r="A542" s="269"/>
      <c r="B542" s="285" t="s">
        <v>707</v>
      </c>
      <c r="C542" s="286"/>
      <c r="D542" s="286"/>
      <c r="E542" s="286"/>
      <c r="F542" s="286"/>
      <c r="G542" s="286"/>
      <c r="H542" s="286"/>
      <c r="I542" s="286"/>
      <c r="J542" s="286"/>
      <c r="K542" s="286"/>
      <c r="L542" s="287"/>
      <c r="M542" s="290">
        <v>1591.0</v>
      </c>
      <c r="N542" s="351"/>
      <c r="O542" s="15"/>
      <c r="P542" s="15"/>
      <c r="Q542" s="16"/>
      <c r="R542" s="355" t="s">
        <v>312</v>
      </c>
      <c r="S542" s="279"/>
      <c r="T542" s="279"/>
      <c r="U542" s="279"/>
      <c r="V542" s="279"/>
      <c r="W542" s="279"/>
      <c r="X542" s="279"/>
      <c r="Y542" s="279"/>
      <c r="Z542" s="279"/>
      <c r="AA542" s="279"/>
      <c r="AB542" s="279"/>
      <c r="AC542" s="279"/>
      <c r="AD542" s="279"/>
      <c r="AE542" s="279"/>
      <c r="AF542" s="279"/>
      <c r="AG542" s="279"/>
      <c r="AH542" s="279"/>
      <c r="AI542" s="279"/>
      <c r="AJ542" s="279"/>
      <c r="AK542" s="279"/>
      <c r="AL542" s="279"/>
      <c r="AM542" s="279"/>
      <c r="AN542" s="279"/>
      <c r="AO542" s="279"/>
      <c r="AP542" s="279"/>
      <c r="AQ542" s="279"/>
      <c r="AR542" s="279"/>
      <c r="AS542" s="279"/>
      <c r="AT542" s="279"/>
      <c r="AU542" s="279"/>
      <c r="AV542" s="279"/>
      <c r="AW542" s="279"/>
      <c r="AX542" s="279"/>
      <c r="AY542" s="279"/>
      <c r="AZ542" s="279"/>
      <c r="BA542" s="279"/>
      <c r="BB542" s="279"/>
      <c r="BC542" s="279"/>
      <c r="BD542" s="279"/>
      <c r="BE542" s="279"/>
      <c r="BF542" s="279"/>
      <c r="BG542" s="279"/>
      <c r="BH542" s="279"/>
      <c r="BI542" s="279"/>
      <c r="BJ542" s="279"/>
      <c r="BK542" s="279"/>
      <c r="BL542" s="279"/>
      <c r="BM542" s="279"/>
      <c r="BN542" s="279"/>
      <c r="BO542" s="279"/>
      <c r="BP542" s="279"/>
      <c r="BQ542" s="279"/>
    </row>
    <row r="543" ht="12.75" customHeight="1">
      <c r="A543" s="269"/>
      <c r="B543" s="285" t="s">
        <v>801</v>
      </c>
      <c r="C543" s="286"/>
      <c r="D543" s="286"/>
      <c r="E543" s="286"/>
      <c r="F543" s="286"/>
      <c r="G543" s="286"/>
      <c r="H543" s="286"/>
      <c r="I543" s="286"/>
      <c r="J543" s="286"/>
      <c r="K543" s="286"/>
      <c r="L543" s="287"/>
      <c r="M543" s="290">
        <v>1479.0</v>
      </c>
      <c r="N543" s="351">
        <f>-'CPT 2023'!D40</f>
        <v>82586515</v>
      </c>
      <c r="O543" s="15"/>
      <c r="P543" s="15"/>
      <c r="Q543" s="16"/>
      <c r="R543" s="355" t="s">
        <v>312</v>
      </c>
      <c r="S543" s="279"/>
      <c r="T543" s="279"/>
      <c r="U543" s="279"/>
      <c r="V543" s="279"/>
      <c r="W543" s="279"/>
      <c r="X543" s="279"/>
      <c r="Y543" s="279"/>
      <c r="Z543" s="279"/>
      <c r="AA543" s="279"/>
      <c r="AB543" s="279"/>
      <c r="AC543" s="279"/>
      <c r="AD543" s="279"/>
      <c r="AE543" s="279"/>
      <c r="AF543" s="279"/>
      <c r="AG543" s="279"/>
      <c r="AH543" s="279"/>
      <c r="AI543" s="279"/>
      <c r="AJ543" s="279"/>
      <c r="AK543" s="279"/>
      <c r="AL543" s="279"/>
      <c r="AM543" s="279"/>
      <c r="AN543" s="279"/>
      <c r="AO543" s="279"/>
      <c r="AP543" s="279"/>
      <c r="AQ543" s="279"/>
      <c r="AR543" s="279"/>
      <c r="AS543" s="279"/>
      <c r="AT543" s="279"/>
      <c r="AU543" s="279"/>
      <c r="AV543" s="279"/>
      <c r="AW543" s="279"/>
      <c r="AX543" s="279"/>
      <c r="AY543" s="279"/>
      <c r="AZ543" s="279"/>
      <c r="BA543" s="279"/>
      <c r="BB543" s="279"/>
      <c r="BC543" s="279"/>
      <c r="BD543" s="279"/>
      <c r="BE543" s="279"/>
      <c r="BF543" s="279"/>
      <c r="BG543" s="279"/>
      <c r="BH543" s="279"/>
      <c r="BI543" s="279"/>
      <c r="BJ543" s="279"/>
      <c r="BK543" s="279"/>
      <c r="BL543" s="279"/>
      <c r="BM543" s="279"/>
      <c r="BN543" s="279"/>
      <c r="BO543" s="279"/>
      <c r="BP543" s="279"/>
      <c r="BQ543" s="279"/>
    </row>
    <row r="544" ht="12.75" customHeight="1">
      <c r="A544" s="269"/>
      <c r="B544" s="285" t="s">
        <v>802</v>
      </c>
      <c r="C544" s="286"/>
      <c r="D544" s="286"/>
      <c r="E544" s="286"/>
      <c r="F544" s="286"/>
      <c r="G544" s="286"/>
      <c r="H544" s="286"/>
      <c r="I544" s="286"/>
      <c r="J544" s="286"/>
      <c r="K544" s="286"/>
      <c r="L544" s="287"/>
      <c r="M544" s="290">
        <v>1708.0</v>
      </c>
      <c r="N544" s="351">
        <f>-'CPT 2023'!D34-'CPT 2023'!D35-'CPT 2023'!D36</f>
        <v>14462338</v>
      </c>
      <c r="O544" s="15"/>
      <c r="P544" s="15"/>
      <c r="Q544" s="16"/>
      <c r="R544" s="355" t="s">
        <v>312</v>
      </c>
      <c r="S544" s="279"/>
      <c r="T544" s="279"/>
      <c r="U544" s="279"/>
      <c r="V544" s="279"/>
      <c r="W544" s="279"/>
      <c r="X544" s="279"/>
      <c r="Y544" s="279"/>
      <c r="Z544" s="279"/>
      <c r="AA544" s="279"/>
      <c r="AB544" s="279"/>
      <c r="AC544" s="279"/>
      <c r="AD544" s="279"/>
      <c r="AE544" s="279"/>
      <c r="AF544" s="279"/>
      <c r="AG544" s="279"/>
      <c r="AH544" s="279"/>
      <c r="AI544" s="279"/>
      <c r="AJ544" s="279"/>
      <c r="AK544" s="279"/>
      <c r="AL544" s="279"/>
      <c r="AM544" s="279"/>
      <c r="AN544" s="279"/>
      <c r="AO544" s="279"/>
      <c r="AP544" s="279"/>
      <c r="AQ544" s="279"/>
      <c r="AR544" s="279"/>
      <c r="AS544" s="279"/>
      <c r="AT544" s="279"/>
      <c r="AU544" s="279"/>
      <c r="AV544" s="279"/>
      <c r="AW544" s="279"/>
      <c r="AX544" s="279"/>
      <c r="AY544" s="279"/>
      <c r="AZ544" s="279"/>
      <c r="BA544" s="279"/>
      <c r="BB544" s="279"/>
      <c r="BC544" s="279"/>
      <c r="BD544" s="279"/>
      <c r="BE544" s="279"/>
      <c r="BF544" s="279"/>
      <c r="BG544" s="279"/>
      <c r="BH544" s="279"/>
      <c r="BI544" s="279"/>
      <c r="BJ544" s="279"/>
      <c r="BK544" s="279"/>
      <c r="BL544" s="279"/>
      <c r="BM544" s="279"/>
      <c r="BN544" s="279"/>
      <c r="BO544" s="279"/>
      <c r="BP544" s="279"/>
      <c r="BQ544" s="279"/>
    </row>
    <row r="545" ht="12.75" customHeight="1">
      <c r="A545" s="269"/>
      <c r="B545" s="285" t="s">
        <v>759</v>
      </c>
      <c r="C545" s="286"/>
      <c r="D545" s="286"/>
      <c r="E545" s="286"/>
      <c r="F545" s="286"/>
      <c r="G545" s="286"/>
      <c r="H545" s="286"/>
      <c r="I545" s="286"/>
      <c r="J545" s="286"/>
      <c r="K545" s="286"/>
      <c r="L545" s="287"/>
      <c r="M545" s="290">
        <v>1709.0</v>
      </c>
      <c r="N545" s="351"/>
      <c r="O545" s="15"/>
      <c r="P545" s="15"/>
      <c r="Q545" s="16"/>
      <c r="R545" s="355" t="s">
        <v>312</v>
      </c>
      <c r="S545" s="279"/>
      <c r="T545" s="279"/>
      <c r="U545" s="279"/>
      <c r="V545" s="279"/>
      <c r="W545" s="279"/>
      <c r="X545" s="279"/>
      <c r="Y545" s="279"/>
      <c r="Z545" s="279"/>
      <c r="AA545" s="279"/>
      <c r="AB545" s="279"/>
      <c r="AC545" s="279"/>
      <c r="AD545" s="279"/>
      <c r="AE545" s="279"/>
      <c r="AF545" s="279"/>
      <c r="AG545" s="279"/>
      <c r="AH545" s="279"/>
      <c r="AI545" s="279"/>
      <c r="AJ545" s="279"/>
      <c r="AK545" s="279"/>
      <c r="AL545" s="279"/>
      <c r="AM545" s="279"/>
      <c r="AN545" s="279"/>
      <c r="AO545" s="279"/>
      <c r="AP545" s="279"/>
      <c r="AQ545" s="279"/>
      <c r="AR545" s="279"/>
      <c r="AS545" s="279"/>
      <c r="AT545" s="279"/>
      <c r="AU545" s="279"/>
      <c r="AV545" s="279"/>
      <c r="AW545" s="279"/>
      <c r="AX545" s="279"/>
      <c r="AY545" s="279"/>
      <c r="AZ545" s="279"/>
      <c r="BA545" s="279"/>
      <c r="BB545" s="279"/>
      <c r="BC545" s="279"/>
      <c r="BD545" s="279"/>
      <c r="BE545" s="279"/>
      <c r="BF545" s="279"/>
      <c r="BG545" s="279"/>
      <c r="BH545" s="279"/>
      <c r="BI545" s="279"/>
      <c r="BJ545" s="279"/>
      <c r="BK545" s="279"/>
      <c r="BL545" s="279"/>
      <c r="BM545" s="279"/>
      <c r="BN545" s="279"/>
      <c r="BO545" s="279"/>
      <c r="BP545" s="279"/>
      <c r="BQ545" s="279"/>
    </row>
    <row r="546" ht="12.75" customHeight="1">
      <c r="A546" s="269"/>
      <c r="B546" s="285" t="s">
        <v>710</v>
      </c>
      <c r="C546" s="286"/>
      <c r="D546" s="286"/>
      <c r="E546" s="286"/>
      <c r="F546" s="286"/>
      <c r="G546" s="286"/>
      <c r="H546" s="286"/>
      <c r="I546" s="286"/>
      <c r="J546" s="286"/>
      <c r="K546" s="286"/>
      <c r="L546" s="287"/>
      <c r="M546" s="290">
        <v>1379.0</v>
      </c>
      <c r="N546" s="351"/>
      <c r="O546" s="15"/>
      <c r="P546" s="15"/>
      <c r="Q546" s="16"/>
      <c r="R546" s="355" t="s">
        <v>312</v>
      </c>
      <c r="S546" s="279"/>
      <c r="T546" s="279"/>
      <c r="U546" s="279"/>
      <c r="V546" s="279"/>
      <c r="W546" s="279"/>
      <c r="X546" s="279"/>
      <c r="Y546" s="279"/>
      <c r="Z546" s="279"/>
      <c r="AA546" s="279"/>
      <c r="AB546" s="279"/>
      <c r="AC546" s="279"/>
      <c r="AD546" s="279"/>
      <c r="AE546" s="279"/>
      <c r="AF546" s="279"/>
      <c r="AG546" s="279"/>
      <c r="AH546" s="279"/>
      <c r="AI546" s="279"/>
      <c r="AJ546" s="279"/>
      <c r="AK546" s="279"/>
      <c r="AL546" s="279"/>
      <c r="AM546" s="279"/>
      <c r="AN546" s="279"/>
      <c r="AO546" s="279"/>
      <c r="AP546" s="279"/>
      <c r="AQ546" s="279"/>
      <c r="AR546" s="279"/>
      <c r="AS546" s="279"/>
      <c r="AT546" s="279"/>
      <c r="AU546" s="279"/>
      <c r="AV546" s="279"/>
      <c r="AW546" s="279"/>
      <c r="AX546" s="279"/>
      <c r="AY546" s="279"/>
      <c r="AZ546" s="279"/>
      <c r="BA546" s="279"/>
      <c r="BB546" s="279"/>
      <c r="BC546" s="279"/>
      <c r="BD546" s="279"/>
      <c r="BE546" s="279"/>
      <c r="BF546" s="279"/>
      <c r="BG546" s="279"/>
      <c r="BH546" s="279"/>
      <c r="BI546" s="279"/>
      <c r="BJ546" s="279"/>
      <c r="BK546" s="279"/>
      <c r="BL546" s="279"/>
      <c r="BM546" s="279"/>
      <c r="BN546" s="279"/>
      <c r="BO546" s="279"/>
      <c r="BP546" s="279"/>
      <c r="BQ546" s="279"/>
    </row>
    <row r="547" ht="12.75" customHeight="1">
      <c r="A547" s="269"/>
      <c r="B547" s="285" t="s">
        <v>679</v>
      </c>
      <c r="C547" s="286"/>
      <c r="D547" s="286"/>
      <c r="E547" s="286"/>
      <c r="F547" s="286"/>
      <c r="G547" s="286"/>
      <c r="H547" s="286"/>
      <c r="I547" s="286"/>
      <c r="J547" s="286"/>
      <c r="K547" s="286"/>
      <c r="L547" s="287"/>
      <c r="M547" s="290">
        <v>1710.0</v>
      </c>
      <c r="N547" s="351"/>
      <c r="O547" s="15"/>
      <c r="P547" s="15"/>
      <c r="Q547" s="16"/>
      <c r="R547" s="355" t="s">
        <v>281</v>
      </c>
      <c r="S547" s="279"/>
      <c r="T547" s="279"/>
      <c r="U547" s="279"/>
      <c r="V547" s="279"/>
      <c r="W547" s="279"/>
      <c r="X547" s="279"/>
      <c r="Y547" s="279"/>
      <c r="Z547" s="279"/>
      <c r="AA547" s="279"/>
      <c r="AB547" s="279"/>
      <c r="AC547" s="279"/>
      <c r="AD547" s="279"/>
      <c r="AE547" s="279"/>
      <c r="AF547" s="279"/>
      <c r="AG547" s="279"/>
      <c r="AH547" s="279"/>
      <c r="AI547" s="279"/>
      <c r="AJ547" s="279"/>
      <c r="AK547" s="279"/>
      <c r="AL547" s="279"/>
      <c r="AM547" s="279"/>
      <c r="AN547" s="279"/>
      <c r="AO547" s="279"/>
      <c r="AP547" s="279"/>
      <c r="AQ547" s="279"/>
      <c r="AR547" s="279"/>
      <c r="AS547" s="279"/>
      <c r="AT547" s="279"/>
      <c r="AU547" s="279"/>
      <c r="AV547" s="279"/>
      <c r="AW547" s="279"/>
      <c r="AX547" s="279"/>
      <c r="AY547" s="279"/>
      <c r="AZ547" s="279"/>
      <c r="BA547" s="279"/>
      <c r="BB547" s="279"/>
      <c r="BC547" s="279"/>
      <c r="BD547" s="279"/>
      <c r="BE547" s="279"/>
      <c r="BF547" s="279"/>
      <c r="BG547" s="279"/>
      <c r="BH547" s="279"/>
      <c r="BI547" s="279"/>
      <c r="BJ547" s="279"/>
      <c r="BK547" s="279"/>
      <c r="BL547" s="279"/>
      <c r="BM547" s="279"/>
      <c r="BN547" s="279"/>
      <c r="BO547" s="279"/>
      <c r="BP547" s="279"/>
      <c r="BQ547" s="279"/>
    </row>
    <row r="548" ht="12.75" customHeight="1">
      <c r="A548" s="269"/>
      <c r="B548" s="285" t="s">
        <v>803</v>
      </c>
      <c r="C548" s="286"/>
      <c r="D548" s="286"/>
      <c r="E548" s="286"/>
      <c r="F548" s="286"/>
      <c r="G548" s="286"/>
      <c r="H548" s="286"/>
      <c r="I548" s="286"/>
      <c r="J548" s="286"/>
      <c r="K548" s="286"/>
      <c r="L548" s="287"/>
      <c r="M548" s="290">
        <v>1711.0</v>
      </c>
      <c r="N548" s="351"/>
      <c r="O548" s="15"/>
      <c r="P548" s="15"/>
      <c r="Q548" s="16"/>
      <c r="R548" s="355" t="s">
        <v>281</v>
      </c>
      <c r="S548" s="279"/>
      <c r="T548" s="279"/>
      <c r="U548" s="279"/>
      <c r="V548" s="279"/>
      <c r="W548" s="279"/>
      <c r="X548" s="279"/>
      <c r="Y548" s="279"/>
      <c r="Z548" s="279"/>
      <c r="AA548" s="279"/>
      <c r="AB548" s="279"/>
      <c r="AC548" s="279"/>
      <c r="AD548" s="279"/>
      <c r="AE548" s="279"/>
      <c r="AF548" s="279"/>
      <c r="AG548" s="279"/>
      <c r="AH548" s="279"/>
      <c r="AI548" s="279"/>
      <c r="AJ548" s="279"/>
      <c r="AK548" s="279"/>
      <c r="AL548" s="279"/>
      <c r="AM548" s="279"/>
      <c r="AN548" s="279"/>
      <c r="AO548" s="279"/>
      <c r="AP548" s="279"/>
      <c r="AQ548" s="279"/>
      <c r="AR548" s="279"/>
      <c r="AS548" s="279"/>
      <c r="AT548" s="279"/>
      <c r="AU548" s="279"/>
      <c r="AV548" s="279"/>
      <c r="AW548" s="279"/>
      <c r="AX548" s="279"/>
      <c r="AY548" s="279"/>
      <c r="AZ548" s="279"/>
      <c r="BA548" s="279"/>
      <c r="BB548" s="279"/>
      <c r="BC548" s="279"/>
      <c r="BD548" s="279"/>
      <c r="BE548" s="279"/>
      <c r="BF548" s="279"/>
      <c r="BG548" s="279"/>
      <c r="BH548" s="279"/>
      <c r="BI548" s="279"/>
      <c r="BJ548" s="279"/>
      <c r="BK548" s="279"/>
      <c r="BL548" s="279"/>
      <c r="BM548" s="279"/>
      <c r="BN548" s="279"/>
      <c r="BO548" s="279"/>
      <c r="BP548" s="279"/>
      <c r="BQ548" s="279"/>
    </row>
    <row r="549" ht="12.75" customHeight="1">
      <c r="A549" s="269"/>
      <c r="B549" s="285" t="s">
        <v>712</v>
      </c>
      <c r="C549" s="286"/>
      <c r="D549" s="286"/>
      <c r="E549" s="286"/>
      <c r="F549" s="286"/>
      <c r="G549" s="286"/>
      <c r="H549" s="286"/>
      <c r="I549" s="286"/>
      <c r="J549" s="286"/>
      <c r="K549" s="286"/>
      <c r="L549" s="287"/>
      <c r="M549" s="290">
        <v>1380.0</v>
      </c>
      <c r="N549" s="351"/>
      <c r="O549" s="15"/>
      <c r="P549" s="15"/>
      <c r="Q549" s="16"/>
      <c r="R549" s="355" t="s">
        <v>281</v>
      </c>
      <c r="S549" s="279"/>
      <c r="T549" s="279"/>
      <c r="U549" s="279"/>
      <c r="V549" s="279"/>
      <c r="W549" s="279"/>
      <c r="X549" s="279"/>
      <c r="Y549" s="279"/>
      <c r="Z549" s="279"/>
      <c r="AA549" s="279"/>
      <c r="AB549" s="279"/>
      <c r="AC549" s="279"/>
      <c r="AD549" s="279"/>
      <c r="AE549" s="279"/>
      <c r="AF549" s="279"/>
      <c r="AG549" s="279"/>
      <c r="AH549" s="279"/>
      <c r="AI549" s="279"/>
      <c r="AJ549" s="279"/>
      <c r="AK549" s="279"/>
      <c r="AL549" s="279"/>
      <c r="AM549" s="279"/>
      <c r="AN549" s="279"/>
      <c r="AO549" s="279"/>
      <c r="AP549" s="279"/>
      <c r="AQ549" s="279"/>
      <c r="AR549" s="279"/>
      <c r="AS549" s="279"/>
      <c r="AT549" s="279"/>
      <c r="AU549" s="279"/>
      <c r="AV549" s="279"/>
      <c r="AW549" s="279"/>
      <c r="AX549" s="279"/>
      <c r="AY549" s="279"/>
      <c r="AZ549" s="279"/>
      <c r="BA549" s="279"/>
      <c r="BB549" s="279"/>
      <c r="BC549" s="279"/>
      <c r="BD549" s="279"/>
      <c r="BE549" s="279"/>
      <c r="BF549" s="279"/>
      <c r="BG549" s="279"/>
      <c r="BH549" s="279"/>
      <c r="BI549" s="279"/>
      <c r="BJ549" s="279"/>
      <c r="BK549" s="279"/>
      <c r="BL549" s="279"/>
      <c r="BM549" s="279"/>
      <c r="BN549" s="279"/>
      <c r="BO549" s="279"/>
      <c r="BP549" s="279"/>
      <c r="BQ549" s="279"/>
    </row>
    <row r="550" ht="12.75" customHeight="1">
      <c r="A550" s="269"/>
      <c r="B550" s="285" t="s">
        <v>713</v>
      </c>
      <c r="C550" s="286"/>
      <c r="D550" s="286"/>
      <c r="E550" s="286"/>
      <c r="F550" s="286"/>
      <c r="G550" s="286"/>
      <c r="H550" s="286"/>
      <c r="I550" s="286"/>
      <c r="J550" s="286"/>
      <c r="K550" s="286"/>
      <c r="L550" s="287"/>
      <c r="M550" s="290">
        <v>1381.0</v>
      </c>
      <c r="N550" s="351">
        <f>-'CPT 2023'!D41</f>
        <v>232042623</v>
      </c>
      <c r="O550" s="15"/>
      <c r="P550" s="15"/>
      <c r="Q550" s="16"/>
      <c r="R550" s="355" t="s">
        <v>312</v>
      </c>
      <c r="S550" s="279"/>
      <c r="T550" s="279"/>
      <c r="U550" s="279"/>
      <c r="V550" s="279"/>
      <c r="W550" s="279"/>
      <c r="X550" s="279"/>
      <c r="Y550" s="279"/>
      <c r="Z550" s="279"/>
      <c r="AA550" s="279"/>
      <c r="AB550" s="279"/>
      <c r="AC550" s="279"/>
      <c r="AD550" s="279"/>
      <c r="AE550" s="279"/>
      <c r="AF550" s="279"/>
      <c r="AG550" s="279"/>
      <c r="AH550" s="279"/>
      <c r="AI550" s="279"/>
      <c r="AJ550" s="279"/>
      <c r="AK550" s="279"/>
      <c r="AL550" s="279"/>
      <c r="AM550" s="279"/>
      <c r="AN550" s="279"/>
      <c r="AO550" s="279"/>
      <c r="AP550" s="279"/>
      <c r="AQ550" s="279"/>
      <c r="AR550" s="279"/>
      <c r="AS550" s="279"/>
      <c r="AT550" s="279"/>
      <c r="AU550" s="279"/>
      <c r="AV550" s="279"/>
      <c r="AW550" s="279"/>
      <c r="AX550" s="279"/>
      <c r="AY550" s="279"/>
      <c r="AZ550" s="279"/>
      <c r="BA550" s="279"/>
      <c r="BB550" s="279"/>
      <c r="BC550" s="279"/>
      <c r="BD550" s="279"/>
      <c r="BE550" s="279"/>
      <c r="BF550" s="279"/>
      <c r="BG550" s="279"/>
      <c r="BH550" s="279"/>
      <c r="BI550" s="279"/>
      <c r="BJ550" s="279"/>
      <c r="BK550" s="279"/>
      <c r="BL550" s="279"/>
      <c r="BM550" s="279"/>
      <c r="BN550" s="279"/>
      <c r="BO550" s="279"/>
      <c r="BP550" s="279"/>
      <c r="BQ550" s="279"/>
    </row>
    <row r="551" ht="12.75" customHeight="1">
      <c r="A551" s="269"/>
      <c r="B551" s="285" t="s">
        <v>804</v>
      </c>
      <c r="C551" s="286"/>
      <c r="D551" s="286"/>
      <c r="E551" s="286"/>
      <c r="F551" s="286"/>
      <c r="G551" s="286"/>
      <c r="H551" s="286"/>
      <c r="I551" s="286"/>
      <c r="J551" s="286"/>
      <c r="K551" s="286"/>
      <c r="L551" s="287"/>
      <c r="M551" s="290">
        <v>1545.0</v>
      </c>
      <c r="N551" s="351">
        <f>+IF((N531+N533+N534+N536+N538+N539+N541+N547+N548+N549-N532-N535-N537-N540-N542-N543-N544-N545-N546-N550)&gt;0,(N531+N533+N534+N536+N538+N539+N541+N547+N548+N549-N532-N535-N537-N540-N542-N543-N544-N545-N546-N550),0)</f>
        <v>204341533</v>
      </c>
      <c r="O551" s="15"/>
      <c r="P551" s="15"/>
      <c r="Q551" s="16"/>
      <c r="R551" s="355" t="s">
        <v>317</v>
      </c>
      <c r="S551" s="279"/>
      <c r="T551" s="279"/>
      <c r="U551" s="279"/>
      <c r="V551" s="279"/>
      <c r="W551" s="279"/>
      <c r="X551" s="279"/>
      <c r="Y551" s="279"/>
      <c r="Z551" s="279"/>
      <c r="AA551" s="279"/>
      <c r="AB551" s="279"/>
      <c r="AC551" s="279"/>
      <c r="AD551" s="279"/>
      <c r="AE551" s="279"/>
      <c r="AF551" s="279"/>
      <c r="AG551" s="279"/>
      <c r="AH551" s="279"/>
      <c r="AI551" s="279"/>
      <c r="AJ551" s="279"/>
      <c r="AK551" s="279"/>
      <c r="AL551" s="279"/>
      <c r="AM551" s="279"/>
      <c r="AN551" s="279"/>
      <c r="AO551" s="279"/>
      <c r="AP551" s="279"/>
      <c r="AQ551" s="279"/>
      <c r="AR551" s="279"/>
      <c r="AS551" s="279"/>
      <c r="AT551" s="279"/>
      <c r="AU551" s="279"/>
      <c r="AV551" s="279"/>
      <c r="AW551" s="279"/>
      <c r="AX551" s="279"/>
      <c r="AY551" s="279"/>
      <c r="AZ551" s="279"/>
      <c r="BA551" s="279"/>
      <c r="BB551" s="279"/>
      <c r="BC551" s="279"/>
      <c r="BD551" s="279"/>
      <c r="BE551" s="279"/>
      <c r="BF551" s="279"/>
      <c r="BG551" s="279"/>
      <c r="BH551" s="279"/>
      <c r="BI551" s="279"/>
      <c r="BJ551" s="279"/>
      <c r="BK551" s="279"/>
      <c r="BL551" s="279"/>
      <c r="BM551" s="279"/>
      <c r="BN551" s="279"/>
      <c r="BO551" s="279"/>
      <c r="BP551" s="279"/>
      <c r="BQ551" s="279"/>
    </row>
    <row r="552" ht="12.75" customHeight="1">
      <c r="A552" s="269"/>
      <c r="B552" s="285" t="s">
        <v>805</v>
      </c>
      <c r="C552" s="286"/>
      <c r="D552" s="286"/>
      <c r="E552" s="286"/>
      <c r="F552" s="286"/>
      <c r="G552" s="286"/>
      <c r="H552" s="286"/>
      <c r="I552" s="286"/>
      <c r="J552" s="286"/>
      <c r="K552" s="286"/>
      <c r="L552" s="287"/>
      <c r="M552" s="290">
        <v>1546.0</v>
      </c>
      <c r="N552" s="351">
        <f>-IF((N531+N533+N534+N536+N538+N539+N541+N547+N548+N549-N532-N535-N537-N540-N542-N543-N544-N545-N546-N550)&lt;0,(N531+N533+N534+N536+N538+N539+N541+N547+N548+N549-N532-N535-N537-N540-N542-N543-N544-N545-N546-N550),0)</f>
        <v>0</v>
      </c>
      <c r="O552" s="15"/>
      <c r="P552" s="15"/>
      <c r="Q552" s="16"/>
      <c r="R552" s="430" t="s">
        <v>317</v>
      </c>
      <c r="S552" s="279"/>
      <c r="T552" s="279"/>
      <c r="U552" s="279"/>
      <c r="V552" s="279"/>
      <c r="W552" s="279"/>
      <c r="X552" s="279"/>
      <c r="Y552" s="279"/>
      <c r="Z552" s="279"/>
      <c r="AA552" s="279"/>
      <c r="AB552" s="279"/>
      <c r="AC552" s="279"/>
      <c r="AD552" s="279"/>
      <c r="AE552" s="279"/>
      <c r="AF552" s="279"/>
      <c r="AG552" s="279"/>
      <c r="AH552" s="279"/>
      <c r="AI552" s="279"/>
      <c r="AJ552" s="279"/>
      <c r="AK552" s="279"/>
      <c r="AL552" s="279"/>
      <c r="AM552" s="279"/>
      <c r="AN552" s="279"/>
      <c r="AO552" s="279"/>
      <c r="AP552" s="279"/>
      <c r="AQ552" s="279"/>
      <c r="AR552" s="279"/>
      <c r="AS552" s="279"/>
      <c r="AT552" s="279"/>
      <c r="AU552" s="279"/>
      <c r="AV552" s="279"/>
      <c r="AW552" s="279"/>
      <c r="AX552" s="279"/>
      <c r="AY552" s="279"/>
      <c r="AZ552" s="279"/>
      <c r="BA552" s="279"/>
      <c r="BB552" s="279"/>
      <c r="BC552" s="279"/>
      <c r="BD552" s="279"/>
      <c r="BE552" s="279"/>
      <c r="BF552" s="279"/>
      <c r="BG552" s="279"/>
      <c r="BH552" s="279"/>
      <c r="BI552" s="279"/>
      <c r="BJ552" s="279"/>
      <c r="BK552" s="279"/>
      <c r="BL552" s="279"/>
      <c r="BM552" s="279"/>
      <c r="BN552" s="279"/>
      <c r="BO552" s="279"/>
      <c r="BP552" s="279"/>
      <c r="BQ552" s="279"/>
    </row>
    <row r="553" ht="12.75" customHeight="1">
      <c r="A553" s="275"/>
      <c r="B553" s="387"/>
      <c r="C553" s="387"/>
      <c r="D553" s="387"/>
      <c r="E553" s="387"/>
      <c r="F553" s="387"/>
      <c r="G553" s="387"/>
      <c r="H553" s="387"/>
      <c r="I553" s="387"/>
      <c r="J553" s="387"/>
      <c r="K553" s="387"/>
      <c r="L553" s="387"/>
      <c r="M553" s="387"/>
      <c r="N553" s="387"/>
      <c r="O553" s="387"/>
      <c r="P553" s="387"/>
      <c r="Q553" s="387"/>
      <c r="R553" s="387"/>
      <c r="S553" s="279"/>
      <c r="T553" s="279"/>
      <c r="U553" s="279"/>
      <c r="V553" s="279"/>
      <c r="W553" s="279"/>
      <c r="X553" s="279"/>
      <c r="Y553" s="279"/>
      <c r="Z553" s="279"/>
      <c r="AA553" s="279"/>
      <c r="AB553" s="279"/>
      <c r="AC553" s="279"/>
      <c r="AD553" s="279"/>
      <c r="AE553" s="279"/>
      <c r="AF553" s="279"/>
      <c r="AG553" s="279"/>
      <c r="AH553" s="279"/>
      <c r="AI553" s="279"/>
      <c r="AJ553" s="279"/>
      <c r="AK553" s="279"/>
      <c r="AL553" s="279"/>
      <c r="AM553" s="279"/>
      <c r="AN553" s="279"/>
      <c r="AO553" s="279"/>
      <c r="AP553" s="279"/>
      <c r="AQ553" s="279"/>
      <c r="AR553" s="279"/>
      <c r="AS553" s="279"/>
      <c r="AT553" s="279"/>
      <c r="AU553" s="279"/>
      <c r="AV553" s="279"/>
      <c r="AW553" s="279"/>
      <c r="AX553" s="279"/>
      <c r="AY553" s="279"/>
      <c r="AZ553" s="279"/>
      <c r="BA553" s="279"/>
      <c r="BB553" s="279"/>
      <c r="BC553" s="279"/>
      <c r="BD553" s="279"/>
      <c r="BE553" s="279"/>
      <c r="BF553" s="279"/>
      <c r="BG553" s="279"/>
      <c r="BH553" s="279"/>
      <c r="BI553" s="279"/>
      <c r="BJ553" s="279"/>
      <c r="BK553" s="279"/>
      <c r="BL553" s="279"/>
      <c r="BM553" s="279"/>
      <c r="BN553" s="279"/>
      <c r="BO553" s="279"/>
      <c r="BP553" s="279"/>
      <c r="BQ553" s="279"/>
    </row>
    <row r="554" ht="12.75" customHeight="1">
      <c r="A554" s="275"/>
      <c r="B554" s="281" t="s">
        <v>806</v>
      </c>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row>
    <row r="555" ht="12.75" customHeight="1">
      <c r="A555" s="275"/>
      <c r="B555" s="414"/>
      <c r="C555" s="415"/>
      <c r="D555" s="415"/>
      <c r="E555" s="415"/>
      <c r="F555" s="415"/>
      <c r="G555" s="415"/>
      <c r="H555" s="416"/>
      <c r="I555" s="370" t="s">
        <v>717</v>
      </c>
      <c r="J555" s="22"/>
      <c r="K555" s="22"/>
      <c r="L555" s="22"/>
      <c r="M555" s="23"/>
      <c r="N555" s="281" t="s">
        <v>167</v>
      </c>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6"/>
      <c r="AM555" s="388" t="s">
        <v>719</v>
      </c>
      <c r="AN555" s="22"/>
      <c r="AO555" s="22"/>
      <c r="AP555" s="22"/>
      <c r="AQ555" s="23"/>
      <c r="AR555" s="417"/>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row>
    <row r="556" ht="12.75" customHeight="1">
      <c r="A556" s="275"/>
      <c r="B556" s="418"/>
      <c r="C556" s="419"/>
      <c r="D556" s="419"/>
      <c r="E556" s="419"/>
      <c r="F556" s="419"/>
      <c r="G556" s="419"/>
      <c r="H556" s="420"/>
      <c r="I556" s="25"/>
      <c r="M556" s="26"/>
      <c r="N556" s="281" t="s">
        <v>720</v>
      </c>
      <c r="O556" s="15"/>
      <c r="P556" s="15"/>
      <c r="Q556" s="15"/>
      <c r="R556" s="15"/>
      <c r="S556" s="15"/>
      <c r="T556" s="15"/>
      <c r="U556" s="15"/>
      <c r="V556" s="15"/>
      <c r="W556" s="15"/>
      <c r="X556" s="15"/>
      <c r="Y556" s="15"/>
      <c r="Z556" s="15"/>
      <c r="AA556" s="15"/>
      <c r="AB556" s="16"/>
      <c r="AC556" s="388" t="s">
        <v>721</v>
      </c>
      <c r="AD556" s="22"/>
      <c r="AE556" s="22"/>
      <c r="AF556" s="22"/>
      <c r="AG556" s="23"/>
      <c r="AH556" s="388" t="s">
        <v>722</v>
      </c>
      <c r="AI556" s="22"/>
      <c r="AJ556" s="22"/>
      <c r="AK556" s="22"/>
      <c r="AL556" s="23"/>
      <c r="AM556" s="25"/>
      <c r="AQ556" s="26"/>
      <c r="AR556" s="421"/>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row>
    <row r="557" ht="12.75" customHeight="1">
      <c r="A557" s="275"/>
      <c r="B557" s="422"/>
      <c r="C557" s="423"/>
      <c r="D557" s="423"/>
      <c r="E557" s="423"/>
      <c r="F557" s="423"/>
      <c r="G557" s="423"/>
      <c r="H557" s="424"/>
      <c r="I557" s="28"/>
      <c r="J557" s="29"/>
      <c r="K557" s="29"/>
      <c r="L557" s="29"/>
      <c r="M557" s="30"/>
      <c r="N557" s="425" t="s">
        <v>723</v>
      </c>
      <c r="O557" s="15"/>
      <c r="P557" s="15"/>
      <c r="Q557" s="15"/>
      <c r="R557" s="16"/>
      <c r="S557" s="281" t="s">
        <v>724</v>
      </c>
      <c r="T557" s="15"/>
      <c r="U557" s="15"/>
      <c r="V557" s="15"/>
      <c r="W557" s="16"/>
      <c r="X557" s="281" t="s">
        <v>725</v>
      </c>
      <c r="Y557" s="15"/>
      <c r="Z557" s="15"/>
      <c r="AA557" s="15"/>
      <c r="AB557" s="16"/>
      <c r="AC557" s="28"/>
      <c r="AD557" s="29"/>
      <c r="AE557" s="29"/>
      <c r="AF557" s="29"/>
      <c r="AG557" s="30"/>
      <c r="AH557" s="28"/>
      <c r="AI557" s="29"/>
      <c r="AJ557" s="29"/>
      <c r="AK557" s="29"/>
      <c r="AL557" s="30"/>
      <c r="AM557" s="28"/>
      <c r="AN557" s="29"/>
      <c r="AO557" s="29"/>
      <c r="AP557" s="29"/>
      <c r="AQ557" s="30"/>
      <c r="AR557" s="42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row>
    <row r="558" ht="12.75" customHeight="1">
      <c r="A558" s="269"/>
      <c r="B558" s="325" t="s">
        <v>744</v>
      </c>
      <c r="C558" s="326"/>
      <c r="D558" s="326"/>
      <c r="E558" s="326"/>
      <c r="F558" s="326"/>
      <c r="G558" s="326"/>
      <c r="H558" s="327"/>
      <c r="I558" s="290">
        <v>1451.0</v>
      </c>
      <c r="J558" s="351">
        <f>+'RRE 2023'!E10</f>
        <v>533941272</v>
      </c>
      <c r="K558" s="15"/>
      <c r="L558" s="15"/>
      <c r="M558" s="16"/>
      <c r="N558" s="290">
        <v>1452.0</v>
      </c>
      <c r="O558" s="289"/>
      <c r="P558" s="15"/>
      <c r="Q558" s="15"/>
      <c r="R558" s="16"/>
      <c r="S558" s="290">
        <v>1752.0</v>
      </c>
      <c r="T558" s="289"/>
      <c r="U558" s="15"/>
      <c r="V558" s="15"/>
      <c r="W558" s="16"/>
      <c r="X558" s="290">
        <v>1753.0</v>
      </c>
      <c r="Y558" s="289"/>
      <c r="Z558" s="15"/>
      <c r="AA558" s="15"/>
      <c r="AB558" s="16"/>
      <c r="AC558" s="290">
        <v>1453.0</v>
      </c>
      <c r="AD558" s="289"/>
      <c r="AE558" s="15"/>
      <c r="AF558" s="15"/>
      <c r="AG558" s="16"/>
      <c r="AH558" s="290">
        <v>1454.0</v>
      </c>
      <c r="AI558" s="289"/>
      <c r="AJ558" s="15"/>
      <c r="AK558" s="15"/>
      <c r="AL558" s="16"/>
      <c r="AM558" s="290">
        <v>1382.0</v>
      </c>
      <c r="AN558" s="289"/>
      <c r="AO558" s="15"/>
      <c r="AP558" s="15"/>
      <c r="AQ558" s="16"/>
      <c r="AR558" s="338" t="s">
        <v>281</v>
      </c>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row>
    <row r="559" ht="12.75" customHeight="1">
      <c r="A559" s="269"/>
      <c r="B559" s="285" t="s">
        <v>745</v>
      </c>
      <c r="C559" s="286"/>
      <c r="D559" s="286"/>
      <c r="E559" s="286"/>
      <c r="F559" s="286"/>
      <c r="G559" s="286"/>
      <c r="H559" s="287"/>
      <c r="I559" s="332"/>
      <c r="J559" s="431"/>
      <c r="K559" s="431"/>
      <c r="L559" s="431"/>
      <c r="M559" s="432"/>
      <c r="N559" s="290">
        <v>1589.0</v>
      </c>
      <c r="O559" s="289"/>
      <c r="P559" s="15"/>
      <c r="Q559" s="15"/>
      <c r="R559" s="16"/>
      <c r="S559" s="332"/>
      <c r="T559" s="333"/>
      <c r="U559" s="333"/>
      <c r="V559" s="333"/>
      <c r="W559" s="335"/>
      <c r="X559" s="290">
        <v>1845.0</v>
      </c>
      <c r="Y559" s="289"/>
      <c r="Z559" s="15"/>
      <c r="AA559" s="15"/>
      <c r="AB559" s="16"/>
      <c r="AC559" s="290">
        <v>1455.0</v>
      </c>
      <c r="AD559" s="289"/>
      <c r="AE559" s="15"/>
      <c r="AF559" s="15"/>
      <c r="AG559" s="16"/>
      <c r="AH559" s="290">
        <v>1456.0</v>
      </c>
      <c r="AI559" s="289"/>
      <c r="AJ559" s="15"/>
      <c r="AK559" s="15"/>
      <c r="AL559" s="16"/>
      <c r="AM559" s="332"/>
      <c r="AN559" s="333"/>
      <c r="AO559" s="333"/>
      <c r="AP559" s="333"/>
      <c r="AQ559" s="335"/>
      <c r="AR559" s="338" t="s">
        <v>312</v>
      </c>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row>
    <row r="560" ht="12.75" customHeight="1">
      <c r="A560" s="269"/>
      <c r="B560" s="325" t="s">
        <v>708</v>
      </c>
      <c r="C560" s="326"/>
      <c r="D560" s="326"/>
      <c r="E560" s="326"/>
      <c r="F560" s="326"/>
      <c r="G560" s="326"/>
      <c r="H560" s="327"/>
      <c r="I560" s="290">
        <v>1392.0</v>
      </c>
      <c r="J560" s="351"/>
      <c r="K560" s="15"/>
      <c r="L560" s="15"/>
      <c r="M560" s="16"/>
      <c r="N560" s="290">
        <v>1393.0</v>
      </c>
      <c r="O560" s="289"/>
      <c r="P560" s="15"/>
      <c r="Q560" s="15"/>
      <c r="R560" s="16"/>
      <c r="S560" s="290">
        <v>1755.0</v>
      </c>
      <c r="T560" s="289"/>
      <c r="U560" s="15"/>
      <c r="V560" s="15"/>
      <c r="W560" s="16"/>
      <c r="X560" s="290">
        <v>1756.0</v>
      </c>
      <c r="Y560" s="289"/>
      <c r="Z560" s="15"/>
      <c r="AA560" s="15"/>
      <c r="AB560" s="16"/>
      <c r="AC560" s="290">
        <v>1394.0</v>
      </c>
      <c r="AD560" s="289"/>
      <c r="AE560" s="15"/>
      <c r="AF560" s="15"/>
      <c r="AG560" s="16"/>
      <c r="AH560" s="290">
        <v>1395.0</v>
      </c>
      <c r="AI560" s="289"/>
      <c r="AJ560" s="15"/>
      <c r="AK560" s="15"/>
      <c r="AL560" s="16"/>
      <c r="AM560" s="290">
        <v>1384.0</v>
      </c>
      <c r="AN560" s="289"/>
      <c r="AO560" s="15"/>
      <c r="AP560" s="15"/>
      <c r="AQ560" s="16"/>
      <c r="AR560" s="338" t="s">
        <v>281</v>
      </c>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row>
    <row r="561" ht="12.75" customHeight="1">
      <c r="A561" s="269"/>
      <c r="B561" s="325" t="s">
        <v>709</v>
      </c>
      <c r="C561" s="326"/>
      <c r="D561" s="326"/>
      <c r="E561" s="326"/>
      <c r="F561" s="326"/>
      <c r="G561" s="326"/>
      <c r="H561" s="327"/>
      <c r="I561" s="290">
        <v>1396.0</v>
      </c>
      <c r="J561" s="351"/>
      <c r="K561" s="15"/>
      <c r="L561" s="15"/>
      <c r="M561" s="16"/>
      <c r="N561" s="290">
        <v>1397.0</v>
      </c>
      <c r="O561" s="289"/>
      <c r="P561" s="15"/>
      <c r="Q561" s="15"/>
      <c r="R561" s="16"/>
      <c r="S561" s="290">
        <v>1757.0</v>
      </c>
      <c r="T561" s="289"/>
      <c r="U561" s="15"/>
      <c r="V561" s="15"/>
      <c r="W561" s="16"/>
      <c r="X561" s="290">
        <v>1758.0</v>
      </c>
      <c r="Y561" s="289"/>
      <c r="Z561" s="15"/>
      <c r="AA561" s="15"/>
      <c r="AB561" s="16"/>
      <c r="AC561" s="290">
        <v>1398.0</v>
      </c>
      <c r="AD561" s="289"/>
      <c r="AE561" s="15"/>
      <c r="AF561" s="15"/>
      <c r="AG561" s="16"/>
      <c r="AH561" s="290">
        <v>1399.0</v>
      </c>
      <c r="AI561" s="289"/>
      <c r="AJ561" s="15"/>
      <c r="AK561" s="15"/>
      <c r="AL561" s="16"/>
      <c r="AM561" s="290">
        <v>1385.0</v>
      </c>
      <c r="AN561" s="289"/>
      <c r="AO561" s="15"/>
      <c r="AP561" s="15"/>
      <c r="AQ561" s="16"/>
      <c r="AR561" s="338" t="s">
        <v>312</v>
      </c>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row>
    <row r="562" ht="12.75" customHeight="1">
      <c r="A562" s="269"/>
      <c r="B562" s="325" t="s">
        <v>728</v>
      </c>
      <c r="C562" s="326"/>
      <c r="D562" s="326"/>
      <c r="E562" s="326"/>
      <c r="F562" s="326"/>
      <c r="G562" s="326"/>
      <c r="H562" s="327"/>
      <c r="I562" s="290">
        <v>1459.0</v>
      </c>
      <c r="J562" s="351">
        <f>-'RRE 2023'!E12</f>
        <v>533941272</v>
      </c>
      <c r="K562" s="15"/>
      <c r="L562" s="15"/>
      <c r="M562" s="16"/>
      <c r="N562" s="290">
        <v>1460.0</v>
      </c>
      <c r="O562" s="289"/>
      <c r="P562" s="15"/>
      <c r="Q562" s="15"/>
      <c r="R562" s="16"/>
      <c r="S562" s="290">
        <v>1759.0</v>
      </c>
      <c r="T562" s="289"/>
      <c r="U562" s="15"/>
      <c r="V562" s="15"/>
      <c r="W562" s="16"/>
      <c r="X562" s="290">
        <v>1760.0</v>
      </c>
      <c r="Y562" s="289"/>
      <c r="Z562" s="15"/>
      <c r="AA562" s="15"/>
      <c r="AB562" s="16"/>
      <c r="AC562" s="290">
        <v>1461.0</v>
      </c>
      <c r="AD562" s="289"/>
      <c r="AE562" s="15"/>
      <c r="AF562" s="15"/>
      <c r="AG562" s="16"/>
      <c r="AH562" s="290">
        <v>1462.0</v>
      </c>
      <c r="AI562" s="289"/>
      <c r="AJ562" s="15"/>
      <c r="AK562" s="15"/>
      <c r="AL562" s="16"/>
      <c r="AM562" s="290">
        <v>1386.0</v>
      </c>
      <c r="AN562" s="289"/>
      <c r="AO562" s="15"/>
      <c r="AP562" s="15"/>
      <c r="AQ562" s="16"/>
      <c r="AR562" s="338" t="s">
        <v>312</v>
      </c>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row>
    <row r="563" ht="12.75" customHeight="1">
      <c r="A563" s="269"/>
      <c r="B563" s="325" t="s">
        <v>729</v>
      </c>
      <c r="C563" s="326"/>
      <c r="D563" s="326"/>
      <c r="E563" s="326"/>
      <c r="F563" s="326"/>
      <c r="G563" s="326"/>
      <c r="H563" s="327"/>
      <c r="I563" s="290">
        <v>1463.0</v>
      </c>
      <c r="J563" s="351">
        <f>+'RRE 2023'!E14</f>
        <v>286828048</v>
      </c>
      <c r="K563" s="15"/>
      <c r="L563" s="15"/>
      <c r="M563" s="16"/>
      <c r="N563" s="332"/>
      <c r="O563" s="333"/>
      <c r="P563" s="333"/>
      <c r="Q563" s="333"/>
      <c r="R563" s="335"/>
      <c r="S563" s="332"/>
      <c r="T563" s="333"/>
      <c r="U563" s="333"/>
      <c r="V563" s="333"/>
      <c r="W563" s="335"/>
      <c r="X563" s="290">
        <v>1762.0</v>
      </c>
      <c r="Y563" s="289"/>
      <c r="Z563" s="15"/>
      <c r="AA563" s="15"/>
      <c r="AB563" s="16"/>
      <c r="AC563" s="290">
        <v>1465.0</v>
      </c>
      <c r="AD563" s="289"/>
      <c r="AE563" s="15"/>
      <c r="AF563" s="15"/>
      <c r="AG563" s="16"/>
      <c r="AH563" s="290">
        <v>1466.0</v>
      </c>
      <c r="AI563" s="289"/>
      <c r="AJ563" s="15"/>
      <c r="AK563" s="15"/>
      <c r="AL563" s="16"/>
      <c r="AM563" s="332"/>
      <c r="AN563" s="333"/>
      <c r="AO563" s="333"/>
      <c r="AP563" s="333"/>
      <c r="AQ563" s="335"/>
      <c r="AR563" s="338" t="s">
        <v>281</v>
      </c>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row>
    <row r="564" ht="12.75" customHeight="1">
      <c r="A564" s="269"/>
      <c r="B564" s="325" t="s">
        <v>730</v>
      </c>
      <c r="C564" s="326"/>
      <c r="D564" s="326"/>
      <c r="E564" s="326"/>
      <c r="F564" s="326"/>
      <c r="G564" s="326"/>
      <c r="H564" s="327"/>
      <c r="I564" s="290">
        <v>1467.0</v>
      </c>
      <c r="J564" s="351"/>
      <c r="K564" s="15"/>
      <c r="L564" s="15"/>
      <c r="M564" s="16"/>
      <c r="N564" s="290">
        <v>1468.0</v>
      </c>
      <c r="O564" s="289"/>
      <c r="P564" s="15"/>
      <c r="Q564" s="15"/>
      <c r="R564" s="16"/>
      <c r="S564" s="290">
        <v>1763.0</v>
      </c>
      <c r="T564" s="289"/>
      <c r="U564" s="15"/>
      <c r="V564" s="15"/>
      <c r="W564" s="16"/>
      <c r="X564" s="290">
        <v>1764.0</v>
      </c>
      <c r="Y564" s="289"/>
      <c r="Z564" s="15"/>
      <c r="AA564" s="15"/>
      <c r="AB564" s="16"/>
      <c r="AC564" s="290">
        <v>1469.0</v>
      </c>
      <c r="AD564" s="289"/>
      <c r="AE564" s="15"/>
      <c r="AF564" s="15"/>
      <c r="AG564" s="16"/>
      <c r="AH564" s="290">
        <v>1470.0</v>
      </c>
      <c r="AI564" s="289"/>
      <c r="AJ564" s="15"/>
      <c r="AK564" s="15"/>
      <c r="AL564" s="16"/>
      <c r="AM564" s="290">
        <v>1387.0</v>
      </c>
      <c r="AN564" s="289"/>
      <c r="AO564" s="15"/>
      <c r="AP564" s="15"/>
      <c r="AQ564" s="16"/>
      <c r="AR564" s="338" t="s">
        <v>281</v>
      </c>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row>
    <row r="565" ht="12.75" customHeight="1">
      <c r="A565" s="269"/>
      <c r="B565" s="325" t="s">
        <v>731</v>
      </c>
      <c r="C565" s="326"/>
      <c r="D565" s="326"/>
      <c r="E565" s="326"/>
      <c r="F565" s="326"/>
      <c r="G565" s="326"/>
      <c r="H565" s="327"/>
      <c r="I565" s="290">
        <v>1471.0</v>
      </c>
      <c r="J565" s="351"/>
      <c r="K565" s="15"/>
      <c r="L565" s="15"/>
      <c r="M565" s="16"/>
      <c r="N565" s="290">
        <v>1472.0</v>
      </c>
      <c r="O565" s="289"/>
      <c r="P565" s="15"/>
      <c r="Q565" s="15"/>
      <c r="R565" s="16"/>
      <c r="S565" s="290">
        <v>1765.0</v>
      </c>
      <c r="T565" s="289"/>
      <c r="U565" s="15"/>
      <c r="V565" s="15"/>
      <c r="W565" s="16"/>
      <c r="X565" s="290">
        <v>1766.0</v>
      </c>
      <c r="Y565" s="289"/>
      <c r="Z565" s="15"/>
      <c r="AA565" s="15"/>
      <c r="AB565" s="16"/>
      <c r="AC565" s="290">
        <v>1473.0</v>
      </c>
      <c r="AD565" s="289"/>
      <c r="AE565" s="15"/>
      <c r="AF565" s="15"/>
      <c r="AG565" s="16"/>
      <c r="AH565" s="290">
        <v>1474.0</v>
      </c>
      <c r="AI565" s="289"/>
      <c r="AJ565" s="15"/>
      <c r="AK565" s="15"/>
      <c r="AL565" s="16"/>
      <c r="AM565" s="290">
        <v>1388.0</v>
      </c>
      <c r="AN565" s="289"/>
      <c r="AO565" s="15"/>
      <c r="AP565" s="15"/>
      <c r="AQ565" s="16"/>
      <c r="AR565" s="338" t="s">
        <v>312</v>
      </c>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row>
    <row r="566" ht="12.75" customHeight="1">
      <c r="A566" s="269"/>
      <c r="B566" s="325" t="s">
        <v>807</v>
      </c>
      <c r="C566" s="326"/>
      <c r="D566" s="326"/>
      <c r="E566" s="326"/>
      <c r="F566" s="326"/>
      <c r="G566" s="326"/>
      <c r="H566" s="327"/>
      <c r="I566" s="290">
        <v>1475.0</v>
      </c>
      <c r="J566" s="351">
        <f>-'RRE 2023'!E23</f>
        <v>82586515</v>
      </c>
      <c r="K566" s="15"/>
      <c r="L566" s="15"/>
      <c r="M566" s="16"/>
      <c r="N566" s="290">
        <v>1476.0</v>
      </c>
      <c r="O566" s="289"/>
      <c r="P566" s="15"/>
      <c r="Q566" s="15"/>
      <c r="R566" s="16"/>
      <c r="S566" s="290">
        <v>1767.0</v>
      </c>
      <c r="T566" s="289"/>
      <c r="U566" s="15"/>
      <c r="V566" s="15"/>
      <c r="W566" s="16"/>
      <c r="X566" s="290">
        <v>1768.0</v>
      </c>
      <c r="Y566" s="289"/>
      <c r="Z566" s="15"/>
      <c r="AA566" s="15"/>
      <c r="AB566" s="16"/>
      <c r="AC566" s="290">
        <v>1477.0</v>
      </c>
      <c r="AD566" s="289"/>
      <c r="AE566" s="15"/>
      <c r="AF566" s="15"/>
      <c r="AG566" s="16"/>
      <c r="AH566" s="290">
        <v>1478.0</v>
      </c>
      <c r="AI566" s="289"/>
      <c r="AJ566" s="15"/>
      <c r="AK566" s="15"/>
      <c r="AL566" s="16"/>
      <c r="AM566" s="290">
        <v>1389.0</v>
      </c>
      <c r="AN566" s="289"/>
      <c r="AO566" s="15"/>
      <c r="AP566" s="15"/>
      <c r="AQ566" s="16"/>
      <c r="AR566" s="338" t="s">
        <v>312</v>
      </c>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row>
    <row r="567" ht="12.75" customHeight="1">
      <c r="A567" s="269"/>
      <c r="B567" s="325" t="s">
        <v>808</v>
      </c>
      <c r="C567" s="326"/>
      <c r="D567" s="326"/>
      <c r="E567" s="326"/>
      <c r="F567" s="326"/>
      <c r="G567" s="326"/>
      <c r="H567" s="327"/>
      <c r="I567" s="290">
        <v>1480.0</v>
      </c>
      <c r="J567" s="351"/>
      <c r="K567" s="15"/>
      <c r="L567" s="15"/>
      <c r="M567" s="16"/>
      <c r="N567" s="290">
        <v>1481.0</v>
      </c>
      <c r="O567" s="289"/>
      <c r="P567" s="15"/>
      <c r="Q567" s="15"/>
      <c r="R567" s="16"/>
      <c r="S567" s="290">
        <v>1769.0</v>
      </c>
      <c r="T567" s="289"/>
      <c r="U567" s="15"/>
      <c r="V567" s="15"/>
      <c r="W567" s="16"/>
      <c r="X567" s="290">
        <v>1770.0</v>
      </c>
      <c r="Y567" s="289"/>
      <c r="Z567" s="15"/>
      <c r="AA567" s="15"/>
      <c r="AB567" s="16"/>
      <c r="AC567" s="290">
        <v>1482.0</v>
      </c>
      <c r="AD567" s="289"/>
      <c r="AE567" s="15"/>
      <c r="AF567" s="15"/>
      <c r="AG567" s="16"/>
      <c r="AH567" s="290">
        <v>1483.0</v>
      </c>
      <c r="AI567" s="289"/>
      <c r="AJ567" s="15"/>
      <c r="AK567" s="15"/>
      <c r="AL567" s="16"/>
      <c r="AM567" s="290">
        <v>1390.0</v>
      </c>
      <c r="AN567" s="289"/>
      <c r="AO567" s="15"/>
      <c r="AP567" s="15"/>
      <c r="AQ567" s="16"/>
      <c r="AR567" s="338" t="s">
        <v>312</v>
      </c>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row>
    <row r="568" ht="12.75" customHeight="1">
      <c r="A568" s="269"/>
      <c r="B568" s="325" t="s">
        <v>734</v>
      </c>
      <c r="C568" s="326"/>
      <c r="D568" s="326"/>
      <c r="E568" s="326"/>
      <c r="F568" s="326"/>
      <c r="G568" s="326"/>
      <c r="H568" s="327"/>
      <c r="I568" s="290">
        <v>1484.0</v>
      </c>
      <c r="J568" s="351">
        <f>+IF(($J$558-$J$559+$J$560-$J$561-$J$562+$J$563+$J$564-$J$565-$J$566-$J$567)&gt;0,($J$558-$J$559+$J$560-$J$561-$J$562+$J$563+$J$564-$J$565-$J$566-$J$567),)</f>
        <v>204241533</v>
      </c>
      <c r="K568" s="15"/>
      <c r="L568" s="15"/>
      <c r="M568" s="16"/>
      <c r="N568" s="290">
        <v>1485.0</v>
      </c>
      <c r="O568" s="289" t="str">
        <f>+IF(($O$558-$O$559+$O$560-$O$561-$O$562+$O$563+$O$564-$O$565-$O$566-$O$567)&gt;0,($O$558-$O$559+$O$560-$O$561-$O$562+$O$563+$O$564-$O$565-$O$566-$O$567),)</f>
        <v/>
      </c>
      <c r="P568" s="15"/>
      <c r="Q568" s="15"/>
      <c r="R568" s="16"/>
      <c r="S568" s="290">
        <v>1771.0</v>
      </c>
      <c r="T568" s="289" t="str">
        <f>+IF(($T$558-$T$559+$T$560-$T$561-$T$562+$T$563+$T$564-$T$565-$T$566-$T$567)&gt;0,($T$558-$T$559+$T$560-$T$561-$T$562+$T$563+$T$564-$T$565-$T$566-$T$567),)</f>
        <v/>
      </c>
      <c r="U568" s="15"/>
      <c r="V568" s="15"/>
      <c r="W568" s="16"/>
      <c r="X568" s="290">
        <v>1772.0</v>
      </c>
      <c r="Y568" s="289" t="str">
        <f>+IF(($Y$558-$Y$559+$Y$560-$Y$561-$Y$562+$Y$563+$Y$564-$Y$565-$Y$566-$Y$567)&gt;0,($Y$558-$Y$559+$Y$560-$Y$561-$Y$562+$Y$563+$Y$564-$Y$565-$Y$566-$Y$567),)</f>
        <v/>
      </c>
      <c r="Z568" s="15"/>
      <c r="AA568" s="15"/>
      <c r="AB568" s="16"/>
      <c r="AC568" s="290">
        <v>1486.0</v>
      </c>
      <c r="AD568" s="289" t="str">
        <f>+IF(($AD$558-$AD$559+$AD$560-$AD$561-$AD$562+$AD$563+$AD$564-$AD$565-$AD$566-$AD$567)&gt;0,($AD$558-$AD$559+$AD$560-$AD$561-$AD$562+$AD$563+$AD$564-$AD$565-$AD$566-$AD$567),)</f>
        <v/>
      </c>
      <c r="AE568" s="15"/>
      <c r="AF568" s="15"/>
      <c r="AG568" s="16"/>
      <c r="AH568" s="290">
        <v>1487.0</v>
      </c>
      <c r="AI568" s="289" t="str">
        <f>+IF(($AI$558-$AI$559+$AI$560-$AI$561-$AI$562+$AI$563+$AI$564-$AI$565-$AI$566-$AI$567)&gt;0,($AI$558-$AI$559+$AI$560-$AI$561-$AI$562+$AI$563+$AI$564-$AI$565-$AI$566-$AI$567),)</f>
        <v/>
      </c>
      <c r="AJ568" s="15"/>
      <c r="AK568" s="15"/>
      <c r="AL568" s="16"/>
      <c r="AM568" s="290">
        <v>1391.0</v>
      </c>
      <c r="AN568" s="289" t="str">
        <f>+IF(($AN$558-$AN$559+$AN$560-$AN$561-$AN$562+$AN$563+$AN$564-$AN$565-$AN$566-$AN$567)&gt;0,($AN$558-$AN$559+$AN$560-$AN$561-$AN$562+$AN$563+$AN$564-$AN$565-$AN$566-$AN$567),)</f>
        <v/>
      </c>
      <c r="AO568" s="15"/>
      <c r="AP568" s="15"/>
      <c r="AQ568" s="16"/>
      <c r="AR568" s="338" t="s">
        <v>317</v>
      </c>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row>
    <row r="569" ht="12.75" customHeight="1">
      <c r="A569" s="269"/>
      <c r="B569" s="285" t="s">
        <v>735</v>
      </c>
      <c r="C569" s="286"/>
      <c r="D569" s="286"/>
      <c r="E569" s="286"/>
      <c r="F569" s="286"/>
      <c r="G569" s="286"/>
      <c r="H569" s="287"/>
      <c r="I569" s="332"/>
      <c r="J569" s="333"/>
      <c r="K569" s="333"/>
      <c r="L569" s="333"/>
      <c r="M569" s="335"/>
      <c r="N569" s="290">
        <v>1489.0</v>
      </c>
      <c r="O569" s="289">
        <f>-IF(($O$558-$O$559+$O$560-$O$561-$O$562+$O$563+$O$564-$O$565-$O$566-$O$567)&lt;0,($O$558-$O$559+$O$560-$O$561-$O$562+$O$563+$O$564-$O$565-$O$566-$O$567),)</f>
        <v>0</v>
      </c>
      <c r="P569" s="15"/>
      <c r="Q569" s="15"/>
      <c r="R569" s="16"/>
      <c r="S569" s="332"/>
      <c r="T569" s="333"/>
      <c r="U569" s="333"/>
      <c r="V569" s="333"/>
      <c r="W569" s="335"/>
      <c r="X569" s="290">
        <v>1846.0</v>
      </c>
      <c r="Y569" s="289">
        <f>-IF(($Y$558-$Y$559+$Y$560-$Y$561-$Y$562+$Y$563+$Y$564-$Y$565-$Y$566-$Y$567)&lt;0,($Y$558-$Y$559+$Y$560-$Y$561-$Y$562+$Y$563+$Y$564-$Y$565-$Y$566-$Y$567),)</f>
        <v>0</v>
      </c>
      <c r="Z569" s="15"/>
      <c r="AA569" s="15"/>
      <c r="AB569" s="16"/>
      <c r="AC569" s="290">
        <v>1490.0</v>
      </c>
      <c r="AD569" s="289">
        <f>-IF(($AD$558-$AD$559+$AD$560-$AD$561-$AD$562+$AD$563+$AD$564-$AD$565-$AD$566-$AD$567)&lt;0,($AD$558-$AD$559+$AD$560-$AD$561-$AD$562+$AD$563+$AD$564-$AD$565-$AD$566-$AD$567),)</f>
        <v>0</v>
      </c>
      <c r="AE569" s="15"/>
      <c r="AF569" s="15"/>
      <c r="AG569" s="16"/>
      <c r="AH569" s="290">
        <v>1491.0</v>
      </c>
      <c r="AI569" s="289">
        <f>-IF(($AI$558-$AI$559+$AI$560-$AI$561-$AI$562+$AI$563+$AI$564-$AI$565-$AI$566-$AI$567)&lt;0,($AI$558-$AI$559+$AI$560-$AI$561-$AI$562+$AI$563+$AI$564-$AI$565-$AI$566-$AI$567),)</f>
        <v>0</v>
      </c>
      <c r="AJ569" s="15"/>
      <c r="AK569" s="15"/>
      <c r="AL569" s="16"/>
      <c r="AM569" s="332"/>
      <c r="AN569" s="333"/>
      <c r="AO569" s="333"/>
      <c r="AP569" s="333"/>
      <c r="AQ569" s="335"/>
      <c r="AR569" s="338" t="s">
        <v>317</v>
      </c>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row>
    <row r="570" ht="12.75" customHeight="1">
      <c r="A570" s="275"/>
      <c r="B570" s="387"/>
      <c r="C570" s="387"/>
      <c r="D570" s="387"/>
      <c r="E570" s="387"/>
      <c r="F570" s="387"/>
      <c r="G570" s="387"/>
      <c r="H570" s="387"/>
      <c r="I570" s="387"/>
      <c r="J570" s="387"/>
      <c r="K570" s="387"/>
      <c r="L570" s="387"/>
      <c r="M570" s="387"/>
      <c r="N570" s="387"/>
      <c r="O570" s="387"/>
      <c r="P570" s="387"/>
      <c r="Q570" s="387"/>
      <c r="R570" s="387"/>
      <c r="S570" s="387"/>
      <c r="T570" s="387"/>
      <c r="U570" s="387"/>
      <c r="V570" s="387"/>
      <c r="W570" s="387"/>
      <c r="X570" s="387"/>
      <c r="Y570" s="387"/>
      <c r="Z570" s="387"/>
      <c r="AA570" s="387"/>
      <c r="AB570" s="387"/>
      <c r="AC570" s="387"/>
      <c r="AD570" s="387"/>
      <c r="AE570" s="387"/>
      <c r="AF570" s="387"/>
      <c r="AG570" s="387"/>
      <c r="AH570" s="387"/>
      <c r="AI570" s="387"/>
      <c r="AJ570" s="387"/>
      <c r="AK570" s="387"/>
      <c r="AL570" s="387"/>
      <c r="AM570" s="387"/>
      <c r="AN570" s="387"/>
      <c r="AO570" s="387"/>
      <c r="AP570" s="387"/>
      <c r="AQ570" s="387"/>
      <c r="AR570" s="387"/>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row>
    <row r="571" ht="12.75" customHeight="1">
      <c r="A571" s="275"/>
      <c r="B571" s="281" t="s">
        <v>809</v>
      </c>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6"/>
      <c r="AX571" s="6"/>
      <c r="AY571" s="6"/>
      <c r="AZ571" s="6"/>
      <c r="BA571" s="6"/>
      <c r="BB571" s="6"/>
      <c r="BC571" s="6"/>
      <c r="BD571" s="6"/>
      <c r="BE571" s="6"/>
      <c r="BF571" s="6"/>
      <c r="BG571" s="6"/>
      <c r="BH571" s="6"/>
      <c r="BI571" s="6"/>
      <c r="BJ571" s="6"/>
      <c r="BK571" s="6"/>
      <c r="BL571" s="6"/>
      <c r="BM571" s="6"/>
      <c r="BN571" s="6"/>
      <c r="BO571" s="6"/>
      <c r="BP571" s="6"/>
      <c r="BQ571" s="6"/>
    </row>
    <row r="572" ht="12.75" customHeight="1">
      <c r="A572" s="275"/>
      <c r="B572" s="414"/>
      <c r="C572" s="415"/>
      <c r="D572" s="415"/>
      <c r="E572" s="415"/>
      <c r="F572" s="415"/>
      <c r="G572" s="415"/>
      <c r="H572" s="416"/>
      <c r="I572" s="281" t="s">
        <v>737</v>
      </c>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6"/>
      <c r="AH572" s="281" t="s">
        <v>142</v>
      </c>
      <c r="AI572" s="15"/>
      <c r="AJ572" s="15"/>
      <c r="AK572" s="15"/>
      <c r="AL572" s="15"/>
      <c r="AM572" s="15"/>
      <c r="AN572" s="15"/>
      <c r="AO572" s="15"/>
      <c r="AP572" s="15"/>
      <c r="AQ572" s="15"/>
      <c r="AR572" s="15"/>
      <c r="AS572" s="15"/>
      <c r="AT572" s="15"/>
      <c r="AU572" s="15"/>
      <c r="AV572" s="16"/>
      <c r="AW572" s="417"/>
      <c r="AX572" s="6"/>
      <c r="AY572" s="6"/>
      <c r="AZ572" s="6"/>
      <c r="BA572" s="6"/>
      <c r="BB572" s="6"/>
      <c r="BC572" s="6"/>
      <c r="BD572" s="6"/>
      <c r="BE572" s="6"/>
      <c r="BF572" s="6"/>
      <c r="BG572" s="6"/>
      <c r="BH572" s="6"/>
      <c r="BI572" s="6"/>
      <c r="BJ572" s="6"/>
      <c r="BK572" s="6"/>
      <c r="BL572" s="6"/>
      <c r="BM572" s="6"/>
      <c r="BN572" s="6"/>
      <c r="BO572" s="6"/>
      <c r="BP572" s="6"/>
      <c r="BQ572" s="6"/>
    </row>
    <row r="573" ht="12.75" customHeight="1">
      <c r="A573" s="275"/>
      <c r="B573" s="418"/>
      <c r="C573" s="419"/>
      <c r="D573" s="419"/>
      <c r="E573" s="419"/>
      <c r="F573" s="419"/>
      <c r="G573" s="419"/>
      <c r="H573" s="420"/>
      <c r="I573" s="281" t="s">
        <v>564</v>
      </c>
      <c r="J573" s="15"/>
      <c r="K573" s="15"/>
      <c r="L573" s="15"/>
      <c r="M573" s="15"/>
      <c r="N573" s="15"/>
      <c r="O573" s="15"/>
      <c r="P573" s="15"/>
      <c r="Q573" s="15"/>
      <c r="R573" s="16"/>
      <c r="S573" s="281" t="s">
        <v>738</v>
      </c>
      <c r="T573" s="15"/>
      <c r="U573" s="15"/>
      <c r="V573" s="15"/>
      <c r="W573" s="15"/>
      <c r="X573" s="15"/>
      <c r="Y573" s="15"/>
      <c r="Z573" s="15"/>
      <c r="AA573" s="15"/>
      <c r="AB573" s="16"/>
      <c r="AC573" s="388" t="s">
        <v>739</v>
      </c>
      <c r="AD573" s="22"/>
      <c r="AE573" s="22"/>
      <c r="AF573" s="22"/>
      <c r="AG573" s="23"/>
      <c r="AH573" s="388" t="s">
        <v>740</v>
      </c>
      <c r="AI573" s="22"/>
      <c r="AJ573" s="22"/>
      <c r="AK573" s="22"/>
      <c r="AL573" s="23"/>
      <c r="AM573" s="388" t="s">
        <v>741</v>
      </c>
      <c r="AN573" s="22"/>
      <c r="AO573" s="22"/>
      <c r="AP573" s="22"/>
      <c r="AQ573" s="23"/>
      <c r="AR573" s="388" t="s">
        <v>739</v>
      </c>
      <c r="AS573" s="22"/>
      <c r="AT573" s="22"/>
      <c r="AU573" s="22"/>
      <c r="AV573" s="23"/>
      <c r="AW573" s="421"/>
      <c r="AX573" s="6"/>
      <c r="AY573" s="6"/>
      <c r="AZ573" s="6"/>
      <c r="BA573" s="6"/>
      <c r="BB573" s="6"/>
      <c r="BC573" s="6"/>
      <c r="BD573" s="6"/>
      <c r="BE573" s="6"/>
      <c r="BF573" s="6"/>
      <c r="BG573" s="6"/>
      <c r="BH573" s="6"/>
      <c r="BI573" s="6"/>
      <c r="BJ573" s="6"/>
      <c r="BK573" s="6"/>
      <c r="BL573" s="6"/>
      <c r="BM573" s="6"/>
      <c r="BN573" s="6"/>
      <c r="BO573" s="6"/>
      <c r="BP573" s="6"/>
      <c r="BQ573" s="6"/>
    </row>
    <row r="574" ht="12.75" customHeight="1">
      <c r="A574" s="275"/>
      <c r="B574" s="422"/>
      <c r="C574" s="423"/>
      <c r="D574" s="423"/>
      <c r="E574" s="423"/>
      <c r="F574" s="423"/>
      <c r="G574" s="423"/>
      <c r="H574" s="424"/>
      <c r="I574" s="281" t="s">
        <v>740</v>
      </c>
      <c r="J574" s="15"/>
      <c r="K574" s="15"/>
      <c r="L574" s="15"/>
      <c r="M574" s="427"/>
      <c r="N574" s="281" t="s">
        <v>742</v>
      </c>
      <c r="O574" s="15"/>
      <c r="P574" s="15"/>
      <c r="Q574" s="15"/>
      <c r="R574" s="16"/>
      <c r="S574" s="281" t="s">
        <v>740</v>
      </c>
      <c r="T574" s="15"/>
      <c r="U574" s="15"/>
      <c r="V574" s="15"/>
      <c r="W574" s="427"/>
      <c r="X574" s="281" t="s">
        <v>742</v>
      </c>
      <c r="Y574" s="15"/>
      <c r="Z574" s="15"/>
      <c r="AA574" s="15"/>
      <c r="AB574" s="16"/>
      <c r="AC574" s="28"/>
      <c r="AD574" s="29"/>
      <c r="AE574" s="29"/>
      <c r="AF574" s="29"/>
      <c r="AG574" s="30"/>
      <c r="AH574" s="28"/>
      <c r="AI574" s="29"/>
      <c r="AJ574" s="29"/>
      <c r="AK574" s="29"/>
      <c r="AL574" s="30"/>
      <c r="AM574" s="28"/>
      <c r="AN574" s="29"/>
      <c r="AO574" s="29"/>
      <c r="AP574" s="29"/>
      <c r="AQ574" s="30"/>
      <c r="AR574" s="28"/>
      <c r="AS574" s="29"/>
      <c r="AT574" s="29"/>
      <c r="AU574" s="29"/>
      <c r="AV574" s="30"/>
      <c r="AW574" s="426"/>
      <c r="AX574" s="6"/>
      <c r="AY574" s="6"/>
      <c r="AZ574" s="6"/>
      <c r="BA574" s="6"/>
      <c r="BB574" s="6"/>
      <c r="BC574" s="6"/>
      <c r="BD574" s="6"/>
      <c r="BE574" s="6"/>
      <c r="BF574" s="6"/>
      <c r="BG574" s="6"/>
      <c r="BH574" s="6"/>
      <c r="BI574" s="6"/>
      <c r="BJ574" s="6"/>
      <c r="BK574" s="6"/>
      <c r="BL574" s="6"/>
      <c r="BM574" s="6"/>
      <c r="BN574" s="6"/>
      <c r="BO574" s="6"/>
      <c r="BP574" s="6"/>
      <c r="BQ574" s="6"/>
    </row>
    <row r="575" ht="12.75" customHeight="1">
      <c r="A575" s="269"/>
      <c r="B575" s="285" t="s">
        <v>744</v>
      </c>
      <c r="C575" s="286"/>
      <c r="D575" s="286"/>
      <c r="E575" s="286"/>
      <c r="F575" s="286"/>
      <c r="G575" s="286"/>
      <c r="H575" s="287"/>
      <c r="I575" s="290">
        <v>1495.0</v>
      </c>
      <c r="J575" s="289"/>
      <c r="K575" s="15"/>
      <c r="L575" s="15"/>
      <c r="M575" s="16"/>
      <c r="N575" s="290">
        <v>1496.0</v>
      </c>
      <c r="O575" s="351">
        <f>+'RRE 2023'!J10</f>
        <v>15201324</v>
      </c>
      <c r="P575" s="15"/>
      <c r="Q575" s="15"/>
      <c r="R575" s="16"/>
      <c r="S575" s="290">
        <v>1497.0</v>
      </c>
      <c r="T575" s="289"/>
      <c r="U575" s="15"/>
      <c r="V575" s="15"/>
      <c r="W575" s="16"/>
      <c r="X575" s="290">
        <v>1498.0</v>
      </c>
      <c r="Y575" s="289"/>
      <c r="Z575" s="15"/>
      <c r="AA575" s="15"/>
      <c r="AB575" s="16"/>
      <c r="AC575" s="290">
        <v>1499.0</v>
      </c>
      <c r="AD575" s="289"/>
      <c r="AE575" s="15"/>
      <c r="AF575" s="15"/>
      <c r="AG575" s="16"/>
      <c r="AH575" s="290">
        <v>1501.0</v>
      </c>
      <c r="AI575" s="289"/>
      <c r="AJ575" s="15"/>
      <c r="AK575" s="15"/>
      <c r="AL575" s="16"/>
      <c r="AM575" s="290">
        <v>1502.0</v>
      </c>
      <c r="AN575" s="289"/>
      <c r="AO575" s="15"/>
      <c r="AP575" s="15"/>
      <c r="AQ575" s="16"/>
      <c r="AR575" s="290">
        <v>1503.0</v>
      </c>
      <c r="AS575" s="289"/>
      <c r="AT575" s="15"/>
      <c r="AU575" s="15"/>
      <c r="AV575" s="16"/>
      <c r="AW575" s="338" t="s">
        <v>281</v>
      </c>
      <c r="AX575" s="6"/>
      <c r="AY575" s="6"/>
      <c r="AZ575" s="6"/>
      <c r="BA575" s="6"/>
      <c r="BB575" s="6"/>
      <c r="BC575" s="6"/>
      <c r="BD575" s="6"/>
      <c r="BE575" s="6"/>
      <c r="BF575" s="6"/>
      <c r="BG575" s="6"/>
      <c r="BH575" s="6"/>
      <c r="BI575" s="6"/>
      <c r="BJ575" s="6"/>
      <c r="BK575" s="6"/>
      <c r="BL575" s="6"/>
      <c r="BM575" s="6"/>
      <c r="BN575" s="6"/>
      <c r="BO575" s="6"/>
      <c r="BP575" s="6"/>
      <c r="BQ575" s="6"/>
    </row>
    <row r="576" ht="12.75" customHeight="1">
      <c r="A576" s="269"/>
      <c r="B576" s="285" t="s">
        <v>745</v>
      </c>
      <c r="C576" s="286"/>
      <c r="D576" s="286"/>
      <c r="E576" s="286"/>
      <c r="F576" s="286"/>
      <c r="G576" s="286"/>
      <c r="H576" s="287"/>
      <c r="I576" s="290">
        <v>1655.0</v>
      </c>
      <c r="J576" s="289"/>
      <c r="K576" s="15"/>
      <c r="L576" s="15"/>
      <c r="M576" s="16"/>
      <c r="N576" s="290">
        <v>1656.0</v>
      </c>
      <c r="O576" s="351"/>
      <c r="P576" s="15"/>
      <c r="Q576" s="15"/>
      <c r="R576" s="16"/>
      <c r="S576" s="290">
        <v>1504.0</v>
      </c>
      <c r="T576" s="289"/>
      <c r="U576" s="15"/>
      <c r="V576" s="15"/>
      <c r="W576" s="16"/>
      <c r="X576" s="290">
        <v>1505.0</v>
      </c>
      <c r="Y576" s="289"/>
      <c r="Z576" s="15"/>
      <c r="AA576" s="15"/>
      <c r="AB576" s="16"/>
      <c r="AC576" s="332"/>
      <c r="AD576" s="333"/>
      <c r="AE576" s="333"/>
      <c r="AF576" s="333"/>
      <c r="AG576" s="335"/>
      <c r="AH576" s="332"/>
      <c r="AI576" s="333"/>
      <c r="AJ576" s="333"/>
      <c r="AK576" s="333"/>
      <c r="AL576" s="335"/>
      <c r="AM576" s="332"/>
      <c r="AN576" s="333"/>
      <c r="AO576" s="333"/>
      <c r="AP576" s="333"/>
      <c r="AQ576" s="335"/>
      <c r="AR576" s="332"/>
      <c r="AS576" s="333"/>
      <c r="AT576" s="333"/>
      <c r="AU576" s="333"/>
      <c r="AV576" s="335"/>
      <c r="AW576" s="338" t="s">
        <v>312</v>
      </c>
      <c r="AX576" s="6"/>
      <c r="AY576" s="6"/>
      <c r="AZ576" s="6"/>
      <c r="BA576" s="6"/>
      <c r="BB576" s="6"/>
      <c r="BC576" s="6"/>
      <c r="BD576" s="6"/>
      <c r="BE576" s="6"/>
      <c r="BF576" s="6"/>
      <c r="BG576" s="6"/>
      <c r="BH576" s="6"/>
      <c r="BI576" s="6"/>
      <c r="BJ576" s="6"/>
      <c r="BK576" s="6"/>
      <c r="BL576" s="6"/>
      <c r="BM576" s="6"/>
      <c r="BN576" s="6"/>
      <c r="BO576" s="6"/>
      <c r="BP576" s="6"/>
      <c r="BQ576" s="6"/>
    </row>
    <row r="577" ht="12.75" customHeight="1">
      <c r="A577" s="269"/>
      <c r="B577" s="285" t="s">
        <v>708</v>
      </c>
      <c r="C577" s="286"/>
      <c r="D577" s="286"/>
      <c r="E577" s="286"/>
      <c r="F577" s="286"/>
      <c r="G577" s="286"/>
      <c r="H577" s="287"/>
      <c r="I577" s="290">
        <v>1590.0</v>
      </c>
      <c r="J577" s="289"/>
      <c r="K577" s="15"/>
      <c r="L577" s="15"/>
      <c r="M577" s="16"/>
      <c r="N577" s="290">
        <v>1436.0</v>
      </c>
      <c r="O577" s="351"/>
      <c r="P577" s="15"/>
      <c r="Q577" s="15"/>
      <c r="R577" s="16"/>
      <c r="S577" s="290">
        <v>1437.0</v>
      </c>
      <c r="T577" s="289"/>
      <c r="U577" s="15"/>
      <c r="V577" s="15"/>
      <c r="W577" s="16"/>
      <c r="X577" s="290">
        <v>1438.0</v>
      </c>
      <c r="Y577" s="289"/>
      <c r="Z577" s="15"/>
      <c r="AA577" s="15"/>
      <c r="AB577" s="16"/>
      <c r="AC577" s="290">
        <v>1439.0</v>
      </c>
      <c r="AD577" s="289"/>
      <c r="AE577" s="15"/>
      <c r="AF577" s="15"/>
      <c r="AG577" s="16"/>
      <c r="AH577" s="290">
        <v>1441.0</v>
      </c>
      <c r="AI577" s="289"/>
      <c r="AJ577" s="15"/>
      <c r="AK577" s="15"/>
      <c r="AL577" s="16"/>
      <c r="AM577" s="290">
        <v>1442.0</v>
      </c>
      <c r="AN577" s="289"/>
      <c r="AO577" s="15"/>
      <c r="AP577" s="15"/>
      <c r="AQ577" s="16"/>
      <c r="AR577" s="290">
        <v>1443.0</v>
      </c>
      <c r="AS577" s="289"/>
      <c r="AT577" s="15"/>
      <c r="AU577" s="15"/>
      <c r="AV577" s="16"/>
      <c r="AW577" s="338" t="s">
        <v>281</v>
      </c>
      <c r="AX577" s="6"/>
      <c r="AY577" s="6"/>
      <c r="AZ577" s="6"/>
      <c r="BA577" s="6"/>
      <c r="BB577" s="6"/>
      <c r="BC577" s="6"/>
      <c r="BD577" s="6"/>
      <c r="BE577" s="6"/>
      <c r="BF577" s="6"/>
      <c r="BG577" s="6"/>
      <c r="BH577" s="6"/>
      <c r="BI577" s="6"/>
      <c r="BJ577" s="6"/>
      <c r="BK577" s="6"/>
      <c r="BL577" s="6"/>
      <c r="BM577" s="6"/>
      <c r="BN577" s="6"/>
      <c r="BO577" s="6"/>
      <c r="BP577" s="6"/>
      <c r="BQ577" s="6"/>
    </row>
    <row r="578" ht="12.75" customHeight="1">
      <c r="A578" s="269"/>
      <c r="B578" s="285" t="s">
        <v>709</v>
      </c>
      <c r="C578" s="286"/>
      <c r="D578" s="286"/>
      <c r="E578" s="286"/>
      <c r="F578" s="286"/>
      <c r="G578" s="286"/>
      <c r="H578" s="287"/>
      <c r="I578" s="290">
        <v>1444.0</v>
      </c>
      <c r="J578" s="289"/>
      <c r="K578" s="15"/>
      <c r="L578" s="15"/>
      <c r="M578" s="16"/>
      <c r="N578" s="290">
        <v>1447.0</v>
      </c>
      <c r="O578" s="351"/>
      <c r="P578" s="15"/>
      <c r="Q578" s="15"/>
      <c r="R578" s="16"/>
      <c r="S578" s="290">
        <v>1448.0</v>
      </c>
      <c r="T578" s="289"/>
      <c r="U578" s="15"/>
      <c r="V578" s="15"/>
      <c r="W578" s="16"/>
      <c r="X578" s="290">
        <v>1449.0</v>
      </c>
      <c r="Y578" s="289"/>
      <c r="Z578" s="15"/>
      <c r="AA578" s="15"/>
      <c r="AB578" s="16"/>
      <c r="AC578" s="290">
        <v>1508.0</v>
      </c>
      <c r="AD578" s="289"/>
      <c r="AE578" s="15"/>
      <c r="AF578" s="15"/>
      <c r="AG578" s="16"/>
      <c r="AH578" s="290">
        <v>1509.0</v>
      </c>
      <c r="AI578" s="289"/>
      <c r="AJ578" s="15"/>
      <c r="AK578" s="15"/>
      <c r="AL578" s="16"/>
      <c r="AM578" s="290">
        <v>1510.0</v>
      </c>
      <c r="AN578" s="289"/>
      <c r="AO578" s="15"/>
      <c r="AP578" s="15"/>
      <c r="AQ578" s="16"/>
      <c r="AR578" s="290">
        <v>1511.0</v>
      </c>
      <c r="AS578" s="289"/>
      <c r="AT578" s="15"/>
      <c r="AU578" s="15"/>
      <c r="AV578" s="16"/>
      <c r="AW578" s="338" t="s">
        <v>312</v>
      </c>
      <c r="AX578" s="6"/>
      <c r="AY578" s="6"/>
      <c r="AZ578" s="6"/>
      <c r="BA578" s="6"/>
      <c r="BB578" s="6"/>
      <c r="BC578" s="6"/>
      <c r="BD578" s="6"/>
      <c r="BE578" s="6"/>
      <c r="BF578" s="6"/>
      <c r="BG578" s="6"/>
      <c r="BH578" s="6"/>
      <c r="BI578" s="6"/>
      <c r="BJ578" s="6"/>
      <c r="BK578" s="6"/>
      <c r="BL578" s="6"/>
      <c r="BM578" s="6"/>
      <c r="BN578" s="6"/>
      <c r="BO578" s="6"/>
      <c r="BP578" s="6"/>
      <c r="BQ578" s="6"/>
    </row>
    <row r="579" ht="12.75" customHeight="1">
      <c r="A579" s="269"/>
      <c r="B579" s="285" t="s">
        <v>810</v>
      </c>
      <c r="C579" s="286"/>
      <c r="D579" s="286"/>
      <c r="E579" s="286"/>
      <c r="F579" s="286"/>
      <c r="G579" s="286"/>
      <c r="H579" s="287"/>
      <c r="I579" s="290">
        <v>1512.0</v>
      </c>
      <c r="J579" s="289"/>
      <c r="K579" s="15"/>
      <c r="L579" s="15"/>
      <c r="M579" s="16"/>
      <c r="N579" s="290">
        <v>1513.0</v>
      </c>
      <c r="O579" s="351">
        <f>+'RRE 2023'!J18</f>
        <v>0</v>
      </c>
      <c r="P579" s="15"/>
      <c r="Q579" s="15"/>
      <c r="R579" s="16"/>
      <c r="S579" s="332"/>
      <c r="T579" s="333"/>
      <c r="U579" s="333"/>
      <c r="V579" s="333"/>
      <c r="W579" s="335"/>
      <c r="X579" s="332"/>
      <c r="Y579" s="333"/>
      <c r="Z579" s="333"/>
      <c r="AA579" s="333"/>
      <c r="AB579" s="335"/>
      <c r="AC579" s="290">
        <v>1514.0</v>
      </c>
      <c r="AD579" s="289"/>
      <c r="AE579" s="15"/>
      <c r="AF579" s="15"/>
      <c r="AG579" s="16"/>
      <c r="AH579" s="332"/>
      <c r="AI579" s="333"/>
      <c r="AJ579" s="333"/>
      <c r="AK579" s="333"/>
      <c r="AL579" s="335"/>
      <c r="AM579" s="332"/>
      <c r="AN579" s="333"/>
      <c r="AO579" s="333"/>
      <c r="AP579" s="333"/>
      <c r="AQ579" s="335"/>
      <c r="AR579" s="332"/>
      <c r="AS579" s="333"/>
      <c r="AT579" s="333"/>
      <c r="AU579" s="333"/>
      <c r="AV579" s="335"/>
      <c r="AW579" s="338" t="s">
        <v>281</v>
      </c>
      <c r="AX579" s="6"/>
      <c r="AY579" s="6"/>
      <c r="AZ579" s="6"/>
      <c r="BA579" s="6"/>
      <c r="BB579" s="6"/>
      <c r="BC579" s="6"/>
      <c r="BD579" s="6"/>
      <c r="BE579" s="6"/>
      <c r="BF579" s="6"/>
      <c r="BG579" s="6"/>
      <c r="BH579" s="6"/>
      <c r="BI579" s="6"/>
      <c r="BJ579" s="6"/>
      <c r="BK579" s="6"/>
      <c r="BL579" s="6"/>
      <c r="BM579" s="6"/>
      <c r="BN579" s="6"/>
      <c r="BO579" s="6"/>
      <c r="BP579" s="6"/>
      <c r="BQ579" s="6"/>
    </row>
    <row r="580" ht="12.75" customHeight="1">
      <c r="A580" s="269"/>
      <c r="B580" s="285" t="s">
        <v>747</v>
      </c>
      <c r="C580" s="286"/>
      <c r="D580" s="286"/>
      <c r="E580" s="286"/>
      <c r="F580" s="286"/>
      <c r="G580" s="286"/>
      <c r="H580" s="287"/>
      <c r="I580" s="290">
        <v>1515.0</v>
      </c>
      <c r="J580" s="289"/>
      <c r="K580" s="15"/>
      <c r="L580" s="15"/>
      <c r="M580" s="16"/>
      <c r="N580" s="290">
        <v>1516.0</v>
      </c>
      <c r="O580" s="351"/>
      <c r="P580" s="15"/>
      <c r="Q580" s="15"/>
      <c r="R580" s="16"/>
      <c r="S580" s="290">
        <v>1517.0</v>
      </c>
      <c r="T580" s="289"/>
      <c r="U580" s="15"/>
      <c r="V580" s="15"/>
      <c r="W580" s="16"/>
      <c r="X580" s="290">
        <v>1518.0</v>
      </c>
      <c r="Y580" s="289"/>
      <c r="Z580" s="15"/>
      <c r="AA580" s="15"/>
      <c r="AB580" s="16"/>
      <c r="AC580" s="290">
        <v>1519.0</v>
      </c>
      <c r="AD580" s="289"/>
      <c r="AE580" s="15"/>
      <c r="AF580" s="15"/>
      <c r="AG580" s="16"/>
      <c r="AH580" s="290">
        <v>1520.0</v>
      </c>
      <c r="AI580" s="289"/>
      <c r="AJ580" s="15"/>
      <c r="AK580" s="15"/>
      <c r="AL580" s="16"/>
      <c r="AM580" s="290">
        <v>1521.0</v>
      </c>
      <c r="AN580" s="289"/>
      <c r="AO580" s="15"/>
      <c r="AP580" s="15"/>
      <c r="AQ580" s="16"/>
      <c r="AR580" s="347">
        <v>1522.0</v>
      </c>
      <c r="AS580" s="289"/>
      <c r="AT580" s="15"/>
      <c r="AU580" s="15"/>
      <c r="AV580" s="16"/>
      <c r="AW580" s="338" t="s">
        <v>281</v>
      </c>
      <c r="AX580" s="6"/>
      <c r="AY580" s="6"/>
      <c r="AZ580" s="6"/>
      <c r="BA580" s="6"/>
      <c r="BB580" s="6"/>
      <c r="BC580" s="6"/>
      <c r="BD580" s="6"/>
      <c r="BE580" s="6"/>
      <c r="BF580" s="6"/>
      <c r="BG580" s="6"/>
      <c r="BH580" s="6"/>
      <c r="BI580" s="6"/>
      <c r="BJ580" s="6"/>
      <c r="BK580" s="6"/>
      <c r="BL580" s="6"/>
      <c r="BM580" s="6"/>
      <c r="BN580" s="6"/>
      <c r="BO580" s="6"/>
      <c r="BP580" s="6"/>
      <c r="BQ580" s="6"/>
    </row>
    <row r="581" ht="12.75" customHeight="1">
      <c r="A581" s="269"/>
      <c r="B581" s="285" t="s">
        <v>730</v>
      </c>
      <c r="C581" s="286"/>
      <c r="D581" s="286"/>
      <c r="E581" s="286"/>
      <c r="F581" s="286"/>
      <c r="G581" s="286"/>
      <c r="H581" s="287"/>
      <c r="I581" s="290">
        <v>1523.0</v>
      </c>
      <c r="J581" s="289"/>
      <c r="K581" s="15"/>
      <c r="L581" s="15"/>
      <c r="M581" s="16"/>
      <c r="N581" s="290">
        <v>1524.0</v>
      </c>
      <c r="O581" s="351"/>
      <c r="P581" s="15"/>
      <c r="Q581" s="15"/>
      <c r="R581" s="16"/>
      <c r="S581" s="290">
        <v>1525.0</v>
      </c>
      <c r="T581" s="289"/>
      <c r="U581" s="15"/>
      <c r="V581" s="15"/>
      <c r="W581" s="16"/>
      <c r="X581" s="290">
        <v>1526.0</v>
      </c>
      <c r="Y581" s="289"/>
      <c r="Z581" s="15"/>
      <c r="AA581" s="15"/>
      <c r="AB581" s="16"/>
      <c r="AC581" s="290">
        <v>1527.0</v>
      </c>
      <c r="AD581" s="289"/>
      <c r="AE581" s="15"/>
      <c r="AF581" s="15"/>
      <c r="AG581" s="16"/>
      <c r="AH581" s="290">
        <v>1528.0</v>
      </c>
      <c r="AI581" s="289"/>
      <c r="AJ581" s="15"/>
      <c r="AK581" s="15"/>
      <c r="AL581" s="16"/>
      <c r="AM581" s="290">
        <v>1529.0</v>
      </c>
      <c r="AN581" s="289"/>
      <c r="AO581" s="15"/>
      <c r="AP581" s="15"/>
      <c r="AQ581" s="16"/>
      <c r="AR581" s="290">
        <v>1530.0</v>
      </c>
      <c r="AS581" s="289"/>
      <c r="AT581" s="15"/>
      <c r="AU581" s="15"/>
      <c r="AV581" s="16"/>
      <c r="AW581" s="338" t="s">
        <v>281</v>
      </c>
      <c r="AX581" s="6"/>
      <c r="AY581" s="6"/>
      <c r="AZ581" s="6"/>
      <c r="BA581" s="6"/>
      <c r="BB581" s="6"/>
      <c r="BC581" s="6"/>
      <c r="BD581" s="6"/>
      <c r="BE581" s="6"/>
      <c r="BF581" s="6"/>
      <c r="BG581" s="6"/>
      <c r="BH581" s="6"/>
      <c r="BI581" s="6"/>
      <c r="BJ581" s="6"/>
      <c r="BK581" s="6"/>
      <c r="BL581" s="6"/>
      <c r="BM581" s="6"/>
      <c r="BN581" s="6"/>
      <c r="BO581" s="6"/>
      <c r="BP581" s="6"/>
      <c r="BQ581" s="6"/>
    </row>
    <row r="582" ht="12.75" customHeight="1">
      <c r="A582" s="269"/>
      <c r="B582" s="285" t="s">
        <v>731</v>
      </c>
      <c r="C582" s="286"/>
      <c r="D582" s="286"/>
      <c r="E582" s="286"/>
      <c r="F582" s="286"/>
      <c r="G582" s="286"/>
      <c r="H582" s="287"/>
      <c r="I582" s="290">
        <v>1531.0</v>
      </c>
      <c r="J582" s="289"/>
      <c r="K582" s="15"/>
      <c r="L582" s="15"/>
      <c r="M582" s="16"/>
      <c r="N582" s="290">
        <v>1532.0</v>
      </c>
      <c r="O582" s="351"/>
      <c r="P582" s="15"/>
      <c r="Q582" s="15"/>
      <c r="R582" s="16"/>
      <c r="S582" s="290">
        <v>1533.0</v>
      </c>
      <c r="T582" s="289"/>
      <c r="U582" s="15"/>
      <c r="V582" s="15"/>
      <c r="W582" s="16"/>
      <c r="X582" s="290">
        <v>1534.0</v>
      </c>
      <c r="Y582" s="289"/>
      <c r="Z582" s="15"/>
      <c r="AA582" s="15"/>
      <c r="AB582" s="16"/>
      <c r="AC582" s="290">
        <v>1535.0</v>
      </c>
      <c r="AD582" s="289"/>
      <c r="AE582" s="15"/>
      <c r="AF582" s="15"/>
      <c r="AG582" s="16"/>
      <c r="AH582" s="290">
        <v>1536.0</v>
      </c>
      <c r="AI582" s="289"/>
      <c r="AJ582" s="15"/>
      <c r="AK582" s="15"/>
      <c r="AL582" s="16"/>
      <c r="AM582" s="290">
        <v>1537.0</v>
      </c>
      <c r="AN582" s="289"/>
      <c r="AO582" s="15"/>
      <c r="AP582" s="15"/>
      <c r="AQ582" s="16"/>
      <c r="AR582" s="290">
        <v>1538.0</v>
      </c>
      <c r="AS582" s="289"/>
      <c r="AT582" s="15"/>
      <c r="AU582" s="15"/>
      <c r="AV582" s="16"/>
      <c r="AW582" s="338" t="s">
        <v>312</v>
      </c>
      <c r="AX582" s="6"/>
      <c r="AY582" s="6"/>
      <c r="AZ582" s="6"/>
      <c r="BA582" s="6"/>
      <c r="BB582" s="6"/>
      <c r="BC582" s="6"/>
      <c r="BD582" s="6"/>
      <c r="BE582" s="6"/>
      <c r="BF582" s="6"/>
      <c r="BG582" s="6"/>
      <c r="BH582" s="6"/>
      <c r="BI582" s="6"/>
      <c r="BJ582" s="6"/>
      <c r="BK582" s="6"/>
      <c r="BL582" s="6"/>
      <c r="BM582" s="6"/>
      <c r="BN582" s="6"/>
      <c r="BO582" s="6"/>
      <c r="BP582" s="6"/>
      <c r="BQ582" s="6"/>
    </row>
    <row r="583" ht="12.75" customHeight="1">
      <c r="A583" s="269"/>
      <c r="B583" s="285" t="s">
        <v>811</v>
      </c>
      <c r="C583" s="286"/>
      <c r="D583" s="286"/>
      <c r="E583" s="286"/>
      <c r="F583" s="286"/>
      <c r="G583" s="286"/>
      <c r="H583" s="287"/>
      <c r="I583" s="290">
        <v>1539.0</v>
      </c>
      <c r="J583" s="289"/>
      <c r="K583" s="15"/>
      <c r="L583" s="15"/>
      <c r="M583" s="16"/>
      <c r="N583" s="290">
        <v>1540.0</v>
      </c>
      <c r="O583" s="351">
        <f>-'RRE 2023'!J23</f>
        <v>9176270.268</v>
      </c>
      <c r="P583" s="15"/>
      <c r="Q583" s="15"/>
      <c r="R583" s="16"/>
      <c r="S583" s="290">
        <v>1541.0</v>
      </c>
      <c r="T583" s="289"/>
      <c r="U583" s="15"/>
      <c r="V583" s="15"/>
      <c r="W583" s="16"/>
      <c r="X583" s="290">
        <v>1542.0</v>
      </c>
      <c r="Y583" s="289"/>
      <c r="Z583" s="15"/>
      <c r="AA583" s="15"/>
      <c r="AB583" s="16"/>
      <c r="AC583" s="290">
        <v>1543.0</v>
      </c>
      <c r="AD583" s="289"/>
      <c r="AE583" s="15"/>
      <c r="AF583" s="15"/>
      <c r="AG583" s="16"/>
      <c r="AH583" s="290">
        <v>1544.0</v>
      </c>
      <c r="AI583" s="289"/>
      <c r="AJ583" s="15"/>
      <c r="AK583" s="15"/>
      <c r="AL583" s="16"/>
      <c r="AM583" s="290">
        <v>1547.0</v>
      </c>
      <c r="AN583" s="289"/>
      <c r="AO583" s="15"/>
      <c r="AP583" s="15"/>
      <c r="AQ583" s="16"/>
      <c r="AR583" s="290">
        <v>1548.0</v>
      </c>
      <c r="AS583" s="289"/>
      <c r="AT583" s="15"/>
      <c r="AU583" s="15"/>
      <c r="AV583" s="16"/>
      <c r="AW583" s="338" t="s">
        <v>312</v>
      </c>
      <c r="AX583" s="6"/>
      <c r="AY583" s="6"/>
      <c r="AZ583" s="6"/>
      <c r="BA583" s="6"/>
      <c r="BB583" s="6"/>
      <c r="BC583" s="6"/>
      <c r="BD583" s="6"/>
      <c r="BE583" s="6"/>
      <c r="BF583" s="6"/>
      <c r="BG583" s="6"/>
      <c r="BH583" s="6"/>
      <c r="BI583" s="6"/>
      <c r="BJ583" s="6"/>
      <c r="BK583" s="6"/>
      <c r="BL583" s="6"/>
      <c r="BM583" s="6"/>
      <c r="BN583" s="6"/>
      <c r="BO583" s="6"/>
      <c r="BP583" s="6"/>
      <c r="BQ583" s="6"/>
    </row>
    <row r="584" ht="12.75" customHeight="1">
      <c r="A584" s="269"/>
      <c r="B584" s="285" t="s">
        <v>812</v>
      </c>
      <c r="C584" s="286"/>
      <c r="D584" s="286"/>
      <c r="E584" s="286"/>
      <c r="F584" s="286"/>
      <c r="G584" s="286"/>
      <c r="H584" s="287"/>
      <c r="I584" s="290">
        <v>1549.0</v>
      </c>
      <c r="J584" s="289"/>
      <c r="K584" s="15"/>
      <c r="L584" s="15"/>
      <c r="M584" s="16"/>
      <c r="N584" s="290">
        <v>1550.0</v>
      </c>
      <c r="O584" s="351"/>
      <c r="P584" s="15"/>
      <c r="Q584" s="15"/>
      <c r="R584" s="16"/>
      <c r="S584" s="290">
        <v>1551.0</v>
      </c>
      <c r="T584" s="289"/>
      <c r="U584" s="15"/>
      <c r="V584" s="15"/>
      <c r="W584" s="16"/>
      <c r="X584" s="290">
        <v>1552.0</v>
      </c>
      <c r="Y584" s="289"/>
      <c r="Z584" s="15"/>
      <c r="AA584" s="15"/>
      <c r="AB584" s="16"/>
      <c r="AC584" s="290">
        <v>1553.0</v>
      </c>
      <c r="AD584" s="289"/>
      <c r="AE584" s="15"/>
      <c r="AF584" s="15"/>
      <c r="AG584" s="16"/>
      <c r="AH584" s="290">
        <v>1554.0</v>
      </c>
      <c r="AI584" s="289"/>
      <c r="AJ584" s="15"/>
      <c r="AK584" s="15"/>
      <c r="AL584" s="16"/>
      <c r="AM584" s="290">
        <v>1555.0</v>
      </c>
      <c r="AN584" s="289"/>
      <c r="AO584" s="15"/>
      <c r="AP584" s="15"/>
      <c r="AQ584" s="16"/>
      <c r="AR584" s="290">
        <v>1556.0</v>
      </c>
      <c r="AS584" s="289"/>
      <c r="AT584" s="15"/>
      <c r="AU584" s="15"/>
      <c r="AV584" s="16"/>
      <c r="AW584" s="338" t="s">
        <v>312</v>
      </c>
      <c r="AX584" s="6"/>
      <c r="AY584" s="6"/>
      <c r="AZ584" s="6"/>
      <c r="BA584" s="6"/>
      <c r="BB584" s="6"/>
      <c r="BC584" s="6"/>
      <c r="BD584" s="6"/>
      <c r="BE584" s="6"/>
      <c r="BF584" s="6"/>
      <c r="BG584" s="6"/>
      <c r="BH584" s="6"/>
      <c r="BI584" s="6"/>
      <c r="BJ584" s="6"/>
      <c r="BK584" s="6"/>
      <c r="BL584" s="6"/>
      <c r="BM584" s="6"/>
      <c r="BN584" s="6"/>
      <c r="BO584" s="6"/>
      <c r="BP584" s="6"/>
      <c r="BQ584" s="6"/>
    </row>
    <row r="585" ht="12.75" customHeight="1">
      <c r="A585" s="269"/>
      <c r="B585" s="285" t="s">
        <v>813</v>
      </c>
      <c r="C585" s="286"/>
      <c r="D585" s="286"/>
      <c r="E585" s="286"/>
      <c r="F585" s="286"/>
      <c r="G585" s="286"/>
      <c r="H585" s="287"/>
      <c r="I585" s="290">
        <v>1557.0</v>
      </c>
      <c r="J585" s="289"/>
      <c r="K585" s="15"/>
      <c r="L585" s="15"/>
      <c r="M585" s="16"/>
      <c r="N585" s="290">
        <v>1558.0</v>
      </c>
      <c r="O585" s="351">
        <v>0.0</v>
      </c>
      <c r="P585" s="15"/>
      <c r="Q585" s="15"/>
      <c r="R585" s="16"/>
      <c r="S585" s="332"/>
      <c r="T585" s="333"/>
      <c r="U585" s="333"/>
      <c r="V585" s="333"/>
      <c r="W585" s="335"/>
      <c r="X585" s="332"/>
      <c r="Y585" s="333"/>
      <c r="Z585" s="333"/>
      <c r="AA585" s="333"/>
      <c r="AB585" s="335"/>
      <c r="AC585" s="290">
        <v>1559.0</v>
      </c>
      <c r="AD585" s="289"/>
      <c r="AE585" s="15"/>
      <c r="AF585" s="15"/>
      <c r="AG585" s="16"/>
      <c r="AH585" s="290">
        <v>1560.0</v>
      </c>
      <c r="AI585" s="289"/>
      <c r="AJ585" s="15"/>
      <c r="AK585" s="15"/>
      <c r="AL585" s="16"/>
      <c r="AM585" s="290">
        <v>1561.0</v>
      </c>
      <c r="AN585" s="289"/>
      <c r="AO585" s="15"/>
      <c r="AP585" s="15"/>
      <c r="AQ585" s="16"/>
      <c r="AR585" s="290">
        <v>1562.0</v>
      </c>
      <c r="AS585" s="289"/>
      <c r="AT585" s="15"/>
      <c r="AU585" s="15"/>
      <c r="AV585" s="16"/>
      <c r="AW585" s="338" t="s">
        <v>312</v>
      </c>
      <c r="AX585" s="6"/>
      <c r="AY585" s="6"/>
      <c r="AZ585" s="6"/>
      <c r="BA585" s="6"/>
      <c r="BB585" s="6"/>
      <c r="BC585" s="6"/>
      <c r="BD585" s="6"/>
      <c r="BE585" s="6"/>
      <c r="BF585" s="6"/>
      <c r="BG585" s="6"/>
      <c r="BH585" s="6"/>
      <c r="BI585" s="6"/>
      <c r="BJ585" s="6"/>
      <c r="BK585" s="6"/>
      <c r="BL585" s="6"/>
      <c r="BM585" s="6"/>
      <c r="BN585" s="6"/>
      <c r="BO585" s="6"/>
      <c r="BP585" s="6"/>
      <c r="BQ585" s="6"/>
    </row>
    <row r="586" ht="12.75" customHeight="1">
      <c r="A586" s="269"/>
      <c r="B586" s="285" t="s">
        <v>734</v>
      </c>
      <c r="C586" s="286"/>
      <c r="D586" s="286"/>
      <c r="E586" s="286"/>
      <c r="F586" s="286"/>
      <c r="G586" s="286"/>
      <c r="H586" s="287"/>
      <c r="I586" s="290">
        <v>1563.0</v>
      </c>
      <c r="J586" s="289">
        <f>IF(($J$575+$J$577+$J$579+$J$580+$J$581-$J$576-$J$578-$J$582-$J$583-$J$584-$J$585)&gt;0,($J$575+$J$577+$J$579+$J$580+$J$581-$J$576-$J$578-$J$582-$J$583-$J$584-$J$585),0)</f>
        <v>0</v>
      </c>
      <c r="K586" s="15"/>
      <c r="L586" s="15"/>
      <c r="M586" s="16"/>
      <c r="N586" s="290">
        <v>1564.0</v>
      </c>
      <c r="O586" s="351">
        <f>IF(($O$575+$O$577+$O$579+$O$580+$O$581-$O$576-$O$578-$O$582-$O$583-$O$584-$O$585)&gt;0,($O$575+$O$577+$O$579+$O$580+$O$581-$O$576-$O$578-$O$582-$O$583-$O$584-$O$585),0)</f>
        <v>6025053.732</v>
      </c>
      <c r="P586" s="15"/>
      <c r="Q586" s="15"/>
      <c r="R586" s="16"/>
      <c r="S586" s="290">
        <v>1565.0</v>
      </c>
      <c r="T586" s="289">
        <f>IF(($T$575+$T$577+$T$579+$T$580+$T$581-$T$576-$T$578-$T$582-$T$583-$T$584-$S$585)&gt;0,($T$575+$T$577+$T$579+$T$580+$T$581-$T$576-$T$578-$T$582-$T$583-$T$584-$S$585),0)</f>
        <v>0</v>
      </c>
      <c r="U586" s="15"/>
      <c r="V586" s="15"/>
      <c r="W586" s="16"/>
      <c r="X586" s="290">
        <v>1566.0</v>
      </c>
      <c r="Y586" s="289">
        <f>IF(($Y$575+$Y$577+$Y$579+$Y$580+$Y$581-$Y$576-$Y$578-$Y$582-$Y$583-$Y$584-$Y$585)&gt;0,($Y$575+$Y$577+$Y$579+$Y$580+$Y$581-$Y$576-$Y$578-$Y$582-$Y$583-$Y$584-$Y$585),0)</f>
        <v>0</v>
      </c>
      <c r="Z586" s="15"/>
      <c r="AA586" s="15"/>
      <c r="AB586" s="16"/>
      <c r="AC586" s="290">
        <v>1567.0</v>
      </c>
      <c r="AD586" s="289">
        <f>IF(($AD$575+$AD$577+$AD$579+$AD$580+$AD$581-$AD$576-$AD$578-$AD$582-$AD$583-$AD$584-$AD$585)&gt;0,($AD$575+$AD$577+$AD$579+$AD$580+$AD$581-$AD$576-$AD$578-$AD$582-$AD$583-$AD$584-$AD$585),0)</f>
        <v>0</v>
      </c>
      <c r="AE586" s="15"/>
      <c r="AF586" s="15"/>
      <c r="AG586" s="16"/>
      <c r="AH586" s="290">
        <v>1568.0</v>
      </c>
      <c r="AI586" s="289">
        <f>IF(($AI$575+$AI$577+$AI$579+$AI$580+$AI$581-$AI$576-$AI$578-$AI$582-$AI$583-$AI$584-$AI$585)&gt;0,($AI$575+$AI$577+$AI$579+$AI$580+$AI$581-$AI$576-$AI$578-$AI$582-$AI$583-$AI$584-$AI$585),0)</f>
        <v>0</v>
      </c>
      <c r="AJ586" s="15"/>
      <c r="AK586" s="15"/>
      <c r="AL586" s="16"/>
      <c r="AM586" s="290">
        <v>1569.0</v>
      </c>
      <c r="AN586" s="289">
        <f>IF(($AN$575+$AN$577+$AN$579+$AN$580+$AN$581-$AN$576-$AN$578-$AN$582-$AN$583-$AN$584-$AN$585)&gt;0,($AN$575+$AN$577+$AN$579+$AN$580+$AN$581-$AN$576-$AN$578-$AN$582-$AN$583-$AN$584-$AN$585),0)</f>
        <v>0</v>
      </c>
      <c r="AO586" s="15"/>
      <c r="AP586" s="15"/>
      <c r="AQ586" s="16"/>
      <c r="AR586" s="290">
        <v>1570.0</v>
      </c>
      <c r="AS586" s="289">
        <f>IF(($AS$575+$AS$577+$AS$579+$AS$580+$AS$581-$AS$576-$AS$578-$AS$582-$AS$583-$AS$584-$AS$585)&gt;0,($AS$575+$AS$577+$AS$579+$AS$580+$AS$581-$AS$576-$AS$578-$AS$582-$AS$583-$AS$584-$AS$585),0)</f>
        <v>0</v>
      </c>
      <c r="AT586" s="15"/>
      <c r="AU586" s="15"/>
      <c r="AV586" s="16"/>
      <c r="AW586" s="338" t="s">
        <v>317</v>
      </c>
      <c r="AX586" s="6"/>
      <c r="AY586" s="6"/>
      <c r="AZ586" s="6"/>
      <c r="BA586" s="6"/>
      <c r="BB586" s="6"/>
      <c r="BC586" s="6"/>
      <c r="BD586" s="6"/>
      <c r="BE586" s="6"/>
      <c r="BF586" s="6"/>
      <c r="BG586" s="6"/>
      <c r="BH586" s="6"/>
      <c r="BI586" s="6"/>
      <c r="BJ586" s="6"/>
      <c r="BK586" s="6"/>
      <c r="BL586" s="6"/>
      <c r="BM586" s="6"/>
      <c r="BN586" s="6"/>
      <c r="BO586" s="6"/>
      <c r="BP586" s="6"/>
      <c r="BQ586" s="6"/>
    </row>
    <row r="587" ht="12.75" customHeight="1">
      <c r="A587" s="269"/>
      <c r="B587" s="285" t="s">
        <v>735</v>
      </c>
      <c r="C587" s="286"/>
      <c r="D587" s="286"/>
      <c r="E587" s="286"/>
      <c r="F587" s="286"/>
      <c r="G587" s="286"/>
      <c r="H587" s="287"/>
      <c r="I587" s="290">
        <v>1368.0</v>
      </c>
      <c r="J587" s="289">
        <f>-IF(($J$575+$J$577+$J$579+$J$580+$J$581-$J$576-$J$578-$J$582-$J$583-$J$584-$J$585)&lt;0,($J$575+$J$577+$J$579+$J$580+$J$581-$J$576-$J$578-$J$582-$J$583-$J$584-$J$585),0)</f>
        <v>0</v>
      </c>
      <c r="K587" s="15"/>
      <c r="L587" s="15"/>
      <c r="M587" s="16"/>
      <c r="N587" s="290">
        <v>1371.0</v>
      </c>
      <c r="O587" s="351">
        <f>-IF(($O$575+$O$577+$O$579+$O$580+$O$581-$O$576-$O$578-$O$582-$O$583-$O$584-$O$585)&lt;0,($O$575+$O$577+$O$579+$O$580+$O$581-$O$576-$O$578-$O$582-$O$583-$O$584-$O$585),0)</f>
        <v>0</v>
      </c>
      <c r="P587" s="15"/>
      <c r="Q587" s="15"/>
      <c r="R587" s="16"/>
      <c r="S587" s="290">
        <v>1571.0</v>
      </c>
      <c r="T587" s="289">
        <f>-IF(($T$575+$T$577+$T$579+$T$580+$T$581-$T$576-$T$578-$T$582-$T$583-$T$584-$S$585)&lt;0,($T$575+$T$577+$T$579+$T$580+$T$581-$T$576-$T$578-$T$582-$T$583-$T$584-$S$585),0)</f>
        <v>0</v>
      </c>
      <c r="U587" s="15"/>
      <c r="V587" s="15"/>
      <c r="W587" s="16"/>
      <c r="X587" s="290">
        <v>1572.0</v>
      </c>
      <c r="Y587" s="289">
        <f>-IF(($Y$575+$Y$577+$Y$579+$Y$580+$Y$581-$Y$576-$Y$578-$Y$582-$Y$583-$Y$584-$Y$585)&lt;0,($Y$575+$Y$577+$Y$579+$Y$580+$Y$581-$Y$576-$Y$578-$Y$582-$Y$583-$Y$584-$Y$585),0)</f>
        <v>0</v>
      </c>
      <c r="Z587" s="15"/>
      <c r="AA587" s="15"/>
      <c r="AB587" s="16"/>
      <c r="AC587" s="332"/>
      <c r="AD587" s="333"/>
      <c r="AE587" s="333"/>
      <c r="AF587" s="333"/>
      <c r="AG587" s="333"/>
      <c r="AH587" s="333"/>
      <c r="AI587" s="333"/>
      <c r="AJ587" s="333"/>
      <c r="AK587" s="333"/>
      <c r="AL587" s="333"/>
      <c r="AM587" s="333"/>
      <c r="AN587" s="333"/>
      <c r="AO587" s="333"/>
      <c r="AP587" s="333"/>
      <c r="AQ587" s="333"/>
      <c r="AR587" s="333"/>
      <c r="AS587" s="333"/>
      <c r="AT587" s="333"/>
      <c r="AU587" s="333"/>
      <c r="AV587" s="335"/>
      <c r="AW587" s="338" t="s">
        <v>317</v>
      </c>
      <c r="AX587" s="6"/>
      <c r="AY587" s="6"/>
      <c r="AZ587" s="6"/>
      <c r="BA587" s="6"/>
      <c r="BB587" s="6"/>
      <c r="BC587" s="6"/>
      <c r="BD587" s="6"/>
      <c r="BE587" s="6"/>
      <c r="BF587" s="6"/>
      <c r="BG587" s="6"/>
      <c r="BH587" s="6"/>
      <c r="BI587" s="6"/>
      <c r="BJ587" s="6"/>
      <c r="BK587" s="6"/>
      <c r="BL587" s="6"/>
      <c r="BM587" s="6"/>
      <c r="BN587" s="6"/>
      <c r="BO587" s="6"/>
      <c r="BP587" s="6"/>
      <c r="BQ587" s="6"/>
    </row>
    <row r="588" ht="12.75" customHeight="1">
      <c r="A588" s="275"/>
      <c r="B588" s="387"/>
      <c r="C588" s="387"/>
      <c r="D588" s="387"/>
      <c r="E588" s="387"/>
      <c r="F588" s="387"/>
      <c r="G588" s="387"/>
      <c r="H588" s="387"/>
      <c r="I588" s="387"/>
      <c r="J588" s="387"/>
      <c r="K588" s="387"/>
      <c r="L588" s="387"/>
      <c r="M588" s="387"/>
      <c r="N588" s="387"/>
      <c r="O588" s="387"/>
      <c r="P588" s="387"/>
      <c r="Q588" s="387"/>
      <c r="R588" s="387"/>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row>
    <row r="589" ht="12.75" customHeight="1">
      <c r="A589" s="275"/>
      <c r="B589" s="388" t="s">
        <v>814</v>
      </c>
      <c r="C589" s="22"/>
      <c r="D589" s="22"/>
      <c r="E589" s="22"/>
      <c r="F589" s="22"/>
      <c r="G589" s="22"/>
      <c r="H589" s="22"/>
      <c r="I589" s="22"/>
      <c r="J589" s="22"/>
      <c r="K589" s="22"/>
      <c r="L589" s="22"/>
      <c r="M589" s="22"/>
      <c r="N589" s="22"/>
      <c r="O589" s="22"/>
      <c r="P589" s="22"/>
      <c r="Q589" s="22"/>
      <c r="R589" s="23"/>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row>
    <row r="590" ht="12.75" customHeight="1">
      <c r="A590" s="275"/>
      <c r="B590" s="28"/>
      <c r="C590" s="29"/>
      <c r="D590" s="29"/>
      <c r="E590" s="29"/>
      <c r="F590" s="29"/>
      <c r="G590" s="29"/>
      <c r="H590" s="29"/>
      <c r="I590" s="29"/>
      <c r="J590" s="29"/>
      <c r="K590" s="29"/>
      <c r="L590" s="29"/>
      <c r="M590" s="29"/>
      <c r="N590" s="29"/>
      <c r="O590" s="29"/>
      <c r="P590" s="29"/>
      <c r="Q590" s="29"/>
      <c r="R590" s="30"/>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row>
    <row r="591" ht="12.75" customHeight="1">
      <c r="A591" s="269"/>
      <c r="B591" s="285"/>
      <c r="C591" s="286"/>
      <c r="D591" s="286"/>
      <c r="E591" s="286"/>
      <c r="F591" s="286"/>
      <c r="G591" s="286"/>
      <c r="H591" s="286"/>
      <c r="I591" s="286"/>
      <c r="J591" s="286"/>
      <c r="K591" s="286"/>
      <c r="L591" s="287"/>
      <c r="M591" s="288"/>
      <c r="N591" s="428" t="s">
        <v>752</v>
      </c>
      <c r="O591" s="15"/>
      <c r="P591" s="15"/>
      <c r="Q591" s="16"/>
      <c r="R591" s="402"/>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row>
    <row r="592" ht="12.75" customHeight="1">
      <c r="A592" s="269"/>
      <c r="B592" s="285" t="s">
        <v>753</v>
      </c>
      <c r="C592" s="286"/>
      <c r="D592" s="286"/>
      <c r="E592" s="286"/>
      <c r="F592" s="286"/>
      <c r="G592" s="286"/>
      <c r="H592" s="286"/>
      <c r="I592" s="286"/>
      <c r="J592" s="286"/>
      <c r="K592" s="286"/>
      <c r="L592" s="287"/>
      <c r="M592" s="290">
        <v>1600.0</v>
      </c>
      <c r="N592" s="289"/>
      <c r="O592" s="15"/>
      <c r="P592" s="15"/>
      <c r="Q592" s="16"/>
      <c r="R592" s="355" t="s">
        <v>281</v>
      </c>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row>
    <row r="593" ht="12.75" customHeight="1">
      <c r="A593" s="269"/>
      <c r="B593" s="285" t="s">
        <v>754</v>
      </c>
      <c r="C593" s="286"/>
      <c r="D593" s="286"/>
      <c r="E593" s="286"/>
      <c r="F593" s="286"/>
      <c r="G593" s="286"/>
      <c r="H593" s="286"/>
      <c r="I593" s="286"/>
      <c r="J593" s="286"/>
      <c r="K593" s="286"/>
      <c r="L593" s="287"/>
      <c r="M593" s="290">
        <v>1819.0</v>
      </c>
      <c r="N593" s="289"/>
      <c r="O593" s="15"/>
      <c r="P593" s="15"/>
      <c r="Q593" s="16"/>
      <c r="R593" s="355" t="s">
        <v>281</v>
      </c>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row>
    <row r="594" ht="12.75" customHeight="1">
      <c r="A594" s="269"/>
      <c r="B594" s="285" t="s">
        <v>755</v>
      </c>
      <c r="C594" s="286"/>
      <c r="D594" s="286"/>
      <c r="E594" s="286"/>
      <c r="F594" s="286"/>
      <c r="G594" s="286"/>
      <c r="H594" s="286"/>
      <c r="I594" s="286"/>
      <c r="J594" s="286"/>
      <c r="K594" s="286"/>
      <c r="L594" s="287"/>
      <c r="M594" s="290">
        <v>1601.0</v>
      </c>
      <c r="N594" s="289"/>
      <c r="O594" s="15"/>
      <c r="P594" s="15"/>
      <c r="Q594" s="16"/>
      <c r="R594" s="355" t="s">
        <v>281</v>
      </c>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row>
    <row r="595" ht="12.75" customHeight="1">
      <c r="A595" s="269"/>
      <c r="B595" s="285" t="s">
        <v>756</v>
      </c>
      <c r="C595" s="286"/>
      <c r="D595" s="286"/>
      <c r="E595" s="286"/>
      <c r="F595" s="286"/>
      <c r="G595" s="286"/>
      <c r="H595" s="286"/>
      <c r="I595" s="286"/>
      <c r="J595" s="286"/>
      <c r="K595" s="286"/>
      <c r="L595" s="287"/>
      <c r="M595" s="290">
        <v>1602.0</v>
      </c>
      <c r="N595" s="289"/>
      <c r="O595" s="15"/>
      <c r="P595" s="15"/>
      <c r="Q595" s="16"/>
      <c r="R595" s="355" t="s">
        <v>281</v>
      </c>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row>
    <row r="596" ht="12.75" customHeight="1">
      <c r="A596" s="269"/>
      <c r="B596" s="285" t="s">
        <v>757</v>
      </c>
      <c r="C596" s="286"/>
      <c r="D596" s="286"/>
      <c r="E596" s="286"/>
      <c r="F596" s="286"/>
      <c r="G596" s="286"/>
      <c r="H596" s="286"/>
      <c r="I596" s="286"/>
      <c r="J596" s="286"/>
      <c r="K596" s="286"/>
      <c r="L596" s="287"/>
      <c r="M596" s="290">
        <v>1603.0</v>
      </c>
      <c r="N596" s="289"/>
      <c r="O596" s="15"/>
      <c r="P596" s="15"/>
      <c r="Q596" s="16"/>
      <c r="R596" s="355" t="s">
        <v>281</v>
      </c>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row>
    <row r="597" ht="12.75" customHeight="1">
      <c r="A597" s="269"/>
      <c r="B597" s="285" t="s">
        <v>815</v>
      </c>
      <c r="C597" s="286"/>
      <c r="D597" s="286"/>
      <c r="E597" s="286"/>
      <c r="F597" s="286"/>
      <c r="G597" s="286"/>
      <c r="H597" s="286"/>
      <c r="I597" s="286"/>
      <c r="J597" s="286"/>
      <c r="K597" s="286"/>
      <c r="L597" s="287"/>
      <c r="M597" s="290">
        <v>1604.0</v>
      </c>
      <c r="N597" s="289"/>
      <c r="O597" s="15"/>
      <c r="P597" s="15"/>
      <c r="Q597" s="16"/>
      <c r="R597" s="355" t="s">
        <v>281</v>
      </c>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row>
    <row r="598" ht="12.75" customHeight="1">
      <c r="A598" s="269"/>
      <c r="B598" s="285" t="s">
        <v>816</v>
      </c>
      <c r="C598" s="286"/>
      <c r="D598" s="286"/>
      <c r="E598" s="286"/>
      <c r="F598" s="286"/>
      <c r="G598" s="286"/>
      <c r="H598" s="286"/>
      <c r="I598" s="286"/>
      <c r="J598" s="286"/>
      <c r="K598" s="286"/>
      <c r="L598" s="287"/>
      <c r="M598" s="290">
        <v>1605.0</v>
      </c>
      <c r="N598" s="289"/>
      <c r="O598" s="15"/>
      <c r="P598" s="15"/>
      <c r="Q598" s="16"/>
      <c r="R598" s="355" t="s">
        <v>281</v>
      </c>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row>
    <row r="599" ht="12.75" customHeight="1">
      <c r="A599" s="269"/>
      <c r="B599" s="285" t="s">
        <v>758</v>
      </c>
      <c r="C599" s="286"/>
      <c r="D599" s="286"/>
      <c r="E599" s="286"/>
      <c r="F599" s="286"/>
      <c r="G599" s="286"/>
      <c r="H599" s="286"/>
      <c r="I599" s="286"/>
      <c r="J599" s="286"/>
      <c r="K599" s="286"/>
      <c r="L599" s="287"/>
      <c r="M599" s="290">
        <v>1606.0</v>
      </c>
      <c r="N599" s="289"/>
      <c r="O599" s="15"/>
      <c r="P599" s="15"/>
      <c r="Q599" s="16"/>
      <c r="R599" s="355" t="s">
        <v>281</v>
      </c>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row>
    <row r="600" ht="12.75" customHeight="1">
      <c r="A600" s="269"/>
      <c r="B600" s="285" t="s">
        <v>636</v>
      </c>
      <c r="C600" s="286"/>
      <c r="D600" s="286"/>
      <c r="E600" s="286"/>
      <c r="F600" s="286"/>
      <c r="G600" s="286"/>
      <c r="H600" s="286"/>
      <c r="I600" s="286"/>
      <c r="J600" s="286"/>
      <c r="K600" s="286"/>
      <c r="L600" s="287"/>
      <c r="M600" s="290">
        <v>1607.0</v>
      </c>
      <c r="N600" s="289"/>
      <c r="O600" s="15"/>
      <c r="P600" s="15"/>
      <c r="Q600" s="16"/>
      <c r="R600" s="355" t="s">
        <v>281</v>
      </c>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row>
    <row r="601" ht="12.75" customHeight="1">
      <c r="A601" s="269"/>
      <c r="B601" s="285" t="s">
        <v>817</v>
      </c>
      <c r="C601" s="286"/>
      <c r="D601" s="286"/>
      <c r="E601" s="286"/>
      <c r="F601" s="286"/>
      <c r="G601" s="286"/>
      <c r="H601" s="286"/>
      <c r="I601" s="286"/>
      <c r="J601" s="286"/>
      <c r="K601" s="286"/>
      <c r="L601" s="287"/>
      <c r="M601" s="290">
        <v>1608.0</v>
      </c>
      <c r="N601" s="289"/>
      <c r="O601" s="15"/>
      <c r="P601" s="15"/>
      <c r="Q601" s="16"/>
      <c r="R601" s="355" t="s">
        <v>281</v>
      </c>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row>
    <row r="602" ht="12.75" customHeight="1">
      <c r="A602" s="269"/>
      <c r="B602" s="285" t="s">
        <v>818</v>
      </c>
      <c r="C602" s="286"/>
      <c r="D602" s="286"/>
      <c r="E602" s="286"/>
      <c r="F602" s="286"/>
      <c r="G602" s="286"/>
      <c r="H602" s="286"/>
      <c r="I602" s="286"/>
      <c r="J602" s="286"/>
      <c r="K602" s="286"/>
      <c r="L602" s="287"/>
      <c r="M602" s="290">
        <v>1609.0</v>
      </c>
      <c r="N602" s="289"/>
      <c r="O602" s="15"/>
      <c r="P602" s="15"/>
      <c r="Q602" s="16"/>
      <c r="R602" s="355" t="s">
        <v>281</v>
      </c>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row>
    <row r="603" ht="12.75" customHeight="1">
      <c r="A603" s="269"/>
      <c r="B603" s="285" t="s">
        <v>761</v>
      </c>
      <c r="C603" s="286"/>
      <c r="D603" s="286"/>
      <c r="E603" s="286"/>
      <c r="F603" s="286"/>
      <c r="G603" s="286"/>
      <c r="H603" s="286"/>
      <c r="I603" s="286"/>
      <c r="J603" s="286"/>
      <c r="K603" s="286"/>
      <c r="L603" s="287"/>
      <c r="M603" s="290">
        <v>1610.0</v>
      </c>
      <c r="N603" s="289">
        <f>+SUM(N592:$Q$602)</f>
        <v>0</v>
      </c>
      <c r="O603" s="15"/>
      <c r="P603" s="15"/>
      <c r="Q603" s="16"/>
      <c r="R603" s="355" t="s">
        <v>317</v>
      </c>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row>
    <row r="604" ht="12.75" customHeight="1">
      <c r="A604" s="269"/>
      <c r="B604" s="285" t="s">
        <v>762</v>
      </c>
      <c r="C604" s="286"/>
      <c r="D604" s="286"/>
      <c r="E604" s="286"/>
      <c r="F604" s="286"/>
      <c r="G604" s="286"/>
      <c r="H604" s="286"/>
      <c r="I604" s="286"/>
      <c r="J604" s="286"/>
      <c r="K604" s="286"/>
      <c r="L604" s="287"/>
      <c r="M604" s="290">
        <v>1611.0</v>
      </c>
      <c r="N604" s="289"/>
      <c r="O604" s="15"/>
      <c r="P604" s="15"/>
      <c r="Q604" s="16"/>
      <c r="R604" s="355" t="s">
        <v>312</v>
      </c>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row>
    <row r="605" ht="12.75" customHeight="1">
      <c r="A605" s="269"/>
      <c r="B605" s="285" t="s">
        <v>763</v>
      </c>
      <c r="C605" s="286"/>
      <c r="D605" s="286"/>
      <c r="E605" s="286"/>
      <c r="F605" s="286"/>
      <c r="G605" s="286"/>
      <c r="H605" s="286"/>
      <c r="I605" s="286"/>
      <c r="J605" s="286"/>
      <c r="K605" s="286"/>
      <c r="L605" s="287"/>
      <c r="M605" s="290">
        <v>1612.0</v>
      </c>
      <c r="N605" s="289"/>
      <c r="O605" s="15"/>
      <c r="P605" s="15"/>
      <c r="Q605" s="16"/>
      <c r="R605" s="355" t="s">
        <v>312</v>
      </c>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row>
    <row r="606" ht="12.75" customHeight="1">
      <c r="A606" s="269"/>
      <c r="B606" s="285" t="s">
        <v>764</v>
      </c>
      <c r="C606" s="286"/>
      <c r="D606" s="286"/>
      <c r="E606" s="286"/>
      <c r="F606" s="286"/>
      <c r="G606" s="286"/>
      <c r="H606" s="286"/>
      <c r="I606" s="286"/>
      <c r="J606" s="286"/>
      <c r="K606" s="286"/>
      <c r="L606" s="287"/>
      <c r="M606" s="290">
        <v>1613.0</v>
      </c>
      <c r="N606" s="289"/>
      <c r="O606" s="15"/>
      <c r="P606" s="15"/>
      <c r="Q606" s="16"/>
      <c r="R606" s="355" t="s">
        <v>312</v>
      </c>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row>
    <row r="607" ht="12.75" customHeight="1">
      <c r="A607" s="269"/>
      <c r="B607" s="285" t="s">
        <v>765</v>
      </c>
      <c r="C607" s="286"/>
      <c r="D607" s="286"/>
      <c r="E607" s="286"/>
      <c r="F607" s="286"/>
      <c r="G607" s="286"/>
      <c r="H607" s="286"/>
      <c r="I607" s="286"/>
      <c r="J607" s="286"/>
      <c r="K607" s="286"/>
      <c r="L607" s="287"/>
      <c r="M607" s="290">
        <v>1614.0</v>
      </c>
      <c r="N607" s="289"/>
      <c r="O607" s="15"/>
      <c r="P607" s="15"/>
      <c r="Q607" s="16"/>
      <c r="R607" s="355" t="s">
        <v>312</v>
      </c>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row>
    <row r="608" ht="12.75" customHeight="1">
      <c r="A608" s="269"/>
      <c r="B608" s="285" t="s">
        <v>766</v>
      </c>
      <c r="C608" s="286"/>
      <c r="D608" s="286"/>
      <c r="E608" s="286"/>
      <c r="F608" s="286"/>
      <c r="G608" s="286"/>
      <c r="H608" s="286"/>
      <c r="I608" s="286"/>
      <c r="J608" s="286"/>
      <c r="K608" s="286"/>
      <c r="L608" s="287"/>
      <c r="M608" s="290">
        <v>1820.0</v>
      </c>
      <c r="N608" s="289"/>
      <c r="O608" s="15"/>
      <c r="P608" s="15"/>
      <c r="Q608" s="16"/>
      <c r="R608" s="355" t="s">
        <v>312</v>
      </c>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row>
    <row r="609" ht="12.75" customHeight="1">
      <c r="A609" s="269"/>
      <c r="B609" s="285" t="s">
        <v>767</v>
      </c>
      <c r="C609" s="286"/>
      <c r="D609" s="286"/>
      <c r="E609" s="286"/>
      <c r="F609" s="286"/>
      <c r="G609" s="286"/>
      <c r="H609" s="286"/>
      <c r="I609" s="286"/>
      <c r="J609" s="286"/>
      <c r="K609" s="286"/>
      <c r="L609" s="287"/>
      <c r="M609" s="290">
        <v>1615.0</v>
      </c>
      <c r="N609" s="289"/>
      <c r="O609" s="15"/>
      <c r="P609" s="15"/>
      <c r="Q609" s="16"/>
      <c r="R609" s="355" t="s">
        <v>312</v>
      </c>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row>
    <row r="610" ht="12.75" customHeight="1">
      <c r="A610" s="269"/>
      <c r="B610" s="285" t="s">
        <v>768</v>
      </c>
      <c r="C610" s="286"/>
      <c r="D610" s="286"/>
      <c r="E610" s="286"/>
      <c r="F610" s="286"/>
      <c r="G610" s="286"/>
      <c r="H610" s="286"/>
      <c r="I610" s="286"/>
      <c r="J610" s="286"/>
      <c r="K610" s="286"/>
      <c r="L610" s="287"/>
      <c r="M610" s="290">
        <v>1616.0</v>
      </c>
      <c r="N610" s="289"/>
      <c r="O610" s="15"/>
      <c r="P610" s="15"/>
      <c r="Q610" s="16"/>
      <c r="R610" s="355" t="s">
        <v>312</v>
      </c>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row>
    <row r="611" ht="12.75" customHeight="1">
      <c r="A611" s="269"/>
      <c r="B611" s="285" t="s">
        <v>769</v>
      </c>
      <c r="C611" s="286"/>
      <c r="D611" s="286"/>
      <c r="E611" s="286"/>
      <c r="F611" s="286"/>
      <c r="G611" s="286"/>
      <c r="H611" s="286"/>
      <c r="I611" s="286"/>
      <c r="J611" s="286"/>
      <c r="K611" s="286"/>
      <c r="L611" s="287"/>
      <c r="M611" s="290">
        <v>1617.0</v>
      </c>
      <c r="N611" s="289"/>
      <c r="O611" s="15"/>
      <c r="P611" s="15"/>
      <c r="Q611" s="16"/>
      <c r="R611" s="355" t="s">
        <v>312</v>
      </c>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row>
    <row r="612" ht="12.75" customHeight="1">
      <c r="A612" s="269"/>
      <c r="B612" s="285" t="s">
        <v>770</v>
      </c>
      <c r="C612" s="286"/>
      <c r="D612" s="286"/>
      <c r="E612" s="286"/>
      <c r="F612" s="286"/>
      <c r="G612" s="286"/>
      <c r="H612" s="286"/>
      <c r="I612" s="286"/>
      <c r="J612" s="286"/>
      <c r="K612" s="286"/>
      <c r="L612" s="287"/>
      <c r="M612" s="290">
        <v>1618.0</v>
      </c>
      <c r="N612" s="289"/>
      <c r="O612" s="15"/>
      <c r="P612" s="15"/>
      <c r="Q612" s="16"/>
      <c r="R612" s="355" t="s">
        <v>312</v>
      </c>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row>
    <row r="613" ht="12.75" customHeight="1">
      <c r="A613" s="269"/>
      <c r="B613" s="285" t="s">
        <v>771</v>
      </c>
      <c r="C613" s="286"/>
      <c r="D613" s="286"/>
      <c r="E613" s="286"/>
      <c r="F613" s="286"/>
      <c r="G613" s="286"/>
      <c r="H613" s="286"/>
      <c r="I613" s="286"/>
      <c r="J613" s="286"/>
      <c r="K613" s="286"/>
      <c r="L613" s="287"/>
      <c r="M613" s="290">
        <v>1620.0</v>
      </c>
      <c r="N613" s="289"/>
      <c r="O613" s="15"/>
      <c r="P613" s="15"/>
      <c r="Q613" s="16"/>
      <c r="R613" s="355" t="s">
        <v>312</v>
      </c>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row>
    <row r="614" ht="12.75" customHeight="1">
      <c r="A614" s="269"/>
      <c r="B614" s="285" t="s">
        <v>772</v>
      </c>
      <c r="C614" s="286"/>
      <c r="D614" s="286"/>
      <c r="E614" s="286"/>
      <c r="F614" s="286"/>
      <c r="G614" s="286"/>
      <c r="H614" s="286"/>
      <c r="I614" s="286"/>
      <c r="J614" s="286"/>
      <c r="K614" s="286"/>
      <c r="L614" s="287"/>
      <c r="M614" s="290">
        <v>1621.0</v>
      </c>
      <c r="N614" s="289"/>
      <c r="O614" s="15"/>
      <c r="P614" s="15"/>
      <c r="Q614" s="16"/>
      <c r="R614" s="355" t="s">
        <v>312</v>
      </c>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row>
    <row r="615" ht="12.75" customHeight="1">
      <c r="A615" s="269"/>
      <c r="B615" s="285" t="s">
        <v>774</v>
      </c>
      <c r="C615" s="286"/>
      <c r="D615" s="286"/>
      <c r="E615" s="286"/>
      <c r="F615" s="286"/>
      <c r="G615" s="286"/>
      <c r="H615" s="286"/>
      <c r="I615" s="286"/>
      <c r="J615" s="286"/>
      <c r="K615" s="286"/>
      <c r="L615" s="287"/>
      <c r="M615" s="290">
        <v>1622.0</v>
      </c>
      <c r="N615" s="289"/>
      <c r="O615" s="15"/>
      <c r="P615" s="15"/>
      <c r="Q615" s="16"/>
      <c r="R615" s="355" t="s">
        <v>312</v>
      </c>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row>
    <row r="616" ht="12.75" customHeight="1">
      <c r="A616" s="269"/>
      <c r="B616" s="285" t="s">
        <v>777</v>
      </c>
      <c r="C616" s="286"/>
      <c r="D616" s="286"/>
      <c r="E616" s="286"/>
      <c r="F616" s="286"/>
      <c r="G616" s="286"/>
      <c r="H616" s="286"/>
      <c r="I616" s="286"/>
      <c r="J616" s="286"/>
      <c r="K616" s="286"/>
      <c r="L616" s="287"/>
      <c r="M616" s="290">
        <v>1624.0</v>
      </c>
      <c r="N616" s="289"/>
      <c r="O616" s="15"/>
      <c r="P616" s="15"/>
      <c r="Q616" s="16"/>
      <c r="R616" s="355" t="s">
        <v>312</v>
      </c>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row>
    <row r="617" ht="12.75" customHeight="1">
      <c r="A617" s="269"/>
      <c r="B617" s="285" t="s">
        <v>778</v>
      </c>
      <c r="C617" s="286"/>
      <c r="D617" s="286"/>
      <c r="E617" s="286"/>
      <c r="F617" s="286"/>
      <c r="G617" s="286"/>
      <c r="H617" s="286"/>
      <c r="I617" s="286"/>
      <c r="J617" s="286"/>
      <c r="K617" s="286"/>
      <c r="L617" s="287"/>
      <c r="M617" s="290">
        <v>1625.0</v>
      </c>
      <c r="N617" s="289"/>
      <c r="O617" s="15"/>
      <c r="P617" s="15"/>
      <c r="Q617" s="16"/>
      <c r="R617" s="355" t="s">
        <v>312</v>
      </c>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row>
    <row r="618" ht="12.75" customHeight="1">
      <c r="A618" s="269"/>
      <c r="B618" s="285" t="s">
        <v>779</v>
      </c>
      <c r="C618" s="286"/>
      <c r="D618" s="286"/>
      <c r="E618" s="286"/>
      <c r="F618" s="286"/>
      <c r="G618" s="286"/>
      <c r="H618" s="286"/>
      <c r="I618" s="286"/>
      <c r="J618" s="286"/>
      <c r="K618" s="286"/>
      <c r="L618" s="287"/>
      <c r="M618" s="290">
        <v>1626.0</v>
      </c>
      <c r="N618" s="289"/>
      <c r="O618" s="15"/>
      <c r="P618" s="15"/>
      <c r="Q618" s="16"/>
      <c r="R618" s="355" t="s">
        <v>312</v>
      </c>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row>
    <row r="619" ht="12.75" customHeight="1">
      <c r="A619" s="269"/>
      <c r="B619" s="285" t="s">
        <v>780</v>
      </c>
      <c r="C619" s="286"/>
      <c r="D619" s="286"/>
      <c r="E619" s="286"/>
      <c r="F619" s="286"/>
      <c r="G619" s="286"/>
      <c r="H619" s="286"/>
      <c r="I619" s="286"/>
      <c r="J619" s="286"/>
      <c r="K619" s="286"/>
      <c r="L619" s="287"/>
      <c r="M619" s="290">
        <v>1627.0</v>
      </c>
      <c r="N619" s="289"/>
      <c r="O619" s="15"/>
      <c r="P619" s="15"/>
      <c r="Q619" s="16"/>
      <c r="R619" s="355" t="s">
        <v>312</v>
      </c>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row>
    <row r="620" ht="12.75" customHeight="1">
      <c r="A620" s="269"/>
      <c r="B620" s="285" t="s">
        <v>781</v>
      </c>
      <c r="C620" s="286"/>
      <c r="D620" s="286"/>
      <c r="E620" s="286"/>
      <c r="F620" s="286"/>
      <c r="G620" s="286"/>
      <c r="H620" s="286"/>
      <c r="I620" s="286"/>
      <c r="J620" s="286"/>
      <c r="K620" s="286"/>
      <c r="L620" s="287"/>
      <c r="M620" s="290">
        <v>1628.0</v>
      </c>
      <c r="N620" s="289"/>
      <c r="O620" s="15"/>
      <c r="P620" s="15"/>
      <c r="Q620" s="16"/>
      <c r="R620" s="355" t="s">
        <v>312</v>
      </c>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row>
    <row r="621" ht="12.75" customHeight="1">
      <c r="A621" s="269"/>
      <c r="B621" s="307" t="s">
        <v>675</v>
      </c>
      <c r="C621" s="308"/>
      <c r="D621" s="308"/>
      <c r="E621" s="308"/>
      <c r="F621" s="308"/>
      <c r="G621" s="308"/>
      <c r="H621" s="308"/>
      <c r="I621" s="308"/>
      <c r="J621" s="308"/>
      <c r="K621" s="308"/>
      <c r="L621" s="309"/>
      <c r="M621" s="299">
        <v>1909.0</v>
      </c>
      <c r="N621" s="300"/>
      <c r="O621" s="15"/>
      <c r="P621" s="15"/>
      <c r="Q621" s="16"/>
      <c r="R621" s="355" t="s">
        <v>312</v>
      </c>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row>
    <row r="622" ht="12.75" customHeight="1">
      <c r="A622" s="269"/>
      <c r="B622" s="285" t="s">
        <v>782</v>
      </c>
      <c r="C622" s="286"/>
      <c r="D622" s="286"/>
      <c r="E622" s="286"/>
      <c r="F622" s="286"/>
      <c r="G622" s="286"/>
      <c r="H622" s="286"/>
      <c r="I622" s="286"/>
      <c r="J622" s="286"/>
      <c r="K622" s="286"/>
      <c r="L622" s="287"/>
      <c r="M622" s="290">
        <v>1629.0</v>
      </c>
      <c r="N622" s="289">
        <f>+SUM(N604:$Q$621)</f>
        <v>0</v>
      </c>
      <c r="O622" s="15"/>
      <c r="P622" s="15"/>
      <c r="Q622" s="16"/>
      <c r="R622" s="355" t="s">
        <v>317</v>
      </c>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row>
    <row r="623" ht="12.75" customHeight="1">
      <c r="A623" s="269"/>
      <c r="B623" s="285" t="s">
        <v>819</v>
      </c>
      <c r="C623" s="286"/>
      <c r="D623" s="286"/>
      <c r="E623" s="286"/>
      <c r="F623" s="286"/>
      <c r="G623" s="286"/>
      <c r="H623" s="286"/>
      <c r="I623" s="286"/>
      <c r="J623" s="286"/>
      <c r="K623" s="286"/>
      <c r="L623" s="287"/>
      <c r="M623" s="290">
        <v>1630.0</v>
      </c>
      <c r="N623" s="289">
        <f>+N603-$N$622</f>
        <v>0</v>
      </c>
      <c r="O623" s="15"/>
      <c r="P623" s="15"/>
      <c r="Q623" s="16"/>
      <c r="R623" s="355" t="s">
        <v>317</v>
      </c>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row>
    <row r="624" ht="12.75" customHeight="1">
      <c r="A624" s="275"/>
      <c r="B624" s="387"/>
      <c r="C624" s="387"/>
      <c r="D624" s="387"/>
      <c r="E624" s="387"/>
      <c r="F624" s="387"/>
      <c r="G624" s="387"/>
      <c r="H624" s="387"/>
      <c r="I624" s="387"/>
      <c r="J624" s="387"/>
      <c r="K624" s="387"/>
      <c r="L624" s="387"/>
      <c r="M624" s="387"/>
      <c r="N624" s="387"/>
      <c r="O624" s="387"/>
      <c r="P624" s="387"/>
      <c r="Q624" s="387"/>
      <c r="R624" s="387"/>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row>
    <row r="625" ht="12.75" customHeight="1">
      <c r="A625" s="275"/>
      <c r="B625" s="388" t="s">
        <v>820</v>
      </c>
      <c r="C625" s="22"/>
      <c r="D625" s="22"/>
      <c r="E625" s="22"/>
      <c r="F625" s="22"/>
      <c r="G625" s="22"/>
      <c r="H625" s="22"/>
      <c r="I625" s="22"/>
      <c r="J625" s="22"/>
      <c r="K625" s="22"/>
      <c r="L625" s="22"/>
      <c r="M625" s="22"/>
      <c r="N625" s="22"/>
      <c r="O625" s="22"/>
      <c r="P625" s="22"/>
      <c r="Q625" s="22"/>
      <c r="R625" s="23"/>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row>
    <row r="626" ht="12.75" customHeight="1">
      <c r="A626" s="275"/>
      <c r="B626" s="28"/>
      <c r="C626" s="29"/>
      <c r="D626" s="29"/>
      <c r="E626" s="29"/>
      <c r="F626" s="29"/>
      <c r="G626" s="29"/>
      <c r="H626" s="29"/>
      <c r="I626" s="29"/>
      <c r="J626" s="29"/>
      <c r="K626" s="29"/>
      <c r="L626" s="29"/>
      <c r="M626" s="29"/>
      <c r="N626" s="29"/>
      <c r="O626" s="29"/>
      <c r="P626" s="29"/>
      <c r="Q626" s="29"/>
      <c r="R626" s="30"/>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row>
    <row r="627" ht="12.75" customHeight="1">
      <c r="A627" s="269"/>
      <c r="B627" s="285" t="s">
        <v>793</v>
      </c>
      <c r="C627" s="286"/>
      <c r="D627" s="286"/>
      <c r="E627" s="286"/>
      <c r="F627" s="286"/>
      <c r="G627" s="286"/>
      <c r="H627" s="286"/>
      <c r="I627" s="286"/>
      <c r="J627" s="286"/>
      <c r="K627" s="286"/>
      <c r="L627" s="287"/>
      <c r="M627" s="288">
        <v>1580.0</v>
      </c>
      <c r="N627" s="289"/>
      <c r="O627" s="15"/>
      <c r="P627" s="15"/>
      <c r="Q627" s="16"/>
      <c r="R627" s="402" t="s">
        <v>281</v>
      </c>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row>
    <row r="628" ht="12.75" customHeight="1">
      <c r="A628" s="269"/>
      <c r="B628" s="285" t="s">
        <v>794</v>
      </c>
      <c r="C628" s="286"/>
      <c r="D628" s="286"/>
      <c r="E628" s="286"/>
      <c r="F628" s="286"/>
      <c r="G628" s="286"/>
      <c r="H628" s="286"/>
      <c r="I628" s="286"/>
      <c r="J628" s="286"/>
      <c r="K628" s="286"/>
      <c r="L628" s="287"/>
      <c r="M628" s="290">
        <v>1582.0</v>
      </c>
      <c r="N628" s="289"/>
      <c r="O628" s="15"/>
      <c r="P628" s="15"/>
      <c r="Q628" s="16"/>
      <c r="R628" s="355" t="s">
        <v>312</v>
      </c>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row>
    <row r="629" ht="12.75" customHeight="1">
      <c r="A629" s="269"/>
      <c r="B629" s="285" t="s">
        <v>795</v>
      </c>
      <c r="C629" s="286"/>
      <c r="D629" s="286"/>
      <c r="E629" s="286"/>
      <c r="F629" s="286"/>
      <c r="G629" s="286"/>
      <c r="H629" s="286"/>
      <c r="I629" s="286"/>
      <c r="J629" s="286"/>
      <c r="K629" s="286"/>
      <c r="L629" s="287"/>
      <c r="M629" s="290">
        <v>1573.0</v>
      </c>
      <c r="N629" s="289"/>
      <c r="O629" s="15"/>
      <c r="P629" s="15"/>
      <c r="Q629" s="16"/>
      <c r="R629" s="355" t="s">
        <v>281</v>
      </c>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row>
    <row r="630" ht="12.75" customHeight="1">
      <c r="A630" s="269"/>
      <c r="B630" s="285" t="s">
        <v>796</v>
      </c>
      <c r="C630" s="286"/>
      <c r="D630" s="286"/>
      <c r="E630" s="286"/>
      <c r="F630" s="286"/>
      <c r="G630" s="286"/>
      <c r="H630" s="286"/>
      <c r="I630" s="286"/>
      <c r="J630" s="286"/>
      <c r="K630" s="286"/>
      <c r="L630" s="287"/>
      <c r="M630" s="290">
        <v>1574.0</v>
      </c>
      <c r="N630" s="289"/>
      <c r="O630" s="15"/>
      <c r="P630" s="15"/>
      <c r="Q630" s="16"/>
      <c r="R630" s="355" t="s">
        <v>281</v>
      </c>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row>
    <row r="631" ht="12.75" customHeight="1">
      <c r="A631" s="269"/>
      <c r="B631" s="285" t="s">
        <v>797</v>
      </c>
      <c r="C631" s="286"/>
      <c r="D631" s="286"/>
      <c r="E631" s="286"/>
      <c r="F631" s="286"/>
      <c r="G631" s="286"/>
      <c r="H631" s="286"/>
      <c r="I631" s="286"/>
      <c r="J631" s="286"/>
      <c r="K631" s="286"/>
      <c r="L631" s="287"/>
      <c r="M631" s="290">
        <v>1575.0</v>
      </c>
      <c r="N631" s="289"/>
      <c r="O631" s="15"/>
      <c r="P631" s="15"/>
      <c r="Q631" s="16"/>
      <c r="R631" s="355" t="s">
        <v>312</v>
      </c>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row>
    <row r="632" ht="12.75" customHeight="1">
      <c r="A632" s="269"/>
      <c r="B632" s="285" t="s">
        <v>821</v>
      </c>
      <c r="C632" s="286"/>
      <c r="D632" s="286"/>
      <c r="E632" s="286"/>
      <c r="F632" s="286"/>
      <c r="G632" s="286"/>
      <c r="H632" s="286"/>
      <c r="I632" s="286"/>
      <c r="J632" s="286"/>
      <c r="K632" s="286"/>
      <c r="L632" s="287"/>
      <c r="M632" s="290">
        <v>1712.0</v>
      </c>
      <c r="N632" s="289"/>
      <c r="O632" s="15"/>
      <c r="P632" s="15"/>
      <c r="Q632" s="16"/>
      <c r="R632" s="355" t="s">
        <v>281</v>
      </c>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row>
    <row r="633" ht="12.75" customHeight="1">
      <c r="A633" s="269"/>
      <c r="B633" s="285" t="s">
        <v>685</v>
      </c>
      <c r="C633" s="286"/>
      <c r="D633" s="286"/>
      <c r="E633" s="286"/>
      <c r="F633" s="286"/>
      <c r="G633" s="286"/>
      <c r="H633" s="286"/>
      <c r="I633" s="286"/>
      <c r="J633" s="286"/>
      <c r="K633" s="286"/>
      <c r="L633" s="287"/>
      <c r="M633" s="290">
        <v>1713.0</v>
      </c>
      <c r="N633" s="289"/>
      <c r="O633" s="15"/>
      <c r="P633" s="15"/>
      <c r="Q633" s="16"/>
      <c r="R633" s="355" t="s">
        <v>312</v>
      </c>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row>
    <row r="634" ht="12.75" customHeight="1">
      <c r="A634" s="269"/>
      <c r="B634" s="285" t="s">
        <v>780</v>
      </c>
      <c r="C634" s="286"/>
      <c r="D634" s="286"/>
      <c r="E634" s="286"/>
      <c r="F634" s="286"/>
      <c r="G634" s="286"/>
      <c r="H634" s="286"/>
      <c r="I634" s="286"/>
      <c r="J634" s="286"/>
      <c r="K634" s="286"/>
      <c r="L634" s="287"/>
      <c r="M634" s="290">
        <v>1714.0</v>
      </c>
      <c r="N634" s="289"/>
      <c r="O634" s="15"/>
      <c r="P634" s="15"/>
      <c r="Q634" s="16"/>
      <c r="R634" s="355" t="s">
        <v>281</v>
      </c>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row>
    <row r="635" ht="12.75" customHeight="1">
      <c r="A635" s="269"/>
      <c r="B635" s="285" t="s">
        <v>801</v>
      </c>
      <c r="C635" s="286"/>
      <c r="D635" s="286"/>
      <c r="E635" s="286"/>
      <c r="F635" s="286"/>
      <c r="G635" s="286"/>
      <c r="H635" s="286"/>
      <c r="I635" s="286"/>
      <c r="J635" s="286"/>
      <c r="K635" s="286"/>
      <c r="L635" s="287"/>
      <c r="M635" s="290">
        <v>1576.0</v>
      </c>
      <c r="N635" s="289"/>
      <c r="O635" s="15"/>
      <c r="P635" s="15"/>
      <c r="Q635" s="16"/>
      <c r="R635" s="355" t="s">
        <v>312</v>
      </c>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row>
    <row r="636" ht="12.75" customHeight="1">
      <c r="A636" s="269"/>
      <c r="B636" s="285" t="s">
        <v>817</v>
      </c>
      <c r="C636" s="286"/>
      <c r="D636" s="286"/>
      <c r="E636" s="286"/>
      <c r="F636" s="286"/>
      <c r="G636" s="286"/>
      <c r="H636" s="286"/>
      <c r="I636" s="286"/>
      <c r="J636" s="286"/>
      <c r="K636" s="286"/>
      <c r="L636" s="287"/>
      <c r="M636" s="290">
        <v>1715.0</v>
      </c>
      <c r="N636" s="289"/>
      <c r="O636" s="15"/>
      <c r="P636" s="15"/>
      <c r="Q636" s="16"/>
      <c r="R636" s="355" t="s">
        <v>312</v>
      </c>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row>
    <row r="637" ht="12.75" customHeight="1">
      <c r="A637" s="269"/>
      <c r="B637" s="285" t="s">
        <v>822</v>
      </c>
      <c r="C637" s="286"/>
      <c r="D637" s="286"/>
      <c r="E637" s="286"/>
      <c r="F637" s="286"/>
      <c r="G637" s="286"/>
      <c r="H637" s="286"/>
      <c r="I637" s="286"/>
      <c r="J637" s="286"/>
      <c r="K637" s="286"/>
      <c r="L637" s="287"/>
      <c r="M637" s="290">
        <v>1577.0</v>
      </c>
      <c r="N637" s="289"/>
      <c r="O637" s="15"/>
      <c r="P637" s="15"/>
      <c r="Q637" s="16"/>
      <c r="R637" s="355" t="s">
        <v>312</v>
      </c>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row>
    <row r="638" ht="12.75" customHeight="1">
      <c r="A638" s="269"/>
      <c r="B638" s="285" t="s">
        <v>818</v>
      </c>
      <c r="C638" s="286"/>
      <c r="D638" s="286"/>
      <c r="E638" s="286"/>
      <c r="F638" s="286"/>
      <c r="G638" s="286"/>
      <c r="H638" s="286"/>
      <c r="I638" s="286"/>
      <c r="J638" s="286"/>
      <c r="K638" s="286"/>
      <c r="L638" s="287"/>
      <c r="M638" s="290">
        <v>1716.0</v>
      </c>
      <c r="N638" s="289"/>
      <c r="O638" s="15"/>
      <c r="P638" s="15"/>
      <c r="Q638" s="16"/>
      <c r="R638" s="355" t="s">
        <v>312</v>
      </c>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row>
    <row r="639" ht="12.75" customHeight="1">
      <c r="A639" s="269"/>
      <c r="B639" s="285" t="s">
        <v>823</v>
      </c>
      <c r="C639" s="286"/>
      <c r="D639" s="286"/>
      <c r="E639" s="286"/>
      <c r="F639" s="286"/>
      <c r="G639" s="286"/>
      <c r="H639" s="286"/>
      <c r="I639" s="286"/>
      <c r="J639" s="286"/>
      <c r="K639" s="286"/>
      <c r="L639" s="287"/>
      <c r="M639" s="290">
        <v>1578.0</v>
      </c>
      <c r="N639" s="289"/>
      <c r="O639" s="15"/>
      <c r="P639" s="15"/>
      <c r="Q639" s="16"/>
      <c r="R639" s="355" t="s">
        <v>312</v>
      </c>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row>
    <row r="640" ht="12.75" customHeight="1">
      <c r="A640" s="269"/>
      <c r="B640" s="285" t="s">
        <v>712</v>
      </c>
      <c r="C640" s="286"/>
      <c r="D640" s="286"/>
      <c r="E640" s="286"/>
      <c r="F640" s="286"/>
      <c r="G640" s="286"/>
      <c r="H640" s="286"/>
      <c r="I640" s="286"/>
      <c r="J640" s="286"/>
      <c r="K640" s="286"/>
      <c r="L640" s="287"/>
      <c r="M640" s="290">
        <v>1584.0</v>
      </c>
      <c r="N640" s="289"/>
      <c r="O640" s="15"/>
      <c r="P640" s="15"/>
      <c r="Q640" s="16"/>
      <c r="R640" s="355" t="s">
        <v>281</v>
      </c>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row>
    <row r="641" ht="12.75" customHeight="1">
      <c r="A641" s="269"/>
      <c r="B641" s="285" t="s">
        <v>713</v>
      </c>
      <c r="C641" s="286"/>
      <c r="D641" s="286"/>
      <c r="E641" s="286"/>
      <c r="F641" s="286"/>
      <c r="G641" s="286"/>
      <c r="H641" s="286"/>
      <c r="I641" s="286"/>
      <c r="J641" s="286"/>
      <c r="K641" s="286"/>
      <c r="L641" s="287"/>
      <c r="M641" s="290">
        <v>1585.0</v>
      </c>
      <c r="N641" s="289"/>
      <c r="O641" s="15"/>
      <c r="P641" s="15"/>
      <c r="Q641" s="16"/>
      <c r="R641" s="355" t="s">
        <v>312</v>
      </c>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row>
    <row r="642" ht="12.75" customHeight="1">
      <c r="A642" s="269"/>
      <c r="B642" s="285" t="s">
        <v>804</v>
      </c>
      <c r="C642" s="286"/>
      <c r="D642" s="286"/>
      <c r="E642" s="286"/>
      <c r="F642" s="286"/>
      <c r="G642" s="286"/>
      <c r="H642" s="286"/>
      <c r="I642" s="286"/>
      <c r="J642" s="286"/>
      <c r="K642" s="286"/>
      <c r="L642" s="287"/>
      <c r="M642" s="290">
        <v>1581.0</v>
      </c>
      <c r="N642" s="289">
        <f>+IF((+$N$627+$N$629+$N$630+$N$632+$N$634+$N$640-$N$628-$N$631-$N$633-$N$635-$N$636-$N$637-$N$638-$N$639-$N$641)&gt;0,(+$N$627+$N$629+$N$630+$N$632+$N$634+$N$640-$N$628-$N$631-$N$633-$N$635-$N$636-$N$637-$N$638-$N$639-$N$641),0)</f>
        <v>0</v>
      </c>
      <c r="O642" s="15"/>
      <c r="P642" s="15"/>
      <c r="Q642" s="16"/>
      <c r="R642" s="355" t="s">
        <v>317</v>
      </c>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row>
    <row r="643" ht="12.75" customHeight="1">
      <c r="A643" s="269"/>
      <c r="B643" s="285" t="s">
        <v>805</v>
      </c>
      <c r="C643" s="286"/>
      <c r="D643" s="286"/>
      <c r="E643" s="286"/>
      <c r="F643" s="286"/>
      <c r="G643" s="286"/>
      <c r="H643" s="286"/>
      <c r="I643" s="286"/>
      <c r="J643" s="286"/>
      <c r="K643" s="286"/>
      <c r="L643" s="287"/>
      <c r="M643" s="290">
        <v>1583.0</v>
      </c>
      <c r="N643" s="289">
        <f>-IF((+$N$627+$N$629+$N$630+$N$632+$N$634+$N$640-$N$628-$N$631-$N$633-$N$635-$N$636-$N$637-$N$638-$N$639-$N$641)&lt;0,(+$N$627+$N$629+$N$630+$N$632+$N$634+$N$640-$N$628-$N$631-$N$633-$N$635-$N$636-$N$637-$N$638-$N$639-$N$641),0)</f>
        <v>0</v>
      </c>
      <c r="O643" s="15"/>
      <c r="P643" s="15"/>
      <c r="Q643" s="16"/>
      <c r="R643" s="355" t="s">
        <v>317</v>
      </c>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row>
    <row r="644" ht="12.75" customHeight="1">
      <c r="A644" s="275"/>
      <c r="B644" s="387"/>
      <c r="C644" s="387"/>
      <c r="D644" s="387"/>
      <c r="E644" s="387"/>
      <c r="F644" s="387"/>
      <c r="G644" s="387"/>
      <c r="H644" s="387"/>
      <c r="I644" s="387"/>
      <c r="J644" s="387"/>
      <c r="K644" s="387"/>
      <c r="L644" s="387"/>
      <c r="M644" s="387"/>
      <c r="N644" s="387"/>
      <c r="O644" s="387"/>
      <c r="P644" s="387"/>
      <c r="Q644" s="387"/>
      <c r="R644" s="387"/>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row>
    <row r="645" ht="12.75" customHeight="1">
      <c r="A645" s="275"/>
      <c r="B645" s="388" t="s">
        <v>824</v>
      </c>
      <c r="C645" s="22"/>
      <c r="D645" s="22"/>
      <c r="E645" s="22"/>
      <c r="F645" s="22"/>
      <c r="G645" s="22"/>
      <c r="H645" s="22"/>
      <c r="I645" s="22"/>
      <c r="J645" s="22"/>
      <c r="K645" s="22"/>
      <c r="L645" s="22"/>
      <c r="M645" s="22"/>
      <c r="N645" s="22"/>
      <c r="O645" s="22"/>
      <c r="P645" s="22"/>
      <c r="Q645" s="22"/>
      <c r="R645" s="22"/>
      <c r="S645" s="22"/>
      <c r="T645" s="22"/>
      <c r="U645" s="22"/>
      <c r="V645" s="22"/>
      <c r="W645" s="23"/>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row>
    <row r="646" ht="12.75" customHeight="1">
      <c r="A646" s="275"/>
      <c r="B646" s="28"/>
      <c r="C646" s="29"/>
      <c r="D646" s="29"/>
      <c r="E646" s="29"/>
      <c r="F646" s="29"/>
      <c r="G646" s="29"/>
      <c r="H646" s="29"/>
      <c r="I646" s="29"/>
      <c r="J646" s="29"/>
      <c r="K646" s="29"/>
      <c r="L646" s="29"/>
      <c r="M646" s="29"/>
      <c r="N646" s="29"/>
      <c r="O646" s="29"/>
      <c r="P646" s="29"/>
      <c r="Q646" s="29"/>
      <c r="R646" s="29"/>
      <c r="S646" s="29"/>
      <c r="T646" s="29"/>
      <c r="U646" s="29"/>
      <c r="V646" s="29"/>
      <c r="W646" s="30"/>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row>
    <row r="647" ht="12.75" customHeight="1">
      <c r="A647" s="269"/>
      <c r="B647" s="314" t="s">
        <v>825</v>
      </c>
      <c r="C647" s="315"/>
      <c r="D647" s="315"/>
      <c r="E647" s="315"/>
      <c r="F647" s="315"/>
      <c r="G647" s="315"/>
      <c r="H647" s="315"/>
      <c r="I647" s="315"/>
      <c r="J647" s="315"/>
      <c r="K647" s="315"/>
      <c r="L647" s="315"/>
      <c r="M647" s="288">
        <v>1784.0</v>
      </c>
      <c r="N647" s="289"/>
      <c r="O647" s="15"/>
      <c r="P647" s="15"/>
      <c r="Q647" s="16"/>
      <c r="R647" s="315"/>
      <c r="S647" s="315"/>
      <c r="T647" s="315"/>
      <c r="U647" s="315"/>
      <c r="V647" s="316"/>
      <c r="W647" s="433"/>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row>
    <row r="648" ht="12.75" customHeight="1">
      <c r="A648" s="269"/>
      <c r="B648" s="285" t="s">
        <v>826</v>
      </c>
      <c r="C648" s="286"/>
      <c r="D648" s="286"/>
      <c r="E648" s="286"/>
      <c r="F648" s="286"/>
      <c r="G648" s="286"/>
      <c r="H648" s="286"/>
      <c r="I648" s="286"/>
      <c r="J648" s="286"/>
      <c r="K648" s="286"/>
      <c r="L648" s="286"/>
      <c r="M648" s="348" t="s">
        <v>827</v>
      </c>
      <c r="N648" s="15"/>
      <c r="O648" s="15"/>
      <c r="P648" s="15"/>
      <c r="Q648" s="16"/>
      <c r="R648" s="348" t="s">
        <v>828</v>
      </c>
      <c r="S648" s="15"/>
      <c r="T648" s="15"/>
      <c r="U648" s="15"/>
      <c r="V648" s="16"/>
      <c r="W648" s="433"/>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row>
    <row r="649" ht="12.75" customHeight="1">
      <c r="A649" s="269"/>
      <c r="B649" s="285" t="s">
        <v>829</v>
      </c>
      <c r="C649" s="286"/>
      <c r="D649" s="286"/>
      <c r="E649" s="286"/>
      <c r="F649" s="286"/>
      <c r="G649" s="286"/>
      <c r="H649" s="286"/>
      <c r="I649" s="286"/>
      <c r="J649" s="286"/>
      <c r="K649" s="286"/>
      <c r="L649" s="286"/>
      <c r="M649" s="290">
        <v>1785.0</v>
      </c>
      <c r="N649" s="289"/>
      <c r="O649" s="15"/>
      <c r="P649" s="15"/>
      <c r="Q649" s="16"/>
      <c r="R649" s="290">
        <v>1801.0</v>
      </c>
      <c r="S649" s="289"/>
      <c r="T649" s="15"/>
      <c r="U649" s="15"/>
      <c r="V649" s="16"/>
      <c r="W649" s="433"/>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row>
    <row r="650" ht="12.75" customHeight="1">
      <c r="A650" s="269"/>
      <c r="B650" s="285" t="s">
        <v>830</v>
      </c>
      <c r="C650" s="286"/>
      <c r="D650" s="286"/>
      <c r="E650" s="286"/>
      <c r="F650" s="286"/>
      <c r="G650" s="286"/>
      <c r="H650" s="286"/>
      <c r="I650" s="286"/>
      <c r="J650" s="286"/>
      <c r="K650" s="286"/>
      <c r="L650" s="286"/>
      <c r="M650" s="290">
        <v>1798.0</v>
      </c>
      <c r="N650" s="289"/>
      <c r="O650" s="15"/>
      <c r="P650" s="15"/>
      <c r="Q650" s="16"/>
      <c r="R650" s="290">
        <v>1799.0</v>
      </c>
      <c r="S650" s="289"/>
      <c r="T650" s="15"/>
      <c r="U650" s="15"/>
      <c r="V650" s="16"/>
      <c r="W650" s="338" t="s">
        <v>281</v>
      </c>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row>
    <row r="651" ht="12.75" customHeight="1">
      <c r="A651" s="434"/>
      <c r="B651" s="285" t="s">
        <v>831</v>
      </c>
      <c r="C651" s="286"/>
      <c r="D651" s="286"/>
      <c r="E651" s="286"/>
      <c r="F651" s="286"/>
      <c r="G651" s="286"/>
      <c r="H651" s="286"/>
      <c r="I651" s="286"/>
      <c r="J651" s="286"/>
      <c r="K651" s="286"/>
      <c r="L651" s="286"/>
      <c r="M651" s="290">
        <v>1786.0</v>
      </c>
      <c r="N651" s="289"/>
      <c r="O651" s="15"/>
      <c r="P651" s="15"/>
      <c r="Q651" s="16"/>
      <c r="R651" s="290">
        <v>1802.0</v>
      </c>
      <c r="S651" s="289"/>
      <c r="T651" s="15"/>
      <c r="U651" s="15"/>
      <c r="V651" s="16"/>
      <c r="W651" s="435" t="s">
        <v>281</v>
      </c>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row>
    <row r="652" ht="12.75" customHeight="1">
      <c r="A652" s="269"/>
      <c r="B652" s="348" t="s">
        <v>832</v>
      </c>
      <c r="C652" s="15"/>
      <c r="D652" s="15"/>
      <c r="E652" s="15"/>
      <c r="F652" s="15"/>
      <c r="G652" s="15"/>
      <c r="H652" s="15"/>
      <c r="I652" s="15"/>
      <c r="J652" s="15"/>
      <c r="K652" s="15"/>
      <c r="L652" s="15"/>
      <c r="M652" s="15"/>
      <c r="N652" s="15"/>
      <c r="O652" s="15"/>
      <c r="P652" s="15"/>
      <c r="Q652" s="15"/>
      <c r="R652" s="15"/>
      <c r="S652" s="15"/>
      <c r="T652" s="15"/>
      <c r="U652" s="15"/>
      <c r="V652" s="15"/>
      <c r="W652" s="1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row>
    <row r="653" ht="12.75" customHeight="1">
      <c r="A653" s="434"/>
      <c r="B653" s="285" t="s">
        <v>833</v>
      </c>
      <c r="C653" s="286"/>
      <c r="D653" s="286"/>
      <c r="E653" s="286"/>
      <c r="F653" s="286"/>
      <c r="G653" s="286"/>
      <c r="H653" s="286"/>
      <c r="I653" s="286"/>
      <c r="J653" s="286"/>
      <c r="K653" s="286"/>
      <c r="L653" s="286"/>
      <c r="M653" s="286"/>
      <c r="N653" s="286"/>
      <c r="O653" s="286"/>
      <c r="P653" s="286"/>
      <c r="Q653" s="286"/>
      <c r="R653" s="290">
        <v>1787.0</v>
      </c>
      <c r="S653" s="289"/>
      <c r="T653" s="15"/>
      <c r="U653" s="15"/>
      <c r="V653" s="16"/>
      <c r="W653" s="435" t="s">
        <v>312</v>
      </c>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row>
    <row r="654" ht="12.75" customHeight="1">
      <c r="A654" s="434"/>
      <c r="B654" s="285" t="s">
        <v>834</v>
      </c>
      <c r="C654" s="286"/>
      <c r="D654" s="286"/>
      <c r="E654" s="286"/>
      <c r="F654" s="286"/>
      <c r="G654" s="286"/>
      <c r="H654" s="286"/>
      <c r="I654" s="286"/>
      <c r="J654" s="286"/>
      <c r="K654" s="286"/>
      <c r="L654" s="286"/>
      <c r="M654" s="286"/>
      <c r="N654" s="286"/>
      <c r="O654" s="286"/>
      <c r="P654" s="286"/>
      <c r="Q654" s="286"/>
      <c r="R654" s="290">
        <v>1788.0</v>
      </c>
      <c r="S654" s="289">
        <f>+$N$650+$S$650+$N$651+$S$651-$S$653</f>
        <v>0</v>
      </c>
      <c r="T654" s="15"/>
      <c r="U654" s="15"/>
      <c r="V654" s="16"/>
      <c r="W654" s="435" t="s">
        <v>317</v>
      </c>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row>
    <row r="655" ht="12.75" customHeight="1">
      <c r="A655" s="269"/>
      <c r="B655" s="348" t="s">
        <v>835</v>
      </c>
      <c r="C655" s="15"/>
      <c r="D655" s="15"/>
      <c r="E655" s="15"/>
      <c r="F655" s="15"/>
      <c r="G655" s="15"/>
      <c r="H655" s="15"/>
      <c r="I655" s="15"/>
      <c r="J655" s="15"/>
      <c r="K655" s="15"/>
      <c r="L655" s="15"/>
      <c r="M655" s="15"/>
      <c r="N655" s="15"/>
      <c r="O655" s="15"/>
      <c r="P655" s="15"/>
      <c r="Q655" s="15"/>
      <c r="R655" s="15"/>
      <c r="S655" s="15"/>
      <c r="T655" s="15"/>
      <c r="U655" s="15"/>
      <c r="V655" s="15"/>
      <c r="W655" s="1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row>
    <row r="656" ht="12.75" customHeight="1">
      <c r="A656" s="434"/>
      <c r="B656" s="285" t="s">
        <v>836</v>
      </c>
      <c r="C656" s="286"/>
      <c r="D656" s="286"/>
      <c r="E656" s="286"/>
      <c r="F656" s="286"/>
      <c r="G656" s="286"/>
      <c r="H656" s="286"/>
      <c r="I656" s="286"/>
      <c r="J656" s="286"/>
      <c r="K656" s="286"/>
      <c r="L656" s="286"/>
      <c r="M656" s="286"/>
      <c r="N656" s="286"/>
      <c r="O656" s="286"/>
      <c r="P656" s="286"/>
      <c r="Q656" s="286"/>
      <c r="R656" s="290">
        <v>1789.0</v>
      </c>
      <c r="S656" s="289"/>
      <c r="T656" s="15"/>
      <c r="U656" s="15"/>
      <c r="V656" s="16"/>
      <c r="W656" s="435" t="s">
        <v>312</v>
      </c>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row>
    <row r="657" ht="12.75" customHeight="1">
      <c r="A657" s="434"/>
      <c r="B657" s="285" t="s">
        <v>837</v>
      </c>
      <c r="C657" s="286"/>
      <c r="D657" s="286"/>
      <c r="E657" s="286"/>
      <c r="F657" s="286"/>
      <c r="G657" s="286"/>
      <c r="H657" s="286"/>
      <c r="I657" s="286"/>
      <c r="J657" s="286"/>
      <c r="K657" s="286"/>
      <c r="L657" s="286"/>
      <c r="M657" s="286"/>
      <c r="N657" s="286"/>
      <c r="O657" s="286"/>
      <c r="P657" s="286"/>
      <c r="Q657" s="286"/>
      <c r="R657" s="290">
        <v>1790.0</v>
      </c>
      <c r="S657" s="289"/>
      <c r="T657" s="15"/>
      <c r="U657" s="15"/>
      <c r="V657" s="16"/>
      <c r="W657" s="435" t="s">
        <v>312</v>
      </c>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row>
    <row r="658" ht="12.75" customHeight="1">
      <c r="A658" s="434"/>
      <c r="B658" s="285" t="s">
        <v>838</v>
      </c>
      <c r="C658" s="286"/>
      <c r="D658" s="286"/>
      <c r="E658" s="286"/>
      <c r="F658" s="286"/>
      <c r="G658" s="286"/>
      <c r="H658" s="286"/>
      <c r="I658" s="286"/>
      <c r="J658" s="286"/>
      <c r="K658" s="286"/>
      <c r="L658" s="286"/>
      <c r="M658" s="286"/>
      <c r="N658" s="286"/>
      <c r="O658" s="286"/>
      <c r="P658" s="286"/>
      <c r="Q658" s="286"/>
      <c r="R658" s="290">
        <v>1791.0</v>
      </c>
      <c r="S658" s="289"/>
      <c r="T658" s="15"/>
      <c r="U658" s="15"/>
      <c r="V658" s="16"/>
      <c r="W658" s="435" t="s">
        <v>312</v>
      </c>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row>
    <row r="659" ht="12.75" customHeight="1">
      <c r="A659" s="434"/>
      <c r="B659" s="285" t="s">
        <v>839</v>
      </c>
      <c r="C659" s="286"/>
      <c r="D659" s="286"/>
      <c r="E659" s="286"/>
      <c r="F659" s="286"/>
      <c r="G659" s="286"/>
      <c r="H659" s="286"/>
      <c r="I659" s="286"/>
      <c r="J659" s="286"/>
      <c r="K659" s="286"/>
      <c r="L659" s="286"/>
      <c r="M659" s="286"/>
      <c r="N659" s="286"/>
      <c r="O659" s="286"/>
      <c r="P659" s="286"/>
      <c r="Q659" s="286"/>
      <c r="R659" s="290">
        <v>1792.0</v>
      </c>
      <c r="S659" s="289"/>
      <c r="T659" s="15"/>
      <c r="U659" s="15"/>
      <c r="V659" s="16"/>
      <c r="W659" s="435" t="s">
        <v>312</v>
      </c>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row>
    <row r="660" ht="12.75" customHeight="1">
      <c r="A660" s="434"/>
      <c r="B660" s="285" t="s">
        <v>840</v>
      </c>
      <c r="C660" s="286"/>
      <c r="D660" s="286"/>
      <c r="E660" s="286"/>
      <c r="F660" s="286"/>
      <c r="G660" s="286"/>
      <c r="H660" s="286"/>
      <c r="I660" s="286"/>
      <c r="J660" s="286"/>
      <c r="K660" s="286"/>
      <c r="L660" s="286"/>
      <c r="M660" s="286"/>
      <c r="N660" s="286"/>
      <c r="O660" s="286"/>
      <c r="P660" s="286"/>
      <c r="Q660" s="286"/>
      <c r="R660" s="290">
        <v>1793.0</v>
      </c>
      <c r="S660" s="289">
        <f>+$S$654-S656-S657-S658-S659</f>
        <v>0</v>
      </c>
      <c r="T660" s="15"/>
      <c r="U660" s="15"/>
      <c r="V660" s="16"/>
      <c r="W660" s="435" t="s">
        <v>317</v>
      </c>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row>
    <row r="661" ht="12.75" customHeight="1">
      <c r="A661" s="269"/>
      <c r="B661" s="348" t="s">
        <v>841</v>
      </c>
      <c r="C661" s="15"/>
      <c r="D661" s="15"/>
      <c r="E661" s="15"/>
      <c r="F661" s="15"/>
      <c r="G661" s="15"/>
      <c r="H661" s="15"/>
      <c r="I661" s="15"/>
      <c r="J661" s="15"/>
      <c r="K661" s="15"/>
      <c r="L661" s="15"/>
      <c r="M661" s="15"/>
      <c r="N661" s="15"/>
      <c r="O661" s="15"/>
      <c r="P661" s="15"/>
      <c r="Q661" s="15"/>
      <c r="R661" s="15"/>
      <c r="S661" s="15"/>
      <c r="T661" s="15"/>
      <c r="U661" s="15"/>
      <c r="V661" s="15"/>
      <c r="W661" s="1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row>
    <row r="662" ht="12.75" customHeight="1">
      <c r="A662" s="269"/>
      <c r="B662" s="436" t="s">
        <v>842</v>
      </c>
      <c r="C662" s="437"/>
      <c r="D662" s="437"/>
      <c r="E662" s="437"/>
      <c r="F662" s="437"/>
      <c r="G662" s="437"/>
      <c r="H662" s="437"/>
      <c r="I662" s="437"/>
      <c r="J662" s="437"/>
      <c r="K662" s="437"/>
      <c r="L662" s="437"/>
      <c r="M662" s="437"/>
      <c r="N662" s="437"/>
      <c r="O662" s="437"/>
      <c r="P662" s="437"/>
      <c r="Q662" s="437"/>
      <c r="R662" s="290">
        <v>1794.0</v>
      </c>
      <c r="S662" s="289">
        <f>+S660</f>
        <v>0</v>
      </c>
      <c r="T662" s="15"/>
      <c r="U662" s="15"/>
      <c r="V662" s="16"/>
      <c r="W662" s="435" t="s">
        <v>317</v>
      </c>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row>
    <row r="663" ht="12.75" customHeight="1">
      <c r="A663" s="434"/>
      <c r="B663" s="436" t="s">
        <v>843</v>
      </c>
      <c r="C663" s="286"/>
      <c r="D663" s="286"/>
      <c r="E663" s="286"/>
      <c r="F663" s="286"/>
      <c r="G663" s="286"/>
      <c r="H663" s="286"/>
      <c r="I663" s="286"/>
      <c r="J663" s="286"/>
      <c r="K663" s="286"/>
      <c r="L663" s="286"/>
      <c r="M663" s="286"/>
      <c r="N663" s="286"/>
      <c r="O663" s="286"/>
      <c r="P663" s="286"/>
      <c r="Q663" s="286"/>
      <c r="R663" s="290">
        <v>1795.0</v>
      </c>
      <c r="S663" s="289"/>
      <c r="T663" s="15"/>
      <c r="U663" s="15"/>
      <c r="V663" s="16"/>
      <c r="W663" s="435"/>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row>
    <row r="664" ht="12.75" customHeight="1">
      <c r="A664" s="269"/>
      <c r="B664" s="285"/>
      <c r="C664" s="286"/>
      <c r="D664" s="286"/>
      <c r="E664" s="286"/>
      <c r="F664" s="286"/>
      <c r="G664" s="286"/>
      <c r="H664" s="286"/>
      <c r="I664" s="286"/>
      <c r="J664" s="286"/>
      <c r="K664" s="286"/>
      <c r="L664" s="286"/>
      <c r="M664" s="286"/>
      <c r="N664" s="286"/>
      <c r="O664" s="286"/>
      <c r="P664" s="286"/>
      <c r="Q664" s="286"/>
      <c r="R664" s="286"/>
      <c r="S664" s="286"/>
      <c r="T664" s="286"/>
      <c r="U664" s="286"/>
      <c r="V664" s="286"/>
      <c r="W664" s="335"/>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row>
    <row r="665" ht="12.75" customHeight="1">
      <c r="A665" s="269"/>
      <c r="B665" s="436" t="s">
        <v>844</v>
      </c>
      <c r="C665" s="437"/>
      <c r="D665" s="437"/>
      <c r="E665" s="437"/>
      <c r="F665" s="437"/>
      <c r="G665" s="437"/>
      <c r="H665" s="437"/>
      <c r="I665" s="437"/>
      <c r="J665" s="437"/>
      <c r="K665" s="437"/>
      <c r="L665" s="437"/>
      <c r="M665" s="290">
        <v>1797.0</v>
      </c>
      <c r="N665" s="289"/>
      <c r="O665" s="15"/>
      <c r="P665" s="15"/>
      <c r="Q665" s="16"/>
      <c r="R665" s="290">
        <v>1842.0</v>
      </c>
      <c r="S665" s="289"/>
      <c r="T665" s="15"/>
      <c r="U665" s="15"/>
      <c r="V665" s="16"/>
      <c r="W665" s="435"/>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row>
  </sheetData>
  <mergeCells count="1149">
    <mergeCell ref="Y87:AB87"/>
    <mergeCell ref="Y88:AB88"/>
    <mergeCell ref="AD88:AG88"/>
    <mergeCell ref="Y89:AB89"/>
    <mergeCell ref="AD89:AG89"/>
    <mergeCell ref="AI89:AL89"/>
    <mergeCell ref="AI90:AL90"/>
    <mergeCell ref="Y90:AB90"/>
    <mergeCell ref="Y91:AB91"/>
    <mergeCell ref="AD91:AG91"/>
    <mergeCell ref="AI91:AL91"/>
    <mergeCell ref="Y92:AB92"/>
    <mergeCell ref="AI92:AL92"/>
    <mergeCell ref="AI93:AL93"/>
    <mergeCell ref="AD54:AG54"/>
    <mergeCell ref="AD55:AG55"/>
    <mergeCell ref="AD56:AG56"/>
    <mergeCell ref="AD57:AG57"/>
    <mergeCell ref="AD58:AG58"/>
    <mergeCell ref="AD59:AG59"/>
    <mergeCell ref="AD60:AG60"/>
    <mergeCell ref="AD61:AG61"/>
    <mergeCell ref="AD62:AG62"/>
    <mergeCell ref="AD63:AG63"/>
    <mergeCell ref="AD64:AG64"/>
    <mergeCell ref="AD65:AG65"/>
    <mergeCell ref="AD66:AG66"/>
    <mergeCell ref="AD67:AG67"/>
    <mergeCell ref="AD68:AG68"/>
    <mergeCell ref="AD69:AG69"/>
    <mergeCell ref="AD70:AG70"/>
    <mergeCell ref="AD71:AG71"/>
    <mergeCell ref="AD72:AG72"/>
    <mergeCell ref="AD73:AG73"/>
    <mergeCell ref="AD74:AG74"/>
    <mergeCell ref="Y73:AB73"/>
    <mergeCell ref="Y74:AB74"/>
    <mergeCell ref="Y75:AB75"/>
    <mergeCell ref="Y76:AB76"/>
    <mergeCell ref="Y77:AB77"/>
    <mergeCell ref="Y78:AB78"/>
    <mergeCell ref="Y79:AB79"/>
    <mergeCell ref="AI73:AL73"/>
    <mergeCell ref="AI74:AL74"/>
    <mergeCell ref="AI75:AL75"/>
    <mergeCell ref="AI76:AL76"/>
    <mergeCell ref="AI77:AL77"/>
    <mergeCell ref="AI78:AL78"/>
    <mergeCell ref="AI79:AL79"/>
    <mergeCell ref="Y80:AB80"/>
    <mergeCell ref="Y81:AB81"/>
    <mergeCell ref="Y82:AB82"/>
    <mergeCell ref="Y83:AB83"/>
    <mergeCell ref="Y84:AB84"/>
    <mergeCell ref="AD84:AG84"/>
    <mergeCell ref="Y85:AB85"/>
    <mergeCell ref="Y93:AB93"/>
    <mergeCell ref="Y94:AB94"/>
    <mergeCell ref="AD94:AG94"/>
    <mergeCell ref="AI94:AL94"/>
    <mergeCell ref="C8:C34"/>
    <mergeCell ref="D12:D18"/>
    <mergeCell ref="D21:D24"/>
    <mergeCell ref="D25:D29"/>
    <mergeCell ref="O19:R19"/>
    <mergeCell ref="T19:W19"/>
    <mergeCell ref="O25:R25"/>
    <mergeCell ref="T25:W25"/>
    <mergeCell ref="O26:R26"/>
    <mergeCell ref="T26:W26"/>
    <mergeCell ref="O27:R27"/>
    <mergeCell ref="T27:W27"/>
    <mergeCell ref="O29:R29"/>
    <mergeCell ref="T29:W29"/>
    <mergeCell ref="O33:R33"/>
    <mergeCell ref="O34:R34"/>
    <mergeCell ref="O9:R9"/>
    <mergeCell ref="O41:R41"/>
    <mergeCell ref="O125:R125"/>
    <mergeCell ref="O126:R126"/>
    <mergeCell ref="N7:R7"/>
    <mergeCell ref="S7:W7"/>
    <mergeCell ref="B8:B43"/>
    <mergeCell ref="O8:R8"/>
    <mergeCell ref="T8:W8"/>
    <mergeCell ref="T9:W9"/>
    <mergeCell ref="B45:B71"/>
    <mergeCell ref="B73:B139"/>
    <mergeCell ref="B144:B155"/>
    <mergeCell ref="C35:C43"/>
    <mergeCell ref="C45:C50"/>
    <mergeCell ref="C73:C107"/>
    <mergeCell ref="D78:D83"/>
    <mergeCell ref="C108:C135"/>
    <mergeCell ref="D109:D113"/>
    <mergeCell ref="C136:C139"/>
    <mergeCell ref="C151:C155"/>
    <mergeCell ref="O145:R145"/>
    <mergeCell ref="O147:R147"/>
    <mergeCell ref="C51:C71"/>
    <mergeCell ref="E73:W73"/>
    <mergeCell ref="B141:T141"/>
    <mergeCell ref="C142:T142"/>
    <mergeCell ref="O144:R144"/>
    <mergeCell ref="T144:T150"/>
    <mergeCell ref="C146:S146"/>
    <mergeCell ref="D148:S148"/>
    <mergeCell ref="N150:S150"/>
    <mergeCell ref="D151:M155"/>
    <mergeCell ref="B157:X158"/>
    <mergeCell ref="B159:L159"/>
    <mergeCell ref="M159:R159"/>
    <mergeCell ref="S159:X159"/>
    <mergeCell ref="O16:R16"/>
    <mergeCell ref="T16:W16"/>
    <mergeCell ref="Y16:AB16"/>
    <mergeCell ref="AD16:AG16"/>
    <mergeCell ref="AI16:AL16"/>
    <mergeCell ref="AI17:AL17"/>
    <mergeCell ref="Y18:AB18"/>
    <mergeCell ref="AI18:AL18"/>
    <mergeCell ref="AD17:AG17"/>
    <mergeCell ref="AD18:AG18"/>
    <mergeCell ref="Y19:AB19"/>
    <mergeCell ref="AD19:AG19"/>
    <mergeCell ref="AI19:AL19"/>
    <mergeCell ref="AI20:AL20"/>
    <mergeCell ref="AI21:AL21"/>
    <mergeCell ref="O2:AA3"/>
    <mergeCell ref="B5:C7"/>
    <mergeCell ref="D5:M7"/>
    <mergeCell ref="N5:AG5"/>
    <mergeCell ref="AH5:AM7"/>
    <mergeCell ref="N6:W6"/>
    <mergeCell ref="X6:AG6"/>
    <mergeCell ref="AI9:AL9"/>
    <mergeCell ref="AI10:AL10"/>
    <mergeCell ref="AD11:AG11"/>
    <mergeCell ref="AI11:AL11"/>
    <mergeCell ref="X7:AB7"/>
    <mergeCell ref="AC7:AG7"/>
    <mergeCell ref="Y8:AB8"/>
    <mergeCell ref="AD8:AG8"/>
    <mergeCell ref="AI8:AL8"/>
    <mergeCell ref="Y9:AB9"/>
    <mergeCell ref="AD9:AG9"/>
    <mergeCell ref="Y13:AB13"/>
    <mergeCell ref="Y14:AB14"/>
    <mergeCell ref="AD14:AG14"/>
    <mergeCell ref="AI14:AL14"/>
    <mergeCell ref="O12:R12"/>
    <mergeCell ref="T12:W12"/>
    <mergeCell ref="Y12:AB12"/>
    <mergeCell ref="AD12:AG12"/>
    <mergeCell ref="AI12:AL12"/>
    <mergeCell ref="AD13:AG13"/>
    <mergeCell ref="AI13:AL13"/>
    <mergeCell ref="O15:R15"/>
    <mergeCell ref="T15:W15"/>
    <mergeCell ref="Y15:AB15"/>
    <mergeCell ref="AD15:AG15"/>
    <mergeCell ref="AI15:AL15"/>
    <mergeCell ref="Y25:AB25"/>
    <mergeCell ref="Y26:AB26"/>
    <mergeCell ref="Y27:AB27"/>
    <mergeCell ref="AD27:AG27"/>
    <mergeCell ref="AI27:AL27"/>
    <mergeCell ref="AD21:AG21"/>
    <mergeCell ref="AD22:AG22"/>
    <mergeCell ref="AI22:AL22"/>
    <mergeCell ref="AI23:AL23"/>
    <mergeCell ref="AI24:AL24"/>
    <mergeCell ref="AD25:AG25"/>
    <mergeCell ref="AD26:AG26"/>
    <mergeCell ref="AI29:AL29"/>
    <mergeCell ref="AI30:AL30"/>
    <mergeCell ref="AI25:AL25"/>
    <mergeCell ref="AI26:AL26"/>
    <mergeCell ref="AI28:AL28"/>
    <mergeCell ref="Y29:AB29"/>
    <mergeCell ref="AD29:AG29"/>
    <mergeCell ref="Y30:AB30"/>
    <mergeCell ref="AD30:AG30"/>
    <mergeCell ref="AD31:AG31"/>
    <mergeCell ref="AI31:AL31"/>
    <mergeCell ref="AD32:AG32"/>
    <mergeCell ref="AI32:AL32"/>
    <mergeCell ref="AD33:AG33"/>
    <mergeCell ref="AI33:AL33"/>
    <mergeCell ref="AD34:AG34"/>
    <mergeCell ref="AI34:AL34"/>
    <mergeCell ref="AI35:AL35"/>
    <mergeCell ref="AI36:AL36"/>
    <mergeCell ref="AI37:AL37"/>
    <mergeCell ref="AI38:AL38"/>
    <mergeCell ref="AI39:AL39"/>
    <mergeCell ref="AD41:AG41"/>
    <mergeCell ref="AI40:AL40"/>
    <mergeCell ref="AI41:AL41"/>
    <mergeCell ref="AI42:AL42"/>
    <mergeCell ref="AI43:AL43"/>
    <mergeCell ref="AI44:AL44"/>
    <mergeCell ref="AD45:AG45"/>
    <mergeCell ref="AD46:AG46"/>
    <mergeCell ref="AD47:AG47"/>
    <mergeCell ref="AD48:AG48"/>
    <mergeCell ref="AD49:AG49"/>
    <mergeCell ref="AD50:AG50"/>
    <mergeCell ref="AD51:AG51"/>
    <mergeCell ref="AD52:AG52"/>
    <mergeCell ref="AD53:AG53"/>
    <mergeCell ref="AD75:AG75"/>
    <mergeCell ref="AD76:AG76"/>
    <mergeCell ref="AD77:AG77"/>
    <mergeCell ref="AD78:AG78"/>
    <mergeCell ref="AD79:AG79"/>
    <mergeCell ref="AD80:AG80"/>
    <mergeCell ref="AD81:AG81"/>
    <mergeCell ref="AD82:AG82"/>
    <mergeCell ref="AD83:AG83"/>
    <mergeCell ref="Y95:AB95"/>
    <mergeCell ref="AD95:AG95"/>
    <mergeCell ref="Y96:AB96"/>
    <mergeCell ref="AD96:AG96"/>
    <mergeCell ref="Y97:AB97"/>
    <mergeCell ref="T151:AM154"/>
    <mergeCell ref="T155:AM155"/>
    <mergeCell ref="Y108:AB108"/>
    <mergeCell ref="AD108:AG108"/>
    <mergeCell ref="AD125:AG125"/>
    <mergeCell ref="AD126:AG126"/>
    <mergeCell ref="U141:AM141"/>
    <mergeCell ref="V142:AM142"/>
    <mergeCell ref="Z147:AM147"/>
    <mergeCell ref="AI146:AL146"/>
    <mergeCell ref="AI148:AL148"/>
    <mergeCell ref="AI149:AL149"/>
    <mergeCell ref="AI150:AL150"/>
    <mergeCell ref="AI135:AL135"/>
    <mergeCell ref="AI136:AL136"/>
    <mergeCell ref="AI137:AL137"/>
    <mergeCell ref="AI138:AL138"/>
    <mergeCell ref="AI139:AL139"/>
    <mergeCell ref="AI144:AL144"/>
    <mergeCell ref="AI145:AL145"/>
    <mergeCell ref="AI80:AL80"/>
    <mergeCell ref="AI81:AL81"/>
    <mergeCell ref="AI82:AL82"/>
    <mergeCell ref="AI83:AL83"/>
    <mergeCell ref="AI84:AL84"/>
    <mergeCell ref="AI85:AL85"/>
    <mergeCell ref="AI86:AL86"/>
    <mergeCell ref="AI87:AL87"/>
    <mergeCell ref="AI88:AL88"/>
    <mergeCell ref="AI95:AL95"/>
    <mergeCell ref="AI96:AL96"/>
    <mergeCell ref="AI97:AL97"/>
    <mergeCell ref="AI98:AL98"/>
    <mergeCell ref="AI99:AL99"/>
    <mergeCell ref="AI100:AL100"/>
    <mergeCell ref="AI101:AL101"/>
    <mergeCell ref="AI102:AL102"/>
    <mergeCell ref="AI103:AL103"/>
    <mergeCell ref="AI104:AL104"/>
    <mergeCell ref="AI105:AL105"/>
    <mergeCell ref="AI106:AL106"/>
    <mergeCell ref="AI107:AL107"/>
    <mergeCell ref="AI108:AL108"/>
    <mergeCell ref="AI109:AL109"/>
    <mergeCell ref="AI110:AL110"/>
    <mergeCell ref="AI111:AL111"/>
    <mergeCell ref="AI112:AL112"/>
    <mergeCell ref="AI113:AL113"/>
    <mergeCell ref="AI114:AL114"/>
    <mergeCell ref="AI115:AL115"/>
    <mergeCell ref="AI116:AL116"/>
    <mergeCell ref="AI117:AL117"/>
    <mergeCell ref="AI118:AL118"/>
    <mergeCell ref="AI119:AL119"/>
    <mergeCell ref="AI120:AL120"/>
    <mergeCell ref="AI121:AL121"/>
    <mergeCell ref="AI122:AL122"/>
    <mergeCell ref="AI123:AL123"/>
    <mergeCell ref="AI124:AL124"/>
    <mergeCell ref="AI125:AL125"/>
    <mergeCell ref="AI126:AL126"/>
    <mergeCell ref="AI127:AL127"/>
    <mergeCell ref="AI128:AL128"/>
    <mergeCell ref="AI129:AL129"/>
    <mergeCell ref="AI130:AL130"/>
    <mergeCell ref="AI131:AL131"/>
    <mergeCell ref="AI132:AL132"/>
    <mergeCell ref="AI133:AL133"/>
    <mergeCell ref="AI134:AL134"/>
    <mergeCell ref="N160:Q160"/>
    <mergeCell ref="T160:W160"/>
    <mergeCell ref="N161:Q161"/>
    <mergeCell ref="N162:Q162"/>
    <mergeCell ref="N163:Q163"/>
    <mergeCell ref="N164:Q164"/>
    <mergeCell ref="N165:Q165"/>
    <mergeCell ref="N166:Q166"/>
    <mergeCell ref="N167:Q167"/>
    <mergeCell ref="N168:Q168"/>
    <mergeCell ref="N169:Q169"/>
    <mergeCell ref="N170:Q170"/>
    <mergeCell ref="N171:Q171"/>
    <mergeCell ref="T172:W172"/>
    <mergeCell ref="T173:W173"/>
    <mergeCell ref="N172:Q172"/>
    <mergeCell ref="N173:Q173"/>
    <mergeCell ref="B176:R177"/>
    <mergeCell ref="N178:Q178"/>
    <mergeCell ref="N179:Q179"/>
    <mergeCell ref="N180:Q180"/>
    <mergeCell ref="N181:Q181"/>
    <mergeCell ref="N188:Q188"/>
    <mergeCell ref="N190:Q190"/>
    <mergeCell ref="N191:Q191"/>
    <mergeCell ref="N192:Q192"/>
    <mergeCell ref="N182:Q182"/>
    <mergeCell ref="N183:Q183"/>
    <mergeCell ref="N184:Q184"/>
    <mergeCell ref="N185:Q185"/>
    <mergeCell ref="N186:Q186"/>
    <mergeCell ref="N187:Q187"/>
    <mergeCell ref="B189:R189"/>
    <mergeCell ref="B194:N195"/>
    <mergeCell ref="J196:M196"/>
    <mergeCell ref="J197:M197"/>
    <mergeCell ref="J198:M198"/>
    <mergeCell ref="J199:M199"/>
    <mergeCell ref="J200:M200"/>
    <mergeCell ref="J201:M201"/>
    <mergeCell ref="O209:R209"/>
    <mergeCell ref="O210:R210"/>
    <mergeCell ref="C208:M208"/>
    <mergeCell ref="N208:R208"/>
    <mergeCell ref="B203:R204"/>
    <mergeCell ref="B205:B207"/>
    <mergeCell ref="C205:M205"/>
    <mergeCell ref="N205:R205"/>
    <mergeCell ref="O206:R206"/>
    <mergeCell ref="O207:R207"/>
    <mergeCell ref="B208:B210"/>
    <mergeCell ref="N214:R214"/>
    <mergeCell ref="O215:R215"/>
    <mergeCell ref="O216:R216"/>
    <mergeCell ref="O217:R217"/>
    <mergeCell ref="O218:R218"/>
    <mergeCell ref="O219:R219"/>
    <mergeCell ref="B211:B213"/>
    <mergeCell ref="C211:M211"/>
    <mergeCell ref="N211:R211"/>
    <mergeCell ref="O212:R212"/>
    <mergeCell ref="O213:R213"/>
    <mergeCell ref="B214:B219"/>
    <mergeCell ref="C214:M214"/>
    <mergeCell ref="O230:R230"/>
    <mergeCell ref="O231:R231"/>
    <mergeCell ref="O232:R232"/>
    <mergeCell ref="O233:R233"/>
    <mergeCell ref="O234:R234"/>
    <mergeCell ref="O235:R235"/>
    <mergeCell ref="O237:R237"/>
    <mergeCell ref="O238:R238"/>
    <mergeCell ref="O239:R239"/>
    <mergeCell ref="O240:R240"/>
    <mergeCell ref="O241:R241"/>
    <mergeCell ref="O242:R242"/>
    <mergeCell ref="O243:R243"/>
    <mergeCell ref="O244:R244"/>
    <mergeCell ref="O245:R245"/>
    <mergeCell ref="O246:R246"/>
    <mergeCell ref="J226:M226"/>
    <mergeCell ref="O236:R236"/>
    <mergeCell ref="B221:N222"/>
    <mergeCell ref="J223:M223"/>
    <mergeCell ref="J224:M224"/>
    <mergeCell ref="J225:M225"/>
    <mergeCell ref="B228:R229"/>
    <mergeCell ref="B230:B235"/>
    <mergeCell ref="B236:B246"/>
    <mergeCell ref="O253:R253"/>
    <mergeCell ref="O254:R254"/>
    <mergeCell ref="B247:B255"/>
    <mergeCell ref="B256:B261"/>
    <mergeCell ref="B262:B265"/>
    <mergeCell ref="O247:R247"/>
    <mergeCell ref="O248:R248"/>
    <mergeCell ref="O249:R249"/>
    <mergeCell ref="O250:R250"/>
    <mergeCell ref="O251:R251"/>
    <mergeCell ref="O252:R252"/>
    <mergeCell ref="O255:R255"/>
    <mergeCell ref="O256:R256"/>
    <mergeCell ref="O257:R257"/>
    <mergeCell ref="O258:R258"/>
    <mergeCell ref="O259:R259"/>
    <mergeCell ref="O260:R260"/>
    <mergeCell ref="O261:R261"/>
    <mergeCell ref="O262:R262"/>
    <mergeCell ref="M274:P274"/>
    <mergeCell ref="M275:P275"/>
    <mergeCell ref="R275:U275"/>
    <mergeCell ref="W275:Z275"/>
    <mergeCell ref="W271:Z271"/>
    <mergeCell ref="W272:Z272"/>
    <mergeCell ref="M273:P273"/>
    <mergeCell ref="R273:U273"/>
    <mergeCell ref="W273:Z273"/>
    <mergeCell ref="R274:U274"/>
    <mergeCell ref="W274:Z274"/>
    <mergeCell ref="O263:R263"/>
    <mergeCell ref="O264:R264"/>
    <mergeCell ref="O265:R265"/>
    <mergeCell ref="B267:AF268"/>
    <mergeCell ref="B269:K270"/>
    <mergeCell ref="L269:P270"/>
    <mergeCell ref="V269:AF269"/>
    <mergeCell ref="AA270:AE270"/>
    <mergeCell ref="Q269:U270"/>
    <mergeCell ref="V270:Z270"/>
    <mergeCell ref="M271:P271"/>
    <mergeCell ref="R271:U271"/>
    <mergeCell ref="AB271:AE271"/>
    <mergeCell ref="M272:P272"/>
    <mergeCell ref="R272:U272"/>
    <mergeCell ref="Q279:U279"/>
    <mergeCell ref="R280:U280"/>
    <mergeCell ref="W280:Z280"/>
    <mergeCell ref="AB280:AE280"/>
    <mergeCell ref="R281:U281"/>
    <mergeCell ref="W281:Z281"/>
    <mergeCell ref="AB281:AE281"/>
    <mergeCell ref="R282:U282"/>
    <mergeCell ref="W282:Z282"/>
    <mergeCell ref="AB282:AE282"/>
    <mergeCell ref="R283:U283"/>
    <mergeCell ref="W283:Z283"/>
    <mergeCell ref="R303:U303"/>
    <mergeCell ref="R304:U304"/>
    <mergeCell ref="R299:U299"/>
    <mergeCell ref="R300:U300"/>
    <mergeCell ref="W300:Z300"/>
    <mergeCell ref="R301:U301"/>
    <mergeCell ref="W301:Z301"/>
    <mergeCell ref="R302:U302"/>
    <mergeCell ref="W302:Z302"/>
    <mergeCell ref="AB283:AE283"/>
    <mergeCell ref="R284:U284"/>
    <mergeCell ref="W284:Z284"/>
    <mergeCell ref="AB284:AE284"/>
    <mergeCell ref="AB285:AE285"/>
    <mergeCell ref="AB286:AE286"/>
    <mergeCell ref="B279:B289"/>
    <mergeCell ref="B290:B295"/>
    <mergeCell ref="B297:B304"/>
    <mergeCell ref="AB272:AE272"/>
    <mergeCell ref="AB275:AE275"/>
    <mergeCell ref="B277:AE278"/>
    <mergeCell ref="C279:P279"/>
    <mergeCell ref="V279:Z279"/>
    <mergeCell ref="AA279:AE279"/>
    <mergeCell ref="AB289:AE289"/>
    <mergeCell ref="AB287:AE287"/>
    <mergeCell ref="AB288:AE288"/>
    <mergeCell ref="AB290:AE290"/>
    <mergeCell ref="R291:U291"/>
    <mergeCell ref="W291:Z291"/>
    <mergeCell ref="AB291:AE291"/>
    <mergeCell ref="AB292:AE292"/>
    <mergeCell ref="W292:Z292"/>
    <mergeCell ref="W293:Z293"/>
    <mergeCell ref="AB293:AE293"/>
    <mergeCell ref="AB294:AE294"/>
    <mergeCell ref="AB295:AE295"/>
    <mergeCell ref="R296:U296"/>
    <mergeCell ref="AB296:AE296"/>
    <mergeCell ref="H296:K296"/>
    <mergeCell ref="C297:P297"/>
    <mergeCell ref="Q297:U297"/>
    <mergeCell ref="V297:Z297"/>
    <mergeCell ref="R298:U298"/>
    <mergeCell ref="W298:Z298"/>
    <mergeCell ref="W299:Z299"/>
    <mergeCell ref="B305:P306"/>
    <mergeCell ref="Q305:U305"/>
    <mergeCell ref="V305:Z305"/>
    <mergeCell ref="AA305:AE305"/>
    <mergeCell ref="R306:U306"/>
    <mergeCell ref="W306:Z306"/>
    <mergeCell ref="AB306:AE306"/>
    <mergeCell ref="B308:R309"/>
    <mergeCell ref="N310:Q310"/>
    <mergeCell ref="N311:Q311"/>
    <mergeCell ref="N312:Q312"/>
    <mergeCell ref="N313:Q313"/>
    <mergeCell ref="N314:Q314"/>
    <mergeCell ref="N315:Q315"/>
    <mergeCell ref="N316:Q316"/>
    <mergeCell ref="N317:Q317"/>
    <mergeCell ref="N318:Q318"/>
    <mergeCell ref="N319:Q319"/>
    <mergeCell ref="N320:Q320"/>
    <mergeCell ref="B322:R323"/>
    <mergeCell ref="N324:Q324"/>
    <mergeCell ref="N325:Q325"/>
    <mergeCell ref="N326:Q326"/>
    <mergeCell ref="N327:Q327"/>
    <mergeCell ref="N328:Q328"/>
    <mergeCell ref="B330:R331"/>
    <mergeCell ref="N332:Q332"/>
    <mergeCell ref="N333:Q333"/>
    <mergeCell ref="N342:Q342"/>
    <mergeCell ref="N343:Q343"/>
    <mergeCell ref="N344:Q344"/>
    <mergeCell ref="N345:Q345"/>
    <mergeCell ref="N346:Q346"/>
    <mergeCell ref="N347:Q347"/>
    <mergeCell ref="N371:Q371"/>
    <mergeCell ref="N372:Q372"/>
    <mergeCell ref="N364:Q364"/>
    <mergeCell ref="N365:Q365"/>
    <mergeCell ref="N366:Q366"/>
    <mergeCell ref="N367:Q367"/>
    <mergeCell ref="N368:Q368"/>
    <mergeCell ref="N369:Q369"/>
    <mergeCell ref="N370:Q370"/>
    <mergeCell ref="N380:Q380"/>
    <mergeCell ref="N381:Q381"/>
    <mergeCell ref="N373:Q373"/>
    <mergeCell ref="N374:Q374"/>
    <mergeCell ref="N375:Q375"/>
    <mergeCell ref="N376:Q376"/>
    <mergeCell ref="N377:Q377"/>
    <mergeCell ref="N378:Q378"/>
    <mergeCell ref="N379:Q379"/>
    <mergeCell ref="N356:Q356"/>
    <mergeCell ref="N357:Q357"/>
    <mergeCell ref="N359:Q359"/>
    <mergeCell ref="N360:Q360"/>
    <mergeCell ref="N361:Q361"/>
    <mergeCell ref="N362:Q362"/>
    <mergeCell ref="N363:Q363"/>
    <mergeCell ref="N382:Q382"/>
    <mergeCell ref="N383:Q383"/>
    <mergeCell ref="N384:Q384"/>
    <mergeCell ref="N385:Q385"/>
    <mergeCell ref="N386:Q386"/>
    <mergeCell ref="N387:Q387"/>
    <mergeCell ref="N388:Q388"/>
    <mergeCell ref="N348:Q348"/>
    <mergeCell ref="N349:Q349"/>
    <mergeCell ref="N350:Q350"/>
    <mergeCell ref="N351:Q351"/>
    <mergeCell ref="N352:Q352"/>
    <mergeCell ref="N353:Q353"/>
    <mergeCell ref="N354:Q354"/>
    <mergeCell ref="N355:Q355"/>
    <mergeCell ref="B340:B358"/>
    <mergeCell ref="B359:B393"/>
    <mergeCell ref="N334:Q334"/>
    <mergeCell ref="N335:Q335"/>
    <mergeCell ref="N336:Q336"/>
    <mergeCell ref="B338:R339"/>
    <mergeCell ref="N340:Q340"/>
    <mergeCell ref="N341:Q341"/>
    <mergeCell ref="N358:Q358"/>
    <mergeCell ref="N389:Q389"/>
    <mergeCell ref="C390:R390"/>
    <mergeCell ref="N391:Q391"/>
    <mergeCell ref="N392:Q392"/>
    <mergeCell ref="N393:Q393"/>
    <mergeCell ref="B395:R396"/>
    <mergeCell ref="N397:Q397"/>
    <mergeCell ref="N398:Q398"/>
    <mergeCell ref="N399:Q399"/>
    <mergeCell ref="N400:Q400"/>
    <mergeCell ref="N401:Q401"/>
    <mergeCell ref="N402:Q402"/>
    <mergeCell ref="N403:Q403"/>
    <mergeCell ref="N404:Q404"/>
    <mergeCell ref="N405:Q405"/>
    <mergeCell ref="N406:Q406"/>
    <mergeCell ref="B408:R409"/>
    <mergeCell ref="N410:Q410"/>
    <mergeCell ref="N411:Q411"/>
    <mergeCell ref="N412:Q412"/>
    <mergeCell ref="N413:Q413"/>
    <mergeCell ref="N414:Q414"/>
    <mergeCell ref="N415:Q415"/>
    <mergeCell ref="N416:Q416"/>
    <mergeCell ref="N417:Q417"/>
    <mergeCell ref="N418:Q418"/>
    <mergeCell ref="N419:Q419"/>
    <mergeCell ref="N420:Q420"/>
    <mergeCell ref="N428:Q428"/>
    <mergeCell ref="N429:Q429"/>
    <mergeCell ref="N430:Q430"/>
    <mergeCell ref="N431:Q431"/>
    <mergeCell ref="N432:Q432"/>
    <mergeCell ref="N433:Q433"/>
    <mergeCell ref="B435:AW435"/>
    <mergeCell ref="S436:AQ436"/>
    <mergeCell ref="N421:Q421"/>
    <mergeCell ref="N422:Q422"/>
    <mergeCell ref="N423:Q423"/>
    <mergeCell ref="N424:Q424"/>
    <mergeCell ref="N425:Q425"/>
    <mergeCell ref="N426:Q426"/>
    <mergeCell ref="N427:Q427"/>
    <mergeCell ref="I436:M438"/>
    <mergeCell ref="N436:R438"/>
    <mergeCell ref="AR436:AV438"/>
    <mergeCell ref="S437:AG437"/>
    <mergeCell ref="AH437:AL438"/>
    <mergeCell ref="AM437:AQ438"/>
    <mergeCell ref="S438:W438"/>
    <mergeCell ref="AI439:AL439"/>
    <mergeCell ref="AN439:AQ439"/>
    <mergeCell ref="AS439:AV439"/>
    <mergeCell ref="AD439:AG439"/>
    <mergeCell ref="AD440:AG440"/>
    <mergeCell ref="AI440:AL440"/>
    <mergeCell ref="AN440:AQ440"/>
    <mergeCell ref="X438:AB438"/>
    <mergeCell ref="AC438:AG438"/>
    <mergeCell ref="J439:M439"/>
    <mergeCell ref="O439:R439"/>
    <mergeCell ref="T439:W439"/>
    <mergeCell ref="Y439:AB439"/>
    <mergeCell ref="T440:W440"/>
    <mergeCell ref="O441:R441"/>
    <mergeCell ref="T441:W441"/>
    <mergeCell ref="Y441:AB441"/>
    <mergeCell ref="AD441:AG441"/>
    <mergeCell ref="AI441:AL441"/>
    <mergeCell ref="AN441:AQ441"/>
    <mergeCell ref="AS441:AV441"/>
    <mergeCell ref="AN442:AQ442"/>
    <mergeCell ref="AS442:AV442"/>
    <mergeCell ref="AN443:AQ443"/>
    <mergeCell ref="AS443:AV443"/>
    <mergeCell ref="AN444:AQ444"/>
    <mergeCell ref="AN445:AQ445"/>
    <mergeCell ref="AS445:AV445"/>
    <mergeCell ref="Y442:AB442"/>
    <mergeCell ref="Y443:AB443"/>
    <mergeCell ref="Y445:AB445"/>
    <mergeCell ref="AI442:AL442"/>
    <mergeCell ref="AI443:AL443"/>
    <mergeCell ref="AD444:AG444"/>
    <mergeCell ref="AI444:AL444"/>
    <mergeCell ref="AD445:AG445"/>
    <mergeCell ref="AI445:AL445"/>
    <mergeCell ref="J441:M441"/>
    <mergeCell ref="J442:M442"/>
    <mergeCell ref="T442:W442"/>
    <mergeCell ref="AD442:AG442"/>
    <mergeCell ref="J443:M443"/>
    <mergeCell ref="T443:W443"/>
    <mergeCell ref="AD443:AG443"/>
    <mergeCell ref="AD449:AG449"/>
    <mergeCell ref="AD450:AG450"/>
    <mergeCell ref="J448:M448"/>
    <mergeCell ref="J449:M449"/>
    <mergeCell ref="O449:R449"/>
    <mergeCell ref="T449:W449"/>
    <mergeCell ref="Y449:AB449"/>
    <mergeCell ref="AI449:AL449"/>
    <mergeCell ref="T450:W450"/>
    <mergeCell ref="I454:R454"/>
    <mergeCell ref="I455:M455"/>
    <mergeCell ref="N455:R455"/>
    <mergeCell ref="S455:W455"/>
    <mergeCell ref="X455:AB455"/>
    <mergeCell ref="AI450:AL450"/>
    <mergeCell ref="B452:AW452"/>
    <mergeCell ref="I453:AG453"/>
    <mergeCell ref="AH453:AV453"/>
    <mergeCell ref="S454:AB454"/>
    <mergeCell ref="AC454:AG455"/>
    <mergeCell ref="AR454:AV455"/>
    <mergeCell ref="O445:R445"/>
    <mergeCell ref="O446:R446"/>
    <mergeCell ref="Y446:AB446"/>
    <mergeCell ref="AD446:AG446"/>
    <mergeCell ref="AI446:AL446"/>
    <mergeCell ref="AN446:AQ446"/>
    <mergeCell ref="AS446:AV446"/>
    <mergeCell ref="AN447:AQ447"/>
    <mergeCell ref="AS447:AV447"/>
    <mergeCell ref="J446:M446"/>
    <mergeCell ref="J447:M447"/>
    <mergeCell ref="O447:R447"/>
    <mergeCell ref="T447:W447"/>
    <mergeCell ref="Y447:AB447"/>
    <mergeCell ref="AD447:AG447"/>
    <mergeCell ref="AI447:AL447"/>
    <mergeCell ref="O442:R442"/>
    <mergeCell ref="O443:R443"/>
    <mergeCell ref="J444:M444"/>
    <mergeCell ref="O444:R444"/>
    <mergeCell ref="J445:M445"/>
    <mergeCell ref="T445:W445"/>
    <mergeCell ref="T446:W446"/>
    <mergeCell ref="O448:R448"/>
    <mergeCell ref="T448:W448"/>
    <mergeCell ref="Y448:AB448"/>
    <mergeCell ref="AD448:AG448"/>
    <mergeCell ref="AI448:AL448"/>
    <mergeCell ref="AN448:AQ448"/>
    <mergeCell ref="AS448:AV448"/>
    <mergeCell ref="AN449:AQ449"/>
    <mergeCell ref="AS449:AV449"/>
    <mergeCell ref="AN450:AQ450"/>
    <mergeCell ref="AI456:AL456"/>
    <mergeCell ref="AN456:AQ456"/>
    <mergeCell ref="AS456:AV456"/>
    <mergeCell ref="Y456:AB456"/>
    <mergeCell ref="Y457:AB457"/>
    <mergeCell ref="Y458:AB458"/>
    <mergeCell ref="AD458:AG458"/>
    <mergeCell ref="AI458:AL458"/>
    <mergeCell ref="AN458:AQ458"/>
    <mergeCell ref="AS458:AV458"/>
    <mergeCell ref="AH454:AL455"/>
    <mergeCell ref="AM454:AQ455"/>
    <mergeCell ref="J456:M456"/>
    <mergeCell ref="T456:W456"/>
    <mergeCell ref="AD456:AG456"/>
    <mergeCell ref="J457:M457"/>
    <mergeCell ref="T457:W457"/>
    <mergeCell ref="T459:W459"/>
    <mergeCell ref="Y459:AB459"/>
    <mergeCell ref="AD459:AG459"/>
    <mergeCell ref="AI459:AL459"/>
    <mergeCell ref="AN459:AQ459"/>
    <mergeCell ref="AS459:AV459"/>
    <mergeCell ref="T460:W460"/>
    <mergeCell ref="Y460:AB460"/>
    <mergeCell ref="AD460:AG460"/>
    <mergeCell ref="O456:R456"/>
    <mergeCell ref="O457:R457"/>
    <mergeCell ref="J458:M458"/>
    <mergeCell ref="O458:R458"/>
    <mergeCell ref="T458:W458"/>
    <mergeCell ref="J459:M459"/>
    <mergeCell ref="O459:R459"/>
    <mergeCell ref="O461:R461"/>
    <mergeCell ref="T461:W461"/>
    <mergeCell ref="Y461:AB461"/>
    <mergeCell ref="AD461:AG461"/>
    <mergeCell ref="AI461:AL461"/>
    <mergeCell ref="AN461:AQ461"/>
    <mergeCell ref="AS461:AV461"/>
    <mergeCell ref="AN462:AQ462"/>
    <mergeCell ref="AS462:AV462"/>
    <mergeCell ref="Y466:AB466"/>
    <mergeCell ref="Y467:AB467"/>
    <mergeCell ref="Y462:AB462"/>
    <mergeCell ref="Y463:AB463"/>
    <mergeCell ref="Y464:AB464"/>
    <mergeCell ref="AD464:AG464"/>
    <mergeCell ref="Y465:AB465"/>
    <mergeCell ref="AD465:AG465"/>
    <mergeCell ref="AD466:AG466"/>
    <mergeCell ref="AD467:AG467"/>
    <mergeCell ref="T465:W465"/>
    <mergeCell ref="T466:W466"/>
    <mergeCell ref="T467:W467"/>
    <mergeCell ref="T468:W468"/>
    <mergeCell ref="J467:M467"/>
    <mergeCell ref="O467:R467"/>
    <mergeCell ref="J468:M468"/>
    <mergeCell ref="O468:R468"/>
    <mergeCell ref="Y468:AB468"/>
    <mergeCell ref="B470:R471"/>
    <mergeCell ref="N472:Q472"/>
    <mergeCell ref="J461:M461"/>
    <mergeCell ref="J462:M462"/>
    <mergeCell ref="T462:W462"/>
    <mergeCell ref="AD462:AG462"/>
    <mergeCell ref="J463:M463"/>
    <mergeCell ref="T463:W463"/>
    <mergeCell ref="AD463:AG463"/>
    <mergeCell ref="AN464:AQ464"/>
    <mergeCell ref="AN465:AQ465"/>
    <mergeCell ref="AN466:AQ466"/>
    <mergeCell ref="AN467:AQ467"/>
    <mergeCell ref="AI465:AL465"/>
    <mergeCell ref="AI466:AL466"/>
    <mergeCell ref="AI467:AL467"/>
    <mergeCell ref="O462:R462"/>
    <mergeCell ref="O463:R463"/>
    <mergeCell ref="J464:M464"/>
    <mergeCell ref="O464:R464"/>
    <mergeCell ref="T464:W464"/>
    <mergeCell ref="J465:M465"/>
    <mergeCell ref="O465:R465"/>
    <mergeCell ref="AS466:AV466"/>
    <mergeCell ref="AS467:AV467"/>
    <mergeCell ref="AI462:AL462"/>
    <mergeCell ref="AI463:AL463"/>
    <mergeCell ref="AN463:AQ463"/>
    <mergeCell ref="AS463:AV463"/>
    <mergeCell ref="AI464:AL464"/>
    <mergeCell ref="AS464:AV464"/>
    <mergeCell ref="AS465:AV465"/>
    <mergeCell ref="N473:Q473"/>
    <mergeCell ref="N474:Q474"/>
    <mergeCell ref="N475:Q475"/>
    <mergeCell ref="N476:Q476"/>
    <mergeCell ref="N477:Q477"/>
    <mergeCell ref="N478:Q478"/>
    <mergeCell ref="N479:Q479"/>
    <mergeCell ref="N480:Q480"/>
    <mergeCell ref="N481:Q481"/>
    <mergeCell ref="N482:Q482"/>
    <mergeCell ref="N483:Q483"/>
    <mergeCell ref="N484:Q484"/>
    <mergeCell ref="N485:Q485"/>
    <mergeCell ref="N486:Q486"/>
    <mergeCell ref="N487:Q487"/>
    <mergeCell ref="N488:Q488"/>
    <mergeCell ref="N489:Q489"/>
    <mergeCell ref="N490:Q490"/>
    <mergeCell ref="N491:Q491"/>
    <mergeCell ref="N492:Q492"/>
    <mergeCell ref="N493:Q493"/>
    <mergeCell ref="N494:Q494"/>
    <mergeCell ref="N495:Q495"/>
    <mergeCell ref="N496:Q496"/>
    <mergeCell ref="N497:Q497"/>
    <mergeCell ref="N498:Q498"/>
    <mergeCell ref="N499:Q499"/>
    <mergeCell ref="N500:Q500"/>
    <mergeCell ref="N501:Q501"/>
    <mergeCell ref="N502:Q502"/>
    <mergeCell ref="N503:Q503"/>
    <mergeCell ref="N504:Q504"/>
    <mergeCell ref="N505:Q505"/>
    <mergeCell ref="N506:Q506"/>
    <mergeCell ref="N507:Q507"/>
    <mergeCell ref="N508:Q508"/>
    <mergeCell ref="N509:Q509"/>
    <mergeCell ref="N510:Q510"/>
    <mergeCell ref="B511:R511"/>
    <mergeCell ref="N512:Q512"/>
    <mergeCell ref="N513:Q513"/>
    <mergeCell ref="B516:R517"/>
    <mergeCell ref="N514:Q514"/>
    <mergeCell ref="N518:Q518"/>
    <mergeCell ref="N519:Q519"/>
    <mergeCell ref="N520:Q520"/>
    <mergeCell ref="N521:Q521"/>
    <mergeCell ref="N522:Q522"/>
    <mergeCell ref="N523:Q523"/>
    <mergeCell ref="N524:Q524"/>
    <mergeCell ref="N525:Q525"/>
    <mergeCell ref="N526:Q526"/>
    <mergeCell ref="N527:Q527"/>
    <mergeCell ref="B529:R530"/>
    <mergeCell ref="N531:Q531"/>
    <mergeCell ref="N532:Q532"/>
    <mergeCell ref="N630:Q630"/>
    <mergeCell ref="N631:Q631"/>
    <mergeCell ref="N632:Q632"/>
    <mergeCell ref="N633:Q633"/>
    <mergeCell ref="N634:Q634"/>
    <mergeCell ref="N635:Q635"/>
    <mergeCell ref="N636:Q636"/>
    <mergeCell ref="N637:Q637"/>
    <mergeCell ref="N638:Q638"/>
    <mergeCell ref="N639:Q639"/>
    <mergeCell ref="N640:Q640"/>
    <mergeCell ref="N641:Q641"/>
    <mergeCell ref="N642:Q642"/>
    <mergeCell ref="B645:W646"/>
    <mergeCell ref="N650:Q650"/>
    <mergeCell ref="N651:Q651"/>
    <mergeCell ref="B652:W652"/>
    <mergeCell ref="B655:W655"/>
    <mergeCell ref="B661:W661"/>
    <mergeCell ref="N643:Q643"/>
    <mergeCell ref="N647:Q647"/>
    <mergeCell ref="M648:Q648"/>
    <mergeCell ref="R648:V648"/>
    <mergeCell ref="N649:Q649"/>
    <mergeCell ref="S649:V649"/>
    <mergeCell ref="S650:V650"/>
    <mergeCell ref="S660:V660"/>
    <mergeCell ref="S662:V662"/>
    <mergeCell ref="S663:V663"/>
    <mergeCell ref="N665:Q665"/>
    <mergeCell ref="S665:V665"/>
    <mergeCell ref="S651:V651"/>
    <mergeCell ref="S653:V653"/>
    <mergeCell ref="S654:V654"/>
    <mergeCell ref="S656:V656"/>
    <mergeCell ref="S657:V657"/>
    <mergeCell ref="S658:V658"/>
    <mergeCell ref="S659:V659"/>
    <mergeCell ref="T581:W581"/>
    <mergeCell ref="T582:W582"/>
    <mergeCell ref="Y582:AB582"/>
    <mergeCell ref="T583:W583"/>
    <mergeCell ref="Y583:AB583"/>
    <mergeCell ref="T584:W584"/>
    <mergeCell ref="Y584:AB584"/>
    <mergeCell ref="T586:W586"/>
    <mergeCell ref="Y586:AB586"/>
    <mergeCell ref="T587:W587"/>
    <mergeCell ref="Y587:AB587"/>
    <mergeCell ref="B589:R590"/>
    <mergeCell ref="N591:Q591"/>
    <mergeCell ref="N592:Q592"/>
    <mergeCell ref="N593:Q593"/>
    <mergeCell ref="N594:Q594"/>
    <mergeCell ref="N595:Q595"/>
    <mergeCell ref="N596:Q596"/>
    <mergeCell ref="N597:Q597"/>
    <mergeCell ref="N598:Q598"/>
    <mergeCell ref="N599:Q599"/>
    <mergeCell ref="N600:Q600"/>
    <mergeCell ref="N601:Q601"/>
    <mergeCell ref="N602:Q602"/>
    <mergeCell ref="N603:Q603"/>
    <mergeCell ref="N604:Q604"/>
    <mergeCell ref="N605:Q605"/>
    <mergeCell ref="N606:Q606"/>
    <mergeCell ref="N607:Q607"/>
    <mergeCell ref="N608:Q608"/>
    <mergeCell ref="N609:Q609"/>
    <mergeCell ref="N610:Q610"/>
    <mergeCell ref="N611:Q611"/>
    <mergeCell ref="N612:Q612"/>
    <mergeCell ref="N613:Q613"/>
    <mergeCell ref="N614:Q614"/>
    <mergeCell ref="N615:Q615"/>
    <mergeCell ref="N616:Q616"/>
    <mergeCell ref="N617:Q617"/>
    <mergeCell ref="N618:Q618"/>
    <mergeCell ref="N619:Q619"/>
    <mergeCell ref="N620:Q620"/>
    <mergeCell ref="N621:Q621"/>
    <mergeCell ref="N622:Q622"/>
    <mergeCell ref="N623:Q623"/>
    <mergeCell ref="B625:R626"/>
    <mergeCell ref="N627:Q627"/>
    <mergeCell ref="N628:Q628"/>
    <mergeCell ref="N629:Q629"/>
    <mergeCell ref="O559:R559"/>
    <mergeCell ref="O560:R560"/>
    <mergeCell ref="T560:W560"/>
    <mergeCell ref="Y560:AB560"/>
    <mergeCell ref="AD560:AG560"/>
    <mergeCell ref="AI560:AL560"/>
    <mergeCell ref="AN560:AQ560"/>
    <mergeCell ref="J560:M560"/>
    <mergeCell ref="O561:R561"/>
    <mergeCell ref="T561:W561"/>
    <mergeCell ref="Y561:AB561"/>
    <mergeCell ref="AD561:AG561"/>
    <mergeCell ref="AI561:AL561"/>
    <mergeCell ref="AN561:AQ561"/>
    <mergeCell ref="N533:Q533"/>
    <mergeCell ref="N534:Q534"/>
    <mergeCell ref="N535:Q535"/>
    <mergeCell ref="N536:Q536"/>
    <mergeCell ref="N537:Q537"/>
    <mergeCell ref="N538:Q538"/>
    <mergeCell ref="N539:Q539"/>
    <mergeCell ref="N540:Q540"/>
    <mergeCell ref="N541:Q541"/>
    <mergeCell ref="N542:Q542"/>
    <mergeCell ref="N543:Q543"/>
    <mergeCell ref="N544:Q544"/>
    <mergeCell ref="N545:Q545"/>
    <mergeCell ref="N546:Q546"/>
    <mergeCell ref="S557:W557"/>
    <mergeCell ref="X557:AB557"/>
    <mergeCell ref="Y559:AB559"/>
    <mergeCell ref="AD559:AG559"/>
    <mergeCell ref="AI559:AL559"/>
    <mergeCell ref="B554:AR554"/>
    <mergeCell ref="N555:AL555"/>
    <mergeCell ref="AM555:AQ557"/>
    <mergeCell ref="N556:AB556"/>
    <mergeCell ref="AC556:AG557"/>
    <mergeCell ref="AH556:AL557"/>
    <mergeCell ref="N557:R557"/>
    <mergeCell ref="J558:M558"/>
    <mergeCell ref="O558:R558"/>
    <mergeCell ref="T558:W558"/>
    <mergeCell ref="Y558:AB558"/>
    <mergeCell ref="AD558:AG558"/>
    <mergeCell ref="AI558:AL558"/>
    <mergeCell ref="AN558:AQ558"/>
    <mergeCell ref="N547:Q547"/>
    <mergeCell ref="N548:Q548"/>
    <mergeCell ref="N549:Q549"/>
    <mergeCell ref="N550:Q550"/>
    <mergeCell ref="N551:Q551"/>
    <mergeCell ref="N552:Q552"/>
    <mergeCell ref="I555:M557"/>
    <mergeCell ref="Y563:AB563"/>
    <mergeCell ref="Y564:AB564"/>
    <mergeCell ref="O564:R564"/>
    <mergeCell ref="O565:R565"/>
    <mergeCell ref="J566:M566"/>
    <mergeCell ref="O566:R566"/>
    <mergeCell ref="J567:M567"/>
    <mergeCell ref="O567:R567"/>
    <mergeCell ref="J568:M568"/>
    <mergeCell ref="O576:R576"/>
    <mergeCell ref="O577:R577"/>
    <mergeCell ref="O568:R568"/>
    <mergeCell ref="O569:R569"/>
    <mergeCell ref="I573:R573"/>
    <mergeCell ref="J575:M575"/>
    <mergeCell ref="O575:R575"/>
    <mergeCell ref="J576:M576"/>
    <mergeCell ref="J577:M577"/>
    <mergeCell ref="J581:M581"/>
    <mergeCell ref="J582:M582"/>
    <mergeCell ref="J583:M583"/>
    <mergeCell ref="J584:M584"/>
    <mergeCell ref="J585:M585"/>
    <mergeCell ref="J586:M586"/>
    <mergeCell ref="J587:M587"/>
    <mergeCell ref="O582:R582"/>
    <mergeCell ref="O583:R583"/>
    <mergeCell ref="O584:R584"/>
    <mergeCell ref="O585:R585"/>
    <mergeCell ref="O586:R586"/>
    <mergeCell ref="O587:R587"/>
    <mergeCell ref="J578:M578"/>
    <mergeCell ref="O578:R578"/>
    <mergeCell ref="J579:M579"/>
    <mergeCell ref="O579:R579"/>
    <mergeCell ref="J580:M580"/>
    <mergeCell ref="O580:R580"/>
    <mergeCell ref="O581:R581"/>
    <mergeCell ref="AI568:AL568"/>
    <mergeCell ref="AN568:AQ568"/>
    <mergeCell ref="AI569:AL569"/>
    <mergeCell ref="B571:AW571"/>
    <mergeCell ref="I572:AG572"/>
    <mergeCell ref="AH572:AV572"/>
    <mergeCell ref="S573:AB573"/>
    <mergeCell ref="AC573:AG574"/>
    <mergeCell ref="AH573:AL574"/>
    <mergeCell ref="AM573:AQ574"/>
    <mergeCell ref="AR573:AV574"/>
    <mergeCell ref="I574:M574"/>
    <mergeCell ref="N574:R574"/>
    <mergeCell ref="X574:AB574"/>
    <mergeCell ref="AS575:AV575"/>
    <mergeCell ref="J561:M561"/>
    <mergeCell ref="O562:R562"/>
    <mergeCell ref="T562:W562"/>
    <mergeCell ref="Y562:AB562"/>
    <mergeCell ref="AD562:AG562"/>
    <mergeCell ref="AI562:AL562"/>
    <mergeCell ref="AN562:AQ562"/>
    <mergeCell ref="J562:M562"/>
    <mergeCell ref="J563:M563"/>
    <mergeCell ref="AD563:AG563"/>
    <mergeCell ref="J564:M564"/>
    <mergeCell ref="T564:W564"/>
    <mergeCell ref="AD564:AG564"/>
    <mergeCell ref="J565:M565"/>
    <mergeCell ref="AD565:AG565"/>
    <mergeCell ref="AN566:AQ566"/>
    <mergeCell ref="AN567:AQ567"/>
    <mergeCell ref="T567:W567"/>
    <mergeCell ref="T568:W568"/>
    <mergeCell ref="Y568:AB568"/>
    <mergeCell ref="AD568:AG568"/>
    <mergeCell ref="Y569:AB569"/>
    <mergeCell ref="AD569:AG569"/>
    <mergeCell ref="T565:W565"/>
    <mergeCell ref="Y565:AB565"/>
    <mergeCell ref="T566:W566"/>
    <mergeCell ref="Y566:AB566"/>
    <mergeCell ref="AD566:AG566"/>
    <mergeCell ref="Y567:AB567"/>
    <mergeCell ref="AD567:AG567"/>
    <mergeCell ref="AI563:AL563"/>
    <mergeCell ref="AI564:AL564"/>
    <mergeCell ref="AN564:AQ564"/>
    <mergeCell ref="AI565:AL565"/>
    <mergeCell ref="AN565:AQ565"/>
    <mergeCell ref="AI566:AL566"/>
    <mergeCell ref="AI567:AL567"/>
    <mergeCell ref="Y577:AB577"/>
    <mergeCell ref="Y578:AB578"/>
    <mergeCell ref="AI577:AL577"/>
    <mergeCell ref="AI578:AL578"/>
    <mergeCell ref="AD579:AG579"/>
    <mergeCell ref="AD586:AG586"/>
    <mergeCell ref="AI586:AL586"/>
    <mergeCell ref="AD580:AG580"/>
    <mergeCell ref="AD581:AG581"/>
    <mergeCell ref="AD582:AG582"/>
    <mergeCell ref="AI582:AL582"/>
    <mergeCell ref="AD583:AG583"/>
    <mergeCell ref="AI583:AL583"/>
    <mergeCell ref="AI584:AL584"/>
    <mergeCell ref="S574:W574"/>
    <mergeCell ref="T575:W575"/>
    <mergeCell ref="Y575:AB575"/>
    <mergeCell ref="AD575:AG575"/>
    <mergeCell ref="AI575:AL575"/>
    <mergeCell ref="AN575:AQ575"/>
    <mergeCell ref="Y576:AB576"/>
    <mergeCell ref="AS577:AV577"/>
    <mergeCell ref="AS578:AV578"/>
    <mergeCell ref="T576:W576"/>
    <mergeCell ref="T577:W577"/>
    <mergeCell ref="AD577:AG577"/>
    <mergeCell ref="AN577:AQ577"/>
    <mergeCell ref="T578:W578"/>
    <mergeCell ref="AD578:AG578"/>
    <mergeCell ref="AN578:AQ578"/>
    <mergeCell ref="T580:W580"/>
    <mergeCell ref="Y580:AB580"/>
    <mergeCell ref="AI580:AL580"/>
    <mergeCell ref="AS580:AV580"/>
    <mergeCell ref="Y581:AB581"/>
    <mergeCell ref="AI581:AL581"/>
    <mergeCell ref="AS581:AV581"/>
    <mergeCell ref="AD584:AG584"/>
    <mergeCell ref="AD585:AG585"/>
    <mergeCell ref="AI585:AL585"/>
    <mergeCell ref="AN584:AQ584"/>
    <mergeCell ref="AN585:AQ585"/>
    <mergeCell ref="AN586:AQ586"/>
    <mergeCell ref="AS585:AV585"/>
    <mergeCell ref="AS586:AV586"/>
    <mergeCell ref="AN580:AQ580"/>
    <mergeCell ref="AN581:AQ581"/>
    <mergeCell ref="AN582:AQ582"/>
    <mergeCell ref="AS582:AV582"/>
    <mergeCell ref="AN583:AQ583"/>
    <mergeCell ref="AS583:AV583"/>
    <mergeCell ref="AS584:AV584"/>
  </mergeCells>
  <conditionalFormatting sqref="I450">
    <cfRule type="cellIs" dxfId="4" priority="1" operator="lessThan">
      <formula>0</formula>
    </cfRule>
  </conditionalFormatting>
  <conditionalFormatting sqref="I467:I468">
    <cfRule type="cellIs" dxfId="4" priority="2" operator="lessThan">
      <formula>0</formula>
    </cfRule>
  </conditionalFormatting>
  <conditionalFormatting sqref="I569">
    <cfRule type="cellIs" dxfId="4" priority="3" operator="lessThan">
      <formula>0</formula>
    </cfRule>
  </conditionalFormatting>
  <conditionalFormatting sqref="I586:I587">
    <cfRule type="cellIs" dxfId="4" priority="4" operator="lessThan">
      <formula>0</formula>
    </cfRule>
  </conditionalFormatting>
  <conditionalFormatting sqref="N450">
    <cfRule type="cellIs" dxfId="4" priority="5" operator="lessThan">
      <formula>0</formula>
    </cfRule>
  </conditionalFormatting>
  <conditionalFormatting sqref="N467:N468">
    <cfRule type="cellIs" dxfId="4" priority="6" operator="lessThan">
      <formula>0</formula>
    </cfRule>
  </conditionalFormatting>
  <conditionalFormatting sqref="N569">
    <cfRule type="cellIs" dxfId="4" priority="7" operator="lessThan">
      <formula>0</formula>
    </cfRule>
  </conditionalFormatting>
  <conditionalFormatting sqref="N586:N587">
    <cfRule type="cellIs" dxfId="4" priority="8" operator="lessThan">
      <formula>0</formula>
    </cfRule>
  </conditionalFormatting>
  <conditionalFormatting sqref="R397">
    <cfRule type="cellIs" dxfId="5" priority="9" operator="equal">
      <formula>0</formula>
    </cfRule>
  </conditionalFormatting>
  <conditionalFormatting sqref="R406">
    <cfRule type="cellIs" dxfId="5" priority="10" operator="equal">
      <formula>0</formula>
    </cfRule>
  </conditionalFormatting>
  <conditionalFormatting sqref="R432">
    <cfRule type="cellIs" dxfId="5" priority="11" operator="equal">
      <formula>0</formula>
    </cfRule>
  </conditionalFormatting>
  <conditionalFormatting sqref="S147">
    <cfRule type="cellIs" dxfId="5" priority="12" operator="equal">
      <formula>0</formula>
    </cfRule>
  </conditionalFormatting>
  <conditionalFormatting sqref="S450">
    <cfRule type="cellIs" dxfId="4" priority="13" operator="lessThan">
      <formula>0</formula>
    </cfRule>
  </conditionalFormatting>
  <conditionalFormatting sqref="S467:S468">
    <cfRule type="cellIs" dxfId="4" priority="14" operator="lessThan">
      <formula>0</formula>
    </cfRule>
  </conditionalFormatting>
  <conditionalFormatting sqref="S569">
    <cfRule type="cellIs" dxfId="4" priority="15" operator="lessThan">
      <formula>0</formula>
    </cfRule>
  </conditionalFormatting>
  <conditionalFormatting sqref="S586:S587">
    <cfRule type="cellIs" dxfId="4" priority="16" operator="lessThan">
      <formula>0</formula>
    </cfRule>
  </conditionalFormatting>
  <conditionalFormatting sqref="X450">
    <cfRule type="cellIs" dxfId="4" priority="17" operator="lessThan">
      <formula>0</formula>
    </cfRule>
  </conditionalFormatting>
  <conditionalFormatting sqref="X467:X468">
    <cfRule type="cellIs" dxfId="4" priority="18" operator="lessThan">
      <formula>0</formula>
    </cfRule>
  </conditionalFormatting>
  <conditionalFormatting sqref="X569">
    <cfRule type="cellIs" dxfId="4" priority="19" operator="lessThan">
      <formula>0</formula>
    </cfRule>
  </conditionalFormatting>
  <conditionalFormatting sqref="X586:X587">
    <cfRule type="cellIs" dxfId="4" priority="20" operator="lessThan">
      <formula>0</formula>
    </cfRule>
  </conditionalFormatting>
  <conditionalFormatting sqref="AC450">
    <cfRule type="cellIs" dxfId="4" priority="21" operator="lessThan">
      <formula>0</formula>
    </cfRule>
  </conditionalFormatting>
  <conditionalFormatting sqref="AC467:AC468">
    <cfRule type="cellIs" dxfId="4" priority="22" operator="lessThan">
      <formula>0</formula>
    </cfRule>
  </conditionalFormatting>
  <conditionalFormatting sqref="AC569">
    <cfRule type="cellIs" dxfId="4" priority="23" operator="lessThan">
      <formula>0</formula>
    </cfRule>
  </conditionalFormatting>
  <conditionalFormatting sqref="AC586:AC587">
    <cfRule type="cellIs" dxfId="4" priority="24" operator="lessThan">
      <formula>0</formula>
    </cfRule>
  </conditionalFormatting>
  <conditionalFormatting sqref="AH450">
    <cfRule type="cellIs" dxfId="4" priority="25" operator="lessThan">
      <formula>0</formula>
    </cfRule>
  </conditionalFormatting>
  <conditionalFormatting sqref="AH467">
    <cfRule type="cellIs" dxfId="4" priority="26" operator="lessThan">
      <formula>0</formula>
    </cfRule>
  </conditionalFormatting>
  <conditionalFormatting sqref="AH569">
    <cfRule type="cellIs" dxfId="4" priority="27" operator="lessThan">
      <formula>0</formula>
    </cfRule>
  </conditionalFormatting>
  <conditionalFormatting sqref="AH586">
    <cfRule type="cellIs" dxfId="4" priority="28" operator="lessThan">
      <formula>0</formula>
    </cfRule>
  </conditionalFormatting>
  <conditionalFormatting sqref="AM139">
    <cfRule type="cellIs" dxfId="5" priority="29" operator="equal">
      <formula>0</formula>
    </cfRule>
  </conditionalFormatting>
  <conditionalFormatting sqref="AM450">
    <cfRule type="cellIs" dxfId="4" priority="30" operator="lessThan">
      <formula>0</formula>
    </cfRule>
  </conditionalFormatting>
  <conditionalFormatting sqref="AM467">
    <cfRule type="cellIs" dxfId="4" priority="31" operator="lessThan">
      <formula>0</formula>
    </cfRule>
  </conditionalFormatting>
  <conditionalFormatting sqref="AM569">
    <cfRule type="cellIs" dxfId="4" priority="32" operator="lessThan">
      <formula>0</formula>
    </cfRule>
  </conditionalFormatting>
  <conditionalFormatting sqref="AM586">
    <cfRule type="cellIs" dxfId="4" priority="33" operator="lessThan">
      <formula>0</formula>
    </cfRule>
  </conditionalFormatting>
  <conditionalFormatting sqref="AR450">
    <cfRule type="cellIs" dxfId="4" priority="34" operator="lessThan">
      <formula>0</formula>
    </cfRule>
  </conditionalFormatting>
  <conditionalFormatting sqref="AR467">
    <cfRule type="cellIs" dxfId="4" priority="35" operator="lessThan">
      <formula>0</formula>
    </cfRule>
  </conditionalFormatting>
  <conditionalFormatting sqref="AR586">
    <cfRule type="cellIs" dxfId="4" priority="36" operator="lessThan">
      <formula>0</formula>
    </cfRule>
  </conditionalFormatting>
  <hyperlinks>
    <hyperlink r:id="rId1" ref="AE3"/>
  </hyperlinks>
  <printOptions/>
  <pageMargins bottom="0.7480314960629921" footer="0.0" header="0.0" left="0.7086614173228347" right="0.7086614173228347" top="0.7480314960629921"/>
  <pageSetup orientation="portrait"/>
  <rowBreaks count="3" manualBreakCount="3">
    <brk id="336" man="1"/>
    <brk id="265" man="1"/>
    <brk id="155" man="1"/>
  </rowBrea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9.0" topLeftCell="A10" activePane="bottomLeft" state="frozen"/>
      <selection activeCell="B11" sqref="B11" pane="bottomLeft"/>
    </sheetView>
  </sheetViews>
  <sheetFormatPr customHeight="1" defaultColWidth="14.43" defaultRowHeight="15.0"/>
  <cols>
    <col customWidth="1" min="1" max="1" width="5.0"/>
    <col customWidth="1" min="2" max="2" width="11.29"/>
    <col customWidth="1" min="3" max="3" width="7.29"/>
    <col customWidth="1" min="4" max="5" width="3.71"/>
    <col customWidth="1" min="6" max="6" width="76.43"/>
    <col customWidth="1" min="7" max="9" width="13.43"/>
    <col customWidth="1" min="10" max="26" width="9.14"/>
  </cols>
  <sheetData>
    <row r="1" ht="11.25" customHeight="1">
      <c r="A1" s="438"/>
      <c r="B1" s="439"/>
      <c r="C1" s="438"/>
      <c r="D1" s="438"/>
      <c r="E1" s="438"/>
      <c r="F1" s="438"/>
      <c r="G1" s="438"/>
      <c r="H1" s="438"/>
      <c r="I1" s="438"/>
      <c r="J1" s="438"/>
      <c r="K1" s="438"/>
      <c r="L1" s="438"/>
      <c r="M1" s="438"/>
      <c r="N1" s="438"/>
      <c r="O1" s="438"/>
      <c r="P1" s="438"/>
      <c r="Q1" s="438"/>
      <c r="R1" s="438"/>
      <c r="S1" s="438"/>
      <c r="T1" s="438"/>
      <c r="U1" s="438"/>
      <c r="V1" s="438"/>
      <c r="W1" s="438"/>
      <c r="X1" s="438"/>
      <c r="Y1" s="438"/>
      <c r="Z1" s="438"/>
    </row>
    <row r="2" ht="11.25" customHeight="1">
      <c r="A2" s="440" t="s">
        <v>845</v>
      </c>
      <c r="B2" s="438"/>
      <c r="C2" s="438"/>
      <c r="D2" s="438"/>
      <c r="E2" s="438"/>
      <c r="F2" s="438"/>
      <c r="G2" s="438"/>
      <c r="H2" s="438"/>
      <c r="I2" s="438"/>
      <c r="J2" s="438"/>
      <c r="K2" s="438"/>
      <c r="L2" s="438"/>
      <c r="M2" s="438"/>
      <c r="N2" s="438"/>
      <c r="O2" s="438"/>
      <c r="P2" s="438"/>
      <c r="Q2" s="438"/>
      <c r="R2" s="438"/>
      <c r="S2" s="438"/>
      <c r="T2" s="438"/>
      <c r="U2" s="438"/>
      <c r="V2" s="438"/>
      <c r="W2" s="438"/>
      <c r="X2" s="438"/>
      <c r="Y2" s="438"/>
      <c r="Z2" s="438"/>
    </row>
    <row r="3" ht="11.25" customHeight="1">
      <c r="A3" s="441" t="str">
        <f>'Balance 2023'!L3</f>
        <v>77.213.284-0 TREGUALEMU SPA</v>
      </c>
      <c r="B3" s="438"/>
      <c r="C3" s="438"/>
      <c r="D3" s="438"/>
      <c r="E3" s="438"/>
      <c r="F3" s="438"/>
      <c r="G3" s="438"/>
      <c r="H3" s="438"/>
      <c r="I3" s="438"/>
      <c r="J3" s="438"/>
      <c r="K3" s="438"/>
      <c r="L3" s="438"/>
      <c r="M3" s="438"/>
      <c r="N3" s="438"/>
      <c r="O3" s="438"/>
      <c r="P3" s="438"/>
      <c r="Q3" s="438"/>
      <c r="R3" s="438"/>
      <c r="S3" s="438"/>
      <c r="T3" s="438"/>
      <c r="U3" s="438"/>
      <c r="V3" s="438"/>
      <c r="W3" s="438"/>
      <c r="X3" s="438"/>
      <c r="Y3" s="438"/>
      <c r="Z3" s="438"/>
    </row>
    <row r="4" ht="11.25" customHeight="1">
      <c r="A4" s="440"/>
      <c r="B4" s="438"/>
      <c r="C4" s="438"/>
      <c r="D4" s="438"/>
      <c r="E4" s="438"/>
      <c r="F4" s="438"/>
      <c r="G4" s="438"/>
      <c r="H4" s="438"/>
      <c r="I4" s="438"/>
      <c r="J4" s="438"/>
      <c r="K4" s="438"/>
      <c r="L4" s="438"/>
      <c r="M4" s="438"/>
      <c r="N4" s="438"/>
      <c r="O4" s="438"/>
      <c r="P4" s="438"/>
      <c r="Q4" s="438"/>
      <c r="R4" s="438"/>
      <c r="S4" s="438"/>
      <c r="T4" s="438"/>
      <c r="U4" s="438"/>
      <c r="V4" s="438"/>
      <c r="W4" s="438"/>
      <c r="X4" s="438"/>
      <c r="Y4" s="438"/>
      <c r="Z4" s="438"/>
    </row>
    <row r="5" ht="11.25" customHeight="1">
      <c r="A5" s="438"/>
      <c r="B5" s="438"/>
      <c r="C5" s="438"/>
      <c r="D5" s="438"/>
      <c r="E5" s="438"/>
      <c r="F5" s="440"/>
      <c r="G5" s="438"/>
      <c r="H5" s="438"/>
      <c r="I5" s="438"/>
      <c r="J5" s="438"/>
      <c r="K5" s="438"/>
      <c r="L5" s="438"/>
      <c r="M5" s="438"/>
      <c r="N5" s="438"/>
      <c r="O5" s="438"/>
      <c r="P5" s="438"/>
      <c r="Q5" s="438"/>
      <c r="R5" s="438"/>
      <c r="S5" s="438"/>
      <c r="T5" s="438"/>
      <c r="U5" s="438"/>
      <c r="V5" s="438"/>
      <c r="W5" s="438"/>
      <c r="X5" s="438"/>
      <c r="Y5" s="438"/>
      <c r="Z5" s="438"/>
    </row>
    <row r="6" ht="11.25" customHeight="1">
      <c r="A6" s="438"/>
      <c r="B6" s="438"/>
      <c r="C6" s="438"/>
      <c r="D6" s="438"/>
      <c r="E6" s="438"/>
      <c r="F6" s="438"/>
      <c r="G6" s="438"/>
      <c r="H6" s="438"/>
      <c r="I6" s="438"/>
      <c r="J6" s="438"/>
      <c r="K6" s="438"/>
      <c r="L6" s="438"/>
      <c r="M6" s="438"/>
      <c r="N6" s="438"/>
      <c r="O6" s="438"/>
      <c r="P6" s="438"/>
      <c r="Q6" s="438"/>
      <c r="R6" s="438"/>
      <c r="S6" s="438"/>
      <c r="T6" s="438"/>
      <c r="U6" s="438"/>
      <c r="V6" s="438"/>
      <c r="W6" s="438"/>
      <c r="X6" s="438"/>
      <c r="Y6" s="438"/>
      <c r="Z6" s="438"/>
    </row>
    <row r="7" ht="11.25" customHeight="1">
      <c r="A7" s="442"/>
      <c r="B7" s="443" t="s">
        <v>234</v>
      </c>
      <c r="C7" s="444"/>
      <c r="D7" s="445"/>
      <c r="E7" s="250"/>
      <c r="F7" s="438"/>
      <c r="G7" s="438"/>
      <c r="H7" s="438"/>
      <c r="I7" s="438"/>
      <c r="J7" s="438"/>
      <c r="K7" s="438"/>
      <c r="L7" s="438"/>
      <c r="M7" s="438"/>
      <c r="N7" s="438"/>
      <c r="O7" s="438"/>
      <c r="P7" s="438"/>
      <c r="Q7" s="438"/>
      <c r="R7" s="438"/>
      <c r="S7" s="438"/>
      <c r="T7" s="438"/>
      <c r="U7" s="438"/>
      <c r="V7" s="438"/>
      <c r="W7" s="438"/>
      <c r="X7" s="438"/>
      <c r="Y7" s="438"/>
      <c r="Z7" s="438"/>
    </row>
    <row r="8" ht="16.5" customHeight="1">
      <c r="A8" s="438"/>
      <c r="B8" s="438"/>
      <c r="C8" s="446" t="s">
        <v>846</v>
      </c>
      <c r="D8" s="164"/>
      <c r="E8" s="165"/>
      <c r="F8" s="438"/>
      <c r="G8" s="444" t="s">
        <v>847</v>
      </c>
      <c r="H8" s="250"/>
      <c r="I8" s="438"/>
      <c r="J8" s="438"/>
      <c r="K8" s="438"/>
      <c r="L8" s="438"/>
      <c r="M8" s="438"/>
      <c r="N8" s="438"/>
      <c r="O8" s="438"/>
      <c r="P8" s="438"/>
      <c r="Q8" s="438"/>
      <c r="R8" s="438"/>
      <c r="S8" s="438"/>
      <c r="T8" s="438"/>
      <c r="U8" s="438"/>
      <c r="V8" s="438"/>
      <c r="W8" s="438"/>
      <c r="X8" s="438"/>
      <c r="Y8" s="438"/>
      <c r="Z8" s="438"/>
    </row>
    <row r="9" ht="16.5" customHeight="1">
      <c r="A9" s="447" t="s">
        <v>848</v>
      </c>
      <c r="B9" s="448" t="s">
        <v>849</v>
      </c>
      <c r="C9" s="449" t="s">
        <v>850</v>
      </c>
      <c r="D9" s="449" t="s">
        <v>851</v>
      </c>
      <c r="E9" s="449" t="s">
        <v>852</v>
      </c>
      <c r="F9" s="448" t="s">
        <v>853</v>
      </c>
      <c r="G9" s="449" t="s">
        <v>854</v>
      </c>
      <c r="H9" s="449" t="s">
        <v>855</v>
      </c>
      <c r="I9" s="448" t="s">
        <v>856</v>
      </c>
      <c r="J9" s="438"/>
      <c r="K9" s="438"/>
      <c r="L9" s="438"/>
      <c r="M9" s="438"/>
      <c r="N9" s="438"/>
      <c r="O9" s="438"/>
      <c r="P9" s="438"/>
      <c r="Q9" s="438"/>
      <c r="R9" s="438"/>
      <c r="S9" s="438"/>
      <c r="T9" s="438"/>
      <c r="U9" s="438"/>
      <c r="V9" s="438"/>
      <c r="W9" s="438"/>
      <c r="X9" s="438"/>
      <c r="Y9" s="438"/>
      <c r="Z9" s="438"/>
    </row>
    <row r="10" ht="11.25" hidden="1" customHeight="1">
      <c r="A10" s="450" t="s">
        <v>243</v>
      </c>
      <c r="B10" s="451">
        <v>44927.0</v>
      </c>
      <c r="C10" s="452" t="s">
        <v>857</v>
      </c>
      <c r="D10" s="452">
        <v>1.0</v>
      </c>
      <c r="E10" s="452">
        <v>1.0</v>
      </c>
      <c r="F10" s="452" t="s">
        <v>858</v>
      </c>
      <c r="G10" s="453">
        <v>493571.0</v>
      </c>
      <c r="H10" s="453">
        <v>0.0</v>
      </c>
      <c r="I10" s="453">
        <v>493571.0</v>
      </c>
      <c r="J10" s="438"/>
      <c r="K10" s="438"/>
      <c r="L10" s="438"/>
      <c r="M10" s="438"/>
      <c r="N10" s="438"/>
      <c r="O10" s="438"/>
      <c r="P10" s="438"/>
      <c r="Q10" s="438"/>
      <c r="R10" s="438"/>
      <c r="S10" s="438"/>
      <c r="T10" s="438"/>
      <c r="U10" s="438"/>
      <c r="V10" s="438"/>
      <c r="W10" s="438"/>
      <c r="X10" s="438"/>
      <c r="Y10" s="438"/>
      <c r="Z10" s="438"/>
    </row>
    <row r="11" ht="11.25" hidden="1" customHeight="1">
      <c r="A11" s="450" t="s">
        <v>243</v>
      </c>
      <c r="B11" s="451">
        <v>45291.0</v>
      </c>
      <c r="C11" s="452" t="s">
        <v>859</v>
      </c>
      <c r="D11" s="452">
        <v>29.0</v>
      </c>
      <c r="E11" s="452">
        <v>2.0</v>
      </c>
      <c r="F11" s="452" t="s">
        <v>860</v>
      </c>
      <c r="G11" s="453">
        <v>100000.0</v>
      </c>
      <c r="H11" s="453">
        <v>0.0</v>
      </c>
      <c r="I11" s="453">
        <v>593571.0</v>
      </c>
      <c r="J11" s="438"/>
      <c r="K11" s="438"/>
      <c r="L11" s="438"/>
      <c r="M11" s="438"/>
      <c r="N11" s="438"/>
      <c r="O11" s="438"/>
      <c r="P11" s="438"/>
      <c r="Q11" s="438"/>
      <c r="R11" s="438"/>
      <c r="S11" s="438"/>
      <c r="T11" s="438"/>
      <c r="U11" s="438"/>
      <c r="V11" s="438"/>
      <c r="W11" s="438"/>
      <c r="X11" s="438"/>
      <c r="Y11" s="438"/>
      <c r="Z11" s="438"/>
    </row>
    <row r="12" ht="11.25" hidden="1" customHeight="1">
      <c r="A12" s="450" t="s">
        <v>245</v>
      </c>
      <c r="B12" s="451">
        <v>44927.0</v>
      </c>
      <c r="C12" s="452" t="s">
        <v>857</v>
      </c>
      <c r="D12" s="452">
        <v>1.0</v>
      </c>
      <c r="E12" s="452">
        <v>5.0</v>
      </c>
      <c r="F12" s="452" t="s">
        <v>858</v>
      </c>
      <c r="G12" s="453">
        <v>100000.0</v>
      </c>
      <c r="H12" s="453">
        <v>0.0</v>
      </c>
      <c r="I12" s="453">
        <v>100000.0</v>
      </c>
      <c r="J12" s="438"/>
      <c r="K12" s="438"/>
      <c r="L12" s="438"/>
      <c r="M12" s="438"/>
      <c r="N12" s="438"/>
      <c r="O12" s="438"/>
      <c r="P12" s="438"/>
      <c r="Q12" s="438"/>
      <c r="R12" s="438"/>
      <c r="S12" s="438"/>
      <c r="T12" s="438"/>
      <c r="U12" s="438"/>
      <c r="V12" s="438"/>
      <c r="W12" s="438"/>
      <c r="X12" s="438"/>
      <c r="Y12" s="438"/>
      <c r="Z12" s="438"/>
    </row>
    <row r="13" ht="11.25" hidden="1" customHeight="1">
      <c r="A13" s="450" t="s">
        <v>245</v>
      </c>
      <c r="B13" s="451">
        <v>45291.0</v>
      </c>
      <c r="C13" s="452" t="s">
        <v>859</v>
      </c>
      <c r="D13" s="452">
        <v>29.0</v>
      </c>
      <c r="E13" s="452">
        <v>1.0</v>
      </c>
      <c r="F13" s="452" t="s">
        <v>860</v>
      </c>
      <c r="G13" s="453">
        <v>0.0</v>
      </c>
      <c r="H13" s="453">
        <v>100000.0</v>
      </c>
      <c r="I13" s="453">
        <v>0.0</v>
      </c>
      <c r="J13" s="438"/>
      <c r="K13" s="438"/>
      <c r="L13" s="438"/>
      <c r="M13" s="438"/>
      <c r="N13" s="438"/>
      <c r="O13" s="438"/>
      <c r="P13" s="438"/>
      <c r="Q13" s="438"/>
      <c r="R13" s="438"/>
      <c r="S13" s="438"/>
      <c r="T13" s="438"/>
      <c r="U13" s="438"/>
      <c r="V13" s="438"/>
      <c r="W13" s="438"/>
      <c r="X13" s="438"/>
      <c r="Y13" s="438"/>
      <c r="Z13" s="438"/>
    </row>
    <row r="14" ht="11.25" hidden="1" customHeight="1">
      <c r="A14" s="450" t="s">
        <v>249</v>
      </c>
      <c r="B14" s="451">
        <v>44927.0</v>
      </c>
      <c r="C14" s="452" t="s">
        <v>857</v>
      </c>
      <c r="D14" s="452">
        <v>1.0</v>
      </c>
      <c r="E14" s="452">
        <v>6.0</v>
      </c>
      <c r="F14" s="452" t="s">
        <v>858</v>
      </c>
      <c r="G14" s="453">
        <v>174957.0</v>
      </c>
      <c r="H14" s="453">
        <v>0.0</v>
      </c>
      <c r="I14" s="453">
        <v>174957.0</v>
      </c>
      <c r="J14" s="438"/>
      <c r="K14" s="438"/>
      <c r="L14" s="438"/>
      <c r="M14" s="438"/>
      <c r="N14" s="438"/>
      <c r="O14" s="438"/>
      <c r="P14" s="438"/>
      <c r="Q14" s="438"/>
      <c r="R14" s="438"/>
      <c r="S14" s="438"/>
      <c r="T14" s="438"/>
      <c r="U14" s="438"/>
      <c r="V14" s="438"/>
      <c r="W14" s="438"/>
      <c r="X14" s="438"/>
      <c r="Y14" s="438"/>
      <c r="Z14" s="438"/>
    </row>
    <row r="15" ht="11.25" hidden="1" customHeight="1">
      <c r="A15" s="450" t="s">
        <v>249</v>
      </c>
      <c r="B15" s="451">
        <v>45049.0</v>
      </c>
      <c r="C15" s="452" t="s">
        <v>861</v>
      </c>
      <c r="D15" s="452">
        <v>42.0</v>
      </c>
      <c r="E15" s="452">
        <v>2.0</v>
      </c>
      <c r="F15" s="452" t="s">
        <v>862</v>
      </c>
      <c r="G15" s="453">
        <v>0.0</v>
      </c>
      <c r="H15" s="453">
        <v>174957.0</v>
      </c>
      <c r="I15" s="453">
        <v>0.0</v>
      </c>
      <c r="J15" s="438"/>
      <c r="K15" s="438"/>
      <c r="L15" s="438"/>
      <c r="M15" s="438"/>
      <c r="N15" s="438"/>
      <c r="O15" s="438"/>
      <c r="P15" s="438"/>
      <c r="Q15" s="438"/>
      <c r="R15" s="438"/>
      <c r="S15" s="438"/>
      <c r="T15" s="438"/>
      <c r="U15" s="438"/>
      <c r="V15" s="438"/>
      <c r="W15" s="438"/>
      <c r="X15" s="438"/>
      <c r="Y15" s="438"/>
      <c r="Z15" s="438"/>
    </row>
    <row r="16" ht="11.25" hidden="1" customHeight="1">
      <c r="A16" s="450" t="s">
        <v>250</v>
      </c>
      <c r="B16" s="451">
        <v>44957.0</v>
      </c>
      <c r="C16" s="452" t="s">
        <v>857</v>
      </c>
      <c r="D16" s="452">
        <v>2.0</v>
      </c>
      <c r="E16" s="452">
        <v>0.0</v>
      </c>
      <c r="F16" s="452" t="s">
        <v>863</v>
      </c>
      <c r="G16" s="453">
        <v>1268.0</v>
      </c>
      <c r="H16" s="453">
        <v>0.0</v>
      </c>
      <c r="I16" s="453">
        <v>1268.0</v>
      </c>
      <c r="J16" s="438"/>
      <c r="K16" s="438"/>
      <c r="L16" s="438"/>
      <c r="M16" s="438"/>
      <c r="N16" s="438"/>
      <c r="O16" s="438"/>
      <c r="P16" s="438"/>
      <c r="Q16" s="438"/>
      <c r="R16" s="438"/>
      <c r="S16" s="438"/>
      <c r="T16" s="438"/>
      <c r="U16" s="438"/>
      <c r="V16" s="438"/>
      <c r="W16" s="438"/>
      <c r="X16" s="438"/>
      <c r="Y16" s="438"/>
      <c r="Z16" s="438"/>
    </row>
    <row r="17" ht="11.25" hidden="1" customHeight="1">
      <c r="A17" s="450" t="s">
        <v>250</v>
      </c>
      <c r="B17" s="451">
        <v>44985.0</v>
      </c>
      <c r="C17" s="452" t="s">
        <v>857</v>
      </c>
      <c r="D17" s="452">
        <v>3.0</v>
      </c>
      <c r="E17" s="452">
        <v>0.0</v>
      </c>
      <c r="F17" s="452" t="s">
        <v>864</v>
      </c>
      <c r="G17" s="453">
        <v>850.0</v>
      </c>
      <c r="H17" s="453">
        <v>0.0</v>
      </c>
      <c r="I17" s="453">
        <v>2118.0</v>
      </c>
      <c r="J17" s="438"/>
      <c r="K17" s="438"/>
      <c r="L17" s="438"/>
      <c r="M17" s="438"/>
      <c r="N17" s="438"/>
      <c r="O17" s="438"/>
      <c r="P17" s="438"/>
      <c r="Q17" s="438"/>
      <c r="R17" s="438"/>
      <c r="S17" s="438"/>
      <c r="T17" s="438"/>
      <c r="U17" s="438"/>
      <c r="V17" s="438"/>
      <c r="W17" s="438"/>
      <c r="X17" s="438"/>
      <c r="Y17" s="438"/>
      <c r="Z17" s="438"/>
    </row>
    <row r="18" ht="11.25" hidden="1" customHeight="1">
      <c r="A18" s="450" t="s">
        <v>250</v>
      </c>
      <c r="B18" s="451">
        <v>45016.0</v>
      </c>
      <c r="C18" s="452" t="s">
        <v>857</v>
      </c>
      <c r="D18" s="452">
        <v>4.0</v>
      </c>
      <c r="E18" s="452">
        <v>0.0</v>
      </c>
      <c r="F18" s="452" t="s">
        <v>865</v>
      </c>
      <c r="G18" s="453">
        <v>1304.0</v>
      </c>
      <c r="H18" s="453">
        <v>0.0</v>
      </c>
      <c r="I18" s="453">
        <v>3422.0</v>
      </c>
      <c r="J18" s="438"/>
      <c r="K18" s="438"/>
      <c r="L18" s="438"/>
      <c r="M18" s="438"/>
      <c r="N18" s="438"/>
      <c r="O18" s="438"/>
      <c r="P18" s="438"/>
      <c r="Q18" s="438"/>
      <c r="R18" s="438"/>
      <c r="S18" s="438"/>
      <c r="T18" s="438"/>
      <c r="U18" s="438"/>
      <c r="V18" s="438"/>
      <c r="W18" s="438"/>
      <c r="X18" s="438"/>
      <c r="Y18" s="438"/>
      <c r="Z18" s="438"/>
    </row>
    <row r="19" ht="11.25" hidden="1" customHeight="1">
      <c r="A19" s="450" t="s">
        <v>250</v>
      </c>
      <c r="B19" s="451">
        <v>45046.0</v>
      </c>
      <c r="C19" s="452" t="s">
        <v>857</v>
      </c>
      <c r="D19" s="452">
        <v>5.0</v>
      </c>
      <c r="E19" s="452">
        <v>0.0</v>
      </c>
      <c r="F19" s="452" t="s">
        <v>866</v>
      </c>
      <c r="G19" s="453">
        <v>1308.0</v>
      </c>
      <c r="H19" s="453">
        <v>0.0</v>
      </c>
      <c r="I19" s="453">
        <v>4730.0</v>
      </c>
      <c r="J19" s="438"/>
      <c r="K19" s="438"/>
      <c r="L19" s="438"/>
      <c r="M19" s="438"/>
      <c r="N19" s="438"/>
      <c r="O19" s="438"/>
      <c r="P19" s="438"/>
      <c r="Q19" s="438"/>
      <c r="R19" s="438"/>
      <c r="S19" s="438"/>
      <c r="T19" s="438"/>
      <c r="U19" s="438"/>
      <c r="V19" s="438"/>
      <c r="W19" s="438"/>
      <c r="X19" s="438"/>
      <c r="Y19" s="438"/>
      <c r="Z19" s="438"/>
    </row>
    <row r="20" ht="11.25" hidden="1" customHeight="1">
      <c r="A20" s="450" t="s">
        <v>250</v>
      </c>
      <c r="B20" s="451">
        <v>45077.0</v>
      </c>
      <c r="C20" s="452" t="s">
        <v>857</v>
      </c>
      <c r="D20" s="452">
        <v>6.0</v>
      </c>
      <c r="E20" s="452">
        <v>0.0</v>
      </c>
      <c r="F20" s="452" t="s">
        <v>867</v>
      </c>
      <c r="G20" s="453">
        <v>1294.0</v>
      </c>
      <c r="H20" s="453">
        <v>0.0</v>
      </c>
      <c r="I20" s="453">
        <v>6024.0</v>
      </c>
      <c r="J20" s="438"/>
      <c r="K20" s="438"/>
      <c r="L20" s="438"/>
      <c r="M20" s="438"/>
      <c r="N20" s="438"/>
      <c r="O20" s="438"/>
      <c r="P20" s="438"/>
      <c r="Q20" s="438"/>
      <c r="R20" s="438"/>
      <c r="S20" s="438"/>
      <c r="T20" s="438"/>
      <c r="U20" s="438"/>
      <c r="V20" s="438"/>
      <c r="W20" s="438"/>
      <c r="X20" s="438"/>
      <c r="Y20" s="438"/>
      <c r="Z20" s="438"/>
    </row>
    <row r="21" ht="11.25" hidden="1" customHeight="1">
      <c r="A21" s="450" t="s">
        <v>250</v>
      </c>
      <c r="B21" s="451">
        <v>45107.0</v>
      </c>
      <c r="C21" s="452" t="s">
        <v>857</v>
      </c>
      <c r="D21" s="452">
        <v>7.0</v>
      </c>
      <c r="E21" s="452">
        <v>0.0</v>
      </c>
      <c r="F21" s="452" t="s">
        <v>868</v>
      </c>
      <c r="G21" s="453">
        <v>868.0</v>
      </c>
      <c r="H21" s="453">
        <v>0.0</v>
      </c>
      <c r="I21" s="453">
        <v>6892.0</v>
      </c>
      <c r="J21" s="438"/>
      <c r="K21" s="438"/>
      <c r="L21" s="438"/>
      <c r="M21" s="438"/>
      <c r="N21" s="438"/>
      <c r="O21" s="438"/>
      <c r="P21" s="438"/>
      <c r="Q21" s="438"/>
      <c r="R21" s="438"/>
      <c r="S21" s="438"/>
      <c r="T21" s="438"/>
      <c r="U21" s="438"/>
      <c r="V21" s="438"/>
      <c r="W21" s="438"/>
      <c r="X21" s="438"/>
      <c r="Y21" s="438"/>
      <c r="Z21" s="438"/>
    </row>
    <row r="22" ht="11.25" hidden="1" customHeight="1">
      <c r="A22" s="450" t="s">
        <v>250</v>
      </c>
      <c r="B22" s="451">
        <v>45138.0</v>
      </c>
      <c r="C22" s="452" t="s">
        <v>857</v>
      </c>
      <c r="D22" s="452">
        <v>8.0</v>
      </c>
      <c r="E22" s="452">
        <v>0.0</v>
      </c>
      <c r="F22" s="452" t="s">
        <v>869</v>
      </c>
      <c r="G22" s="453">
        <v>869.0</v>
      </c>
      <c r="H22" s="453">
        <v>0.0</v>
      </c>
      <c r="I22" s="453">
        <v>7761.0</v>
      </c>
      <c r="J22" s="438"/>
      <c r="K22" s="438"/>
      <c r="L22" s="438"/>
      <c r="M22" s="438"/>
      <c r="N22" s="438"/>
      <c r="O22" s="438"/>
      <c r="P22" s="438"/>
      <c r="Q22" s="438"/>
      <c r="R22" s="438"/>
      <c r="S22" s="438"/>
      <c r="T22" s="438"/>
      <c r="U22" s="438"/>
      <c r="V22" s="438"/>
      <c r="W22" s="438"/>
      <c r="X22" s="438"/>
      <c r="Y22" s="438"/>
      <c r="Z22" s="438"/>
    </row>
    <row r="23" ht="11.25" hidden="1" customHeight="1">
      <c r="A23" s="450" t="s">
        <v>250</v>
      </c>
      <c r="B23" s="451">
        <v>45169.0</v>
      </c>
      <c r="C23" s="452" t="s">
        <v>857</v>
      </c>
      <c r="D23" s="452">
        <v>9.0</v>
      </c>
      <c r="E23" s="452">
        <v>0.0</v>
      </c>
      <c r="F23" s="452" t="s">
        <v>870</v>
      </c>
      <c r="G23" s="453">
        <v>868.0</v>
      </c>
      <c r="H23" s="453">
        <v>0.0</v>
      </c>
      <c r="I23" s="453">
        <v>8629.0</v>
      </c>
      <c r="J23" s="438"/>
      <c r="K23" s="438"/>
      <c r="L23" s="438"/>
      <c r="M23" s="438"/>
      <c r="N23" s="438"/>
      <c r="O23" s="438"/>
      <c r="P23" s="438"/>
      <c r="Q23" s="438"/>
      <c r="R23" s="438"/>
      <c r="S23" s="438"/>
      <c r="T23" s="438"/>
      <c r="U23" s="438"/>
      <c r="V23" s="438"/>
      <c r="W23" s="438"/>
      <c r="X23" s="438"/>
      <c r="Y23" s="438"/>
      <c r="Z23" s="438"/>
    </row>
    <row r="24" ht="11.25" hidden="1" customHeight="1">
      <c r="A24" s="450" t="s">
        <v>250</v>
      </c>
      <c r="B24" s="451">
        <v>45199.0</v>
      </c>
      <c r="C24" s="452" t="s">
        <v>857</v>
      </c>
      <c r="D24" s="452">
        <v>11.0</v>
      </c>
      <c r="E24" s="452">
        <v>0.0</v>
      </c>
      <c r="F24" s="452" t="s">
        <v>871</v>
      </c>
      <c r="G24" s="453">
        <v>870.0</v>
      </c>
      <c r="H24" s="453">
        <v>0.0</v>
      </c>
      <c r="I24" s="453">
        <v>9499.0</v>
      </c>
      <c r="J24" s="438"/>
      <c r="K24" s="438"/>
      <c r="L24" s="438"/>
      <c r="M24" s="438"/>
      <c r="N24" s="438"/>
      <c r="O24" s="438"/>
      <c r="P24" s="438"/>
      <c r="Q24" s="438"/>
      <c r="R24" s="438"/>
      <c r="S24" s="438"/>
      <c r="T24" s="438"/>
      <c r="U24" s="438"/>
      <c r="V24" s="438"/>
      <c r="W24" s="438"/>
      <c r="X24" s="438"/>
      <c r="Y24" s="438"/>
      <c r="Z24" s="438"/>
    </row>
    <row r="25" ht="11.25" hidden="1" customHeight="1">
      <c r="A25" s="450" t="s">
        <v>250</v>
      </c>
      <c r="B25" s="451">
        <v>45230.0</v>
      </c>
      <c r="C25" s="452" t="s">
        <v>857</v>
      </c>
      <c r="D25" s="452">
        <v>12.0</v>
      </c>
      <c r="E25" s="452">
        <v>0.0</v>
      </c>
      <c r="F25" s="452" t="s">
        <v>872</v>
      </c>
      <c r="G25" s="453">
        <v>872.0</v>
      </c>
      <c r="H25" s="453">
        <v>0.0</v>
      </c>
      <c r="I25" s="453">
        <v>10371.0</v>
      </c>
      <c r="J25" s="438"/>
      <c r="K25" s="438"/>
      <c r="L25" s="438"/>
      <c r="M25" s="438"/>
      <c r="N25" s="438"/>
      <c r="O25" s="438"/>
      <c r="P25" s="438"/>
      <c r="Q25" s="438"/>
      <c r="R25" s="438"/>
      <c r="S25" s="438"/>
      <c r="T25" s="438"/>
      <c r="U25" s="438"/>
      <c r="V25" s="438"/>
      <c r="W25" s="438"/>
      <c r="X25" s="438"/>
      <c r="Y25" s="438"/>
      <c r="Z25" s="438"/>
    </row>
    <row r="26" ht="11.25" hidden="1" customHeight="1">
      <c r="A26" s="450" t="s">
        <v>250</v>
      </c>
      <c r="B26" s="451">
        <v>45260.0</v>
      </c>
      <c r="C26" s="452" t="s">
        <v>857</v>
      </c>
      <c r="D26" s="452">
        <v>13.0</v>
      </c>
      <c r="E26" s="452">
        <v>0.0</v>
      </c>
      <c r="F26" s="452" t="s">
        <v>873</v>
      </c>
      <c r="G26" s="453">
        <v>877.0</v>
      </c>
      <c r="H26" s="453">
        <v>0.0</v>
      </c>
      <c r="I26" s="453">
        <v>11248.0</v>
      </c>
      <c r="J26" s="438"/>
      <c r="K26" s="438"/>
      <c r="L26" s="438"/>
      <c r="M26" s="438"/>
      <c r="N26" s="438"/>
      <c r="O26" s="438"/>
      <c r="P26" s="438"/>
      <c r="Q26" s="438"/>
      <c r="R26" s="438"/>
      <c r="S26" s="438"/>
      <c r="T26" s="438"/>
      <c r="U26" s="438"/>
      <c r="V26" s="438"/>
      <c r="W26" s="438"/>
      <c r="X26" s="438"/>
      <c r="Y26" s="438"/>
      <c r="Z26" s="438"/>
    </row>
    <row r="27" ht="11.25" hidden="1" customHeight="1">
      <c r="A27" s="450" t="s">
        <v>250</v>
      </c>
      <c r="B27" s="451">
        <v>45291.0</v>
      </c>
      <c r="C27" s="452" t="s">
        <v>857</v>
      </c>
      <c r="D27" s="452">
        <v>14.0</v>
      </c>
      <c r="E27" s="452">
        <v>0.0</v>
      </c>
      <c r="F27" s="452" t="s">
        <v>874</v>
      </c>
      <c r="G27" s="453">
        <v>1321.0</v>
      </c>
      <c r="H27" s="453">
        <v>0.0</v>
      </c>
      <c r="I27" s="453">
        <v>12569.0</v>
      </c>
      <c r="J27" s="438"/>
      <c r="K27" s="438"/>
      <c r="L27" s="438"/>
      <c r="M27" s="438"/>
      <c r="N27" s="438"/>
      <c r="O27" s="438"/>
      <c r="P27" s="438"/>
      <c r="Q27" s="438"/>
      <c r="R27" s="438"/>
      <c r="S27" s="438"/>
      <c r="T27" s="438"/>
      <c r="U27" s="438"/>
      <c r="V27" s="438"/>
      <c r="W27" s="438"/>
      <c r="X27" s="438"/>
      <c r="Y27" s="438"/>
      <c r="Z27" s="438"/>
    </row>
    <row r="28" ht="11.25" hidden="1" customHeight="1">
      <c r="A28" s="450" t="s">
        <v>250</v>
      </c>
      <c r="B28" s="451">
        <v>45291.0</v>
      </c>
      <c r="C28" s="452" t="s">
        <v>857</v>
      </c>
      <c r="D28" s="452">
        <v>16.0</v>
      </c>
      <c r="E28" s="452">
        <v>2.0</v>
      </c>
      <c r="F28" s="452" t="s">
        <v>875</v>
      </c>
      <c r="G28" s="453">
        <v>0.0</v>
      </c>
      <c r="H28" s="453">
        <v>12569.0</v>
      </c>
      <c r="I28" s="453">
        <v>0.0</v>
      </c>
      <c r="J28" s="438"/>
      <c r="K28" s="438"/>
      <c r="L28" s="438"/>
      <c r="M28" s="438"/>
      <c r="N28" s="438"/>
      <c r="O28" s="438"/>
      <c r="P28" s="438"/>
      <c r="Q28" s="438"/>
      <c r="R28" s="438"/>
      <c r="S28" s="438"/>
      <c r="T28" s="438"/>
      <c r="U28" s="438"/>
      <c r="V28" s="438"/>
      <c r="W28" s="438"/>
      <c r="X28" s="438"/>
      <c r="Y28" s="438"/>
      <c r="Z28" s="438"/>
    </row>
    <row r="29" ht="11.25" hidden="1" customHeight="1">
      <c r="A29" s="450" t="s">
        <v>252</v>
      </c>
      <c r="B29" s="451">
        <v>45159.0</v>
      </c>
      <c r="C29" s="452" t="s">
        <v>861</v>
      </c>
      <c r="D29" s="452">
        <v>5.0</v>
      </c>
      <c r="E29" s="452">
        <v>0.0</v>
      </c>
      <c r="F29" s="452" t="s">
        <v>876</v>
      </c>
      <c r="G29" s="453">
        <v>40000.0</v>
      </c>
      <c r="H29" s="453">
        <v>0.0</v>
      </c>
      <c r="I29" s="453">
        <v>-40000.0</v>
      </c>
      <c r="J29" s="438"/>
      <c r="K29" s="438"/>
      <c r="L29" s="438"/>
      <c r="M29" s="438"/>
      <c r="N29" s="438"/>
      <c r="O29" s="438"/>
      <c r="P29" s="438"/>
      <c r="Q29" s="438"/>
      <c r="R29" s="438"/>
      <c r="S29" s="438"/>
      <c r="T29" s="438"/>
      <c r="U29" s="438"/>
      <c r="V29" s="438"/>
      <c r="W29" s="438"/>
      <c r="X29" s="438"/>
      <c r="Y29" s="438"/>
      <c r="Z29" s="438"/>
    </row>
    <row r="30" ht="11.25" hidden="1" customHeight="1">
      <c r="A30" s="450" t="s">
        <v>252</v>
      </c>
      <c r="B30" s="451">
        <v>45199.0</v>
      </c>
      <c r="C30" s="452" t="s">
        <v>857</v>
      </c>
      <c r="D30" s="452">
        <v>10.0</v>
      </c>
      <c r="E30" s="452">
        <v>2.0</v>
      </c>
      <c r="F30" s="452" t="s">
        <v>877</v>
      </c>
      <c r="G30" s="453">
        <v>0.0</v>
      </c>
      <c r="H30" s="453">
        <v>40000.0</v>
      </c>
      <c r="I30" s="453">
        <v>0.0</v>
      </c>
      <c r="J30" s="438"/>
      <c r="K30" s="438"/>
      <c r="L30" s="438"/>
      <c r="M30" s="438"/>
      <c r="N30" s="438"/>
      <c r="O30" s="438"/>
      <c r="P30" s="438"/>
      <c r="Q30" s="438"/>
      <c r="R30" s="438"/>
      <c r="S30" s="438"/>
      <c r="T30" s="438"/>
      <c r="U30" s="438"/>
      <c r="V30" s="438"/>
      <c r="W30" s="438"/>
      <c r="X30" s="438"/>
      <c r="Y30" s="438"/>
      <c r="Z30" s="438"/>
    </row>
    <row r="31" ht="11.25" hidden="1" customHeight="1">
      <c r="A31" s="450" t="s">
        <v>255</v>
      </c>
      <c r="B31" s="451">
        <v>44957.0</v>
      </c>
      <c r="C31" s="452" t="s">
        <v>861</v>
      </c>
      <c r="D31" s="452">
        <v>30.0</v>
      </c>
      <c r="E31" s="452">
        <v>0.0</v>
      </c>
      <c r="F31" s="452" t="s">
        <v>878</v>
      </c>
      <c r="G31" s="453">
        <v>10530.0</v>
      </c>
      <c r="H31" s="453">
        <v>0.0</v>
      </c>
      <c r="I31" s="453">
        <v>-10530.0</v>
      </c>
      <c r="J31" s="438"/>
      <c r="K31" s="438"/>
      <c r="L31" s="438"/>
      <c r="M31" s="438"/>
      <c r="N31" s="438"/>
      <c r="O31" s="438"/>
      <c r="P31" s="438"/>
      <c r="Q31" s="438"/>
      <c r="R31" s="438"/>
      <c r="S31" s="438"/>
      <c r="T31" s="438"/>
      <c r="U31" s="438"/>
      <c r="V31" s="438"/>
      <c r="W31" s="438"/>
      <c r="X31" s="438"/>
      <c r="Y31" s="438"/>
      <c r="Z31" s="438"/>
    </row>
    <row r="32" ht="11.25" hidden="1" customHeight="1">
      <c r="A32" s="450" t="s">
        <v>255</v>
      </c>
      <c r="B32" s="451">
        <v>44957.0</v>
      </c>
      <c r="C32" s="452" t="s">
        <v>857</v>
      </c>
      <c r="D32" s="452">
        <v>2.0</v>
      </c>
      <c r="E32" s="452">
        <v>1.0</v>
      </c>
      <c r="F32" s="452" t="s">
        <v>879</v>
      </c>
      <c r="G32" s="453">
        <v>0.0</v>
      </c>
      <c r="H32" s="453">
        <v>10530.0</v>
      </c>
      <c r="I32" s="453">
        <v>0.0</v>
      </c>
      <c r="J32" s="438"/>
      <c r="K32" s="438"/>
      <c r="L32" s="438"/>
      <c r="M32" s="438"/>
      <c r="N32" s="438"/>
      <c r="O32" s="438"/>
      <c r="P32" s="438"/>
      <c r="Q32" s="438"/>
      <c r="R32" s="438"/>
      <c r="S32" s="438"/>
      <c r="T32" s="438"/>
      <c r="U32" s="438"/>
      <c r="V32" s="438"/>
      <c r="W32" s="438"/>
      <c r="X32" s="438"/>
      <c r="Y32" s="438"/>
      <c r="Z32" s="438"/>
    </row>
    <row r="33" ht="11.25" hidden="1" customHeight="1">
      <c r="A33" s="450" t="s">
        <v>255</v>
      </c>
      <c r="B33" s="451">
        <v>44985.0</v>
      </c>
      <c r="C33" s="452" t="s">
        <v>861</v>
      </c>
      <c r="D33" s="452">
        <v>31.0</v>
      </c>
      <c r="E33" s="452">
        <v>0.0</v>
      </c>
      <c r="F33" s="452" t="s">
        <v>880</v>
      </c>
      <c r="G33" s="453">
        <v>7061.0</v>
      </c>
      <c r="H33" s="453">
        <v>0.0</v>
      </c>
      <c r="I33" s="453">
        <v>-7061.0</v>
      </c>
      <c r="J33" s="438"/>
      <c r="K33" s="438"/>
      <c r="L33" s="438"/>
      <c r="M33" s="438"/>
      <c r="N33" s="438"/>
      <c r="O33" s="438"/>
      <c r="P33" s="438"/>
      <c r="Q33" s="438"/>
      <c r="R33" s="438"/>
      <c r="S33" s="438"/>
      <c r="T33" s="438"/>
      <c r="U33" s="438"/>
      <c r="V33" s="438"/>
      <c r="W33" s="438"/>
      <c r="X33" s="438"/>
      <c r="Y33" s="438"/>
      <c r="Z33" s="438"/>
    </row>
    <row r="34" ht="11.25" hidden="1" customHeight="1">
      <c r="A34" s="450" t="s">
        <v>255</v>
      </c>
      <c r="B34" s="451">
        <v>44985.0</v>
      </c>
      <c r="C34" s="452" t="s">
        <v>857</v>
      </c>
      <c r="D34" s="452">
        <v>3.0</v>
      </c>
      <c r="E34" s="452">
        <v>1.0</v>
      </c>
      <c r="F34" s="452" t="s">
        <v>881</v>
      </c>
      <c r="G34" s="453">
        <v>0.0</v>
      </c>
      <c r="H34" s="453">
        <v>7061.0</v>
      </c>
      <c r="I34" s="453">
        <v>0.0</v>
      </c>
      <c r="J34" s="438"/>
      <c r="K34" s="438"/>
      <c r="L34" s="438"/>
      <c r="M34" s="438"/>
      <c r="N34" s="438"/>
      <c r="O34" s="438"/>
      <c r="P34" s="438"/>
      <c r="Q34" s="438"/>
      <c r="R34" s="438"/>
      <c r="S34" s="438"/>
      <c r="T34" s="438"/>
      <c r="U34" s="438"/>
      <c r="V34" s="438"/>
      <c r="W34" s="438"/>
      <c r="X34" s="438"/>
      <c r="Y34" s="438"/>
      <c r="Z34" s="438"/>
    </row>
    <row r="35" ht="11.25" hidden="1" customHeight="1">
      <c r="A35" s="450" t="s">
        <v>255</v>
      </c>
      <c r="B35" s="451">
        <v>45016.0</v>
      </c>
      <c r="C35" s="452" t="s">
        <v>861</v>
      </c>
      <c r="D35" s="452">
        <v>32.0</v>
      </c>
      <c r="E35" s="452">
        <v>0.0</v>
      </c>
      <c r="F35" s="452" t="s">
        <v>882</v>
      </c>
      <c r="G35" s="453">
        <v>8167.0</v>
      </c>
      <c r="H35" s="453">
        <v>0.0</v>
      </c>
      <c r="I35" s="453">
        <v>-8167.0</v>
      </c>
      <c r="J35" s="438"/>
      <c r="K35" s="438"/>
      <c r="L35" s="438"/>
      <c r="M35" s="438"/>
      <c r="N35" s="438"/>
      <c r="O35" s="438"/>
      <c r="P35" s="438"/>
      <c r="Q35" s="438"/>
      <c r="R35" s="438"/>
      <c r="S35" s="438"/>
      <c r="T35" s="438"/>
      <c r="U35" s="438"/>
      <c r="V35" s="438"/>
      <c r="W35" s="438"/>
      <c r="X35" s="438"/>
      <c r="Y35" s="438"/>
      <c r="Z35" s="438"/>
    </row>
    <row r="36" ht="11.25" hidden="1" customHeight="1">
      <c r="A36" s="450" t="s">
        <v>255</v>
      </c>
      <c r="B36" s="451">
        <v>45016.0</v>
      </c>
      <c r="C36" s="452" t="s">
        <v>857</v>
      </c>
      <c r="D36" s="452">
        <v>4.0</v>
      </c>
      <c r="E36" s="452">
        <v>1.0</v>
      </c>
      <c r="F36" s="452" t="s">
        <v>883</v>
      </c>
      <c r="G36" s="453">
        <v>0.0</v>
      </c>
      <c r="H36" s="453">
        <v>8167.0</v>
      </c>
      <c r="I36" s="453">
        <v>0.0</v>
      </c>
      <c r="J36" s="438"/>
      <c r="K36" s="438"/>
      <c r="L36" s="438"/>
      <c r="M36" s="438"/>
      <c r="N36" s="438"/>
      <c r="O36" s="438"/>
      <c r="P36" s="438"/>
      <c r="Q36" s="438"/>
      <c r="R36" s="438"/>
      <c r="S36" s="438"/>
      <c r="T36" s="438"/>
      <c r="U36" s="438"/>
      <c r="V36" s="438"/>
      <c r="W36" s="438"/>
      <c r="X36" s="438"/>
      <c r="Y36" s="438"/>
      <c r="Z36" s="438"/>
    </row>
    <row r="37" ht="11.25" hidden="1" customHeight="1">
      <c r="A37" s="450" t="s">
        <v>255</v>
      </c>
      <c r="B37" s="451">
        <v>45046.0</v>
      </c>
      <c r="C37" s="452" t="s">
        <v>861</v>
      </c>
      <c r="D37" s="452">
        <v>33.0</v>
      </c>
      <c r="E37" s="452">
        <v>0.0</v>
      </c>
      <c r="F37" s="452" t="s">
        <v>884</v>
      </c>
      <c r="G37" s="453">
        <v>365393.0</v>
      </c>
      <c r="H37" s="453">
        <v>0.0</v>
      </c>
      <c r="I37" s="453">
        <v>-365393.0</v>
      </c>
      <c r="J37" s="438"/>
      <c r="K37" s="438"/>
      <c r="L37" s="438"/>
      <c r="M37" s="438"/>
      <c r="N37" s="438"/>
      <c r="O37" s="438"/>
      <c r="P37" s="438"/>
      <c r="Q37" s="438"/>
      <c r="R37" s="438"/>
      <c r="S37" s="438"/>
      <c r="T37" s="438"/>
      <c r="U37" s="438"/>
      <c r="V37" s="438"/>
      <c r="W37" s="438"/>
      <c r="X37" s="438"/>
      <c r="Y37" s="438"/>
      <c r="Z37" s="438"/>
    </row>
    <row r="38" ht="11.25" hidden="1" customHeight="1">
      <c r="A38" s="450" t="s">
        <v>255</v>
      </c>
      <c r="B38" s="451">
        <v>45046.0</v>
      </c>
      <c r="C38" s="452" t="s">
        <v>857</v>
      </c>
      <c r="D38" s="452">
        <v>5.0</v>
      </c>
      <c r="E38" s="452">
        <v>1.0</v>
      </c>
      <c r="F38" s="452" t="s">
        <v>885</v>
      </c>
      <c r="G38" s="453">
        <v>0.0</v>
      </c>
      <c r="H38" s="453">
        <v>365393.0</v>
      </c>
      <c r="I38" s="453">
        <v>0.0</v>
      </c>
      <c r="J38" s="438"/>
      <c r="K38" s="438"/>
      <c r="L38" s="438"/>
      <c r="M38" s="438"/>
      <c r="N38" s="438"/>
      <c r="O38" s="438"/>
      <c r="P38" s="438"/>
      <c r="Q38" s="438"/>
      <c r="R38" s="438"/>
      <c r="S38" s="438"/>
      <c r="T38" s="438"/>
      <c r="U38" s="438"/>
      <c r="V38" s="438"/>
      <c r="W38" s="438"/>
      <c r="X38" s="438"/>
      <c r="Y38" s="438"/>
      <c r="Z38" s="438"/>
    </row>
    <row r="39" ht="11.25" hidden="1" customHeight="1">
      <c r="A39" s="450" t="s">
        <v>255</v>
      </c>
      <c r="B39" s="451">
        <v>45077.0</v>
      </c>
      <c r="C39" s="452" t="s">
        <v>861</v>
      </c>
      <c r="D39" s="452">
        <v>34.0</v>
      </c>
      <c r="E39" s="452">
        <v>0.0</v>
      </c>
      <c r="F39" s="452" t="s">
        <v>886</v>
      </c>
      <c r="G39" s="453">
        <v>10744.0</v>
      </c>
      <c r="H39" s="453">
        <v>0.0</v>
      </c>
      <c r="I39" s="453">
        <v>-10744.0</v>
      </c>
      <c r="J39" s="438"/>
      <c r="K39" s="438"/>
      <c r="L39" s="438"/>
      <c r="M39" s="438"/>
      <c r="N39" s="438"/>
      <c r="O39" s="438"/>
      <c r="P39" s="438"/>
      <c r="Q39" s="438"/>
      <c r="R39" s="438"/>
      <c r="S39" s="438"/>
      <c r="T39" s="438"/>
      <c r="U39" s="438"/>
      <c r="V39" s="438"/>
      <c r="W39" s="438"/>
      <c r="X39" s="438"/>
      <c r="Y39" s="438"/>
      <c r="Z39" s="438"/>
    </row>
    <row r="40" ht="11.25" hidden="1" customHeight="1">
      <c r="A40" s="450" t="s">
        <v>255</v>
      </c>
      <c r="B40" s="451">
        <v>45077.0</v>
      </c>
      <c r="C40" s="452" t="s">
        <v>857</v>
      </c>
      <c r="D40" s="452">
        <v>6.0</v>
      </c>
      <c r="E40" s="452">
        <v>1.0</v>
      </c>
      <c r="F40" s="452" t="s">
        <v>887</v>
      </c>
      <c r="G40" s="453">
        <v>0.0</v>
      </c>
      <c r="H40" s="453">
        <v>10744.0</v>
      </c>
      <c r="I40" s="453">
        <v>0.0</v>
      </c>
      <c r="J40" s="438"/>
      <c r="K40" s="438"/>
      <c r="L40" s="438"/>
      <c r="M40" s="438"/>
      <c r="N40" s="438"/>
      <c r="O40" s="438"/>
      <c r="P40" s="438"/>
      <c r="Q40" s="438"/>
      <c r="R40" s="438"/>
      <c r="S40" s="438"/>
      <c r="T40" s="438"/>
      <c r="U40" s="438"/>
      <c r="V40" s="438"/>
      <c r="W40" s="438"/>
      <c r="X40" s="438"/>
      <c r="Y40" s="438"/>
      <c r="Z40" s="438"/>
    </row>
    <row r="41" ht="11.25" hidden="1" customHeight="1">
      <c r="A41" s="450" t="s">
        <v>255</v>
      </c>
      <c r="B41" s="451">
        <v>45107.0</v>
      </c>
      <c r="C41" s="452" t="s">
        <v>861</v>
      </c>
      <c r="D41" s="452">
        <v>35.0</v>
      </c>
      <c r="E41" s="452">
        <v>0.0</v>
      </c>
      <c r="F41" s="452" t="s">
        <v>888</v>
      </c>
      <c r="G41" s="453">
        <v>7210.0</v>
      </c>
      <c r="H41" s="453">
        <v>0.0</v>
      </c>
      <c r="I41" s="453">
        <v>-7210.0</v>
      </c>
      <c r="J41" s="438"/>
      <c r="K41" s="438"/>
      <c r="L41" s="438"/>
      <c r="M41" s="438"/>
      <c r="N41" s="438"/>
      <c r="O41" s="438"/>
      <c r="P41" s="438"/>
      <c r="Q41" s="438"/>
      <c r="R41" s="438"/>
      <c r="S41" s="438"/>
      <c r="T41" s="438"/>
      <c r="U41" s="438"/>
      <c r="V41" s="438"/>
      <c r="W41" s="438"/>
      <c r="X41" s="438"/>
      <c r="Y41" s="438"/>
      <c r="Z41" s="438"/>
    </row>
    <row r="42" ht="11.25" hidden="1" customHeight="1">
      <c r="A42" s="450" t="s">
        <v>255</v>
      </c>
      <c r="B42" s="451">
        <v>45107.0</v>
      </c>
      <c r="C42" s="452" t="s">
        <v>857</v>
      </c>
      <c r="D42" s="452">
        <v>7.0</v>
      </c>
      <c r="E42" s="452">
        <v>1.0</v>
      </c>
      <c r="F42" s="452" t="s">
        <v>889</v>
      </c>
      <c r="G42" s="453">
        <v>0.0</v>
      </c>
      <c r="H42" s="453">
        <v>7210.0</v>
      </c>
      <c r="I42" s="453">
        <v>0.0</v>
      </c>
      <c r="J42" s="438"/>
      <c r="K42" s="438"/>
      <c r="L42" s="438"/>
      <c r="M42" s="438"/>
      <c r="N42" s="438"/>
      <c r="O42" s="438"/>
      <c r="P42" s="438"/>
      <c r="Q42" s="438"/>
      <c r="R42" s="438"/>
      <c r="S42" s="438"/>
      <c r="T42" s="438"/>
      <c r="U42" s="438"/>
      <c r="V42" s="438"/>
      <c r="W42" s="438"/>
      <c r="X42" s="438"/>
      <c r="Y42" s="438"/>
      <c r="Z42" s="438"/>
    </row>
    <row r="43" ht="11.25" hidden="1" customHeight="1">
      <c r="A43" s="450" t="s">
        <v>255</v>
      </c>
      <c r="B43" s="451">
        <v>45138.0</v>
      </c>
      <c r="C43" s="452" t="s">
        <v>861</v>
      </c>
      <c r="D43" s="452">
        <v>36.0</v>
      </c>
      <c r="E43" s="452">
        <v>0.0</v>
      </c>
      <c r="F43" s="452" t="s">
        <v>890</v>
      </c>
      <c r="G43" s="453">
        <v>7222.0</v>
      </c>
      <c r="H43" s="453">
        <v>0.0</v>
      </c>
      <c r="I43" s="453">
        <v>-7222.0</v>
      </c>
      <c r="J43" s="438"/>
      <c r="K43" s="438"/>
      <c r="L43" s="438"/>
      <c r="M43" s="438"/>
      <c r="N43" s="438"/>
      <c r="O43" s="438"/>
      <c r="P43" s="438"/>
      <c r="Q43" s="438"/>
      <c r="R43" s="438"/>
      <c r="S43" s="438"/>
      <c r="T43" s="438"/>
      <c r="U43" s="438"/>
      <c r="V43" s="438"/>
      <c r="W43" s="438"/>
      <c r="X43" s="438"/>
      <c r="Y43" s="438"/>
      <c r="Z43" s="438"/>
    </row>
    <row r="44" ht="11.25" hidden="1" customHeight="1">
      <c r="A44" s="450" t="s">
        <v>255</v>
      </c>
      <c r="B44" s="451">
        <v>45138.0</v>
      </c>
      <c r="C44" s="452" t="s">
        <v>857</v>
      </c>
      <c r="D44" s="452">
        <v>8.0</v>
      </c>
      <c r="E44" s="452">
        <v>1.0</v>
      </c>
      <c r="F44" s="452" t="s">
        <v>891</v>
      </c>
      <c r="G44" s="453">
        <v>0.0</v>
      </c>
      <c r="H44" s="453">
        <v>7222.0</v>
      </c>
      <c r="I44" s="453">
        <v>0.0</v>
      </c>
      <c r="J44" s="438"/>
      <c r="K44" s="438"/>
      <c r="L44" s="438"/>
      <c r="M44" s="438"/>
      <c r="N44" s="438"/>
      <c r="O44" s="438"/>
      <c r="P44" s="438"/>
      <c r="Q44" s="438"/>
      <c r="R44" s="438"/>
      <c r="S44" s="438"/>
      <c r="T44" s="438"/>
      <c r="U44" s="438"/>
      <c r="V44" s="438"/>
      <c r="W44" s="438"/>
      <c r="X44" s="438"/>
      <c r="Y44" s="438"/>
      <c r="Z44" s="438"/>
    </row>
    <row r="45" ht="11.25" hidden="1" customHeight="1">
      <c r="A45" s="450" t="s">
        <v>255</v>
      </c>
      <c r="B45" s="451">
        <v>45169.0</v>
      </c>
      <c r="C45" s="452" t="s">
        <v>861</v>
      </c>
      <c r="D45" s="452">
        <v>37.0</v>
      </c>
      <c r="E45" s="452">
        <v>0.0</v>
      </c>
      <c r="F45" s="452" t="s">
        <v>892</v>
      </c>
      <c r="G45" s="453">
        <v>7213.0</v>
      </c>
      <c r="H45" s="453">
        <v>0.0</v>
      </c>
      <c r="I45" s="453">
        <v>-7213.0</v>
      </c>
      <c r="J45" s="438"/>
      <c r="K45" s="438"/>
      <c r="L45" s="438"/>
      <c r="M45" s="438"/>
      <c r="N45" s="438"/>
      <c r="O45" s="438"/>
      <c r="P45" s="438"/>
      <c r="Q45" s="438"/>
      <c r="R45" s="438"/>
      <c r="S45" s="438"/>
      <c r="T45" s="438"/>
      <c r="U45" s="438"/>
      <c r="V45" s="438"/>
      <c r="W45" s="438"/>
      <c r="X45" s="438"/>
      <c r="Y45" s="438"/>
      <c r="Z45" s="438"/>
    </row>
    <row r="46" ht="11.25" hidden="1" customHeight="1">
      <c r="A46" s="450" t="s">
        <v>255</v>
      </c>
      <c r="B46" s="451">
        <v>45169.0</v>
      </c>
      <c r="C46" s="452" t="s">
        <v>857</v>
      </c>
      <c r="D46" s="452">
        <v>9.0</v>
      </c>
      <c r="E46" s="452">
        <v>1.0</v>
      </c>
      <c r="F46" s="452" t="s">
        <v>893</v>
      </c>
      <c r="G46" s="453">
        <v>0.0</v>
      </c>
      <c r="H46" s="453">
        <v>7213.0</v>
      </c>
      <c r="I46" s="453">
        <v>0.0</v>
      </c>
      <c r="J46" s="438"/>
      <c r="K46" s="438"/>
      <c r="L46" s="438"/>
      <c r="M46" s="438"/>
      <c r="N46" s="438"/>
      <c r="O46" s="438"/>
      <c r="P46" s="438"/>
      <c r="Q46" s="438"/>
      <c r="R46" s="438"/>
      <c r="S46" s="438"/>
      <c r="T46" s="438"/>
      <c r="U46" s="438"/>
      <c r="V46" s="438"/>
      <c r="W46" s="438"/>
      <c r="X46" s="438"/>
      <c r="Y46" s="438"/>
      <c r="Z46" s="438"/>
    </row>
    <row r="47" ht="11.25" hidden="1" customHeight="1">
      <c r="A47" s="450" t="s">
        <v>255</v>
      </c>
      <c r="B47" s="451">
        <v>45199.0</v>
      </c>
      <c r="C47" s="452" t="s">
        <v>861</v>
      </c>
      <c r="D47" s="452">
        <v>38.0</v>
      </c>
      <c r="E47" s="452">
        <v>0.0</v>
      </c>
      <c r="F47" s="452" t="s">
        <v>894</v>
      </c>
      <c r="G47" s="453">
        <v>7230.0</v>
      </c>
      <c r="H47" s="453">
        <v>0.0</v>
      </c>
      <c r="I47" s="453">
        <v>-7230.0</v>
      </c>
      <c r="J47" s="438"/>
      <c r="K47" s="438"/>
      <c r="L47" s="438"/>
      <c r="M47" s="438"/>
      <c r="N47" s="438"/>
      <c r="O47" s="438"/>
      <c r="P47" s="438"/>
      <c r="Q47" s="438"/>
      <c r="R47" s="438"/>
      <c r="S47" s="438"/>
      <c r="T47" s="438"/>
      <c r="U47" s="438"/>
      <c r="V47" s="438"/>
      <c r="W47" s="438"/>
      <c r="X47" s="438"/>
      <c r="Y47" s="438"/>
      <c r="Z47" s="438"/>
    </row>
    <row r="48" ht="11.25" hidden="1" customHeight="1">
      <c r="A48" s="450" t="s">
        <v>255</v>
      </c>
      <c r="B48" s="451">
        <v>45199.0</v>
      </c>
      <c r="C48" s="452" t="s">
        <v>857</v>
      </c>
      <c r="D48" s="452">
        <v>11.0</v>
      </c>
      <c r="E48" s="452">
        <v>1.0</v>
      </c>
      <c r="F48" s="452" t="s">
        <v>895</v>
      </c>
      <c r="G48" s="453">
        <v>0.0</v>
      </c>
      <c r="H48" s="453">
        <v>7230.0</v>
      </c>
      <c r="I48" s="453">
        <v>0.0</v>
      </c>
      <c r="J48" s="438"/>
      <c r="K48" s="438"/>
      <c r="L48" s="438"/>
      <c r="M48" s="438"/>
      <c r="N48" s="438"/>
      <c r="O48" s="438"/>
      <c r="P48" s="438"/>
      <c r="Q48" s="438"/>
      <c r="R48" s="438"/>
      <c r="S48" s="438"/>
      <c r="T48" s="438"/>
      <c r="U48" s="438"/>
      <c r="V48" s="438"/>
      <c r="W48" s="438"/>
      <c r="X48" s="438"/>
      <c r="Y48" s="438"/>
      <c r="Z48" s="438"/>
    </row>
    <row r="49" ht="11.25" hidden="1" customHeight="1">
      <c r="A49" s="450" t="s">
        <v>255</v>
      </c>
      <c r="B49" s="451">
        <v>45230.0</v>
      </c>
      <c r="C49" s="452" t="s">
        <v>861</v>
      </c>
      <c r="D49" s="452">
        <v>39.0</v>
      </c>
      <c r="E49" s="452">
        <v>0.0</v>
      </c>
      <c r="F49" s="452" t="s">
        <v>896</v>
      </c>
      <c r="G49" s="453">
        <v>7243.0</v>
      </c>
      <c r="H49" s="453">
        <v>0.0</v>
      </c>
      <c r="I49" s="453">
        <v>-7243.0</v>
      </c>
      <c r="J49" s="438"/>
      <c r="K49" s="438"/>
      <c r="L49" s="438"/>
      <c r="M49" s="438"/>
      <c r="N49" s="438"/>
      <c r="O49" s="438"/>
      <c r="P49" s="438"/>
      <c r="Q49" s="438"/>
      <c r="R49" s="438"/>
      <c r="S49" s="438"/>
      <c r="T49" s="438"/>
      <c r="U49" s="438"/>
      <c r="V49" s="438"/>
      <c r="W49" s="438"/>
      <c r="X49" s="438"/>
      <c r="Y49" s="438"/>
      <c r="Z49" s="438"/>
    </row>
    <row r="50" ht="11.25" hidden="1" customHeight="1">
      <c r="A50" s="450" t="s">
        <v>255</v>
      </c>
      <c r="B50" s="451">
        <v>45230.0</v>
      </c>
      <c r="C50" s="452" t="s">
        <v>857</v>
      </c>
      <c r="D50" s="452">
        <v>12.0</v>
      </c>
      <c r="E50" s="452">
        <v>1.0</v>
      </c>
      <c r="F50" s="452" t="s">
        <v>897</v>
      </c>
      <c r="G50" s="453">
        <v>0.0</v>
      </c>
      <c r="H50" s="453">
        <v>7243.0</v>
      </c>
      <c r="I50" s="453">
        <v>0.0</v>
      </c>
      <c r="J50" s="438"/>
      <c r="K50" s="438"/>
      <c r="L50" s="438"/>
      <c r="M50" s="438"/>
      <c r="N50" s="438"/>
      <c r="O50" s="438"/>
      <c r="P50" s="438"/>
      <c r="Q50" s="438"/>
      <c r="R50" s="438"/>
      <c r="S50" s="438"/>
      <c r="T50" s="438"/>
      <c r="U50" s="438"/>
      <c r="V50" s="438"/>
      <c r="W50" s="438"/>
      <c r="X50" s="438"/>
      <c r="Y50" s="438"/>
      <c r="Z50" s="438"/>
    </row>
    <row r="51" ht="11.25" hidden="1" customHeight="1">
      <c r="A51" s="450" t="s">
        <v>255</v>
      </c>
      <c r="B51" s="451">
        <v>45260.0</v>
      </c>
      <c r="C51" s="452" t="s">
        <v>861</v>
      </c>
      <c r="D51" s="452">
        <v>40.0</v>
      </c>
      <c r="E51" s="452">
        <v>0.0</v>
      </c>
      <c r="F51" s="452" t="s">
        <v>898</v>
      </c>
      <c r="G51" s="453">
        <v>7281.0</v>
      </c>
      <c r="H51" s="453">
        <v>0.0</v>
      </c>
      <c r="I51" s="453">
        <v>-7281.0</v>
      </c>
      <c r="J51" s="438"/>
      <c r="K51" s="438"/>
      <c r="L51" s="438"/>
      <c r="M51" s="438"/>
      <c r="N51" s="438"/>
      <c r="O51" s="438"/>
      <c r="P51" s="438"/>
      <c r="Q51" s="438"/>
      <c r="R51" s="438"/>
      <c r="S51" s="438"/>
      <c r="T51" s="438"/>
      <c r="U51" s="438"/>
      <c r="V51" s="438"/>
      <c r="W51" s="438"/>
      <c r="X51" s="438"/>
      <c r="Y51" s="438"/>
      <c r="Z51" s="438"/>
    </row>
    <row r="52" ht="11.25" hidden="1" customHeight="1">
      <c r="A52" s="450" t="s">
        <v>255</v>
      </c>
      <c r="B52" s="451">
        <v>45260.0</v>
      </c>
      <c r="C52" s="452" t="s">
        <v>857</v>
      </c>
      <c r="D52" s="452">
        <v>13.0</v>
      </c>
      <c r="E52" s="452">
        <v>1.0</v>
      </c>
      <c r="F52" s="452" t="s">
        <v>899</v>
      </c>
      <c r="G52" s="453">
        <v>0.0</v>
      </c>
      <c r="H52" s="453">
        <v>7281.0</v>
      </c>
      <c r="I52" s="453">
        <v>0.0</v>
      </c>
      <c r="J52" s="438"/>
      <c r="K52" s="438"/>
      <c r="L52" s="438"/>
      <c r="M52" s="438"/>
      <c r="N52" s="438"/>
      <c r="O52" s="438"/>
      <c r="P52" s="438"/>
      <c r="Q52" s="438"/>
      <c r="R52" s="438"/>
      <c r="S52" s="438"/>
      <c r="T52" s="438"/>
      <c r="U52" s="438"/>
      <c r="V52" s="438"/>
      <c r="W52" s="438"/>
      <c r="X52" s="438"/>
      <c r="Y52" s="438"/>
      <c r="Z52" s="438"/>
    </row>
    <row r="53" ht="11.25" hidden="1" customHeight="1">
      <c r="A53" s="450" t="s">
        <v>255</v>
      </c>
      <c r="B53" s="451">
        <v>45291.0</v>
      </c>
      <c r="C53" s="452" t="s">
        <v>861</v>
      </c>
      <c r="D53" s="452">
        <v>41.0</v>
      </c>
      <c r="E53" s="452">
        <v>0.0</v>
      </c>
      <c r="F53" s="452" t="s">
        <v>900</v>
      </c>
      <c r="G53" s="453">
        <v>10969.0</v>
      </c>
      <c r="H53" s="453">
        <v>0.0</v>
      </c>
      <c r="I53" s="453">
        <v>-10969.0</v>
      </c>
      <c r="J53" s="438"/>
      <c r="K53" s="438"/>
      <c r="L53" s="438"/>
      <c r="M53" s="438"/>
      <c r="N53" s="438"/>
      <c r="O53" s="438"/>
      <c r="P53" s="438"/>
      <c r="Q53" s="438"/>
      <c r="R53" s="438"/>
      <c r="S53" s="438"/>
      <c r="T53" s="438"/>
      <c r="U53" s="438"/>
      <c r="V53" s="438"/>
      <c r="W53" s="438"/>
      <c r="X53" s="438"/>
      <c r="Y53" s="438"/>
      <c r="Z53" s="438"/>
    </row>
    <row r="54" ht="11.25" hidden="1" customHeight="1">
      <c r="A54" s="450" t="s">
        <v>255</v>
      </c>
      <c r="B54" s="451">
        <v>45291.0</v>
      </c>
      <c r="C54" s="452" t="s">
        <v>857</v>
      </c>
      <c r="D54" s="452">
        <v>14.0</v>
      </c>
      <c r="E54" s="452">
        <v>1.0</v>
      </c>
      <c r="F54" s="452" t="s">
        <v>901</v>
      </c>
      <c r="G54" s="453">
        <v>0.0</v>
      </c>
      <c r="H54" s="453">
        <v>10969.0</v>
      </c>
      <c r="I54" s="453">
        <v>0.0</v>
      </c>
      <c r="J54" s="438"/>
      <c r="K54" s="438"/>
      <c r="L54" s="438"/>
      <c r="M54" s="438"/>
      <c r="N54" s="438"/>
      <c r="O54" s="438"/>
      <c r="P54" s="438"/>
      <c r="Q54" s="438"/>
      <c r="R54" s="438"/>
      <c r="S54" s="438"/>
      <c r="T54" s="438"/>
      <c r="U54" s="438"/>
      <c r="V54" s="438"/>
      <c r="W54" s="438"/>
      <c r="X54" s="438"/>
      <c r="Y54" s="438"/>
      <c r="Z54" s="438"/>
    </row>
    <row r="55" ht="11.25" hidden="1" customHeight="1">
      <c r="A55" s="450" t="s">
        <v>256</v>
      </c>
      <c r="B55" s="451">
        <v>44927.0</v>
      </c>
      <c r="C55" s="452" t="s">
        <v>857</v>
      </c>
      <c r="D55" s="452">
        <v>1.0</v>
      </c>
      <c r="E55" s="452">
        <v>7.0</v>
      </c>
      <c r="F55" s="452" t="s">
        <v>858</v>
      </c>
      <c r="G55" s="453">
        <v>0.0</v>
      </c>
      <c r="H55" s="453">
        <v>100000.0</v>
      </c>
      <c r="I55" s="453">
        <v>100000.0</v>
      </c>
      <c r="J55" s="438"/>
      <c r="K55" s="438"/>
      <c r="L55" s="438"/>
      <c r="M55" s="438"/>
      <c r="N55" s="438"/>
      <c r="O55" s="438"/>
      <c r="P55" s="438"/>
      <c r="Q55" s="438"/>
      <c r="R55" s="438"/>
      <c r="S55" s="438"/>
      <c r="T55" s="438"/>
      <c r="U55" s="438"/>
      <c r="V55" s="438"/>
      <c r="W55" s="438"/>
      <c r="X55" s="438"/>
      <c r="Y55" s="438"/>
      <c r="Z55" s="438"/>
    </row>
    <row r="56" ht="11.25" hidden="1" customHeight="1">
      <c r="A56" s="450" t="s">
        <v>257</v>
      </c>
      <c r="B56" s="451">
        <v>44927.0</v>
      </c>
      <c r="C56" s="452" t="s">
        <v>857</v>
      </c>
      <c r="D56" s="452">
        <v>1.0</v>
      </c>
      <c r="E56" s="452">
        <v>12.0</v>
      </c>
      <c r="F56" s="452" t="s">
        <v>858</v>
      </c>
      <c r="G56" s="453">
        <v>0.0</v>
      </c>
      <c r="H56" s="453">
        <v>1.3515393E8</v>
      </c>
      <c r="I56" s="453">
        <v>1.3515393E8</v>
      </c>
      <c r="J56" s="438"/>
      <c r="K56" s="438"/>
      <c r="L56" s="438"/>
      <c r="M56" s="438"/>
      <c r="N56" s="438"/>
      <c r="O56" s="438"/>
      <c r="P56" s="438"/>
      <c r="Q56" s="438"/>
      <c r="R56" s="438"/>
      <c r="S56" s="438"/>
      <c r="T56" s="438"/>
      <c r="U56" s="438"/>
      <c r="V56" s="438"/>
      <c r="W56" s="438"/>
      <c r="X56" s="438"/>
      <c r="Y56" s="438"/>
      <c r="Z56" s="438"/>
    </row>
    <row r="57" ht="11.25" hidden="1" customHeight="1">
      <c r="A57" s="450" t="s">
        <v>257</v>
      </c>
      <c r="B57" s="451">
        <v>44927.0</v>
      </c>
      <c r="C57" s="452" t="s">
        <v>857</v>
      </c>
      <c r="D57" s="452">
        <v>15.0</v>
      </c>
      <c r="E57" s="452">
        <v>1.0</v>
      </c>
      <c r="F57" s="452" t="s">
        <v>902</v>
      </c>
      <c r="G57" s="453">
        <v>1.3515393E8</v>
      </c>
      <c r="H57" s="453">
        <v>0.0</v>
      </c>
      <c r="I57" s="453">
        <v>0.0</v>
      </c>
      <c r="J57" s="438"/>
      <c r="K57" s="438"/>
      <c r="L57" s="438"/>
      <c r="M57" s="438"/>
      <c r="N57" s="438"/>
      <c r="O57" s="438"/>
      <c r="P57" s="438"/>
      <c r="Q57" s="438"/>
      <c r="R57" s="438"/>
      <c r="S57" s="438"/>
      <c r="T57" s="438"/>
      <c r="U57" s="438"/>
      <c r="V57" s="438"/>
      <c r="W57" s="438"/>
      <c r="X57" s="438"/>
      <c r="Y57" s="438"/>
      <c r="Z57" s="438"/>
    </row>
    <row r="58" ht="11.25" hidden="1" customHeight="1">
      <c r="A58" s="450" t="s">
        <v>258</v>
      </c>
      <c r="B58" s="451">
        <v>44927.0</v>
      </c>
      <c r="C58" s="452" t="s">
        <v>857</v>
      </c>
      <c r="D58" s="452">
        <v>1.0</v>
      </c>
      <c r="E58" s="452">
        <v>11.0</v>
      </c>
      <c r="F58" s="452" t="s">
        <v>858</v>
      </c>
      <c r="G58" s="453">
        <v>0.0</v>
      </c>
      <c r="H58" s="453">
        <v>2.76082219E8</v>
      </c>
      <c r="I58" s="453">
        <v>2.76082219E8</v>
      </c>
      <c r="J58" s="438"/>
      <c r="K58" s="438"/>
      <c r="L58" s="438"/>
      <c r="M58" s="438"/>
      <c r="N58" s="438"/>
      <c r="O58" s="438"/>
      <c r="P58" s="438"/>
      <c r="Q58" s="438"/>
      <c r="R58" s="438"/>
      <c r="S58" s="438"/>
      <c r="T58" s="438"/>
      <c r="U58" s="438"/>
      <c r="V58" s="438"/>
      <c r="W58" s="438"/>
      <c r="X58" s="438"/>
      <c r="Y58" s="438"/>
      <c r="Z58" s="438"/>
    </row>
    <row r="59" ht="11.25" hidden="1" customHeight="1">
      <c r="A59" s="450" t="s">
        <v>258</v>
      </c>
      <c r="B59" s="451">
        <v>44927.0</v>
      </c>
      <c r="C59" s="452" t="s">
        <v>857</v>
      </c>
      <c r="D59" s="452">
        <v>15.0</v>
      </c>
      <c r="E59" s="452">
        <v>2.0</v>
      </c>
      <c r="F59" s="452" t="s">
        <v>902</v>
      </c>
      <c r="G59" s="453">
        <v>0.0</v>
      </c>
      <c r="H59" s="453">
        <v>2.571643E7</v>
      </c>
      <c r="I59" s="453">
        <v>3.01798649E8</v>
      </c>
      <c r="J59" s="438"/>
      <c r="K59" s="438"/>
      <c r="L59" s="438"/>
      <c r="M59" s="438"/>
      <c r="N59" s="438"/>
      <c r="O59" s="438"/>
      <c r="P59" s="438"/>
      <c r="Q59" s="438"/>
      <c r="R59" s="438"/>
      <c r="S59" s="438"/>
      <c r="T59" s="438"/>
      <c r="U59" s="438"/>
      <c r="V59" s="438"/>
      <c r="W59" s="438"/>
      <c r="X59" s="438"/>
      <c r="Y59" s="438"/>
      <c r="Z59" s="438"/>
    </row>
    <row r="60" ht="11.25" hidden="1" customHeight="1">
      <c r="A60" s="450" t="s">
        <v>259</v>
      </c>
      <c r="B60" s="451">
        <v>45046.0</v>
      </c>
      <c r="C60" s="452" t="s">
        <v>857</v>
      </c>
      <c r="D60" s="452">
        <v>5.0</v>
      </c>
      <c r="E60" s="452">
        <v>0.0</v>
      </c>
      <c r="F60" s="452" t="s">
        <v>903</v>
      </c>
      <c r="G60" s="453">
        <v>357211.0</v>
      </c>
      <c r="H60" s="453">
        <v>0.0</v>
      </c>
      <c r="I60" s="453">
        <v>357211.0</v>
      </c>
      <c r="J60" s="438"/>
      <c r="K60" s="438"/>
      <c r="L60" s="438"/>
      <c r="M60" s="438"/>
      <c r="N60" s="438"/>
      <c r="O60" s="438"/>
      <c r="P60" s="438"/>
      <c r="Q60" s="438"/>
      <c r="R60" s="438"/>
      <c r="S60" s="438"/>
      <c r="T60" s="438"/>
      <c r="U60" s="438"/>
      <c r="V60" s="438"/>
      <c r="W60" s="438"/>
      <c r="X60" s="438"/>
      <c r="Y60" s="438"/>
      <c r="Z60" s="438"/>
    </row>
    <row r="61" ht="11.25" hidden="1" customHeight="1">
      <c r="A61" s="450" t="s">
        <v>260</v>
      </c>
      <c r="B61" s="451">
        <v>45163.0</v>
      </c>
      <c r="C61" s="452" t="s">
        <v>861</v>
      </c>
      <c r="D61" s="452">
        <v>4.0</v>
      </c>
      <c r="E61" s="452">
        <v>0.0</v>
      </c>
      <c r="F61" s="452" t="s">
        <v>904</v>
      </c>
      <c r="G61" s="453">
        <v>12000.0</v>
      </c>
      <c r="H61" s="453">
        <v>0.0</v>
      </c>
      <c r="I61" s="453">
        <v>12000.0</v>
      </c>
      <c r="J61" s="438"/>
      <c r="K61" s="438"/>
      <c r="L61" s="438"/>
      <c r="M61" s="438"/>
      <c r="N61" s="438"/>
      <c r="O61" s="438"/>
      <c r="P61" s="438"/>
      <c r="Q61" s="438"/>
      <c r="R61" s="438"/>
      <c r="S61" s="438"/>
      <c r="T61" s="438"/>
      <c r="U61" s="438"/>
      <c r="V61" s="438"/>
      <c r="W61" s="438"/>
      <c r="X61" s="438"/>
      <c r="Y61" s="438"/>
      <c r="Z61" s="438"/>
    </row>
    <row r="62" ht="11.25" hidden="1" customHeight="1">
      <c r="A62" s="450" t="s">
        <v>261</v>
      </c>
      <c r="B62" s="451">
        <v>45199.0</v>
      </c>
      <c r="C62" s="452" t="s">
        <v>857</v>
      </c>
      <c r="D62" s="452">
        <v>10.0</v>
      </c>
      <c r="E62" s="452">
        <v>1.0</v>
      </c>
      <c r="F62" s="452" t="s">
        <v>905</v>
      </c>
      <c r="G62" s="453">
        <v>40000.0</v>
      </c>
      <c r="H62" s="453">
        <v>0.0</v>
      </c>
      <c r="I62" s="453">
        <v>40000.0</v>
      </c>
      <c r="J62" s="438"/>
      <c r="K62" s="438"/>
      <c r="L62" s="438"/>
      <c r="M62" s="438"/>
      <c r="N62" s="438"/>
      <c r="O62" s="438"/>
      <c r="P62" s="438"/>
      <c r="Q62" s="438"/>
      <c r="R62" s="438"/>
      <c r="S62" s="438"/>
      <c r="T62" s="438"/>
      <c r="U62" s="438"/>
      <c r="V62" s="438"/>
      <c r="W62" s="438"/>
      <c r="X62" s="438"/>
      <c r="Y62" s="438"/>
      <c r="Z62" s="438"/>
    </row>
    <row r="63" ht="11.25" hidden="1" customHeight="1">
      <c r="A63" s="450" t="s">
        <v>262</v>
      </c>
      <c r="B63" s="451">
        <v>44957.0</v>
      </c>
      <c r="C63" s="452" t="s">
        <v>857</v>
      </c>
      <c r="D63" s="452">
        <v>2.0</v>
      </c>
      <c r="E63" s="452">
        <v>0.0</v>
      </c>
      <c r="F63" s="452" t="s">
        <v>906</v>
      </c>
      <c r="G63" s="453">
        <v>9262.0</v>
      </c>
      <c r="H63" s="453">
        <v>0.0</v>
      </c>
      <c r="I63" s="453">
        <v>9262.0</v>
      </c>
      <c r="J63" s="438"/>
      <c r="K63" s="438"/>
      <c r="L63" s="438"/>
      <c r="M63" s="438"/>
      <c r="N63" s="438"/>
      <c r="O63" s="438"/>
      <c r="P63" s="438"/>
      <c r="Q63" s="438"/>
      <c r="R63" s="438"/>
      <c r="S63" s="438"/>
      <c r="T63" s="438"/>
      <c r="U63" s="438"/>
      <c r="V63" s="438"/>
      <c r="W63" s="438"/>
      <c r="X63" s="438"/>
      <c r="Y63" s="438"/>
      <c r="Z63" s="438"/>
    </row>
    <row r="64" ht="11.25" hidden="1" customHeight="1">
      <c r="A64" s="450" t="s">
        <v>262</v>
      </c>
      <c r="B64" s="451">
        <v>44985.0</v>
      </c>
      <c r="C64" s="452" t="s">
        <v>857</v>
      </c>
      <c r="D64" s="452">
        <v>3.0</v>
      </c>
      <c r="E64" s="452">
        <v>0.0</v>
      </c>
      <c r="F64" s="452" t="s">
        <v>907</v>
      </c>
      <c r="G64" s="453">
        <v>6211.0</v>
      </c>
      <c r="H64" s="453">
        <v>0.0</v>
      </c>
      <c r="I64" s="453">
        <v>15473.0</v>
      </c>
      <c r="J64" s="438"/>
      <c r="K64" s="438"/>
      <c r="L64" s="438"/>
      <c r="M64" s="438"/>
      <c r="N64" s="438"/>
      <c r="O64" s="438"/>
      <c r="P64" s="438"/>
      <c r="Q64" s="438"/>
      <c r="R64" s="438"/>
      <c r="S64" s="438"/>
      <c r="T64" s="438"/>
      <c r="U64" s="438"/>
      <c r="V64" s="438"/>
      <c r="W64" s="438"/>
      <c r="X64" s="438"/>
      <c r="Y64" s="438"/>
      <c r="Z64" s="438"/>
    </row>
    <row r="65" ht="11.25" hidden="1" customHeight="1">
      <c r="A65" s="450" t="s">
        <v>262</v>
      </c>
      <c r="B65" s="451">
        <v>45016.0</v>
      </c>
      <c r="C65" s="452" t="s">
        <v>857</v>
      </c>
      <c r="D65" s="452">
        <v>4.0</v>
      </c>
      <c r="E65" s="452">
        <v>0.0</v>
      </c>
      <c r="F65" s="452" t="s">
        <v>908</v>
      </c>
      <c r="G65" s="453">
        <v>6863.0</v>
      </c>
      <c r="H65" s="453">
        <v>0.0</v>
      </c>
      <c r="I65" s="453">
        <v>22336.0</v>
      </c>
      <c r="J65" s="438"/>
      <c r="K65" s="438"/>
      <c r="L65" s="438"/>
      <c r="M65" s="438"/>
      <c r="N65" s="438"/>
      <c r="O65" s="438"/>
      <c r="P65" s="438"/>
      <c r="Q65" s="438"/>
      <c r="R65" s="438"/>
      <c r="S65" s="438"/>
      <c r="T65" s="438"/>
      <c r="U65" s="438"/>
      <c r="V65" s="438"/>
      <c r="W65" s="438"/>
      <c r="X65" s="438"/>
      <c r="Y65" s="438"/>
      <c r="Z65" s="438"/>
    </row>
    <row r="66" ht="11.25" hidden="1" customHeight="1">
      <c r="A66" s="450" t="s">
        <v>262</v>
      </c>
      <c r="B66" s="451">
        <v>45046.0</v>
      </c>
      <c r="C66" s="452" t="s">
        <v>857</v>
      </c>
      <c r="D66" s="452">
        <v>5.0</v>
      </c>
      <c r="E66" s="452">
        <v>0.0</v>
      </c>
      <c r="F66" s="452" t="s">
        <v>903</v>
      </c>
      <c r="G66" s="453">
        <v>6874.0</v>
      </c>
      <c r="H66" s="453">
        <v>0.0</v>
      </c>
      <c r="I66" s="453">
        <v>29210.0</v>
      </c>
      <c r="J66" s="438"/>
      <c r="K66" s="438"/>
      <c r="L66" s="438"/>
      <c r="M66" s="438"/>
      <c r="N66" s="438"/>
      <c r="O66" s="438"/>
      <c r="P66" s="438"/>
      <c r="Q66" s="438"/>
      <c r="R66" s="438"/>
      <c r="S66" s="438"/>
      <c r="T66" s="438"/>
      <c r="U66" s="438"/>
      <c r="V66" s="438"/>
      <c r="W66" s="438"/>
      <c r="X66" s="438"/>
      <c r="Y66" s="438"/>
      <c r="Z66" s="438"/>
    </row>
    <row r="67" ht="11.25" hidden="1" customHeight="1">
      <c r="A67" s="450" t="s">
        <v>262</v>
      </c>
      <c r="B67" s="451">
        <v>45077.0</v>
      </c>
      <c r="C67" s="452" t="s">
        <v>857</v>
      </c>
      <c r="D67" s="452">
        <v>6.0</v>
      </c>
      <c r="E67" s="452">
        <v>0.0</v>
      </c>
      <c r="F67" s="452" t="s">
        <v>909</v>
      </c>
      <c r="G67" s="453">
        <v>9450.0</v>
      </c>
      <c r="H67" s="453">
        <v>0.0</v>
      </c>
      <c r="I67" s="453">
        <v>38660.0</v>
      </c>
      <c r="J67" s="438"/>
      <c r="K67" s="438"/>
      <c r="L67" s="438"/>
      <c r="M67" s="438"/>
      <c r="N67" s="438"/>
      <c r="O67" s="438"/>
      <c r="P67" s="438"/>
      <c r="Q67" s="438"/>
      <c r="R67" s="438"/>
      <c r="S67" s="438"/>
      <c r="T67" s="438"/>
      <c r="U67" s="438"/>
      <c r="V67" s="438"/>
      <c r="W67" s="438"/>
      <c r="X67" s="438"/>
      <c r="Y67" s="438"/>
      <c r="Z67" s="438"/>
    </row>
    <row r="68" ht="11.25" hidden="1" customHeight="1">
      <c r="A68" s="450" t="s">
        <v>262</v>
      </c>
      <c r="B68" s="451">
        <v>45107.0</v>
      </c>
      <c r="C68" s="452" t="s">
        <v>857</v>
      </c>
      <c r="D68" s="452">
        <v>7.0</v>
      </c>
      <c r="E68" s="452">
        <v>0.0</v>
      </c>
      <c r="F68" s="452" t="s">
        <v>910</v>
      </c>
      <c r="G68" s="453">
        <v>6342.0</v>
      </c>
      <c r="H68" s="453">
        <v>0.0</v>
      </c>
      <c r="I68" s="453">
        <v>45002.0</v>
      </c>
      <c r="J68" s="438"/>
      <c r="K68" s="438"/>
      <c r="L68" s="438"/>
      <c r="M68" s="438"/>
      <c r="N68" s="438"/>
      <c r="O68" s="438"/>
      <c r="P68" s="438"/>
      <c r="Q68" s="438"/>
      <c r="R68" s="438"/>
      <c r="S68" s="438"/>
      <c r="T68" s="438"/>
      <c r="U68" s="438"/>
      <c r="V68" s="438"/>
      <c r="W68" s="438"/>
      <c r="X68" s="438"/>
      <c r="Y68" s="438"/>
      <c r="Z68" s="438"/>
    </row>
    <row r="69" ht="11.25" hidden="1" customHeight="1">
      <c r="A69" s="450" t="s">
        <v>262</v>
      </c>
      <c r="B69" s="451">
        <v>45138.0</v>
      </c>
      <c r="C69" s="452" t="s">
        <v>857</v>
      </c>
      <c r="D69" s="452">
        <v>8.0</v>
      </c>
      <c r="E69" s="452">
        <v>0.0</v>
      </c>
      <c r="F69" s="452" t="s">
        <v>911</v>
      </c>
      <c r="G69" s="453">
        <v>6353.0</v>
      </c>
      <c r="H69" s="453">
        <v>0.0</v>
      </c>
      <c r="I69" s="453">
        <v>51355.0</v>
      </c>
      <c r="J69" s="438"/>
      <c r="K69" s="438"/>
      <c r="L69" s="438"/>
      <c r="M69" s="438"/>
      <c r="N69" s="438"/>
      <c r="O69" s="438"/>
      <c r="P69" s="438"/>
      <c r="Q69" s="438"/>
      <c r="R69" s="438"/>
      <c r="S69" s="438"/>
      <c r="T69" s="438"/>
      <c r="U69" s="438"/>
      <c r="V69" s="438"/>
      <c r="W69" s="438"/>
      <c r="X69" s="438"/>
      <c r="Y69" s="438"/>
      <c r="Z69" s="438"/>
    </row>
    <row r="70" ht="11.25" hidden="1" customHeight="1">
      <c r="A70" s="450" t="s">
        <v>262</v>
      </c>
      <c r="B70" s="451">
        <v>45169.0</v>
      </c>
      <c r="C70" s="452" t="s">
        <v>857</v>
      </c>
      <c r="D70" s="452">
        <v>9.0</v>
      </c>
      <c r="E70" s="452">
        <v>0.0</v>
      </c>
      <c r="F70" s="452" t="s">
        <v>912</v>
      </c>
      <c r="G70" s="453">
        <v>6345.0</v>
      </c>
      <c r="H70" s="453">
        <v>0.0</v>
      </c>
      <c r="I70" s="453">
        <v>57700.0</v>
      </c>
      <c r="J70" s="438"/>
      <c r="K70" s="438"/>
      <c r="L70" s="438"/>
      <c r="M70" s="438"/>
      <c r="N70" s="438"/>
      <c r="O70" s="438"/>
      <c r="P70" s="438"/>
      <c r="Q70" s="438"/>
      <c r="R70" s="438"/>
      <c r="S70" s="438"/>
      <c r="T70" s="438"/>
      <c r="U70" s="438"/>
      <c r="V70" s="438"/>
      <c r="W70" s="438"/>
      <c r="X70" s="438"/>
      <c r="Y70" s="438"/>
      <c r="Z70" s="438"/>
    </row>
    <row r="71" ht="11.25" hidden="1" customHeight="1">
      <c r="A71" s="450" t="s">
        <v>262</v>
      </c>
      <c r="B71" s="451">
        <v>45199.0</v>
      </c>
      <c r="C71" s="452" t="s">
        <v>857</v>
      </c>
      <c r="D71" s="452">
        <v>11.0</v>
      </c>
      <c r="E71" s="452">
        <v>0.0</v>
      </c>
      <c r="F71" s="452" t="s">
        <v>913</v>
      </c>
      <c r="G71" s="453">
        <v>6360.0</v>
      </c>
      <c r="H71" s="453">
        <v>0.0</v>
      </c>
      <c r="I71" s="453">
        <v>64060.0</v>
      </c>
      <c r="J71" s="438"/>
      <c r="K71" s="438"/>
      <c r="L71" s="438"/>
      <c r="M71" s="438"/>
      <c r="N71" s="438"/>
      <c r="O71" s="438"/>
      <c r="P71" s="438"/>
      <c r="Q71" s="438"/>
      <c r="R71" s="438"/>
      <c r="S71" s="438"/>
      <c r="T71" s="438"/>
      <c r="U71" s="438"/>
      <c r="V71" s="438"/>
      <c r="W71" s="438"/>
      <c r="X71" s="438"/>
      <c r="Y71" s="438"/>
      <c r="Z71" s="438"/>
    </row>
    <row r="72" ht="11.25" hidden="1" customHeight="1">
      <c r="A72" s="450" t="s">
        <v>262</v>
      </c>
      <c r="B72" s="451">
        <v>45230.0</v>
      </c>
      <c r="C72" s="452" t="s">
        <v>857</v>
      </c>
      <c r="D72" s="452">
        <v>12.0</v>
      </c>
      <c r="E72" s="452">
        <v>0.0</v>
      </c>
      <c r="F72" s="452" t="s">
        <v>914</v>
      </c>
      <c r="G72" s="453">
        <v>6371.0</v>
      </c>
      <c r="H72" s="453">
        <v>0.0</v>
      </c>
      <c r="I72" s="453">
        <v>70431.0</v>
      </c>
      <c r="J72" s="438"/>
      <c r="K72" s="438"/>
      <c r="L72" s="438"/>
      <c r="M72" s="438"/>
      <c r="N72" s="438"/>
      <c r="O72" s="438"/>
      <c r="P72" s="438"/>
      <c r="Q72" s="438"/>
      <c r="R72" s="438"/>
      <c r="S72" s="438"/>
      <c r="T72" s="438"/>
      <c r="U72" s="438"/>
      <c r="V72" s="438"/>
      <c r="W72" s="438"/>
      <c r="X72" s="438"/>
      <c r="Y72" s="438"/>
      <c r="Z72" s="438"/>
    </row>
    <row r="73" ht="11.25" hidden="1" customHeight="1">
      <c r="A73" s="450" t="s">
        <v>262</v>
      </c>
      <c r="B73" s="451">
        <v>45260.0</v>
      </c>
      <c r="C73" s="452" t="s">
        <v>857</v>
      </c>
      <c r="D73" s="452">
        <v>13.0</v>
      </c>
      <c r="E73" s="452">
        <v>0.0</v>
      </c>
      <c r="F73" s="452" t="s">
        <v>915</v>
      </c>
      <c r="G73" s="453">
        <v>6404.0</v>
      </c>
      <c r="H73" s="453">
        <v>0.0</v>
      </c>
      <c r="I73" s="453">
        <v>76835.0</v>
      </c>
      <c r="J73" s="438"/>
      <c r="K73" s="438"/>
      <c r="L73" s="438"/>
      <c r="M73" s="438"/>
      <c r="N73" s="438"/>
      <c r="O73" s="438"/>
      <c r="P73" s="438"/>
      <c r="Q73" s="438"/>
      <c r="R73" s="438"/>
      <c r="S73" s="438"/>
      <c r="T73" s="438"/>
      <c r="U73" s="438"/>
      <c r="V73" s="438"/>
      <c r="W73" s="438"/>
      <c r="X73" s="438"/>
      <c r="Y73" s="438"/>
      <c r="Z73" s="438"/>
    </row>
    <row r="74" ht="11.25" hidden="1" customHeight="1">
      <c r="A74" s="450" t="s">
        <v>262</v>
      </c>
      <c r="B74" s="451">
        <v>45291.0</v>
      </c>
      <c r="C74" s="452" t="s">
        <v>857</v>
      </c>
      <c r="D74" s="452">
        <v>14.0</v>
      </c>
      <c r="E74" s="452">
        <v>0.0</v>
      </c>
      <c r="F74" s="452" t="s">
        <v>916</v>
      </c>
      <c r="G74" s="453">
        <v>9648.0</v>
      </c>
      <c r="H74" s="453">
        <v>0.0</v>
      </c>
      <c r="I74" s="453">
        <v>86483.0</v>
      </c>
      <c r="J74" s="438"/>
      <c r="K74" s="438"/>
      <c r="L74" s="438"/>
      <c r="M74" s="438"/>
      <c r="N74" s="438"/>
      <c r="O74" s="438"/>
      <c r="P74" s="438"/>
      <c r="Q74" s="438"/>
      <c r="R74" s="438"/>
      <c r="S74" s="438"/>
      <c r="T74" s="438"/>
      <c r="U74" s="438"/>
      <c r="V74" s="438"/>
      <c r="W74" s="438"/>
      <c r="X74" s="438"/>
      <c r="Y74" s="438"/>
      <c r="Z74" s="438"/>
    </row>
    <row r="75" ht="11.25" customHeight="1">
      <c r="A75" s="450" t="s">
        <v>263</v>
      </c>
      <c r="B75" s="451">
        <v>45049.0</v>
      </c>
      <c r="C75" s="452" t="s">
        <v>861</v>
      </c>
      <c r="D75" s="452">
        <v>42.0</v>
      </c>
      <c r="E75" s="452">
        <v>4.0</v>
      </c>
      <c r="F75" s="452" t="s">
        <v>862</v>
      </c>
      <c r="G75" s="453">
        <v>626743.0</v>
      </c>
      <c r="H75" s="453">
        <v>0.0</v>
      </c>
      <c r="I75" s="453">
        <v>626743.0</v>
      </c>
      <c r="J75" s="438"/>
      <c r="K75" s="438"/>
      <c r="L75" s="438"/>
      <c r="M75" s="438"/>
      <c r="N75" s="438"/>
      <c r="O75" s="438"/>
      <c r="P75" s="438"/>
      <c r="Q75" s="438"/>
      <c r="R75" s="438"/>
      <c r="S75" s="438"/>
      <c r="T75" s="438"/>
      <c r="U75" s="438"/>
      <c r="V75" s="438"/>
      <c r="W75" s="438"/>
      <c r="X75" s="438"/>
      <c r="Y75" s="438"/>
      <c r="Z75" s="438"/>
    </row>
    <row r="76" ht="11.25" hidden="1" customHeight="1">
      <c r="A76" s="450" t="s">
        <v>264</v>
      </c>
      <c r="B76" s="451">
        <v>45291.0</v>
      </c>
      <c r="C76" s="452" t="s">
        <v>857</v>
      </c>
      <c r="D76" s="452">
        <v>16.0</v>
      </c>
      <c r="E76" s="452">
        <v>1.0</v>
      </c>
      <c r="F76" s="452" t="s">
        <v>875</v>
      </c>
      <c r="G76" s="453">
        <v>12569.0</v>
      </c>
      <c r="H76" s="453">
        <v>0.0</v>
      </c>
      <c r="I76" s="453">
        <v>12569.0</v>
      </c>
      <c r="J76" s="438"/>
      <c r="K76" s="438"/>
      <c r="L76" s="438"/>
      <c r="M76" s="438"/>
      <c r="N76" s="438"/>
      <c r="O76" s="438"/>
      <c r="P76" s="438"/>
      <c r="Q76" s="438"/>
      <c r="R76" s="438"/>
      <c r="S76" s="438"/>
      <c r="T76" s="438"/>
      <c r="U76" s="438"/>
      <c r="V76" s="438"/>
      <c r="W76" s="438"/>
      <c r="X76" s="438"/>
      <c r="Y76" s="438"/>
      <c r="Z76" s="438"/>
    </row>
    <row r="77" ht="11.25" hidden="1" customHeight="1">
      <c r="A77" s="450" t="s">
        <v>265</v>
      </c>
      <c r="B77" s="451">
        <v>45049.0</v>
      </c>
      <c r="C77" s="452" t="s">
        <v>861</v>
      </c>
      <c r="D77" s="452">
        <v>42.0</v>
      </c>
      <c r="E77" s="452">
        <v>1.0</v>
      </c>
      <c r="F77" s="452" t="s">
        <v>862</v>
      </c>
      <c r="G77" s="453">
        <v>1.3554622E7</v>
      </c>
      <c r="H77" s="453">
        <v>0.0</v>
      </c>
      <c r="I77" s="453">
        <v>1.3554622E7</v>
      </c>
      <c r="J77" s="438"/>
      <c r="K77" s="438"/>
      <c r="L77" s="438"/>
      <c r="M77" s="438"/>
      <c r="N77" s="438"/>
      <c r="O77" s="438"/>
      <c r="P77" s="438"/>
      <c r="Q77" s="438"/>
      <c r="R77" s="438"/>
      <c r="S77" s="438"/>
      <c r="T77" s="438"/>
      <c r="U77" s="438"/>
      <c r="V77" s="438"/>
      <c r="W77" s="438"/>
      <c r="X77" s="438"/>
      <c r="Y77" s="438"/>
      <c r="Z77" s="438"/>
    </row>
    <row r="78" ht="11.25" hidden="1" customHeight="1">
      <c r="A78" s="450" t="s">
        <v>266</v>
      </c>
      <c r="B78" s="451">
        <v>45049.0</v>
      </c>
      <c r="C78" s="452" t="s">
        <v>861</v>
      </c>
      <c r="D78" s="452">
        <v>42.0</v>
      </c>
      <c r="E78" s="452">
        <v>3.0</v>
      </c>
      <c r="F78" s="452" t="s">
        <v>862</v>
      </c>
      <c r="G78" s="453">
        <v>280973.0</v>
      </c>
      <c r="H78" s="453">
        <v>0.0</v>
      </c>
      <c r="I78" s="453">
        <v>280973.0</v>
      </c>
      <c r="J78" s="438"/>
      <c r="K78" s="438"/>
      <c r="L78" s="438"/>
      <c r="M78" s="438"/>
      <c r="N78" s="438"/>
      <c r="O78" s="438"/>
      <c r="P78" s="438"/>
      <c r="Q78" s="438"/>
      <c r="R78" s="438"/>
      <c r="S78" s="438"/>
      <c r="T78" s="438"/>
      <c r="U78" s="438"/>
      <c r="V78" s="438"/>
      <c r="W78" s="438"/>
      <c r="X78" s="438"/>
      <c r="Y78" s="438"/>
      <c r="Z78" s="438"/>
    </row>
    <row r="79" ht="11.25" hidden="1" customHeight="1">
      <c r="A79" s="450" t="s">
        <v>253</v>
      </c>
      <c r="B79" s="451">
        <v>45049.0</v>
      </c>
      <c r="C79" s="452" t="s">
        <v>861</v>
      </c>
      <c r="D79" s="452">
        <v>42.0</v>
      </c>
      <c r="E79" s="452">
        <v>5.0</v>
      </c>
      <c r="F79" s="452" t="s">
        <v>862</v>
      </c>
      <c r="G79" s="453">
        <v>0.0</v>
      </c>
      <c r="H79" s="453">
        <v>1.4287381E7</v>
      </c>
      <c r="I79" s="453">
        <v>1.4287381E7</v>
      </c>
      <c r="J79" s="438"/>
      <c r="K79" s="438"/>
      <c r="L79" s="438"/>
      <c r="M79" s="438"/>
      <c r="N79" s="438"/>
      <c r="O79" s="438"/>
      <c r="P79" s="438"/>
      <c r="Q79" s="438"/>
      <c r="R79" s="438"/>
      <c r="S79" s="438"/>
      <c r="T79" s="438"/>
      <c r="U79" s="438"/>
      <c r="V79" s="438"/>
      <c r="W79" s="438"/>
      <c r="X79" s="438"/>
      <c r="Y79" s="438"/>
      <c r="Z79" s="438"/>
    </row>
    <row r="80" ht="11.25" hidden="1" customHeight="1">
      <c r="A80" s="450" t="s">
        <v>244</v>
      </c>
      <c r="B80" s="451">
        <v>44927.0</v>
      </c>
      <c r="C80" s="452" t="s">
        <v>857</v>
      </c>
      <c r="D80" s="452">
        <v>1.0</v>
      </c>
      <c r="E80" s="452">
        <v>2.0</v>
      </c>
      <c r="F80" s="452" t="s">
        <v>858</v>
      </c>
      <c r="G80" s="453">
        <v>966664.0</v>
      </c>
      <c r="H80" s="453">
        <v>0.0</v>
      </c>
      <c r="I80" s="453">
        <v>966664.0</v>
      </c>
      <c r="J80" s="438"/>
      <c r="K80" s="438"/>
      <c r="L80" s="438"/>
      <c r="M80" s="438"/>
      <c r="N80" s="438"/>
      <c r="O80" s="438"/>
      <c r="P80" s="438"/>
      <c r="Q80" s="438"/>
      <c r="R80" s="438"/>
      <c r="S80" s="438"/>
      <c r="T80" s="438"/>
      <c r="U80" s="438"/>
      <c r="V80" s="438"/>
      <c r="W80" s="438"/>
      <c r="X80" s="438"/>
      <c r="Y80" s="438"/>
      <c r="Z80" s="438"/>
    </row>
    <row r="81" ht="11.25" hidden="1" customHeight="1">
      <c r="A81" s="450" t="s">
        <v>244</v>
      </c>
      <c r="B81" s="451">
        <v>44937.0</v>
      </c>
      <c r="C81" s="452" t="s">
        <v>859</v>
      </c>
      <c r="D81" s="452">
        <v>1.0</v>
      </c>
      <c r="E81" s="452">
        <v>1.0</v>
      </c>
      <c r="F81" s="452" t="s">
        <v>917</v>
      </c>
      <c r="G81" s="453">
        <v>4552747.0</v>
      </c>
      <c r="H81" s="453">
        <v>0.0</v>
      </c>
      <c r="I81" s="453">
        <v>5519411.0</v>
      </c>
      <c r="J81" s="438"/>
      <c r="K81" s="438"/>
      <c r="L81" s="438"/>
      <c r="M81" s="438"/>
      <c r="N81" s="438"/>
      <c r="O81" s="438"/>
      <c r="P81" s="438"/>
      <c r="Q81" s="438"/>
      <c r="R81" s="438"/>
      <c r="S81" s="438"/>
      <c r="T81" s="438"/>
      <c r="U81" s="438"/>
      <c r="V81" s="438"/>
      <c r="W81" s="438"/>
      <c r="X81" s="438"/>
      <c r="Y81" s="438"/>
      <c r="Z81" s="438"/>
    </row>
    <row r="82" ht="11.25" hidden="1" customHeight="1">
      <c r="A82" s="450" t="s">
        <v>244</v>
      </c>
      <c r="B82" s="451">
        <v>44938.0</v>
      </c>
      <c r="C82" s="452" t="s">
        <v>861</v>
      </c>
      <c r="D82" s="452">
        <v>6.0</v>
      </c>
      <c r="E82" s="452">
        <v>1.0</v>
      </c>
      <c r="F82" s="452" t="s">
        <v>128</v>
      </c>
      <c r="G82" s="453">
        <v>0.0</v>
      </c>
      <c r="H82" s="453">
        <v>2276374.0</v>
      </c>
      <c r="I82" s="453">
        <v>3243037.0</v>
      </c>
      <c r="J82" s="438"/>
      <c r="K82" s="438"/>
      <c r="L82" s="438"/>
      <c r="M82" s="438"/>
      <c r="N82" s="438"/>
      <c r="O82" s="438"/>
      <c r="P82" s="438"/>
      <c r="Q82" s="438"/>
      <c r="R82" s="438"/>
      <c r="S82" s="438"/>
      <c r="T82" s="438"/>
      <c r="U82" s="438"/>
      <c r="V82" s="438"/>
      <c r="W82" s="438"/>
      <c r="X82" s="438"/>
      <c r="Y82" s="438"/>
      <c r="Z82" s="438"/>
    </row>
    <row r="83" ht="11.25" hidden="1" customHeight="1">
      <c r="A83" s="450" t="s">
        <v>244</v>
      </c>
      <c r="B83" s="451">
        <v>44938.0</v>
      </c>
      <c r="C83" s="452" t="s">
        <v>861</v>
      </c>
      <c r="D83" s="452">
        <v>17.0</v>
      </c>
      <c r="E83" s="452">
        <v>1.0</v>
      </c>
      <c r="F83" s="452" t="s">
        <v>130</v>
      </c>
      <c r="G83" s="453">
        <v>0.0</v>
      </c>
      <c r="H83" s="453">
        <v>2276374.0</v>
      </c>
      <c r="I83" s="453">
        <v>966663.0</v>
      </c>
      <c r="J83" s="438"/>
      <c r="K83" s="438"/>
      <c r="L83" s="438"/>
      <c r="M83" s="438"/>
      <c r="N83" s="438"/>
      <c r="O83" s="438"/>
      <c r="P83" s="438"/>
      <c r="Q83" s="438"/>
      <c r="R83" s="438"/>
      <c r="S83" s="438"/>
      <c r="T83" s="438"/>
      <c r="U83" s="438"/>
      <c r="V83" s="438"/>
      <c r="W83" s="438"/>
      <c r="X83" s="438"/>
      <c r="Y83" s="438"/>
      <c r="Z83" s="438"/>
    </row>
    <row r="84" ht="11.25" hidden="1" customHeight="1">
      <c r="A84" s="450" t="s">
        <v>244</v>
      </c>
      <c r="B84" s="451">
        <v>44943.0</v>
      </c>
      <c r="C84" s="452" t="s">
        <v>861</v>
      </c>
      <c r="D84" s="452">
        <v>1.0</v>
      </c>
      <c r="E84" s="452">
        <v>1.0</v>
      </c>
      <c r="F84" s="452" t="s">
        <v>918</v>
      </c>
      <c r="G84" s="453">
        <v>0.0</v>
      </c>
      <c r="H84" s="453">
        <v>300000.0</v>
      </c>
      <c r="I84" s="453">
        <v>666663.0</v>
      </c>
      <c r="J84" s="438"/>
      <c r="K84" s="438"/>
      <c r="L84" s="438"/>
      <c r="M84" s="438"/>
      <c r="N84" s="438"/>
      <c r="O84" s="438"/>
      <c r="P84" s="438"/>
      <c r="Q84" s="438"/>
      <c r="R84" s="438"/>
      <c r="S84" s="438"/>
      <c r="T84" s="438"/>
      <c r="U84" s="438"/>
      <c r="V84" s="438"/>
      <c r="W84" s="438"/>
      <c r="X84" s="438"/>
      <c r="Y84" s="438"/>
      <c r="Z84" s="438"/>
    </row>
    <row r="85" ht="11.25" hidden="1" customHeight="1">
      <c r="A85" s="450" t="s">
        <v>244</v>
      </c>
      <c r="B85" s="451">
        <v>44957.0</v>
      </c>
      <c r="C85" s="452" t="s">
        <v>861</v>
      </c>
      <c r="D85" s="452">
        <v>30.0</v>
      </c>
      <c r="E85" s="452">
        <v>1.0</v>
      </c>
      <c r="F85" s="452" t="s">
        <v>919</v>
      </c>
      <c r="G85" s="453">
        <v>0.0</v>
      </c>
      <c r="H85" s="453">
        <v>10530.0</v>
      </c>
      <c r="I85" s="453">
        <v>656133.0</v>
      </c>
      <c r="J85" s="438"/>
      <c r="K85" s="438"/>
      <c r="L85" s="438"/>
      <c r="M85" s="438"/>
      <c r="N85" s="438"/>
      <c r="O85" s="438"/>
      <c r="P85" s="438"/>
      <c r="Q85" s="438"/>
      <c r="R85" s="438"/>
      <c r="S85" s="438"/>
      <c r="T85" s="438"/>
      <c r="U85" s="438"/>
      <c r="V85" s="438"/>
      <c r="W85" s="438"/>
      <c r="X85" s="438"/>
      <c r="Y85" s="438"/>
      <c r="Z85" s="438"/>
    </row>
    <row r="86" ht="11.25" hidden="1" customHeight="1">
      <c r="A86" s="450" t="s">
        <v>244</v>
      </c>
      <c r="B86" s="451">
        <v>44971.0</v>
      </c>
      <c r="C86" s="452" t="s">
        <v>861</v>
      </c>
      <c r="D86" s="452">
        <v>2.0</v>
      </c>
      <c r="E86" s="452">
        <v>1.0</v>
      </c>
      <c r="F86" s="452" t="s">
        <v>920</v>
      </c>
      <c r="G86" s="453">
        <v>0.0</v>
      </c>
      <c r="H86" s="453">
        <v>258323.0</v>
      </c>
      <c r="I86" s="453">
        <v>397810.0</v>
      </c>
      <c r="J86" s="438"/>
      <c r="K86" s="438"/>
      <c r="L86" s="438"/>
      <c r="M86" s="438"/>
      <c r="N86" s="438"/>
      <c r="O86" s="438"/>
      <c r="P86" s="438"/>
      <c r="Q86" s="438"/>
      <c r="R86" s="438"/>
      <c r="S86" s="438"/>
      <c r="T86" s="438"/>
      <c r="U86" s="438"/>
      <c r="V86" s="438"/>
      <c r="W86" s="438"/>
      <c r="X86" s="438"/>
      <c r="Y86" s="438"/>
      <c r="Z86" s="438"/>
    </row>
    <row r="87" ht="11.25" hidden="1" customHeight="1">
      <c r="A87" s="450" t="s">
        <v>244</v>
      </c>
      <c r="B87" s="451">
        <v>44971.0</v>
      </c>
      <c r="C87" s="452" t="s">
        <v>861</v>
      </c>
      <c r="D87" s="452">
        <v>7.0</v>
      </c>
      <c r="E87" s="452">
        <v>1.0</v>
      </c>
      <c r="F87" s="452" t="s">
        <v>130</v>
      </c>
      <c r="G87" s="453">
        <v>0.0</v>
      </c>
      <c r="H87" s="453">
        <v>258232.0</v>
      </c>
      <c r="I87" s="453">
        <v>139578.0</v>
      </c>
      <c r="J87" s="438"/>
      <c r="K87" s="438"/>
      <c r="L87" s="438"/>
      <c r="M87" s="438"/>
      <c r="N87" s="438"/>
      <c r="O87" s="438"/>
      <c r="P87" s="438"/>
      <c r="Q87" s="438"/>
      <c r="R87" s="438"/>
      <c r="S87" s="438"/>
      <c r="T87" s="438"/>
      <c r="U87" s="438"/>
      <c r="V87" s="438"/>
      <c r="W87" s="438"/>
      <c r="X87" s="438"/>
      <c r="Y87" s="438"/>
      <c r="Z87" s="438"/>
    </row>
    <row r="88" ht="11.25" hidden="1" customHeight="1">
      <c r="A88" s="450" t="s">
        <v>244</v>
      </c>
      <c r="B88" s="451">
        <v>44971.0</v>
      </c>
      <c r="C88" s="452" t="s">
        <v>861</v>
      </c>
      <c r="D88" s="452">
        <v>18.0</v>
      </c>
      <c r="E88" s="452">
        <v>1.0</v>
      </c>
      <c r="F88" s="452" t="s">
        <v>128</v>
      </c>
      <c r="G88" s="453">
        <v>0.0</v>
      </c>
      <c r="H88" s="453">
        <v>258232.0</v>
      </c>
      <c r="I88" s="453">
        <v>-118654.0</v>
      </c>
      <c r="J88" s="438"/>
      <c r="K88" s="438"/>
      <c r="L88" s="438"/>
      <c r="M88" s="438"/>
      <c r="N88" s="438"/>
      <c r="O88" s="438"/>
      <c r="P88" s="438"/>
      <c r="Q88" s="438"/>
      <c r="R88" s="438"/>
      <c r="S88" s="438"/>
      <c r="T88" s="438"/>
      <c r="U88" s="438"/>
      <c r="V88" s="438"/>
      <c r="W88" s="438"/>
      <c r="X88" s="438"/>
      <c r="Y88" s="438"/>
      <c r="Z88" s="438"/>
    </row>
    <row r="89" ht="11.25" hidden="1" customHeight="1">
      <c r="A89" s="450" t="s">
        <v>244</v>
      </c>
      <c r="B89" s="451">
        <v>44971.0</v>
      </c>
      <c r="C89" s="452" t="s">
        <v>859</v>
      </c>
      <c r="D89" s="452">
        <v>2.0</v>
      </c>
      <c r="E89" s="452">
        <v>1.0</v>
      </c>
      <c r="F89" s="452" t="s">
        <v>917</v>
      </c>
      <c r="G89" s="453">
        <v>774696.0</v>
      </c>
      <c r="H89" s="453">
        <v>0.0</v>
      </c>
      <c r="I89" s="453">
        <v>656042.0</v>
      </c>
      <c r="J89" s="438"/>
      <c r="K89" s="438"/>
      <c r="L89" s="438"/>
      <c r="M89" s="438"/>
      <c r="N89" s="438"/>
      <c r="O89" s="438"/>
      <c r="P89" s="438"/>
      <c r="Q89" s="438"/>
      <c r="R89" s="438"/>
      <c r="S89" s="438"/>
      <c r="T89" s="438"/>
      <c r="U89" s="438"/>
      <c r="V89" s="438"/>
      <c r="W89" s="438"/>
      <c r="X89" s="438"/>
      <c r="Y89" s="438"/>
      <c r="Z89" s="438"/>
    </row>
    <row r="90" ht="11.25" hidden="1" customHeight="1">
      <c r="A90" s="450" t="s">
        <v>244</v>
      </c>
      <c r="B90" s="451">
        <v>44985.0</v>
      </c>
      <c r="C90" s="452" t="s">
        <v>861</v>
      </c>
      <c r="D90" s="452">
        <v>31.0</v>
      </c>
      <c r="E90" s="452">
        <v>1.0</v>
      </c>
      <c r="F90" s="452" t="s">
        <v>921</v>
      </c>
      <c r="G90" s="453">
        <v>0.0</v>
      </c>
      <c r="H90" s="453">
        <v>7061.0</v>
      </c>
      <c r="I90" s="453">
        <v>648981.0</v>
      </c>
      <c r="J90" s="438"/>
      <c r="K90" s="438"/>
      <c r="L90" s="438"/>
      <c r="M90" s="438"/>
      <c r="N90" s="438"/>
      <c r="O90" s="438"/>
      <c r="P90" s="438"/>
      <c r="Q90" s="438"/>
      <c r="R90" s="438"/>
      <c r="S90" s="438"/>
      <c r="T90" s="438"/>
      <c r="U90" s="438"/>
      <c r="V90" s="438"/>
      <c r="W90" s="438"/>
      <c r="X90" s="438"/>
      <c r="Y90" s="438"/>
      <c r="Z90" s="438"/>
    </row>
    <row r="91" ht="11.25" hidden="1" customHeight="1">
      <c r="A91" s="450" t="s">
        <v>244</v>
      </c>
      <c r="B91" s="451">
        <v>45016.0</v>
      </c>
      <c r="C91" s="452" t="s">
        <v>861</v>
      </c>
      <c r="D91" s="452">
        <v>32.0</v>
      </c>
      <c r="E91" s="452">
        <v>1.0</v>
      </c>
      <c r="F91" s="452" t="s">
        <v>922</v>
      </c>
      <c r="G91" s="453">
        <v>0.0</v>
      </c>
      <c r="H91" s="453">
        <v>8167.0</v>
      </c>
      <c r="I91" s="453">
        <v>640814.0</v>
      </c>
      <c r="J91" s="438"/>
      <c r="K91" s="438"/>
      <c r="L91" s="438"/>
      <c r="M91" s="438"/>
      <c r="N91" s="438"/>
      <c r="O91" s="438"/>
      <c r="P91" s="438"/>
      <c r="Q91" s="438"/>
      <c r="R91" s="438"/>
      <c r="S91" s="438"/>
      <c r="T91" s="438"/>
      <c r="U91" s="438"/>
      <c r="V91" s="438"/>
      <c r="W91" s="438"/>
      <c r="X91" s="438"/>
      <c r="Y91" s="438"/>
      <c r="Z91" s="438"/>
    </row>
    <row r="92" ht="11.25" hidden="1" customHeight="1">
      <c r="A92" s="450" t="s">
        <v>244</v>
      </c>
      <c r="B92" s="451">
        <v>45046.0</v>
      </c>
      <c r="C92" s="452" t="s">
        <v>861</v>
      </c>
      <c r="D92" s="452">
        <v>33.0</v>
      </c>
      <c r="E92" s="452">
        <v>1.0</v>
      </c>
      <c r="F92" s="452" t="s">
        <v>923</v>
      </c>
      <c r="G92" s="453">
        <v>0.0</v>
      </c>
      <c r="H92" s="453">
        <v>365393.0</v>
      </c>
      <c r="I92" s="453">
        <v>275421.0</v>
      </c>
      <c r="J92" s="438"/>
      <c r="K92" s="438"/>
      <c r="L92" s="438"/>
      <c r="M92" s="438"/>
      <c r="N92" s="438"/>
      <c r="O92" s="438"/>
      <c r="P92" s="438"/>
      <c r="Q92" s="438"/>
      <c r="R92" s="438"/>
      <c r="S92" s="438"/>
      <c r="T92" s="438"/>
      <c r="U92" s="438"/>
      <c r="V92" s="438"/>
      <c r="W92" s="438"/>
      <c r="X92" s="438"/>
      <c r="Y92" s="438"/>
      <c r="Z92" s="438"/>
    </row>
    <row r="93" ht="11.25" hidden="1" customHeight="1">
      <c r="A93" s="450" t="s">
        <v>244</v>
      </c>
      <c r="B93" s="451">
        <v>45054.0</v>
      </c>
      <c r="C93" s="452" t="s">
        <v>861</v>
      </c>
      <c r="D93" s="452">
        <v>8.0</v>
      </c>
      <c r="E93" s="452">
        <v>1.0</v>
      </c>
      <c r="F93" s="452" t="s">
        <v>130</v>
      </c>
      <c r="G93" s="453">
        <v>0.0</v>
      </c>
      <c r="H93" s="453">
        <v>4000000.0</v>
      </c>
      <c r="I93" s="453">
        <v>-3724579.0</v>
      </c>
      <c r="J93" s="438"/>
      <c r="K93" s="438"/>
      <c r="L93" s="438"/>
      <c r="M93" s="438"/>
      <c r="N93" s="438"/>
      <c r="O93" s="438"/>
      <c r="P93" s="438"/>
      <c r="Q93" s="438"/>
      <c r="R93" s="438"/>
      <c r="S93" s="438"/>
      <c r="T93" s="438"/>
      <c r="U93" s="438"/>
      <c r="V93" s="438"/>
      <c r="W93" s="438"/>
      <c r="X93" s="438"/>
      <c r="Y93" s="438"/>
      <c r="Z93" s="438"/>
    </row>
    <row r="94" ht="11.25" hidden="1" customHeight="1">
      <c r="A94" s="450" t="s">
        <v>244</v>
      </c>
      <c r="B94" s="451">
        <v>45054.0</v>
      </c>
      <c r="C94" s="452" t="s">
        <v>861</v>
      </c>
      <c r="D94" s="452">
        <v>19.0</v>
      </c>
      <c r="E94" s="452">
        <v>1.0</v>
      </c>
      <c r="F94" s="452" t="s">
        <v>128</v>
      </c>
      <c r="G94" s="453">
        <v>0.0</v>
      </c>
      <c r="H94" s="453">
        <v>4000000.0</v>
      </c>
      <c r="I94" s="453">
        <v>-7724579.0</v>
      </c>
      <c r="J94" s="438"/>
      <c r="K94" s="438"/>
      <c r="L94" s="438"/>
      <c r="M94" s="438"/>
      <c r="N94" s="438"/>
      <c r="O94" s="438"/>
      <c r="P94" s="438"/>
      <c r="Q94" s="438"/>
      <c r="R94" s="438"/>
      <c r="S94" s="438"/>
      <c r="T94" s="438"/>
      <c r="U94" s="438"/>
      <c r="V94" s="438"/>
      <c r="W94" s="438"/>
      <c r="X94" s="438"/>
      <c r="Y94" s="438"/>
      <c r="Z94" s="438"/>
    </row>
    <row r="95" ht="11.25" hidden="1" customHeight="1">
      <c r="A95" s="450" t="s">
        <v>244</v>
      </c>
      <c r="B95" s="451">
        <v>45054.0</v>
      </c>
      <c r="C95" s="452" t="s">
        <v>859</v>
      </c>
      <c r="D95" s="452">
        <v>3.0</v>
      </c>
      <c r="E95" s="452">
        <v>1.0</v>
      </c>
      <c r="F95" s="452" t="s">
        <v>917</v>
      </c>
      <c r="G95" s="453">
        <v>8000000.0</v>
      </c>
      <c r="H95" s="453">
        <v>0.0</v>
      </c>
      <c r="I95" s="453">
        <v>275421.0</v>
      </c>
      <c r="J95" s="438"/>
      <c r="K95" s="438"/>
      <c r="L95" s="438"/>
      <c r="M95" s="438"/>
      <c r="N95" s="438"/>
      <c r="O95" s="438"/>
      <c r="P95" s="438"/>
      <c r="Q95" s="438"/>
      <c r="R95" s="438"/>
      <c r="S95" s="438"/>
      <c r="T95" s="438"/>
      <c r="U95" s="438"/>
      <c r="V95" s="438"/>
      <c r="W95" s="438"/>
      <c r="X95" s="438"/>
      <c r="Y95" s="438"/>
      <c r="Z95" s="438"/>
    </row>
    <row r="96" ht="11.25" hidden="1" customHeight="1">
      <c r="A96" s="450" t="s">
        <v>244</v>
      </c>
      <c r="B96" s="451">
        <v>45055.0</v>
      </c>
      <c r="C96" s="452" t="s">
        <v>861</v>
      </c>
      <c r="D96" s="452">
        <v>9.0</v>
      </c>
      <c r="E96" s="452">
        <v>1.0</v>
      </c>
      <c r="F96" s="452" t="s">
        <v>130</v>
      </c>
      <c r="G96" s="453">
        <v>0.0</v>
      </c>
      <c r="H96" s="453">
        <v>1000000.0</v>
      </c>
      <c r="I96" s="453">
        <v>-724579.0</v>
      </c>
      <c r="J96" s="438"/>
      <c r="K96" s="438"/>
      <c r="L96" s="438"/>
      <c r="M96" s="438"/>
      <c r="N96" s="438"/>
      <c r="O96" s="438"/>
      <c r="P96" s="438"/>
      <c r="Q96" s="438"/>
      <c r="R96" s="438"/>
      <c r="S96" s="438"/>
      <c r="T96" s="438"/>
      <c r="U96" s="438"/>
      <c r="V96" s="438"/>
      <c r="W96" s="438"/>
      <c r="X96" s="438"/>
      <c r="Y96" s="438"/>
      <c r="Z96" s="438"/>
    </row>
    <row r="97" ht="11.25" hidden="1" customHeight="1">
      <c r="A97" s="450" t="s">
        <v>244</v>
      </c>
      <c r="B97" s="451">
        <v>45055.0</v>
      </c>
      <c r="C97" s="452" t="s">
        <v>861</v>
      </c>
      <c r="D97" s="452">
        <v>20.0</v>
      </c>
      <c r="E97" s="452">
        <v>1.0</v>
      </c>
      <c r="F97" s="452" t="s">
        <v>128</v>
      </c>
      <c r="G97" s="453">
        <v>0.0</v>
      </c>
      <c r="H97" s="453">
        <v>1000000.0</v>
      </c>
      <c r="I97" s="453">
        <v>-1724579.0</v>
      </c>
      <c r="J97" s="438"/>
      <c r="K97" s="438"/>
      <c r="L97" s="438"/>
      <c r="M97" s="438"/>
      <c r="N97" s="438"/>
      <c r="O97" s="438"/>
      <c r="P97" s="438"/>
      <c r="Q97" s="438"/>
      <c r="R97" s="438"/>
      <c r="S97" s="438"/>
      <c r="T97" s="438"/>
      <c r="U97" s="438"/>
      <c r="V97" s="438"/>
      <c r="W97" s="438"/>
      <c r="X97" s="438"/>
      <c r="Y97" s="438"/>
      <c r="Z97" s="438"/>
    </row>
    <row r="98" ht="11.25" hidden="1" customHeight="1">
      <c r="A98" s="450" t="s">
        <v>244</v>
      </c>
      <c r="B98" s="451">
        <v>45055.0</v>
      </c>
      <c r="C98" s="452" t="s">
        <v>859</v>
      </c>
      <c r="D98" s="452">
        <v>4.0</v>
      </c>
      <c r="E98" s="452">
        <v>1.0</v>
      </c>
      <c r="F98" s="452" t="s">
        <v>917</v>
      </c>
      <c r="G98" s="453">
        <v>2000000.0</v>
      </c>
      <c r="H98" s="453">
        <v>0.0</v>
      </c>
      <c r="I98" s="453">
        <v>275421.0</v>
      </c>
      <c r="J98" s="438"/>
      <c r="K98" s="438"/>
      <c r="L98" s="438"/>
      <c r="M98" s="438"/>
      <c r="N98" s="438"/>
      <c r="O98" s="438"/>
      <c r="P98" s="438"/>
      <c r="Q98" s="438"/>
      <c r="R98" s="438"/>
      <c r="S98" s="438"/>
      <c r="T98" s="438"/>
      <c r="U98" s="438"/>
      <c r="V98" s="438"/>
      <c r="W98" s="438"/>
      <c r="X98" s="438"/>
      <c r="Y98" s="438"/>
      <c r="Z98" s="438"/>
    </row>
    <row r="99" ht="11.25" hidden="1" customHeight="1">
      <c r="A99" s="450" t="s">
        <v>244</v>
      </c>
      <c r="B99" s="451">
        <v>45061.0</v>
      </c>
      <c r="C99" s="452" t="s">
        <v>861</v>
      </c>
      <c r="D99" s="452">
        <v>3.0</v>
      </c>
      <c r="E99" s="452">
        <v>0.0</v>
      </c>
      <c r="F99" s="452" t="s">
        <v>924</v>
      </c>
      <c r="G99" s="453">
        <v>0.0</v>
      </c>
      <c r="H99" s="453">
        <v>7247558.0</v>
      </c>
      <c r="I99" s="453">
        <v>-6972137.0</v>
      </c>
      <c r="J99" s="438"/>
      <c r="K99" s="438"/>
      <c r="L99" s="438"/>
      <c r="M99" s="438"/>
      <c r="N99" s="438"/>
      <c r="O99" s="438"/>
      <c r="P99" s="438"/>
      <c r="Q99" s="438"/>
      <c r="R99" s="438"/>
      <c r="S99" s="438"/>
      <c r="T99" s="438"/>
      <c r="U99" s="438"/>
      <c r="V99" s="438"/>
      <c r="W99" s="438"/>
      <c r="X99" s="438"/>
      <c r="Y99" s="438"/>
      <c r="Z99" s="438"/>
    </row>
    <row r="100" ht="11.25" hidden="1" customHeight="1">
      <c r="A100" s="450" t="s">
        <v>244</v>
      </c>
      <c r="B100" s="451">
        <v>45061.0</v>
      </c>
      <c r="C100" s="452" t="s">
        <v>859</v>
      </c>
      <c r="D100" s="452">
        <v>5.0</v>
      </c>
      <c r="E100" s="452">
        <v>1.0</v>
      </c>
      <c r="F100" s="452" t="s">
        <v>917</v>
      </c>
      <c r="G100" s="453">
        <v>7247558.0</v>
      </c>
      <c r="H100" s="453">
        <v>0.0</v>
      </c>
      <c r="I100" s="453">
        <v>275421.0</v>
      </c>
      <c r="J100" s="438"/>
      <c r="K100" s="438"/>
      <c r="L100" s="438"/>
      <c r="M100" s="438"/>
      <c r="N100" s="438"/>
      <c r="O100" s="438"/>
      <c r="P100" s="438"/>
      <c r="Q100" s="438"/>
      <c r="R100" s="438"/>
      <c r="S100" s="438"/>
      <c r="T100" s="438"/>
      <c r="U100" s="438"/>
      <c r="V100" s="438"/>
      <c r="W100" s="438"/>
      <c r="X100" s="438"/>
      <c r="Y100" s="438"/>
      <c r="Z100" s="438"/>
    </row>
    <row r="101" ht="11.25" hidden="1" customHeight="1">
      <c r="A101" s="450" t="s">
        <v>244</v>
      </c>
      <c r="B101" s="451">
        <v>45077.0</v>
      </c>
      <c r="C101" s="452" t="s">
        <v>861</v>
      </c>
      <c r="D101" s="452">
        <v>34.0</v>
      </c>
      <c r="E101" s="452">
        <v>1.0</v>
      </c>
      <c r="F101" s="452" t="s">
        <v>925</v>
      </c>
      <c r="G101" s="453">
        <v>0.0</v>
      </c>
      <c r="H101" s="453">
        <v>10744.0</v>
      </c>
      <c r="I101" s="453">
        <v>264677.0</v>
      </c>
      <c r="J101" s="438"/>
      <c r="K101" s="438"/>
      <c r="L101" s="438"/>
      <c r="M101" s="438"/>
      <c r="N101" s="438"/>
      <c r="O101" s="438"/>
      <c r="P101" s="438"/>
      <c r="Q101" s="438"/>
      <c r="R101" s="438"/>
      <c r="S101" s="438"/>
      <c r="T101" s="438"/>
      <c r="U101" s="438"/>
      <c r="V101" s="438"/>
      <c r="W101" s="438"/>
      <c r="X101" s="438"/>
      <c r="Y101" s="438"/>
      <c r="Z101" s="438"/>
    </row>
    <row r="102" ht="11.25" hidden="1" customHeight="1">
      <c r="A102" s="450" t="s">
        <v>244</v>
      </c>
      <c r="B102" s="451">
        <v>45079.0</v>
      </c>
      <c r="C102" s="452" t="s">
        <v>859</v>
      </c>
      <c r="D102" s="452">
        <v>6.0</v>
      </c>
      <c r="E102" s="452">
        <v>1.0</v>
      </c>
      <c r="F102" s="452" t="s">
        <v>917</v>
      </c>
      <c r="G102" s="453">
        <v>8000000.0</v>
      </c>
      <c r="H102" s="453">
        <v>0.0</v>
      </c>
      <c r="I102" s="453">
        <v>8264677.0</v>
      </c>
      <c r="J102" s="438"/>
      <c r="K102" s="438"/>
      <c r="L102" s="438"/>
      <c r="M102" s="438"/>
      <c r="N102" s="438"/>
      <c r="O102" s="438"/>
      <c r="P102" s="438"/>
      <c r="Q102" s="438"/>
      <c r="R102" s="438"/>
      <c r="S102" s="438"/>
      <c r="T102" s="438"/>
      <c r="U102" s="438"/>
      <c r="V102" s="438"/>
      <c r="W102" s="438"/>
      <c r="X102" s="438"/>
      <c r="Y102" s="438"/>
      <c r="Z102" s="438"/>
    </row>
    <row r="103" ht="11.25" hidden="1" customHeight="1">
      <c r="A103" s="450" t="s">
        <v>244</v>
      </c>
      <c r="B103" s="451">
        <v>45082.0</v>
      </c>
      <c r="C103" s="452" t="s">
        <v>861</v>
      </c>
      <c r="D103" s="452">
        <v>28.0</v>
      </c>
      <c r="E103" s="452">
        <v>1.0</v>
      </c>
      <c r="F103" s="452" t="s">
        <v>128</v>
      </c>
      <c r="G103" s="453">
        <v>0.0</v>
      </c>
      <c r="H103" s="453">
        <v>4000000.0</v>
      </c>
      <c r="I103" s="453">
        <v>4264677.0</v>
      </c>
      <c r="J103" s="438"/>
      <c r="K103" s="438"/>
      <c r="L103" s="438"/>
      <c r="M103" s="438"/>
      <c r="N103" s="438"/>
      <c r="O103" s="438"/>
      <c r="P103" s="438"/>
      <c r="Q103" s="438"/>
      <c r="R103" s="438"/>
      <c r="S103" s="438"/>
      <c r="T103" s="438"/>
      <c r="U103" s="438"/>
      <c r="V103" s="438"/>
      <c r="W103" s="438"/>
      <c r="X103" s="438"/>
      <c r="Y103" s="438"/>
      <c r="Z103" s="438"/>
    </row>
    <row r="104" ht="11.25" hidden="1" customHeight="1">
      <c r="A104" s="450" t="s">
        <v>244</v>
      </c>
      <c r="B104" s="451">
        <v>45082.0</v>
      </c>
      <c r="C104" s="452" t="s">
        <v>861</v>
      </c>
      <c r="D104" s="452">
        <v>29.0</v>
      </c>
      <c r="E104" s="452">
        <v>1.0</v>
      </c>
      <c r="F104" s="452" t="s">
        <v>130</v>
      </c>
      <c r="G104" s="453">
        <v>0.0</v>
      </c>
      <c r="H104" s="453">
        <v>4000000.0</v>
      </c>
      <c r="I104" s="453">
        <v>264677.0</v>
      </c>
      <c r="J104" s="438"/>
      <c r="K104" s="438"/>
      <c r="L104" s="438"/>
      <c r="M104" s="438"/>
      <c r="N104" s="438"/>
      <c r="O104" s="438"/>
      <c r="P104" s="438"/>
      <c r="Q104" s="438"/>
      <c r="R104" s="438"/>
      <c r="S104" s="438"/>
      <c r="T104" s="438"/>
      <c r="U104" s="438"/>
      <c r="V104" s="438"/>
      <c r="W104" s="438"/>
      <c r="X104" s="438"/>
      <c r="Y104" s="438"/>
      <c r="Z104" s="438"/>
    </row>
    <row r="105" ht="11.25" hidden="1" customHeight="1">
      <c r="A105" s="450" t="s">
        <v>244</v>
      </c>
      <c r="B105" s="451">
        <v>45107.0</v>
      </c>
      <c r="C105" s="452" t="s">
        <v>861</v>
      </c>
      <c r="D105" s="452">
        <v>35.0</v>
      </c>
      <c r="E105" s="452">
        <v>1.0</v>
      </c>
      <c r="F105" s="452" t="s">
        <v>926</v>
      </c>
      <c r="G105" s="453">
        <v>0.0</v>
      </c>
      <c r="H105" s="453">
        <v>7210.0</v>
      </c>
      <c r="I105" s="453">
        <v>257467.0</v>
      </c>
      <c r="J105" s="438"/>
      <c r="K105" s="438"/>
      <c r="L105" s="438"/>
      <c r="M105" s="438"/>
      <c r="N105" s="438"/>
      <c r="O105" s="438"/>
      <c r="P105" s="438"/>
      <c r="Q105" s="438"/>
      <c r="R105" s="438"/>
      <c r="S105" s="438"/>
      <c r="T105" s="438"/>
      <c r="U105" s="438"/>
      <c r="V105" s="438"/>
      <c r="W105" s="438"/>
      <c r="X105" s="438"/>
      <c r="Y105" s="438"/>
      <c r="Z105" s="438"/>
    </row>
    <row r="106" ht="11.25" hidden="1" customHeight="1">
      <c r="A106" s="450" t="s">
        <v>244</v>
      </c>
      <c r="B106" s="451">
        <v>45110.0</v>
      </c>
      <c r="C106" s="452" t="s">
        <v>861</v>
      </c>
      <c r="D106" s="452">
        <v>10.0</v>
      </c>
      <c r="E106" s="452">
        <v>1.0</v>
      </c>
      <c r="F106" s="452" t="s">
        <v>130</v>
      </c>
      <c r="G106" s="453">
        <v>0.0</v>
      </c>
      <c r="H106" s="453">
        <v>3000000.0</v>
      </c>
      <c r="I106" s="453">
        <v>-2742533.0</v>
      </c>
      <c r="J106" s="438"/>
      <c r="K106" s="438"/>
      <c r="L106" s="438"/>
      <c r="M106" s="438"/>
      <c r="N106" s="438"/>
      <c r="O106" s="438"/>
      <c r="P106" s="438"/>
      <c r="Q106" s="438"/>
      <c r="R106" s="438"/>
      <c r="S106" s="438"/>
      <c r="T106" s="438"/>
      <c r="U106" s="438"/>
      <c r="V106" s="438"/>
      <c r="W106" s="438"/>
      <c r="X106" s="438"/>
      <c r="Y106" s="438"/>
      <c r="Z106" s="438"/>
    </row>
    <row r="107" ht="11.25" hidden="1" customHeight="1">
      <c r="A107" s="450" t="s">
        <v>244</v>
      </c>
      <c r="B107" s="451">
        <v>45110.0</v>
      </c>
      <c r="C107" s="452" t="s">
        <v>861</v>
      </c>
      <c r="D107" s="452">
        <v>21.0</v>
      </c>
      <c r="E107" s="452">
        <v>1.0</v>
      </c>
      <c r="F107" s="452" t="s">
        <v>128</v>
      </c>
      <c r="G107" s="453">
        <v>0.0</v>
      </c>
      <c r="H107" s="453">
        <v>3000000.0</v>
      </c>
      <c r="I107" s="453">
        <v>-5742533.0</v>
      </c>
      <c r="J107" s="438"/>
      <c r="K107" s="438"/>
      <c r="L107" s="438"/>
      <c r="M107" s="438"/>
      <c r="N107" s="438"/>
      <c r="O107" s="438"/>
      <c r="P107" s="438"/>
      <c r="Q107" s="438"/>
      <c r="R107" s="438"/>
      <c r="S107" s="438"/>
      <c r="T107" s="438"/>
      <c r="U107" s="438"/>
      <c r="V107" s="438"/>
      <c r="W107" s="438"/>
      <c r="X107" s="438"/>
      <c r="Y107" s="438"/>
      <c r="Z107" s="438"/>
    </row>
    <row r="108" ht="11.25" hidden="1" customHeight="1">
      <c r="A108" s="450" t="s">
        <v>244</v>
      </c>
      <c r="B108" s="451">
        <v>45110.0</v>
      </c>
      <c r="C108" s="452" t="s">
        <v>859</v>
      </c>
      <c r="D108" s="452">
        <v>7.0</v>
      </c>
      <c r="E108" s="452">
        <v>1.0</v>
      </c>
      <c r="F108" s="452" t="s">
        <v>917</v>
      </c>
      <c r="G108" s="453">
        <v>6000000.0</v>
      </c>
      <c r="H108" s="453">
        <v>0.0</v>
      </c>
      <c r="I108" s="453">
        <v>257467.0</v>
      </c>
      <c r="J108" s="438"/>
      <c r="K108" s="438"/>
      <c r="L108" s="438"/>
      <c r="M108" s="438"/>
      <c r="N108" s="438"/>
      <c r="O108" s="438"/>
      <c r="P108" s="438"/>
      <c r="Q108" s="438"/>
      <c r="R108" s="438"/>
      <c r="S108" s="438"/>
      <c r="T108" s="438"/>
      <c r="U108" s="438"/>
      <c r="V108" s="438"/>
      <c r="W108" s="438"/>
      <c r="X108" s="438"/>
      <c r="Y108" s="438"/>
      <c r="Z108" s="438"/>
    </row>
    <row r="109" ht="11.25" hidden="1" customHeight="1">
      <c r="A109" s="450" t="s">
        <v>244</v>
      </c>
      <c r="B109" s="451">
        <v>45138.0</v>
      </c>
      <c r="C109" s="452" t="s">
        <v>861</v>
      </c>
      <c r="D109" s="452">
        <v>36.0</v>
      </c>
      <c r="E109" s="452">
        <v>1.0</v>
      </c>
      <c r="F109" s="452" t="s">
        <v>927</v>
      </c>
      <c r="G109" s="453">
        <v>0.0</v>
      </c>
      <c r="H109" s="453">
        <v>7222.0</v>
      </c>
      <c r="I109" s="453">
        <v>250245.0</v>
      </c>
      <c r="J109" s="438"/>
      <c r="K109" s="438"/>
      <c r="L109" s="438"/>
      <c r="M109" s="438"/>
      <c r="N109" s="438"/>
      <c r="O109" s="438"/>
      <c r="P109" s="438"/>
      <c r="Q109" s="438"/>
      <c r="R109" s="438"/>
      <c r="S109" s="438"/>
      <c r="T109" s="438"/>
      <c r="U109" s="438"/>
      <c r="V109" s="438"/>
      <c r="W109" s="438"/>
      <c r="X109" s="438"/>
      <c r="Y109" s="438"/>
      <c r="Z109" s="438"/>
    </row>
    <row r="110" ht="11.25" hidden="1" customHeight="1">
      <c r="A110" s="450" t="s">
        <v>244</v>
      </c>
      <c r="B110" s="451">
        <v>45141.0</v>
      </c>
      <c r="C110" s="452" t="s">
        <v>861</v>
      </c>
      <c r="D110" s="452">
        <v>11.0</v>
      </c>
      <c r="E110" s="452">
        <v>1.0</v>
      </c>
      <c r="F110" s="452" t="s">
        <v>130</v>
      </c>
      <c r="G110" s="453">
        <v>0.0</v>
      </c>
      <c r="H110" s="453">
        <v>4000000.0</v>
      </c>
      <c r="I110" s="453">
        <v>-3749755.0</v>
      </c>
      <c r="J110" s="438"/>
      <c r="K110" s="438"/>
      <c r="L110" s="438"/>
      <c r="M110" s="438"/>
      <c r="N110" s="438"/>
      <c r="O110" s="438"/>
      <c r="P110" s="438"/>
      <c r="Q110" s="438"/>
      <c r="R110" s="438"/>
      <c r="S110" s="438"/>
      <c r="T110" s="438"/>
      <c r="U110" s="438"/>
      <c r="V110" s="438"/>
      <c r="W110" s="438"/>
      <c r="X110" s="438"/>
      <c r="Y110" s="438"/>
      <c r="Z110" s="438"/>
    </row>
    <row r="111" ht="11.25" hidden="1" customHeight="1">
      <c r="A111" s="450" t="s">
        <v>244</v>
      </c>
      <c r="B111" s="451">
        <v>45141.0</v>
      </c>
      <c r="C111" s="452" t="s">
        <v>861</v>
      </c>
      <c r="D111" s="452">
        <v>22.0</v>
      </c>
      <c r="E111" s="452">
        <v>1.0</v>
      </c>
      <c r="F111" s="452" t="s">
        <v>128</v>
      </c>
      <c r="G111" s="453">
        <v>0.0</v>
      </c>
      <c r="H111" s="453">
        <v>4000000.0</v>
      </c>
      <c r="I111" s="453">
        <v>-7749755.0</v>
      </c>
      <c r="J111" s="438"/>
      <c r="K111" s="438"/>
      <c r="L111" s="438"/>
      <c r="M111" s="438"/>
      <c r="N111" s="438"/>
      <c r="O111" s="438"/>
      <c r="P111" s="438"/>
      <c r="Q111" s="438"/>
      <c r="R111" s="438"/>
      <c r="S111" s="438"/>
      <c r="T111" s="438"/>
      <c r="U111" s="438"/>
      <c r="V111" s="438"/>
      <c r="W111" s="438"/>
      <c r="X111" s="438"/>
      <c r="Y111" s="438"/>
      <c r="Z111" s="438"/>
    </row>
    <row r="112" ht="11.25" hidden="1" customHeight="1">
      <c r="A112" s="450" t="s">
        <v>244</v>
      </c>
      <c r="B112" s="451">
        <v>45141.0</v>
      </c>
      <c r="C112" s="452" t="s">
        <v>859</v>
      </c>
      <c r="D112" s="452">
        <v>8.0</v>
      </c>
      <c r="E112" s="452">
        <v>1.0</v>
      </c>
      <c r="F112" s="452" t="s">
        <v>917</v>
      </c>
      <c r="G112" s="453">
        <v>8000000.0</v>
      </c>
      <c r="H112" s="453">
        <v>0.0</v>
      </c>
      <c r="I112" s="453">
        <v>250245.0</v>
      </c>
      <c r="J112" s="438"/>
      <c r="K112" s="438"/>
      <c r="L112" s="438"/>
      <c r="M112" s="438"/>
      <c r="N112" s="438"/>
      <c r="O112" s="438"/>
      <c r="P112" s="438"/>
      <c r="Q112" s="438"/>
      <c r="R112" s="438"/>
      <c r="S112" s="438"/>
      <c r="T112" s="438"/>
      <c r="U112" s="438"/>
      <c r="V112" s="438"/>
      <c r="W112" s="438"/>
      <c r="X112" s="438"/>
      <c r="Y112" s="438"/>
      <c r="Z112" s="438"/>
    </row>
    <row r="113" ht="11.25" hidden="1" customHeight="1">
      <c r="A113" s="450" t="s">
        <v>244</v>
      </c>
      <c r="B113" s="451">
        <v>45155.0</v>
      </c>
      <c r="C113" s="452" t="s">
        <v>861</v>
      </c>
      <c r="D113" s="452">
        <v>12.0</v>
      </c>
      <c r="E113" s="452">
        <v>1.0</v>
      </c>
      <c r="F113" s="452" t="s">
        <v>130</v>
      </c>
      <c r="G113" s="453">
        <v>0.0</v>
      </c>
      <c r="H113" s="453">
        <v>1000000.0</v>
      </c>
      <c r="I113" s="453">
        <v>-749755.0</v>
      </c>
      <c r="J113" s="438"/>
      <c r="K113" s="438"/>
      <c r="L113" s="438"/>
      <c r="M113" s="438"/>
      <c r="N113" s="438"/>
      <c r="O113" s="438"/>
      <c r="P113" s="438"/>
      <c r="Q113" s="438"/>
      <c r="R113" s="438"/>
      <c r="S113" s="438"/>
      <c r="T113" s="438"/>
      <c r="U113" s="438"/>
      <c r="V113" s="438"/>
      <c r="W113" s="438"/>
      <c r="X113" s="438"/>
      <c r="Y113" s="438"/>
      <c r="Z113" s="438"/>
    </row>
    <row r="114" ht="11.25" hidden="1" customHeight="1">
      <c r="A114" s="450" t="s">
        <v>244</v>
      </c>
      <c r="B114" s="451">
        <v>45155.0</v>
      </c>
      <c r="C114" s="452" t="s">
        <v>861</v>
      </c>
      <c r="D114" s="452">
        <v>23.0</v>
      </c>
      <c r="E114" s="452">
        <v>1.0</v>
      </c>
      <c r="F114" s="452" t="s">
        <v>128</v>
      </c>
      <c r="G114" s="453">
        <v>0.0</v>
      </c>
      <c r="H114" s="453">
        <v>1000000.0</v>
      </c>
      <c r="I114" s="453">
        <v>-1749755.0</v>
      </c>
      <c r="J114" s="438"/>
      <c r="K114" s="438"/>
      <c r="L114" s="438"/>
      <c r="M114" s="438"/>
      <c r="N114" s="438"/>
      <c r="O114" s="438"/>
      <c r="P114" s="438"/>
      <c r="Q114" s="438"/>
      <c r="R114" s="438"/>
      <c r="S114" s="438"/>
      <c r="T114" s="438"/>
      <c r="U114" s="438"/>
      <c r="V114" s="438"/>
      <c r="W114" s="438"/>
      <c r="X114" s="438"/>
      <c r="Y114" s="438"/>
      <c r="Z114" s="438"/>
    </row>
    <row r="115" ht="11.25" hidden="1" customHeight="1">
      <c r="A115" s="450" t="s">
        <v>244</v>
      </c>
      <c r="B115" s="451">
        <v>45155.0</v>
      </c>
      <c r="C115" s="452" t="s">
        <v>859</v>
      </c>
      <c r="D115" s="452">
        <v>9.0</v>
      </c>
      <c r="E115" s="452">
        <v>1.0</v>
      </c>
      <c r="F115" s="452" t="s">
        <v>917</v>
      </c>
      <c r="G115" s="453">
        <v>2000000.0</v>
      </c>
      <c r="H115" s="453">
        <v>0.0</v>
      </c>
      <c r="I115" s="453">
        <v>250245.0</v>
      </c>
      <c r="J115" s="438"/>
      <c r="K115" s="438"/>
      <c r="L115" s="438"/>
      <c r="M115" s="438"/>
      <c r="N115" s="438"/>
      <c r="O115" s="438"/>
      <c r="P115" s="438"/>
      <c r="Q115" s="438"/>
      <c r="R115" s="438"/>
      <c r="S115" s="438"/>
      <c r="T115" s="438"/>
      <c r="U115" s="438"/>
      <c r="V115" s="438"/>
      <c r="W115" s="438"/>
      <c r="X115" s="438"/>
      <c r="Y115" s="438"/>
      <c r="Z115" s="438"/>
    </row>
    <row r="116" ht="11.25" hidden="1" customHeight="1">
      <c r="A116" s="450" t="s">
        <v>244</v>
      </c>
      <c r="B116" s="451">
        <v>45159.0</v>
      </c>
      <c r="C116" s="452" t="s">
        <v>861</v>
      </c>
      <c r="D116" s="452">
        <v>5.0</v>
      </c>
      <c r="E116" s="452">
        <v>0.0</v>
      </c>
      <c r="F116" s="452" t="s">
        <v>876</v>
      </c>
      <c r="G116" s="453">
        <v>0.0</v>
      </c>
      <c r="H116" s="453">
        <v>40000.0</v>
      </c>
      <c r="I116" s="453">
        <v>210245.0</v>
      </c>
      <c r="J116" s="438"/>
      <c r="K116" s="438"/>
      <c r="L116" s="438"/>
      <c r="M116" s="438"/>
      <c r="N116" s="438"/>
      <c r="O116" s="438"/>
      <c r="P116" s="438"/>
      <c r="Q116" s="438"/>
      <c r="R116" s="438"/>
      <c r="S116" s="438"/>
      <c r="T116" s="438"/>
      <c r="U116" s="438"/>
      <c r="V116" s="438"/>
      <c r="W116" s="438"/>
      <c r="X116" s="438"/>
      <c r="Y116" s="438"/>
      <c r="Z116" s="438"/>
    </row>
    <row r="117" ht="11.25" hidden="1" customHeight="1">
      <c r="A117" s="450" t="s">
        <v>244</v>
      </c>
      <c r="B117" s="451">
        <v>45163.0</v>
      </c>
      <c r="C117" s="452" t="s">
        <v>861</v>
      </c>
      <c r="D117" s="452">
        <v>4.0</v>
      </c>
      <c r="E117" s="452">
        <v>0.0</v>
      </c>
      <c r="F117" s="452" t="s">
        <v>904</v>
      </c>
      <c r="G117" s="453">
        <v>0.0</v>
      </c>
      <c r="H117" s="453">
        <v>12000.0</v>
      </c>
      <c r="I117" s="453">
        <v>198245.0</v>
      </c>
      <c r="J117" s="438"/>
      <c r="K117" s="438"/>
      <c r="L117" s="438"/>
      <c r="M117" s="438"/>
      <c r="N117" s="438"/>
      <c r="O117" s="438"/>
      <c r="P117" s="438"/>
      <c r="Q117" s="438"/>
      <c r="R117" s="438"/>
      <c r="S117" s="438"/>
      <c r="T117" s="438"/>
      <c r="U117" s="438"/>
      <c r="V117" s="438"/>
      <c r="W117" s="438"/>
      <c r="X117" s="438"/>
      <c r="Y117" s="438"/>
      <c r="Z117" s="438"/>
    </row>
    <row r="118" ht="11.25" hidden="1" customHeight="1">
      <c r="A118" s="450" t="s">
        <v>244</v>
      </c>
      <c r="B118" s="451">
        <v>45169.0</v>
      </c>
      <c r="C118" s="452" t="s">
        <v>861</v>
      </c>
      <c r="D118" s="452">
        <v>37.0</v>
      </c>
      <c r="E118" s="452">
        <v>1.0</v>
      </c>
      <c r="F118" s="452" t="s">
        <v>928</v>
      </c>
      <c r="G118" s="453">
        <v>0.0</v>
      </c>
      <c r="H118" s="453">
        <v>7213.0</v>
      </c>
      <c r="I118" s="453">
        <v>191032.0</v>
      </c>
      <c r="J118" s="438"/>
      <c r="K118" s="438"/>
      <c r="L118" s="438"/>
      <c r="M118" s="438"/>
      <c r="N118" s="438"/>
      <c r="O118" s="438"/>
      <c r="P118" s="438"/>
      <c r="Q118" s="438"/>
      <c r="R118" s="438"/>
      <c r="S118" s="438"/>
      <c r="T118" s="438"/>
      <c r="U118" s="438"/>
      <c r="V118" s="438"/>
      <c r="W118" s="438"/>
      <c r="X118" s="438"/>
      <c r="Y118" s="438"/>
      <c r="Z118" s="438"/>
    </row>
    <row r="119" ht="11.25" hidden="1" customHeight="1">
      <c r="A119" s="450" t="s">
        <v>244</v>
      </c>
      <c r="B119" s="451">
        <v>45174.0</v>
      </c>
      <c r="C119" s="452" t="s">
        <v>861</v>
      </c>
      <c r="D119" s="452">
        <v>13.0</v>
      </c>
      <c r="E119" s="452">
        <v>1.0</v>
      </c>
      <c r="F119" s="452" t="s">
        <v>130</v>
      </c>
      <c r="G119" s="453">
        <v>0.0</v>
      </c>
      <c r="H119" s="453">
        <v>4000000.0</v>
      </c>
      <c r="I119" s="453">
        <v>-3808968.0</v>
      </c>
      <c r="J119" s="438"/>
      <c r="K119" s="438"/>
      <c r="L119" s="438"/>
      <c r="M119" s="438"/>
      <c r="N119" s="438"/>
      <c r="O119" s="438"/>
      <c r="P119" s="438"/>
      <c r="Q119" s="438"/>
      <c r="R119" s="438"/>
      <c r="S119" s="438"/>
      <c r="T119" s="438"/>
      <c r="U119" s="438"/>
      <c r="V119" s="438"/>
      <c r="W119" s="438"/>
      <c r="X119" s="438"/>
      <c r="Y119" s="438"/>
      <c r="Z119" s="438"/>
    </row>
    <row r="120" ht="11.25" hidden="1" customHeight="1">
      <c r="A120" s="450" t="s">
        <v>244</v>
      </c>
      <c r="B120" s="451">
        <v>45174.0</v>
      </c>
      <c r="C120" s="452" t="s">
        <v>861</v>
      </c>
      <c r="D120" s="452">
        <v>24.0</v>
      </c>
      <c r="E120" s="452">
        <v>1.0</v>
      </c>
      <c r="F120" s="452" t="s">
        <v>128</v>
      </c>
      <c r="G120" s="453">
        <v>0.0</v>
      </c>
      <c r="H120" s="453">
        <v>4000000.0</v>
      </c>
      <c r="I120" s="453">
        <v>-7808968.0</v>
      </c>
      <c r="J120" s="438"/>
      <c r="K120" s="438"/>
      <c r="L120" s="438"/>
      <c r="M120" s="438"/>
      <c r="N120" s="438"/>
      <c r="O120" s="438"/>
      <c r="P120" s="438"/>
      <c r="Q120" s="438"/>
      <c r="R120" s="438"/>
      <c r="S120" s="438"/>
      <c r="T120" s="438"/>
      <c r="U120" s="438"/>
      <c r="V120" s="438"/>
      <c r="W120" s="438"/>
      <c r="X120" s="438"/>
      <c r="Y120" s="438"/>
      <c r="Z120" s="438"/>
    </row>
    <row r="121" ht="11.25" hidden="1" customHeight="1">
      <c r="A121" s="450" t="s">
        <v>244</v>
      </c>
      <c r="B121" s="451">
        <v>45174.0</v>
      </c>
      <c r="C121" s="452" t="s">
        <v>859</v>
      </c>
      <c r="D121" s="452">
        <v>10.0</v>
      </c>
      <c r="E121" s="452">
        <v>1.0</v>
      </c>
      <c r="F121" s="452" t="s">
        <v>917</v>
      </c>
      <c r="G121" s="453">
        <v>8000000.0</v>
      </c>
      <c r="H121" s="453">
        <v>0.0</v>
      </c>
      <c r="I121" s="453">
        <v>191032.0</v>
      </c>
      <c r="J121" s="438"/>
      <c r="K121" s="438"/>
      <c r="L121" s="438"/>
      <c r="M121" s="438"/>
      <c r="N121" s="438"/>
      <c r="O121" s="438"/>
      <c r="P121" s="438"/>
      <c r="Q121" s="438"/>
      <c r="R121" s="438"/>
      <c r="S121" s="438"/>
      <c r="T121" s="438"/>
      <c r="U121" s="438"/>
      <c r="V121" s="438"/>
      <c r="W121" s="438"/>
      <c r="X121" s="438"/>
      <c r="Y121" s="438"/>
      <c r="Z121" s="438"/>
    </row>
    <row r="122" ht="11.25" hidden="1" customHeight="1">
      <c r="A122" s="450" t="s">
        <v>244</v>
      </c>
      <c r="B122" s="451">
        <v>45177.0</v>
      </c>
      <c r="C122" s="452" t="s">
        <v>861</v>
      </c>
      <c r="D122" s="452">
        <v>14.0</v>
      </c>
      <c r="E122" s="452">
        <v>1.0</v>
      </c>
      <c r="F122" s="452" t="s">
        <v>130</v>
      </c>
      <c r="G122" s="453">
        <v>0.0</v>
      </c>
      <c r="H122" s="453">
        <v>500000.0</v>
      </c>
      <c r="I122" s="453">
        <v>-308968.0</v>
      </c>
      <c r="J122" s="438"/>
      <c r="K122" s="438"/>
      <c r="L122" s="438"/>
      <c r="M122" s="438"/>
      <c r="N122" s="438"/>
      <c r="O122" s="438"/>
      <c r="P122" s="438"/>
      <c r="Q122" s="438"/>
      <c r="R122" s="438"/>
      <c r="S122" s="438"/>
      <c r="T122" s="438"/>
      <c r="U122" s="438"/>
      <c r="V122" s="438"/>
      <c r="W122" s="438"/>
      <c r="X122" s="438"/>
      <c r="Y122" s="438"/>
      <c r="Z122" s="438"/>
    </row>
    <row r="123" ht="11.25" hidden="1" customHeight="1">
      <c r="A123" s="450" t="s">
        <v>244</v>
      </c>
      <c r="B123" s="451">
        <v>45177.0</v>
      </c>
      <c r="C123" s="452" t="s">
        <v>861</v>
      </c>
      <c r="D123" s="452">
        <v>25.0</v>
      </c>
      <c r="E123" s="452">
        <v>1.0</v>
      </c>
      <c r="F123" s="452" t="s">
        <v>128</v>
      </c>
      <c r="G123" s="453">
        <v>0.0</v>
      </c>
      <c r="H123" s="453">
        <v>500000.0</v>
      </c>
      <c r="I123" s="453">
        <v>-808968.0</v>
      </c>
      <c r="J123" s="438"/>
      <c r="K123" s="438"/>
      <c r="L123" s="438"/>
      <c r="M123" s="438"/>
      <c r="N123" s="438"/>
      <c r="O123" s="438"/>
      <c r="P123" s="438"/>
      <c r="Q123" s="438"/>
      <c r="R123" s="438"/>
      <c r="S123" s="438"/>
      <c r="T123" s="438"/>
      <c r="U123" s="438"/>
      <c r="V123" s="438"/>
      <c r="W123" s="438"/>
      <c r="X123" s="438"/>
      <c r="Y123" s="438"/>
      <c r="Z123" s="438"/>
    </row>
    <row r="124" ht="11.25" hidden="1" customHeight="1">
      <c r="A124" s="450" t="s">
        <v>244</v>
      </c>
      <c r="B124" s="451">
        <v>45177.0</v>
      </c>
      <c r="C124" s="452" t="s">
        <v>859</v>
      </c>
      <c r="D124" s="452">
        <v>11.0</v>
      </c>
      <c r="E124" s="452">
        <v>1.0</v>
      </c>
      <c r="F124" s="452" t="s">
        <v>917</v>
      </c>
      <c r="G124" s="453">
        <v>1000000.0</v>
      </c>
      <c r="H124" s="453">
        <v>0.0</v>
      </c>
      <c r="I124" s="453">
        <v>191032.0</v>
      </c>
      <c r="J124" s="438"/>
      <c r="K124" s="438"/>
      <c r="L124" s="438"/>
      <c r="M124" s="438"/>
      <c r="N124" s="438"/>
      <c r="O124" s="438"/>
      <c r="P124" s="438"/>
      <c r="Q124" s="438"/>
      <c r="R124" s="438"/>
      <c r="S124" s="438"/>
      <c r="T124" s="438"/>
      <c r="U124" s="438"/>
      <c r="V124" s="438"/>
      <c r="W124" s="438"/>
      <c r="X124" s="438"/>
      <c r="Y124" s="438"/>
      <c r="Z124" s="438"/>
    </row>
    <row r="125" ht="11.25" hidden="1" customHeight="1">
      <c r="A125" s="450" t="s">
        <v>244</v>
      </c>
      <c r="B125" s="451">
        <v>45199.0</v>
      </c>
      <c r="C125" s="452" t="s">
        <v>861</v>
      </c>
      <c r="D125" s="452">
        <v>38.0</v>
      </c>
      <c r="E125" s="452">
        <v>1.0</v>
      </c>
      <c r="F125" s="452" t="s">
        <v>929</v>
      </c>
      <c r="G125" s="453">
        <v>0.0</v>
      </c>
      <c r="H125" s="453">
        <v>7230.0</v>
      </c>
      <c r="I125" s="453">
        <v>183802.0</v>
      </c>
      <c r="J125" s="438"/>
      <c r="K125" s="438"/>
      <c r="L125" s="438"/>
      <c r="M125" s="438"/>
      <c r="N125" s="438"/>
      <c r="O125" s="438"/>
      <c r="P125" s="438"/>
      <c r="Q125" s="438"/>
      <c r="R125" s="438"/>
      <c r="S125" s="438"/>
      <c r="T125" s="438"/>
      <c r="U125" s="438"/>
      <c r="V125" s="438"/>
      <c r="W125" s="438"/>
      <c r="X125" s="438"/>
      <c r="Y125" s="438"/>
      <c r="Z125" s="438"/>
    </row>
    <row r="126" ht="11.25" hidden="1" customHeight="1">
      <c r="A126" s="450" t="s">
        <v>244</v>
      </c>
      <c r="B126" s="451">
        <v>45202.0</v>
      </c>
      <c r="C126" s="452" t="s">
        <v>861</v>
      </c>
      <c r="D126" s="452">
        <v>15.0</v>
      </c>
      <c r="E126" s="452">
        <v>1.0</v>
      </c>
      <c r="F126" s="452" t="s">
        <v>130</v>
      </c>
      <c r="G126" s="453">
        <v>0.0</v>
      </c>
      <c r="H126" s="453">
        <v>4500000.0</v>
      </c>
      <c r="I126" s="453">
        <v>-4316198.0</v>
      </c>
      <c r="J126" s="438"/>
      <c r="K126" s="438"/>
      <c r="L126" s="438"/>
      <c r="M126" s="438"/>
      <c r="N126" s="438"/>
      <c r="O126" s="438"/>
      <c r="P126" s="438"/>
      <c r="Q126" s="438"/>
      <c r="R126" s="438"/>
      <c r="S126" s="438"/>
      <c r="T126" s="438"/>
      <c r="U126" s="438"/>
      <c r="V126" s="438"/>
      <c r="W126" s="438"/>
      <c r="X126" s="438"/>
      <c r="Y126" s="438"/>
      <c r="Z126" s="438"/>
    </row>
    <row r="127" ht="11.25" hidden="1" customHeight="1">
      <c r="A127" s="450" t="s">
        <v>244</v>
      </c>
      <c r="B127" s="451">
        <v>45202.0</v>
      </c>
      <c r="C127" s="452" t="s">
        <v>861</v>
      </c>
      <c r="D127" s="452">
        <v>26.0</v>
      </c>
      <c r="E127" s="452">
        <v>1.0</v>
      </c>
      <c r="F127" s="452" t="s">
        <v>128</v>
      </c>
      <c r="G127" s="453">
        <v>0.0</v>
      </c>
      <c r="H127" s="453">
        <v>4500000.0</v>
      </c>
      <c r="I127" s="453">
        <v>-8816198.0</v>
      </c>
      <c r="J127" s="438"/>
      <c r="K127" s="438"/>
      <c r="L127" s="438"/>
      <c r="M127" s="438"/>
      <c r="N127" s="438"/>
      <c r="O127" s="438"/>
      <c r="P127" s="438"/>
      <c r="Q127" s="438"/>
      <c r="R127" s="438"/>
      <c r="S127" s="438"/>
      <c r="T127" s="438"/>
      <c r="U127" s="438"/>
      <c r="V127" s="438"/>
      <c r="W127" s="438"/>
      <c r="X127" s="438"/>
      <c r="Y127" s="438"/>
      <c r="Z127" s="438"/>
    </row>
    <row r="128" ht="11.25" hidden="1" customHeight="1">
      <c r="A128" s="450" t="s">
        <v>244</v>
      </c>
      <c r="B128" s="451">
        <v>45202.0</v>
      </c>
      <c r="C128" s="452" t="s">
        <v>859</v>
      </c>
      <c r="D128" s="452">
        <v>12.0</v>
      </c>
      <c r="E128" s="452">
        <v>1.0</v>
      </c>
      <c r="F128" s="452" t="s">
        <v>917</v>
      </c>
      <c r="G128" s="453">
        <v>9000000.0</v>
      </c>
      <c r="H128" s="453">
        <v>0.0</v>
      </c>
      <c r="I128" s="453">
        <v>183802.0</v>
      </c>
      <c r="J128" s="438"/>
      <c r="K128" s="438"/>
      <c r="L128" s="438"/>
      <c r="M128" s="438"/>
      <c r="N128" s="438"/>
      <c r="O128" s="438"/>
      <c r="P128" s="438"/>
      <c r="Q128" s="438"/>
      <c r="R128" s="438"/>
      <c r="S128" s="438"/>
      <c r="T128" s="438"/>
      <c r="U128" s="438"/>
      <c r="V128" s="438"/>
      <c r="W128" s="438"/>
      <c r="X128" s="438"/>
      <c r="Y128" s="438"/>
      <c r="Z128" s="438"/>
    </row>
    <row r="129" ht="11.25" hidden="1" customHeight="1">
      <c r="A129" s="450" t="s">
        <v>244</v>
      </c>
      <c r="B129" s="451">
        <v>45230.0</v>
      </c>
      <c r="C129" s="452" t="s">
        <v>861</v>
      </c>
      <c r="D129" s="452">
        <v>39.0</v>
      </c>
      <c r="E129" s="452">
        <v>1.0</v>
      </c>
      <c r="F129" s="452" t="s">
        <v>930</v>
      </c>
      <c r="G129" s="453">
        <v>0.0</v>
      </c>
      <c r="H129" s="453">
        <v>7243.0</v>
      </c>
      <c r="I129" s="453">
        <v>176559.0</v>
      </c>
      <c r="J129" s="438"/>
      <c r="K129" s="438"/>
      <c r="L129" s="438"/>
      <c r="M129" s="438"/>
      <c r="N129" s="438"/>
      <c r="O129" s="438"/>
      <c r="P129" s="438"/>
      <c r="Q129" s="438"/>
      <c r="R129" s="438"/>
      <c r="S129" s="438"/>
      <c r="T129" s="438"/>
      <c r="U129" s="438"/>
      <c r="V129" s="438"/>
      <c r="W129" s="438"/>
      <c r="X129" s="438"/>
      <c r="Y129" s="438"/>
      <c r="Z129" s="438"/>
    </row>
    <row r="130" ht="11.25" hidden="1" customHeight="1">
      <c r="A130" s="450" t="s">
        <v>244</v>
      </c>
      <c r="B130" s="451">
        <v>45260.0</v>
      </c>
      <c r="C130" s="452" t="s">
        <v>861</v>
      </c>
      <c r="D130" s="452">
        <v>40.0</v>
      </c>
      <c r="E130" s="452">
        <v>1.0</v>
      </c>
      <c r="F130" s="452" t="s">
        <v>931</v>
      </c>
      <c r="G130" s="453">
        <v>0.0</v>
      </c>
      <c r="H130" s="453">
        <v>7281.0</v>
      </c>
      <c r="I130" s="453">
        <v>169278.0</v>
      </c>
      <c r="J130" s="438"/>
      <c r="K130" s="438"/>
      <c r="L130" s="438"/>
      <c r="M130" s="438"/>
      <c r="N130" s="438"/>
      <c r="O130" s="438"/>
      <c r="P130" s="438"/>
      <c r="Q130" s="438"/>
      <c r="R130" s="438"/>
      <c r="S130" s="438"/>
      <c r="T130" s="438"/>
      <c r="U130" s="438"/>
      <c r="V130" s="438"/>
      <c r="W130" s="438"/>
      <c r="X130" s="438"/>
      <c r="Y130" s="438"/>
      <c r="Z130" s="438"/>
    </row>
    <row r="131" ht="11.25" hidden="1" customHeight="1">
      <c r="A131" s="450" t="s">
        <v>244</v>
      </c>
      <c r="B131" s="451">
        <v>45264.0</v>
      </c>
      <c r="C131" s="452" t="s">
        <v>861</v>
      </c>
      <c r="D131" s="452">
        <v>16.0</v>
      </c>
      <c r="E131" s="452">
        <v>1.0</v>
      </c>
      <c r="F131" s="452" t="s">
        <v>130</v>
      </c>
      <c r="G131" s="453">
        <v>0.0</v>
      </c>
      <c r="H131" s="453">
        <v>4500000.0</v>
      </c>
      <c r="I131" s="453">
        <v>-4330722.0</v>
      </c>
      <c r="J131" s="438"/>
      <c r="K131" s="438"/>
      <c r="L131" s="438"/>
      <c r="M131" s="438"/>
      <c r="N131" s="438"/>
      <c r="O131" s="438"/>
      <c r="P131" s="438"/>
      <c r="Q131" s="438"/>
      <c r="R131" s="438"/>
      <c r="S131" s="438"/>
      <c r="T131" s="438"/>
      <c r="U131" s="438"/>
      <c r="V131" s="438"/>
      <c r="W131" s="438"/>
      <c r="X131" s="438"/>
      <c r="Y131" s="438"/>
      <c r="Z131" s="438"/>
    </row>
    <row r="132" ht="11.25" hidden="1" customHeight="1">
      <c r="A132" s="450" t="s">
        <v>244</v>
      </c>
      <c r="B132" s="451">
        <v>45264.0</v>
      </c>
      <c r="C132" s="452" t="s">
        <v>861</v>
      </c>
      <c r="D132" s="452">
        <v>27.0</v>
      </c>
      <c r="E132" s="452">
        <v>1.0</v>
      </c>
      <c r="F132" s="452" t="s">
        <v>128</v>
      </c>
      <c r="G132" s="453">
        <v>0.0</v>
      </c>
      <c r="H132" s="453">
        <v>4500000.0</v>
      </c>
      <c r="I132" s="453">
        <v>-8830722.0</v>
      </c>
      <c r="J132" s="438"/>
      <c r="K132" s="438"/>
      <c r="L132" s="438"/>
      <c r="M132" s="438"/>
      <c r="N132" s="438"/>
      <c r="O132" s="438"/>
      <c r="P132" s="438"/>
      <c r="Q132" s="438"/>
      <c r="R132" s="438"/>
      <c r="S132" s="438"/>
      <c r="T132" s="438"/>
      <c r="U132" s="438"/>
      <c r="V132" s="438"/>
      <c r="W132" s="438"/>
      <c r="X132" s="438"/>
      <c r="Y132" s="438"/>
      <c r="Z132" s="438"/>
    </row>
    <row r="133" ht="11.25" hidden="1" customHeight="1">
      <c r="A133" s="450" t="s">
        <v>244</v>
      </c>
      <c r="B133" s="451">
        <v>45264.0</v>
      </c>
      <c r="C133" s="452" t="s">
        <v>859</v>
      </c>
      <c r="D133" s="452">
        <v>13.0</v>
      </c>
      <c r="E133" s="452">
        <v>1.0</v>
      </c>
      <c r="F133" s="452" t="s">
        <v>917</v>
      </c>
      <c r="G133" s="453">
        <v>9000000.0</v>
      </c>
      <c r="H133" s="453">
        <v>0.0</v>
      </c>
      <c r="I133" s="453">
        <v>169278.0</v>
      </c>
      <c r="J133" s="438"/>
      <c r="K133" s="438"/>
      <c r="L133" s="438"/>
      <c r="M133" s="438"/>
      <c r="N133" s="438"/>
      <c r="O133" s="438"/>
      <c r="P133" s="438"/>
      <c r="Q133" s="438"/>
      <c r="R133" s="438"/>
      <c r="S133" s="438"/>
      <c r="T133" s="438"/>
      <c r="U133" s="438"/>
      <c r="V133" s="438"/>
      <c r="W133" s="438"/>
      <c r="X133" s="438"/>
      <c r="Y133" s="438"/>
      <c r="Z133" s="438"/>
    </row>
    <row r="134" ht="11.25" hidden="1" customHeight="1">
      <c r="A134" s="450" t="s">
        <v>244</v>
      </c>
      <c r="B134" s="451">
        <v>45291.0</v>
      </c>
      <c r="C134" s="452" t="s">
        <v>861</v>
      </c>
      <c r="D134" s="452">
        <v>41.0</v>
      </c>
      <c r="E134" s="452">
        <v>1.0</v>
      </c>
      <c r="F134" s="452" t="s">
        <v>932</v>
      </c>
      <c r="G134" s="453">
        <v>0.0</v>
      </c>
      <c r="H134" s="453">
        <v>10969.0</v>
      </c>
      <c r="I134" s="453">
        <v>158309.0</v>
      </c>
      <c r="J134" s="438"/>
      <c r="K134" s="438"/>
      <c r="L134" s="438"/>
      <c r="M134" s="438"/>
      <c r="N134" s="438"/>
      <c r="O134" s="438"/>
      <c r="P134" s="438"/>
      <c r="Q134" s="438"/>
      <c r="R134" s="438"/>
      <c r="S134" s="438"/>
      <c r="T134" s="438"/>
      <c r="U134" s="438"/>
      <c r="V134" s="438"/>
      <c r="W134" s="438"/>
      <c r="X134" s="438"/>
      <c r="Y134" s="438"/>
      <c r="Z134" s="438"/>
    </row>
    <row r="135" ht="11.25" hidden="1" customHeight="1">
      <c r="A135" s="450" t="s">
        <v>254</v>
      </c>
      <c r="B135" s="451">
        <v>45061.0</v>
      </c>
      <c r="C135" s="452" t="s">
        <v>861</v>
      </c>
      <c r="D135" s="452">
        <v>3.0</v>
      </c>
      <c r="E135" s="452">
        <v>0.0</v>
      </c>
      <c r="F135" s="452" t="s">
        <v>924</v>
      </c>
      <c r="G135" s="453">
        <v>7247558.0</v>
      </c>
      <c r="H135" s="453">
        <v>0.0</v>
      </c>
      <c r="I135" s="453">
        <v>-7247558.0</v>
      </c>
      <c r="J135" s="438"/>
      <c r="K135" s="438"/>
      <c r="L135" s="438"/>
      <c r="M135" s="438"/>
      <c r="N135" s="438"/>
      <c r="O135" s="438"/>
      <c r="P135" s="438"/>
      <c r="Q135" s="438"/>
      <c r="R135" s="438"/>
      <c r="S135" s="438"/>
      <c r="T135" s="438"/>
      <c r="U135" s="438"/>
      <c r="V135" s="438"/>
      <c r="W135" s="438"/>
      <c r="X135" s="438"/>
      <c r="Y135" s="438"/>
      <c r="Z135" s="438"/>
    </row>
    <row r="136" ht="11.25" hidden="1" customHeight="1">
      <c r="A136" s="450" t="s">
        <v>246</v>
      </c>
      <c r="B136" s="451">
        <v>44927.0</v>
      </c>
      <c r="C136" s="452" t="s">
        <v>857</v>
      </c>
      <c r="D136" s="452">
        <v>1.0</v>
      </c>
      <c r="E136" s="452">
        <v>3.0</v>
      </c>
      <c r="F136" s="452" t="s">
        <v>858</v>
      </c>
      <c r="G136" s="453">
        <v>1.9948641E7</v>
      </c>
      <c r="H136" s="453">
        <v>0.0</v>
      </c>
      <c r="I136" s="453">
        <v>1.9948641E7</v>
      </c>
      <c r="J136" s="438"/>
      <c r="K136" s="438"/>
      <c r="L136" s="438"/>
      <c r="M136" s="438"/>
      <c r="N136" s="438"/>
      <c r="O136" s="438"/>
      <c r="P136" s="438"/>
      <c r="Q136" s="438"/>
      <c r="R136" s="438"/>
      <c r="S136" s="438"/>
      <c r="T136" s="438"/>
      <c r="U136" s="438"/>
      <c r="V136" s="438"/>
      <c r="W136" s="438"/>
      <c r="X136" s="438"/>
      <c r="Y136" s="438"/>
      <c r="Z136" s="438"/>
    </row>
    <row r="137" ht="11.25" hidden="1" customHeight="1">
      <c r="A137" s="450" t="s">
        <v>246</v>
      </c>
      <c r="B137" s="451">
        <v>44938.0</v>
      </c>
      <c r="C137" s="452" t="s">
        <v>857</v>
      </c>
      <c r="D137" s="452">
        <v>17.0</v>
      </c>
      <c r="E137" s="452">
        <v>0.0</v>
      </c>
      <c r="F137" s="452" t="s">
        <v>132</v>
      </c>
      <c r="G137" s="453">
        <v>0.0</v>
      </c>
      <c r="H137" s="453">
        <v>1138187.0</v>
      </c>
      <c r="I137" s="453">
        <v>1.8810454E7</v>
      </c>
      <c r="J137" s="438"/>
      <c r="K137" s="438"/>
      <c r="L137" s="438"/>
      <c r="M137" s="438"/>
      <c r="N137" s="438"/>
      <c r="O137" s="438"/>
      <c r="P137" s="438"/>
      <c r="Q137" s="438"/>
      <c r="R137" s="438"/>
      <c r="S137" s="438"/>
      <c r="T137" s="438"/>
      <c r="U137" s="438"/>
      <c r="V137" s="438"/>
      <c r="W137" s="438"/>
      <c r="X137" s="438"/>
      <c r="Y137" s="438"/>
      <c r="Z137" s="438"/>
    </row>
    <row r="138" ht="11.25" hidden="1" customHeight="1">
      <c r="A138" s="450" t="s">
        <v>246</v>
      </c>
      <c r="B138" s="451">
        <v>44971.0</v>
      </c>
      <c r="C138" s="452" t="s">
        <v>857</v>
      </c>
      <c r="D138" s="452">
        <v>18.0</v>
      </c>
      <c r="E138" s="452">
        <v>0.0</v>
      </c>
      <c r="F138" s="452" t="s">
        <v>132</v>
      </c>
      <c r="G138" s="453">
        <v>0.0</v>
      </c>
      <c r="H138" s="453">
        <v>129116.0</v>
      </c>
      <c r="I138" s="453">
        <v>1.8681338E7</v>
      </c>
      <c r="J138" s="438"/>
      <c r="K138" s="438"/>
      <c r="L138" s="438"/>
      <c r="M138" s="438"/>
      <c r="N138" s="438"/>
      <c r="O138" s="438"/>
      <c r="P138" s="438"/>
      <c r="Q138" s="438"/>
      <c r="R138" s="438"/>
      <c r="S138" s="438"/>
      <c r="T138" s="438"/>
      <c r="U138" s="438"/>
      <c r="V138" s="438"/>
      <c r="W138" s="438"/>
      <c r="X138" s="438"/>
      <c r="Y138" s="438"/>
      <c r="Z138" s="438"/>
    </row>
    <row r="139" ht="11.25" hidden="1" customHeight="1">
      <c r="A139" s="450" t="s">
        <v>246</v>
      </c>
      <c r="B139" s="451">
        <v>45054.0</v>
      </c>
      <c r="C139" s="452" t="s">
        <v>857</v>
      </c>
      <c r="D139" s="452">
        <v>19.0</v>
      </c>
      <c r="E139" s="452">
        <v>0.0</v>
      </c>
      <c r="F139" s="452" t="s">
        <v>132</v>
      </c>
      <c r="G139" s="453">
        <v>0.0</v>
      </c>
      <c r="H139" s="453">
        <v>2000000.0</v>
      </c>
      <c r="I139" s="453">
        <v>1.6681338E7</v>
      </c>
      <c r="J139" s="438"/>
      <c r="K139" s="438"/>
      <c r="L139" s="438"/>
      <c r="M139" s="438"/>
      <c r="N139" s="438"/>
      <c r="O139" s="438"/>
      <c r="P139" s="438"/>
      <c r="Q139" s="438"/>
      <c r="R139" s="438"/>
      <c r="S139" s="438"/>
      <c r="T139" s="438"/>
      <c r="U139" s="438"/>
      <c r="V139" s="438"/>
      <c r="W139" s="438"/>
      <c r="X139" s="438"/>
      <c r="Y139" s="438"/>
      <c r="Z139" s="438"/>
    </row>
    <row r="140" ht="11.25" hidden="1" customHeight="1">
      <c r="A140" s="450" t="s">
        <v>246</v>
      </c>
      <c r="B140" s="451">
        <v>45055.0</v>
      </c>
      <c r="C140" s="452" t="s">
        <v>857</v>
      </c>
      <c r="D140" s="452">
        <v>20.0</v>
      </c>
      <c r="E140" s="452">
        <v>0.0</v>
      </c>
      <c r="F140" s="452" t="s">
        <v>132</v>
      </c>
      <c r="G140" s="453">
        <v>0.0</v>
      </c>
      <c r="H140" s="453">
        <v>500000.0</v>
      </c>
      <c r="I140" s="453">
        <v>1.6181338E7</v>
      </c>
      <c r="J140" s="438"/>
      <c r="K140" s="438"/>
      <c r="L140" s="438"/>
      <c r="M140" s="438"/>
      <c r="N140" s="438"/>
      <c r="O140" s="438"/>
      <c r="P140" s="438"/>
      <c r="Q140" s="438"/>
      <c r="R140" s="438"/>
      <c r="S140" s="438"/>
      <c r="T140" s="438"/>
      <c r="U140" s="438"/>
      <c r="V140" s="438"/>
      <c r="W140" s="438"/>
      <c r="X140" s="438"/>
      <c r="Y140" s="438"/>
      <c r="Z140" s="438"/>
    </row>
    <row r="141" ht="11.25" hidden="1" customHeight="1">
      <c r="A141" s="450" t="s">
        <v>246</v>
      </c>
      <c r="B141" s="451">
        <v>45082.0</v>
      </c>
      <c r="C141" s="452" t="s">
        <v>857</v>
      </c>
      <c r="D141" s="452">
        <v>21.0</v>
      </c>
      <c r="E141" s="452">
        <v>0.0</v>
      </c>
      <c r="F141" s="452" t="s">
        <v>132</v>
      </c>
      <c r="G141" s="453">
        <v>0.0</v>
      </c>
      <c r="H141" s="453">
        <v>2000000.0</v>
      </c>
      <c r="I141" s="453">
        <v>1.4181338E7</v>
      </c>
      <c r="J141" s="438"/>
      <c r="K141" s="438"/>
      <c r="L141" s="438"/>
      <c r="M141" s="438"/>
      <c r="N141" s="438"/>
      <c r="O141" s="438"/>
      <c r="P141" s="438"/>
      <c r="Q141" s="438"/>
      <c r="R141" s="438"/>
      <c r="S141" s="438"/>
      <c r="T141" s="438"/>
      <c r="U141" s="438"/>
      <c r="V141" s="438"/>
      <c r="W141" s="438"/>
      <c r="X141" s="438"/>
      <c r="Y141" s="438"/>
      <c r="Z141" s="438"/>
    </row>
    <row r="142" ht="11.25" hidden="1" customHeight="1">
      <c r="A142" s="450" t="s">
        <v>246</v>
      </c>
      <c r="B142" s="451">
        <v>45110.0</v>
      </c>
      <c r="C142" s="452" t="s">
        <v>857</v>
      </c>
      <c r="D142" s="452">
        <v>22.0</v>
      </c>
      <c r="E142" s="452">
        <v>0.0</v>
      </c>
      <c r="F142" s="452" t="s">
        <v>132</v>
      </c>
      <c r="G142" s="453">
        <v>0.0</v>
      </c>
      <c r="H142" s="453">
        <v>1500000.0</v>
      </c>
      <c r="I142" s="453">
        <v>1.2681338E7</v>
      </c>
      <c r="J142" s="438"/>
      <c r="K142" s="438"/>
      <c r="L142" s="438"/>
      <c r="M142" s="438"/>
      <c r="N142" s="438"/>
      <c r="O142" s="438"/>
      <c r="P142" s="438"/>
      <c r="Q142" s="438"/>
      <c r="R142" s="438"/>
      <c r="S142" s="438"/>
      <c r="T142" s="438"/>
      <c r="U142" s="438"/>
      <c r="V142" s="438"/>
      <c r="W142" s="438"/>
      <c r="X142" s="438"/>
      <c r="Y142" s="438"/>
      <c r="Z142" s="438"/>
    </row>
    <row r="143" ht="11.25" hidden="1" customHeight="1">
      <c r="A143" s="450" t="s">
        <v>246</v>
      </c>
      <c r="B143" s="451">
        <v>45141.0</v>
      </c>
      <c r="C143" s="452" t="s">
        <v>857</v>
      </c>
      <c r="D143" s="452">
        <v>23.0</v>
      </c>
      <c r="E143" s="452">
        <v>0.0</v>
      </c>
      <c r="F143" s="452" t="s">
        <v>132</v>
      </c>
      <c r="G143" s="453">
        <v>0.0</v>
      </c>
      <c r="H143" s="453">
        <v>2000000.0</v>
      </c>
      <c r="I143" s="453">
        <v>1.0681338E7</v>
      </c>
      <c r="J143" s="438"/>
      <c r="K143" s="438"/>
      <c r="L143" s="438"/>
      <c r="M143" s="438"/>
      <c r="N143" s="438"/>
      <c r="O143" s="438"/>
      <c r="P143" s="438"/>
      <c r="Q143" s="438"/>
      <c r="R143" s="438"/>
      <c r="S143" s="438"/>
      <c r="T143" s="438"/>
      <c r="U143" s="438"/>
      <c r="V143" s="438"/>
      <c r="W143" s="438"/>
      <c r="X143" s="438"/>
      <c r="Y143" s="438"/>
      <c r="Z143" s="438"/>
    </row>
    <row r="144" ht="11.25" hidden="1" customHeight="1">
      <c r="A144" s="450" t="s">
        <v>246</v>
      </c>
      <c r="B144" s="451">
        <v>45155.0</v>
      </c>
      <c r="C144" s="452" t="s">
        <v>857</v>
      </c>
      <c r="D144" s="452">
        <v>24.0</v>
      </c>
      <c r="E144" s="452">
        <v>0.0</v>
      </c>
      <c r="F144" s="452" t="s">
        <v>132</v>
      </c>
      <c r="G144" s="453">
        <v>0.0</v>
      </c>
      <c r="H144" s="453">
        <v>500000.0</v>
      </c>
      <c r="I144" s="453">
        <v>1.0181338E7</v>
      </c>
      <c r="J144" s="438"/>
      <c r="K144" s="438"/>
      <c r="L144" s="438"/>
      <c r="M144" s="438"/>
      <c r="N144" s="438"/>
      <c r="O144" s="438"/>
      <c r="P144" s="438"/>
      <c r="Q144" s="438"/>
      <c r="R144" s="438"/>
      <c r="S144" s="438"/>
      <c r="T144" s="438"/>
      <c r="U144" s="438"/>
      <c r="V144" s="438"/>
      <c r="W144" s="438"/>
      <c r="X144" s="438"/>
      <c r="Y144" s="438"/>
      <c r="Z144" s="438"/>
    </row>
    <row r="145" ht="11.25" hidden="1" customHeight="1">
      <c r="A145" s="450" t="s">
        <v>246</v>
      </c>
      <c r="B145" s="451">
        <v>45174.0</v>
      </c>
      <c r="C145" s="452" t="s">
        <v>857</v>
      </c>
      <c r="D145" s="452">
        <v>25.0</v>
      </c>
      <c r="E145" s="452">
        <v>0.0</v>
      </c>
      <c r="F145" s="452" t="s">
        <v>132</v>
      </c>
      <c r="G145" s="453">
        <v>0.0</v>
      </c>
      <c r="H145" s="453">
        <v>2000000.0</v>
      </c>
      <c r="I145" s="453">
        <v>8181338.0</v>
      </c>
      <c r="J145" s="438"/>
      <c r="K145" s="438"/>
      <c r="L145" s="438"/>
      <c r="M145" s="438"/>
      <c r="N145" s="438"/>
      <c r="O145" s="438"/>
      <c r="P145" s="438"/>
      <c r="Q145" s="438"/>
      <c r="R145" s="438"/>
      <c r="S145" s="438"/>
      <c r="T145" s="438"/>
      <c r="U145" s="438"/>
      <c r="V145" s="438"/>
      <c r="W145" s="438"/>
      <c r="X145" s="438"/>
      <c r="Y145" s="438"/>
      <c r="Z145" s="438"/>
    </row>
    <row r="146" ht="11.25" hidden="1" customHeight="1">
      <c r="A146" s="450" t="s">
        <v>246</v>
      </c>
      <c r="B146" s="451">
        <v>45177.0</v>
      </c>
      <c r="C146" s="452" t="s">
        <v>857</v>
      </c>
      <c r="D146" s="452">
        <v>26.0</v>
      </c>
      <c r="E146" s="452">
        <v>0.0</v>
      </c>
      <c r="F146" s="452" t="s">
        <v>132</v>
      </c>
      <c r="G146" s="453">
        <v>0.0</v>
      </c>
      <c r="H146" s="453">
        <v>250000.0</v>
      </c>
      <c r="I146" s="453">
        <v>7931338.0</v>
      </c>
      <c r="J146" s="438"/>
      <c r="K146" s="438"/>
      <c r="L146" s="438"/>
      <c r="M146" s="438"/>
      <c r="N146" s="438"/>
      <c r="O146" s="438"/>
      <c r="P146" s="438"/>
      <c r="Q146" s="438"/>
      <c r="R146" s="438"/>
      <c r="S146" s="438"/>
      <c r="T146" s="438"/>
      <c r="U146" s="438"/>
      <c r="V146" s="438"/>
      <c r="W146" s="438"/>
      <c r="X146" s="438"/>
      <c r="Y146" s="438"/>
      <c r="Z146" s="438"/>
    </row>
    <row r="147" ht="11.25" hidden="1" customHeight="1">
      <c r="A147" s="450" t="s">
        <v>246</v>
      </c>
      <c r="B147" s="451">
        <v>45202.0</v>
      </c>
      <c r="C147" s="452" t="s">
        <v>857</v>
      </c>
      <c r="D147" s="452">
        <v>27.0</v>
      </c>
      <c r="E147" s="452">
        <v>0.0</v>
      </c>
      <c r="F147" s="452" t="s">
        <v>132</v>
      </c>
      <c r="G147" s="453">
        <v>0.0</v>
      </c>
      <c r="H147" s="453">
        <v>2250000.0</v>
      </c>
      <c r="I147" s="453">
        <v>5681338.0</v>
      </c>
      <c r="J147" s="438"/>
      <c r="K147" s="438"/>
      <c r="L147" s="438"/>
      <c r="M147" s="438"/>
      <c r="N147" s="438"/>
      <c r="O147" s="438"/>
      <c r="P147" s="438"/>
      <c r="Q147" s="438"/>
      <c r="R147" s="438"/>
      <c r="S147" s="438"/>
      <c r="T147" s="438"/>
      <c r="U147" s="438"/>
      <c r="V147" s="438"/>
      <c r="W147" s="438"/>
      <c r="X147" s="438"/>
      <c r="Y147" s="438"/>
      <c r="Z147" s="438"/>
    </row>
    <row r="148" ht="11.25" hidden="1" customHeight="1">
      <c r="A148" s="450" t="s">
        <v>246</v>
      </c>
      <c r="B148" s="451">
        <v>45264.0</v>
      </c>
      <c r="C148" s="452" t="s">
        <v>857</v>
      </c>
      <c r="D148" s="452">
        <v>28.0</v>
      </c>
      <c r="E148" s="452">
        <v>0.0</v>
      </c>
      <c r="F148" s="452" t="s">
        <v>132</v>
      </c>
      <c r="G148" s="453">
        <v>0.0</v>
      </c>
      <c r="H148" s="453">
        <v>2250000.0</v>
      </c>
      <c r="I148" s="453">
        <v>3431338.0</v>
      </c>
      <c r="J148" s="438"/>
      <c r="K148" s="438"/>
      <c r="L148" s="438"/>
      <c r="M148" s="438"/>
      <c r="N148" s="438"/>
      <c r="O148" s="438"/>
      <c r="P148" s="438"/>
      <c r="Q148" s="438"/>
      <c r="R148" s="438"/>
      <c r="S148" s="438"/>
      <c r="T148" s="438"/>
      <c r="U148" s="438"/>
      <c r="V148" s="438"/>
      <c r="W148" s="438"/>
      <c r="X148" s="438"/>
      <c r="Y148" s="438"/>
      <c r="Z148" s="438"/>
    </row>
    <row r="149" ht="11.25" hidden="1" customHeight="1">
      <c r="A149" s="450" t="s">
        <v>251</v>
      </c>
      <c r="B149" s="451">
        <v>44927.0</v>
      </c>
      <c r="C149" s="452" t="s">
        <v>857</v>
      </c>
      <c r="D149" s="452">
        <v>1.0</v>
      </c>
      <c r="E149" s="452">
        <v>8.0</v>
      </c>
      <c r="F149" s="452" t="s">
        <v>858</v>
      </c>
      <c r="G149" s="453">
        <v>2.18875E7</v>
      </c>
      <c r="H149" s="453">
        <v>0.0</v>
      </c>
      <c r="I149" s="453">
        <v>2.18875E7</v>
      </c>
      <c r="J149" s="438"/>
      <c r="K149" s="438"/>
      <c r="L149" s="438"/>
      <c r="M149" s="438"/>
      <c r="N149" s="438"/>
      <c r="O149" s="438"/>
      <c r="P149" s="438"/>
      <c r="Q149" s="438"/>
      <c r="R149" s="438"/>
      <c r="S149" s="438"/>
      <c r="T149" s="438"/>
      <c r="U149" s="438"/>
      <c r="V149" s="438"/>
      <c r="W149" s="438"/>
      <c r="X149" s="438"/>
      <c r="Y149" s="438"/>
      <c r="Z149" s="438"/>
    </row>
    <row r="150" ht="11.25" hidden="1" customHeight="1">
      <c r="A150" s="450" t="s">
        <v>251</v>
      </c>
      <c r="B150" s="451">
        <v>44927.0</v>
      </c>
      <c r="C150" s="452" t="s">
        <v>857</v>
      </c>
      <c r="D150" s="452">
        <v>1.0</v>
      </c>
      <c r="E150" s="452">
        <v>9.0</v>
      </c>
      <c r="F150" s="452" t="s">
        <v>858</v>
      </c>
      <c r="G150" s="453">
        <v>4.3775E7</v>
      </c>
      <c r="H150" s="453">
        <v>0.0</v>
      </c>
      <c r="I150" s="453">
        <v>6.56625E7</v>
      </c>
      <c r="J150" s="438"/>
      <c r="K150" s="438"/>
      <c r="L150" s="438"/>
      <c r="M150" s="438"/>
      <c r="N150" s="438"/>
      <c r="O150" s="438"/>
      <c r="P150" s="438"/>
      <c r="Q150" s="438"/>
      <c r="R150" s="438"/>
      <c r="S150" s="438"/>
      <c r="T150" s="438"/>
      <c r="U150" s="438"/>
      <c r="V150" s="438"/>
      <c r="W150" s="438"/>
      <c r="X150" s="438"/>
      <c r="Y150" s="438"/>
      <c r="Z150" s="438"/>
    </row>
    <row r="151" ht="11.25" hidden="1" customHeight="1">
      <c r="A151" s="450" t="s">
        <v>251</v>
      </c>
      <c r="B151" s="451">
        <v>44927.0</v>
      </c>
      <c r="C151" s="452" t="s">
        <v>857</v>
      </c>
      <c r="D151" s="452">
        <v>1.0</v>
      </c>
      <c r="E151" s="452">
        <v>10.0</v>
      </c>
      <c r="F151" s="452" t="s">
        <v>858</v>
      </c>
      <c r="G151" s="453">
        <v>4.3775E7</v>
      </c>
      <c r="H151" s="453">
        <v>0.0</v>
      </c>
      <c r="I151" s="453">
        <v>1.094375E8</v>
      </c>
      <c r="J151" s="438"/>
      <c r="K151" s="438"/>
      <c r="L151" s="438"/>
      <c r="M151" s="438"/>
      <c r="N151" s="438"/>
      <c r="O151" s="438"/>
      <c r="P151" s="438"/>
      <c r="Q151" s="438"/>
      <c r="R151" s="438"/>
      <c r="S151" s="438"/>
      <c r="T151" s="438"/>
      <c r="U151" s="438"/>
      <c r="V151" s="438"/>
      <c r="W151" s="438"/>
      <c r="X151" s="438"/>
      <c r="Y151" s="438"/>
      <c r="Z151" s="438"/>
    </row>
    <row r="152" ht="11.25" hidden="1" customHeight="1">
      <c r="A152" s="450" t="s">
        <v>251</v>
      </c>
      <c r="B152" s="451">
        <v>44927.0</v>
      </c>
      <c r="C152" s="452" t="s">
        <v>857</v>
      </c>
      <c r="D152" s="452">
        <v>15.0</v>
      </c>
      <c r="E152" s="452">
        <v>3.0</v>
      </c>
      <c r="F152" s="452" t="s">
        <v>902</v>
      </c>
      <c r="G152" s="453">
        <v>0.0</v>
      </c>
      <c r="H152" s="453">
        <v>1.094375E8</v>
      </c>
      <c r="I152" s="453">
        <v>0.0</v>
      </c>
      <c r="J152" s="438"/>
      <c r="K152" s="438"/>
      <c r="L152" s="438"/>
      <c r="M152" s="438"/>
      <c r="N152" s="438"/>
      <c r="O152" s="438"/>
      <c r="P152" s="438"/>
      <c r="Q152" s="438"/>
      <c r="R152" s="438"/>
      <c r="S152" s="438"/>
      <c r="T152" s="438"/>
      <c r="U152" s="438"/>
      <c r="V152" s="438"/>
      <c r="W152" s="438"/>
      <c r="X152" s="438"/>
      <c r="Y152" s="438"/>
      <c r="Z152" s="438"/>
    </row>
    <row r="153" ht="11.25" hidden="1" customHeight="1">
      <c r="A153" s="450" t="s">
        <v>251</v>
      </c>
      <c r="B153" s="451">
        <v>44938.0</v>
      </c>
      <c r="C153" s="452" t="s">
        <v>861</v>
      </c>
      <c r="D153" s="452">
        <v>6.0</v>
      </c>
      <c r="E153" s="452">
        <v>2.0</v>
      </c>
      <c r="F153" s="452" t="s">
        <v>128</v>
      </c>
      <c r="G153" s="453">
        <v>2276374.0</v>
      </c>
      <c r="H153" s="453">
        <v>0.0</v>
      </c>
      <c r="I153" s="453">
        <v>2276374.0</v>
      </c>
      <c r="J153" s="438"/>
      <c r="K153" s="438"/>
      <c r="L153" s="438"/>
      <c r="M153" s="438"/>
      <c r="N153" s="438"/>
      <c r="O153" s="438"/>
      <c r="P153" s="438"/>
      <c r="Q153" s="438"/>
      <c r="R153" s="438"/>
      <c r="S153" s="438"/>
      <c r="T153" s="438"/>
      <c r="U153" s="438"/>
      <c r="V153" s="438"/>
      <c r="W153" s="438"/>
      <c r="X153" s="438"/>
      <c r="Y153" s="438"/>
      <c r="Z153" s="438"/>
    </row>
    <row r="154" ht="11.25" hidden="1" customHeight="1">
      <c r="A154" s="450" t="s">
        <v>251</v>
      </c>
      <c r="B154" s="451">
        <v>44938.0</v>
      </c>
      <c r="C154" s="452" t="s">
        <v>861</v>
      </c>
      <c r="D154" s="452">
        <v>17.0</v>
      </c>
      <c r="E154" s="452">
        <v>2.0</v>
      </c>
      <c r="F154" s="452" t="s">
        <v>130</v>
      </c>
      <c r="G154" s="453">
        <v>2276374.0</v>
      </c>
      <c r="H154" s="453">
        <v>0.0</v>
      </c>
      <c r="I154" s="453">
        <v>4552748.0</v>
      </c>
      <c r="J154" s="438"/>
      <c r="K154" s="438"/>
      <c r="L154" s="438"/>
      <c r="M154" s="438"/>
      <c r="N154" s="438"/>
      <c r="O154" s="438"/>
      <c r="P154" s="438"/>
      <c r="Q154" s="438"/>
      <c r="R154" s="438"/>
      <c r="S154" s="438"/>
      <c r="T154" s="438"/>
      <c r="U154" s="438"/>
      <c r="V154" s="438"/>
      <c r="W154" s="438"/>
      <c r="X154" s="438"/>
      <c r="Y154" s="438"/>
      <c r="Z154" s="438"/>
    </row>
    <row r="155" ht="11.25" hidden="1" customHeight="1">
      <c r="A155" s="450" t="s">
        <v>251</v>
      </c>
      <c r="B155" s="451">
        <v>44938.0</v>
      </c>
      <c r="C155" s="452" t="s">
        <v>857</v>
      </c>
      <c r="D155" s="452">
        <v>17.0</v>
      </c>
      <c r="E155" s="452">
        <v>0.0</v>
      </c>
      <c r="F155" s="452" t="s">
        <v>132</v>
      </c>
      <c r="G155" s="453">
        <v>1138187.0</v>
      </c>
      <c r="H155" s="453">
        <v>0.0</v>
      </c>
      <c r="I155" s="453">
        <v>5690935.0</v>
      </c>
      <c r="J155" s="438"/>
      <c r="K155" s="438"/>
      <c r="L155" s="438"/>
      <c r="M155" s="438"/>
      <c r="N155" s="438"/>
      <c r="O155" s="438"/>
      <c r="P155" s="438"/>
      <c r="Q155" s="438"/>
      <c r="R155" s="438"/>
      <c r="S155" s="438"/>
      <c r="T155" s="438"/>
      <c r="U155" s="438"/>
      <c r="V155" s="438"/>
      <c r="W155" s="438"/>
      <c r="X155" s="438"/>
      <c r="Y155" s="438"/>
      <c r="Z155" s="438"/>
    </row>
    <row r="156" ht="11.25" hidden="1" customHeight="1">
      <c r="A156" s="450" t="s">
        <v>251</v>
      </c>
      <c r="B156" s="451">
        <v>44971.0</v>
      </c>
      <c r="C156" s="452" t="s">
        <v>861</v>
      </c>
      <c r="D156" s="452">
        <v>7.0</v>
      </c>
      <c r="E156" s="452">
        <v>2.0</v>
      </c>
      <c r="F156" s="452" t="s">
        <v>130</v>
      </c>
      <c r="G156" s="453">
        <v>258232.0</v>
      </c>
      <c r="H156" s="453">
        <v>0.0</v>
      </c>
      <c r="I156" s="453">
        <v>5949167.0</v>
      </c>
      <c r="J156" s="438"/>
      <c r="K156" s="438"/>
      <c r="L156" s="438"/>
      <c r="M156" s="438"/>
      <c r="N156" s="438"/>
      <c r="O156" s="438"/>
      <c r="P156" s="438"/>
      <c r="Q156" s="438"/>
      <c r="R156" s="438"/>
      <c r="S156" s="438"/>
      <c r="T156" s="438"/>
      <c r="U156" s="438"/>
      <c r="V156" s="438"/>
      <c r="W156" s="438"/>
      <c r="X156" s="438"/>
      <c r="Y156" s="438"/>
      <c r="Z156" s="438"/>
    </row>
    <row r="157" ht="11.25" hidden="1" customHeight="1">
      <c r="A157" s="450" t="s">
        <v>251</v>
      </c>
      <c r="B157" s="451">
        <v>44971.0</v>
      </c>
      <c r="C157" s="452" t="s">
        <v>861</v>
      </c>
      <c r="D157" s="452">
        <v>18.0</v>
      </c>
      <c r="E157" s="452">
        <v>2.0</v>
      </c>
      <c r="F157" s="452" t="s">
        <v>128</v>
      </c>
      <c r="G157" s="453">
        <v>258232.0</v>
      </c>
      <c r="H157" s="453">
        <v>0.0</v>
      </c>
      <c r="I157" s="453">
        <v>6207399.0</v>
      </c>
      <c r="J157" s="438"/>
      <c r="K157" s="438"/>
      <c r="L157" s="438"/>
      <c r="M157" s="438"/>
      <c r="N157" s="438"/>
      <c r="O157" s="438"/>
      <c r="P157" s="438"/>
      <c r="Q157" s="438"/>
      <c r="R157" s="438"/>
      <c r="S157" s="438"/>
      <c r="T157" s="438"/>
      <c r="U157" s="438"/>
      <c r="V157" s="438"/>
      <c r="W157" s="438"/>
      <c r="X157" s="438"/>
      <c r="Y157" s="438"/>
      <c r="Z157" s="438"/>
    </row>
    <row r="158" ht="11.25" hidden="1" customHeight="1">
      <c r="A158" s="450" t="s">
        <v>251</v>
      </c>
      <c r="B158" s="451">
        <v>44971.0</v>
      </c>
      <c r="C158" s="452" t="s">
        <v>857</v>
      </c>
      <c r="D158" s="452">
        <v>18.0</v>
      </c>
      <c r="E158" s="452">
        <v>0.0</v>
      </c>
      <c r="F158" s="452" t="s">
        <v>132</v>
      </c>
      <c r="G158" s="453">
        <v>129116.0</v>
      </c>
      <c r="H158" s="453">
        <v>0.0</v>
      </c>
      <c r="I158" s="453">
        <v>6336515.0</v>
      </c>
      <c r="J158" s="438"/>
      <c r="K158" s="438"/>
      <c r="L158" s="438"/>
      <c r="M158" s="438"/>
      <c r="N158" s="438"/>
      <c r="O158" s="438"/>
      <c r="P158" s="438"/>
      <c r="Q158" s="438"/>
      <c r="R158" s="438"/>
      <c r="S158" s="438"/>
      <c r="T158" s="438"/>
      <c r="U158" s="438"/>
      <c r="V158" s="438"/>
      <c r="W158" s="438"/>
      <c r="X158" s="438"/>
      <c r="Y158" s="438"/>
      <c r="Z158" s="438"/>
    </row>
    <row r="159" ht="11.25" hidden="1" customHeight="1">
      <c r="A159" s="450" t="s">
        <v>251</v>
      </c>
      <c r="B159" s="451">
        <v>45054.0</v>
      </c>
      <c r="C159" s="452" t="s">
        <v>861</v>
      </c>
      <c r="D159" s="452">
        <v>8.0</v>
      </c>
      <c r="E159" s="452">
        <v>2.0</v>
      </c>
      <c r="F159" s="452" t="s">
        <v>130</v>
      </c>
      <c r="G159" s="453">
        <v>4000000.0</v>
      </c>
      <c r="H159" s="453">
        <v>0.0</v>
      </c>
      <c r="I159" s="453">
        <v>1.0336515E7</v>
      </c>
      <c r="J159" s="438"/>
      <c r="K159" s="438"/>
      <c r="L159" s="438"/>
      <c r="M159" s="438"/>
      <c r="N159" s="438"/>
      <c r="O159" s="438"/>
      <c r="P159" s="438"/>
      <c r="Q159" s="438"/>
      <c r="R159" s="438"/>
      <c r="S159" s="438"/>
      <c r="T159" s="438"/>
      <c r="U159" s="438"/>
      <c r="V159" s="438"/>
      <c r="W159" s="438"/>
      <c r="X159" s="438"/>
      <c r="Y159" s="438"/>
      <c r="Z159" s="438"/>
    </row>
    <row r="160" ht="11.25" hidden="1" customHeight="1">
      <c r="A160" s="450" t="s">
        <v>251</v>
      </c>
      <c r="B160" s="451">
        <v>45054.0</v>
      </c>
      <c r="C160" s="452" t="s">
        <v>861</v>
      </c>
      <c r="D160" s="452">
        <v>19.0</v>
      </c>
      <c r="E160" s="452">
        <v>2.0</v>
      </c>
      <c r="F160" s="452" t="s">
        <v>128</v>
      </c>
      <c r="G160" s="453">
        <v>4000000.0</v>
      </c>
      <c r="H160" s="453">
        <v>0.0</v>
      </c>
      <c r="I160" s="453">
        <v>1.4336515E7</v>
      </c>
      <c r="J160" s="438"/>
      <c r="K160" s="438"/>
      <c r="L160" s="438"/>
      <c r="M160" s="438"/>
      <c r="N160" s="438"/>
      <c r="O160" s="438"/>
      <c r="P160" s="438"/>
      <c r="Q160" s="438"/>
      <c r="R160" s="438"/>
      <c r="S160" s="438"/>
      <c r="T160" s="438"/>
      <c r="U160" s="438"/>
      <c r="V160" s="438"/>
      <c r="W160" s="438"/>
      <c r="X160" s="438"/>
      <c r="Y160" s="438"/>
      <c r="Z160" s="438"/>
    </row>
    <row r="161" ht="11.25" hidden="1" customHeight="1">
      <c r="A161" s="450" t="s">
        <v>251</v>
      </c>
      <c r="B161" s="451">
        <v>45054.0</v>
      </c>
      <c r="C161" s="452" t="s">
        <v>857</v>
      </c>
      <c r="D161" s="452">
        <v>19.0</v>
      </c>
      <c r="E161" s="452">
        <v>0.0</v>
      </c>
      <c r="F161" s="452" t="s">
        <v>132</v>
      </c>
      <c r="G161" s="453">
        <v>2000000.0</v>
      </c>
      <c r="H161" s="453">
        <v>0.0</v>
      </c>
      <c r="I161" s="453">
        <v>1.6336515E7</v>
      </c>
      <c r="J161" s="438"/>
      <c r="K161" s="438"/>
      <c r="L161" s="438"/>
      <c r="M161" s="438"/>
      <c r="N161" s="438"/>
      <c r="O161" s="438"/>
      <c r="P161" s="438"/>
      <c r="Q161" s="438"/>
      <c r="R161" s="438"/>
      <c r="S161" s="438"/>
      <c r="T161" s="438"/>
      <c r="U161" s="438"/>
      <c r="V161" s="438"/>
      <c r="W161" s="438"/>
      <c r="X161" s="438"/>
      <c r="Y161" s="438"/>
      <c r="Z161" s="438"/>
    </row>
    <row r="162" ht="11.25" hidden="1" customHeight="1">
      <c r="A162" s="450" t="s">
        <v>251</v>
      </c>
      <c r="B162" s="451">
        <v>45055.0</v>
      </c>
      <c r="C162" s="452" t="s">
        <v>861</v>
      </c>
      <c r="D162" s="452">
        <v>9.0</v>
      </c>
      <c r="E162" s="452">
        <v>2.0</v>
      </c>
      <c r="F162" s="452" t="s">
        <v>130</v>
      </c>
      <c r="G162" s="453">
        <v>1000000.0</v>
      </c>
      <c r="H162" s="453">
        <v>0.0</v>
      </c>
      <c r="I162" s="453">
        <v>1.7336515E7</v>
      </c>
      <c r="J162" s="438"/>
      <c r="K162" s="438"/>
      <c r="L162" s="438"/>
      <c r="M162" s="438"/>
      <c r="N162" s="438"/>
      <c r="O162" s="438"/>
      <c r="P162" s="438"/>
      <c r="Q162" s="438"/>
      <c r="R162" s="438"/>
      <c r="S162" s="438"/>
      <c r="T162" s="438"/>
      <c r="U162" s="438"/>
      <c r="V162" s="438"/>
      <c r="W162" s="438"/>
      <c r="X162" s="438"/>
      <c r="Y162" s="438"/>
      <c r="Z162" s="438"/>
    </row>
    <row r="163" ht="11.25" hidden="1" customHeight="1">
      <c r="A163" s="450" t="s">
        <v>251</v>
      </c>
      <c r="B163" s="451">
        <v>45055.0</v>
      </c>
      <c r="C163" s="452" t="s">
        <v>861</v>
      </c>
      <c r="D163" s="452">
        <v>20.0</v>
      </c>
      <c r="E163" s="452">
        <v>2.0</v>
      </c>
      <c r="F163" s="452" t="s">
        <v>128</v>
      </c>
      <c r="G163" s="453">
        <v>1000000.0</v>
      </c>
      <c r="H163" s="453">
        <v>0.0</v>
      </c>
      <c r="I163" s="453">
        <v>1.8336515E7</v>
      </c>
      <c r="J163" s="438"/>
      <c r="K163" s="438"/>
      <c r="L163" s="438"/>
      <c r="M163" s="438"/>
      <c r="N163" s="438"/>
      <c r="O163" s="438"/>
      <c r="P163" s="438"/>
      <c r="Q163" s="438"/>
      <c r="R163" s="438"/>
      <c r="S163" s="438"/>
      <c r="T163" s="438"/>
      <c r="U163" s="438"/>
      <c r="V163" s="438"/>
      <c r="W163" s="438"/>
      <c r="X163" s="438"/>
      <c r="Y163" s="438"/>
      <c r="Z163" s="438"/>
    </row>
    <row r="164" ht="11.25" hidden="1" customHeight="1">
      <c r="A164" s="450" t="s">
        <v>251</v>
      </c>
      <c r="B164" s="451">
        <v>45055.0</v>
      </c>
      <c r="C164" s="452" t="s">
        <v>857</v>
      </c>
      <c r="D164" s="452">
        <v>20.0</v>
      </c>
      <c r="E164" s="452">
        <v>0.0</v>
      </c>
      <c r="F164" s="452" t="s">
        <v>132</v>
      </c>
      <c r="G164" s="453">
        <v>500000.0</v>
      </c>
      <c r="H164" s="453">
        <v>0.0</v>
      </c>
      <c r="I164" s="453">
        <v>1.8836515E7</v>
      </c>
      <c r="J164" s="438"/>
      <c r="K164" s="438"/>
      <c r="L164" s="438"/>
      <c r="M164" s="438"/>
      <c r="N164" s="438"/>
      <c r="O164" s="438"/>
      <c r="P164" s="438"/>
      <c r="Q164" s="438"/>
      <c r="R164" s="438"/>
      <c r="S164" s="438"/>
      <c r="T164" s="438"/>
      <c r="U164" s="438"/>
      <c r="V164" s="438"/>
      <c r="W164" s="438"/>
      <c r="X164" s="438"/>
      <c r="Y164" s="438"/>
      <c r="Z164" s="438"/>
    </row>
    <row r="165" ht="11.25" hidden="1" customHeight="1">
      <c r="A165" s="450" t="s">
        <v>251</v>
      </c>
      <c r="B165" s="451">
        <v>45082.0</v>
      </c>
      <c r="C165" s="452" t="s">
        <v>861</v>
      </c>
      <c r="D165" s="452">
        <v>28.0</v>
      </c>
      <c r="E165" s="452">
        <v>2.0</v>
      </c>
      <c r="F165" s="452" t="s">
        <v>128</v>
      </c>
      <c r="G165" s="453">
        <v>4000000.0</v>
      </c>
      <c r="H165" s="453">
        <v>0.0</v>
      </c>
      <c r="I165" s="453">
        <v>2.2836515E7</v>
      </c>
      <c r="J165" s="438"/>
      <c r="K165" s="438"/>
      <c r="L165" s="438"/>
      <c r="M165" s="438"/>
      <c r="N165" s="438"/>
      <c r="O165" s="438"/>
      <c r="P165" s="438"/>
      <c r="Q165" s="438"/>
      <c r="R165" s="438"/>
      <c r="S165" s="438"/>
      <c r="T165" s="438"/>
      <c r="U165" s="438"/>
      <c r="V165" s="438"/>
      <c r="W165" s="438"/>
      <c r="X165" s="438"/>
      <c r="Y165" s="438"/>
      <c r="Z165" s="438"/>
    </row>
    <row r="166" ht="11.25" hidden="1" customHeight="1">
      <c r="A166" s="450" t="s">
        <v>251</v>
      </c>
      <c r="B166" s="451">
        <v>45082.0</v>
      </c>
      <c r="C166" s="452" t="s">
        <v>861</v>
      </c>
      <c r="D166" s="452">
        <v>29.0</v>
      </c>
      <c r="E166" s="452">
        <v>2.0</v>
      </c>
      <c r="F166" s="452" t="s">
        <v>130</v>
      </c>
      <c r="G166" s="453">
        <v>4000000.0</v>
      </c>
      <c r="H166" s="453">
        <v>0.0</v>
      </c>
      <c r="I166" s="453">
        <v>2.6836515E7</v>
      </c>
      <c r="J166" s="438"/>
      <c r="K166" s="438"/>
      <c r="L166" s="438"/>
      <c r="M166" s="438"/>
      <c r="N166" s="438"/>
      <c r="O166" s="438"/>
      <c r="P166" s="438"/>
      <c r="Q166" s="438"/>
      <c r="R166" s="438"/>
      <c r="S166" s="438"/>
      <c r="T166" s="438"/>
      <c r="U166" s="438"/>
      <c r="V166" s="438"/>
      <c r="W166" s="438"/>
      <c r="X166" s="438"/>
      <c r="Y166" s="438"/>
      <c r="Z166" s="438"/>
    </row>
    <row r="167" ht="11.25" hidden="1" customHeight="1">
      <c r="A167" s="450" t="s">
        <v>251</v>
      </c>
      <c r="B167" s="451">
        <v>45082.0</v>
      </c>
      <c r="C167" s="452" t="s">
        <v>857</v>
      </c>
      <c r="D167" s="452">
        <v>21.0</v>
      </c>
      <c r="E167" s="452">
        <v>0.0</v>
      </c>
      <c r="F167" s="452" t="s">
        <v>132</v>
      </c>
      <c r="G167" s="453">
        <v>2000000.0</v>
      </c>
      <c r="H167" s="453">
        <v>0.0</v>
      </c>
      <c r="I167" s="453">
        <v>2.8836515E7</v>
      </c>
      <c r="J167" s="438"/>
      <c r="K167" s="438"/>
      <c r="L167" s="438"/>
      <c r="M167" s="438"/>
      <c r="N167" s="438"/>
      <c r="O167" s="438"/>
      <c r="P167" s="438"/>
      <c r="Q167" s="438"/>
      <c r="R167" s="438"/>
      <c r="S167" s="438"/>
      <c r="T167" s="438"/>
      <c r="U167" s="438"/>
      <c r="V167" s="438"/>
      <c r="W167" s="438"/>
      <c r="X167" s="438"/>
      <c r="Y167" s="438"/>
      <c r="Z167" s="438"/>
    </row>
    <row r="168" ht="11.25" hidden="1" customHeight="1">
      <c r="A168" s="450" t="s">
        <v>251</v>
      </c>
      <c r="B168" s="451">
        <v>45110.0</v>
      </c>
      <c r="C168" s="452" t="s">
        <v>861</v>
      </c>
      <c r="D168" s="452">
        <v>10.0</v>
      </c>
      <c r="E168" s="452">
        <v>2.0</v>
      </c>
      <c r="F168" s="452" t="s">
        <v>130</v>
      </c>
      <c r="G168" s="453">
        <v>3000000.0</v>
      </c>
      <c r="H168" s="453">
        <v>0.0</v>
      </c>
      <c r="I168" s="453">
        <v>3.1836515E7</v>
      </c>
      <c r="J168" s="438"/>
      <c r="K168" s="438"/>
      <c r="L168" s="438"/>
      <c r="M168" s="438"/>
      <c r="N168" s="438"/>
      <c r="O168" s="438"/>
      <c r="P168" s="438"/>
      <c r="Q168" s="438"/>
      <c r="R168" s="438"/>
      <c r="S168" s="438"/>
      <c r="T168" s="438"/>
      <c r="U168" s="438"/>
      <c r="V168" s="438"/>
      <c r="W168" s="438"/>
      <c r="X168" s="438"/>
      <c r="Y168" s="438"/>
      <c r="Z168" s="438"/>
    </row>
    <row r="169" ht="11.25" hidden="1" customHeight="1">
      <c r="A169" s="450" t="s">
        <v>251</v>
      </c>
      <c r="B169" s="451">
        <v>45110.0</v>
      </c>
      <c r="C169" s="452" t="s">
        <v>861</v>
      </c>
      <c r="D169" s="452">
        <v>21.0</v>
      </c>
      <c r="E169" s="452">
        <v>2.0</v>
      </c>
      <c r="F169" s="452" t="s">
        <v>128</v>
      </c>
      <c r="G169" s="453">
        <v>3000000.0</v>
      </c>
      <c r="H169" s="453">
        <v>0.0</v>
      </c>
      <c r="I169" s="453">
        <v>3.4836515E7</v>
      </c>
      <c r="J169" s="438"/>
      <c r="K169" s="438"/>
      <c r="L169" s="438"/>
      <c r="M169" s="438"/>
      <c r="N169" s="438"/>
      <c r="O169" s="438"/>
      <c r="P169" s="438"/>
      <c r="Q169" s="438"/>
      <c r="R169" s="438"/>
      <c r="S169" s="438"/>
      <c r="T169" s="438"/>
      <c r="U169" s="438"/>
      <c r="V169" s="438"/>
      <c r="W169" s="438"/>
      <c r="X169" s="438"/>
      <c r="Y169" s="438"/>
      <c r="Z169" s="438"/>
    </row>
    <row r="170" ht="11.25" hidden="1" customHeight="1">
      <c r="A170" s="450" t="s">
        <v>251</v>
      </c>
      <c r="B170" s="451">
        <v>45110.0</v>
      </c>
      <c r="C170" s="452" t="s">
        <v>857</v>
      </c>
      <c r="D170" s="452">
        <v>22.0</v>
      </c>
      <c r="E170" s="452">
        <v>0.0</v>
      </c>
      <c r="F170" s="452" t="s">
        <v>132</v>
      </c>
      <c r="G170" s="453">
        <v>1500000.0</v>
      </c>
      <c r="H170" s="453">
        <v>0.0</v>
      </c>
      <c r="I170" s="453">
        <v>3.6336515E7</v>
      </c>
      <c r="J170" s="438"/>
      <c r="K170" s="438"/>
      <c r="L170" s="438"/>
      <c r="M170" s="438"/>
      <c r="N170" s="438"/>
      <c r="O170" s="438"/>
      <c r="P170" s="438"/>
      <c r="Q170" s="438"/>
      <c r="R170" s="438"/>
      <c r="S170" s="438"/>
      <c r="T170" s="438"/>
      <c r="U170" s="438"/>
      <c r="V170" s="438"/>
      <c r="W170" s="438"/>
      <c r="X170" s="438"/>
      <c r="Y170" s="438"/>
      <c r="Z170" s="438"/>
    </row>
    <row r="171" ht="11.25" hidden="1" customHeight="1">
      <c r="A171" s="450" t="s">
        <v>251</v>
      </c>
      <c r="B171" s="451">
        <v>45141.0</v>
      </c>
      <c r="C171" s="452" t="s">
        <v>861</v>
      </c>
      <c r="D171" s="452">
        <v>11.0</v>
      </c>
      <c r="E171" s="452">
        <v>2.0</v>
      </c>
      <c r="F171" s="452" t="s">
        <v>130</v>
      </c>
      <c r="G171" s="453">
        <v>4000000.0</v>
      </c>
      <c r="H171" s="453">
        <v>0.0</v>
      </c>
      <c r="I171" s="453">
        <v>4.0336515E7</v>
      </c>
      <c r="J171" s="438"/>
      <c r="K171" s="438"/>
      <c r="L171" s="438"/>
      <c r="M171" s="438"/>
      <c r="N171" s="438"/>
      <c r="O171" s="438"/>
      <c r="P171" s="438"/>
      <c r="Q171" s="438"/>
      <c r="R171" s="438"/>
      <c r="S171" s="438"/>
      <c r="T171" s="438"/>
      <c r="U171" s="438"/>
      <c r="V171" s="438"/>
      <c r="W171" s="438"/>
      <c r="X171" s="438"/>
      <c r="Y171" s="438"/>
      <c r="Z171" s="438"/>
    </row>
    <row r="172" ht="11.25" hidden="1" customHeight="1">
      <c r="A172" s="450" t="s">
        <v>251</v>
      </c>
      <c r="B172" s="451">
        <v>45141.0</v>
      </c>
      <c r="C172" s="452" t="s">
        <v>861</v>
      </c>
      <c r="D172" s="452">
        <v>22.0</v>
      </c>
      <c r="E172" s="452">
        <v>2.0</v>
      </c>
      <c r="F172" s="452" t="s">
        <v>128</v>
      </c>
      <c r="G172" s="453">
        <v>4000000.0</v>
      </c>
      <c r="H172" s="453">
        <v>0.0</v>
      </c>
      <c r="I172" s="453">
        <v>4.4336515E7</v>
      </c>
      <c r="J172" s="438"/>
      <c r="K172" s="438"/>
      <c r="L172" s="438"/>
      <c r="M172" s="438"/>
      <c r="N172" s="438"/>
      <c r="O172" s="438"/>
      <c r="P172" s="438"/>
      <c r="Q172" s="438"/>
      <c r="R172" s="438"/>
      <c r="S172" s="438"/>
      <c r="T172" s="438"/>
      <c r="U172" s="438"/>
      <c r="V172" s="438"/>
      <c r="W172" s="438"/>
      <c r="X172" s="438"/>
      <c r="Y172" s="438"/>
      <c r="Z172" s="438"/>
    </row>
    <row r="173" ht="11.25" hidden="1" customHeight="1">
      <c r="A173" s="450" t="s">
        <v>251</v>
      </c>
      <c r="B173" s="451">
        <v>45141.0</v>
      </c>
      <c r="C173" s="452" t="s">
        <v>857</v>
      </c>
      <c r="D173" s="452">
        <v>23.0</v>
      </c>
      <c r="E173" s="452">
        <v>0.0</v>
      </c>
      <c r="F173" s="452" t="s">
        <v>132</v>
      </c>
      <c r="G173" s="453">
        <v>2000000.0</v>
      </c>
      <c r="H173" s="453">
        <v>0.0</v>
      </c>
      <c r="I173" s="453">
        <v>4.6336515E7</v>
      </c>
      <c r="J173" s="438"/>
      <c r="K173" s="438"/>
      <c r="L173" s="438"/>
      <c r="M173" s="438"/>
      <c r="N173" s="438"/>
      <c r="O173" s="438"/>
      <c r="P173" s="438"/>
      <c r="Q173" s="438"/>
      <c r="R173" s="438"/>
      <c r="S173" s="438"/>
      <c r="T173" s="438"/>
      <c r="U173" s="438"/>
      <c r="V173" s="438"/>
      <c r="W173" s="438"/>
      <c r="X173" s="438"/>
      <c r="Y173" s="438"/>
      <c r="Z173" s="438"/>
    </row>
    <row r="174" ht="11.25" hidden="1" customHeight="1">
      <c r="A174" s="450" t="s">
        <v>251</v>
      </c>
      <c r="B174" s="451">
        <v>45155.0</v>
      </c>
      <c r="C174" s="452" t="s">
        <v>861</v>
      </c>
      <c r="D174" s="452">
        <v>12.0</v>
      </c>
      <c r="E174" s="452">
        <v>2.0</v>
      </c>
      <c r="F174" s="452" t="s">
        <v>130</v>
      </c>
      <c r="G174" s="453">
        <v>1000000.0</v>
      </c>
      <c r="H174" s="453">
        <v>0.0</v>
      </c>
      <c r="I174" s="453">
        <v>4.7336515E7</v>
      </c>
      <c r="J174" s="438"/>
      <c r="K174" s="438"/>
      <c r="L174" s="438"/>
      <c r="M174" s="438"/>
      <c r="N174" s="438"/>
      <c r="O174" s="438"/>
      <c r="P174" s="438"/>
      <c r="Q174" s="438"/>
      <c r="R174" s="438"/>
      <c r="S174" s="438"/>
      <c r="T174" s="438"/>
      <c r="U174" s="438"/>
      <c r="V174" s="438"/>
      <c r="W174" s="438"/>
      <c r="X174" s="438"/>
      <c r="Y174" s="438"/>
      <c r="Z174" s="438"/>
    </row>
    <row r="175" ht="11.25" hidden="1" customHeight="1">
      <c r="A175" s="450" t="s">
        <v>251</v>
      </c>
      <c r="B175" s="451">
        <v>45155.0</v>
      </c>
      <c r="C175" s="452" t="s">
        <v>861</v>
      </c>
      <c r="D175" s="452">
        <v>23.0</v>
      </c>
      <c r="E175" s="452">
        <v>2.0</v>
      </c>
      <c r="F175" s="452" t="s">
        <v>128</v>
      </c>
      <c r="G175" s="453">
        <v>1000000.0</v>
      </c>
      <c r="H175" s="453">
        <v>0.0</v>
      </c>
      <c r="I175" s="453">
        <v>4.8336515E7</v>
      </c>
      <c r="J175" s="438"/>
      <c r="K175" s="438"/>
      <c r="L175" s="438"/>
      <c r="M175" s="438"/>
      <c r="N175" s="438"/>
      <c r="O175" s="438"/>
      <c r="P175" s="438"/>
      <c r="Q175" s="438"/>
      <c r="R175" s="438"/>
      <c r="S175" s="438"/>
      <c r="T175" s="438"/>
      <c r="U175" s="438"/>
      <c r="V175" s="438"/>
      <c r="W175" s="438"/>
      <c r="X175" s="438"/>
      <c r="Y175" s="438"/>
      <c r="Z175" s="438"/>
    </row>
    <row r="176" ht="11.25" hidden="1" customHeight="1">
      <c r="A176" s="450" t="s">
        <v>251</v>
      </c>
      <c r="B176" s="451">
        <v>45155.0</v>
      </c>
      <c r="C176" s="452" t="s">
        <v>857</v>
      </c>
      <c r="D176" s="452">
        <v>24.0</v>
      </c>
      <c r="E176" s="452">
        <v>0.0</v>
      </c>
      <c r="F176" s="452" t="s">
        <v>132</v>
      </c>
      <c r="G176" s="453">
        <v>500000.0</v>
      </c>
      <c r="H176" s="453">
        <v>0.0</v>
      </c>
      <c r="I176" s="453">
        <v>4.8836515E7</v>
      </c>
      <c r="J176" s="438"/>
      <c r="K176" s="438"/>
      <c r="L176" s="438"/>
      <c r="M176" s="438"/>
      <c r="N176" s="438"/>
      <c r="O176" s="438"/>
      <c r="P176" s="438"/>
      <c r="Q176" s="438"/>
      <c r="R176" s="438"/>
      <c r="S176" s="438"/>
      <c r="T176" s="438"/>
      <c r="U176" s="438"/>
      <c r="V176" s="438"/>
      <c r="W176" s="438"/>
      <c r="X176" s="438"/>
      <c r="Y176" s="438"/>
      <c r="Z176" s="438"/>
    </row>
    <row r="177" ht="11.25" hidden="1" customHeight="1">
      <c r="A177" s="450" t="s">
        <v>251</v>
      </c>
      <c r="B177" s="451">
        <v>45174.0</v>
      </c>
      <c r="C177" s="452" t="s">
        <v>861</v>
      </c>
      <c r="D177" s="452">
        <v>13.0</v>
      </c>
      <c r="E177" s="452">
        <v>2.0</v>
      </c>
      <c r="F177" s="452" t="s">
        <v>130</v>
      </c>
      <c r="G177" s="453">
        <v>4000000.0</v>
      </c>
      <c r="H177" s="453">
        <v>0.0</v>
      </c>
      <c r="I177" s="453">
        <v>5.2836515E7</v>
      </c>
      <c r="J177" s="438"/>
      <c r="K177" s="438"/>
      <c r="L177" s="438"/>
      <c r="M177" s="438"/>
      <c r="N177" s="438"/>
      <c r="O177" s="438"/>
      <c r="P177" s="438"/>
      <c r="Q177" s="438"/>
      <c r="R177" s="438"/>
      <c r="S177" s="438"/>
      <c r="T177" s="438"/>
      <c r="U177" s="438"/>
      <c r="V177" s="438"/>
      <c r="W177" s="438"/>
      <c r="X177" s="438"/>
      <c r="Y177" s="438"/>
      <c r="Z177" s="438"/>
    </row>
    <row r="178" ht="11.25" hidden="1" customHeight="1">
      <c r="A178" s="450" t="s">
        <v>251</v>
      </c>
      <c r="B178" s="451">
        <v>45174.0</v>
      </c>
      <c r="C178" s="452" t="s">
        <v>861</v>
      </c>
      <c r="D178" s="452">
        <v>24.0</v>
      </c>
      <c r="E178" s="452">
        <v>2.0</v>
      </c>
      <c r="F178" s="452" t="s">
        <v>128</v>
      </c>
      <c r="G178" s="453">
        <v>4000000.0</v>
      </c>
      <c r="H178" s="453">
        <v>0.0</v>
      </c>
      <c r="I178" s="453">
        <v>5.6836515E7</v>
      </c>
      <c r="J178" s="438"/>
      <c r="K178" s="438"/>
      <c r="L178" s="438"/>
      <c r="M178" s="438"/>
      <c r="N178" s="438"/>
      <c r="O178" s="438"/>
      <c r="P178" s="438"/>
      <c r="Q178" s="438"/>
      <c r="R178" s="438"/>
      <c r="S178" s="438"/>
      <c r="T178" s="438"/>
      <c r="U178" s="438"/>
      <c r="V178" s="438"/>
      <c r="W178" s="438"/>
      <c r="X178" s="438"/>
      <c r="Y178" s="438"/>
      <c r="Z178" s="438"/>
    </row>
    <row r="179" ht="11.25" hidden="1" customHeight="1">
      <c r="A179" s="450" t="s">
        <v>251</v>
      </c>
      <c r="B179" s="451">
        <v>45174.0</v>
      </c>
      <c r="C179" s="452" t="s">
        <v>857</v>
      </c>
      <c r="D179" s="452">
        <v>25.0</v>
      </c>
      <c r="E179" s="452">
        <v>0.0</v>
      </c>
      <c r="F179" s="452" t="s">
        <v>132</v>
      </c>
      <c r="G179" s="453">
        <v>2000000.0</v>
      </c>
      <c r="H179" s="453">
        <v>0.0</v>
      </c>
      <c r="I179" s="453">
        <v>5.8836515E7</v>
      </c>
      <c r="J179" s="438"/>
      <c r="K179" s="438"/>
      <c r="L179" s="438"/>
      <c r="M179" s="438"/>
      <c r="N179" s="438"/>
      <c r="O179" s="438"/>
      <c r="P179" s="438"/>
      <c r="Q179" s="438"/>
      <c r="R179" s="438"/>
      <c r="S179" s="438"/>
      <c r="T179" s="438"/>
      <c r="U179" s="438"/>
      <c r="V179" s="438"/>
      <c r="W179" s="438"/>
      <c r="X179" s="438"/>
      <c r="Y179" s="438"/>
      <c r="Z179" s="438"/>
    </row>
    <row r="180" ht="11.25" hidden="1" customHeight="1">
      <c r="A180" s="450" t="s">
        <v>251</v>
      </c>
      <c r="B180" s="451">
        <v>45177.0</v>
      </c>
      <c r="C180" s="452" t="s">
        <v>861</v>
      </c>
      <c r="D180" s="452">
        <v>14.0</v>
      </c>
      <c r="E180" s="452">
        <v>2.0</v>
      </c>
      <c r="F180" s="452" t="s">
        <v>130</v>
      </c>
      <c r="G180" s="453">
        <v>500000.0</v>
      </c>
      <c r="H180" s="453">
        <v>0.0</v>
      </c>
      <c r="I180" s="453">
        <v>5.9336515E7</v>
      </c>
      <c r="J180" s="438"/>
      <c r="K180" s="438"/>
      <c r="L180" s="438"/>
      <c r="M180" s="438"/>
      <c r="N180" s="438"/>
      <c r="O180" s="438"/>
      <c r="P180" s="438"/>
      <c r="Q180" s="438"/>
      <c r="R180" s="438"/>
      <c r="S180" s="438"/>
      <c r="T180" s="438"/>
      <c r="U180" s="438"/>
      <c r="V180" s="438"/>
      <c r="W180" s="438"/>
      <c r="X180" s="438"/>
      <c r="Y180" s="438"/>
      <c r="Z180" s="438"/>
    </row>
    <row r="181" ht="11.25" hidden="1" customHeight="1">
      <c r="A181" s="450" t="s">
        <v>251</v>
      </c>
      <c r="B181" s="451">
        <v>45177.0</v>
      </c>
      <c r="C181" s="452" t="s">
        <v>861</v>
      </c>
      <c r="D181" s="452">
        <v>25.0</v>
      </c>
      <c r="E181" s="452">
        <v>2.0</v>
      </c>
      <c r="F181" s="452" t="s">
        <v>128</v>
      </c>
      <c r="G181" s="453">
        <v>500000.0</v>
      </c>
      <c r="H181" s="453">
        <v>0.0</v>
      </c>
      <c r="I181" s="453">
        <v>5.9836515E7</v>
      </c>
      <c r="J181" s="438"/>
      <c r="K181" s="438"/>
      <c r="L181" s="438"/>
      <c r="M181" s="438"/>
      <c r="N181" s="438"/>
      <c r="O181" s="438"/>
      <c r="P181" s="438"/>
      <c r="Q181" s="438"/>
      <c r="R181" s="438"/>
      <c r="S181" s="438"/>
      <c r="T181" s="438"/>
      <c r="U181" s="438"/>
      <c r="V181" s="438"/>
      <c r="W181" s="438"/>
      <c r="X181" s="438"/>
      <c r="Y181" s="438"/>
      <c r="Z181" s="438"/>
    </row>
    <row r="182" ht="11.25" hidden="1" customHeight="1">
      <c r="A182" s="450" t="s">
        <v>251</v>
      </c>
      <c r="B182" s="451">
        <v>45177.0</v>
      </c>
      <c r="C182" s="452" t="s">
        <v>857</v>
      </c>
      <c r="D182" s="452">
        <v>26.0</v>
      </c>
      <c r="E182" s="452">
        <v>0.0</v>
      </c>
      <c r="F182" s="452" t="s">
        <v>132</v>
      </c>
      <c r="G182" s="453">
        <v>250000.0</v>
      </c>
      <c r="H182" s="453">
        <v>0.0</v>
      </c>
      <c r="I182" s="453">
        <v>6.0086515E7</v>
      </c>
      <c r="J182" s="438"/>
      <c r="K182" s="438"/>
      <c r="L182" s="438"/>
      <c r="M182" s="438"/>
      <c r="N182" s="438"/>
      <c r="O182" s="438"/>
      <c r="P182" s="438"/>
      <c r="Q182" s="438"/>
      <c r="R182" s="438"/>
      <c r="S182" s="438"/>
      <c r="T182" s="438"/>
      <c r="U182" s="438"/>
      <c r="V182" s="438"/>
      <c r="W182" s="438"/>
      <c r="X182" s="438"/>
      <c r="Y182" s="438"/>
      <c r="Z182" s="438"/>
    </row>
    <row r="183" ht="11.25" hidden="1" customHeight="1">
      <c r="A183" s="450" t="s">
        <v>251</v>
      </c>
      <c r="B183" s="451">
        <v>45202.0</v>
      </c>
      <c r="C183" s="452" t="s">
        <v>861</v>
      </c>
      <c r="D183" s="452">
        <v>15.0</v>
      </c>
      <c r="E183" s="452">
        <v>2.0</v>
      </c>
      <c r="F183" s="452" t="s">
        <v>130</v>
      </c>
      <c r="G183" s="453">
        <v>4500000.0</v>
      </c>
      <c r="H183" s="453">
        <v>0.0</v>
      </c>
      <c r="I183" s="453">
        <v>6.4586515E7</v>
      </c>
      <c r="J183" s="438"/>
      <c r="K183" s="438"/>
      <c r="L183" s="438"/>
      <c r="M183" s="438"/>
      <c r="N183" s="438"/>
      <c r="O183" s="438"/>
      <c r="P183" s="438"/>
      <c r="Q183" s="438"/>
      <c r="R183" s="438"/>
      <c r="S183" s="438"/>
      <c r="T183" s="438"/>
      <c r="U183" s="438"/>
      <c r="V183" s="438"/>
      <c r="W183" s="438"/>
      <c r="X183" s="438"/>
      <c r="Y183" s="438"/>
      <c r="Z183" s="438"/>
    </row>
    <row r="184" ht="11.25" hidden="1" customHeight="1">
      <c r="A184" s="450" t="s">
        <v>251</v>
      </c>
      <c r="B184" s="451">
        <v>45202.0</v>
      </c>
      <c r="C184" s="452" t="s">
        <v>861</v>
      </c>
      <c r="D184" s="452">
        <v>26.0</v>
      </c>
      <c r="E184" s="452">
        <v>2.0</v>
      </c>
      <c r="F184" s="452" t="s">
        <v>128</v>
      </c>
      <c r="G184" s="453">
        <v>4500000.0</v>
      </c>
      <c r="H184" s="453">
        <v>0.0</v>
      </c>
      <c r="I184" s="453">
        <v>6.9086515E7</v>
      </c>
      <c r="J184" s="438"/>
      <c r="K184" s="438"/>
      <c r="L184" s="438"/>
      <c r="M184" s="438"/>
      <c r="N184" s="438"/>
      <c r="O184" s="438"/>
      <c r="P184" s="438"/>
      <c r="Q184" s="438"/>
      <c r="R184" s="438"/>
      <c r="S184" s="438"/>
      <c r="T184" s="438"/>
      <c r="U184" s="438"/>
      <c r="V184" s="438"/>
      <c r="W184" s="438"/>
      <c r="X184" s="438"/>
      <c r="Y184" s="438"/>
      <c r="Z184" s="438"/>
    </row>
    <row r="185" ht="11.25" hidden="1" customHeight="1">
      <c r="A185" s="450" t="s">
        <v>251</v>
      </c>
      <c r="B185" s="451">
        <v>45202.0</v>
      </c>
      <c r="C185" s="452" t="s">
        <v>857</v>
      </c>
      <c r="D185" s="452">
        <v>27.0</v>
      </c>
      <c r="E185" s="452">
        <v>0.0</v>
      </c>
      <c r="F185" s="452" t="s">
        <v>132</v>
      </c>
      <c r="G185" s="453">
        <v>2250000.0</v>
      </c>
      <c r="H185" s="453">
        <v>0.0</v>
      </c>
      <c r="I185" s="453">
        <v>7.1336515E7</v>
      </c>
      <c r="J185" s="438"/>
      <c r="K185" s="438"/>
      <c r="L185" s="438"/>
      <c r="M185" s="438"/>
      <c r="N185" s="438"/>
      <c r="O185" s="438"/>
      <c r="P185" s="438"/>
      <c r="Q185" s="438"/>
      <c r="R185" s="438"/>
      <c r="S185" s="438"/>
      <c r="T185" s="438"/>
      <c r="U185" s="438"/>
      <c r="V185" s="438"/>
      <c r="W185" s="438"/>
      <c r="X185" s="438"/>
      <c r="Y185" s="438"/>
      <c r="Z185" s="438"/>
    </row>
    <row r="186" ht="11.25" hidden="1" customHeight="1">
      <c r="A186" s="450" t="s">
        <v>251</v>
      </c>
      <c r="B186" s="451">
        <v>45264.0</v>
      </c>
      <c r="C186" s="452" t="s">
        <v>861</v>
      </c>
      <c r="D186" s="452">
        <v>16.0</v>
      </c>
      <c r="E186" s="452">
        <v>2.0</v>
      </c>
      <c r="F186" s="452" t="s">
        <v>130</v>
      </c>
      <c r="G186" s="453">
        <v>4500000.0</v>
      </c>
      <c r="H186" s="453">
        <v>0.0</v>
      </c>
      <c r="I186" s="453">
        <v>7.5836515E7</v>
      </c>
      <c r="J186" s="438"/>
      <c r="K186" s="438"/>
      <c r="L186" s="438"/>
      <c r="M186" s="438"/>
      <c r="N186" s="438"/>
      <c r="O186" s="438"/>
      <c r="P186" s="438"/>
      <c r="Q186" s="438"/>
      <c r="R186" s="438"/>
      <c r="S186" s="438"/>
      <c r="T186" s="438"/>
      <c r="U186" s="438"/>
      <c r="V186" s="438"/>
      <c r="W186" s="438"/>
      <c r="X186" s="438"/>
      <c r="Y186" s="438"/>
      <c r="Z186" s="438"/>
    </row>
    <row r="187" ht="11.25" hidden="1" customHeight="1">
      <c r="A187" s="450" t="s">
        <v>251</v>
      </c>
      <c r="B187" s="451">
        <v>45264.0</v>
      </c>
      <c r="C187" s="452" t="s">
        <v>861</v>
      </c>
      <c r="D187" s="452">
        <v>27.0</v>
      </c>
      <c r="E187" s="452">
        <v>2.0</v>
      </c>
      <c r="F187" s="452" t="s">
        <v>128</v>
      </c>
      <c r="G187" s="453">
        <v>4500000.0</v>
      </c>
      <c r="H187" s="453">
        <v>0.0</v>
      </c>
      <c r="I187" s="453">
        <v>8.0336515E7</v>
      </c>
      <c r="J187" s="438"/>
      <c r="K187" s="438"/>
      <c r="L187" s="438"/>
      <c r="M187" s="438"/>
      <c r="N187" s="438"/>
      <c r="O187" s="438"/>
      <c r="P187" s="438"/>
      <c r="Q187" s="438"/>
      <c r="R187" s="438"/>
      <c r="S187" s="438"/>
      <c r="T187" s="438"/>
      <c r="U187" s="438"/>
      <c r="V187" s="438"/>
      <c r="W187" s="438"/>
      <c r="X187" s="438"/>
      <c r="Y187" s="438"/>
      <c r="Z187" s="438"/>
    </row>
    <row r="188" ht="11.25" hidden="1" customHeight="1">
      <c r="A188" s="450" t="s">
        <v>251</v>
      </c>
      <c r="B188" s="451">
        <v>45264.0</v>
      </c>
      <c r="C188" s="452" t="s">
        <v>857</v>
      </c>
      <c r="D188" s="452">
        <v>28.0</v>
      </c>
      <c r="E188" s="452">
        <v>0.0</v>
      </c>
      <c r="F188" s="452" t="s">
        <v>132</v>
      </c>
      <c r="G188" s="453">
        <v>2250000.0</v>
      </c>
      <c r="H188" s="453">
        <v>0.0</v>
      </c>
      <c r="I188" s="453">
        <v>8.2586515E7</v>
      </c>
      <c r="J188" s="438"/>
      <c r="K188" s="438"/>
      <c r="L188" s="438"/>
      <c r="M188" s="438"/>
      <c r="N188" s="438"/>
      <c r="O188" s="438"/>
      <c r="P188" s="438"/>
      <c r="Q188" s="438"/>
      <c r="R188" s="438"/>
      <c r="S188" s="438"/>
      <c r="T188" s="438"/>
      <c r="U188" s="438"/>
      <c r="V188" s="438"/>
      <c r="W188" s="438"/>
      <c r="X188" s="438"/>
      <c r="Y188" s="438"/>
      <c r="Z188" s="438"/>
    </row>
    <row r="189" ht="11.25" hidden="1" customHeight="1">
      <c r="A189" s="450" t="s">
        <v>247</v>
      </c>
      <c r="B189" s="451">
        <v>44927.0</v>
      </c>
      <c r="C189" s="452" t="s">
        <v>857</v>
      </c>
      <c r="D189" s="452">
        <v>1.0</v>
      </c>
      <c r="E189" s="452">
        <v>13.0</v>
      </c>
      <c r="F189" s="452" t="s">
        <v>858</v>
      </c>
      <c r="G189" s="453">
        <v>2.42154514E8</v>
      </c>
      <c r="H189" s="453">
        <v>0.0</v>
      </c>
      <c r="I189" s="453">
        <v>2.42154514E8</v>
      </c>
      <c r="J189" s="438"/>
      <c r="K189" s="438"/>
      <c r="L189" s="438"/>
      <c r="M189" s="438"/>
      <c r="N189" s="438"/>
      <c r="O189" s="438"/>
      <c r="P189" s="438"/>
      <c r="Q189" s="438"/>
      <c r="R189" s="438"/>
      <c r="S189" s="438"/>
      <c r="T189" s="438"/>
      <c r="U189" s="438"/>
      <c r="V189" s="438"/>
      <c r="W189" s="438"/>
      <c r="X189" s="438"/>
      <c r="Y189" s="438"/>
      <c r="Z189" s="438"/>
    </row>
    <row r="190" ht="11.25" hidden="1" customHeight="1">
      <c r="A190" s="450" t="s">
        <v>247</v>
      </c>
      <c r="B190" s="451">
        <v>44937.0</v>
      </c>
      <c r="C190" s="452" t="s">
        <v>859</v>
      </c>
      <c r="D190" s="452">
        <v>1.0</v>
      </c>
      <c r="E190" s="452">
        <v>2.0</v>
      </c>
      <c r="F190" s="452" t="s">
        <v>917</v>
      </c>
      <c r="G190" s="453">
        <v>0.0</v>
      </c>
      <c r="H190" s="453">
        <v>4552747.0</v>
      </c>
      <c r="I190" s="453">
        <v>2.37601767E8</v>
      </c>
      <c r="J190" s="438"/>
      <c r="K190" s="438"/>
      <c r="L190" s="438"/>
      <c r="M190" s="438"/>
      <c r="N190" s="438"/>
      <c r="O190" s="438"/>
      <c r="P190" s="438"/>
      <c r="Q190" s="438"/>
      <c r="R190" s="438"/>
      <c r="S190" s="438"/>
      <c r="T190" s="438"/>
      <c r="U190" s="438"/>
      <c r="V190" s="438"/>
      <c r="W190" s="438"/>
      <c r="X190" s="438"/>
      <c r="Y190" s="438"/>
      <c r="Z190" s="438"/>
    </row>
    <row r="191" ht="11.25" hidden="1" customHeight="1">
      <c r="A191" s="450" t="s">
        <v>247</v>
      </c>
      <c r="B191" s="451">
        <v>44943.0</v>
      </c>
      <c r="C191" s="452" t="s">
        <v>861</v>
      </c>
      <c r="D191" s="452">
        <v>1.0</v>
      </c>
      <c r="E191" s="452">
        <v>2.0</v>
      </c>
      <c r="F191" s="452" t="s">
        <v>918</v>
      </c>
      <c r="G191" s="453">
        <v>300000.0</v>
      </c>
      <c r="H191" s="453">
        <v>0.0</v>
      </c>
      <c r="I191" s="453">
        <v>2.37901767E8</v>
      </c>
      <c r="J191" s="438"/>
      <c r="K191" s="438"/>
      <c r="L191" s="438"/>
      <c r="M191" s="438"/>
      <c r="N191" s="438"/>
      <c r="O191" s="438"/>
      <c r="P191" s="438"/>
      <c r="Q191" s="438"/>
      <c r="R191" s="438"/>
      <c r="S191" s="438"/>
      <c r="T191" s="438"/>
      <c r="U191" s="438"/>
      <c r="V191" s="438"/>
      <c r="W191" s="438"/>
      <c r="X191" s="438"/>
      <c r="Y191" s="438"/>
      <c r="Z191" s="438"/>
    </row>
    <row r="192" ht="11.25" hidden="1" customHeight="1">
      <c r="A192" s="450" t="s">
        <v>247</v>
      </c>
      <c r="B192" s="451">
        <v>44971.0</v>
      </c>
      <c r="C192" s="452" t="s">
        <v>861</v>
      </c>
      <c r="D192" s="452">
        <v>2.0</v>
      </c>
      <c r="E192" s="452">
        <v>2.0</v>
      </c>
      <c r="F192" s="452" t="s">
        <v>920</v>
      </c>
      <c r="G192" s="453">
        <v>258323.0</v>
      </c>
      <c r="H192" s="453">
        <v>0.0</v>
      </c>
      <c r="I192" s="453">
        <v>2.3816009E8</v>
      </c>
      <c r="J192" s="438"/>
      <c r="K192" s="438"/>
      <c r="L192" s="438"/>
      <c r="M192" s="438"/>
      <c r="N192" s="438"/>
      <c r="O192" s="438"/>
      <c r="P192" s="438"/>
      <c r="Q192" s="438"/>
      <c r="R192" s="438"/>
      <c r="S192" s="438"/>
      <c r="T192" s="438"/>
      <c r="U192" s="438"/>
      <c r="V192" s="438"/>
      <c r="W192" s="438"/>
      <c r="X192" s="438"/>
      <c r="Y192" s="438"/>
      <c r="Z192" s="438"/>
    </row>
    <row r="193" ht="11.25" hidden="1" customHeight="1">
      <c r="A193" s="450" t="s">
        <v>247</v>
      </c>
      <c r="B193" s="451">
        <v>44971.0</v>
      </c>
      <c r="C193" s="452" t="s">
        <v>859</v>
      </c>
      <c r="D193" s="452">
        <v>2.0</v>
      </c>
      <c r="E193" s="452">
        <v>2.0</v>
      </c>
      <c r="F193" s="452" t="s">
        <v>917</v>
      </c>
      <c r="G193" s="453">
        <v>0.0</v>
      </c>
      <c r="H193" s="453">
        <v>774696.0</v>
      </c>
      <c r="I193" s="453">
        <v>2.37385394E8</v>
      </c>
      <c r="J193" s="438"/>
      <c r="K193" s="438"/>
      <c r="L193" s="438"/>
      <c r="M193" s="438"/>
      <c r="N193" s="438"/>
      <c r="O193" s="438"/>
      <c r="P193" s="438"/>
      <c r="Q193" s="438"/>
      <c r="R193" s="438"/>
      <c r="S193" s="438"/>
      <c r="T193" s="438"/>
      <c r="U193" s="438"/>
      <c r="V193" s="438"/>
      <c r="W193" s="438"/>
      <c r="X193" s="438"/>
      <c r="Y193" s="438"/>
      <c r="Z193" s="438"/>
    </row>
    <row r="194" ht="11.25" hidden="1" customHeight="1">
      <c r="A194" s="450" t="s">
        <v>247</v>
      </c>
      <c r="B194" s="451">
        <v>45054.0</v>
      </c>
      <c r="C194" s="452" t="s">
        <v>859</v>
      </c>
      <c r="D194" s="452">
        <v>3.0</v>
      </c>
      <c r="E194" s="452">
        <v>2.0</v>
      </c>
      <c r="F194" s="452" t="s">
        <v>917</v>
      </c>
      <c r="G194" s="453">
        <v>0.0</v>
      </c>
      <c r="H194" s="453">
        <v>8000000.0</v>
      </c>
      <c r="I194" s="453">
        <v>2.29385394E8</v>
      </c>
      <c r="J194" s="438"/>
      <c r="K194" s="438"/>
      <c r="L194" s="438"/>
      <c r="M194" s="438"/>
      <c r="N194" s="438"/>
      <c r="O194" s="438"/>
      <c r="P194" s="438"/>
      <c r="Q194" s="438"/>
      <c r="R194" s="438"/>
      <c r="S194" s="438"/>
      <c r="T194" s="438"/>
      <c r="U194" s="438"/>
      <c r="V194" s="438"/>
      <c r="W194" s="438"/>
      <c r="X194" s="438"/>
      <c r="Y194" s="438"/>
      <c r="Z194" s="438"/>
    </row>
    <row r="195" ht="11.25" hidden="1" customHeight="1">
      <c r="A195" s="450" t="s">
        <v>247</v>
      </c>
      <c r="B195" s="451">
        <v>45055.0</v>
      </c>
      <c r="C195" s="452" t="s">
        <v>859</v>
      </c>
      <c r="D195" s="452">
        <v>4.0</v>
      </c>
      <c r="E195" s="452">
        <v>2.0</v>
      </c>
      <c r="F195" s="452" t="s">
        <v>917</v>
      </c>
      <c r="G195" s="453">
        <v>0.0</v>
      </c>
      <c r="H195" s="453">
        <v>2000000.0</v>
      </c>
      <c r="I195" s="453">
        <v>2.27385394E8</v>
      </c>
      <c r="J195" s="438"/>
      <c r="K195" s="438"/>
      <c r="L195" s="438"/>
      <c r="M195" s="438"/>
      <c r="N195" s="438"/>
      <c r="O195" s="438"/>
      <c r="P195" s="438"/>
      <c r="Q195" s="438"/>
      <c r="R195" s="438"/>
      <c r="S195" s="438"/>
      <c r="T195" s="438"/>
      <c r="U195" s="438"/>
      <c r="V195" s="438"/>
      <c r="W195" s="438"/>
      <c r="X195" s="438"/>
      <c r="Y195" s="438"/>
      <c r="Z195" s="438"/>
    </row>
    <row r="196" ht="11.25" hidden="1" customHeight="1">
      <c r="A196" s="450" t="s">
        <v>247</v>
      </c>
      <c r="B196" s="451">
        <v>45061.0</v>
      </c>
      <c r="C196" s="452" t="s">
        <v>859</v>
      </c>
      <c r="D196" s="452">
        <v>5.0</v>
      </c>
      <c r="E196" s="452">
        <v>2.0</v>
      </c>
      <c r="F196" s="452" t="s">
        <v>917</v>
      </c>
      <c r="G196" s="453">
        <v>0.0</v>
      </c>
      <c r="H196" s="453">
        <v>7247558.0</v>
      </c>
      <c r="I196" s="453">
        <v>2.20137836E8</v>
      </c>
      <c r="J196" s="438"/>
      <c r="K196" s="438"/>
      <c r="L196" s="438"/>
      <c r="M196" s="438"/>
      <c r="N196" s="438"/>
      <c r="O196" s="438"/>
      <c r="P196" s="438"/>
      <c r="Q196" s="438"/>
      <c r="R196" s="438"/>
      <c r="S196" s="438"/>
      <c r="T196" s="438"/>
      <c r="U196" s="438"/>
      <c r="V196" s="438"/>
      <c r="W196" s="438"/>
      <c r="X196" s="438"/>
      <c r="Y196" s="438"/>
      <c r="Z196" s="438"/>
    </row>
    <row r="197" ht="11.25" hidden="1" customHeight="1">
      <c r="A197" s="450" t="s">
        <v>247</v>
      </c>
      <c r="B197" s="451">
        <v>45079.0</v>
      </c>
      <c r="C197" s="452" t="s">
        <v>859</v>
      </c>
      <c r="D197" s="452">
        <v>6.0</v>
      </c>
      <c r="E197" s="452">
        <v>2.0</v>
      </c>
      <c r="F197" s="452" t="s">
        <v>917</v>
      </c>
      <c r="G197" s="453">
        <v>0.0</v>
      </c>
      <c r="H197" s="453">
        <v>8000000.0</v>
      </c>
      <c r="I197" s="453">
        <v>2.12137836E8</v>
      </c>
      <c r="J197" s="438"/>
      <c r="K197" s="438"/>
      <c r="L197" s="438"/>
      <c r="M197" s="438"/>
      <c r="N197" s="438"/>
      <c r="O197" s="438"/>
      <c r="P197" s="438"/>
      <c r="Q197" s="438"/>
      <c r="R197" s="438"/>
      <c r="S197" s="438"/>
      <c r="T197" s="438"/>
      <c r="U197" s="438"/>
      <c r="V197" s="438"/>
      <c r="W197" s="438"/>
      <c r="X197" s="438"/>
      <c r="Y197" s="438"/>
      <c r="Z197" s="438"/>
    </row>
    <row r="198" ht="11.25" hidden="1" customHeight="1">
      <c r="A198" s="450" t="s">
        <v>247</v>
      </c>
      <c r="B198" s="451">
        <v>45110.0</v>
      </c>
      <c r="C198" s="452" t="s">
        <v>859</v>
      </c>
      <c r="D198" s="452">
        <v>7.0</v>
      </c>
      <c r="E198" s="452">
        <v>2.0</v>
      </c>
      <c r="F198" s="452" t="s">
        <v>917</v>
      </c>
      <c r="G198" s="453">
        <v>0.0</v>
      </c>
      <c r="H198" s="453">
        <v>6000000.0</v>
      </c>
      <c r="I198" s="453">
        <v>2.06137836E8</v>
      </c>
      <c r="J198" s="438"/>
      <c r="K198" s="438"/>
      <c r="L198" s="438"/>
      <c r="M198" s="438"/>
      <c r="N198" s="438"/>
      <c r="O198" s="438"/>
      <c r="P198" s="438"/>
      <c r="Q198" s="438"/>
      <c r="R198" s="438"/>
      <c r="S198" s="438"/>
      <c r="T198" s="438"/>
      <c r="U198" s="438"/>
      <c r="V198" s="438"/>
      <c r="W198" s="438"/>
      <c r="X198" s="438"/>
      <c r="Y198" s="438"/>
      <c r="Z198" s="438"/>
    </row>
    <row r="199" ht="11.25" hidden="1" customHeight="1">
      <c r="A199" s="450" t="s">
        <v>247</v>
      </c>
      <c r="B199" s="451">
        <v>45141.0</v>
      </c>
      <c r="C199" s="452" t="s">
        <v>859</v>
      </c>
      <c r="D199" s="452">
        <v>8.0</v>
      </c>
      <c r="E199" s="452">
        <v>2.0</v>
      </c>
      <c r="F199" s="452" t="s">
        <v>917</v>
      </c>
      <c r="G199" s="453">
        <v>0.0</v>
      </c>
      <c r="H199" s="453">
        <v>8000000.0</v>
      </c>
      <c r="I199" s="453">
        <v>1.98137836E8</v>
      </c>
      <c r="J199" s="438"/>
      <c r="K199" s="438"/>
      <c r="L199" s="438"/>
      <c r="M199" s="438"/>
      <c r="N199" s="438"/>
      <c r="O199" s="438"/>
      <c r="P199" s="438"/>
      <c r="Q199" s="438"/>
      <c r="R199" s="438"/>
      <c r="S199" s="438"/>
      <c r="T199" s="438"/>
      <c r="U199" s="438"/>
      <c r="V199" s="438"/>
      <c r="W199" s="438"/>
      <c r="X199" s="438"/>
      <c r="Y199" s="438"/>
      <c r="Z199" s="438"/>
    </row>
    <row r="200" ht="11.25" hidden="1" customHeight="1">
      <c r="A200" s="450" t="s">
        <v>247</v>
      </c>
      <c r="B200" s="451">
        <v>45155.0</v>
      </c>
      <c r="C200" s="452" t="s">
        <v>859</v>
      </c>
      <c r="D200" s="452">
        <v>9.0</v>
      </c>
      <c r="E200" s="452">
        <v>2.0</v>
      </c>
      <c r="F200" s="452" t="s">
        <v>917</v>
      </c>
      <c r="G200" s="453">
        <v>0.0</v>
      </c>
      <c r="H200" s="453">
        <v>2000000.0</v>
      </c>
      <c r="I200" s="453">
        <v>1.96137836E8</v>
      </c>
      <c r="J200" s="438"/>
      <c r="K200" s="438"/>
      <c r="L200" s="438"/>
      <c r="M200" s="438"/>
      <c r="N200" s="438"/>
      <c r="O200" s="438"/>
      <c r="P200" s="438"/>
      <c r="Q200" s="438"/>
      <c r="R200" s="438"/>
      <c r="S200" s="438"/>
      <c r="T200" s="438"/>
      <c r="U200" s="438"/>
      <c r="V200" s="438"/>
      <c r="W200" s="438"/>
      <c r="X200" s="438"/>
      <c r="Y200" s="438"/>
      <c r="Z200" s="438"/>
    </row>
    <row r="201" ht="11.25" hidden="1" customHeight="1">
      <c r="A201" s="450" t="s">
        <v>247</v>
      </c>
      <c r="B201" s="451">
        <v>45174.0</v>
      </c>
      <c r="C201" s="452" t="s">
        <v>859</v>
      </c>
      <c r="D201" s="452">
        <v>10.0</v>
      </c>
      <c r="E201" s="452">
        <v>2.0</v>
      </c>
      <c r="F201" s="452" t="s">
        <v>917</v>
      </c>
      <c r="G201" s="453">
        <v>0.0</v>
      </c>
      <c r="H201" s="453">
        <v>8000000.0</v>
      </c>
      <c r="I201" s="453">
        <v>1.88137836E8</v>
      </c>
      <c r="J201" s="438"/>
      <c r="K201" s="438"/>
      <c r="L201" s="438"/>
      <c r="M201" s="438"/>
      <c r="N201" s="438"/>
      <c r="O201" s="438"/>
      <c r="P201" s="438"/>
      <c r="Q201" s="438"/>
      <c r="R201" s="438"/>
      <c r="S201" s="438"/>
      <c r="T201" s="438"/>
      <c r="U201" s="438"/>
      <c r="V201" s="438"/>
      <c r="W201" s="438"/>
      <c r="X201" s="438"/>
      <c r="Y201" s="438"/>
      <c r="Z201" s="438"/>
    </row>
    <row r="202" ht="11.25" hidden="1" customHeight="1">
      <c r="A202" s="450" t="s">
        <v>247</v>
      </c>
      <c r="B202" s="451">
        <v>45177.0</v>
      </c>
      <c r="C202" s="452" t="s">
        <v>859</v>
      </c>
      <c r="D202" s="452">
        <v>11.0</v>
      </c>
      <c r="E202" s="452">
        <v>2.0</v>
      </c>
      <c r="F202" s="452" t="s">
        <v>917</v>
      </c>
      <c r="G202" s="453">
        <v>0.0</v>
      </c>
      <c r="H202" s="453">
        <v>1000000.0</v>
      </c>
      <c r="I202" s="453">
        <v>1.87137836E8</v>
      </c>
      <c r="J202" s="438"/>
      <c r="K202" s="438"/>
      <c r="L202" s="438"/>
      <c r="M202" s="438"/>
      <c r="N202" s="438"/>
      <c r="O202" s="438"/>
      <c r="P202" s="438"/>
      <c r="Q202" s="438"/>
      <c r="R202" s="438"/>
      <c r="S202" s="438"/>
      <c r="T202" s="438"/>
      <c r="U202" s="438"/>
      <c r="V202" s="438"/>
      <c r="W202" s="438"/>
      <c r="X202" s="438"/>
      <c r="Y202" s="438"/>
      <c r="Z202" s="438"/>
    </row>
    <row r="203" ht="11.25" hidden="1" customHeight="1">
      <c r="A203" s="450" t="s">
        <v>247</v>
      </c>
      <c r="B203" s="451">
        <v>45202.0</v>
      </c>
      <c r="C203" s="452" t="s">
        <v>859</v>
      </c>
      <c r="D203" s="452">
        <v>12.0</v>
      </c>
      <c r="E203" s="452">
        <v>2.0</v>
      </c>
      <c r="F203" s="452" t="s">
        <v>917</v>
      </c>
      <c r="G203" s="453">
        <v>0.0</v>
      </c>
      <c r="H203" s="453">
        <v>9000000.0</v>
      </c>
      <c r="I203" s="453">
        <v>1.78137836E8</v>
      </c>
      <c r="J203" s="438"/>
      <c r="K203" s="438"/>
      <c r="L203" s="438"/>
      <c r="M203" s="438"/>
      <c r="N203" s="438"/>
      <c r="O203" s="438"/>
      <c r="P203" s="438"/>
      <c r="Q203" s="438"/>
      <c r="R203" s="438"/>
      <c r="S203" s="438"/>
      <c r="T203" s="438"/>
      <c r="U203" s="438"/>
      <c r="V203" s="438"/>
      <c r="W203" s="438"/>
      <c r="X203" s="438"/>
      <c r="Y203" s="438"/>
      <c r="Z203" s="438"/>
    </row>
    <row r="204" ht="11.25" hidden="1" customHeight="1">
      <c r="A204" s="450" t="s">
        <v>247</v>
      </c>
      <c r="B204" s="451">
        <v>45264.0</v>
      </c>
      <c r="C204" s="452" t="s">
        <v>859</v>
      </c>
      <c r="D204" s="452">
        <v>13.0</v>
      </c>
      <c r="E204" s="452">
        <v>2.0</v>
      </c>
      <c r="F204" s="452" t="s">
        <v>917</v>
      </c>
      <c r="G204" s="453">
        <v>0.0</v>
      </c>
      <c r="H204" s="453">
        <v>9000000.0</v>
      </c>
      <c r="I204" s="453">
        <v>1.69137836E8</v>
      </c>
      <c r="J204" s="438"/>
      <c r="K204" s="438"/>
      <c r="L204" s="438"/>
      <c r="M204" s="438"/>
      <c r="N204" s="438"/>
      <c r="O204" s="438"/>
      <c r="P204" s="438"/>
      <c r="Q204" s="438"/>
      <c r="R204" s="438"/>
      <c r="S204" s="438"/>
      <c r="T204" s="438"/>
      <c r="U204" s="438"/>
      <c r="V204" s="438"/>
      <c r="W204" s="438"/>
      <c r="X204" s="438"/>
      <c r="Y204" s="438"/>
      <c r="Z204" s="438"/>
    </row>
    <row r="205" ht="11.25" hidden="1" customHeight="1">
      <c r="A205" s="450" t="s">
        <v>248</v>
      </c>
      <c r="B205" s="451">
        <v>44927.0</v>
      </c>
      <c r="C205" s="452" t="s">
        <v>857</v>
      </c>
      <c r="D205" s="452">
        <v>1.0</v>
      </c>
      <c r="E205" s="452">
        <v>4.0</v>
      </c>
      <c r="F205" s="452" t="s">
        <v>858</v>
      </c>
      <c r="G205" s="453">
        <v>3.8060302E7</v>
      </c>
      <c r="H205" s="453">
        <v>0.0</v>
      </c>
      <c r="I205" s="453">
        <v>3.8060302E7</v>
      </c>
      <c r="J205" s="438"/>
      <c r="K205" s="438"/>
      <c r="L205" s="438"/>
      <c r="M205" s="438"/>
      <c r="N205" s="438"/>
      <c r="O205" s="438"/>
      <c r="P205" s="438"/>
      <c r="Q205" s="438"/>
      <c r="R205" s="438"/>
      <c r="S205" s="438"/>
      <c r="T205" s="438"/>
      <c r="U205" s="438"/>
      <c r="V205" s="438"/>
      <c r="W205" s="438"/>
      <c r="X205" s="438"/>
      <c r="Y205" s="438"/>
      <c r="Z205" s="438"/>
    </row>
    <row r="206" ht="11.25" customHeight="1">
      <c r="A206" s="438"/>
      <c r="B206" s="438"/>
      <c r="C206" s="438"/>
      <c r="D206" s="438"/>
      <c r="E206" s="438"/>
      <c r="F206" s="438"/>
      <c r="G206" s="454"/>
      <c r="H206" s="454"/>
      <c r="I206" s="454"/>
      <c r="J206" s="438"/>
      <c r="K206" s="438"/>
      <c r="L206" s="438"/>
      <c r="M206" s="438"/>
      <c r="N206" s="438"/>
      <c r="O206" s="438"/>
      <c r="P206" s="438"/>
      <c r="Q206" s="438"/>
      <c r="R206" s="438"/>
      <c r="S206" s="438"/>
      <c r="T206" s="438"/>
      <c r="U206" s="438"/>
      <c r="V206" s="438"/>
      <c r="W206" s="438"/>
      <c r="X206" s="438"/>
      <c r="Y206" s="438"/>
      <c r="Z206" s="438"/>
    </row>
    <row r="207" ht="11.25" customHeight="1">
      <c r="A207" s="438"/>
      <c r="B207" s="438"/>
      <c r="C207" s="438"/>
      <c r="D207" s="438"/>
      <c r="E207" s="438"/>
      <c r="F207" s="438"/>
      <c r="G207" s="454"/>
      <c r="H207" s="454"/>
      <c r="I207" s="454"/>
      <c r="J207" s="438"/>
      <c r="K207" s="438"/>
      <c r="L207" s="438"/>
      <c r="M207" s="438"/>
      <c r="N207" s="438"/>
      <c r="O207" s="438"/>
      <c r="P207" s="438"/>
      <c r="Q207" s="438"/>
      <c r="R207" s="438"/>
      <c r="S207" s="438"/>
      <c r="T207" s="438"/>
      <c r="U207" s="438"/>
      <c r="V207" s="438"/>
      <c r="W207" s="438"/>
      <c r="X207" s="438"/>
      <c r="Y207" s="438"/>
      <c r="Z207" s="438"/>
    </row>
    <row r="208" ht="11.25" customHeight="1">
      <c r="A208" s="438"/>
      <c r="B208" s="438"/>
      <c r="C208" s="438"/>
      <c r="D208" s="438"/>
      <c r="E208" s="438"/>
      <c r="F208" s="438"/>
      <c r="G208" s="454"/>
      <c r="H208" s="454"/>
      <c r="I208" s="454"/>
      <c r="J208" s="438"/>
      <c r="K208" s="438"/>
      <c r="L208" s="438"/>
      <c r="M208" s="438"/>
      <c r="N208" s="438"/>
      <c r="O208" s="438"/>
      <c r="P208" s="438"/>
      <c r="Q208" s="438"/>
      <c r="R208" s="438"/>
      <c r="S208" s="438"/>
      <c r="T208" s="438"/>
      <c r="U208" s="438"/>
      <c r="V208" s="438"/>
      <c r="W208" s="438"/>
      <c r="X208" s="438"/>
      <c r="Y208" s="438"/>
      <c r="Z208" s="438"/>
    </row>
    <row r="209" ht="11.25" customHeight="1">
      <c r="A209" s="438"/>
      <c r="B209" s="438"/>
      <c r="C209" s="438"/>
      <c r="D209" s="438"/>
      <c r="E209" s="438"/>
      <c r="F209" s="438"/>
      <c r="G209" s="454"/>
      <c r="H209" s="454"/>
      <c r="I209" s="454"/>
      <c r="J209" s="438"/>
      <c r="K209" s="438"/>
      <c r="L209" s="438"/>
      <c r="M209" s="438"/>
      <c r="N209" s="438"/>
      <c r="O209" s="438"/>
      <c r="P209" s="438"/>
      <c r="Q209" s="438"/>
      <c r="R209" s="438"/>
      <c r="S209" s="438"/>
      <c r="T209" s="438"/>
      <c r="U209" s="438"/>
      <c r="V209" s="438"/>
      <c r="W209" s="438"/>
      <c r="X209" s="438"/>
      <c r="Y209" s="438"/>
      <c r="Z209" s="438"/>
    </row>
    <row r="210" ht="11.25" customHeight="1">
      <c r="A210" s="438"/>
      <c r="B210" s="438"/>
      <c r="C210" s="438"/>
      <c r="D210" s="438"/>
      <c r="E210" s="438"/>
      <c r="F210" s="438"/>
      <c r="G210" s="454"/>
      <c r="H210" s="454"/>
      <c r="I210" s="454"/>
      <c r="J210" s="438"/>
      <c r="K210" s="438"/>
      <c r="L210" s="438"/>
      <c r="M210" s="438"/>
      <c r="N210" s="438"/>
      <c r="O210" s="438"/>
      <c r="P210" s="438"/>
      <c r="Q210" s="438"/>
      <c r="R210" s="438"/>
      <c r="S210" s="438"/>
      <c r="T210" s="438"/>
      <c r="U210" s="438"/>
      <c r="V210" s="438"/>
      <c r="W210" s="438"/>
      <c r="X210" s="438"/>
      <c r="Y210" s="438"/>
      <c r="Z210" s="438"/>
    </row>
    <row r="211" ht="11.25" customHeight="1">
      <c r="A211" s="438"/>
      <c r="B211" s="438"/>
      <c r="C211" s="438"/>
      <c r="D211" s="438"/>
      <c r="E211" s="438"/>
      <c r="F211" s="438"/>
      <c r="G211" s="454"/>
      <c r="H211" s="454"/>
      <c r="I211" s="454"/>
      <c r="J211" s="438"/>
      <c r="K211" s="438"/>
      <c r="L211" s="438"/>
      <c r="M211" s="438"/>
      <c r="N211" s="438"/>
      <c r="O211" s="438"/>
      <c r="P211" s="438"/>
      <c r="Q211" s="438"/>
      <c r="R211" s="438"/>
      <c r="S211" s="438"/>
      <c r="T211" s="438"/>
      <c r="U211" s="438"/>
      <c r="V211" s="438"/>
      <c r="W211" s="438"/>
      <c r="X211" s="438"/>
      <c r="Y211" s="438"/>
      <c r="Z211" s="438"/>
    </row>
    <row r="212" ht="11.25" customHeight="1">
      <c r="A212" s="438"/>
      <c r="B212" s="438"/>
      <c r="C212" s="438"/>
      <c r="D212" s="438"/>
      <c r="E212" s="438"/>
      <c r="F212" s="438"/>
      <c r="G212" s="454"/>
      <c r="H212" s="454"/>
      <c r="I212" s="454"/>
      <c r="J212" s="438"/>
      <c r="K212" s="438"/>
      <c r="L212" s="438"/>
      <c r="M212" s="438"/>
      <c r="N212" s="438"/>
      <c r="O212" s="438"/>
      <c r="P212" s="438"/>
      <c r="Q212" s="438"/>
      <c r="R212" s="438"/>
      <c r="S212" s="438"/>
      <c r="T212" s="438"/>
      <c r="U212" s="438"/>
      <c r="V212" s="438"/>
      <c r="W212" s="438"/>
      <c r="X212" s="438"/>
      <c r="Y212" s="438"/>
      <c r="Z212" s="438"/>
    </row>
    <row r="213" ht="11.25" customHeight="1">
      <c r="A213" s="438"/>
      <c r="B213" s="438"/>
      <c r="C213" s="438"/>
      <c r="D213" s="438"/>
      <c r="E213" s="438"/>
      <c r="F213" s="438"/>
      <c r="G213" s="454"/>
      <c r="H213" s="454"/>
      <c r="I213" s="454"/>
      <c r="J213" s="438"/>
      <c r="K213" s="438"/>
      <c r="L213" s="438"/>
      <c r="M213" s="438"/>
      <c r="N213" s="438"/>
      <c r="O213" s="438"/>
      <c r="P213" s="438"/>
      <c r="Q213" s="438"/>
      <c r="R213" s="438"/>
      <c r="S213" s="438"/>
      <c r="T213" s="438"/>
      <c r="U213" s="438"/>
      <c r="V213" s="438"/>
      <c r="W213" s="438"/>
      <c r="X213" s="438"/>
      <c r="Y213" s="438"/>
      <c r="Z213" s="438"/>
    </row>
    <row r="214" ht="11.25" customHeight="1">
      <c r="A214" s="438"/>
      <c r="B214" s="438"/>
      <c r="C214" s="438"/>
      <c r="D214" s="438"/>
      <c r="E214" s="438"/>
      <c r="F214" s="438"/>
      <c r="G214" s="454"/>
      <c r="H214" s="454"/>
      <c r="I214" s="454"/>
      <c r="J214" s="438"/>
      <c r="K214" s="438"/>
      <c r="L214" s="438"/>
      <c r="M214" s="438"/>
      <c r="N214" s="438"/>
      <c r="O214" s="438"/>
      <c r="P214" s="438"/>
      <c r="Q214" s="438"/>
      <c r="R214" s="438"/>
      <c r="S214" s="438"/>
      <c r="T214" s="438"/>
      <c r="U214" s="438"/>
      <c r="V214" s="438"/>
      <c r="W214" s="438"/>
      <c r="X214" s="438"/>
      <c r="Y214" s="438"/>
      <c r="Z214" s="438"/>
    </row>
    <row r="215" ht="11.25" customHeight="1">
      <c r="A215" s="438"/>
      <c r="B215" s="438"/>
      <c r="C215" s="438"/>
      <c r="D215" s="438"/>
      <c r="E215" s="438"/>
      <c r="F215" s="438"/>
      <c r="G215" s="454"/>
      <c r="H215" s="454"/>
      <c r="I215" s="454"/>
      <c r="J215" s="438"/>
      <c r="K215" s="438"/>
      <c r="L215" s="438"/>
      <c r="M215" s="438"/>
      <c r="N215" s="438"/>
      <c r="O215" s="438"/>
      <c r="P215" s="438"/>
      <c r="Q215" s="438"/>
      <c r="R215" s="438"/>
      <c r="S215" s="438"/>
      <c r="T215" s="438"/>
      <c r="U215" s="438"/>
      <c r="V215" s="438"/>
      <c r="W215" s="438"/>
      <c r="X215" s="438"/>
      <c r="Y215" s="438"/>
      <c r="Z215" s="438"/>
    </row>
    <row r="216" ht="11.25" customHeight="1">
      <c r="A216" s="438"/>
      <c r="B216" s="438"/>
      <c r="C216" s="438"/>
      <c r="D216" s="438"/>
      <c r="E216" s="438"/>
      <c r="F216" s="438"/>
      <c r="G216" s="454"/>
      <c r="H216" s="454"/>
      <c r="I216" s="454"/>
      <c r="J216" s="438"/>
      <c r="K216" s="438"/>
      <c r="L216" s="438"/>
      <c r="M216" s="438"/>
      <c r="N216" s="438"/>
      <c r="O216" s="438"/>
      <c r="P216" s="438"/>
      <c r="Q216" s="438"/>
      <c r="R216" s="438"/>
      <c r="S216" s="438"/>
      <c r="T216" s="438"/>
      <c r="U216" s="438"/>
      <c r="V216" s="438"/>
      <c r="W216" s="438"/>
      <c r="X216" s="438"/>
      <c r="Y216" s="438"/>
      <c r="Z216" s="438"/>
    </row>
    <row r="217" ht="11.25" customHeight="1">
      <c r="A217" s="438"/>
      <c r="B217" s="438"/>
      <c r="C217" s="438"/>
      <c r="D217" s="438"/>
      <c r="E217" s="438"/>
      <c r="F217" s="438"/>
      <c r="G217" s="454"/>
      <c r="H217" s="454"/>
      <c r="I217" s="454"/>
      <c r="J217" s="438"/>
      <c r="K217" s="438"/>
      <c r="L217" s="438"/>
      <c r="M217" s="438"/>
      <c r="N217" s="438"/>
      <c r="O217" s="438"/>
      <c r="P217" s="438"/>
      <c r="Q217" s="438"/>
      <c r="R217" s="438"/>
      <c r="S217" s="438"/>
      <c r="T217" s="438"/>
      <c r="U217" s="438"/>
      <c r="V217" s="438"/>
      <c r="W217" s="438"/>
      <c r="X217" s="438"/>
      <c r="Y217" s="438"/>
      <c r="Z217" s="438"/>
    </row>
    <row r="218" ht="11.25" customHeight="1">
      <c r="A218" s="438"/>
      <c r="B218" s="438"/>
      <c r="C218" s="438"/>
      <c r="D218" s="438"/>
      <c r="E218" s="438"/>
      <c r="F218" s="438"/>
      <c r="G218" s="454"/>
      <c r="H218" s="454"/>
      <c r="I218" s="454"/>
      <c r="J218" s="438"/>
      <c r="K218" s="438"/>
      <c r="L218" s="438"/>
      <c r="M218" s="438"/>
      <c r="N218" s="438"/>
      <c r="O218" s="438"/>
      <c r="P218" s="438"/>
      <c r="Q218" s="438"/>
      <c r="R218" s="438"/>
      <c r="S218" s="438"/>
      <c r="T218" s="438"/>
      <c r="U218" s="438"/>
      <c r="V218" s="438"/>
      <c r="W218" s="438"/>
      <c r="X218" s="438"/>
      <c r="Y218" s="438"/>
      <c r="Z218" s="438"/>
    </row>
    <row r="219" ht="11.25" customHeight="1">
      <c r="A219" s="438"/>
      <c r="B219" s="438"/>
      <c r="C219" s="438"/>
      <c r="D219" s="438"/>
      <c r="E219" s="438"/>
      <c r="F219" s="438"/>
      <c r="G219" s="454"/>
      <c r="H219" s="454"/>
      <c r="I219" s="454"/>
      <c r="J219" s="438"/>
      <c r="K219" s="438"/>
      <c r="L219" s="438"/>
      <c r="M219" s="438"/>
      <c r="N219" s="438"/>
      <c r="O219" s="438"/>
      <c r="P219" s="438"/>
      <c r="Q219" s="438"/>
      <c r="R219" s="438"/>
      <c r="S219" s="438"/>
      <c r="T219" s="438"/>
      <c r="U219" s="438"/>
      <c r="V219" s="438"/>
      <c r="W219" s="438"/>
      <c r="X219" s="438"/>
      <c r="Y219" s="438"/>
      <c r="Z219" s="438"/>
    </row>
    <row r="220" ht="11.25" customHeight="1">
      <c r="A220" s="438"/>
      <c r="B220" s="438"/>
      <c r="C220" s="438"/>
      <c r="D220" s="438"/>
      <c r="E220" s="438"/>
      <c r="F220" s="438"/>
      <c r="G220" s="454"/>
      <c r="H220" s="454"/>
      <c r="I220" s="454"/>
      <c r="J220" s="438"/>
      <c r="K220" s="438"/>
      <c r="L220" s="438"/>
      <c r="M220" s="438"/>
      <c r="N220" s="438"/>
      <c r="O220" s="438"/>
      <c r="P220" s="438"/>
      <c r="Q220" s="438"/>
      <c r="R220" s="438"/>
      <c r="S220" s="438"/>
      <c r="T220" s="438"/>
      <c r="U220" s="438"/>
      <c r="V220" s="438"/>
      <c r="W220" s="438"/>
      <c r="X220" s="438"/>
      <c r="Y220" s="438"/>
      <c r="Z220" s="438"/>
    </row>
    <row r="221" ht="11.25" customHeight="1">
      <c r="A221" s="438"/>
      <c r="B221" s="438"/>
      <c r="C221" s="438"/>
      <c r="D221" s="438"/>
      <c r="E221" s="438"/>
      <c r="F221" s="438"/>
      <c r="G221" s="454"/>
      <c r="H221" s="454"/>
      <c r="I221" s="454"/>
      <c r="J221" s="438"/>
      <c r="K221" s="438"/>
      <c r="L221" s="438"/>
      <c r="M221" s="438"/>
      <c r="N221" s="438"/>
      <c r="O221" s="438"/>
      <c r="P221" s="438"/>
      <c r="Q221" s="438"/>
      <c r="R221" s="438"/>
      <c r="S221" s="438"/>
      <c r="T221" s="438"/>
      <c r="U221" s="438"/>
      <c r="V221" s="438"/>
      <c r="W221" s="438"/>
      <c r="X221" s="438"/>
      <c r="Y221" s="438"/>
      <c r="Z221" s="438"/>
    </row>
    <row r="222" ht="11.25" customHeight="1">
      <c r="A222" s="438"/>
      <c r="B222" s="438"/>
      <c r="C222" s="438"/>
      <c r="D222" s="438"/>
      <c r="E222" s="438"/>
      <c r="F222" s="438"/>
      <c r="G222" s="454"/>
      <c r="H222" s="454"/>
      <c r="I222" s="454"/>
      <c r="J222" s="438"/>
      <c r="K222" s="438"/>
      <c r="L222" s="438"/>
      <c r="M222" s="438"/>
      <c r="N222" s="438"/>
      <c r="O222" s="438"/>
      <c r="P222" s="438"/>
      <c r="Q222" s="438"/>
      <c r="R222" s="438"/>
      <c r="S222" s="438"/>
      <c r="T222" s="438"/>
      <c r="U222" s="438"/>
      <c r="V222" s="438"/>
      <c r="W222" s="438"/>
      <c r="X222" s="438"/>
      <c r="Y222" s="438"/>
      <c r="Z222" s="438"/>
    </row>
    <row r="223" ht="11.25" customHeight="1">
      <c r="A223" s="438"/>
      <c r="B223" s="438"/>
      <c r="C223" s="438"/>
      <c r="D223" s="438"/>
      <c r="E223" s="438"/>
      <c r="F223" s="438"/>
      <c r="G223" s="454"/>
      <c r="H223" s="454"/>
      <c r="I223" s="454"/>
      <c r="J223" s="438"/>
      <c r="K223" s="438"/>
      <c r="L223" s="438"/>
      <c r="M223" s="438"/>
      <c r="N223" s="438"/>
      <c r="O223" s="438"/>
      <c r="P223" s="438"/>
      <c r="Q223" s="438"/>
      <c r="R223" s="438"/>
      <c r="S223" s="438"/>
      <c r="T223" s="438"/>
      <c r="U223" s="438"/>
      <c r="V223" s="438"/>
      <c r="W223" s="438"/>
      <c r="X223" s="438"/>
      <c r="Y223" s="438"/>
      <c r="Z223" s="438"/>
    </row>
    <row r="224" ht="11.25" customHeight="1">
      <c r="A224" s="438"/>
      <c r="B224" s="438"/>
      <c r="C224" s="438"/>
      <c r="D224" s="438"/>
      <c r="E224" s="438"/>
      <c r="F224" s="438"/>
      <c r="G224" s="454"/>
      <c r="H224" s="454"/>
      <c r="I224" s="454"/>
      <c r="J224" s="438"/>
      <c r="K224" s="438"/>
      <c r="L224" s="438"/>
      <c r="M224" s="438"/>
      <c r="N224" s="438"/>
      <c r="O224" s="438"/>
      <c r="P224" s="438"/>
      <c r="Q224" s="438"/>
      <c r="R224" s="438"/>
      <c r="S224" s="438"/>
      <c r="T224" s="438"/>
      <c r="U224" s="438"/>
      <c r="V224" s="438"/>
      <c r="W224" s="438"/>
      <c r="X224" s="438"/>
      <c r="Y224" s="438"/>
      <c r="Z224" s="438"/>
    </row>
    <row r="225" ht="11.25" customHeight="1">
      <c r="A225" s="438"/>
      <c r="B225" s="438"/>
      <c r="C225" s="438"/>
      <c r="D225" s="438"/>
      <c r="E225" s="438"/>
      <c r="F225" s="438"/>
      <c r="G225" s="454"/>
      <c r="H225" s="454"/>
      <c r="I225" s="454"/>
      <c r="J225" s="438"/>
      <c r="K225" s="438"/>
      <c r="L225" s="438"/>
      <c r="M225" s="438"/>
      <c r="N225" s="438"/>
      <c r="O225" s="438"/>
      <c r="P225" s="438"/>
      <c r="Q225" s="438"/>
      <c r="R225" s="438"/>
      <c r="S225" s="438"/>
      <c r="T225" s="438"/>
      <c r="U225" s="438"/>
      <c r="V225" s="438"/>
      <c r="W225" s="438"/>
      <c r="X225" s="438"/>
      <c r="Y225" s="438"/>
      <c r="Z225" s="438"/>
    </row>
    <row r="226" ht="11.25" customHeight="1">
      <c r="A226" s="438"/>
      <c r="B226" s="438"/>
      <c r="C226" s="438"/>
      <c r="D226" s="438"/>
      <c r="E226" s="438"/>
      <c r="F226" s="438"/>
      <c r="G226" s="454"/>
      <c r="H226" s="454"/>
      <c r="I226" s="454"/>
      <c r="J226" s="438"/>
      <c r="K226" s="438"/>
      <c r="L226" s="438"/>
      <c r="M226" s="438"/>
      <c r="N226" s="438"/>
      <c r="O226" s="438"/>
      <c r="P226" s="438"/>
      <c r="Q226" s="438"/>
      <c r="R226" s="438"/>
      <c r="S226" s="438"/>
      <c r="T226" s="438"/>
      <c r="U226" s="438"/>
      <c r="V226" s="438"/>
      <c r="W226" s="438"/>
      <c r="X226" s="438"/>
      <c r="Y226" s="438"/>
      <c r="Z226" s="438"/>
    </row>
    <row r="227" ht="11.25" customHeight="1">
      <c r="A227" s="438"/>
      <c r="B227" s="438"/>
      <c r="C227" s="438"/>
      <c r="D227" s="438"/>
      <c r="E227" s="438"/>
      <c r="F227" s="438"/>
      <c r="G227" s="454"/>
      <c r="H227" s="454"/>
      <c r="I227" s="454"/>
      <c r="J227" s="438"/>
      <c r="K227" s="438"/>
      <c r="L227" s="438"/>
      <c r="M227" s="438"/>
      <c r="N227" s="438"/>
      <c r="O227" s="438"/>
      <c r="P227" s="438"/>
      <c r="Q227" s="438"/>
      <c r="R227" s="438"/>
      <c r="S227" s="438"/>
      <c r="T227" s="438"/>
      <c r="U227" s="438"/>
      <c r="V227" s="438"/>
      <c r="W227" s="438"/>
      <c r="X227" s="438"/>
      <c r="Y227" s="438"/>
      <c r="Z227" s="438"/>
    </row>
    <row r="228" ht="11.25" customHeight="1">
      <c r="A228" s="438"/>
      <c r="B228" s="438"/>
      <c r="C228" s="438"/>
      <c r="D228" s="438"/>
      <c r="E228" s="438"/>
      <c r="F228" s="438"/>
      <c r="G228" s="454"/>
      <c r="H228" s="454"/>
      <c r="I228" s="454"/>
      <c r="J228" s="438"/>
      <c r="K228" s="438"/>
      <c r="L228" s="438"/>
      <c r="M228" s="438"/>
      <c r="N228" s="438"/>
      <c r="O228" s="438"/>
      <c r="P228" s="438"/>
      <c r="Q228" s="438"/>
      <c r="R228" s="438"/>
      <c r="S228" s="438"/>
      <c r="T228" s="438"/>
      <c r="U228" s="438"/>
      <c r="V228" s="438"/>
      <c r="W228" s="438"/>
      <c r="X228" s="438"/>
      <c r="Y228" s="438"/>
      <c r="Z228" s="438"/>
    </row>
    <row r="229" ht="11.25" customHeight="1">
      <c r="A229" s="438"/>
      <c r="B229" s="438"/>
      <c r="C229" s="438"/>
      <c r="D229" s="438"/>
      <c r="E229" s="438"/>
      <c r="F229" s="438"/>
      <c r="G229" s="454"/>
      <c r="H229" s="454"/>
      <c r="I229" s="454"/>
      <c r="J229" s="438"/>
      <c r="K229" s="438"/>
      <c r="L229" s="438"/>
      <c r="M229" s="438"/>
      <c r="N229" s="438"/>
      <c r="O229" s="438"/>
      <c r="P229" s="438"/>
      <c r="Q229" s="438"/>
      <c r="R229" s="438"/>
      <c r="S229" s="438"/>
      <c r="T229" s="438"/>
      <c r="U229" s="438"/>
      <c r="V229" s="438"/>
      <c r="W229" s="438"/>
      <c r="X229" s="438"/>
      <c r="Y229" s="438"/>
      <c r="Z229" s="438"/>
    </row>
    <row r="230" ht="11.25" customHeight="1">
      <c r="A230" s="438"/>
      <c r="B230" s="438"/>
      <c r="C230" s="438"/>
      <c r="D230" s="438"/>
      <c r="E230" s="438"/>
      <c r="F230" s="438"/>
      <c r="G230" s="454"/>
      <c r="H230" s="454"/>
      <c r="I230" s="454"/>
      <c r="J230" s="438"/>
      <c r="K230" s="438"/>
      <c r="L230" s="438"/>
      <c r="M230" s="438"/>
      <c r="N230" s="438"/>
      <c r="O230" s="438"/>
      <c r="P230" s="438"/>
      <c r="Q230" s="438"/>
      <c r="R230" s="438"/>
      <c r="S230" s="438"/>
      <c r="T230" s="438"/>
      <c r="U230" s="438"/>
      <c r="V230" s="438"/>
      <c r="W230" s="438"/>
      <c r="X230" s="438"/>
      <c r="Y230" s="438"/>
      <c r="Z230" s="438"/>
    </row>
    <row r="231" ht="11.25" customHeight="1">
      <c r="A231" s="438"/>
      <c r="B231" s="438"/>
      <c r="C231" s="438"/>
      <c r="D231" s="438"/>
      <c r="E231" s="438"/>
      <c r="F231" s="438"/>
      <c r="G231" s="454"/>
      <c r="H231" s="454"/>
      <c r="I231" s="454"/>
      <c r="J231" s="438"/>
      <c r="K231" s="438"/>
      <c r="L231" s="438"/>
      <c r="M231" s="438"/>
      <c r="N231" s="438"/>
      <c r="O231" s="438"/>
      <c r="P231" s="438"/>
      <c r="Q231" s="438"/>
      <c r="R231" s="438"/>
      <c r="S231" s="438"/>
      <c r="T231" s="438"/>
      <c r="U231" s="438"/>
      <c r="V231" s="438"/>
      <c r="W231" s="438"/>
      <c r="X231" s="438"/>
      <c r="Y231" s="438"/>
      <c r="Z231" s="438"/>
    </row>
    <row r="232" ht="11.25" customHeight="1">
      <c r="A232" s="438"/>
      <c r="B232" s="438"/>
      <c r="C232" s="438"/>
      <c r="D232" s="438"/>
      <c r="E232" s="438"/>
      <c r="F232" s="438"/>
      <c r="G232" s="454"/>
      <c r="H232" s="454"/>
      <c r="I232" s="454"/>
      <c r="J232" s="438"/>
      <c r="K232" s="438"/>
      <c r="L232" s="438"/>
      <c r="M232" s="438"/>
      <c r="N232" s="438"/>
      <c r="O232" s="438"/>
      <c r="P232" s="438"/>
      <c r="Q232" s="438"/>
      <c r="R232" s="438"/>
      <c r="S232" s="438"/>
      <c r="T232" s="438"/>
      <c r="U232" s="438"/>
      <c r="V232" s="438"/>
      <c r="W232" s="438"/>
      <c r="X232" s="438"/>
      <c r="Y232" s="438"/>
      <c r="Z232" s="438"/>
    </row>
    <row r="233" ht="11.25" customHeight="1">
      <c r="A233" s="438"/>
      <c r="B233" s="438"/>
      <c r="C233" s="438"/>
      <c r="D233" s="438"/>
      <c r="E233" s="438"/>
      <c r="F233" s="438"/>
      <c r="G233" s="454"/>
      <c r="H233" s="454"/>
      <c r="I233" s="454"/>
      <c r="J233" s="438"/>
      <c r="K233" s="438"/>
      <c r="L233" s="438"/>
      <c r="M233" s="438"/>
      <c r="N233" s="438"/>
      <c r="O233" s="438"/>
      <c r="P233" s="438"/>
      <c r="Q233" s="438"/>
      <c r="R233" s="438"/>
      <c r="S233" s="438"/>
      <c r="T233" s="438"/>
      <c r="U233" s="438"/>
      <c r="V233" s="438"/>
      <c r="W233" s="438"/>
      <c r="X233" s="438"/>
      <c r="Y233" s="438"/>
      <c r="Z233" s="438"/>
    </row>
    <row r="234" ht="11.25" customHeight="1">
      <c r="A234" s="438"/>
      <c r="B234" s="438"/>
      <c r="C234" s="438"/>
      <c r="D234" s="438"/>
      <c r="E234" s="438"/>
      <c r="F234" s="438"/>
      <c r="G234" s="454"/>
      <c r="H234" s="454"/>
      <c r="I234" s="454"/>
      <c r="J234" s="438"/>
      <c r="K234" s="438"/>
      <c r="L234" s="438"/>
      <c r="M234" s="438"/>
      <c r="N234" s="438"/>
      <c r="O234" s="438"/>
      <c r="P234" s="438"/>
      <c r="Q234" s="438"/>
      <c r="R234" s="438"/>
      <c r="S234" s="438"/>
      <c r="T234" s="438"/>
      <c r="U234" s="438"/>
      <c r="V234" s="438"/>
      <c r="W234" s="438"/>
      <c r="X234" s="438"/>
      <c r="Y234" s="438"/>
      <c r="Z234" s="438"/>
    </row>
    <row r="235" ht="11.25" customHeight="1">
      <c r="A235" s="438"/>
      <c r="B235" s="438"/>
      <c r="C235" s="438"/>
      <c r="D235" s="438"/>
      <c r="E235" s="438"/>
      <c r="F235" s="438"/>
      <c r="G235" s="454"/>
      <c r="H235" s="454"/>
      <c r="I235" s="454"/>
      <c r="J235" s="438"/>
      <c r="K235" s="438"/>
      <c r="L235" s="438"/>
      <c r="M235" s="438"/>
      <c r="N235" s="438"/>
      <c r="O235" s="438"/>
      <c r="P235" s="438"/>
      <c r="Q235" s="438"/>
      <c r="R235" s="438"/>
      <c r="S235" s="438"/>
      <c r="T235" s="438"/>
      <c r="U235" s="438"/>
      <c r="V235" s="438"/>
      <c r="W235" s="438"/>
      <c r="X235" s="438"/>
      <c r="Y235" s="438"/>
      <c r="Z235" s="438"/>
    </row>
    <row r="236" ht="11.25" customHeight="1">
      <c r="A236" s="438"/>
      <c r="B236" s="438"/>
      <c r="C236" s="438"/>
      <c r="D236" s="438"/>
      <c r="E236" s="438"/>
      <c r="F236" s="438"/>
      <c r="G236" s="454"/>
      <c r="H236" s="454"/>
      <c r="I236" s="454"/>
      <c r="J236" s="438"/>
      <c r="K236" s="438"/>
      <c r="L236" s="438"/>
      <c r="M236" s="438"/>
      <c r="N236" s="438"/>
      <c r="O236" s="438"/>
      <c r="P236" s="438"/>
      <c r="Q236" s="438"/>
      <c r="R236" s="438"/>
      <c r="S236" s="438"/>
      <c r="T236" s="438"/>
      <c r="U236" s="438"/>
      <c r="V236" s="438"/>
      <c r="W236" s="438"/>
      <c r="X236" s="438"/>
      <c r="Y236" s="438"/>
      <c r="Z236" s="438"/>
    </row>
    <row r="237" ht="11.25" customHeight="1">
      <c r="A237" s="438"/>
      <c r="B237" s="438"/>
      <c r="C237" s="438"/>
      <c r="D237" s="438"/>
      <c r="E237" s="438"/>
      <c r="F237" s="438"/>
      <c r="G237" s="454"/>
      <c r="H237" s="454"/>
      <c r="I237" s="454"/>
      <c r="J237" s="438"/>
      <c r="K237" s="438"/>
      <c r="L237" s="438"/>
      <c r="M237" s="438"/>
      <c r="N237" s="438"/>
      <c r="O237" s="438"/>
      <c r="P237" s="438"/>
      <c r="Q237" s="438"/>
      <c r="R237" s="438"/>
      <c r="S237" s="438"/>
      <c r="T237" s="438"/>
      <c r="U237" s="438"/>
      <c r="V237" s="438"/>
      <c r="W237" s="438"/>
      <c r="X237" s="438"/>
      <c r="Y237" s="438"/>
      <c r="Z237" s="438"/>
    </row>
    <row r="238" ht="11.25" customHeight="1">
      <c r="A238" s="438"/>
      <c r="B238" s="438"/>
      <c r="C238" s="438"/>
      <c r="D238" s="438"/>
      <c r="E238" s="438"/>
      <c r="F238" s="438"/>
      <c r="G238" s="454"/>
      <c r="H238" s="454"/>
      <c r="I238" s="454"/>
      <c r="J238" s="438"/>
      <c r="K238" s="438"/>
      <c r="L238" s="438"/>
      <c r="M238" s="438"/>
      <c r="N238" s="438"/>
      <c r="O238" s="438"/>
      <c r="P238" s="438"/>
      <c r="Q238" s="438"/>
      <c r="R238" s="438"/>
      <c r="S238" s="438"/>
      <c r="T238" s="438"/>
      <c r="U238" s="438"/>
      <c r="V238" s="438"/>
      <c r="W238" s="438"/>
      <c r="X238" s="438"/>
      <c r="Y238" s="438"/>
      <c r="Z238" s="438"/>
    </row>
    <row r="239" ht="11.25" customHeight="1">
      <c r="A239" s="438"/>
      <c r="B239" s="438"/>
      <c r="C239" s="438"/>
      <c r="D239" s="438"/>
      <c r="E239" s="438"/>
      <c r="F239" s="438"/>
      <c r="G239" s="454"/>
      <c r="H239" s="454"/>
      <c r="I239" s="454"/>
      <c r="J239" s="438"/>
      <c r="K239" s="438"/>
      <c r="L239" s="438"/>
      <c r="M239" s="438"/>
      <c r="N239" s="438"/>
      <c r="O239" s="438"/>
      <c r="P239" s="438"/>
      <c r="Q239" s="438"/>
      <c r="R239" s="438"/>
      <c r="S239" s="438"/>
      <c r="T239" s="438"/>
      <c r="U239" s="438"/>
      <c r="V239" s="438"/>
      <c r="W239" s="438"/>
      <c r="X239" s="438"/>
      <c r="Y239" s="438"/>
      <c r="Z239" s="438"/>
    </row>
    <row r="240" ht="11.25" customHeight="1">
      <c r="A240" s="438"/>
      <c r="B240" s="438"/>
      <c r="C240" s="438"/>
      <c r="D240" s="438"/>
      <c r="E240" s="438"/>
      <c r="F240" s="438"/>
      <c r="G240" s="454"/>
      <c r="H240" s="454"/>
      <c r="I240" s="454"/>
      <c r="J240" s="438"/>
      <c r="K240" s="438"/>
      <c r="L240" s="438"/>
      <c r="M240" s="438"/>
      <c r="N240" s="438"/>
      <c r="O240" s="438"/>
      <c r="P240" s="438"/>
      <c r="Q240" s="438"/>
      <c r="R240" s="438"/>
      <c r="S240" s="438"/>
      <c r="T240" s="438"/>
      <c r="U240" s="438"/>
      <c r="V240" s="438"/>
      <c r="W240" s="438"/>
      <c r="X240" s="438"/>
      <c r="Y240" s="438"/>
      <c r="Z240" s="438"/>
    </row>
    <row r="241" ht="11.25" customHeight="1">
      <c r="A241" s="438"/>
      <c r="B241" s="438"/>
      <c r="C241" s="438"/>
      <c r="D241" s="438"/>
      <c r="E241" s="438"/>
      <c r="F241" s="438"/>
      <c r="G241" s="454"/>
      <c r="H241" s="454"/>
      <c r="I241" s="454"/>
      <c r="J241" s="438"/>
      <c r="K241" s="438"/>
      <c r="L241" s="438"/>
      <c r="M241" s="438"/>
      <c r="N241" s="438"/>
      <c r="O241" s="438"/>
      <c r="P241" s="438"/>
      <c r="Q241" s="438"/>
      <c r="R241" s="438"/>
      <c r="S241" s="438"/>
      <c r="T241" s="438"/>
      <c r="U241" s="438"/>
      <c r="V241" s="438"/>
      <c r="W241" s="438"/>
      <c r="X241" s="438"/>
      <c r="Y241" s="438"/>
      <c r="Z241" s="438"/>
    </row>
    <row r="242" ht="11.25" customHeight="1">
      <c r="A242" s="438"/>
      <c r="B242" s="438"/>
      <c r="C242" s="438"/>
      <c r="D242" s="438"/>
      <c r="E242" s="438"/>
      <c r="F242" s="438"/>
      <c r="G242" s="454"/>
      <c r="H242" s="454"/>
      <c r="I242" s="454"/>
      <c r="J242" s="438"/>
      <c r="K242" s="438"/>
      <c r="L242" s="438"/>
      <c r="M242" s="438"/>
      <c r="N242" s="438"/>
      <c r="O242" s="438"/>
      <c r="P242" s="438"/>
      <c r="Q242" s="438"/>
      <c r="R242" s="438"/>
      <c r="S242" s="438"/>
      <c r="T242" s="438"/>
      <c r="U242" s="438"/>
      <c r="V242" s="438"/>
      <c r="W242" s="438"/>
      <c r="X242" s="438"/>
      <c r="Y242" s="438"/>
      <c r="Z242" s="438"/>
    </row>
    <row r="243" ht="11.25" customHeight="1">
      <c r="A243" s="438"/>
      <c r="B243" s="438"/>
      <c r="C243" s="438"/>
      <c r="D243" s="438"/>
      <c r="E243" s="438"/>
      <c r="F243" s="438"/>
      <c r="G243" s="454"/>
      <c r="H243" s="454"/>
      <c r="I243" s="454"/>
      <c r="J243" s="438"/>
      <c r="K243" s="438"/>
      <c r="L243" s="438"/>
      <c r="M243" s="438"/>
      <c r="N243" s="438"/>
      <c r="O243" s="438"/>
      <c r="P243" s="438"/>
      <c r="Q243" s="438"/>
      <c r="R243" s="438"/>
      <c r="S243" s="438"/>
      <c r="T243" s="438"/>
      <c r="U243" s="438"/>
      <c r="V243" s="438"/>
      <c r="W243" s="438"/>
      <c r="X243" s="438"/>
      <c r="Y243" s="438"/>
      <c r="Z243" s="438"/>
    </row>
    <row r="244" ht="11.25" customHeight="1">
      <c r="A244" s="438"/>
      <c r="B244" s="438"/>
      <c r="C244" s="438"/>
      <c r="D244" s="438"/>
      <c r="E244" s="438"/>
      <c r="F244" s="438"/>
      <c r="G244" s="454"/>
      <c r="H244" s="454"/>
      <c r="I244" s="454"/>
      <c r="J244" s="438"/>
      <c r="K244" s="438"/>
      <c r="L244" s="438"/>
      <c r="M244" s="438"/>
      <c r="N244" s="438"/>
      <c r="O244" s="438"/>
      <c r="P244" s="438"/>
      <c r="Q244" s="438"/>
      <c r="R244" s="438"/>
      <c r="S244" s="438"/>
      <c r="T244" s="438"/>
      <c r="U244" s="438"/>
      <c r="V244" s="438"/>
      <c r="W244" s="438"/>
      <c r="X244" s="438"/>
      <c r="Y244" s="438"/>
      <c r="Z244" s="438"/>
    </row>
    <row r="245" ht="11.25" customHeight="1">
      <c r="A245" s="438"/>
      <c r="B245" s="438"/>
      <c r="C245" s="438"/>
      <c r="D245" s="438"/>
      <c r="E245" s="438"/>
      <c r="F245" s="438"/>
      <c r="G245" s="454"/>
      <c r="H245" s="454"/>
      <c r="I245" s="454"/>
      <c r="J245" s="438"/>
      <c r="K245" s="438"/>
      <c r="L245" s="438"/>
      <c r="M245" s="438"/>
      <c r="N245" s="438"/>
      <c r="O245" s="438"/>
      <c r="P245" s="438"/>
      <c r="Q245" s="438"/>
      <c r="R245" s="438"/>
      <c r="S245" s="438"/>
      <c r="T245" s="438"/>
      <c r="U245" s="438"/>
      <c r="V245" s="438"/>
      <c r="W245" s="438"/>
      <c r="X245" s="438"/>
      <c r="Y245" s="438"/>
      <c r="Z245" s="438"/>
    </row>
    <row r="246" ht="11.25" customHeight="1">
      <c r="A246" s="438"/>
      <c r="B246" s="438"/>
      <c r="C246" s="438"/>
      <c r="D246" s="438"/>
      <c r="E246" s="438"/>
      <c r="F246" s="438"/>
      <c r="G246" s="454"/>
      <c r="H246" s="454"/>
      <c r="I246" s="454"/>
      <c r="J246" s="438"/>
      <c r="K246" s="438"/>
      <c r="L246" s="438"/>
      <c r="M246" s="438"/>
      <c r="N246" s="438"/>
      <c r="O246" s="438"/>
      <c r="P246" s="438"/>
      <c r="Q246" s="438"/>
      <c r="R246" s="438"/>
      <c r="S246" s="438"/>
      <c r="T246" s="438"/>
      <c r="U246" s="438"/>
      <c r="V246" s="438"/>
      <c r="W246" s="438"/>
      <c r="X246" s="438"/>
      <c r="Y246" s="438"/>
      <c r="Z246" s="438"/>
    </row>
    <row r="247" ht="11.25" customHeight="1">
      <c r="A247" s="438"/>
      <c r="B247" s="438"/>
      <c r="C247" s="438"/>
      <c r="D247" s="438"/>
      <c r="E247" s="438"/>
      <c r="F247" s="438"/>
      <c r="G247" s="454"/>
      <c r="H247" s="454"/>
      <c r="I247" s="454"/>
      <c r="J247" s="438"/>
      <c r="K247" s="438"/>
      <c r="L247" s="438"/>
      <c r="M247" s="438"/>
      <c r="N247" s="438"/>
      <c r="O247" s="438"/>
      <c r="P247" s="438"/>
      <c r="Q247" s="438"/>
      <c r="R247" s="438"/>
      <c r="S247" s="438"/>
      <c r="T247" s="438"/>
      <c r="U247" s="438"/>
      <c r="V247" s="438"/>
      <c r="W247" s="438"/>
      <c r="X247" s="438"/>
      <c r="Y247" s="438"/>
      <c r="Z247" s="438"/>
    </row>
    <row r="248" ht="11.25" customHeight="1">
      <c r="A248" s="438"/>
      <c r="B248" s="438"/>
      <c r="C248" s="438"/>
      <c r="D248" s="438"/>
      <c r="E248" s="438"/>
      <c r="F248" s="438"/>
      <c r="G248" s="454"/>
      <c r="H248" s="454"/>
      <c r="I248" s="454"/>
      <c r="J248" s="438"/>
      <c r="K248" s="438"/>
      <c r="L248" s="438"/>
      <c r="M248" s="438"/>
      <c r="N248" s="438"/>
      <c r="O248" s="438"/>
      <c r="P248" s="438"/>
      <c r="Q248" s="438"/>
      <c r="R248" s="438"/>
      <c r="S248" s="438"/>
      <c r="T248" s="438"/>
      <c r="U248" s="438"/>
      <c r="V248" s="438"/>
      <c r="W248" s="438"/>
      <c r="X248" s="438"/>
      <c r="Y248" s="438"/>
      <c r="Z248" s="438"/>
    </row>
    <row r="249" ht="11.25" customHeight="1">
      <c r="A249" s="438"/>
      <c r="B249" s="438"/>
      <c r="C249" s="438"/>
      <c r="D249" s="438"/>
      <c r="E249" s="438"/>
      <c r="F249" s="438"/>
      <c r="G249" s="454"/>
      <c r="H249" s="454"/>
      <c r="I249" s="454"/>
      <c r="J249" s="438"/>
      <c r="K249" s="438"/>
      <c r="L249" s="438"/>
      <c r="M249" s="438"/>
      <c r="N249" s="438"/>
      <c r="O249" s="438"/>
      <c r="P249" s="438"/>
      <c r="Q249" s="438"/>
      <c r="R249" s="438"/>
      <c r="S249" s="438"/>
      <c r="T249" s="438"/>
      <c r="U249" s="438"/>
      <c r="V249" s="438"/>
      <c r="W249" s="438"/>
      <c r="X249" s="438"/>
      <c r="Y249" s="438"/>
      <c r="Z249" s="438"/>
    </row>
    <row r="250" ht="11.25" customHeight="1">
      <c r="A250" s="438"/>
      <c r="B250" s="438"/>
      <c r="C250" s="438"/>
      <c r="D250" s="438"/>
      <c r="E250" s="438"/>
      <c r="F250" s="438"/>
      <c r="G250" s="454"/>
      <c r="H250" s="454"/>
      <c r="I250" s="454"/>
      <c r="J250" s="438"/>
      <c r="K250" s="438"/>
      <c r="L250" s="438"/>
      <c r="M250" s="438"/>
      <c r="N250" s="438"/>
      <c r="O250" s="438"/>
      <c r="P250" s="438"/>
      <c r="Q250" s="438"/>
      <c r="R250" s="438"/>
      <c r="S250" s="438"/>
      <c r="T250" s="438"/>
      <c r="U250" s="438"/>
      <c r="V250" s="438"/>
      <c r="W250" s="438"/>
      <c r="X250" s="438"/>
      <c r="Y250" s="438"/>
      <c r="Z250" s="438"/>
    </row>
    <row r="251" ht="11.25" customHeight="1">
      <c r="A251" s="438"/>
      <c r="B251" s="438"/>
      <c r="C251" s="438"/>
      <c r="D251" s="438"/>
      <c r="E251" s="438"/>
      <c r="F251" s="438"/>
      <c r="G251" s="454"/>
      <c r="H251" s="454"/>
      <c r="I251" s="454"/>
      <c r="J251" s="438"/>
      <c r="K251" s="438"/>
      <c r="L251" s="438"/>
      <c r="M251" s="438"/>
      <c r="N251" s="438"/>
      <c r="O251" s="438"/>
      <c r="P251" s="438"/>
      <c r="Q251" s="438"/>
      <c r="R251" s="438"/>
      <c r="S251" s="438"/>
      <c r="T251" s="438"/>
      <c r="U251" s="438"/>
      <c r="V251" s="438"/>
      <c r="W251" s="438"/>
      <c r="X251" s="438"/>
      <c r="Y251" s="438"/>
      <c r="Z251" s="438"/>
    </row>
    <row r="252" ht="11.25" customHeight="1">
      <c r="A252" s="438"/>
      <c r="B252" s="438"/>
      <c r="C252" s="438"/>
      <c r="D252" s="438"/>
      <c r="E252" s="438"/>
      <c r="F252" s="438"/>
      <c r="G252" s="454"/>
      <c r="H252" s="454"/>
      <c r="I252" s="454"/>
      <c r="J252" s="438"/>
      <c r="K252" s="438"/>
      <c r="L252" s="438"/>
      <c r="M252" s="438"/>
      <c r="N252" s="438"/>
      <c r="O252" s="438"/>
      <c r="P252" s="438"/>
      <c r="Q252" s="438"/>
      <c r="R252" s="438"/>
      <c r="S252" s="438"/>
      <c r="T252" s="438"/>
      <c r="U252" s="438"/>
      <c r="V252" s="438"/>
      <c r="W252" s="438"/>
      <c r="X252" s="438"/>
      <c r="Y252" s="438"/>
      <c r="Z252" s="438"/>
    </row>
    <row r="253" ht="11.25" customHeight="1">
      <c r="A253" s="438"/>
      <c r="B253" s="438"/>
      <c r="C253" s="438"/>
      <c r="D253" s="438"/>
      <c r="E253" s="438"/>
      <c r="F253" s="438"/>
      <c r="G253" s="454"/>
      <c r="H253" s="454"/>
      <c r="I253" s="454"/>
      <c r="J253" s="438"/>
      <c r="K253" s="438"/>
      <c r="L253" s="438"/>
      <c r="M253" s="438"/>
      <c r="N253" s="438"/>
      <c r="O253" s="438"/>
      <c r="P253" s="438"/>
      <c r="Q253" s="438"/>
      <c r="R253" s="438"/>
      <c r="S253" s="438"/>
      <c r="T253" s="438"/>
      <c r="U253" s="438"/>
      <c r="V253" s="438"/>
      <c r="W253" s="438"/>
      <c r="X253" s="438"/>
      <c r="Y253" s="438"/>
      <c r="Z253" s="438"/>
    </row>
    <row r="254" ht="11.25" customHeight="1">
      <c r="A254" s="438"/>
      <c r="B254" s="438"/>
      <c r="C254" s="438"/>
      <c r="D254" s="438"/>
      <c r="E254" s="438"/>
      <c r="F254" s="438"/>
      <c r="G254" s="454"/>
      <c r="H254" s="454"/>
      <c r="I254" s="454"/>
      <c r="J254" s="438"/>
      <c r="K254" s="438"/>
      <c r="L254" s="438"/>
      <c r="M254" s="438"/>
      <c r="N254" s="438"/>
      <c r="O254" s="438"/>
      <c r="P254" s="438"/>
      <c r="Q254" s="438"/>
      <c r="R254" s="438"/>
      <c r="S254" s="438"/>
      <c r="T254" s="438"/>
      <c r="U254" s="438"/>
      <c r="V254" s="438"/>
      <c r="W254" s="438"/>
      <c r="X254" s="438"/>
      <c r="Y254" s="438"/>
      <c r="Z254" s="438"/>
    </row>
    <row r="255" ht="11.25" customHeight="1">
      <c r="A255" s="438"/>
      <c r="B255" s="438"/>
      <c r="C255" s="438"/>
      <c r="D255" s="438"/>
      <c r="E255" s="438"/>
      <c r="F255" s="438"/>
      <c r="G255" s="454"/>
      <c r="H255" s="454"/>
      <c r="I255" s="454"/>
      <c r="J255" s="438"/>
      <c r="K255" s="438"/>
      <c r="L255" s="438"/>
      <c r="M255" s="438"/>
      <c r="N255" s="438"/>
      <c r="O255" s="438"/>
      <c r="P255" s="438"/>
      <c r="Q255" s="438"/>
      <c r="R255" s="438"/>
      <c r="S255" s="438"/>
      <c r="T255" s="438"/>
      <c r="U255" s="438"/>
      <c r="V255" s="438"/>
      <c r="W255" s="438"/>
      <c r="X255" s="438"/>
      <c r="Y255" s="438"/>
      <c r="Z255" s="438"/>
    </row>
    <row r="256" ht="11.25" customHeight="1">
      <c r="A256" s="438"/>
      <c r="B256" s="438"/>
      <c r="C256" s="438"/>
      <c r="D256" s="438"/>
      <c r="E256" s="438"/>
      <c r="F256" s="438"/>
      <c r="G256" s="454"/>
      <c r="H256" s="454"/>
      <c r="I256" s="454"/>
      <c r="J256" s="438"/>
      <c r="K256" s="438"/>
      <c r="L256" s="438"/>
      <c r="M256" s="438"/>
      <c r="N256" s="438"/>
      <c r="O256" s="438"/>
      <c r="P256" s="438"/>
      <c r="Q256" s="438"/>
      <c r="R256" s="438"/>
      <c r="S256" s="438"/>
      <c r="T256" s="438"/>
      <c r="U256" s="438"/>
      <c r="V256" s="438"/>
      <c r="W256" s="438"/>
      <c r="X256" s="438"/>
      <c r="Y256" s="438"/>
      <c r="Z256" s="438"/>
    </row>
    <row r="257" ht="11.25" customHeight="1">
      <c r="A257" s="438"/>
      <c r="B257" s="438"/>
      <c r="C257" s="438"/>
      <c r="D257" s="438"/>
      <c r="E257" s="438"/>
      <c r="F257" s="438"/>
      <c r="G257" s="454"/>
      <c r="H257" s="454"/>
      <c r="I257" s="454"/>
      <c r="J257" s="438"/>
      <c r="K257" s="438"/>
      <c r="L257" s="438"/>
      <c r="M257" s="438"/>
      <c r="N257" s="438"/>
      <c r="O257" s="438"/>
      <c r="P257" s="438"/>
      <c r="Q257" s="438"/>
      <c r="R257" s="438"/>
      <c r="S257" s="438"/>
      <c r="T257" s="438"/>
      <c r="U257" s="438"/>
      <c r="V257" s="438"/>
      <c r="W257" s="438"/>
      <c r="X257" s="438"/>
      <c r="Y257" s="438"/>
      <c r="Z257" s="438"/>
    </row>
    <row r="258" ht="11.25" customHeight="1">
      <c r="A258" s="438"/>
      <c r="B258" s="438"/>
      <c r="C258" s="438"/>
      <c r="D258" s="438"/>
      <c r="E258" s="438"/>
      <c r="F258" s="438"/>
      <c r="G258" s="454"/>
      <c r="H258" s="454"/>
      <c r="I258" s="454"/>
      <c r="J258" s="438"/>
      <c r="K258" s="438"/>
      <c r="L258" s="438"/>
      <c r="M258" s="438"/>
      <c r="N258" s="438"/>
      <c r="O258" s="438"/>
      <c r="P258" s="438"/>
      <c r="Q258" s="438"/>
      <c r="R258" s="438"/>
      <c r="S258" s="438"/>
      <c r="T258" s="438"/>
      <c r="U258" s="438"/>
      <c r="V258" s="438"/>
      <c r="W258" s="438"/>
      <c r="X258" s="438"/>
      <c r="Y258" s="438"/>
      <c r="Z258" s="438"/>
    </row>
    <row r="259" ht="11.25" customHeight="1">
      <c r="A259" s="438"/>
      <c r="B259" s="438"/>
      <c r="C259" s="438"/>
      <c r="D259" s="438"/>
      <c r="E259" s="438"/>
      <c r="F259" s="438"/>
      <c r="G259" s="454"/>
      <c r="H259" s="454"/>
      <c r="I259" s="454"/>
      <c r="J259" s="438"/>
      <c r="K259" s="438"/>
      <c r="L259" s="438"/>
      <c r="M259" s="438"/>
      <c r="N259" s="438"/>
      <c r="O259" s="438"/>
      <c r="P259" s="438"/>
      <c r="Q259" s="438"/>
      <c r="R259" s="438"/>
      <c r="S259" s="438"/>
      <c r="T259" s="438"/>
      <c r="U259" s="438"/>
      <c r="V259" s="438"/>
      <c r="W259" s="438"/>
      <c r="X259" s="438"/>
      <c r="Y259" s="438"/>
      <c r="Z259" s="438"/>
    </row>
    <row r="260" ht="11.25" customHeight="1">
      <c r="A260" s="438"/>
      <c r="B260" s="438"/>
      <c r="C260" s="438"/>
      <c r="D260" s="438"/>
      <c r="E260" s="438"/>
      <c r="F260" s="438"/>
      <c r="G260" s="454"/>
      <c r="H260" s="454"/>
      <c r="I260" s="454"/>
      <c r="J260" s="438"/>
      <c r="K260" s="438"/>
      <c r="L260" s="438"/>
      <c r="M260" s="438"/>
      <c r="N260" s="438"/>
      <c r="O260" s="438"/>
      <c r="P260" s="438"/>
      <c r="Q260" s="438"/>
      <c r="R260" s="438"/>
      <c r="S260" s="438"/>
      <c r="T260" s="438"/>
      <c r="U260" s="438"/>
      <c r="V260" s="438"/>
      <c r="W260" s="438"/>
      <c r="X260" s="438"/>
      <c r="Y260" s="438"/>
      <c r="Z260" s="438"/>
    </row>
    <row r="261" ht="11.25" customHeight="1">
      <c r="A261" s="438"/>
      <c r="B261" s="438"/>
      <c r="C261" s="438"/>
      <c r="D261" s="438"/>
      <c r="E261" s="438"/>
      <c r="F261" s="438"/>
      <c r="G261" s="454"/>
      <c r="H261" s="454"/>
      <c r="I261" s="454"/>
      <c r="J261" s="438"/>
      <c r="K261" s="438"/>
      <c r="L261" s="438"/>
      <c r="M261" s="438"/>
      <c r="N261" s="438"/>
      <c r="O261" s="438"/>
      <c r="P261" s="438"/>
      <c r="Q261" s="438"/>
      <c r="R261" s="438"/>
      <c r="S261" s="438"/>
      <c r="T261" s="438"/>
      <c r="U261" s="438"/>
      <c r="V261" s="438"/>
      <c r="W261" s="438"/>
      <c r="X261" s="438"/>
      <c r="Y261" s="438"/>
      <c r="Z261" s="438"/>
    </row>
    <row r="262" ht="11.25" customHeight="1">
      <c r="A262" s="438"/>
      <c r="B262" s="438"/>
      <c r="C262" s="438"/>
      <c r="D262" s="438"/>
      <c r="E262" s="438"/>
      <c r="F262" s="438"/>
      <c r="G262" s="454"/>
      <c r="H262" s="454"/>
      <c r="I262" s="454"/>
      <c r="J262" s="438"/>
      <c r="K262" s="438"/>
      <c r="L262" s="438"/>
      <c r="M262" s="438"/>
      <c r="N262" s="438"/>
      <c r="O262" s="438"/>
      <c r="P262" s="438"/>
      <c r="Q262" s="438"/>
      <c r="R262" s="438"/>
      <c r="S262" s="438"/>
      <c r="T262" s="438"/>
      <c r="U262" s="438"/>
      <c r="V262" s="438"/>
      <c r="W262" s="438"/>
      <c r="X262" s="438"/>
      <c r="Y262" s="438"/>
      <c r="Z262" s="438"/>
    </row>
    <row r="263" ht="11.25" customHeight="1">
      <c r="A263" s="438"/>
      <c r="B263" s="438"/>
      <c r="C263" s="438"/>
      <c r="D263" s="438"/>
      <c r="E263" s="438"/>
      <c r="F263" s="438"/>
      <c r="G263" s="454"/>
      <c r="H263" s="454"/>
      <c r="I263" s="454"/>
      <c r="J263" s="438"/>
      <c r="K263" s="438"/>
      <c r="L263" s="438"/>
      <c r="M263" s="438"/>
      <c r="N263" s="438"/>
      <c r="O263" s="438"/>
      <c r="P263" s="438"/>
      <c r="Q263" s="438"/>
      <c r="R263" s="438"/>
      <c r="S263" s="438"/>
      <c r="T263" s="438"/>
      <c r="U263" s="438"/>
      <c r="V263" s="438"/>
      <c r="W263" s="438"/>
      <c r="X263" s="438"/>
      <c r="Y263" s="438"/>
      <c r="Z263" s="438"/>
    </row>
    <row r="264" ht="11.25" customHeight="1">
      <c r="A264" s="438"/>
      <c r="B264" s="438"/>
      <c r="C264" s="438"/>
      <c r="D264" s="438"/>
      <c r="E264" s="438"/>
      <c r="F264" s="438"/>
      <c r="G264" s="454"/>
      <c r="H264" s="454"/>
      <c r="I264" s="454"/>
      <c r="J264" s="438"/>
      <c r="K264" s="438"/>
      <c r="L264" s="438"/>
      <c r="M264" s="438"/>
      <c r="N264" s="438"/>
      <c r="O264" s="438"/>
      <c r="P264" s="438"/>
      <c r="Q264" s="438"/>
      <c r="R264" s="438"/>
      <c r="S264" s="438"/>
      <c r="T264" s="438"/>
      <c r="U264" s="438"/>
      <c r="V264" s="438"/>
      <c r="W264" s="438"/>
      <c r="X264" s="438"/>
      <c r="Y264" s="438"/>
      <c r="Z264" s="438"/>
    </row>
    <row r="265" ht="11.25" customHeight="1">
      <c r="A265" s="438"/>
      <c r="B265" s="438"/>
      <c r="C265" s="438"/>
      <c r="D265" s="438"/>
      <c r="E265" s="438"/>
      <c r="F265" s="438"/>
      <c r="G265" s="454"/>
      <c r="H265" s="454"/>
      <c r="I265" s="454"/>
      <c r="J265" s="438"/>
      <c r="K265" s="438"/>
      <c r="L265" s="438"/>
      <c r="M265" s="438"/>
      <c r="N265" s="438"/>
      <c r="O265" s="438"/>
      <c r="P265" s="438"/>
      <c r="Q265" s="438"/>
      <c r="R265" s="438"/>
      <c r="S265" s="438"/>
      <c r="T265" s="438"/>
      <c r="U265" s="438"/>
      <c r="V265" s="438"/>
      <c r="W265" s="438"/>
      <c r="X265" s="438"/>
      <c r="Y265" s="438"/>
      <c r="Z265" s="438"/>
    </row>
    <row r="266" ht="11.25" customHeight="1">
      <c r="A266" s="438"/>
      <c r="B266" s="438"/>
      <c r="C266" s="438"/>
      <c r="D266" s="438"/>
      <c r="E266" s="438"/>
      <c r="F266" s="438"/>
      <c r="G266" s="454"/>
      <c r="H266" s="454"/>
      <c r="I266" s="454"/>
      <c r="J266" s="438"/>
      <c r="K266" s="438"/>
      <c r="L266" s="438"/>
      <c r="M266" s="438"/>
      <c r="N266" s="438"/>
      <c r="O266" s="438"/>
      <c r="P266" s="438"/>
      <c r="Q266" s="438"/>
      <c r="R266" s="438"/>
      <c r="S266" s="438"/>
      <c r="T266" s="438"/>
      <c r="U266" s="438"/>
      <c r="V266" s="438"/>
      <c r="W266" s="438"/>
      <c r="X266" s="438"/>
      <c r="Y266" s="438"/>
      <c r="Z266" s="438"/>
    </row>
    <row r="267" ht="11.25" customHeight="1">
      <c r="A267" s="438"/>
      <c r="B267" s="438"/>
      <c r="C267" s="438"/>
      <c r="D267" s="438"/>
      <c r="E267" s="438"/>
      <c r="F267" s="438"/>
      <c r="G267" s="454"/>
      <c r="H267" s="454"/>
      <c r="I267" s="454"/>
      <c r="J267" s="438"/>
      <c r="K267" s="438"/>
      <c r="L267" s="438"/>
      <c r="M267" s="438"/>
      <c r="N267" s="438"/>
      <c r="O267" s="438"/>
      <c r="P267" s="438"/>
      <c r="Q267" s="438"/>
      <c r="R267" s="438"/>
      <c r="S267" s="438"/>
      <c r="T267" s="438"/>
      <c r="U267" s="438"/>
      <c r="V267" s="438"/>
      <c r="W267" s="438"/>
      <c r="X267" s="438"/>
      <c r="Y267" s="438"/>
      <c r="Z267" s="438"/>
    </row>
    <row r="268" ht="11.25" customHeight="1">
      <c r="A268" s="438"/>
      <c r="B268" s="438"/>
      <c r="C268" s="438"/>
      <c r="D268" s="438"/>
      <c r="E268" s="438"/>
      <c r="F268" s="438"/>
      <c r="G268" s="454"/>
      <c r="H268" s="454"/>
      <c r="I268" s="454"/>
      <c r="J268" s="438"/>
      <c r="K268" s="438"/>
      <c r="L268" s="438"/>
      <c r="M268" s="438"/>
      <c r="N268" s="438"/>
      <c r="O268" s="438"/>
      <c r="P268" s="438"/>
      <c r="Q268" s="438"/>
      <c r="R268" s="438"/>
      <c r="S268" s="438"/>
      <c r="T268" s="438"/>
      <c r="U268" s="438"/>
      <c r="V268" s="438"/>
      <c r="W268" s="438"/>
      <c r="X268" s="438"/>
      <c r="Y268" s="438"/>
      <c r="Z268" s="438"/>
    </row>
    <row r="269" ht="11.25" customHeight="1">
      <c r="A269" s="438"/>
      <c r="B269" s="438"/>
      <c r="C269" s="438"/>
      <c r="D269" s="438"/>
      <c r="E269" s="438"/>
      <c r="F269" s="438"/>
      <c r="G269" s="454"/>
      <c r="H269" s="454"/>
      <c r="I269" s="454"/>
      <c r="J269" s="438"/>
      <c r="K269" s="438"/>
      <c r="L269" s="438"/>
      <c r="M269" s="438"/>
      <c r="N269" s="438"/>
      <c r="O269" s="438"/>
      <c r="P269" s="438"/>
      <c r="Q269" s="438"/>
      <c r="R269" s="438"/>
      <c r="S269" s="438"/>
      <c r="T269" s="438"/>
      <c r="U269" s="438"/>
      <c r="V269" s="438"/>
      <c r="W269" s="438"/>
      <c r="X269" s="438"/>
      <c r="Y269" s="438"/>
      <c r="Z269" s="438"/>
    </row>
    <row r="270" ht="11.25" customHeight="1">
      <c r="A270" s="438"/>
      <c r="B270" s="438"/>
      <c r="C270" s="438"/>
      <c r="D270" s="438"/>
      <c r="E270" s="438"/>
      <c r="F270" s="438"/>
      <c r="G270" s="454"/>
      <c r="H270" s="454"/>
      <c r="I270" s="454"/>
      <c r="J270" s="438"/>
      <c r="K270" s="438"/>
      <c r="L270" s="438"/>
      <c r="M270" s="438"/>
      <c r="N270" s="438"/>
      <c r="O270" s="438"/>
      <c r="P270" s="438"/>
      <c r="Q270" s="438"/>
      <c r="R270" s="438"/>
      <c r="S270" s="438"/>
      <c r="T270" s="438"/>
      <c r="U270" s="438"/>
      <c r="V270" s="438"/>
      <c r="W270" s="438"/>
      <c r="X270" s="438"/>
      <c r="Y270" s="438"/>
      <c r="Z270" s="438"/>
    </row>
    <row r="271" ht="11.25" customHeight="1">
      <c r="A271" s="438"/>
      <c r="B271" s="438"/>
      <c r="C271" s="438"/>
      <c r="D271" s="438"/>
      <c r="E271" s="438"/>
      <c r="F271" s="438"/>
      <c r="G271" s="454"/>
      <c r="H271" s="454"/>
      <c r="I271" s="454"/>
      <c r="J271" s="438"/>
      <c r="K271" s="438"/>
      <c r="L271" s="438"/>
      <c r="M271" s="438"/>
      <c r="N271" s="438"/>
      <c r="O271" s="438"/>
      <c r="P271" s="438"/>
      <c r="Q271" s="438"/>
      <c r="R271" s="438"/>
      <c r="S271" s="438"/>
      <c r="T271" s="438"/>
      <c r="U271" s="438"/>
      <c r="V271" s="438"/>
      <c r="W271" s="438"/>
      <c r="X271" s="438"/>
      <c r="Y271" s="438"/>
      <c r="Z271" s="438"/>
    </row>
    <row r="272" ht="11.25" customHeight="1">
      <c r="A272" s="438"/>
      <c r="B272" s="438"/>
      <c r="C272" s="438"/>
      <c r="D272" s="438"/>
      <c r="E272" s="438"/>
      <c r="F272" s="438"/>
      <c r="G272" s="454"/>
      <c r="H272" s="454"/>
      <c r="I272" s="454"/>
      <c r="J272" s="438"/>
      <c r="K272" s="438"/>
      <c r="L272" s="438"/>
      <c r="M272" s="438"/>
      <c r="N272" s="438"/>
      <c r="O272" s="438"/>
      <c r="P272" s="438"/>
      <c r="Q272" s="438"/>
      <c r="R272" s="438"/>
      <c r="S272" s="438"/>
      <c r="T272" s="438"/>
      <c r="U272" s="438"/>
      <c r="V272" s="438"/>
      <c r="W272" s="438"/>
      <c r="X272" s="438"/>
      <c r="Y272" s="438"/>
      <c r="Z272" s="438"/>
    </row>
    <row r="273" ht="11.25" customHeight="1">
      <c r="A273" s="438"/>
      <c r="B273" s="438"/>
      <c r="C273" s="438"/>
      <c r="D273" s="438"/>
      <c r="E273" s="438"/>
      <c r="F273" s="438"/>
      <c r="G273" s="454"/>
      <c r="H273" s="454"/>
      <c r="I273" s="454"/>
      <c r="J273" s="438"/>
      <c r="K273" s="438"/>
      <c r="L273" s="438"/>
      <c r="M273" s="438"/>
      <c r="N273" s="438"/>
      <c r="O273" s="438"/>
      <c r="P273" s="438"/>
      <c r="Q273" s="438"/>
      <c r="R273" s="438"/>
      <c r="S273" s="438"/>
      <c r="T273" s="438"/>
      <c r="U273" s="438"/>
      <c r="V273" s="438"/>
      <c r="W273" s="438"/>
      <c r="X273" s="438"/>
      <c r="Y273" s="438"/>
      <c r="Z273" s="438"/>
    </row>
    <row r="274" ht="11.25" customHeight="1">
      <c r="A274" s="438"/>
      <c r="B274" s="438"/>
      <c r="C274" s="438"/>
      <c r="D274" s="438"/>
      <c r="E274" s="438"/>
      <c r="F274" s="438"/>
      <c r="G274" s="454"/>
      <c r="H274" s="454"/>
      <c r="I274" s="454"/>
      <c r="J274" s="438"/>
      <c r="K274" s="438"/>
      <c r="L274" s="438"/>
      <c r="M274" s="438"/>
      <c r="N274" s="438"/>
      <c r="O274" s="438"/>
      <c r="P274" s="438"/>
      <c r="Q274" s="438"/>
      <c r="R274" s="438"/>
      <c r="S274" s="438"/>
      <c r="T274" s="438"/>
      <c r="U274" s="438"/>
      <c r="V274" s="438"/>
      <c r="W274" s="438"/>
      <c r="X274" s="438"/>
      <c r="Y274" s="438"/>
      <c r="Z274" s="438"/>
    </row>
    <row r="275" ht="11.25" customHeight="1">
      <c r="A275" s="438"/>
      <c r="B275" s="438"/>
      <c r="C275" s="438"/>
      <c r="D275" s="438"/>
      <c r="E275" s="438"/>
      <c r="F275" s="438"/>
      <c r="G275" s="454"/>
      <c r="H275" s="454"/>
      <c r="I275" s="454"/>
      <c r="J275" s="438"/>
      <c r="K275" s="438"/>
      <c r="L275" s="438"/>
      <c r="M275" s="438"/>
      <c r="N275" s="438"/>
      <c r="O275" s="438"/>
      <c r="P275" s="438"/>
      <c r="Q275" s="438"/>
      <c r="R275" s="438"/>
      <c r="S275" s="438"/>
      <c r="T275" s="438"/>
      <c r="U275" s="438"/>
      <c r="V275" s="438"/>
      <c r="W275" s="438"/>
      <c r="X275" s="438"/>
      <c r="Y275" s="438"/>
      <c r="Z275" s="438"/>
    </row>
    <row r="276" ht="11.25" customHeight="1">
      <c r="A276" s="438"/>
      <c r="B276" s="438"/>
      <c r="C276" s="438"/>
      <c r="D276" s="438"/>
      <c r="E276" s="438"/>
      <c r="F276" s="438"/>
      <c r="G276" s="454"/>
      <c r="H276" s="454"/>
      <c r="I276" s="454"/>
      <c r="J276" s="438"/>
      <c r="K276" s="438"/>
      <c r="L276" s="438"/>
      <c r="M276" s="438"/>
      <c r="N276" s="438"/>
      <c r="O276" s="438"/>
      <c r="P276" s="438"/>
      <c r="Q276" s="438"/>
      <c r="R276" s="438"/>
      <c r="S276" s="438"/>
      <c r="T276" s="438"/>
      <c r="U276" s="438"/>
      <c r="V276" s="438"/>
      <c r="W276" s="438"/>
      <c r="X276" s="438"/>
      <c r="Y276" s="438"/>
      <c r="Z276" s="438"/>
    </row>
    <row r="277" ht="11.25" customHeight="1">
      <c r="A277" s="438"/>
      <c r="B277" s="438"/>
      <c r="C277" s="438"/>
      <c r="D277" s="438"/>
      <c r="E277" s="438"/>
      <c r="F277" s="438"/>
      <c r="G277" s="454"/>
      <c r="H277" s="454"/>
      <c r="I277" s="454"/>
      <c r="J277" s="438"/>
      <c r="K277" s="438"/>
      <c r="L277" s="438"/>
      <c r="M277" s="438"/>
      <c r="N277" s="438"/>
      <c r="O277" s="438"/>
      <c r="P277" s="438"/>
      <c r="Q277" s="438"/>
      <c r="R277" s="438"/>
      <c r="S277" s="438"/>
      <c r="T277" s="438"/>
      <c r="U277" s="438"/>
      <c r="V277" s="438"/>
      <c r="W277" s="438"/>
      <c r="X277" s="438"/>
      <c r="Y277" s="438"/>
      <c r="Z277" s="438"/>
    </row>
    <row r="278" ht="11.25" customHeight="1">
      <c r="A278" s="438"/>
      <c r="B278" s="438"/>
      <c r="C278" s="438"/>
      <c r="D278" s="438"/>
      <c r="E278" s="438"/>
      <c r="F278" s="438"/>
      <c r="G278" s="454"/>
      <c r="H278" s="454"/>
      <c r="I278" s="454"/>
      <c r="J278" s="438"/>
      <c r="K278" s="438"/>
      <c r="L278" s="438"/>
      <c r="M278" s="438"/>
      <c r="N278" s="438"/>
      <c r="O278" s="438"/>
      <c r="P278" s="438"/>
      <c r="Q278" s="438"/>
      <c r="R278" s="438"/>
      <c r="S278" s="438"/>
      <c r="T278" s="438"/>
      <c r="U278" s="438"/>
      <c r="V278" s="438"/>
      <c r="W278" s="438"/>
      <c r="X278" s="438"/>
      <c r="Y278" s="438"/>
      <c r="Z278" s="438"/>
    </row>
    <row r="279" ht="11.25" customHeight="1">
      <c r="A279" s="438"/>
      <c r="B279" s="438"/>
      <c r="C279" s="438"/>
      <c r="D279" s="438"/>
      <c r="E279" s="438"/>
      <c r="F279" s="438"/>
      <c r="G279" s="454"/>
      <c r="H279" s="454"/>
      <c r="I279" s="454"/>
      <c r="J279" s="438"/>
      <c r="K279" s="438"/>
      <c r="L279" s="438"/>
      <c r="M279" s="438"/>
      <c r="N279" s="438"/>
      <c r="O279" s="438"/>
      <c r="P279" s="438"/>
      <c r="Q279" s="438"/>
      <c r="R279" s="438"/>
      <c r="S279" s="438"/>
      <c r="T279" s="438"/>
      <c r="U279" s="438"/>
      <c r="V279" s="438"/>
      <c r="W279" s="438"/>
      <c r="X279" s="438"/>
      <c r="Y279" s="438"/>
      <c r="Z279" s="438"/>
    </row>
    <row r="280" ht="11.25" customHeight="1">
      <c r="A280" s="438"/>
      <c r="B280" s="438"/>
      <c r="C280" s="438"/>
      <c r="D280" s="438"/>
      <c r="E280" s="438"/>
      <c r="F280" s="438"/>
      <c r="G280" s="454"/>
      <c r="H280" s="454"/>
      <c r="I280" s="454"/>
      <c r="J280" s="438"/>
      <c r="K280" s="438"/>
      <c r="L280" s="438"/>
      <c r="M280" s="438"/>
      <c r="N280" s="438"/>
      <c r="O280" s="438"/>
      <c r="P280" s="438"/>
      <c r="Q280" s="438"/>
      <c r="R280" s="438"/>
      <c r="S280" s="438"/>
      <c r="T280" s="438"/>
      <c r="U280" s="438"/>
      <c r="V280" s="438"/>
      <c r="W280" s="438"/>
      <c r="X280" s="438"/>
      <c r="Y280" s="438"/>
      <c r="Z280" s="438"/>
    </row>
    <row r="281" ht="11.25" customHeight="1">
      <c r="A281" s="438"/>
      <c r="B281" s="438"/>
      <c r="C281" s="438"/>
      <c r="D281" s="438"/>
      <c r="E281" s="438"/>
      <c r="F281" s="438"/>
      <c r="G281" s="454"/>
      <c r="H281" s="454"/>
      <c r="I281" s="454"/>
      <c r="J281" s="438"/>
      <c r="K281" s="438"/>
      <c r="L281" s="438"/>
      <c r="M281" s="438"/>
      <c r="N281" s="438"/>
      <c r="O281" s="438"/>
      <c r="P281" s="438"/>
      <c r="Q281" s="438"/>
      <c r="R281" s="438"/>
      <c r="S281" s="438"/>
      <c r="T281" s="438"/>
      <c r="U281" s="438"/>
      <c r="V281" s="438"/>
      <c r="W281" s="438"/>
      <c r="X281" s="438"/>
      <c r="Y281" s="438"/>
      <c r="Z281" s="438"/>
    </row>
    <row r="282" ht="11.25" customHeight="1">
      <c r="A282" s="438"/>
      <c r="B282" s="438"/>
      <c r="C282" s="438"/>
      <c r="D282" s="438"/>
      <c r="E282" s="438"/>
      <c r="F282" s="438"/>
      <c r="G282" s="454"/>
      <c r="H282" s="454"/>
      <c r="I282" s="454"/>
      <c r="J282" s="438"/>
      <c r="K282" s="438"/>
      <c r="L282" s="438"/>
      <c r="M282" s="438"/>
      <c r="N282" s="438"/>
      <c r="O282" s="438"/>
      <c r="P282" s="438"/>
      <c r="Q282" s="438"/>
      <c r="R282" s="438"/>
      <c r="S282" s="438"/>
      <c r="T282" s="438"/>
      <c r="U282" s="438"/>
      <c r="V282" s="438"/>
      <c r="W282" s="438"/>
      <c r="X282" s="438"/>
      <c r="Y282" s="438"/>
      <c r="Z282" s="438"/>
    </row>
    <row r="283" ht="11.25" customHeight="1">
      <c r="A283" s="438"/>
      <c r="B283" s="438"/>
      <c r="C283" s="438"/>
      <c r="D283" s="438"/>
      <c r="E283" s="438"/>
      <c r="F283" s="438"/>
      <c r="G283" s="454"/>
      <c r="H283" s="454"/>
      <c r="I283" s="454"/>
      <c r="J283" s="438"/>
      <c r="K283" s="438"/>
      <c r="L283" s="438"/>
      <c r="M283" s="438"/>
      <c r="N283" s="438"/>
      <c r="O283" s="438"/>
      <c r="P283" s="438"/>
      <c r="Q283" s="438"/>
      <c r="R283" s="438"/>
      <c r="S283" s="438"/>
      <c r="T283" s="438"/>
      <c r="U283" s="438"/>
      <c r="V283" s="438"/>
      <c r="W283" s="438"/>
      <c r="X283" s="438"/>
      <c r="Y283" s="438"/>
      <c r="Z283" s="438"/>
    </row>
    <row r="284" ht="11.25" customHeight="1">
      <c r="A284" s="438"/>
      <c r="B284" s="438"/>
      <c r="C284" s="438"/>
      <c r="D284" s="438"/>
      <c r="E284" s="438"/>
      <c r="F284" s="438"/>
      <c r="G284" s="454"/>
      <c r="H284" s="454"/>
      <c r="I284" s="454"/>
      <c r="J284" s="438"/>
      <c r="K284" s="438"/>
      <c r="L284" s="438"/>
      <c r="M284" s="438"/>
      <c r="N284" s="438"/>
      <c r="O284" s="438"/>
      <c r="P284" s="438"/>
      <c r="Q284" s="438"/>
      <c r="R284" s="438"/>
      <c r="S284" s="438"/>
      <c r="T284" s="438"/>
      <c r="U284" s="438"/>
      <c r="V284" s="438"/>
      <c r="W284" s="438"/>
      <c r="X284" s="438"/>
      <c r="Y284" s="438"/>
      <c r="Z284" s="438"/>
    </row>
    <row r="285" ht="11.25" customHeight="1">
      <c r="A285" s="438"/>
      <c r="B285" s="438"/>
      <c r="C285" s="438"/>
      <c r="D285" s="438"/>
      <c r="E285" s="438"/>
      <c r="F285" s="438"/>
      <c r="G285" s="454"/>
      <c r="H285" s="454"/>
      <c r="I285" s="454"/>
      <c r="J285" s="438"/>
      <c r="K285" s="438"/>
      <c r="L285" s="438"/>
      <c r="M285" s="438"/>
      <c r="N285" s="438"/>
      <c r="O285" s="438"/>
      <c r="P285" s="438"/>
      <c r="Q285" s="438"/>
      <c r="R285" s="438"/>
      <c r="S285" s="438"/>
      <c r="T285" s="438"/>
      <c r="U285" s="438"/>
      <c r="V285" s="438"/>
      <c r="W285" s="438"/>
      <c r="X285" s="438"/>
      <c r="Y285" s="438"/>
      <c r="Z285" s="438"/>
    </row>
    <row r="286" ht="11.25" customHeight="1">
      <c r="A286" s="438"/>
      <c r="B286" s="438"/>
      <c r="C286" s="438"/>
      <c r="D286" s="438"/>
      <c r="E286" s="438"/>
      <c r="F286" s="438"/>
      <c r="G286" s="454"/>
      <c r="H286" s="454"/>
      <c r="I286" s="454"/>
      <c r="J286" s="438"/>
      <c r="K286" s="438"/>
      <c r="L286" s="438"/>
      <c r="M286" s="438"/>
      <c r="N286" s="438"/>
      <c r="O286" s="438"/>
      <c r="P286" s="438"/>
      <c r="Q286" s="438"/>
      <c r="R286" s="438"/>
      <c r="S286" s="438"/>
      <c r="T286" s="438"/>
      <c r="U286" s="438"/>
      <c r="V286" s="438"/>
      <c r="W286" s="438"/>
      <c r="X286" s="438"/>
      <c r="Y286" s="438"/>
      <c r="Z286" s="438"/>
    </row>
    <row r="287" ht="11.25" customHeight="1">
      <c r="A287" s="438"/>
      <c r="B287" s="438"/>
      <c r="C287" s="438"/>
      <c r="D287" s="438"/>
      <c r="E287" s="438"/>
      <c r="F287" s="438"/>
      <c r="G287" s="454"/>
      <c r="H287" s="454"/>
      <c r="I287" s="454"/>
      <c r="J287" s="438"/>
      <c r="K287" s="438"/>
      <c r="L287" s="438"/>
      <c r="M287" s="438"/>
      <c r="N287" s="438"/>
      <c r="O287" s="438"/>
      <c r="P287" s="438"/>
      <c r="Q287" s="438"/>
      <c r="R287" s="438"/>
      <c r="S287" s="438"/>
      <c r="T287" s="438"/>
      <c r="U287" s="438"/>
      <c r="V287" s="438"/>
      <c r="W287" s="438"/>
      <c r="X287" s="438"/>
      <c r="Y287" s="438"/>
      <c r="Z287" s="438"/>
    </row>
    <row r="288" ht="11.25" customHeight="1">
      <c r="A288" s="438"/>
      <c r="B288" s="438"/>
      <c r="C288" s="438"/>
      <c r="D288" s="438"/>
      <c r="E288" s="438"/>
      <c r="F288" s="438"/>
      <c r="G288" s="454"/>
      <c r="H288" s="454"/>
      <c r="I288" s="454"/>
      <c r="J288" s="438"/>
      <c r="K288" s="438"/>
      <c r="L288" s="438"/>
      <c r="M288" s="438"/>
      <c r="N288" s="438"/>
      <c r="O288" s="438"/>
      <c r="P288" s="438"/>
      <c r="Q288" s="438"/>
      <c r="R288" s="438"/>
      <c r="S288" s="438"/>
      <c r="T288" s="438"/>
      <c r="U288" s="438"/>
      <c r="V288" s="438"/>
      <c r="W288" s="438"/>
      <c r="X288" s="438"/>
      <c r="Y288" s="438"/>
      <c r="Z288" s="438"/>
    </row>
    <row r="289" ht="11.25" customHeight="1">
      <c r="A289" s="438"/>
      <c r="B289" s="438"/>
      <c r="C289" s="438"/>
      <c r="D289" s="438"/>
      <c r="E289" s="438"/>
      <c r="F289" s="438"/>
      <c r="G289" s="454"/>
      <c r="H289" s="454"/>
      <c r="I289" s="454"/>
      <c r="J289" s="438"/>
      <c r="K289" s="438"/>
      <c r="L289" s="438"/>
      <c r="M289" s="438"/>
      <c r="N289" s="438"/>
      <c r="O289" s="438"/>
      <c r="P289" s="438"/>
      <c r="Q289" s="438"/>
      <c r="R289" s="438"/>
      <c r="S289" s="438"/>
      <c r="T289" s="438"/>
      <c r="U289" s="438"/>
      <c r="V289" s="438"/>
      <c r="W289" s="438"/>
      <c r="X289" s="438"/>
      <c r="Y289" s="438"/>
      <c r="Z289" s="438"/>
    </row>
    <row r="290" ht="11.25" customHeight="1">
      <c r="A290" s="438"/>
      <c r="B290" s="438"/>
      <c r="C290" s="438"/>
      <c r="D290" s="438"/>
      <c r="E290" s="438"/>
      <c r="F290" s="438"/>
      <c r="G290" s="454"/>
      <c r="H290" s="454"/>
      <c r="I290" s="454"/>
      <c r="J290" s="438"/>
      <c r="K290" s="438"/>
      <c r="L290" s="438"/>
      <c r="M290" s="438"/>
      <c r="N290" s="438"/>
      <c r="O290" s="438"/>
      <c r="P290" s="438"/>
      <c r="Q290" s="438"/>
      <c r="R290" s="438"/>
      <c r="S290" s="438"/>
      <c r="T290" s="438"/>
      <c r="U290" s="438"/>
      <c r="V290" s="438"/>
      <c r="W290" s="438"/>
      <c r="X290" s="438"/>
      <c r="Y290" s="438"/>
      <c r="Z290" s="438"/>
    </row>
    <row r="291" ht="11.25" customHeight="1">
      <c r="A291" s="438"/>
      <c r="B291" s="438"/>
      <c r="C291" s="438"/>
      <c r="D291" s="438"/>
      <c r="E291" s="438"/>
      <c r="F291" s="438"/>
      <c r="G291" s="454"/>
      <c r="H291" s="454"/>
      <c r="I291" s="454"/>
      <c r="J291" s="438"/>
      <c r="K291" s="438"/>
      <c r="L291" s="438"/>
      <c r="M291" s="438"/>
      <c r="N291" s="438"/>
      <c r="O291" s="438"/>
      <c r="P291" s="438"/>
      <c r="Q291" s="438"/>
      <c r="R291" s="438"/>
      <c r="S291" s="438"/>
      <c r="T291" s="438"/>
      <c r="U291" s="438"/>
      <c r="V291" s="438"/>
      <c r="W291" s="438"/>
      <c r="X291" s="438"/>
      <c r="Y291" s="438"/>
      <c r="Z291" s="438"/>
    </row>
    <row r="292" ht="11.25" customHeight="1">
      <c r="A292" s="438"/>
      <c r="B292" s="438"/>
      <c r="C292" s="438"/>
      <c r="D292" s="438"/>
      <c r="E292" s="438"/>
      <c r="F292" s="438"/>
      <c r="G292" s="454"/>
      <c r="H292" s="454"/>
      <c r="I292" s="454"/>
      <c r="J292" s="438"/>
      <c r="K292" s="438"/>
      <c r="L292" s="438"/>
      <c r="M292" s="438"/>
      <c r="N292" s="438"/>
      <c r="O292" s="438"/>
      <c r="P292" s="438"/>
      <c r="Q292" s="438"/>
      <c r="R292" s="438"/>
      <c r="S292" s="438"/>
      <c r="T292" s="438"/>
      <c r="U292" s="438"/>
      <c r="V292" s="438"/>
      <c r="W292" s="438"/>
      <c r="X292" s="438"/>
      <c r="Y292" s="438"/>
      <c r="Z292" s="438"/>
    </row>
    <row r="293" ht="11.25" customHeight="1">
      <c r="A293" s="438"/>
      <c r="B293" s="438"/>
      <c r="C293" s="438"/>
      <c r="D293" s="438"/>
      <c r="E293" s="438"/>
      <c r="F293" s="438"/>
      <c r="G293" s="454"/>
      <c r="H293" s="454"/>
      <c r="I293" s="454"/>
      <c r="J293" s="438"/>
      <c r="K293" s="438"/>
      <c r="L293" s="438"/>
      <c r="M293" s="438"/>
      <c r="N293" s="438"/>
      <c r="O293" s="438"/>
      <c r="P293" s="438"/>
      <c r="Q293" s="438"/>
      <c r="R293" s="438"/>
      <c r="S293" s="438"/>
      <c r="T293" s="438"/>
      <c r="U293" s="438"/>
      <c r="V293" s="438"/>
      <c r="W293" s="438"/>
      <c r="X293" s="438"/>
      <c r="Y293" s="438"/>
      <c r="Z293" s="438"/>
    </row>
    <row r="294" ht="11.25" customHeight="1">
      <c r="A294" s="438"/>
      <c r="B294" s="438"/>
      <c r="C294" s="438"/>
      <c r="D294" s="438"/>
      <c r="E294" s="438"/>
      <c r="F294" s="438"/>
      <c r="G294" s="454"/>
      <c r="H294" s="454"/>
      <c r="I294" s="454"/>
      <c r="J294" s="438"/>
      <c r="K294" s="438"/>
      <c r="L294" s="438"/>
      <c r="M294" s="438"/>
      <c r="N294" s="438"/>
      <c r="O294" s="438"/>
      <c r="P294" s="438"/>
      <c r="Q294" s="438"/>
      <c r="R294" s="438"/>
      <c r="S294" s="438"/>
      <c r="T294" s="438"/>
      <c r="U294" s="438"/>
      <c r="V294" s="438"/>
      <c r="W294" s="438"/>
      <c r="X294" s="438"/>
      <c r="Y294" s="438"/>
      <c r="Z294" s="438"/>
    </row>
    <row r="295" ht="11.25" customHeight="1">
      <c r="A295" s="438"/>
      <c r="B295" s="438"/>
      <c r="C295" s="438"/>
      <c r="D295" s="438"/>
      <c r="E295" s="438"/>
      <c r="F295" s="438"/>
      <c r="G295" s="454"/>
      <c r="H295" s="454"/>
      <c r="I295" s="454"/>
      <c r="J295" s="438"/>
      <c r="K295" s="438"/>
      <c r="L295" s="438"/>
      <c r="M295" s="438"/>
      <c r="N295" s="438"/>
      <c r="O295" s="438"/>
      <c r="P295" s="438"/>
      <c r="Q295" s="438"/>
      <c r="R295" s="438"/>
      <c r="S295" s="438"/>
      <c r="T295" s="438"/>
      <c r="U295" s="438"/>
      <c r="V295" s="438"/>
      <c r="W295" s="438"/>
      <c r="X295" s="438"/>
      <c r="Y295" s="438"/>
      <c r="Z295" s="438"/>
    </row>
    <row r="296" ht="11.25" customHeight="1">
      <c r="A296" s="438"/>
      <c r="B296" s="438"/>
      <c r="C296" s="438"/>
      <c r="D296" s="438"/>
      <c r="E296" s="438"/>
      <c r="F296" s="438"/>
      <c r="G296" s="454"/>
      <c r="H296" s="454"/>
      <c r="I296" s="454"/>
      <c r="J296" s="438"/>
      <c r="K296" s="438"/>
      <c r="L296" s="438"/>
      <c r="M296" s="438"/>
      <c r="N296" s="438"/>
      <c r="O296" s="438"/>
      <c r="P296" s="438"/>
      <c r="Q296" s="438"/>
      <c r="R296" s="438"/>
      <c r="S296" s="438"/>
      <c r="T296" s="438"/>
      <c r="U296" s="438"/>
      <c r="V296" s="438"/>
      <c r="W296" s="438"/>
      <c r="X296" s="438"/>
      <c r="Y296" s="438"/>
      <c r="Z296" s="438"/>
    </row>
    <row r="297" ht="11.25" customHeight="1">
      <c r="A297" s="438"/>
      <c r="B297" s="438"/>
      <c r="C297" s="438"/>
      <c r="D297" s="438"/>
      <c r="E297" s="438"/>
      <c r="F297" s="438"/>
      <c r="G297" s="454"/>
      <c r="H297" s="454"/>
      <c r="I297" s="454"/>
      <c r="J297" s="438"/>
      <c r="K297" s="438"/>
      <c r="L297" s="438"/>
      <c r="M297" s="438"/>
      <c r="N297" s="438"/>
      <c r="O297" s="438"/>
      <c r="P297" s="438"/>
      <c r="Q297" s="438"/>
      <c r="R297" s="438"/>
      <c r="S297" s="438"/>
      <c r="T297" s="438"/>
      <c r="U297" s="438"/>
      <c r="V297" s="438"/>
      <c r="W297" s="438"/>
      <c r="X297" s="438"/>
      <c r="Y297" s="438"/>
      <c r="Z297" s="438"/>
    </row>
    <row r="298" ht="11.25" customHeight="1">
      <c r="A298" s="438"/>
      <c r="B298" s="438"/>
      <c r="C298" s="438"/>
      <c r="D298" s="438"/>
      <c r="E298" s="438"/>
      <c r="F298" s="438"/>
      <c r="G298" s="454"/>
      <c r="H298" s="454"/>
      <c r="I298" s="454"/>
      <c r="J298" s="438"/>
      <c r="K298" s="438"/>
      <c r="L298" s="438"/>
      <c r="M298" s="438"/>
      <c r="N298" s="438"/>
      <c r="O298" s="438"/>
      <c r="P298" s="438"/>
      <c r="Q298" s="438"/>
      <c r="R298" s="438"/>
      <c r="S298" s="438"/>
      <c r="T298" s="438"/>
      <c r="U298" s="438"/>
      <c r="V298" s="438"/>
      <c r="W298" s="438"/>
      <c r="X298" s="438"/>
      <c r="Y298" s="438"/>
      <c r="Z298" s="438"/>
    </row>
    <row r="299" ht="11.25" customHeight="1">
      <c r="A299" s="438"/>
      <c r="B299" s="438"/>
      <c r="C299" s="438"/>
      <c r="D299" s="438"/>
      <c r="E299" s="438"/>
      <c r="F299" s="438"/>
      <c r="G299" s="454"/>
      <c r="H299" s="454"/>
      <c r="I299" s="454"/>
      <c r="J299" s="438"/>
      <c r="K299" s="438"/>
      <c r="L299" s="438"/>
      <c r="M299" s="438"/>
      <c r="N299" s="438"/>
      <c r="O299" s="438"/>
      <c r="P299" s="438"/>
      <c r="Q299" s="438"/>
      <c r="R299" s="438"/>
      <c r="S299" s="438"/>
      <c r="T299" s="438"/>
      <c r="U299" s="438"/>
      <c r="V299" s="438"/>
      <c r="W299" s="438"/>
      <c r="X299" s="438"/>
      <c r="Y299" s="438"/>
      <c r="Z299" s="438"/>
    </row>
    <row r="300" ht="11.25" customHeight="1">
      <c r="A300" s="438"/>
      <c r="B300" s="438"/>
      <c r="C300" s="438"/>
      <c r="D300" s="438"/>
      <c r="E300" s="438"/>
      <c r="F300" s="438"/>
      <c r="G300" s="454"/>
      <c r="H300" s="454"/>
      <c r="I300" s="454"/>
      <c r="J300" s="438"/>
      <c r="K300" s="438"/>
      <c r="L300" s="438"/>
      <c r="M300" s="438"/>
      <c r="N300" s="438"/>
      <c r="O300" s="438"/>
      <c r="P300" s="438"/>
      <c r="Q300" s="438"/>
      <c r="R300" s="438"/>
      <c r="S300" s="438"/>
      <c r="T300" s="438"/>
      <c r="U300" s="438"/>
      <c r="V300" s="438"/>
      <c r="W300" s="438"/>
      <c r="X300" s="438"/>
      <c r="Y300" s="438"/>
      <c r="Z300" s="438"/>
    </row>
    <row r="301" ht="11.25" customHeight="1">
      <c r="A301" s="438"/>
      <c r="B301" s="438"/>
      <c r="C301" s="438"/>
      <c r="D301" s="438"/>
      <c r="E301" s="438"/>
      <c r="F301" s="438"/>
      <c r="G301" s="454"/>
      <c r="H301" s="454"/>
      <c r="I301" s="454"/>
      <c r="J301" s="438"/>
      <c r="K301" s="438"/>
      <c r="L301" s="438"/>
      <c r="M301" s="438"/>
      <c r="N301" s="438"/>
      <c r="O301" s="438"/>
      <c r="P301" s="438"/>
      <c r="Q301" s="438"/>
      <c r="R301" s="438"/>
      <c r="S301" s="438"/>
      <c r="T301" s="438"/>
      <c r="U301" s="438"/>
      <c r="V301" s="438"/>
      <c r="W301" s="438"/>
      <c r="X301" s="438"/>
      <c r="Y301" s="438"/>
      <c r="Z301" s="438"/>
    </row>
    <row r="302" ht="11.25" customHeight="1">
      <c r="A302" s="438"/>
      <c r="B302" s="438"/>
      <c r="C302" s="438"/>
      <c r="D302" s="438"/>
      <c r="E302" s="438"/>
      <c r="F302" s="438"/>
      <c r="G302" s="454"/>
      <c r="H302" s="454"/>
      <c r="I302" s="454"/>
      <c r="J302" s="438"/>
      <c r="K302" s="438"/>
      <c r="L302" s="438"/>
      <c r="M302" s="438"/>
      <c r="N302" s="438"/>
      <c r="O302" s="438"/>
      <c r="P302" s="438"/>
      <c r="Q302" s="438"/>
      <c r="R302" s="438"/>
      <c r="S302" s="438"/>
      <c r="T302" s="438"/>
      <c r="U302" s="438"/>
      <c r="V302" s="438"/>
      <c r="W302" s="438"/>
      <c r="X302" s="438"/>
      <c r="Y302" s="438"/>
      <c r="Z302" s="438"/>
    </row>
    <row r="303" ht="11.25" customHeight="1">
      <c r="A303" s="438"/>
      <c r="B303" s="438"/>
      <c r="C303" s="438"/>
      <c r="D303" s="438"/>
      <c r="E303" s="438"/>
      <c r="F303" s="438"/>
      <c r="G303" s="454"/>
      <c r="H303" s="454"/>
      <c r="I303" s="454"/>
      <c r="J303" s="438"/>
      <c r="K303" s="438"/>
      <c r="L303" s="438"/>
      <c r="M303" s="438"/>
      <c r="N303" s="438"/>
      <c r="O303" s="438"/>
      <c r="P303" s="438"/>
      <c r="Q303" s="438"/>
      <c r="R303" s="438"/>
      <c r="S303" s="438"/>
      <c r="T303" s="438"/>
      <c r="U303" s="438"/>
      <c r="V303" s="438"/>
      <c r="W303" s="438"/>
      <c r="X303" s="438"/>
      <c r="Y303" s="438"/>
      <c r="Z303" s="438"/>
    </row>
    <row r="304" ht="11.25" customHeight="1">
      <c r="A304" s="438"/>
      <c r="B304" s="438"/>
      <c r="C304" s="438"/>
      <c r="D304" s="438"/>
      <c r="E304" s="438"/>
      <c r="F304" s="438"/>
      <c r="G304" s="454"/>
      <c r="H304" s="454"/>
      <c r="I304" s="454"/>
      <c r="J304" s="438"/>
      <c r="K304" s="438"/>
      <c r="L304" s="438"/>
      <c r="M304" s="438"/>
      <c r="N304" s="438"/>
      <c r="O304" s="438"/>
      <c r="P304" s="438"/>
      <c r="Q304" s="438"/>
      <c r="R304" s="438"/>
      <c r="S304" s="438"/>
      <c r="T304" s="438"/>
      <c r="U304" s="438"/>
      <c r="V304" s="438"/>
      <c r="W304" s="438"/>
      <c r="X304" s="438"/>
      <c r="Y304" s="438"/>
      <c r="Z304" s="438"/>
    </row>
    <row r="305" ht="11.25" customHeight="1">
      <c r="A305" s="438"/>
      <c r="B305" s="438"/>
      <c r="C305" s="438"/>
      <c r="D305" s="438"/>
      <c r="E305" s="438"/>
      <c r="F305" s="438"/>
      <c r="G305" s="454"/>
      <c r="H305" s="454"/>
      <c r="I305" s="454"/>
      <c r="J305" s="438"/>
      <c r="K305" s="438"/>
      <c r="L305" s="438"/>
      <c r="M305" s="438"/>
      <c r="N305" s="438"/>
      <c r="O305" s="438"/>
      <c r="P305" s="438"/>
      <c r="Q305" s="438"/>
      <c r="R305" s="438"/>
      <c r="S305" s="438"/>
      <c r="T305" s="438"/>
      <c r="U305" s="438"/>
      <c r="V305" s="438"/>
      <c r="W305" s="438"/>
      <c r="X305" s="438"/>
      <c r="Y305" s="438"/>
      <c r="Z305" s="438"/>
    </row>
    <row r="306" ht="11.25" customHeight="1">
      <c r="A306" s="438"/>
      <c r="B306" s="438"/>
      <c r="C306" s="438"/>
      <c r="D306" s="438"/>
      <c r="E306" s="438"/>
      <c r="F306" s="438"/>
      <c r="G306" s="454"/>
      <c r="H306" s="454"/>
      <c r="I306" s="454"/>
      <c r="J306" s="438"/>
      <c r="K306" s="438"/>
      <c r="L306" s="438"/>
      <c r="M306" s="438"/>
      <c r="N306" s="438"/>
      <c r="O306" s="438"/>
      <c r="P306" s="438"/>
      <c r="Q306" s="438"/>
      <c r="R306" s="438"/>
      <c r="S306" s="438"/>
      <c r="T306" s="438"/>
      <c r="U306" s="438"/>
      <c r="V306" s="438"/>
      <c r="W306" s="438"/>
      <c r="X306" s="438"/>
      <c r="Y306" s="438"/>
      <c r="Z306" s="438"/>
    </row>
    <row r="307" ht="11.25" customHeight="1">
      <c r="A307" s="438"/>
      <c r="B307" s="438"/>
      <c r="C307" s="438"/>
      <c r="D307" s="438"/>
      <c r="E307" s="438"/>
      <c r="F307" s="438"/>
      <c r="G307" s="454"/>
      <c r="H307" s="454"/>
      <c r="I307" s="454"/>
      <c r="J307" s="438"/>
      <c r="K307" s="438"/>
      <c r="L307" s="438"/>
      <c r="M307" s="438"/>
      <c r="N307" s="438"/>
      <c r="O307" s="438"/>
      <c r="P307" s="438"/>
      <c r="Q307" s="438"/>
      <c r="R307" s="438"/>
      <c r="S307" s="438"/>
      <c r="T307" s="438"/>
      <c r="U307" s="438"/>
      <c r="V307" s="438"/>
      <c r="W307" s="438"/>
      <c r="X307" s="438"/>
      <c r="Y307" s="438"/>
      <c r="Z307" s="438"/>
    </row>
    <row r="308" ht="11.25" customHeight="1">
      <c r="A308" s="438"/>
      <c r="B308" s="438"/>
      <c r="C308" s="438"/>
      <c r="D308" s="438"/>
      <c r="E308" s="438"/>
      <c r="F308" s="438"/>
      <c r="G308" s="454"/>
      <c r="H308" s="454"/>
      <c r="I308" s="454"/>
      <c r="J308" s="438"/>
      <c r="K308" s="438"/>
      <c r="L308" s="438"/>
      <c r="M308" s="438"/>
      <c r="N308" s="438"/>
      <c r="O308" s="438"/>
      <c r="P308" s="438"/>
      <c r="Q308" s="438"/>
      <c r="R308" s="438"/>
      <c r="S308" s="438"/>
      <c r="T308" s="438"/>
      <c r="U308" s="438"/>
      <c r="V308" s="438"/>
      <c r="W308" s="438"/>
      <c r="X308" s="438"/>
      <c r="Y308" s="438"/>
      <c r="Z308" s="438"/>
    </row>
    <row r="309" ht="11.25" customHeight="1">
      <c r="A309" s="438"/>
      <c r="B309" s="438"/>
      <c r="C309" s="438"/>
      <c r="D309" s="438"/>
      <c r="E309" s="438"/>
      <c r="F309" s="438"/>
      <c r="G309" s="454"/>
      <c r="H309" s="454"/>
      <c r="I309" s="454"/>
      <c r="J309" s="438"/>
      <c r="K309" s="438"/>
      <c r="L309" s="438"/>
      <c r="M309" s="438"/>
      <c r="N309" s="438"/>
      <c r="O309" s="438"/>
      <c r="P309" s="438"/>
      <c r="Q309" s="438"/>
      <c r="R309" s="438"/>
      <c r="S309" s="438"/>
      <c r="T309" s="438"/>
      <c r="U309" s="438"/>
      <c r="V309" s="438"/>
      <c r="W309" s="438"/>
      <c r="X309" s="438"/>
      <c r="Y309" s="438"/>
      <c r="Z309" s="438"/>
    </row>
    <row r="310" ht="11.25" customHeight="1">
      <c r="A310" s="438"/>
      <c r="B310" s="438"/>
      <c r="C310" s="438"/>
      <c r="D310" s="438"/>
      <c r="E310" s="438"/>
      <c r="F310" s="438"/>
      <c r="G310" s="454"/>
      <c r="H310" s="454"/>
      <c r="I310" s="454"/>
      <c r="J310" s="438"/>
      <c r="K310" s="438"/>
      <c r="L310" s="438"/>
      <c r="M310" s="438"/>
      <c r="N310" s="438"/>
      <c r="O310" s="438"/>
      <c r="P310" s="438"/>
      <c r="Q310" s="438"/>
      <c r="R310" s="438"/>
      <c r="S310" s="438"/>
      <c r="T310" s="438"/>
      <c r="U310" s="438"/>
      <c r="V310" s="438"/>
      <c r="W310" s="438"/>
      <c r="X310" s="438"/>
      <c r="Y310" s="438"/>
      <c r="Z310" s="438"/>
    </row>
    <row r="311" ht="11.25" customHeight="1">
      <c r="A311" s="438"/>
      <c r="B311" s="438"/>
      <c r="C311" s="438"/>
      <c r="D311" s="438"/>
      <c r="E311" s="438"/>
      <c r="F311" s="438"/>
      <c r="G311" s="454"/>
      <c r="H311" s="454"/>
      <c r="I311" s="454"/>
      <c r="J311" s="438"/>
      <c r="K311" s="438"/>
      <c r="L311" s="438"/>
      <c r="M311" s="438"/>
      <c r="N311" s="438"/>
      <c r="O311" s="438"/>
      <c r="P311" s="438"/>
      <c r="Q311" s="438"/>
      <c r="R311" s="438"/>
      <c r="S311" s="438"/>
      <c r="T311" s="438"/>
      <c r="U311" s="438"/>
      <c r="V311" s="438"/>
      <c r="W311" s="438"/>
      <c r="X311" s="438"/>
      <c r="Y311" s="438"/>
      <c r="Z311" s="438"/>
    </row>
    <row r="312" ht="11.25" customHeight="1">
      <c r="A312" s="438"/>
      <c r="B312" s="438"/>
      <c r="C312" s="438"/>
      <c r="D312" s="438"/>
      <c r="E312" s="438"/>
      <c r="F312" s="438"/>
      <c r="G312" s="454"/>
      <c r="H312" s="454"/>
      <c r="I312" s="454"/>
      <c r="J312" s="438"/>
      <c r="K312" s="438"/>
      <c r="L312" s="438"/>
      <c r="M312" s="438"/>
      <c r="N312" s="438"/>
      <c r="O312" s="438"/>
      <c r="P312" s="438"/>
      <c r="Q312" s="438"/>
      <c r="R312" s="438"/>
      <c r="S312" s="438"/>
      <c r="T312" s="438"/>
      <c r="U312" s="438"/>
      <c r="V312" s="438"/>
      <c r="W312" s="438"/>
      <c r="X312" s="438"/>
      <c r="Y312" s="438"/>
      <c r="Z312" s="438"/>
    </row>
    <row r="313" ht="11.25" customHeight="1">
      <c r="A313" s="438"/>
      <c r="B313" s="438"/>
      <c r="C313" s="438"/>
      <c r="D313" s="438"/>
      <c r="E313" s="438"/>
      <c r="F313" s="438"/>
      <c r="G313" s="454"/>
      <c r="H313" s="454"/>
      <c r="I313" s="454"/>
      <c r="J313" s="438"/>
      <c r="K313" s="438"/>
      <c r="L313" s="438"/>
      <c r="M313" s="438"/>
      <c r="N313" s="438"/>
      <c r="O313" s="438"/>
      <c r="P313" s="438"/>
      <c r="Q313" s="438"/>
      <c r="R313" s="438"/>
      <c r="S313" s="438"/>
      <c r="T313" s="438"/>
      <c r="U313" s="438"/>
      <c r="V313" s="438"/>
      <c r="W313" s="438"/>
      <c r="X313" s="438"/>
      <c r="Y313" s="438"/>
      <c r="Z313" s="438"/>
    </row>
    <row r="314" ht="11.25" customHeight="1">
      <c r="A314" s="438"/>
      <c r="B314" s="438"/>
      <c r="C314" s="438"/>
      <c r="D314" s="438"/>
      <c r="E314" s="438"/>
      <c r="F314" s="438"/>
      <c r="G314" s="454"/>
      <c r="H314" s="454"/>
      <c r="I314" s="454"/>
      <c r="J314" s="438"/>
      <c r="K314" s="438"/>
      <c r="L314" s="438"/>
      <c r="M314" s="438"/>
      <c r="N314" s="438"/>
      <c r="O314" s="438"/>
      <c r="P314" s="438"/>
      <c r="Q314" s="438"/>
      <c r="R314" s="438"/>
      <c r="S314" s="438"/>
      <c r="T314" s="438"/>
      <c r="U314" s="438"/>
      <c r="V314" s="438"/>
      <c r="W314" s="438"/>
      <c r="X314" s="438"/>
      <c r="Y314" s="438"/>
      <c r="Z314" s="438"/>
    </row>
    <row r="315" ht="11.25" customHeight="1">
      <c r="A315" s="438"/>
      <c r="B315" s="438"/>
      <c r="C315" s="438"/>
      <c r="D315" s="438"/>
      <c r="E315" s="438"/>
      <c r="F315" s="438"/>
      <c r="G315" s="454"/>
      <c r="H315" s="454"/>
      <c r="I315" s="454"/>
      <c r="J315" s="438"/>
      <c r="K315" s="438"/>
      <c r="L315" s="438"/>
      <c r="M315" s="438"/>
      <c r="N315" s="438"/>
      <c r="O315" s="438"/>
      <c r="P315" s="438"/>
      <c r="Q315" s="438"/>
      <c r="R315" s="438"/>
      <c r="S315" s="438"/>
      <c r="T315" s="438"/>
      <c r="U315" s="438"/>
      <c r="V315" s="438"/>
      <c r="W315" s="438"/>
      <c r="X315" s="438"/>
      <c r="Y315" s="438"/>
      <c r="Z315" s="438"/>
    </row>
    <row r="316" ht="11.25" customHeight="1">
      <c r="A316" s="438"/>
      <c r="B316" s="438"/>
      <c r="C316" s="438"/>
      <c r="D316" s="438"/>
      <c r="E316" s="438"/>
      <c r="F316" s="438"/>
      <c r="G316" s="454"/>
      <c r="H316" s="454"/>
      <c r="I316" s="454"/>
      <c r="J316" s="438"/>
      <c r="K316" s="438"/>
      <c r="L316" s="438"/>
      <c r="M316" s="438"/>
      <c r="N316" s="438"/>
      <c r="O316" s="438"/>
      <c r="P316" s="438"/>
      <c r="Q316" s="438"/>
      <c r="R316" s="438"/>
      <c r="S316" s="438"/>
      <c r="T316" s="438"/>
      <c r="U316" s="438"/>
      <c r="V316" s="438"/>
      <c r="W316" s="438"/>
      <c r="X316" s="438"/>
      <c r="Y316" s="438"/>
      <c r="Z316" s="438"/>
    </row>
    <row r="317" ht="11.25" customHeight="1">
      <c r="A317" s="438"/>
      <c r="B317" s="438"/>
      <c r="C317" s="438"/>
      <c r="D317" s="438"/>
      <c r="E317" s="438"/>
      <c r="F317" s="438"/>
      <c r="G317" s="454"/>
      <c r="H317" s="454"/>
      <c r="I317" s="454"/>
      <c r="J317" s="438"/>
      <c r="K317" s="438"/>
      <c r="L317" s="438"/>
      <c r="M317" s="438"/>
      <c r="N317" s="438"/>
      <c r="O317" s="438"/>
      <c r="P317" s="438"/>
      <c r="Q317" s="438"/>
      <c r="R317" s="438"/>
      <c r="S317" s="438"/>
      <c r="T317" s="438"/>
      <c r="U317" s="438"/>
      <c r="V317" s="438"/>
      <c r="W317" s="438"/>
      <c r="X317" s="438"/>
      <c r="Y317" s="438"/>
      <c r="Z317" s="438"/>
    </row>
    <row r="318" ht="11.25" customHeight="1">
      <c r="A318" s="438"/>
      <c r="B318" s="438"/>
      <c r="C318" s="438"/>
      <c r="D318" s="438"/>
      <c r="E318" s="438"/>
      <c r="F318" s="438"/>
      <c r="G318" s="454"/>
      <c r="H318" s="454"/>
      <c r="I318" s="454"/>
      <c r="J318" s="438"/>
      <c r="K318" s="438"/>
      <c r="L318" s="438"/>
      <c r="M318" s="438"/>
      <c r="N318" s="438"/>
      <c r="O318" s="438"/>
      <c r="P318" s="438"/>
      <c r="Q318" s="438"/>
      <c r="R318" s="438"/>
      <c r="S318" s="438"/>
      <c r="T318" s="438"/>
      <c r="U318" s="438"/>
      <c r="V318" s="438"/>
      <c r="W318" s="438"/>
      <c r="X318" s="438"/>
      <c r="Y318" s="438"/>
      <c r="Z318" s="438"/>
    </row>
    <row r="319" ht="11.25" customHeight="1">
      <c r="A319" s="438"/>
      <c r="B319" s="438"/>
      <c r="C319" s="438"/>
      <c r="D319" s="438"/>
      <c r="E319" s="438"/>
      <c r="F319" s="438"/>
      <c r="G319" s="454"/>
      <c r="H319" s="454"/>
      <c r="I319" s="454"/>
      <c r="J319" s="438"/>
      <c r="K319" s="438"/>
      <c r="L319" s="438"/>
      <c r="M319" s="438"/>
      <c r="N319" s="438"/>
      <c r="O319" s="438"/>
      <c r="P319" s="438"/>
      <c r="Q319" s="438"/>
      <c r="R319" s="438"/>
      <c r="S319" s="438"/>
      <c r="T319" s="438"/>
      <c r="U319" s="438"/>
      <c r="V319" s="438"/>
      <c r="W319" s="438"/>
      <c r="X319" s="438"/>
      <c r="Y319" s="438"/>
      <c r="Z319" s="438"/>
    </row>
    <row r="320" ht="11.25" customHeight="1">
      <c r="A320" s="438"/>
      <c r="B320" s="438"/>
      <c r="C320" s="438"/>
      <c r="D320" s="438"/>
      <c r="E320" s="438"/>
      <c r="F320" s="438"/>
      <c r="G320" s="454"/>
      <c r="H320" s="454"/>
      <c r="I320" s="454"/>
      <c r="J320" s="438"/>
      <c r="K320" s="438"/>
      <c r="L320" s="438"/>
      <c r="M320" s="438"/>
      <c r="N320" s="438"/>
      <c r="O320" s="438"/>
      <c r="P320" s="438"/>
      <c r="Q320" s="438"/>
      <c r="R320" s="438"/>
      <c r="S320" s="438"/>
      <c r="T320" s="438"/>
      <c r="U320" s="438"/>
      <c r="V320" s="438"/>
      <c r="W320" s="438"/>
      <c r="X320" s="438"/>
      <c r="Y320" s="438"/>
      <c r="Z320" s="438"/>
    </row>
    <row r="321" ht="11.25" customHeight="1">
      <c r="A321" s="438"/>
      <c r="B321" s="438"/>
      <c r="C321" s="438"/>
      <c r="D321" s="438"/>
      <c r="E321" s="438"/>
      <c r="F321" s="438"/>
      <c r="G321" s="454"/>
      <c r="H321" s="454"/>
      <c r="I321" s="454"/>
      <c r="J321" s="438"/>
      <c r="K321" s="438"/>
      <c r="L321" s="438"/>
      <c r="M321" s="438"/>
      <c r="N321" s="438"/>
      <c r="O321" s="438"/>
      <c r="P321" s="438"/>
      <c r="Q321" s="438"/>
      <c r="R321" s="438"/>
      <c r="S321" s="438"/>
      <c r="T321" s="438"/>
      <c r="U321" s="438"/>
      <c r="V321" s="438"/>
      <c r="W321" s="438"/>
      <c r="X321" s="438"/>
      <c r="Y321" s="438"/>
      <c r="Z321" s="438"/>
    </row>
    <row r="322" ht="11.25" customHeight="1">
      <c r="A322" s="438"/>
      <c r="B322" s="438"/>
      <c r="C322" s="438"/>
      <c r="D322" s="438"/>
      <c r="E322" s="438"/>
      <c r="F322" s="438"/>
      <c r="G322" s="454"/>
      <c r="H322" s="454"/>
      <c r="I322" s="454"/>
      <c r="J322" s="438"/>
      <c r="K322" s="438"/>
      <c r="L322" s="438"/>
      <c r="M322" s="438"/>
      <c r="N322" s="438"/>
      <c r="O322" s="438"/>
      <c r="P322" s="438"/>
      <c r="Q322" s="438"/>
      <c r="R322" s="438"/>
      <c r="S322" s="438"/>
      <c r="T322" s="438"/>
      <c r="U322" s="438"/>
      <c r="V322" s="438"/>
      <c r="W322" s="438"/>
      <c r="X322" s="438"/>
      <c r="Y322" s="438"/>
      <c r="Z322" s="438"/>
    </row>
    <row r="323" ht="11.25" customHeight="1">
      <c r="A323" s="438"/>
      <c r="B323" s="438"/>
      <c r="C323" s="438"/>
      <c r="D323" s="438"/>
      <c r="E323" s="438"/>
      <c r="F323" s="438"/>
      <c r="G323" s="454"/>
      <c r="H323" s="454"/>
      <c r="I323" s="454"/>
      <c r="J323" s="438"/>
      <c r="K323" s="438"/>
      <c r="L323" s="438"/>
      <c r="M323" s="438"/>
      <c r="N323" s="438"/>
      <c r="O323" s="438"/>
      <c r="P323" s="438"/>
      <c r="Q323" s="438"/>
      <c r="R323" s="438"/>
      <c r="S323" s="438"/>
      <c r="T323" s="438"/>
      <c r="U323" s="438"/>
      <c r="V323" s="438"/>
      <c r="W323" s="438"/>
      <c r="X323" s="438"/>
      <c r="Y323" s="438"/>
      <c r="Z323" s="438"/>
    </row>
    <row r="324" ht="11.25" customHeight="1">
      <c r="A324" s="438"/>
      <c r="B324" s="438"/>
      <c r="C324" s="438"/>
      <c r="D324" s="438"/>
      <c r="E324" s="438"/>
      <c r="F324" s="438"/>
      <c r="G324" s="454"/>
      <c r="H324" s="454"/>
      <c r="I324" s="454"/>
      <c r="J324" s="438"/>
      <c r="K324" s="438"/>
      <c r="L324" s="438"/>
      <c r="M324" s="438"/>
      <c r="N324" s="438"/>
      <c r="O324" s="438"/>
      <c r="P324" s="438"/>
      <c r="Q324" s="438"/>
      <c r="R324" s="438"/>
      <c r="S324" s="438"/>
      <c r="T324" s="438"/>
      <c r="U324" s="438"/>
      <c r="V324" s="438"/>
      <c r="W324" s="438"/>
      <c r="X324" s="438"/>
      <c r="Y324" s="438"/>
      <c r="Z324" s="438"/>
    </row>
    <row r="325" ht="11.25" customHeight="1">
      <c r="A325" s="438"/>
      <c r="B325" s="438"/>
      <c r="C325" s="438"/>
      <c r="D325" s="438"/>
      <c r="E325" s="438"/>
      <c r="F325" s="438"/>
      <c r="G325" s="454"/>
      <c r="H325" s="454"/>
      <c r="I325" s="454"/>
      <c r="J325" s="438"/>
      <c r="K325" s="438"/>
      <c r="L325" s="438"/>
      <c r="M325" s="438"/>
      <c r="N325" s="438"/>
      <c r="O325" s="438"/>
      <c r="P325" s="438"/>
      <c r="Q325" s="438"/>
      <c r="R325" s="438"/>
      <c r="S325" s="438"/>
      <c r="T325" s="438"/>
      <c r="U325" s="438"/>
      <c r="V325" s="438"/>
      <c r="W325" s="438"/>
      <c r="X325" s="438"/>
      <c r="Y325" s="438"/>
      <c r="Z325" s="438"/>
    </row>
    <row r="326" ht="11.25" customHeight="1">
      <c r="A326" s="438"/>
      <c r="B326" s="438"/>
      <c r="C326" s="438"/>
      <c r="D326" s="438"/>
      <c r="E326" s="438"/>
      <c r="F326" s="438"/>
      <c r="G326" s="454"/>
      <c r="H326" s="454"/>
      <c r="I326" s="454"/>
      <c r="J326" s="438"/>
      <c r="K326" s="438"/>
      <c r="L326" s="438"/>
      <c r="M326" s="438"/>
      <c r="N326" s="438"/>
      <c r="O326" s="438"/>
      <c r="P326" s="438"/>
      <c r="Q326" s="438"/>
      <c r="R326" s="438"/>
      <c r="S326" s="438"/>
      <c r="T326" s="438"/>
      <c r="U326" s="438"/>
      <c r="V326" s="438"/>
      <c r="W326" s="438"/>
      <c r="X326" s="438"/>
      <c r="Y326" s="438"/>
      <c r="Z326" s="438"/>
    </row>
    <row r="327" ht="11.25" customHeight="1">
      <c r="A327" s="438"/>
      <c r="B327" s="438"/>
      <c r="C327" s="438"/>
      <c r="D327" s="438"/>
      <c r="E327" s="438"/>
      <c r="F327" s="438"/>
      <c r="G327" s="454"/>
      <c r="H327" s="454"/>
      <c r="I327" s="454"/>
      <c r="J327" s="438"/>
      <c r="K327" s="438"/>
      <c r="L327" s="438"/>
      <c r="M327" s="438"/>
      <c r="N327" s="438"/>
      <c r="O327" s="438"/>
      <c r="P327" s="438"/>
      <c r="Q327" s="438"/>
      <c r="R327" s="438"/>
      <c r="S327" s="438"/>
      <c r="T327" s="438"/>
      <c r="U327" s="438"/>
      <c r="V327" s="438"/>
      <c r="W327" s="438"/>
      <c r="X327" s="438"/>
      <c r="Y327" s="438"/>
      <c r="Z327" s="438"/>
    </row>
    <row r="328" ht="11.25" customHeight="1">
      <c r="A328" s="438"/>
      <c r="B328" s="438"/>
      <c r="C328" s="438"/>
      <c r="D328" s="438"/>
      <c r="E328" s="438"/>
      <c r="F328" s="438"/>
      <c r="G328" s="454"/>
      <c r="H328" s="454"/>
      <c r="I328" s="454"/>
      <c r="J328" s="438"/>
      <c r="K328" s="438"/>
      <c r="L328" s="438"/>
      <c r="M328" s="438"/>
      <c r="N328" s="438"/>
      <c r="O328" s="438"/>
      <c r="P328" s="438"/>
      <c r="Q328" s="438"/>
      <c r="R328" s="438"/>
      <c r="S328" s="438"/>
      <c r="T328" s="438"/>
      <c r="U328" s="438"/>
      <c r="V328" s="438"/>
      <c r="W328" s="438"/>
      <c r="X328" s="438"/>
      <c r="Y328" s="438"/>
      <c r="Z328" s="438"/>
    </row>
    <row r="329" ht="11.25" customHeight="1">
      <c r="A329" s="438"/>
      <c r="B329" s="438"/>
      <c r="C329" s="438"/>
      <c r="D329" s="438"/>
      <c r="E329" s="438"/>
      <c r="F329" s="438"/>
      <c r="G329" s="454"/>
      <c r="H329" s="454"/>
      <c r="I329" s="454"/>
      <c r="J329" s="438"/>
      <c r="K329" s="438"/>
      <c r="L329" s="438"/>
      <c r="M329" s="438"/>
      <c r="N329" s="438"/>
      <c r="O329" s="438"/>
      <c r="P329" s="438"/>
      <c r="Q329" s="438"/>
      <c r="R329" s="438"/>
      <c r="S329" s="438"/>
      <c r="T329" s="438"/>
      <c r="U329" s="438"/>
      <c r="V329" s="438"/>
      <c r="W329" s="438"/>
      <c r="X329" s="438"/>
      <c r="Y329" s="438"/>
      <c r="Z329" s="438"/>
    </row>
    <row r="330" ht="11.25" customHeight="1">
      <c r="A330" s="438"/>
      <c r="B330" s="438"/>
      <c r="C330" s="438"/>
      <c r="D330" s="438"/>
      <c r="E330" s="438"/>
      <c r="F330" s="438"/>
      <c r="G330" s="454"/>
      <c r="H330" s="454"/>
      <c r="I330" s="454"/>
      <c r="J330" s="438"/>
      <c r="K330" s="438"/>
      <c r="L330" s="438"/>
      <c r="M330" s="438"/>
      <c r="N330" s="438"/>
      <c r="O330" s="438"/>
      <c r="P330" s="438"/>
      <c r="Q330" s="438"/>
      <c r="R330" s="438"/>
      <c r="S330" s="438"/>
      <c r="T330" s="438"/>
      <c r="U330" s="438"/>
      <c r="V330" s="438"/>
      <c r="W330" s="438"/>
      <c r="X330" s="438"/>
      <c r="Y330" s="438"/>
      <c r="Z330" s="438"/>
    </row>
    <row r="331" ht="11.25" customHeight="1">
      <c r="A331" s="438"/>
      <c r="B331" s="438"/>
      <c r="C331" s="438"/>
      <c r="D331" s="438"/>
      <c r="E331" s="438"/>
      <c r="F331" s="438"/>
      <c r="G331" s="454"/>
      <c r="H331" s="454"/>
      <c r="I331" s="454"/>
      <c r="J331" s="438"/>
      <c r="K331" s="438"/>
      <c r="L331" s="438"/>
      <c r="M331" s="438"/>
      <c r="N331" s="438"/>
      <c r="O331" s="438"/>
      <c r="P331" s="438"/>
      <c r="Q331" s="438"/>
      <c r="R331" s="438"/>
      <c r="S331" s="438"/>
      <c r="T331" s="438"/>
      <c r="U331" s="438"/>
      <c r="V331" s="438"/>
      <c r="W331" s="438"/>
      <c r="X331" s="438"/>
      <c r="Y331" s="438"/>
      <c r="Z331" s="438"/>
    </row>
    <row r="332" ht="11.25" customHeight="1">
      <c r="A332" s="438"/>
      <c r="B332" s="438"/>
      <c r="C332" s="438"/>
      <c r="D332" s="438"/>
      <c r="E332" s="438"/>
      <c r="F332" s="438"/>
      <c r="G332" s="454"/>
      <c r="H332" s="454"/>
      <c r="I332" s="454"/>
      <c r="J332" s="438"/>
      <c r="K332" s="438"/>
      <c r="L332" s="438"/>
      <c r="M332" s="438"/>
      <c r="N332" s="438"/>
      <c r="O332" s="438"/>
      <c r="P332" s="438"/>
      <c r="Q332" s="438"/>
      <c r="R332" s="438"/>
      <c r="S332" s="438"/>
      <c r="T332" s="438"/>
      <c r="U332" s="438"/>
      <c r="V332" s="438"/>
      <c r="W332" s="438"/>
      <c r="X332" s="438"/>
      <c r="Y332" s="438"/>
      <c r="Z332" s="438"/>
    </row>
    <row r="333" ht="11.25" customHeight="1">
      <c r="A333" s="438"/>
      <c r="B333" s="438"/>
      <c r="C333" s="438"/>
      <c r="D333" s="438"/>
      <c r="E333" s="438"/>
      <c r="F333" s="438"/>
      <c r="G333" s="454"/>
      <c r="H333" s="454"/>
      <c r="I333" s="454"/>
      <c r="J333" s="438"/>
      <c r="K333" s="438"/>
      <c r="L333" s="438"/>
      <c r="M333" s="438"/>
      <c r="N333" s="438"/>
      <c r="O333" s="438"/>
      <c r="P333" s="438"/>
      <c r="Q333" s="438"/>
      <c r="R333" s="438"/>
      <c r="S333" s="438"/>
      <c r="T333" s="438"/>
      <c r="U333" s="438"/>
      <c r="V333" s="438"/>
      <c r="W333" s="438"/>
      <c r="X333" s="438"/>
      <c r="Y333" s="438"/>
      <c r="Z333" s="438"/>
    </row>
    <row r="334" ht="11.25" customHeight="1">
      <c r="A334" s="438"/>
      <c r="B334" s="438"/>
      <c r="C334" s="438"/>
      <c r="D334" s="438"/>
      <c r="E334" s="438"/>
      <c r="F334" s="438"/>
      <c r="G334" s="454"/>
      <c r="H334" s="454"/>
      <c r="I334" s="454"/>
      <c r="J334" s="438"/>
      <c r="K334" s="438"/>
      <c r="L334" s="438"/>
      <c r="M334" s="438"/>
      <c r="N334" s="438"/>
      <c r="O334" s="438"/>
      <c r="P334" s="438"/>
      <c r="Q334" s="438"/>
      <c r="R334" s="438"/>
      <c r="S334" s="438"/>
      <c r="T334" s="438"/>
      <c r="U334" s="438"/>
      <c r="V334" s="438"/>
      <c r="W334" s="438"/>
      <c r="X334" s="438"/>
      <c r="Y334" s="438"/>
      <c r="Z334" s="438"/>
    </row>
    <row r="335" ht="11.25" customHeight="1">
      <c r="A335" s="438"/>
      <c r="B335" s="438"/>
      <c r="C335" s="438"/>
      <c r="D335" s="438"/>
      <c r="E335" s="438"/>
      <c r="F335" s="438"/>
      <c r="G335" s="454"/>
      <c r="H335" s="454"/>
      <c r="I335" s="454"/>
      <c r="J335" s="438"/>
      <c r="K335" s="438"/>
      <c r="L335" s="438"/>
      <c r="M335" s="438"/>
      <c r="N335" s="438"/>
      <c r="O335" s="438"/>
      <c r="P335" s="438"/>
      <c r="Q335" s="438"/>
      <c r="R335" s="438"/>
      <c r="S335" s="438"/>
      <c r="T335" s="438"/>
      <c r="U335" s="438"/>
      <c r="V335" s="438"/>
      <c r="W335" s="438"/>
      <c r="X335" s="438"/>
      <c r="Y335" s="438"/>
      <c r="Z335" s="438"/>
    </row>
    <row r="336" ht="11.25" customHeight="1">
      <c r="A336" s="438"/>
      <c r="B336" s="438"/>
      <c r="C336" s="438"/>
      <c r="D336" s="438"/>
      <c r="E336" s="438"/>
      <c r="F336" s="438"/>
      <c r="G336" s="454"/>
      <c r="H336" s="454"/>
      <c r="I336" s="454"/>
      <c r="J336" s="438"/>
      <c r="K336" s="438"/>
      <c r="L336" s="438"/>
      <c r="M336" s="438"/>
      <c r="N336" s="438"/>
      <c r="O336" s="438"/>
      <c r="P336" s="438"/>
      <c r="Q336" s="438"/>
      <c r="R336" s="438"/>
      <c r="S336" s="438"/>
      <c r="T336" s="438"/>
      <c r="U336" s="438"/>
      <c r="V336" s="438"/>
      <c r="W336" s="438"/>
      <c r="X336" s="438"/>
      <c r="Y336" s="438"/>
      <c r="Z336" s="438"/>
    </row>
    <row r="337" ht="11.25" customHeight="1">
      <c r="A337" s="438"/>
      <c r="B337" s="438"/>
      <c r="C337" s="438"/>
      <c r="D337" s="438"/>
      <c r="E337" s="438"/>
      <c r="F337" s="438"/>
      <c r="G337" s="454"/>
      <c r="H337" s="454"/>
      <c r="I337" s="454"/>
      <c r="J337" s="438"/>
      <c r="K337" s="438"/>
      <c r="L337" s="438"/>
      <c r="M337" s="438"/>
      <c r="N337" s="438"/>
      <c r="O337" s="438"/>
      <c r="P337" s="438"/>
      <c r="Q337" s="438"/>
      <c r="R337" s="438"/>
      <c r="S337" s="438"/>
      <c r="T337" s="438"/>
      <c r="U337" s="438"/>
      <c r="V337" s="438"/>
      <c r="W337" s="438"/>
      <c r="X337" s="438"/>
      <c r="Y337" s="438"/>
      <c r="Z337" s="438"/>
    </row>
    <row r="338" ht="11.25" customHeight="1">
      <c r="A338" s="438"/>
      <c r="B338" s="438"/>
      <c r="C338" s="438"/>
      <c r="D338" s="438"/>
      <c r="E338" s="438"/>
      <c r="F338" s="438"/>
      <c r="G338" s="454"/>
      <c r="H338" s="454"/>
      <c r="I338" s="454"/>
      <c r="J338" s="438"/>
      <c r="K338" s="438"/>
      <c r="L338" s="438"/>
      <c r="M338" s="438"/>
      <c r="N338" s="438"/>
      <c r="O338" s="438"/>
      <c r="P338" s="438"/>
      <c r="Q338" s="438"/>
      <c r="R338" s="438"/>
      <c r="S338" s="438"/>
      <c r="T338" s="438"/>
      <c r="U338" s="438"/>
      <c r="V338" s="438"/>
      <c r="W338" s="438"/>
      <c r="X338" s="438"/>
      <c r="Y338" s="438"/>
      <c r="Z338" s="438"/>
    </row>
    <row r="339" ht="11.25" customHeight="1">
      <c r="A339" s="438"/>
      <c r="B339" s="438"/>
      <c r="C339" s="438"/>
      <c r="D339" s="438"/>
      <c r="E339" s="438"/>
      <c r="F339" s="438"/>
      <c r="G339" s="454"/>
      <c r="H339" s="454"/>
      <c r="I339" s="454"/>
      <c r="J339" s="438"/>
      <c r="K339" s="438"/>
      <c r="L339" s="438"/>
      <c r="M339" s="438"/>
      <c r="N339" s="438"/>
      <c r="O339" s="438"/>
      <c r="P339" s="438"/>
      <c r="Q339" s="438"/>
      <c r="R339" s="438"/>
      <c r="S339" s="438"/>
      <c r="T339" s="438"/>
      <c r="U339" s="438"/>
      <c r="V339" s="438"/>
      <c r="W339" s="438"/>
      <c r="X339" s="438"/>
      <c r="Y339" s="438"/>
      <c r="Z339" s="438"/>
    </row>
    <row r="340" ht="11.25" customHeight="1">
      <c r="A340" s="438"/>
      <c r="B340" s="438"/>
      <c r="C340" s="438"/>
      <c r="D340" s="438"/>
      <c r="E340" s="438"/>
      <c r="F340" s="438"/>
      <c r="G340" s="454"/>
      <c r="H340" s="454"/>
      <c r="I340" s="454"/>
      <c r="J340" s="438"/>
      <c r="K340" s="438"/>
      <c r="L340" s="438"/>
      <c r="M340" s="438"/>
      <c r="N340" s="438"/>
      <c r="O340" s="438"/>
      <c r="P340" s="438"/>
      <c r="Q340" s="438"/>
      <c r="R340" s="438"/>
      <c r="S340" s="438"/>
      <c r="T340" s="438"/>
      <c r="U340" s="438"/>
      <c r="V340" s="438"/>
      <c r="W340" s="438"/>
      <c r="X340" s="438"/>
      <c r="Y340" s="438"/>
      <c r="Z340" s="438"/>
    </row>
    <row r="341" ht="11.25" customHeight="1">
      <c r="A341" s="438"/>
      <c r="B341" s="438"/>
      <c r="C341" s="438"/>
      <c r="D341" s="438"/>
      <c r="E341" s="438"/>
      <c r="F341" s="438"/>
      <c r="G341" s="454"/>
      <c r="H341" s="454"/>
      <c r="I341" s="454"/>
      <c r="J341" s="438"/>
      <c r="K341" s="438"/>
      <c r="L341" s="438"/>
      <c r="M341" s="438"/>
      <c r="N341" s="438"/>
      <c r="O341" s="438"/>
      <c r="P341" s="438"/>
      <c r="Q341" s="438"/>
      <c r="R341" s="438"/>
      <c r="S341" s="438"/>
      <c r="T341" s="438"/>
      <c r="U341" s="438"/>
      <c r="V341" s="438"/>
      <c r="W341" s="438"/>
      <c r="X341" s="438"/>
      <c r="Y341" s="438"/>
      <c r="Z341" s="438"/>
    </row>
    <row r="342" ht="11.25" customHeight="1">
      <c r="A342" s="438"/>
      <c r="B342" s="438"/>
      <c r="C342" s="438"/>
      <c r="D342" s="438"/>
      <c r="E342" s="438"/>
      <c r="F342" s="438"/>
      <c r="G342" s="454"/>
      <c r="H342" s="454"/>
      <c r="I342" s="454"/>
      <c r="J342" s="438"/>
      <c r="K342" s="438"/>
      <c r="L342" s="438"/>
      <c r="M342" s="438"/>
      <c r="N342" s="438"/>
      <c r="O342" s="438"/>
      <c r="P342" s="438"/>
      <c r="Q342" s="438"/>
      <c r="R342" s="438"/>
      <c r="S342" s="438"/>
      <c r="T342" s="438"/>
      <c r="U342" s="438"/>
      <c r="V342" s="438"/>
      <c r="W342" s="438"/>
      <c r="X342" s="438"/>
      <c r="Y342" s="438"/>
      <c r="Z342" s="438"/>
    </row>
    <row r="343" ht="11.25" customHeight="1">
      <c r="A343" s="438"/>
      <c r="B343" s="438"/>
      <c r="C343" s="438"/>
      <c r="D343" s="438"/>
      <c r="E343" s="438"/>
      <c r="F343" s="438"/>
      <c r="G343" s="454"/>
      <c r="H343" s="454"/>
      <c r="I343" s="454"/>
      <c r="J343" s="438"/>
      <c r="K343" s="438"/>
      <c r="L343" s="438"/>
      <c r="M343" s="438"/>
      <c r="N343" s="438"/>
      <c r="O343" s="438"/>
      <c r="P343" s="438"/>
      <c r="Q343" s="438"/>
      <c r="R343" s="438"/>
      <c r="S343" s="438"/>
      <c r="T343" s="438"/>
      <c r="U343" s="438"/>
      <c r="V343" s="438"/>
      <c r="W343" s="438"/>
      <c r="X343" s="438"/>
      <c r="Y343" s="438"/>
      <c r="Z343" s="438"/>
    </row>
    <row r="344" ht="11.25" customHeight="1">
      <c r="A344" s="438"/>
      <c r="B344" s="438"/>
      <c r="C344" s="438"/>
      <c r="D344" s="438"/>
      <c r="E344" s="438"/>
      <c r="F344" s="438"/>
      <c r="G344" s="454"/>
      <c r="H344" s="454"/>
      <c r="I344" s="454"/>
      <c r="J344" s="438"/>
      <c r="K344" s="438"/>
      <c r="L344" s="438"/>
      <c r="M344" s="438"/>
      <c r="N344" s="438"/>
      <c r="O344" s="438"/>
      <c r="P344" s="438"/>
      <c r="Q344" s="438"/>
      <c r="R344" s="438"/>
      <c r="S344" s="438"/>
      <c r="T344" s="438"/>
      <c r="U344" s="438"/>
      <c r="V344" s="438"/>
      <c r="W344" s="438"/>
      <c r="X344" s="438"/>
      <c r="Y344" s="438"/>
      <c r="Z344" s="438"/>
    </row>
    <row r="345" ht="11.25" customHeight="1">
      <c r="A345" s="438"/>
      <c r="B345" s="438"/>
      <c r="C345" s="438"/>
      <c r="D345" s="438"/>
      <c r="E345" s="438"/>
      <c r="F345" s="438"/>
      <c r="G345" s="454"/>
      <c r="H345" s="454"/>
      <c r="I345" s="454"/>
      <c r="J345" s="438"/>
      <c r="K345" s="438"/>
      <c r="L345" s="438"/>
      <c r="M345" s="438"/>
      <c r="N345" s="438"/>
      <c r="O345" s="438"/>
      <c r="P345" s="438"/>
      <c r="Q345" s="438"/>
      <c r="R345" s="438"/>
      <c r="S345" s="438"/>
      <c r="T345" s="438"/>
      <c r="U345" s="438"/>
      <c r="V345" s="438"/>
      <c r="W345" s="438"/>
      <c r="X345" s="438"/>
      <c r="Y345" s="438"/>
      <c r="Z345" s="438"/>
    </row>
    <row r="346" ht="11.25" customHeight="1">
      <c r="A346" s="438"/>
      <c r="B346" s="438"/>
      <c r="C346" s="438"/>
      <c r="D346" s="438"/>
      <c r="E346" s="438"/>
      <c r="F346" s="438"/>
      <c r="G346" s="454"/>
      <c r="H346" s="454"/>
      <c r="I346" s="454"/>
      <c r="J346" s="438"/>
      <c r="K346" s="438"/>
      <c r="L346" s="438"/>
      <c r="M346" s="438"/>
      <c r="N346" s="438"/>
      <c r="O346" s="438"/>
      <c r="P346" s="438"/>
      <c r="Q346" s="438"/>
      <c r="R346" s="438"/>
      <c r="S346" s="438"/>
      <c r="T346" s="438"/>
      <c r="U346" s="438"/>
      <c r="V346" s="438"/>
      <c r="W346" s="438"/>
      <c r="X346" s="438"/>
      <c r="Y346" s="438"/>
      <c r="Z346" s="438"/>
    </row>
    <row r="347" ht="11.25" customHeight="1">
      <c r="A347" s="438"/>
      <c r="B347" s="438"/>
      <c r="C347" s="438"/>
      <c r="D347" s="438"/>
      <c r="E347" s="438"/>
      <c r="F347" s="438"/>
      <c r="G347" s="454"/>
      <c r="H347" s="454"/>
      <c r="I347" s="454"/>
      <c r="J347" s="438"/>
      <c r="K347" s="438"/>
      <c r="L347" s="438"/>
      <c r="M347" s="438"/>
      <c r="N347" s="438"/>
      <c r="O347" s="438"/>
      <c r="P347" s="438"/>
      <c r="Q347" s="438"/>
      <c r="R347" s="438"/>
      <c r="S347" s="438"/>
      <c r="T347" s="438"/>
      <c r="U347" s="438"/>
      <c r="V347" s="438"/>
      <c r="W347" s="438"/>
      <c r="X347" s="438"/>
      <c r="Y347" s="438"/>
      <c r="Z347" s="438"/>
    </row>
    <row r="348" ht="11.25" customHeight="1">
      <c r="A348" s="438"/>
      <c r="B348" s="438"/>
      <c r="C348" s="438"/>
      <c r="D348" s="438"/>
      <c r="E348" s="438"/>
      <c r="F348" s="438"/>
      <c r="G348" s="454"/>
      <c r="H348" s="454"/>
      <c r="I348" s="454"/>
      <c r="J348" s="438"/>
      <c r="K348" s="438"/>
      <c r="L348" s="438"/>
      <c r="M348" s="438"/>
      <c r="N348" s="438"/>
      <c r="O348" s="438"/>
      <c r="P348" s="438"/>
      <c r="Q348" s="438"/>
      <c r="R348" s="438"/>
      <c r="S348" s="438"/>
      <c r="T348" s="438"/>
      <c r="U348" s="438"/>
      <c r="V348" s="438"/>
      <c r="W348" s="438"/>
      <c r="X348" s="438"/>
      <c r="Y348" s="438"/>
      <c r="Z348" s="438"/>
    </row>
    <row r="349" ht="11.25" customHeight="1">
      <c r="A349" s="438"/>
      <c r="B349" s="438"/>
      <c r="C349" s="438"/>
      <c r="D349" s="438"/>
      <c r="E349" s="438"/>
      <c r="F349" s="438"/>
      <c r="G349" s="454"/>
      <c r="H349" s="454"/>
      <c r="I349" s="454"/>
      <c r="J349" s="438"/>
      <c r="K349" s="438"/>
      <c r="L349" s="438"/>
      <c r="M349" s="438"/>
      <c r="N349" s="438"/>
      <c r="O349" s="438"/>
      <c r="P349" s="438"/>
      <c r="Q349" s="438"/>
      <c r="R349" s="438"/>
      <c r="S349" s="438"/>
      <c r="T349" s="438"/>
      <c r="U349" s="438"/>
      <c r="V349" s="438"/>
      <c r="W349" s="438"/>
      <c r="X349" s="438"/>
      <c r="Y349" s="438"/>
      <c r="Z349" s="438"/>
    </row>
    <row r="350" ht="11.25" customHeight="1">
      <c r="A350" s="438"/>
      <c r="B350" s="438"/>
      <c r="C350" s="438"/>
      <c r="D350" s="438"/>
      <c r="E350" s="438"/>
      <c r="F350" s="438"/>
      <c r="G350" s="454"/>
      <c r="H350" s="454"/>
      <c r="I350" s="454"/>
      <c r="J350" s="438"/>
      <c r="K350" s="438"/>
      <c r="L350" s="438"/>
      <c r="M350" s="438"/>
      <c r="N350" s="438"/>
      <c r="O350" s="438"/>
      <c r="P350" s="438"/>
      <c r="Q350" s="438"/>
      <c r="R350" s="438"/>
      <c r="S350" s="438"/>
      <c r="T350" s="438"/>
      <c r="U350" s="438"/>
      <c r="V350" s="438"/>
      <c r="W350" s="438"/>
      <c r="X350" s="438"/>
      <c r="Y350" s="438"/>
      <c r="Z350" s="438"/>
    </row>
    <row r="351" ht="11.25" customHeight="1">
      <c r="A351" s="438"/>
      <c r="B351" s="438"/>
      <c r="C351" s="438"/>
      <c r="D351" s="438"/>
      <c r="E351" s="438"/>
      <c r="F351" s="438"/>
      <c r="G351" s="454"/>
      <c r="H351" s="454"/>
      <c r="I351" s="454"/>
      <c r="J351" s="438"/>
      <c r="K351" s="438"/>
      <c r="L351" s="438"/>
      <c r="M351" s="438"/>
      <c r="N351" s="438"/>
      <c r="O351" s="438"/>
      <c r="P351" s="438"/>
      <c r="Q351" s="438"/>
      <c r="R351" s="438"/>
      <c r="S351" s="438"/>
      <c r="T351" s="438"/>
      <c r="U351" s="438"/>
      <c r="V351" s="438"/>
      <c r="W351" s="438"/>
      <c r="X351" s="438"/>
      <c r="Y351" s="438"/>
      <c r="Z351" s="438"/>
    </row>
    <row r="352" ht="11.25" customHeight="1">
      <c r="A352" s="438"/>
      <c r="B352" s="438"/>
      <c r="C352" s="438"/>
      <c r="D352" s="438"/>
      <c r="E352" s="438"/>
      <c r="F352" s="438"/>
      <c r="G352" s="454"/>
      <c r="H352" s="454"/>
      <c r="I352" s="454"/>
      <c r="J352" s="438"/>
      <c r="K352" s="438"/>
      <c r="L352" s="438"/>
      <c r="M352" s="438"/>
      <c r="N352" s="438"/>
      <c r="O352" s="438"/>
      <c r="P352" s="438"/>
      <c r="Q352" s="438"/>
      <c r="R352" s="438"/>
      <c r="S352" s="438"/>
      <c r="T352" s="438"/>
      <c r="U352" s="438"/>
      <c r="V352" s="438"/>
      <c r="W352" s="438"/>
      <c r="X352" s="438"/>
      <c r="Y352" s="438"/>
      <c r="Z352" s="438"/>
    </row>
    <row r="353" ht="11.25" customHeight="1">
      <c r="A353" s="438"/>
      <c r="B353" s="438"/>
      <c r="C353" s="438"/>
      <c r="D353" s="438"/>
      <c r="E353" s="438"/>
      <c r="F353" s="438"/>
      <c r="G353" s="454"/>
      <c r="H353" s="454"/>
      <c r="I353" s="454"/>
      <c r="J353" s="438"/>
      <c r="K353" s="438"/>
      <c r="L353" s="438"/>
      <c r="M353" s="438"/>
      <c r="N353" s="438"/>
      <c r="O353" s="438"/>
      <c r="P353" s="438"/>
      <c r="Q353" s="438"/>
      <c r="R353" s="438"/>
      <c r="S353" s="438"/>
      <c r="T353" s="438"/>
      <c r="U353" s="438"/>
      <c r="V353" s="438"/>
      <c r="W353" s="438"/>
      <c r="X353" s="438"/>
      <c r="Y353" s="438"/>
      <c r="Z353" s="438"/>
    </row>
    <row r="354" ht="11.25" customHeight="1">
      <c r="A354" s="438"/>
      <c r="B354" s="438"/>
      <c r="C354" s="438"/>
      <c r="D354" s="438"/>
      <c r="E354" s="438"/>
      <c r="F354" s="438"/>
      <c r="G354" s="454"/>
      <c r="H354" s="454"/>
      <c r="I354" s="454"/>
      <c r="J354" s="438"/>
      <c r="K354" s="438"/>
      <c r="L354" s="438"/>
      <c r="M354" s="438"/>
      <c r="N354" s="438"/>
      <c r="O354" s="438"/>
      <c r="P354" s="438"/>
      <c r="Q354" s="438"/>
      <c r="R354" s="438"/>
      <c r="S354" s="438"/>
      <c r="T354" s="438"/>
      <c r="U354" s="438"/>
      <c r="V354" s="438"/>
      <c r="W354" s="438"/>
      <c r="X354" s="438"/>
      <c r="Y354" s="438"/>
      <c r="Z354" s="438"/>
    </row>
    <row r="355" ht="11.25" customHeight="1">
      <c r="A355" s="438"/>
      <c r="B355" s="438"/>
      <c r="C355" s="438"/>
      <c r="D355" s="438"/>
      <c r="E355" s="438"/>
      <c r="F355" s="438"/>
      <c r="G355" s="454"/>
      <c r="H355" s="454"/>
      <c r="I355" s="454"/>
      <c r="J355" s="438"/>
      <c r="K355" s="438"/>
      <c r="L355" s="438"/>
      <c r="M355" s="438"/>
      <c r="N355" s="438"/>
      <c r="O355" s="438"/>
      <c r="P355" s="438"/>
      <c r="Q355" s="438"/>
      <c r="R355" s="438"/>
      <c r="S355" s="438"/>
      <c r="T355" s="438"/>
      <c r="U355" s="438"/>
      <c r="V355" s="438"/>
      <c r="W355" s="438"/>
      <c r="X355" s="438"/>
      <c r="Y355" s="438"/>
      <c r="Z355" s="438"/>
    </row>
    <row r="356" ht="11.25" customHeight="1">
      <c r="A356" s="438"/>
      <c r="B356" s="438"/>
      <c r="C356" s="438"/>
      <c r="D356" s="438"/>
      <c r="E356" s="438"/>
      <c r="F356" s="438"/>
      <c r="G356" s="454"/>
      <c r="H356" s="454"/>
      <c r="I356" s="454"/>
      <c r="J356" s="438"/>
      <c r="K356" s="438"/>
      <c r="L356" s="438"/>
      <c r="M356" s="438"/>
      <c r="N356" s="438"/>
      <c r="O356" s="438"/>
      <c r="P356" s="438"/>
      <c r="Q356" s="438"/>
      <c r="R356" s="438"/>
      <c r="S356" s="438"/>
      <c r="T356" s="438"/>
      <c r="U356" s="438"/>
      <c r="V356" s="438"/>
      <c r="W356" s="438"/>
      <c r="X356" s="438"/>
      <c r="Y356" s="438"/>
      <c r="Z356" s="438"/>
    </row>
    <row r="357" ht="11.25" customHeight="1">
      <c r="A357" s="438"/>
      <c r="B357" s="438"/>
      <c r="C357" s="438"/>
      <c r="D357" s="438"/>
      <c r="E357" s="438"/>
      <c r="F357" s="438"/>
      <c r="G357" s="454"/>
      <c r="H357" s="454"/>
      <c r="I357" s="454"/>
      <c r="J357" s="438"/>
      <c r="K357" s="438"/>
      <c r="L357" s="438"/>
      <c r="M357" s="438"/>
      <c r="N357" s="438"/>
      <c r="O357" s="438"/>
      <c r="P357" s="438"/>
      <c r="Q357" s="438"/>
      <c r="R357" s="438"/>
      <c r="S357" s="438"/>
      <c r="T357" s="438"/>
      <c r="U357" s="438"/>
      <c r="V357" s="438"/>
      <c r="W357" s="438"/>
      <c r="X357" s="438"/>
      <c r="Y357" s="438"/>
      <c r="Z357" s="438"/>
    </row>
    <row r="358" ht="11.25" customHeight="1">
      <c r="A358" s="438"/>
      <c r="B358" s="438"/>
      <c r="C358" s="438"/>
      <c r="D358" s="438"/>
      <c r="E358" s="438"/>
      <c r="F358" s="438"/>
      <c r="G358" s="454"/>
      <c r="H358" s="454"/>
      <c r="I358" s="454"/>
      <c r="J358" s="438"/>
      <c r="K358" s="438"/>
      <c r="L358" s="438"/>
      <c r="M358" s="438"/>
      <c r="N358" s="438"/>
      <c r="O358" s="438"/>
      <c r="P358" s="438"/>
      <c r="Q358" s="438"/>
      <c r="R358" s="438"/>
      <c r="S358" s="438"/>
      <c r="T358" s="438"/>
      <c r="U358" s="438"/>
      <c r="V358" s="438"/>
      <c r="W358" s="438"/>
      <c r="X358" s="438"/>
      <c r="Y358" s="438"/>
      <c r="Z358" s="438"/>
    </row>
    <row r="359" ht="11.25" customHeight="1">
      <c r="A359" s="438"/>
      <c r="B359" s="438"/>
      <c r="C359" s="438"/>
      <c r="D359" s="438"/>
      <c r="E359" s="438"/>
      <c r="F359" s="438"/>
      <c r="G359" s="454"/>
      <c r="H359" s="454"/>
      <c r="I359" s="454"/>
      <c r="J359" s="438"/>
      <c r="K359" s="438"/>
      <c r="L359" s="438"/>
      <c r="M359" s="438"/>
      <c r="N359" s="438"/>
      <c r="O359" s="438"/>
      <c r="P359" s="438"/>
      <c r="Q359" s="438"/>
      <c r="R359" s="438"/>
      <c r="S359" s="438"/>
      <c r="T359" s="438"/>
      <c r="U359" s="438"/>
      <c r="V359" s="438"/>
      <c r="W359" s="438"/>
      <c r="X359" s="438"/>
      <c r="Y359" s="438"/>
      <c r="Z359" s="438"/>
    </row>
    <row r="360" ht="11.25" customHeight="1">
      <c r="A360" s="438"/>
      <c r="B360" s="438"/>
      <c r="C360" s="438"/>
      <c r="D360" s="438"/>
      <c r="E360" s="438"/>
      <c r="F360" s="438"/>
      <c r="G360" s="454"/>
      <c r="H360" s="454"/>
      <c r="I360" s="454"/>
      <c r="J360" s="438"/>
      <c r="K360" s="438"/>
      <c r="L360" s="438"/>
      <c r="M360" s="438"/>
      <c r="N360" s="438"/>
      <c r="O360" s="438"/>
      <c r="P360" s="438"/>
      <c r="Q360" s="438"/>
      <c r="R360" s="438"/>
      <c r="S360" s="438"/>
      <c r="T360" s="438"/>
      <c r="U360" s="438"/>
      <c r="V360" s="438"/>
      <c r="W360" s="438"/>
      <c r="X360" s="438"/>
      <c r="Y360" s="438"/>
      <c r="Z360" s="438"/>
    </row>
    <row r="361" ht="11.25" customHeight="1">
      <c r="A361" s="438"/>
      <c r="B361" s="438"/>
      <c r="C361" s="438"/>
      <c r="D361" s="438"/>
      <c r="E361" s="438"/>
      <c r="F361" s="438"/>
      <c r="G361" s="454"/>
      <c r="H361" s="454"/>
      <c r="I361" s="454"/>
      <c r="J361" s="438"/>
      <c r="K361" s="438"/>
      <c r="L361" s="438"/>
      <c r="M361" s="438"/>
      <c r="N361" s="438"/>
      <c r="O361" s="438"/>
      <c r="P361" s="438"/>
      <c r="Q361" s="438"/>
      <c r="R361" s="438"/>
      <c r="S361" s="438"/>
      <c r="T361" s="438"/>
      <c r="U361" s="438"/>
      <c r="V361" s="438"/>
      <c r="W361" s="438"/>
      <c r="X361" s="438"/>
      <c r="Y361" s="438"/>
      <c r="Z361" s="438"/>
    </row>
    <row r="362" ht="11.25" customHeight="1">
      <c r="A362" s="438"/>
      <c r="B362" s="438"/>
      <c r="C362" s="438"/>
      <c r="D362" s="438"/>
      <c r="E362" s="438"/>
      <c r="F362" s="438"/>
      <c r="G362" s="454"/>
      <c r="H362" s="454"/>
      <c r="I362" s="454"/>
      <c r="J362" s="438"/>
      <c r="K362" s="438"/>
      <c r="L362" s="438"/>
      <c r="M362" s="438"/>
      <c r="N362" s="438"/>
      <c r="O362" s="438"/>
      <c r="P362" s="438"/>
      <c r="Q362" s="438"/>
      <c r="R362" s="438"/>
      <c r="S362" s="438"/>
      <c r="T362" s="438"/>
      <c r="U362" s="438"/>
      <c r="V362" s="438"/>
      <c r="W362" s="438"/>
      <c r="X362" s="438"/>
      <c r="Y362" s="438"/>
      <c r="Z362" s="438"/>
    </row>
    <row r="363" ht="11.25" customHeight="1">
      <c r="A363" s="438"/>
      <c r="B363" s="438"/>
      <c r="C363" s="438"/>
      <c r="D363" s="438"/>
      <c r="E363" s="438"/>
      <c r="F363" s="438"/>
      <c r="G363" s="454"/>
      <c r="H363" s="454"/>
      <c r="I363" s="454"/>
      <c r="J363" s="438"/>
      <c r="K363" s="438"/>
      <c r="L363" s="438"/>
      <c r="M363" s="438"/>
      <c r="N363" s="438"/>
      <c r="O363" s="438"/>
      <c r="P363" s="438"/>
      <c r="Q363" s="438"/>
      <c r="R363" s="438"/>
      <c r="S363" s="438"/>
      <c r="T363" s="438"/>
      <c r="U363" s="438"/>
      <c r="V363" s="438"/>
      <c r="W363" s="438"/>
      <c r="X363" s="438"/>
      <c r="Y363" s="438"/>
      <c r="Z363" s="438"/>
    </row>
    <row r="364" ht="11.25" customHeight="1">
      <c r="A364" s="438"/>
      <c r="B364" s="438"/>
      <c r="C364" s="438"/>
      <c r="D364" s="438"/>
      <c r="E364" s="438"/>
      <c r="F364" s="438"/>
      <c r="G364" s="454"/>
      <c r="H364" s="454"/>
      <c r="I364" s="454"/>
      <c r="J364" s="438"/>
      <c r="K364" s="438"/>
      <c r="L364" s="438"/>
      <c r="M364" s="438"/>
      <c r="N364" s="438"/>
      <c r="O364" s="438"/>
      <c r="P364" s="438"/>
      <c r="Q364" s="438"/>
      <c r="R364" s="438"/>
      <c r="S364" s="438"/>
      <c r="T364" s="438"/>
      <c r="U364" s="438"/>
      <c r="V364" s="438"/>
      <c r="W364" s="438"/>
      <c r="X364" s="438"/>
      <c r="Y364" s="438"/>
      <c r="Z364" s="438"/>
    </row>
    <row r="365" ht="11.25" customHeight="1">
      <c r="A365" s="438"/>
      <c r="B365" s="438"/>
      <c r="C365" s="438"/>
      <c r="D365" s="438"/>
      <c r="E365" s="438"/>
      <c r="F365" s="438"/>
      <c r="G365" s="454"/>
      <c r="H365" s="454"/>
      <c r="I365" s="454"/>
      <c r="J365" s="438"/>
      <c r="K365" s="438"/>
      <c r="L365" s="438"/>
      <c r="M365" s="438"/>
      <c r="N365" s="438"/>
      <c r="O365" s="438"/>
      <c r="P365" s="438"/>
      <c r="Q365" s="438"/>
      <c r="R365" s="438"/>
      <c r="S365" s="438"/>
      <c r="T365" s="438"/>
      <c r="U365" s="438"/>
      <c r="V365" s="438"/>
      <c r="W365" s="438"/>
      <c r="X365" s="438"/>
      <c r="Y365" s="438"/>
      <c r="Z365" s="438"/>
    </row>
    <row r="366" ht="11.25" customHeight="1">
      <c r="A366" s="438"/>
      <c r="B366" s="438"/>
      <c r="C366" s="438"/>
      <c r="D366" s="438"/>
      <c r="E366" s="438"/>
      <c r="F366" s="438"/>
      <c r="G366" s="454"/>
      <c r="H366" s="454"/>
      <c r="I366" s="454"/>
      <c r="J366" s="438"/>
      <c r="K366" s="438"/>
      <c r="L366" s="438"/>
      <c r="M366" s="438"/>
      <c r="N366" s="438"/>
      <c r="O366" s="438"/>
      <c r="P366" s="438"/>
      <c r="Q366" s="438"/>
      <c r="R366" s="438"/>
      <c r="S366" s="438"/>
      <c r="T366" s="438"/>
      <c r="U366" s="438"/>
      <c r="V366" s="438"/>
      <c r="W366" s="438"/>
      <c r="X366" s="438"/>
      <c r="Y366" s="438"/>
      <c r="Z366" s="438"/>
    </row>
    <row r="367" ht="11.25" customHeight="1">
      <c r="A367" s="438"/>
      <c r="B367" s="438"/>
      <c r="C367" s="438"/>
      <c r="D367" s="438"/>
      <c r="E367" s="438"/>
      <c r="F367" s="438"/>
      <c r="G367" s="454"/>
      <c r="H367" s="454"/>
      <c r="I367" s="454"/>
      <c r="J367" s="438"/>
      <c r="K367" s="438"/>
      <c r="L367" s="438"/>
      <c r="M367" s="438"/>
      <c r="N367" s="438"/>
      <c r="O367" s="438"/>
      <c r="P367" s="438"/>
      <c r="Q367" s="438"/>
      <c r="R367" s="438"/>
      <c r="S367" s="438"/>
      <c r="T367" s="438"/>
      <c r="U367" s="438"/>
      <c r="V367" s="438"/>
      <c r="W367" s="438"/>
      <c r="X367" s="438"/>
      <c r="Y367" s="438"/>
      <c r="Z367" s="438"/>
    </row>
    <row r="368" ht="11.25" customHeight="1">
      <c r="A368" s="438"/>
      <c r="B368" s="438"/>
      <c r="C368" s="438"/>
      <c r="D368" s="438"/>
      <c r="E368" s="438"/>
      <c r="F368" s="438"/>
      <c r="G368" s="454"/>
      <c r="H368" s="454"/>
      <c r="I368" s="454"/>
      <c r="J368" s="438"/>
      <c r="K368" s="438"/>
      <c r="L368" s="438"/>
      <c r="M368" s="438"/>
      <c r="N368" s="438"/>
      <c r="O368" s="438"/>
      <c r="P368" s="438"/>
      <c r="Q368" s="438"/>
      <c r="R368" s="438"/>
      <c r="S368" s="438"/>
      <c r="T368" s="438"/>
      <c r="U368" s="438"/>
      <c r="V368" s="438"/>
      <c r="W368" s="438"/>
      <c r="X368" s="438"/>
      <c r="Y368" s="438"/>
      <c r="Z368" s="438"/>
    </row>
    <row r="369" ht="11.25" customHeight="1">
      <c r="A369" s="438"/>
      <c r="B369" s="438"/>
      <c r="C369" s="438"/>
      <c r="D369" s="438"/>
      <c r="E369" s="438"/>
      <c r="F369" s="438"/>
      <c r="G369" s="454"/>
      <c r="H369" s="454"/>
      <c r="I369" s="454"/>
      <c r="J369" s="438"/>
      <c r="K369" s="438"/>
      <c r="L369" s="438"/>
      <c r="M369" s="438"/>
      <c r="N369" s="438"/>
      <c r="O369" s="438"/>
      <c r="P369" s="438"/>
      <c r="Q369" s="438"/>
      <c r="R369" s="438"/>
      <c r="S369" s="438"/>
      <c r="T369" s="438"/>
      <c r="U369" s="438"/>
      <c r="V369" s="438"/>
      <c r="W369" s="438"/>
      <c r="X369" s="438"/>
      <c r="Y369" s="438"/>
      <c r="Z369" s="438"/>
    </row>
    <row r="370" ht="11.25" customHeight="1">
      <c r="A370" s="438"/>
      <c r="B370" s="438"/>
      <c r="C370" s="438"/>
      <c r="D370" s="438"/>
      <c r="E370" s="438"/>
      <c r="F370" s="438"/>
      <c r="G370" s="454"/>
      <c r="H370" s="454"/>
      <c r="I370" s="454"/>
      <c r="J370" s="438"/>
      <c r="K370" s="438"/>
      <c r="L370" s="438"/>
      <c r="M370" s="438"/>
      <c r="N370" s="438"/>
      <c r="O370" s="438"/>
      <c r="P370" s="438"/>
      <c r="Q370" s="438"/>
      <c r="R370" s="438"/>
      <c r="S370" s="438"/>
      <c r="T370" s="438"/>
      <c r="U370" s="438"/>
      <c r="V370" s="438"/>
      <c r="W370" s="438"/>
      <c r="X370" s="438"/>
      <c r="Y370" s="438"/>
      <c r="Z370" s="438"/>
    </row>
    <row r="371" ht="11.25" customHeight="1">
      <c r="A371" s="438"/>
      <c r="B371" s="438"/>
      <c r="C371" s="438"/>
      <c r="D371" s="438"/>
      <c r="E371" s="438"/>
      <c r="F371" s="438"/>
      <c r="G371" s="454"/>
      <c r="H371" s="454"/>
      <c r="I371" s="454"/>
      <c r="J371" s="438"/>
      <c r="K371" s="438"/>
      <c r="L371" s="438"/>
      <c r="M371" s="438"/>
      <c r="N371" s="438"/>
      <c r="O371" s="438"/>
      <c r="P371" s="438"/>
      <c r="Q371" s="438"/>
      <c r="R371" s="438"/>
      <c r="S371" s="438"/>
      <c r="T371" s="438"/>
      <c r="U371" s="438"/>
      <c r="V371" s="438"/>
      <c r="W371" s="438"/>
      <c r="X371" s="438"/>
      <c r="Y371" s="438"/>
      <c r="Z371" s="438"/>
    </row>
    <row r="372" ht="11.25" customHeight="1">
      <c r="A372" s="438"/>
      <c r="B372" s="438"/>
      <c r="C372" s="438"/>
      <c r="D372" s="438"/>
      <c r="E372" s="438"/>
      <c r="F372" s="438"/>
      <c r="G372" s="454"/>
      <c r="H372" s="454"/>
      <c r="I372" s="454"/>
      <c r="J372" s="438"/>
      <c r="K372" s="438"/>
      <c r="L372" s="438"/>
      <c r="M372" s="438"/>
      <c r="N372" s="438"/>
      <c r="O372" s="438"/>
      <c r="P372" s="438"/>
      <c r="Q372" s="438"/>
      <c r="R372" s="438"/>
      <c r="S372" s="438"/>
      <c r="T372" s="438"/>
      <c r="U372" s="438"/>
      <c r="V372" s="438"/>
      <c r="W372" s="438"/>
      <c r="X372" s="438"/>
      <c r="Y372" s="438"/>
      <c r="Z372" s="438"/>
    </row>
    <row r="373" ht="11.25" customHeight="1">
      <c r="A373" s="438"/>
      <c r="B373" s="438"/>
      <c r="C373" s="438"/>
      <c r="D373" s="438"/>
      <c r="E373" s="438"/>
      <c r="F373" s="438"/>
      <c r="G373" s="454"/>
      <c r="H373" s="454"/>
      <c r="I373" s="454"/>
      <c r="J373" s="438"/>
      <c r="K373" s="438"/>
      <c r="L373" s="438"/>
      <c r="M373" s="438"/>
      <c r="N373" s="438"/>
      <c r="O373" s="438"/>
      <c r="P373" s="438"/>
      <c r="Q373" s="438"/>
      <c r="R373" s="438"/>
      <c r="S373" s="438"/>
      <c r="T373" s="438"/>
      <c r="U373" s="438"/>
      <c r="V373" s="438"/>
      <c r="W373" s="438"/>
      <c r="X373" s="438"/>
      <c r="Y373" s="438"/>
      <c r="Z373" s="438"/>
    </row>
    <row r="374" ht="11.25" customHeight="1">
      <c r="A374" s="438"/>
      <c r="B374" s="438"/>
      <c r="C374" s="438"/>
      <c r="D374" s="438"/>
      <c r="E374" s="438"/>
      <c r="F374" s="438"/>
      <c r="G374" s="454"/>
      <c r="H374" s="454"/>
      <c r="I374" s="454"/>
      <c r="J374" s="438"/>
      <c r="K374" s="438"/>
      <c r="L374" s="438"/>
      <c r="M374" s="438"/>
      <c r="N374" s="438"/>
      <c r="O374" s="438"/>
      <c r="P374" s="438"/>
      <c r="Q374" s="438"/>
      <c r="R374" s="438"/>
      <c r="S374" s="438"/>
      <c r="T374" s="438"/>
      <c r="U374" s="438"/>
      <c r="V374" s="438"/>
      <c r="W374" s="438"/>
      <c r="X374" s="438"/>
      <c r="Y374" s="438"/>
      <c r="Z374" s="438"/>
    </row>
    <row r="375" ht="11.25" customHeight="1">
      <c r="A375" s="438"/>
      <c r="B375" s="438"/>
      <c r="C375" s="438"/>
      <c r="D375" s="438"/>
      <c r="E375" s="438"/>
      <c r="F375" s="438"/>
      <c r="G375" s="454"/>
      <c r="H375" s="454"/>
      <c r="I375" s="454"/>
      <c r="J375" s="438"/>
      <c r="K375" s="438"/>
      <c r="L375" s="438"/>
      <c r="M375" s="438"/>
      <c r="N375" s="438"/>
      <c r="O375" s="438"/>
      <c r="P375" s="438"/>
      <c r="Q375" s="438"/>
      <c r="R375" s="438"/>
      <c r="S375" s="438"/>
      <c r="T375" s="438"/>
      <c r="U375" s="438"/>
      <c r="V375" s="438"/>
      <c r="W375" s="438"/>
      <c r="X375" s="438"/>
      <c r="Y375" s="438"/>
      <c r="Z375" s="438"/>
    </row>
    <row r="376" ht="11.25" customHeight="1">
      <c r="A376" s="438"/>
      <c r="B376" s="438"/>
      <c r="C376" s="438"/>
      <c r="D376" s="438"/>
      <c r="E376" s="438"/>
      <c r="F376" s="438"/>
      <c r="G376" s="454"/>
      <c r="H376" s="454"/>
      <c r="I376" s="454"/>
      <c r="J376" s="438"/>
      <c r="K376" s="438"/>
      <c r="L376" s="438"/>
      <c r="M376" s="438"/>
      <c r="N376" s="438"/>
      <c r="O376" s="438"/>
      <c r="P376" s="438"/>
      <c r="Q376" s="438"/>
      <c r="R376" s="438"/>
      <c r="S376" s="438"/>
      <c r="T376" s="438"/>
      <c r="U376" s="438"/>
      <c r="V376" s="438"/>
      <c r="W376" s="438"/>
      <c r="X376" s="438"/>
      <c r="Y376" s="438"/>
      <c r="Z376" s="438"/>
    </row>
    <row r="377" ht="11.25" customHeight="1">
      <c r="A377" s="438"/>
      <c r="B377" s="438"/>
      <c r="C377" s="438"/>
      <c r="D377" s="438"/>
      <c r="E377" s="438"/>
      <c r="F377" s="438"/>
      <c r="G377" s="454"/>
      <c r="H377" s="454"/>
      <c r="I377" s="454"/>
      <c r="J377" s="438"/>
      <c r="K377" s="438"/>
      <c r="L377" s="438"/>
      <c r="M377" s="438"/>
      <c r="N377" s="438"/>
      <c r="O377" s="438"/>
      <c r="P377" s="438"/>
      <c r="Q377" s="438"/>
      <c r="R377" s="438"/>
      <c r="S377" s="438"/>
      <c r="T377" s="438"/>
      <c r="U377" s="438"/>
      <c r="V377" s="438"/>
      <c r="W377" s="438"/>
      <c r="X377" s="438"/>
      <c r="Y377" s="438"/>
      <c r="Z377" s="438"/>
    </row>
    <row r="378" ht="11.25" customHeight="1">
      <c r="A378" s="438"/>
      <c r="B378" s="438"/>
      <c r="C378" s="438"/>
      <c r="D378" s="438"/>
      <c r="E378" s="438"/>
      <c r="F378" s="438"/>
      <c r="G378" s="454"/>
      <c r="H378" s="454"/>
      <c r="I378" s="454"/>
      <c r="J378" s="438"/>
      <c r="K378" s="438"/>
      <c r="L378" s="438"/>
      <c r="M378" s="438"/>
      <c r="N378" s="438"/>
      <c r="O378" s="438"/>
      <c r="P378" s="438"/>
      <c r="Q378" s="438"/>
      <c r="R378" s="438"/>
      <c r="S378" s="438"/>
      <c r="T378" s="438"/>
      <c r="U378" s="438"/>
      <c r="V378" s="438"/>
      <c r="W378" s="438"/>
      <c r="X378" s="438"/>
      <c r="Y378" s="438"/>
      <c r="Z378" s="438"/>
    </row>
    <row r="379" ht="11.25" customHeight="1">
      <c r="A379" s="438"/>
      <c r="B379" s="438"/>
      <c r="C379" s="438"/>
      <c r="D379" s="438"/>
      <c r="E379" s="438"/>
      <c r="F379" s="438"/>
      <c r="G379" s="454"/>
      <c r="H379" s="454"/>
      <c r="I379" s="454"/>
      <c r="J379" s="438"/>
      <c r="K379" s="438"/>
      <c r="L379" s="438"/>
      <c r="M379" s="438"/>
      <c r="N379" s="438"/>
      <c r="O379" s="438"/>
      <c r="P379" s="438"/>
      <c r="Q379" s="438"/>
      <c r="R379" s="438"/>
      <c r="S379" s="438"/>
      <c r="T379" s="438"/>
      <c r="U379" s="438"/>
      <c r="V379" s="438"/>
      <c r="W379" s="438"/>
      <c r="X379" s="438"/>
      <c r="Y379" s="438"/>
      <c r="Z379" s="438"/>
    </row>
    <row r="380" ht="11.25" customHeight="1">
      <c r="A380" s="438"/>
      <c r="B380" s="438"/>
      <c r="C380" s="438"/>
      <c r="D380" s="438"/>
      <c r="E380" s="438"/>
      <c r="F380" s="438"/>
      <c r="G380" s="454"/>
      <c r="H380" s="454"/>
      <c r="I380" s="454"/>
      <c r="J380" s="438"/>
      <c r="K380" s="438"/>
      <c r="L380" s="438"/>
      <c r="M380" s="438"/>
      <c r="N380" s="438"/>
      <c r="O380" s="438"/>
      <c r="P380" s="438"/>
      <c r="Q380" s="438"/>
      <c r="R380" s="438"/>
      <c r="S380" s="438"/>
      <c r="T380" s="438"/>
      <c r="U380" s="438"/>
      <c r="V380" s="438"/>
      <c r="W380" s="438"/>
      <c r="X380" s="438"/>
      <c r="Y380" s="438"/>
      <c r="Z380" s="438"/>
    </row>
    <row r="381" ht="11.25" customHeight="1">
      <c r="A381" s="438"/>
      <c r="B381" s="438"/>
      <c r="C381" s="438"/>
      <c r="D381" s="438"/>
      <c r="E381" s="438"/>
      <c r="F381" s="438"/>
      <c r="G381" s="454"/>
      <c r="H381" s="454"/>
      <c r="I381" s="454"/>
      <c r="J381" s="438"/>
      <c r="K381" s="438"/>
      <c r="L381" s="438"/>
      <c r="M381" s="438"/>
      <c r="N381" s="438"/>
      <c r="O381" s="438"/>
      <c r="P381" s="438"/>
      <c r="Q381" s="438"/>
      <c r="R381" s="438"/>
      <c r="S381" s="438"/>
      <c r="T381" s="438"/>
      <c r="U381" s="438"/>
      <c r="V381" s="438"/>
      <c r="W381" s="438"/>
      <c r="X381" s="438"/>
      <c r="Y381" s="438"/>
      <c r="Z381" s="438"/>
    </row>
    <row r="382" ht="11.25" customHeight="1">
      <c r="A382" s="438"/>
      <c r="B382" s="438"/>
      <c r="C382" s="438"/>
      <c r="D382" s="438"/>
      <c r="E382" s="438"/>
      <c r="F382" s="438"/>
      <c r="G382" s="454"/>
      <c r="H382" s="454"/>
      <c r="I382" s="454"/>
      <c r="J382" s="438"/>
      <c r="K382" s="438"/>
      <c r="L382" s="438"/>
      <c r="M382" s="438"/>
      <c r="N382" s="438"/>
      <c r="O382" s="438"/>
      <c r="P382" s="438"/>
      <c r="Q382" s="438"/>
      <c r="R382" s="438"/>
      <c r="S382" s="438"/>
      <c r="T382" s="438"/>
      <c r="U382" s="438"/>
      <c r="V382" s="438"/>
      <c r="W382" s="438"/>
      <c r="X382" s="438"/>
      <c r="Y382" s="438"/>
      <c r="Z382" s="438"/>
    </row>
    <row r="383" ht="11.25" customHeight="1">
      <c r="A383" s="438"/>
      <c r="B383" s="438"/>
      <c r="C383" s="438"/>
      <c r="D383" s="438"/>
      <c r="E383" s="438"/>
      <c r="F383" s="438"/>
      <c r="G383" s="454"/>
      <c r="H383" s="454"/>
      <c r="I383" s="454"/>
      <c r="J383" s="438"/>
      <c r="K383" s="438"/>
      <c r="L383" s="438"/>
      <c r="M383" s="438"/>
      <c r="N383" s="438"/>
      <c r="O383" s="438"/>
      <c r="P383" s="438"/>
      <c r="Q383" s="438"/>
      <c r="R383" s="438"/>
      <c r="S383" s="438"/>
      <c r="T383" s="438"/>
      <c r="U383" s="438"/>
      <c r="V383" s="438"/>
      <c r="W383" s="438"/>
      <c r="X383" s="438"/>
      <c r="Y383" s="438"/>
      <c r="Z383" s="438"/>
    </row>
    <row r="384" ht="11.25" customHeight="1">
      <c r="A384" s="438"/>
      <c r="B384" s="438"/>
      <c r="C384" s="438"/>
      <c r="D384" s="438"/>
      <c r="E384" s="438"/>
      <c r="F384" s="438"/>
      <c r="G384" s="454"/>
      <c r="H384" s="454"/>
      <c r="I384" s="454"/>
      <c r="J384" s="438"/>
      <c r="K384" s="438"/>
      <c r="L384" s="438"/>
      <c r="M384" s="438"/>
      <c r="N384" s="438"/>
      <c r="O384" s="438"/>
      <c r="P384" s="438"/>
      <c r="Q384" s="438"/>
      <c r="R384" s="438"/>
      <c r="S384" s="438"/>
      <c r="T384" s="438"/>
      <c r="U384" s="438"/>
      <c r="V384" s="438"/>
      <c r="W384" s="438"/>
      <c r="X384" s="438"/>
      <c r="Y384" s="438"/>
      <c r="Z384" s="438"/>
    </row>
    <row r="385" ht="11.25" customHeight="1">
      <c r="A385" s="438"/>
      <c r="B385" s="438"/>
      <c r="C385" s="438"/>
      <c r="D385" s="438"/>
      <c r="E385" s="438"/>
      <c r="F385" s="438"/>
      <c r="G385" s="454"/>
      <c r="H385" s="454"/>
      <c r="I385" s="454"/>
      <c r="J385" s="438"/>
      <c r="K385" s="438"/>
      <c r="L385" s="438"/>
      <c r="M385" s="438"/>
      <c r="N385" s="438"/>
      <c r="O385" s="438"/>
      <c r="P385" s="438"/>
      <c r="Q385" s="438"/>
      <c r="R385" s="438"/>
      <c r="S385" s="438"/>
      <c r="T385" s="438"/>
      <c r="U385" s="438"/>
      <c r="V385" s="438"/>
      <c r="W385" s="438"/>
      <c r="X385" s="438"/>
      <c r="Y385" s="438"/>
      <c r="Z385" s="438"/>
    </row>
    <row r="386" ht="11.25" customHeight="1">
      <c r="A386" s="438"/>
      <c r="B386" s="438"/>
      <c r="C386" s="438"/>
      <c r="D386" s="438"/>
      <c r="E386" s="438"/>
      <c r="F386" s="438"/>
      <c r="G386" s="454"/>
      <c r="H386" s="454"/>
      <c r="I386" s="454"/>
      <c r="J386" s="438"/>
      <c r="K386" s="438"/>
      <c r="L386" s="438"/>
      <c r="M386" s="438"/>
      <c r="N386" s="438"/>
      <c r="O386" s="438"/>
      <c r="P386" s="438"/>
      <c r="Q386" s="438"/>
      <c r="R386" s="438"/>
      <c r="S386" s="438"/>
      <c r="T386" s="438"/>
      <c r="U386" s="438"/>
      <c r="V386" s="438"/>
      <c r="W386" s="438"/>
      <c r="X386" s="438"/>
      <c r="Y386" s="438"/>
      <c r="Z386" s="438"/>
    </row>
    <row r="387" ht="11.25" customHeight="1">
      <c r="A387" s="438"/>
      <c r="B387" s="438"/>
      <c r="C387" s="438"/>
      <c r="D387" s="438"/>
      <c r="E387" s="438"/>
      <c r="F387" s="438"/>
      <c r="G387" s="454"/>
      <c r="H387" s="454"/>
      <c r="I387" s="454"/>
      <c r="J387" s="438"/>
      <c r="K387" s="438"/>
      <c r="L387" s="438"/>
      <c r="M387" s="438"/>
      <c r="N387" s="438"/>
      <c r="O387" s="438"/>
      <c r="P387" s="438"/>
      <c r="Q387" s="438"/>
      <c r="R387" s="438"/>
      <c r="S387" s="438"/>
      <c r="T387" s="438"/>
      <c r="U387" s="438"/>
      <c r="V387" s="438"/>
      <c r="W387" s="438"/>
      <c r="X387" s="438"/>
      <c r="Y387" s="438"/>
      <c r="Z387" s="438"/>
    </row>
    <row r="388" ht="11.25" customHeight="1">
      <c r="A388" s="438"/>
      <c r="B388" s="438"/>
      <c r="C388" s="438"/>
      <c r="D388" s="438"/>
      <c r="E388" s="438"/>
      <c r="F388" s="438"/>
      <c r="G388" s="454"/>
      <c r="H388" s="454"/>
      <c r="I388" s="454"/>
      <c r="J388" s="438"/>
      <c r="K388" s="438"/>
      <c r="L388" s="438"/>
      <c r="M388" s="438"/>
      <c r="N388" s="438"/>
      <c r="O388" s="438"/>
      <c r="P388" s="438"/>
      <c r="Q388" s="438"/>
      <c r="R388" s="438"/>
      <c r="S388" s="438"/>
      <c r="T388" s="438"/>
      <c r="U388" s="438"/>
      <c r="V388" s="438"/>
      <c r="W388" s="438"/>
      <c r="X388" s="438"/>
      <c r="Y388" s="438"/>
      <c r="Z388" s="438"/>
    </row>
    <row r="389" ht="11.25" customHeight="1">
      <c r="A389" s="438"/>
      <c r="B389" s="438"/>
      <c r="C389" s="438"/>
      <c r="D389" s="438"/>
      <c r="E389" s="438"/>
      <c r="F389" s="438"/>
      <c r="G389" s="454"/>
      <c r="H389" s="454"/>
      <c r="I389" s="454"/>
      <c r="J389" s="438"/>
      <c r="K389" s="438"/>
      <c r="L389" s="438"/>
      <c r="M389" s="438"/>
      <c r="N389" s="438"/>
      <c r="O389" s="438"/>
      <c r="P389" s="438"/>
      <c r="Q389" s="438"/>
      <c r="R389" s="438"/>
      <c r="S389" s="438"/>
      <c r="T389" s="438"/>
      <c r="U389" s="438"/>
      <c r="V389" s="438"/>
      <c r="W389" s="438"/>
      <c r="X389" s="438"/>
      <c r="Y389" s="438"/>
      <c r="Z389" s="438"/>
    </row>
    <row r="390" ht="11.25" customHeight="1">
      <c r="A390" s="438"/>
      <c r="B390" s="438"/>
      <c r="C390" s="438"/>
      <c r="D390" s="438"/>
      <c r="E390" s="438"/>
      <c r="F390" s="438"/>
      <c r="G390" s="454"/>
      <c r="H390" s="454"/>
      <c r="I390" s="454"/>
      <c r="J390" s="438"/>
      <c r="K390" s="438"/>
      <c r="L390" s="438"/>
      <c r="M390" s="438"/>
      <c r="N390" s="438"/>
      <c r="O390" s="438"/>
      <c r="P390" s="438"/>
      <c r="Q390" s="438"/>
      <c r="R390" s="438"/>
      <c r="S390" s="438"/>
      <c r="T390" s="438"/>
      <c r="U390" s="438"/>
      <c r="V390" s="438"/>
      <c r="W390" s="438"/>
      <c r="X390" s="438"/>
      <c r="Y390" s="438"/>
      <c r="Z390" s="438"/>
    </row>
    <row r="391" ht="11.25" customHeight="1">
      <c r="A391" s="438"/>
      <c r="B391" s="438"/>
      <c r="C391" s="438"/>
      <c r="D391" s="438"/>
      <c r="E391" s="438"/>
      <c r="F391" s="438"/>
      <c r="G391" s="454"/>
      <c r="H391" s="454"/>
      <c r="I391" s="454"/>
      <c r="J391" s="438"/>
      <c r="K391" s="438"/>
      <c r="L391" s="438"/>
      <c r="M391" s="438"/>
      <c r="N391" s="438"/>
      <c r="O391" s="438"/>
      <c r="P391" s="438"/>
      <c r="Q391" s="438"/>
      <c r="R391" s="438"/>
      <c r="S391" s="438"/>
      <c r="T391" s="438"/>
      <c r="U391" s="438"/>
      <c r="V391" s="438"/>
      <c r="W391" s="438"/>
      <c r="X391" s="438"/>
      <c r="Y391" s="438"/>
      <c r="Z391" s="438"/>
    </row>
    <row r="392" ht="11.25" customHeight="1">
      <c r="A392" s="438"/>
      <c r="B392" s="438"/>
      <c r="C392" s="438"/>
      <c r="D392" s="438"/>
      <c r="E392" s="438"/>
      <c r="F392" s="438"/>
      <c r="G392" s="454"/>
      <c r="H392" s="454"/>
      <c r="I392" s="454"/>
      <c r="J392" s="438"/>
      <c r="K392" s="438"/>
      <c r="L392" s="438"/>
      <c r="M392" s="438"/>
      <c r="N392" s="438"/>
      <c r="O392" s="438"/>
      <c r="P392" s="438"/>
      <c r="Q392" s="438"/>
      <c r="R392" s="438"/>
      <c r="S392" s="438"/>
      <c r="T392" s="438"/>
      <c r="U392" s="438"/>
      <c r="V392" s="438"/>
      <c r="W392" s="438"/>
      <c r="X392" s="438"/>
      <c r="Y392" s="438"/>
      <c r="Z392" s="438"/>
    </row>
    <row r="393" ht="11.25" customHeight="1">
      <c r="A393" s="438"/>
      <c r="B393" s="438"/>
      <c r="C393" s="438"/>
      <c r="D393" s="438"/>
      <c r="E393" s="438"/>
      <c r="F393" s="438"/>
      <c r="G393" s="454"/>
      <c r="H393" s="454"/>
      <c r="I393" s="454"/>
      <c r="J393" s="438"/>
      <c r="K393" s="438"/>
      <c r="L393" s="438"/>
      <c r="M393" s="438"/>
      <c r="N393" s="438"/>
      <c r="O393" s="438"/>
      <c r="P393" s="438"/>
      <c r="Q393" s="438"/>
      <c r="R393" s="438"/>
      <c r="S393" s="438"/>
      <c r="T393" s="438"/>
      <c r="U393" s="438"/>
      <c r="V393" s="438"/>
      <c r="W393" s="438"/>
      <c r="X393" s="438"/>
      <c r="Y393" s="438"/>
      <c r="Z393" s="438"/>
    </row>
    <row r="394" ht="11.25" customHeight="1">
      <c r="A394" s="438"/>
      <c r="B394" s="438"/>
      <c r="C394" s="438"/>
      <c r="D394" s="438"/>
      <c r="E394" s="438"/>
      <c r="F394" s="438"/>
      <c r="G394" s="454"/>
      <c r="H394" s="454"/>
      <c r="I394" s="454"/>
      <c r="J394" s="438"/>
      <c r="K394" s="438"/>
      <c r="L394" s="438"/>
      <c r="M394" s="438"/>
      <c r="N394" s="438"/>
      <c r="O394" s="438"/>
      <c r="P394" s="438"/>
      <c r="Q394" s="438"/>
      <c r="R394" s="438"/>
      <c r="S394" s="438"/>
      <c r="T394" s="438"/>
      <c r="U394" s="438"/>
      <c r="V394" s="438"/>
      <c r="W394" s="438"/>
      <c r="X394" s="438"/>
      <c r="Y394" s="438"/>
      <c r="Z394" s="438"/>
    </row>
    <row r="395" ht="11.25" customHeight="1">
      <c r="A395" s="438"/>
      <c r="B395" s="438"/>
      <c r="C395" s="438"/>
      <c r="D395" s="438"/>
      <c r="E395" s="438"/>
      <c r="F395" s="438"/>
      <c r="G395" s="454"/>
      <c r="H395" s="454"/>
      <c r="I395" s="454"/>
      <c r="J395" s="438"/>
      <c r="K395" s="438"/>
      <c r="L395" s="438"/>
      <c r="M395" s="438"/>
      <c r="N395" s="438"/>
      <c r="O395" s="438"/>
      <c r="P395" s="438"/>
      <c r="Q395" s="438"/>
      <c r="R395" s="438"/>
      <c r="S395" s="438"/>
      <c r="T395" s="438"/>
      <c r="U395" s="438"/>
      <c r="V395" s="438"/>
      <c r="W395" s="438"/>
      <c r="X395" s="438"/>
      <c r="Y395" s="438"/>
      <c r="Z395" s="438"/>
    </row>
    <row r="396" ht="11.25" customHeight="1">
      <c r="A396" s="438"/>
      <c r="B396" s="438"/>
      <c r="C396" s="438"/>
      <c r="D396" s="438"/>
      <c r="E396" s="438"/>
      <c r="F396" s="438"/>
      <c r="G396" s="454"/>
      <c r="H396" s="454"/>
      <c r="I396" s="454"/>
      <c r="J396" s="438"/>
      <c r="K396" s="438"/>
      <c r="L396" s="438"/>
      <c r="M396" s="438"/>
      <c r="N396" s="438"/>
      <c r="O396" s="438"/>
      <c r="P396" s="438"/>
      <c r="Q396" s="438"/>
      <c r="R396" s="438"/>
      <c r="S396" s="438"/>
      <c r="T396" s="438"/>
      <c r="U396" s="438"/>
      <c r="V396" s="438"/>
      <c r="W396" s="438"/>
      <c r="X396" s="438"/>
      <c r="Y396" s="438"/>
      <c r="Z396" s="438"/>
    </row>
    <row r="397" ht="11.25" customHeight="1">
      <c r="A397" s="438"/>
      <c r="B397" s="438"/>
      <c r="C397" s="438"/>
      <c r="D397" s="438"/>
      <c r="E397" s="438"/>
      <c r="F397" s="438"/>
      <c r="G397" s="454"/>
      <c r="H397" s="454"/>
      <c r="I397" s="454"/>
      <c r="J397" s="438"/>
      <c r="K397" s="438"/>
      <c r="L397" s="438"/>
      <c r="M397" s="438"/>
      <c r="N397" s="438"/>
      <c r="O397" s="438"/>
      <c r="P397" s="438"/>
      <c r="Q397" s="438"/>
      <c r="R397" s="438"/>
      <c r="S397" s="438"/>
      <c r="T397" s="438"/>
      <c r="U397" s="438"/>
      <c r="V397" s="438"/>
      <c r="W397" s="438"/>
      <c r="X397" s="438"/>
      <c r="Y397" s="438"/>
      <c r="Z397" s="438"/>
    </row>
    <row r="398" ht="11.25" customHeight="1">
      <c r="A398" s="438"/>
      <c r="B398" s="438"/>
      <c r="C398" s="438"/>
      <c r="D398" s="438"/>
      <c r="E398" s="438"/>
      <c r="F398" s="438"/>
      <c r="G398" s="454"/>
      <c r="H398" s="454"/>
      <c r="I398" s="454"/>
      <c r="J398" s="438"/>
      <c r="K398" s="438"/>
      <c r="L398" s="438"/>
      <c r="M398" s="438"/>
      <c r="N398" s="438"/>
      <c r="O398" s="438"/>
      <c r="P398" s="438"/>
      <c r="Q398" s="438"/>
      <c r="R398" s="438"/>
      <c r="S398" s="438"/>
      <c r="T398" s="438"/>
      <c r="U398" s="438"/>
      <c r="V398" s="438"/>
      <c r="W398" s="438"/>
      <c r="X398" s="438"/>
      <c r="Y398" s="438"/>
      <c r="Z398" s="438"/>
    </row>
    <row r="399" ht="11.25" customHeight="1">
      <c r="A399" s="438"/>
      <c r="B399" s="438"/>
      <c r="C399" s="438"/>
      <c r="D399" s="438"/>
      <c r="E399" s="438"/>
      <c r="F399" s="438"/>
      <c r="G399" s="454"/>
      <c r="H399" s="454"/>
      <c r="I399" s="454"/>
      <c r="J399" s="438"/>
      <c r="K399" s="438"/>
      <c r="L399" s="438"/>
      <c r="M399" s="438"/>
      <c r="N399" s="438"/>
      <c r="O399" s="438"/>
      <c r="P399" s="438"/>
      <c r="Q399" s="438"/>
      <c r="R399" s="438"/>
      <c r="S399" s="438"/>
      <c r="T399" s="438"/>
      <c r="U399" s="438"/>
      <c r="V399" s="438"/>
      <c r="W399" s="438"/>
      <c r="X399" s="438"/>
      <c r="Y399" s="438"/>
      <c r="Z399" s="438"/>
    </row>
    <row r="400" ht="11.25" customHeight="1">
      <c r="A400" s="438"/>
      <c r="B400" s="438"/>
      <c r="C400" s="438"/>
      <c r="D400" s="438"/>
      <c r="E400" s="438"/>
      <c r="F400" s="438"/>
      <c r="G400" s="454"/>
      <c r="H400" s="454"/>
      <c r="I400" s="454"/>
      <c r="J400" s="438"/>
      <c r="K400" s="438"/>
      <c r="L400" s="438"/>
      <c r="M400" s="438"/>
      <c r="N400" s="438"/>
      <c r="O400" s="438"/>
      <c r="P400" s="438"/>
      <c r="Q400" s="438"/>
      <c r="R400" s="438"/>
      <c r="S400" s="438"/>
      <c r="T400" s="438"/>
      <c r="U400" s="438"/>
      <c r="V400" s="438"/>
      <c r="W400" s="438"/>
      <c r="X400" s="438"/>
      <c r="Y400" s="438"/>
      <c r="Z400" s="438"/>
    </row>
    <row r="401" ht="11.25" customHeight="1">
      <c r="A401" s="438"/>
      <c r="B401" s="438"/>
      <c r="C401" s="438"/>
      <c r="D401" s="438"/>
      <c r="E401" s="438"/>
      <c r="F401" s="438"/>
      <c r="G401" s="454"/>
      <c r="H401" s="454"/>
      <c r="I401" s="454"/>
      <c r="J401" s="438"/>
      <c r="K401" s="438"/>
      <c r="L401" s="438"/>
      <c r="M401" s="438"/>
      <c r="N401" s="438"/>
      <c r="O401" s="438"/>
      <c r="P401" s="438"/>
      <c r="Q401" s="438"/>
      <c r="R401" s="438"/>
      <c r="S401" s="438"/>
      <c r="T401" s="438"/>
      <c r="U401" s="438"/>
      <c r="V401" s="438"/>
      <c r="W401" s="438"/>
      <c r="X401" s="438"/>
      <c r="Y401" s="438"/>
      <c r="Z401" s="438"/>
    </row>
    <row r="402" ht="11.25" customHeight="1">
      <c r="A402" s="438"/>
      <c r="B402" s="438"/>
      <c r="C402" s="438"/>
      <c r="D402" s="438"/>
      <c r="E402" s="438"/>
      <c r="F402" s="438"/>
      <c r="G402" s="454"/>
      <c r="H402" s="454"/>
      <c r="I402" s="454"/>
      <c r="J402" s="438"/>
      <c r="K402" s="438"/>
      <c r="L402" s="438"/>
      <c r="M402" s="438"/>
      <c r="N402" s="438"/>
      <c r="O402" s="438"/>
      <c r="P402" s="438"/>
      <c r="Q402" s="438"/>
      <c r="R402" s="438"/>
      <c r="S402" s="438"/>
      <c r="T402" s="438"/>
      <c r="U402" s="438"/>
      <c r="V402" s="438"/>
      <c r="W402" s="438"/>
      <c r="X402" s="438"/>
      <c r="Y402" s="438"/>
      <c r="Z402" s="438"/>
    </row>
    <row r="403" ht="11.25" customHeight="1">
      <c r="A403" s="438"/>
      <c r="B403" s="438"/>
      <c r="C403" s="438"/>
      <c r="D403" s="438"/>
      <c r="E403" s="438"/>
      <c r="F403" s="438"/>
      <c r="G403" s="454"/>
      <c r="H403" s="454"/>
      <c r="I403" s="454"/>
      <c r="J403" s="438"/>
      <c r="K403" s="438"/>
      <c r="L403" s="438"/>
      <c r="M403" s="438"/>
      <c r="N403" s="438"/>
      <c r="O403" s="438"/>
      <c r="P403" s="438"/>
      <c r="Q403" s="438"/>
      <c r="R403" s="438"/>
      <c r="S403" s="438"/>
      <c r="T403" s="438"/>
      <c r="U403" s="438"/>
      <c r="V403" s="438"/>
      <c r="W403" s="438"/>
      <c r="X403" s="438"/>
      <c r="Y403" s="438"/>
      <c r="Z403" s="438"/>
    </row>
    <row r="404" ht="11.25" customHeight="1">
      <c r="A404" s="438"/>
      <c r="B404" s="438"/>
      <c r="C404" s="438"/>
      <c r="D404" s="438"/>
      <c r="E404" s="438"/>
      <c r="F404" s="438"/>
      <c r="G404" s="454"/>
      <c r="H404" s="454"/>
      <c r="I404" s="454"/>
      <c r="J404" s="438"/>
      <c r="K404" s="438"/>
      <c r="L404" s="438"/>
      <c r="M404" s="438"/>
      <c r="N404" s="438"/>
      <c r="O404" s="438"/>
      <c r="P404" s="438"/>
      <c r="Q404" s="438"/>
      <c r="R404" s="438"/>
      <c r="S404" s="438"/>
      <c r="T404" s="438"/>
      <c r="U404" s="438"/>
      <c r="V404" s="438"/>
      <c r="W404" s="438"/>
      <c r="X404" s="438"/>
      <c r="Y404" s="438"/>
      <c r="Z404" s="438"/>
    </row>
    <row r="405" ht="11.25" customHeight="1">
      <c r="A405" s="438"/>
      <c r="B405" s="438"/>
      <c r="C405" s="438"/>
      <c r="D405" s="438"/>
      <c r="E405" s="438"/>
      <c r="F405" s="438"/>
      <c r="G405" s="454"/>
      <c r="H405" s="454"/>
      <c r="I405" s="454"/>
      <c r="J405" s="438"/>
      <c r="K405" s="438"/>
      <c r="L405" s="438"/>
      <c r="M405" s="438"/>
      <c r="N405" s="438"/>
      <c r="O405" s="438"/>
      <c r="P405" s="438"/>
      <c r="Q405" s="438"/>
      <c r="R405" s="438"/>
      <c r="S405" s="438"/>
      <c r="T405" s="438"/>
      <c r="U405" s="438"/>
      <c r="V405" s="438"/>
      <c r="W405" s="438"/>
      <c r="X405" s="438"/>
      <c r="Y405" s="438"/>
      <c r="Z405" s="438"/>
    </row>
    <row r="406" ht="11.25" customHeight="1">
      <c r="A406" s="438"/>
      <c r="B406" s="438"/>
      <c r="C406" s="438"/>
      <c r="D406" s="438"/>
      <c r="E406" s="438"/>
      <c r="F406" s="438"/>
      <c r="G406" s="454"/>
      <c r="H406" s="454"/>
      <c r="I406" s="454"/>
      <c r="J406" s="438"/>
      <c r="K406" s="438"/>
      <c r="L406" s="438"/>
      <c r="M406" s="438"/>
      <c r="N406" s="438"/>
      <c r="O406" s="438"/>
      <c r="P406" s="438"/>
      <c r="Q406" s="438"/>
      <c r="R406" s="438"/>
      <c r="S406" s="438"/>
      <c r="T406" s="438"/>
      <c r="U406" s="438"/>
      <c r="V406" s="438"/>
      <c r="W406" s="438"/>
      <c r="X406" s="438"/>
      <c r="Y406" s="438"/>
      <c r="Z406" s="438"/>
    </row>
    <row r="407" ht="11.25" customHeight="1">
      <c r="A407" s="438"/>
      <c r="B407" s="438"/>
      <c r="C407" s="438"/>
      <c r="D407" s="438"/>
      <c r="E407" s="438"/>
      <c r="F407" s="438"/>
      <c r="G407" s="454"/>
      <c r="H407" s="454"/>
      <c r="I407" s="454"/>
      <c r="J407" s="438"/>
      <c r="K407" s="438"/>
      <c r="L407" s="438"/>
      <c r="M407" s="438"/>
      <c r="N407" s="438"/>
      <c r="O407" s="438"/>
      <c r="P407" s="438"/>
      <c r="Q407" s="438"/>
      <c r="R407" s="438"/>
      <c r="S407" s="438"/>
      <c r="T407" s="438"/>
      <c r="U407" s="438"/>
      <c r="V407" s="438"/>
      <c r="W407" s="438"/>
      <c r="X407" s="438"/>
      <c r="Y407" s="438"/>
      <c r="Z407" s="438"/>
    </row>
    <row r="408" ht="11.25" customHeight="1">
      <c r="A408" s="438"/>
      <c r="B408" s="438"/>
      <c r="C408" s="438"/>
      <c r="D408" s="438"/>
      <c r="E408" s="438"/>
      <c r="F408" s="438"/>
      <c r="G408" s="454"/>
      <c r="H408" s="454"/>
      <c r="I408" s="454"/>
      <c r="J408" s="438"/>
      <c r="K408" s="438"/>
      <c r="L408" s="438"/>
      <c r="M408" s="438"/>
      <c r="N408" s="438"/>
      <c r="O408" s="438"/>
      <c r="P408" s="438"/>
      <c r="Q408" s="438"/>
      <c r="R408" s="438"/>
      <c r="S408" s="438"/>
      <c r="T408" s="438"/>
      <c r="U408" s="438"/>
      <c r="V408" s="438"/>
      <c r="W408" s="438"/>
      <c r="X408" s="438"/>
      <c r="Y408" s="438"/>
      <c r="Z408" s="438"/>
    </row>
    <row r="409" ht="11.25" customHeight="1">
      <c r="A409" s="438"/>
      <c r="B409" s="438"/>
      <c r="C409" s="438"/>
      <c r="D409" s="438"/>
      <c r="E409" s="438"/>
      <c r="F409" s="438"/>
      <c r="G409" s="454"/>
      <c r="H409" s="454"/>
      <c r="I409" s="454"/>
      <c r="J409" s="438"/>
      <c r="K409" s="438"/>
      <c r="L409" s="438"/>
      <c r="M409" s="438"/>
      <c r="N409" s="438"/>
      <c r="O409" s="438"/>
      <c r="P409" s="438"/>
      <c r="Q409" s="438"/>
      <c r="R409" s="438"/>
      <c r="S409" s="438"/>
      <c r="T409" s="438"/>
      <c r="U409" s="438"/>
      <c r="V409" s="438"/>
      <c r="W409" s="438"/>
      <c r="X409" s="438"/>
      <c r="Y409" s="438"/>
      <c r="Z409" s="438"/>
    </row>
    <row r="410" ht="11.25" customHeight="1">
      <c r="A410" s="438"/>
      <c r="B410" s="438"/>
      <c r="C410" s="438"/>
      <c r="D410" s="438"/>
      <c r="E410" s="438"/>
      <c r="F410" s="438"/>
      <c r="G410" s="454"/>
      <c r="H410" s="454"/>
      <c r="I410" s="454"/>
      <c r="J410" s="438"/>
      <c r="K410" s="438"/>
      <c r="L410" s="438"/>
      <c r="M410" s="438"/>
      <c r="N410" s="438"/>
      <c r="O410" s="438"/>
      <c r="P410" s="438"/>
      <c r="Q410" s="438"/>
      <c r="R410" s="438"/>
      <c r="S410" s="438"/>
      <c r="T410" s="438"/>
      <c r="U410" s="438"/>
      <c r="V410" s="438"/>
      <c r="W410" s="438"/>
      <c r="X410" s="438"/>
      <c r="Y410" s="438"/>
      <c r="Z410" s="438"/>
    </row>
    <row r="411" ht="11.25" customHeight="1">
      <c r="A411" s="438"/>
      <c r="B411" s="438"/>
      <c r="C411" s="438"/>
      <c r="D411" s="438"/>
      <c r="E411" s="438"/>
      <c r="F411" s="438"/>
      <c r="G411" s="454"/>
      <c r="H411" s="454"/>
      <c r="I411" s="454"/>
      <c r="J411" s="438"/>
      <c r="K411" s="438"/>
      <c r="L411" s="438"/>
      <c r="M411" s="438"/>
      <c r="N411" s="438"/>
      <c r="O411" s="438"/>
      <c r="P411" s="438"/>
      <c r="Q411" s="438"/>
      <c r="R411" s="438"/>
      <c r="S411" s="438"/>
      <c r="T411" s="438"/>
      <c r="U411" s="438"/>
      <c r="V411" s="438"/>
      <c r="W411" s="438"/>
      <c r="X411" s="438"/>
      <c r="Y411" s="438"/>
      <c r="Z411" s="438"/>
    </row>
    <row r="412" ht="11.25" customHeight="1">
      <c r="A412" s="438"/>
      <c r="B412" s="438"/>
      <c r="C412" s="438"/>
      <c r="D412" s="438"/>
      <c r="E412" s="438"/>
      <c r="F412" s="438"/>
      <c r="G412" s="454"/>
      <c r="H412" s="454"/>
      <c r="I412" s="454"/>
      <c r="J412" s="438"/>
      <c r="K412" s="438"/>
      <c r="L412" s="438"/>
      <c r="M412" s="438"/>
      <c r="N412" s="438"/>
      <c r="O412" s="438"/>
      <c r="P412" s="438"/>
      <c r="Q412" s="438"/>
      <c r="R412" s="438"/>
      <c r="S412" s="438"/>
      <c r="T412" s="438"/>
      <c r="U412" s="438"/>
      <c r="V412" s="438"/>
      <c r="W412" s="438"/>
      <c r="X412" s="438"/>
      <c r="Y412" s="438"/>
      <c r="Z412" s="438"/>
    </row>
    <row r="413" ht="11.25" customHeight="1">
      <c r="A413" s="438"/>
      <c r="B413" s="438"/>
      <c r="C413" s="438"/>
      <c r="D413" s="438"/>
      <c r="E413" s="438"/>
      <c r="F413" s="438"/>
      <c r="G413" s="454"/>
      <c r="H413" s="454"/>
      <c r="I413" s="454"/>
      <c r="J413" s="438"/>
      <c r="K413" s="438"/>
      <c r="L413" s="438"/>
      <c r="M413" s="438"/>
      <c r="N413" s="438"/>
      <c r="O413" s="438"/>
      <c r="P413" s="438"/>
      <c r="Q413" s="438"/>
      <c r="R413" s="438"/>
      <c r="S413" s="438"/>
      <c r="T413" s="438"/>
      <c r="U413" s="438"/>
      <c r="V413" s="438"/>
      <c r="W413" s="438"/>
      <c r="X413" s="438"/>
      <c r="Y413" s="438"/>
      <c r="Z413" s="438"/>
    </row>
    <row r="414" ht="11.25" customHeight="1">
      <c r="A414" s="438"/>
      <c r="B414" s="438"/>
      <c r="C414" s="438"/>
      <c r="D414" s="438"/>
      <c r="E414" s="438"/>
      <c r="F414" s="438"/>
      <c r="G414" s="454"/>
      <c r="H414" s="454"/>
      <c r="I414" s="454"/>
      <c r="J414" s="438"/>
      <c r="K414" s="438"/>
      <c r="L414" s="438"/>
      <c r="M414" s="438"/>
      <c r="N414" s="438"/>
      <c r="O414" s="438"/>
      <c r="P414" s="438"/>
      <c r="Q414" s="438"/>
      <c r="R414" s="438"/>
      <c r="S414" s="438"/>
      <c r="T414" s="438"/>
      <c r="U414" s="438"/>
      <c r="V414" s="438"/>
      <c r="W414" s="438"/>
      <c r="X414" s="438"/>
      <c r="Y414" s="438"/>
      <c r="Z414" s="438"/>
    </row>
    <row r="415" ht="11.25" customHeight="1">
      <c r="A415" s="438"/>
      <c r="B415" s="438"/>
      <c r="C415" s="438"/>
      <c r="D415" s="438"/>
      <c r="E415" s="438"/>
      <c r="F415" s="438"/>
      <c r="G415" s="454"/>
      <c r="H415" s="454"/>
      <c r="I415" s="454"/>
      <c r="J415" s="438"/>
      <c r="K415" s="438"/>
      <c r="L415" s="438"/>
      <c r="M415" s="438"/>
      <c r="N415" s="438"/>
      <c r="O415" s="438"/>
      <c r="P415" s="438"/>
      <c r="Q415" s="438"/>
      <c r="R415" s="438"/>
      <c r="S415" s="438"/>
      <c r="T415" s="438"/>
      <c r="U415" s="438"/>
      <c r="V415" s="438"/>
      <c r="W415" s="438"/>
      <c r="X415" s="438"/>
      <c r="Y415" s="438"/>
      <c r="Z415" s="438"/>
    </row>
    <row r="416" ht="11.25" customHeight="1">
      <c r="A416" s="438"/>
      <c r="B416" s="438"/>
      <c r="C416" s="438"/>
      <c r="D416" s="438"/>
      <c r="E416" s="438"/>
      <c r="F416" s="438"/>
      <c r="G416" s="454"/>
      <c r="H416" s="454"/>
      <c r="I416" s="454"/>
      <c r="J416" s="438"/>
      <c r="K416" s="438"/>
      <c r="L416" s="438"/>
      <c r="M416" s="438"/>
      <c r="N416" s="438"/>
      <c r="O416" s="438"/>
      <c r="P416" s="438"/>
      <c r="Q416" s="438"/>
      <c r="R416" s="438"/>
      <c r="S416" s="438"/>
      <c r="T416" s="438"/>
      <c r="U416" s="438"/>
      <c r="V416" s="438"/>
      <c r="W416" s="438"/>
      <c r="X416" s="438"/>
      <c r="Y416" s="438"/>
      <c r="Z416" s="438"/>
    </row>
    <row r="417" ht="11.25" customHeight="1">
      <c r="A417" s="438"/>
      <c r="B417" s="438"/>
      <c r="C417" s="438"/>
      <c r="D417" s="438"/>
      <c r="E417" s="438"/>
      <c r="F417" s="438"/>
      <c r="G417" s="454"/>
      <c r="H417" s="454"/>
      <c r="I417" s="454"/>
      <c r="J417" s="438"/>
      <c r="K417" s="438"/>
      <c r="L417" s="438"/>
      <c r="M417" s="438"/>
      <c r="N417" s="438"/>
      <c r="O417" s="438"/>
      <c r="P417" s="438"/>
      <c r="Q417" s="438"/>
      <c r="R417" s="438"/>
      <c r="S417" s="438"/>
      <c r="T417" s="438"/>
      <c r="U417" s="438"/>
      <c r="V417" s="438"/>
      <c r="W417" s="438"/>
      <c r="X417" s="438"/>
      <c r="Y417" s="438"/>
      <c r="Z417" s="438"/>
    </row>
    <row r="418" ht="11.25" customHeight="1">
      <c r="A418" s="438"/>
      <c r="B418" s="438"/>
      <c r="C418" s="438"/>
      <c r="D418" s="438"/>
      <c r="E418" s="438"/>
      <c r="F418" s="438"/>
      <c r="G418" s="454"/>
      <c r="H418" s="454"/>
      <c r="I418" s="454"/>
      <c r="J418" s="438"/>
      <c r="K418" s="438"/>
      <c r="L418" s="438"/>
      <c r="M418" s="438"/>
      <c r="N418" s="438"/>
      <c r="O418" s="438"/>
      <c r="P418" s="438"/>
      <c r="Q418" s="438"/>
      <c r="R418" s="438"/>
      <c r="S418" s="438"/>
      <c r="T418" s="438"/>
      <c r="U418" s="438"/>
      <c r="V418" s="438"/>
      <c r="W418" s="438"/>
      <c r="X418" s="438"/>
      <c r="Y418" s="438"/>
      <c r="Z418" s="438"/>
    </row>
    <row r="419" ht="11.25" customHeight="1">
      <c r="A419" s="438"/>
      <c r="B419" s="438"/>
      <c r="C419" s="438"/>
      <c r="D419" s="438"/>
      <c r="E419" s="438"/>
      <c r="F419" s="438"/>
      <c r="G419" s="454"/>
      <c r="H419" s="454"/>
      <c r="I419" s="454"/>
      <c r="J419" s="438"/>
      <c r="K419" s="438"/>
      <c r="L419" s="438"/>
      <c r="M419" s="438"/>
      <c r="N419" s="438"/>
      <c r="O419" s="438"/>
      <c r="P419" s="438"/>
      <c r="Q419" s="438"/>
      <c r="R419" s="438"/>
      <c r="S419" s="438"/>
      <c r="T419" s="438"/>
      <c r="U419" s="438"/>
      <c r="V419" s="438"/>
      <c r="W419" s="438"/>
      <c r="X419" s="438"/>
      <c r="Y419" s="438"/>
      <c r="Z419" s="438"/>
    </row>
    <row r="420" ht="11.25" customHeight="1">
      <c r="A420" s="438"/>
      <c r="B420" s="438"/>
      <c r="C420" s="438"/>
      <c r="D420" s="438"/>
      <c r="E420" s="438"/>
      <c r="F420" s="438"/>
      <c r="G420" s="454"/>
      <c r="H420" s="454"/>
      <c r="I420" s="454"/>
      <c r="J420" s="438"/>
      <c r="K420" s="438"/>
      <c r="L420" s="438"/>
      <c r="M420" s="438"/>
      <c r="N420" s="438"/>
      <c r="O420" s="438"/>
      <c r="P420" s="438"/>
      <c r="Q420" s="438"/>
      <c r="R420" s="438"/>
      <c r="S420" s="438"/>
      <c r="T420" s="438"/>
      <c r="U420" s="438"/>
      <c r="V420" s="438"/>
      <c r="W420" s="438"/>
      <c r="X420" s="438"/>
      <c r="Y420" s="438"/>
      <c r="Z420" s="438"/>
    </row>
    <row r="421" ht="11.25" customHeight="1">
      <c r="A421" s="438"/>
      <c r="B421" s="438"/>
      <c r="C421" s="438"/>
      <c r="D421" s="438"/>
      <c r="E421" s="438"/>
      <c r="F421" s="438"/>
      <c r="G421" s="454"/>
      <c r="H421" s="454"/>
      <c r="I421" s="454"/>
      <c r="J421" s="438"/>
      <c r="K421" s="438"/>
      <c r="L421" s="438"/>
      <c r="M421" s="438"/>
      <c r="N421" s="438"/>
      <c r="O421" s="438"/>
      <c r="P421" s="438"/>
      <c r="Q421" s="438"/>
      <c r="R421" s="438"/>
      <c r="S421" s="438"/>
      <c r="T421" s="438"/>
      <c r="U421" s="438"/>
      <c r="V421" s="438"/>
      <c r="W421" s="438"/>
      <c r="X421" s="438"/>
      <c r="Y421" s="438"/>
      <c r="Z421" s="438"/>
    </row>
    <row r="422" ht="11.25" customHeight="1">
      <c r="A422" s="438"/>
      <c r="B422" s="438"/>
      <c r="C422" s="438"/>
      <c r="D422" s="438"/>
      <c r="E422" s="438"/>
      <c r="F422" s="438"/>
      <c r="G422" s="454"/>
      <c r="H422" s="454"/>
      <c r="I422" s="454"/>
      <c r="J422" s="438"/>
      <c r="K422" s="438"/>
      <c r="L422" s="438"/>
      <c r="M422" s="438"/>
      <c r="N422" s="438"/>
      <c r="O422" s="438"/>
      <c r="P422" s="438"/>
      <c r="Q422" s="438"/>
      <c r="R422" s="438"/>
      <c r="S422" s="438"/>
      <c r="T422" s="438"/>
      <c r="U422" s="438"/>
      <c r="V422" s="438"/>
      <c r="W422" s="438"/>
      <c r="X422" s="438"/>
      <c r="Y422" s="438"/>
      <c r="Z422" s="438"/>
    </row>
    <row r="423" ht="11.25" customHeight="1">
      <c r="A423" s="438"/>
      <c r="B423" s="438"/>
      <c r="C423" s="438"/>
      <c r="D423" s="438"/>
      <c r="E423" s="438"/>
      <c r="F423" s="438"/>
      <c r="G423" s="454"/>
      <c r="H423" s="454"/>
      <c r="I423" s="454"/>
      <c r="J423" s="438"/>
      <c r="K423" s="438"/>
      <c r="L423" s="438"/>
      <c r="M423" s="438"/>
      <c r="N423" s="438"/>
      <c r="O423" s="438"/>
      <c r="P423" s="438"/>
      <c r="Q423" s="438"/>
      <c r="R423" s="438"/>
      <c r="S423" s="438"/>
      <c r="T423" s="438"/>
      <c r="U423" s="438"/>
      <c r="V423" s="438"/>
      <c r="W423" s="438"/>
      <c r="X423" s="438"/>
      <c r="Y423" s="438"/>
      <c r="Z423" s="438"/>
    </row>
    <row r="424" ht="11.25" customHeight="1">
      <c r="A424" s="438"/>
      <c r="B424" s="438"/>
      <c r="C424" s="438"/>
      <c r="D424" s="438"/>
      <c r="E424" s="438"/>
      <c r="F424" s="438"/>
      <c r="G424" s="454"/>
      <c r="H424" s="454"/>
      <c r="I424" s="454"/>
      <c r="J424" s="438"/>
      <c r="K424" s="438"/>
      <c r="L424" s="438"/>
      <c r="M424" s="438"/>
      <c r="N424" s="438"/>
      <c r="O424" s="438"/>
      <c r="P424" s="438"/>
      <c r="Q424" s="438"/>
      <c r="R424" s="438"/>
      <c r="S424" s="438"/>
      <c r="T424" s="438"/>
      <c r="U424" s="438"/>
      <c r="V424" s="438"/>
      <c r="W424" s="438"/>
      <c r="X424" s="438"/>
      <c r="Y424" s="438"/>
      <c r="Z424" s="438"/>
    </row>
    <row r="425" ht="11.25" customHeight="1">
      <c r="A425" s="438"/>
      <c r="B425" s="438"/>
      <c r="C425" s="438"/>
      <c r="D425" s="438"/>
      <c r="E425" s="438"/>
      <c r="F425" s="438"/>
      <c r="G425" s="454"/>
      <c r="H425" s="454"/>
      <c r="I425" s="454"/>
      <c r="J425" s="438"/>
      <c r="K425" s="438"/>
      <c r="L425" s="438"/>
      <c r="M425" s="438"/>
      <c r="N425" s="438"/>
      <c r="O425" s="438"/>
      <c r="P425" s="438"/>
      <c r="Q425" s="438"/>
      <c r="R425" s="438"/>
      <c r="S425" s="438"/>
      <c r="T425" s="438"/>
      <c r="U425" s="438"/>
      <c r="V425" s="438"/>
      <c r="W425" s="438"/>
      <c r="X425" s="438"/>
      <c r="Y425" s="438"/>
      <c r="Z425" s="438"/>
    </row>
    <row r="426" ht="11.25" customHeight="1">
      <c r="A426" s="438"/>
      <c r="B426" s="438"/>
      <c r="C426" s="438"/>
      <c r="D426" s="438"/>
      <c r="E426" s="438"/>
      <c r="F426" s="438"/>
      <c r="G426" s="454"/>
      <c r="H426" s="454"/>
      <c r="I426" s="454"/>
      <c r="J426" s="438"/>
      <c r="K426" s="438"/>
      <c r="L426" s="438"/>
      <c r="M426" s="438"/>
      <c r="N426" s="438"/>
      <c r="O426" s="438"/>
      <c r="P426" s="438"/>
      <c r="Q426" s="438"/>
      <c r="R426" s="438"/>
      <c r="S426" s="438"/>
      <c r="T426" s="438"/>
      <c r="U426" s="438"/>
      <c r="V426" s="438"/>
      <c r="W426" s="438"/>
      <c r="X426" s="438"/>
      <c r="Y426" s="438"/>
      <c r="Z426" s="438"/>
    </row>
    <row r="427" ht="11.25" customHeight="1">
      <c r="A427" s="438"/>
      <c r="B427" s="438"/>
      <c r="C427" s="438"/>
      <c r="D427" s="438"/>
      <c r="E427" s="438"/>
      <c r="F427" s="438"/>
      <c r="G427" s="454"/>
      <c r="H427" s="454"/>
      <c r="I427" s="454"/>
      <c r="J427" s="438"/>
      <c r="K427" s="438"/>
      <c r="L427" s="438"/>
      <c r="M427" s="438"/>
      <c r="N427" s="438"/>
      <c r="O427" s="438"/>
      <c r="P427" s="438"/>
      <c r="Q427" s="438"/>
      <c r="R427" s="438"/>
      <c r="S427" s="438"/>
      <c r="T427" s="438"/>
      <c r="U427" s="438"/>
      <c r="V427" s="438"/>
      <c r="W427" s="438"/>
      <c r="X427" s="438"/>
      <c r="Y427" s="438"/>
      <c r="Z427" s="438"/>
    </row>
    <row r="428" ht="11.25" customHeight="1">
      <c r="A428" s="438"/>
      <c r="B428" s="438"/>
      <c r="C428" s="438"/>
      <c r="D428" s="438"/>
      <c r="E428" s="438"/>
      <c r="F428" s="438"/>
      <c r="G428" s="454"/>
      <c r="H428" s="454"/>
      <c r="I428" s="454"/>
      <c r="J428" s="438"/>
      <c r="K428" s="438"/>
      <c r="L428" s="438"/>
      <c r="M428" s="438"/>
      <c r="N428" s="438"/>
      <c r="O428" s="438"/>
      <c r="P428" s="438"/>
      <c r="Q428" s="438"/>
      <c r="R428" s="438"/>
      <c r="S428" s="438"/>
      <c r="T428" s="438"/>
      <c r="U428" s="438"/>
      <c r="V428" s="438"/>
      <c r="W428" s="438"/>
      <c r="X428" s="438"/>
      <c r="Y428" s="438"/>
      <c r="Z428" s="438"/>
    </row>
    <row r="429" ht="11.25" customHeight="1">
      <c r="A429" s="438"/>
      <c r="B429" s="438"/>
      <c r="C429" s="438"/>
      <c r="D429" s="438"/>
      <c r="E429" s="438"/>
      <c r="F429" s="438"/>
      <c r="G429" s="454"/>
      <c r="H429" s="454"/>
      <c r="I429" s="454"/>
      <c r="J429" s="438"/>
      <c r="K429" s="438"/>
      <c r="L429" s="438"/>
      <c r="M429" s="438"/>
      <c r="N429" s="438"/>
      <c r="O429" s="438"/>
      <c r="P429" s="438"/>
      <c r="Q429" s="438"/>
      <c r="R429" s="438"/>
      <c r="S429" s="438"/>
      <c r="T429" s="438"/>
      <c r="U429" s="438"/>
      <c r="V429" s="438"/>
      <c r="W429" s="438"/>
      <c r="X429" s="438"/>
      <c r="Y429" s="438"/>
      <c r="Z429" s="438"/>
    </row>
    <row r="430" ht="11.25" customHeight="1">
      <c r="A430" s="438"/>
      <c r="B430" s="438"/>
      <c r="C430" s="438"/>
      <c r="D430" s="438"/>
      <c r="E430" s="438"/>
      <c r="F430" s="438"/>
      <c r="G430" s="454"/>
      <c r="H430" s="454"/>
      <c r="I430" s="454"/>
      <c r="J430" s="438"/>
      <c r="K430" s="438"/>
      <c r="L430" s="438"/>
      <c r="M430" s="438"/>
      <c r="N430" s="438"/>
      <c r="O430" s="438"/>
      <c r="P430" s="438"/>
      <c r="Q430" s="438"/>
      <c r="R430" s="438"/>
      <c r="S430" s="438"/>
      <c r="T430" s="438"/>
      <c r="U430" s="438"/>
      <c r="V430" s="438"/>
      <c r="W430" s="438"/>
      <c r="X430" s="438"/>
      <c r="Y430" s="438"/>
      <c r="Z430" s="438"/>
    </row>
    <row r="431" ht="11.25" customHeight="1">
      <c r="A431" s="438"/>
      <c r="B431" s="438"/>
      <c r="C431" s="438"/>
      <c r="D431" s="438"/>
      <c r="E431" s="438"/>
      <c r="F431" s="438"/>
      <c r="G431" s="454"/>
      <c r="H431" s="454"/>
      <c r="I431" s="454"/>
      <c r="J431" s="438"/>
      <c r="K431" s="438"/>
      <c r="L431" s="438"/>
      <c r="M431" s="438"/>
      <c r="N431" s="438"/>
      <c r="O431" s="438"/>
      <c r="P431" s="438"/>
      <c r="Q431" s="438"/>
      <c r="R431" s="438"/>
      <c r="S431" s="438"/>
      <c r="T431" s="438"/>
      <c r="U431" s="438"/>
      <c r="V431" s="438"/>
      <c r="W431" s="438"/>
      <c r="X431" s="438"/>
      <c r="Y431" s="438"/>
      <c r="Z431" s="438"/>
    </row>
    <row r="432" ht="11.25" customHeight="1">
      <c r="A432" s="438"/>
      <c r="B432" s="438"/>
      <c r="C432" s="438"/>
      <c r="D432" s="438"/>
      <c r="E432" s="438"/>
      <c r="F432" s="438"/>
      <c r="G432" s="454"/>
      <c r="H432" s="454"/>
      <c r="I432" s="454"/>
      <c r="J432" s="438"/>
      <c r="K432" s="438"/>
      <c r="L432" s="438"/>
      <c r="M432" s="438"/>
      <c r="N432" s="438"/>
      <c r="O432" s="438"/>
      <c r="P432" s="438"/>
      <c r="Q432" s="438"/>
      <c r="R432" s="438"/>
      <c r="S432" s="438"/>
      <c r="T432" s="438"/>
      <c r="U432" s="438"/>
      <c r="V432" s="438"/>
      <c r="W432" s="438"/>
      <c r="X432" s="438"/>
      <c r="Y432" s="438"/>
      <c r="Z432" s="438"/>
    </row>
    <row r="433" ht="11.25" customHeight="1">
      <c r="A433" s="438"/>
      <c r="B433" s="438"/>
      <c r="C433" s="438"/>
      <c r="D433" s="438"/>
      <c r="E433" s="438"/>
      <c r="F433" s="438"/>
      <c r="G433" s="454"/>
      <c r="H433" s="454"/>
      <c r="I433" s="454"/>
      <c r="J433" s="438"/>
      <c r="K433" s="438"/>
      <c r="L433" s="438"/>
      <c r="M433" s="438"/>
      <c r="N433" s="438"/>
      <c r="O433" s="438"/>
      <c r="P433" s="438"/>
      <c r="Q433" s="438"/>
      <c r="R433" s="438"/>
      <c r="S433" s="438"/>
      <c r="T433" s="438"/>
      <c r="U433" s="438"/>
      <c r="V433" s="438"/>
      <c r="W433" s="438"/>
      <c r="X433" s="438"/>
      <c r="Y433" s="438"/>
      <c r="Z433" s="438"/>
    </row>
    <row r="434" ht="11.25" customHeight="1">
      <c r="A434" s="438"/>
      <c r="B434" s="438"/>
      <c r="C434" s="438"/>
      <c r="D434" s="438"/>
      <c r="E434" s="438"/>
      <c r="F434" s="438"/>
      <c r="G434" s="454"/>
      <c r="H434" s="454"/>
      <c r="I434" s="454"/>
      <c r="J434" s="438"/>
      <c r="K434" s="438"/>
      <c r="L434" s="438"/>
      <c r="M434" s="438"/>
      <c r="N434" s="438"/>
      <c r="O434" s="438"/>
      <c r="P434" s="438"/>
      <c r="Q434" s="438"/>
      <c r="R434" s="438"/>
      <c r="S434" s="438"/>
      <c r="T434" s="438"/>
      <c r="U434" s="438"/>
      <c r="V434" s="438"/>
      <c r="W434" s="438"/>
      <c r="X434" s="438"/>
      <c r="Y434" s="438"/>
      <c r="Z434" s="438"/>
    </row>
    <row r="435" ht="11.25" customHeight="1">
      <c r="A435" s="438"/>
      <c r="B435" s="438"/>
      <c r="C435" s="438"/>
      <c r="D435" s="438"/>
      <c r="E435" s="438"/>
      <c r="F435" s="438"/>
      <c r="G435" s="454"/>
      <c r="H435" s="454"/>
      <c r="I435" s="454"/>
      <c r="J435" s="438"/>
      <c r="K435" s="438"/>
      <c r="L435" s="438"/>
      <c r="M435" s="438"/>
      <c r="N435" s="438"/>
      <c r="O435" s="438"/>
      <c r="P435" s="438"/>
      <c r="Q435" s="438"/>
      <c r="R435" s="438"/>
      <c r="S435" s="438"/>
      <c r="T435" s="438"/>
      <c r="U435" s="438"/>
      <c r="V435" s="438"/>
      <c r="W435" s="438"/>
      <c r="X435" s="438"/>
      <c r="Y435" s="438"/>
      <c r="Z435" s="438"/>
    </row>
    <row r="436" ht="11.25" customHeight="1">
      <c r="A436" s="438"/>
      <c r="B436" s="438"/>
      <c r="C436" s="438"/>
      <c r="D436" s="438"/>
      <c r="E436" s="438"/>
      <c r="F436" s="438"/>
      <c r="G436" s="454"/>
      <c r="H436" s="454"/>
      <c r="I436" s="454"/>
      <c r="J436" s="438"/>
      <c r="K436" s="438"/>
      <c r="L436" s="438"/>
      <c r="M436" s="438"/>
      <c r="N436" s="438"/>
      <c r="O436" s="438"/>
      <c r="P436" s="438"/>
      <c r="Q436" s="438"/>
      <c r="R436" s="438"/>
      <c r="S436" s="438"/>
      <c r="T436" s="438"/>
      <c r="U436" s="438"/>
      <c r="V436" s="438"/>
      <c r="W436" s="438"/>
      <c r="X436" s="438"/>
      <c r="Y436" s="438"/>
      <c r="Z436" s="438"/>
    </row>
    <row r="437" ht="11.25" customHeight="1">
      <c r="A437" s="438"/>
      <c r="B437" s="438"/>
      <c r="C437" s="438"/>
      <c r="D437" s="438"/>
      <c r="E437" s="438"/>
      <c r="F437" s="438"/>
      <c r="G437" s="454"/>
      <c r="H437" s="454"/>
      <c r="I437" s="454"/>
      <c r="J437" s="438"/>
      <c r="K437" s="438"/>
      <c r="L437" s="438"/>
      <c r="M437" s="438"/>
      <c r="N437" s="438"/>
      <c r="O437" s="438"/>
      <c r="P437" s="438"/>
      <c r="Q437" s="438"/>
      <c r="R437" s="438"/>
      <c r="S437" s="438"/>
      <c r="T437" s="438"/>
      <c r="U437" s="438"/>
      <c r="V437" s="438"/>
      <c r="W437" s="438"/>
      <c r="X437" s="438"/>
      <c r="Y437" s="438"/>
      <c r="Z437" s="438"/>
    </row>
    <row r="438" ht="11.25" customHeight="1">
      <c r="A438" s="438"/>
      <c r="B438" s="438"/>
      <c r="C438" s="438"/>
      <c r="D438" s="438"/>
      <c r="E438" s="438"/>
      <c r="F438" s="438"/>
      <c r="G438" s="454"/>
      <c r="H438" s="454"/>
      <c r="I438" s="454"/>
      <c r="J438" s="438"/>
      <c r="K438" s="438"/>
      <c r="L438" s="438"/>
      <c r="M438" s="438"/>
      <c r="N438" s="438"/>
      <c r="O438" s="438"/>
      <c r="P438" s="438"/>
      <c r="Q438" s="438"/>
      <c r="R438" s="438"/>
      <c r="S438" s="438"/>
      <c r="T438" s="438"/>
      <c r="U438" s="438"/>
      <c r="V438" s="438"/>
      <c r="W438" s="438"/>
      <c r="X438" s="438"/>
      <c r="Y438" s="438"/>
      <c r="Z438" s="438"/>
    </row>
    <row r="439" ht="11.25" customHeight="1">
      <c r="A439" s="438"/>
      <c r="B439" s="438"/>
      <c r="C439" s="438"/>
      <c r="D439" s="438"/>
      <c r="E439" s="438"/>
      <c r="F439" s="438"/>
      <c r="G439" s="454"/>
      <c r="H439" s="454"/>
      <c r="I439" s="454"/>
      <c r="J439" s="438"/>
      <c r="K439" s="438"/>
      <c r="L439" s="438"/>
      <c r="M439" s="438"/>
      <c r="N439" s="438"/>
      <c r="O439" s="438"/>
      <c r="P439" s="438"/>
      <c r="Q439" s="438"/>
      <c r="R439" s="438"/>
      <c r="S439" s="438"/>
      <c r="T439" s="438"/>
      <c r="U439" s="438"/>
      <c r="V439" s="438"/>
      <c r="W439" s="438"/>
      <c r="X439" s="438"/>
      <c r="Y439" s="438"/>
      <c r="Z439" s="438"/>
    </row>
    <row r="440" ht="11.25" customHeight="1">
      <c r="A440" s="438"/>
      <c r="B440" s="438"/>
      <c r="C440" s="438"/>
      <c r="D440" s="438"/>
      <c r="E440" s="438"/>
      <c r="F440" s="438"/>
      <c r="G440" s="454"/>
      <c r="H440" s="454"/>
      <c r="I440" s="454"/>
      <c r="J440" s="438"/>
      <c r="K440" s="438"/>
      <c r="L440" s="438"/>
      <c r="M440" s="438"/>
      <c r="N440" s="438"/>
      <c r="O440" s="438"/>
      <c r="P440" s="438"/>
      <c r="Q440" s="438"/>
      <c r="R440" s="438"/>
      <c r="S440" s="438"/>
      <c r="T440" s="438"/>
      <c r="U440" s="438"/>
      <c r="V440" s="438"/>
      <c r="W440" s="438"/>
      <c r="X440" s="438"/>
      <c r="Y440" s="438"/>
      <c r="Z440" s="438"/>
    </row>
    <row r="441" ht="11.25" customHeight="1">
      <c r="A441" s="438"/>
      <c r="B441" s="438"/>
      <c r="C441" s="438"/>
      <c r="D441" s="438"/>
      <c r="E441" s="438"/>
      <c r="F441" s="438"/>
      <c r="G441" s="454"/>
      <c r="H441" s="454"/>
      <c r="I441" s="454"/>
      <c r="J441" s="438"/>
      <c r="K441" s="438"/>
      <c r="L441" s="438"/>
      <c r="M441" s="438"/>
      <c r="N441" s="438"/>
      <c r="O441" s="438"/>
      <c r="P441" s="438"/>
      <c r="Q441" s="438"/>
      <c r="R441" s="438"/>
      <c r="S441" s="438"/>
      <c r="T441" s="438"/>
      <c r="U441" s="438"/>
      <c r="V441" s="438"/>
      <c r="W441" s="438"/>
      <c r="X441" s="438"/>
      <c r="Y441" s="438"/>
      <c r="Z441" s="438"/>
    </row>
    <row r="442" ht="11.25" customHeight="1">
      <c r="A442" s="438"/>
      <c r="B442" s="438"/>
      <c r="C442" s="438"/>
      <c r="D442" s="438"/>
      <c r="E442" s="438"/>
      <c r="F442" s="438"/>
      <c r="G442" s="454"/>
      <c r="H442" s="454"/>
      <c r="I442" s="454"/>
      <c r="J442" s="438"/>
      <c r="K442" s="438"/>
      <c r="L442" s="438"/>
      <c r="M442" s="438"/>
      <c r="N442" s="438"/>
      <c r="O442" s="438"/>
      <c r="P442" s="438"/>
      <c r="Q442" s="438"/>
      <c r="R442" s="438"/>
      <c r="S442" s="438"/>
      <c r="T442" s="438"/>
      <c r="U442" s="438"/>
      <c r="V442" s="438"/>
      <c r="W442" s="438"/>
      <c r="X442" s="438"/>
      <c r="Y442" s="438"/>
      <c r="Z442" s="438"/>
    </row>
    <row r="443" ht="11.25" customHeight="1">
      <c r="A443" s="438"/>
      <c r="B443" s="438"/>
      <c r="C443" s="438"/>
      <c r="D443" s="438"/>
      <c r="E443" s="438"/>
      <c r="F443" s="438"/>
      <c r="G443" s="454"/>
      <c r="H443" s="454"/>
      <c r="I443" s="454"/>
      <c r="J443" s="438"/>
      <c r="K443" s="438"/>
      <c r="L443" s="438"/>
      <c r="M443" s="438"/>
      <c r="N443" s="438"/>
      <c r="O443" s="438"/>
      <c r="P443" s="438"/>
      <c r="Q443" s="438"/>
      <c r="R443" s="438"/>
      <c r="S443" s="438"/>
      <c r="T443" s="438"/>
      <c r="U443" s="438"/>
      <c r="V443" s="438"/>
      <c r="W443" s="438"/>
      <c r="X443" s="438"/>
      <c r="Y443" s="438"/>
      <c r="Z443" s="438"/>
    </row>
    <row r="444" ht="11.25" customHeight="1">
      <c r="A444" s="438"/>
      <c r="B444" s="438"/>
      <c r="C444" s="438"/>
      <c r="D444" s="438"/>
      <c r="E444" s="438"/>
      <c r="F444" s="438"/>
      <c r="G444" s="454"/>
      <c r="H444" s="454"/>
      <c r="I444" s="454"/>
      <c r="J444" s="438"/>
      <c r="K444" s="438"/>
      <c r="L444" s="438"/>
      <c r="M444" s="438"/>
      <c r="N444" s="438"/>
      <c r="O444" s="438"/>
      <c r="P444" s="438"/>
      <c r="Q444" s="438"/>
      <c r="R444" s="438"/>
      <c r="S444" s="438"/>
      <c r="T444" s="438"/>
      <c r="U444" s="438"/>
      <c r="V444" s="438"/>
      <c r="W444" s="438"/>
      <c r="X444" s="438"/>
      <c r="Y444" s="438"/>
      <c r="Z444" s="438"/>
    </row>
    <row r="445" ht="11.25" customHeight="1">
      <c r="A445" s="438"/>
      <c r="B445" s="438"/>
      <c r="C445" s="438"/>
      <c r="D445" s="438"/>
      <c r="E445" s="438"/>
      <c r="F445" s="438"/>
      <c r="G445" s="454"/>
      <c r="H445" s="454"/>
      <c r="I445" s="454"/>
      <c r="J445" s="438"/>
      <c r="K445" s="438"/>
      <c r="L445" s="438"/>
      <c r="M445" s="438"/>
      <c r="N445" s="438"/>
      <c r="O445" s="438"/>
      <c r="P445" s="438"/>
      <c r="Q445" s="438"/>
      <c r="R445" s="438"/>
      <c r="S445" s="438"/>
      <c r="T445" s="438"/>
      <c r="U445" s="438"/>
      <c r="V445" s="438"/>
      <c r="W445" s="438"/>
      <c r="X445" s="438"/>
      <c r="Y445" s="438"/>
      <c r="Z445" s="438"/>
    </row>
    <row r="446" ht="11.25" customHeight="1">
      <c r="A446" s="438"/>
      <c r="B446" s="438"/>
      <c r="C446" s="438"/>
      <c r="D446" s="438"/>
      <c r="E446" s="438"/>
      <c r="F446" s="438"/>
      <c r="G446" s="454"/>
      <c r="H446" s="454"/>
      <c r="I446" s="454"/>
      <c r="J446" s="438"/>
      <c r="K446" s="438"/>
      <c r="L446" s="438"/>
      <c r="M446" s="438"/>
      <c r="N446" s="438"/>
      <c r="O446" s="438"/>
      <c r="P446" s="438"/>
      <c r="Q446" s="438"/>
      <c r="R446" s="438"/>
      <c r="S446" s="438"/>
      <c r="T446" s="438"/>
      <c r="U446" s="438"/>
      <c r="V446" s="438"/>
      <c r="W446" s="438"/>
      <c r="X446" s="438"/>
      <c r="Y446" s="438"/>
      <c r="Z446" s="438"/>
    </row>
    <row r="447" ht="11.25" customHeight="1">
      <c r="A447" s="438"/>
      <c r="B447" s="438"/>
      <c r="C447" s="438"/>
      <c r="D447" s="438"/>
      <c r="E447" s="438"/>
      <c r="F447" s="438"/>
      <c r="G447" s="454"/>
      <c r="H447" s="454"/>
      <c r="I447" s="454"/>
      <c r="J447" s="438"/>
      <c r="K447" s="438"/>
      <c r="L447" s="438"/>
      <c r="M447" s="438"/>
      <c r="N447" s="438"/>
      <c r="O447" s="438"/>
      <c r="P447" s="438"/>
      <c r="Q447" s="438"/>
      <c r="R447" s="438"/>
      <c r="S447" s="438"/>
      <c r="T447" s="438"/>
      <c r="U447" s="438"/>
      <c r="V447" s="438"/>
      <c r="W447" s="438"/>
      <c r="X447" s="438"/>
      <c r="Y447" s="438"/>
      <c r="Z447" s="438"/>
    </row>
    <row r="448" ht="11.25" customHeight="1">
      <c r="A448" s="438"/>
      <c r="B448" s="438"/>
      <c r="C448" s="438"/>
      <c r="D448" s="438"/>
      <c r="E448" s="438"/>
      <c r="F448" s="438"/>
      <c r="G448" s="454"/>
      <c r="H448" s="454"/>
      <c r="I448" s="454"/>
      <c r="J448" s="438"/>
      <c r="K448" s="438"/>
      <c r="L448" s="438"/>
      <c r="M448" s="438"/>
      <c r="N448" s="438"/>
      <c r="O448" s="438"/>
      <c r="P448" s="438"/>
      <c r="Q448" s="438"/>
      <c r="R448" s="438"/>
      <c r="S448" s="438"/>
      <c r="T448" s="438"/>
      <c r="U448" s="438"/>
      <c r="V448" s="438"/>
      <c r="W448" s="438"/>
      <c r="X448" s="438"/>
      <c r="Y448" s="438"/>
      <c r="Z448" s="438"/>
    </row>
    <row r="449" ht="11.25" customHeight="1">
      <c r="A449" s="438"/>
      <c r="B449" s="438"/>
      <c r="C449" s="438"/>
      <c r="D449" s="438"/>
      <c r="E449" s="438"/>
      <c r="F449" s="438"/>
      <c r="G449" s="454"/>
      <c r="H449" s="454"/>
      <c r="I449" s="454"/>
      <c r="J449" s="438"/>
      <c r="K449" s="438"/>
      <c r="L449" s="438"/>
      <c r="M449" s="438"/>
      <c r="N449" s="438"/>
      <c r="O449" s="438"/>
      <c r="P449" s="438"/>
      <c r="Q449" s="438"/>
      <c r="R449" s="438"/>
      <c r="S449" s="438"/>
      <c r="T449" s="438"/>
      <c r="U449" s="438"/>
      <c r="V449" s="438"/>
      <c r="W449" s="438"/>
      <c r="X449" s="438"/>
      <c r="Y449" s="438"/>
      <c r="Z449" s="438"/>
    </row>
    <row r="450" ht="11.25" customHeight="1">
      <c r="A450" s="438"/>
      <c r="B450" s="438"/>
      <c r="C450" s="438"/>
      <c r="D450" s="438"/>
      <c r="E450" s="438"/>
      <c r="F450" s="438"/>
      <c r="G450" s="454"/>
      <c r="H450" s="454"/>
      <c r="I450" s="454"/>
      <c r="J450" s="438"/>
      <c r="K450" s="438"/>
      <c r="L450" s="438"/>
      <c r="M450" s="438"/>
      <c r="N450" s="438"/>
      <c r="O450" s="438"/>
      <c r="P450" s="438"/>
      <c r="Q450" s="438"/>
      <c r="R450" s="438"/>
      <c r="S450" s="438"/>
      <c r="T450" s="438"/>
      <c r="U450" s="438"/>
      <c r="V450" s="438"/>
      <c r="W450" s="438"/>
      <c r="X450" s="438"/>
      <c r="Y450" s="438"/>
      <c r="Z450" s="438"/>
    </row>
    <row r="451" ht="11.25" customHeight="1">
      <c r="A451" s="438"/>
      <c r="B451" s="438"/>
      <c r="C451" s="438"/>
      <c r="D451" s="438"/>
      <c r="E451" s="438"/>
      <c r="F451" s="438"/>
      <c r="G451" s="454"/>
      <c r="H451" s="454"/>
      <c r="I451" s="454"/>
      <c r="J451" s="438"/>
      <c r="K451" s="438"/>
      <c r="L451" s="438"/>
      <c r="M451" s="438"/>
      <c r="N451" s="438"/>
      <c r="O451" s="438"/>
      <c r="P451" s="438"/>
      <c r="Q451" s="438"/>
      <c r="R451" s="438"/>
      <c r="S451" s="438"/>
      <c r="T451" s="438"/>
      <c r="U451" s="438"/>
      <c r="V451" s="438"/>
      <c r="W451" s="438"/>
      <c r="X451" s="438"/>
      <c r="Y451" s="438"/>
      <c r="Z451" s="438"/>
    </row>
    <row r="452" ht="11.25" customHeight="1">
      <c r="A452" s="438"/>
      <c r="B452" s="438"/>
      <c r="C452" s="438"/>
      <c r="D452" s="438"/>
      <c r="E452" s="438"/>
      <c r="F452" s="438"/>
      <c r="G452" s="454"/>
      <c r="H452" s="454"/>
      <c r="I452" s="454"/>
      <c r="J452" s="438"/>
      <c r="K452" s="438"/>
      <c r="L452" s="438"/>
      <c r="M452" s="438"/>
      <c r="N452" s="438"/>
      <c r="O452" s="438"/>
      <c r="P452" s="438"/>
      <c r="Q452" s="438"/>
      <c r="R452" s="438"/>
      <c r="S452" s="438"/>
      <c r="T452" s="438"/>
      <c r="U452" s="438"/>
      <c r="V452" s="438"/>
      <c r="W452" s="438"/>
      <c r="X452" s="438"/>
      <c r="Y452" s="438"/>
      <c r="Z452" s="438"/>
    </row>
    <row r="453" ht="11.25" customHeight="1">
      <c r="A453" s="438"/>
      <c r="B453" s="438"/>
      <c r="C453" s="438"/>
      <c r="D453" s="438"/>
      <c r="E453" s="438"/>
      <c r="F453" s="438"/>
      <c r="G453" s="454"/>
      <c r="H453" s="454"/>
      <c r="I453" s="454"/>
      <c r="J453" s="438"/>
      <c r="K453" s="438"/>
      <c r="L453" s="438"/>
      <c r="M453" s="438"/>
      <c r="N453" s="438"/>
      <c r="O453" s="438"/>
      <c r="P453" s="438"/>
      <c r="Q453" s="438"/>
      <c r="R453" s="438"/>
      <c r="S453" s="438"/>
      <c r="T453" s="438"/>
      <c r="U453" s="438"/>
      <c r="V453" s="438"/>
      <c r="W453" s="438"/>
      <c r="X453" s="438"/>
      <c r="Y453" s="438"/>
      <c r="Z453" s="438"/>
    </row>
    <row r="454" ht="11.25" customHeight="1">
      <c r="A454" s="438"/>
      <c r="B454" s="438"/>
      <c r="C454" s="438"/>
      <c r="D454" s="438"/>
      <c r="E454" s="438"/>
      <c r="F454" s="438"/>
      <c r="G454" s="454"/>
      <c r="H454" s="454"/>
      <c r="I454" s="454"/>
      <c r="J454" s="438"/>
      <c r="K454" s="438"/>
      <c r="L454" s="438"/>
      <c r="M454" s="438"/>
      <c r="N454" s="438"/>
      <c r="O454" s="438"/>
      <c r="P454" s="438"/>
      <c r="Q454" s="438"/>
      <c r="R454" s="438"/>
      <c r="S454" s="438"/>
      <c r="T454" s="438"/>
      <c r="U454" s="438"/>
      <c r="V454" s="438"/>
      <c r="W454" s="438"/>
      <c r="X454" s="438"/>
      <c r="Y454" s="438"/>
      <c r="Z454" s="438"/>
    </row>
    <row r="455" ht="11.25" customHeight="1">
      <c r="A455" s="438"/>
      <c r="B455" s="438"/>
      <c r="C455" s="438"/>
      <c r="D455" s="438"/>
      <c r="E455" s="438"/>
      <c r="F455" s="438"/>
      <c r="G455" s="454"/>
      <c r="H455" s="454"/>
      <c r="I455" s="454"/>
      <c r="J455" s="438"/>
      <c r="K455" s="438"/>
      <c r="L455" s="438"/>
      <c r="M455" s="438"/>
      <c r="N455" s="438"/>
      <c r="O455" s="438"/>
      <c r="P455" s="438"/>
      <c r="Q455" s="438"/>
      <c r="R455" s="438"/>
      <c r="S455" s="438"/>
      <c r="T455" s="438"/>
      <c r="U455" s="438"/>
      <c r="V455" s="438"/>
      <c r="W455" s="438"/>
      <c r="X455" s="438"/>
      <c r="Y455" s="438"/>
      <c r="Z455" s="438"/>
    </row>
    <row r="456" ht="11.25" customHeight="1">
      <c r="A456" s="438"/>
      <c r="B456" s="438"/>
      <c r="C456" s="438"/>
      <c r="D456" s="438"/>
      <c r="E456" s="438"/>
      <c r="F456" s="438"/>
      <c r="G456" s="454"/>
      <c r="H456" s="454"/>
      <c r="I456" s="454"/>
      <c r="J456" s="438"/>
      <c r="K456" s="438"/>
      <c r="L456" s="438"/>
      <c r="M456" s="438"/>
      <c r="N456" s="438"/>
      <c r="O456" s="438"/>
      <c r="P456" s="438"/>
      <c r="Q456" s="438"/>
      <c r="R456" s="438"/>
      <c r="S456" s="438"/>
      <c r="T456" s="438"/>
      <c r="U456" s="438"/>
      <c r="V456" s="438"/>
      <c r="W456" s="438"/>
      <c r="X456" s="438"/>
      <c r="Y456" s="438"/>
      <c r="Z456" s="438"/>
    </row>
    <row r="457" ht="11.25" customHeight="1">
      <c r="A457" s="438"/>
      <c r="B457" s="438"/>
      <c r="C457" s="438"/>
      <c r="D457" s="438"/>
      <c r="E457" s="438"/>
      <c r="F457" s="438"/>
      <c r="G457" s="454"/>
      <c r="H457" s="454"/>
      <c r="I457" s="454"/>
      <c r="J457" s="438"/>
      <c r="K457" s="438"/>
      <c r="L457" s="438"/>
      <c r="M457" s="438"/>
      <c r="N457" s="438"/>
      <c r="O457" s="438"/>
      <c r="P457" s="438"/>
      <c r="Q457" s="438"/>
      <c r="R457" s="438"/>
      <c r="S457" s="438"/>
      <c r="T457" s="438"/>
      <c r="U457" s="438"/>
      <c r="V457" s="438"/>
      <c r="W457" s="438"/>
      <c r="X457" s="438"/>
      <c r="Y457" s="438"/>
      <c r="Z457" s="438"/>
    </row>
    <row r="458" ht="11.25" customHeight="1">
      <c r="A458" s="438"/>
      <c r="B458" s="438"/>
      <c r="C458" s="438"/>
      <c r="D458" s="438"/>
      <c r="E458" s="438"/>
      <c r="F458" s="438"/>
      <c r="G458" s="454"/>
      <c r="H458" s="454"/>
      <c r="I458" s="454"/>
      <c r="J458" s="438"/>
      <c r="K458" s="438"/>
      <c r="L458" s="438"/>
      <c r="M458" s="438"/>
      <c r="N458" s="438"/>
      <c r="O458" s="438"/>
      <c r="P458" s="438"/>
      <c r="Q458" s="438"/>
      <c r="R458" s="438"/>
      <c r="S458" s="438"/>
      <c r="T458" s="438"/>
      <c r="U458" s="438"/>
      <c r="V458" s="438"/>
      <c r="W458" s="438"/>
      <c r="X458" s="438"/>
      <c r="Y458" s="438"/>
      <c r="Z458" s="438"/>
    </row>
    <row r="459" ht="11.25" customHeight="1">
      <c r="A459" s="438"/>
      <c r="B459" s="438"/>
      <c r="C459" s="438"/>
      <c r="D459" s="438"/>
      <c r="E459" s="438"/>
      <c r="F459" s="438"/>
      <c r="G459" s="454"/>
      <c r="H459" s="454"/>
      <c r="I459" s="454"/>
      <c r="J459" s="438"/>
      <c r="K459" s="438"/>
      <c r="L459" s="438"/>
      <c r="M459" s="438"/>
      <c r="N459" s="438"/>
      <c r="O459" s="438"/>
      <c r="P459" s="438"/>
      <c r="Q459" s="438"/>
      <c r="R459" s="438"/>
      <c r="S459" s="438"/>
      <c r="T459" s="438"/>
      <c r="U459" s="438"/>
      <c r="V459" s="438"/>
      <c r="W459" s="438"/>
      <c r="X459" s="438"/>
      <c r="Y459" s="438"/>
      <c r="Z459" s="438"/>
    </row>
    <row r="460" ht="11.25" customHeight="1">
      <c r="A460" s="438"/>
      <c r="B460" s="438"/>
      <c r="C460" s="438"/>
      <c r="D460" s="438"/>
      <c r="E460" s="438"/>
      <c r="F460" s="438"/>
      <c r="G460" s="454"/>
      <c r="H460" s="454"/>
      <c r="I460" s="454"/>
      <c r="J460" s="438"/>
      <c r="K460" s="438"/>
      <c r="L460" s="438"/>
      <c r="M460" s="438"/>
      <c r="N460" s="438"/>
      <c r="O460" s="438"/>
      <c r="P460" s="438"/>
      <c r="Q460" s="438"/>
      <c r="R460" s="438"/>
      <c r="S460" s="438"/>
      <c r="T460" s="438"/>
      <c r="U460" s="438"/>
      <c r="V460" s="438"/>
      <c r="W460" s="438"/>
      <c r="X460" s="438"/>
      <c r="Y460" s="438"/>
      <c r="Z460" s="438"/>
    </row>
    <row r="461" ht="11.25" customHeight="1">
      <c r="A461" s="438"/>
      <c r="B461" s="438"/>
      <c r="C461" s="438"/>
      <c r="D461" s="438"/>
      <c r="E461" s="438"/>
      <c r="F461" s="438"/>
      <c r="G461" s="454"/>
      <c r="H461" s="454"/>
      <c r="I461" s="454"/>
      <c r="J461" s="438"/>
      <c r="K461" s="438"/>
      <c r="L461" s="438"/>
      <c r="M461" s="438"/>
      <c r="N461" s="438"/>
      <c r="O461" s="438"/>
      <c r="P461" s="438"/>
      <c r="Q461" s="438"/>
      <c r="R461" s="438"/>
      <c r="S461" s="438"/>
      <c r="T461" s="438"/>
      <c r="U461" s="438"/>
      <c r="V461" s="438"/>
      <c r="W461" s="438"/>
      <c r="X461" s="438"/>
      <c r="Y461" s="438"/>
      <c r="Z461" s="438"/>
    </row>
    <row r="462" ht="11.25" customHeight="1">
      <c r="A462" s="438"/>
      <c r="B462" s="438"/>
      <c r="C462" s="438"/>
      <c r="D462" s="438"/>
      <c r="E462" s="438"/>
      <c r="F462" s="438"/>
      <c r="G462" s="454"/>
      <c r="H462" s="454"/>
      <c r="I462" s="454"/>
      <c r="J462" s="438"/>
      <c r="K462" s="438"/>
      <c r="L462" s="438"/>
      <c r="M462" s="438"/>
      <c r="N462" s="438"/>
      <c r="O462" s="438"/>
      <c r="P462" s="438"/>
      <c r="Q462" s="438"/>
      <c r="R462" s="438"/>
      <c r="S462" s="438"/>
      <c r="T462" s="438"/>
      <c r="U462" s="438"/>
      <c r="V462" s="438"/>
      <c r="W462" s="438"/>
      <c r="X462" s="438"/>
      <c r="Y462" s="438"/>
      <c r="Z462" s="438"/>
    </row>
    <row r="463" ht="11.25" customHeight="1">
      <c r="A463" s="438"/>
      <c r="B463" s="438"/>
      <c r="C463" s="438"/>
      <c r="D463" s="438"/>
      <c r="E463" s="438"/>
      <c r="F463" s="438"/>
      <c r="G463" s="454"/>
      <c r="H463" s="454"/>
      <c r="I463" s="454"/>
      <c r="J463" s="438"/>
      <c r="K463" s="438"/>
      <c r="L463" s="438"/>
      <c r="M463" s="438"/>
      <c r="N463" s="438"/>
      <c r="O463" s="438"/>
      <c r="P463" s="438"/>
      <c r="Q463" s="438"/>
      <c r="R463" s="438"/>
      <c r="S463" s="438"/>
      <c r="T463" s="438"/>
      <c r="U463" s="438"/>
      <c r="V463" s="438"/>
      <c r="W463" s="438"/>
      <c r="X463" s="438"/>
      <c r="Y463" s="438"/>
      <c r="Z463" s="438"/>
    </row>
    <row r="464" ht="11.25" customHeight="1">
      <c r="A464" s="438"/>
      <c r="B464" s="438"/>
      <c r="C464" s="438"/>
      <c r="D464" s="438"/>
      <c r="E464" s="438"/>
      <c r="F464" s="438"/>
      <c r="G464" s="454"/>
      <c r="H464" s="454"/>
      <c r="I464" s="454"/>
      <c r="J464" s="438"/>
      <c r="K464" s="438"/>
      <c r="L464" s="438"/>
      <c r="M464" s="438"/>
      <c r="N464" s="438"/>
      <c r="O464" s="438"/>
      <c r="P464" s="438"/>
      <c r="Q464" s="438"/>
      <c r="R464" s="438"/>
      <c r="S464" s="438"/>
      <c r="T464" s="438"/>
      <c r="U464" s="438"/>
      <c r="V464" s="438"/>
      <c r="W464" s="438"/>
      <c r="X464" s="438"/>
      <c r="Y464" s="438"/>
      <c r="Z464" s="438"/>
    </row>
    <row r="465" ht="11.25" customHeight="1">
      <c r="A465" s="438"/>
      <c r="B465" s="438"/>
      <c r="C465" s="438"/>
      <c r="D465" s="438"/>
      <c r="E465" s="438"/>
      <c r="F465" s="438"/>
      <c r="G465" s="454"/>
      <c r="H465" s="454"/>
      <c r="I465" s="454"/>
      <c r="J465" s="438"/>
      <c r="K465" s="438"/>
      <c r="L465" s="438"/>
      <c r="M465" s="438"/>
      <c r="N465" s="438"/>
      <c r="O465" s="438"/>
      <c r="P465" s="438"/>
      <c r="Q465" s="438"/>
      <c r="R465" s="438"/>
      <c r="S465" s="438"/>
      <c r="T465" s="438"/>
      <c r="U465" s="438"/>
      <c r="V465" s="438"/>
      <c r="W465" s="438"/>
      <c r="X465" s="438"/>
      <c r="Y465" s="438"/>
      <c r="Z465" s="438"/>
    </row>
    <row r="466" ht="11.25" customHeight="1">
      <c r="A466" s="438"/>
      <c r="B466" s="438"/>
      <c r="C466" s="438"/>
      <c r="D466" s="438"/>
      <c r="E466" s="438"/>
      <c r="F466" s="438"/>
      <c r="G466" s="454"/>
      <c r="H466" s="454"/>
      <c r="I466" s="454"/>
      <c r="J466" s="438"/>
      <c r="K466" s="438"/>
      <c r="L466" s="438"/>
      <c r="M466" s="438"/>
      <c r="N466" s="438"/>
      <c r="O466" s="438"/>
      <c r="P466" s="438"/>
      <c r="Q466" s="438"/>
      <c r="R466" s="438"/>
      <c r="S466" s="438"/>
      <c r="T466" s="438"/>
      <c r="U466" s="438"/>
      <c r="V466" s="438"/>
      <c r="W466" s="438"/>
      <c r="X466" s="438"/>
      <c r="Y466" s="438"/>
      <c r="Z466" s="438"/>
    </row>
    <row r="467" ht="11.25" customHeight="1">
      <c r="A467" s="438"/>
      <c r="B467" s="438"/>
      <c r="C467" s="438"/>
      <c r="D467" s="438"/>
      <c r="E467" s="438"/>
      <c r="F467" s="438"/>
      <c r="G467" s="454"/>
      <c r="H467" s="454"/>
      <c r="I467" s="454"/>
      <c r="J467" s="438"/>
      <c r="K467" s="438"/>
      <c r="L467" s="438"/>
      <c r="M467" s="438"/>
      <c r="N467" s="438"/>
      <c r="O467" s="438"/>
      <c r="P467" s="438"/>
      <c r="Q467" s="438"/>
      <c r="R467" s="438"/>
      <c r="S467" s="438"/>
      <c r="T467" s="438"/>
      <c r="U467" s="438"/>
      <c r="V467" s="438"/>
      <c r="W467" s="438"/>
      <c r="X467" s="438"/>
      <c r="Y467" s="438"/>
      <c r="Z467" s="438"/>
    </row>
    <row r="468" ht="11.25" customHeight="1">
      <c r="A468" s="438"/>
      <c r="B468" s="438"/>
      <c r="C468" s="438"/>
      <c r="D468" s="438"/>
      <c r="E468" s="438"/>
      <c r="F468" s="438"/>
      <c r="G468" s="454"/>
      <c r="H468" s="454"/>
      <c r="I468" s="454"/>
      <c r="J468" s="438"/>
      <c r="K468" s="438"/>
      <c r="L468" s="438"/>
      <c r="M468" s="438"/>
      <c r="N468" s="438"/>
      <c r="O468" s="438"/>
      <c r="P468" s="438"/>
      <c r="Q468" s="438"/>
      <c r="R468" s="438"/>
      <c r="S468" s="438"/>
      <c r="T468" s="438"/>
      <c r="U468" s="438"/>
      <c r="V468" s="438"/>
      <c r="W468" s="438"/>
      <c r="X468" s="438"/>
      <c r="Y468" s="438"/>
      <c r="Z468" s="438"/>
    </row>
    <row r="469" ht="11.25" customHeight="1">
      <c r="A469" s="438"/>
      <c r="B469" s="438"/>
      <c r="C469" s="438"/>
      <c r="D469" s="438"/>
      <c r="E469" s="438"/>
      <c r="F469" s="438"/>
      <c r="G469" s="454"/>
      <c r="H469" s="454"/>
      <c r="I469" s="454"/>
      <c r="J469" s="438"/>
      <c r="K469" s="438"/>
      <c r="L469" s="438"/>
      <c r="M469" s="438"/>
      <c r="N469" s="438"/>
      <c r="O469" s="438"/>
      <c r="P469" s="438"/>
      <c r="Q469" s="438"/>
      <c r="R469" s="438"/>
      <c r="S469" s="438"/>
      <c r="T469" s="438"/>
      <c r="U469" s="438"/>
      <c r="V469" s="438"/>
      <c r="W469" s="438"/>
      <c r="X469" s="438"/>
      <c r="Y469" s="438"/>
      <c r="Z469" s="438"/>
    </row>
    <row r="470" ht="11.25" customHeight="1">
      <c r="A470" s="438"/>
      <c r="B470" s="438"/>
      <c r="C470" s="438"/>
      <c r="D470" s="438"/>
      <c r="E470" s="438"/>
      <c r="F470" s="438"/>
      <c r="G470" s="454"/>
      <c r="H470" s="454"/>
      <c r="I470" s="454"/>
      <c r="J470" s="438"/>
      <c r="K470" s="438"/>
      <c r="L470" s="438"/>
      <c r="M470" s="438"/>
      <c r="N470" s="438"/>
      <c r="O470" s="438"/>
      <c r="P470" s="438"/>
      <c r="Q470" s="438"/>
      <c r="R470" s="438"/>
      <c r="S470" s="438"/>
      <c r="T470" s="438"/>
      <c r="U470" s="438"/>
      <c r="V470" s="438"/>
      <c r="W470" s="438"/>
      <c r="X470" s="438"/>
      <c r="Y470" s="438"/>
      <c r="Z470" s="438"/>
    </row>
    <row r="471" ht="11.25" customHeight="1">
      <c r="A471" s="438"/>
      <c r="B471" s="438"/>
      <c r="C471" s="438"/>
      <c r="D471" s="438"/>
      <c r="E471" s="438"/>
      <c r="F471" s="438"/>
      <c r="G471" s="454"/>
      <c r="H471" s="454"/>
      <c r="I471" s="454"/>
      <c r="J471" s="438"/>
      <c r="K471" s="438"/>
      <c r="L471" s="438"/>
      <c r="M471" s="438"/>
      <c r="N471" s="438"/>
      <c r="O471" s="438"/>
      <c r="P471" s="438"/>
      <c r="Q471" s="438"/>
      <c r="R471" s="438"/>
      <c r="S471" s="438"/>
      <c r="T471" s="438"/>
      <c r="U471" s="438"/>
      <c r="V471" s="438"/>
      <c r="W471" s="438"/>
      <c r="X471" s="438"/>
      <c r="Y471" s="438"/>
      <c r="Z471" s="438"/>
    </row>
    <row r="472" ht="11.25" customHeight="1">
      <c r="A472" s="438"/>
      <c r="B472" s="438"/>
      <c r="C472" s="438"/>
      <c r="D472" s="438"/>
      <c r="E472" s="438"/>
      <c r="F472" s="438"/>
      <c r="G472" s="454"/>
      <c r="H472" s="454"/>
      <c r="I472" s="454"/>
      <c r="J472" s="438"/>
      <c r="K472" s="438"/>
      <c r="L472" s="438"/>
      <c r="M472" s="438"/>
      <c r="N472" s="438"/>
      <c r="O472" s="438"/>
      <c r="P472" s="438"/>
      <c r="Q472" s="438"/>
      <c r="R472" s="438"/>
      <c r="S472" s="438"/>
      <c r="T472" s="438"/>
      <c r="U472" s="438"/>
      <c r="V472" s="438"/>
      <c r="W472" s="438"/>
      <c r="X472" s="438"/>
      <c r="Y472" s="438"/>
      <c r="Z472" s="438"/>
    </row>
    <row r="473" ht="11.25" customHeight="1">
      <c r="A473" s="438"/>
      <c r="B473" s="438"/>
      <c r="C473" s="438"/>
      <c r="D473" s="438"/>
      <c r="E473" s="438"/>
      <c r="F473" s="438"/>
      <c r="G473" s="454"/>
      <c r="H473" s="454"/>
      <c r="I473" s="454"/>
      <c r="J473" s="438"/>
      <c r="K473" s="438"/>
      <c r="L473" s="438"/>
      <c r="M473" s="438"/>
      <c r="N473" s="438"/>
      <c r="O473" s="438"/>
      <c r="P473" s="438"/>
      <c r="Q473" s="438"/>
      <c r="R473" s="438"/>
      <c r="S473" s="438"/>
      <c r="T473" s="438"/>
      <c r="U473" s="438"/>
      <c r="V473" s="438"/>
      <c r="W473" s="438"/>
      <c r="X473" s="438"/>
      <c r="Y473" s="438"/>
      <c r="Z473" s="438"/>
    </row>
    <row r="474" ht="11.25" customHeight="1">
      <c r="A474" s="438"/>
      <c r="B474" s="438"/>
      <c r="C474" s="438"/>
      <c r="D474" s="438"/>
      <c r="E474" s="438"/>
      <c r="F474" s="438"/>
      <c r="G474" s="454"/>
      <c r="H474" s="454"/>
      <c r="I474" s="454"/>
      <c r="J474" s="438"/>
      <c r="K474" s="438"/>
      <c r="L474" s="438"/>
      <c r="M474" s="438"/>
      <c r="N474" s="438"/>
      <c r="O474" s="438"/>
      <c r="P474" s="438"/>
      <c r="Q474" s="438"/>
      <c r="R474" s="438"/>
      <c r="S474" s="438"/>
      <c r="T474" s="438"/>
      <c r="U474" s="438"/>
      <c r="V474" s="438"/>
      <c r="W474" s="438"/>
      <c r="X474" s="438"/>
      <c r="Y474" s="438"/>
      <c r="Z474" s="438"/>
    </row>
    <row r="475" ht="11.25" customHeight="1">
      <c r="A475" s="438"/>
      <c r="B475" s="438"/>
      <c r="C475" s="438"/>
      <c r="D475" s="438"/>
      <c r="E475" s="438"/>
      <c r="F475" s="438"/>
      <c r="G475" s="454"/>
      <c r="H475" s="454"/>
      <c r="I475" s="454"/>
      <c r="J475" s="438"/>
      <c r="K475" s="438"/>
      <c r="L475" s="438"/>
      <c r="M475" s="438"/>
      <c r="N475" s="438"/>
      <c r="O475" s="438"/>
      <c r="P475" s="438"/>
      <c r="Q475" s="438"/>
      <c r="R475" s="438"/>
      <c r="S475" s="438"/>
      <c r="T475" s="438"/>
      <c r="U475" s="438"/>
      <c r="V475" s="438"/>
      <c r="W475" s="438"/>
      <c r="X475" s="438"/>
      <c r="Y475" s="438"/>
      <c r="Z475" s="438"/>
    </row>
    <row r="476" ht="11.25" customHeight="1">
      <c r="A476" s="438"/>
      <c r="B476" s="438"/>
      <c r="C476" s="438"/>
      <c r="D476" s="438"/>
      <c r="E476" s="438"/>
      <c r="F476" s="438"/>
      <c r="G476" s="454"/>
      <c r="H476" s="454"/>
      <c r="I476" s="454"/>
      <c r="J476" s="438"/>
      <c r="K476" s="438"/>
      <c r="L476" s="438"/>
      <c r="M476" s="438"/>
      <c r="N476" s="438"/>
      <c r="O476" s="438"/>
      <c r="P476" s="438"/>
      <c r="Q476" s="438"/>
      <c r="R476" s="438"/>
      <c r="S476" s="438"/>
      <c r="T476" s="438"/>
      <c r="U476" s="438"/>
      <c r="V476" s="438"/>
      <c r="W476" s="438"/>
      <c r="X476" s="438"/>
      <c r="Y476" s="438"/>
      <c r="Z476" s="438"/>
    </row>
    <row r="477" ht="11.25" customHeight="1">
      <c r="A477" s="438"/>
      <c r="B477" s="438"/>
      <c r="C477" s="438"/>
      <c r="D477" s="438"/>
      <c r="E477" s="438"/>
      <c r="F477" s="438"/>
      <c r="G477" s="454"/>
      <c r="H477" s="454"/>
      <c r="I477" s="454"/>
      <c r="J477" s="438"/>
      <c r="K477" s="438"/>
      <c r="L477" s="438"/>
      <c r="M477" s="438"/>
      <c r="N477" s="438"/>
      <c r="O477" s="438"/>
      <c r="P477" s="438"/>
      <c r="Q477" s="438"/>
      <c r="R477" s="438"/>
      <c r="S477" s="438"/>
      <c r="T477" s="438"/>
      <c r="U477" s="438"/>
      <c r="V477" s="438"/>
      <c r="W477" s="438"/>
      <c r="X477" s="438"/>
      <c r="Y477" s="438"/>
      <c r="Z477" s="438"/>
    </row>
    <row r="478" ht="11.25" customHeight="1">
      <c r="A478" s="438"/>
      <c r="B478" s="438"/>
      <c r="C478" s="438"/>
      <c r="D478" s="438"/>
      <c r="E478" s="438"/>
      <c r="F478" s="438"/>
      <c r="G478" s="454"/>
      <c r="H478" s="454"/>
      <c r="I478" s="454"/>
      <c r="J478" s="438"/>
      <c r="K478" s="438"/>
      <c r="L478" s="438"/>
      <c r="M478" s="438"/>
      <c r="N478" s="438"/>
      <c r="O478" s="438"/>
      <c r="P478" s="438"/>
      <c r="Q478" s="438"/>
      <c r="R478" s="438"/>
      <c r="S478" s="438"/>
      <c r="T478" s="438"/>
      <c r="U478" s="438"/>
      <c r="V478" s="438"/>
      <c r="W478" s="438"/>
      <c r="X478" s="438"/>
      <c r="Y478" s="438"/>
      <c r="Z478" s="438"/>
    </row>
    <row r="479" ht="11.25" customHeight="1">
      <c r="A479" s="438"/>
      <c r="B479" s="438"/>
      <c r="C479" s="438"/>
      <c r="D479" s="438"/>
      <c r="E479" s="438"/>
      <c r="F479" s="438"/>
      <c r="G479" s="454"/>
      <c r="H479" s="454"/>
      <c r="I479" s="454"/>
      <c r="J479" s="438"/>
      <c r="K479" s="438"/>
      <c r="L479" s="438"/>
      <c r="M479" s="438"/>
      <c r="N479" s="438"/>
      <c r="O479" s="438"/>
      <c r="P479" s="438"/>
      <c r="Q479" s="438"/>
      <c r="R479" s="438"/>
      <c r="S479" s="438"/>
      <c r="T479" s="438"/>
      <c r="U479" s="438"/>
      <c r="V479" s="438"/>
      <c r="W479" s="438"/>
      <c r="X479" s="438"/>
      <c r="Y479" s="438"/>
      <c r="Z479" s="438"/>
    </row>
    <row r="480" ht="11.25" customHeight="1">
      <c r="A480" s="438"/>
      <c r="B480" s="438"/>
      <c r="C480" s="438"/>
      <c r="D480" s="438"/>
      <c r="E480" s="438"/>
      <c r="F480" s="438"/>
      <c r="G480" s="454"/>
      <c r="H480" s="454"/>
      <c r="I480" s="454"/>
      <c r="J480" s="438"/>
      <c r="K480" s="438"/>
      <c r="L480" s="438"/>
      <c r="M480" s="438"/>
      <c r="N480" s="438"/>
      <c r="O480" s="438"/>
      <c r="P480" s="438"/>
      <c r="Q480" s="438"/>
      <c r="R480" s="438"/>
      <c r="S480" s="438"/>
      <c r="T480" s="438"/>
      <c r="U480" s="438"/>
      <c r="V480" s="438"/>
      <c r="W480" s="438"/>
      <c r="X480" s="438"/>
      <c r="Y480" s="438"/>
      <c r="Z480" s="438"/>
    </row>
    <row r="481" ht="11.25" customHeight="1">
      <c r="A481" s="438"/>
      <c r="B481" s="438"/>
      <c r="C481" s="438"/>
      <c r="D481" s="438"/>
      <c r="E481" s="438"/>
      <c r="F481" s="438"/>
      <c r="G481" s="454"/>
      <c r="H481" s="454"/>
      <c r="I481" s="454"/>
      <c r="J481" s="438"/>
      <c r="K481" s="438"/>
      <c r="L481" s="438"/>
      <c r="M481" s="438"/>
      <c r="N481" s="438"/>
      <c r="O481" s="438"/>
      <c r="P481" s="438"/>
      <c r="Q481" s="438"/>
      <c r="R481" s="438"/>
      <c r="S481" s="438"/>
      <c r="T481" s="438"/>
      <c r="U481" s="438"/>
      <c r="V481" s="438"/>
      <c r="W481" s="438"/>
      <c r="X481" s="438"/>
      <c r="Y481" s="438"/>
      <c r="Z481" s="438"/>
    </row>
    <row r="482" ht="11.25" customHeight="1">
      <c r="A482" s="438"/>
      <c r="B482" s="438"/>
      <c r="C482" s="438"/>
      <c r="D482" s="438"/>
      <c r="E482" s="438"/>
      <c r="F482" s="438"/>
      <c r="G482" s="454"/>
      <c r="H482" s="454"/>
      <c r="I482" s="454"/>
      <c r="J482" s="438"/>
      <c r="K482" s="438"/>
      <c r="L482" s="438"/>
      <c r="M482" s="438"/>
      <c r="N482" s="438"/>
      <c r="O482" s="438"/>
      <c r="P482" s="438"/>
      <c r="Q482" s="438"/>
      <c r="R482" s="438"/>
      <c r="S482" s="438"/>
      <c r="T482" s="438"/>
      <c r="U482" s="438"/>
      <c r="V482" s="438"/>
      <c r="W482" s="438"/>
      <c r="X482" s="438"/>
      <c r="Y482" s="438"/>
      <c r="Z482" s="438"/>
    </row>
    <row r="483" ht="11.25" customHeight="1">
      <c r="A483" s="438"/>
      <c r="B483" s="438"/>
      <c r="C483" s="438"/>
      <c r="D483" s="438"/>
      <c r="E483" s="438"/>
      <c r="F483" s="438"/>
      <c r="G483" s="454"/>
      <c r="H483" s="454"/>
      <c r="I483" s="454"/>
      <c r="J483" s="438"/>
      <c r="K483" s="438"/>
      <c r="L483" s="438"/>
      <c r="M483" s="438"/>
      <c r="N483" s="438"/>
      <c r="O483" s="438"/>
      <c r="P483" s="438"/>
      <c r="Q483" s="438"/>
      <c r="R483" s="438"/>
      <c r="S483" s="438"/>
      <c r="T483" s="438"/>
      <c r="U483" s="438"/>
      <c r="V483" s="438"/>
      <c r="W483" s="438"/>
      <c r="X483" s="438"/>
      <c r="Y483" s="438"/>
      <c r="Z483" s="438"/>
    </row>
    <row r="484" ht="11.25" customHeight="1">
      <c r="A484" s="438"/>
      <c r="B484" s="438"/>
      <c r="C484" s="438"/>
      <c r="D484" s="438"/>
      <c r="E484" s="438"/>
      <c r="F484" s="438"/>
      <c r="G484" s="454"/>
      <c r="H484" s="454"/>
      <c r="I484" s="454"/>
      <c r="J484" s="438"/>
      <c r="K484" s="438"/>
      <c r="L484" s="438"/>
      <c r="M484" s="438"/>
      <c r="N484" s="438"/>
      <c r="O484" s="438"/>
      <c r="P484" s="438"/>
      <c r="Q484" s="438"/>
      <c r="R484" s="438"/>
      <c r="S484" s="438"/>
      <c r="T484" s="438"/>
      <c r="U484" s="438"/>
      <c r="V484" s="438"/>
      <c r="W484" s="438"/>
      <c r="X484" s="438"/>
      <c r="Y484" s="438"/>
      <c r="Z484" s="438"/>
    </row>
    <row r="485" ht="11.25" customHeight="1">
      <c r="A485" s="438"/>
      <c r="B485" s="438"/>
      <c r="C485" s="438"/>
      <c r="D485" s="438"/>
      <c r="E485" s="438"/>
      <c r="F485" s="438"/>
      <c r="G485" s="454"/>
      <c r="H485" s="454"/>
      <c r="I485" s="454"/>
      <c r="J485" s="438"/>
      <c r="K485" s="438"/>
      <c r="L485" s="438"/>
      <c r="M485" s="438"/>
      <c r="N485" s="438"/>
      <c r="O485" s="438"/>
      <c r="P485" s="438"/>
      <c r="Q485" s="438"/>
      <c r="R485" s="438"/>
      <c r="S485" s="438"/>
      <c r="T485" s="438"/>
      <c r="U485" s="438"/>
      <c r="V485" s="438"/>
      <c r="W485" s="438"/>
      <c r="X485" s="438"/>
      <c r="Y485" s="438"/>
      <c r="Z485" s="438"/>
    </row>
    <row r="486" ht="11.25" customHeight="1">
      <c r="A486" s="438"/>
      <c r="B486" s="438"/>
      <c r="C486" s="438"/>
      <c r="D486" s="438"/>
      <c r="E486" s="438"/>
      <c r="F486" s="438"/>
      <c r="G486" s="454"/>
      <c r="H486" s="454"/>
      <c r="I486" s="454"/>
      <c r="J486" s="438"/>
      <c r="K486" s="438"/>
      <c r="L486" s="438"/>
      <c r="M486" s="438"/>
      <c r="N486" s="438"/>
      <c r="O486" s="438"/>
      <c r="P486" s="438"/>
      <c r="Q486" s="438"/>
      <c r="R486" s="438"/>
      <c r="S486" s="438"/>
      <c r="T486" s="438"/>
      <c r="U486" s="438"/>
      <c r="V486" s="438"/>
      <c r="W486" s="438"/>
      <c r="X486" s="438"/>
      <c r="Y486" s="438"/>
      <c r="Z486" s="438"/>
    </row>
    <row r="487" ht="11.25" customHeight="1">
      <c r="A487" s="438"/>
      <c r="B487" s="438"/>
      <c r="C487" s="438"/>
      <c r="D487" s="438"/>
      <c r="E487" s="438"/>
      <c r="F487" s="438"/>
      <c r="G487" s="454"/>
      <c r="H487" s="454"/>
      <c r="I487" s="454"/>
      <c r="J487" s="438"/>
      <c r="K487" s="438"/>
      <c r="L487" s="438"/>
      <c r="M487" s="438"/>
      <c r="N487" s="438"/>
      <c r="O487" s="438"/>
      <c r="P487" s="438"/>
      <c r="Q487" s="438"/>
      <c r="R487" s="438"/>
      <c r="S487" s="438"/>
      <c r="T487" s="438"/>
      <c r="U487" s="438"/>
      <c r="V487" s="438"/>
      <c r="W487" s="438"/>
      <c r="X487" s="438"/>
      <c r="Y487" s="438"/>
      <c r="Z487" s="438"/>
    </row>
    <row r="488" ht="11.25" customHeight="1">
      <c r="A488" s="438"/>
      <c r="B488" s="438"/>
      <c r="C488" s="438"/>
      <c r="D488" s="438"/>
      <c r="E488" s="438"/>
      <c r="F488" s="438"/>
      <c r="G488" s="454"/>
      <c r="H488" s="454"/>
      <c r="I488" s="454"/>
      <c r="J488" s="438"/>
      <c r="K488" s="438"/>
      <c r="L488" s="438"/>
      <c r="M488" s="438"/>
      <c r="N488" s="438"/>
      <c r="O488" s="438"/>
      <c r="P488" s="438"/>
      <c r="Q488" s="438"/>
      <c r="R488" s="438"/>
      <c r="S488" s="438"/>
      <c r="T488" s="438"/>
      <c r="U488" s="438"/>
      <c r="V488" s="438"/>
      <c r="W488" s="438"/>
      <c r="X488" s="438"/>
      <c r="Y488" s="438"/>
      <c r="Z488" s="438"/>
    </row>
    <row r="489" ht="11.25" customHeight="1">
      <c r="A489" s="438"/>
      <c r="B489" s="438"/>
      <c r="C489" s="438"/>
      <c r="D489" s="438"/>
      <c r="E489" s="438"/>
      <c r="F489" s="438"/>
      <c r="G489" s="454"/>
      <c r="H489" s="454"/>
      <c r="I489" s="454"/>
      <c r="J489" s="438"/>
      <c r="K489" s="438"/>
      <c r="L489" s="438"/>
      <c r="M489" s="438"/>
      <c r="N489" s="438"/>
      <c r="O489" s="438"/>
      <c r="P489" s="438"/>
      <c r="Q489" s="438"/>
      <c r="R489" s="438"/>
      <c r="S489" s="438"/>
      <c r="T489" s="438"/>
      <c r="U489" s="438"/>
      <c r="V489" s="438"/>
      <c r="W489" s="438"/>
      <c r="X489" s="438"/>
      <c r="Y489" s="438"/>
      <c r="Z489" s="438"/>
    </row>
    <row r="490" ht="11.25" customHeight="1">
      <c r="A490" s="438"/>
      <c r="B490" s="438"/>
      <c r="C490" s="438"/>
      <c r="D490" s="438"/>
      <c r="E490" s="438"/>
      <c r="F490" s="438"/>
      <c r="G490" s="454"/>
      <c r="H490" s="454"/>
      <c r="I490" s="454"/>
      <c r="J490" s="438"/>
      <c r="K490" s="438"/>
      <c r="L490" s="438"/>
      <c r="M490" s="438"/>
      <c r="N490" s="438"/>
      <c r="O490" s="438"/>
      <c r="P490" s="438"/>
      <c r="Q490" s="438"/>
      <c r="R490" s="438"/>
      <c r="S490" s="438"/>
      <c r="T490" s="438"/>
      <c r="U490" s="438"/>
      <c r="V490" s="438"/>
      <c r="W490" s="438"/>
      <c r="X490" s="438"/>
      <c r="Y490" s="438"/>
      <c r="Z490" s="438"/>
    </row>
    <row r="491" ht="11.25" customHeight="1">
      <c r="A491" s="438"/>
      <c r="B491" s="438"/>
      <c r="C491" s="438"/>
      <c r="D491" s="438"/>
      <c r="E491" s="438"/>
      <c r="F491" s="438"/>
      <c r="G491" s="454"/>
      <c r="H491" s="454"/>
      <c r="I491" s="454"/>
      <c r="J491" s="438"/>
      <c r="K491" s="438"/>
      <c r="L491" s="438"/>
      <c r="M491" s="438"/>
      <c r="N491" s="438"/>
      <c r="O491" s="438"/>
      <c r="P491" s="438"/>
      <c r="Q491" s="438"/>
      <c r="R491" s="438"/>
      <c r="S491" s="438"/>
      <c r="T491" s="438"/>
      <c r="U491" s="438"/>
      <c r="V491" s="438"/>
      <c r="W491" s="438"/>
      <c r="X491" s="438"/>
      <c r="Y491" s="438"/>
      <c r="Z491" s="438"/>
    </row>
    <row r="492" ht="11.25" customHeight="1">
      <c r="A492" s="438"/>
      <c r="B492" s="438"/>
      <c r="C492" s="438"/>
      <c r="D492" s="438"/>
      <c r="E492" s="438"/>
      <c r="F492" s="438"/>
      <c r="G492" s="454"/>
      <c r="H492" s="454"/>
      <c r="I492" s="454"/>
      <c r="J492" s="438"/>
      <c r="K492" s="438"/>
      <c r="L492" s="438"/>
      <c r="M492" s="438"/>
      <c r="N492" s="438"/>
      <c r="O492" s="438"/>
      <c r="P492" s="438"/>
      <c r="Q492" s="438"/>
      <c r="R492" s="438"/>
      <c r="S492" s="438"/>
      <c r="T492" s="438"/>
      <c r="U492" s="438"/>
      <c r="V492" s="438"/>
      <c r="W492" s="438"/>
      <c r="X492" s="438"/>
      <c r="Y492" s="438"/>
      <c r="Z492" s="438"/>
    </row>
    <row r="493" ht="11.25" customHeight="1">
      <c r="A493" s="438"/>
      <c r="B493" s="438"/>
      <c r="C493" s="438"/>
      <c r="D493" s="438"/>
      <c r="E493" s="438"/>
      <c r="F493" s="438"/>
      <c r="G493" s="454"/>
      <c r="H493" s="454"/>
      <c r="I493" s="454"/>
      <c r="J493" s="438"/>
      <c r="K493" s="438"/>
      <c r="L493" s="438"/>
      <c r="M493" s="438"/>
      <c r="N493" s="438"/>
      <c r="O493" s="438"/>
      <c r="P493" s="438"/>
      <c r="Q493" s="438"/>
      <c r="R493" s="438"/>
      <c r="S493" s="438"/>
      <c r="T493" s="438"/>
      <c r="U493" s="438"/>
      <c r="V493" s="438"/>
      <c r="W493" s="438"/>
      <c r="X493" s="438"/>
      <c r="Y493" s="438"/>
      <c r="Z493" s="438"/>
    </row>
    <row r="494" ht="11.25" customHeight="1">
      <c r="A494" s="438"/>
      <c r="B494" s="438"/>
      <c r="C494" s="438"/>
      <c r="D494" s="438"/>
      <c r="E494" s="438"/>
      <c r="F494" s="438"/>
      <c r="G494" s="454"/>
      <c r="H494" s="454"/>
      <c r="I494" s="454"/>
      <c r="J494" s="438"/>
      <c r="K494" s="438"/>
      <c r="L494" s="438"/>
      <c r="M494" s="438"/>
      <c r="N494" s="438"/>
      <c r="O494" s="438"/>
      <c r="P494" s="438"/>
      <c r="Q494" s="438"/>
      <c r="R494" s="438"/>
      <c r="S494" s="438"/>
      <c r="T494" s="438"/>
      <c r="U494" s="438"/>
      <c r="V494" s="438"/>
      <c r="W494" s="438"/>
      <c r="X494" s="438"/>
      <c r="Y494" s="438"/>
      <c r="Z494" s="438"/>
    </row>
    <row r="495" ht="11.25" customHeight="1">
      <c r="A495" s="438"/>
      <c r="B495" s="438"/>
      <c r="C495" s="438"/>
      <c r="D495" s="438"/>
      <c r="E495" s="438"/>
      <c r="F495" s="438"/>
      <c r="G495" s="454"/>
      <c r="H495" s="454"/>
      <c r="I495" s="454"/>
      <c r="J495" s="438"/>
      <c r="K495" s="438"/>
      <c r="L495" s="438"/>
      <c r="M495" s="438"/>
      <c r="N495" s="438"/>
      <c r="O495" s="438"/>
      <c r="P495" s="438"/>
      <c r="Q495" s="438"/>
      <c r="R495" s="438"/>
      <c r="S495" s="438"/>
      <c r="T495" s="438"/>
      <c r="U495" s="438"/>
      <c r="V495" s="438"/>
      <c r="W495" s="438"/>
      <c r="X495" s="438"/>
      <c r="Y495" s="438"/>
      <c r="Z495" s="438"/>
    </row>
    <row r="496" ht="11.25" customHeight="1">
      <c r="A496" s="438"/>
      <c r="B496" s="438"/>
      <c r="C496" s="438"/>
      <c r="D496" s="438"/>
      <c r="E496" s="438"/>
      <c r="F496" s="438"/>
      <c r="G496" s="454"/>
      <c r="H496" s="454"/>
      <c r="I496" s="454"/>
      <c r="J496" s="438"/>
      <c r="K496" s="438"/>
      <c r="L496" s="438"/>
      <c r="M496" s="438"/>
      <c r="N496" s="438"/>
      <c r="O496" s="438"/>
      <c r="P496" s="438"/>
      <c r="Q496" s="438"/>
      <c r="R496" s="438"/>
      <c r="S496" s="438"/>
      <c r="T496" s="438"/>
      <c r="U496" s="438"/>
      <c r="V496" s="438"/>
      <c r="W496" s="438"/>
      <c r="X496" s="438"/>
      <c r="Y496" s="438"/>
      <c r="Z496" s="438"/>
    </row>
    <row r="497" ht="11.25" customHeight="1">
      <c r="A497" s="438"/>
      <c r="B497" s="438"/>
      <c r="C497" s="438"/>
      <c r="D497" s="438"/>
      <c r="E497" s="438"/>
      <c r="F497" s="438"/>
      <c r="G497" s="454"/>
      <c r="H497" s="454"/>
      <c r="I497" s="454"/>
      <c r="J497" s="438"/>
      <c r="K497" s="438"/>
      <c r="L497" s="438"/>
      <c r="M497" s="438"/>
      <c r="N497" s="438"/>
      <c r="O497" s="438"/>
      <c r="P497" s="438"/>
      <c r="Q497" s="438"/>
      <c r="R497" s="438"/>
      <c r="S497" s="438"/>
      <c r="T497" s="438"/>
      <c r="U497" s="438"/>
      <c r="V497" s="438"/>
      <c r="W497" s="438"/>
      <c r="X497" s="438"/>
      <c r="Y497" s="438"/>
      <c r="Z497" s="438"/>
    </row>
    <row r="498" ht="11.25" customHeight="1">
      <c r="A498" s="438"/>
      <c r="B498" s="438"/>
      <c r="C498" s="438"/>
      <c r="D498" s="438"/>
      <c r="E498" s="438"/>
      <c r="F498" s="438"/>
      <c r="G498" s="454"/>
      <c r="H498" s="454"/>
      <c r="I498" s="454"/>
      <c r="J498" s="438"/>
      <c r="K498" s="438"/>
      <c r="L498" s="438"/>
      <c r="M498" s="438"/>
      <c r="N498" s="438"/>
      <c r="O498" s="438"/>
      <c r="P498" s="438"/>
      <c r="Q498" s="438"/>
      <c r="R498" s="438"/>
      <c r="S498" s="438"/>
      <c r="T498" s="438"/>
      <c r="U498" s="438"/>
      <c r="V498" s="438"/>
      <c r="W498" s="438"/>
      <c r="X498" s="438"/>
      <c r="Y498" s="438"/>
      <c r="Z498" s="438"/>
    </row>
    <row r="499" ht="11.25" customHeight="1">
      <c r="A499" s="438"/>
      <c r="B499" s="438"/>
      <c r="C499" s="438"/>
      <c r="D499" s="438"/>
      <c r="E499" s="438"/>
      <c r="F499" s="438"/>
      <c r="G499" s="454"/>
      <c r="H499" s="454"/>
      <c r="I499" s="454"/>
      <c r="J499" s="438"/>
      <c r="K499" s="438"/>
      <c r="L499" s="438"/>
      <c r="M499" s="438"/>
      <c r="N499" s="438"/>
      <c r="O499" s="438"/>
      <c r="P499" s="438"/>
      <c r="Q499" s="438"/>
      <c r="R499" s="438"/>
      <c r="S499" s="438"/>
      <c r="T499" s="438"/>
      <c r="U499" s="438"/>
      <c r="V499" s="438"/>
      <c r="W499" s="438"/>
      <c r="X499" s="438"/>
      <c r="Y499" s="438"/>
      <c r="Z499" s="438"/>
    </row>
    <row r="500" ht="11.25" customHeight="1">
      <c r="A500" s="438"/>
      <c r="B500" s="438"/>
      <c r="C500" s="438"/>
      <c r="D500" s="438"/>
      <c r="E500" s="438"/>
      <c r="F500" s="438"/>
      <c r="G500" s="454"/>
      <c r="H500" s="454"/>
      <c r="I500" s="454"/>
      <c r="J500" s="438"/>
      <c r="K500" s="438"/>
      <c r="L500" s="438"/>
      <c r="M500" s="438"/>
      <c r="N500" s="438"/>
      <c r="O500" s="438"/>
      <c r="P500" s="438"/>
      <c r="Q500" s="438"/>
      <c r="R500" s="438"/>
      <c r="S500" s="438"/>
      <c r="T500" s="438"/>
      <c r="U500" s="438"/>
      <c r="V500" s="438"/>
      <c r="W500" s="438"/>
      <c r="X500" s="438"/>
      <c r="Y500" s="438"/>
      <c r="Z500" s="438"/>
    </row>
    <row r="501" ht="11.25" customHeight="1">
      <c r="A501" s="438"/>
      <c r="B501" s="438"/>
      <c r="C501" s="438"/>
      <c r="D501" s="438"/>
      <c r="E501" s="438"/>
      <c r="F501" s="438"/>
      <c r="G501" s="454"/>
      <c r="H501" s="454"/>
      <c r="I501" s="454"/>
      <c r="J501" s="438"/>
      <c r="K501" s="438"/>
      <c r="L501" s="438"/>
      <c r="M501" s="438"/>
      <c r="N501" s="438"/>
      <c r="O501" s="438"/>
      <c r="P501" s="438"/>
      <c r="Q501" s="438"/>
      <c r="R501" s="438"/>
      <c r="S501" s="438"/>
      <c r="T501" s="438"/>
      <c r="U501" s="438"/>
      <c r="V501" s="438"/>
      <c r="W501" s="438"/>
      <c r="X501" s="438"/>
      <c r="Y501" s="438"/>
      <c r="Z501" s="438"/>
    </row>
    <row r="502" ht="11.25" customHeight="1">
      <c r="A502" s="438"/>
      <c r="B502" s="438"/>
      <c r="C502" s="438"/>
      <c r="D502" s="438"/>
      <c r="E502" s="438"/>
      <c r="F502" s="438"/>
      <c r="G502" s="454"/>
      <c r="H502" s="454"/>
      <c r="I502" s="454"/>
      <c r="J502" s="438"/>
      <c r="K502" s="438"/>
      <c r="L502" s="438"/>
      <c r="M502" s="438"/>
      <c r="N502" s="438"/>
      <c r="O502" s="438"/>
      <c r="P502" s="438"/>
      <c r="Q502" s="438"/>
      <c r="R502" s="438"/>
      <c r="S502" s="438"/>
      <c r="T502" s="438"/>
      <c r="U502" s="438"/>
      <c r="V502" s="438"/>
      <c r="W502" s="438"/>
      <c r="X502" s="438"/>
      <c r="Y502" s="438"/>
      <c r="Z502" s="438"/>
    </row>
    <row r="503" ht="11.25" customHeight="1">
      <c r="A503" s="438"/>
      <c r="B503" s="438"/>
      <c r="C503" s="438"/>
      <c r="D503" s="438"/>
      <c r="E503" s="438"/>
      <c r="F503" s="438"/>
      <c r="G503" s="454"/>
      <c r="H503" s="454"/>
      <c r="I503" s="454"/>
      <c r="J503" s="438"/>
      <c r="K503" s="438"/>
      <c r="L503" s="438"/>
      <c r="M503" s="438"/>
      <c r="N503" s="438"/>
      <c r="O503" s="438"/>
      <c r="P503" s="438"/>
      <c r="Q503" s="438"/>
      <c r="R503" s="438"/>
      <c r="S503" s="438"/>
      <c r="T503" s="438"/>
      <c r="U503" s="438"/>
      <c r="V503" s="438"/>
      <c r="W503" s="438"/>
      <c r="X503" s="438"/>
      <c r="Y503" s="438"/>
      <c r="Z503" s="438"/>
    </row>
    <row r="504" ht="11.25" customHeight="1">
      <c r="A504" s="438"/>
      <c r="B504" s="438"/>
      <c r="C504" s="438"/>
      <c r="D504" s="438"/>
      <c r="E504" s="438"/>
      <c r="F504" s="438"/>
      <c r="G504" s="454"/>
      <c r="H504" s="454"/>
      <c r="I504" s="454"/>
      <c r="J504" s="438"/>
      <c r="K504" s="438"/>
      <c r="L504" s="438"/>
      <c r="M504" s="438"/>
      <c r="N504" s="438"/>
      <c r="O504" s="438"/>
      <c r="P504" s="438"/>
      <c r="Q504" s="438"/>
      <c r="R504" s="438"/>
      <c r="S504" s="438"/>
      <c r="T504" s="438"/>
      <c r="U504" s="438"/>
      <c r="V504" s="438"/>
      <c r="W504" s="438"/>
      <c r="X504" s="438"/>
      <c r="Y504" s="438"/>
      <c r="Z504" s="438"/>
    </row>
    <row r="505" ht="11.25" customHeight="1">
      <c r="A505" s="438"/>
      <c r="B505" s="438"/>
      <c r="C505" s="438"/>
      <c r="D505" s="438"/>
      <c r="E505" s="438"/>
      <c r="F505" s="438"/>
      <c r="G505" s="454"/>
      <c r="H505" s="454"/>
      <c r="I505" s="454"/>
      <c r="J505" s="438"/>
      <c r="K505" s="438"/>
      <c r="L505" s="438"/>
      <c r="M505" s="438"/>
      <c r="N505" s="438"/>
      <c r="O505" s="438"/>
      <c r="P505" s="438"/>
      <c r="Q505" s="438"/>
      <c r="R505" s="438"/>
      <c r="S505" s="438"/>
      <c r="T505" s="438"/>
      <c r="U505" s="438"/>
      <c r="V505" s="438"/>
      <c r="W505" s="438"/>
      <c r="X505" s="438"/>
      <c r="Y505" s="438"/>
      <c r="Z505" s="438"/>
    </row>
    <row r="506" ht="11.25" customHeight="1">
      <c r="A506" s="438"/>
      <c r="B506" s="438"/>
      <c r="C506" s="438"/>
      <c r="D506" s="438"/>
      <c r="E506" s="438"/>
      <c r="F506" s="438"/>
      <c r="G506" s="454"/>
      <c r="H506" s="454"/>
      <c r="I506" s="454"/>
      <c r="J506" s="438"/>
      <c r="K506" s="438"/>
      <c r="L506" s="438"/>
      <c r="M506" s="438"/>
      <c r="N506" s="438"/>
      <c r="O506" s="438"/>
      <c r="P506" s="438"/>
      <c r="Q506" s="438"/>
      <c r="R506" s="438"/>
      <c r="S506" s="438"/>
      <c r="T506" s="438"/>
      <c r="U506" s="438"/>
      <c r="V506" s="438"/>
      <c r="W506" s="438"/>
      <c r="X506" s="438"/>
      <c r="Y506" s="438"/>
      <c r="Z506" s="438"/>
    </row>
    <row r="507" ht="11.25" customHeight="1">
      <c r="A507" s="438"/>
      <c r="B507" s="438"/>
      <c r="C507" s="438"/>
      <c r="D507" s="438"/>
      <c r="E507" s="438"/>
      <c r="F507" s="438"/>
      <c r="G507" s="454"/>
      <c r="H507" s="454"/>
      <c r="I507" s="454"/>
      <c r="J507" s="438"/>
      <c r="K507" s="438"/>
      <c r="L507" s="438"/>
      <c r="M507" s="438"/>
      <c r="N507" s="438"/>
      <c r="O507" s="438"/>
      <c r="P507" s="438"/>
      <c r="Q507" s="438"/>
      <c r="R507" s="438"/>
      <c r="S507" s="438"/>
      <c r="T507" s="438"/>
      <c r="U507" s="438"/>
      <c r="V507" s="438"/>
      <c r="W507" s="438"/>
      <c r="X507" s="438"/>
      <c r="Y507" s="438"/>
      <c r="Z507" s="438"/>
    </row>
    <row r="508" ht="11.25" customHeight="1">
      <c r="A508" s="438"/>
      <c r="B508" s="438"/>
      <c r="C508" s="438"/>
      <c r="D508" s="438"/>
      <c r="E508" s="438"/>
      <c r="F508" s="438"/>
      <c r="G508" s="454"/>
      <c r="H508" s="454"/>
      <c r="I508" s="454"/>
      <c r="J508" s="438"/>
      <c r="K508" s="438"/>
      <c r="L508" s="438"/>
      <c r="M508" s="438"/>
      <c r="N508" s="438"/>
      <c r="O508" s="438"/>
      <c r="P508" s="438"/>
      <c r="Q508" s="438"/>
      <c r="R508" s="438"/>
      <c r="S508" s="438"/>
      <c r="T508" s="438"/>
      <c r="U508" s="438"/>
      <c r="V508" s="438"/>
      <c r="W508" s="438"/>
      <c r="X508" s="438"/>
      <c r="Y508" s="438"/>
      <c r="Z508" s="438"/>
    </row>
    <row r="509" ht="11.25" customHeight="1">
      <c r="A509" s="438"/>
      <c r="B509" s="438"/>
      <c r="C509" s="438"/>
      <c r="D509" s="438"/>
      <c r="E509" s="438"/>
      <c r="F509" s="438"/>
      <c r="G509" s="454"/>
      <c r="H509" s="454"/>
      <c r="I509" s="454"/>
      <c r="J509" s="438"/>
      <c r="K509" s="438"/>
      <c r="L509" s="438"/>
      <c r="M509" s="438"/>
      <c r="N509" s="438"/>
      <c r="O509" s="438"/>
      <c r="P509" s="438"/>
      <c r="Q509" s="438"/>
      <c r="R509" s="438"/>
      <c r="S509" s="438"/>
      <c r="T509" s="438"/>
      <c r="U509" s="438"/>
      <c r="V509" s="438"/>
      <c r="W509" s="438"/>
      <c r="X509" s="438"/>
      <c r="Y509" s="438"/>
      <c r="Z509" s="438"/>
    </row>
    <row r="510" ht="11.25" customHeight="1">
      <c r="A510" s="438"/>
      <c r="B510" s="438"/>
      <c r="C510" s="438"/>
      <c r="D510" s="438"/>
      <c r="E510" s="438"/>
      <c r="F510" s="438"/>
      <c r="G510" s="454"/>
      <c r="H510" s="454"/>
      <c r="I510" s="454"/>
      <c r="J510" s="438"/>
      <c r="K510" s="438"/>
      <c r="L510" s="438"/>
      <c r="M510" s="438"/>
      <c r="N510" s="438"/>
      <c r="O510" s="438"/>
      <c r="P510" s="438"/>
      <c r="Q510" s="438"/>
      <c r="R510" s="438"/>
      <c r="S510" s="438"/>
      <c r="T510" s="438"/>
      <c r="U510" s="438"/>
      <c r="V510" s="438"/>
      <c r="W510" s="438"/>
      <c r="X510" s="438"/>
      <c r="Y510" s="438"/>
      <c r="Z510" s="438"/>
    </row>
    <row r="511" ht="11.25" customHeight="1">
      <c r="A511" s="438"/>
      <c r="B511" s="438"/>
      <c r="C511" s="438"/>
      <c r="D511" s="438"/>
      <c r="E511" s="438"/>
      <c r="F511" s="438"/>
      <c r="G511" s="454"/>
      <c r="H511" s="454"/>
      <c r="I511" s="454"/>
      <c r="J511" s="438"/>
      <c r="K511" s="438"/>
      <c r="L511" s="438"/>
      <c r="M511" s="438"/>
      <c r="N511" s="438"/>
      <c r="O511" s="438"/>
      <c r="P511" s="438"/>
      <c r="Q511" s="438"/>
      <c r="R511" s="438"/>
      <c r="S511" s="438"/>
      <c r="T511" s="438"/>
      <c r="U511" s="438"/>
      <c r="V511" s="438"/>
      <c r="W511" s="438"/>
      <c r="X511" s="438"/>
      <c r="Y511" s="438"/>
      <c r="Z511" s="438"/>
    </row>
    <row r="512" ht="11.25" customHeight="1">
      <c r="A512" s="438"/>
      <c r="B512" s="438"/>
      <c r="C512" s="438"/>
      <c r="D512" s="438"/>
      <c r="E512" s="438"/>
      <c r="F512" s="438"/>
      <c r="G512" s="454"/>
      <c r="H512" s="454"/>
      <c r="I512" s="454"/>
      <c r="J512" s="438"/>
      <c r="K512" s="438"/>
      <c r="L512" s="438"/>
      <c r="M512" s="438"/>
      <c r="N512" s="438"/>
      <c r="O512" s="438"/>
      <c r="P512" s="438"/>
      <c r="Q512" s="438"/>
      <c r="R512" s="438"/>
      <c r="S512" s="438"/>
      <c r="T512" s="438"/>
      <c r="U512" s="438"/>
      <c r="V512" s="438"/>
      <c r="W512" s="438"/>
      <c r="X512" s="438"/>
      <c r="Y512" s="438"/>
      <c r="Z512" s="438"/>
    </row>
    <row r="513" ht="11.25" customHeight="1">
      <c r="A513" s="438"/>
      <c r="B513" s="438"/>
      <c r="C513" s="438"/>
      <c r="D513" s="438"/>
      <c r="E513" s="438"/>
      <c r="F513" s="438"/>
      <c r="G513" s="454"/>
      <c r="H513" s="454"/>
      <c r="I513" s="454"/>
      <c r="J513" s="438"/>
      <c r="K513" s="438"/>
      <c r="L513" s="438"/>
      <c r="M513" s="438"/>
      <c r="N513" s="438"/>
      <c r="O513" s="438"/>
      <c r="P513" s="438"/>
      <c r="Q513" s="438"/>
      <c r="R513" s="438"/>
      <c r="S513" s="438"/>
      <c r="T513" s="438"/>
      <c r="U513" s="438"/>
      <c r="V513" s="438"/>
      <c r="W513" s="438"/>
      <c r="X513" s="438"/>
      <c r="Y513" s="438"/>
      <c r="Z513" s="438"/>
    </row>
    <row r="514" ht="11.25" customHeight="1">
      <c r="A514" s="438"/>
      <c r="B514" s="438"/>
      <c r="C514" s="438"/>
      <c r="D514" s="438"/>
      <c r="E514" s="438"/>
      <c r="F514" s="438"/>
      <c r="G514" s="454"/>
      <c r="H514" s="454"/>
      <c r="I514" s="454"/>
      <c r="J514" s="438"/>
      <c r="K514" s="438"/>
      <c r="L514" s="438"/>
      <c r="M514" s="438"/>
      <c r="N514" s="438"/>
      <c r="O514" s="438"/>
      <c r="P514" s="438"/>
      <c r="Q514" s="438"/>
      <c r="R514" s="438"/>
      <c r="S514" s="438"/>
      <c r="T514" s="438"/>
      <c r="U514" s="438"/>
      <c r="V514" s="438"/>
      <c r="W514" s="438"/>
      <c r="X514" s="438"/>
      <c r="Y514" s="438"/>
      <c r="Z514" s="438"/>
    </row>
    <row r="515" ht="11.25" customHeight="1">
      <c r="A515" s="438"/>
      <c r="B515" s="438"/>
      <c r="C515" s="438"/>
      <c r="D515" s="438"/>
      <c r="E515" s="438"/>
      <c r="F515" s="438"/>
      <c r="G515" s="454"/>
      <c r="H515" s="454"/>
      <c r="I515" s="454"/>
      <c r="J515" s="438"/>
      <c r="K515" s="438"/>
      <c r="L515" s="438"/>
      <c r="M515" s="438"/>
      <c r="N515" s="438"/>
      <c r="O515" s="438"/>
      <c r="P515" s="438"/>
      <c r="Q515" s="438"/>
      <c r="R515" s="438"/>
      <c r="S515" s="438"/>
      <c r="T515" s="438"/>
      <c r="U515" s="438"/>
      <c r="V515" s="438"/>
      <c r="W515" s="438"/>
      <c r="X515" s="438"/>
      <c r="Y515" s="438"/>
      <c r="Z515" s="438"/>
    </row>
    <row r="516" ht="11.25" customHeight="1">
      <c r="A516" s="438"/>
      <c r="B516" s="438"/>
      <c r="C516" s="438"/>
      <c r="D516" s="438"/>
      <c r="E516" s="438"/>
      <c r="F516" s="438"/>
      <c r="G516" s="454"/>
      <c r="H516" s="454"/>
      <c r="I516" s="454"/>
      <c r="J516" s="438"/>
      <c r="K516" s="438"/>
      <c r="L516" s="438"/>
      <c r="M516" s="438"/>
      <c r="N516" s="438"/>
      <c r="O516" s="438"/>
      <c r="P516" s="438"/>
      <c r="Q516" s="438"/>
      <c r="R516" s="438"/>
      <c r="S516" s="438"/>
      <c r="T516" s="438"/>
      <c r="U516" s="438"/>
      <c r="V516" s="438"/>
      <c r="W516" s="438"/>
      <c r="X516" s="438"/>
      <c r="Y516" s="438"/>
      <c r="Z516" s="438"/>
    </row>
    <row r="517" ht="11.25" customHeight="1">
      <c r="A517" s="438"/>
      <c r="B517" s="438"/>
      <c r="C517" s="438"/>
      <c r="D517" s="438"/>
      <c r="E517" s="438"/>
      <c r="F517" s="438"/>
      <c r="G517" s="454"/>
      <c r="H517" s="454"/>
      <c r="I517" s="454"/>
      <c r="J517" s="438"/>
      <c r="K517" s="438"/>
      <c r="L517" s="438"/>
      <c r="M517" s="438"/>
      <c r="N517" s="438"/>
      <c r="O517" s="438"/>
      <c r="P517" s="438"/>
      <c r="Q517" s="438"/>
      <c r="R517" s="438"/>
      <c r="S517" s="438"/>
      <c r="T517" s="438"/>
      <c r="U517" s="438"/>
      <c r="V517" s="438"/>
      <c r="W517" s="438"/>
      <c r="X517" s="438"/>
      <c r="Y517" s="438"/>
      <c r="Z517" s="438"/>
    </row>
    <row r="518" ht="11.25" customHeight="1">
      <c r="A518" s="438"/>
      <c r="B518" s="438"/>
      <c r="C518" s="438"/>
      <c r="D518" s="438"/>
      <c r="E518" s="438"/>
      <c r="F518" s="438"/>
      <c r="G518" s="454"/>
      <c r="H518" s="454"/>
      <c r="I518" s="454"/>
      <c r="J518" s="438"/>
      <c r="K518" s="438"/>
      <c r="L518" s="438"/>
      <c r="M518" s="438"/>
      <c r="N518" s="438"/>
      <c r="O518" s="438"/>
      <c r="P518" s="438"/>
      <c r="Q518" s="438"/>
      <c r="R518" s="438"/>
      <c r="S518" s="438"/>
      <c r="T518" s="438"/>
      <c r="U518" s="438"/>
      <c r="V518" s="438"/>
      <c r="W518" s="438"/>
      <c r="X518" s="438"/>
      <c r="Y518" s="438"/>
      <c r="Z518" s="438"/>
    </row>
    <row r="519" ht="11.25" customHeight="1">
      <c r="A519" s="438"/>
      <c r="B519" s="438"/>
      <c r="C519" s="438"/>
      <c r="D519" s="438"/>
      <c r="E519" s="438"/>
      <c r="F519" s="438"/>
      <c r="G519" s="454"/>
      <c r="H519" s="454"/>
      <c r="I519" s="454"/>
      <c r="J519" s="438"/>
      <c r="K519" s="438"/>
      <c r="L519" s="438"/>
      <c r="M519" s="438"/>
      <c r="N519" s="438"/>
      <c r="O519" s="438"/>
      <c r="P519" s="438"/>
      <c r="Q519" s="438"/>
      <c r="R519" s="438"/>
      <c r="S519" s="438"/>
      <c r="T519" s="438"/>
      <c r="U519" s="438"/>
      <c r="V519" s="438"/>
      <c r="W519" s="438"/>
      <c r="X519" s="438"/>
      <c r="Y519" s="438"/>
      <c r="Z519" s="438"/>
    </row>
    <row r="520" ht="11.25" customHeight="1">
      <c r="A520" s="438"/>
      <c r="B520" s="438"/>
      <c r="C520" s="438"/>
      <c r="D520" s="438"/>
      <c r="E520" s="438"/>
      <c r="F520" s="438"/>
      <c r="G520" s="454"/>
      <c r="H520" s="454"/>
      <c r="I520" s="454"/>
      <c r="J520" s="438"/>
      <c r="K520" s="438"/>
      <c r="L520" s="438"/>
      <c r="M520" s="438"/>
      <c r="N520" s="438"/>
      <c r="O520" s="438"/>
      <c r="P520" s="438"/>
      <c r="Q520" s="438"/>
      <c r="R520" s="438"/>
      <c r="S520" s="438"/>
      <c r="T520" s="438"/>
      <c r="U520" s="438"/>
      <c r="V520" s="438"/>
      <c r="W520" s="438"/>
      <c r="X520" s="438"/>
      <c r="Y520" s="438"/>
      <c r="Z520" s="438"/>
    </row>
    <row r="521" ht="11.25" customHeight="1">
      <c r="A521" s="438"/>
      <c r="B521" s="438"/>
      <c r="C521" s="438"/>
      <c r="D521" s="438"/>
      <c r="E521" s="438"/>
      <c r="F521" s="438"/>
      <c r="G521" s="454"/>
      <c r="H521" s="454"/>
      <c r="I521" s="454"/>
      <c r="J521" s="438"/>
      <c r="K521" s="438"/>
      <c r="L521" s="438"/>
      <c r="M521" s="438"/>
      <c r="N521" s="438"/>
      <c r="O521" s="438"/>
      <c r="P521" s="438"/>
      <c r="Q521" s="438"/>
      <c r="R521" s="438"/>
      <c r="S521" s="438"/>
      <c r="T521" s="438"/>
      <c r="U521" s="438"/>
      <c r="V521" s="438"/>
      <c r="W521" s="438"/>
      <c r="X521" s="438"/>
      <c r="Y521" s="438"/>
      <c r="Z521" s="438"/>
    </row>
    <row r="522" ht="11.25" customHeight="1">
      <c r="A522" s="438"/>
      <c r="B522" s="438"/>
      <c r="C522" s="438"/>
      <c r="D522" s="438"/>
      <c r="E522" s="438"/>
      <c r="F522" s="438"/>
      <c r="G522" s="454"/>
      <c r="H522" s="454"/>
      <c r="I522" s="454"/>
      <c r="J522" s="438"/>
      <c r="K522" s="438"/>
      <c r="L522" s="438"/>
      <c r="M522" s="438"/>
      <c r="N522" s="438"/>
      <c r="O522" s="438"/>
      <c r="P522" s="438"/>
      <c r="Q522" s="438"/>
      <c r="R522" s="438"/>
      <c r="S522" s="438"/>
      <c r="T522" s="438"/>
      <c r="U522" s="438"/>
      <c r="V522" s="438"/>
      <c r="W522" s="438"/>
      <c r="X522" s="438"/>
      <c r="Y522" s="438"/>
      <c r="Z522" s="438"/>
    </row>
    <row r="523" ht="11.25" customHeight="1">
      <c r="A523" s="438"/>
      <c r="B523" s="438"/>
      <c r="C523" s="438"/>
      <c r="D523" s="438"/>
      <c r="E523" s="438"/>
      <c r="F523" s="438"/>
      <c r="G523" s="454"/>
      <c r="H523" s="454"/>
      <c r="I523" s="454"/>
      <c r="J523" s="438"/>
      <c r="K523" s="438"/>
      <c r="L523" s="438"/>
      <c r="M523" s="438"/>
      <c r="N523" s="438"/>
      <c r="O523" s="438"/>
      <c r="P523" s="438"/>
      <c r="Q523" s="438"/>
      <c r="R523" s="438"/>
      <c r="S523" s="438"/>
      <c r="T523" s="438"/>
      <c r="U523" s="438"/>
      <c r="V523" s="438"/>
      <c r="W523" s="438"/>
      <c r="X523" s="438"/>
      <c r="Y523" s="438"/>
      <c r="Z523" s="438"/>
    </row>
    <row r="524" ht="11.25" customHeight="1">
      <c r="A524" s="438"/>
      <c r="B524" s="438"/>
      <c r="C524" s="438"/>
      <c r="D524" s="438"/>
      <c r="E524" s="438"/>
      <c r="F524" s="438"/>
      <c r="G524" s="454"/>
      <c r="H524" s="454"/>
      <c r="I524" s="454"/>
      <c r="J524" s="438"/>
      <c r="K524" s="438"/>
      <c r="L524" s="438"/>
      <c r="M524" s="438"/>
      <c r="N524" s="438"/>
      <c r="O524" s="438"/>
      <c r="P524" s="438"/>
      <c r="Q524" s="438"/>
      <c r="R524" s="438"/>
      <c r="S524" s="438"/>
      <c r="T524" s="438"/>
      <c r="U524" s="438"/>
      <c r="V524" s="438"/>
      <c r="W524" s="438"/>
      <c r="X524" s="438"/>
      <c r="Y524" s="438"/>
      <c r="Z524" s="438"/>
    </row>
    <row r="525" ht="11.25" customHeight="1">
      <c r="A525" s="438"/>
      <c r="B525" s="438"/>
      <c r="C525" s="438"/>
      <c r="D525" s="438"/>
      <c r="E525" s="438"/>
      <c r="F525" s="438"/>
      <c r="G525" s="454"/>
      <c r="H525" s="454"/>
      <c r="I525" s="454"/>
      <c r="J525" s="438"/>
      <c r="K525" s="438"/>
      <c r="L525" s="438"/>
      <c r="M525" s="438"/>
      <c r="N525" s="438"/>
      <c r="O525" s="438"/>
      <c r="P525" s="438"/>
      <c r="Q525" s="438"/>
      <c r="R525" s="438"/>
      <c r="S525" s="438"/>
      <c r="T525" s="438"/>
      <c r="U525" s="438"/>
      <c r="V525" s="438"/>
      <c r="W525" s="438"/>
      <c r="X525" s="438"/>
      <c r="Y525" s="438"/>
      <c r="Z525" s="438"/>
    </row>
    <row r="526" ht="11.25" customHeight="1">
      <c r="A526" s="438"/>
      <c r="B526" s="438"/>
      <c r="C526" s="438"/>
      <c r="D526" s="438"/>
      <c r="E526" s="438"/>
      <c r="F526" s="438"/>
      <c r="G526" s="454"/>
      <c r="H526" s="454"/>
      <c r="I526" s="454"/>
      <c r="J526" s="438"/>
      <c r="K526" s="438"/>
      <c r="L526" s="438"/>
      <c r="M526" s="438"/>
      <c r="N526" s="438"/>
      <c r="O526" s="438"/>
      <c r="P526" s="438"/>
      <c r="Q526" s="438"/>
      <c r="R526" s="438"/>
      <c r="S526" s="438"/>
      <c r="T526" s="438"/>
      <c r="U526" s="438"/>
      <c r="V526" s="438"/>
      <c r="W526" s="438"/>
      <c r="X526" s="438"/>
      <c r="Y526" s="438"/>
      <c r="Z526" s="438"/>
    </row>
    <row r="527" ht="11.25" customHeight="1">
      <c r="A527" s="438"/>
      <c r="B527" s="438"/>
      <c r="C527" s="438"/>
      <c r="D527" s="438"/>
      <c r="E527" s="438"/>
      <c r="F527" s="438"/>
      <c r="G527" s="454"/>
      <c r="H527" s="454"/>
      <c r="I527" s="454"/>
      <c r="J527" s="438"/>
      <c r="K527" s="438"/>
      <c r="L527" s="438"/>
      <c r="M527" s="438"/>
      <c r="N527" s="438"/>
      <c r="O527" s="438"/>
      <c r="P527" s="438"/>
      <c r="Q527" s="438"/>
      <c r="R527" s="438"/>
      <c r="S527" s="438"/>
      <c r="T527" s="438"/>
      <c r="U527" s="438"/>
      <c r="V527" s="438"/>
      <c r="W527" s="438"/>
      <c r="X527" s="438"/>
      <c r="Y527" s="438"/>
      <c r="Z527" s="438"/>
    </row>
    <row r="528" ht="11.25" customHeight="1">
      <c r="A528" s="438"/>
      <c r="B528" s="438"/>
      <c r="C528" s="438"/>
      <c r="D528" s="438"/>
      <c r="E528" s="438"/>
      <c r="F528" s="438"/>
      <c r="G528" s="454"/>
      <c r="H528" s="454"/>
      <c r="I528" s="454"/>
      <c r="J528" s="438"/>
      <c r="K528" s="438"/>
      <c r="L528" s="438"/>
      <c r="M528" s="438"/>
      <c r="N528" s="438"/>
      <c r="O528" s="438"/>
      <c r="P528" s="438"/>
      <c r="Q528" s="438"/>
      <c r="R528" s="438"/>
      <c r="S528" s="438"/>
      <c r="T528" s="438"/>
      <c r="U528" s="438"/>
      <c r="V528" s="438"/>
      <c r="W528" s="438"/>
      <c r="X528" s="438"/>
      <c r="Y528" s="438"/>
      <c r="Z528" s="438"/>
    </row>
    <row r="529" ht="11.25" customHeight="1">
      <c r="A529" s="438"/>
      <c r="B529" s="438"/>
      <c r="C529" s="438"/>
      <c r="D529" s="438"/>
      <c r="E529" s="438"/>
      <c r="F529" s="438"/>
      <c r="G529" s="454"/>
      <c r="H529" s="454"/>
      <c r="I529" s="454"/>
      <c r="J529" s="438"/>
      <c r="K529" s="438"/>
      <c r="L529" s="438"/>
      <c r="M529" s="438"/>
      <c r="N529" s="438"/>
      <c r="O529" s="438"/>
      <c r="P529" s="438"/>
      <c r="Q529" s="438"/>
      <c r="R529" s="438"/>
      <c r="S529" s="438"/>
      <c r="T529" s="438"/>
      <c r="U529" s="438"/>
      <c r="V529" s="438"/>
      <c r="W529" s="438"/>
      <c r="X529" s="438"/>
      <c r="Y529" s="438"/>
      <c r="Z529" s="438"/>
    </row>
    <row r="530" ht="11.25" customHeight="1">
      <c r="A530" s="438"/>
      <c r="B530" s="438"/>
      <c r="C530" s="438"/>
      <c r="D530" s="438"/>
      <c r="E530" s="438"/>
      <c r="F530" s="438"/>
      <c r="G530" s="454"/>
      <c r="H530" s="454"/>
      <c r="I530" s="454"/>
      <c r="J530" s="438"/>
      <c r="K530" s="438"/>
      <c r="L530" s="438"/>
      <c r="M530" s="438"/>
      <c r="N530" s="438"/>
      <c r="O530" s="438"/>
      <c r="P530" s="438"/>
      <c r="Q530" s="438"/>
      <c r="R530" s="438"/>
      <c r="S530" s="438"/>
      <c r="T530" s="438"/>
      <c r="U530" s="438"/>
      <c r="V530" s="438"/>
      <c r="W530" s="438"/>
      <c r="X530" s="438"/>
      <c r="Y530" s="438"/>
      <c r="Z530" s="438"/>
    </row>
    <row r="531" ht="11.25" customHeight="1">
      <c r="A531" s="438"/>
      <c r="B531" s="438"/>
      <c r="C531" s="438"/>
      <c r="D531" s="438"/>
      <c r="E531" s="438"/>
      <c r="F531" s="438"/>
      <c r="G531" s="454"/>
      <c r="H531" s="454"/>
      <c r="I531" s="454"/>
      <c r="J531" s="438"/>
      <c r="K531" s="438"/>
      <c r="L531" s="438"/>
      <c r="M531" s="438"/>
      <c r="N531" s="438"/>
      <c r="O531" s="438"/>
      <c r="P531" s="438"/>
      <c r="Q531" s="438"/>
      <c r="R531" s="438"/>
      <c r="S531" s="438"/>
      <c r="T531" s="438"/>
      <c r="U531" s="438"/>
      <c r="V531" s="438"/>
      <c r="W531" s="438"/>
      <c r="X531" s="438"/>
      <c r="Y531" s="438"/>
      <c r="Z531" s="438"/>
    </row>
    <row r="532" ht="11.25" customHeight="1">
      <c r="A532" s="438"/>
      <c r="B532" s="438"/>
      <c r="C532" s="438"/>
      <c r="D532" s="438"/>
      <c r="E532" s="438"/>
      <c r="F532" s="438"/>
      <c r="G532" s="454"/>
      <c r="H532" s="454"/>
      <c r="I532" s="454"/>
      <c r="J532" s="438"/>
      <c r="K532" s="438"/>
      <c r="L532" s="438"/>
      <c r="M532" s="438"/>
      <c r="N532" s="438"/>
      <c r="O532" s="438"/>
      <c r="P532" s="438"/>
      <c r="Q532" s="438"/>
      <c r="R532" s="438"/>
      <c r="S532" s="438"/>
      <c r="T532" s="438"/>
      <c r="U532" s="438"/>
      <c r="V532" s="438"/>
      <c r="W532" s="438"/>
      <c r="X532" s="438"/>
      <c r="Y532" s="438"/>
      <c r="Z532" s="438"/>
    </row>
    <row r="533" ht="11.25" customHeight="1">
      <c r="A533" s="438"/>
      <c r="B533" s="438"/>
      <c r="C533" s="438"/>
      <c r="D533" s="438"/>
      <c r="E533" s="438"/>
      <c r="F533" s="438"/>
      <c r="G533" s="454"/>
      <c r="H533" s="454"/>
      <c r="I533" s="454"/>
      <c r="J533" s="438"/>
      <c r="K533" s="438"/>
      <c r="L533" s="438"/>
      <c r="M533" s="438"/>
      <c r="N533" s="438"/>
      <c r="O533" s="438"/>
      <c r="P533" s="438"/>
      <c r="Q533" s="438"/>
      <c r="R533" s="438"/>
      <c r="S533" s="438"/>
      <c r="T533" s="438"/>
      <c r="U533" s="438"/>
      <c r="V533" s="438"/>
      <c r="W533" s="438"/>
      <c r="X533" s="438"/>
      <c r="Y533" s="438"/>
      <c r="Z533" s="438"/>
    </row>
    <row r="534" ht="11.25" customHeight="1">
      <c r="A534" s="438"/>
      <c r="B534" s="438"/>
      <c r="C534" s="438"/>
      <c r="D534" s="438"/>
      <c r="E534" s="438"/>
      <c r="F534" s="438"/>
      <c r="G534" s="454"/>
      <c r="H534" s="454"/>
      <c r="I534" s="454"/>
      <c r="J534" s="438"/>
      <c r="K534" s="438"/>
      <c r="L534" s="438"/>
      <c r="M534" s="438"/>
      <c r="N534" s="438"/>
      <c r="O534" s="438"/>
      <c r="P534" s="438"/>
      <c r="Q534" s="438"/>
      <c r="R534" s="438"/>
      <c r="S534" s="438"/>
      <c r="T534" s="438"/>
      <c r="U534" s="438"/>
      <c r="V534" s="438"/>
      <c r="W534" s="438"/>
      <c r="X534" s="438"/>
      <c r="Y534" s="438"/>
      <c r="Z534" s="438"/>
    </row>
    <row r="535" ht="11.25" customHeight="1">
      <c r="A535" s="438"/>
      <c r="B535" s="438"/>
      <c r="C535" s="438"/>
      <c r="D535" s="438"/>
      <c r="E535" s="438"/>
      <c r="F535" s="438"/>
      <c r="G535" s="454"/>
      <c r="H535" s="454"/>
      <c r="I535" s="454"/>
      <c r="J535" s="438"/>
      <c r="K535" s="438"/>
      <c r="L535" s="438"/>
      <c r="M535" s="438"/>
      <c r="N535" s="438"/>
      <c r="O535" s="438"/>
      <c r="P535" s="438"/>
      <c r="Q535" s="438"/>
      <c r="R535" s="438"/>
      <c r="S535" s="438"/>
      <c r="T535" s="438"/>
      <c r="U535" s="438"/>
      <c r="V535" s="438"/>
      <c r="W535" s="438"/>
      <c r="X535" s="438"/>
      <c r="Y535" s="438"/>
      <c r="Z535" s="438"/>
    </row>
    <row r="536" ht="11.25" customHeight="1">
      <c r="A536" s="438"/>
      <c r="B536" s="438"/>
      <c r="C536" s="438"/>
      <c r="D536" s="438"/>
      <c r="E536" s="438"/>
      <c r="F536" s="438"/>
      <c r="G536" s="454"/>
      <c r="H536" s="454"/>
      <c r="I536" s="454"/>
      <c r="J536" s="438"/>
      <c r="K536" s="438"/>
      <c r="L536" s="438"/>
      <c r="M536" s="438"/>
      <c r="N536" s="438"/>
      <c r="O536" s="438"/>
      <c r="P536" s="438"/>
      <c r="Q536" s="438"/>
      <c r="R536" s="438"/>
      <c r="S536" s="438"/>
      <c r="T536" s="438"/>
      <c r="U536" s="438"/>
      <c r="V536" s="438"/>
      <c r="W536" s="438"/>
      <c r="X536" s="438"/>
      <c r="Y536" s="438"/>
      <c r="Z536" s="438"/>
    </row>
    <row r="537" ht="11.25" customHeight="1">
      <c r="A537" s="438"/>
      <c r="B537" s="438"/>
      <c r="C537" s="438"/>
      <c r="D537" s="438"/>
      <c r="E537" s="438"/>
      <c r="F537" s="438"/>
      <c r="G537" s="454"/>
      <c r="H537" s="454"/>
      <c r="I537" s="454"/>
      <c r="J537" s="438"/>
      <c r="K537" s="438"/>
      <c r="L537" s="438"/>
      <c r="M537" s="438"/>
      <c r="N537" s="438"/>
      <c r="O537" s="438"/>
      <c r="P537" s="438"/>
      <c r="Q537" s="438"/>
      <c r="R537" s="438"/>
      <c r="S537" s="438"/>
      <c r="T537" s="438"/>
      <c r="U537" s="438"/>
      <c r="V537" s="438"/>
      <c r="W537" s="438"/>
      <c r="X537" s="438"/>
      <c r="Y537" s="438"/>
      <c r="Z537" s="438"/>
    </row>
    <row r="538" ht="11.25" customHeight="1">
      <c r="A538" s="438"/>
      <c r="B538" s="438"/>
      <c r="C538" s="438"/>
      <c r="D538" s="438"/>
      <c r="E538" s="438"/>
      <c r="F538" s="438"/>
      <c r="G538" s="454"/>
      <c r="H538" s="454"/>
      <c r="I538" s="454"/>
      <c r="J538" s="438"/>
      <c r="K538" s="438"/>
      <c r="L538" s="438"/>
      <c r="M538" s="438"/>
      <c r="N538" s="438"/>
      <c r="O538" s="438"/>
      <c r="P538" s="438"/>
      <c r="Q538" s="438"/>
      <c r="R538" s="438"/>
      <c r="S538" s="438"/>
      <c r="T538" s="438"/>
      <c r="U538" s="438"/>
      <c r="V538" s="438"/>
      <c r="W538" s="438"/>
      <c r="X538" s="438"/>
      <c r="Y538" s="438"/>
      <c r="Z538" s="438"/>
    </row>
    <row r="539" ht="11.25" customHeight="1">
      <c r="A539" s="438"/>
      <c r="B539" s="438"/>
      <c r="C539" s="438"/>
      <c r="D539" s="438"/>
      <c r="E539" s="438"/>
      <c r="F539" s="438"/>
      <c r="G539" s="454"/>
      <c r="H539" s="454"/>
      <c r="I539" s="454"/>
      <c r="J539" s="438"/>
      <c r="K539" s="438"/>
      <c r="L539" s="438"/>
      <c r="M539" s="438"/>
      <c r="N539" s="438"/>
      <c r="O539" s="438"/>
      <c r="P539" s="438"/>
      <c r="Q539" s="438"/>
      <c r="R539" s="438"/>
      <c r="S539" s="438"/>
      <c r="T539" s="438"/>
      <c r="U539" s="438"/>
      <c r="V539" s="438"/>
      <c r="W539" s="438"/>
      <c r="X539" s="438"/>
      <c r="Y539" s="438"/>
      <c r="Z539" s="438"/>
    </row>
    <row r="540" ht="11.25" customHeight="1">
      <c r="A540" s="438"/>
      <c r="B540" s="438"/>
      <c r="C540" s="438"/>
      <c r="D540" s="438"/>
      <c r="E540" s="438"/>
      <c r="F540" s="438"/>
      <c r="G540" s="454"/>
      <c r="H540" s="454"/>
      <c r="I540" s="454"/>
      <c r="J540" s="438"/>
      <c r="K540" s="438"/>
      <c r="L540" s="438"/>
      <c r="M540" s="438"/>
      <c r="N540" s="438"/>
      <c r="O540" s="438"/>
      <c r="P540" s="438"/>
      <c r="Q540" s="438"/>
      <c r="R540" s="438"/>
      <c r="S540" s="438"/>
      <c r="T540" s="438"/>
      <c r="U540" s="438"/>
      <c r="V540" s="438"/>
      <c r="W540" s="438"/>
      <c r="X540" s="438"/>
      <c r="Y540" s="438"/>
      <c r="Z540" s="438"/>
    </row>
    <row r="541" ht="11.25" customHeight="1">
      <c r="A541" s="438"/>
      <c r="B541" s="438"/>
      <c r="C541" s="438"/>
      <c r="D541" s="438"/>
      <c r="E541" s="438"/>
      <c r="F541" s="438"/>
      <c r="G541" s="454"/>
      <c r="H541" s="454"/>
      <c r="I541" s="454"/>
      <c r="J541" s="438"/>
      <c r="K541" s="438"/>
      <c r="L541" s="438"/>
      <c r="M541" s="438"/>
      <c r="N541" s="438"/>
      <c r="O541" s="438"/>
      <c r="P541" s="438"/>
      <c r="Q541" s="438"/>
      <c r="R541" s="438"/>
      <c r="S541" s="438"/>
      <c r="T541" s="438"/>
      <c r="U541" s="438"/>
      <c r="V541" s="438"/>
      <c r="W541" s="438"/>
      <c r="X541" s="438"/>
      <c r="Y541" s="438"/>
      <c r="Z541" s="438"/>
    </row>
    <row r="542" ht="11.25" customHeight="1">
      <c r="A542" s="438"/>
      <c r="B542" s="438"/>
      <c r="C542" s="438"/>
      <c r="D542" s="438"/>
      <c r="E542" s="438"/>
      <c r="F542" s="438"/>
      <c r="G542" s="454"/>
      <c r="H542" s="454"/>
      <c r="I542" s="454"/>
      <c r="J542" s="438"/>
      <c r="K542" s="438"/>
      <c r="L542" s="438"/>
      <c r="M542" s="438"/>
      <c r="N542" s="438"/>
      <c r="O542" s="438"/>
      <c r="P542" s="438"/>
      <c r="Q542" s="438"/>
      <c r="R542" s="438"/>
      <c r="S542" s="438"/>
      <c r="T542" s="438"/>
      <c r="U542" s="438"/>
      <c r="V542" s="438"/>
      <c r="W542" s="438"/>
      <c r="X542" s="438"/>
      <c r="Y542" s="438"/>
      <c r="Z542" s="438"/>
    </row>
    <row r="543" ht="11.25" customHeight="1">
      <c r="A543" s="438"/>
      <c r="B543" s="438"/>
      <c r="C543" s="438"/>
      <c r="D543" s="438"/>
      <c r="E543" s="438"/>
      <c r="F543" s="438"/>
      <c r="G543" s="454"/>
      <c r="H543" s="454"/>
      <c r="I543" s="454"/>
      <c r="J543" s="438"/>
      <c r="K543" s="438"/>
      <c r="L543" s="438"/>
      <c r="M543" s="438"/>
      <c r="N543" s="438"/>
      <c r="O543" s="438"/>
      <c r="P543" s="438"/>
      <c r="Q543" s="438"/>
      <c r="R543" s="438"/>
      <c r="S543" s="438"/>
      <c r="T543" s="438"/>
      <c r="U543" s="438"/>
      <c r="V543" s="438"/>
      <c r="W543" s="438"/>
      <c r="X543" s="438"/>
      <c r="Y543" s="438"/>
      <c r="Z543" s="438"/>
    </row>
    <row r="544" ht="11.25" customHeight="1">
      <c r="A544" s="438"/>
      <c r="B544" s="438"/>
      <c r="C544" s="438"/>
      <c r="D544" s="438"/>
      <c r="E544" s="438"/>
      <c r="F544" s="438"/>
      <c r="G544" s="454"/>
      <c r="H544" s="454"/>
      <c r="I544" s="454"/>
      <c r="J544" s="438"/>
      <c r="K544" s="438"/>
      <c r="L544" s="438"/>
      <c r="M544" s="438"/>
      <c r="N544" s="438"/>
      <c r="O544" s="438"/>
      <c r="P544" s="438"/>
      <c r="Q544" s="438"/>
      <c r="R544" s="438"/>
      <c r="S544" s="438"/>
      <c r="T544" s="438"/>
      <c r="U544" s="438"/>
      <c r="V544" s="438"/>
      <c r="W544" s="438"/>
      <c r="X544" s="438"/>
      <c r="Y544" s="438"/>
      <c r="Z544" s="438"/>
    </row>
    <row r="545" ht="11.25" customHeight="1">
      <c r="A545" s="438"/>
      <c r="B545" s="438"/>
      <c r="C545" s="438"/>
      <c r="D545" s="438"/>
      <c r="E545" s="438"/>
      <c r="F545" s="438"/>
      <c r="G545" s="454"/>
      <c r="H545" s="454"/>
      <c r="I545" s="454"/>
      <c r="J545" s="438"/>
      <c r="K545" s="438"/>
      <c r="L545" s="438"/>
      <c r="M545" s="438"/>
      <c r="N545" s="438"/>
      <c r="O545" s="438"/>
      <c r="P545" s="438"/>
      <c r="Q545" s="438"/>
      <c r="R545" s="438"/>
      <c r="S545" s="438"/>
      <c r="T545" s="438"/>
      <c r="U545" s="438"/>
      <c r="V545" s="438"/>
      <c r="W545" s="438"/>
      <c r="X545" s="438"/>
      <c r="Y545" s="438"/>
      <c r="Z545" s="438"/>
    </row>
    <row r="546" ht="11.25" customHeight="1">
      <c r="A546" s="438"/>
      <c r="B546" s="438"/>
      <c r="C546" s="438"/>
      <c r="D546" s="438"/>
      <c r="E546" s="438"/>
      <c r="F546" s="438"/>
      <c r="G546" s="454"/>
      <c r="H546" s="454"/>
      <c r="I546" s="454"/>
      <c r="J546" s="438"/>
      <c r="K546" s="438"/>
      <c r="L546" s="438"/>
      <c r="M546" s="438"/>
      <c r="N546" s="438"/>
      <c r="O546" s="438"/>
      <c r="P546" s="438"/>
      <c r="Q546" s="438"/>
      <c r="R546" s="438"/>
      <c r="S546" s="438"/>
      <c r="T546" s="438"/>
      <c r="U546" s="438"/>
      <c r="V546" s="438"/>
      <c r="W546" s="438"/>
      <c r="X546" s="438"/>
      <c r="Y546" s="438"/>
      <c r="Z546" s="438"/>
    </row>
    <row r="547" ht="11.25" customHeight="1">
      <c r="A547" s="438"/>
      <c r="B547" s="438"/>
      <c r="C547" s="438"/>
      <c r="D547" s="438"/>
      <c r="E547" s="438"/>
      <c r="F547" s="438"/>
      <c r="G547" s="454"/>
      <c r="H547" s="454"/>
      <c r="I547" s="454"/>
      <c r="J547" s="438"/>
      <c r="K547" s="438"/>
      <c r="L547" s="438"/>
      <c r="M547" s="438"/>
      <c r="N547" s="438"/>
      <c r="O547" s="438"/>
      <c r="P547" s="438"/>
      <c r="Q547" s="438"/>
      <c r="R547" s="438"/>
      <c r="S547" s="438"/>
      <c r="T547" s="438"/>
      <c r="U547" s="438"/>
      <c r="V547" s="438"/>
      <c r="W547" s="438"/>
      <c r="X547" s="438"/>
      <c r="Y547" s="438"/>
      <c r="Z547" s="438"/>
    </row>
    <row r="548" ht="11.25" customHeight="1">
      <c r="A548" s="438"/>
      <c r="B548" s="438"/>
      <c r="C548" s="438"/>
      <c r="D548" s="438"/>
      <c r="E548" s="438"/>
      <c r="F548" s="438"/>
      <c r="G548" s="454"/>
      <c r="H548" s="454"/>
      <c r="I548" s="454"/>
      <c r="J548" s="438"/>
      <c r="K548" s="438"/>
      <c r="L548" s="438"/>
      <c r="M548" s="438"/>
      <c r="N548" s="438"/>
      <c r="O548" s="438"/>
      <c r="P548" s="438"/>
      <c r="Q548" s="438"/>
      <c r="R548" s="438"/>
      <c r="S548" s="438"/>
      <c r="T548" s="438"/>
      <c r="U548" s="438"/>
      <c r="V548" s="438"/>
      <c r="W548" s="438"/>
      <c r="X548" s="438"/>
      <c r="Y548" s="438"/>
      <c r="Z548" s="438"/>
    </row>
    <row r="549" ht="11.25" customHeight="1">
      <c r="A549" s="438"/>
      <c r="B549" s="438"/>
      <c r="C549" s="438"/>
      <c r="D549" s="438"/>
      <c r="E549" s="438"/>
      <c r="F549" s="438"/>
      <c r="G549" s="454"/>
      <c r="H549" s="454"/>
      <c r="I549" s="454"/>
      <c r="J549" s="438"/>
      <c r="K549" s="438"/>
      <c r="L549" s="438"/>
      <c r="M549" s="438"/>
      <c r="N549" s="438"/>
      <c r="O549" s="438"/>
      <c r="P549" s="438"/>
      <c r="Q549" s="438"/>
      <c r="R549" s="438"/>
      <c r="S549" s="438"/>
      <c r="T549" s="438"/>
      <c r="U549" s="438"/>
      <c r="V549" s="438"/>
      <c r="W549" s="438"/>
      <c r="X549" s="438"/>
      <c r="Y549" s="438"/>
      <c r="Z549" s="438"/>
    </row>
    <row r="550" ht="11.25" customHeight="1">
      <c r="A550" s="438"/>
      <c r="B550" s="438"/>
      <c r="C550" s="438"/>
      <c r="D550" s="438"/>
      <c r="E550" s="438"/>
      <c r="F550" s="438"/>
      <c r="G550" s="454"/>
      <c r="H550" s="454"/>
      <c r="I550" s="454"/>
      <c r="J550" s="438"/>
      <c r="K550" s="438"/>
      <c r="L550" s="438"/>
      <c r="M550" s="438"/>
      <c r="N550" s="438"/>
      <c r="O550" s="438"/>
      <c r="P550" s="438"/>
      <c r="Q550" s="438"/>
      <c r="R550" s="438"/>
      <c r="S550" s="438"/>
      <c r="T550" s="438"/>
      <c r="U550" s="438"/>
      <c r="V550" s="438"/>
      <c r="W550" s="438"/>
      <c r="X550" s="438"/>
      <c r="Y550" s="438"/>
      <c r="Z550" s="438"/>
    </row>
    <row r="551" ht="11.25" customHeight="1">
      <c r="A551" s="438"/>
      <c r="B551" s="438"/>
      <c r="C551" s="438"/>
      <c r="D551" s="438"/>
      <c r="E551" s="438"/>
      <c r="F551" s="438"/>
      <c r="G551" s="454"/>
      <c r="H551" s="454"/>
      <c r="I551" s="454"/>
      <c r="J551" s="438"/>
      <c r="K551" s="438"/>
      <c r="L551" s="438"/>
      <c r="M551" s="438"/>
      <c r="N551" s="438"/>
      <c r="O551" s="438"/>
      <c r="P551" s="438"/>
      <c r="Q551" s="438"/>
      <c r="R551" s="438"/>
      <c r="S551" s="438"/>
      <c r="T551" s="438"/>
      <c r="U551" s="438"/>
      <c r="V551" s="438"/>
      <c r="W551" s="438"/>
      <c r="X551" s="438"/>
      <c r="Y551" s="438"/>
      <c r="Z551" s="438"/>
    </row>
    <row r="552" ht="11.25" customHeight="1">
      <c r="A552" s="438"/>
      <c r="B552" s="438"/>
      <c r="C552" s="438"/>
      <c r="D552" s="438"/>
      <c r="E552" s="438"/>
      <c r="F552" s="438"/>
      <c r="G552" s="454"/>
      <c r="H552" s="454"/>
      <c r="I552" s="454"/>
      <c r="J552" s="438"/>
      <c r="K552" s="438"/>
      <c r="L552" s="438"/>
      <c r="M552" s="438"/>
      <c r="N552" s="438"/>
      <c r="O552" s="438"/>
      <c r="P552" s="438"/>
      <c r="Q552" s="438"/>
      <c r="R552" s="438"/>
      <c r="S552" s="438"/>
      <c r="T552" s="438"/>
      <c r="U552" s="438"/>
      <c r="V552" s="438"/>
      <c r="W552" s="438"/>
      <c r="X552" s="438"/>
      <c r="Y552" s="438"/>
      <c r="Z552" s="438"/>
    </row>
    <row r="553" ht="11.25" customHeight="1">
      <c r="A553" s="438"/>
      <c r="B553" s="438"/>
      <c r="C553" s="438"/>
      <c r="D553" s="438"/>
      <c r="E553" s="438"/>
      <c r="F553" s="438"/>
      <c r="G553" s="454"/>
      <c r="H553" s="454"/>
      <c r="I553" s="454"/>
      <c r="J553" s="438"/>
      <c r="K553" s="438"/>
      <c r="L553" s="438"/>
      <c r="M553" s="438"/>
      <c r="N553" s="438"/>
      <c r="O553" s="438"/>
      <c r="P553" s="438"/>
      <c r="Q553" s="438"/>
      <c r="R553" s="438"/>
      <c r="S553" s="438"/>
      <c r="T553" s="438"/>
      <c r="U553" s="438"/>
      <c r="V553" s="438"/>
      <c r="W553" s="438"/>
      <c r="X553" s="438"/>
      <c r="Y553" s="438"/>
      <c r="Z553" s="438"/>
    </row>
    <row r="554" ht="11.25" customHeight="1">
      <c r="A554" s="438"/>
      <c r="B554" s="438"/>
      <c r="C554" s="438"/>
      <c r="D554" s="438"/>
      <c r="E554" s="438"/>
      <c r="F554" s="438"/>
      <c r="G554" s="454"/>
      <c r="H554" s="454"/>
      <c r="I554" s="454"/>
      <c r="J554" s="438"/>
      <c r="K554" s="438"/>
      <c r="L554" s="438"/>
      <c r="M554" s="438"/>
      <c r="N554" s="438"/>
      <c r="O554" s="438"/>
      <c r="P554" s="438"/>
      <c r="Q554" s="438"/>
      <c r="R554" s="438"/>
      <c r="S554" s="438"/>
      <c r="T554" s="438"/>
      <c r="U554" s="438"/>
      <c r="V554" s="438"/>
      <c r="W554" s="438"/>
      <c r="X554" s="438"/>
      <c r="Y554" s="438"/>
      <c r="Z554" s="438"/>
    </row>
    <row r="555" ht="11.25" customHeight="1">
      <c r="A555" s="438"/>
      <c r="B555" s="438"/>
      <c r="C555" s="438"/>
      <c r="D555" s="438"/>
      <c r="E555" s="438"/>
      <c r="F555" s="438"/>
      <c r="G555" s="454"/>
      <c r="H555" s="454"/>
      <c r="I555" s="454"/>
      <c r="J555" s="438"/>
      <c r="K555" s="438"/>
      <c r="L555" s="438"/>
      <c r="M555" s="438"/>
      <c r="N555" s="438"/>
      <c r="O555" s="438"/>
      <c r="P555" s="438"/>
      <c r="Q555" s="438"/>
      <c r="R555" s="438"/>
      <c r="S555" s="438"/>
      <c r="T555" s="438"/>
      <c r="U555" s="438"/>
      <c r="V555" s="438"/>
      <c r="W555" s="438"/>
      <c r="X555" s="438"/>
      <c r="Y555" s="438"/>
      <c r="Z555" s="438"/>
    </row>
    <row r="556" ht="11.25" customHeight="1">
      <c r="A556" s="438"/>
      <c r="B556" s="438"/>
      <c r="C556" s="438"/>
      <c r="D556" s="438"/>
      <c r="E556" s="438"/>
      <c r="F556" s="438"/>
      <c r="G556" s="454"/>
      <c r="H556" s="454"/>
      <c r="I556" s="454"/>
      <c r="J556" s="438"/>
      <c r="K556" s="438"/>
      <c r="L556" s="438"/>
      <c r="M556" s="438"/>
      <c r="N556" s="438"/>
      <c r="O556" s="438"/>
      <c r="P556" s="438"/>
      <c r="Q556" s="438"/>
      <c r="R556" s="438"/>
      <c r="S556" s="438"/>
      <c r="T556" s="438"/>
      <c r="U556" s="438"/>
      <c r="V556" s="438"/>
      <c r="W556" s="438"/>
      <c r="X556" s="438"/>
      <c r="Y556" s="438"/>
      <c r="Z556" s="438"/>
    </row>
    <row r="557" ht="11.25" customHeight="1">
      <c r="A557" s="438"/>
      <c r="B557" s="438"/>
      <c r="C557" s="438"/>
      <c r="D557" s="438"/>
      <c r="E557" s="438"/>
      <c r="F557" s="438"/>
      <c r="G557" s="454"/>
      <c r="H557" s="454"/>
      <c r="I557" s="454"/>
      <c r="J557" s="438"/>
      <c r="K557" s="438"/>
      <c r="L557" s="438"/>
      <c r="M557" s="438"/>
      <c r="N557" s="438"/>
      <c r="O557" s="438"/>
      <c r="P557" s="438"/>
      <c r="Q557" s="438"/>
      <c r="R557" s="438"/>
      <c r="S557" s="438"/>
      <c r="T557" s="438"/>
      <c r="U557" s="438"/>
      <c r="V557" s="438"/>
      <c r="W557" s="438"/>
      <c r="X557" s="438"/>
      <c r="Y557" s="438"/>
      <c r="Z557" s="438"/>
    </row>
    <row r="558" ht="11.25" customHeight="1">
      <c r="A558" s="438"/>
      <c r="B558" s="438"/>
      <c r="C558" s="438"/>
      <c r="D558" s="438"/>
      <c r="E558" s="438"/>
      <c r="F558" s="438"/>
      <c r="G558" s="454"/>
      <c r="H558" s="454"/>
      <c r="I558" s="454"/>
      <c r="J558" s="438"/>
      <c r="K558" s="438"/>
      <c r="L558" s="438"/>
      <c r="M558" s="438"/>
      <c r="N558" s="438"/>
      <c r="O558" s="438"/>
      <c r="P558" s="438"/>
      <c r="Q558" s="438"/>
      <c r="R558" s="438"/>
      <c r="S558" s="438"/>
      <c r="T558" s="438"/>
      <c r="U558" s="438"/>
      <c r="V558" s="438"/>
      <c r="W558" s="438"/>
      <c r="X558" s="438"/>
      <c r="Y558" s="438"/>
      <c r="Z558" s="438"/>
    </row>
    <row r="559" ht="11.25" customHeight="1">
      <c r="A559" s="438"/>
      <c r="B559" s="438"/>
      <c r="C559" s="438"/>
      <c r="D559" s="438"/>
      <c r="E559" s="438"/>
      <c r="F559" s="438"/>
      <c r="G559" s="454"/>
      <c r="H559" s="454"/>
      <c r="I559" s="454"/>
      <c r="J559" s="438"/>
      <c r="K559" s="438"/>
      <c r="L559" s="438"/>
      <c r="M559" s="438"/>
      <c r="N559" s="438"/>
      <c r="O559" s="438"/>
      <c r="P559" s="438"/>
      <c r="Q559" s="438"/>
      <c r="R559" s="438"/>
      <c r="S559" s="438"/>
      <c r="T559" s="438"/>
      <c r="U559" s="438"/>
      <c r="V559" s="438"/>
      <c r="W559" s="438"/>
      <c r="X559" s="438"/>
      <c r="Y559" s="438"/>
      <c r="Z559" s="438"/>
    </row>
    <row r="560" ht="11.25" customHeight="1">
      <c r="A560" s="438"/>
      <c r="B560" s="438"/>
      <c r="C560" s="438"/>
      <c r="D560" s="438"/>
      <c r="E560" s="438"/>
      <c r="F560" s="438"/>
      <c r="G560" s="454"/>
      <c r="H560" s="454"/>
      <c r="I560" s="454"/>
      <c r="J560" s="438"/>
      <c r="K560" s="438"/>
      <c r="L560" s="438"/>
      <c r="M560" s="438"/>
      <c r="N560" s="438"/>
      <c r="O560" s="438"/>
      <c r="P560" s="438"/>
      <c r="Q560" s="438"/>
      <c r="R560" s="438"/>
      <c r="S560" s="438"/>
      <c r="T560" s="438"/>
      <c r="U560" s="438"/>
      <c r="V560" s="438"/>
      <c r="W560" s="438"/>
      <c r="X560" s="438"/>
      <c r="Y560" s="438"/>
      <c r="Z560" s="438"/>
    </row>
    <row r="561" ht="11.25" customHeight="1">
      <c r="A561" s="438"/>
      <c r="B561" s="438"/>
      <c r="C561" s="438"/>
      <c r="D561" s="438"/>
      <c r="E561" s="438"/>
      <c r="F561" s="438"/>
      <c r="G561" s="454"/>
      <c r="H561" s="454"/>
      <c r="I561" s="454"/>
      <c r="J561" s="438"/>
      <c r="K561" s="438"/>
      <c r="L561" s="438"/>
      <c r="M561" s="438"/>
      <c r="N561" s="438"/>
      <c r="O561" s="438"/>
      <c r="P561" s="438"/>
      <c r="Q561" s="438"/>
      <c r="R561" s="438"/>
      <c r="S561" s="438"/>
      <c r="T561" s="438"/>
      <c r="U561" s="438"/>
      <c r="V561" s="438"/>
      <c r="W561" s="438"/>
      <c r="X561" s="438"/>
      <c r="Y561" s="438"/>
      <c r="Z561" s="438"/>
    </row>
    <row r="562" ht="11.25" customHeight="1">
      <c r="A562" s="438"/>
      <c r="B562" s="438"/>
      <c r="C562" s="438"/>
      <c r="D562" s="438"/>
      <c r="E562" s="438"/>
      <c r="F562" s="438"/>
      <c r="G562" s="454"/>
      <c r="H562" s="454"/>
      <c r="I562" s="454"/>
      <c r="J562" s="438"/>
      <c r="K562" s="438"/>
      <c r="L562" s="438"/>
      <c r="M562" s="438"/>
      <c r="N562" s="438"/>
      <c r="O562" s="438"/>
      <c r="P562" s="438"/>
      <c r="Q562" s="438"/>
      <c r="R562" s="438"/>
      <c r="S562" s="438"/>
      <c r="T562" s="438"/>
      <c r="U562" s="438"/>
      <c r="V562" s="438"/>
      <c r="W562" s="438"/>
      <c r="X562" s="438"/>
      <c r="Y562" s="438"/>
      <c r="Z562" s="438"/>
    </row>
    <row r="563" ht="11.25" customHeight="1">
      <c r="A563" s="438"/>
      <c r="B563" s="438"/>
      <c r="C563" s="438"/>
      <c r="D563" s="438"/>
      <c r="E563" s="438"/>
      <c r="F563" s="438"/>
      <c r="G563" s="454"/>
      <c r="H563" s="454"/>
      <c r="I563" s="454"/>
      <c r="J563" s="438"/>
      <c r="K563" s="438"/>
      <c r="L563" s="438"/>
      <c r="M563" s="438"/>
      <c r="N563" s="438"/>
      <c r="O563" s="438"/>
      <c r="P563" s="438"/>
      <c r="Q563" s="438"/>
      <c r="R563" s="438"/>
      <c r="S563" s="438"/>
      <c r="T563" s="438"/>
      <c r="U563" s="438"/>
      <c r="V563" s="438"/>
      <c r="W563" s="438"/>
      <c r="X563" s="438"/>
      <c r="Y563" s="438"/>
      <c r="Z563" s="438"/>
    </row>
    <row r="564" ht="11.25" customHeight="1">
      <c r="A564" s="438"/>
      <c r="B564" s="438"/>
      <c r="C564" s="438"/>
      <c r="D564" s="438"/>
      <c r="E564" s="438"/>
      <c r="F564" s="438"/>
      <c r="G564" s="454"/>
      <c r="H564" s="454"/>
      <c r="I564" s="454"/>
      <c r="J564" s="438"/>
      <c r="K564" s="438"/>
      <c r="L564" s="438"/>
      <c r="M564" s="438"/>
      <c r="N564" s="438"/>
      <c r="O564" s="438"/>
      <c r="P564" s="438"/>
      <c r="Q564" s="438"/>
      <c r="R564" s="438"/>
      <c r="S564" s="438"/>
      <c r="T564" s="438"/>
      <c r="U564" s="438"/>
      <c r="V564" s="438"/>
      <c r="W564" s="438"/>
      <c r="X564" s="438"/>
      <c r="Y564" s="438"/>
      <c r="Z564" s="438"/>
    </row>
    <row r="565" ht="11.25" customHeight="1">
      <c r="A565" s="438"/>
      <c r="B565" s="438"/>
      <c r="C565" s="438"/>
      <c r="D565" s="438"/>
      <c r="E565" s="438"/>
      <c r="F565" s="438"/>
      <c r="G565" s="454"/>
      <c r="H565" s="454"/>
      <c r="I565" s="454"/>
      <c r="J565" s="438"/>
      <c r="K565" s="438"/>
      <c r="L565" s="438"/>
      <c r="M565" s="438"/>
      <c r="N565" s="438"/>
      <c r="O565" s="438"/>
      <c r="P565" s="438"/>
      <c r="Q565" s="438"/>
      <c r="R565" s="438"/>
      <c r="S565" s="438"/>
      <c r="T565" s="438"/>
      <c r="U565" s="438"/>
      <c r="V565" s="438"/>
      <c r="W565" s="438"/>
      <c r="X565" s="438"/>
      <c r="Y565" s="438"/>
      <c r="Z565" s="438"/>
    </row>
    <row r="566" ht="11.25" customHeight="1">
      <c r="A566" s="438"/>
      <c r="B566" s="438"/>
      <c r="C566" s="438"/>
      <c r="D566" s="438"/>
      <c r="E566" s="438"/>
      <c r="F566" s="438"/>
      <c r="G566" s="454"/>
      <c r="H566" s="454"/>
      <c r="I566" s="454"/>
      <c r="J566" s="438"/>
      <c r="K566" s="438"/>
      <c r="L566" s="438"/>
      <c r="M566" s="438"/>
      <c r="N566" s="438"/>
      <c r="O566" s="438"/>
      <c r="P566" s="438"/>
      <c r="Q566" s="438"/>
      <c r="R566" s="438"/>
      <c r="S566" s="438"/>
      <c r="T566" s="438"/>
      <c r="U566" s="438"/>
      <c r="V566" s="438"/>
      <c r="W566" s="438"/>
      <c r="X566" s="438"/>
      <c r="Y566" s="438"/>
      <c r="Z566" s="438"/>
    </row>
    <row r="567" ht="11.25" customHeight="1">
      <c r="A567" s="438"/>
      <c r="B567" s="438"/>
      <c r="C567" s="438"/>
      <c r="D567" s="438"/>
      <c r="E567" s="438"/>
      <c r="F567" s="438"/>
      <c r="G567" s="454"/>
      <c r="H567" s="454"/>
      <c r="I567" s="454"/>
      <c r="J567" s="438"/>
      <c r="K567" s="438"/>
      <c r="L567" s="438"/>
      <c r="M567" s="438"/>
      <c r="N567" s="438"/>
      <c r="O567" s="438"/>
      <c r="P567" s="438"/>
      <c r="Q567" s="438"/>
      <c r="R567" s="438"/>
      <c r="S567" s="438"/>
      <c r="T567" s="438"/>
      <c r="U567" s="438"/>
      <c r="V567" s="438"/>
      <c r="W567" s="438"/>
      <c r="X567" s="438"/>
      <c r="Y567" s="438"/>
      <c r="Z567" s="438"/>
    </row>
    <row r="568" ht="11.25" customHeight="1">
      <c r="A568" s="438"/>
      <c r="B568" s="438"/>
      <c r="C568" s="438"/>
      <c r="D568" s="438"/>
      <c r="E568" s="438"/>
      <c r="F568" s="438"/>
      <c r="G568" s="454"/>
      <c r="H568" s="454"/>
      <c r="I568" s="454"/>
      <c r="J568" s="438"/>
      <c r="K568" s="438"/>
      <c r="L568" s="438"/>
      <c r="M568" s="438"/>
      <c r="N568" s="438"/>
      <c r="O568" s="438"/>
      <c r="P568" s="438"/>
      <c r="Q568" s="438"/>
      <c r="R568" s="438"/>
      <c r="S568" s="438"/>
      <c r="T568" s="438"/>
      <c r="U568" s="438"/>
      <c r="V568" s="438"/>
      <c r="W568" s="438"/>
      <c r="X568" s="438"/>
      <c r="Y568" s="438"/>
      <c r="Z568" s="438"/>
    </row>
    <row r="569" ht="11.25" customHeight="1">
      <c r="A569" s="438"/>
      <c r="B569" s="438"/>
      <c r="C569" s="438"/>
      <c r="D569" s="438"/>
      <c r="E569" s="438"/>
      <c r="F569" s="438"/>
      <c r="G569" s="454"/>
      <c r="H569" s="454"/>
      <c r="I569" s="454"/>
      <c r="J569" s="438"/>
      <c r="K569" s="438"/>
      <c r="L569" s="438"/>
      <c r="M569" s="438"/>
      <c r="N569" s="438"/>
      <c r="O569" s="438"/>
      <c r="P569" s="438"/>
      <c r="Q569" s="438"/>
      <c r="R569" s="438"/>
      <c r="S569" s="438"/>
      <c r="T569" s="438"/>
      <c r="U569" s="438"/>
      <c r="V569" s="438"/>
      <c r="W569" s="438"/>
      <c r="X569" s="438"/>
      <c r="Y569" s="438"/>
      <c r="Z569" s="438"/>
    </row>
    <row r="570" ht="11.25" customHeight="1">
      <c r="A570" s="438"/>
      <c r="B570" s="438"/>
      <c r="C570" s="438"/>
      <c r="D570" s="438"/>
      <c r="E570" s="438"/>
      <c r="F570" s="438"/>
      <c r="G570" s="454"/>
      <c r="H570" s="454"/>
      <c r="I570" s="454"/>
      <c r="J570" s="438"/>
      <c r="K570" s="438"/>
      <c r="L570" s="438"/>
      <c r="M570" s="438"/>
      <c r="N570" s="438"/>
      <c r="O570" s="438"/>
      <c r="P570" s="438"/>
      <c r="Q570" s="438"/>
      <c r="R570" s="438"/>
      <c r="S570" s="438"/>
      <c r="T570" s="438"/>
      <c r="U570" s="438"/>
      <c r="V570" s="438"/>
      <c r="W570" s="438"/>
      <c r="X570" s="438"/>
      <c r="Y570" s="438"/>
      <c r="Z570" s="438"/>
    </row>
    <row r="571" ht="11.25" customHeight="1">
      <c r="A571" s="438"/>
      <c r="B571" s="438"/>
      <c r="C571" s="438"/>
      <c r="D571" s="438"/>
      <c r="E571" s="438"/>
      <c r="F571" s="438"/>
      <c r="G571" s="454"/>
      <c r="H571" s="454"/>
      <c r="I571" s="454"/>
      <c r="J571" s="438"/>
      <c r="K571" s="438"/>
      <c r="L571" s="438"/>
      <c r="M571" s="438"/>
      <c r="N571" s="438"/>
      <c r="O571" s="438"/>
      <c r="P571" s="438"/>
      <c r="Q571" s="438"/>
      <c r="R571" s="438"/>
      <c r="S571" s="438"/>
      <c r="T571" s="438"/>
      <c r="U571" s="438"/>
      <c r="V571" s="438"/>
      <c r="W571" s="438"/>
      <c r="X571" s="438"/>
      <c r="Y571" s="438"/>
      <c r="Z571" s="438"/>
    </row>
    <row r="572" ht="11.25" customHeight="1">
      <c r="A572" s="438"/>
      <c r="B572" s="438"/>
      <c r="C572" s="438"/>
      <c r="D572" s="438"/>
      <c r="E572" s="438"/>
      <c r="F572" s="438"/>
      <c r="G572" s="454"/>
      <c r="H572" s="454"/>
      <c r="I572" s="454"/>
      <c r="J572" s="438"/>
      <c r="K572" s="438"/>
      <c r="L572" s="438"/>
      <c r="M572" s="438"/>
      <c r="N572" s="438"/>
      <c r="O572" s="438"/>
      <c r="P572" s="438"/>
      <c r="Q572" s="438"/>
      <c r="R572" s="438"/>
      <c r="S572" s="438"/>
      <c r="T572" s="438"/>
      <c r="U572" s="438"/>
      <c r="V572" s="438"/>
      <c r="W572" s="438"/>
      <c r="X572" s="438"/>
      <c r="Y572" s="438"/>
      <c r="Z572" s="438"/>
    </row>
    <row r="573" ht="11.25" customHeight="1">
      <c r="A573" s="438"/>
      <c r="B573" s="438"/>
      <c r="C573" s="438"/>
      <c r="D573" s="438"/>
      <c r="E573" s="438"/>
      <c r="F573" s="438"/>
      <c r="G573" s="454"/>
      <c r="H573" s="454"/>
      <c r="I573" s="454"/>
      <c r="J573" s="438"/>
      <c r="K573" s="438"/>
      <c r="L573" s="438"/>
      <c r="M573" s="438"/>
      <c r="N573" s="438"/>
      <c r="O573" s="438"/>
      <c r="P573" s="438"/>
      <c r="Q573" s="438"/>
      <c r="R573" s="438"/>
      <c r="S573" s="438"/>
      <c r="T573" s="438"/>
      <c r="U573" s="438"/>
      <c r="V573" s="438"/>
      <c r="W573" s="438"/>
      <c r="X573" s="438"/>
      <c r="Y573" s="438"/>
      <c r="Z573" s="438"/>
    </row>
    <row r="574" ht="11.25" customHeight="1">
      <c r="A574" s="438"/>
      <c r="B574" s="438"/>
      <c r="C574" s="438"/>
      <c r="D574" s="438"/>
      <c r="E574" s="438"/>
      <c r="F574" s="438"/>
      <c r="G574" s="454"/>
      <c r="H574" s="454"/>
      <c r="I574" s="454"/>
      <c r="J574" s="438"/>
      <c r="K574" s="438"/>
      <c r="L574" s="438"/>
      <c r="M574" s="438"/>
      <c r="N574" s="438"/>
      <c r="O574" s="438"/>
      <c r="P574" s="438"/>
      <c r="Q574" s="438"/>
      <c r="R574" s="438"/>
      <c r="S574" s="438"/>
      <c r="T574" s="438"/>
      <c r="U574" s="438"/>
      <c r="V574" s="438"/>
      <c r="W574" s="438"/>
      <c r="X574" s="438"/>
      <c r="Y574" s="438"/>
      <c r="Z574" s="438"/>
    </row>
    <row r="575" ht="11.25" customHeight="1">
      <c r="A575" s="438"/>
      <c r="B575" s="438"/>
      <c r="C575" s="438"/>
      <c r="D575" s="438"/>
      <c r="E575" s="438"/>
      <c r="F575" s="438"/>
      <c r="G575" s="454"/>
      <c r="H575" s="454"/>
      <c r="I575" s="454"/>
      <c r="J575" s="438"/>
      <c r="K575" s="438"/>
      <c r="L575" s="438"/>
      <c r="M575" s="438"/>
      <c r="N575" s="438"/>
      <c r="O575" s="438"/>
      <c r="P575" s="438"/>
      <c r="Q575" s="438"/>
      <c r="R575" s="438"/>
      <c r="S575" s="438"/>
      <c r="T575" s="438"/>
      <c r="U575" s="438"/>
      <c r="V575" s="438"/>
      <c r="W575" s="438"/>
      <c r="X575" s="438"/>
      <c r="Y575" s="438"/>
      <c r="Z575" s="438"/>
    </row>
    <row r="576" ht="11.25" customHeight="1">
      <c r="A576" s="438"/>
      <c r="B576" s="438"/>
      <c r="C576" s="438"/>
      <c r="D576" s="438"/>
      <c r="E576" s="438"/>
      <c r="F576" s="438"/>
      <c r="G576" s="454"/>
      <c r="H576" s="454"/>
      <c r="I576" s="454"/>
      <c r="J576" s="438"/>
      <c r="K576" s="438"/>
      <c r="L576" s="438"/>
      <c r="M576" s="438"/>
      <c r="N576" s="438"/>
      <c r="O576" s="438"/>
      <c r="P576" s="438"/>
      <c r="Q576" s="438"/>
      <c r="R576" s="438"/>
      <c r="S576" s="438"/>
      <c r="T576" s="438"/>
      <c r="U576" s="438"/>
      <c r="V576" s="438"/>
      <c r="W576" s="438"/>
      <c r="X576" s="438"/>
      <c r="Y576" s="438"/>
      <c r="Z576" s="438"/>
    </row>
    <row r="577" ht="11.25" customHeight="1">
      <c r="A577" s="438"/>
      <c r="B577" s="438"/>
      <c r="C577" s="438"/>
      <c r="D577" s="438"/>
      <c r="E577" s="438"/>
      <c r="F577" s="438"/>
      <c r="G577" s="454"/>
      <c r="H577" s="454"/>
      <c r="I577" s="454"/>
      <c r="J577" s="438"/>
      <c r="K577" s="438"/>
      <c r="L577" s="438"/>
      <c r="M577" s="438"/>
      <c r="N577" s="438"/>
      <c r="O577" s="438"/>
      <c r="P577" s="438"/>
      <c r="Q577" s="438"/>
      <c r="R577" s="438"/>
      <c r="S577" s="438"/>
      <c r="T577" s="438"/>
      <c r="U577" s="438"/>
      <c r="V577" s="438"/>
      <c r="W577" s="438"/>
      <c r="X577" s="438"/>
      <c r="Y577" s="438"/>
      <c r="Z577" s="438"/>
    </row>
    <row r="578" ht="11.25" customHeight="1">
      <c r="A578" s="438"/>
      <c r="B578" s="438"/>
      <c r="C578" s="438"/>
      <c r="D578" s="438"/>
      <c r="E578" s="438"/>
      <c r="F578" s="438"/>
      <c r="G578" s="454"/>
      <c r="H578" s="454"/>
      <c r="I578" s="454"/>
      <c r="J578" s="438"/>
      <c r="K578" s="438"/>
      <c r="L578" s="438"/>
      <c r="M578" s="438"/>
      <c r="N578" s="438"/>
      <c r="O578" s="438"/>
      <c r="P578" s="438"/>
      <c r="Q578" s="438"/>
      <c r="R578" s="438"/>
      <c r="S578" s="438"/>
      <c r="T578" s="438"/>
      <c r="U578" s="438"/>
      <c r="V578" s="438"/>
      <c r="W578" s="438"/>
      <c r="X578" s="438"/>
      <c r="Y578" s="438"/>
      <c r="Z578" s="438"/>
    </row>
    <row r="579" ht="11.25" customHeight="1">
      <c r="A579" s="438"/>
      <c r="B579" s="438"/>
      <c r="C579" s="438"/>
      <c r="D579" s="438"/>
      <c r="E579" s="438"/>
      <c r="F579" s="438"/>
      <c r="G579" s="454"/>
      <c r="H579" s="454"/>
      <c r="I579" s="454"/>
      <c r="J579" s="438"/>
      <c r="K579" s="438"/>
      <c r="L579" s="438"/>
      <c r="M579" s="438"/>
      <c r="N579" s="438"/>
      <c r="O579" s="438"/>
      <c r="P579" s="438"/>
      <c r="Q579" s="438"/>
      <c r="R579" s="438"/>
      <c r="S579" s="438"/>
      <c r="T579" s="438"/>
      <c r="U579" s="438"/>
      <c r="V579" s="438"/>
      <c r="W579" s="438"/>
      <c r="X579" s="438"/>
      <c r="Y579" s="438"/>
      <c r="Z579" s="438"/>
    </row>
    <row r="580" ht="11.25" customHeight="1">
      <c r="A580" s="438"/>
      <c r="B580" s="438"/>
      <c r="C580" s="438"/>
      <c r="D580" s="438"/>
      <c r="E580" s="438"/>
      <c r="F580" s="438"/>
      <c r="G580" s="454"/>
      <c r="H580" s="454"/>
      <c r="I580" s="454"/>
      <c r="J580" s="438"/>
      <c r="K580" s="438"/>
      <c r="L580" s="438"/>
      <c r="M580" s="438"/>
      <c r="N580" s="438"/>
      <c r="O580" s="438"/>
      <c r="P580" s="438"/>
      <c r="Q580" s="438"/>
      <c r="R580" s="438"/>
      <c r="S580" s="438"/>
      <c r="T580" s="438"/>
      <c r="U580" s="438"/>
      <c r="V580" s="438"/>
      <c r="W580" s="438"/>
      <c r="X580" s="438"/>
      <c r="Y580" s="438"/>
      <c r="Z580" s="438"/>
    </row>
    <row r="581" ht="11.25" customHeight="1">
      <c r="A581" s="438"/>
      <c r="B581" s="438"/>
      <c r="C581" s="438"/>
      <c r="D581" s="438"/>
      <c r="E581" s="438"/>
      <c r="F581" s="438"/>
      <c r="G581" s="454"/>
      <c r="H581" s="454"/>
      <c r="I581" s="454"/>
      <c r="J581" s="438"/>
      <c r="K581" s="438"/>
      <c r="L581" s="438"/>
      <c r="M581" s="438"/>
      <c r="N581" s="438"/>
      <c r="O581" s="438"/>
      <c r="P581" s="438"/>
      <c r="Q581" s="438"/>
      <c r="R581" s="438"/>
      <c r="S581" s="438"/>
      <c r="T581" s="438"/>
      <c r="U581" s="438"/>
      <c r="V581" s="438"/>
      <c r="W581" s="438"/>
      <c r="X581" s="438"/>
      <c r="Y581" s="438"/>
      <c r="Z581" s="438"/>
    </row>
    <row r="582" ht="11.25" customHeight="1">
      <c r="A582" s="438"/>
      <c r="B582" s="438"/>
      <c r="C582" s="438"/>
      <c r="D582" s="438"/>
      <c r="E582" s="438"/>
      <c r="F582" s="438"/>
      <c r="G582" s="454"/>
      <c r="H582" s="454"/>
      <c r="I582" s="454"/>
      <c r="J582" s="438"/>
      <c r="K582" s="438"/>
      <c r="L582" s="438"/>
      <c r="M582" s="438"/>
      <c r="N582" s="438"/>
      <c r="O582" s="438"/>
      <c r="P582" s="438"/>
      <c r="Q582" s="438"/>
      <c r="R582" s="438"/>
      <c r="S582" s="438"/>
      <c r="T582" s="438"/>
      <c r="U582" s="438"/>
      <c r="V582" s="438"/>
      <c r="W582" s="438"/>
      <c r="X582" s="438"/>
      <c r="Y582" s="438"/>
      <c r="Z582" s="438"/>
    </row>
    <row r="583" ht="11.25" customHeight="1">
      <c r="A583" s="438"/>
      <c r="B583" s="438"/>
      <c r="C583" s="438"/>
      <c r="D583" s="438"/>
      <c r="E583" s="438"/>
      <c r="F583" s="438"/>
      <c r="G583" s="454"/>
      <c r="H583" s="454"/>
      <c r="I583" s="454"/>
      <c r="J583" s="438"/>
      <c r="K583" s="438"/>
      <c r="L583" s="438"/>
      <c r="M583" s="438"/>
      <c r="N583" s="438"/>
      <c r="O583" s="438"/>
      <c r="P583" s="438"/>
      <c r="Q583" s="438"/>
      <c r="R583" s="438"/>
      <c r="S583" s="438"/>
      <c r="T583" s="438"/>
      <c r="U583" s="438"/>
      <c r="V583" s="438"/>
      <c r="W583" s="438"/>
      <c r="X583" s="438"/>
      <c r="Y583" s="438"/>
      <c r="Z583" s="438"/>
    </row>
    <row r="584" ht="11.25" customHeight="1">
      <c r="A584" s="438"/>
      <c r="B584" s="438"/>
      <c r="C584" s="438"/>
      <c r="D584" s="438"/>
      <c r="E584" s="438"/>
      <c r="F584" s="438"/>
      <c r="G584" s="454"/>
      <c r="H584" s="454"/>
      <c r="I584" s="454"/>
      <c r="J584" s="438"/>
      <c r="K584" s="438"/>
      <c r="L584" s="438"/>
      <c r="M584" s="438"/>
      <c r="N584" s="438"/>
      <c r="O584" s="438"/>
      <c r="P584" s="438"/>
      <c r="Q584" s="438"/>
      <c r="R584" s="438"/>
      <c r="S584" s="438"/>
      <c r="T584" s="438"/>
      <c r="U584" s="438"/>
      <c r="V584" s="438"/>
      <c r="W584" s="438"/>
      <c r="X584" s="438"/>
      <c r="Y584" s="438"/>
      <c r="Z584" s="438"/>
    </row>
    <row r="585" ht="11.25" customHeight="1">
      <c r="A585" s="438"/>
      <c r="B585" s="438"/>
      <c r="C585" s="438"/>
      <c r="D585" s="438"/>
      <c r="E585" s="438"/>
      <c r="F585" s="438"/>
      <c r="G585" s="454"/>
      <c r="H585" s="454"/>
      <c r="I585" s="454"/>
      <c r="J585" s="438"/>
      <c r="K585" s="438"/>
      <c r="L585" s="438"/>
      <c r="M585" s="438"/>
      <c r="N585" s="438"/>
      <c r="O585" s="438"/>
      <c r="P585" s="438"/>
      <c r="Q585" s="438"/>
      <c r="R585" s="438"/>
      <c r="S585" s="438"/>
      <c r="T585" s="438"/>
      <c r="U585" s="438"/>
      <c r="V585" s="438"/>
      <c r="W585" s="438"/>
      <c r="X585" s="438"/>
      <c r="Y585" s="438"/>
      <c r="Z585" s="438"/>
    </row>
    <row r="586" ht="11.25" customHeight="1">
      <c r="A586" s="438"/>
      <c r="B586" s="438"/>
      <c r="C586" s="438"/>
      <c r="D586" s="438"/>
      <c r="E586" s="438"/>
      <c r="F586" s="438"/>
      <c r="G586" s="454"/>
      <c r="H586" s="454"/>
      <c r="I586" s="454"/>
      <c r="J586" s="438"/>
      <c r="K586" s="438"/>
      <c r="L586" s="438"/>
      <c r="M586" s="438"/>
      <c r="N586" s="438"/>
      <c r="O586" s="438"/>
      <c r="P586" s="438"/>
      <c r="Q586" s="438"/>
      <c r="R586" s="438"/>
      <c r="S586" s="438"/>
      <c r="T586" s="438"/>
      <c r="U586" s="438"/>
      <c r="V586" s="438"/>
      <c r="W586" s="438"/>
      <c r="X586" s="438"/>
      <c r="Y586" s="438"/>
      <c r="Z586" s="438"/>
    </row>
    <row r="587" ht="11.25" customHeight="1">
      <c r="A587" s="438"/>
      <c r="B587" s="438"/>
      <c r="C587" s="438"/>
      <c r="D587" s="438"/>
      <c r="E587" s="438"/>
      <c r="F587" s="438"/>
      <c r="G587" s="454"/>
      <c r="H587" s="454"/>
      <c r="I587" s="454"/>
      <c r="J587" s="438"/>
      <c r="K587" s="438"/>
      <c r="L587" s="438"/>
      <c r="M587" s="438"/>
      <c r="N587" s="438"/>
      <c r="O587" s="438"/>
      <c r="P587" s="438"/>
      <c r="Q587" s="438"/>
      <c r="R587" s="438"/>
      <c r="S587" s="438"/>
      <c r="T587" s="438"/>
      <c r="U587" s="438"/>
      <c r="V587" s="438"/>
      <c r="W587" s="438"/>
      <c r="X587" s="438"/>
      <c r="Y587" s="438"/>
      <c r="Z587" s="438"/>
    </row>
    <row r="588" ht="11.25" customHeight="1">
      <c r="A588" s="438"/>
      <c r="B588" s="438"/>
      <c r="C588" s="438"/>
      <c r="D588" s="438"/>
      <c r="E588" s="438"/>
      <c r="F588" s="438"/>
      <c r="G588" s="454"/>
      <c r="H588" s="454"/>
      <c r="I588" s="454"/>
      <c r="J588" s="438"/>
      <c r="K588" s="438"/>
      <c r="L588" s="438"/>
      <c r="M588" s="438"/>
      <c r="N588" s="438"/>
      <c r="O588" s="438"/>
      <c r="P588" s="438"/>
      <c r="Q588" s="438"/>
      <c r="R588" s="438"/>
      <c r="S588" s="438"/>
      <c r="T588" s="438"/>
      <c r="U588" s="438"/>
      <c r="V588" s="438"/>
      <c r="W588" s="438"/>
      <c r="X588" s="438"/>
      <c r="Y588" s="438"/>
      <c r="Z588" s="438"/>
    </row>
    <row r="589" ht="11.25" customHeight="1">
      <c r="A589" s="438"/>
      <c r="B589" s="438"/>
      <c r="C589" s="438"/>
      <c r="D589" s="438"/>
      <c r="E589" s="438"/>
      <c r="F589" s="438"/>
      <c r="G589" s="454"/>
      <c r="H589" s="454"/>
      <c r="I589" s="454"/>
      <c r="J589" s="438"/>
      <c r="K589" s="438"/>
      <c r="L589" s="438"/>
      <c r="M589" s="438"/>
      <c r="N589" s="438"/>
      <c r="O589" s="438"/>
      <c r="P589" s="438"/>
      <c r="Q589" s="438"/>
      <c r="R589" s="438"/>
      <c r="S589" s="438"/>
      <c r="T589" s="438"/>
      <c r="U589" s="438"/>
      <c r="V589" s="438"/>
      <c r="W589" s="438"/>
      <c r="X589" s="438"/>
      <c r="Y589" s="438"/>
      <c r="Z589" s="438"/>
    </row>
    <row r="590" ht="11.25" customHeight="1">
      <c r="A590" s="438"/>
      <c r="B590" s="438"/>
      <c r="C590" s="438"/>
      <c r="D590" s="438"/>
      <c r="E590" s="438"/>
      <c r="F590" s="438"/>
      <c r="G590" s="454"/>
      <c r="H590" s="454"/>
      <c r="I590" s="454"/>
      <c r="J590" s="438"/>
      <c r="K590" s="438"/>
      <c r="L590" s="438"/>
      <c r="M590" s="438"/>
      <c r="N590" s="438"/>
      <c r="O590" s="438"/>
      <c r="P590" s="438"/>
      <c r="Q590" s="438"/>
      <c r="R590" s="438"/>
      <c r="S590" s="438"/>
      <c r="T590" s="438"/>
      <c r="U590" s="438"/>
      <c r="V590" s="438"/>
      <c r="W590" s="438"/>
      <c r="X590" s="438"/>
      <c r="Y590" s="438"/>
      <c r="Z590" s="438"/>
    </row>
    <row r="591" ht="11.25" customHeight="1">
      <c r="A591" s="438"/>
      <c r="B591" s="438"/>
      <c r="C591" s="438"/>
      <c r="D591" s="438"/>
      <c r="E591" s="438"/>
      <c r="F591" s="438"/>
      <c r="G591" s="454"/>
      <c r="H591" s="454"/>
      <c r="I591" s="454"/>
      <c r="J591" s="438"/>
      <c r="K591" s="438"/>
      <c r="L591" s="438"/>
      <c r="M591" s="438"/>
      <c r="N591" s="438"/>
      <c r="O591" s="438"/>
      <c r="P591" s="438"/>
      <c r="Q591" s="438"/>
      <c r="R591" s="438"/>
      <c r="S591" s="438"/>
      <c r="T591" s="438"/>
      <c r="U591" s="438"/>
      <c r="V591" s="438"/>
      <c r="W591" s="438"/>
      <c r="X591" s="438"/>
      <c r="Y591" s="438"/>
      <c r="Z591" s="438"/>
    </row>
    <row r="592" ht="11.25" customHeight="1">
      <c r="A592" s="438"/>
      <c r="B592" s="438"/>
      <c r="C592" s="438"/>
      <c r="D592" s="438"/>
      <c r="E592" s="438"/>
      <c r="F592" s="438"/>
      <c r="G592" s="454"/>
      <c r="H592" s="454"/>
      <c r="I592" s="454"/>
      <c r="J592" s="438"/>
      <c r="K592" s="438"/>
      <c r="L592" s="438"/>
      <c r="M592" s="438"/>
      <c r="N592" s="438"/>
      <c r="O592" s="438"/>
      <c r="P592" s="438"/>
      <c r="Q592" s="438"/>
      <c r="R592" s="438"/>
      <c r="S592" s="438"/>
      <c r="T592" s="438"/>
      <c r="U592" s="438"/>
      <c r="V592" s="438"/>
      <c r="W592" s="438"/>
      <c r="X592" s="438"/>
      <c r="Y592" s="438"/>
      <c r="Z592" s="438"/>
    </row>
    <row r="593" ht="11.25" customHeight="1">
      <c r="A593" s="438"/>
      <c r="B593" s="438"/>
      <c r="C593" s="438"/>
      <c r="D593" s="438"/>
      <c r="E593" s="438"/>
      <c r="F593" s="438"/>
      <c r="G593" s="454"/>
      <c r="H593" s="454"/>
      <c r="I593" s="454"/>
      <c r="J593" s="438"/>
      <c r="K593" s="438"/>
      <c r="L593" s="438"/>
      <c r="M593" s="438"/>
      <c r="N593" s="438"/>
      <c r="O593" s="438"/>
      <c r="P593" s="438"/>
      <c r="Q593" s="438"/>
      <c r="R593" s="438"/>
      <c r="S593" s="438"/>
      <c r="T593" s="438"/>
      <c r="U593" s="438"/>
      <c r="V593" s="438"/>
      <c r="W593" s="438"/>
      <c r="X593" s="438"/>
      <c r="Y593" s="438"/>
      <c r="Z593" s="438"/>
    </row>
    <row r="594" ht="11.25" customHeight="1">
      <c r="A594" s="438"/>
      <c r="B594" s="438"/>
      <c r="C594" s="438"/>
      <c r="D594" s="438"/>
      <c r="E594" s="438"/>
      <c r="F594" s="438"/>
      <c r="G594" s="454"/>
      <c r="H594" s="454"/>
      <c r="I594" s="454"/>
      <c r="J594" s="438"/>
      <c r="K594" s="438"/>
      <c r="L594" s="438"/>
      <c r="M594" s="438"/>
      <c r="N594" s="438"/>
      <c r="O594" s="438"/>
      <c r="P594" s="438"/>
      <c r="Q594" s="438"/>
      <c r="R594" s="438"/>
      <c r="S594" s="438"/>
      <c r="T594" s="438"/>
      <c r="U594" s="438"/>
      <c r="V594" s="438"/>
      <c r="W594" s="438"/>
      <c r="X594" s="438"/>
      <c r="Y594" s="438"/>
      <c r="Z594" s="438"/>
    </row>
    <row r="595" ht="11.25" customHeight="1">
      <c r="A595" s="438"/>
      <c r="B595" s="438"/>
      <c r="C595" s="438"/>
      <c r="D595" s="438"/>
      <c r="E595" s="438"/>
      <c r="F595" s="438"/>
      <c r="G595" s="454"/>
      <c r="H595" s="454"/>
      <c r="I595" s="454"/>
      <c r="J595" s="438"/>
      <c r="K595" s="438"/>
      <c r="L595" s="438"/>
      <c r="M595" s="438"/>
      <c r="N595" s="438"/>
      <c r="O595" s="438"/>
      <c r="P595" s="438"/>
      <c r="Q595" s="438"/>
      <c r="R595" s="438"/>
      <c r="S595" s="438"/>
      <c r="T595" s="438"/>
      <c r="U595" s="438"/>
      <c r="V595" s="438"/>
      <c r="W595" s="438"/>
      <c r="X595" s="438"/>
      <c r="Y595" s="438"/>
      <c r="Z595" s="438"/>
    </row>
    <row r="596" ht="11.25" customHeight="1">
      <c r="A596" s="438"/>
      <c r="B596" s="438"/>
      <c r="C596" s="438"/>
      <c r="D596" s="438"/>
      <c r="E596" s="438"/>
      <c r="F596" s="438"/>
      <c r="G596" s="454"/>
      <c r="H596" s="454"/>
      <c r="I596" s="454"/>
      <c r="J596" s="438"/>
      <c r="K596" s="438"/>
      <c r="L596" s="438"/>
      <c r="M596" s="438"/>
      <c r="N596" s="438"/>
      <c r="O596" s="438"/>
      <c r="P596" s="438"/>
      <c r="Q596" s="438"/>
      <c r="R596" s="438"/>
      <c r="S596" s="438"/>
      <c r="T596" s="438"/>
      <c r="U596" s="438"/>
      <c r="V596" s="438"/>
      <c r="W596" s="438"/>
      <c r="X596" s="438"/>
      <c r="Y596" s="438"/>
      <c r="Z596" s="438"/>
    </row>
    <row r="597" ht="11.25" customHeight="1">
      <c r="A597" s="438"/>
      <c r="B597" s="438"/>
      <c r="C597" s="438"/>
      <c r="D597" s="438"/>
      <c r="E597" s="438"/>
      <c r="F597" s="438"/>
      <c r="G597" s="454"/>
      <c r="H597" s="454"/>
      <c r="I597" s="454"/>
      <c r="J597" s="438"/>
      <c r="K597" s="438"/>
      <c r="L597" s="438"/>
      <c r="M597" s="438"/>
      <c r="N597" s="438"/>
      <c r="O597" s="438"/>
      <c r="P597" s="438"/>
      <c r="Q597" s="438"/>
      <c r="R597" s="438"/>
      <c r="S597" s="438"/>
      <c r="T597" s="438"/>
      <c r="U597" s="438"/>
      <c r="V597" s="438"/>
      <c r="W597" s="438"/>
      <c r="X597" s="438"/>
      <c r="Y597" s="438"/>
      <c r="Z597" s="438"/>
    </row>
    <row r="598" ht="11.25" customHeight="1">
      <c r="A598" s="438"/>
      <c r="B598" s="438"/>
      <c r="C598" s="438"/>
      <c r="D598" s="438"/>
      <c r="E598" s="438"/>
      <c r="F598" s="438"/>
      <c r="G598" s="454"/>
      <c r="H598" s="454"/>
      <c r="I598" s="454"/>
      <c r="J598" s="438"/>
      <c r="K598" s="438"/>
      <c r="L598" s="438"/>
      <c r="M598" s="438"/>
      <c r="N598" s="438"/>
      <c r="O598" s="438"/>
      <c r="P598" s="438"/>
      <c r="Q598" s="438"/>
      <c r="R598" s="438"/>
      <c r="S598" s="438"/>
      <c r="T598" s="438"/>
      <c r="U598" s="438"/>
      <c r="V598" s="438"/>
      <c r="W598" s="438"/>
      <c r="X598" s="438"/>
      <c r="Y598" s="438"/>
      <c r="Z598" s="438"/>
    </row>
    <row r="599" ht="11.25" customHeight="1">
      <c r="A599" s="438"/>
      <c r="B599" s="438"/>
      <c r="C599" s="438"/>
      <c r="D599" s="438"/>
      <c r="E599" s="438"/>
      <c r="F599" s="438"/>
      <c r="G599" s="454"/>
      <c r="H599" s="454"/>
      <c r="I599" s="454"/>
      <c r="J599" s="438"/>
      <c r="K599" s="438"/>
      <c r="L599" s="438"/>
      <c r="M599" s="438"/>
      <c r="N599" s="438"/>
      <c r="O599" s="438"/>
      <c r="P599" s="438"/>
      <c r="Q599" s="438"/>
      <c r="R599" s="438"/>
      <c r="S599" s="438"/>
      <c r="T599" s="438"/>
      <c r="U599" s="438"/>
      <c r="V599" s="438"/>
      <c r="W599" s="438"/>
      <c r="X599" s="438"/>
      <c r="Y599" s="438"/>
      <c r="Z599" s="438"/>
    </row>
    <row r="600" ht="11.25" customHeight="1">
      <c r="A600" s="438"/>
      <c r="B600" s="438"/>
      <c r="C600" s="438"/>
      <c r="D600" s="438"/>
      <c r="E600" s="438"/>
      <c r="F600" s="438"/>
      <c r="G600" s="454"/>
      <c r="H600" s="454"/>
      <c r="I600" s="454"/>
      <c r="J600" s="438"/>
      <c r="K600" s="438"/>
      <c r="L600" s="438"/>
      <c r="M600" s="438"/>
      <c r="N600" s="438"/>
      <c r="O600" s="438"/>
      <c r="P600" s="438"/>
      <c r="Q600" s="438"/>
      <c r="R600" s="438"/>
      <c r="S600" s="438"/>
      <c r="T600" s="438"/>
      <c r="U600" s="438"/>
      <c r="V600" s="438"/>
      <c r="W600" s="438"/>
      <c r="X600" s="438"/>
      <c r="Y600" s="438"/>
      <c r="Z600" s="438"/>
    </row>
    <row r="601" ht="11.25" customHeight="1">
      <c r="A601" s="438"/>
      <c r="B601" s="438"/>
      <c r="C601" s="438"/>
      <c r="D601" s="438"/>
      <c r="E601" s="438"/>
      <c r="F601" s="438"/>
      <c r="G601" s="454"/>
      <c r="H601" s="454"/>
      <c r="I601" s="454"/>
      <c r="J601" s="438"/>
      <c r="K601" s="438"/>
      <c r="L601" s="438"/>
      <c r="M601" s="438"/>
      <c r="N601" s="438"/>
      <c r="O601" s="438"/>
      <c r="P601" s="438"/>
      <c r="Q601" s="438"/>
      <c r="R601" s="438"/>
      <c r="S601" s="438"/>
      <c r="T601" s="438"/>
      <c r="U601" s="438"/>
      <c r="V601" s="438"/>
      <c r="W601" s="438"/>
      <c r="X601" s="438"/>
      <c r="Y601" s="438"/>
      <c r="Z601" s="438"/>
    </row>
    <row r="602" ht="11.25" customHeight="1">
      <c r="A602" s="438"/>
      <c r="B602" s="438"/>
      <c r="C602" s="438"/>
      <c r="D602" s="438"/>
      <c r="E602" s="438"/>
      <c r="F602" s="438"/>
      <c r="G602" s="454"/>
      <c r="H602" s="454"/>
      <c r="I602" s="454"/>
      <c r="J602" s="438"/>
      <c r="K602" s="438"/>
      <c r="L602" s="438"/>
      <c r="M602" s="438"/>
      <c r="N602" s="438"/>
      <c r="O602" s="438"/>
      <c r="P602" s="438"/>
      <c r="Q602" s="438"/>
      <c r="R602" s="438"/>
      <c r="S602" s="438"/>
      <c r="T602" s="438"/>
      <c r="U602" s="438"/>
      <c r="V602" s="438"/>
      <c r="W602" s="438"/>
      <c r="X602" s="438"/>
      <c r="Y602" s="438"/>
      <c r="Z602" s="438"/>
    </row>
    <row r="603" ht="11.25" customHeight="1">
      <c r="A603" s="438"/>
      <c r="B603" s="438"/>
      <c r="C603" s="438"/>
      <c r="D603" s="438"/>
      <c r="E603" s="438"/>
      <c r="F603" s="438"/>
      <c r="G603" s="454"/>
      <c r="H603" s="454"/>
      <c r="I603" s="454"/>
      <c r="J603" s="438"/>
      <c r="K603" s="438"/>
      <c r="L603" s="438"/>
      <c r="M603" s="438"/>
      <c r="N603" s="438"/>
      <c r="O603" s="438"/>
      <c r="P603" s="438"/>
      <c r="Q603" s="438"/>
      <c r="R603" s="438"/>
      <c r="S603" s="438"/>
      <c r="T603" s="438"/>
      <c r="U603" s="438"/>
      <c r="V603" s="438"/>
      <c r="W603" s="438"/>
      <c r="X603" s="438"/>
      <c r="Y603" s="438"/>
      <c r="Z603" s="438"/>
    </row>
    <row r="604" ht="11.25" customHeight="1">
      <c r="A604" s="438"/>
      <c r="B604" s="438"/>
      <c r="C604" s="438"/>
      <c r="D604" s="438"/>
      <c r="E604" s="438"/>
      <c r="F604" s="438"/>
      <c r="G604" s="454"/>
      <c r="H604" s="454"/>
      <c r="I604" s="454"/>
      <c r="J604" s="438"/>
      <c r="K604" s="438"/>
      <c r="L604" s="438"/>
      <c r="M604" s="438"/>
      <c r="N604" s="438"/>
      <c r="O604" s="438"/>
      <c r="P604" s="438"/>
      <c r="Q604" s="438"/>
      <c r="R604" s="438"/>
      <c r="S604" s="438"/>
      <c r="T604" s="438"/>
      <c r="U604" s="438"/>
      <c r="V604" s="438"/>
      <c r="W604" s="438"/>
      <c r="X604" s="438"/>
      <c r="Y604" s="438"/>
      <c r="Z604" s="438"/>
    </row>
    <row r="605" ht="11.25" customHeight="1">
      <c r="A605" s="438"/>
      <c r="B605" s="438"/>
      <c r="C605" s="438"/>
      <c r="D605" s="438"/>
      <c r="E605" s="438"/>
      <c r="F605" s="438"/>
      <c r="G605" s="454"/>
      <c r="H605" s="454"/>
      <c r="I605" s="454"/>
      <c r="J605" s="438"/>
      <c r="K605" s="438"/>
      <c r="L605" s="438"/>
      <c r="M605" s="438"/>
      <c r="N605" s="438"/>
      <c r="O605" s="438"/>
      <c r="P605" s="438"/>
      <c r="Q605" s="438"/>
      <c r="R605" s="438"/>
      <c r="S605" s="438"/>
      <c r="T605" s="438"/>
      <c r="U605" s="438"/>
      <c r="V605" s="438"/>
      <c r="W605" s="438"/>
      <c r="X605" s="438"/>
      <c r="Y605" s="438"/>
      <c r="Z605" s="438"/>
    </row>
    <row r="606" ht="11.25" customHeight="1">
      <c r="A606" s="438"/>
      <c r="B606" s="438"/>
      <c r="C606" s="438"/>
      <c r="D606" s="438"/>
      <c r="E606" s="438"/>
      <c r="F606" s="438"/>
      <c r="G606" s="454"/>
      <c r="H606" s="454"/>
      <c r="I606" s="454"/>
      <c r="J606" s="438"/>
      <c r="K606" s="438"/>
      <c r="L606" s="438"/>
      <c r="M606" s="438"/>
      <c r="N606" s="438"/>
      <c r="O606" s="438"/>
      <c r="P606" s="438"/>
      <c r="Q606" s="438"/>
      <c r="R606" s="438"/>
      <c r="S606" s="438"/>
      <c r="T606" s="438"/>
      <c r="U606" s="438"/>
      <c r="V606" s="438"/>
      <c r="W606" s="438"/>
      <c r="X606" s="438"/>
      <c r="Y606" s="438"/>
      <c r="Z606" s="438"/>
    </row>
    <row r="607" ht="11.25" customHeight="1">
      <c r="A607" s="438"/>
      <c r="B607" s="438"/>
      <c r="C607" s="438"/>
      <c r="D607" s="438"/>
      <c r="E607" s="438"/>
      <c r="F607" s="438"/>
      <c r="G607" s="454"/>
      <c r="H607" s="454"/>
      <c r="I607" s="454"/>
      <c r="J607" s="438"/>
      <c r="K607" s="438"/>
      <c r="L607" s="438"/>
      <c r="M607" s="438"/>
      <c r="N607" s="438"/>
      <c r="O607" s="438"/>
      <c r="P607" s="438"/>
      <c r="Q607" s="438"/>
      <c r="R607" s="438"/>
      <c r="S607" s="438"/>
      <c r="T607" s="438"/>
      <c r="U607" s="438"/>
      <c r="V607" s="438"/>
      <c r="W607" s="438"/>
      <c r="X607" s="438"/>
      <c r="Y607" s="438"/>
      <c r="Z607" s="438"/>
    </row>
    <row r="608" ht="11.25" customHeight="1">
      <c r="A608" s="438"/>
      <c r="B608" s="438"/>
      <c r="C608" s="438"/>
      <c r="D608" s="438"/>
      <c r="E608" s="438"/>
      <c r="F608" s="438"/>
      <c r="G608" s="454"/>
      <c r="H608" s="454"/>
      <c r="I608" s="454"/>
      <c r="J608" s="438"/>
      <c r="K608" s="438"/>
      <c r="L608" s="438"/>
      <c r="M608" s="438"/>
      <c r="N608" s="438"/>
      <c r="O608" s="438"/>
      <c r="P608" s="438"/>
      <c r="Q608" s="438"/>
      <c r="R608" s="438"/>
      <c r="S608" s="438"/>
      <c r="T608" s="438"/>
      <c r="U608" s="438"/>
      <c r="V608" s="438"/>
      <c r="W608" s="438"/>
      <c r="X608" s="438"/>
      <c r="Y608" s="438"/>
      <c r="Z608" s="438"/>
    </row>
    <row r="609" ht="11.25" customHeight="1">
      <c r="A609" s="438"/>
      <c r="B609" s="438"/>
      <c r="C609" s="438"/>
      <c r="D609" s="438"/>
      <c r="E609" s="438"/>
      <c r="F609" s="438"/>
      <c r="G609" s="454"/>
      <c r="H609" s="454"/>
      <c r="I609" s="454"/>
      <c r="J609" s="438"/>
      <c r="K609" s="438"/>
      <c r="L609" s="438"/>
      <c r="M609" s="438"/>
      <c r="N609" s="438"/>
      <c r="O609" s="438"/>
      <c r="P609" s="438"/>
      <c r="Q609" s="438"/>
      <c r="R609" s="438"/>
      <c r="S609" s="438"/>
      <c r="T609" s="438"/>
      <c r="U609" s="438"/>
      <c r="V609" s="438"/>
      <c r="W609" s="438"/>
      <c r="X609" s="438"/>
      <c r="Y609" s="438"/>
      <c r="Z609" s="438"/>
    </row>
    <row r="610" ht="11.25" customHeight="1">
      <c r="A610" s="438"/>
      <c r="B610" s="438"/>
      <c r="C610" s="438"/>
      <c r="D610" s="438"/>
      <c r="E610" s="438"/>
      <c r="F610" s="438"/>
      <c r="G610" s="454"/>
      <c r="H610" s="454"/>
      <c r="I610" s="454"/>
      <c r="J610" s="438"/>
      <c r="K610" s="438"/>
      <c r="L610" s="438"/>
      <c r="M610" s="438"/>
      <c r="N610" s="438"/>
      <c r="O610" s="438"/>
      <c r="P610" s="438"/>
      <c r="Q610" s="438"/>
      <c r="R610" s="438"/>
      <c r="S610" s="438"/>
      <c r="T610" s="438"/>
      <c r="U610" s="438"/>
      <c r="V610" s="438"/>
      <c r="W610" s="438"/>
      <c r="X610" s="438"/>
      <c r="Y610" s="438"/>
      <c r="Z610" s="438"/>
    </row>
    <row r="611" ht="11.25" customHeight="1">
      <c r="A611" s="438"/>
      <c r="B611" s="438"/>
      <c r="C611" s="438"/>
      <c r="D611" s="438"/>
      <c r="E611" s="438"/>
      <c r="F611" s="438"/>
      <c r="G611" s="454"/>
      <c r="H611" s="454"/>
      <c r="I611" s="454"/>
      <c r="J611" s="438"/>
      <c r="K611" s="438"/>
      <c r="L611" s="438"/>
      <c r="M611" s="438"/>
      <c r="N611" s="438"/>
      <c r="O611" s="438"/>
      <c r="P611" s="438"/>
      <c r="Q611" s="438"/>
      <c r="R611" s="438"/>
      <c r="S611" s="438"/>
      <c r="T611" s="438"/>
      <c r="U611" s="438"/>
      <c r="V611" s="438"/>
      <c r="W611" s="438"/>
      <c r="X611" s="438"/>
      <c r="Y611" s="438"/>
      <c r="Z611" s="438"/>
    </row>
    <row r="612" ht="11.25" customHeight="1">
      <c r="A612" s="438"/>
      <c r="B612" s="438"/>
      <c r="C612" s="438"/>
      <c r="D612" s="438"/>
      <c r="E612" s="438"/>
      <c r="F612" s="438"/>
      <c r="G612" s="454"/>
      <c r="H612" s="454"/>
      <c r="I612" s="454"/>
      <c r="J612" s="438"/>
      <c r="K612" s="438"/>
      <c r="L612" s="438"/>
      <c r="M612" s="438"/>
      <c r="N612" s="438"/>
      <c r="O612" s="438"/>
      <c r="P612" s="438"/>
      <c r="Q612" s="438"/>
      <c r="R612" s="438"/>
      <c r="S612" s="438"/>
      <c r="T612" s="438"/>
      <c r="U612" s="438"/>
      <c r="V612" s="438"/>
      <c r="W612" s="438"/>
      <c r="X612" s="438"/>
      <c r="Y612" s="438"/>
      <c r="Z612" s="438"/>
    </row>
    <row r="613" ht="11.25" customHeight="1">
      <c r="A613" s="438"/>
      <c r="B613" s="438"/>
      <c r="C613" s="438"/>
      <c r="D613" s="438"/>
      <c r="E613" s="438"/>
      <c r="F613" s="438"/>
      <c r="G613" s="454"/>
      <c r="H613" s="454"/>
      <c r="I613" s="454"/>
      <c r="J613" s="438"/>
      <c r="K613" s="438"/>
      <c r="L613" s="438"/>
      <c r="M613" s="438"/>
      <c r="N613" s="438"/>
      <c r="O613" s="438"/>
      <c r="P613" s="438"/>
      <c r="Q613" s="438"/>
      <c r="R613" s="438"/>
      <c r="S613" s="438"/>
      <c r="T613" s="438"/>
      <c r="U613" s="438"/>
      <c r="V613" s="438"/>
      <c r="W613" s="438"/>
      <c r="X613" s="438"/>
      <c r="Y613" s="438"/>
      <c r="Z613" s="438"/>
    </row>
    <row r="614" ht="11.25" customHeight="1">
      <c r="A614" s="438"/>
      <c r="B614" s="438"/>
      <c r="C614" s="438"/>
      <c r="D614" s="438"/>
      <c r="E614" s="438"/>
      <c r="F614" s="438"/>
      <c r="G614" s="454"/>
      <c r="H614" s="454"/>
      <c r="I614" s="454"/>
      <c r="J614" s="438"/>
      <c r="K614" s="438"/>
      <c r="L614" s="438"/>
      <c r="M614" s="438"/>
      <c r="N614" s="438"/>
      <c r="O614" s="438"/>
      <c r="P614" s="438"/>
      <c r="Q614" s="438"/>
      <c r="R614" s="438"/>
      <c r="S614" s="438"/>
      <c r="T614" s="438"/>
      <c r="U614" s="438"/>
      <c r="V614" s="438"/>
      <c r="W614" s="438"/>
      <c r="X614" s="438"/>
      <c r="Y614" s="438"/>
      <c r="Z614" s="438"/>
    </row>
    <row r="615" ht="11.25" customHeight="1">
      <c r="A615" s="438"/>
      <c r="B615" s="438"/>
      <c r="C615" s="438"/>
      <c r="D615" s="438"/>
      <c r="E615" s="438"/>
      <c r="F615" s="438"/>
      <c r="G615" s="454"/>
      <c r="H615" s="454"/>
      <c r="I615" s="454"/>
      <c r="J615" s="438"/>
      <c r="K615" s="438"/>
      <c r="L615" s="438"/>
      <c r="M615" s="438"/>
      <c r="N615" s="438"/>
      <c r="O615" s="438"/>
      <c r="P615" s="438"/>
      <c r="Q615" s="438"/>
      <c r="R615" s="438"/>
      <c r="S615" s="438"/>
      <c r="T615" s="438"/>
      <c r="U615" s="438"/>
      <c r="V615" s="438"/>
      <c r="W615" s="438"/>
      <c r="X615" s="438"/>
      <c r="Y615" s="438"/>
      <c r="Z615" s="438"/>
    </row>
    <row r="616" ht="11.25" customHeight="1">
      <c r="A616" s="438"/>
      <c r="B616" s="438"/>
      <c r="C616" s="438"/>
      <c r="D616" s="438"/>
      <c r="E616" s="438"/>
      <c r="F616" s="438"/>
      <c r="G616" s="454"/>
      <c r="H616" s="454"/>
      <c r="I616" s="454"/>
      <c r="J616" s="438"/>
      <c r="K616" s="438"/>
      <c r="L616" s="438"/>
      <c r="M616" s="438"/>
      <c r="N616" s="438"/>
      <c r="O616" s="438"/>
      <c r="P616" s="438"/>
      <c r="Q616" s="438"/>
      <c r="R616" s="438"/>
      <c r="S616" s="438"/>
      <c r="T616" s="438"/>
      <c r="U616" s="438"/>
      <c r="V616" s="438"/>
      <c r="W616" s="438"/>
      <c r="X616" s="438"/>
      <c r="Y616" s="438"/>
      <c r="Z616" s="438"/>
    </row>
    <row r="617" ht="11.25" customHeight="1">
      <c r="A617" s="438"/>
      <c r="B617" s="438"/>
      <c r="C617" s="438"/>
      <c r="D617" s="438"/>
      <c r="E617" s="438"/>
      <c r="F617" s="438"/>
      <c r="G617" s="454"/>
      <c r="H617" s="454"/>
      <c r="I617" s="454"/>
      <c r="J617" s="438"/>
      <c r="K617" s="438"/>
      <c r="L617" s="438"/>
      <c r="M617" s="438"/>
      <c r="N617" s="438"/>
      <c r="O617" s="438"/>
      <c r="P617" s="438"/>
      <c r="Q617" s="438"/>
      <c r="R617" s="438"/>
      <c r="S617" s="438"/>
      <c r="T617" s="438"/>
      <c r="U617" s="438"/>
      <c r="V617" s="438"/>
      <c r="W617" s="438"/>
      <c r="X617" s="438"/>
      <c r="Y617" s="438"/>
      <c r="Z617" s="438"/>
    </row>
    <row r="618" ht="11.25" customHeight="1">
      <c r="A618" s="438"/>
      <c r="B618" s="438"/>
      <c r="C618" s="438"/>
      <c r="D618" s="438"/>
      <c r="E618" s="438"/>
      <c r="F618" s="438"/>
      <c r="G618" s="454"/>
      <c r="H618" s="454"/>
      <c r="I618" s="454"/>
      <c r="J618" s="438"/>
      <c r="K618" s="438"/>
      <c r="L618" s="438"/>
      <c r="M618" s="438"/>
      <c r="N618" s="438"/>
      <c r="O618" s="438"/>
      <c r="P618" s="438"/>
      <c r="Q618" s="438"/>
      <c r="R618" s="438"/>
      <c r="S618" s="438"/>
      <c r="T618" s="438"/>
      <c r="U618" s="438"/>
      <c r="V618" s="438"/>
      <c r="W618" s="438"/>
      <c r="X618" s="438"/>
      <c r="Y618" s="438"/>
      <c r="Z618" s="438"/>
    </row>
    <row r="619" ht="11.25" customHeight="1">
      <c r="A619" s="438"/>
      <c r="B619" s="438"/>
      <c r="C619" s="438"/>
      <c r="D619" s="438"/>
      <c r="E619" s="438"/>
      <c r="F619" s="438"/>
      <c r="G619" s="454"/>
      <c r="H619" s="454"/>
      <c r="I619" s="454"/>
      <c r="J619" s="438"/>
      <c r="K619" s="438"/>
      <c r="L619" s="438"/>
      <c r="M619" s="438"/>
      <c r="N619" s="438"/>
      <c r="O619" s="438"/>
      <c r="P619" s="438"/>
      <c r="Q619" s="438"/>
      <c r="R619" s="438"/>
      <c r="S619" s="438"/>
      <c r="T619" s="438"/>
      <c r="U619" s="438"/>
      <c r="V619" s="438"/>
      <c r="W619" s="438"/>
      <c r="X619" s="438"/>
      <c r="Y619" s="438"/>
      <c r="Z619" s="438"/>
    </row>
    <row r="620" ht="11.25" customHeight="1">
      <c r="A620" s="438"/>
      <c r="B620" s="438"/>
      <c r="C620" s="438"/>
      <c r="D620" s="438"/>
      <c r="E620" s="438"/>
      <c r="F620" s="438"/>
      <c r="G620" s="454"/>
      <c r="H620" s="454"/>
      <c r="I620" s="454"/>
      <c r="J620" s="438"/>
      <c r="K620" s="438"/>
      <c r="L620" s="438"/>
      <c r="M620" s="438"/>
      <c r="N620" s="438"/>
      <c r="O620" s="438"/>
      <c r="P620" s="438"/>
      <c r="Q620" s="438"/>
      <c r="R620" s="438"/>
      <c r="S620" s="438"/>
      <c r="T620" s="438"/>
      <c r="U620" s="438"/>
      <c r="V620" s="438"/>
      <c r="W620" s="438"/>
      <c r="X620" s="438"/>
      <c r="Y620" s="438"/>
      <c r="Z620" s="438"/>
    </row>
    <row r="621" ht="11.25" customHeight="1">
      <c r="A621" s="438"/>
      <c r="B621" s="438"/>
      <c r="C621" s="438"/>
      <c r="D621" s="438"/>
      <c r="E621" s="438"/>
      <c r="F621" s="438"/>
      <c r="G621" s="454"/>
      <c r="H621" s="454"/>
      <c r="I621" s="454"/>
      <c r="J621" s="438"/>
      <c r="K621" s="438"/>
      <c r="L621" s="438"/>
      <c r="M621" s="438"/>
      <c r="N621" s="438"/>
      <c r="O621" s="438"/>
      <c r="P621" s="438"/>
      <c r="Q621" s="438"/>
      <c r="R621" s="438"/>
      <c r="S621" s="438"/>
      <c r="T621" s="438"/>
      <c r="U621" s="438"/>
      <c r="V621" s="438"/>
      <c r="W621" s="438"/>
      <c r="X621" s="438"/>
      <c r="Y621" s="438"/>
      <c r="Z621" s="438"/>
    </row>
    <row r="622" ht="11.25" customHeight="1">
      <c r="A622" s="438"/>
      <c r="B622" s="438"/>
      <c r="C622" s="438"/>
      <c r="D622" s="438"/>
      <c r="E622" s="438"/>
      <c r="F622" s="438"/>
      <c r="G622" s="454"/>
      <c r="H622" s="454"/>
      <c r="I622" s="454"/>
      <c r="J622" s="438"/>
      <c r="K622" s="438"/>
      <c r="L622" s="438"/>
      <c r="M622" s="438"/>
      <c r="N622" s="438"/>
      <c r="O622" s="438"/>
      <c r="P622" s="438"/>
      <c r="Q622" s="438"/>
      <c r="R622" s="438"/>
      <c r="S622" s="438"/>
      <c r="T622" s="438"/>
      <c r="U622" s="438"/>
      <c r="V622" s="438"/>
      <c r="W622" s="438"/>
      <c r="X622" s="438"/>
      <c r="Y622" s="438"/>
      <c r="Z622" s="438"/>
    </row>
    <row r="623" ht="11.25" customHeight="1">
      <c r="A623" s="438"/>
      <c r="B623" s="438"/>
      <c r="C623" s="438"/>
      <c r="D623" s="438"/>
      <c r="E623" s="438"/>
      <c r="F623" s="438"/>
      <c r="G623" s="454"/>
      <c r="H623" s="454"/>
      <c r="I623" s="454"/>
      <c r="J623" s="438"/>
      <c r="K623" s="438"/>
      <c r="L623" s="438"/>
      <c r="M623" s="438"/>
      <c r="N623" s="438"/>
      <c r="O623" s="438"/>
      <c r="P623" s="438"/>
      <c r="Q623" s="438"/>
      <c r="R623" s="438"/>
      <c r="S623" s="438"/>
      <c r="T623" s="438"/>
      <c r="U623" s="438"/>
      <c r="V623" s="438"/>
      <c r="W623" s="438"/>
      <c r="X623" s="438"/>
      <c r="Y623" s="438"/>
      <c r="Z623" s="438"/>
    </row>
    <row r="624" ht="11.25" customHeight="1">
      <c r="A624" s="438"/>
      <c r="B624" s="438"/>
      <c r="C624" s="438"/>
      <c r="D624" s="438"/>
      <c r="E624" s="438"/>
      <c r="F624" s="438"/>
      <c r="G624" s="454"/>
      <c r="H624" s="454"/>
      <c r="I624" s="454"/>
      <c r="J624" s="438"/>
      <c r="K624" s="438"/>
      <c r="L624" s="438"/>
      <c r="M624" s="438"/>
      <c r="N624" s="438"/>
      <c r="O624" s="438"/>
      <c r="P624" s="438"/>
      <c r="Q624" s="438"/>
      <c r="R624" s="438"/>
      <c r="S624" s="438"/>
      <c r="T624" s="438"/>
      <c r="U624" s="438"/>
      <c r="V624" s="438"/>
      <c r="W624" s="438"/>
      <c r="X624" s="438"/>
      <c r="Y624" s="438"/>
      <c r="Z624" s="438"/>
    </row>
    <row r="625" ht="11.25" customHeight="1">
      <c r="A625" s="438"/>
      <c r="B625" s="438"/>
      <c r="C625" s="438"/>
      <c r="D625" s="438"/>
      <c r="E625" s="438"/>
      <c r="F625" s="438"/>
      <c r="G625" s="454"/>
      <c r="H625" s="454"/>
      <c r="I625" s="454"/>
      <c r="J625" s="438"/>
      <c r="K625" s="438"/>
      <c r="L625" s="438"/>
      <c r="M625" s="438"/>
      <c r="N625" s="438"/>
      <c r="O625" s="438"/>
      <c r="P625" s="438"/>
      <c r="Q625" s="438"/>
      <c r="R625" s="438"/>
      <c r="S625" s="438"/>
      <c r="T625" s="438"/>
      <c r="U625" s="438"/>
      <c r="V625" s="438"/>
      <c r="W625" s="438"/>
      <c r="X625" s="438"/>
      <c r="Y625" s="438"/>
      <c r="Z625" s="438"/>
    </row>
    <row r="626" ht="11.25" customHeight="1">
      <c r="A626" s="438"/>
      <c r="B626" s="438"/>
      <c r="C626" s="438"/>
      <c r="D626" s="438"/>
      <c r="E626" s="438"/>
      <c r="F626" s="438"/>
      <c r="G626" s="454"/>
      <c r="H626" s="454"/>
      <c r="I626" s="454"/>
      <c r="J626" s="438"/>
      <c r="K626" s="438"/>
      <c r="L626" s="438"/>
      <c r="M626" s="438"/>
      <c r="N626" s="438"/>
      <c r="O626" s="438"/>
      <c r="P626" s="438"/>
      <c r="Q626" s="438"/>
      <c r="R626" s="438"/>
      <c r="S626" s="438"/>
      <c r="T626" s="438"/>
      <c r="U626" s="438"/>
      <c r="V626" s="438"/>
      <c r="W626" s="438"/>
      <c r="X626" s="438"/>
      <c r="Y626" s="438"/>
      <c r="Z626" s="438"/>
    </row>
    <row r="627" ht="11.25" customHeight="1">
      <c r="A627" s="438"/>
      <c r="B627" s="438"/>
      <c r="C627" s="438"/>
      <c r="D627" s="438"/>
      <c r="E627" s="438"/>
      <c r="F627" s="438"/>
      <c r="G627" s="454"/>
      <c r="H627" s="454"/>
      <c r="I627" s="454"/>
      <c r="J627" s="438"/>
      <c r="K627" s="438"/>
      <c r="L627" s="438"/>
      <c r="M627" s="438"/>
      <c r="N627" s="438"/>
      <c r="O627" s="438"/>
      <c r="P627" s="438"/>
      <c r="Q627" s="438"/>
      <c r="R627" s="438"/>
      <c r="S627" s="438"/>
      <c r="T627" s="438"/>
      <c r="U627" s="438"/>
      <c r="V627" s="438"/>
      <c r="W627" s="438"/>
      <c r="X627" s="438"/>
      <c r="Y627" s="438"/>
      <c r="Z627" s="438"/>
    </row>
    <row r="628" ht="11.25" customHeight="1">
      <c r="A628" s="438"/>
      <c r="B628" s="438"/>
      <c r="C628" s="438"/>
      <c r="D628" s="438"/>
      <c r="E628" s="438"/>
      <c r="F628" s="438"/>
      <c r="G628" s="454"/>
      <c r="H628" s="454"/>
      <c r="I628" s="454"/>
      <c r="J628" s="438"/>
      <c r="K628" s="438"/>
      <c r="L628" s="438"/>
      <c r="M628" s="438"/>
      <c r="N628" s="438"/>
      <c r="O628" s="438"/>
      <c r="P628" s="438"/>
      <c r="Q628" s="438"/>
      <c r="R628" s="438"/>
      <c r="S628" s="438"/>
      <c r="T628" s="438"/>
      <c r="U628" s="438"/>
      <c r="V628" s="438"/>
      <c r="W628" s="438"/>
      <c r="X628" s="438"/>
      <c r="Y628" s="438"/>
      <c r="Z628" s="438"/>
    </row>
    <row r="629" ht="11.25" customHeight="1">
      <c r="A629" s="438"/>
      <c r="B629" s="438"/>
      <c r="C629" s="438"/>
      <c r="D629" s="438"/>
      <c r="E629" s="438"/>
      <c r="F629" s="438"/>
      <c r="G629" s="454"/>
      <c r="H629" s="454"/>
      <c r="I629" s="454"/>
      <c r="J629" s="438"/>
      <c r="K629" s="438"/>
      <c r="L629" s="438"/>
      <c r="M629" s="438"/>
      <c r="N629" s="438"/>
      <c r="O629" s="438"/>
      <c r="P629" s="438"/>
      <c r="Q629" s="438"/>
      <c r="R629" s="438"/>
      <c r="S629" s="438"/>
      <c r="T629" s="438"/>
      <c r="U629" s="438"/>
      <c r="V629" s="438"/>
      <c r="W629" s="438"/>
      <c r="X629" s="438"/>
      <c r="Y629" s="438"/>
      <c r="Z629" s="438"/>
    </row>
    <row r="630" ht="11.25" customHeight="1">
      <c r="A630" s="438"/>
      <c r="B630" s="438"/>
      <c r="C630" s="438"/>
      <c r="D630" s="438"/>
      <c r="E630" s="438"/>
      <c r="F630" s="438"/>
      <c r="G630" s="454"/>
      <c r="H630" s="454"/>
      <c r="I630" s="454"/>
      <c r="J630" s="438"/>
      <c r="K630" s="438"/>
      <c r="L630" s="438"/>
      <c r="M630" s="438"/>
      <c r="N630" s="438"/>
      <c r="O630" s="438"/>
      <c r="P630" s="438"/>
      <c r="Q630" s="438"/>
      <c r="R630" s="438"/>
      <c r="S630" s="438"/>
      <c r="T630" s="438"/>
      <c r="U630" s="438"/>
      <c r="V630" s="438"/>
      <c r="W630" s="438"/>
      <c r="X630" s="438"/>
      <c r="Y630" s="438"/>
      <c r="Z630" s="438"/>
    </row>
    <row r="631" ht="11.25" customHeight="1">
      <c r="A631" s="438"/>
      <c r="B631" s="438"/>
      <c r="C631" s="438"/>
      <c r="D631" s="438"/>
      <c r="E631" s="438"/>
      <c r="F631" s="438"/>
      <c r="G631" s="454"/>
      <c r="H631" s="454"/>
      <c r="I631" s="454"/>
      <c r="J631" s="438"/>
      <c r="K631" s="438"/>
      <c r="L631" s="438"/>
      <c r="M631" s="438"/>
      <c r="N631" s="438"/>
      <c r="O631" s="438"/>
      <c r="P631" s="438"/>
      <c r="Q631" s="438"/>
      <c r="R631" s="438"/>
      <c r="S631" s="438"/>
      <c r="T631" s="438"/>
      <c r="U631" s="438"/>
      <c r="V631" s="438"/>
      <c r="W631" s="438"/>
      <c r="X631" s="438"/>
      <c r="Y631" s="438"/>
      <c r="Z631" s="438"/>
    </row>
    <row r="632" ht="11.25" customHeight="1">
      <c r="A632" s="438"/>
      <c r="B632" s="438"/>
      <c r="C632" s="438"/>
      <c r="D632" s="438"/>
      <c r="E632" s="438"/>
      <c r="F632" s="438"/>
      <c r="G632" s="454"/>
      <c r="H632" s="454"/>
      <c r="I632" s="454"/>
      <c r="J632" s="438"/>
      <c r="K632" s="438"/>
      <c r="L632" s="438"/>
      <c r="M632" s="438"/>
      <c r="N632" s="438"/>
      <c r="O632" s="438"/>
      <c r="P632" s="438"/>
      <c r="Q632" s="438"/>
      <c r="R632" s="438"/>
      <c r="S632" s="438"/>
      <c r="T632" s="438"/>
      <c r="U632" s="438"/>
      <c r="V632" s="438"/>
      <c r="W632" s="438"/>
      <c r="X632" s="438"/>
      <c r="Y632" s="438"/>
      <c r="Z632" s="438"/>
    </row>
    <row r="633" ht="11.25" customHeight="1">
      <c r="A633" s="438"/>
      <c r="B633" s="438"/>
      <c r="C633" s="438"/>
      <c r="D633" s="438"/>
      <c r="E633" s="438"/>
      <c r="F633" s="438"/>
      <c r="G633" s="454"/>
      <c r="H633" s="454"/>
      <c r="I633" s="454"/>
      <c r="J633" s="438"/>
      <c r="K633" s="438"/>
      <c r="L633" s="438"/>
      <c r="M633" s="438"/>
      <c r="N633" s="438"/>
      <c r="O633" s="438"/>
      <c r="P633" s="438"/>
      <c r="Q633" s="438"/>
      <c r="R633" s="438"/>
      <c r="S633" s="438"/>
      <c r="T633" s="438"/>
      <c r="U633" s="438"/>
      <c r="V633" s="438"/>
      <c r="W633" s="438"/>
      <c r="X633" s="438"/>
      <c r="Y633" s="438"/>
      <c r="Z633" s="438"/>
    </row>
    <row r="634" ht="11.25" customHeight="1">
      <c r="A634" s="438"/>
      <c r="B634" s="438"/>
      <c r="C634" s="438"/>
      <c r="D634" s="438"/>
      <c r="E634" s="438"/>
      <c r="F634" s="438"/>
      <c r="G634" s="454"/>
      <c r="H634" s="454"/>
      <c r="I634" s="454"/>
      <c r="J634" s="438"/>
      <c r="K634" s="438"/>
      <c r="L634" s="438"/>
      <c r="M634" s="438"/>
      <c r="N634" s="438"/>
      <c r="O634" s="438"/>
      <c r="P634" s="438"/>
      <c r="Q634" s="438"/>
      <c r="R634" s="438"/>
      <c r="S634" s="438"/>
      <c r="T634" s="438"/>
      <c r="U634" s="438"/>
      <c r="V634" s="438"/>
      <c r="W634" s="438"/>
      <c r="X634" s="438"/>
      <c r="Y634" s="438"/>
      <c r="Z634" s="438"/>
    </row>
    <row r="635" ht="11.25" customHeight="1">
      <c r="A635" s="438"/>
      <c r="B635" s="438"/>
      <c r="C635" s="438"/>
      <c r="D635" s="438"/>
      <c r="E635" s="438"/>
      <c r="F635" s="438"/>
      <c r="G635" s="454"/>
      <c r="H635" s="454"/>
      <c r="I635" s="454"/>
      <c r="J635" s="438"/>
      <c r="K635" s="438"/>
      <c r="L635" s="438"/>
      <c r="M635" s="438"/>
      <c r="N635" s="438"/>
      <c r="O635" s="438"/>
      <c r="P635" s="438"/>
      <c r="Q635" s="438"/>
      <c r="R635" s="438"/>
      <c r="S635" s="438"/>
      <c r="T635" s="438"/>
      <c r="U635" s="438"/>
      <c r="V635" s="438"/>
      <c r="W635" s="438"/>
      <c r="X635" s="438"/>
      <c r="Y635" s="438"/>
      <c r="Z635" s="438"/>
    </row>
    <row r="636" ht="11.25" customHeight="1">
      <c r="A636" s="438"/>
      <c r="B636" s="438"/>
      <c r="C636" s="438"/>
      <c r="D636" s="438"/>
      <c r="E636" s="438"/>
      <c r="F636" s="438"/>
      <c r="G636" s="454"/>
      <c r="H636" s="454"/>
      <c r="I636" s="454"/>
      <c r="J636" s="438"/>
      <c r="K636" s="438"/>
      <c r="L636" s="438"/>
      <c r="M636" s="438"/>
      <c r="N636" s="438"/>
      <c r="O636" s="438"/>
      <c r="P636" s="438"/>
      <c r="Q636" s="438"/>
      <c r="R636" s="438"/>
      <c r="S636" s="438"/>
      <c r="T636" s="438"/>
      <c r="U636" s="438"/>
      <c r="V636" s="438"/>
      <c r="W636" s="438"/>
      <c r="X636" s="438"/>
      <c r="Y636" s="438"/>
      <c r="Z636" s="438"/>
    </row>
    <row r="637" ht="11.25" customHeight="1">
      <c r="A637" s="438"/>
      <c r="B637" s="438"/>
      <c r="C637" s="438"/>
      <c r="D637" s="438"/>
      <c r="E637" s="438"/>
      <c r="F637" s="438"/>
      <c r="G637" s="454"/>
      <c r="H637" s="454"/>
      <c r="I637" s="454"/>
      <c r="J637" s="438"/>
      <c r="K637" s="438"/>
      <c r="L637" s="438"/>
      <c r="M637" s="438"/>
      <c r="N637" s="438"/>
      <c r="O637" s="438"/>
      <c r="P637" s="438"/>
      <c r="Q637" s="438"/>
      <c r="R637" s="438"/>
      <c r="S637" s="438"/>
      <c r="T637" s="438"/>
      <c r="U637" s="438"/>
      <c r="V637" s="438"/>
      <c r="W637" s="438"/>
      <c r="X637" s="438"/>
      <c r="Y637" s="438"/>
      <c r="Z637" s="438"/>
    </row>
    <row r="638" ht="11.25" customHeight="1">
      <c r="A638" s="438"/>
      <c r="B638" s="438"/>
      <c r="C638" s="438"/>
      <c r="D638" s="438"/>
      <c r="E638" s="438"/>
      <c r="F638" s="438"/>
      <c r="G638" s="454"/>
      <c r="H638" s="454"/>
      <c r="I638" s="454"/>
      <c r="J638" s="438"/>
      <c r="K638" s="438"/>
      <c r="L638" s="438"/>
      <c r="M638" s="438"/>
      <c r="N638" s="438"/>
      <c r="O638" s="438"/>
      <c r="P638" s="438"/>
      <c r="Q638" s="438"/>
      <c r="R638" s="438"/>
      <c r="S638" s="438"/>
      <c r="T638" s="438"/>
      <c r="U638" s="438"/>
      <c r="V638" s="438"/>
      <c r="W638" s="438"/>
      <c r="X638" s="438"/>
      <c r="Y638" s="438"/>
      <c r="Z638" s="438"/>
    </row>
    <row r="639" ht="11.25" customHeight="1">
      <c r="A639" s="438"/>
      <c r="B639" s="438"/>
      <c r="C639" s="438"/>
      <c r="D639" s="438"/>
      <c r="E639" s="438"/>
      <c r="F639" s="438"/>
      <c r="G639" s="454"/>
      <c r="H639" s="454"/>
      <c r="I639" s="454"/>
      <c r="J639" s="438"/>
      <c r="K639" s="438"/>
      <c r="L639" s="438"/>
      <c r="M639" s="438"/>
      <c r="N639" s="438"/>
      <c r="O639" s="438"/>
      <c r="P639" s="438"/>
      <c r="Q639" s="438"/>
      <c r="R639" s="438"/>
      <c r="S639" s="438"/>
      <c r="T639" s="438"/>
      <c r="U639" s="438"/>
      <c r="V639" s="438"/>
      <c r="W639" s="438"/>
      <c r="X639" s="438"/>
      <c r="Y639" s="438"/>
      <c r="Z639" s="438"/>
    </row>
    <row r="640" ht="11.25" customHeight="1">
      <c r="A640" s="438"/>
      <c r="B640" s="438"/>
      <c r="C640" s="438"/>
      <c r="D640" s="438"/>
      <c r="E640" s="438"/>
      <c r="F640" s="438"/>
      <c r="G640" s="454"/>
      <c r="H640" s="454"/>
      <c r="I640" s="454"/>
      <c r="J640" s="438"/>
      <c r="K640" s="438"/>
      <c r="L640" s="438"/>
      <c r="M640" s="438"/>
      <c r="N640" s="438"/>
      <c r="O640" s="438"/>
      <c r="P640" s="438"/>
      <c r="Q640" s="438"/>
      <c r="R640" s="438"/>
      <c r="S640" s="438"/>
      <c r="T640" s="438"/>
      <c r="U640" s="438"/>
      <c r="V640" s="438"/>
      <c r="W640" s="438"/>
      <c r="X640" s="438"/>
      <c r="Y640" s="438"/>
      <c r="Z640" s="438"/>
    </row>
    <row r="641" ht="11.25" customHeight="1">
      <c r="A641" s="438"/>
      <c r="B641" s="438"/>
      <c r="C641" s="438"/>
      <c r="D641" s="438"/>
      <c r="E641" s="438"/>
      <c r="F641" s="438"/>
      <c r="G641" s="454"/>
      <c r="H641" s="454"/>
      <c r="I641" s="454"/>
      <c r="J641" s="438"/>
      <c r="K641" s="438"/>
      <c r="L641" s="438"/>
      <c r="M641" s="438"/>
      <c r="N641" s="438"/>
      <c r="O641" s="438"/>
      <c r="P641" s="438"/>
      <c r="Q641" s="438"/>
      <c r="R641" s="438"/>
      <c r="S641" s="438"/>
      <c r="T641" s="438"/>
      <c r="U641" s="438"/>
      <c r="V641" s="438"/>
      <c r="W641" s="438"/>
      <c r="X641" s="438"/>
      <c r="Y641" s="438"/>
      <c r="Z641" s="438"/>
    </row>
    <row r="642" ht="11.25" customHeight="1">
      <c r="A642" s="438"/>
      <c r="B642" s="438"/>
      <c r="C642" s="438"/>
      <c r="D642" s="438"/>
      <c r="E642" s="438"/>
      <c r="F642" s="438"/>
      <c r="G642" s="454"/>
      <c r="H642" s="454"/>
      <c r="I642" s="454"/>
      <c r="J642" s="438"/>
      <c r="K642" s="438"/>
      <c r="L642" s="438"/>
      <c r="M642" s="438"/>
      <c r="N642" s="438"/>
      <c r="O642" s="438"/>
      <c r="P642" s="438"/>
      <c r="Q642" s="438"/>
      <c r="R642" s="438"/>
      <c r="S642" s="438"/>
      <c r="T642" s="438"/>
      <c r="U642" s="438"/>
      <c r="V642" s="438"/>
      <c r="W642" s="438"/>
      <c r="X642" s="438"/>
      <c r="Y642" s="438"/>
      <c r="Z642" s="438"/>
    </row>
    <row r="643" ht="11.25" customHeight="1">
      <c r="A643" s="438"/>
      <c r="B643" s="438"/>
      <c r="C643" s="438"/>
      <c r="D643" s="438"/>
      <c r="E643" s="438"/>
      <c r="F643" s="438"/>
      <c r="G643" s="454"/>
      <c r="H643" s="454"/>
      <c r="I643" s="454"/>
      <c r="J643" s="438"/>
      <c r="K643" s="438"/>
      <c r="L643" s="438"/>
      <c r="M643" s="438"/>
      <c r="N643" s="438"/>
      <c r="O643" s="438"/>
      <c r="P643" s="438"/>
      <c r="Q643" s="438"/>
      <c r="R643" s="438"/>
      <c r="S643" s="438"/>
      <c r="T643" s="438"/>
      <c r="U643" s="438"/>
      <c r="V643" s="438"/>
      <c r="W643" s="438"/>
      <c r="X643" s="438"/>
      <c r="Y643" s="438"/>
      <c r="Z643" s="438"/>
    </row>
    <row r="644" ht="11.25" customHeight="1">
      <c r="A644" s="438"/>
      <c r="B644" s="438"/>
      <c r="C644" s="438"/>
      <c r="D644" s="438"/>
      <c r="E644" s="438"/>
      <c r="F644" s="438"/>
      <c r="G644" s="454"/>
      <c r="H644" s="454"/>
      <c r="I644" s="454"/>
      <c r="J644" s="438"/>
      <c r="K644" s="438"/>
      <c r="L644" s="438"/>
      <c r="M644" s="438"/>
      <c r="N644" s="438"/>
      <c r="O644" s="438"/>
      <c r="P644" s="438"/>
      <c r="Q644" s="438"/>
      <c r="R644" s="438"/>
      <c r="S644" s="438"/>
      <c r="T644" s="438"/>
      <c r="U644" s="438"/>
      <c r="V644" s="438"/>
      <c r="W644" s="438"/>
      <c r="X644" s="438"/>
      <c r="Y644" s="438"/>
      <c r="Z644" s="438"/>
    </row>
    <row r="645" ht="11.25" customHeight="1">
      <c r="A645" s="438"/>
      <c r="B645" s="438"/>
      <c r="C645" s="438"/>
      <c r="D645" s="438"/>
      <c r="E645" s="438"/>
      <c r="F645" s="438"/>
      <c r="G645" s="454"/>
      <c r="H645" s="454"/>
      <c r="I645" s="454"/>
      <c r="J645" s="438"/>
      <c r="K645" s="438"/>
      <c r="L645" s="438"/>
      <c r="M645" s="438"/>
      <c r="N645" s="438"/>
      <c r="O645" s="438"/>
      <c r="P645" s="438"/>
      <c r="Q645" s="438"/>
      <c r="R645" s="438"/>
      <c r="S645" s="438"/>
      <c r="T645" s="438"/>
      <c r="U645" s="438"/>
      <c r="V645" s="438"/>
      <c r="W645" s="438"/>
      <c r="X645" s="438"/>
      <c r="Y645" s="438"/>
      <c r="Z645" s="438"/>
    </row>
    <row r="646" ht="11.25" customHeight="1">
      <c r="A646" s="438"/>
      <c r="B646" s="438"/>
      <c r="C646" s="438"/>
      <c r="D646" s="438"/>
      <c r="E646" s="438"/>
      <c r="F646" s="438"/>
      <c r="G646" s="454"/>
      <c r="H646" s="454"/>
      <c r="I646" s="454"/>
      <c r="J646" s="438"/>
      <c r="K646" s="438"/>
      <c r="L646" s="438"/>
      <c r="M646" s="438"/>
      <c r="N646" s="438"/>
      <c r="O646" s="438"/>
      <c r="P646" s="438"/>
      <c r="Q646" s="438"/>
      <c r="R646" s="438"/>
      <c r="S646" s="438"/>
      <c r="T646" s="438"/>
      <c r="U646" s="438"/>
      <c r="V646" s="438"/>
      <c r="W646" s="438"/>
      <c r="X646" s="438"/>
      <c r="Y646" s="438"/>
      <c r="Z646" s="438"/>
    </row>
    <row r="647" ht="11.25" customHeight="1">
      <c r="A647" s="438"/>
      <c r="B647" s="438"/>
      <c r="C647" s="438"/>
      <c r="D647" s="438"/>
      <c r="E647" s="438"/>
      <c r="F647" s="438"/>
      <c r="G647" s="454"/>
      <c r="H647" s="454"/>
      <c r="I647" s="454"/>
      <c r="J647" s="438"/>
      <c r="K647" s="438"/>
      <c r="L647" s="438"/>
      <c r="M647" s="438"/>
      <c r="N647" s="438"/>
      <c r="O647" s="438"/>
      <c r="P647" s="438"/>
      <c r="Q647" s="438"/>
      <c r="R647" s="438"/>
      <c r="S647" s="438"/>
      <c r="T647" s="438"/>
      <c r="U647" s="438"/>
      <c r="V647" s="438"/>
      <c r="W647" s="438"/>
      <c r="X647" s="438"/>
      <c r="Y647" s="438"/>
      <c r="Z647" s="438"/>
    </row>
    <row r="648" ht="11.25" customHeight="1">
      <c r="A648" s="438"/>
      <c r="B648" s="438"/>
      <c r="C648" s="438"/>
      <c r="D648" s="438"/>
      <c r="E648" s="438"/>
      <c r="F648" s="438"/>
      <c r="G648" s="454"/>
      <c r="H648" s="454"/>
      <c r="I648" s="454"/>
      <c r="J648" s="438"/>
      <c r="K648" s="438"/>
      <c r="L648" s="438"/>
      <c r="M648" s="438"/>
      <c r="N648" s="438"/>
      <c r="O648" s="438"/>
      <c r="P648" s="438"/>
      <c r="Q648" s="438"/>
      <c r="R648" s="438"/>
      <c r="S648" s="438"/>
      <c r="T648" s="438"/>
      <c r="U648" s="438"/>
      <c r="V648" s="438"/>
      <c r="W648" s="438"/>
      <c r="X648" s="438"/>
      <c r="Y648" s="438"/>
      <c r="Z648" s="438"/>
    </row>
    <row r="649" ht="11.25" customHeight="1">
      <c r="A649" s="438"/>
      <c r="B649" s="438"/>
      <c r="C649" s="438"/>
      <c r="D649" s="438"/>
      <c r="E649" s="438"/>
      <c r="F649" s="438"/>
      <c r="G649" s="454"/>
      <c r="H649" s="454"/>
      <c r="I649" s="454"/>
      <c r="J649" s="438"/>
      <c r="K649" s="438"/>
      <c r="L649" s="438"/>
      <c r="M649" s="438"/>
      <c r="N649" s="438"/>
      <c r="O649" s="438"/>
      <c r="P649" s="438"/>
      <c r="Q649" s="438"/>
      <c r="R649" s="438"/>
      <c r="S649" s="438"/>
      <c r="T649" s="438"/>
      <c r="U649" s="438"/>
      <c r="V649" s="438"/>
      <c r="W649" s="438"/>
      <c r="X649" s="438"/>
      <c r="Y649" s="438"/>
      <c r="Z649" s="438"/>
    </row>
    <row r="650" ht="11.25" customHeight="1">
      <c r="A650" s="438"/>
      <c r="B650" s="438"/>
      <c r="C650" s="438"/>
      <c r="D650" s="438"/>
      <c r="E650" s="438"/>
      <c r="F650" s="438"/>
      <c r="G650" s="454"/>
      <c r="H650" s="454"/>
      <c r="I650" s="454"/>
      <c r="J650" s="438"/>
      <c r="K650" s="438"/>
      <c r="L650" s="438"/>
      <c r="M650" s="438"/>
      <c r="N650" s="438"/>
      <c r="O650" s="438"/>
      <c r="P650" s="438"/>
      <c r="Q650" s="438"/>
      <c r="R650" s="438"/>
      <c r="S650" s="438"/>
      <c r="T650" s="438"/>
      <c r="U650" s="438"/>
      <c r="V650" s="438"/>
      <c r="W650" s="438"/>
      <c r="X650" s="438"/>
      <c r="Y650" s="438"/>
      <c r="Z650" s="438"/>
    </row>
    <row r="651" ht="11.25" customHeight="1">
      <c r="A651" s="438"/>
      <c r="B651" s="438"/>
      <c r="C651" s="438"/>
      <c r="D651" s="438"/>
      <c r="E651" s="438"/>
      <c r="F651" s="438"/>
      <c r="G651" s="454"/>
      <c r="H651" s="454"/>
      <c r="I651" s="454"/>
      <c r="J651" s="438"/>
      <c r="K651" s="438"/>
      <c r="L651" s="438"/>
      <c r="M651" s="438"/>
      <c r="N651" s="438"/>
      <c r="O651" s="438"/>
      <c r="P651" s="438"/>
      <c r="Q651" s="438"/>
      <c r="R651" s="438"/>
      <c r="S651" s="438"/>
      <c r="T651" s="438"/>
      <c r="U651" s="438"/>
      <c r="V651" s="438"/>
      <c r="W651" s="438"/>
      <c r="X651" s="438"/>
      <c r="Y651" s="438"/>
      <c r="Z651" s="438"/>
    </row>
    <row r="652" ht="11.25" customHeight="1">
      <c r="A652" s="438"/>
      <c r="B652" s="438"/>
      <c r="C652" s="438"/>
      <c r="D652" s="438"/>
      <c r="E652" s="438"/>
      <c r="F652" s="438"/>
      <c r="G652" s="454"/>
      <c r="H652" s="454"/>
      <c r="I652" s="454"/>
      <c r="J652" s="438"/>
      <c r="K652" s="438"/>
      <c r="L652" s="438"/>
      <c r="M652" s="438"/>
      <c r="N652" s="438"/>
      <c r="O652" s="438"/>
      <c r="P652" s="438"/>
      <c r="Q652" s="438"/>
      <c r="R652" s="438"/>
      <c r="S652" s="438"/>
      <c r="T652" s="438"/>
      <c r="U652" s="438"/>
      <c r="V652" s="438"/>
      <c r="W652" s="438"/>
      <c r="X652" s="438"/>
      <c r="Y652" s="438"/>
      <c r="Z652" s="438"/>
    </row>
    <row r="653" ht="11.25" customHeight="1">
      <c r="A653" s="438"/>
      <c r="B653" s="438"/>
      <c r="C653" s="438"/>
      <c r="D653" s="438"/>
      <c r="E653" s="438"/>
      <c r="F653" s="438"/>
      <c r="G653" s="454"/>
      <c r="H653" s="454"/>
      <c r="I653" s="454"/>
      <c r="J653" s="438"/>
      <c r="K653" s="438"/>
      <c r="L653" s="438"/>
      <c r="M653" s="438"/>
      <c r="N653" s="438"/>
      <c r="O653" s="438"/>
      <c r="P653" s="438"/>
      <c r="Q653" s="438"/>
      <c r="R653" s="438"/>
      <c r="S653" s="438"/>
      <c r="T653" s="438"/>
      <c r="U653" s="438"/>
      <c r="V653" s="438"/>
      <c r="W653" s="438"/>
      <c r="X653" s="438"/>
      <c r="Y653" s="438"/>
      <c r="Z653" s="438"/>
    </row>
    <row r="654" ht="11.25" customHeight="1">
      <c r="A654" s="438"/>
      <c r="B654" s="438"/>
      <c r="C654" s="438"/>
      <c r="D654" s="438"/>
      <c r="E654" s="438"/>
      <c r="F654" s="438"/>
      <c r="G654" s="454"/>
      <c r="H654" s="454"/>
      <c r="I654" s="454"/>
      <c r="J654" s="438"/>
      <c r="K654" s="438"/>
      <c r="L654" s="438"/>
      <c r="M654" s="438"/>
      <c r="N654" s="438"/>
      <c r="O654" s="438"/>
      <c r="P654" s="438"/>
      <c r="Q654" s="438"/>
      <c r="R654" s="438"/>
      <c r="S654" s="438"/>
      <c r="T654" s="438"/>
      <c r="U654" s="438"/>
      <c r="V654" s="438"/>
      <c r="W654" s="438"/>
      <c r="X654" s="438"/>
      <c r="Y654" s="438"/>
      <c r="Z654" s="438"/>
    </row>
    <row r="655" ht="11.25" customHeight="1">
      <c r="A655" s="438"/>
      <c r="B655" s="438"/>
      <c r="C655" s="438"/>
      <c r="D655" s="438"/>
      <c r="E655" s="438"/>
      <c r="F655" s="438"/>
      <c r="G655" s="454"/>
      <c r="H655" s="454"/>
      <c r="I655" s="454"/>
      <c r="J655" s="438"/>
      <c r="K655" s="438"/>
      <c r="L655" s="438"/>
      <c r="M655" s="438"/>
      <c r="N655" s="438"/>
      <c r="O655" s="438"/>
      <c r="P655" s="438"/>
      <c r="Q655" s="438"/>
      <c r="R655" s="438"/>
      <c r="S655" s="438"/>
      <c r="T655" s="438"/>
      <c r="U655" s="438"/>
      <c r="V655" s="438"/>
      <c r="W655" s="438"/>
      <c r="X655" s="438"/>
      <c r="Y655" s="438"/>
      <c r="Z655" s="438"/>
    </row>
    <row r="656" ht="11.25" customHeight="1">
      <c r="A656" s="438"/>
      <c r="B656" s="438"/>
      <c r="C656" s="438"/>
      <c r="D656" s="438"/>
      <c r="E656" s="438"/>
      <c r="F656" s="438"/>
      <c r="G656" s="454"/>
      <c r="H656" s="454"/>
      <c r="I656" s="454"/>
      <c r="J656" s="438"/>
      <c r="K656" s="438"/>
      <c r="L656" s="438"/>
      <c r="M656" s="438"/>
      <c r="N656" s="438"/>
      <c r="O656" s="438"/>
      <c r="P656" s="438"/>
      <c r="Q656" s="438"/>
      <c r="R656" s="438"/>
      <c r="S656" s="438"/>
      <c r="T656" s="438"/>
      <c r="U656" s="438"/>
      <c r="V656" s="438"/>
      <c r="W656" s="438"/>
      <c r="X656" s="438"/>
      <c r="Y656" s="438"/>
      <c r="Z656" s="438"/>
    </row>
    <row r="657" ht="11.25" customHeight="1">
      <c r="A657" s="438"/>
      <c r="B657" s="438"/>
      <c r="C657" s="438"/>
      <c r="D657" s="438"/>
      <c r="E657" s="438"/>
      <c r="F657" s="438"/>
      <c r="G657" s="454"/>
      <c r="H657" s="454"/>
      <c r="I657" s="454"/>
      <c r="J657" s="438"/>
      <c r="K657" s="438"/>
      <c r="L657" s="438"/>
      <c r="M657" s="438"/>
      <c r="N657" s="438"/>
      <c r="O657" s="438"/>
      <c r="P657" s="438"/>
      <c r="Q657" s="438"/>
      <c r="R657" s="438"/>
      <c r="S657" s="438"/>
      <c r="T657" s="438"/>
      <c r="U657" s="438"/>
      <c r="V657" s="438"/>
      <c r="W657" s="438"/>
      <c r="X657" s="438"/>
      <c r="Y657" s="438"/>
      <c r="Z657" s="438"/>
    </row>
    <row r="658" ht="11.25" customHeight="1">
      <c r="A658" s="438"/>
      <c r="B658" s="438"/>
      <c r="C658" s="438"/>
      <c r="D658" s="438"/>
      <c r="E658" s="438"/>
      <c r="F658" s="438"/>
      <c r="G658" s="454"/>
      <c r="H658" s="454"/>
      <c r="I658" s="454"/>
      <c r="J658" s="438"/>
      <c r="K658" s="438"/>
      <c r="L658" s="438"/>
      <c r="M658" s="438"/>
      <c r="N658" s="438"/>
      <c r="O658" s="438"/>
      <c r="P658" s="438"/>
      <c r="Q658" s="438"/>
      <c r="R658" s="438"/>
      <c r="S658" s="438"/>
      <c r="T658" s="438"/>
      <c r="U658" s="438"/>
      <c r="V658" s="438"/>
      <c r="W658" s="438"/>
      <c r="X658" s="438"/>
      <c r="Y658" s="438"/>
      <c r="Z658" s="438"/>
    </row>
    <row r="659" ht="11.25" customHeight="1">
      <c r="A659" s="438"/>
      <c r="B659" s="438"/>
      <c r="C659" s="438"/>
      <c r="D659" s="438"/>
      <c r="E659" s="438"/>
      <c r="F659" s="438"/>
      <c r="G659" s="454"/>
      <c r="H659" s="454"/>
      <c r="I659" s="454"/>
      <c r="J659" s="438"/>
      <c r="K659" s="438"/>
      <c r="L659" s="438"/>
      <c r="M659" s="438"/>
      <c r="N659" s="438"/>
      <c r="O659" s="438"/>
      <c r="P659" s="438"/>
      <c r="Q659" s="438"/>
      <c r="R659" s="438"/>
      <c r="S659" s="438"/>
      <c r="T659" s="438"/>
      <c r="U659" s="438"/>
      <c r="V659" s="438"/>
      <c r="W659" s="438"/>
      <c r="X659" s="438"/>
      <c r="Y659" s="438"/>
      <c r="Z659" s="438"/>
    </row>
    <row r="660" ht="11.25" customHeight="1">
      <c r="A660" s="438"/>
      <c r="B660" s="438"/>
      <c r="C660" s="438"/>
      <c r="D660" s="438"/>
      <c r="E660" s="438"/>
      <c r="F660" s="438"/>
      <c r="G660" s="454"/>
      <c r="H660" s="454"/>
      <c r="I660" s="454"/>
      <c r="J660" s="438"/>
      <c r="K660" s="438"/>
      <c r="L660" s="438"/>
      <c r="M660" s="438"/>
      <c r="N660" s="438"/>
      <c r="O660" s="438"/>
      <c r="P660" s="438"/>
      <c r="Q660" s="438"/>
      <c r="R660" s="438"/>
      <c r="S660" s="438"/>
      <c r="T660" s="438"/>
      <c r="U660" s="438"/>
      <c r="V660" s="438"/>
      <c r="W660" s="438"/>
      <c r="X660" s="438"/>
      <c r="Y660" s="438"/>
      <c r="Z660" s="438"/>
    </row>
    <row r="661" ht="11.25" customHeight="1">
      <c r="A661" s="438"/>
      <c r="B661" s="438"/>
      <c r="C661" s="438"/>
      <c r="D661" s="438"/>
      <c r="E661" s="438"/>
      <c r="F661" s="438"/>
      <c r="G661" s="454"/>
      <c r="H661" s="454"/>
      <c r="I661" s="454"/>
      <c r="J661" s="438"/>
      <c r="K661" s="438"/>
      <c r="L661" s="438"/>
      <c r="M661" s="438"/>
      <c r="N661" s="438"/>
      <c r="O661" s="438"/>
      <c r="P661" s="438"/>
      <c r="Q661" s="438"/>
      <c r="R661" s="438"/>
      <c r="S661" s="438"/>
      <c r="T661" s="438"/>
      <c r="U661" s="438"/>
      <c r="V661" s="438"/>
      <c r="W661" s="438"/>
      <c r="X661" s="438"/>
      <c r="Y661" s="438"/>
      <c r="Z661" s="438"/>
    </row>
    <row r="662" ht="11.25" customHeight="1">
      <c r="A662" s="438"/>
      <c r="B662" s="438"/>
      <c r="C662" s="438"/>
      <c r="D662" s="438"/>
      <c r="E662" s="438"/>
      <c r="F662" s="438"/>
      <c r="G662" s="454"/>
      <c r="H662" s="454"/>
      <c r="I662" s="454"/>
      <c r="J662" s="438"/>
      <c r="K662" s="438"/>
      <c r="L662" s="438"/>
      <c r="M662" s="438"/>
      <c r="N662" s="438"/>
      <c r="O662" s="438"/>
      <c r="P662" s="438"/>
      <c r="Q662" s="438"/>
      <c r="R662" s="438"/>
      <c r="S662" s="438"/>
      <c r="T662" s="438"/>
      <c r="U662" s="438"/>
      <c r="V662" s="438"/>
      <c r="W662" s="438"/>
      <c r="X662" s="438"/>
      <c r="Y662" s="438"/>
      <c r="Z662" s="438"/>
    </row>
    <row r="663" ht="11.25" customHeight="1">
      <c r="A663" s="438"/>
      <c r="B663" s="438"/>
      <c r="C663" s="438"/>
      <c r="D663" s="438"/>
      <c r="E663" s="438"/>
      <c r="F663" s="438"/>
      <c r="G663" s="454"/>
      <c r="H663" s="454"/>
      <c r="I663" s="454"/>
      <c r="J663" s="438"/>
      <c r="K663" s="438"/>
      <c r="L663" s="438"/>
      <c r="M663" s="438"/>
      <c r="N663" s="438"/>
      <c r="O663" s="438"/>
      <c r="P663" s="438"/>
      <c r="Q663" s="438"/>
      <c r="R663" s="438"/>
      <c r="S663" s="438"/>
      <c r="T663" s="438"/>
      <c r="U663" s="438"/>
      <c r="V663" s="438"/>
      <c r="W663" s="438"/>
      <c r="X663" s="438"/>
      <c r="Y663" s="438"/>
      <c r="Z663" s="438"/>
    </row>
    <row r="664" ht="11.25" customHeight="1">
      <c r="A664" s="438"/>
      <c r="B664" s="438"/>
      <c r="C664" s="438"/>
      <c r="D664" s="438"/>
      <c r="E664" s="438"/>
      <c r="F664" s="438"/>
      <c r="G664" s="454"/>
      <c r="H664" s="454"/>
      <c r="I664" s="454"/>
      <c r="J664" s="438"/>
      <c r="K664" s="438"/>
      <c r="L664" s="438"/>
      <c r="M664" s="438"/>
      <c r="N664" s="438"/>
      <c r="O664" s="438"/>
      <c r="P664" s="438"/>
      <c r="Q664" s="438"/>
      <c r="R664" s="438"/>
      <c r="S664" s="438"/>
      <c r="T664" s="438"/>
      <c r="U664" s="438"/>
      <c r="V664" s="438"/>
      <c r="W664" s="438"/>
      <c r="X664" s="438"/>
      <c r="Y664" s="438"/>
      <c r="Z664" s="438"/>
    </row>
    <row r="665" ht="11.25" customHeight="1">
      <c r="A665" s="438"/>
      <c r="B665" s="438"/>
      <c r="C665" s="438"/>
      <c r="D665" s="438"/>
      <c r="E665" s="438"/>
      <c r="F665" s="438"/>
      <c r="G665" s="454"/>
      <c r="H665" s="454"/>
      <c r="I665" s="454"/>
      <c r="J665" s="438"/>
      <c r="K665" s="438"/>
      <c r="L665" s="438"/>
      <c r="M665" s="438"/>
      <c r="N665" s="438"/>
      <c r="O665" s="438"/>
      <c r="P665" s="438"/>
      <c r="Q665" s="438"/>
      <c r="R665" s="438"/>
      <c r="S665" s="438"/>
      <c r="T665" s="438"/>
      <c r="U665" s="438"/>
      <c r="V665" s="438"/>
      <c r="W665" s="438"/>
      <c r="X665" s="438"/>
      <c r="Y665" s="438"/>
      <c r="Z665" s="438"/>
    </row>
    <row r="666" ht="11.25" customHeight="1">
      <c r="A666" s="438"/>
      <c r="B666" s="438"/>
      <c r="C666" s="438"/>
      <c r="D666" s="438"/>
      <c r="E666" s="438"/>
      <c r="F666" s="438"/>
      <c r="G666" s="454"/>
      <c r="H666" s="454"/>
      <c r="I666" s="454"/>
      <c r="J666" s="438"/>
      <c r="K666" s="438"/>
      <c r="L666" s="438"/>
      <c r="M666" s="438"/>
      <c r="N666" s="438"/>
      <c r="O666" s="438"/>
      <c r="P666" s="438"/>
      <c r="Q666" s="438"/>
      <c r="R666" s="438"/>
      <c r="S666" s="438"/>
      <c r="T666" s="438"/>
      <c r="U666" s="438"/>
      <c r="V666" s="438"/>
      <c r="W666" s="438"/>
      <c r="X666" s="438"/>
      <c r="Y666" s="438"/>
      <c r="Z666" s="438"/>
    </row>
    <row r="667" ht="11.25" customHeight="1">
      <c r="A667" s="438"/>
      <c r="B667" s="438"/>
      <c r="C667" s="438"/>
      <c r="D667" s="438"/>
      <c r="E667" s="438"/>
      <c r="F667" s="438"/>
      <c r="G667" s="454"/>
      <c r="H667" s="454"/>
      <c r="I667" s="454"/>
      <c r="J667" s="438"/>
      <c r="K667" s="438"/>
      <c r="L667" s="438"/>
      <c r="M667" s="438"/>
      <c r="N667" s="438"/>
      <c r="O667" s="438"/>
      <c r="P667" s="438"/>
      <c r="Q667" s="438"/>
      <c r="R667" s="438"/>
      <c r="S667" s="438"/>
      <c r="T667" s="438"/>
      <c r="U667" s="438"/>
      <c r="V667" s="438"/>
      <c r="W667" s="438"/>
      <c r="X667" s="438"/>
      <c r="Y667" s="438"/>
      <c r="Z667" s="438"/>
    </row>
    <row r="668" ht="11.25" customHeight="1">
      <c r="A668" s="438"/>
      <c r="B668" s="438"/>
      <c r="C668" s="438"/>
      <c r="D668" s="438"/>
      <c r="E668" s="438"/>
      <c r="F668" s="438"/>
      <c r="G668" s="454"/>
      <c r="H668" s="454"/>
      <c r="I668" s="454"/>
      <c r="J668" s="438"/>
      <c r="K668" s="438"/>
      <c r="L668" s="438"/>
      <c r="M668" s="438"/>
      <c r="N668" s="438"/>
      <c r="O668" s="438"/>
      <c r="P668" s="438"/>
      <c r="Q668" s="438"/>
      <c r="R668" s="438"/>
      <c r="S668" s="438"/>
      <c r="T668" s="438"/>
      <c r="U668" s="438"/>
      <c r="V668" s="438"/>
      <c r="W668" s="438"/>
      <c r="X668" s="438"/>
      <c r="Y668" s="438"/>
      <c r="Z668" s="438"/>
    </row>
    <row r="669" ht="11.25" customHeight="1">
      <c r="A669" s="438"/>
      <c r="B669" s="438"/>
      <c r="C669" s="438"/>
      <c r="D669" s="438"/>
      <c r="E669" s="438"/>
      <c r="F669" s="438"/>
      <c r="G669" s="454"/>
      <c r="H669" s="454"/>
      <c r="I669" s="454"/>
      <c r="J669" s="438"/>
      <c r="K669" s="438"/>
      <c r="L669" s="438"/>
      <c r="M669" s="438"/>
      <c r="N669" s="438"/>
      <c r="O669" s="438"/>
      <c r="P669" s="438"/>
      <c r="Q669" s="438"/>
      <c r="R669" s="438"/>
      <c r="S669" s="438"/>
      <c r="T669" s="438"/>
      <c r="U669" s="438"/>
      <c r="V669" s="438"/>
      <c r="W669" s="438"/>
      <c r="X669" s="438"/>
      <c r="Y669" s="438"/>
      <c r="Z669" s="438"/>
    </row>
    <row r="670" ht="11.25" customHeight="1">
      <c r="A670" s="438"/>
      <c r="B670" s="438"/>
      <c r="C670" s="438"/>
      <c r="D670" s="438"/>
      <c r="E670" s="438"/>
      <c r="F670" s="438"/>
      <c r="G670" s="454"/>
      <c r="H670" s="454"/>
      <c r="I670" s="454"/>
      <c r="J670" s="438"/>
      <c r="K670" s="438"/>
      <c r="L670" s="438"/>
      <c r="M670" s="438"/>
      <c r="N670" s="438"/>
      <c r="O670" s="438"/>
      <c r="P670" s="438"/>
      <c r="Q670" s="438"/>
      <c r="R670" s="438"/>
      <c r="S670" s="438"/>
      <c r="T670" s="438"/>
      <c r="U670" s="438"/>
      <c r="V670" s="438"/>
      <c r="W670" s="438"/>
      <c r="X670" s="438"/>
      <c r="Y670" s="438"/>
      <c r="Z670" s="438"/>
    </row>
    <row r="671" ht="11.25" customHeight="1">
      <c r="A671" s="438"/>
      <c r="B671" s="438"/>
      <c r="C671" s="438"/>
      <c r="D671" s="438"/>
      <c r="E671" s="438"/>
      <c r="F671" s="438"/>
      <c r="G671" s="454"/>
      <c r="H671" s="454"/>
      <c r="I671" s="454"/>
      <c r="J671" s="438"/>
      <c r="K671" s="438"/>
      <c r="L671" s="438"/>
      <c r="M671" s="438"/>
      <c r="N671" s="438"/>
      <c r="O671" s="438"/>
      <c r="P671" s="438"/>
      <c r="Q671" s="438"/>
      <c r="R671" s="438"/>
      <c r="S671" s="438"/>
      <c r="T671" s="438"/>
      <c r="U671" s="438"/>
      <c r="V671" s="438"/>
      <c r="W671" s="438"/>
      <c r="X671" s="438"/>
      <c r="Y671" s="438"/>
      <c r="Z671" s="438"/>
    </row>
    <row r="672" ht="11.25" customHeight="1">
      <c r="A672" s="438"/>
      <c r="B672" s="438"/>
      <c r="C672" s="438"/>
      <c r="D672" s="438"/>
      <c r="E672" s="438"/>
      <c r="F672" s="438"/>
      <c r="G672" s="454"/>
      <c r="H672" s="454"/>
      <c r="I672" s="454"/>
      <c r="J672" s="438"/>
      <c r="K672" s="438"/>
      <c r="L672" s="438"/>
      <c r="M672" s="438"/>
      <c r="N672" s="438"/>
      <c r="O672" s="438"/>
      <c r="P672" s="438"/>
      <c r="Q672" s="438"/>
      <c r="R672" s="438"/>
      <c r="S672" s="438"/>
      <c r="T672" s="438"/>
      <c r="U672" s="438"/>
      <c r="V672" s="438"/>
      <c r="W672" s="438"/>
      <c r="X672" s="438"/>
      <c r="Y672" s="438"/>
      <c r="Z672" s="438"/>
    </row>
    <row r="673" ht="11.25" customHeight="1">
      <c r="A673" s="438"/>
      <c r="B673" s="438"/>
      <c r="C673" s="438"/>
      <c r="D673" s="438"/>
      <c r="E673" s="438"/>
      <c r="F673" s="438"/>
      <c r="G673" s="454"/>
      <c r="H673" s="454"/>
      <c r="I673" s="454"/>
      <c r="J673" s="438"/>
      <c r="K673" s="438"/>
      <c r="L673" s="438"/>
      <c r="M673" s="438"/>
      <c r="N673" s="438"/>
      <c r="O673" s="438"/>
      <c r="P673" s="438"/>
      <c r="Q673" s="438"/>
      <c r="R673" s="438"/>
      <c r="S673" s="438"/>
      <c r="T673" s="438"/>
      <c r="U673" s="438"/>
      <c r="V673" s="438"/>
      <c r="W673" s="438"/>
      <c r="X673" s="438"/>
      <c r="Y673" s="438"/>
      <c r="Z673" s="438"/>
    </row>
    <row r="674" ht="11.25" customHeight="1">
      <c r="A674" s="438"/>
      <c r="B674" s="438"/>
      <c r="C674" s="438"/>
      <c r="D674" s="438"/>
      <c r="E674" s="438"/>
      <c r="F674" s="438"/>
      <c r="G674" s="454"/>
      <c r="H674" s="454"/>
      <c r="I674" s="454"/>
      <c r="J674" s="438"/>
      <c r="K674" s="438"/>
      <c r="L674" s="438"/>
      <c r="M674" s="438"/>
      <c r="N674" s="438"/>
      <c r="O674" s="438"/>
      <c r="P674" s="438"/>
      <c r="Q674" s="438"/>
      <c r="R674" s="438"/>
      <c r="S674" s="438"/>
      <c r="T674" s="438"/>
      <c r="U674" s="438"/>
      <c r="V674" s="438"/>
      <c r="W674" s="438"/>
      <c r="X674" s="438"/>
      <c r="Y674" s="438"/>
      <c r="Z674" s="438"/>
    </row>
    <row r="675" ht="11.25" customHeight="1">
      <c r="A675" s="438"/>
      <c r="B675" s="438"/>
      <c r="C675" s="438"/>
      <c r="D675" s="438"/>
      <c r="E675" s="438"/>
      <c r="F675" s="438"/>
      <c r="G675" s="454"/>
      <c r="H675" s="454"/>
      <c r="I675" s="454"/>
      <c r="J675" s="438"/>
      <c r="K675" s="438"/>
      <c r="L675" s="438"/>
      <c r="M675" s="438"/>
      <c r="N675" s="438"/>
      <c r="O675" s="438"/>
      <c r="P675" s="438"/>
      <c r="Q675" s="438"/>
      <c r="R675" s="438"/>
      <c r="S675" s="438"/>
      <c r="T675" s="438"/>
      <c r="U675" s="438"/>
      <c r="V675" s="438"/>
      <c r="W675" s="438"/>
      <c r="X675" s="438"/>
      <c r="Y675" s="438"/>
      <c r="Z675" s="438"/>
    </row>
    <row r="676" ht="11.25" customHeight="1">
      <c r="A676" s="438"/>
      <c r="B676" s="438"/>
      <c r="C676" s="438"/>
      <c r="D676" s="438"/>
      <c r="E676" s="438"/>
      <c r="F676" s="438"/>
      <c r="G676" s="454"/>
      <c r="H676" s="454"/>
      <c r="I676" s="454"/>
      <c r="J676" s="438"/>
      <c r="K676" s="438"/>
      <c r="L676" s="438"/>
      <c r="M676" s="438"/>
      <c r="N676" s="438"/>
      <c r="O676" s="438"/>
      <c r="P676" s="438"/>
      <c r="Q676" s="438"/>
      <c r="R676" s="438"/>
      <c r="S676" s="438"/>
      <c r="T676" s="438"/>
      <c r="U676" s="438"/>
      <c r="V676" s="438"/>
      <c r="W676" s="438"/>
      <c r="X676" s="438"/>
      <c r="Y676" s="438"/>
      <c r="Z676" s="438"/>
    </row>
    <row r="677" ht="11.25" customHeight="1">
      <c r="A677" s="438"/>
      <c r="B677" s="438"/>
      <c r="C677" s="438"/>
      <c r="D677" s="438"/>
      <c r="E677" s="438"/>
      <c r="F677" s="438"/>
      <c r="G677" s="454"/>
      <c r="H677" s="454"/>
      <c r="I677" s="454"/>
      <c r="J677" s="438"/>
      <c r="K677" s="438"/>
      <c r="L677" s="438"/>
      <c r="M677" s="438"/>
      <c r="N677" s="438"/>
      <c r="O677" s="438"/>
      <c r="P677" s="438"/>
      <c r="Q677" s="438"/>
      <c r="R677" s="438"/>
      <c r="S677" s="438"/>
      <c r="T677" s="438"/>
      <c r="U677" s="438"/>
      <c r="V677" s="438"/>
      <c r="W677" s="438"/>
      <c r="X677" s="438"/>
      <c r="Y677" s="438"/>
      <c r="Z677" s="438"/>
    </row>
    <row r="678" ht="11.25" customHeight="1">
      <c r="A678" s="438"/>
      <c r="B678" s="438"/>
      <c r="C678" s="438"/>
      <c r="D678" s="438"/>
      <c r="E678" s="438"/>
      <c r="F678" s="438"/>
      <c r="G678" s="454"/>
      <c r="H678" s="454"/>
      <c r="I678" s="454"/>
      <c r="J678" s="438"/>
      <c r="K678" s="438"/>
      <c r="L678" s="438"/>
      <c r="M678" s="438"/>
      <c r="N678" s="438"/>
      <c r="O678" s="438"/>
      <c r="P678" s="438"/>
      <c r="Q678" s="438"/>
      <c r="R678" s="438"/>
      <c r="S678" s="438"/>
      <c r="T678" s="438"/>
      <c r="U678" s="438"/>
      <c r="V678" s="438"/>
      <c r="W678" s="438"/>
      <c r="X678" s="438"/>
      <c r="Y678" s="438"/>
      <c r="Z678" s="438"/>
    </row>
    <row r="679" ht="11.25" customHeight="1">
      <c r="A679" s="438"/>
      <c r="B679" s="438"/>
      <c r="C679" s="438"/>
      <c r="D679" s="438"/>
      <c r="E679" s="438"/>
      <c r="F679" s="438"/>
      <c r="G679" s="454"/>
      <c r="H679" s="454"/>
      <c r="I679" s="454"/>
      <c r="J679" s="438"/>
      <c r="K679" s="438"/>
      <c r="L679" s="438"/>
      <c r="M679" s="438"/>
      <c r="N679" s="438"/>
      <c r="O679" s="438"/>
      <c r="P679" s="438"/>
      <c r="Q679" s="438"/>
      <c r="R679" s="438"/>
      <c r="S679" s="438"/>
      <c r="T679" s="438"/>
      <c r="U679" s="438"/>
      <c r="V679" s="438"/>
      <c r="W679" s="438"/>
      <c r="X679" s="438"/>
      <c r="Y679" s="438"/>
      <c r="Z679" s="438"/>
    </row>
    <row r="680" ht="11.25" customHeight="1">
      <c r="A680" s="438"/>
      <c r="B680" s="438"/>
      <c r="C680" s="438"/>
      <c r="D680" s="438"/>
      <c r="E680" s="438"/>
      <c r="F680" s="438"/>
      <c r="G680" s="454"/>
      <c r="H680" s="454"/>
      <c r="I680" s="454"/>
      <c r="J680" s="438"/>
      <c r="K680" s="438"/>
      <c r="L680" s="438"/>
      <c r="M680" s="438"/>
      <c r="N680" s="438"/>
      <c r="O680" s="438"/>
      <c r="P680" s="438"/>
      <c r="Q680" s="438"/>
      <c r="R680" s="438"/>
      <c r="S680" s="438"/>
      <c r="T680" s="438"/>
      <c r="U680" s="438"/>
      <c r="V680" s="438"/>
      <c r="W680" s="438"/>
      <c r="X680" s="438"/>
      <c r="Y680" s="438"/>
      <c r="Z680" s="438"/>
    </row>
    <row r="681" ht="11.25" customHeight="1">
      <c r="A681" s="438"/>
      <c r="B681" s="438"/>
      <c r="C681" s="438"/>
      <c r="D681" s="438"/>
      <c r="E681" s="438"/>
      <c r="F681" s="438"/>
      <c r="G681" s="454"/>
      <c r="H681" s="454"/>
      <c r="I681" s="454"/>
      <c r="J681" s="438"/>
      <c r="K681" s="438"/>
      <c r="L681" s="438"/>
      <c r="M681" s="438"/>
      <c r="N681" s="438"/>
      <c r="O681" s="438"/>
      <c r="P681" s="438"/>
      <c r="Q681" s="438"/>
      <c r="R681" s="438"/>
      <c r="S681" s="438"/>
      <c r="T681" s="438"/>
      <c r="U681" s="438"/>
      <c r="V681" s="438"/>
      <c r="W681" s="438"/>
      <c r="X681" s="438"/>
      <c r="Y681" s="438"/>
      <c r="Z681" s="438"/>
    </row>
    <row r="682" ht="11.25" customHeight="1">
      <c r="A682" s="438"/>
      <c r="B682" s="438"/>
      <c r="C682" s="438"/>
      <c r="D682" s="438"/>
      <c r="E682" s="438"/>
      <c r="F682" s="438"/>
      <c r="G682" s="454"/>
      <c r="H682" s="454"/>
      <c r="I682" s="454"/>
      <c r="J682" s="438"/>
      <c r="K682" s="438"/>
      <c r="L682" s="438"/>
      <c r="M682" s="438"/>
      <c r="N682" s="438"/>
      <c r="O682" s="438"/>
      <c r="P682" s="438"/>
      <c r="Q682" s="438"/>
      <c r="R682" s="438"/>
      <c r="S682" s="438"/>
      <c r="T682" s="438"/>
      <c r="U682" s="438"/>
      <c r="V682" s="438"/>
      <c r="W682" s="438"/>
      <c r="X682" s="438"/>
      <c r="Y682" s="438"/>
      <c r="Z682" s="438"/>
    </row>
    <row r="683" ht="11.25" customHeight="1">
      <c r="A683" s="438"/>
      <c r="B683" s="438"/>
      <c r="C683" s="438"/>
      <c r="D683" s="438"/>
      <c r="E683" s="438"/>
      <c r="F683" s="438"/>
      <c r="G683" s="454"/>
      <c r="H683" s="454"/>
      <c r="I683" s="454"/>
      <c r="J683" s="438"/>
      <c r="K683" s="438"/>
      <c r="L683" s="438"/>
      <c r="M683" s="438"/>
      <c r="N683" s="438"/>
      <c r="O683" s="438"/>
      <c r="P683" s="438"/>
      <c r="Q683" s="438"/>
      <c r="R683" s="438"/>
      <c r="S683" s="438"/>
      <c r="T683" s="438"/>
      <c r="U683" s="438"/>
      <c r="V683" s="438"/>
      <c r="W683" s="438"/>
      <c r="X683" s="438"/>
      <c r="Y683" s="438"/>
      <c r="Z683" s="438"/>
    </row>
    <row r="684" ht="11.25" customHeight="1">
      <c r="A684" s="438"/>
      <c r="B684" s="438"/>
      <c r="C684" s="438"/>
      <c r="D684" s="438"/>
      <c r="E684" s="438"/>
      <c r="F684" s="438"/>
      <c r="G684" s="454"/>
      <c r="H684" s="454"/>
      <c r="I684" s="454"/>
      <c r="J684" s="438"/>
      <c r="K684" s="438"/>
      <c r="L684" s="438"/>
      <c r="M684" s="438"/>
      <c r="N684" s="438"/>
      <c r="O684" s="438"/>
      <c r="P684" s="438"/>
      <c r="Q684" s="438"/>
      <c r="R684" s="438"/>
      <c r="S684" s="438"/>
      <c r="T684" s="438"/>
      <c r="U684" s="438"/>
      <c r="V684" s="438"/>
      <c r="W684" s="438"/>
      <c r="X684" s="438"/>
      <c r="Y684" s="438"/>
      <c r="Z684" s="438"/>
    </row>
    <row r="685" ht="11.25" customHeight="1">
      <c r="A685" s="438"/>
      <c r="B685" s="438"/>
      <c r="C685" s="438"/>
      <c r="D685" s="438"/>
      <c r="E685" s="438"/>
      <c r="F685" s="438"/>
      <c r="G685" s="454"/>
      <c r="H685" s="454"/>
      <c r="I685" s="454"/>
      <c r="J685" s="438"/>
      <c r="K685" s="438"/>
      <c r="L685" s="438"/>
      <c r="M685" s="438"/>
      <c r="N685" s="438"/>
      <c r="O685" s="438"/>
      <c r="P685" s="438"/>
      <c r="Q685" s="438"/>
      <c r="R685" s="438"/>
      <c r="S685" s="438"/>
      <c r="T685" s="438"/>
      <c r="U685" s="438"/>
      <c r="V685" s="438"/>
      <c r="W685" s="438"/>
      <c r="X685" s="438"/>
      <c r="Y685" s="438"/>
      <c r="Z685" s="438"/>
    </row>
    <row r="686" ht="11.25" customHeight="1">
      <c r="A686" s="438"/>
      <c r="B686" s="438"/>
      <c r="C686" s="438"/>
      <c r="D686" s="438"/>
      <c r="E686" s="438"/>
      <c r="F686" s="438"/>
      <c r="G686" s="454"/>
      <c r="H686" s="454"/>
      <c r="I686" s="454"/>
      <c r="J686" s="438"/>
      <c r="K686" s="438"/>
      <c r="L686" s="438"/>
      <c r="M686" s="438"/>
      <c r="N686" s="438"/>
      <c r="O686" s="438"/>
      <c r="P686" s="438"/>
      <c r="Q686" s="438"/>
      <c r="R686" s="438"/>
      <c r="S686" s="438"/>
      <c r="T686" s="438"/>
      <c r="U686" s="438"/>
      <c r="V686" s="438"/>
      <c r="W686" s="438"/>
      <c r="X686" s="438"/>
      <c r="Y686" s="438"/>
      <c r="Z686" s="438"/>
    </row>
    <row r="687" ht="11.25" customHeight="1">
      <c r="A687" s="438"/>
      <c r="B687" s="438"/>
      <c r="C687" s="438"/>
      <c r="D687" s="438"/>
      <c r="E687" s="438"/>
      <c r="F687" s="438"/>
      <c r="G687" s="454"/>
      <c r="H687" s="454"/>
      <c r="I687" s="454"/>
      <c r="J687" s="438"/>
      <c r="K687" s="438"/>
      <c r="L687" s="438"/>
      <c r="M687" s="438"/>
      <c r="N687" s="438"/>
      <c r="O687" s="438"/>
      <c r="P687" s="438"/>
      <c r="Q687" s="438"/>
      <c r="R687" s="438"/>
      <c r="S687" s="438"/>
      <c r="T687" s="438"/>
      <c r="U687" s="438"/>
      <c r="V687" s="438"/>
      <c r="W687" s="438"/>
      <c r="X687" s="438"/>
      <c r="Y687" s="438"/>
      <c r="Z687" s="438"/>
    </row>
    <row r="688" ht="11.25" customHeight="1">
      <c r="A688" s="438"/>
      <c r="B688" s="438"/>
      <c r="C688" s="438"/>
      <c r="D688" s="438"/>
      <c r="E688" s="438"/>
      <c r="F688" s="438"/>
      <c r="G688" s="454"/>
      <c r="H688" s="454"/>
      <c r="I688" s="454"/>
      <c r="J688" s="438"/>
      <c r="K688" s="438"/>
      <c r="L688" s="438"/>
      <c r="M688" s="438"/>
      <c r="N688" s="438"/>
      <c r="O688" s="438"/>
      <c r="P688" s="438"/>
      <c r="Q688" s="438"/>
      <c r="R688" s="438"/>
      <c r="S688" s="438"/>
      <c r="T688" s="438"/>
      <c r="U688" s="438"/>
      <c r="V688" s="438"/>
      <c r="W688" s="438"/>
      <c r="X688" s="438"/>
      <c r="Y688" s="438"/>
      <c r="Z688" s="438"/>
    </row>
    <row r="689" ht="11.25" customHeight="1">
      <c r="A689" s="438"/>
      <c r="B689" s="438"/>
      <c r="C689" s="438"/>
      <c r="D689" s="438"/>
      <c r="E689" s="438"/>
      <c r="F689" s="438"/>
      <c r="G689" s="454"/>
      <c r="H689" s="454"/>
      <c r="I689" s="454"/>
      <c r="J689" s="438"/>
      <c r="K689" s="438"/>
      <c r="L689" s="438"/>
      <c r="M689" s="438"/>
      <c r="N689" s="438"/>
      <c r="O689" s="438"/>
      <c r="P689" s="438"/>
      <c r="Q689" s="438"/>
      <c r="R689" s="438"/>
      <c r="S689" s="438"/>
      <c r="T689" s="438"/>
      <c r="U689" s="438"/>
      <c r="V689" s="438"/>
      <c r="W689" s="438"/>
      <c r="X689" s="438"/>
      <c r="Y689" s="438"/>
      <c r="Z689" s="438"/>
    </row>
    <row r="690" ht="11.25" customHeight="1">
      <c r="A690" s="438"/>
      <c r="B690" s="438"/>
      <c r="C690" s="438"/>
      <c r="D690" s="438"/>
      <c r="E690" s="438"/>
      <c r="F690" s="438"/>
      <c r="G690" s="454"/>
      <c r="H690" s="454"/>
      <c r="I690" s="454"/>
      <c r="J690" s="438"/>
      <c r="K690" s="438"/>
      <c r="L690" s="438"/>
      <c r="M690" s="438"/>
      <c r="N690" s="438"/>
      <c r="O690" s="438"/>
      <c r="P690" s="438"/>
      <c r="Q690" s="438"/>
      <c r="R690" s="438"/>
      <c r="S690" s="438"/>
      <c r="T690" s="438"/>
      <c r="U690" s="438"/>
      <c r="V690" s="438"/>
      <c r="W690" s="438"/>
      <c r="X690" s="438"/>
      <c r="Y690" s="438"/>
      <c r="Z690" s="438"/>
    </row>
    <row r="691" ht="11.25" customHeight="1">
      <c r="A691" s="438"/>
      <c r="B691" s="438"/>
      <c r="C691" s="438"/>
      <c r="D691" s="438"/>
      <c r="E691" s="438"/>
      <c r="F691" s="438"/>
      <c r="G691" s="454"/>
      <c r="H691" s="454"/>
      <c r="I691" s="454"/>
      <c r="J691" s="438"/>
      <c r="K691" s="438"/>
      <c r="L691" s="438"/>
      <c r="M691" s="438"/>
      <c r="N691" s="438"/>
      <c r="O691" s="438"/>
      <c r="P691" s="438"/>
      <c r="Q691" s="438"/>
      <c r="R691" s="438"/>
      <c r="S691" s="438"/>
      <c r="T691" s="438"/>
      <c r="U691" s="438"/>
      <c r="V691" s="438"/>
      <c r="W691" s="438"/>
      <c r="X691" s="438"/>
      <c r="Y691" s="438"/>
      <c r="Z691" s="438"/>
    </row>
    <row r="692" ht="11.25" customHeight="1">
      <c r="A692" s="438"/>
      <c r="B692" s="438"/>
      <c r="C692" s="438"/>
      <c r="D692" s="438"/>
      <c r="E692" s="438"/>
      <c r="F692" s="438"/>
      <c r="G692" s="454"/>
      <c r="H692" s="454"/>
      <c r="I692" s="454"/>
      <c r="J692" s="438"/>
      <c r="K692" s="438"/>
      <c r="L692" s="438"/>
      <c r="M692" s="438"/>
      <c r="N692" s="438"/>
      <c r="O692" s="438"/>
      <c r="P692" s="438"/>
      <c r="Q692" s="438"/>
      <c r="R692" s="438"/>
      <c r="S692" s="438"/>
      <c r="T692" s="438"/>
      <c r="U692" s="438"/>
      <c r="V692" s="438"/>
      <c r="W692" s="438"/>
      <c r="X692" s="438"/>
      <c r="Y692" s="438"/>
      <c r="Z692" s="438"/>
    </row>
    <row r="693" ht="11.25" customHeight="1">
      <c r="A693" s="438"/>
      <c r="B693" s="438"/>
      <c r="C693" s="438"/>
      <c r="D693" s="438"/>
      <c r="E693" s="438"/>
      <c r="F693" s="438"/>
      <c r="G693" s="454"/>
      <c r="H693" s="454"/>
      <c r="I693" s="454"/>
      <c r="J693" s="438"/>
      <c r="K693" s="438"/>
      <c r="L693" s="438"/>
      <c r="M693" s="438"/>
      <c r="N693" s="438"/>
      <c r="O693" s="438"/>
      <c r="P693" s="438"/>
      <c r="Q693" s="438"/>
      <c r="R693" s="438"/>
      <c r="S693" s="438"/>
      <c r="T693" s="438"/>
      <c r="U693" s="438"/>
      <c r="V693" s="438"/>
      <c r="W693" s="438"/>
      <c r="X693" s="438"/>
      <c r="Y693" s="438"/>
      <c r="Z693" s="438"/>
    </row>
    <row r="694" ht="11.25" customHeight="1">
      <c r="A694" s="438"/>
      <c r="B694" s="438"/>
      <c r="C694" s="438"/>
      <c r="D694" s="438"/>
      <c r="E694" s="438"/>
      <c r="F694" s="438"/>
      <c r="G694" s="454"/>
      <c r="H694" s="454"/>
      <c r="I694" s="454"/>
      <c r="J694" s="438"/>
      <c r="K694" s="438"/>
      <c r="L694" s="438"/>
      <c r="M694" s="438"/>
      <c r="N694" s="438"/>
      <c r="O694" s="438"/>
      <c r="P694" s="438"/>
      <c r="Q694" s="438"/>
      <c r="R694" s="438"/>
      <c r="S694" s="438"/>
      <c r="T694" s="438"/>
      <c r="U694" s="438"/>
      <c r="V694" s="438"/>
      <c r="W694" s="438"/>
      <c r="X694" s="438"/>
      <c r="Y694" s="438"/>
      <c r="Z694" s="438"/>
    </row>
    <row r="695" ht="11.25" customHeight="1">
      <c r="A695" s="438"/>
      <c r="B695" s="438"/>
      <c r="C695" s="438"/>
      <c r="D695" s="438"/>
      <c r="E695" s="438"/>
      <c r="F695" s="438"/>
      <c r="G695" s="454"/>
      <c r="H695" s="454"/>
      <c r="I695" s="454"/>
      <c r="J695" s="438"/>
      <c r="K695" s="438"/>
      <c r="L695" s="438"/>
      <c r="M695" s="438"/>
      <c r="N695" s="438"/>
      <c r="O695" s="438"/>
      <c r="P695" s="438"/>
      <c r="Q695" s="438"/>
      <c r="R695" s="438"/>
      <c r="S695" s="438"/>
      <c r="T695" s="438"/>
      <c r="U695" s="438"/>
      <c r="V695" s="438"/>
      <c r="W695" s="438"/>
      <c r="X695" s="438"/>
      <c r="Y695" s="438"/>
      <c r="Z695" s="438"/>
    </row>
    <row r="696" ht="11.25" customHeight="1">
      <c r="A696" s="438"/>
      <c r="B696" s="438"/>
      <c r="C696" s="438"/>
      <c r="D696" s="438"/>
      <c r="E696" s="438"/>
      <c r="F696" s="438"/>
      <c r="G696" s="454"/>
      <c r="H696" s="454"/>
      <c r="I696" s="454"/>
      <c r="J696" s="438"/>
      <c r="K696" s="438"/>
      <c r="L696" s="438"/>
      <c r="M696" s="438"/>
      <c r="N696" s="438"/>
      <c r="O696" s="438"/>
      <c r="P696" s="438"/>
      <c r="Q696" s="438"/>
      <c r="R696" s="438"/>
      <c r="S696" s="438"/>
      <c r="T696" s="438"/>
      <c r="U696" s="438"/>
      <c r="V696" s="438"/>
      <c r="W696" s="438"/>
      <c r="X696" s="438"/>
      <c r="Y696" s="438"/>
      <c r="Z696" s="438"/>
    </row>
    <row r="697" ht="11.25" customHeight="1">
      <c r="A697" s="438"/>
      <c r="B697" s="438"/>
      <c r="C697" s="438"/>
      <c r="D697" s="438"/>
      <c r="E697" s="438"/>
      <c r="F697" s="438"/>
      <c r="G697" s="454"/>
      <c r="H697" s="454"/>
      <c r="I697" s="454"/>
      <c r="J697" s="438"/>
      <c r="K697" s="438"/>
      <c r="L697" s="438"/>
      <c r="M697" s="438"/>
      <c r="N697" s="438"/>
      <c r="O697" s="438"/>
      <c r="P697" s="438"/>
      <c r="Q697" s="438"/>
      <c r="R697" s="438"/>
      <c r="S697" s="438"/>
      <c r="T697" s="438"/>
      <c r="U697" s="438"/>
      <c r="V697" s="438"/>
      <c r="W697" s="438"/>
      <c r="X697" s="438"/>
      <c r="Y697" s="438"/>
      <c r="Z697" s="438"/>
    </row>
    <row r="698" ht="11.25" customHeight="1">
      <c r="A698" s="438"/>
      <c r="B698" s="438"/>
      <c r="C698" s="438"/>
      <c r="D698" s="438"/>
      <c r="E698" s="438"/>
      <c r="F698" s="438"/>
      <c r="G698" s="454"/>
      <c r="H698" s="454"/>
      <c r="I698" s="454"/>
      <c r="J698" s="438"/>
      <c r="K698" s="438"/>
      <c r="L698" s="438"/>
      <c r="M698" s="438"/>
      <c r="N698" s="438"/>
      <c r="O698" s="438"/>
      <c r="P698" s="438"/>
      <c r="Q698" s="438"/>
      <c r="R698" s="438"/>
      <c r="S698" s="438"/>
      <c r="T698" s="438"/>
      <c r="U698" s="438"/>
      <c r="V698" s="438"/>
      <c r="W698" s="438"/>
      <c r="X698" s="438"/>
      <c r="Y698" s="438"/>
      <c r="Z698" s="438"/>
    </row>
    <row r="699" ht="11.25" customHeight="1">
      <c r="A699" s="438"/>
      <c r="B699" s="438"/>
      <c r="C699" s="438"/>
      <c r="D699" s="438"/>
      <c r="E699" s="438"/>
      <c r="F699" s="438"/>
      <c r="G699" s="454"/>
      <c r="H699" s="454"/>
      <c r="I699" s="454"/>
      <c r="J699" s="438"/>
      <c r="K699" s="438"/>
      <c r="L699" s="438"/>
      <c r="M699" s="438"/>
      <c r="N699" s="438"/>
      <c r="O699" s="438"/>
      <c r="P699" s="438"/>
      <c r="Q699" s="438"/>
      <c r="R699" s="438"/>
      <c r="S699" s="438"/>
      <c r="T699" s="438"/>
      <c r="U699" s="438"/>
      <c r="V699" s="438"/>
      <c r="W699" s="438"/>
      <c r="X699" s="438"/>
      <c r="Y699" s="438"/>
      <c r="Z699" s="438"/>
    </row>
    <row r="700" ht="11.25" customHeight="1">
      <c r="A700" s="438"/>
      <c r="B700" s="438"/>
      <c r="C700" s="438"/>
      <c r="D700" s="438"/>
      <c r="E700" s="438"/>
      <c r="F700" s="438"/>
      <c r="G700" s="454"/>
      <c r="H700" s="454"/>
      <c r="I700" s="454"/>
      <c r="J700" s="438"/>
      <c r="K700" s="438"/>
      <c r="L700" s="438"/>
      <c r="M700" s="438"/>
      <c r="N700" s="438"/>
      <c r="O700" s="438"/>
      <c r="P700" s="438"/>
      <c r="Q700" s="438"/>
      <c r="R700" s="438"/>
      <c r="S700" s="438"/>
      <c r="T700" s="438"/>
      <c r="U700" s="438"/>
      <c r="V700" s="438"/>
      <c r="W700" s="438"/>
      <c r="X700" s="438"/>
      <c r="Y700" s="438"/>
      <c r="Z700" s="438"/>
    </row>
    <row r="701" ht="11.25" customHeight="1">
      <c r="A701" s="438"/>
      <c r="B701" s="438"/>
      <c r="C701" s="438"/>
      <c r="D701" s="438"/>
      <c r="E701" s="438"/>
      <c r="F701" s="438"/>
      <c r="G701" s="454"/>
      <c r="H701" s="454"/>
      <c r="I701" s="454"/>
      <c r="J701" s="438"/>
      <c r="K701" s="438"/>
      <c r="L701" s="438"/>
      <c r="M701" s="438"/>
      <c r="N701" s="438"/>
      <c r="O701" s="438"/>
      <c r="P701" s="438"/>
      <c r="Q701" s="438"/>
      <c r="R701" s="438"/>
      <c r="S701" s="438"/>
      <c r="T701" s="438"/>
      <c r="U701" s="438"/>
      <c r="V701" s="438"/>
      <c r="W701" s="438"/>
      <c r="X701" s="438"/>
      <c r="Y701" s="438"/>
      <c r="Z701" s="438"/>
    </row>
    <row r="702" ht="11.25" customHeight="1">
      <c r="A702" s="438"/>
      <c r="B702" s="438"/>
      <c r="C702" s="438"/>
      <c r="D702" s="438"/>
      <c r="E702" s="438"/>
      <c r="F702" s="438"/>
      <c r="G702" s="454"/>
      <c r="H702" s="454"/>
      <c r="I702" s="454"/>
      <c r="J702" s="438"/>
      <c r="K702" s="438"/>
      <c r="L702" s="438"/>
      <c r="M702" s="438"/>
      <c r="N702" s="438"/>
      <c r="O702" s="438"/>
      <c r="P702" s="438"/>
      <c r="Q702" s="438"/>
      <c r="R702" s="438"/>
      <c r="S702" s="438"/>
      <c r="T702" s="438"/>
      <c r="U702" s="438"/>
      <c r="V702" s="438"/>
      <c r="W702" s="438"/>
      <c r="X702" s="438"/>
      <c r="Y702" s="438"/>
      <c r="Z702" s="438"/>
    </row>
    <row r="703" ht="11.25" customHeight="1">
      <c r="A703" s="438"/>
      <c r="B703" s="438"/>
      <c r="C703" s="438"/>
      <c r="D703" s="438"/>
      <c r="E703" s="438"/>
      <c r="F703" s="438"/>
      <c r="G703" s="454"/>
      <c r="H703" s="454"/>
      <c r="I703" s="454"/>
      <c r="J703" s="438"/>
      <c r="K703" s="438"/>
      <c r="L703" s="438"/>
      <c r="M703" s="438"/>
      <c r="N703" s="438"/>
      <c r="O703" s="438"/>
      <c r="P703" s="438"/>
      <c r="Q703" s="438"/>
      <c r="R703" s="438"/>
      <c r="S703" s="438"/>
      <c r="T703" s="438"/>
      <c r="U703" s="438"/>
      <c r="V703" s="438"/>
      <c r="W703" s="438"/>
      <c r="X703" s="438"/>
      <c r="Y703" s="438"/>
      <c r="Z703" s="438"/>
    </row>
    <row r="704" ht="11.25" customHeight="1">
      <c r="A704" s="438"/>
      <c r="B704" s="438"/>
      <c r="C704" s="438"/>
      <c r="D704" s="438"/>
      <c r="E704" s="438"/>
      <c r="F704" s="438"/>
      <c r="G704" s="454"/>
      <c r="H704" s="454"/>
      <c r="I704" s="454"/>
      <c r="J704" s="438"/>
      <c r="K704" s="438"/>
      <c r="L704" s="438"/>
      <c r="M704" s="438"/>
      <c r="N704" s="438"/>
      <c r="O704" s="438"/>
      <c r="P704" s="438"/>
      <c r="Q704" s="438"/>
      <c r="R704" s="438"/>
      <c r="S704" s="438"/>
      <c r="T704" s="438"/>
      <c r="U704" s="438"/>
      <c r="V704" s="438"/>
      <c r="W704" s="438"/>
      <c r="X704" s="438"/>
      <c r="Y704" s="438"/>
      <c r="Z704" s="438"/>
    </row>
    <row r="705" ht="11.25" customHeight="1">
      <c r="A705" s="438"/>
      <c r="B705" s="438"/>
      <c r="C705" s="438"/>
      <c r="D705" s="438"/>
      <c r="E705" s="438"/>
      <c r="F705" s="438"/>
      <c r="G705" s="454"/>
      <c r="H705" s="454"/>
      <c r="I705" s="454"/>
      <c r="J705" s="438"/>
      <c r="K705" s="438"/>
      <c r="L705" s="438"/>
      <c r="M705" s="438"/>
      <c r="N705" s="438"/>
      <c r="O705" s="438"/>
      <c r="P705" s="438"/>
      <c r="Q705" s="438"/>
      <c r="R705" s="438"/>
      <c r="S705" s="438"/>
      <c r="T705" s="438"/>
      <c r="U705" s="438"/>
      <c r="V705" s="438"/>
      <c r="W705" s="438"/>
      <c r="X705" s="438"/>
      <c r="Y705" s="438"/>
      <c r="Z705" s="438"/>
    </row>
    <row r="706" ht="11.25" customHeight="1">
      <c r="A706" s="438"/>
      <c r="B706" s="438"/>
      <c r="C706" s="438"/>
      <c r="D706" s="438"/>
      <c r="E706" s="438"/>
      <c r="F706" s="438"/>
      <c r="G706" s="454"/>
      <c r="H706" s="454"/>
      <c r="I706" s="454"/>
      <c r="J706" s="438"/>
      <c r="K706" s="438"/>
      <c r="L706" s="438"/>
      <c r="M706" s="438"/>
      <c r="N706" s="438"/>
      <c r="O706" s="438"/>
      <c r="P706" s="438"/>
      <c r="Q706" s="438"/>
      <c r="R706" s="438"/>
      <c r="S706" s="438"/>
      <c r="T706" s="438"/>
      <c r="U706" s="438"/>
      <c r="V706" s="438"/>
      <c r="W706" s="438"/>
      <c r="X706" s="438"/>
      <c r="Y706" s="438"/>
      <c r="Z706" s="438"/>
    </row>
    <row r="707" ht="11.25" customHeight="1">
      <c r="A707" s="438"/>
      <c r="B707" s="438"/>
      <c r="C707" s="438"/>
      <c r="D707" s="438"/>
      <c r="E707" s="438"/>
      <c r="F707" s="438"/>
      <c r="G707" s="454"/>
      <c r="H707" s="454"/>
      <c r="I707" s="454"/>
      <c r="J707" s="438"/>
      <c r="K707" s="438"/>
      <c r="L707" s="438"/>
      <c r="M707" s="438"/>
      <c r="N707" s="438"/>
      <c r="O707" s="438"/>
      <c r="P707" s="438"/>
      <c r="Q707" s="438"/>
      <c r="R707" s="438"/>
      <c r="S707" s="438"/>
      <c r="T707" s="438"/>
      <c r="U707" s="438"/>
      <c r="V707" s="438"/>
      <c r="W707" s="438"/>
      <c r="X707" s="438"/>
      <c r="Y707" s="438"/>
      <c r="Z707" s="438"/>
    </row>
    <row r="708" ht="11.25" customHeight="1">
      <c r="A708" s="438"/>
      <c r="B708" s="438"/>
      <c r="C708" s="438"/>
      <c r="D708" s="438"/>
      <c r="E708" s="438"/>
      <c r="F708" s="438"/>
      <c r="G708" s="454"/>
      <c r="H708" s="454"/>
      <c r="I708" s="454"/>
      <c r="J708" s="438"/>
      <c r="K708" s="438"/>
      <c r="L708" s="438"/>
      <c r="M708" s="438"/>
      <c r="N708" s="438"/>
      <c r="O708" s="438"/>
      <c r="P708" s="438"/>
      <c r="Q708" s="438"/>
      <c r="R708" s="438"/>
      <c r="S708" s="438"/>
      <c r="T708" s="438"/>
      <c r="U708" s="438"/>
      <c r="V708" s="438"/>
      <c r="W708" s="438"/>
      <c r="X708" s="438"/>
      <c r="Y708" s="438"/>
      <c r="Z708" s="438"/>
    </row>
    <row r="709" ht="11.25" customHeight="1">
      <c r="A709" s="438"/>
      <c r="B709" s="438"/>
      <c r="C709" s="438"/>
      <c r="D709" s="438"/>
      <c r="E709" s="438"/>
      <c r="F709" s="438"/>
      <c r="G709" s="454"/>
      <c r="H709" s="454"/>
      <c r="I709" s="454"/>
      <c r="J709" s="438"/>
      <c r="K709" s="438"/>
      <c r="L709" s="438"/>
      <c r="M709" s="438"/>
      <c r="N709" s="438"/>
      <c r="O709" s="438"/>
      <c r="P709" s="438"/>
      <c r="Q709" s="438"/>
      <c r="R709" s="438"/>
      <c r="S709" s="438"/>
      <c r="T709" s="438"/>
      <c r="U709" s="438"/>
      <c r="V709" s="438"/>
      <c r="W709" s="438"/>
      <c r="X709" s="438"/>
      <c r="Y709" s="438"/>
      <c r="Z709" s="438"/>
    </row>
    <row r="710" ht="11.25" customHeight="1">
      <c r="A710" s="438"/>
      <c r="B710" s="438"/>
      <c r="C710" s="438"/>
      <c r="D710" s="438"/>
      <c r="E710" s="438"/>
      <c r="F710" s="438"/>
      <c r="G710" s="454"/>
      <c r="H710" s="454"/>
      <c r="I710" s="454"/>
      <c r="J710" s="438"/>
      <c r="K710" s="438"/>
      <c r="L710" s="438"/>
      <c r="M710" s="438"/>
      <c r="N710" s="438"/>
      <c r="O710" s="438"/>
      <c r="P710" s="438"/>
      <c r="Q710" s="438"/>
      <c r="R710" s="438"/>
      <c r="S710" s="438"/>
      <c r="T710" s="438"/>
      <c r="U710" s="438"/>
      <c r="V710" s="438"/>
      <c r="W710" s="438"/>
      <c r="X710" s="438"/>
      <c r="Y710" s="438"/>
      <c r="Z710" s="438"/>
    </row>
    <row r="711" ht="11.25" customHeight="1">
      <c r="A711" s="438"/>
      <c r="B711" s="438"/>
      <c r="C711" s="438"/>
      <c r="D711" s="438"/>
      <c r="E711" s="438"/>
      <c r="F711" s="438"/>
      <c r="G711" s="454"/>
      <c r="H711" s="454"/>
      <c r="I711" s="454"/>
      <c r="J711" s="438"/>
      <c r="K711" s="438"/>
      <c r="L711" s="438"/>
      <c r="M711" s="438"/>
      <c r="N711" s="438"/>
      <c r="O711" s="438"/>
      <c r="P711" s="438"/>
      <c r="Q711" s="438"/>
      <c r="R711" s="438"/>
      <c r="S711" s="438"/>
      <c r="T711" s="438"/>
      <c r="U711" s="438"/>
      <c r="V711" s="438"/>
      <c r="W711" s="438"/>
      <c r="X711" s="438"/>
      <c r="Y711" s="438"/>
      <c r="Z711" s="438"/>
    </row>
    <row r="712" ht="11.25" customHeight="1">
      <c r="A712" s="438"/>
      <c r="B712" s="438"/>
      <c r="C712" s="438"/>
      <c r="D712" s="438"/>
      <c r="E712" s="438"/>
      <c r="F712" s="438"/>
      <c r="G712" s="454"/>
      <c r="H712" s="454"/>
      <c r="I712" s="454"/>
      <c r="J712" s="438"/>
      <c r="K712" s="438"/>
      <c r="L712" s="438"/>
      <c r="M712" s="438"/>
      <c r="N712" s="438"/>
      <c r="O712" s="438"/>
      <c r="P712" s="438"/>
      <c r="Q712" s="438"/>
      <c r="R712" s="438"/>
      <c r="S712" s="438"/>
      <c r="T712" s="438"/>
      <c r="U712" s="438"/>
      <c r="V712" s="438"/>
      <c r="W712" s="438"/>
      <c r="X712" s="438"/>
      <c r="Y712" s="438"/>
      <c r="Z712" s="438"/>
    </row>
    <row r="713" ht="11.25" customHeight="1">
      <c r="A713" s="438"/>
      <c r="B713" s="438"/>
      <c r="C713" s="438"/>
      <c r="D713" s="438"/>
      <c r="E713" s="438"/>
      <c r="F713" s="438"/>
      <c r="G713" s="454"/>
      <c r="H713" s="454"/>
      <c r="I713" s="454"/>
      <c r="J713" s="438"/>
      <c r="K713" s="438"/>
      <c r="L713" s="438"/>
      <c r="M713" s="438"/>
      <c r="N713" s="438"/>
      <c r="O713" s="438"/>
      <c r="P713" s="438"/>
      <c r="Q713" s="438"/>
      <c r="R713" s="438"/>
      <c r="S713" s="438"/>
      <c r="T713" s="438"/>
      <c r="U713" s="438"/>
      <c r="V713" s="438"/>
      <c r="W713" s="438"/>
      <c r="X713" s="438"/>
      <c r="Y713" s="438"/>
      <c r="Z713" s="438"/>
    </row>
    <row r="714" ht="11.25" customHeight="1">
      <c r="A714" s="438"/>
      <c r="B714" s="438"/>
      <c r="C714" s="438"/>
      <c r="D714" s="438"/>
      <c r="E714" s="438"/>
      <c r="F714" s="438"/>
      <c r="G714" s="454"/>
      <c r="H714" s="454"/>
      <c r="I714" s="454"/>
      <c r="J714" s="438"/>
      <c r="K714" s="438"/>
      <c r="L714" s="438"/>
      <c r="M714" s="438"/>
      <c r="N714" s="438"/>
      <c r="O714" s="438"/>
      <c r="P714" s="438"/>
      <c r="Q714" s="438"/>
      <c r="R714" s="438"/>
      <c r="S714" s="438"/>
      <c r="T714" s="438"/>
      <c r="U714" s="438"/>
      <c r="V714" s="438"/>
      <c r="W714" s="438"/>
      <c r="X714" s="438"/>
      <c r="Y714" s="438"/>
      <c r="Z714" s="438"/>
    </row>
    <row r="715" ht="11.25" customHeight="1">
      <c r="A715" s="438"/>
      <c r="B715" s="438"/>
      <c r="C715" s="438"/>
      <c r="D715" s="438"/>
      <c r="E715" s="438"/>
      <c r="F715" s="438"/>
      <c r="G715" s="454"/>
      <c r="H715" s="454"/>
      <c r="I715" s="454"/>
      <c r="J715" s="438"/>
      <c r="K715" s="438"/>
      <c r="L715" s="438"/>
      <c r="M715" s="438"/>
      <c r="N715" s="438"/>
      <c r="O715" s="438"/>
      <c r="P715" s="438"/>
      <c r="Q715" s="438"/>
      <c r="R715" s="438"/>
      <c r="S715" s="438"/>
      <c r="T715" s="438"/>
      <c r="U715" s="438"/>
      <c r="V715" s="438"/>
      <c r="W715" s="438"/>
      <c r="X715" s="438"/>
      <c r="Y715" s="438"/>
      <c r="Z715" s="438"/>
    </row>
    <row r="716" ht="11.25" customHeight="1">
      <c r="A716" s="438"/>
      <c r="B716" s="438"/>
      <c r="C716" s="438"/>
      <c r="D716" s="438"/>
      <c r="E716" s="438"/>
      <c r="F716" s="438"/>
      <c r="G716" s="454"/>
      <c r="H716" s="454"/>
      <c r="I716" s="454"/>
      <c r="J716" s="438"/>
      <c r="K716" s="438"/>
      <c r="L716" s="438"/>
      <c r="M716" s="438"/>
      <c r="N716" s="438"/>
      <c r="O716" s="438"/>
      <c r="P716" s="438"/>
      <c r="Q716" s="438"/>
      <c r="R716" s="438"/>
      <c r="S716" s="438"/>
      <c r="T716" s="438"/>
      <c r="U716" s="438"/>
      <c r="V716" s="438"/>
      <c r="W716" s="438"/>
      <c r="X716" s="438"/>
      <c r="Y716" s="438"/>
      <c r="Z716" s="438"/>
    </row>
    <row r="717" ht="11.25" customHeight="1">
      <c r="A717" s="438"/>
      <c r="B717" s="438"/>
      <c r="C717" s="438"/>
      <c r="D717" s="438"/>
      <c r="E717" s="438"/>
      <c r="F717" s="438"/>
      <c r="G717" s="454"/>
      <c r="H717" s="454"/>
      <c r="I717" s="454"/>
      <c r="J717" s="438"/>
      <c r="K717" s="438"/>
      <c r="L717" s="438"/>
      <c r="M717" s="438"/>
      <c r="N717" s="438"/>
      <c r="O717" s="438"/>
      <c r="P717" s="438"/>
      <c r="Q717" s="438"/>
      <c r="R717" s="438"/>
      <c r="S717" s="438"/>
      <c r="T717" s="438"/>
      <c r="U717" s="438"/>
      <c r="V717" s="438"/>
      <c r="W717" s="438"/>
      <c r="X717" s="438"/>
      <c r="Y717" s="438"/>
      <c r="Z717" s="438"/>
    </row>
    <row r="718" ht="11.25" customHeight="1">
      <c r="A718" s="438"/>
      <c r="B718" s="438"/>
      <c r="C718" s="438"/>
      <c r="D718" s="438"/>
      <c r="E718" s="438"/>
      <c r="F718" s="438"/>
      <c r="G718" s="454"/>
      <c r="H718" s="454"/>
      <c r="I718" s="454"/>
      <c r="J718" s="438"/>
      <c r="K718" s="438"/>
      <c r="L718" s="438"/>
      <c r="M718" s="438"/>
      <c r="N718" s="438"/>
      <c r="O718" s="438"/>
      <c r="P718" s="438"/>
      <c r="Q718" s="438"/>
      <c r="R718" s="438"/>
      <c r="S718" s="438"/>
      <c r="T718" s="438"/>
      <c r="U718" s="438"/>
      <c r="V718" s="438"/>
      <c r="W718" s="438"/>
      <c r="X718" s="438"/>
      <c r="Y718" s="438"/>
      <c r="Z718" s="438"/>
    </row>
    <row r="719" ht="11.25" customHeight="1">
      <c r="A719" s="438"/>
      <c r="B719" s="438"/>
      <c r="C719" s="438"/>
      <c r="D719" s="438"/>
      <c r="E719" s="438"/>
      <c r="F719" s="438"/>
      <c r="G719" s="454"/>
      <c r="H719" s="454"/>
      <c r="I719" s="454"/>
      <c r="J719" s="438"/>
      <c r="K719" s="438"/>
      <c r="L719" s="438"/>
      <c r="M719" s="438"/>
      <c r="N719" s="438"/>
      <c r="O719" s="438"/>
      <c r="P719" s="438"/>
      <c r="Q719" s="438"/>
      <c r="R719" s="438"/>
      <c r="S719" s="438"/>
      <c r="T719" s="438"/>
      <c r="U719" s="438"/>
      <c r="V719" s="438"/>
      <c r="W719" s="438"/>
      <c r="X719" s="438"/>
      <c r="Y719" s="438"/>
      <c r="Z719" s="438"/>
    </row>
    <row r="720" ht="11.25" customHeight="1">
      <c r="A720" s="438"/>
      <c r="B720" s="438"/>
      <c r="C720" s="438"/>
      <c r="D720" s="438"/>
      <c r="E720" s="438"/>
      <c r="F720" s="438"/>
      <c r="G720" s="454"/>
      <c r="H720" s="454"/>
      <c r="I720" s="454"/>
      <c r="J720" s="438"/>
      <c r="K720" s="438"/>
      <c r="L720" s="438"/>
      <c r="M720" s="438"/>
      <c r="N720" s="438"/>
      <c r="O720" s="438"/>
      <c r="P720" s="438"/>
      <c r="Q720" s="438"/>
      <c r="R720" s="438"/>
      <c r="S720" s="438"/>
      <c r="T720" s="438"/>
      <c r="U720" s="438"/>
      <c r="V720" s="438"/>
      <c r="W720" s="438"/>
      <c r="X720" s="438"/>
      <c r="Y720" s="438"/>
      <c r="Z720" s="438"/>
    </row>
    <row r="721" ht="11.25" customHeight="1">
      <c r="A721" s="438"/>
      <c r="B721" s="438"/>
      <c r="C721" s="438"/>
      <c r="D721" s="438"/>
      <c r="E721" s="438"/>
      <c r="F721" s="438"/>
      <c r="G721" s="454"/>
      <c r="H721" s="454"/>
      <c r="I721" s="454"/>
      <c r="J721" s="438"/>
      <c r="K721" s="438"/>
      <c r="L721" s="438"/>
      <c r="M721" s="438"/>
      <c r="N721" s="438"/>
      <c r="O721" s="438"/>
      <c r="P721" s="438"/>
      <c r="Q721" s="438"/>
      <c r="R721" s="438"/>
      <c r="S721" s="438"/>
      <c r="T721" s="438"/>
      <c r="U721" s="438"/>
      <c r="V721" s="438"/>
      <c r="W721" s="438"/>
      <c r="X721" s="438"/>
      <c r="Y721" s="438"/>
      <c r="Z721" s="438"/>
    </row>
    <row r="722" ht="11.25" customHeight="1">
      <c r="A722" s="438"/>
      <c r="B722" s="438"/>
      <c r="C722" s="438"/>
      <c r="D722" s="438"/>
      <c r="E722" s="438"/>
      <c r="F722" s="438"/>
      <c r="G722" s="454"/>
      <c r="H722" s="454"/>
      <c r="I722" s="454"/>
      <c r="J722" s="438"/>
      <c r="K722" s="438"/>
      <c r="L722" s="438"/>
      <c r="M722" s="438"/>
      <c r="N722" s="438"/>
      <c r="O722" s="438"/>
      <c r="P722" s="438"/>
      <c r="Q722" s="438"/>
      <c r="R722" s="438"/>
      <c r="S722" s="438"/>
      <c r="T722" s="438"/>
      <c r="U722" s="438"/>
      <c r="V722" s="438"/>
      <c r="W722" s="438"/>
      <c r="X722" s="438"/>
      <c r="Y722" s="438"/>
      <c r="Z722" s="438"/>
    </row>
    <row r="723" ht="11.25" customHeight="1">
      <c r="A723" s="438"/>
      <c r="B723" s="438"/>
      <c r="C723" s="438"/>
      <c r="D723" s="438"/>
      <c r="E723" s="438"/>
      <c r="F723" s="438"/>
      <c r="G723" s="454"/>
      <c r="H723" s="454"/>
      <c r="I723" s="454"/>
      <c r="J723" s="438"/>
      <c r="K723" s="438"/>
      <c r="L723" s="438"/>
      <c r="M723" s="438"/>
      <c r="N723" s="438"/>
      <c r="O723" s="438"/>
      <c r="P723" s="438"/>
      <c r="Q723" s="438"/>
      <c r="R723" s="438"/>
      <c r="S723" s="438"/>
      <c r="T723" s="438"/>
      <c r="U723" s="438"/>
      <c r="V723" s="438"/>
      <c r="W723" s="438"/>
      <c r="X723" s="438"/>
      <c r="Y723" s="438"/>
      <c r="Z723" s="438"/>
    </row>
    <row r="724" ht="11.25" customHeight="1">
      <c r="A724" s="438"/>
      <c r="B724" s="438"/>
      <c r="C724" s="438"/>
      <c r="D724" s="438"/>
      <c r="E724" s="438"/>
      <c r="F724" s="438"/>
      <c r="G724" s="454"/>
      <c r="H724" s="454"/>
      <c r="I724" s="454"/>
      <c r="J724" s="438"/>
      <c r="K724" s="438"/>
      <c r="L724" s="438"/>
      <c r="M724" s="438"/>
      <c r="N724" s="438"/>
      <c r="O724" s="438"/>
      <c r="P724" s="438"/>
      <c r="Q724" s="438"/>
      <c r="R724" s="438"/>
      <c r="S724" s="438"/>
      <c r="T724" s="438"/>
      <c r="U724" s="438"/>
      <c r="V724" s="438"/>
      <c r="W724" s="438"/>
      <c r="X724" s="438"/>
      <c r="Y724" s="438"/>
      <c r="Z724" s="438"/>
    </row>
    <row r="725" ht="11.25" customHeight="1">
      <c r="A725" s="438"/>
      <c r="B725" s="438"/>
      <c r="C725" s="438"/>
      <c r="D725" s="438"/>
      <c r="E725" s="438"/>
      <c r="F725" s="438"/>
      <c r="G725" s="454"/>
      <c r="H725" s="454"/>
      <c r="I725" s="454"/>
      <c r="J725" s="438"/>
      <c r="K725" s="438"/>
      <c r="L725" s="438"/>
      <c r="M725" s="438"/>
      <c r="N725" s="438"/>
      <c r="O725" s="438"/>
      <c r="P725" s="438"/>
      <c r="Q725" s="438"/>
      <c r="R725" s="438"/>
      <c r="S725" s="438"/>
      <c r="T725" s="438"/>
      <c r="U725" s="438"/>
      <c r="V725" s="438"/>
      <c r="W725" s="438"/>
      <c r="X725" s="438"/>
      <c r="Y725" s="438"/>
      <c r="Z725" s="438"/>
    </row>
    <row r="726" ht="11.25" customHeight="1">
      <c r="A726" s="438"/>
      <c r="B726" s="438"/>
      <c r="C726" s="438"/>
      <c r="D726" s="438"/>
      <c r="E726" s="438"/>
      <c r="F726" s="438"/>
      <c r="G726" s="454"/>
      <c r="H726" s="454"/>
      <c r="I726" s="454"/>
      <c r="J726" s="438"/>
      <c r="K726" s="438"/>
      <c r="L726" s="438"/>
      <c r="M726" s="438"/>
      <c r="N726" s="438"/>
      <c r="O726" s="438"/>
      <c r="P726" s="438"/>
      <c r="Q726" s="438"/>
      <c r="R726" s="438"/>
      <c r="S726" s="438"/>
      <c r="T726" s="438"/>
      <c r="U726" s="438"/>
      <c r="V726" s="438"/>
      <c r="W726" s="438"/>
      <c r="X726" s="438"/>
      <c r="Y726" s="438"/>
      <c r="Z726" s="438"/>
    </row>
    <row r="727" ht="11.25" customHeight="1">
      <c r="A727" s="438"/>
      <c r="B727" s="438"/>
      <c r="C727" s="438"/>
      <c r="D727" s="438"/>
      <c r="E727" s="438"/>
      <c r="F727" s="438"/>
      <c r="G727" s="454"/>
      <c r="H727" s="454"/>
      <c r="I727" s="454"/>
      <c r="J727" s="438"/>
      <c r="K727" s="438"/>
      <c r="L727" s="438"/>
      <c r="M727" s="438"/>
      <c r="N727" s="438"/>
      <c r="O727" s="438"/>
      <c r="P727" s="438"/>
      <c r="Q727" s="438"/>
      <c r="R727" s="438"/>
      <c r="S727" s="438"/>
      <c r="T727" s="438"/>
      <c r="U727" s="438"/>
      <c r="V727" s="438"/>
      <c r="W727" s="438"/>
      <c r="X727" s="438"/>
      <c r="Y727" s="438"/>
      <c r="Z727" s="438"/>
    </row>
    <row r="728" ht="11.25" customHeight="1">
      <c r="A728" s="438"/>
      <c r="B728" s="438"/>
      <c r="C728" s="438"/>
      <c r="D728" s="438"/>
      <c r="E728" s="438"/>
      <c r="F728" s="438"/>
      <c r="G728" s="454"/>
      <c r="H728" s="454"/>
      <c r="I728" s="454"/>
      <c r="J728" s="438"/>
      <c r="K728" s="438"/>
      <c r="L728" s="438"/>
      <c r="M728" s="438"/>
      <c r="N728" s="438"/>
      <c r="O728" s="438"/>
      <c r="P728" s="438"/>
      <c r="Q728" s="438"/>
      <c r="R728" s="438"/>
      <c r="S728" s="438"/>
      <c r="T728" s="438"/>
      <c r="U728" s="438"/>
      <c r="V728" s="438"/>
      <c r="W728" s="438"/>
      <c r="X728" s="438"/>
      <c r="Y728" s="438"/>
      <c r="Z728" s="438"/>
    </row>
    <row r="729" ht="11.25" customHeight="1">
      <c r="A729" s="438"/>
      <c r="B729" s="438"/>
      <c r="C729" s="438"/>
      <c r="D729" s="438"/>
      <c r="E729" s="438"/>
      <c r="F729" s="438"/>
      <c r="G729" s="454"/>
      <c r="H729" s="454"/>
      <c r="I729" s="454"/>
      <c r="J729" s="438"/>
      <c r="K729" s="438"/>
      <c r="L729" s="438"/>
      <c r="M729" s="438"/>
      <c r="N729" s="438"/>
      <c r="O729" s="438"/>
      <c r="P729" s="438"/>
      <c r="Q729" s="438"/>
      <c r="R729" s="438"/>
      <c r="S729" s="438"/>
      <c r="T729" s="438"/>
      <c r="U729" s="438"/>
      <c r="V729" s="438"/>
      <c r="W729" s="438"/>
      <c r="X729" s="438"/>
      <c r="Y729" s="438"/>
      <c r="Z729" s="438"/>
    </row>
    <row r="730" ht="11.25" customHeight="1">
      <c r="A730" s="438"/>
      <c r="B730" s="438"/>
      <c r="C730" s="438"/>
      <c r="D730" s="438"/>
      <c r="E730" s="438"/>
      <c r="F730" s="438"/>
      <c r="G730" s="454"/>
      <c r="H730" s="454"/>
      <c r="I730" s="454"/>
      <c r="J730" s="438"/>
      <c r="K730" s="438"/>
      <c r="L730" s="438"/>
      <c r="M730" s="438"/>
      <c r="N730" s="438"/>
      <c r="O730" s="438"/>
      <c r="P730" s="438"/>
      <c r="Q730" s="438"/>
      <c r="R730" s="438"/>
      <c r="S730" s="438"/>
      <c r="T730" s="438"/>
      <c r="U730" s="438"/>
      <c r="V730" s="438"/>
      <c r="W730" s="438"/>
      <c r="X730" s="438"/>
      <c r="Y730" s="438"/>
      <c r="Z730" s="438"/>
    </row>
    <row r="731" ht="11.25" customHeight="1">
      <c r="A731" s="438"/>
      <c r="B731" s="438"/>
      <c r="C731" s="438"/>
      <c r="D731" s="438"/>
      <c r="E731" s="438"/>
      <c r="F731" s="438"/>
      <c r="G731" s="454"/>
      <c r="H731" s="454"/>
      <c r="I731" s="454"/>
      <c r="J731" s="438"/>
      <c r="K731" s="438"/>
      <c r="L731" s="438"/>
      <c r="M731" s="438"/>
      <c r="N731" s="438"/>
      <c r="O731" s="438"/>
      <c r="P731" s="438"/>
      <c r="Q731" s="438"/>
      <c r="R731" s="438"/>
      <c r="S731" s="438"/>
      <c r="T731" s="438"/>
      <c r="U731" s="438"/>
      <c r="V731" s="438"/>
      <c r="W731" s="438"/>
      <c r="X731" s="438"/>
      <c r="Y731" s="438"/>
      <c r="Z731" s="438"/>
    </row>
    <row r="732" ht="11.25" customHeight="1">
      <c r="A732" s="438"/>
      <c r="B732" s="438"/>
      <c r="C732" s="438"/>
      <c r="D732" s="438"/>
      <c r="E732" s="438"/>
      <c r="F732" s="438"/>
      <c r="G732" s="454"/>
      <c r="H732" s="454"/>
      <c r="I732" s="454"/>
      <c r="J732" s="438"/>
      <c r="K732" s="438"/>
      <c r="L732" s="438"/>
      <c r="M732" s="438"/>
      <c r="N732" s="438"/>
      <c r="O732" s="438"/>
      <c r="P732" s="438"/>
      <c r="Q732" s="438"/>
      <c r="R732" s="438"/>
      <c r="S732" s="438"/>
      <c r="T732" s="438"/>
      <c r="U732" s="438"/>
      <c r="V732" s="438"/>
      <c r="W732" s="438"/>
      <c r="X732" s="438"/>
      <c r="Y732" s="438"/>
      <c r="Z732" s="438"/>
    </row>
    <row r="733" ht="11.25" customHeight="1">
      <c r="A733" s="438"/>
      <c r="B733" s="438"/>
      <c r="C733" s="438"/>
      <c r="D733" s="438"/>
      <c r="E733" s="438"/>
      <c r="F733" s="438"/>
      <c r="G733" s="454"/>
      <c r="H733" s="454"/>
      <c r="I733" s="454"/>
      <c r="J733" s="438"/>
      <c r="K733" s="438"/>
      <c r="L733" s="438"/>
      <c r="M733" s="438"/>
      <c r="N733" s="438"/>
      <c r="O733" s="438"/>
      <c r="P733" s="438"/>
      <c r="Q733" s="438"/>
      <c r="R733" s="438"/>
      <c r="S733" s="438"/>
      <c r="T733" s="438"/>
      <c r="U733" s="438"/>
      <c r="V733" s="438"/>
      <c r="W733" s="438"/>
      <c r="X733" s="438"/>
      <c r="Y733" s="438"/>
      <c r="Z733" s="438"/>
    </row>
    <row r="734" ht="11.25" customHeight="1">
      <c r="A734" s="438"/>
      <c r="B734" s="438"/>
      <c r="C734" s="438"/>
      <c r="D734" s="438"/>
      <c r="E734" s="438"/>
      <c r="F734" s="438"/>
      <c r="G734" s="454"/>
      <c r="H734" s="454"/>
      <c r="I734" s="454"/>
      <c r="J734" s="438"/>
      <c r="K734" s="438"/>
      <c r="L734" s="438"/>
      <c r="M734" s="438"/>
      <c r="N734" s="438"/>
      <c r="O734" s="438"/>
      <c r="P734" s="438"/>
      <c r="Q734" s="438"/>
      <c r="R734" s="438"/>
      <c r="S734" s="438"/>
      <c r="T734" s="438"/>
      <c r="U734" s="438"/>
      <c r="V734" s="438"/>
      <c r="W734" s="438"/>
      <c r="X734" s="438"/>
      <c r="Y734" s="438"/>
      <c r="Z734" s="438"/>
    </row>
    <row r="735" ht="11.25" customHeight="1">
      <c r="A735" s="438"/>
      <c r="B735" s="438"/>
      <c r="C735" s="438"/>
      <c r="D735" s="438"/>
      <c r="E735" s="438"/>
      <c r="F735" s="438"/>
      <c r="G735" s="454"/>
      <c r="H735" s="454"/>
      <c r="I735" s="454"/>
      <c r="J735" s="438"/>
      <c r="K735" s="438"/>
      <c r="L735" s="438"/>
      <c r="M735" s="438"/>
      <c r="N735" s="438"/>
      <c r="O735" s="438"/>
      <c r="P735" s="438"/>
      <c r="Q735" s="438"/>
      <c r="R735" s="438"/>
      <c r="S735" s="438"/>
      <c r="T735" s="438"/>
      <c r="U735" s="438"/>
      <c r="V735" s="438"/>
      <c r="W735" s="438"/>
      <c r="X735" s="438"/>
      <c r="Y735" s="438"/>
      <c r="Z735" s="438"/>
    </row>
    <row r="736" ht="11.25" customHeight="1">
      <c r="A736" s="438"/>
      <c r="B736" s="438"/>
      <c r="C736" s="438"/>
      <c r="D736" s="438"/>
      <c r="E736" s="438"/>
      <c r="F736" s="438"/>
      <c r="G736" s="454"/>
      <c r="H736" s="454"/>
      <c r="I736" s="454"/>
      <c r="J736" s="438"/>
      <c r="K736" s="438"/>
      <c r="L736" s="438"/>
      <c r="M736" s="438"/>
      <c r="N736" s="438"/>
      <c r="O736" s="438"/>
      <c r="P736" s="438"/>
      <c r="Q736" s="438"/>
      <c r="R736" s="438"/>
      <c r="S736" s="438"/>
      <c r="T736" s="438"/>
      <c r="U736" s="438"/>
      <c r="V736" s="438"/>
      <c r="W736" s="438"/>
      <c r="X736" s="438"/>
      <c r="Y736" s="438"/>
      <c r="Z736" s="438"/>
    </row>
    <row r="737" ht="11.25" customHeight="1">
      <c r="A737" s="438"/>
      <c r="B737" s="438"/>
      <c r="C737" s="438"/>
      <c r="D737" s="438"/>
      <c r="E737" s="438"/>
      <c r="F737" s="438"/>
      <c r="G737" s="454"/>
      <c r="H737" s="454"/>
      <c r="I737" s="454"/>
      <c r="J737" s="438"/>
      <c r="K737" s="438"/>
      <c r="L737" s="438"/>
      <c r="M737" s="438"/>
      <c r="N737" s="438"/>
      <c r="O737" s="438"/>
      <c r="P737" s="438"/>
      <c r="Q737" s="438"/>
      <c r="R737" s="438"/>
      <c r="S737" s="438"/>
      <c r="T737" s="438"/>
      <c r="U737" s="438"/>
      <c r="V737" s="438"/>
      <c r="W737" s="438"/>
      <c r="X737" s="438"/>
      <c r="Y737" s="438"/>
      <c r="Z737" s="438"/>
    </row>
    <row r="738" ht="11.25" customHeight="1">
      <c r="A738" s="438"/>
      <c r="B738" s="438"/>
      <c r="C738" s="438"/>
      <c r="D738" s="438"/>
      <c r="E738" s="438"/>
      <c r="F738" s="438"/>
      <c r="G738" s="454"/>
      <c r="H738" s="454"/>
      <c r="I738" s="454"/>
      <c r="J738" s="438"/>
      <c r="K738" s="438"/>
      <c r="L738" s="438"/>
      <c r="M738" s="438"/>
      <c r="N738" s="438"/>
      <c r="O738" s="438"/>
      <c r="P738" s="438"/>
      <c r="Q738" s="438"/>
      <c r="R738" s="438"/>
      <c r="S738" s="438"/>
      <c r="T738" s="438"/>
      <c r="U738" s="438"/>
      <c r="V738" s="438"/>
      <c r="W738" s="438"/>
      <c r="X738" s="438"/>
      <c r="Y738" s="438"/>
      <c r="Z738" s="438"/>
    </row>
    <row r="739" ht="11.25" customHeight="1">
      <c r="A739" s="438"/>
      <c r="B739" s="438"/>
      <c r="C739" s="438"/>
      <c r="D739" s="438"/>
      <c r="E739" s="438"/>
      <c r="F739" s="438"/>
      <c r="G739" s="454"/>
      <c r="H739" s="454"/>
      <c r="I739" s="454"/>
      <c r="J739" s="438"/>
      <c r="K739" s="438"/>
      <c r="L739" s="438"/>
      <c r="M739" s="438"/>
      <c r="N739" s="438"/>
      <c r="O739" s="438"/>
      <c r="P739" s="438"/>
      <c r="Q739" s="438"/>
      <c r="R739" s="438"/>
      <c r="S739" s="438"/>
      <c r="T739" s="438"/>
      <c r="U739" s="438"/>
      <c r="V739" s="438"/>
      <c r="W739" s="438"/>
      <c r="X739" s="438"/>
      <c r="Y739" s="438"/>
      <c r="Z739" s="438"/>
    </row>
    <row r="740" ht="11.25" customHeight="1">
      <c r="A740" s="438"/>
      <c r="B740" s="438"/>
      <c r="C740" s="438"/>
      <c r="D740" s="438"/>
      <c r="E740" s="438"/>
      <c r="F740" s="438"/>
      <c r="G740" s="454"/>
      <c r="H740" s="454"/>
      <c r="I740" s="454"/>
      <c r="J740" s="438"/>
      <c r="K740" s="438"/>
      <c r="L740" s="438"/>
      <c r="M740" s="438"/>
      <c r="N740" s="438"/>
      <c r="O740" s="438"/>
      <c r="P740" s="438"/>
      <c r="Q740" s="438"/>
      <c r="R740" s="438"/>
      <c r="S740" s="438"/>
      <c r="T740" s="438"/>
      <c r="U740" s="438"/>
      <c r="V740" s="438"/>
      <c r="W740" s="438"/>
      <c r="X740" s="438"/>
      <c r="Y740" s="438"/>
      <c r="Z740" s="438"/>
    </row>
    <row r="741" ht="11.25" customHeight="1">
      <c r="A741" s="438"/>
      <c r="B741" s="438"/>
      <c r="C741" s="438"/>
      <c r="D741" s="438"/>
      <c r="E741" s="438"/>
      <c r="F741" s="438"/>
      <c r="G741" s="454"/>
      <c r="H741" s="454"/>
      <c r="I741" s="454"/>
      <c r="J741" s="438"/>
      <c r="K741" s="438"/>
      <c r="L741" s="438"/>
      <c r="M741" s="438"/>
      <c r="N741" s="438"/>
      <c r="O741" s="438"/>
      <c r="P741" s="438"/>
      <c r="Q741" s="438"/>
      <c r="R741" s="438"/>
      <c r="S741" s="438"/>
      <c r="T741" s="438"/>
      <c r="U741" s="438"/>
      <c r="V741" s="438"/>
      <c r="W741" s="438"/>
      <c r="X741" s="438"/>
      <c r="Y741" s="438"/>
      <c r="Z741" s="438"/>
    </row>
    <row r="742" ht="11.25" customHeight="1">
      <c r="A742" s="438"/>
      <c r="B742" s="438"/>
      <c r="C742" s="438"/>
      <c r="D742" s="438"/>
      <c r="E742" s="438"/>
      <c r="F742" s="438"/>
      <c r="G742" s="454"/>
      <c r="H742" s="454"/>
      <c r="I742" s="454"/>
      <c r="J742" s="438"/>
      <c r="K742" s="438"/>
      <c r="L742" s="438"/>
      <c r="M742" s="438"/>
      <c r="N742" s="438"/>
      <c r="O742" s="438"/>
      <c r="P742" s="438"/>
      <c r="Q742" s="438"/>
      <c r="R742" s="438"/>
      <c r="S742" s="438"/>
      <c r="T742" s="438"/>
      <c r="U742" s="438"/>
      <c r="V742" s="438"/>
      <c r="W742" s="438"/>
      <c r="X742" s="438"/>
      <c r="Y742" s="438"/>
      <c r="Z742" s="438"/>
    </row>
    <row r="743" ht="11.25" customHeight="1">
      <c r="A743" s="438"/>
      <c r="B743" s="438"/>
      <c r="C743" s="438"/>
      <c r="D743" s="438"/>
      <c r="E743" s="438"/>
      <c r="F743" s="438"/>
      <c r="G743" s="454"/>
      <c r="H743" s="454"/>
      <c r="I743" s="454"/>
      <c r="J743" s="438"/>
      <c r="K743" s="438"/>
      <c r="L743" s="438"/>
      <c r="M743" s="438"/>
      <c r="N743" s="438"/>
      <c r="O743" s="438"/>
      <c r="P743" s="438"/>
      <c r="Q743" s="438"/>
      <c r="R743" s="438"/>
      <c r="S743" s="438"/>
      <c r="T743" s="438"/>
      <c r="U743" s="438"/>
      <c r="V743" s="438"/>
      <c r="W743" s="438"/>
      <c r="X743" s="438"/>
      <c r="Y743" s="438"/>
      <c r="Z743" s="438"/>
    </row>
    <row r="744" ht="11.25" customHeight="1">
      <c r="A744" s="438"/>
      <c r="B744" s="438"/>
      <c r="C744" s="438"/>
      <c r="D744" s="438"/>
      <c r="E744" s="438"/>
      <c r="F744" s="438"/>
      <c r="G744" s="454"/>
      <c r="H744" s="454"/>
      <c r="I744" s="454"/>
      <c r="J744" s="438"/>
      <c r="K744" s="438"/>
      <c r="L744" s="438"/>
      <c r="M744" s="438"/>
      <c r="N744" s="438"/>
      <c r="O744" s="438"/>
      <c r="P744" s="438"/>
      <c r="Q744" s="438"/>
      <c r="R744" s="438"/>
      <c r="S744" s="438"/>
      <c r="T744" s="438"/>
      <c r="U744" s="438"/>
      <c r="V744" s="438"/>
      <c r="W744" s="438"/>
      <c r="X744" s="438"/>
      <c r="Y744" s="438"/>
      <c r="Z744" s="438"/>
    </row>
    <row r="745" ht="11.25" customHeight="1">
      <c r="A745" s="438"/>
      <c r="B745" s="438"/>
      <c r="C745" s="438"/>
      <c r="D745" s="438"/>
      <c r="E745" s="438"/>
      <c r="F745" s="438"/>
      <c r="G745" s="454"/>
      <c r="H745" s="454"/>
      <c r="I745" s="454"/>
      <c r="J745" s="438"/>
      <c r="K745" s="438"/>
      <c r="L745" s="438"/>
      <c r="M745" s="438"/>
      <c r="N745" s="438"/>
      <c r="O745" s="438"/>
      <c r="P745" s="438"/>
      <c r="Q745" s="438"/>
      <c r="R745" s="438"/>
      <c r="S745" s="438"/>
      <c r="T745" s="438"/>
      <c r="U745" s="438"/>
      <c r="V745" s="438"/>
      <c r="W745" s="438"/>
      <c r="X745" s="438"/>
      <c r="Y745" s="438"/>
      <c r="Z745" s="438"/>
    </row>
    <row r="746" ht="11.25" customHeight="1">
      <c r="A746" s="438"/>
      <c r="B746" s="438"/>
      <c r="C746" s="438"/>
      <c r="D746" s="438"/>
      <c r="E746" s="438"/>
      <c r="F746" s="438"/>
      <c r="G746" s="454"/>
      <c r="H746" s="454"/>
      <c r="I746" s="454"/>
      <c r="J746" s="438"/>
      <c r="K746" s="438"/>
      <c r="L746" s="438"/>
      <c r="M746" s="438"/>
      <c r="N746" s="438"/>
      <c r="O746" s="438"/>
      <c r="P746" s="438"/>
      <c r="Q746" s="438"/>
      <c r="R746" s="438"/>
      <c r="S746" s="438"/>
      <c r="T746" s="438"/>
      <c r="U746" s="438"/>
      <c r="V746" s="438"/>
      <c r="W746" s="438"/>
      <c r="X746" s="438"/>
      <c r="Y746" s="438"/>
      <c r="Z746" s="438"/>
    </row>
    <row r="747" ht="11.25" customHeight="1">
      <c r="A747" s="438"/>
      <c r="B747" s="438"/>
      <c r="C747" s="438"/>
      <c r="D747" s="438"/>
      <c r="E747" s="438"/>
      <c r="F747" s="438"/>
      <c r="G747" s="454"/>
      <c r="H747" s="454"/>
      <c r="I747" s="454"/>
      <c r="J747" s="438"/>
      <c r="K747" s="438"/>
      <c r="L747" s="438"/>
      <c r="M747" s="438"/>
      <c r="N747" s="438"/>
      <c r="O747" s="438"/>
      <c r="P747" s="438"/>
      <c r="Q747" s="438"/>
      <c r="R747" s="438"/>
      <c r="S747" s="438"/>
      <c r="T747" s="438"/>
      <c r="U747" s="438"/>
      <c r="V747" s="438"/>
      <c r="W747" s="438"/>
      <c r="X747" s="438"/>
      <c r="Y747" s="438"/>
      <c r="Z747" s="438"/>
    </row>
    <row r="748" ht="11.25" customHeight="1">
      <c r="A748" s="438"/>
      <c r="B748" s="438"/>
      <c r="C748" s="438"/>
      <c r="D748" s="438"/>
      <c r="E748" s="438"/>
      <c r="F748" s="438"/>
      <c r="G748" s="454"/>
      <c r="H748" s="454"/>
      <c r="I748" s="454"/>
      <c r="J748" s="438"/>
      <c r="K748" s="438"/>
      <c r="L748" s="438"/>
      <c r="M748" s="438"/>
      <c r="N748" s="438"/>
      <c r="O748" s="438"/>
      <c r="P748" s="438"/>
      <c r="Q748" s="438"/>
      <c r="R748" s="438"/>
      <c r="S748" s="438"/>
      <c r="T748" s="438"/>
      <c r="U748" s="438"/>
      <c r="V748" s="438"/>
      <c r="W748" s="438"/>
      <c r="X748" s="438"/>
      <c r="Y748" s="438"/>
      <c r="Z748" s="438"/>
    </row>
    <row r="749" ht="11.25" customHeight="1">
      <c r="A749" s="438"/>
      <c r="B749" s="438"/>
      <c r="C749" s="438"/>
      <c r="D749" s="438"/>
      <c r="E749" s="438"/>
      <c r="F749" s="438"/>
      <c r="G749" s="454"/>
      <c r="H749" s="454"/>
      <c r="I749" s="454"/>
      <c r="J749" s="438"/>
      <c r="K749" s="438"/>
      <c r="L749" s="438"/>
      <c r="M749" s="438"/>
      <c r="N749" s="438"/>
      <c r="O749" s="438"/>
      <c r="P749" s="438"/>
      <c r="Q749" s="438"/>
      <c r="R749" s="438"/>
      <c r="S749" s="438"/>
      <c r="T749" s="438"/>
      <c r="U749" s="438"/>
      <c r="V749" s="438"/>
      <c r="W749" s="438"/>
      <c r="X749" s="438"/>
      <c r="Y749" s="438"/>
      <c r="Z749" s="438"/>
    </row>
    <row r="750" ht="11.25" customHeight="1">
      <c r="A750" s="438"/>
      <c r="B750" s="438"/>
      <c r="C750" s="438"/>
      <c r="D750" s="438"/>
      <c r="E750" s="438"/>
      <c r="F750" s="438"/>
      <c r="G750" s="454"/>
      <c r="H750" s="454"/>
      <c r="I750" s="454"/>
      <c r="J750" s="438"/>
      <c r="K750" s="438"/>
      <c r="L750" s="438"/>
      <c r="M750" s="438"/>
      <c r="N750" s="438"/>
      <c r="O750" s="438"/>
      <c r="P750" s="438"/>
      <c r="Q750" s="438"/>
      <c r="R750" s="438"/>
      <c r="S750" s="438"/>
      <c r="T750" s="438"/>
      <c r="U750" s="438"/>
      <c r="V750" s="438"/>
      <c r="W750" s="438"/>
      <c r="X750" s="438"/>
      <c r="Y750" s="438"/>
      <c r="Z750" s="438"/>
    </row>
    <row r="751" ht="11.25" customHeight="1">
      <c r="A751" s="438"/>
      <c r="B751" s="438"/>
      <c r="C751" s="438"/>
      <c r="D751" s="438"/>
      <c r="E751" s="438"/>
      <c r="F751" s="438"/>
      <c r="G751" s="454"/>
      <c r="H751" s="454"/>
      <c r="I751" s="454"/>
      <c r="J751" s="438"/>
      <c r="K751" s="438"/>
      <c r="L751" s="438"/>
      <c r="M751" s="438"/>
      <c r="N751" s="438"/>
      <c r="O751" s="438"/>
      <c r="P751" s="438"/>
      <c r="Q751" s="438"/>
      <c r="R751" s="438"/>
      <c r="S751" s="438"/>
      <c r="T751" s="438"/>
      <c r="U751" s="438"/>
      <c r="V751" s="438"/>
      <c r="W751" s="438"/>
      <c r="X751" s="438"/>
      <c r="Y751" s="438"/>
      <c r="Z751" s="438"/>
    </row>
    <row r="752" ht="11.25" customHeight="1">
      <c r="A752" s="438"/>
      <c r="B752" s="438"/>
      <c r="C752" s="438"/>
      <c r="D752" s="438"/>
      <c r="E752" s="438"/>
      <c r="F752" s="438"/>
      <c r="G752" s="454"/>
      <c r="H752" s="454"/>
      <c r="I752" s="454"/>
      <c r="J752" s="438"/>
      <c r="K752" s="438"/>
      <c r="L752" s="438"/>
      <c r="M752" s="438"/>
      <c r="N752" s="438"/>
      <c r="O752" s="438"/>
      <c r="P752" s="438"/>
      <c r="Q752" s="438"/>
      <c r="R752" s="438"/>
      <c r="S752" s="438"/>
      <c r="T752" s="438"/>
      <c r="U752" s="438"/>
      <c r="V752" s="438"/>
      <c r="W752" s="438"/>
      <c r="X752" s="438"/>
      <c r="Y752" s="438"/>
      <c r="Z752" s="438"/>
    </row>
    <row r="753" ht="11.25" customHeight="1">
      <c r="A753" s="438"/>
      <c r="B753" s="438"/>
      <c r="C753" s="438"/>
      <c r="D753" s="438"/>
      <c r="E753" s="438"/>
      <c r="F753" s="438"/>
      <c r="G753" s="454"/>
      <c r="H753" s="454"/>
      <c r="I753" s="454"/>
      <c r="J753" s="438"/>
      <c r="K753" s="438"/>
      <c r="L753" s="438"/>
      <c r="M753" s="438"/>
      <c r="N753" s="438"/>
      <c r="O753" s="438"/>
      <c r="P753" s="438"/>
      <c r="Q753" s="438"/>
      <c r="R753" s="438"/>
      <c r="S753" s="438"/>
      <c r="T753" s="438"/>
      <c r="U753" s="438"/>
      <c r="V753" s="438"/>
      <c r="W753" s="438"/>
      <c r="X753" s="438"/>
      <c r="Y753" s="438"/>
      <c r="Z753" s="438"/>
    </row>
    <row r="754" ht="11.25" customHeight="1">
      <c r="A754" s="438"/>
      <c r="B754" s="438"/>
      <c r="C754" s="438"/>
      <c r="D754" s="438"/>
      <c r="E754" s="438"/>
      <c r="F754" s="438"/>
      <c r="G754" s="454"/>
      <c r="H754" s="454"/>
      <c r="I754" s="454"/>
      <c r="J754" s="438"/>
      <c r="K754" s="438"/>
      <c r="L754" s="438"/>
      <c r="M754" s="438"/>
      <c r="N754" s="438"/>
      <c r="O754" s="438"/>
      <c r="P754" s="438"/>
      <c r="Q754" s="438"/>
      <c r="R754" s="438"/>
      <c r="S754" s="438"/>
      <c r="T754" s="438"/>
      <c r="U754" s="438"/>
      <c r="V754" s="438"/>
      <c r="W754" s="438"/>
      <c r="X754" s="438"/>
      <c r="Y754" s="438"/>
      <c r="Z754" s="438"/>
    </row>
    <row r="755" ht="11.25" customHeight="1">
      <c r="A755" s="438"/>
      <c r="B755" s="438"/>
      <c r="C755" s="438"/>
      <c r="D755" s="438"/>
      <c r="E755" s="438"/>
      <c r="F755" s="438"/>
      <c r="G755" s="454"/>
      <c r="H755" s="454"/>
      <c r="I755" s="454"/>
      <c r="J755" s="438"/>
      <c r="K755" s="438"/>
      <c r="L755" s="438"/>
      <c r="M755" s="438"/>
      <c r="N755" s="438"/>
      <c r="O755" s="438"/>
      <c r="P755" s="438"/>
      <c r="Q755" s="438"/>
      <c r="R755" s="438"/>
      <c r="S755" s="438"/>
      <c r="T755" s="438"/>
      <c r="U755" s="438"/>
      <c r="V755" s="438"/>
      <c r="W755" s="438"/>
      <c r="X755" s="438"/>
      <c r="Y755" s="438"/>
      <c r="Z755" s="438"/>
    </row>
    <row r="756" ht="11.25" customHeight="1">
      <c r="A756" s="438"/>
      <c r="B756" s="438"/>
      <c r="C756" s="438"/>
      <c r="D756" s="438"/>
      <c r="E756" s="438"/>
      <c r="F756" s="438"/>
      <c r="G756" s="454"/>
      <c r="H756" s="454"/>
      <c r="I756" s="454"/>
      <c r="J756" s="438"/>
      <c r="K756" s="438"/>
      <c r="L756" s="438"/>
      <c r="M756" s="438"/>
      <c r="N756" s="438"/>
      <c r="O756" s="438"/>
      <c r="P756" s="438"/>
      <c r="Q756" s="438"/>
      <c r="R756" s="438"/>
      <c r="S756" s="438"/>
      <c r="T756" s="438"/>
      <c r="U756" s="438"/>
      <c r="V756" s="438"/>
      <c r="W756" s="438"/>
      <c r="X756" s="438"/>
      <c r="Y756" s="438"/>
      <c r="Z756" s="438"/>
    </row>
    <row r="757" ht="11.25" customHeight="1">
      <c r="A757" s="438"/>
      <c r="B757" s="438"/>
      <c r="C757" s="438"/>
      <c r="D757" s="438"/>
      <c r="E757" s="438"/>
      <c r="F757" s="438"/>
      <c r="G757" s="454"/>
      <c r="H757" s="454"/>
      <c r="I757" s="454"/>
      <c r="J757" s="438"/>
      <c r="K757" s="438"/>
      <c r="L757" s="438"/>
      <c r="M757" s="438"/>
      <c r="N757" s="438"/>
      <c r="O757" s="438"/>
      <c r="P757" s="438"/>
      <c r="Q757" s="438"/>
      <c r="R757" s="438"/>
      <c r="S757" s="438"/>
      <c r="T757" s="438"/>
      <c r="U757" s="438"/>
      <c r="V757" s="438"/>
      <c r="W757" s="438"/>
      <c r="X757" s="438"/>
      <c r="Y757" s="438"/>
      <c r="Z757" s="438"/>
    </row>
    <row r="758" ht="11.25" customHeight="1">
      <c r="A758" s="438"/>
      <c r="B758" s="438"/>
      <c r="C758" s="438"/>
      <c r="D758" s="438"/>
      <c r="E758" s="438"/>
      <c r="F758" s="438"/>
      <c r="G758" s="454"/>
      <c r="H758" s="454"/>
      <c r="I758" s="454"/>
      <c r="J758" s="438"/>
      <c r="K758" s="438"/>
      <c r="L758" s="438"/>
      <c r="M758" s="438"/>
      <c r="N758" s="438"/>
      <c r="O758" s="438"/>
      <c r="P758" s="438"/>
      <c r="Q758" s="438"/>
      <c r="R758" s="438"/>
      <c r="S758" s="438"/>
      <c r="T758" s="438"/>
      <c r="U758" s="438"/>
      <c r="V758" s="438"/>
      <c r="W758" s="438"/>
      <c r="X758" s="438"/>
      <c r="Y758" s="438"/>
      <c r="Z758" s="438"/>
    </row>
    <row r="759" ht="11.25" customHeight="1">
      <c r="A759" s="438"/>
      <c r="B759" s="438"/>
      <c r="C759" s="438"/>
      <c r="D759" s="438"/>
      <c r="E759" s="438"/>
      <c r="F759" s="438"/>
      <c r="G759" s="454"/>
      <c r="H759" s="454"/>
      <c r="I759" s="454"/>
      <c r="J759" s="438"/>
      <c r="K759" s="438"/>
      <c r="L759" s="438"/>
      <c r="M759" s="438"/>
      <c r="N759" s="438"/>
      <c r="O759" s="438"/>
      <c r="P759" s="438"/>
      <c r="Q759" s="438"/>
      <c r="R759" s="438"/>
      <c r="S759" s="438"/>
      <c r="T759" s="438"/>
      <c r="U759" s="438"/>
      <c r="V759" s="438"/>
      <c r="W759" s="438"/>
      <c r="X759" s="438"/>
      <c r="Y759" s="438"/>
      <c r="Z759" s="438"/>
    </row>
    <row r="760" ht="11.25" customHeight="1">
      <c r="A760" s="438"/>
      <c r="B760" s="438"/>
      <c r="C760" s="438"/>
      <c r="D760" s="438"/>
      <c r="E760" s="438"/>
      <c r="F760" s="438"/>
      <c r="G760" s="454"/>
      <c r="H760" s="454"/>
      <c r="I760" s="454"/>
      <c r="J760" s="438"/>
      <c r="K760" s="438"/>
      <c r="L760" s="438"/>
      <c r="M760" s="438"/>
      <c r="N760" s="438"/>
      <c r="O760" s="438"/>
      <c r="P760" s="438"/>
      <c r="Q760" s="438"/>
      <c r="R760" s="438"/>
      <c r="S760" s="438"/>
      <c r="T760" s="438"/>
      <c r="U760" s="438"/>
      <c r="V760" s="438"/>
      <c r="W760" s="438"/>
      <c r="X760" s="438"/>
      <c r="Y760" s="438"/>
      <c r="Z760" s="438"/>
    </row>
    <row r="761" ht="11.25" customHeight="1">
      <c r="A761" s="438"/>
      <c r="B761" s="438"/>
      <c r="C761" s="438"/>
      <c r="D761" s="438"/>
      <c r="E761" s="438"/>
      <c r="F761" s="438"/>
      <c r="G761" s="454"/>
      <c r="H761" s="454"/>
      <c r="I761" s="454"/>
      <c r="J761" s="438"/>
      <c r="K761" s="438"/>
      <c r="L761" s="438"/>
      <c r="M761" s="438"/>
      <c r="N761" s="438"/>
      <c r="O761" s="438"/>
      <c r="P761" s="438"/>
      <c r="Q761" s="438"/>
      <c r="R761" s="438"/>
      <c r="S761" s="438"/>
      <c r="T761" s="438"/>
      <c r="U761" s="438"/>
      <c r="V761" s="438"/>
      <c r="W761" s="438"/>
      <c r="X761" s="438"/>
      <c r="Y761" s="438"/>
      <c r="Z761" s="438"/>
    </row>
    <row r="762" ht="11.25" customHeight="1">
      <c r="A762" s="438"/>
      <c r="B762" s="438"/>
      <c r="C762" s="438"/>
      <c r="D762" s="438"/>
      <c r="E762" s="438"/>
      <c r="F762" s="438"/>
      <c r="G762" s="454"/>
      <c r="H762" s="454"/>
      <c r="I762" s="454"/>
      <c r="J762" s="438"/>
      <c r="K762" s="438"/>
      <c r="L762" s="438"/>
      <c r="M762" s="438"/>
      <c r="N762" s="438"/>
      <c r="O762" s="438"/>
      <c r="P762" s="438"/>
      <c r="Q762" s="438"/>
      <c r="R762" s="438"/>
      <c r="S762" s="438"/>
      <c r="T762" s="438"/>
      <c r="U762" s="438"/>
      <c r="V762" s="438"/>
      <c r="W762" s="438"/>
      <c r="X762" s="438"/>
      <c r="Y762" s="438"/>
      <c r="Z762" s="438"/>
    </row>
    <row r="763" ht="11.25" customHeight="1">
      <c r="A763" s="438"/>
      <c r="B763" s="438"/>
      <c r="C763" s="438"/>
      <c r="D763" s="438"/>
      <c r="E763" s="438"/>
      <c r="F763" s="438"/>
      <c r="G763" s="454"/>
      <c r="H763" s="454"/>
      <c r="I763" s="454"/>
      <c r="J763" s="438"/>
      <c r="K763" s="438"/>
      <c r="L763" s="438"/>
      <c r="M763" s="438"/>
      <c r="N763" s="438"/>
      <c r="O763" s="438"/>
      <c r="P763" s="438"/>
      <c r="Q763" s="438"/>
      <c r="R763" s="438"/>
      <c r="S763" s="438"/>
      <c r="T763" s="438"/>
      <c r="U763" s="438"/>
      <c r="V763" s="438"/>
      <c r="W763" s="438"/>
      <c r="X763" s="438"/>
      <c r="Y763" s="438"/>
      <c r="Z763" s="438"/>
    </row>
    <row r="764" ht="11.25" customHeight="1">
      <c r="A764" s="438"/>
      <c r="B764" s="438"/>
      <c r="C764" s="438"/>
      <c r="D764" s="438"/>
      <c r="E764" s="438"/>
      <c r="F764" s="438"/>
      <c r="G764" s="454"/>
      <c r="H764" s="454"/>
      <c r="I764" s="454"/>
      <c r="J764" s="438"/>
      <c r="K764" s="438"/>
      <c r="L764" s="438"/>
      <c r="M764" s="438"/>
      <c r="N764" s="438"/>
      <c r="O764" s="438"/>
      <c r="P764" s="438"/>
      <c r="Q764" s="438"/>
      <c r="R764" s="438"/>
      <c r="S764" s="438"/>
      <c r="T764" s="438"/>
      <c r="U764" s="438"/>
      <c r="V764" s="438"/>
      <c r="W764" s="438"/>
      <c r="X764" s="438"/>
      <c r="Y764" s="438"/>
      <c r="Z764" s="438"/>
    </row>
    <row r="765" ht="11.25" customHeight="1">
      <c r="A765" s="438"/>
      <c r="B765" s="438"/>
      <c r="C765" s="438"/>
      <c r="D765" s="438"/>
      <c r="E765" s="438"/>
      <c r="F765" s="438"/>
      <c r="G765" s="454"/>
      <c r="H765" s="454"/>
      <c r="I765" s="454"/>
      <c r="J765" s="438"/>
      <c r="K765" s="438"/>
      <c r="L765" s="438"/>
      <c r="M765" s="438"/>
      <c r="N765" s="438"/>
      <c r="O765" s="438"/>
      <c r="P765" s="438"/>
      <c r="Q765" s="438"/>
      <c r="R765" s="438"/>
      <c r="S765" s="438"/>
      <c r="T765" s="438"/>
      <c r="U765" s="438"/>
      <c r="V765" s="438"/>
      <c r="W765" s="438"/>
      <c r="X765" s="438"/>
      <c r="Y765" s="438"/>
      <c r="Z765" s="438"/>
    </row>
    <row r="766" ht="11.25" customHeight="1">
      <c r="A766" s="438"/>
      <c r="B766" s="438"/>
      <c r="C766" s="438"/>
      <c r="D766" s="438"/>
      <c r="E766" s="438"/>
      <c r="F766" s="438"/>
      <c r="G766" s="454"/>
      <c r="H766" s="454"/>
      <c r="I766" s="454"/>
      <c r="J766" s="438"/>
      <c r="K766" s="438"/>
      <c r="L766" s="438"/>
      <c r="M766" s="438"/>
      <c r="N766" s="438"/>
      <c r="O766" s="438"/>
      <c r="P766" s="438"/>
      <c r="Q766" s="438"/>
      <c r="R766" s="438"/>
      <c r="S766" s="438"/>
      <c r="T766" s="438"/>
      <c r="U766" s="438"/>
      <c r="V766" s="438"/>
      <c r="W766" s="438"/>
      <c r="X766" s="438"/>
      <c r="Y766" s="438"/>
      <c r="Z766" s="438"/>
    </row>
    <row r="767" ht="11.25" customHeight="1">
      <c r="A767" s="438"/>
      <c r="B767" s="438"/>
      <c r="C767" s="438"/>
      <c r="D767" s="438"/>
      <c r="E767" s="438"/>
      <c r="F767" s="438"/>
      <c r="G767" s="454"/>
      <c r="H767" s="454"/>
      <c r="I767" s="454"/>
      <c r="J767" s="438"/>
      <c r="K767" s="438"/>
      <c r="L767" s="438"/>
      <c r="M767" s="438"/>
      <c r="N767" s="438"/>
      <c r="O767" s="438"/>
      <c r="P767" s="438"/>
      <c r="Q767" s="438"/>
      <c r="R767" s="438"/>
      <c r="S767" s="438"/>
      <c r="T767" s="438"/>
      <c r="U767" s="438"/>
      <c r="V767" s="438"/>
      <c r="W767" s="438"/>
      <c r="X767" s="438"/>
      <c r="Y767" s="438"/>
      <c r="Z767" s="438"/>
    </row>
    <row r="768" ht="11.25" customHeight="1">
      <c r="A768" s="438"/>
      <c r="B768" s="438"/>
      <c r="C768" s="438"/>
      <c r="D768" s="438"/>
      <c r="E768" s="438"/>
      <c r="F768" s="438"/>
      <c r="G768" s="454"/>
      <c r="H768" s="454"/>
      <c r="I768" s="454"/>
      <c r="J768" s="438"/>
      <c r="K768" s="438"/>
      <c r="L768" s="438"/>
      <c r="M768" s="438"/>
      <c r="N768" s="438"/>
      <c r="O768" s="438"/>
      <c r="P768" s="438"/>
      <c r="Q768" s="438"/>
      <c r="R768" s="438"/>
      <c r="S768" s="438"/>
      <c r="T768" s="438"/>
      <c r="U768" s="438"/>
      <c r="V768" s="438"/>
      <c r="W768" s="438"/>
      <c r="X768" s="438"/>
      <c r="Y768" s="438"/>
      <c r="Z768" s="438"/>
    </row>
    <row r="769" ht="11.25" customHeight="1">
      <c r="A769" s="438"/>
      <c r="B769" s="438"/>
      <c r="C769" s="438"/>
      <c r="D769" s="438"/>
      <c r="E769" s="438"/>
      <c r="F769" s="438"/>
      <c r="G769" s="454"/>
      <c r="H769" s="454"/>
      <c r="I769" s="454"/>
      <c r="J769" s="438"/>
      <c r="K769" s="438"/>
      <c r="L769" s="438"/>
      <c r="M769" s="438"/>
      <c r="N769" s="438"/>
      <c r="O769" s="438"/>
      <c r="P769" s="438"/>
      <c r="Q769" s="438"/>
      <c r="R769" s="438"/>
      <c r="S769" s="438"/>
      <c r="T769" s="438"/>
      <c r="U769" s="438"/>
      <c r="V769" s="438"/>
      <c r="W769" s="438"/>
      <c r="X769" s="438"/>
      <c r="Y769" s="438"/>
      <c r="Z769" s="438"/>
    </row>
    <row r="770" ht="11.25" customHeight="1">
      <c r="A770" s="438"/>
      <c r="B770" s="438"/>
      <c r="C770" s="438"/>
      <c r="D770" s="438"/>
      <c r="E770" s="438"/>
      <c r="F770" s="438"/>
      <c r="G770" s="454"/>
      <c r="H770" s="454"/>
      <c r="I770" s="454"/>
      <c r="J770" s="438"/>
      <c r="K770" s="438"/>
      <c r="L770" s="438"/>
      <c r="M770" s="438"/>
      <c r="N770" s="438"/>
      <c r="O770" s="438"/>
      <c r="P770" s="438"/>
      <c r="Q770" s="438"/>
      <c r="R770" s="438"/>
      <c r="S770" s="438"/>
      <c r="T770" s="438"/>
      <c r="U770" s="438"/>
      <c r="V770" s="438"/>
      <c r="W770" s="438"/>
      <c r="X770" s="438"/>
      <c r="Y770" s="438"/>
      <c r="Z770" s="438"/>
    </row>
    <row r="771" ht="11.25" customHeight="1">
      <c r="A771" s="438"/>
      <c r="B771" s="438"/>
      <c r="C771" s="438"/>
      <c r="D771" s="438"/>
      <c r="E771" s="438"/>
      <c r="F771" s="438"/>
      <c r="G771" s="454"/>
      <c r="H771" s="454"/>
      <c r="I771" s="454"/>
      <c r="J771" s="438"/>
      <c r="K771" s="438"/>
      <c r="L771" s="438"/>
      <c r="M771" s="438"/>
      <c r="N771" s="438"/>
      <c r="O771" s="438"/>
      <c r="P771" s="438"/>
      <c r="Q771" s="438"/>
      <c r="R771" s="438"/>
      <c r="S771" s="438"/>
      <c r="T771" s="438"/>
      <c r="U771" s="438"/>
      <c r="V771" s="438"/>
      <c r="W771" s="438"/>
      <c r="X771" s="438"/>
      <c r="Y771" s="438"/>
      <c r="Z771" s="438"/>
    </row>
    <row r="772" ht="11.25" customHeight="1">
      <c r="A772" s="438"/>
      <c r="B772" s="438"/>
      <c r="C772" s="438"/>
      <c r="D772" s="438"/>
      <c r="E772" s="438"/>
      <c r="F772" s="438"/>
      <c r="G772" s="454"/>
      <c r="H772" s="454"/>
      <c r="I772" s="454"/>
      <c r="J772" s="438"/>
      <c r="K772" s="438"/>
      <c r="L772" s="438"/>
      <c r="M772" s="438"/>
      <c r="N772" s="438"/>
      <c r="O772" s="438"/>
      <c r="P772" s="438"/>
      <c r="Q772" s="438"/>
      <c r="R772" s="438"/>
      <c r="S772" s="438"/>
      <c r="T772" s="438"/>
      <c r="U772" s="438"/>
      <c r="V772" s="438"/>
      <c r="W772" s="438"/>
      <c r="X772" s="438"/>
      <c r="Y772" s="438"/>
      <c r="Z772" s="438"/>
    </row>
    <row r="773" ht="11.25" customHeight="1">
      <c r="A773" s="438"/>
      <c r="B773" s="438"/>
      <c r="C773" s="438"/>
      <c r="D773" s="438"/>
      <c r="E773" s="438"/>
      <c r="F773" s="438"/>
      <c r="G773" s="454"/>
      <c r="H773" s="454"/>
      <c r="I773" s="454"/>
      <c r="J773" s="438"/>
      <c r="K773" s="438"/>
      <c r="L773" s="438"/>
      <c r="M773" s="438"/>
      <c r="N773" s="438"/>
      <c r="O773" s="438"/>
      <c r="P773" s="438"/>
      <c r="Q773" s="438"/>
      <c r="R773" s="438"/>
      <c r="S773" s="438"/>
      <c r="T773" s="438"/>
      <c r="U773" s="438"/>
      <c r="V773" s="438"/>
      <c r="W773" s="438"/>
      <c r="X773" s="438"/>
      <c r="Y773" s="438"/>
      <c r="Z773" s="438"/>
    </row>
    <row r="774" ht="11.25" customHeight="1">
      <c r="A774" s="438"/>
      <c r="B774" s="438"/>
      <c r="C774" s="438"/>
      <c r="D774" s="438"/>
      <c r="E774" s="438"/>
      <c r="F774" s="438"/>
      <c r="G774" s="454"/>
      <c r="H774" s="454"/>
      <c r="I774" s="454"/>
      <c r="J774" s="438"/>
      <c r="K774" s="438"/>
      <c r="L774" s="438"/>
      <c r="M774" s="438"/>
      <c r="N774" s="438"/>
      <c r="O774" s="438"/>
      <c r="P774" s="438"/>
      <c r="Q774" s="438"/>
      <c r="R774" s="438"/>
      <c r="S774" s="438"/>
      <c r="T774" s="438"/>
      <c r="U774" s="438"/>
      <c r="V774" s="438"/>
      <c r="W774" s="438"/>
      <c r="X774" s="438"/>
      <c r="Y774" s="438"/>
      <c r="Z774" s="438"/>
    </row>
    <row r="775" ht="11.25" customHeight="1">
      <c r="A775" s="438"/>
      <c r="B775" s="438"/>
      <c r="C775" s="438"/>
      <c r="D775" s="438"/>
      <c r="E775" s="438"/>
      <c r="F775" s="438"/>
      <c r="G775" s="454"/>
      <c r="H775" s="454"/>
      <c r="I775" s="454"/>
      <c r="J775" s="438"/>
      <c r="K775" s="438"/>
      <c r="L775" s="438"/>
      <c r="M775" s="438"/>
      <c r="N775" s="438"/>
      <c r="O775" s="438"/>
      <c r="P775" s="438"/>
      <c r="Q775" s="438"/>
      <c r="R775" s="438"/>
      <c r="S775" s="438"/>
      <c r="T775" s="438"/>
      <c r="U775" s="438"/>
      <c r="V775" s="438"/>
      <c r="W775" s="438"/>
      <c r="X775" s="438"/>
      <c r="Y775" s="438"/>
      <c r="Z775" s="438"/>
    </row>
    <row r="776" ht="11.25" customHeight="1">
      <c r="A776" s="438"/>
      <c r="B776" s="438"/>
      <c r="C776" s="438"/>
      <c r="D776" s="438"/>
      <c r="E776" s="438"/>
      <c r="F776" s="438"/>
      <c r="G776" s="454"/>
      <c r="H776" s="454"/>
      <c r="I776" s="454"/>
      <c r="J776" s="438"/>
      <c r="K776" s="438"/>
      <c r="L776" s="438"/>
      <c r="M776" s="438"/>
      <c r="N776" s="438"/>
      <c r="O776" s="438"/>
      <c r="P776" s="438"/>
      <c r="Q776" s="438"/>
      <c r="R776" s="438"/>
      <c r="S776" s="438"/>
      <c r="T776" s="438"/>
      <c r="U776" s="438"/>
      <c r="V776" s="438"/>
      <c r="W776" s="438"/>
      <c r="X776" s="438"/>
      <c r="Y776" s="438"/>
      <c r="Z776" s="438"/>
    </row>
    <row r="777" ht="11.25" customHeight="1">
      <c r="A777" s="438"/>
      <c r="B777" s="438"/>
      <c r="C777" s="438"/>
      <c r="D777" s="438"/>
      <c r="E777" s="438"/>
      <c r="F777" s="438"/>
      <c r="G777" s="454"/>
      <c r="H777" s="454"/>
      <c r="I777" s="454"/>
      <c r="J777" s="438"/>
      <c r="K777" s="438"/>
      <c r="L777" s="438"/>
      <c r="M777" s="438"/>
      <c r="N777" s="438"/>
      <c r="O777" s="438"/>
      <c r="P777" s="438"/>
      <c r="Q777" s="438"/>
      <c r="R777" s="438"/>
      <c r="S777" s="438"/>
      <c r="T777" s="438"/>
      <c r="U777" s="438"/>
      <c r="V777" s="438"/>
      <c r="W777" s="438"/>
      <c r="X777" s="438"/>
      <c r="Y777" s="438"/>
      <c r="Z777" s="438"/>
    </row>
    <row r="778" ht="11.25" customHeight="1">
      <c r="A778" s="438"/>
      <c r="B778" s="438"/>
      <c r="C778" s="438"/>
      <c r="D778" s="438"/>
      <c r="E778" s="438"/>
      <c r="F778" s="438"/>
      <c r="G778" s="454"/>
      <c r="H778" s="454"/>
      <c r="I778" s="454"/>
      <c r="J778" s="438"/>
      <c r="K778" s="438"/>
      <c r="L778" s="438"/>
      <c r="M778" s="438"/>
      <c r="N778" s="438"/>
      <c r="O778" s="438"/>
      <c r="P778" s="438"/>
      <c r="Q778" s="438"/>
      <c r="R778" s="438"/>
      <c r="S778" s="438"/>
      <c r="T778" s="438"/>
      <c r="U778" s="438"/>
      <c r="V778" s="438"/>
      <c r="W778" s="438"/>
      <c r="X778" s="438"/>
      <c r="Y778" s="438"/>
      <c r="Z778" s="438"/>
    </row>
    <row r="779" ht="11.25" customHeight="1">
      <c r="A779" s="438"/>
      <c r="B779" s="438"/>
      <c r="C779" s="438"/>
      <c r="D779" s="438"/>
      <c r="E779" s="438"/>
      <c r="F779" s="438"/>
      <c r="G779" s="454"/>
      <c r="H779" s="454"/>
      <c r="I779" s="454"/>
      <c r="J779" s="438"/>
      <c r="K779" s="438"/>
      <c r="L779" s="438"/>
      <c r="M779" s="438"/>
      <c r="N779" s="438"/>
      <c r="O779" s="438"/>
      <c r="P779" s="438"/>
      <c r="Q779" s="438"/>
      <c r="R779" s="438"/>
      <c r="S779" s="438"/>
      <c r="T779" s="438"/>
      <c r="U779" s="438"/>
      <c r="V779" s="438"/>
      <c r="W779" s="438"/>
      <c r="X779" s="438"/>
      <c r="Y779" s="438"/>
      <c r="Z779" s="438"/>
    </row>
    <row r="780" ht="11.25" customHeight="1">
      <c r="A780" s="438"/>
      <c r="B780" s="438"/>
      <c r="C780" s="438"/>
      <c r="D780" s="438"/>
      <c r="E780" s="438"/>
      <c r="F780" s="438"/>
      <c r="G780" s="454"/>
      <c r="H780" s="454"/>
      <c r="I780" s="454"/>
      <c r="J780" s="438"/>
      <c r="K780" s="438"/>
      <c r="L780" s="438"/>
      <c r="M780" s="438"/>
      <c r="N780" s="438"/>
      <c r="O780" s="438"/>
      <c r="P780" s="438"/>
      <c r="Q780" s="438"/>
      <c r="R780" s="438"/>
      <c r="S780" s="438"/>
      <c r="T780" s="438"/>
      <c r="U780" s="438"/>
      <c r="V780" s="438"/>
      <c r="W780" s="438"/>
      <c r="X780" s="438"/>
      <c r="Y780" s="438"/>
      <c r="Z780" s="438"/>
    </row>
    <row r="781" ht="11.25" customHeight="1">
      <c r="A781" s="438"/>
      <c r="B781" s="438"/>
      <c r="C781" s="438"/>
      <c r="D781" s="438"/>
      <c r="E781" s="438"/>
      <c r="F781" s="438"/>
      <c r="G781" s="454"/>
      <c r="H781" s="454"/>
      <c r="I781" s="454"/>
      <c r="J781" s="438"/>
      <c r="K781" s="438"/>
      <c r="L781" s="438"/>
      <c r="M781" s="438"/>
      <c r="N781" s="438"/>
      <c r="O781" s="438"/>
      <c r="P781" s="438"/>
      <c r="Q781" s="438"/>
      <c r="R781" s="438"/>
      <c r="S781" s="438"/>
      <c r="T781" s="438"/>
      <c r="U781" s="438"/>
      <c r="V781" s="438"/>
      <c r="W781" s="438"/>
      <c r="X781" s="438"/>
      <c r="Y781" s="438"/>
      <c r="Z781" s="438"/>
    </row>
    <row r="782" ht="11.25" customHeight="1">
      <c r="A782" s="438"/>
      <c r="B782" s="438"/>
      <c r="C782" s="438"/>
      <c r="D782" s="438"/>
      <c r="E782" s="438"/>
      <c r="F782" s="438"/>
      <c r="G782" s="454"/>
      <c r="H782" s="454"/>
      <c r="I782" s="454"/>
      <c r="J782" s="438"/>
      <c r="K782" s="438"/>
      <c r="L782" s="438"/>
      <c r="M782" s="438"/>
      <c r="N782" s="438"/>
      <c r="O782" s="438"/>
      <c r="P782" s="438"/>
      <c r="Q782" s="438"/>
      <c r="R782" s="438"/>
      <c r="S782" s="438"/>
      <c r="T782" s="438"/>
      <c r="U782" s="438"/>
      <c r="V782" s="438"/>
      <c r="W782" s="438"/>
      <c r="X782" s="438"/>
      <c r="Y782" s="438"/>
      <c r="Z782" s="438"/>
    </row>
    <row r="783" ht="11.25" customHeight="1">
      <c r="A783" s="438"/>
      <c r="B783" s="438"/>
      <c r="C783" s="438"/>
      <c r="D783" s="438"/>
      <c r="E783" s="438"/>
      <c r="F783" s="438"/>
      <c r="G783" s="454"/>
      <c r="H783" s="454"/>
      <c r="I783" s="454"/>
      <c r="J783" s="438"/>
      <c r="K783" s="438"/>
      <c r="L783" s="438"/>
      <c r="M783" s="438"/>
      <c r="N783" s="438"/>
      <c r="O783" s="438"/>
      <c r="P783" s="438"/>
      <c r="Q783" s="438"/>
      <c r="R783" s="438"/>
      <c r="S783" s="438"/>
      <c r="T783" s="438"/>
      <c r="U783" s="438"/>
      <c r="V783" s="438"/>
      <c r="W783" s="438"/>
      <c r="X783" s="438"/>
      <c r="Y783" s="438"/>
      <c r="Z783" s="438"/>
    </row>
    <row r="784" ht="11.25" customHeight="1">
      <c r="A784" s="438"/>
      <c r="B784" s="438"/>
      <c r="C784" s="438"/>
      <c r="D784" s="438"/>
      <c r="E784" s="438"/>
      <c r="F784" s="438"/>
      <c r="G784" s="454"/>
      <c r="H784" s="454"/>
      <c r="I784" s="454"/>
      <c r="J784" s="438"/>
      <c r="K784" s="438"/>
      <c r="L784" s="438"/>
      <c r="M784" s="438"/>
      <c r="N784" s="438"/>
      <c r="O784" s="438"/>
      <c r="P784" s="438"/>
      <c r="Q784" s="438"/>
      <c r="R784" s="438"/>
      <c r="S784" s="438"/>
      <c r="T784" s="438"/>
      <c r="U784" s="438"/>
      <c r="V784" s="438"/>
      <c r="W784" s="438"/>
      <c r="X784" s="438"/>
      <c r="Y784" s="438"/>
      <c r="Z784" s="438"/>
    </row>
    <row r="785" ht="11.25" customHeight="1">
      <c r="A785" s="438"/>
      <c r="B785" s="438"/>
      <c r="C785" s="438"/>
      <c r="D785" s="438"/>
      <c r="E785" s="438"/>
      <c r="F785" s="438"/>
      <c r="G785" s="454"/>
      <c r="H785" s="454"/>
      <c r="I785" s="454"/>
      <c r="J785" s="438"/>
      <c r="K785" s="438"/>
      <c r="L785" s="438"/>
      <c r="M785" s="438"/>
      <c r="N785" s="438"/>
      <c r="O785" s="438"/>
      <c r="P785" s="438"/>
      <c r="Q785" s="438"/>
      <c r="R785" s="438"/>
      <c r="S785" s="438"/>
      <c r="T785" s="438"/>
      <c r="U785" s="438"/>
      <c r="V785" s="438"/>
      <c r="W785" s="438"/>
      <c r="X785" s="438"/>
      <c r="Y785" s="438"/>
      <c r="Z785" s="438"/>
    </row>
    <row r="786" ht="11.25" customHeight="1">
      <c r="A786" s="438"/>
      <c r="B786" s="438"/>
      <c r="C786" s="438"/>
      <c r="D786" s="438"/>
      <c r="E786" s="438"/>
      <c r="F786" s="438"/>
      <c r="G786" s="454"/>
      <c r="H786" s="454"/>
      <c r="I786" s="454"/>
      <c r="J786" s="438"/>
      <c r="K786" s="438"/>
      <c r="L786" s="438"/>
      <c r="M786" s="438"/>
      <c r="N786" s="438"/>
      <c r="O786" s="438"/>
      <c r="P786" s="438"/>
      <c r="Q786" s="438"/>
      <c r="R786" s="438"/>
      <c r="S786" s="438"/>
      <c r="T786" s="438"/>
      <c r="U786" s="438"/>
      <c r="V786" s="438"/>
      <c r="W786" s="438"/>
      <c r="X786" s="438"/>
      <c r="Y786" s="438"/>
      <c r="Z786" s="438"/>
    </row>
    <row r="787" ht="11.25" customHeight="1">
      <c r="A787" s="438"/>
      <c r="B787" s="438"/>
      <c r="C787" s="438"/>
      <c r="D787" s="438"/>
      <c r="E787" s="438"/>
      <c r="F787" s="438"/>
      <c r="G787" s="454"/>
      <c r="H787" s="454"/>
      <c r="I787" s="454"/>
      <c r="J787" s="438"/>
      <c r="K787" s="438"/>
      <c r="L787" s="438"/>
      <c r="M787" s="438"/>
      <c r="N787" s="438"/>
      <c r="O787" s="438"/>
      <c r="P787" s="438"/>
      <c r="Q787" s="438"/>
      <c r="R787" s="438"/>
      <c r="S787" s="438"/>
      <c r="T787" s="438"/>
      <c r="U787" s="438"/>
      <c r="V787" s="438"/>
      <c r="W787" s="438"/>
      <c r="X787" s="438"/>
      <c r="Y787" s="438"/>
      <c r="Z787" s="438"/>
    </row>
    <row r="788" ht="11.25" customHeight="1">
      <c r="A788" s="438"/>
      <c r="B788" s="438"/>
      <c r="C788" s="438"/>
      <c r="D788" s="438"/>
      <c r="E788" s="438"/>
      <c r="F788" s="438"/>
      <c r="G788" s="454"/>
      <c r="H788" s="454"/>
      <c r="I788" s="454"/>
      <c r="J788" s="438"/>
      <c r="K788" s="438"/>
      <c r="L788" s="438"/>
      <c r="M788" s="438"/>
      <c r="N788" s="438"/>
      <c r="O788" s="438"/>
      <c r="P788" s="438"/>
      <c r="Q788" s="438"/>
      <c r="R788" s="438"/>
      <c r="S788" s="438"/>
      <c r="T788" s="438"/>
      <c r="U788" s="438"/>
      <c r="V788" s="438"/>
      <c r="W788" s="438"/>
      <c r="X788" s="438"/>
      <c r="Y788" s="438"/>
      <c r="Z788" s="438"/>
    </row>
    <row r="789" ht="11.25" customHeight="1">
      <c r="A789" s="438"/>
      <c r="B789" s="438"/>
      <c r="C789" s="438"/>
      <c r="D789" s="438"/>
      <c r="E789" s="438"/>
      <c r="F789" s="438"/>
      <c r="G789" s="454"/>
      <c r="H789" s="454"/>
      <c r="I789" s="454"/>
      <c r="J789" s="438"/>
      <c r="K789" s="438"/>
      <c r="L789" s="438"/>
      <c r="M789" s="438"/>
      <c r="N789" s="438"/>
      <c r="O789" s="438"/>
      <c r="P789" s="438"/>
      <c r="Q789" s="438"/>
      <c r="R789" s="438"/>
      <c r="S789" s="438"/>
      <c r="T789" s="438"/>
      <c r="U789" s="438"/>
      <c r="V789" s="438"/>
      <c r="W789" s="438"/>
      <c r="X789" s="438"/>
      <c r="Y789" s="438"/>
      <c r="Z789" s="438"/>
    </row>
    <row r="790" ht="11.25" customHeight="1">
      <c r="A790" s="438"/>
      <c r="B790" s="438"/>
      <c r="C790" s="438"/>
      <c r="D790" s="438"/>
      <c r="E790" s="438"/>
      <c r="F790" s="438"/>
      <c r="G790" s="454"/>
      <c r="H790" s="454"/>
      <c r="I790" s="454"/>
      <c r="J790" s="438"/>
      <c r="K790" s="438"/>
      <c r="L790" s="438"/>
      <c r="M790" s="438"/>
      <c r="N790" s="438"/>
      <c r="O790" s="438"/>
      <c r="P790" s="438"/>
      <c r="Q790" s="438"/>
      <c r="R790" s="438"/>
      <c r="S790" s="438"/>
      <c r="T790" s="438"/>
      <c r="U790" s="438"/>
      <c r="V790" s="438"/>
      <c r="W790" s="438"/>
      <c r="X790" s="438"/>
      <c r="Y790" s="438"/>
      <c r="Z790" s="438"/>
    </row>
    <row r="791" ht="11.25" customHeight="1">
      <c r="A791" s="438"/>
      <c r="B791" s="438"/>
      <c r="C791" s="438"/>
      <c r="D791" s="438"/>
      <c r="E791" s="438"/>
      <c r="F791" s="438"/>
      <c r="G791" s="454"/>
      <c r="H791" s="454"/>
      <c r="I791" s="454"/>
      <c r="J791" s="438"/>
      <c r="K791" s="438"/>
      <c r="L791" s="438"/>
      <c r="M791" s="438"/>
      <c r="N791" s="438"/>
      <c r="O791" s="438"/>
      <c r="P791" s="438"/>
      <c r="Q791" s="438"/>
      <c r="R791" s="438"/>
      <c r="S791" s="438"/>
      <c r="T791" s="438"/>
      <c r="U791" s="438"/>
      <c r="V791" s="438"/>
      <c r="W791" s="438"/>
      <c r="X791" s="438"/>
      <c r="Y791" s="438"/>
      <c r="Z791" s="438"/>
    </row>
    <row r="792" ht="11.25" customHeight="1">
      <c r="A792" s="438"/>
      <c r="B792" s="438"/>
      <c r="C792" s="438"/>
      <c r="D792" s="438"/>
      <c r="E792" s="438"/>
      <c r="F792" s="438"/>
      <c r="G792" s="454"/>
      <c r="H792" s="454"/>
      <c r="I792" s="454"/>
      <c r="J792" s="438"/>
      <c r="K792" s="438"/>
      <c r="L792" s="438"/>
      <c r="M792" s="438"/>
      <c r="N792" s="438"/>
      <c r="O792" s="438"/>
      <c r="P792" s="438"/>
      <c r="Q792" s="438"/>
      <c r="R792" s="438"/>
      <c r="S792" s="438"/>
      <c r="T792" s="438"/>
      <c r="U792" s="438"/>
      <c r="V792" s="438"/>
      <c r="W792" s="438"/>
      <c r="X792" s="438"/>
      <c r="Y792" s="438"/>
      <c r="Z792" s="438"/>
    </row>
    <row r="793" ht="11.25" customHeight="1">
      <c r="A793" s="438"/>
      <c r="B793" s="438"/>
      <c r="C793" s="438"/>
      <c r="D793" s="438"/>
      <c r="E793" s="438"/>
      <c r="F793" s="438"/>
      <c r="G793" s="454"/>
      <c r="H793" s="454"/>
      <c r="I793" s="454"/>
      <c r="J793" s="438"/>
      <c r="K793" s="438"/>
      <c r="L793" s="438"/>
      <c r="M793" s="438"/>
      <c r="N793" s="438"/>
      <c r="O793" s="438"/>
      <c r="P793" s="438"/>
      <c r="Q793" s="438"/>
      <c r="R793" s="438"/>
      <c r="S793" s="438"/>
      <c r="T793" s="438"/>
      <c r="U793" s="438"/>
      <c r="V793" s="438"/>
      <c r="W793" s="438"/>
      <c r="X793" s="438"/>
      <c r="Y793" s="438"/>
      <c r="Z793" s="438"/>
    </row>
    <row r="794" ht="11.25" customHeight="1">
      <c r="A794" s="438"/>
      <c r="B794" s="438"/>
      <c r="C794" s="438"/>
      <c r="D794" s="438"/>
      <c r="E794" s="438"/>
      <c r="F794" s="438"/>
      <c r="G794" s="454"/>
      <c r="H794" s="454"/>
      <c r="I794" s="454"/>
      <c r="J794" s="438"/>
      <c r="K794" s="438"/>
      <c r="L794" s="438"/>
      <c r="M794" s="438"/>
      <c r="N794" s="438"/>
      <c r="O794" s="438"/>
      <c r="P794" s="438"/>
      <c r="Q794" s="438"/>
      <c r="R794" s="438"/>
      <c r="S794" s="438"/>
      <c r="T794" s="438"/>
      <c r="U794" s="438"/>
      <c r="V794" s="438"/>
      <c r="W794" s="438"/>
      <c r="X794" s="438"/>
      <c r="Y794" s="438"/>
      <c r="Z794" s="438"/>
    </row>
    <row r="795" ht="11.25" customHeight="1">
      <c r="A795" s="438"/>
      <c r="B795" s="438"/>
      <c r="C795" s="438"/>
      <c r="D795" s="438"/>
      <c r="E795" s="438"/>
      <c r="F795" s="438"/>
      <c r="G795" s="454"/>
      <c r="H795" s="454"/>
      <c r="I795" s="454"/>
      <c r="J795" s="438"/>
      <c r="K795" s="438"/>
      <c r="L795" s="438"/>
      <c r="M795" s="438"/>
      <c r="N795" s="438"/>
      <c r="O795" s="438"/>
      <c r="P795" s="438"/>
      <c r="Q795" s="438"/>
      <c r="R795" s="438"/>
      <c r="S795" s="438"/>
      <c r="T795" s="438"/>
      <c r="U795" s="438"/>
      <c r="V795" s="438"/>
      <c r="W795" s="438"/>
      <c r="X795" s="438"/>
      <c r="Y795" s="438"/>
      <c r="Z795" s="438"/>
    </row>
    <row r="796" ht="11.25" customHeight="1">
      <c r="A796" s="438"/>
      <c r="B796" s="438"/>
      <c r="C796" s="438"/>
      <c r="D796" s="438"/>
      <c r="E796" s="438"/>
      <c r="F796" s="438"/>
      <c r="G796" s="454"/>
      <c r="H796" s="454"/>
      <c r="I796" s="454"/>
      <c r="J796" s="438"/>
      <c r="K796" s="438"/>
      <c r="L796" s="438"/>
      <c r="M796" s="438"/>
      <c r="N796" s="438"/>
      <c r="O796" s="438"/>
      <c r="P796" s="438"/>
      <c r="Q796" s="438"/>
      <c r="R796" s="438"/>
      <c r="S796" s="438"/>
      <c r="T796" s="438"/>
      <c r="U796" s="438"/>
      <c r="V796" s="438"/>
      <c r="W796" s="438"/>
      <c r="X796" s="438"/>
      <c r="Y796" s="438"/>
      <c r="Z796" s="438"/>
    </row>
    <row r="797" ht="11.25" customHeight="1">
      <c r="A797" s="438"/>
      <c r="B797" s="438"/>
      <c r="C797" s="438"/>
      <c r="D797" s="438"/>
      <c r="E797" s="438"/>
      <c r="F797" s="438"/>
      <c r="G797" s="454"/>
      <c r="H797" s="454"/>
      <c r="I797" s="454"/>
      <c r="J797" s="438"/>
      <c r="K797" s="438"/>
      <c r="L797" s="438"/>
      <c r="M797" s="438"/>
      <c r="N797" s="438"/>
      <c r="O797" s="438"/>
      <c r="P797" s="438"/>
      <c r="Q797" s="438"/>
      <c r="R797" s="438"/>
      <c r="S797" s="438"/>
      <c r="T797" s="438"/>
      <c r="U797" s="438"/>
      <c r="V797" s="438"/>
      <c r="W797" s="438"/>
      <c r="X797" s="438"/>
      <c r="Y797" s="438"/>
      <c r="Z797" s="438"/>
    </row>
    <row r="798" ht="11.25" customHeight="1">
      <c r="A798" s="438"/>
      <c r="B798" s="438"/>
      <c r="C798" s="438"/>
      <c r="D798" s="438"/>
      <c r="E798" s="438"/>
      <c r="F798" s="438"/>
      <c r="G798" s="454"/>
      <c r="H798" s="454"/>
      <c r="I798" s="454"/>
      <c r="J798" s="438"/>
      <c r="K798" s="438"/>
      <c r="L798" s="438"/>
      <c r="M798" s="438"/>
      <c r="N798" s="438"/>
      <c r="O798" s="438"/>
      <c r="P798" s="438"/>
      <c r="Q798" s="438"/>
      <c r="R798" s="438"/>
      <c r="S798" s="438"/>
      <c r="T798" s="438"/>
      <c r="U798" s="438"/>
      <c r="V798" s="438"/>
      <c r="W798" s="438"/>
      <c r="X798" s="438"/>
      <c r="Y798" s="438"/>
      <c r="Z798" s="438"/>
    </row>
    <row r="799" ht="11.25" customHeight="1">
      <c r="A799" s="438"/>
      <c r="B799" s="438"/>
      <c r="C799" s="438"/>
      <c r="D799" s="438"/>
      <c r="E799" s="438"/>
      <c r="F799" s="438"/>
      <c r="G799" s="454"/>
      <c r="H799" s="454"/>
      <c r="I799" s="454"/>
      <c r="J799" s="438"/>
      <c r="K799" s="438"/>
      <c r="L799" s="438"/>
      <c r="M799" s="438"/>
      <c r="N799" s="438"/>
      <c r="O799" s="438"/>
      <c r="P799" s="438"/>
      <c r="Q799" s="438"/>
      <c r="R799" s="438"/>
      <c r="S799" s="438"/>
      <c r="T799" s="438"/>
      <c r="U799" s="438"/>
      <c r="V799" s="438"/>
      <c r="W799" s="438"/>
      <c r="X799" s="438"/>
      <c r="Y799" s="438"/>
      <c r="Z799" s="438"/>
    </row>
    <row r="800" ht="11.25" customHeight="1">
      <c r="A800" s="438"/>
      <c r="B800" s="438"/>
      <c r="C800" s="438"/>
      <c r="D800" s="438"/>
      <c r="E800" s="438"/>
      <c r="F800" s="438"/>
      <c r="G800" s="454"/>
      <c r="H800" s="454"/>
      <c r="I800" s="454"/>
      <c r="J800" s="438"/>
      <c r="K800" s="438"/>
      <c r="L800" s="438"/>
      <c r="M800" s="438"/>
      <c r="N800" s="438"/>
      <c r="O800" s="438"/>
      <c r="P800" s="438"/>
      <c r="Q800" s="438"/>
      <c r="R800" s="438"/>
      <c r="S800" s="438"/>
      <c r="T800" s="438"/>
      <c r="U800" s="438"/>
      <c r="V800" s="438"/>
      <c r="W800" s="438"/>
      <c r="X800" s="438"/>
      <c r="Y800" s="438"/>
      <c r="Z800" s="438"/>
    </row>
    <row r="801" ht="11.25" customHeight="1">
      <c r="A801" s="438"/>
      <c r="B801" s="438"/>
      <c r="C801" s="438"/>
      <c r="D801" s="438"/>
      <c r="E801" s="438"/>
      <c r="F801" s="438"/>
      <c r="G801" s="454"/>
      <c r="H801" s="454"/>
      <c r="I801" s="454"/>
      <c r="J801" s="438"/>
      <c r="K801" s="438"/>
      <c r="L801" s="438"/>
      <c r="M801" s="438"/>
      <c r="N801" s="438"/>
      <c r="O801" s="438"/>
      <c r="P801" s="438"/>
      <c r="Q801" s="438"/>
      <c r="R801" s="438"/>
      <c r="S801" s="438"/>
      <c r="T801" s="438"/>
      <c r="U801" s="438"/>
      <c r="V801" s="438"/>
      <c r="W801" s="438"/>
      <c r="X801" s="438"/>
      <c r="Y801" s="438"/>
      <c r="Z801" s="438"/>
    </row>
    <row r="802" ht="11.25" customHeight="1">
      <c r="A802" s="438"/>
      <c r="B802" s="438"/>
      <c r="C802" s="438"/>
      <c r="D802" s="438"/>
      <c r="E802" s="438"/>
      <c r="F802" s="438"/>
      <c r="G802" s="454"/>
      <c r="H802" s="454"/>
      <c r="I802" s="454"/>
      <c r="J802" s="438"/>
      <c r="K802" s="438"/>
      <c r="L802" s="438"/>
      <c r="M802" s="438"/>
      <c r="N802" s="438"/>
      <c r="O802" s="438"/>
      <c r="P802" s="438"/>
      <c r="Q802" s="438"/>
      <c r="R802" s="438"/>
      <c r="S802" s="438"/>
      <c r="T802" s="438"/>
      <c r="U802" s="438"/>
      <c r="V802" s="438"/>
      <c r="W802" s="438"/>
      <c r="X802" s="438"/>
      <c r="Y802" s="438"/>
      <c r="Z802" s="438"/>
    </row>
    <row r="803" ht="11.25" customHeight="1">
      <c r="A803" s="438"/>
      <c r="B803" s="438"/>
      <c r="C803" s="438"/>
      <c r="D803" s="438"/>
      <c r="E803" s="438"/>
      <c r="F803" s="438"/>
      <c r="G803" s="454"/>
      <c r="H803" s="454"/>
      <c r="I803" s="454"/>
      <c r="J803" s="438"/>
      <c r="K803" s="438"/>
      <c r="L803" s="438"/>
      <c r="M803" s="438"/>
      <c r="N803" s="438"/>
      <c r="O803" s="438"/>
      <c r="P803" s="438"/>
      <c r="Q803" s="438"/>
      <c r="R803" s="438"/>
      <c r="S803" s="438"/>
      <c r="T803" s="438"/>
      <c r="U803" s="438"/>
      <c r="V803" s="438"/>
      <c r="W803" s="438"/>
      <c r="X803" s="438"/>
      <c r="Y803" s="438"/>
      <c r="Z803" s="438"/>
    </row>
    <row r="804" ht="11.25" customHeight="1">
      <c r="A804" s="438"/>
      <c r="B804" s="438"/>
      <c r="C804" s="438"/>
      <c r="D804" s="438"/>
      <c r="E804" s="438"/>
      <c r="F804" s="438"/>
      <c r="G804" s="454"/>
      <c r="H804" s="454"/>
      <c r="I804" s="454"/>
      <c r="J804" s="438"/>
      <c r="K804" s="438"/>
      <c r="L804" s="438"/>
      <c r="M804" s="438"/>
      <c r="N804" s="438"/>
      <c r="O804" s="438"/>
      <c r="P804" s="438"/>
      <c r="Q804" s="438"/>
      <c r="R804" s="438"/>
      <c r="S804" s="438"/>
      <c r="T804" s="438"/>
      <c r="U804" s="438"/>
      <c r="V804" s="438"/>
      <c r="W804" s="438"/>
      <c r="X804" s="438"/>
      <c r="Y804" s="438"/>
      <c r="Z804" s="438"/>
    </row>
    <row r="805" ht="11.25" customHeight="1">
      <c r="A805" s="438"/>
      <c r="B805" s="438"/>
      <c r="C805" s="438"/>
      <c r="D805" s="438"/>
      <c r="E805" s="438"/>
      <c r="F805" s="438"/>
      <c r="G805" s="454"/>
      <c r="H805" s="454"/>
      <c r="I805" s="454"/>
      <c r="J805" s="438"/>
      <c r="K805" s="438"/>
      <c r="L805" s="438"/>
      <c r="M805" s="438"/>
      <c r="N805" s="438"/>
      <c r="O805" s="438"/>
      <c r="P805" s="438"/>
      <c r="Q805" s="438"/>
      <c r="R805" s="438"/>
      <c r="S805" s="438"/>
      <c r="T805" s="438"/>
      <c r="U805" s="438"/>
      <c r="V805" s="438"/>
      <c r="W805" s="438"/>
      <c r="X805" s="438"/>
      <c r="Y805" s="438"/>
      <c r="Z805" s="438"/>
    </row>
    <row r="806" ht="11.25" customHeight="1">
      <c r="A806" s="438"/>
      <c r="B806" s="438"/>
      <c r="C806" s="438"/>
      <c r="D806" s="438"/>
      <c r="E806" s="438"/>
      <c r="F806" s="438"/>
      <c r="G806" s="454"/>
      <c r="H806" s="454"/>
      <c r="I806" s="454"/>
      <c r="J806" s="438"/>
      <c r="K806" s="438"/>
      <c r="L806" s="438"/>
      <c r="M806" s="438"/>
      <c r="N806" s="438"/>
      <c r="O806" s="438"/>
      <c r="P806" s="438"/>
      <c r="Q806" s="438"/>
      <c r="R806" s="438"/>
      <c r="S806" s="438"/>
      <c r="T806" s="438"/>
      <c r="U806" s="438"/>
      <c r="V806" s="438"/>
      <c r="W806" s="438"/>
      <c r="X806" s="438"/>
      <c r="Y806" s="438"/>
      <c r="Z806" s="438"/>
    </row>
    <row r="807" ht="11.25" customHeight="1">
      <c r="A807" s="438"/>
      <c r="B807" s="438"/>
      <c r="C807" s="438"/>
      <c r="D807" s="438"/>
      <c r="E807" s="438"/>
      <c r="F807" s="438"/>
      <c r="G807" s="454"/>
      <c r="H807" s="454"/>
      <c r="I807" s="454"/>
      <c r="J807" s="438"/>
      <c r="K807" s="438"/>
      <c r="L807" s="438"/>
      <c r="M807" s="438"/>
      <c r="N807" s="438"/>
      <c r="O807" s="438"/>
      <c r="P807" s="438"/>
      <c r="Q807" s="438"/>
      <c r="R807" s="438"/>
      <c r="S807" s="438"/>
      <c r="T807" s="438"/>
      <c r="U807" s="438"/>
      <c r="V807" s="438"/>
      <c r="W807" s="438"/>
      <c r="X807" s="438"/>
      <c r="Y807" s="438"/>
      <c r="Z807" s="438"/>
    </row>
    <row r="808" ht="11.25" customHeight="1">
      <c r="A808" s="438"/>
      <c r="B808" s="438"/>
      <c r="C808" s="438"/>
      <c r="D808" s="438"/>
      <c r="E808" s="438"/>
      <c r="F808" s="438"/>
      <c r="G808" s="454"/>
      <c r="H808" s="454"/>
      <c r="I808" s="454"/>
      <c r="J808" s="438"/>
      <c r="K808" s="438"/>
      <c r="L808" s="438"/>
      <c r="M808" s="438"/>
      <c r="N808" s="438"/>
      <c r="O808" s="438"/>
      <c r="P808" s="438"/>
      <c r="Q808" s="438"/>
      <c r="R808" s="438"/>
      <c r="S808" s="438"/>
      <c r="T808" s="438"/>
      <c r="U808" s="438"/>
      <c r="V808" s="438"/>
      <c r="W808" s="438"/>
      <c r="X808" s="438"/>
      <c r="Y808" s="438"/>
      <c r="Z808" s="438"/>
    </row>
    <row r="809" ht="11.25" customHeight="1">
      <c r="A809" s="438"/>
      <c r="B809" s="438"/>
      <c r="C809" s="438"/>
      <c r="D809" s="438"/>
      <c r="E809" s="438"/>
      <c r="F809" s="438"/>
      <c r="G809" s="454"/>
      <c r="H809" s="454"/>
      <c r="I809" s="454"/>
      <c r="J809" s="438"/>
      <c r="K809" s="438"/>
      <c r="L809" s="438"/>
      <c r="M809" s="438"/>
      <c r="N809" s="438"/>
      <c r="O809" s="438"/>
      <c r="P809" s="438"/>
      <c r="Q809" s="438"/>
      <c r="R809" s="438"/>
      <c r="S809" s="438"/>
      <c r="T809" s="438"/>
      <c r="U809" s="438"/>
      <c r="V809" s="438"/>
      <c r="W809" s="438"/>
      <c r="X809" s="438"/>
      <c r="Y809" s="438"/>
      <c r="Z809" s="438"/>
    </row>
    <row r="810" ht="11.25" customHeight="1">
      <c r="A810" s="438"/>
      <c r="B810" s="438"/>
      <c r="C810" s="438"/>
      <c r="D810" s="438"/>
      <c r="E810" s="438"/>
      <c r="F810" s="438"/>
      <c r="G810" s="454"/>
      <c r="H810" s="454"/>
      <c r="I810" s="454"/>
      <c r="J810" s="438"/>
      <c r="K810" s="438"/>
      <c r="L810" s="438"/>
      <c r="M810" s="438"/>
      <c r="N810" s="438"/>
      <c r="O810" s="438"/>
      <c r="P810" s="438"/>
      <c r="Q810" s="438"/>
      <c r="R810" s="438"/>
      <c r="S810" s="438"/>
      <c r="T810" s="438"/>
      <c r="U810" s="438"/>
      <c r="V810" s="438"/>
      <c r="W810" s="438"/>
      <c r="X810" s="438"/>
      <c r="Y810" s="438"/>
      <c r="Z810" s="438"/>
    </row>
    <row r="811" ht="11.25" customHeight="1">
      <c r="A811" s="438"/>
      <c r="B811" s="438"/>
      <c r="C811" s="438"/>
      <c r="D811" s="438"/>
      <c r="E811" s="438"/>
      <c r="F811" s="438"/>
      <c r="G811" s="454"/>
      <c r="H811" s="454"/>
      <c r="I811" s="454"/>
      <c r="J811" s="438"/>
      <c r="K811" s="438"/>
      <c r="L811" s="438"/>
      <c r="M811" s="438"/>
      <c r="N811" s="438"/>
      <c r="O811" s="438"/>
      <c r="P811" s="438"/>
      <c r="Q811" s="438"/>
      <c r="R811" s="438"/>
      <c r="S811" s="438"/>
      <c r="T811" s="438"/>
      <c r="U811" s="438"/>
      <c r="V811" s="438"/>
      <c r="W811" s="438"/>
      <c r="X811" s="438"/>
      <c r="Y811" s="438"/>
      <c r="Z811" s="438"/>
    </row>
    <row r="812" ht="11.25" customHeight="1">
      <c r="A812" s="438"/>
      <c r="B812" s="438"/>
      <c r="C812" s="438"/>
      <c r="D812" s="438"/>
      <c r="E812" s="438"/>
      <c r="F812" s="438"/>
      <c r="G812" s="454"/>
      <c r="H812" s="454"/>
      <c r="I812" s="454"/>
      <c r="J812" s="438"/>
      <c r="K812" s="438"/>
      <c r="L812" s="438"/>
      <c r="M812" s="438"/>
      <c r="N812" s="438"/>
      <c r="O812" s="438"/>
      <c r="P812" s="438"/>
      <c r="Q812" s="438"/>
      <c r="R812" s="438"/>
      <c r="S812" s="438"/>
      <c r="T812" s="438"/>
      <c r="U812" s="438"/>
      <c r="V812" s="438"/>
      <c r="W812" s="438"/>
      <c r="X812" s="438"/>
      <c r="Y812" s="438"/>
      <c r="Z812" s="438"/>
    </row>
    <row r="813" ht="11.25" customHeight="1">
      <c r="A813" s="438"/>
      <c r="B813" s="438"/>
      <c r="C813" s="438"/>
      <c r="D813" s="438"/>
      <c r="E813" s="438"/>
      <c r="F813" s="438"/>
      <c r="G813" s="454"/>
      <c r="H813" s="454"/>
      <c r="I813" s="454"/>
      <c r="J813" s="438"/>
      <c r="K813" s="438"/>
      <c r="L813" s="438"/>
      <c r="M813" s="438"/>
      <c r="N813" s="438"/>
      <c r="O813" s="438"/>
      <c r="P813" s="438"/>
      <c r="Q813" s="438"/>
      <c r="R813" s="438"/>
      <c r="S813" s="438"/>
      <c r="T813" s="438"/>
      <c r="U813" s="438"/>
      <c r="V813" s="438"/>
      <c r="W813" s="438"/>
      <c r="X813" s="438"/>
      <c r="Y813" s="438"/>
      <c r="Z813" s="438"/>
    </row>
    <row r="814" ht="11.25" customHeight="1">
      <c r="A814" s="438"/>
      <c r="B814" s="438"/>
      <c r="C814" s="438"/>
      <c r="D814" s="438"/>
      <c r="E814" s="438"/>
      <c r="F814" s="438"/>
      <c r="G814" s="454"/>
      <c r="H814" s="454"/>
      <c r="I814" s="454"/>
      <c r="J814" s="438"/>
      <c r="K814" s="438"/>
      <c r="L814" s="438"/>
      <c r="M814" s="438"/>
      <c r="N814" s="438"/>
      <c r="O814" s="438"/>
      <c r="P814" s="438"/>
      <c r="Q814" s="438"/>
      <c r="R814" s="438"/>
      <c r="S814" s="438"/>
      <c r="T814" s="438"/>
      <c r="U814" s="438"/>
      <c r="V814" s="438"/>
      <c r="W814" s="438"/>
      <c r="X814" s="438"/>
      <c r="Y814" s="438"/>
      <c r="Z814" s="438"/>
    </row>
    <row r="815" ht="11.25" customHeight="1">
      <c r="A815" s="438"/>
      <c r="B815" s="438"/>
      <c r="C815" s="438"/>
      <c r="D815" s="438"/>
      <c r="E815" s="438"/>
      <c r="F815" s="438"/>
      <c r="G815" s="454"/>
      <c r="H815" s="454"/>
      <c r="I815" s="454"/>
      <c r="J815" s="438"/>
      <c r="K815" s="438"/>
      <c r="L815" s="438"/>
      <c r="M815" s="438"/>
      <c r="N815" s="438"/>
      <c r="O815" s="438"/>
      <c r="P815" s="438"/>
      <c r="Q815" s="438"/>
      <c r="R815" s="438"/>
      <c r="S815" s="438"/>
      <c r="T815" s="438"/>
      <c r="U815" s="438"/>
      <c r="V815" s="438"/>
      <c r="W815" s="438"/>
      <c r="X815" s="438"/>
      <c r="Y815" s="438"/>
      <c r="Z815" s="438"/>
    </row>
    <row r="816" ht="11.25" customHeight="1">
      <c r="A816" s="438"/>
      <c r="B816" s="438"/>
      <c r="C816" s="438"/>
      <c r="D816" s="438"/>
      <c r="E816" s="438"/>
      <c r="F816" s="438"/>
      <c r="G816" s="454"/>
      <c r="H816" s="454"/>
      <c r="I816" s="454"/>
      <c r="J816" s="438"/>
      <c r="K816" s="438"/>
      <c r="L816" s="438"/>
      <c r="M816" s="438"/>
      <c r="N816" s="438"/>
      <c r="O816" s="438"/>
      <c r="P816" s="438"/>
      <c r="Q816" s="438"/>
      <c r="R816" s="438"/>
      <c r="S816" s="438"/>
      <c r="T816" s="438"/>
      <c r="U816" s="438"/>
      <c r="V816" s="438"/>
      <c r="W816" s="438"/>
      <c r="X816" s="438"/>
      <c r="Y816" s="438"/>
      <c r="Z816" s="438"/>
    </row>
    <row r="817" ht="11.25" customHeight="1">
      <c r="A817" s="438"/>
      <c r="B817" s="438"/>
      <c r="C817" s="438"/>
      <c r="D817" s="438"/>
      <c r="E817" s="438"/>
      <c r="F817" s="438"/>
      <c r="G817" s="454"/>
      <c r="H817" s="454"/>
      <c r="I817" s="454"/>
      <c r="J817" s="438"/>
      <c r="K817" s="438"/>
      <c r="L817" s="438"/>
      <c r="M817" s="438"/>
      <c r="N817" s="438"/>
      <c r="O817" s="438"/>
      <c r="P817" s="438"/>
      <c r="Q817" s="438"/>
      <c r="R817" s="438"/>
      <c r="S817" s="438"/>
      <c r="T817" s="438"/>
      <c r="U817" s="438"/>
      <c r="V817" s="438"/>
      <c r="W817" s="438"/>
      <c r="X817" s="438"/>
      <c r="Y817" s="438"/>
      <c r="Z817" s="438"/>
    </row>
    <row r="818" ht="11.25" customHeight="1">
      <c r="A818" s="438"/>
      <c r="B818" s="438"/>
      <c r="C818" s="438"/>
      <c r="D818" s="438"/>
      <c r="E818" s="438"/>
      <c r="F818" s="438"/>
      <c r="G818" s="454"/>
      <c r="H818" s="454"/>
      <c r="I818" s="454"/>
      <c r="J818" s="438"/>
      <c r="K818" s="438"/>
      <c r="L818" s="438"/>
      <c r="M818" s="438"/>
      <c r="N818" s="438"/>
      <c r="O818" s="438"/>
      <c r="P818" s="438"/>
      <c r="Q818" s="438"/>
      <c r="R818" s="438"/>
      <c r="S818" s="438"/>
      <c r="T818" s="438"/>
      <c r="U818" s="438"/>
      <c r="V818" s="438"/>
      <c r="W818" s="438"/>
      <c r="X818" s="438"/>
      <c r="Y818" s="438"/>
      <c r="Z818" s="438"/>
    </row>
    <row r="819" ht="11.25" customHeight="1">
      <c r="A819" s="438"/>
      <c r="B819" s="438"/>
      <c r="C819" s="438"/>
      <c r="D819" s="438"/>
      <c r="E819" s="438"/>
      <c r="F819" s="438"/>
      <c r="G819" s="454"/>
      <c r="H819" s="454"/>
      <c r="I819" s="454"/>
      <c r="J819" s="438"/>
      <c r="K819" s="438"/>
      <c r="L819" s="438"/>
      <c r="M819" s="438"/>
      <c r="N819" s="438"/>
      <c r="O819" s="438"/>
      <c r="P819" s="438"/>
      <c r="Q819" s="438"/>
      <c r="R819" s="438"/>
      <c r="S819" s="438"/>
      <c r="T819" s="438"/>
      <c r="U819" s="438"/>
      <c r="V819" s="438"/>
      <c r="W819" s="438"/>
      <c r="X819" s="438"/>
      <c r="Y819" s="438"/>
      <c r="Z819" s="438"/>
    </row>
    <row r="820" ht="11.25" customHeight="1">
      <c r="A820" s="438"/>
      <c r="B820" s="438"/>
      <c r="C820" s="438"/>
      <c r="D820" s="438"/>
      <c r="E820" s="438"/>
      <c r="F820" s="438"/>
      <c r="G820" s="454"/>
      <c r="H820" s="454"/>
      <c r="I820" s="454"/>
      <c r="J820" s="438"/>
      <c r="K820" s="438"/>
      <c r="L820" s="438"/>
      <c r="M820" s="438"/>
      <c r="N820" s="438"/>
      <c r="O820" s="438"/>
      <c r="P820" s="438"/>
      <c r="Q820" s="438"/>
      <c r="R820" s="438"/>
      <c r="S820" s="438"/>
      <c r="T820" s="438"/>
      <c r="U820" s="438"/>
      <c r="V820" s="438"/>
      <c r="W820" s="438"/>
      <c r="X820" s="438"/>
      <c r="Y820" s="438"/>
      <c r="Z820" s="438"/>
    </row>
    <row r="821" ht="11.25" customHeight="1">
      <c r="A821" s="438"/>
      <c r="B821" s="438"/>
      <c r="C821" s="438"/>
      <c r="D821" s="438"/>
      <c r="E821" s="438"/>
      <c r="F821" s="438"/>
      <c r="G821" s="454"/>
      <c r="H821" s="454"/>
      <c r="I821" s="454"/>
      <c r="J821" s="438"/>
      <c r="K821" s="438"/>
      <c r="L821" s="438"/>
      <c r="M821" s="438"/>
      <c r="N821" s="438"/>
      <c r="O821" s="438"/>
      <c r="P821" s="438"/>
      <c r="Q821" s="438"/>
      <c r="R821" s="438"/>
      <c r="S821" s="438"/>
      <c r="T821" s="438"/>
      <c r="U821" s="438"/>
      <c r="V821" s="438"/>
      <c r="W821" s="438"/>
      <c r="X821" s="438"/>
      <c r="Y821" s="438"/>
      <c r="Z821" s="438"/>
    </row>
    <row r="822" ht="11.25" customHeight="1">
      <c r="A822" s="438"/>
      <c r="B822" s="438"/>
      <c r="C822" s="438"/>
      <c r="D822" s="438"/>
      <c r="E822" s="438"/>
      <c r="F822" s="438"/>
      <c r="G822" s="454"/>
      <c r="H822" s="454"/>
      <c r="I822" s="454"/>
      <c r="J822" s="438"/>
      <c r="K822" s="438"/>
      <c r="L822" s="438"/>
      <c r="M822" s="438"/>
      <c r="N822" s="438"/>
      <c r="O822" s="438"/>
      <c r="P822" s="438"/>
      <c r="Q822" s="438"/>
      <c r="R822" s="438"/>
      <c r="S822" s="438"/>
      <c r="T822" s="438"/>
      <c r="U822" s="438"/>
      <c r="V822" s="438"/>
      <c r="W822" s="438"/>
      <c r="X822" s="438"/>
      <c r="Y822" s="438"/>
      <c r="Z822" s="438"/>
    </row>
    <row r="823" ht="11.25" customHeight="1">
      <c r="A823" s="438"/>
      <c r="B823" s="438"/>
      <c r="C823" s="438"/>
      <c r="D823" s="438"/>
      <c r="E823" s="438"/>
      <c r="F823" s="438"/>
      <c r="G823" s="454"/>
      <c r="H823" s="454"/>
      <c r="I823" s="454"/>
      <c r="J823" s="438"/>
      <c r="K823" s="438"/>
      <c r="L823" s="438"/>
      <c r="M823" s="438"/>
      <c r="N823" s="438"/>
      <c r="O823" s="438"/>
      <c r="P823" s="438"/>
      <c r="Q823" s="438"/>
      <c r="R823" s="438"/>
      <c r="S823" s="438"/>
      <c r="T823" s="438"/>
      <c r="U823" s="438"/>
      <c r="V823" s="438"/>
      <c r="W823" s="438"/>
      <c r="X823" s="438"/>
      <c r="Y823" s="438"/>
      <c r="Z823" s="438"/>
    </row>
    <row r="824" ht="11.25" customHeight="1">
      <c r="A824" s="438"/>
      <c r="B824" s="438"/>
      <c r="C824" s="438"/>
      <c r="D824" s="438"/>
      <c r="E824" s="438"/>
      <c r="F824" s="438"/>
      <c r="G824" s="454"/>
      <c r="H824" s="454"/>
      <c r="I824" s="454"/>
      <c r="J824" s="438"/>
      <c r="K824" s="438"/>
      <c r="L824" s="438"/>
      <c r="M824" s="438"/>
      <c r="N824" s="438"/>
      <c r="O824" s="438"/>
      <c r="P824" s="438"/>
      <c r="Q824" s="438"/>
      <c r="R824" s="438"/>
      <c r="S824" s="438"/>
      <c r="T824" s="438"/>
      <c r="U824" s="438"/>
      <c r="V824" s="438"/>
      <c r="W824" s="438"/>
      <c r="X824" s="438"/>
      <c r="Y824" s="438"/>
      <c r="Z824" s="438"/>
    </row>
    <row r="825" ht="11.25" customHeight="1">
      <c r="A825" s="438"/>
      <c r="B825" s="438"/>
      <c r="C825" s="438"/>
      <c r="D825" s="438"/>
      <c r="E825" s="438"/>
      <c r="F825" s="438"/>
      <c r="G825" s="454"/>
      <c r="H825" s="454"/>
      <c r="I825" s="454"/>
      <c r="J825" s="438"/>
      <c r="K825" s="438"/>
      <c r="L825" s="438"/>
      <c r="M825" s="438"/>
      <c r="N825" s="438"/>
      <c r="O825" s="438"/>
      <c r="P825" s="438"/>
      <c r="Q825" s="438"/>
      <c r="R825" s="438"/>
      <c r="S825" s="438"/>
      <c r="T825" s="438"/>
      <c r="U825" s="438"/>
      <c r="V825" s="438"/>
      <c r="W825" s="438"/>
      <c r="X825" s="438"/>
      <c r="Y825" s="438"/>
      <c r="Z825" s="438"/>
    </row>
    <row r="826" ht="11.25" customHeight="1">
      <c r="A826" s="438"/>
      <c r="B826" s="438"/>
      <c r="C826" s="438"/>
      <c r="D826" s="438"/>
      <c r="E826" s="438"/>
      <c r="F826" s="438"/>
      <c r="G826" s="454"/>
      <c r="H826" s="454"/>
      <c r="I826" s="454"/>
      <c r="J826" s="438"/>
      <c r="K826" s="438"/>
      <c r="L826" s="438"/>
      <c r="M826" s="438"/>
      <c r="N826" s="438"/>
      <c r="O826" s="438"/>
      <c r="P826" s="438"/>
      <c r="Q826" s="438"/>
      <c r="R826" s="438"/>
      <c r="S826" s="438"/>
      <c r="T826" s="438"/>
      <c r="U826" s="438"/>
      <c r="V826" s="438"/>
      <c r="W826" s="438"/>
      <c r="X826" s="438"/>
      <c r="Y826" s="438"/>
      <c r="Z826" s="438"/>
    </row>
    <row r="827" ht="11.25" customHeight="1">
      <c r="A827" s="438"/>
      <c r="B827" s="438"/>
      <c r="C827" s="438"/>
      <c r="D827" s="438"/>
      <c r="E827" s="438"/>
      <c r="F827" s="438"/>
      <c r="G827" s="454"/>
      <c r="H827" s="454"/>
      <c r="I827" s="454"/>
      <c r="J827" s="438"/>
      <c r="K827" s="438"/>
      <c r="L827" s="438"/>
      <c r="M827" s="438"/>
      <c r="N827" s="438"/>
      <c r="O827" s="438"/>
      <c r="P827" s="438"/>
      <c r="Q827" s="438"/>
      <c r="R827" s="438"/>
      <c r="S827" s="438"/>
      <c r="T827" s="438"/>
      <c r="U827" s="438"/>
      <c r="V827" s="438"/>
      <c r="W827" s="438"/>
      <c r="X827" s="438"/>
      <c r="Y827" s="438"/>
      <c r="Z827" s="438"/>
    </row>
    <row r="828" ht="11.25" customHeight="1">
      <c r="A828" s="438"/>
      <c r="B828" s="438"/>
      <c r="C828" s="438"/>
      <c r="D828" s="438"/>
      <c r="E828" s="438"/>
      <c r="F828" s="438"/>
      <c r="G828" s="454"/>
      <c r="H828" s="454"/>
      <c r="I828" s="454"/>
      <c r="J828" s="438"/>
      <c r="K828" s="438"/>
      <c r="L828" s="438"/>
      <c r="M828" s="438"/>
      <c r="N828" s="438"/>
      <c r="O828" s="438"/>
      <c r="P828" s="438"/>
      <c r="Q828" s="438"/>
      <c r="R828" s="438"/>
      <c r="S828" s="438"/>
      <c r="T828" s="438"/>
      <c r="U828" s="438"/>
      <c r="V828" s="438"/>
      <c r="W828" s="438"/>
      <c r="X828" s="438"/>
      <c r="Y828" s="438"/>
      <c r="Z828" s="438"/>
    </row>
    <row r="829" ht="11.25" customHeight="1">
      <c r="A829" s="438"/>
      <c r="B829" s="438"/>
      <c r="C829" s="438"/>
      <c r="D829" s="438"/>
      <c r="E829" s="438"/>
      <c r="F829" s="438"/>
      <c r="G829" s="454"/>
      <c r="H829" s="454"/>
      <c r="I829" s="454"/>
      <c r="J829" s="438"/>
      <c r="K829" s="438"/>
      <c r="L829" s="438"/>
      <c r="M829" s="438"/>
      <c r="N829" s="438"/>
      <c r="O829" s="438"/>
      <c r="P829" s="438"/>
      <c r="Q829" s="438"/>
      <c r="R829" s="438"/>
      <c r="S829" s="438"/>
      <c r="T829" s="438"/>
      <c r="U829" s="438"/>
      <c r="V829" s="438"/>
      <c r="W829" s="438"/>
      <c r="X829" s="438"/>
      <c r="Y829" s="438"/>
      <c r="Z829" s="438"/>
    </row>
    <row r="830" ht="11.25" customHeight="1">
      <c r="A830" s="438"/>
      <c r="B830" s="438"/>
      <c r="C830" s="438"/>
      <c r="D830" s="438"/>
      <c r="E830" s="438"/>
      <c r="F830" s="438"/>
      <c r="G830" s="454"/>
      <c r="H830" s="454"/>
      <c r="I830" s="454"/>
      <c r="J830" s="438"/>
      <c r="K830" s="438"/>
      <c r="L830" s="438"/>
      <c r="M830" s="438"/>
      <c r="N830" s="438"/>
      <c r="O830" s="438"/>
      <c r="P830" s="438"/>
      <c r="Q830" s="438"/>
      <c r="R830" s="438"/>
      <c r="S830" s="438"/>
      <c r="T830" s="438"/>
      <c r="U830" s="438"/>
      <c r="V830" s="438"/>
      <c r="W830" s="438"/>
      <c r="X830" s="438"/>
      <c r="Y830" s="438"/>
      <c r="Z830" s="438"/>
    </row>
    <row r="831" ht="11.25" customHeight="1">
      <c r="A831" s="438"/>
      <c r="B831" s="438"/>
      <c r="C831" s="438"/>
      <c r="D831" s="438"/>
      <c r="E831" s="438"/>
      <c r="F831" s="438"/>
      <c r="G831" s="454"/>
      <c r="H831" s="454"/>
      <c r="I831" s="454"/>
      <c r="J831" s="438"/>
      <c r="K831" s="438"/>
      <c r="L831" s="438"/>
      <c r="M831" s="438"/>
      <c r="N831" s="438"/>
      <c r="O831" s="438"/>
      <c r="P831" s="438"/>
      <c r="Q831" s="438"/>
      <c r="R831" s="438"/>
      <c r="S831" s="438"/>
      <c r="T831" s="438"/>
      <c r="U831" s="438"/>
      <c r="V831" s="438"/>
      <c r="W831" s="438"/>
      <c r="X831" s="438"/>
      <c r="Y831" s="438"/>
      <c r="Z831" s="438"/>
    </row>
    <row r="832" ht="11.25" customHeight="1">
      <c r="A832" s="438"/>
      <c r="B832" s="438"/>
      <c r="C832" s="438"/>
      <c r="D832" s="438"/>
      <c r="E832" s="438"/>
      <c r="F832" s="438"/>
      <c r="G832" s="454"/>
      <c r="H832" s="454"/>
      <c r="I832" s="454"/>
      <c r="J832" s="438"/>
      <c r="K832" s="438"/>
      <c r="L832" s="438"/>
      <c r="M832" s="438"/>
      <c r="N832" s="438"/>
      <c r="O832" s="438"/>
      <c r="P832" s="438"/>
      <c r="Q832" s="438"/>
      <c r="R832" s="438"/>
      <c r="S832" s="438"/>
      <c r="T832" s="438"/>
      <c r="U832" s="438"/>
      <c r="V832" s="438"/>
      <c r="W832" s="438"/>
      <c r="X832" s="438"/>
      <c r="Y832" s="438"/>
      <c r="Z832" s="438"/>
    </row>
    <row r="833" ht="11.25" customHeight="1">
      <c r="A833" s="438"/>
      <c r="B833" s="438"/>
      <c r="C833" s="438"/>
      <c r="D833" s="438"/>
      <c r="E833" s="438"/>
      <c r="F833" s="438"/>
      <c r="G833" s="454"/>
      <c r="H833" s="454"/>
      <c r="I833" s="454"/>
      <c r="J833" s="438"/>
      <c r="K833" s="438"/>
      <c r="L833" s="438"/>
      <c r="M833" s="438"/>
      <c r="N833" s="438"/>
      <c r="O833" s="438"/>
      <c r="P833" s="438"/>
      <c r="Q833" s="438"/>
      <c r="R833" s="438"/>
      <c r="S833" s="438"/>
      <c r="T833" s="438"/>
      <c r="U833" s="438"/>
      <c r="V833" s="438"/>
      <c r="W833" s="438"/>
      <c r="X833" s="438"/>
      <c r="Y833" s="438"/>
      <c r="Z833" s="438"/>
    </row>
    <row r="834" ht="11.25" customHeight="1">
      <c r="A834" s="438"/>
      <c r="B834" s="438"/>
      <c r="C834" s="438"/>
      <c r="D834" s="438"/>
      <c r="E834" s="438"/>
      <c r="F834" s="438"/>
      <c r="G834" s="454"/>
      <c r="H834" s="454"/>
      <c r="I834" s="454"/>
      <c r="J834" s="438"/>
      <c r="K834" s="438"/>
      <c r="L834" s="438"/>
      <c r="M834" s="438"/>
      <c r="N834" s="438"/>
      <c r="O834" s="438"/>
      <c r="P834" s="438"/>
      <c r="Q834" s="438"/>
      <c r="R834" s="438"/>
      <c r="S834" s="438"/>
      <c r="T834" s="438"/>
      <c r="U834" s="438"/>
      <c r="V834" s="438"/>
      <c r="W834" s="438"/>
      <c r="X834" s="438"/>
      <c r="Y834" s="438"/>
      <c r="Z834" s="438"/>
    </row>
    <row r="835" ht="11.25" customHeight="1">
      <c r="A835" s="438"/>
      <c r="B835" s="438"/>
      <c r="C835" s="438"/>
      <c r="D835" s="438"/>
      <c r="E835" s="438"/>
      <c r="F835" s="438"/>
      <c r="G835" s="454"/>
      <c r="H835" s="454"/>
      <c r="I835" s="454"/>
      <c r="J835" s="438"/>
      <c r="K835" s="438"/>
      <c r="L835" s="438"/>
      <c r="M835" s="438"/>
      <c r="N835" s="438"/>
      <c r="O835" s="438"/>
      <c r="P835" s="438"/>
      <c r="Q835" s="438"/>
      <c r="R835" s="438"/>
      <c r="S835" s="438"/>
      <c r="T835" s="438"/>
      <c r="U835" s="438"/>
      <c r="V835" s="438"/>
      <c r="W835" s="438"/>
      <c r="X835" s="438"/>
      <c r="Y835" s="438"/>
      <c r="Z835" s="438"/>
    </row>
    <row r="836" ht="11.25" customHeight="1">
      <c r="A836" s="438"/>
      <c r="B836" s="438"/>
      <c r="C836" s="438"/>
      <c r="D836" s="438"/>
      <c r="E836" s="438"/>
      <c r="F836" s="438"/>
      <c r="G836" s="454"/>
      <c r="H836" s="454"/>
      <c r="I836" s="454"/>
      <c r="J836" s="438"/>
      <c r="K836" s="438"/>
      <c r="L836" s="438"/>
      <c r="M836" s="438"/>
      <c r="N836" s="438"/>
      <c r="O836" s="438"/>
      <c r="P836" s="438"/>
      <c r="Q836" s="438"/>
      <c r="R836" s="438"/>
      <c r="S836" s="438"/>
      <c r="T836" s="438"/>
      <c r="U836" s="438"/>
      <c r="V836" s="438"/>
      <c r="W836" s="438"/>
      <c r="X836" s="438"/>
      <c r="Y836" s="438"/>
      <c r="Z836" s="438"/>
    </row>
    <row r="837" ht="11.25" customHeight="1">
      <c r="A837" s="438"/>
      <c r="B837" s="438"/>
      <c r="C837" s="438"/>
      <c r="D837" s="438"/>
      <c r="E837" s="438"/>
      <c r="F837" s="438"/>
      <c r="G837" s="454"/>
      <c r="H837" s="454"/>
      <c r="I837" s="454"/>
      <c r="J837" s="438"/>
      <c r="K837" s="438"/>
      <c r="L837" s="438"/>
      <c r="M837" s="438"/>
      <c r="N837" s="438"/>
      <c r="O837" s="438"/>
      <c r="P837" s="438"/>
      <c r="Q837" s="438"/>
      <c r="R837" s="438"/>
      <c r="S837" s="438"/>
      <c r="T837" s="438"/>
      <c r="U837" s="438"/>
      <c r="V837" s="438"/>
      <c r="W837" s="438"/>
      <c r="X837" s="438"/>
      <c r="Y837" s="438"/>
      <c r="Z837" s="438"/>
    </row>
    <row r="838" ht="11.25" customHeight="1">
      <c r="A838" s="438"/>
      <c r="B838" s="438"/>
      <c r="C838" s="438"/>
      <c r="D838" s="438"/>
      <c r="E838" s="438"/>
      <c r="F838" s="438"/>
      <c r="G838" s="454"/>
      <c r="H838" s="454"/>
      <c r="I838" s="454"/>
      <c r="J838" s="438"/>
      <c r="K838" s="438"/>
      <c r="L838" s="438"/>
      <c r="M838" s="438"/>
      <c r="N838" s="438"/>
      <c r="O838" s="438"/>
      <c r="P838" s="438"/>
      <c r="Q838" s="438"/>
      <c r="R838" s="438"/>
      <c r="S838" s="438"/>
      <c r="T838" s="438"/>
      <c r="U838" s="438"/>
      <c r="V838" s="438"/>
      <c r="W838" s="438"/>
      <c r="X838" s="438"/>
      <c r="Y838" s="438"/>
      <c r="Z838" s="438"/>
    </row>
    <row r="839" ht="11.25" customHeight="1">
      <c r="A839" s="438"/>
      <c r="B839" s="438"/>
      <c r="C839" s="438"/>
      <c r="D839" s="438"/>
      <c r="E839" s="438"/>
      <c r="F839" s="438"/>
      <c r="G839" s="454"/>
      <c r="H839" s="454"/>
      <c r="I839" s="454"/>
      <c r="J839" s="438"/>
      <c r="K839" s="438"/>
      <c r="L839" s="438"/>
      <c r="M839" s="438"/>
      <c r="N839" s="438"/>
      <c r="O839" s="438"/>
      <c r="P839" s="438"/>
      <c r="Q839" s="438"/>
      <c r="R839" s="438"/>
      <c r="S839" s="438"/>
      <c r="T839" s="438"/>
      <c r="U839" s="438"/>
      <c r="V839" s="438"/>
      <c r="W839" s="438"/>
      <c r="X839" s="438"/>
      <c r="Y839" s="438"/>
      <c r="Z839" s="438"/>
    </row>
    <row r="840" ht="11.25" customHeight="1">
      <c r="A840" s="438"/>
      <c r="B840" s="438"/>
      <c r="C840" s="438"/>
      <c r="D840" s="438"/>
      <c r="E840" s="438"/>
      <c r="F840" s="438"/>
      <c r="G840" s="454"/>
      <c r="H840" s="454"/>
      <c r="I840" s="454"/>
      <c r="J840" s="438"/>
      <c r="K840" s="438"/>
      <c r="L840" s="438"/>
      <c r="M840" s="438"/>
      <c r="N840" s="438"/>
      <c r="O840" s="438"/>
      <c r="P840" s="438"/>
      <c r="Q840" s="438"/>
      <c r="R840" s="438"/>
      <c r="S840" s="438"/>
      <c r="T840" s="438"/>
      <c r="U840" s="438"/>
      <c r="V840" s="438"/>
      <c r="W840" s="438"/>
      <c r="X840" s="438"/>
      <c r="Y840" s="438"/>
      <c r="Z840" s="438"/>
    </row>
    <row r="841" ht="11.25" customHeight="1">
      <c r="A841" s="438"/>
      <c r="B841" s="438"/>
      <c r="C841" s="438"/>
      <c r="D841" s="438"/>
      <c r="E841" s="438"/>
      <c r="F841" s="438"/>
      <c r="G841" s="454"/>
      <c r="H841" s="454"/>
      <c r="I841" s="454"/>
      <c r="J841" s="438"/>
      <c r="K841" s="438"/>
      <c r="L841" s="438"/>
      <c r="M841" s="438"/>
      <c r="N841" s="438"/>
      <c r="O841" s="438"/>
      <c r="P841" s="438"/>
      <c r="Q841" s="438"/>
      <c r="R841" s="438"/>
      <c r="S841" s="438"/>
      <c r="T841" s="438"/>
      <c r="U841" s="438"/>
      <c r="V841" s="438"/>
      <c r="W841" s="438"/>
      <c r="X841" s="438"/>
      <c r="Y841" s="438"/>
      <c r="Z841" s="438"/>
    </row>
    <row r="842" ht="11.25" customHeight="1">
      <c r="A842" s="438"/>
      <c r="B842" s="438"/>
      <c r="C842" s="438"/>
      <c r="D842" s="438"/>
      <c r="E842" s="438"/>
      <c r="F842" s="438"/>
      <c r="G842" s="454"/>
      <c r="H842" s="454"/>
      <c r="I842" s="454"/>
      <c r="J842" s="438"/>
      <c r="K842" s="438"/>
      <c r="L842" s="438"/>
      <c r="M842" s="438"/>
      <c r="N842" s="438"/>
      <c r="O842" s="438"/>
      <c r="P842" s="438"/>
      <c r="Q842" s="438"/>
      <c r="R842" s="438"/>
      <c r="S842" s="438"/>
      <c r="T842" s="438"/>
      <c r="U842" s="438"/>
      <c r="V842" s="438"/>
      <c r="W842" s="438"/>
      <c r="X842" s="438"/>
      <c r="Y842" s="438"/>
      <c r="Z842" s="438"/>
    </row>
    <row r="843" ht="11.25" customHeight="1">
      <c r="A843" s="438"/>
      <c r="B843" s="438"/>
      <c r="C843" s="438"/>
      <c r="D843" s="438"/>
      <c r="E843" s="438"/>
      <c r="F843" s="438"/>
      <c r="G843" s="454"/>
      <c r="H843" s="454"/>
      <c r="I843" s="454"/>
      <c r="J843" s="438"/>
      <c r="K843" s="438"/>
      <c r="L843" s="438"/>
      <c r="M843" s="438"/>
      <c r="N843" s="438"/>
      <c r="O843" s="438"/>
      <c r="P843" s="438"/>
      <c r="Q843" s="438"/>
      <c r="R843" s="438"/>
      <c r="S843" s="438"/>
      <c r="T843" s="438"/>
      <c r="U843" s="438"/>
      <c r="V843" s="438"/>
      <c r="W843" s="438"/>
      <c r="X843" s="438"/>
      <c r="Y843" s="438"/>
      <c r="Z843" s="438"/>
    </row>
    <row r="844" ht="11.25" customHeight="1">
      <c r="A844" s="438"/>
      <c r="B844" s="438"/>
      <c r="C844" s="438"/>
      <c r="D844" s="438"/>
      <c r="E844" s="438"/>
      <c r="F844" s="438"/>
      <c r="G844" s="454"/>
      <c r="H844" s="454"/>
      <c r="I844" s="454"/>
      <c r="J844" s="438"/>
      <c r="K844" s="438"/>
      <c r="L844" s="438"/>
      <c r="M844" s="438"/>
      <c r="N844" s="438"/>
      <c r="O844" s="438"/>
      <c r="P844" s="438"/>
      <c r="Q844" s="438"/>
      <c r="R844" s="438"/>
      <c r="S844" s="438"/>
      <c r="T844" s="438"/>
      <c r="U844" s="438"/>
      <c r="V844" s="438"/>
      <c r="W844" s="438"/>
      <c r="X844" s="438"/>
      <c r="Y844" s="438"/>
      <c r="Z844" s="438"/>
    </row>
    <row r="845" ht="11.25" customHeight="1">
      <c r="A845" s="438"/>
      <c r="B845" s="438"/>
      <c r="C845" s="438"/>
      <c r="D845" s="438"/>
      <c r="E845" s="438"/>
      <c r="F845" s="438"/>
      <c r="G845" s="454"/>
      <c r="H845" s="454"/>
      <c r="I845" s="454"/>
      <c r="J845" s="438"/>
      <c r="K845" s="438"/>
      <c r="L845" s="438"/>
      <c r="M845" s="438"/>
      <c r="N845" s="438"/>
      <c r="O845" s="438"/>
      <c r="P845" s="438"/>
      <c r="Q845" s="438"/>
      <c r="R845" s="438"/>
      <c r="S845" s="438"/>
      <c r="T845" s="438"/>
      <c r="U845" s="438"/>
      <c r="V845" s="438"/>
      <c r="W845" s="438"/>
      <c r="X845" s="438"/>
      <c r="Y845" s="438"/>
      <c r="Z845" s="438"/>
    </row>
    <row r="846" ht="11.25" customHeight="1">
      <c r="A846" s="438"/>
      <c r="B846" s="438"/>
      <c r="C846" s="438"/>
      <c r="D846" s="438"/>
      <c r="E846" s="438"/>
      <c r="F846" s="438"/>
      <c r="G846" s="454"/>
      <c r="H846" s="454"/>
      <c r="I846" s="454"/>
      <c r="J846" s="438"/>
      <c r="K846" s="438"/>
      <c r="L846" s="438"/>
      <c r="M846" s="438"/>
      <c r="N846" s="438"/>
      <c r="O846" s="438"/>
      <c r="P846" s="438"/>
      <c r="Q846" s="438"/>
      <c r="R846" s="438"/>
      <c r="S846" s="438"/>
      <c r="T846" s="438"/>
      <c r="U846" s="438"/>
      <c r="V846" s="438"/>
      <c r="W846" s="438"/>
      <c r="X846" s="438"/>
      <c r="Y846" s="438"/>
      <c r="Z846" s="438"/>
    </row>
    <row r="847" ht="11.25" customHeight="1">
      <c r="A847" s="438"/>
      <c r="B847" s="438"/>
      <c r="C847" s="438"/>
      <c r="D847" s="438"/>
      <c r="E847" s="438"/>
      <c r="F847" s="438"/>
      <c r="G847" s="454"/>
      <c r="H847" s="454"/>
      <c r="I847" s="454"/>
      <c r="J847" s="438"/>
      <c r="K847" s="438"/>
      <c r="L847" s="438"/>
      <c r="M847" s="438"/>
      <c r="N847" s="438"/>
      <c r="O847" s="438"/>
      <c r="P847" s="438"/>
      <c r="Q847" s="438"/>
      <c r="R847" s="438"/>
      <c r="S847" s="438"/>
      <c r="T847" s="438"/>
      <c r="U847" s="438"/>
      <c r="V847" s="438"/>
      <c r="W847" s="438"/>
      <c r="X847" s="438"/>
      <c r="Y847" s="438"/>
      <c r="Z847" s="438"/>
    </row>
    <row r="848" ht="11.25" customHeight="1">
      <c r="A848" s="438"/>
      <c r="B848" s="438"/>
      <c r="C848" s="438"/>
      <c r="D848" s="438"/>
      <c r="E848" s="438"/>
      <c r="F848" s="438"/>
      <c r="G848" s="454"/>
      <c r="H848" s="454"/>
      <c r="I848" s="454"/>
      <c r="J848" s="438"/>
      <c r="K848" s="438"/>
      <c r="L848" s="438"/>
      <c r="M848" s="438"/>
      <c r="N848" s="438"/>
      <c r="O848" s="438"/>
      <c r="P848" s="438"/>
      <c r="Q848" s="438"/>
      <c r="R848" s="438"/>
      <c r="S848" s="438"/>
      <c r="T848" s="438"/>
      <c r="U848" s="438"/>
      <c r="V848" s="438"/>
      <c r="W848" s="438"/>
      <c r="X848" s="438"/>
      <c r="Y848" s="438"/>
      <c r="Z848" s="438"/>
    </row>
    <row r="849" ht="11.25" customHeight="1">
      <c r="A849" s="438"/>
      <c r="B849" s="438"/>
      <c r="C849" s="438"/>
      <c r="D849" s="438"/>
      <c r="E849" s="438"/>
      <c r="F849" s="438"/>
      <c r="G849" s="454"/>
      <c r="H849" s="454"/>
      <c r="I849" s="454"/>
      <c r="J849" s="438"/>
      <c r="K849" s="438"/>
      <c r="L849" s="438"/>
      <c r="M849" s="438"/>
      <c r="N849" s="438"/>
      <c r="O849" s="438"/>
      <c r="P849" s="438"/>
      <c r="Q849" s="438"/>
      <c r="R849" s="438"/>
      <c r="S849" s="438"/>
      <c r="T849" s="438"/>
      <c r="U849" s="438"/>
      <c r="V849" s="438"/>
      <c r="W849" s="438"/>
      <c r="X849" s="438"/>
      <c r="Y849" s="438"/>
      <c r="Z849" s="438"/>
    </row>
    <row r="850" ht="11.25" customHeight="1">
      <c r="A850" s="438"/>
      <c r="B850" s="438"/>
      <c r="C850" s="438"/>
      <c r="D850" s="438"/>
      <c r="E850" s="438"/>
      <c r="F850" s="438"/>
      <c r="G850" s="454"/>
      <c r="H850" s="454"/>
      <c r="I850" s="454"/>
      <c r="J850" s="438"/>
      <c r="K850" s="438"/>
      <c r="L850" s="438"/>
      <c r="M850" s="438"/>
      <c r="N850" s="438"/>
      <c r="O850" s="438"/>
      <c r="P850" s="438"/>
      <c r="Q850" s="438"/>
      <c r="R850" s="438"/>
      <c r="S850" s="438"/>
      <c r="T850" s="438"/>
      <c r="U850" s="438"/>
      <c r="V850" s="438"/>
      <c r="W850" s="438"/>
      <c r="X850" s="438"/>
      <c r="Y850" s="438"/>
      <c r="Z850" s="438"/>
    </row>
    <row r="851" ht="11.25" customHeight="1">
      <c r="A851" s="438"/>
      <c r="B851" s="438"/>
      <c r="C851" s="438"/>
      <c r="D851" s="438"/>
      <c r="E851" s="438"/>
      <c r="F851" s="438"/>
      <c r="G851" s="454"/>
      <c r="H851" s="454"/>
      <c r="I851" s="454"/>
      <c r="J851" s="438"/>
      <c r="K851" s="438"/>
      <c r="L851" s="438"/>
      <c r="M851" s="438"/>
      <c r="N851" s="438"/>
      <c r="O851" s="438"/>
      <c r="P851" s="438"/>
      <c r="Q851" s="438"/>
      <c r="R851" s="438"/>
      <c r="S851" s="438"/>
      <c r="T851" s="438"/>
      <c r="U851" s="438"/>
      <c r="V851" s="438"/>
      <c r="W851" s="438"/>
      <c r="X851" s="438"/>
      <c r="Y851" s="438"/>
      <c r="Z851" s="438"/>
    </row>
    <row r="852" ht="11.25" customHeight="1">
      <c r="A852" s="438"/>
      <c r="B852" s="438"/>
      <c r="C852" s="438"/>
      <c r="D852" s="438"/>
      <c r="E852" s="438"/>
      <c r="F852" s="438"/>
      <c r="G852" s="454"/>
      <c r="H852" s="454"/>
      <c r="I852" s="454"/>
      <c r="J852" s="438"/>
      <c r="K852" s="438"/>
      <c r="L852" s="438"/>
      <c r="M852" s="438"/>
      <c r="N852" s="438"/>
      <c r="O852" s="438"/>
      <c r="P852" s="438"/>
      <c r="Q852" s="438"/>
      <c r="R852" s="438"/>
      <c r="S852" s="438"/>
      <c r="T852" s="438"/>
      <c r="U852" s="438"/>
      <c r="V852" s="438"/>
      <c r="W852" s="438"/>
      <c r="X852" s="438"/>
      <c r="Y852" s="438"/>
      <c r="Z852" s="438"/>
    </row>
    <row r="853" ht="11.25" customHeight="1">
      <c r="A853" s="438"/>
      <c r="B853" s="438"/>
      <c r="C853" s="438"/>
      <c r="D853" s="438"/>
      <c r="E853" s="438"/>
      <c r="F853" s="438"/>
      <c r="G853" s="454"/>
      <c r="H853" s="454"/>
      <c r="I853" s="454"/>
      <c r="J853" s="438"/>
      <c r="K853" s="438"/>
      <c r="L853" s="438"/>
      <c r="M853" s="438"/>
      <c r="N853" s="438"/>
      <c r="O853" s="438"/>
      <c r="P853" s="438"/>
      <c r="Q853" s="438"/>
      <c r="R853" s="438"/>
      <c r="S853" s="438"/>
      <c r="T853" s="438"/>
      <c r="U853" s="438"/>
      <c r="V853" s="438"/>
      <c r="W853" s="438"/>
      <c r="X853" s="438"/>
      <c r="Y853" s="438"/>
      <c r="Z853" s="438"/>
    </row>
    <row r="854" ht="11.25" customHeight="1">
      <c r="A854" s="438"/>
      <c r="B854" s="438"/>
      <c r="C854" s="438"/>
      <c r="D854" s="438"/>
      <c r="E854" s="438"/>
      <c r="F854" s="438"/>
      <c r="G854" s="454"/>
      <c r="H854" s="454"/>
      <c r="I854" s="454"/>
      <c r="J854" s="438"/>
      <c r="K854" s="438"/>
      <c r="L854" s="438"/>
      <c r="M854" s="438"/>
      <c r="N854" s="438"/>
      <c r="O854" s="438"/>
      <c r="P854" s="438"/>
      <c r="Q854" s="438"/>
      <c r="R854" s="438"/>
      <c r="S854" s="438"/>
      <c r="T854" s="438"/>
      <c r="U854" s="438"/>
      <c r="V854" s="438"/>
      <c r="W854" s="438"/>
      <c r="X854" s="438"/>
      <c r="Y854" s="438"/>
      <c r="Z854" s="438"/>
    </row>
    <row r="855" ht="11.25" customHeight="1">
      <c r="A855" s="438"/>
      <c r="B855" s="438"/>
      <c r="C855" s="438"/>
      <c r="D855" s="438"/>
      <c r="E855" s="438"/>
      <c r="F855" s="438"/>
      <c r="G855" s="454"/>
      <c r="H855" s="454"/>
      <c r="I855" s="454"/>
      <c r="J855" s="438"/>
      <c r="K855" s="438"/>
      <c r="L855" s="438"/>
      <c r="M855" s="438"/>
      <c r="N855" s="438"/>
      <c r="O855" s="438"/>
      <c r="P855" s="438"/>
      <c r="Q855" s="438"/>
      <c r="R855" s="438"/>
      <c r="S855" s="438"/>
      <c r="T855" s="438"/>
      <c r="U855" s="438"/>
      <c r="V855" s="438"/>
      <c r="W855" s="438"/>
      <c r="X855" s="438"/>
      <c r="Y855" s="438"/>
      <c r="Z855" s="438"/>
    </row>
    <row r="856" ht="11.25" customHeight="1">
      <c r="A856" s="438"/>
      <c r="B856" s="438"/>
      <c r="C856" s="438"/>
      <c r="D856" s="438"/>
      <c r="E856" s="438"/>
      <c r="F856" s="438"/>
      <c r="G856" s="454"/>
      <c r="H856" s="454"/>
      <c r="I856" s="454"/>
      <c r="J856" s="438"/>
      <c r="K856" s="438"/>
      <c r="L856" s="438"/>
      <c r="M856" s="438"/>
      <c r="N856" s="438"/>
      <c r="O856" s="438"/>
      <c r="P856" s="438"/>
      <c r="Q856" s="438"/>
      <c r="R856" s="438"/>
      <c r="S856" s="438"/>
      <c r="T856" s="438"/>
      <c r="U856" s="438"/>
      <c r="V856" s="438"/>
      <c r="W856" s="438"/>
      <c r="X856" s="438"/>
      <c r="Y856" s="438"/>
      <c r="Z856" s="438"/>
    </row>
    <row r="857" ht="11.25" customHeight="1">
      <c r="A857" s="438"/>
      <c r="B857" s="438"/>
      <c r="C857" s="438"/>
      <c r="D857" s="438"/>
      <c r="E857" s="438"/>
      <c r="F857" s="438"/>
      <c r="G857" s="454"/>
      <c r="H857" s="454"/>
      <c r="I857" s="454"/>
      <c r="J857" s="438"/>
      <c r="K857" s="438"/>
      <c r="L857" s="438"/>
      <c r="M857" s="438"/>
      <c r="N857" s="438"/>
      <c r="O857" s="438"/>
      <c r="P857" s="438"/>
      <c r="Q857" s="438"/>
      <c r="R857" s="438"/>
      <c r="S857" s="438"/>
      <c r="T857" s="438"/>
      <c r="U857" s="438"/>
      <c r="V857" s="438"/>
      <c r="W857" s="438"/>
      <c r="X857" s="438"/>
      <c r="Y857" s="438"/>
      <c r="Z857" s="438"/>
    </row>
    <row r="858" ht="11.25" customHeight="1">
      <c r="A858" s="438"/>
      <c r="B858" s="438"/>
      <c r="C858" s="438"/>
      <c r="D858" s="438"/>
      <c r="E858" s="438"/>
      <c r="F858" s="438"/>
      <c r="G858" s="454"/>
      <c r="H858" s="454"/>
      <c r="I858" s="454"/>
      <c r="J858" s="438"/>
      <c r="K858" s="438"/>
      <c r="L858" s="438"/>
      <c r="M858" s="438"/>
      <c r="N858" s="438"/>
      <c r="O858" s="438"/>
      <c r="P858" s="438"/>
      <c r="Q858" s="438"/>
      <c r="R858" s="438"/>
      <c r="S858" s="438"/>
      <c r="T858" s="438"/>
      <c r="U858" s="438"/>
      <c r="V858" s="438"/>
      <c r="W858" s="438"/>
      <c r="X858" s="438"/>
      <c r="Y858" s="438"/>
      <c r="Z858" s="438"/>
    </row>
    <row r="859" ht="11.25" customHeight="1">
      <c r="A859" s="438"/>
      <c r="B859" s="438"/>
      <c r="C859" s="438"/>
      <c r="D859" s="438"/>
      <c r="E859" s="438"/>
      <c r="F859" s="438"/>
      <c r="G859" s="454"/>
      <c r="H859" s="454"/>
      <c r="I859" s="454"/>
      <c r="J859" s="438"/>
      <c r="K859" s="438"/>
      <c r="L859" s="438"/>
      <c r="M859" s="438"/>
      <c r="N859" s="438"/>
      <c r="O859" s="438"/>
      <c r="P859" s="438"/>
      <c r="Q859" s="438"/>
      <c r="R859" s="438"/>
      <c r="S859" s="438"/>
      <c r="T859" s="438"/>
      <c r="U859" s="438"/>
      <c r="V859" s="438"/>
      <c r="W859" s="438"/>
      <c r="X859" s="438"/>
      <c r="Y859" s="438"/>
      <c r="Z859" s="438"/>
    </row>
    <row r="860" ht="11.25" customHeight="1">
      <c r="A860" s="438"/>
      <c r="B860" s="438"/>
      <c r="C860" s="438"/>
      <c r="D860" s="438"/>
      <c r="E860" s="438"/>
      <c r="F860" s="438"/>
      <c r="G860" s="454"/>
      <c r="H860" s="454"/>
      <c r="I860" s="454"/>
      <c r="J860" s="438"/>
      <c r="K860" s="438"/>
      <c r="L860" s="438"/>
      <c r="M860" s="438"/>
      <c r="N860" s="438"/>
      <c r="O860" s="438"/>
      <c r="P860" s="438"/>
      <c r="Q860" s="438"/>
      <c r="R860" s="438"/>
      <c r="S860" s="438"/>
      <c r="T860" s="438"/>
      <c r="U860" s="438"/>
      <c r="V860" s="438"/>
      <c r="W860" s="438"/>
      <c r="X860" s="438"/>
      <c r="Y860" s="438"/>
      <c r="Z860" s="438"/>
    </row>
    <row r="861" ht="11.25" customHeight="1">
      <c r="A861" s="438"/>
      <c r="B861" s="438"/>
      <c r="C861" s="438"/>
      <c r="D861" s="438"/>
      <c r="E861" s="438"/>
      <c r="F861" s="438"/>
      <c r="G861" s="454"/>
      <c r="H861" s="454"/>
      <c r="I861" s="454"/>
      <c r="J861" s="438"/>
      <c r="K861" s="438"/>
      <c r="L861" s="438"/>
      <c r="M861" s="438"/>
      <c r="N861" s="438"/>
      <c r="O861" s="438"/>
      <c r="P861" s="438"/>
      <c r="Q861" s="438"/>
      <c r="R861" s="438"/>
      <c r="S861" s="438"/>
      <c r="T861" s="438"/>
      <c r="U861" s="438"/>
      <c r="V861" s="438"/>
      <c r="W861" s="438"/>
      <c r="X861" s="438"/>
      <c r="Y861" s="438"/>
      <c r="Z861" s="438"/>
    </row>
    <row r="862" ht="11.25" customHeight="1">
      <c r="A862" s="438"/>
      <c r="B862" s="438"/>
      <c r="C862" s="438"/>
      <c r="D862" s="438"/>
      <c r="E862" s="438"/>
      <c r="F862" s="438"/>
      <c r="G862" s="454"/>
      <c r="H862" s="454"/>
      <c r="I862" s="454"/>
      <c r="J862" s="438"/>
      <c r="K862" s="438"/>
      <c r="L862" s="438"/>
      <c r="M862" s="438"/>
      <c r="N862" s="438"/>
      <c r="O862" s="438"/>
      <c r="P862" s="438"/>
      <c r="Q862" s="438"/>
      <c r="R862" s="438"/>
      <c r="S862" s="438"/>
      <c r="T862" s="438"/>
      <c r="U862" s="438"/>
      <c r="V862" s="438"/>
      <c r="W862" s="438"/>
      <c r="X862" s="438"/>
      <c r="Y862" s="438"/>
      <c r="Z862" s="438"/>
    </row>
    <row r="863" ht="11.25" customHeight="1">
      <c r="A863" s="438"/>
      <c r="B863" s="438"/>
      <c r="C863" s="438"/>
      <c r="D863" s="438"/>
      <c r="E863" s="438"/>
      <c r="F863" s="438"/>
      <c r="G863" s="454"/>
      <c r="H863" s="454"/>
      <c r="I863" s="454"/>
      <c r="J863" s="438"/>
      <c r="K863" s="438"/>
      <c r="L863" s="438"/>
      <c r="M863" s="438"/>
      <c r="N863" s="438"/>
      <c r="O863" s="438"/>
      <c r="P863" s="438"/>
      <c r="Q863" s="438"/>
      <c r="R863" s="438"/>
      <c r="S863" s="438"/>
      <c r="T863" s="438"/>
      <c r="U863" s="438"/>
      <c r="V863" s="438"/>
      <c r="W863" s="438"/>
      <c r="X863" s="438"/>
      <c r="Y863" s="438"/>
      <c r="Z863" s="438"/>
    </row>
    <row r="864" ht="11.25" customHeight="1">
      <c r="A864" s="438"/>
      <c r="B864" s="438"/>
      <c r="C864" s="438"/>
      <c r="D864" s="438"/>
      <c r="E864" s="438"/>
      <c r="F864" s="438"/>
      <c r="G864" s="454"/>
      <c r="H864" s="454"/>
      <c r="I864" s="454"/>
      <c r="J864" s="438"/>
      <c r="K864" s="438"/>
      <c r="L864" s="438"/>
      <c r="M864" s="438"/>
      <c r="N864" s="438"/>
      <c r="O864" s="438"/>
      <c r="P864" s="438"/>
      <c r="Q864" s="438"/>
      <c r="R864" s="438"/>
      <c r="S864" s="438"/>
      <c r="T864" s="438"/>
      <c r="U864" s="438"/>
      <c r="V864" s="438"/>
      <c r="W864" s="438"/>
      <c r="X864" s="438"/>
      <c r="Y864" s="438"/>
      <c r="Z864" s="438"/>
    </row>
    <row r="865" ht="11.25" customHeight="1">
      <c r="A865" s="438"/>
      <c r="B865" s="438"/>
      <c r="C865" s="438"/>
      <c r="D865" s="438"/>
      <c r="E865" s="438"/>
      <c r="F865" s="438"/>
      <c r="G865" s="454"/>
      <c r="H865" s="454"/>
      <c r="I865" s="454"/>
      <c r="J865" s="438"/>
      <c r="K865" s="438"/>
      <c r="L865" s="438"/>
      <c r="M865" s="438"/>
      <c r="N865" s="438"/>
      <c r="O865" s="438"/>
      <c r="P865" s="438"/>
      <c r="Q865" s="438"/>
      <c r="R865" s="438"/>
      <c r="S865" s="438"/>
      <c r="T865" s="438"/>
      <c r="U865" s="438"/>
      <c r="V865" s="438"/>
      <c r="W865" s="438"/>
      <c r="X865" s="438"/>
      <c r="Y865" s="438"/>
      <c r="Z865" s="438"/>
    </row>
    <row r="866" ht="11.25" customHeight="1">
      <c r="A866" s="438"/>
      <c r="B866" s="438"/>
      <c r="C866" s="438"/>
      <c r="D866" s="438"/>
      <c r="E866" s="438"/>
      <c r="F866" s="438"/>
      <c r="G866" s="454"/>
      <c r="H866" s="454"/>
      <c r="I866" s="454"/>
      <c r="J866" s="438"/>
      <c r="K866" s="438"/>
      <c r="L866" s="438"/>
      <c r="M866" s="438"/>
      <c r="N866" s="438"/>
      <c r="O866" s="438"/>
      <c r="P866" s="438"/>
      <c r="Q866" s="438"/>
      <c r="R866" s="438"/>
      <c r="S866" s="438"/>
      <c r="T866" s="438"/>
      <c r="U866" s="438"/>
      <c r="V866" s="438"/>
      <c r="W866" s="438"/>
      <c r="X866" s="438"/>
      <c r="Y866" s="438"/>
      <c r="Z866" s="438"/>
    </row>
    <row r="867" ht="11.25" customHeight="1">
      <c r="A867" s="438"/>
      <c r="B867" s="438"/>
      <c r="C867" s="438"/>
      <c r="D867" s="438"/>
      <c r="E867" s="438"/>
      <c r="F867" s="438"/>
      <c r="G867" s="454"/>
      <c r="H867" s="454"/>
      <c r="I867" s="454"/>
      <c r="J867" s="438"/>
      <c r="K867" s="438"/>
      <c r="L867" s="438"/>
      <c r="M867" s="438"/>
      <c r="N867" s="438"/>
      <c r="O867" s="438"/>
      <c r="P867" s="438"/>
      <c r="Q867" s="438"/>
      <c r="R867" s="438"/>
      <c r="S867" s="438"/>
      <c r="T867" s="438"/>
      <c r="U867" s="438"/>
      <c r="V867" s="438"/>
      <c r="W867" s="438"/>
      <c r="X867" s="438"/>
      <c r="Y867" s="438"/>
      <c r="Z867" s="438"/>
    </row>
    <row r="868" ht="11.25" customHeight="1">
      <c r="A868" s="438"/>
      <c r="B868" s="438"/>
      <c r="C868" s="438"/>
      <c r="D868" s="438"/>
      <c r="E868" s="438"/>
      <c r="F868" s="438"/>
      <c r="G868" s="454"/>
      <c r="H868" s="454"/>
      <c r="I868" s="454"/>
      <c r="J868" s="438"/>
      <c r="K868" s="438"/>
      <c r="L868" s="438"/>
      <c r="M868" s="438"/>
      <c r="N868" s="438"/>
      <c r="O868" s="438"/>
      <c r="P868" s="438"/>
      <c r="Q868" s="438"/>
      <c r="R868" s="438"/>
      <c r="S868" s="438"/>
      <c r="T868" s="438"/>
      <c r="U868" s="438"/>
      <c r="V868" s="438"/>
      <c r="W868" s="438"/>
      <c r="X868" s="438"/>
      <c r="Y868" s="438"/>
      <c r="Z868" s="438"/>
    </row>
    <row r="869" ht="11.25" customHeight="1">
      <c r="A869" s="438"/>
      <c r="B869" s="438"/>
      <c r="C869" s="438"/>
      <c r="D869" s="438"/>
      <c r="E869" s="438"/>
      <c r="F869" s="438"/>
      <c r="G869" s="454"/>
      <c r="H869" s="454"/>
      <c r="I869" s="454"/>
      <c r="J869" s="438"/>
      <c r="K869" s="438"/>
      <c r="L869" s="438"/>
      <c r="M869" s="438"/>
      <c r="N869" s="438"/>
      <c r="O869" s="438"/>
      <c r="P869" s="438"/>
      <c r="Q869" s="438"/>
      <c r="R869" s="438"/>
      <c r="S869" s="438"/>
      <c r="T869" s="438"/>
      <c r="U869" s="438"/>
      <c r="V869" s="438"/>
      <c r="W869" s="438"/>
      <c r="X869" s="438"/>
      <c r="Y869" s="438"/>
      <c r="Z869" s="438"/>
    </row>
    <row r="870" ht="11.25" customHeight="1">
      <c r="A870" s="438"/>
      <c r="B870" s="438"/>
      <c r="C870" s="438"/>
      <c r="D870" s="438"/>
      <c r="E870" s="438"/>
      <c r="F870" s="438"/>
      <c r="G870" s="454"/>
      <c r="H870" s="454"/>
      <c r="I870" s="454"/>
      <c r="J870" s="438"/>
      <c r="K870" s="438"/>
      <c r="L870" s="438"/>
      <c r="M870" s="438"/>
      <c r="N870" s="438"/>
      <c r="O870" s="438"/>
      <c r="P870" s="438"/>
      <c r="Q870" s="438"/>
      <c r="R870" s="438"/>
      <c r="S870" s="438"/>
      <c r="T870" s="438"/>
      <c r="U870" s="438"/>
      <c r="V870" s="438"/>
      <c r="W870" s="438"/>
      <c r="X870" s="438"/>
      <c r="Y870" s="438"/>
      <c r="Z870" s="438"/>
    </row>
    <row r="871" ht="11.25" customHeight="1">
      <c r="A871" s="438"/>
      <c r="B871" s="438"/>
      <c r="C871" s="438"/>
      <c r="D871" s="438"/>
      <c r="E871" s="438"/>
      <c r="F871" s="438"/>
      <c r="G871" s="454"/>
      <c r="H871" s="454"/>
      <c r="I871" s="454"/>
      <c r="J871" s="438"/>
      <c r="K871" s="438"/>
      <c r="L871" s="438"/>
      <c r="M871" s="438"/>
      <c r="N871" s="438"/>
      <c r="O871" s="438"/>
      <c r="P871" s="438"/>
      <c r="Q871" s="438"/>
      <c r="R871" s="438"/>
      <c r="S871" s="438"/>
      <c r="T871" s="438"/>
      <c r="U871" s="438"/>
      <c r="V871" s="438"/>
      <c r="W871" s="438"/>
      <c r="X871" s="438"/>
      <c r="Y871" s="438"/>
      <c r="Z871" s="438"/>
    </row>
    <row r="872" ht="11.25" customHeight="1">
      <c r="A872" s="438"/>
      <c r="B872" s="438"/>
      <c r="C872" s="438"/>
      <c r="D872" s="438"/>
      <c r="E872" s="438"/>
      <c r="F872" s="438"/>
      <c r="G872" s="454"/>
      <c r="H872" s="454"/>
      <c r="I872" s="454"/>
      <c r="J872" s="438"/>
      <c r="K872" s="438"/>
      <c r="L872" s="438"/>
      <c r="M872" s="438"/>
      <c r="N872" s="438"/>
      <c r="O872" s="438"/>
      <c r="P872" s="438"/>
      <c r="Q872" s="438"/>
      <c r="R872" s="438"/>
      <c r="S872" s="438"/>
      <c r="T872" s="438"/>
      <c r="U872" s="438"/>
      <c r="V872" s="438"/>
      <c r="W872" s="438"/>
      <c r="X872" s="438"/>
      <c r="Y872" s="438"/>
      <c r="Z872" s="438"/>
    </row>
    <row r="873" ht="11.25" customHeight="1">
      <c r="A873" s="438"/>
      <c r="B873" s="438"/>
      <c r="C873" s="438"/>
      <c r="D873" s="438"/>
      <c r="E873" s="438"/>
      <c r="F873" s="438"/>
      <c r="G873" s="454"/>
      <c r="H873" s="454"/>
      <c r="I873" s="454"/>
      <c r="J873" s="438"/>
      <c r="K873" s="438"/>
      <c r="L873" s="438"/>
      <c r="M873" s="438"/>
      <c r="N873" s="438"/>
      <c r="O873" s="438"/>
      <c r="P873" s="438"/>
      <c r="Q873" s="438"/>
      <c r="R873" s="438"/>
      <c r="S873" s="438"/>
      <c r="T873" s="438"/>
      <c r="U873" s="438"/>
      <c r="V873" s="438"/>
      <c r="W873" s="438"/>
      <c r="X873" s="438"/>
      <c r="Y873" s="438"/>
      <c r="Z873" s="438"/>
    </row>
    <row r="874" ht="11.25" customHeight="1">
      <c r="A874" s="438"/>
      <c r="B874" s="438"/>
      <c r="C874" s="438"/>
      <c r="D874" s="438"/>
      <c r="E874" s="438"/>
      <c r="F874" s="438"/>
      <c r="G874" s="454"/>
      <c r="H874" s="454"/>
      <c r="I874" s="454"/>
      <c r="J874" s="438"/>
      <c r="K874" s="438"/>
      <c r="L874" s="438"/>
      <c r="M874" s="438"/>
      <c r="N874" s="438"/>
      <c r="O874" s="438"/>
      <c r="P874" s="438"/>
      <c r="Q874" s="438"/>
      <c r="R874" s="438"/>
      <c r="S874" s="438"/>
      <c r="T874" s="438"/>
      <c r="U874" s="438"/>
      <c r="V874" s="438"/>
      <c r="W874" s="438"/>
      <c r="X874" s="438"/>
      <c r="Y874" s="438"/>
      <c r="Z874" s="438"/>
    </row>
    <row r="875" ht="11.25" customHeight="1">
      <c r="A875" s="438"/>
      <c r="B875" s="438"/>
      <c r="C875" s="438"/>
      <c r="D875" s="438"/>
      <c r="E875" s="438"/>
      <c r="F875" s="438"/>
      <c r="G875" s="454"/>
      <c r="H875" s="454"/>
      <c r="I875" s="454"/>
      <c r="J875" s="438"/>
      <c r="K875" s="438"/>
      <c r="L875" s="438"/>
      <c r="M875" s="438"/>
      <c r="N875" s="438"/>
      <c r="O875" s="438"/>
      <c r="P875" s="438"/>
      <c r="Q875" s="438"/>
      <c r="R875" s="438"/>
      <c r="S875" s="438"/>
      <c r="T875" s="438"/>
      <c r="U875" s="438"/>
      <c r="V875" s="438"/>
      <c r="W875" s="438"/>
      <c r="X875" s="438"/>
      <c r="Y875" s="438"/>
      <c r="Z875" s="438"/>
    </row>
    <row r="876" ht="11.25" customHeight="1">
      <c r="A876" s="438"/>
      <c r="B876" s="438"/>
      <c r="C876" s="438"/>
      <c r="D876" s="438"/>
      <c r="E876" s="438"/>
      <c r="F876" s="438"/>
      <c r="G876" s="454"/>
      <c r="H876" s="454"/>
      <c r="I876" s="454"/>
      <c r="J876" s="438"/>
      <c r="K876" s="438"/>
      <c r="L876" s="438"/>
      <c r="M876" s="438"/>
      <c r="N876" s="438"/>
      <c r="O876" s="438"/>
      <c r="P876" s="438"/>
      <c r="Q876" s="438"/>
      <c r="R876" s="438"/>
      <c r="S876" s="438"/>
      <c r="T876" s="438"/>
      <c r="U876" s="438"/>
      <c r="V876" s="438"/>
      <c r="W876" s="438"/>
      <c r="X876" s="438"/>
      <c r="Y876" s="438"/>
      <c r="Z876" s="438"/>
    </row>
    <row r="877" ht="11.25" customHeight="1">
      <c r="A877" s="438"/>
      <c r="B877" s="438"/>
      <c r="C877" s="438"/>
      <c r="D877" s="438"/>
      <c r="E877" s="438"/>
      <c r="F877" s="438"/>
      <c r="G877" s="454"/>
      <c r="H877" s="454"/>
      <c r="I877" s="454"/>
      <c r="J877" s="438"/>
      <c r="K877" s="438"/>
      <c r="L877" s="438"/>
      <c r="M877" s="438"/>
      <c r="N877" s="438"/>
      <c r="O877" s="438"/>
      <c r="P877" s="438"/>
      <c r="Q877" s="438"/>
      <c r="R877" s="438"/>
      <c r="S877" s="438"/>
      <c r="T877" s="438"/>
      <c r="U877" s="438"/>
      <c r="V877" s="438"/>
      <c r="W877" s="438"/>
      <c r="X877" s="438"/>
      <c r="Y877" s="438"/>
      <c r="Z877" s="438"/>
    </row>
    <row r="878" ht="11.25" customHeight="1">
      <c r="A878" s="438"/>
      <c r="B878" s="438"/>
      <c r="C878" s="438"/>
      <c r="D878" s="438"/>
      <c r="E878" s="438"/>
      <c r="F878" s="438"/>
      <c r="G878" s="454"/>
      <c r="H878" s="454"/>
      <c r="I878" s="454"/>
      <c r="J878" s="438"/>
      <c r="K878" s="438"/>
      <c r="L878" s="438"/>
      <c r="M878" s="438"/>
      <c r="N878" s="438"/>
      <c r="O878" s="438"/>
      <c r="P878" s="438"/>
      <c r="Q878" s="438"/>
      <c r="R878" s="438"/>
      <c r="S878" s="438"/>
      <c r="T878" s="438"/>
      <c r="U878" s="438"/>
      <c r="V878" s="438"/>
      <c r="W878" s="438"/>
      <c r="X878" s="438"/>
      <c r="Y878" s="438"/>
      <c r="Z878" s="438"/>
    </row>
    <row r="879" ht="11.25" customHeight="1">
      <c r="A879" s="438"/>
      <c r="B879" s="438"/>
      <c r="C879" s="438"/>
      <c r="D879" s="438"/>
      <c r="E879" s="438"/>
      <c r="F879" s="438"/>
      <c r="G879" s="454"/>
      <c r="H879" s="454"/>
      <c r="I879" s="454"/>
      <c r="J879" s="438"/>
      <c r="K879" s="438"/>
      <c r="L879" s="438"/>
      <c r="M879" s="438"/>
      <c r="N879" s="438"/>
      <c r="O879" s="438"/>
      <c r="P879" s="438"/>
      <c r="Q879" s="438"/>
      <c r="R879" s="438"/>
      <c r="S879" s="438"/>
      <c r="T879" s="438"/>
      <c r="U879" s="438"/>
      <c r="V879" s="438"/>
      <c r="W879" s="438"/>
      <c r="X879" s="438"/>
      <c r="Y879" s="438"/>
      <c r="Z879" s="438"/>
    </row>
    <row r="880" ht="11.25" customHeight="1">
      <c r="A880" s="438"/>
      <c r="B880" s="438"/>
      <c r="C880" s="438"/>
      <c r="D880" s="438"/>
      <c r="E880" s="438"/>
      <c r="F880" s="438"/>
      <c r="G880" s="454"/>
      <c r="H880" s="454"/>
      <c r="I880" s="454"/>
      <c r="J880" s="438"/>
      <c r="K880" s="438"/>
      <c r="L880" s="438"/>
      <c r="M880" s="438"/>
      <c r="N880" s="438"/>
      <c r="O880" s="438"/>
      <c r="P880" s="438"/>
      <c r="Q880" s="438"/>
      <c r="R880" s="438"/>
      <c r="S880" s="438"/>
      <c r="T880" s="438"/>
      <c r="U880" s="438"/>
      <c r="V880" s="438"/>
      <c r="W880" s="438"/>
      <c r="X880" s="438"/>
      <c r="Y880" s="438"/>
      <c r="Z880" s="438"/>
    </row>
    <row r="881" ht="11.25" customHeight="1">
      <c r="A881" s="438"/>
      <c r="B881" s="438"/>
      <c r="C881" s="438"/>
      <c r="D881" s="438"/>
      <c r="E881" s="438"/>
      <c r="F881" s="438"/>
      <c r="G881" s="454"/>
      <c r="H881" s="454"/>
      <c r="I881" s="454"/>
      <c r="J881" s="438"/>
      <c r="K881" s="438"/>
      <c r="L881" s="438"/>
      <c r="M881" s="438"/>
      <c r="N881" s="438"/>
      <c r="O881" s="438"/>
      <c r="P881" s="438"/>
      <c r="Q881" s="438"/>
      <c r="R881" s="438"/>
      <c r="S881" s="438"/>
      <c r="T881" s="438"/>
      <c r="U881" s="438"/>
      <c r="V881" s="438"/>
      <c r="W881" s="438"/>
      <c r="X881" s="438"/>
      <c r="Y881" s="438"/>
      <c r="Z881" s="438"/>
    </row>
    <row r="882" ht="11.25" customHeight="1">
      <c r="A882" s="438"/>
      <c r="B882" s="438"/>
      <c r="C882" s="438"/>
      <c r="D882" s="438"/>
      <c r="E882" s="438"/>
      <c r="F882" s="438"/>
      <c r="G882" s="454"/>
      <c r="H882" s="454"/>
      <c r="I882" s="454"/>
      <c r="J882" s="438"/>
      <c r="K882" s="438"/>
      <c r="L882" s="438"/>
      <c r="M882" s="438"/>
      <c r="N882" s="438"/>
      <c r="O882" s="438"/>
      <c r="P882" s="438"/>
      <c r="Q882" s="438"/>
      <c r="R882" s="438"/>
      <c r="S882" s="438"/>
      <c r="T882" s="438"/>
      <c r="U882" s="438"/>
      <c r="V882" s="438"/>
      <c r="W882" s="438"/>
      <c r="X882" s="438"/>
      <c r="Y882" s="438"/>
      <c r="Z882" s="438"/>
    </row>
    <row r="883" ht="11.25" customHeight="1">
      <c r="A883" s="438"/>
      <c r="B883" s="438"/>
      <c r="C883" s="438"/>
      <c r="D883" s="438"/>
      <c r="E883" s="438"/>
      <c r="F883" s="438"/>
      <c r="G883" s="454"/>
      <c r="H883" s="454"/>
      <c r="I883" s="454"/>
      <c r="J883" s="438"/>
      <c r="K883" s="438"/>
      <c r="L883" s="438"/>
      <c r="M883" s="438"/>
      <c r="N883" s="438"/>
      <c r="O883" s="438"/>
      <c r="P883" s="438"/>
      <c r="Q883" s="438"/>
      <c r="R883" s="438"/>
      <c r="S883" s="438"/>
      <c r="T883" s="438"/>
      <c r="U883" s="438"/>
      <c r="V883" s="438"/>
      <c r="W883" s="438"/>
      <c r="X883" s="438"/>
      <c r="Y883" s="438"/>
      <c r="Z883" s="438"/>
    </row>
    <row r="884" ht="11.25" customHeight="1">
      <c r="A884" s="438"/>
      <c r="B884" s="438"/>
      <c r="C884" s="438"/>
      <c r="D884" s="438"/>
      <c r="E884" s="438"/>
      <c r="F884" s="438"/>
      <c r="G884" s="454"/>
      <c r="H884" s="454"/>
      <c r="I884" s="454"/>
      <c r="J884" s="438"/>
      <c r="K884" s="438"/>
      <c r="L884" s="438"/>
      <c r="M884" s="438"/>
      <c r="N884" s="438"/>
      <c r="O884" s="438"/>
      <c r="P884" s="438"/>
      <c r="Q884" s="438"/>
      <c r="R884" s="438"/>
      <c r="S884" s="438"/>
      <c r="T884" s="438"/>
      <c r="U884" s="438"/>
      <c r="V884" s="438"/>
      <c r="W884" s="438"/>
      <c r="X884" s="438"/>
      <c r="Y884" s="438"/>
      <c r="Z884" s="438"/>
    </row>
    <row r="885" ht="11.25" customHeight="1">
      <c r="A885" s="438"/>
      <c r="B885" s="438"/>
      <c r="C885" s="438"/>
      <c r="D885" s="438"/>
      <c r="E885" s="438"/>
      <c r="F885" s="438"/>
      <c r="G885" s="454"/>
      <c r="H885" s="454"/>
      <c r="I885" s="454"/>
      <c r="J885" s="438"/>
      <c r="K885" s="438"/>
      <c r="L885" s="438"/>
      <c r="M885" s="438"/>
      <c r="N885" s="438"/>
      <c r="O885" s="438"/>
      <c r="P885" s="438"/>
      <c r="Q885" s="438"/>
      <c r="R885" s="438"/>
      <c r="S885" s="438"/>
      <c r="T885" s="438"/>
      <c r="U885" s="438"/>
      <c r="V885" s="438"/>
      <c r="W885" s="438"/>
      <c r="X885" s="438"/>
      <c r="Y885" s="438"/>
      <c r="Z885" s="438"/>
    </row>
    <row r="886" ht="11.25" customHeight="1">
      <c r="A886" s="438"/>
      <c r="B886" s="438"/>
      <c r="C886" s="438"/>
      <c r="D886" s="438"/>
      <c r="E886" s="438"/>
      <c r="F886" s="438"/>
      <c r="G886" s="454"/>
      <c r="H886" s="454"/>
      <c r="I886" s="454"/>
      <c r="J886" s="438"/>
      <c r="K886" s="438"/>
      <c r="L886" s="438"/>
      <c r="M886" s="438"/>
      <c r="N886" s="438"/>
      <c r="O886" s="438"/>
      <c r="P886" s="438"/>
      <c r="Q886" s="438"/>
      <c r="R886" s="438"/>
      <c r="S886" s="438"/>
      <c r="T886" s="438"/>
      <c r="U886" s="438"/>
      <c r="V886" s="438"/>
      <c r="W886" s="438"/>
      <c r="X886" s="438"/>
      <c r="Y886" s="438"/>
      <c r="Z886" s="438"/>
    </row>
    <row r="887" ht="11.25" customHeight="1">
      <c r="A887" s="438"/>
      <c r="B887" s="438"/>
      <c r="C887" s="438"/>
      <c r="D887" s="438"/>
      <c r="E887" s="438"/>
      <c r="F887" s="438"/>
      <c r="G887" s="454"/>
      <c r="H887" s="454"/>
      <c r="I887" s="454"/>
      <c r="J887" s="438"/>
      <c r="K887" s="438"/>
      <c r="L887" s="438"/>
      <c r="M887" s="438"/>
      <c r="N887" s="438"/>
      <c r="O887" s="438"/>
      <c r="P887" s="438"/>
      <c r="Q887" s="438"/>
      <c r="R887" s="438"/>
      <c r="S887" s="438"/>
      <c r="T887" s="438"/>
      <c r="U887" s="438"/>
      <c r="V887" s="438"/>
      <c r="W887" s="438"/>
      <c r="X887" s="438"/>
      <c r="Y887" s="438"/>
      <c r="Z887" s="438"/>
    </row>
    <row r="888" ht="11.25" customHeight="1">
      <c r="A888" s="438"/>
      <c r="B888" s="438"/>
      <c r="C888" s="438"/>
      <c r="D888" s="438"/>
      <c r="E888" s="438"/>
      <c r="F888" s="438"/>
      <c r="G888" s="454"/>
      <c r="H888" s="454"/>
      <c r="I888" s="454"/>
      <c r="J888" s="438"/>
      <c r="K888" s="438"/>
      <c r="L888" s="438"/>
      <c r="M888" s="438"/>
      <c r="N888" s="438"/>
      <c r="O888" s="438"/>
      <c r="P888" s="438"/>
      <c r="Q888" s="438"/>
      <c r="R888" s="438"/>
      <c r="S888" s="438"/>
      <c r="T888" s="438"/>
      <c r="U888" s="438"/>
      <c r="V888" s="438"/>
      <c r="W888" s="438"/>
      <c r="X888" s="438"/>
      <c r="Y888" s="438"/>
      <c r="Z888" s="438"/>
    </row>
    <row r="889" ht="11.25" customHeight="1">
      <c r="A889" s="438"/>
      <c r="B889" s="438"/>
      <c r="C889" s="438"/>
      <c r="D889" s="438"/>
      <c r="E889" s="438"/>
      <c r="F889" s="438"/>
      <c r="G889" s="454"/>
      <c r="H889" s="454"/>
      <c r="I889" s="454"/>
      <c r="J889" s="438"/>
      <c r="K889" s="438"/>
      <c r="L889" s="438"/>
      <c r="M889" s="438"/>
      <c r="N889" s="438"/>
      <c r="O889" s="438"/>
      <c r="P889" s="438"/>
      <c r="Q889" s="438"/>
      <c r="R889" s="438"/>
      <c r="S889" s="438"/>
      <c r="T889" s="438"/>
      <c r="U889" s="438"/>
      <c r="V889" s="438"/>
      <c r="W889" s="438"/>
      <c r="X889" s="438"/>
      <c r="Y889" s="438"/>
      <c r="Z889" s="438"/>
    </row>
    <row r="890" ht="11.25" customHeight="1">
      <c r="A890" s="438"/>
      <c r="B890" s="438"/>
      <c r="C890" s="438"/>
      <c r="D890" s="438"/>
      <c r="E890" s="438"/>
      <c r="F890" s="438"/>
      <c r="G890" s="454"/>
      <c r="H890" s="454"/>
      <c r="I890" s="454"/>
      <c r="J890" s="438"/>
      <c r="K890" s="438"/>
      <c r="L890" s="438"/>
      <c r="M890" s="438"/>
      <c r="N890" s="438"/>
      <c r="O890" s="438"/>
      <c r="P890" s="438"/>
      <c r="Q890" s="438"/>
      <c r="R890" s="438"/>
      <c r="S890" s="438"/>
      <c r="T890" s="438"/>
      <c r="U890" s="438"/>
      <c r="V890" s="438"/>
      <c r="W890" s="438"/>
      <c r="X890" s="438"/>
      <c r="Y890" s="438"/>
      <c r="Z890" s="438"/>
    </row>
    <row r="891" ht="11.25" customHeight="1">
      <c r="A891" s="438"/>
      <c r="B891" s="438"/>
      <c r="C891" s="438"/>
      <c r="D891" s="438"/>
      <c r="E891" s="438"/>
      <c r="F891" s="438"/>
      <c r="G891" s="454"/>
      <c r="H891" s="454"/>
      <c r="I891" s="454"/>
      <c r="J891" s="438"/>
      <c r="K891" s="438"/>
      <c r="L891" s="438"/>
      <c r="M891" s="438"/>
      <c r="N891" s="438"/>
      <c r="O891" s="438"/>
      <c r="P891" s="438"/>
      <c r="Q891" s="438"/>
      <c r="R891" s="438"/>
      <c r="S891" s="438"/>
      <c r="T891" s="438"/>
      <c r="U891" s="438"/>
      <c r="V891" s="438"/>
      <c r="W891" s="438"/>
      <c r="X891" s="438"/>
      <c r="Y891" s="438"/>
      <c r="Z891" s="438"/>
    </row>
    <row r="892" ht="11.25" customHeight="1">
      <c r="A892" s="438"/>
      <c r="B892" s="438"/>
      <c r="C892" s="438"/>
      <c r="D892" s="438"/>
      <c r="E892" s="438"/>
      <c r="F892" s="438"/>
      <c r="G892" s="454"/>
      <c r="H892" s="454"/>
      <c r="I892" s="454"/>
      <c r="J892" s="438"/>
      <c r="K892" s="438"/>
      <c r="L892" s="438"/>
      <c r="M892" s="438"/>
      <c r="N892" s="438"/>
      <c r="O892" s="438"/>
      <c r="P892" s="438"/>
      <c r="Q892" s="438"/>
      <c r="R892" s="438"/>
      <c r="S892" s="438"/>
      <c r="T892" s="438"/>
      <c r="U892" s="438"/>
      <c r="V892" s="438"/>
      <c r="W892" s="438"/>
      <c r="X892" s="438"/>
      <c r="Y892" s="438"/>
      <c r="Z892" s="438"/>
    </row>
    <row r="893" ht="11.25" customHeight="1">
      <c r="A893" s="438"/>
      <c r="B893" s="438"/>
      <c r="C893" s="438"/>
      <c r="D893" s="438"/>
      <c r="E893" s="438"/>
      <c r="F893" s="438"/>
      <c r="G893" s="454"/>
      <c r="H893" s="454"/>
      <c r="I893" s="454"/>
      <c r="J893" s="438"/>
      <c r="K893" s="438"/>
      <c r="L893" s="438"/>
      <c r="M893" s="438"/>
      <c r="N893" s="438"/>
      <c r="O893" s="438"/>
      <c r="P893" s="438"/>
      <c r="Q893" s="438"/>
      <c r="R893" s="438"/>
      <c r="S893" s="438"/>
      <c r="T893" s="438"/>
      <c r="U893" s="438"/>
      <c r="V893" s="438"/>
      <c r="W893" s="438"/>
      <c r="X893" s="438"/>
      <c r="Y893" s="438"/>
      <c r="Z893" s="438"/>
    </row>
    <row r="894" ht="11.25" customHeight="1">
      <c r="A894" s="438"/>
      <c r="B894" s="438"/>
      <c r="C894" s="438"/>
      <c r="D894" s="438"/>
      <c r="E894" s="438"/>
      <c r="F894" s="438"/>
      <c r="G894" s="454"/>
      <c r="H894" s="454"/>
      <c r="I894" s="454"/>
      <c r="J894" s="438"/>
      <c r="K894" s="438"/>
      <c r="L894" s="438"/>
      <c r="M894" s="438"/>
      <c r="N894" s="438"/>
      <c r="O894" s="438"/>
      <c r="P894" s="438"/>
      <c r="Q894" s="438"/>
      <c r="R894" s="438"/>
      <c r="S894" s="438"/>
      <c r="T894" s="438"/>
      <c r="U894" s="438"/>
      <c r="V894" s="438"/>
      <c r="W894" s="438"/>
      <c r="X894" s="438"/>
      <c r="Y894" s="438"/>
      <c r="Z894" s="438"/>
    </row>
    <row r="895" ht="11.25" customHeight="1">
      <c r="A895" s="438"/>
      <c r="B895" s="438"/>
      <c r="C895" s="438"/>
      <c r="D895" s="438"/>
      <c r="E895" s="438"/>
      <c r="F895" s="438"/>
      <c r="G895" s="454"/>
      <c r="H895" s="454"/>
      <c r="I895" s="454"/>
      <c r="J895" s="438"/>
      <c r="K895" s="438"/>
      <c r="L895" s="438"/>
      <c r="M895" s="438"/>
      <c r="N895" s="438"/>
      <c r="O895" s="438"/>
      <c r="P895" s="438"/>
      <c r="Q895" s="438"/>
      <c r="R895" s="438"/>
      <c r="S895" s="438"/>
      <c r="T895" s="438"/>
      <c r="U895" s="438"/>
      <c r="V895" s="438"/>
      <c r="W895" s="438"/>
      <c r="X895" s="438"/>
      <c r="Y895" s="438"/>
      <c r="Z895" s="438"/>
    </row>
    <row r="896" ht="11.25" customHeight="1">
      <c r="A896" s="438"/>
      <c r="B896" s="438"/>
      <c r="C896" s="438"/>
      <c r="D896" s="438"/>
      <c r="E896" s="438"/>
      <c r="F896" s="438"/>
      <c r="G896" s="454"/>
      <c r="H896" s="454"/>
      <c r="I896" s="454"/>
      <c r="J896" s="438"/>
      <c r="K896" s="438"/>
      <c r="L896" s="438"/>
      <c r="M896" s="438"/>
      <c r="N896" s="438"/>
      <c r="O896" s="438"/>
      <c r="P896" s="438"/>
      <c r="Q896" s="438"/>
      <c r="R896" s="438"/>
      <c r="S896" s="438"/>
      <c r="T896" s="438"/>
      <c r="U896" s="438"/>
      <c r="V896" s="438"/>
      <c r="W896" s="438"/>
      <c r="X896" s="438"/>
      <c r="Y896" s="438"/>
      <c r="Z896" s="438"/>
    </row>
    <row r="897" ht="11.25" customHeight="1">
      <c r="A897" s="438"/>
      <c r="B897" s="438"/>
      <c r="C897" s="438"/>
      <c r="D897" s="438"/>
      <c r="E897" s="438"/>
      <c r="F897" s="438"/>
      <c r="G897" s="454"/>
      <c r="H897" s="454"/>
      <c r="I897" s="454"/>
      <c r="J897" s="438"/>
      <c r="K897" s="438"/>
      <c r="L897" s="438"/>
      <c r="M897" s="438"/>
      <c r="N897" s="438"/>
      <c r="O897" s="438"/>
      <c r="P897" s="438"/>
      <c r="Q897" s="438"/>
      <c r="R897" s="438"/>
      <c r="S897" s="438"/>
      <c r="T897" s="438"/>
      <c r="U897" s="438"/>
      <c r="V897" s="438"/>
      <c r="W897" s="438"/>
      <c r="X897" s="438"/>
      <c r="Y897" s="438"/>
      <c r="Z897" s="438"/>
    </row>
    <row r="898" ht="11.25" customHeight="1">
      <c r="A898" s="438"/>
      <c r="B898" s="438"/>
      <c r="C898" s="438"/>
      <c r="D898" s="438"/>
      <c r="E898" s="438"/>
      <c r="F898" s="438"/>
      <c r="G898" s="454"/>
      <c r="H898" s="454"/>
      <c r="I898" s="454"/>
      <c r="J898" s="438"/>
      <c r="K898" s="438"/>
      <c r="L898" s="438"/>
      <c r="M898" s="438"/>
      <c r="N898" s="438"/>
      <c r="O898" s="438"/>
      <c r="P898" s="438"/>
      <c r="Q898" s="438"/>
      <c r="R898" s="438"/>
      <c r="S898" s="438"/>
      <c r="T898" s="438"/>
      <c r="U898" s="438"/>
      <c r="V898" s="438"/>
      <c r="W898" s="438"/>
      <c r="X898" s="438"/>
      <c r="Y898" s="438"/>
      <c r="Z898" s="438"/>
    </row>
    <row r="899" ht="11.25" customHeight="1">
      <c r="A899" s="438"/>
      <c r="B899" s="438"/>
      <c r="C899" s="438"/>
      <c r="D899" s="438"/>
      <c r="E899" s="438"/>
      <c r="F899" s="438"/>
      <c r="G899" s="454"/>
      <c r="H899" s="454"/>
      <c r="I899" s="454"/>
      <c r="J899" s="438"/>
      <c r="K899" s="438"/>
      <c r="L899" s="438"/>
      <c r="M899" s="438"/>
      <c r="N899" s="438"/>
      <c r="O899" s="438"/>
      <c r="P899" s="438"/>
      <c r="Q899" s="438"/>
      <c r="R899" s="438"/>
      <c r="S899" s="438"/>
      <c r="T899" s="438"/>
      <c r="U899" s="438"/>
      <c r="V899" s="438"/>
      <c r="W899" s="438"/>
      <c r="X899" s="438"/>
      <c r="Y899" s="438"/>
      <c r="Z899" s="438"/>
    </row>
    <row r="900" ht="11.25" customHeight="1">
      <c r="A900" s="438"/>
      <c r="B900" s="438"/>
      <c r="C900" s="438"/>
      <c r="D900" s="438"/>
      <c r="E900" s="438"/>
      <c r="F900" s="438"/>
      <c r="G900" s="454"/>
      <c r="H900" s="454"/>
      <c r="I900" s="454"/>
      <c r="J900" s="438"/>
      <c r="K900" s="438"/>
      <c r="L900" s="438"/>
      <c r="M900" s="438"/>
      <c r="N900" s="438"/>
      <c r="O900" s="438"/>
      <c r="P900" s="438"/>
      <c r="Q900" s="438"/>
      <c r="R900" s="438"/>
      <c r="S900" s="438"/>
      <c r="T900" s="438"/>
      <c r="U900" s="438"/>
      <c r="V900" s="438"/>
      <c r="W900" s="438"/>
      <c r="X900" s="438"/>
      <c r="Y900" s="438"/>
      <c r="Z900" s="438"/>
    </row>
    <row r="901" ht="11.25" customHeight="1">
      <c r="A901" s="438"/>
      <c r="B901" s="438"/>
      <c r="C901" s="438"/>
      <c r="D901" s="438"/>
      <c r="E901" s="438"/>
      <c r="F901" s="438"/>
      <c r="G901" s="454"/>
      <c r="H901" s="454"/>
      <c r="I901" s="454"/>
      <c r="J901" s="438"/>
      <c r="K901" s="438"/>
      <c r="L901" s="438"/>
      <c r="M901" s="438"/>
      <c r="N901" s="438"/>
      <c r="O901" s="438"/>
      <c r="P901" s="438"/>
      <c r="Q901" s="438"/>
      <c r="R901" s="438"/>
      <c r="S901" s="438"/>
      <c r="T901" s="438"/>
      <c r="U901" s="438"/>
      <c r="V901" s="438"/>
      <c r="W901" s="438"/>
      <c r="X901" s="438"/>
      <c r="Y901" s="438"/>
      <c r="Z901" s="438"/>
    </row>
    <row r="902" ht="11.25" customHeight="1">
      <c r="A902" s="438"/>
      <c r="B902" s="438"/>
      <c r="C902" s="438"/>
      <c r="D902" s="438"/>
      <c r="E902" s="438"/>
      <c r="F902" s="438"/>
      <c r="G902" s="454"/>
      <c r="H902" s="454"/>
      <c r="I902" s="454"/>
      <c r="J902" s="438"/>
      <c r="K902" s="438"/>
      <c r="L902" s="438"/>
      <c r="M902" s="438"/>
      <c r="N902" s="438"/>
      <c r="O902" s="438"/>
      <c r="P902" s="438"/>
      <c r="Q902" s="438"/>
      <c r="R902" s="438"/>
      <c r="S902" s="438"/>
      <c r="T902" s="438"/>
      <c r="U902" s="438"/>
      <c r="V902" s="438"/>
      <c r="W902" s="438"/>
      <c r="X902" s="438"/>
      <c r="Y902" s="438"/>
      <c r="Z902" s="438"/>
    </row>
    <row r="903" ht="11.25" customHeight="1">
      <c r="A903" s="438"/>
      <c r="B903" s="438"/>
      <c r="C903" s="438"/>
      <c r="D903" s="438"/>
      <c r="E903" s="438"/>
      <c r="F903" s="438"/>
      <c r="G903" s="454"/>
      <c r="H903" s="454"/>
      <c r="I903" s="454"/>
      <c r="J903" s="438"/>
      <c r="K903" s="438"/>
      <c r="L903" s="438"/>
      <c r="M903" s="438"/>
      <c r="N903" s="438"/>
      <c r="O903" s="438"/>
      <c r="P903" s="438"/>
      <c r="Q903" s="438"/>
      <c r="R903" s="438"/>
      <c r="S903" s="438"/>
      <c r="T903" s="438"/>
      <c r="U903" s="438"/>
      <c r="V903" s="438"/>
      <c r="W903" s="438"/>
      <c r="X903" s="438"/>
      <c r="Y903" s="438"/>
      <c r="Z903" s="438"/>
    </row>
    <row r="904" ht="11.25" customHeight="1">
      <c r="A904" s="438"/>
      <c r="B904" s="438"/>
      <c r="C904" s="438"/>
      <c r="D904" s="438"/>
      <c r="E904" s="438"/>
      <c r="F904" s="438"/>
      <c r="G904" s="454"/>
      <c r="H904" s="454"/>
      <c r="I904" s="454"/>
      <c r="J904" s="438"/>
      <c r="K904" s="438"/>
      <c r="L904" s="438"/>
      <c r="M904" s="438"/>
      <c r="N904" s="438"/>
      <c r="O904" s="438"/>
      <c r="P904" s="438"/>
      <c r="Q904" s="438"/>
      <c r="R904" s="438"/>
      <c r="S904" s="438"/>
      <c r="T904" s="438"/>
      <c r="U904" s="438"/>
      <c r="V904" s="438"/>
      <c r="W904" s="438"/>
      <c r="X904" s="438"/>
      <c r="Y904" s="438"/>
      <c r="Z904" s="438"/>
    </row>
    <row r="905" ht="11.25" customHeight="1">
      <c r="A905" s="438"/>
      <c r="B905" s="438"/>
      <c r="C905" s="438"/>
      <c r="D905" s="438"/>
      <c r="E905" s="438"/>
      <c r="F905" s="438"/>
      <c r="G905" s="454"/>
      <c r="H905" s="454"/>
      <c r="I905" s="454"/>
      <c r="J905" s="438"/>
      <c r="K905" s="438"/>
      <c r="L905" s="438"/>
      <c r="M905" s="438"/>
      <c r="N905" s="438"/>
      <c r="O905" s="438"/>
      <c r="P905" s="438"/>
      <c r="Q905" s="438"/>
      <c r="R905" s="438"/>
      <c r="S905" s="438"/>
      <c r="T905" s="438"/>
      <c r="U905" s="438"/>
      <c r="V905" s="438"/>
      <c r="W905" s="438"/>
      <c r="X905" s="438"/>
      <c r="Y905" s="438"/>
      <c r="Z905" s="438"/>
    </row>
    <row r="906" ht="11.25" customHeight="1">
      <c r="A906" s="438"/>
      <c r="B906" s="438"/>
      <c r="C906" s="438"/>
      <c r="D906" s="438"/>
      <c r="E906" s="438"/>
      <c r="F906" s="438"/>
      <c r="G906" s="454"/>
      <c r="H906" s="454"/>
      <c r="I906" s="454"/>
      <c r="J906" s="438"/>
      <c r="K906" s="438"/>
      <c r="L906" s="438"/>
      <c r="M906" s="438"/>
      <c r="N906" s="438"/>
      <c r="O906" s="438"/>
      <c r="P906" s="438"/>
      <c r="Q906" s="438"/>
      <c r="R906" s="438"/>
      <c r="S906" s="438"/>
      <c r="T906" s="438"/>
      <c r="U906" s="438"/>
      <c r="V906" s="438"/>
      <c r="W906" s="438"/>
      <c r="X906" s="438"/>
      <c r="Y906" s="438"/>
      <c r="Z906" s="438"/>
    </row>
    <row r="907" ht="11.25" customHeight="1">
      <c r="A907" s="438"/>
      <c r="B907" s="438"/>
      <c r="C907" s="438"/>
      <c r="D907" s="438"/>
      <c r="E907" s="438"/>
      <c r="F907" s="438"/>
      <c r="G907" s="454"/>
      <c r="H907" s="454"/>
      <c r="I907" s="454"/>
      <c r="J907" s="438"/>
      <c r="K907" s="438"/>
      <c r="L907" s="438"/>
      <c r="M907" s="438"/>
      <c r="N907" s="438"/>
      <c r="O907" s="438"/>
      <c r="P907" s="438"/>
      <c r="Q907" s="438"/>
      <c r="R907" s="438"/>
      <c r="S907" s="438"/>
      <c r="T907" s="438"/>
      <c r="U907" s="438"/>
      <c r="V907" s="438"/>
      <c r="W907" s="438"/>
      <c r="X907" s="438"/>
      <c r="Y907" s="438"/>
      <c r="Z907" s="438"/>
    </row>
    <row r="908" ht="11.25" customHeight="1">
      <c r="A908" s="438"/>
      <c r="B908" s="438"/>
      <c r="C908" s="438"/>
      <c r="D908" s="438"/>
      <c r="E908" s="438"/>
      <c r="F908" s="438"/>
      <c r="G908" s="454"/>
      <c r="H908" s="454"/>
      <c r="I908" s="454"/>
      <c r="J908" s="438"/>
      <c r="K908" s="438"/>
      <c r="L908" s="438"/>
      <c r="M908" s="438"/>
      <c r="N908" s="438"/>
      <c r="O908" s="438"/>
      <c r="P908" s="438"/>
      <c r="Q908" s="438"/>
      <c r="R908" s="438"/>
      <c r="S908" s="438"/>
      <c r="T908" s="438"/>
      <c r="U908" s="438"/>
      <c r="V908" s="438"/>
      <c r="W908" s="438"/>
      <c r="X908" s="438"/>
      <c r="Y908" s="438"/>
      <c r="Z908" s="438"/>
    </row>
    <row r="909" ht="11.25" customHeight="1">
      <c r="A909" s="438"/>
      <c r="B909" s="438"/>
      <c r="C909" s="438"/>
      <c r="D909" s="438"/>
      <c r="E909" s="438"/>
      <c r="F909" s="438"/>
      <c r="G909" s="454"/>
      <c r="H909" s="454"/>
      <c r="I909" s="454"/>
      <c r="J909" s="438"/>
      <c r="K909" s="438"/>
      <c r="L909" s="438"/>
      <c r="M909" s="438"/>
      <c r="N909" s="438"/>
      <c r="O909" s="438"/>
      <c r="P909" s="438"/>
      <c r="Q909" s="438"/>
      <c r="R909" s="438"/>
      <c r="S909" s="438"/>
      <c r="T909" s="438"/>
      <c r="U909" s="438"/>
      <c r="V909" s="438"/>
      <c r="W909" s="438"/>
      <c r="X909" s="438"/>
      <c r="Y909" s="438"/>
      <c r="Z909" s="438"/>
    </row>
    <row r="910" ht="11.25" customHeight="1">
      <c r="A910" s="438"/>
      <c r="B910" s="438"/>
      <c r="C910" s="438"/>
      <c r="D910" s="438"/>
      <c r="E910" s="438"/>
      <c r="F910" s="438"/>
      <c r="G910" s="454"/>
      <c r="H910" s="454"/>
      <c r="I910" s="454"/>
      <c r="J910" s="438"/>
      <c r="K910" s="438"/>
      <c r="L910" s="438"/>
      <c r="M910" s="438"/>
      <c r="N910" s="438"/>
      <c r="O910" s="438"/>
      <c r="P910" s="438"/>
      <c r="Q910" s="438"/>
      <c r="R910" s="438"/>
      <c r="S910" s="438"/>
      <c r="T910" s="438"/>
      <c r="U910" s="438"/>
      <c r="V910" s="438"/>
      <c r="W910" s="438"/>
      <c r="X910" s="438"/>
      <c r="Y910" s="438"/>
      <c r="Z910" s="438"/>
    </row>
    <row r="911" ht="11.25" customHeight="1">
      <c r="A911" s="438"/>
      <c r="B911" s="438"/>
      <c r="C911" s="438"/>
      <c r="D911" s="438"/>
      <c r="E911" s="438"/>
      <c r="F911" s="438"/>
      <c r="G911" s="454"/>
      <c r="H911" s="454"/>
      <c r="I911" s="454"/>
      <c r="J911" s="438"/>
      <c r="K911" s="438"/>
      <c r="L911" s="438"/>
      <c r="M911" s="438"/>
      <c r="N911" s="438"/>
      <c r="O911" s="438"/>
      <c r="P911" s="438"/>
      <c r="Q911" s="438"/>
      <c r="R911" s="438"/>
      <c r="S911" s="438"/>
      <c r="T911" s="438"/>
      <c r="U911" s="438"/>
      <c r="V911" s="438"/>
      <c r="W911" s="438"/>
      <c r="X911" s="438"/>
      <c r="Y911" s="438"/>
      <c r="Z911" s="438"/>
    </row>
    <row r="912" ht="11.25" customHeight="1">
      <c r="A912" s="438"/>
      <c r="B912" s="438"/>
      <c r="C912" s="438"/>
      <c r="D912" s="438"/>
      <c r="E912" s="438"/>
      <c r="F912" s="438"/>
      <c r="G912" s="454"/>
      <c r="H912" s="454"/>
      <c r="I912" s="454"/>
      <c r="J912" s="438"/>
      <c r="K912" s="438"/>
      <c r="L912" s="438"/>
      <c r="M912" s="438"/>
      <c r="N912" s="438"/>
      <c r="O912" s="438"/>
      <c r="P912" s="438"/>
      <c r="Q912" s="438"/>
      <c r="R912" s="438"/>
      <c r="S912" s="438"/>
      <c r="T912" s="438"/>
      <c r="U912" s="438"/>
      <c r="V912" s="438"/>
      <c r="W912" s="438"/>
      <c r="X912" s="438"/>
      <c r="Y912" s="438"/>
      <c r="Z912" s="438"/>
    </row>
    <row r="913" ht="11.25" customHeight="1">
      <c r="A913" s="438"/>
      <c r="B913" s="438"/>
      <c r="C913" s="438"/>
      <c r="D913" s="438"/>
      <c r="E913" s="438"/>
      <c r="F913" s="438"/>
      <c r="G913" s="454"/>
      <c r="H913" s="454"/>
      <c r="I913" s="454"/>
      <c r="J913" s="438"/>
      <c r="K913" s="438"/>
      <c r="L913" s="438"/>
      <c r="M913" s="438"/>
      <c r="N913" s="438"/>
      <c r="O913" s="438"/>
      <c r="P913" s="438"/>
      <c r="Q913" s="438"/>
      <c r="R913" s="438"/>
      <c r="S913" s="438"/>
      <c r="T913" s="438"/>
      <c r="U913" s="438"/>
      <c r="V913" s="438"/>
      <c r="W913" s="438"/>
      <c r="X913" s="438"/>
      <c r="Y913" s="438"/>
      <c r="Z913" s="438"/>
    </row>
    <row r="914" ht="11.25" customHeight="1">
      <c r="A914" s="438"/>
      <c r="B914" s="438"/>
      <c r="C914" s="438"/>
      <c r="D914" s="438"/>
      <c r="E914" s="438"/>
      <c r="F914" s="438"/>
      <c r="G914" s="454"/>
      <c r="H914" s="454"/>
      <c r="I914" s="454"/>
      <c r="J914" s="438"/>
      <c r="K914" s="438"/>
      <c r="L914" s="438"/>
      <c r="M914" s="438"/>
      <c r="N914" s="438"/>
      <c r="O914" s="438"/>
      <c r="P914" s="438"/>
      <c r="Q914" s="438"/>
      <c r="R914" s="438"/>
      <c r="S914" s="438"/>
      <c r="T914" s="438"/>
      <c r="U914" s="438"/>
      <c r="V914" s="438"/>
      <c r="W914" s="438"/>
      <c r="X914" s="438"/>
      <c r="Y914" s="438"/>
      <c r="Z914" s="438"/>
    </row>
    <row r="915" ht="11.25" customHeight="1">
      <c r="A915" s="438"/>
      <c r="B915" s="438"/>
      <c r="C915" s="438"/>
      <c r="D915" s="438"/>
      <c r="E915" s="438"/>
      <c r="F915" s="438"/>
      <c r="G915" s="454"/>
      <c r="H915" s="454"/>
      <c r="I915" s="454"/>
      <c r="J915" s="438"/>
      <c r="K915" s="438"/>
      <c r="L915" s="438"/>
      <c r="M915" s="438"/>
      <c r="N915" s="438"/>
      <c r="O915" s="438"/>
      <c r="P915" s="438"/>
      <c r="Q915" s="438"/>
      <c r="R915" s="438"/>
      <c r="S915" s="438"/>
      <c r="T915" s="438"/>
      <c r="U915" s="438"/>
      <c r="V915" s="438"/>
      <c r="W915" s="438"/>
      <c r="X915" s="438"/>
      <c r="Y915" s="438"/>
      <c r="Z915" s="438"/>
    </row>
    <row r="916" ht="11.25" customHeight="1">
      <c r="A916" s="438"/>
      <c r="B916" s="438"/>
      <c r="C916" s="438"/>
      <c r="D916" s="438"/>
      <c r="E916" s="438"/>
      <c r="F916" s="438"/>
      <c r="G916" s="454"/>
      <c r="H916" s="454"/>
      <c r="I916" s="454"/>
      <c r="J916" s="438"/>
      <c r="K916" s="438"/>
      <c r="L916" s="438"/>
      <c r="M916" s="438"/>
      <c r="N916" s="438"/>
      <c r="O916" s="438"/>
      <c r="P916" s="438"/>
      <c r="Q916" s="438"/>
      <c r="R916" s="438"/>
      <c r="S916" s="438"/>
      <c r="T916" s="438"/>
      <c r="U916" s="438"/>
      <c r="V916" s="438"/>
      <c r="W916" s="438"/>
      <c r="X916" s="438"/>
      <c r="Y916" s="438"/>
      <c r="Z916" s="438"/>
    </row>
    <row r="917" ht="11.25" customHeight="1">
      <c r="A917" s="438"/>
      <c r="B917" s="438"/>
      <c r="C917" s="438"/>
      <c r="D917" s="438"/>
      <c r="E917" s="438"/>
      <c r="F917" s="438"/>
      <c r="G917" s="454"/>
      <c r="H917" s="454"/>
      <c r="I917" s="454"/>
      <c r="J917" s="438"/>
      <c r="K917" s="438"/>
      <c r="L917" s="438"/>
      <c r="M917" s="438"/>
      <c r="N917" s="438"/>
      <c r="O917" s="438"/>
      <c r="P917" s="438"/>
      <c r="Q917" s="438"/>
      <c r="R917" s="438"/>
      <c r="S917" s="438"/>
      <c r="T917" s="438"/>
      <c r="U917" s="438"/>
      <c r="V917" s="438"/>
      <c r="W917" s="438"/>
      <c r="X917" s="438"/>
      <c r="Y917" s="438"/>
      <c r="Z917" s="438"/>
    </row>
    <row r="918" ht="11.25" customHeight="1">
      <c r="A918" s="438"/>
      <c r="B918" s="438"/>
      <c r="C918" s="438"/>
      <c r="D918" s="438"/>
      <c r="E918" s="438"/>
      <c r="F918" s="438"/>
      <c r="G918" s="454"/>
      <c r="H918" s="454"/>
      <c r="I918" s="454"/>
      <c r="J918" s="438"/>
      <c r="K918" s="438"/>
      <c r="L918" s="438"/>
      <c r="M918" s="438"/>
      <c r="N918" s="438"/>
      <c r="O918" s="438"/>
      <c r="P918" s="438"/>
      <c r="Q918" s="438"/>
      <c r="R918" s="438"/>
      <c r="S918" s="438"/>
      <c r="T918" s="438"/>
      <c r="U918" s="438"/>
      <c r="V918" s="438"/>
      <c r="W918" s="438"/>
      <c r="X918" s="438"/>
      <c r="Y918" s="438"/>
      <c r="Z918" s="438"/>
    </row>
    <row r="919" ht="11.25" customHeight="1">
      <c r="A919" s="438"/>
      <c r="B919" s="438"/>
      <c r="C919" s="438"/>
      <c r="D919" s="438"/>
      <c r="E919" s="438"/>
      <c r="F919" s="438"/>
      <c r="G919" s="454"/>
      <c r="H919" s="454"/>
      <c r="I919" s="454"/>
      <c r="J919" s="438"/>
      <c r="K919" s="438"/>
      <c r="L919" s="438"/>
      <c r="M919" s="438"/>
      <c r="N919" s="438"/>
      <c r="O919" s="438"/>
      <c r="P919" s="438"/>
      <c r="Q919" s="438"/>
      <c r="R919" s="438"/>
      <c r="S919" s="438"/>
      <c r="T919" s="438"/>
      <c r="U919" s="438"/>
      <c r="V919" s="438"/>
      <c r="W919" s="438"/>
      <c r="X919" s="438"/>
      <c r="Y919" s="438"/>
      <c r="Z919" s="438"/>
    </row>
    <row r="920" ht="11.25" customHeight="1">
      <c r="A920" s="438"/>
      <c r="B920" s="438"/>
      <c r="C920" s="438"/>
      <c r="D920" s="438"/>
      <c r="E920" s="438"/>
      <c r="F920" s="438"/>
      <c r="G920" s="454"/>
      <c r="H920" s="454"/>
      <c r="I920" s="454"/>
      <c r="J920" s="438"/>
      <c r="K920" s="438"/>
      <c r="L920" s="438"/>
      <c r="M920" s="438"/>
      <c r="N920" s="438"/>
      <c r="O920" s="438"/>
      <c r="P920" s="438"/>
      <c r="Q920" s="438"/>
      <c r="R920" s="438"/>
      <c r="S920" s="438"/>
      <c r="T920" s="438"/>
      <c r="U920" s="438"/>
      <c r="V920" s="438"/>
      <c r="W920" s="438"/>
      <c r="X920" s="438"/>
      <c r="Y920" s="438"/>
      <c r="Z920" s="438"/>
    </row>
    <row r="921" ht="11.25" customHeight="1">
      <c r="A921" s="438"/>
      <c r="B921" s="438"/>
      <c r="C921" s="438"/>
      <c r="D921" s="438"/>
      <c r="E921" s="438"/>
      <c r="F921" s="438"/>
      <c r="G921" s="454"/>
      <c r="H921" s="454"/>
      <c r="I921" s="454"/>
      <c r="J921" s="438"/>
      <c r="K921" s="438"/>
      <c r="L921" s="438"/>
      <c r="M921" s="438"/>
      <c r="N921" s="438"/>
      <c r="O921" s="438"/>
      <c r="P921" s="438"/>
      <c r="Q921" s="438"/>
      <c r="R921" s="438"/>
      <c r="S921" s="438"/>
      <c r="T921" s="438"/>
      <c r="U921" s="438"/>
      <c r="V921" s="438"/>
      <c r="W921" s="438"/>
      <c r="X921" s="438"/>
      <c r="Y921" s="438"/>
      <c r="Z921" s="438"/>
    </row>
    <row r="922" ht="11.25" customHeight="1">
      <c r="A922" s="438"/>
      <c r="B922" s="438"/>
      <c r="C922" s="438"/>
      <c r="D922" s="438"/>
      <c r="E922" s="438"/>
      <c r="F922" s="438"/>
      <c r="G922" s="454"/>
      <c r="H922" s="454"/>
      <c r="I922" s="454"/>
      <c r="J922" s="438"/>
      <c r="K922" s="438"/>
      <c r="L922" s="438"/>
      <c r="M922" s="438"/>
      <c r="N922" s="438"/>
      <c r="O922" s="438"/>
      <c r="P922" s="438"/>
      <c r="Q922" s="438"/>
      <c r="R922" s="438"/>
      <c r="S922" s="438"/>
      <c r="T922" s="438"/>
      <c r="U922" s="438"/>
      <c r="V922" s="438"/>
      <c r="W922" s="438"/>
      <c r="X922" s="438"/>
      <c r="Y922" s="438"/>
      <c r="Z922" s="438"/>
    </row>
    <row r="923" ht="11.25" customHeight="1">
      <c r="A923" s="438"/>
      <c r="B923" s="438"/>
      <c r="C923" s="438"/>
      <c r="D923" s="438"/>
      <c r="E923" s="438"/>
      <c r="F923" s="438"/>
      <c r="G923" s="454"/>
      <c r="H923" s="454"/>
      <c r="I923" s="454"/>
      <c r="J923" s="438"/>
      <c r="K923" s="438"/>
      <c r="L923" s="438"/>
      <c r="M923" s="438"/>
      <c r="N923" s="438"/>
      <c r="O923" s="438"/>
      <c r="P923" s="438"/>
      <c r="Q923" s="438"/>
      <c r="R923" s="438"/>
      <c r="S923" s="438"/>
      <c r="T923" s="438"/>
      <c r="U923" s="438"/>
      <c r="V923" s="438"/>
      <c r="W923" s="438"/>
      <c r="X923" s="438"/>
      <c r="Y923" s="438"/>
      <c r="Z923" s="438"/>
    </row>
    <row r="924" ht="11.25" customHeight="1">
      <c r="A924" s="438"/>
      <c r="B924" s="438"/>
      <c r="C924" s="438"/>
      <c r="D924" s="438"/>
      <c r="E924" s="438"/>
      <c r="F924" s="438"/>
      <c r="G924" s="454"/>
      <c r="H924" s="454"/>
      <c r="I924" s="454"/>
      <c r="J924" s="438"/>
      <c r="K924" s="438"/>
      <c r="L924" s="438"/>
      <c r="M924" s="438"/>
      <c r="N924" s="438"/>
      <c r="O924" s="438"/>
      <c r="P924" s="438"/>
      <c r="Q924" s="438"/>
      <c r="R924" s="438"/>
      <c r="S924" s="438"/>
      <c r="T924" s="438"/>
      <c r="U924" s="438"/>
      <c r="V924" s="438"/>
      <c r="W924" s="438"/>
      <c r="X924" s="438"/>
      <c r="Y924" s="438"/>
      <c r="Z924" s="438"/>
    </row>
    <row r="925" ht="11.25" customHeight="1">
      <c r="A925" s="438"/>
      <c r="B925" s="438"/>
      <c r="C925" s="438"/>
      <c r="D925" s="438"/>
      <c r="E925" s="438"/>
      <c r="F925" s="438"/>
      <c r="G925" s="454"/>
      <c r="H925" s="454"/>
      <c r="I925" s="454"/>
      <c r="J925" s="438"/>
      <c r="K925" s="438"/>
      <c r="L925" s="438"/>
      <c r="M925" s="438"/>
      <c r="N925" s="438"/>
      <c r="O925" s="438"/>
      <c r="P925" s="438"/>
      <c r="Q925" s="438"/>
      <c r="R925" s="438"/>
      <c r="S925" s="438"/>
      <c r="T925" s="438"/>
      <c r="U925" s="438"/>
      <c r="V925" s="438"/>
      <c r="W925" s="438"/>
      <c r="X925" s="438"/>
      <c r="Y925" s="438"/>
      <c r="Z925" s="438"/>
    </row>
    <row r="926" ht="11.25" customHeight="1">
      <c r="A926" s="438"/>
      <c r="B926" s="438"/>
      <c r="C926" s="438"/>
      <c r="D926" s="438"/>
      <c r="E926" s="438"/>
      <c r="F926" s="438"/>
      <c r="G926" s="454"/>
      <c r="H926" s="454"/>
      <c r="I926" s="454"/>
      <c r="J926" s="438"/>
      <c r="K926" s="438"/>
      <c r="L926" s="438"/>
      <c r="M926" s="438"/>
      <c r="N926" s="438"/>
      <c r="O926" s="438"/>
      <c r="P926" s="438"/>
      <c r="Q926" s="438"/>
      <c r="R926" s="438"/>
      <c r="S926" s="438"/>
      <c r="T926" s="438"/>
      <c r="U926" s="438"/>
      <c r="V926" s="438"/>
      <c r="W926" s="438"/>
      <c r="X926" s="438"/>
      <c r="Y926" s="438"/>
      <c r="Z926" s="438"/>
    </row>
    <row r="927" ht="11.25" customHeight="1">
      <c r="A927" s="438"/>
      <c r="B927" s="438"/>
      <c r="C927" s="438"/>
      <c r="D927" s="438"/>
      <c r="E927" s="438"/>
      <c r="F927" s="438"/>
      <c r="G927" s="454"/>
      <c r="H927" s="454"/>
      <c r="I927" s="454"/>
      <c r="J927" s="438"/>
      <c r="K927" s="438"/>
      <c r="L927" s="438"/>
      <c r="M927" s="438"/>
      <c r="N927" s="438"/>
      <c r="O927" s="438"/>
      <c r="P927" s="438"/>
      <c r="Q927" s="438"/>
      <c r="R927" s="438"/>
      <c r="S927" s="438"/>
      <c r="T927" s="438"/>
      <c r="U927" s="438"/>
      <c r="V927" s="438"/>
      <c r="W927" s="438"/>
      <c r="X927" s="438"/>
      <c r="Y927" s="438"/>
      <c r="Z927" s="438"/>
    </row>
    <row r="928" ht="11.25" customHeight="1">
      <c r="A928" s="438"/>
      <c r="B928" s="438"/>
      <c r="C928" s="438"/>
      <c r="D928" s="438"/>
      <c r="E928" s="438"/>
      <c r="F928" s="438"/>
      <c r="G928" s="454"/>
      <c r="H928" s="454"/>
      <c r="I928" s="454"/>
      <c r="J928" s="438"/>
      <c r="K928" s="438"/>
      <c r="L928" s="438"/>
      <c r="M928" s="438"/>
      <c r="N928" s="438"/>
      <c r="O928" s="438"/>
      <c r="P928" s="438"/>
      <c r="Q928" s="438"/>
      <c r="R928" s="438"/>
      <c r="S928" s="438"/>
      <c r="T928" s="438"/>
      <c r="U928" s="438"/>
      <c r="V928" s="438"/>
      <c r="W928" s="438"/>
      <c r="X928" s="438"/>
      <c r="Y928" s="438"/>
      <c r="Z928" s="438"/>
    </row>
    <row r="929" ht="11.25" customHeight="1">
      <c r="A929" s="438"/>
      <c r="B929" s="438"/>
      <c r="C929" s="438"/>
      <c r="D929" s="438"/>
      <c r="E929" s="438"/>
      <c r="F929" s="438"/>
      <c r="G929" s="454"/>
      <c r="H929" s="454"/>
      <c r="I929" s="454"/>
      <c r="J929" s="438"/>
      <c r="K929" s="438"/>
      <c r="L929" s="438"/>
      <c r="M929" s="438"/>
      <c r="N929" s="438"/>
      <c r="O929" s="438"/>
      <c r="P929" s="438"/>
      <c r="Q929" s="438"/>
      <c r="R929" s="438"/>
      <c r="S929" s="438"/>
      <c r="T929" s="438"/>
      <c r="U929" s="438"/>
      <c r="V929" s="438"/>
      <c r="W929" s="438"/>
      <c r="X929" s="438"/>
      <c r="Y929" s="438"/>
      <c r="Z929" s="438"/>
    </row>
    <row r="930" ht="11.25" customHeight="1">
      <c r="A930" s="438"/>
      <c r="B930" s="438"/>
      <c r="C930" s="438"/>
      <c r="D930" s="438"/>
      <c r="E930" s="438"/>
      <c r="F930" s="438"/>
      <c r="G930" s="454"/>
      <c r="H930" s="454"/>
      <c r="I930" s="454"/>
      <c r="J930" s="438"/>
      <c r="K930" s="438"/>
      <c r="L930" s="438"/>
      <c r="M930" s="438"/>
      <c r="N930" s="438"/>
      <c r="O930" s="438"/>
      <c r="P930" s="438"/>
      <c r="Q930" s="438"/>
      <c r="R930" s="438"/>
      <c r="S930" s="438"/>
      <c r="T930" s="438"/>
      <c r="U930" s="438"/>
      <c r="V930" s="438"/>
      <c r="W930" s="438"/>
      <c r="X930" s="438"/>
      <c r="Y930" s="438"/>
      <c r="Z930" s="438"/>
    </row>
    <row r="931" ht="11.25" customHeight="1">
      <c r="A931" s="438"/>
      <c r="B931" s="438"/>
      <c r="C931" s="438"/>
      <c r="D931" s="438"/>
      <c r="E931" s="438"/>
      <c r="F931" s="438"/>
      <c r="G931" s="454"/>
      <c r="H931" s="454"/>
      <c r="I931" s="454"/>
      <c r="J931" s="438"/>
      <c r="K931" s="438"/>
      <c r="L931" s="438"/>
      <c r="M931" s="438"/>
      <c r="N931" s="438"/>
      <c r="O931" s="438"/>
      <c r="P931" s="438"/>
      <c r="Q931" s="438"/>
      <c r="R931" s="438"/>
      <c r="S931" s="438"/>
      <c r="T931" s="438"/>
      <c r="U931" s="438"/>
      <c r="V931" s="438"/>
      <c r="W931" s="438"/>
      <c r="X931" s="438"/>
      <c r="Y931" s="438"/>
      <c r="Z931" s="438"/>
    </row>
    <row r="932" ht="11.25" customHeight="1">
      <c r="A932" s="438"/>
      <c r="B932" s="438"/>
      <c r="C932" s="438"/>
      <c r="D932" s="438"/>
      <c r="E932" s="438"/>
      <c r="F932" s="438"/>
      <c r="G932" s="454"/>
      <c r="H932" s="454"/>
      <c r="I932" s="454"/>
      <c r="J932" s="438"/>
      <c r="K932" s="438"/>
      <c r="L932" s="438"/>
      <c r="M932" s="438"/>
      <c r="N932" s="438"/>
      <c r="O932" s="438"/>
      <c r="P932" s="438"/>
      <c r="Q932" s="438"/>
      <c r="R932" s="438"/>
      <c r="S932" s="438"/>
      <c r="T932" s="438"/>
      <c r="U932" s="438"/>
      <c r="V932" s="438"/>
      <c r="W932" s="438"/>
      <c r="X932" s="438"/>
      <c r="Y932" s="438"/>
      <c r="Z932" s="438"/>
    </row>
    <row r="933" ht="11.25" customHeight="1">
      <c r="A933" s="438"/>
      <c r="B933" s="438"/>
      <c r="C933" s="438"/>
      <c r="D933" s="438"/>
      <c r="E933" s="438"/>
      <c r="F933" s="438"/>
      <c r="G933" s="454"/>
      <c r="H933" s="454"/>
      <c r="I933" s="454"/>
      <c r="J933" s="438"/>
      <c r="K933" s="438"/>
      <c r="L933" s="438"/>
      <c r="M933" s="438"/>
      <c r="N933" s="438"/>
      <c r="O933" s="438"/>
      <c r="P933" s="438"/>
      <c r="Q933" s="438"/>
      <c r="R933" s="438"/>
      <c r="S933" s="438"/>
      <c r="T933" s="438"/>
      <c r="U933" s="438"/>
      <c r="V933" s="438"/>
      <c r="W933" s="438"/>
      <c r="X933" s="438"/>
      <c r="Y933" s="438"/>
      <c r="Z933" s="438"/>
    </row>
    <row r="934" ht="11.25" customHeight="1">
      <c r="A934" s="438"/>
      <c r="B934" s="438"/>
      <c r="C934" s="438"/>
      <c r="D934" s="438"/>
      <c r="E934" s="438"/>
      <c r="F934" s="438"/>
      <c r="G934" s="454"/>
      <c r="H934" s="454"/>
      <c r="I934" s="454"/>
      <c r="J934" s="438"/>
      <c r="K934" s="438"/>
      <c r="L934" s="438"/>
      <c r="M934" s="438"/>
      <c r="N934" s="438"/>
      <c r="O934" s="438"/>
      <c r="P934" s="438"/>
      <c r="Q934" s="438"/>
      <c r="R934" s="438"/>
      <c r="S934" s="438"/>
      <c r="T934" s="438"/>
      <c r="U934" s="438"/>
      <c r="V934" s="438"/>
      <c r="W934" s="438"/>
      <c r="X934" s="438"/>
      <c r="Y934" s="438"/>
      <c r="Z934" s="438"/>
    </row>
    <row r="935" ht="11.25" customHeight="1">
      <c r="A935" s="438"/>
      <c r="B935" s="438"/>
      <c r="C935" s="438"/>
      <c r="D935" s="438"/>
      <c r="E935" s="438"/>
      <c r="F935" s="438"/>
      <c r="G935" s="454"/>
      <c r="H935" s="454"/>
      <c r="I935" s="454"/>
      <c r="J935" s="438"/>
      <c r="K935" s="438"/>
      <c r="L935" s="438"/>
      <c r="M935" s="438"/>
      <c r="N935" s="438"/>
      <c r="O935" s="438"/>
      <c r="P935" s="438"/>
      <c r="Q935" s="438"/>
      <c r="R935" s="438"/>
      <c r="S935" s="438"/>
      <c r="T935" s="438"/>
      <c r="U935" s="438"/>
      <c r="V935" s="438"/>
      <c r="W935" s="438"/>
      <c r="X935" s="438"/>
      <c r="Y935" s="438"/>
      <c r="Z935" s="438"/>
    </row>
    <row r="936" ht="11.25" customHeight="1">
      <c r="A936" s="438"/>
      <c r="B936" s="438"/>
      <c r="C936" s="438"/>
      <c r="D936" s="438"/>
      <c r="E936" s="438"/>
      <c r="F936" s="438"/>
      <c r="G936" s="454"/>
      <c r="H936" s="454"/>
      <c r="I936" s="454"/>
      <c r="J936" s="438"/>
      <c r="K936" s="438"/>
      <c r="L936" s="438"/>
      <c r="M936" s="438"/>
      <c r="N936" s="438"/>
      <c r="O936" s="438"/>
      <c r="P936" s="438"/>
      <c r="Q936" s="438"/>
      <c r="R936" s="438"/>
      <c r="S936" s="438"/>
      <c r="T936" s="438"/>
      <c r="U936" s="438"/>
      <c r="V936" s="438"/>
      <c r="W936" s="438"/>
      <c r="X936" s="438"/>
      <c r="Y936" s="438"/>
      <c r="Z936" s="438"/>
    </row>
    <row r="937" ht="11.25" customHeight="1">
      <c r="A937" s="438"/>
      <c r="B937" s="438"/>
      <c r="C937" s="438"/>
      <c r="D937" s="438"/>
      <c r="E937" s="438"/>
      <c r="F937" s="438"/>
      <c r="G937" s="454"/>
      <c r="H937" s="454"/>
      <c r="I937" s="454"/>
      <c r="J937" s="438"/>
      <c r="K937" s="438"/>
      <c r="L937" s="438"/>
      <c r="M937" s="438"/>
      <c r="N937" s="438"/>
      <c r="O937" s="438"/>
      <c r="P937" s="438"/>
      <c r="Q937" s="438"/>
      <c r="R937" s="438"/>
      <c r="S937" s="438"/>
      <c r="T937" s="438"/>
      <c r="U937" s="438"/>
      <c r="V937" s="438"/>
      <c r="W937" s="438"/>
      <c r="X937" s="438"/>
      <c r="Y937" s="438"/>
      <c r="Z937" s="438"/>
    </row>
    <row r="938" ht="11.25" customHeight="1">
      <c r="A938" s="438"/>
      <c r="B938" s="438"/>
      <c r="C938" s="438"/>
      <c r="D938" s="438"/>
      <c r="E938" s="438"/>
      <c r="F938" s="438"/>
      <c r="G938" s="454"/>
      <c r="H938" s="454"/>
      <c r="I938" s="454"/>
      <c r="J938" s="438"/>
      <c r="K938" s="438"/>
      <c r="L938" s="438"/>
      <c r="M938" s="438"/>
      <c r="N938" s="438"/>
      <c r="O938" s="438"/>
      <c r="P938" s="438"/>
      <c r="Q938" s="438"/>
      <c r="R938" s="438"/>
      <c r="S938" s="438"/>
      <c r="T938" s="438"/>
      <c r="U938" s="438"/>
      <c r="V938" s="438"/>
      <c r="W938" s="438"/>
      <c r="X938" s="438"/>
      <c r="Y938" s="438"/>
      <c r="Z938" s="438"/>
    </row>
    <row r="939" ht="11.25" customHeight="1">
      <c r="A939" s="438"/>
      <c r="B939" s="438"/>
      <c r="C939" s="438"/>
      <c r="D939" s="438"/>
      <c r="E939" s="438"/>
      <c r="F939" s="438"/>
      <c r="G939" s="454"/>
      <c r="H939" s="454"/>
      <c r="I939" s="454"/>
      <c r="J939" s="438"/>
      <c r="K939" s="438"/>
      <c r="L939" s="438"/>
      <c r="M939" s="438"/>
      <c r="N939" s="438"/>
      <c r="O939" s="438"/>
      <c r="P939" s="438"/>
      <c r="Q939" s="438"/>
      <c r="R939" s="438"/>
      <c r="S939" s="438"/>
      <c r="T939" s="438"/>
      <c r="U939" s="438"/>
      <c r="V939" s="438"/>
      <c r="W939" s="438"/>
      <c r="X939" s="438"/>
      <c r="Y939" s="438"/>
      <c r="Z939" s="438"/>
    </row>
    <row r="940" ht="11.25" customHeight="1">
      <c r="A940" s="438"/>
      <c r="B940" s="438"/>
      <c r="C940" s="438"/>
      <c r="D940" s="438"/>
      <c r="E940" s="438"/>
      <c r="F940" s="438"/>
      <c r="G940" s="454"/>
      <c r="H940" s="454"/>
      <c r="I940" s="454"/>
      <c r="J940" s="438"/>
      <c r="K940" s="438"/>
      <c r="L940" s="438"/>
      <c r="M940" s="438"/>
      <c r="N940" s="438"/>
      <c r="O940" s="438"/>
      <c r="P940" s="438"/>
      <c r="Q940" s="438"/>
      <c r="R940" s="438"/>
      <c r="S940" s="438"/>
      <c r="T940" s="438"/>
      <c r="U940" s="438"/>
      <c r="V940" s="438"/>
      <c r="W940" s="438"/>
      <c r="X940" s="438"/>
      <c r="Y940" s="438"/>
      <c r="Z940" s="438"/>
    </row>
    <row r="941" ht="11.25" customHeight="1">
      <c r="A941" s="438"/>
      <c r="B941" s="438"/>
      <c r="C941" s="438"/>
      <c r="D941" s="438"/>
      <c r="E941" s="438"/>
      <c r="F941" s="438"/>
      <c r="G941" s="454"/>
      <c r="H941" s="454"/>
      <c r="I941" s="454"/>
      <c r="J941" s="438"/>
      <c r="K941" s="438"/>
      <c r="L941" s="438"/>
      <c r="M941" s="438"/>
      <c r="N941" s="438"/>
      <c r="O941" s="438"/>
      <c r="P941" s="438"/>
      <c r="Q941" s="438"/>
      <c r="R941" s="438"/>
      <c r="S941" s="438"/>
      <c r="T941" s="438"/>
      <c r="U941" s="438"/>
      <c r="V941" s="438"/>
      <c r="W941" s="438"/>
      <c r="X941" s="438"/>
      <c r="Y941" s="438"/>
      <c r="Z941" s="438"/>
    </row>
    <row r="942" ht="11.25" customHeight="1">
      <c r="A942" s="438"/>
      <c r="B942" s="438"/>
      <c r="C942" s="438"/>
      <c r="D942" s="438"/>
      <c r="E942" s="438"/>
      <c r="F942" s="438"/>
      <c r="G942" s="454"/>
      <c r="H942" s="454"/>
      <c r="I942" s="454"/>
      <c r="J942" s="438"/>
      <c r="K942" s="438"/>
      <c r="L942" s="438"/>
      <c r="M942" s="438"/>
      <c r="N942" s="438"/>
      <c r="O942" s="438"/>
      <c r="P942" s="438"/>
      <c r="Q942" s="438"/>
      <c r="R942" s="438"/>
      <c r="S942" s="438"/>
      <c r="T942" s="438"/>
      <c r="U942" s="438"/>
      <c r="V942" s="438"/>
      <c r="W942" s="438"/>
      <c r="X942" s="438"/>
      <c r="Y942" s="438"/>
      <c r="Z942" s="438"/>
    </row>
    <row r="943" ht="11.25" customHeight="1">
      <c r="A943" s="438"/>
      <c r="B943" s="438"/>
      <c r="C943" s="438"/>
      <c r="D943" s="438"/>
      <c r="E943" s="438"/>
      <c r="F943" s="438"/>
      <c r="G943" s="454"/>
      <c r="H943" s="454"/>
      <c r="I943" s="454"/>
      <c r="J943" s="438"/>
      <c r="K943" s="438"/>
      <c r="L943" s="438"/>
      <c r="M943" s="438"/>
      <c r="N943" s="438"/>
      <c r="O943" s="438"/>
      <c r="P943" s="438"/>
      <c r="Q943" s="438"/>
      <c r="R943" s="438"/>
      <c r="S943" s="438"/>
      <c r="T943" s="438"/>
      <c r="U943" s="438"/>
      <c r="V943" s="438"/>
      <c r="W943" s="438"/>
      <c r="X943" s="438"/>
      <c r="Y943" s="438"/>
      <c r="Z943" s="438"/>
    </row>
    <row r="944" ht="11.25" customHeight="1">
      <c r="A944" s="438"/>
      <c r="B944" s="438"/>
      <c r="C944" s="438"/>
      <c r="D944" s="438"/>
      <c r="E944" s="438"/>
      <c r="F944" s="438"/>
      <c r="G944" s="454"/>
      <c r="H944" s="454"/>
      <c r="I944" s="454"/>
      <c r="J944" s="438"/>
      <c r="K944" s="438"/>
      <c r="L944" s="438"/>
      <c r="M944" s="438"/>
      <c r="N944" s="438"/>
      <c r="O944" s="438"/>
      <c r="P944" s="438"/>
      <c r="Q944" s="438"/>
      <c r="R944" s="438"/>
      <c r="S944" s="438"/>
      <c r="T944" s="438"/>
      <c r="U944" s="438"/>
      <c r="V944" s="438"/>
      <c r="W944" s="438"/>
      <c r="X944" s="438"/>
      <c r="Y944" s="438"/>
      <c r="Z944" s="438"/>
    </row>
    <row r="945" ht="11.25" customHeight="1">
      <c r="A945" s="438"/>
      <c r="B945" s="438"/>
      <c r="C945" s="438"/>
      <c r="D945" s="438"/>
      <c r="E945" s="438"/>
      <c r="F945" s="438"/>
      <c r="G945" s="454"/>
      <c r="H945" s="454"/>
      <c r="I945" s="454"/>
      <c r="J945" s="438"/>
      <c r="K945" s="438"/>
      <c r="L945" s="438"/>
      <c r="M945" s="438"/>
      <c r="N945" s="438"/>
      <c r="O945" s="438"/>
      <c r="P945" s="438"/>
      <c r="Q945" s="438"/>
      <c r="R945" s="438"/>
      <c r="S945" s="438"/>
      <c r="T945" s="438"/>
      <c r="U945" s="438"/>
      <c r="V945" s="438"/>
      <c r="W945" s="438"/>
      <c r="X945" s="438"/>
      <c r="Y945" s="438"/>
      <c r="Z945" s="438"/>
    </row>
    <row r="946" ht="11.25" customHeight="1">
      <c r="A946" s="438"/>
      <c r="B946" s="438"/>
      <c r="C946" s="438"/>
      <c r="D946" s="438"/>
      <c r="E946" s="438"/>
      <c r="F946" s="438"/>
      <c r="G946" s="454"/>
      <c r="H946" s="454"/>
      <c r="I946" s="454"/>
      <c r="J946" s="438"/>
      <c r="K946" s="438"/>
      <c r="L946" s="438"/>
      <c r="M946" s="438"/>
      <c r="N946" s="438"/>
      <c r="O946" s="438"/>
      <c r="P946" s="438"/>
      <c r="Q946" s="438"/>
      <c r="R946" s="438"/>
      <c r="S946" s="438"/>
      <c r="T946" s="438"/>
      <c r="U946" s="438"/>
      <c r="V946" s="438"/>
      <c r="W946" s="438"/>
      <c r="X946" s="438"/>
      <c r="Y946" s="438"/>
      <c r="Z946" s="438"/>
    </row>
    <row r="947" ht="11.25" customHeight="1">
      <c r="A947" s="438"/>
      <c r="B947" s="438"/>
      <c r="C947" s="438"/>
      <c r="D947" s="438"/>
      <c r="E947" s="438"/>
      <c r="F947" s="438"/>
      <c r="G947" s="454"/>
      <c r="H947" s="454"/>
      <c r="I947" s="454"/>
      <c r="J947" s="438"/>
      <c r="K947" s="438"/>
      <c r="L947" s="438"/>
      <c r="M947" s="438"/>
      <c r="N947" s="438"/>
      <c r="O947" s="438"/>
      <c r="P947" s="438"/>
      <c r="Q947" s="438"/>
      <c r="R947" s="438"/>
      <c r="S947" s="438"/>
      <c r="T947" s="438"/>
      <c r="U947" s="438"/>
      <c r="V947" s="438"/>
      <c r="W947" s="438"/>
      <c r="X947" s="438"/>
      <c r="Y947" s="438"/>
      <c r="Z947" s="438"/>
    </row>
    <row r="948" ht="11.25" customHeight="1">
      <c r="A948" s="438"/>
      <c r="B948" s="438"/>
      <c r="C948" s="438"/>
      <c r="D948" s="438"/>
      <c r="E948" s="438"/>
      <c r="F948" s="438"/>
      <c r="G948" s="454"/>
      <c r="H948" s="454"/>
      <c r="I948" s="454"/>
      <c r="J948" s="438"/>
      <c r="K948" s="438"/>
      <c r="L948" s="438"/>
      <c r="M948" s="438"/>
      <c r="N948" s="438"/>
      <c r="O948" s="438"/>
      <c r="P948" s="438"/>
      <c r="Q948" s="438"/>
      <c r="R948" s="438"/>
      <c r="S948" s="438"/>
      <c r="T948" s="438"/>
      <c r="U948" s="438"/>
      <c r="V948" s="438"/>
      <c r="W948" s="438"/>
      <c r="X948" s="438"/>
      <c r="Y948" s="438"/>
      <c r="Z948" s="438"/>
    </row>
    <row r="949" ht="11.25" customHeight="1">
      <c r="A949" s="438"/>
      <c r="B949" s="438"/>
      <c r="C949" s="438"/>
      <c r="D949" s="438"/>
      <c r="E949" s="438"/>
      <c r="F949" s="438"/>
      <c r="G949" s="454"/>
      <c r="H949" s="454"/>
      <c r="I949" s="454"/>
      <c r="J949" s="438"/>
      <c r="K949" s="438"/>
      <c r="L949" s="438"/>
      <c r="M949" s="438"/>
      <c r="N949" s="438"/>
      <c r="O949" s="438"/>
      <c r="P949" s="438"/>
      <c r="Q949" s="438"/>
      <c r="R949" s="438"/>
      <c r="S949" s="438"/>
      <c r="T949" s="438"/>
      <c r="U949" s="438"/>
      <c r="V949" s="438"/>
      <c r="W949" s="438"/>
      <c r="X949" s="438"/>
      <c r="Y949" s="438"/>
      <c r="Z949" s="438"/>
    </row>
    <row r="950" ht="11.25" customHeight="1">
      <c r="A950" s="438"/>
      <c r="B950" s="438"/>
      <c r="C950" s="438"/>
      <c r="D950" s="438"/>
      <c r="E950" s="438"/>
      <c r="F950" s="438"/>
      <c r="G950" s="454"/>
      <c r="H950" s="454"/>
      <c r="I950" s="454"/>
      <c r="J950" s="438"/>
      <c r="K950" s="438"/>
      <c r="L950" s="438"/>
      <c r="M950" s="438"/>
      <c r="N950" s="438"/>
      <c r="O950" s="438"/>
      <c r="P950" s="438"/>
      <c r="Q950" s="438"/>
      <c r="R950" s="438"/>
      <c r="S950" s="438"/>
      <c r="T950" s="438"/>
      <c r="U950" s="438"/>
      <c r="V950" s="438"/>
      <c r="W950" s="438"/>
      <c r="X950" s="438"/>
      <c r="Y950" s="438"/>
      <c r="Z950" s="438"/>
    </row>
    <row r="951" ht="11.25" customHeight="1">
      <c r="A951" s="438"/>
      <c r="B951" s="438"/>
      <c r="C951" s="438"/>
      <c r="D951" s="438"/>
      <c r="E951" s="438"/>
      <c r="F951" s="438"/>
      <c r="G951" s="454"/>
      <c r="H951" s="454"/>
      <c r="I951" s="454"/>
      <c r="J951" s="438"/>
      <c r="K951" s="438"/>
      <c r="L951" s="438"/>
      <c r="M951" s="438"/>
      <c r="N951" s="438"/>
      <c r="O951" s="438"/>
      <c r="P951" s="438"/>
      <c r="Q951" s="438"/>
      <c r="R951" s="438"/>
      <c r="S951" s="438"/>
      <c r="T951" s="438"/>
      <c r="U951" s="438"/>
      <c r="V951" s="438"/>
      <c r="W951" s="438"/>
      <c r="X951" s="438"/>
      <c r="Y951" s="438"/>
      <c r="Z951" s="438"/>
    </row>
    <row r="952" ht="11.25" customHeight="1">
      <c r="A952" s="438"/>
      <c r="B952" s="438"/>
      <c r="C952" s="438"/>
      <c r="D952" s="438"/>
      <c r="E952" s="438"/>
      <c r="F952" s="438"/>
      <c r="G952" s="454"/>
      <c r="H952" s="454"/>
      <c r="I952" s="454"/>
      <c r="J952" s="438"/>
      <c r="K952" s="438"/>
      <c r="L952" s="438"/>
      <c r="M952" s="438"/>
      <c r="N952" s="438"/>
      <c r="O952" s="438"/>
      <c r="P952" s="438"/>
      <c r="Q952" s="438"/>
      <c r="R952" s="438"/>
      <c r="S952" s="438"/>
      <c r="T952" s="438"/>
      <c r="U952" s="438"/>
      <c r="V952" s="438"/>
      <c r="W952" s="438"/>
      <c r="X952" s="438"/>
      <c r="Y952" s="438"/>
      <c r="Z952" s="438"/>
    </row>
    <row r="953" ht="11.25" customHeight="1">
      <c r="A953" s="438"/>
      <c r="B953" s="438"/>
      <c r="C953" s="438"/>
      <c r="D953" s="438"/>
      <c r="E953" s="438"/>
      <c r="F953" s="438"/>
      <c r="G953" s="454"/>
      <c r="H953" s="454"/>
      <c r="I953" s="454"/>
      <c r="J953" s="438"/>
      <c r="K953" s="438"/>
      <c r="L953" s="438"/>
      <c r="M953" s="438"/>
      <c r="N953" s="438"/>
      <c r="O953" s="438"/>
      <c r="P953" s="438"/>
      <c r="Q953" s="438"/>
      <c r="R953" s="438"/>
      <c r="S953" s="438"/>
      <c r="T953" s="438"/>
      <c r="U953" s="438"/>
      <c r="V953" s="438"/>
      <c r="W953" s="438"/>
      <c r="X953" s="438"/>
      <c r="Y953" s="438"/>
      <c r="Z953" s="438"/>
    </row>
    <row r="954" ht="11.25" customHeight="1">
      <c r="A954" s="438"/>
      <c r="B954" s="438"/>
      <c r="C954" s="438"/>
      <c r="D954" s="438"/>
      <c r="E954" s="438"/>
      <c r="F954" s="438"/>
      <c r="G954" s="454"/>
      <c r="H954" s="454"/>
      <c r="I954" s="454"/>
      <c r="J954" s="438"/>
      <c r="K954" s="438"/>
      <c r="L954" s="438"/>
      <c r="M954" s="438"/>
      <c r="N954" s="438"/>
      <c r="O954" s="438"/>
      <c r="P954" s="438"/>
      <c r="Q954" s="438"/>
      <c r="R954" s="438"/>
      <c r="S954" s="438"/>
      <c r="T954" s="438"/>
      <c r="U954" s="438"/>
      <c r="V954" s="438"/>
      <c r="W954" s="438"/>
      <c r="X954" s="438"/>
      <c r="Y954" s="438"/>
      <c r="Z954" s="438"/>
    </row>
    <row r="955" ht="11.25" customHeight="1">
      <c r="A955" s="438"/>
      <c r="B955" s="438"/>
      <c r="C955" s="438"/>
      <c r="D955" s="438"/>
      <c r="E955" s="438"/>
      <c r="F955" s="438"/>
      <c r="G955" s="454"/>
      <c r="H955" s="454"/>
      <c r="I955" s="454"/>
      <c r="J955" s="438"/>
      <c r="K955" s="438"/>
      <c r="L955" s="438"/>
      <c r="M955" s="438"/>
      <c r="N955" s="438"/>
      <c r="O955" s="438"/>
      <c r="P955" s="438"/>
      <c r="Q955" s="438"/>
      <c r="R955" s="438"/>
      <c r="S955" s="438"/>
      <c r="T955" s="438"/>
      <c r="U955" s="438"/>
      <c r="V955" s="438"/>
      <c r="W955" s="438"/>
      <c r="X955" s="438"/>
      <c r="Y955" s="438"/>
      <c r="Z955" s="438"/>
    </row>
    <row r="956" ht="11.25" customHeight="1">
      <c r="A956" s="438"/>
      <c r="B956" s="438"/>
      <c r="C956" s="438"/>
      <c r="D956" s="438"/>
      <c r="E956" s="438"/>
      <c r="F956" s="438"/>
      <c r="G956" s="454"/>
      <c r="H956" s="454"/>
      <c r="I956" s="454"/>
      <c r="J956" s="438"/>
      <c r="K956" s="438"/>
      <c r="L956" s="438"/>
      <c r="M956" s="438"/>
      <c r="N956" s="438"/>
      <c r="O956" s="438"/>
      <c r="P956" s="438"/>
      <c r="Q956" s="438"/>
      <c r="R956" s="438"/>
      <c r="S956" s="438"/>
      <c r="T956" s="438"/>
      <c r="U956" s="438"/>
      <c r="V956" s="438"/>
      <c r="W956" s="438"/>
      <c r="X956" s="438"/>
      <c r="Y956" s="438"/>
      <c r="Z956" s="438"/>
    </row>
    <row r="957" ht="11.25" customHeight="1">
      <c r="A957" s="438"/>
      <c r="B957" s="438"/>
      <c r="C957" s="438"/>
      <c r="D957" s="438"/>
      <c r="E957" s="438"/>
      <c r="F957" s="438"/>
      <c r="G957" s="454"/>
      <c r="H957" s="454"/>
      <c r="I957" s="454"/>
      <c r="J957" s="438"/>
      <c r="K957" s="438"/>
      <c r="L957" s="438"/>
      <c r="M957" s="438"/>
      <c r="N957" s="438"/>
      <c r="O957" s="438"/>
      <c r="P957" s="438"/>
      <c r="Q957" s="438"/>
      <c r="R957" s="438"/>
      <c r="S957" s="438"/>
      <c r="T957" s="438"/>
      <c r="U957" s="438"/>
      <c r="V957" s="438"/>
      <c r="W957" s="438"/>
      <c r="X957" s="438"/>
      <c r="Y957" s="438"/>
      <c r="Z957" s="438"/>
    </row>
    <row r="958" ht="11.25" customHeight="1">
      <c r="A958" s="438"/>
      <c r="B958" s="438"/>
      <c r="C958" s="438"/>
      <c r="D958" s="438"/>
      <c r="E958" s="438"/>
      <c r="F958" s="438"/>
      <c r="G958" s="454"/>
      <c r="H958" s="454"/>
      <c r="I958" s="454"/>
      <c r="J958" s="438"/>
      <c r="K958" s="438"/>
      <c r="L958" s="438"/>
      <c r="M958" s="438"/>
      <c r="N958" s="438"/>
      <c r="O958" s="438"/>
      <c r="P958" s="438"/>
      <c r="Q958" s="438"/>
      <c r="R958" s="438"/>
      <c r="S958" s="438"/>
      <c r="T958" s="438"/>
      <c r="U958" s="438"/>
      <c r="V958" s="438"/>
      <c r="W958" s="438"/>
      <c r="X958" s="438"/>
      <c r="Y958" s="438"/>
      <c r="Z958" s="438"/>
    </row>
    <row r="959" ht="11.25" customHeight="1">
      <c r="A959" s="438"/>
      <c r="B959" s="438"/>
      <c r="C959" s="438"/>
      <c r="D959" s="438"/>
      <c r="E959" s="438"/>
      <c r="F959" s="438"/>
      <c r="G959" s="454"/>
      <c r="H959" s="454"/>
      <c r="I959" s="454"/>
      <c r="J959" s="438"/>
      <c r="K959" s="438"/>
      <c r="L959" s="438"/>
      <c r="M959" s="438"/>
      <c r="N959" s="438"/>
      <c r="O959" s="438"/>
      <c r="P959" s="438"/>
      <c r="Q959" s="438"/>
      <c r="R959" s="438"/>
      <c r="S959" s="438"/>
      <c r="T959" s="438"/>
      <c r="U959" s="438"/>
      <c r="V959" s="438"/>
      <c r="W959" s="438"/>
      <c r="X959" s="438"/>
      <c r="Y959" s="438"/>
      <c r="Z959" s="438"/>
    </row>
    <row r="960" ht="11.25" customHeight="1">
      <c r="A960" s="438"/>
      <c r="B960" s="438"/>
      <c r="C960" s="438"/>
      <c r="D960" s="438"/>
      <c r="E960" s="438"/>
      <c r="F960" s="438"/>
      <c r="G960" s="454"/>
      <c r="H960" s="454"/>
      <c r="I960" s="454"/>
      <c r="J960" s="438"/>
      <c r="K960" s="438"/>
      <c r="L960" s="438"/>
      <c r="M960" s="438"/>
      <c r="N960" s="438"/>
      <c r="O960" s="438"/>
      <c r="P960" s="438"/>
      <c r="Q960" s="438"/>
      <c r="R960" s="438"/>
      <c r="S960" s="438"/>
      <c r="T960" s="438"/>
      <c r="U960" s="438"/>
      <c r="V960" s="438"/>
      <c r="W960" s="438"/>
      <c r="X960" s="438"/>
      <c r="Y960" s="438"/>
      <c r="Z960" s="438"/>
    </row>
    <row r="961" ht="11.25" customHeight="1">
      <c r="A961" s="438"/>
      <c r="B961" s="438"/>
      <c r="C961" s="438"/>
      <c r="D961" s="438"/>
      <c r="E961" s="438"/>
      <c r="F961" s="438"/>
      <c r="G961" s="454"/>
      <c r="H961" s="454"/>
      <c r="I961" s="454"/>
      <c r="J961" s="438"/>
      <c r="K961" s="438"/>
      <c r="L961" s="438"/>
      <c r="M961" s="438"/>
      <c r="N961" s="438"/>
      <c r="O961" s="438"/>
      <c r="P961" s="438"/>
      <c r="Q961" s="438"/>
      <c r="R961" s="438"/>
      <c r="S961" s="438"/>
      <c r="T961" s="438"/>
      <c r="U961" s="438"/>
      <c r="V961" s="438"/>
      <c r="W961" s="438"/>
      <c r="X961" s="438"/>
      <c r="Y961" s="438"/>
      <c r="Z961" s="438"/>
    </row>
    <row r="962" ht="11.25" customHeight="1">
      <c r="A962" s="438"/>
      <c r="B962" s="438"/>
      <c r="C962" s="438"/>
      <c r="D962" s="438"/>
      <c r="E962" s="438"/>
      <c r="F962" s="438"/>
      <c r="G962" s="454"/>
      <c r="H962" s="454"/>
      <c r="I962" s="454"/>
      <c r="J962" s="438"/>
      <c r="K962" s="438"/>
      <c r="L962" s="438"/>
      <c r="M962" s="438"/>
      <c r="N962" s="438"/>
      <c r="O962" s="438"/>
      <c r="P962" s="438"/>
      <c r="Q962" s="438"/>
      <c r="R962" s="438"/>
      <c r="S962" s="438"/>
      <c r="T962" s="438"/>
      <c r="U962" s="438"/>
      <c r="V962" s="438"/>
      <c r="W962" s="438"/>
      <c r="X962" s="438"/>
      <c r="Y962" s="438"/>
      <c r="Z962" s="438"/>
    </row>
    <row r="963" ht="11.25" customHeight="1">
      <c r="A963" s="438"/>
      <c r="B963" s="438"/>
      <c r="C963" s="438"/>
      <c r="D963" s="438"/>
      <c r="E963" s="438"/>
      <c r="F963" s="438"/>
      <c r="G963" s="454"/>
      <c r="H963" s="454"/>
      <c r="I963" s="454"/>
      <c r="J963" s="438"/>
      <c r="K963" s="438"/>
      <c r="L963" s="438"/>
      <c r="M963" s="438"/>
      <c r="N963" s="438"/>
      <c r="O963" s="438"/>
      <c r="P963" s="438"/>
      <c r="Q963" s="438"/>
      <c r="R963" s="438"/>
      <c r="S963" s="438"/>
      <c r="T963" s="438"/>
      <c r="U963" s="438"/>
      <c r="V963" s="438"/>
      <c r="W963" s="438"/>
      <c r="X963" s="438"/>
      <c r="Y963" s="438"/>
      <c r="Z963" s="438"/>
    </row>
    <row r="964" ht="11.25" customHeight="1">
      <c r="A964" s="438"/>
      <c r="B964" s="438"/>
      <c r="C964" s="438"/>
      <c r="D964" s="438"/>
      <c r="E964" s="438"/>
      <c r="F964" s="438"/>
      <c r="G964" s="454"/>
      <c r="H964" s="454"/>
      <c r="I964" s="454"/>
      <c r="J964" s="438"/>
      <c r="K964" s="438"/>
      <c r="L964" s="438"/>
      <c r="M964" s="438"/>
      <c r="N964" s="438"/>
      <c r="O964" s="438"/>
      <c r="P964" s="438"/>
      <c r="Q964" s="438"/>
      <c r="R964" s="438"/>
      <c r="S964" s="438"/>
      <c r="T964" s="438"/>
      <c r="U964" s="438"/>
      <c r="V964" s="438"/>
      <c r="W964" s="438"/>
      <c r="X964" s="438"/>
      <c r="Y964" s="438"/>
      <c r="Z964" s="438"/>
    </row>
    <row r="965" ht="11.25" customHeight="1">
      <c r="A965" s="438"/>
      <c r="B965" s="438"/>
      <c r="C965" s="438"/>
      <c r="D965" s="438"/>
      <c r="E965" s="438"/>
      <c r="F965" s="438"/>
      <c r="G965" s="454"/>
      <c r="H965" s="454"/>
      <c r="I965" s="454"/>
      <c r="J965" s="438"/>
      <c r="K965" s="438"/>
      <c r="L965" s="438"/>
      <c r="M965" s="438"/>
      <c r="N965" s="438"/>
      <c r="O965" s="438"/>
      <c r="P965" s="438"/>
      <c r="Q965" s="438"/>
      <c r="R965" s="438"/>
      <c r="S965" s="438"/>
      <c r="T965" s="438"/>
      <c r="U965" s="438"/>
      <c r="V965" s="438"/>
      <c r="W965" s="438"/>
      <c r="X965" s="438"/>
      <c r="Y965" s="438"/>
      <c r="Z965" s="438"/>
    </row>
    <row r="966" ht="11.25" customHeight="1">
      <c r="A966" s="438"/>
      <c r="B966" s="438"/>
      <c r="C966" s="438"/>
      <c r="D966" s="438"/>
      <c r="E966" s="438"/>
      <c r="F966" s="438"/>
      <c r="G966" s="454"/>
      <c r="H966" s="454"/>
      <c r="I966" s="454"/>
      <c r="J966" s="438"/>
      <c r="K966" s="438"/>
      <c r="L966" s="438"/>
      <c r="M966" s="438"/>
      <c r="N966" s="438"/>
      <c r="O966" s="438"/>
      <c r="P966" s="438"/>
      <c r="Q966" s="438"/>
      <c r="R966" s="438"/>
      <c r="S966" s="438"/>
      <c r="T966" s="438"/>
      <c r="U966" s="438"/>
      <c r="V966" s="438"/>
      <c r="W966" s="438"/>
      <c r="X966" s="438"/>
      <c r="Y966" s="438"/>
      <c r="Z966" s="438"/>
    </row>
    <row r="967" ht="11.25" customHeight="1">
      <c r="A967" s="438"/>
      <c r="B967" s="438"/>
      <c r="C967" s="438"/>
      <c r="D967" s="438"/>
      <c r="E967" s="438"/>
      <c r="F967" s="438"/>
      <c r="G967" s="454"/>
      <c r="H967" s="454"/>
      <c r="I967" s="454"/>
      <c r="J967" s="438"/>
      <c r="K967" s="438"/>
      <c r="L967" s="438"/>
      <c r="M967" s="438"/>
      <c r="N967" s="438"/>
      <c r="O967" s="438"/>
      <c r="P967" s="438"/>
      <c r="Q967" s="438"/>
      <c r="R967" s="438"/>
      <c r="S967" s="438"/>
      <c r="T967" s="438"/>
      <c r="U967" s="438"/>
      <c r="V967" s="438"/>
      <c r="W967" s="438"/>
      <c r="X967" s="438"/>
      <c r="Y967" s="438"/>
      <c r="Z967" s="438"/>
    </row>
    <row r="968" ht="11.25" customHeight="1">
      <c r="A968" s="438"/>
      <c r="B968" s="438"/>
      <c r="C968" s="438"/>
      <c r="D968" s="438"/>
      <c r="E968" s="438"/>
      <c r="F968" s="438"/>
      <c r="G968" s="454"/>
      <c r="H968" s="454"/>
      <c r="I968" s="454"/>
      <c r="J968" s="438"/>
      <c r="K968" s="438"/>
      <c r="L968" s="438"/>
      <c r="M968" s="438"/>
      <c r="N968" s="438"/>
      <c r="O968" s="438"/>
      <c r="P968" s="438"/>
      <c r="Q968" s="438"/>
      <c r="R968" s="438"/>
      <c r="S968" s="438"/>
      <c r="T968" s="438"/>
      <c r="U968" s="438"/>
      <c r="V968" s="438"/>
      <c r="W968" s="438"/>
      <c r="X968" s="438"/>
      <c r="Y968" s="438"/>
      <c r="Z968" s="438"/>
    </row>
    <row r="969" ht="11.25" customHeight="1">
      <c r="A969" s="438"/>
      <c r="B969" s="438"/>
      <c r="C969" s="438"/>
      <c r="D969" s="438"/>
      <c r="E969" s="438"/>
      <c r="F969" s="438"/>
      <c r="G969" s="454"/>
      <c r="H969" s="454"/>
      <c r="I969" s="454"/>
      <c r="J969" s="438"/>
      <c r="K969" s="438"/>
      <c r="L969" s="438"/>
      <c r="M969" s="438"/>
      <c r="N969" s="438"/>
      <c r="O969" s="438"/>
      <c r="P969" s="438"/>
      <c r="Q969" s="438"/>
      <c r="R969" s="438"/>
      <c r="S969" s="438"/>
      <c r="T969" s="438"/>
      <c r="U969" s="438"/>
      <c r="V969" s="438"/>
      <c r="W969" s="438"/>
      <c r="X969" s="438"/>
      <c r="Y969" s="438"/>
      <c r="Z969" s="438"/>
    </row>
    <row r="970" ht="11.25" customHeight="1">
      <c r="A970" s="438"/>
      <c r="B970" s="438"/>
      <c r="C970" s="438"/>
      <c r="D970" s="438"/>
      <c r="E970" s="438"/>
      <c r="F970" s="438"/>
      <c r="G970" s="454"/>
      <c r="H970" s="454"/>
      <c r="I970" s="454"/>
      <c r="J970" s="438"/>
      <c r="K970" s="438"/>
      <c r="L970" s="438"/>
      <c r="M970" s="438"/>
      <c r="N970" s="438"/>
      <c r="O970" s="438"/>
      <c r="P970" s="438"/>
      <c r="Q970" s="438"/>
      <c r="R970" s="438"/>
      <c r="S970" s="438"/>
      <c r="T970" s="438"/>
      <c r="U970" s="438"/>
      <c r="V970" s="438"/>
      <c r="W970" s="438"/>
      <c r="X970" s="438"/>
      <c r="Y970" s="438"/>
      <c r="Z970" s="438"/>
    </row>
    <row r="971" ht="11.25" customHeight="1">
      <c r="A971" s="438"/>
      <c r="B971" s="438"/>
      <c r="C971" s="438"/>
      <c r="D971" s="438"/>
      <c r="E971" s="438"/>
      <c r="F971" s="438"/>
      <c r="G971" s="454"/>
      <c r="H971" s="454"/>
      <c r="I971" s="454"/>
      <c r="J971" s="438"/>
      <c r="K971" s="438"/>
      <c r="L971" s="438"/>
      <c r="M971" s="438"/>
      <c r="N971" s="438"/>
      <c r="O971" s="438"/>
      <c r="P971" s="438"/>
      <c r="Q971" s="438"/>
      <c r="R971" s="438"/>
      <c r="S971" s="438"/>
      <c r="T971" s="438"/>
      <c r="U971" s="438"/>
      <c r="V971" s="438"/>
      <c r="W971" s="438"/>
      <c r="X971" s="438"/>
      <c r="Y971" s="438"/>
      <c r="Z971" s="438"/>
    </row>
    <row r="972" ht="11.25" customHeight="1">
      <c r="A972" s="438"/>
      <c r="B972" s="438"/>
      <c r="C972" s="438"/>
      <c r="D972" s="438"/>
      <c r="E972" s="438"/>
      <c r="F972" s="438"/>
      <c r="G972" s="454"/>
      <c r="H972" s="454"/>
      <c r="I972" s="454"/>
      <c r="J972" s="438"/>
      <c r="K972" s="438"/>
      <c r="L972" s="438"/>
      <c r="M972" s="438"/>
      <c r="N972" s="438"/>
      <c r="O972" s="438"/>
      <c r="P972" s="438"/>
      <c r="Q972" s="438"/>
      <c r="R972" s="438"/>
      <c r="S972" s="438"/>
      <c r="T972" s="438"/>
      <c r="U972" s="438"/>
      <c r="V972" s="438"/>
      <c r="W972" s="438"/>
      <c r="X972" s="438"/>
      <c r="Y972" s="438"/>
      <c r="Z972" s="438"/>
    </row>
    <row r="973" ht="11.25" customHeight="1">
      <c r="A973" s="438"/>
      <c r="B973" s="438"/>
      <c r="C973" s="438"/>
      <c r="D973" s="438"/>
      <c r="E973" s="438"/>
      <c r="F973" s="438"/>
      <c r="G973" s="454"/>
      <c r="H973" s="454"/>
      <c r="I973" s="454"/>
      <c r="J973" s="438"/>
      <c r="K973" s="438"/>
      <c r="L973" s="438"/>
      <c r="M973" s="438"/>
      <c r="N973" s="438"/>
      <c r="O973" s="438"/>
      <c r="P973" s="438"/>
      <c r="Q973" s="438"/>
      <c r="R973" s="438"/>
      <c r="S973" s="438"/>
      <c r="T973" s="438"/>
      <c r="U973" s="438"/>
      <c r="V973" s="438"/>
      <c r="W973" s="438"/>
      <c r="X973" s="438"/>
      <c r="Y973" s="438"/>
      <c r="Z973" s="438"/>
    </row>
    <row r="974" ht="11.25" customHeight="1">
      <c r="A974" s="438"/>
      <c r="B974" s="438"/>
      <c r="C974" s="438"/>
      <c r="D974" s="438"/>
      <c r="E974" s="438"/>
      <c r="F974" s="438"/>
      <c r="G974" s="454"/>
      <c r="H974" s="454"/>
      <c r="I974" s="454"/>
      <c r="J974" s="438"/>
      <c r="K974" s="438"/>
      <c r="L974" s="438"/>
      <c r="M974" s="438"/>
      <c r="N974" s="438"/>
      <c r="O974" s="438"/>
      <c r="P974" s="438"/>
      <c r="Q974" s="438"/>
      <c r="R974" s="438"/>
      <c r="S974" s="438"/>
      <c r="T974" s="438"/>
      <c r="U974" s="438"/>
      <c r="V974" s="438"/>
      <c r="W974" s="438"/>
      <c r="X974" s="438"/>
      <c r="Y974" s="438"/>
      <c r="Z974" s="438"/>
    </row>
    <row r="975" ht="11.25" customHeight="1">
      <c r="A975" s="438"/>
      <c r="B975" s="438"/>
      <c r="C975" s="438"/>
      <c r="D975" s="438"/>
      <c r="E975" s="438"/>
      <c r="F975" s="438"/>
      <c r="G975" s="454"/>
      <c r="H975" s="454"/>
      <c r="I975" s="454"/>
      <c r="J975" s="438"/>
      <c r="K975" s="438"/>
      <c r="L975" s="438"/>
      <c r="M975" s="438"/>
      <c r="N975" s="438"/>
      <c r="O975" s="438"/>
      <c r="P975" s="438"/>
      <c r="Q975" s="438"/>
      <c r="R975" s="438"/>
      <c r="S975" s="438"/>
      <c r="T975" s="438"/>
      <c r="U975" s="438"/>
      <c r="V975" s="438"/>
      <c r="W975" s="438"/>
      <c r="X975" s="438"/>
      <c r="Y975" s="438"/>
      <c r="Z975" s="438"/>
    </row>
    <row r="976" ht="11.25" customHeight="1">
      <c r="A976" s="438"/>
      <c r="B976" s="438"/>
      <c r="C976" s="438"/>
      <c r="D976" s="438"/>
      <c r="E976" s="438"/>
      <c r="F976" s="438"/>
      <c r="G976" s="454"/>
      <c r="H976" s="454"/>
      <c r="I976" s="454"/>
      <c r="J976" s="438"/>
      <c r="K976" s="438"/>
      <c r="L976" s="438"/>
      <c r="M976" s="438"/>
      <c r="N976" s="438"/>
      <c r="O976" s="438"/>
      <c r="P976" s="438"/>
      <c r="Q976" s="438"/>
      <c r="R976" s="438"/>
      <c r="S976" s="438"/>
      <c r="T976" s="438"/>
      <c r="U976" s="438"/>
      <c r="V976" s="438"/>
      <c r="W976" s="438"/>
      <c r="X976" s="438"/>
      <c r="Y976" s="438"/>
      <c r="Z976" s="438"/>
    </row>
    <row r="977" ht="11.25" customHeight="1">
      <c r="A977" s="438"/>
      <c r="B977" s="438"/>
      <c r="C977" s="438"/>
      <c r="D977" s="438"/>
      <c r="E977" s="438"/>
      <c r="F977" s="438"/>
      <c r="G977" s="454"/>
      <c r="H977" s="454"/>
      <c r="I977" s="454"/>
      <c r="J977" s="438"/>
      <c r="K977" s="438"/>
      <c r="L977" s="438"/>
      <c r="M977" s="438"/>
      <c r="N977" s="438"/>
      <c r="O977" s="438"/>
      <c r="P977" s="438"/>
      <c r="Q977" s="438"/>
      <c r="R977" s="438"/>
      <c r="S977" s="438"/>
      <c r="T977" s="438"/>
      <c r="U977" s="438"/>
      <c r="V977" s="438"/>
      <c r="W977" s="438"/>
      <c r="X977" s="438"/>
      <c r="Y977" s="438"/>
      <c r="Z977" s="438"/>
    </row>
    <row r="978" ht="11.25" customHeight="1">
      <c r="A978" s="438"/>
      <c r="B978" s="438"/>
      <c r="C978" s="438"/>
      <c r="D978" s="438"/>
      <c r="E978" s="438"/>
      <c r="F978" s="438"/>
      <c r="G978" s="454"/>
      <c r="H978" s="454"/>
      <c r="I978" s="454"/>
      <c r="J978" s="438"/>
      <c r="K978" s="438"/>
      <c r="L978" s="438"/>
      <c r="M978" s="438"/>
      <c r="N978" s="438"/>
      <c r="O978" s="438"/>
      <c r="P978" s="438"/>
      <c r="Q978" s="438"/>
      <c r="R978" s="438"/>
      <c r="S978" s="438"/>
      <c r="T978" s="438"/>
      <c r="U978" s="438"/>
      <c r="V978" s="438"/>
      <c r="W978" s="438"/>
      <c r="X978" s="438"/>
      <c r="Y978" s="438"/>
      <c r="Z978" s="438"/>
    </row>
    <row r="979" ht="11.25" customHeight="1">
      <c r="A979" s="438"/>
      <c r="B979" s="438"/>
      <c r="C979" s="438"/>
      <c r="D979" s="438"/>
      <c r="E979" s="438"/>
      <c r="F979" s="438"/>
      <c r="G979" s="454"/>
      <c r="H979" s="454"/>
      <c r="I979" s="454"/>
      <c r="J979" s="438"/>
      <c r="K979" s="438"/>
      <c r="L979" s="438"/>
      <c r="M979" s="438"/>
      <c r="N979" s="438"/>
      <c r="O979" s="438"/>
      <c r="P979" s="438"/>
      <c r="Q979" s="438"/>
      <c r="R979" s="438"/>
      <c r="S979" s="438"/>
      <c r="T979" s="438"/>
      <c r="U979" s="438"/>
      <c r="V979" s="438"/>
      <c r="W979" s="438"/>
      <c r="X979" s="438"/>
      <c r="Y979" s="438"/>
      <c r="Z979" s="438"/>
    </row>
    <row r="980" ht="11.25" customHeight="1">
      <c r="A980" s="438"/>
      <c r="B980" s="438"/>
      <c r="C980" s="438"/>
      <c r="D980" s="438"/>
      <c r="E980" s="438"/>
      <c r="F980" s="438"/>
      <c r="G980" s="454"/>
      <c r="H980" s="454"/>
      <c r="I980" s="454"/>
      <c r="J980" s="438"/>
      <c r="K980" s="438"/>
      <c r="L980" s="438"/>
      <c r="M980" s="438"/>
      <c r="N980" s="438"/>
      <c r="O980" s="438"/>
      <c r="P980" s="438"/>
      <c r="Q980" s="438"/>
      <c r="R980" s="438"/>
      <c r="S980" s="438"/>
      <c r="T980" s="438"/>
      <c r="U980" s="438"/>
      <c r="V980" s="438"/>
      <c r="W980" s="438"/>
      <c r="X980" s="438"/>
      <c r="Y980" s="438"/>
      <c r="Z980" s="438"/>
    </row>
    <row r="981" ht="11.25" customHeight="1">
      <c r="A981" s="438"/>
      <c r="B981" s="438"/>
      <c r="C981" s="438"/>
      <c r="D981" s="438"/>
      <c r="E981" s="438"/>
      <c r="F981" s="438"/>
      <c r="G981" s="454"/>
      <c r="H981" s="454"/>
      <c r="I981" s="454"/>
      <c r="J981" s="438"/>
      <c r="K981" s="438"/>
      <c r="L981" s="438"/>
      <c r="M981" s="438"/>
      <c r="N981" s="438"/>
      <c r="O981" s="438"/>
      <c r="P981" s="438"/>
      <c r="Q981" s="438"/>
      <c r="R981" s="438"/>
      <c r="S981" s="438"/>
      <c r="T981" s="438"/>
      <c r="U981" s="438"/>
      <c r="V981" s="438"/>
      <c r="W981" s="438"/>
      <c r="X981" s="438"/>
      <c r="Y981" s="438"/>
      <c r="Z981" s="438"/>
    </row>
    <row r="982" ht="11.25" customHeight="1">
      <c r="A982" s="438"/>
      <c r="B982" s="438"/>
      <c r="C982" s="438"/>
      <c r="D982" s="438"/>
      <c r="E982" s="438"/>
      <c r="F982" s="438"/>
      <c r="G982" s="454"/>
      <c r="H982" s="454"/>
      <c r="I982" s="454"/>
      <c r="J982" s="438"/>
      <c r="K982" s="438"/>
      <c r="L982" s="438"/>
      <c r="M982" s="438"/>
      <c r="N982" s="438"/>
      <c r="O982" s="438"/>
      <c r="P982" s="438"/>
      <c r="Q982" s="438"/>
      <c r="R982" s="438"/>
      <c r="S982" s="438"/>
      <c r="T982" s="438"/>
      <c r="U982" s="438"/>
      <c r="V982" s="438"/>
      <c r="W982" s="438"/>
      <c r="X982" s="438"/>
      <c r="Y982" s="438"/>
      <c r="Z982" s="438"/>
    </row>
    <row r="983" ht="11.25" customHeight="1">
      <c r="A983" s="438"/>
      <c r="B983" s="438"/>
      <c r="C983" s="438"/>
      <c r="D983" s="438"/>
      <c r="E983" s="438"/>
      <c r="F983" s="438"/>
      <c r="G983" s="454"/>
      <c r="H983" s="454"/>
      <c r="I983" s="454"/>
      <c r="J983" s="438"/>
      <c r="K983" s="438"/>
      <c r="L983" s="438"/>
      <c r="M983" s="438"/>
      <c r="N983" s="438"/>
      <c r="O983" s="438"/>
      <c r="P983" s="438"/>
      <c r="Q983" s="438"/>
      <c r="R983" s="438"/>
      <c r="S983" s="438"/>
      <c r="T983" s="438"/>
      <c r="U983" s="438"/>
      <c r="V983" s="438"/>
      <c r="W983" s="438"/>
      <c r="X983" s="438"/>
      <c r="Y983" s="438"/>
      <c r="Z983" s="438"/>
    </row>
    <row r="984" ht="11.25" customHeight="1">
      <c r="A984" s="438"/>
      <c r="B984" s="438"/>
      <c r="C984" s="438"/>
      <c r="D984" s="438"/>
      <c r="E984" s="438"/>
      <c r="F984" s="438"/>
      <c r="G984" s="454"/>
      <c r="H984" s="454"/>
      <c r="I984" s="454"/>
      <c r="J984" s="438"/>
      <c r="K984" s="438"/>
      <c r="L984" s="438"/>
      <c r="M984" s="438"/>
      <c r="N984" s="438"/>
      <c r="O984" s="438"/>
      <c r="P984" s="438"/>
      <c r="Q984" s="438"/>
      <c r="R984" s="438"/>
      <c r="S984" s="438"/>
      <c r="T984" s="438"/>
      <c r="U984" s="438"/>
      <c r="V984" s="438"/>
      <c r="W984" s="438"/>
      <c r="X984" s="438"/>
      <c r="Y984" s="438"/>
      <c r="Z984" s="438"/>
    </row>
    <row r="985" ht="11.25" customHeight="1">
      <c r="A985" s="438"/>
      <c r="B985" s="438"/>
      <c r="C985" s="438"/>
      <c r="D985" s="438"/>
      <c r="E985" s="438"/>
      <c r="F985" s="438"/>
      <c r="G985" s="454"/>
      <c r="H985" s="454"/>
      <c r="I985" s="454"/>
      <c r="J985" s="438"/>
      <c r="K985" s="438"/>
      <c r="L985" s="438"/>
      <c r="M985" s="438"/>
      <c r="N985" s="438"/>
      <c r="O985" s="438"/>
      <c r="P985" s="438"/>
      <c r="Q985" s="438"/>
      <c r="R985" s="438"/>
      <c r="S985" s="438"/>
      <c r="T985" s="438"/>
      <c r="U985" s="438"/>
      <c r="V985" s="438"/>
      <c r="W985" s="438"/>
      <c r="X985" s="438"/>
      <c r="Y985" s="438"/>
      <c r="Z985" s="438"/>
    </row>
    <row r="986" ht="11.25" customHeight="1">
      <c r="A986" s="438"/>
      <c r="B986" s="438"/>
      <c r="C986" s="438"/>
      <c r="D986" s="438"/>
      <c r="E986" s="438"/>
      <c r="F986" s="438"/>
      <c r="G986" s="454"/>
      <c r="H986" s="454"/>
      <c r="I986" s="454"/>
      <c r="J986" s="438"/>
      <c r="K986" s="438"/>
      <c r="L986" s="438"/>
      <c r="M986" s="438"/>
      <c r="N986" s="438"/>
      <c r="O986" s="438"/>
      <c r="P986" s="438"/>
      <c r="Q986" s="438"/>
      <c r="R986" s="438"/>
      <c r="S986" s="438"/>
      <c r="T986" s="438"/>
      <c r="U986" s="438"/>
      <c r="V986" s="438"/>
      <c r="W986" s="438"/>
      <c r="X986" s="438"/>
      <c r="Y986" s="438"/>
      <c r="Z986" s="438"/>
    </row>
    <row r="987" ht="11.25" customHeight="1">
      <c r="A987" s="438"/>
      <c r="B987" s="438"/>
      <c r="C987" s="438"/>
      <c r="D987" s="438"/>
      <c r="E987" s="438"/>
      <c r="F987" s="438"/>
      <c r="G987" s="454"/>
      <c r="H987" s="454"/>
      <c r="I987" s="454"/>
      <c r="J987" s="438"/>
      <c r="K987" s="438"/>
      <c r="L987" s="438"/>
      <c r="M987" s="438"/>
      <c r="N987" s="438"/>
      <c r="O987" s="438"/>
      <c r="P987" s="438"/>
      <c r="Q987" s="438"/>
      <c r="R987" s="438"/>
      <c r="S987" s="438"/>
      <c r="T987" s="438"/>
      <c r="U987" s="438"/>
      <c r="V987" s="438"/>
      <c r="W987" s="438"/>
      <c r="X987" s="438"/>
      <c r="Y987" s="438"/>
      <c r="Z987" s="438"/>
    </row>
    <row r="988" ht="11.25" customHeight="1">
      <c r="A988" s="438"/>
      <c r="B988" s="438"/>
      <c r="C988" s="438"/>
      <c r="D988" s="438"/>
      <c r="E988" s="438"/>
      <c r="F988" s="438"/>
      <c r="G988" s="454"/>
      <c r="H988" s="454"/>
      <c r="I988" s="454"/>
      <c r="J988" s="438"/>
      <c r="K988" s="438"/>
      <c r="L988" s="438"/>
      <c r="M988" s="438"/>
      <c r="N988" s="438"/>
      <c r="O988" s="438"/>
      <c r="P988" s="438"/>
      <c r="Q988" s="438"/>
      <c r="R988" s="438"/>
      <c r="S988" s="438"/>
      <c r="T988" s="438"/>
      <c r="U988" s="438"/>
      <c r="V988" s="438"/>
      <c r="W988" s="438"/>
      <c r="X988" s="438"/>
      <c r="Y988" s="438"/>
      <c r="Z988" s="438"/>
    </row>
    <row r="989" ht="11.25" customHeight="1">
      <c r="A989" s="438"/>
      <c r="B989" s="438"/>
      <c r="C989" s="438"/>
      <c r="D989" s="438"/>
      <c r="E989" s="438"/>
      <c r="F989" s="438"/>
      <c r="G989" s="454"/>
      <c r="H989" s="454"/>
      <c r="I989" s="454"/>
      <c r="J989" s="438"/>
      <c r="K989" s="438"/>
      <c r="L989" s="438"/>
      <c r="M989" s="438"/>
      <c r="N989" s="438"/>
      <c r="O989" s="438"/>
      <c r="P989" s="438"/>
      <c r="Q989" s="438"/>
      <c r="R989" s="438"/>
      <c r="S989" s="438"/>
      <c r="T989" s="438"/>
      <c r="U989" s="438"/>
      <c r="V989" s="438"/>
      <c r="W989" s="438"/>
      <c r="X989" s="438"/>
      <c r="Y989" s="438"/>
      <c r="Z989" s="438"/>
    </row>
    <row r="990" ht="11.25" customHeight="1">
      <c r="A990" s="438"/>
      <c r="B990" s="438"/>
      <c r="C990" s="438"/>
      <c r="D990" s="438"/>
      <c r="E990" s="438"/>
      <c r="F990" s="438"/>
      <c r="G990" s="454"/>
      <c r="H990" s="454"/>
      <c r="I990" s="454"/>
      <c r="J990" s="438"/>
      <c r="K990" s="438"/>
      <c r="L990" s="438"/>
      <c r="M990" s="438"/>
      <c r="N990" s="438"/>
      <c r="O990" s="438"/>
      <c r="P990" s="438"/>
      <c r="Q990" s="438"/>
      <c r="R990" s="438"/>
      <c r="S990" s="438"/>
      <c r="T990" s="438"/>
      <c r="U990" s="438"/>
      <c r="V990" s="438"/>
      <c r="W990" s="438"/>
      <c r="X990" s="438"/>
      <c r="Y990" s="438"/>
      <c r="Z990" s="438"/>
    </row>
    <row r="991" ht="11.25" customHeight="1">
      <c r="A991" s="438"/>
      <c r="B991" s="438"/>
      <c r="C991" s="438"/>
      <c r="D991" s="438"/>
      <c r="E991" s="438"/>
      <c r="F991" s="438"/>
      <c r="G991" s="454"/>
      <c r="H991" s="454"/>
      <c r="I991" s="454"/>
      <c r="J991" s="438"/>
      <c r="K991" s="438"/>
      <c r="L991" s="438"/>
      <c r="M991" s="438"/>
      <c r="N991" s="438"/>
      <c r="O991" s="438"/>
      <c r="P991" s="438"/>
      <c r="Q991" s="438"/>
      <c r="R991" s="438"/>
      <c r="S991" s="438"/>
      <c r="T991" s="438"/>
      <c r="U991" s="438"/>
      <c r="V991" s="438"/>
      <c r="W991" s="438"/>
      <c r="X991" s="438"/>
      <c r="Y991" s="438"/>
      <c r="Z991" s="438"/>
    </row>
    <row r="992" ht="11.25" customHeight="1">
      <c r="A992" s="438"/>
      <c r="B992" s="438"/>
      <c r="C992" s="438"/>
      <c r="D992" s="438"/>
      <c r="E992" s="438"/>
      <c r="F992" s="438"/>
      <c r="G992" s="454"/>
      <c r="H992" s="454"/>
      <c r="I992" s="454"/>
      <c r="J992" s="438"/>
      <c r="K992" s="438"/>
      <c r="L992" s="438"/>
      <c r="M992" s="438"/>
      <c r="N992" s="438"/>
      <c r="O992" s="438"/>
      <c r="P992" s="438"/>
      <c r="Q992" s="438"/>
      <c r="R992" s="438"/>
      <c r="S992" s="438"/>
      <c r="T992" s="438"/>
      <c r="U992" s="438"/>
      <c r="V992" s="438"/>
      <c r="W992" s="438"/>
      <c r="X992" s="438"/>
      <c r="Y992" s="438"/>
      <c r="Z992" s="438"/>
    </row>
    <row r="993" ht="11.25" customHeight="1">
      <c r="A993" s="438"/>
      <c r="B993" s="438"/>
      <c r="C993" s="438"/>
      <c r="D993" s="438"/>
      <c r="E993" s="438"/>
      <c r="F993" s="438"/>
      <c r="G993" s="454"/>
      <c r="H993" s="454"/>
      <c r="I993" s="454"/>
      <c r="J993" s="438"/>
      <c r="K993" s="438"/>
      <c r="L993" s="438"/>
      <c r="M993" s="438"/>
      <c r="N993" s="438"/>
      <c r="O993" s="438"/>
      <c r="P993" s="438"/>
      <c r="Q993" s="438"/>
      <c r="R993" s="438"/>
      <c r="S993" s="438"/>
      <c r="T993" s="438"/>
      <c r="U993" s="438"/>
      <c r="V993" s="438"/>
      <c r="W993" s="438"/>
      <c r="X993" s="438"/>
      <c r="Y993" s="438"/>
      <c r="Z993" s="438"/>
    </row>
    <row r="994" ht="11.25" customHeight="1">
      <c r="A994" s="438"/>
      <c r="B994" s="438"/>
      <c r="C994" s="438"/>
      <c r="D994" s="438"/>
      <c r="E994" s="438"/>
      <c r="F994" s="438"/>
      <c r="G994" s="454"/>
      <c r="H994" s="454"/>
      <c r="I994" s="454"/>
      <c r="J994" s="438"/>
      <c r="K994" s="438"/>
      <c r="L994" s="438"/>
      <c r="M994" s="438"/>
      <c r="N994" s="438"/>
      <c r="O994" s="438"/>
      <c r="P994" s="438"/>
      <c r="Q994" s="438"/>
      <c r="R994" s="438"/>
      <c r="S994" s="438"/>
      <c r="T994" s="438"/>
      <c r="U994" s="438"/>
      <c r="V994" s="438"/>
      <c r="W994" s="438"/>
      <c r="X994" s="438"/>
      <c r="Y994" s="438"/>
      <c r="Z994" s="438"/>
    </row>
    <row r="995" ht="11.25" customHeight="1">
      <c r="A995" s="438"/>
      <c r="B995" s="438"/>
      <c r="C995" s="438"/>
      <c r="D995" s="438"/>
      <c r="E995" s="438"/>
      <c r="F995" s="438"/>
      <c r="G995" s="454"/>
      <c r="H995" s="454"/>
      <c r="I995" s="454"/>
      <c r="J995" s="438"/>
      <c r="K995" s="438"/>
      <c r="L995" s="438"/>
      <c r="M995" s="438"/>
      <c r="N995" s="438"/>
      <c r="O995" s="438"/>
      <c r="P995" s="438"/>
      <c r="Q995" s="438"/>
      <c r="R995" s="438"/>
      <c r="S995" s="438"/>
      <c r="T995" s="438"/>
      <c r="U995" s="438"/>
      <c r="V995" s="438"/>
      <c r="W995" s="438"/>
      <c r="X995" s="438"/>
      <c r="Y995" s="438"/>
      <c r="Z995" s="438"/>
    </row>
    <row r="996" ht="11.25" customHeight="1">
      <c r="A996" s="438"/>
      <c r="B996" s="438"/>
      <c r="C996" s="438"/>
      <c r="D996" s="438"/>
      <c r="E996" s="438"/>
      <c r="F996" s="438"/>
      <c r="G996" s="454"/>
      <c r="H996" s="454"/>
      <c r="I996" s="454"/>
      <c r="J996" s="438"/>
      <c r="K996" s="438"/>
      <c r="L996" s="438"/>
      <c r="M996" s="438"/>
      <c r="N996" s="438"/>
      <c r="O996" s="438"/>
      <c r="P996" s="438"/>
      <c r="Q996" s="438"/>
      <c r="R996" s="438"/>
      <c r="S996" s="438"/>
      <c r="T996" s="438"/>
      <c r="U996" s="438"/>
      <c r="V996" s="438"/>
      <c r="W996" s="438"/>
      <c r="X996" s="438"/>
      <c r="Y996" s="438"/>
      <c r="Z996" s="438"/>
    </row>
    <row r="997" ht="11.25" customHeight="1">
      <c r="A997" s="438"/>
      <c r="B997" s="438"/>
      <c r="C997" s="438"/>
      <c r="D997" s="438"/>
      <c r="E997" s="438"/>
      <c r="F997" s="438"/>
      <c r="G997" s="454"/>
      <c r="H997" s="454"/>
      <c r="I997" s="454"/>
      <c r="J997" s="438"/>
      <c r="K997" s="438"/>
      <c r="L997" s="438"/>
      <c r="M997" s="438"/>
      <c r="N997" s="438"/>
      <c r="O997" s="438"/>
      <c r="P997" s="438"/>
      <c r="Q997" s="438"/>
      <c r="R997" s="438"/>
      <c r="S997" s="438"/>
      <c r="T997" s="438"/>
      <c r="U997" s="438"/>
      <c r="V997" s="438"/>
      <c r="W997" s="438"/>
      <c r="X997" s="438"/>
      <c r="Y997" s="438"/>
      <c r="Z997" s="438"/>
    </row>
    <row r="998" ht="11.25" customHeight="1">
      <c r="A998" s="438"/>
      <c r="B998" s="438"/>
      <c r="C998" s="438"/>
      <c r="D998" s="438"/>
      <c r="E998" s="438"/>
      <c r="F998" s="438"/>
      <c r="G998" s="454"/>
      <c r="H998" s="454"/>
      <c r="I998" s="454"/>
      <c r="J998" s="438"/>
      <c r="K998" s="438"/>
      <c r="L998" s="438"/>
      <c r="M998" s="438"/>
      <c r="N998" s="438"/>
      <c r="O998" s="438"/>
      <c r="P998" s="438"/>
      <c r="Q998" s="438"/>
      <c r="R998" s="438"/>
      <c r="S998" s="438"/>
      <c r="T998" s="438"/>
      <c r="U998" s="438"/>
      <c r="V998" s="438"/>
      <c r="W998" s="438"/>
      <c r="X998" s="438"/>
      <c r="Y998" s="438"/>
      <c r="Z998" s="438"/>
    </row>
    <row r="999" ht="11.25" customHeight="1">
      <c r="A999" s="438"/>
      <c r="B999" s="438"/>
      <c r="C999" s="438"/>
      <c r="D999" s="438"/>
      <c r="E999" s="438"/>
      <c r="F999" s="438"/>
      <c r="G999" s="454"/>
      <c r="H999" s="454"/>
      <c r="I999" s="454"/>
      <c r="J999" s="438"/>
      <c r="K999" s="438"/>
      <c r="L999" s="438"/>
      <c r="M999" s="438"/>
      <c r="N999" s="438"/>
      <c r="O999" s="438"/>
      <c r="P999" s="438"/>
      <c r="Q999" s="438"/>
      <c r="R999" s="438"/>
      <c r="S999" s="438"/>
      <c r="T999" s="438"/>
      <c r="U999" s="438"/>
      <c r="V999" s="438"/>
      <c r="W999" s="438"/>
      <c r="X999" s="438"/>
      <c r="Y999" s="438"/>
      <c r="Z999" s="438"/>
    </row>
    <row r="1000" ht="11.25" customHeight="1">
      <c r="A1000" s="438"/>
      <c r="B1000" s="438"/>
      <c r="C1000" s="438"/>
      <c r="D1000" s="438"/>
      <c r="E1000" s="438"/>
      <c r="F1000" s="438"/>
      <c r="G1000" s="454"/>
      <c r="H1000" s="454"/>
      <c r="I1000" s="454"/>
      <c r="J1000" s="438"/>
      <c r="K1000" s="438"/>
      <c r="L1000" s="438"/>
      <c r="M1000" s="438"/>
      <c r="N1000" s="438"/>
      <c r="O1000" s="438"/>
      <c r="P1000" s="438"/>
      <c r="Q1000" s="438"/>
      <c r="R1000" s="438"/>
      <c r="S1000" s="438"/>
      <c r="T1000" s="438"/>
      <c r="U1000" s="438"/>
      <c r="V1000" s="438"/>
      <c r="W1000" s="438"/>
      <c r="X1000" s="438"/>
      <c r="Y1000" s="438"/>
      <c r="Z1000" s="438"/>
    </row>
  </sheetData>
  <customSheetViews>
    <customSheetView guid="{8D64F89B-161D-4737-840C-E0294EA642D5}" filter="1" showAutoFilter="1">
      <autoFilter ref="$A$9:$I$205">
        <filterColumn colId="0">
          <filters>
            <filter val="4201-11 INTERESES Y MULTAS"/>
          </filters>
        </filterColumn>
      </autoFilter>
      <extLst>
        <ext uri="GoogleSheetsCustomDataVersion1">
          <go:sheetsCustomData xmlns:go="http://customooxmlschemas.google.com/" filterViewId="50262630"/>
        </ext>
      </extLst>
    </customSheetView>
  </customSheetViews>
  <mergeCells count="3">
    <mergeCell ref="C7:E7"/>
    <mergeCell ref="C8:E8"/>
    <mergeCell ref="G8:H8"/>
  </mergeCells>
  <printOptions/>
  <pageMargins bottom="0.75" footer="0.0" header="0.0" left="0.7" right="0.7" top="0.75"/>
  <pageSetup orientation="landscape"/>
  <drawing r:id="rId1"/>
  <tableParts count="1">
    <tablePart r:id="rId3"/>
  </tableParts>
  <extLst>
    <ext uri="{3A4CF648-6AED-40f4-86FF-DC5316D8AED3}">
      <x14:slicerList>
        <x14:slicer r:id="rId4"/>
      </x14:slicerList>
    </ext>
  </extLst>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Poleconomy</dc:creator>
</cp:coreProperties>
</file>
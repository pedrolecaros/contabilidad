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jlJCdqDEAUD2LtA0YNslkCPNAhcDyEO\Parque Sur Socios\Administracion Parque Sur\0.1 Contable\"/>
    </mc:Choice>
  </mc:AlternateContent>
  <xr:revisionPtr revIDLastSave="0" documentId="13_ncr:1_{6D04EE4D-8BDB-4C92-93D0-1309C44BFCF1}" xr6:coauthVersionLast="47" xr6:coauthVersionMax="47" xr10:uidLastSave="{00000000-0000-0000-0000-000000000000}"/>
  <bookViews>
    <workbookView xWindow="-120" yWindow="-120" windowWidth="29040" windowHeight="15840" xr2:uid="{9E711116-6FE0-4EE9-B17E-52B2B93F9FAF}"/>
  </bookViews>
  <sheets>
    <sheet name="Leasi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K40" i="1"/>
  <c r="G2" i="1"/>
  <c r="G8" i="1" s="1"/>
  <c r="E8" i="1"/>
  <c r="F8" i="1" s="1"/>
  <c r="I5" i="1"/>
  <c r="J5" i="1" s="1"/>
  <c r="K5" i="1" s="1"/>
  <c r="L5" i="1" s="1"/>
  <c r="M5" i="1" s="1"/>
  <c r="N5" i="1" s="1"/>
  <c r="O5" i="1" s="1"/>
  <c r="I6" i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I7" i="1"/>
  <c r="J7" i="1" s="1"/>
  <c r="K7" i="1" s="1"/>
  <c r="L7" i="1" s="1"/>
  <c r="M7" i="1" s="1"/>
  <c r="N7" i="1" s="1"/>
  <c r="O7" i="1" s="1"/>
  <c r="P7" i="1" s="1"/>
  <c r="Q7" i="1" s="1"/>
  <c r="R7" i="1" s="1"/>
  <c r="I8" i="1"/>
  <c r="J8" i="1" s="1"/>
  <c r="K8" i="1" s="1"/>
  <c r="L8" i="1" s="1"/>
  <c r="M8" i="1" s="1"/>
  <c r="I4" i="1"/>
  <c r="E5" i="1"/>
  <c r="F5" i="1" s="1"/>
  <c r="E6" i="1"/>
  <c r="G6" i="1" s="1"/>
  <c r="E7" i="1"/>
  <c r="E4" i="1"/>
  <c r="I11" i="1" l="1"/>
  <c r="G4" i="1"/>
  <c r="G7" i="1"/>
  <c r="S7" i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F4" i="1"/>
  <c r="F7" i="1"/>
  <c r="G5" i="1"/>
  <c r="J4" i="1"/>
  <c r="K4" i="1" s="1"/>
  <c r="F6" i="1"/>
  <c r="N8" i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V11" i="1" s="1"/>
  <c r="G9" i="1"/>
  <c r="AW8" i="1"/>
  <c r="P5" i="1"/>
  <c r="O11" i="1"/>
  <c r="AO6" i="1"/>
  <c r="F9" i="1" l="1"/>
  <c r="I12" i="1" s="1"/>
  <c r="J12" i="1"/>
  <c r="AO7" i="1"/>
  <c r="AP7" i="1" s="1"/>
  <c r="AQ7" i="1" s="1"/>
  <c r="AR7" i="1" s="1"/>
  <c r="AN11" i="1"/>
  <c r="J11" i="1"/>
  <c r="AP6" i="1"/>
  <c r="AO11" i="1"/>
  <c r="Q5" i="1"/>
  <c r="P11" i="1"/>
  <c r="L4" i="1"/>
  <c r="K11" i="1"/>
  <c r="AX8" i="1"/>
  <c r="AW11" i="1"/>
  <c r="AS7" i="1" l="1"/>
  <c r="AR11" i="1"/>
  <c r="K12" i="1"/>
  <c r="R5" i="1"/>
  <c r="Q11" i="1"/>
  <c r="AY8" i="1"/>
  <c r="AY11" i="1" s="1"/>
  <c r="AX11" i="1"/>
  <c r="M4" i="1"/>
  <c r="L11" i="1"/>
  <c r="AQ6" i="1"/>
  <c r="AQ11" i="1" s="1"/>
  <c r="AP11" i="1"/>
  <c r="L12" i="1" l="1"/>
  <c r="AS11" i="1"/>
  <c r="AT7" i="1"/>
  <c r="M11" i="1"/>
  <c r="M12" i="1" s="1"/>
  <c r="N4" i="1"/>
  <c r="N11" i="1" s="1"/>
  <c r="S5" i="1"/>
  <c r="R11" i="1"/>
  <c r="AT11" i="1" l="1"/>
  <c r="AU7" i="1"/>
  <c r="AU11" i="1" s="1"/>
  <c r="N12" i="1"/>
  <c r="O12" i="1" s="1"/>
  <c r="P12" i="1" s="1"/>
  <c r="Q12" i="1" s="1"/>
  <c r="R12" i="1" s="1"/>
  <c r="T5" i="1"/>
  <c r="S11" i="1"/>
  <c r="S12" i="1" l="1"/>
  <c r="U5" i="1"/>
  <c r="T11" i="1"/>
  <c r="T12" i="1" s="1"/>
  <c r="V5" i="1" l="1"/>
  <c r="U11" i="1"/>
  <c r="U12" i="1" s="1"/>
  <c r="W5" i="1" l="1"/>
  <c r="V11" i="1"/>
  <c r="V12" i="1" s="1"/>
  <c r="X5" i="1" l="1"/>
  <c r="W11" i="1"/>
  <c r="W12" i="1" s="1"/>
  <c r="Y5" i="1" l="1"/>
  <c r="X11" i="1"/>
  <c r="X12" i="1" s="1"/>
  <c r="Z5" i="1" l="1"/>
  <c r="Y11" i="1"/>
  <c r="Y12" i="1" s="1"/>
  <c r="Z11" i="1" l="1"/>
  <c r="Z12" i="1" s="1"/>
  <c r="AA5" i="1"/>
  <c r="AB5" i="1" l="1"/>
  <c r="AA11" i="1"/>
  <c r="AA12" i="1" s="1"/>
  <c r="AC5" i="1" l="1"/>
  <c r="AB11" i="1"/>
  <c r="AB12" i="1" s="1"/>
  <c r="AD5" i="1" l="1"/>
  <c r="AC11" i="1"/>
  <c r="AC12" i="1" s="1"/>
  <c r="AE5" i="1" l="1"/>
  <c r="AD11" i="1"/>
  <c r="AD12" i="1" s="1"/>
  <c r="AF5" i="1" l="1"/>
  <c r="AE11" i="1"/>
  <c r="AE12" i="1" s="1"/>
  <c r="AG5" i="1" l="1"/>
  <c r="AF11" i="1"/>
  <c r="AF12" i="1" s="1"/>
  <c r="AH5" i="1" l="1"/>
  <c r="AG11" i="1"/>
  <c r="AG12" i="1" s="1"/>
  <c r="AI5" i="1" l="1"/>
  <c r="AH11" i="1"/>
  <c r="AH12" i="1" s="1"/>
  <c r="AJ5" i="1" l="1"/>
  <c r="AI11" i="1"/>
  <c r="AI12" i="1" s="1"/>
  <c r="AK5" i="1" l="1"/>
  <c r="AJ11" i="1"/>
  <c r="AJ12" i="1" s="1"/>
  <c r="AL5" i="1" l="1"/>
  <c r="AK11" i="1"/>
  <c r="AK12" i="1" s="1"/>
  <c r="AM5" i="1" l="1"/>
  <c r="AM11" i="1" s="1"/>
  <c r="AL11" i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</calcChain>
</file>

<file path=xl/sharedStrings.xml><?xml version="1.0" encoding="utf-8"?>
<sst xmlns="http://schemas.openxmlformats.org/spreadsheetml/2006/main" count="16" uniqueCount="16">
  <si>
    <t xml:space="preserve"> LEASING GRUA N° 1 </t>
  </si>
  <si>
    <t xml:space="preserve"> LEASING GRUA N° 2 </t>
  </si>
  <si>
    <t xml:space="preserve"> LEASING GRUA N° 3-4-5-6 </t>
  </si>
  <si>
    <t>Suma cuotas</t>
  </si>
  <si>
    <t>Tasa Tab Nominal</t>
  </si>
  <si>
    <t>Tasa BCP</t>
  </si>
  <si>
    <t>Leasing</t>
  </si>
  <si>
    <t>Monto cuota</t>
  </si>
  <si>
    <t>Cuota Actual</t>
  </si>
  <si>
    <t>Total Cuotas</t>
  </si>
  <si>
    <t>Pendiente cuota</t>
  </si>
  <si>
    <t>Valor presente (Prepago)</t>
  </si>
  <si>
    <t xml:space="preserve"> LEASING BRAZO SNORKEL </t>
  </si>
  <si>
    <t xml:space="preserve"> LEASING BRAZO JLG  </t>
  </si>
  <si>
    <t>Saldo deuda</t>
  </si>
  <si>
    <t>Cuota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</si>
</sst>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0.000%"/>
    <numFmt numFmtId="167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44" fontId="0" fillId="0" borderId="0" xfId="2" applyFont="1"/>
    <xf numFmtId="164" fontId="0" fillId="0" borderId="0" xfId="0" applyNumberFormat="1"/>
    <xf numFmtId="166" fontId="0" fillId="0" borderId="0" xfId="3" applyNumberFormat="1" applyFont="1"/>
    <xf numFmtId="10" fontId="0" fillId="0" borderId="0" xfId="0" applyNumberFormat="1"/>
    <xf numFmtId="9" fontId="0" fillId="0" borderId="0" xfId="0" applyNumberFormat="1"/>
    <xf numFmtId="167" fontId="0" fillId="0" borderId="0" xfId="2" applyNumberFormat="1" applyFont="1"/>
    <xf numFmtId="164" fontId="0" fillId="0" borderId="1" xfId="1" applyNumberFormat="1" applyFont="1" applyBorder="1"/>
    <xf numFmtId="3" fontId="0" fillId="0" borderId="1" xfId="0" applyNumberFormat="1" applyBorder="1"/>
    <xf numFmtId="8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Cuotas Mensuales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Leasing!$I$2:$BD$2</c:f>
              <c:numCache>
                <c:formatCode>[$-409]mmm\-yy;@</c:formatCode>
                <c:ptCount val="48"/>
                <c:pt idx="0">
                  <c:v>45566</c:v>
                </c:pt>
                <c:pt idx="1">
                  <c:v>45598</c:v>
                </c:pt>
                <c:pt idx="2">
                  <c:v>45630</c:v>
                </c:pt>
                <c:pt idx="3">
                  <c:v>45662</c:v>
                </c:pt>
                <c:pt idx="4">
                  <c:v>45694</c:v>
                </c:pt>
                <c:pt idx="5">
                  <c:v>45726</c:v>
                </c:pt>
                <c:pt idx="6">
                  <c:v>45758</c:v>
                </c:pt>
                <c:pt idx="7">
                  <c:v>45790</c:v>
                </c:pt>
                <c:pt idx="8">
                  <c:v>45822</c:v>
                </c:pt>
                <c:pt idx="9">
                  <c:v>45854</c:v>
                </c:pt>
                <c:pt idx="10">
                  <c:v>45886</c:v>
                </c:pt>
                <c:pt idx="11">
                  <c:v>45918</c:v>
                </c:pt>
                <c:pt idx="12">
                  <c:v>45950</c:v>
                </c:pt>
                <c:pt idx="13">
                  <c:v>45982</c:v>
                </c:pt>
                <c:pt idx="14">
                  <c:v>46014</c:v>
                </c:pt>
                <c:pt idx="15">
                  <c:v>46046</c:v>
                </c:pt>
                <c:pt idx="16">
                  <c:v>46078</c:v>
                </c:pt>
                <c:pt idx="17">
                  <c:v>46110</c:v>
                </c:pt>
                <c:pt idx="18">
                  <c:v>46142</c:v>
                </c:pt>
                <c:pt idx="19">
                  <c:v>46174</c:v>
                </c:pt>
                <c:pt idx="20">
                  <c:v>46206</c:v>
                </c:pt>
                <c:pt idx="21">
                  <c:v>46238</c:v>
                </c:pt>
                <c:pt idx="22">
                  <c:v>46270</c:v>
                </c:pt>
                <c:pt idx="23">
                  <c:v>46302</c:v>
                </c:pt>
                <c:pt idx="24">
                  <c:v>46334</c:v>
                </c:pt>
                <c:pt idx="25">
                  <c:v>46366</c:v>
                </c:pt>
                <c:pt idx="26">
                  <c:v>46398</c:v>
                </c:pt>
                <c:pt idx="27">
                  <c:v>46430</c:v>
                </c:pt>
                <c:pt idx="28">
                  <c:v>46462</c:v>
                </c:pt>
                <c:pt idx="29">
                  <c:v>46494</c:v>
                </c:pt>
                <c:pt idx="30">
                  <c:v>46526</c:v>
                </c:pt>
                <c:pt idx="31">
                  <c:v>46558</c:v>
                </c:pt>
                <c:pt idx="32">
                  <c:v>46590</c:v>
                </c:pt>
                <c:pt idx="33">
                  <c:v>46622</c:v>
                </c:pt>
                <c:pt idx="34">
                  <c:v>46654</c:v>
                </c:pt>
                <c:pt idx="35">
                  <c:v>46686</c:v>
                </c:pt>
                <c:pt idx="36">
                  <c:v>46718</c:v>
                </c:pt>
                <c:pt idx="37">
                  <c:v>46750</c:v>
                </c:pt>
                <c:pt idx="38">
                  <c:v>46782</c:v>
                </c:pt>
                <c:pt idx="39">
                  <c:v>46814</c:v>
                </c:pt>
                <c:pt idx="40">
                  <c:v>46846</c:v>
                </c:pt>
                <c:pt idx="41">
                  <c:v>46878</c:v>
                </c:pt>
                <c:pt idx="42">
                  <c:v>46910</c:v>
                </c:pt>
                <c:pt idx="43">
                  <c:v>46942</c:v>
                </c:pt>
                <c:pt idx="44">
                  <c:v>46974</c:v>
                </c:pt>
                <c:pt idx="45">
                  <c:v>47006</c:v>
                </c:pt>
                <c:pt idx="46">
                  <c:v>47038</c:v>
                </c:pt>
                <c:pt idx="47">
                  <c:v>47070</c:v>
                </c:pt>
              </c:numCache>
            </c:numRef>
          </c:cat>
          <c:val>
            <c:numRef>
              <c:f>Leasing!$I$11:$BD$11</c:f>
              <c:numCache>
                <c:formatCode>#,##0</c:formatCode>
                <c:ptCount val="48"/>
                <c:pt idx="0">
                  <c:v>6039026</c:v>
                </c:pt>
                <c:pt idx="1">
                  <c:v>6039026</c:v>
                </c:pt>
                <c:pt idx="2">
                  <c:v>6039026</c:v>
                </c:pt>
                <c:pt idx="3">
                  <c:v>6039026</c:v>
                </c:pt>
                <c:pt idx="4">
                  <c:v>6039026</c:v>
                </c:pt>
                <c:pt idx="5">
                  <c:v>6039026</c:v>
                </c:pt>
                <c:pt idx="6">
                  <c:v>4547816</c:v>
                </c:pt>
                <c:pt idx="7">
                  <c:v>4547816</c:v>
                </c:pt>
                <c:pt idx="8">
                  <c:v>4547816</c:v>
                </c:pt>
                <c:pt idx="9">
                  <c:v>4547816</c:v>
                </c:pt>
                <c:pt idx="10">
                  <c:v>4547816</c:v>
                </c:pt>
                <c:pt idx="11">
                  <c:v>4547816</c:v>
                </c:pt>
                <c:pt idx="12">
                  <c:v>4547816</c:v>
                </c:pt>
                <c:pt idx="13">
                  <c:v>4547816</c:v>
                </c:pt>
                <c:pt idx="14">
                  <c:v>4547816</c:v>
                </c:pt>
                <c:pt idx="15">
                  <c:v>4547816</c:v>
                </c:pt>
                <c:pt idx="16">
                  <c:v>4547816</c:v>
                </c:pt>
                <c:pt idx="17">
                  <c:v>4547816</c:v>
                </c:pt>
                <c:pt idx="18">
                  <c:v>4547816</c:v>
                </c:pt>
                <c:pt idx="19">
                  <c:v>4547816</c:v>
                </c:pt>
                <c:pt idx="20">
                  <c:v>4547816</c:v>
                </c:pt>
                <c:pt idx="21">
                  <c:v>4547816</c:v>
                </c:pt>
                <c:pt idx="22">
                  <c:v>4547816</c:v>
                </c:pt>
                <c:pt idx="23">
                  <c:v>4547816</c:v>
                </c:pt>
                <c:pt idx="24">
                  <c:v>4547816</c:v>
                </c:pt>
                <c:pt idx="25">
                  <c:v>4547816</c:v>
                </c:pt>
                <c:pt idx="26">
                  <c:v>4547816</c:v>
                </c:pt>
                <c:pt idx="27">
                  <c:v>4547816</c:v>
                </c:pt>
                <c:pt idx="28">
                  <c:v>4547816</c:v>
                </c:pt>
                <c:pt idx="29">
                  <c:v>4547816</c:v>
                </c:pt>
                <c:pt idx="30">
                  <c:v>4547816</c:v>
                </c:pt>
                <c:pt idx="31">
                  <c:v>2942900</c:v>
                </c:pt>
                <c:pt idx="32">
                  <c:v>2942900</c:v>
                </c:pt>
                <c:pt idx="33">
                  <c:v>2942900</c:v>
                </c:pt>
                <c:pt idx="34">
                  <c:v>2942900</c:v>
                </c:pt>
                <c:pt idx="35">
                  <c:v>2448436</c:v>
                </c:pt>
                <c:pt idx="36">
                  <c:v>2448436</c:v>
                </c:pt>
                <c:pt idx="37">
                  <c:v>2448436</c:v>
                </c:pt>
                <c:pt idx="38">
                  <c:v>2448436</c:v>
                </c:pt>
                <c:pt idx="39">
                  <c:v>1975165</c:v>
                </c:pt>
                <c:pt idx="40">
                  <c:v>1975165</c:v>
                </c:pt>
                <c:pt idx="41">
                  <c:v>1975165</c:v>
                </c:pt>
                <c:pt idx="42">
                  <c:v>1975165</c:v>
                </c:pt>
                <c:pt idx="43" formatCode="_(&quot;$&quot;* #,##0.00_);_(&quot;$&quot;* \(#,##0.00\);_(&quot;$&quot;* &quot;-&quot;??_);_(@_)">
                  <c:v>0</c:v>
                </c:pt>
                <c:pt idx="44" formatCode="_(&quot;$&quot;* #,##0.00_);_(&quot;$&quot;* \(#,##0.00\);_(&quot;$&quot;* &quot;-&quot;??_);_(@_)">
                  <c:v>0</c:v>
                </c:pt>
                <c:pt idx="45" formatCode="_(&quot;$&quot;* #,##0.00_);_(&quot;$&quot;* \(#,##0.00\);_(&quot;$&quot;* &quot;-&quot;??_);_(@_)">
                  <c:v>0</c:v>
                </c:pt>
                <c:pt idx="46" formatCode="_(&quot;$&quot;* #,##0.00_);_(&quot;$&quot;* \(#,##0.00\);_(&quot;$&quot;* &quot;-&quot;??_);_(@_)">
                  <c:v>0</c:v>
                </c:pt>
                <c:pt idx="47" formatCode="_(&quot;$&quot;* #,##0.00_);_(&quot;$&quot;* \(#,##0.00\);_(&quot;$&quot;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2-4678-B100-8E13386A4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737432"/>
        <c:axId val="574739232"/>
      </c:lineChart>
      <c:lineChart>
        <c:grouping val="standard"/>
        <c:varyColors val="0"/>
        <c:ser>
          <c:idx val="1"/>
          <c:order val="1"/>
          <c:tx>
            <c:v>Deuda 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Leasing!$I$12:$BD$12</c:f>
              <c:numCache>
                <c:formatCode>_("$"* #,##0_);_("$"* \(#,##0\);_("$"* "-"??_);_(@_)</c:formatCode>
                <c:ptCount val="48"/>
                <c:pt idx="0">
                  <c:v>173356534</c:v>
                </c:pt>
                <c:pt idx="1">
                  <c:v>167317508</c:v>
                </c:pt>
                <c:pt idx="2">
                  <c:v>161278482</c:v>
                </c:pt>
                <c:pt idx="3">
                  <c:v>155239456</c:v>
                </c:pt>
                <c:pt idx="4">
                  <c:v>149200430</c:v>
                </c:pt>
                <c:pt idx="5">
                  <c:v>143161404</c:v>
                </c:pt>
                <c:pt idx="6">
                  <c:v>138613588</c:v>
                </c:pt>
                <c:pt idx="7">
                  <c:v>134065772</c:v>
                </c:pt>
                <c:pt idx="8">
                  <c:v>129517956</c:v>
                </c:pt>
                <c:pt idx="9">
                  <c:v>124970140</c:v>
                </c:pt>
                <c:pt idx="10">
                  <c:v>120422324</c:v>
                </c:pt>
                <c:pt idx="11">
                  <c:v>115874508</c:v>
                </c:pt>
                <c:pt idx="12">
                  <c:v>111326692</c:v>
                </c:pt>
                <c:pt idx="13">
                  <c:v>106778876</c:v>
                </c:pt>
                <c:pt idx="14">
                  <c:v>102231060</c:v>
                </c:pt>
                <c:pt idx="15">
                  <c:v>97683244</c:v>
                </c:pt>
                <c:pt idx="16">
                  <c:v>93135428</c:v>
                </c:pt>
                <c:pt idx="17">
                  <c:v>88587612</c:v>
                </c:pt>
                <c:pt idx="18">
                  <c:v>84039796</c:v>
                </c:pt>
                <c:pt idx="19">
                  <c:v>79491980</c:v>
                </c:pt>
                <c:pt idx="20">
                  <c:v>74944164</c:v>
                </c:pt>
                <c:pt idx="21">
                  <c:v>70396348</c:v>
                </c:pt>
                <c:pt idx="22">
                  <c:v>65848532</c:v>
                </c:pt>
                <c:pt idx="23">
                  <c:v>61300716</c:v>
                </c:pt>
                <c:pt idx="24">
                  <c:v>56752900</c:v>
                </c:pt>
                <c:pt idx="25">
                  <c:v>52205084</c:v>
                </c:pt>
                <c:pt idx="26">
                  <c:v>47657268</c:v>
                </c:pt>
                <c:pt idx="27">
                  <c:v>43109452</c:v>
                </c:pt>
                <c:pt idx="28">
                  <c:v>38561636</c:v>
                </c:pt>
                <c:pt idx="29">
                  <c:v>34013820</c:v>
                </c:pt>
                <c:pt idx="30">
                  <c:v>29466004</c:v>
                </c:pt>
                <c:pt idx="31">
                  <c:v>26523104</c:v>
                </c:pt>
                <c:pt idx="32">
                  <c:v>23580204</c:v>
                </c:pt>
                <c:pt idx="33">
                  <c:v>20637304</c:v>
                </c:pt>
                <c:pt idx="34">
                  <c:v>17694404</c:v>
                </c:pt>
                <c:pt idx="35">
                  <c:v>15245968</c:v>
                </c:pt>
                <c:pt idx="36">
                  <c:v>12797532</c:v>
                </c:pt>
                <c:pt idx="37">
                  <c:v>10349096</c:v>
                </c:pt>
                <c:pt idx="38">
                  <c:v>7900660</c:v>
                </c:pt>
                <c:pt idx="39">
                  <c:v>5925495</c:v>
                </c:pt>
                <c:pt idx="40">
                  <c:v>3950330</c:v>
                </c:pt>
                <c:pt idx="41">
                  <c:v>1975165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C-456F-972B-C9B97B961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936304"/>
        <c:axId val="468938104"/>
      </c:lineChart>
      <c:dateAx>
        <c:axId val="57473743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4739232"/>
        <c:crosses val="autoZero"/>
        <c:auto val="1"/>
        <c:lblOffset val="100"/>
        <c:baseTimeUnit val="months"/>
      </c:dateAx>
      <c:valAx>
        <c:axId val="5747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4737432"/>
        <c:crosses val="autoZero"/>
        <c:crossBetween val="between"/>
      </c:valAx>
      <c:valAx>
        <c:axId val="468938104"/>
        <c:scaling>
          <c:orientation val="minMax"/>
        </c:scaling>
        <c:delete val="0"/>
        <c:axPos val="r"/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8936304"/>
        <c:crosses val="max"/>
        <c:crossBetween val="between"/>
      </c:valAx>
      <c:catAx>
        <c:axId val="468936304"/>
        <c:scaling>
          <c:orientation val="minMax"/>
        </c:scaling>
        <c:delete val="1"/>
        <c:axPos val="b"/>
        <c:majorTickMark val="out"/>
        <c:minorTickMark val="none"/>
        <c:tickLblPos val="nextTo"/>
        <c:crossAx val="468938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15</xdr:row>
      <xdr:rowOff>142875</xdr:rowOff>
    </xdr:from>
    <xdr:to>
      <xdr:col>8</xdr:col>
      <xdr:colOff>600074</xdr:colOff>
      <xdr:row>29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E68CA-489A-06EE-B5A0-557477120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A498-9555-40D1-A841-798A2024293C}">
  <dimension ref="A1:BD40"/>
  <sheetViews>
    <sheetView tabSelected="1" workbookViewId="0">
      <selection activeCell="B10" sqref="B10"/>
    </sheetView>
  </sheetViews>
  <sheetFormatPr defaultRowHeight="15" x14ac:dyDescent="0.25"/>
  <cols>
    <col min="1" max="1" width="28.28515625" customWidth="1"/>
    <col min="2" max="2" width="12" customWidth="1"/>
    <col min="3" max="3" width="12.140625" bestFit="1" customWidth="1"/>
    <col min="4" max="4" width="11.85546875" bestFit="1" customWidth="1"/>
    <col min="5" max="5" width="17.85546875" bestFit="1" customWidth="1"/>
    <col min="6" max="6" width="15.28515625" bestFit="1" customWidth="1"/>
    <col min="7" max="7" width="23.7109375" bestFit="1" customWidth="1"/>
    <col min="8" max="8" width="16.7109375" customWidth="1"/>
    <col min="9" max="23" width="16.28515625" bestFit="1" customWidth="1"/>
    <col min="24" max="46" width="15.28515625" bestFit="1" customWidth="1"/>
    <col min="47" max="50" width="14.28515625" bestFit="1" customWidth="1"/>
    <col min="51" max="56" width="9.28515625" bestFit="1" customWidth="1"/>
  </cols>
  <sheetData>
    <row r="1" spans="1:56" x14ac:dyDescent="0.25"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  <c r="AM1">
        <v>31</v>
      </c>
      <c r="AN1">
        <v>32</v>
      </c>
      <c r="AO1">
        <v>33</v>
      </c>
      <c r="AP1">
        <v>34</v>
      </c>
      <c r="AQ1">
        <v>35</v>
      </c>
      <c r="AR1">
        <v>36</v>
      </c>
      <c r="AS1">
        <v>37</v>
      </c>
      <c r="AT1">
        <v>38</v>
      </c>
      <c r="AU1">
        <v>39</v>
      </c>
      <c r="AV1">
        <v>40</v>
      </c>
      <c r="AW1">
        <v>41</v>
      </c>
      <c r="AX1">
        <v>42</v>
      </c>
      <c r="AY1">
        <v>43</v>
      </c>
      <c r="AZ1">
        <v>44</v>
      </c>
      <c r="BA1">
        <v>45</v>
      </c>
      <c r="BB1">
        <v>46</v>
      </c>
      <c r="BC1">
        <v>47</v>
      </c>
      <c r="BD1">
        <v>48</v>
      </c>
    </row>
    <row r="2" spans="1:56" x14ac:dyDescent="0.25">
      <c r="G2" s="6">
        <f>(5%+1.68%)/12</f>
        <v>5.5666666666666668E-3</v>
      </c>
      <c r="H2" s="6"/>
      <c r="I2" s="3">
        <v>45566</v>
      </c>
      <c r="J2" s="3">
        <v>45598</v>
      </c>
      <c r="K2" s="3">
        <v>45630</v>
      </c>
      <c r="L2" s="3">
        <v>45662</v>
      </c>
      <c r="M2" s="3">
        <v>45694</v>
      </c>
      <c r="N2" s="3">
        <v>45726</v>
      </c>
      <c r="O2" s="3">
        <v>45758</v>
      </c>
      <c r="P2" s="3">
        <v>45790</v>
      </c>
      <c r="Q2" s="3">
        <v>45822</v>
      </c>
      <c r="R2" s="3">
        <v>45854</v>
      </c>
      <c r="S2" s="3">
        <v>45886</v>
      </c>
      <c r="T2" s="3">
        <v>45918</v>
      </c>
      <c r="U2" s="3">
        <v>45950</v>
      </c>
      <c r="V2" s="3">
        <v>45982</v>
      </c>
      <c r="W2" s="3">
        <v>46014</v>
      </c>
      <c r="X2" s="3">
        <v>46046</v>
      </c>
      <c r="Y2" s="3">
        <v>46078</v>
      </c>
      <c r="Z2" s="3">
        <v>46110</v>
      </c>
      <c r="AA2" s="3">
        <v>46142</v>
      </c>
      <c r="AB2" s="3">
        <v>46174</v>
      </c>
      <c r="AC2" s="3">
        <v>46206</v>
      </c>
      <c r="AD2" s="3">
        <v>46238</v>
      </c>
      <c r="AE2" s="3">
        <v>46270</v>
      </c>
      <c r="AF2" s="3">
        <v>46302</v>
      </c>
      <c r="AG2" s="3">
        <v>46334</v>
      </c>
      <c r="AH2" s="3">
        <v>46366</v>
      </c>
      <c r="AI2" s="3">
        <v>46398</v>
      </c>
      <c r="AJ2" s="3">
        <v>46430</v>
      </c>
      <c r="AK2" s="3">
        <v>46462</v>
      </c>
      <c r="AL2" s="3">
        <v>46494</v>
      </c>
      <c r="AM2" s="3">
        <v>46526</v>
      </c>
      <c r="AN2" s="3">
        <v>46558</v>
      </c>
      <c r="AO2" s="3">
        <v>46590</v>
      </c>
      <c r="AP2" s="3">
        <v>46622</v>
      </c>
      <c r="AQ2" s="3">
        <v>46654</v>
      </c>
      <c r="AR2" s="3">
        <v>46686</v>
      </c>
      <c r="AS2" s="3">
        <v>46718</v>
      </c>
      <c r="AT2" s="3">
        <v>46750</v>
      </c>
      <c r="AU2" s="3">
        <v>46782</v>
      </c>
      <c r="AV2" s="3">
        <v>46814</v>
      </c>
      <c r="AW2" s="3">
        <v>46846</v>
      </c>
      <c r="AX2" s="3">
        <v>46878</v>
      </c>
      <c r="AY2" s="3">
        <v>46910</v>
      </c>
      <c r="AZ2" s="3">
        <v>46942</v>
      </c>
      <c r="BA2" s="3">
        <v>46974</v>
      </c>
      <c r="BB2" s="3">
        <v>47006</v>
      </c>
      <c r="BC2" s="3">
        <v>47038</v>
      </c>
      <c r="BD2" s="3">
        <v>47070</v>
      </c>
    </row>
    <row r="3" spans="1:5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3</v>
      </c>
      <c r="G3" s="1" t="s">
        <v>11</v>
      </c>
      <c r="H3" s="1"/>
      <c r="I3" s="1"/>
      <c r="J3" s="1"/>
      <c r="K3" s="1"/>
    </row>
    <row r="4" spans="1:56" x14ac:dyDescent="0.25">
      <c r="A4" t="s">
        <v>12</v>
      </c>
      <c r="B4" s="1">
        <v>1491210</v>
      </c>
      <c r="C4" s="2">
        <v>25</v>
      </c>
      <c r="D4" s="2">
        <v>31</v>
      </c>
      <c r="E4" s="2">
        <f>+D4-C4</f>
        <v>6</v>
      </c>
      <c r="F4" s="2">
        <f>+E4*B4</f>
        <v>8947260</v>
      </c>
      <c r="G4" s="1">
        <f>+PV($G$2,E4,-B4)</f>
        <v>8775493.216914637</v>
      </c>
      <c r="H4" s="1"/>
      <c r="I4" s="1">
        <f t="shared" ref="I4:I8" si="0">+B4</f>
        <v>1491210</v>
      </c>
      <c r="J4" s="1">
        <f>+I4</f>
        <v>1491210</v>
      </c>
      <c r="K4" s="1">
        <f>+J4</f>
        <v>1491210</v>
      </c>
      <c r="L4" s="1">
        <f>+K4</f>
        <v>1491210</v>
      </c>
      <c r="M4" s="1">
        <f>+L4</f>
        <v>1491210</v>
      </c>
      <c r="N4" s="1">
        <f>+M4</f>
        <v>1491210</v>
      </c>
    </row>
    <row r="5" spans="1:56" x14ac:dyDescent="0.25">
      <c r="A5" t="s">
        <v>13</v>
      </c>
      <c r="B5" s="1">
        <v>1604916</v>
      </c>
      <c r="C5" s="2">
        <v>18</v>
      </c>
      <c r="D5" s="2">
        <v>49</v>
      </c>
      <c r="E5" s="2">
        <f>+D5-C5</f>
        <v>31</v>
      </c>
      <c r="F5" s="2">
        <f t="shared" ref="F5:F8" si="1">+E5*B5</f>
        <v>49752396</v>
      </c>
      <c r="G5" s="1">
        <f t="shared" ref="G5:G8" si="2">+PV($G$2,E5,-B5)</f>
        <v>45580103.040196419</v>
      </c>
      <c r="H5" s="1"/>
      <c r="I5" s="1">
        <f t="shared" si="0"/>
        <v>1604916</v>
      </c>
      <c r="J5" s="1">
        <f>+I5</f>
        <v>1604916</v>
      </c>
      <c r="K5" s="1">
        <f t="shared" ref="K5:AM5" si="3">+J5</f>
        <v>1604916</v>
      </c>
      <c r="L5" s="1">
        <f t="shared" si="3"/>
        <v>1604916</v>
      </c>
      <c r="M5" s="1">
        <f t="shared" si="3"/>
        <v>1604916</v>
      </c>
      <c r="N5" s="1">
        <f t="shared" si="3"/>
        <v>1604916</v>
      </c>
      <c r="O5" s="1">
        <f t="shared" si="3"/>
        <v>1604916</v>
      </c>
      <c r="P5" s="1">
        <f t="shared" si="3"/>
        <v>1604916</v>
      </c>
      <c r="Q5" s="1">
        <f t="shared" si="3"/>
        <v>1604916</v>
      </c>
      <c r="R5" s="1">
        <f t="shared" si="3"/>
        <v>1604916</v>
      </c>
      <c r="S5" s="1">
        <f t="shared" si="3"/>
        <v>1604916</v>
      </c>
      <c r="T5" s="1">
        <f t="shared" si="3"/>
        <v>1604916</v>
      </c>
      <c r="U5" s="1">
        <f t="shared" si="3"/>
        <v>1604916</v>
      </c>
      <c r="V5" s="1">
        <f t="shared" si="3"/>
        <v>1604916</v>
      </c>
      <c r="W5" s="1">
        <f t="shared" si="3"/>
        <v>1604916</v>
      </c>
      <c r="X5" s="1">
        <f t="shared" si="3"/>
        <v>1604916</v>
      </c>
      <c r="Y5" s="1">
        <f t="shared" si="3"/>
        <v>1604916</v>
      </c>
      <c r="Z5" s="1">
        <f t="shared" si="3"/>
        <v>1604916</v>
      </c>
      <c r="AA5" s="1">
        <f t="shared" si="3"/>
        <v>1604916</v>
      </c>
      <c r="AB5" s="1">
        <f t="shared" si="3"/>
        <v>1604916</v>
      </c>
      <c r="AC5" s="1">
        <f t="shared" si="3"/>
        <v>1604916</v>
      </c>
      <c r="AD5" s="1">
        <f t="shared" si="3"/>
        <v>1604916</v>
      </c>
      <c r="AE5" s="1">
        <f t="shared" si="3"/>
        <v>1604916</v>
      </c>
      <c r="AF5" s="1">
        <f t="shared" si="3"/>
        <v>1604916</v>
      </c>
      <c r="AG5" s="1">
        <f t="shared" si="3"/>
        <v>1604916</v>
      </c>
      <c r="AH5" s="1">
        <f t="shared" si="3"/>
        <v>1604916</v>
      </c>
      <c r="AI5" s="1">
        <f t="shared" si="3"/>
        <v>1604916</v>
      </c>
      <c r="AJ5" s="1">
        <f t="shared" si="3"/>
        <v>1604916</v>
      </c>
      <c r="AK5" s="1">
        <f t="shared" si="3"/>
        <v>1604916</v>
      </c>
      <c r="AL5" s="1">
        <f t="shared" si="3"/>
        <v>1604916</v>
      </c>
      <c r="AM5" s="1">
        <f t="shared" si="3"/>
        <v>1604916</v>
      </c>
      <c r="AN5" s="1"/>
    </row>
    <row r="6" spans="1:56" x14ac:dyDescent="0.25">
      <c r="A6" t="s">
        <v>0</v>
      </c>
      <c r="B6" s="1">
        <v>494464</v>
      </c>
      <c r="C6" s="2">
        <v>14</v>
      </c>
      <c r="D6" s="2">
        <v>49</v>
      </c>
      <c r="E6" s="2">
        <f>+D6-C6</f>
        <v>35</v>
      </c>
      <c r="F6" s="2">
        <f t="shared" si="1"/>
        <v>17306240</v>
      </c>
      <c r="G6" s="1">
        <f t="shared" si="2"/>
        <v>15685176.883395867</v>
      </c>
      <c r="H6" s="1"/>
      <c r="I6" s="1">
        <f t="shared" si="0"/>
        <v>494464</v>
      </c>
      <c r="J6" s="1">
        <f>+I6</f>
        <v>494464</v>
      </c>
      <c r="K6" s="1">
        <f t="shared" ref="K6:AQ6" si="4">+J6</f>
        <v>494464</v>
      </c>
      <c r="L6" s="1">
        <f t="shared" si="4"/>
        <v>494464</v>
      </c>
      <c r="M6" s="1">
        <f t="shared" si="4"/>
        <v>494464</v>
      </c>
      <c r="N6" s="1">
        <f t="shared" si="4"/>
        <v>494464</v>
      </c>
      <c r="O6" s="1">
        <f t="shared" si="4"/>
        <v>494464</v>
      </c>
      <c r="P6" s="1">
        <f t="shared" si="4"/>
        <v>494464</v>
      </c>
      <c r="Q6" s="1">
        <f t="shared" si="4"/>
        <v>494464</v>
      </c>
      <c r="R6" s="1">
        <f t="shared" si="4"/>
        <v>494464</v>
      </c>
      <c r="S6" s="1">
        <f t="shared" si="4"/>
        <v>494464</v>
      </c>
      <c r="T6" s="1">
        <f t="shared" si="4"/>
        <v>494464</v>
      </c>
      <c r="U6" s="1">
        <f t="shared" si="4"/>
        <v>494464</v>
      </c>
      <c r="V6" s="1">
        <f t="shared" si="4"/>
        <v>494464</v>
      </c>
      <c r="W6" s="1">
        <f t="shared" si="4"/>
        <v>494464</v>
      </c>
      <c r="X6" s="1">
        <f t="shared" si="4"/>
        <v>494464</v>
      </c>
      <c r="Y6" s="1">
        <f t="shared" si="4"/>
        <v>494464</v>
      </c>
      <c r="Z6" s="1">
        <f t="shared" si="4"/>
        <v>494464</v>
      </c>
      <c r="AA6" s="1">
        <f t="shared" si="4"/>
        <v>494464</v>
      </c>
      <c r="AB6" s="1">
        <f t="shared" si="4"/>
        <v>494464</v>
      </c>
      <c r="AC6" s="1">
        <f t="shared" si="4"/>
        <v>494464</v>
      </c>
      <c r="AD6" s="1">
        <f t="shared" si="4"/>
        <v>494464</v>
      </c>
      <c r="AE6" s="1">
        <f t="shared" si="4"/>
        <v>494464</v>
      </c>
      <c r="AF6" s="1">
        <f t="shared" si="4"/>
        <v>494464</v>
      </c>
      <c r="AG6" s="1">
        <f t="shared" si="4"/>
        <v>494464</v>
      </c>
      <c r="AH6" s="1">
        <f t="shared" si="4"/>
        <v>494464</v>
      </c>
      <c r="AI6" s="1">
        <f t="shared" si="4"/>
        <v>494464</v>
      </c>
      <c r="AJ6" s="1">
        <f t="shared" si="4"/>
        <v>494464</v>
      </c>
      <c r="AK6" s="1">
        <f t="shared" si="4"/>
        <v>494464</v>
      </c>
      <c r="AL6" s="1">
        <f t="shared" si="4"/>
        <v>494464</v>
      </c>
      <c r="AM6" s="1">
        <f t="shared" si="4"/>
        <v>494464</v>
      </c>
      <c r="AN6" s="1">
        <f t="shared" si="4"/>
        <v>494464</v>
      </c>
      <c r="AO6" s="1">
        <f t="shared" si="4"/>
        <v>494464</v>
      </c>
      <c r="AP6" s="1">
        <f t="shared" si="4"/>
        <v>494464</v>
      </c>
      <c r="AQ6" s="1">
        <f t="shared" si="4"/>
        <v>494464</v>
      </c>
    </row>
    <row r="7" spans="1:56" x14ac:dyDescent="0.25">
      <c r="A7" t="s">
        <v>1</v>
      </c>
      <c r="B7" s="1">
        <v>473271</v>
      </c>
      <c r="C7" s="2">
        <v>10</v>
      </c>
      <c r="D7" s="2">
        <v>49</v>
      </c>
      <c r="E7" s="2">
        <f>+D7-C7</f>
        <v>39</v>
      </c>
      <c r="F7" s="2">
        <f t="shared" si="1"/>
        <v>18457569</v>
      </c>
      <c r="G7" s="1">
        <f t="shared" si="2"/>
        <v>16550244.200877633</v>
      </c>
      <c r="H7" s="1"/>
      <c r="I7" s="1">
        <f t="shared" si="0"/>
        <v>473271</v>
      </c>
      <c r="J7" s="1">
        <f>+I7</f>
        <v>473271</v>
      </c>
      <c r="K7" s="1">
        <f t="shared" ref="K7:AU7" si="5">+J7</f>
        <v>473271</v>
      </c>
      <c r="L7" s="1">
        <f t="shared" si="5"/>
        <v>473271</v>
      </c>
      <c r="M7" s="1">
        <f t="shared" si="5"/>
        <v>473271</v>
      </c>
      <c r="N7" s="1">
        <f t="shared" si="5"/>
        <v>473271</v>
      </c>
      <c r="O7" s="1">
        <f t="shared" si="5"/>
        <v>473271</v>
      </c>
      <c r="P7" s="1">
        <f t="shared" si="5"/>
        <v>473271</v>
      </c>
      <c r="Q7" s="1">
        <f t="shared" si="5"/>
        <v>473271</v>
      </c>
      <c r="R7" s="1">
        <f t="shared" si="5"/>
        <v>473271</v>
      </c>
      <c r="S7" s="1">
        <f t="shared" si="5"/>
        <v>473271</v>
      </c>
      <c r="T7" s="1">
        <f t="shared" si="5"/>
        <v>473271</v>
      </c>
      <c r="U7" s="1">
        <f t="shared" si="5"/>
        <v>473271</v>
      </c>
      <c r="V7" s="1">
        <f t="shared" si="5"/>
        <v>473271</v>
      </c>
      <c r="W7" s="1">
        <f t="shared" si="5"/>
        <v>473271</v>
      </c>
      <c r="X7" s="1">
        <f t="shared" si="5"/>
        <v>473271</v>
      </c>
      <c r="Y7" s="1">
        <f t="shared" si="5"/>
        <v>473271</v>
      </c>
      <c r="Z7" s="1">
        <f t="shared" si="5"/>
        <v>473271</v>
      </c>
      <c r="AA7" s="1">
        <f t="shared" si="5"/>
        <v>473271</v>
      </c>
      <c r="AB7" s="1">
        <f t="shared" si="5"/>
        <v>473271</v>
      </c>
      <c r="AC7" s="1">
        <f t="shared" si="5"/>
        <v>473271</v>
      </c>
      <c r="AD7" s="1">
        <f t="shared" si="5"/>
        <v>473271</v>
      </c>
      <c r="AE7" s="1">
        <f t="shared" si="5"/>
        <v>473271</v>
      </c>
      <c r="AF7" s="1">
        <f t="shared" si="5"/>
        <v>473271</v>
      </c>
      <c r="AG7" s="1">
        <f t="shared" si="5"/>
        <v>473271</v>
      </c>
      <c r="AH7" s="1">
        <f t="shared" si="5"/>
        <v>473271</v>
      </c>
      <c r="AI7" s="1">
        <f t="shared" si="5"/>
        <v>473271</v>
      </c>
      <c r="AJ7" s="1">
        <f t="shared" si="5"/>
        <v>473271</v>
      </c>
      <c r="AK7" s="1">
        <f t="shared" si="5"/>
        <v>473271</v>
      </c>
      <c r="AL7" s="1">
        <f t="shared" si="5"/>
        <v>473271</v>
      </c>
      <c r="AM7" s="1">
        <f t="shared" si="5"/>
        <v>473271</v>
      </c>
      <c r="AN7" s="1">
        <f t="shared" si="5"/>
        <v>473271</v>
      </c>
      <c r="AO7" s="1">
        <f t="shared" si="5"/>
        <v>473271</v>
      </c>
      <c r="AP7" s="1">
        <f t="shared" si="5"/>
        <v>473271</v>
      </c>
      <c r="AQ7" s="1">
        <f t="shared" si="5"/>
        <v>473271</v>
      </c>
      <c r="AR7" s="1">
        <f t="shared" si="5"/>
        <v>473271</v>
      </c>
      <c r="AS7" s="1">
        <f t="shared" si="5"/>
        <v>473271</v>
      </c>
      <c r="AT7" s="1">
        <f t="shared" si="5"/>
        <v>473271</v>
      </c>
      <c r="AU7" s="1">
        <f t="shared" si="5"/>
        <v>473271</v>
      </c>
    </row>
    <row r="8" spans="1:56" x14ac:dyDescent="0.25">
      <c r="A8" t="s">
        <v>2</v>
      </c>
      <c r="B8" s="1">
        <v>1975165</v>
      </c>
      <c r="C8" s="2">
        <v>6</v>
      </c>
      <c r="D8" s="2">
        <v>49</v>
      </c>
      <c r="E8" s="2">
        <f>+D8-C8</f>
        <v>43</v>
      </c>
      <c r="F8" s="10">
        <f t="shared" si="1"/>
        <v>84932095</v>
      </c>
      <c r="G8" s="11">
        <f t="shared" si="2"/>
        <v>75346442.554105222</v>
      </c>
      <c r="H8" s="1"/>
      <c r="I8" s="1">
        <f t="shared" si="0"/>
        <v>1975165</v>
      </c>
      <c r="J8" s="1">
        <f>+I8</f>
        <v>1975165</v>
      </c>
      <c r="K8" s="1">
        <f t="shared" ref="K8:AY8" si="6">+J8</f>
        <v>1975165</v>
      </c>
      <c r="L8" s="1">
        <f t="shared" si="6"/>
        <v>1975165</v>
      </c>
      <c r="M8" s="1">
        <f t="shared" si="6"/>
        <v>1975165</v>
      </c>
      <c r="N8" s="1">
        <f t="shared" si="6"/>
        <v>1975165</v>
      </c>
      <c r="O8" s="1">
        <f t="shared" si="6"/>
        <v>1975165</v>
      </c>
      <c r="P8" s="1">
        <f t="shared" si="6"/>
        <v>1975165</v>
      </c>
      <c r="Q8" s="1">
        <f t="shared" si="6"/>
        <v>1975165</v>
      </c>
      <c r="R8" s="1">
        <f t="shared" si="6"/>
        <v>1975165</v>
      </c>
      <c r="S8" s="1">
        <f t="shared" si="6"/>
        <v>1975165</v>
      </c>
      <c r="T8" s="1">
        <f t="shared" si="6"/>
        <v>1975165</v>
      </c>
      <c r="U8" s="1">
        <f t="shared" si="6"/>
        <v>1975165</v>
      </c>
      <c r="V8" s="1">
        <f t="shared" si="6"/>
        <v>1975165</v>
      </c>
      <c r="W8" s="1">
        <f t="shared" si="6"/>
        <v>1975165</v>
      </c>
      <c r="X8" s="1">
        <f t="shared" si="6"/>
        <v>1975165</v>
      </c>
      <c r="Y8" s="1">
        <f t="shared" si="6"/>
        <v>1975165</v>
      </c>
      <c r="Z8" s="1">
        <f t="shared" si="6"/>
        <v>1975165</v>
      </c>
      <c r="AA8" s="1">
        <f t="shared" si="6"/>
        <v>1975165</v>
      </c>
      <c r="AB8" s="1">
        <f t="shared" si="6"/>
        <v>1975165</v>
      </c>
      <c r="AC8" s="1">
        <f t="shared" si="6"/>
        <v>1975165</v>
      </c>
      <c r="AD8" s="1">
        <f t="shared" si="6"/>
        <v>1975165</v>
      </c>
      <c r="AE8" s="1">
        <f t="shared" si="6"/>
        <v>1975165</v>
      </c>
      <c r="AF8" s="1">
        <f t="shared" si="6"/>
        <v>1975165</v>
      </c>
      <c r="AG8" s="1">
        <f t="shared" si="6"/>
        <v>1975165</v>
      </c>
      <c r="AH8" s="1">
        <f t="shared" si="6"/>
        <v>1975165</v>
      </c>
      <c r="AI8" s="1">
        <f t="shared" si="6"/>
        <v>1975165</v>
      </c>
      <c r="AJ8" s="1">
        <f t="shared" si="6"/>
        <v>1975165</v>
      </c>
      <c r="AK8" s="1">
        <f t="shared" si="6"/>
        <v>1975165</v>
      </c>
      <c r="AL8" s="1">
        <f t="shared" si="6"/>
        <v>1975165</v>
      </c>
      <c r="AM8" s="1">
        <f t="shared" si="6"/>
        <v>1975165</v>
      </c>
      <c r="AN8" s="1">
        <f t="shared" si="6"/>
        <v>1975165</v>
      </c>
      <c r="AO8" s="1">
        <f t="shared" si="6"/>
        <v>1975165</v>
      </c>
      <c r="AP8" s="1">
        <f t="shared" si="6"/>
        <v>1975165</v>
      </c>
      <c r="AQ8" s="1">
        <f t="shared" si="6"/>
        <v>1975165</v>
      </c>
      <c r="AR8" s="1">
        <f t="shared" si="6"/>
        <v>1975165</v>
      </c>
      <c r="AS8" s="1">
        <f t="shared" si="6"/>
        <v>1975165</v>
      </c>
      <c r="AT8" s="1">
        <f t="shared" si="6"/>
        <v>1975165</v>
      </c>
      <c r="AU8" s="1">
        <f t="shared" si="6"/>
        <v>1975165</v>
      </c>
      <c r="AV8" s="1">
        <f t="shared" si="6"/>
        <v>1975165</v>
      </c>
      <c r="AW8" s="1">
        <f t="shared" si="6"/>
        <v>1975165</v>
      </c>
      <c r="AX8" s="1">
        <f t="shared" si="6"/>
        <v>1975165</v>
      </c>
      <c r="AY8" s="1">
        <f t="shared" si="6"/>
        <v>1975165</v>
      </c>
    </row>
    <row r="9" spans="1:56" x14ac:dyDescent="0.25">
      <c r="B9" s="1">
        <f>+SUM(B4:B8)</f>
        <v>6039026</v>
      </c>
      <c r="F9" s="5">
        <f>+SUM(F4:F8)</f>
        <v>179395560</v>
      </c>
      <c r="G9" s="1">
        <f>+SUM(G4:G8)</f>
        <v>161937459.89548978</v>
      </c>
      <c r="H9" s="1"/>
      <c r="AU9" s="2"/>
      <c r="AV9" s="2"/>
      <c r="AZ9" s="1"/>
      <c r="BA9" s="2"/>
      <c r="BB9" s="2"/>
    </row>
    <row r="10" spans="1:56" x14ac:dyDescent="0.25">
      <c r="F10" s="5"/>
      <c r="G10" s="1"/>
      <c r="H10" s="1"/>
      <c r="AU10" s="2"/>
      <c r="AV10" s="2"/>
      <c r="AZ10" s="1"/>
      <c r="BA10" s="2"/>
      <c r="BB10" s="2"/>
    </row>
    <row r="11" spans="1:56" x14ac:dyDescent="0.25">
      <c r="F11" s="5"/>
      <c r="H11" s="1" t="s">
        <v>15</v>
      </c>
      <c r="I11" s="1">
        <f>+SUM(I4:I8)</f>
        <v>6039026</v>
      </c>
      <c r="J11" s="1">
        <f t="shared" ref="J11:AY11" si="7">+SUM(J4:J8)</f>
        <v>6039026</v>
      </c>
      <c r="K11" s="1">
        <f t="shared" si="7"/>
        <v>6039026</v>
      </c>
      <c r="L11" s="1">
        <f t="shared" si="7"/>
        <v>6039026</v>
      </c>
      <c r="M11" s="1">
        <f t="shared" si="7"/>
        <v>6039026</v>
      </c>
      <c r="N11" s="1">
        <f t="shared" si="7"/>
        <v>6039026</v>
      </c>
      <c r="O11" s="1">
        <f t="shared" si="7"/>
        <v>4547816</v>
      </c>
      <c r="P11" s="1">
        <f t="shared" si="7"/>
        <v>4547816</v>
      </c>
      <c r="Q11" s="1">
        <f t="shared" si="7"/>
        <v>4547816</v>
      </c>
      <c r="R11" s="1">
        <f t="shared" si="7"/>
        <v>4547816</v>
      </c>
      <c r="S11" s="1">
        <f t="shared" si="7"/>
        <v>4547816</v>
      </c>
      <c r="T11" s="1">
        <f t="shared" si="7"/>
        <v>4547816</v>
      </c>
      <c r="U11" s="1">
        <f t="shared" si="7"/>
        <v>4547816</v>
      </c>
      <c r="V11" s="1">
        <f t="shared" si="7"/>
        <v>4547816</v>
      </c>
      <c r="W11" s="1">
        <f t="shared" si="7"/>
        <v>4547816</v>
      </c>
      <c r="X11" s="1">
        <f t="shared" si="7"/>
        <v>4547816</v>
      </c>
      <c r="Y11" s="1">
        <f t="shared" si="7"/>
        <v>4547816</v>
      </c>
      <c r="Z11" s="1">
        <f t="shared" si="7"/>
        <v>4547816</v>
      </c>
      <c r="AA11" s="1">
        <f t="shared" si="7"/>
        <v>4547816</v>
      </c>
      <c r="AB11" s="1">
        <f t="shared" si="7"/>
        <v>4547816</v>
      </c>
      <c r="AC11" s="1">
        <f t="shared" si="7"/>
        <v>4547816</v>
      </c>
      <c r="AD11" s="1">
        <f t="shared" si="7"/>
        <v>4547816</v>
      </c>
      <c r="AE11" s="1">
        <f t="shared" si="7"/>
        <v>4547816</v>
      </c>
      <c r="AF11" s="1">
        <f t="shared" si="7"/>
        <v>4547816</v>
      </c>
      <c r="AG11" s="1">
        <f t="shared" si="7"/>
        <v>4547816</v>
      </c>
      <c r="AH11" s="1">
        <f t="shared" si="7"/>
        <v>4547816</v>
      </c>
      <c r="AI11" s="1">
        <f t="shared" si="7"/>
        <v>4547816</v>
      </c>
      <c r="AJ11" s="1">
        <f t="shared" si="7"/>
        <v>4547816</v>
      </c>
      <c r="AK11" s="1">
        <f t="shared" si="7"/>
        <v>4547816</v>
      </c>
      <c r="AL11" s="1">
        <f t="shared" si="7"/>
        <v>4547816</v>
      </c>
      <c r="AM11" s="1">
        <f t="shared" si="7"/>
        <v>4547816</v>
      </c>
      <c r="AN11" s="1">
        <f t="shared" si="7"/>
        <v>2942900</v>
      </c>
      <c r="AO11" s="1">
        <f t="shared" si="7"/>
        <v>2942900</v>
      </c>
      <c r="AP11" s="1">
        <f t="shared" si="7"/>
        <v>2942900</v>
      </c>
      <c r="AQ11" s="1">
        <f t="shared" si="7"/>
        <v>2942900</v>
      </c>
      <c r="AR11" s="1">
        <f t="shared" si="7"/>
        <v>2448436</v>
      </c>
      <c r="AS11" s="1">
        <f t="shared" si="7"/>
        <v>2448436</v>
      </c>
      <c r="AT11" s="1">
        <f t="shared" si="7"/>
        <v>2448436</v>
      </c>
      <c r="AU11" s="1">
        <f t="shared" si="7"/>
        <v>2448436</v>
      </c>
      <c r="AV11" s="1">
        <f t="shared" si="7"/>
        <v>1975165</v>
      </c>
      <c r="AW11" s="1">
        <f t="shared" si="7"/>
        <v>1975165</v>
      </c>
      <c r="AX11" s="1">
        <f t="shared" si="7"/>
        <v>1975165</v>
      </c>
      <c r="AY11" s="1">
        <f t="shared" si="7"/>
        <v>1975165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</row>
    <row r="12" spans="1:56" s="9" customFormat="1" x14ac:dyDescent="0.25">
      <c r="H12" s="9" t="s">
        <v>14</v>
      </c>
      <c r="I12" s="9">
        <f>+F9-I11</f>
        <v>173356534</v>
      </c>
      <c r="J12" s="9">
        <f t="shared" ref="J12:BD12" si="8">+I12-J11</f>
        <v>167317508</v>
      </c>
      <c r="K12" s="9">
        <f t="shared" si="8"/>
        <v>161278482</v>
      </c>
      <c r="L12" s="9">
        <f t="shared" si="8"/>
        <v>155239456</v>
      </c>
      <c r="M12" s="9">
        <f t="shared" si="8"/>
        <v>149200430</v>
      </c>
      <c r="N12" s="9">
        <f t="shared" si="8"/>
        <v>143161404</v>
      </c>
      <c r="O12" s="9">
        <f t="shared" si="8"/>
        <v>138613588</v>
      </c>
      <c r="P12" s="9">
        <f t="shared" si="8"/>
        <v>134065772</v>
      </c>
      <c r="Q12" s="9">
        <f t="shared" si="8"/>
        <v>129517956</v>
      </c>
      <c r="R12" s="9">
        <f t="shared" si="8"/>
        <v>124970140</v>
      </c>
      <c r="S12" s="9">
        <f t="shared" si="8"/>
        <v>120422324</v>
      </c>
      <c r="T12" s="9">
        <f t="shared" si="8"/>
        <v>115874508</v>
      </c>
      <c r="U12" s="9">
        <f t="shared" si="8"/>
        <v>111326692</v>
      </c>
      <c r="V12" s="9">
        <f t="shared" si="8"/>
        <v>106778876</v>
      </c>
      <c r="W12" s="9">
        <f t="shared" si="8"/>
        <v>102231060</v>
      </c>
      <c r="X12" s="9">
        <f t="shared" si="8"/>
        <v>97683244</v>
      </c>
      <c r="Y12" s="9">
        <f t="shared" si="8"/>
        <v>93135428</v>
      </c>
      <c r="Z12" s="9">
        <f t="shared" si="8"/>
        <v>88587612</v>
      </c>
      <c r="AA12" s="9">
        <f t="shared" si="8"/>
        <v>84039796</v>
      </c>
      <c r="AB12" s="9">
        <f t="shared" si="8"/>
        <v>79491980</v>
      </c>
      <c r="AC12" s="9">
        <f t="shared" si="8"/>
        <v>74944164</v>
      </c>
      <c r="AD12" s="9">
        <f t="shared" si="8"/>
        <v>70396348</v>
      </c>
      <c r="AE12" s="9">
        <f t="shared" si="8"/>
        <v>65848532</v>
      </c>
      <c r="AF12" s="9">
        <f t="shared" si="8"/>
        <v>61300716</v>
      </c>
      <c r="AG12" s="9">
        <f t="shared" si="8"/>
        <v>56752900</v>
      </c>
      <c r="AH12" s="9">
        <f t="shared" si="8"/>
        <v>52205084</v>
      </c>
      <c r="AI12" s="9">
        <f t="shared" si="8"/>
        <v>47657268</v>
      </c>
      <c r="AJ12" s="9">
        <f t="shared" si="8"/>
        <v>43109452</v>
      </c>
      <c r="AK12" s="9">
        <f t="shared" si="8"/>
        <v>38561636</v>
      </c>
      <c r="AL12" s="9">
        <f t="shared" si="8"/>
        <v>34013820</v>
      </c>
      <c r="AM12" s="9">
        <f t="shared" si="8"/>
        <v>29466004</v>
      </c>
      <c r="AN12" s="9">
        <f t="shared" si="8"/>
        <v>26523104</v>
      </c>
      <c r="AO12" s="9">
        <f t="shared" si="8"/>
        <v>23580204</v>
      </c>
      <c r="AP12" s="9">
        <f t="shared" si="8"/>
        <v>20637304</v>
      </c>
      <c r="AQ12" s="9">
        <f t="shared" si="8"/>
        <v>17694404</v>
      </c>
      <c r="AR12" s="9">
        <f t="shared" si="8"/>
        <v>15245968</v>
      </c>
      <c r="AS12" s="9">
        <f t="shared" si="8"/>
        <v>12797532</v>
      </c>
      <c r="AT12" s="9">
        <f t="shared" si="8"/>
        <v>10349096</v>
      </c>
      <c r="AU12" s="9">
        <f t="shared" si="8"/>
        <v>7900660</v>
      </c>
      <c r="AV12" s="9">
        <f t="shared" si="8"/>
        <v>5925495</v>
      </c>
      <c r="AW12" s="9">
        <f t="shared" si="8"/>
        <v>3950330</v>
      </c>
      <c r="AX12" s="9">
        <f t="shared" si="8"/>
        <v>1975165</v>
      </c>
      <c r="AY12" s="9">
        <f t="shared" si="8"/>
        <v>0</v>
      </c>
      <c r="AZ12" s="9">
        <f t="shared" si="8"/>
        <v>0</v>
      </c>
      <c r="BA12" s="9">
        <f t="shared" si="8"/>
        <v>0</v>
      </c>
      <c r="BB12" s="9">
        <f t="shared" si="8"/>
        <v>0</v>
      </c>
      <c r="BC12" s="9">
        <f t="shared" si="8"/>
        <v>0</v>
      </c>
      <c r="BD12" s="9">
        <f t="shared" si="8"/>
        <v>0</v>
      </c>
    </row>
    <row r="33" spans="2:11" x14ac:dyDescent="0.25">
      <c r="H33" s="8"/>
    </row>
    <row r="34" spans="2:11" x14ac:dyDescent="0.25">
      <c r="B34" t="s">
        <v>4</v>
      </c>
      <c r="H34" s="12"/>
    </row>
    <row r="35" spans="2:11" x14ac:dyDescent="0.25">
      <c r="B35">
        <v>90</v>
      </c>
      <c r="C35" s="7">
        <v>5.91E-2</v>
      </c>
      <c r="I35" s="8"/>
    </row>
    <row r="36" spans="2:11" x14ac:dyDescent="0.25">
      <c r="B36">
        <v>180</v>
      </c>
      <c r="C36" s="7">
        <v>5.8799999999999998E-2</v>
      </c>
    </row>
    <row r="37" spans="2:11" x14ac:dyDescent="0.25">
      <c r="J37" s="9">
        <v>72000000</v>
      </c>
    </row>
    <row r="38" spans="2:11" x14ac:dyDescent="0.25">
      <c r="B38" t="s">
        <v>5</v>
      </c>
      <c r="C38" s="8">
        <v>0.05</v>
      </c>
      <c r="D38">
        <v>1.68</v>
      </c>
      <c r="J38" s="9">
        <v>10800000</v>
      </c>
    </row>
    <row r="39" spans="2:11" x14ac:dyDescent="0.25">
      <c r="I39" s="9"/>
      <c r="J39" s="9">
        <v>1659877</v>
      </c>
      <c r="K39">
        <v>48</v>
      </c>
    </row>
    <row r="40" spans="2:11" x14ac:dyDescent="0.25">
      <c r="J40" s="8">
        <v>1.2E-2</v>
      </c>
      <c r="K40" s="12">
        <f>+PMT(J40,K39,(J37-J38))</f>
        <v>-1684686.1783626161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Lecaros</dc:creator>
  <cp:lastModifiedBy>Pedro Lecaros</cp:lastModifiedBy>
  <dcterms:created xsi:type="dcterms:W3CDTF">2024-09-30T21:40:46Z</dcterms:created>
  <dcterms:modified xsi:type="dcterms:W3CDTF">2024-10-01T17:24:53Z</dcterms:modified>
</cp:coreProperties>
</file>
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G:\My Drive\Ecox\Inmobiliario\Ranco\Contable\"/>
    </mc:Choice>
  </mc:AlternateContent>
  <xr:revisionPtr revIDLastSave="0" documentId="13_ncr:1_{D82A0D3E-AC80-4AF8-AC2D-98E30A4332F0}" xr6:coauthVersionLast="47" xr6:coauthVersionMax="47" xr10:uidLastSave="{00000000-0000-0000-0000-000000000000}"/>
  <bookViews>
    <workbookView xWindow="-20610" yWindow="4575" windowWidth="19800" windowHeight="11760" xr2:uid="{00000000-000D-0000-FFFF-FFFF00000000}"/>
  </bookViews>
  <sheets>
    <sheet name="Control Flujo Caja" sheetId="1" r:id="rId1"/>
    <sheet name="Detalle Reembolsos" sheetId="2" r:id="rId2"/>
    <sheet name="Tabla dinamica" sheetId="4" r:id="rId3"/>
  </sheets>
  <calcPr calcId="181029"/>
  <pivotCaches>
    <pivotCache cacheId="1" r:id="rId4"/>
  </pivotCaches>
</workbook>
</file>

<file path=xl/calcChain.xml><?xml version="1.0" encoding="utf-8"?>
<calcChain xmlns="http://schemas.openxmlformats.org/spreadsheetml/2006/main">
  <c r="I419" i="1" l="1"/>
  <c r="C164" i="2"/>
  <c r="C148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I89" i="1"/>
  <c r="I83" i="1"/>
  <c r="C101" i="2"/>
  <c r="C10" i="2"/>
  <c r="C62" i="2" s="1"/>
  <c r="C5" i="2"/>
  <c r="D5" i="1"/>
  <c r="D6" i="1" s="1"/>
  <c r="D7" i="1" s="1"/>
  <c r="D8" i="1" s="1"/>
  <c r="D9" i="1" s="1"/>
  <c r="D10" i="1" s="1"/>
  <c r="C135" i="2" l="1"/>
  <c r="F80" i="1"/>
  <c r="D11" i="1" l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</calcChain>
</file>

<file path=xl/sharedStrings.xml><?xml version="1.0" encoding="utf-8"?>
<sst xmlns="http://schemas.openxmlformats.org/spreadsheetml/2006/main" count="1293" uniqueCount="591">
  <si>
    <t>Nº</t>
  </si>
  <si>
    <t>FECHA</t>
  </si>
  <si>
    <t>CHEQUE</t>
  </si>
  <si>
    <t>DETALLE</t>
  </si>
  <si>
    <t>SALDO</t>
  </si>
  <si>
    <t>DEP</t>
  </si>
  <si>
    <t>GIROS</t>
  </si>
  <si>
    <t>RESPALDO</t>
  </si>
  <si>
    <t>COMENTARIO</t>
  </si>
  <si>
    <t>SALDO ANTERIOR</t>
  </si>
  <si>
    <t>Préstamo Pan de Azúcar</t>
  </si>
  <si>
    <t>Reconocinimetos Deuda Notarial</t>
  </si>
  <si>
    <t>Préstamo El Volcán</t>
  </si>
  <si>
    <t>Préstamo Ecox SpA</t>
  </si>
  <si>
    <t>Préstamo Aysen SpA</t>
  </si>
  <si>
    <t>Giro en Cajero Automático para caja chica</t>
  </si>
  <si>
    <t>Movimiento Banco</t>
  </si>
  <si>
    <t>Viaje 27.10 Taxi Ida al aeropuerto</t>
  </si>
  <si>
    <t>Boleta</t>
  </si>
  <si>
    <t>Viaje 27.10 Comida Copec</t>
  </si>
  <si>
    <t>Viaje 27.10 Hotel</t>
  </si>
  <si>
    <t>Viaje 27.10 Comida</t>
  </si>
  <si>
    <t>Viaje 27.10 Bencina Copec</t>
  </si>
  <si>
    <t>Compra Terrenos Nontuelá Ranco</t>
  </si>
  <si>
    <t xml:space="preserve">Escritura Compraventa </t>
  </si>
  <si>
    <t>Comisión Banco Vale Vista</t>
  </si>
  <si>
    <t>Honorarios Notaría Compraventa Ranco</t>
  </si>
  <si>
    <t>Viaje 27.10 Auto</t>
  </si>
  <si>
    <t>Taxi Aeropuerto</t>
  </si>
  <si>
    <t xml:space="preserve">Primer 50% Honorarios La Nube Fotos aéreas, página y logo </t>
  </si>
  <si>
    <t>Factura</t>
  </si>
  <si>
    <t>Carta IGM para revision de esteros</t>
  </si>
  <si>
    <t>Transferencia</t>
  </si>
  <si>
    <t>reembolsado a ECOX el 09-11-21</t>
  </si>
  <si>
    <t>Reintegro caja chica sobrante</t>
  </si>
  <si>
    <t xml:space="preserve">Comision corredor compra terreno </t>
  </si>
  <si>
    <t>Pago Notaría Reconocimientos de Deuda a Socios</t>
  </si>
  <si>
    <t>Pago 50% final topografo por topografía y curvas de nivel</t>
  </si>
  <si>
    <t>DETALLE REEMBOLSO 1</t>
  </si>
  <si>
    <t>Fecha</t>
  </si>
  <si>
    <t>Concepto</t>
  </si>
  <si>
    <t>Gasto</t>
  </si>
  <si>
    <t>Respaldo</t>
  </si>
  <si>
    <t>Pago Conservador de Bienes Raices Inscripcion compra</t>
  </si>
  <si>
    <t>Total</t>
  </si>
  <si>
    <t>DETALLE REEMBOLSO 2</t>
  </si>
  <si>
    <t>Promesa compraventa ante notario vitacura</t>
  </si>
  <si>
    <t>Viaje semana 30.08 - Pasaje avion</t>
  </si>
  <si>
    <t>Viaje semana 30.08 - Arriendo Auto</t>
  </si>
  <si>
    <t>50% topografo Etapa I</t>
  </si>
  <si>
    <t>Peaje</t>
  </si>
  <si>
    <t>Alimentacion</t>
  </si>
  <si>
    <t>Traslado aeropuerto</t>
  </si>
  <si>
    <t>Bencina</t>
  </si>
  <si>
    <t>Estacionamiento</t>
  </si>
  <si>
    <t>Alojamiento</t>
  </si>
  <si>
    <t>Alimentación</t>
  </si>
  <si>
    <t>Gasto conservador los lagos estudio de titulos</t>
  </si>
  <si>
    <t>Certificado Informaciones Previas Ranco (CIP)</t>
  </si>
  <si>
    <t>Comprobantes Municipalidad</t>
  </si>
  <si>
    <t>Pasajes Latam viaje 21.09 al 24.09</t>
  </si>
  <si>
    <t>Screenshot</t>
  </si>
  <si>
    <t>Alojamiento reserva Boyehouse</t>
  </si>
  <si>
    <t>Factibilidad electrica socoepa (Erwin Igor Vera)</t>
  </si>
  <si>
    <t>Notaría Constitución Sociedad Futrono SpA</t>
  </si>
  <si>
    <t>Arriendo auto</t>
  </si>
  <si>
    <t>Gasto conservador valdivia. Estudio titulos.</t>
  </si>
  <si>
    <t>Inscripción Sociedad Conservador Bienes Raíces</t>
  </si>
  <si>
    <t>Viaje 27.10 adelanto alojamiento</t>
  </si>
  <si>
    <t xml:space="preserve">Factura </t>
  </si>
  <si>
    <t>Pasajes Latam viaje 13.10 al 14.10 con Arquitecto</t>
  </si>
  <si>
    <t>Certificados CIP y Ruralidad Todos los Lotes</t>
  </si>
  <si>
    <t>Copia Plano Conservador</t>
  </si>
  <si>
    <t>Viaje 27.10 cambio pasajes por enfermedad</t>
  </si>
  <si>
    <t>Plano Valdivia</t>
  </si>
  <si>
    <t>Cargo bancario</t>
  </si>
  <si>
    <t>Movimiento cuenta corriente</t>
  </si>
  <si>
    <t xml:space="preserve">Pago Notaría Mandato Judicial para cobro indemnización expropiación </t>
  </si>
  <si>
    <t>Compra SHELL TIENDA</t>
  </si>
  <si>
    <t>Impresión planos  TEKKROM</t>
  </si>
  <si>
    <t>Bemcina viaje 27.12  COPEC LOS ANGELES</t>
  </si>
  <si>
    <t>Yeso para marcar caminos  FERRETERIA HARCHA</t>
  </si>
  <si>
    <t>Almuerzo PRONTO COPEC LOS</t>
  </si>
  <si>
    <t>Comida SUPERMERCADO BIG</t>
  </si>
  <si>
    <t>Alambre y aisladores para cerco COLUN</t>
  </si>
  <si>
    <t>Bencina  COPEC COM. Y SER.</t>
  </si>
  <si>
    <t>Almuerzo MILU</t>
  </si>
  <si>
    <t>Comida MARIA JOSE GARCIA</t>
  </si>
  <si>
    <t>Cmida SUPERMERCADO MONT</t>
  </si>
  <si>
    <t>Aisladores finales COLUN</t>
  </si>
  <si>
    <t>Comida DONDE LA INGRID</t>
  </si>
  <si>
    <t>Alojamiento Futrono SUMUPLa Casona SP</t>
  </si>
  <si>
    <t>Bencina SHELL RUTA 5 SUR</t>
  </si>
  <si>
    <t>Comisa MARIA JOSE GARCIA</t>
  </si>
  <si>
    <t>Reembolso 3</t>
  </si>
  <si>
    <t>DETALLE REEMBOLSO 3</t>
  </si>
  <si>
    <t>26/12/21</t>
  </si>
  <si>
    <t>30/12/21</t>
  </si>
  <si>
    <t xml:space="preserve">Bencina  SHELL </t>
  </si>
  <si>
    <t>Almuerzo CECINAS SOLER</t>
  </si>
  <si>
    <t>Bencina Copec</t>
  </si>
  <si>
    <t>Transf.Internet a 15.269.912-3. Maquina camino Juan.</t>
  </si>
  <si>
    <t>Comida PRONTO COPEC PARR</t>
  </si>
  <si>
    <t>Comida PRONTO COPEC LOS</t>
  </si>
  <si>
    <t>Bencina SHELL F634 LOS LA</t>
  </si>
  <si>
    <t>Comida Futrono MARIA JOSE GARCIA</t>
  </si>
  <si>
    <t>Comida SUPERMERCADO MONT</t>
  </si>
  <si>
    <t>Pago Williams Retroexcavadora 77.080.411-6</t>
  </si>
  <si>
    <t>Pago Rodemir Excavadora semana 03-07 enero 2022 076278551K</t>
  </si>
  <si>
    <t>Bencina SHELL ANTUNEZ 249</t>
  </si>
  <si>
    <t>Bencina COPEC LOS ANGELES</t>
  </si>
  <si>
    <t>Comida PANADERIA BRAVO</t>
  </si>
  <si>
    <t>Comisa SUPERMERCADO BIG</t>
  </si>
  <si>
    <t>Bencina COPEC COM. Y SER.</t>
  </si>
  <si>
    <t>Tubos PVC marca caminos FERRETERIA HARCHA</t>
  </si>
  <si>
    <t>Comida VITUPERIO EIRL</t>
  </si>
  <si>
    <t>Comida cafe MILU</t>
  </si>
  <si>
    <t>Sierra FERRETERIA HARCHA</t>
  </si>
  <si>
    <t>Tubos PVC FERRETERIA HARCHA</t>
  </si>
  <si>
    <t>Comida SUMUPSaez Edwards</t>
  </si>
  <si>
    <t>Esta factura es de 632.001 (reserva 189.601)</t>
  </si>
  <si>
    <t>Reserva Alojamiento</t>
  </si>
  <si>
    <t>Recibo airbnb</t>
  </si>
  <si>
    <t>Esta factura es de 632.001 (reserva 189.601) saldo lo pago Futrono spa</t>
  </si>
  <si>
    <t>31/12/2022</t>
  </si>
  <si>
    <t>Detalle reembolso en pestaña</t>
  </si>
  <si>
    <t>BANCO SANTANDER</t>
  </si>
  <si>
    <t>17/01/2022</t>
  </si>
  <si>
    <t>Cuenta corriente</t>
  </si>
  <si>
    <t>Topografo toma de caminos trazados</t>
  </si>
  <si>
    <t>20/01/2022</t>
  </si>
  <si>
    <t>Notaria EP de fusion de predios</t>
  </si>
  <si>
    <t>Pago linea de sobregiro</t>
  </si>
  <si>
    <t>Linea de sobregiro</t>
  </si>
  <si>
    <t>DETALLE REEMBOLSO 4</t>
  </si>
  <si>
    <t>24/14/2022</t>
  </si>
  <si>
    <t>Pedidos Ya para retirar plano en oficina arquitecto</t>
  </si>
  <si>
    <t>31/01/2022</t>
  </si>
  <si>
    <t>28/01/2022</t>
  </si>
  <si>
    <t>25/01/2022</t>
  </si>
  <si>
    <t>24/01/2022</t>
  </si>
  <si>
    <t>21/01/2022</t>
  </si>
  <si>
    <t>Pago Sondajes</t>
  </si>
  <si>
    <t>Envio plano fusion al CBR Los Lagos</t>
  </si>
  <si>
    <t>Pago excavadora</t>
  </si>
  <si>
    <t>Pago CBR Los Lagos para inscribir fusion de lotes</t>
  </si>
  <si>
    <t>Interes linea de credito</t>
  </si>
  <si>
    <t>Impuesto sobregiro</t>
  </si>
  <si>
    <t>Compra C Y C</t>
  </si>
  <si>
    <t>Compra SUPERMERCADO MONT</t>
  </si>
  <si>
    <t>Impresión Plano TEKKROM</t>
  </si>
  <si>
    <t>Comida supermercado Mont</t>
  </si>
  <si>
    <t>Comida Copec</t>
  </si>
  <si>
    <t>Comida Copec Lautaro</t>
  </si>
  <si>
    <t>Bencina Copec Lautaro</t>
  </si>
  <si>
    <t>Reserva Parcela H-3 DANIEL EDUARDO AMENABAR GROVE</t>
  </si>
  <si>
    <t>Reserva Parcela O-6 Nicolas Pablo Cifuentes Munoz</t>
  </si>
  <si>
    <t>Reserva Parcela O-3 Michael Matias Munoz Morales</t>
  </si>
  <si>
    <t>Reserva Parcela J-3 y J-5 Jorge Hiriart de la Cruz</t>
  </si>
  <si>
    <t>Reserva Parcela I-1 GALVEZ PEREZ JOSE ALEJANDRO</t>
  </si>
  <si>
    <t>Comprobante</t>
  </si>
  <si>
    <t>21/02/2022</t>
  </si>
  <si>
    <t>Transf.Internet a 76.518.531-9 - Pozo nontuela</t>
  </si>
  <si>
    <t>22/02/2022</t>
  </si>
  <si>
    <t>Reserva Parcela  0-4 Claudia Andrea Levin Vidal</t>
  </si>
  <si>
    <t>Reserva Parcela 0-4 Claudia Andrea Levin Vidal</t>
  </si>
  <si>
    <t>Transferencia y recibo</t>
  </si>
  <si>
    <t>Reembolso Ecox Pago alojamiento airbnb</t>
  </si>
  <si>
    <t>Factura 400</t>
  </si>
  <si>
    <t>Impresión Planos TEKKROM para presentación SAG</t>
  </si>
  <si>
    <t>Envío Chilexpress Planos a Topógrafo</t>
  </si>
  <si>
    <t>Mantención Plan Cta Cte Santander</t>
  </si>
  <si>
    <t>Cargo en cta cte</t>
  </si>
  <si>
    <t>Reserva Parcela H-6 Stefanía Pavlov de la Fuente</t>
  </si>
  <si>
    <t>Segundo envío Chilexpress Planos a Topógrafo</t>
  </si>
  <si>
    <t>Re Impresión Planos TEKKROM para presentación SAG</t>
  </si>
  <si>
    <t>Prestamo desde Ecox SpA para cubrir flujo de caja</t>
  </si>
  <si>
    <t xml:space="preserve">Primer 50% Final Honorarios La Nube Fotos aéreas, página y logo </t>
  </si>
  <si>
    <t>Reembolo pago Facebook Publicidad (US$179,44)</t>
  </si>
  <si>
    <t>Comprobante Facebook</t>
  </si>
  <si>
    <t>Reserva Parcela H-8 Ricardo Burmeister</t>
  </si>
  <si>
    <t>Pago derechos ingreso subdivisión SAG</t>
  </si>
  <si>
    <t>Honorarios contabilidad</t>
  </si>
  <si>
    <t>Pago la nube fotos 360 parcelas</t>
  </si>
  <si>
    <t>Pago sueldo Hector Varela</t>
  </si>
  <si>
    <t>Liquidación Pendiente</t>
  </si>
  <si>
    <t>Pago cotizaciones</t>
  </si>
  <si>
    <t>Planillas</t>
  </si>
  <si>
    <t>Compra MARIA JOSE GARCIA</t>
  </si>
  <si>
    <t>Compra COPEC SAN PABLO</t>
  </si>
  <si>
    <t>Transf.Internet a 008973651k Desembolso a ser reembolsado por Futrono SpA. Guillermo Fernandez Cardenas, visita para cotizacion red de agua</t>
  </si>
  <si>
    <t>Transf.Internet a 65.013.096-0 Desembolso a ser reembolsado por Futrono SpA. Traspaso APR Nontuela alto</t>
  </si>
  <si>
    <t>Compra SALFA RENT A CAR Desembolso a ser reembolsado por Futrono SpA. Arriendo auto</t>
  </si>
  <si>
    <t>Transf.Internet a 61.308.000-7 Desembolso a ser reembolsado por Futrono SpA. SPS 1687811 SAG Paillaco</t>
  </si>
  <si>
    <t>Transf.Internet a 10.071.888-K Prestamo a Futrono SpA: Sueldo don Nancho</t>
  </si>
  <si>
    <t>Transf.Internet a 65.013.096-0 Prestamo a Futrono SpA: Pago agua Futrono SpA</t>
  </si>
  <si>
    <t>Transf.Internet a 76.080.949-7 Prestamo a Futrono SpA: Mitad Prueba bombeo agua sur y solicitud derechos agua.</t>
  </si>
  <si>
    <t>Transf.Internet a 76.664.215-2 Prestamo a Futrono SpA: Tramitacion Sag geotim.</t>
  </si>
  <si>
    <t>PAGO EN LINEA PREVIRED Prestamo a Futrono SpA: Cotizaciones Nancho</t>
  </si>
  <si>
    <t>Transf.Internet a 0166478510 Prestamo a Futrono SpA:  numeros para sitios</t>
  </si>
  <si>
    <t>Transf.Internet a 76.664.215-2 Pago CBR ingreso plano de subsdivision</t>
  </si>
  <si>
    <t>26/04/2022</t>
  </si>
  <si>
    <t>27/04/2022</t>
  </si>
  <si>
    <t>28/04/2022</t>
  </si>
  <si>
    <t>29/04/2022</t>
  </si>
  <si>
    <t>02/05/2022</t>
  </si>
  <si>
    <t>03/05/2022</t>
  </si>
  <si>
    <t>05/05/2022</t>
  </si>
  <si>
    <t>09/05/2022</t>
  </si>
  <si>
    <t>11/05/2022</t>
  </si>
  <si>
    <t>16/05/2022</t>
  </si>
  <si>
    <t>Transferencia Pie H-2 Dianiel Amenabar</t>
  </si>
  <si>
    <t>Transferencia Pie O-4 Alicia Levin - Pago por Claudia Andrea González</t>
  </si>
  <si>
    <t>Pago contribuiciones cuotas abril y junio 2022</t>
  </si>
  <si>
    <t>Comprobante TGR</t>
  </si>
  <si>
    <t xml:space="preserve">Pago indemnización Expropiación </t>
  </si>
  <si>
    <t>Sentencia</t>
  </si>
  <si>
    <t>Abono mitad pago estacado</t>
  </si>
  <si>
    <t>Pago SII F 29</t>
  </si>
  <si>
    <t>Formulario</t>
  </si>
  <si>
    <t>Contrato compraventa</t>
  </si>
  <si>
    <t>Contrato promesa compraventa</t>
  </si>
  <si>
    <t>Sueldo Cuidador Hernan Varela</t>
  </si>
  <si>
    <t>Transferencia Pie H-8 Stefanía Pavlov</t>
  </si>
  <si>
    <t>Abono pago números parcelas</t>
  </si>
  <si>
    <t>Boleta electrónica</t>
  </si>
  <si>
    <t>Promesa de compraventa</t>
  </si>
  <si>
    <t>Previred</t>
  </si>
  <si>
    <t>Escaneo plano original</t>
  </si>
  <si>
    <t>Autorización poder para derechos de agua</t>
  </si>
  <si>
    <t>Peaje la Union</t>
  </si>
  <si>
    <t>comprobante</t>
  </si>
  <si>
    <t>Sin respaldo</t>
  </si>
  <si>
    <t>Gasto notaria</t>
  </si>
  <si>
    <t>F29</t>
  </si>
  <si>
    <t>Escritura de compraventa</t>
  </si>
  <si>
    <t>Compra J-2 y J-4 Jorge Hiriart de la Cruz</t>
  </si>
  <si>
    <t>Reserva E-1 Felipe Theiler</t>
  </si>
  <si>
    <r>
      <rPr>
        <b/>
        <sz val="11"/>
        <color theme="1"/>
        <rFont val="Calibri"/>
        <family val="2"/>
        <scheme val="major"/>
      </rPr>
      <t>REEMBOLSO 1</t>
    </r>
    <r>
      <rPr>
        <sz val="11"/>
        <color theme="1"/>
        <rFont val="Calibri"/>
        <family val="2"/>
        <scheme val="major"/>
      </rPr>
      <t xml:space="preserve"> A ECOX SpA. DETALLE EN PESTAÑA DETALLE REEMBOLSOS</t>
    </r>
  </si>
  <si>
    <r>
      <rPr>
        <b/>
        <sz val="11"/>
        <color theme="1"/>
        <rFont val="Calibri"/>
        <family val="2"/>
        <scheme val="major"/>
      </rPr>
      <t>REEMBOLSO 2</t>
    </r>
    <r>
      <rPr>
        <sz val="11"/>
        <color theme="1"/>
        <rFont val="Calibri"/>
        <family val="2"/>
        <scheme val="major"/>
      </rPr>
      <t xml:space="preserve"> A ECOX SpA. DETALLE EN PESTAÑA DETALLE REEMBOLSOS</t>
    </r>
  </si>
  <si>
    <r>
      <rPr>
        <sz val="11"/>
        <color rgb="FF000000"/>
        <rFont val="Calibri"/>
        <family val="2"/>
        <scheme val="major"/>
      </rPr>
      <t>24/12/2021</t>
    </r>
  </si>
  <si>
    <r>
      <rPr>
        <sz val="11"/>
        <color rgb="FF000000"/>
        <rFont val="Calibri"/>
        <family val="2"/>
        <scheme val="major"/>
      </rPr>
      <t>27/12/2021</t>
    </r>
  </si>
  <si>
    <r>
      <rPr>
        <sz val="11"/>
        <color rgb="FF000000"/>
        <rFont val="Calibri"/>
        <family val="2"/>
        <scheme val="major"/>
      </rPr>
      <t>29/12/2021</t>
    </r>
  </si>
  <si>
    <r>
      <rPr>
        <sz val="11"/>
        <color rgb="FF000000"/>
        <rFont val="Calibri"/>
        <family val="2"/>
        <scheme val="major"/>
      </rPr>
      <t>30/12/2021</t>
    </r>
  </si>
  <si>
    <r>
      <rPr>
        <sz val="11"/>
        <color rgb="FF000000"/>
        <rFont val="Calibri"/>
        <family val="2"/>
        <scheme val="major"/>
      </rPr>
      <t>03/01/2022</t>
    </r>
  </si>
  <si>
    <r>
      <rPr>
        <sz val="11"/>
        <color rgb="FF000000"/>
        <rFont val="Calibri"/>
        <family val="2"/>
        <scheme val="major"/>
      </rPr>
      <t>04/01/2022</t>
    </r>
  </si>
  <si>
    <r>
      <rPr>
        <sz val="11"/>
        <color rgb="FF000000"/>
        <rFont val="Calibri"/>
        <family val="2"/>
        <scheme val="major"/>
      </rPr>
      <t>05/01/2022</t>
    </r>
  </si>
  <si>
    <r>
      <rPr>
        <sz val="11"/>
        <color rgb="FF000000"/>
        <rFont val="Calibri"/>
        <family val="2"/>
        <scheme val="major"/>
      </rPr>
      <t>06/01/2022</t>
    </r>
  </si>
  <si>
    <r>
      <rPr>
        <sz val="11"/>
        <color rgb="FF000000"/>
        <rFont val="Calibri"/>
        <family val="2"/>
        <scheme val="major"/>
      </rPr>
      <t>07/01/2022</t>
    </r>
  </si>
  <si>
    <r>
      <rPr>
        <sz val="11"/>
        <color rgb="FF000000"/>
        <rFont val="Calibri"/>
        <family val="2"/>
        <scheme val="major"/>
      </rPr>
      <t>10/01/2022</t>
    </r>
  </si>
  <si>
    <r>
      <rPr>
        <sz val="11"/>
        <color rgb="FF000000"/>
        <rFont val="Calibri"/>
        <family val="2"/>
        <scheme val="major"/>
      </rPr>
      <t>11/01/2022</t>
    </r>
  </si>
  <si>
    <r>
      <rPr>
        <sz val="11"/>
        <color rgb="FF000000"/>
        <rFont val="Calibri"/>
        <family val="2"/>
        <scheme val="major"/>
      </rPr>
      <t>13/01/2022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</si>
  <si>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</si>
  <si>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24/06/2022</t>
    </r>
  </si>
  <si>
    <r>
      <rPr>
        <sz val="10"/>
        <color rgb="FF000000"/>
        <rFont val="Calibri"/>
        <family val="2"/>
      </rPr>
      <t>28/06/2022</t>
    </r>
  </si>
  <si>
    <r>
      <rPr>
        <sz val="10"/>
        <color rgb="FF000000"/>
        <rFont val="Calibri"/>
        <family val="2"/>
      </rPr>
      <t>29/06/2022</t>
    </r>
  </si>
  <si>
    <t>Inversión en Fondo Mutuo</t>
  </si>
  <si>
    <t>COM.MANTENCION PLAN</t>
  </si>
  <si>
    <t>0016019622K Transf. PATRICIO A - Reserva C-1</t>
  </si>
  <si>
    <t>0016019622K Transf. PATRICIO A Abono pie C-1</t>
  </si>
  <si>
    <t>Transf.Internet a 77.160.572-9. Reembolso de gastos 4</t>
  </si>
  <si>
    <t>DETALLE REEMBOLSO 5</t>
  </si>
  <si>
    <r>
      <rPr>
        <sz val="10"/>
        <color rgb="FF000000"/>
        <rFont val="Calibri"/>
        <family val="2"/>
      </rPr>
      <t>01/07/2022</t>
    </r>
  </si>
  <si>
    <r>
      <rPr>
        <sz val="10"/>
        <color rgb="FF000000"/>
        <rFont val="Calibri"/>
        <family val="2"/>
      </rPr>
      <t>04/07/2022</t>
    </r>
  </si>
  <si>
    <r>
      <rPr>
        <sz val="10"/>
        <color rgb="FF000000"/>
        <rFont val="Calibri"/>
        <family val="2"/>
      </rPr>
      <t>05/07/2022</t>
    </r>
  </si>
  <si>
    <r>
      <rPr>
        <sz val="10"/>
        <color rgb="FF000000"/>
        <rFont val="Calibri"/>
        <family val="2"/>
      </rPr>
      <t>06/07/2022</t>
    </r>
  </si>
  <si>
    <r>
      <rPr>
        <sz val="10"/>
        <color rgb="FF000000"/>
        <rFont val="Calibri"/>
        <family val="2"/>
      </rPr>
      <t>07/07/2022</t>
    </r>
  </si>
  <si>
    <r>
      <rPr>
        <sz val="10"/>
        <color rgb="FF000000"/>
        <rFont val="Calibri"/>
        <family val="2"/>
      </rPr>
      <t>12/07/2022</t>
    </r>
  </si>
  <si>
    <r>
      <rPr>
        <sz val="10"/>
        <color rgb="FF000000"/>
        <rFont val="Calibri"/>
        <family val="2"/>
      </rPr>
      <t>13/07/2022</t>
    </r>
  </si>
  <si>
    <r>
      <rPr>
        <sz val="10"/>
        <color rgb="FF000000"/>
        <rFont val="Calibri"/>
        <family val="2"/>
      </rPr>
      <t>14/07/2022</t>
    </r>
  </si>
  <si>
    <r>
      <rPr>
        <sz val="10"/>
        <color rgb="FF000000"/>
        <rFont val="Calibri"/>
        <family val="2"/>
      </rPr>
      <t>15/07/2022</t>
    </r>
  </si>
  <si>
    <r>
      <rPr>
        <sz val="10"/>
        <color rgb="FF000000"/>
        <rFont val="Calibri"/>
        <family val="2"/>
      </rPr>
      <t>18/07/2022</t>
    </r>
  </si>
  <si>
    <r>
      <rPr>
        <sz val="10"/>
        <color rgb="FF000000"/>
        <rFont val="Calibri"/>
        <family val="2"/>
      </rPr>
      <t>22/07/2022</t>
    </r>
  </si>
  <si>
    <r>
      <rPr>
        <sz val="10"/>
        <color rgb="FF000000"/>
        <rFont val="Calibri"/>
        <family val="2"/>
      </rPr>
      <t>25/07/2022</t>
    </r>
  </si>
  <si>
    <r>
      <rPr>
        <sz val="10"/>
        <color rgb="FF000000"/>
        <rFont val="Calibri"/>
        <family val="2"/>
      </rPr>
      <t>26/07/2022</t>
    </r>
  </si>
  <si>
    <t>00160980591 Transf.   Pie H-8 Stefanía Pavlov</t>
  </si>
  <si>
    <t>Transf.Internet a 10.071.888-K. Sueldo Hector Varela</t>
  </si>
  <si>
    <t>PAGO EN LINEA PREVIRED. Pago Cotizaciones Hector Varela</t>
  </si>
  <si>
    <t xml:space="preserve">Transf.Internet a 65.013.096-0. Pago APR Felipe Hiriart </t>
  </si>
  <si>
    <t>0016019622K Transf. PATRICIO ARQUIS HARCHA  Abono pie C-1</t>
  </si>
  <si>
    <t>0174030189 Transf. DANIEL EDUARDO AMENABAR Abono pie H-2</t>
  </si>
  <si>
    <t>Depósito Documento Mismo Banco. Saldo Precio 0-4</t>
  </si>
  <si>
    <t>Transf.Internet a 16.647.851-0. Saldo estacas para numeros</t>
  </si>
  <si>
    <t>Transf.Internet a 16.370.375-0. Corretaje parcela 0-4</t>
  </si>
  <si>
    <t>PAGO EN LINEA S.I.I. F29</t>
  </si>
  <si>
    <t>Transf.Internet a 10.755.410-6. Gasto Notarial Notaria Rieutord. OT30261. Constitucion servidumbres</t>
  </si>
  <si>
    <t>00138820882 Transf. FELIPE THE Pie E-1</t>
  </si>
  <si>
    <t>0138820882 Transf. FELIPE GASPAR  Pie E-1</t>
  </si>
  <si>
    <t>0092119548 Transf. VALDEBENITO CUB Reserva E-2 (se devuelve el 26.07)</t>
  </si>
  <si>
    <t>Transf.Internet a 16.370.375-0 Comision sara por E-1</t>
  </si>
  <si>
    <t>Transf.Internet a 77.424.209-0 Comision Remax por C-1</t>
  </si>
  <si>
    <t>Transf.Internet a 77.196.916-K Compra madera para cerco.</t>
  </si>
  <si>
    <t xml:space="preserve">Transf.Internet a 10.755.410-6 Gasto notaria. Reglamento. </t>
  </si>
  <si>
    <t>Transf.Internet a 9.211.954-8 Se devuelve reserva por E-2</t>
  </si>
  <si>
    <t>0117032280 Transf. Carola Jacqueli Reserva C-3</t>
  </si>
  <si>
    <t>0117032280 Transf. Carola Jacqueli  Reserva C-3</t>
  </si>
  <si>
    <t>Comprbante reserva</t>
  </si>
  <si>
    <t>Compraventa</t>
  </si>
  <si>
    <t>REEMBOLSO A CUIDADOR HECTORA VARELA</t>
  </si>
  <si>
    <t xml:space="preserve">10 lts aceite de cadena </t>
  </si>
  <si>
    <t>1 lt aceite de mezcla</t>
  </si>
  <si>
    <t>Boleta en agosto</t>
  </si>
  <si>
    <t>20 lts carbolineo</t>
  </si>
  <si>
    <t>3 lt diluyente</t>
  </si>
  <si>
    <t>Adelanto Bencina</t>
  </si>
  <si>
    <t>0160980591 Transf. PAVLOV DE LA FUENTE STEFANIA ALEKSANDRA SITIO H-8</t>
  </si>
  <si>
    <t>Transf.Internet a 10.071.888-K</t>
  </si>
  <si>
    <t>PAGO EN LINEA PREVIRED</t>
  </si>
  <si>
    <t>0174030189 Transf. DANIEL EDUARDO AMENABAR GROVE SITIO H-2</t>
  </si>
  <si>
    <t>Transf.Internet a 16.339.156-2. Diseño Logo acceso</t>
  </si>
  <si>
    <t>Transf.Internet a 65.013.096-0. Cuenta agua APR</t>
  </si>
  <si>
    <t>26/07/2022</t>
  </si>
  <si>
    <t>27/07/2022</t>
  </si>
  <si>
    <t>Reserva</t>
  </si>
  <si>
    <t>Cuenta corriente/ Mail</t>
  </si>
  <si>
    <t>Cuenta corriente y Formulario 29</t>
  </si>
  <si>
    <t>Transf.Internet a 10.071.888-K. Reembolso 5 (a cuidador)</t>
  </si>
  <si>
    <t>Prestamo desde Tregualemu SpA /Ecox SpA para cubrir flujo de caja (total 20 mm 7+13)</t>
  </si>
  <si>
    <t>Prestamo desde Tregualemu SpA / Ecox Spa para cubrir flujo de caja (total 20 mm 7+13)</t>
  </si>
  <si>
    <t>Devuelve prestamo 20.01.2022 y 28.01.2022</t>
  </si>
  <si>
    <t>Varios</t>
  </si>
  <si>
    <t>Compra terreno</t>
  </si>
  <si>
    <t>Marketing</t>
  </si>
  <si>
    <t>Agua</t>
  </si>
  <si>
    <t>Topografia</t>
  </si>
  <si>
    <t>Caminos</t>
  </si>
  <si>
    <t>Banco</t>
  </si>
  <si>
    <t>Sueldos</t>
  </si>
  <si>
    <t>Impuestos</t>
  </si>
  <si>
    <t>Notaria</t>
  </si>
  <si>
    <t>Corredor</t>
  </si>
  <si>
    <t>Cerco</t>
  </si>
  <si>
    <t>Sum of GIROS</t>
  </si>
  <si>
    <t>Row Labels</t>
  </si>
  <si>
    <t>(blank)</t>
  </si>
  <si>
    <t>Grand Total</t>
  </si>
  <si>
    <t>Viajes</t>
  </si>
  <si>
    <t>Transf.Internet a 076278551K Rodemir</t>
  </si>
  <si>
    <t>Contabilidad</t>
  </si>
  <si>
    <t>DETALLE REEMBOLSO 6</t>
  </si>
  <si>
    <t>2 rodillos</t>
  </si>
  <si>
    <t>12 Tirafondos de 3/8</t>
  </si>
  <si>
    <t xml:space="preserve">8 lts aceite de cadena </t>
  </si>
  <si>
    <t>Aceite 2T Stihl</t>
  </si>
  <si>
    <t>Petróleo</t>
  </si>
  <si>
    <t>Por falta de respaldo quedó como bono</t>
  </si>
  <si>
    <r>
      <rPr>
        <sz val="10"/>
        <color rgb="FF000000"/>
        <rFont val="Calibri"/>
        <family val="2"/>
      </rPr>
      <t>10/08/2022</t>
    </r>
  </si>
  <si>
    <r>
      <rPr>
        <sz val="10"/>
        <color rgb="FF000000"/>
        <rFont val="Calibri"/>
        <family val="2"/>
      </rPr>
      <t>11/08/2022</t>
    </r>
  </si>
  <si>
    <t>PAGO EN LINEA S.I.I.</t>
  </si>
  <si>
    <r>
      <rPr>
        <sz val="10"/>
        <color rgb="FF000000"/>
        <rFont val="Calibri"/>
        <family val="2"/>
      </rPr>
      <t>12/08/2022</t>
    </r>
  </si>
  <si>
    <r>
      <rPr>
        <sz val="10"/>
        <color rgb="FF000000"/>
        <rFont val="Calibri"/>
        <family val="2"/>
      </rPr>
      <t>16/08/2022</t>
    </r>
  </si>
  <si>
    <r>
      <rPr>
        <sz val="10"/>
        <color rgb="FF000000"/>
        <rFont val="Calibri"/>
        <family val="2"/>
      </rPr>
      <t>17/08/2022</t>
    </r>
  </si>
  <si>
    <r>
      <rPr>
        <sz val="10"/>
        <color rgb="FF000000"/>
        <rFont val="Calibri"/>
        <family val="2"/>
      </rPr>
      <t>19/08/2022</t>
    </r>
  </si>
  <si>
    <r>
      <rPr>
        <sz val="10"/>
        <color rgb="FF000000"/>
        <rFont val="Calibri"/>
        <family val="2"/>
      </rPr>
      <t>24/08/2022</t>
    </r>
  </si>
  <si>
    <t>Reembolso 5</t>
  </si>
  <si>
    <t>F.29</t>
  </si>
  <si>
    <t>Transf.Internet a 11.446.299-3. Flete numeros de madera a futrono</t>
  </si>
  <si>
    <t>Transf.Internet a 11.446.299-3  Flete numeros de madera a futrono</t>
  </si>
  <si>
    <t>Depósito con Vales Vista Venta sitio D-1</t>
  </si>
  <si>
    <t>Depósito con Vales Vista. Venta sitio C-3</t>
  </si>
  <si>
    <t>Escritura</t>
  </si>
  <si>
    <t>Transf.Internet a 76.664.215-2. Servicio de firma valdivia y osorno</t>
  </si>
  <si>
    <t>Transf.Internet a 77.424.209-0. Comision C3 a Remax</t>
  </si>
  <si>
    <t>Transf.Internet a 77.324.672-6. Domingo Irrarrazabal Abogado Ambiental</t>
  </si>
  <si>
    <t>Transf.Internet a 77.424.209-0 Comision Remaz D1</t>
  </si>
  <si>
    <t>Transf.Internet a 76.080.949-7. Derechos de agua</t>
  </si>
  <si>
    <t>Transf.Internet a 7.061.358-1 Devolucion 10% de precio a parcela O4.</t>
  </si>
  <si>
    <t>Nueva escritrua de compraventa</t>
  </si>
  <si>
    <t>Rescate Fondos Mutuos</t>
  </si>
  <si>
    <r>
      <rPr>
        <sz val="10"/>
        <color rgb="FF000000"/>
        <rFont val="Calibri"/>
        <family val="2"/>
      </rPr>
      <t>02/11/2022</t>
    </r>
  </si>
  <si>
    <r>
      <rPr>
        <sz val="10"/>
        <color rgb="FF000000"/>
        <rFont val="Calibri"/>
        <family val="2"/>
      </rPr>
      <t>17/11/2022</t>
    </r>
  </si>
  <si>
    <r>
      <rPr>
        <sz val="10"/>
        <color rgb="FF000000"/>
        <rFont val="Calibri"/>
        <family val="2"/>
      </rPr>
      <t>18/11/2022</t>
    </r>
  </si>
  <si>
    <r>
      <rPr>
        <sz val="10"/>
        <color rgb="FF000000"/>
        <rFont val="Calibri"/>
        <family val="2"/>
      </rPr>
      <t>21/11/2022</t>
    </r>
  </si>
  <si>
    <r>
      <rPr>
        <sz val="10"/>
        <color rgb="FF000000"/>
        <rFont val="Calibri"/>
        <family val="2"/>
      </rPr>
      <t>28/11/2022</t>
    </r>
  </si>
  <si>
    <r>
      <rPr>
        <sz val="10"/>
        <color rgb="FF000000"/>
        <rFont val="Calibri"/>
        <family val="2"/>
      </rPr>
      <t>29/11/2022</t>
    </r>
  </si>
  <si>
    <r>
      <rPr>
        <sz val="10"/>
        <color rgb="FF000000"/>
        <rFont val="Calibri"/>
        <family val="2"/>
      </rPr>
      <t>30/11/2022</t>
    </r>
  </si>
  <si>
    <r>
      <rPr>
        <sz val="10"/>
        <color rgb="FF000000"/>
        <rFont val="Calibri"/>
        <family val="2"/>
      </rPr>
      <t>02/09/2022</t>
    </r>
  </si>
  <si>
    <r>
      <rPr>
        <sz val="10"/>
        <color rgb="FF000000"/>
        <rFont val="Calibri"/>
        <family val="2"/>
      </rPr>
      <t>05/09/2022</t>
    </r>
  </si>
  <si>
    <r>
      <rPr>
        <sz val="10"/>
        <color rgb="FF000000"/>
        <rFont val="Calibri"/>
        <family val="2"/>
      </rPr>
      <t>07/09/2022</t>
    </r>
  </si>
  <si>
    <r>
      <rPr>
        <sz val="10"/>
        <color rgb="FF000000"/>
        <rFont val="Calibri"/>
        <family val="2"/>
      </rPr>
      <t>08/09/2022</t>
    </r>
  </si>
  <si>
    <r>
      <rPr>
        <sz val="10"/>
        <color rgb="FF000000"/>
        <rFont val="Calibri"/>
        <family val="2"/>
      </rPr>
      <t>09/09/2022</t>
    </r>
  </si>
  <si>
    <r>
      <rPr>
        <sz val="10"/>
        <color rgb="FF000000"/>
        <rFont val="Calibri"/>
        <family val="2"/>
      </rPr>
      <t>12/09/2022</t>
    </r>
  </si>
  <si>
    <r>
      <rPr>
        <sz val="10"/>
        <color rgb="FF000000"/>
        <rFont val="Calibri"/>
        <family val="2"/>
      </rPr>
      <t>13/09/2022</t>
    </r>
  </si>
  <si>
    <r>
      <rPr>
        <sz val="10"/>
        <color rgb="FF000000"/>
        <rFont val="Calibri"/>
        <family val="2"/>
      </rPr>
      <t>14/09/2022</t>
    </r>
  </si>
  <si>
    <r>
      <rPr>
        <sz val="10"/>
        <color rgb="FF000000"/>
        <rFont val="Calibri"/>
        <family val="2"/>
      </rPr>
      <t>15/09/2022</t>
    </r>
  </si>
  <si>
    <r>
      <rPr>
        <sz val="10"/>
        <color rgb="FF000000"/>
        <rFont val="Calibri"/>
        <family val="2"/>
      </rPr>
      <t>20/09/2022</t>
    </r>
  </si>
  <si>
    <r>
      <rPr>
        <sz val="10"/>
        <color rgb="FF000000"/>
        <rFont val="Calibri"/>
        <family val="2"/>
      </rPr>
      <t>21/09/2022</t>
    </r>
  </si>
  <si>
    <r>
      <rPr>
        <sz val="10"/>
        <color rgb="FF000000"/>
        <rFont val="Calibri"/>
        <family val="2"/>
      </rPr>
      <t>22/09/2022</t>
    </r>
  </si>
  <si>
    <r>
      <rPr>
        <sz val="10"/>
        <color rgb="FF000000"/>
        <rFont val="Calibri"/>
        <family val="2"/>
      </rPr>
      <t>26/09/2022</t>
    </r>
  </si>
  <si>
    <r>
      <rPr>
        <sz val="10"/>
        <color rgb="FF000000"/>
        <rFont val="Calibri"/>
        <family val="2"/>
      </rPr>
      <t>27/09/2022</t>
    </r>
  </si>
  <si>
    <r>
      <rPr>
        <sz val="10"/>
        <color rgb="FF000000"/>
        <rFont val="Calibri"/>
        <family val="2"/>
      </rPr>
      <t>28/09/2022</t>
    </r>
  </si>
  <si>
    <r>
      <rPr>
        <sz val="10"/>
        <color rgb="FF000000"/>
        <rFont val="Calibri"/>
        <family val="2"/>
      </rPr>
      <t>30/09/2022</t>
    </r>
  </si>
  <si>
    <t>17/10/2022</t>
  </si>
  <si>
    <t>28/10/2022</t>
  </si>
  <si>
    <t>00160980591 Transf. STEFANIA A SITIO H-8</t>
  </si>
  <si>
    <t>Transf.Internet a 76.452.836-0. Honorarios arquitectura</t>
  </si>
  <si>
    <t>Transf.Internet a 10.071.888-K Sueldo Nancho</t>
  </si>
  <si>
    <t>PAGO EN LINEA PREVIRED Cotizaciones Nancho</t>
  </si>
  <si>
    <t>Transf.Internet a 13.319.718-4 Certificado municipalidad futrono</t>
  </si>
  <si>
    <t>Transf.Internet a 10.071.888-K Trabajos cerco</t>
  </si>
  <si>
    <t>Transf.Internet a 10.071.888-K materiales cerco</t>
  </si>
  <si>
    <t xml:space="preserve">Compra 36 NOTARIA DE SAN </t>
  </si>
  <si>
    <t>Transf.Internet a 13.319.718-4  Certificados municipalidad futrono</t>
  </si>
  <si>
    <t xml:space="preserve">Transf.Internet a 13.281.736-7 Conservador </t>
  </si>
  <si>
    <t>Transf.Internet a 13.848.433-5 Notaria osorno</t>
  </si>
  <si>
    <t>Transf.Internet a 13.882.088-2 Devolucion Reserva E-1</t>
  </si>
  <si>
    <t>0174030189 Transf. DANIEL EDUARDO abono sitio H-2</t>
  </si>
  <si>
    <t>Transf.Internet a 13.882.088-2  Devolucion Reserva E-1</t>
  </si>
  <si>
    <t>Transf.Internet a 10.071.888-K Aguinaldo 18</t>
  </si>
  <si>
    <t>Transf.Internet a 15.640.744-5 reembolso pasajes lan a osorno</t>
  </si>
  <si>
    <t>Transf.Internet a 76.664.215-2 Geotim topografia</t>
  </si>
  <si>
    <t>Transf.Internet a 76.556.843-9 Reserva  alojamiento</t>
  </si>
  <si>
    <t>Transf.Internet a 13.319.718-4 Conservador Los Lagos</t>
  </si>
  <si>
    <t>Transf.Internet a 16.370.375-0 Reembolso sara gastos (certificado no expropiacion y numero)</t>
  </si>
  <si>
    <t>PAGO EN LINEA T.G.R. f29</t>
  </si>
  <si>
    <t>0160980591 Transf. PAVLOV DE LA FU cuota sitio H-8</t>
  </si>
  <si>
    <t>Transf.Internet a 10.755.410-6 Gasto notaria.</t>
  </si>
  <si>
    <t>Transf.Internet a 10.071.888-K Reembolso a nancho pago apr nontuela</t>
  </si>
  <si>
    <t>0174030189 Transf. DANIEL EDUARDO Cuota sitio H-2</t>
  </si>
  <si>
    <t>Transf.Internet a 10.071.888-K Sueldo noviembre nancho</t>
  </si>
  <si>
    <t>Transf.Internet a 10.071.888-K pago trabajador para cerco madera</t>
  </si>
  <si>
    <t>Compra SUPERMERCADO MONT viaje a futrono</t>
  </si>
  <si>
    <t>Compra SUMUP C*LA CASONA viaje a futrino alojamiento</t>
  </si>
  <si>
    <t>Compra MARIA JOSE GARCIA viaje a futrono comida</t>
  </si>
  <si>
    <t>Compra COPEC SAN PABLO viaje a futrono</t>
  </si>
  <si>
    <t>Compra SABA AEROPUERTO C viaje a futrono</t>
  </si>
  <si>
    <t>Transf.Internet a 10.071.888-K sueldo nancho</t>
  </si>
  <si>
    <t>Transf.Internet a 13.882.088-2 Transferencia por error, se corrige en diciembre</t>
  </si>
  <si>
    <t>Transf.Internet a 10.071.888-K Adelanto pago Omar, hijo de nancho</t>
  </si>
  <si>
    <r>
      <rPr>
        <sz val="10"/>
        <color rgb="FF000000"/>
        <rFont val="Calibri"/>
        <family val="2"/>
      </rPr>
      <t>01/12/2022</t>
    </r>
  </si>
  <si>
    <r>
      <rPr>
        <sz val="10"/>
        <color rgb="FF000000"/>
        <rFont val="Calibri"/>
        <family val="2"/>
      </rPr>
      <t>05/12/2022</t>
    </r>
  </si>
  <si>
    <r>
      <rPr>
        <sz val="10"/>
        <color rgb="FF000000"/>
        <rFont val="Calibri"/>
        <family val="2"/>
      </rPr>
      <t>07/12/2022</t>
    </r>
  </si>
  <si>
    <r>
      <rPr>
        <sz val="10"/>
        <color rgb="FF000000"/>
        <rFont val="Calibri"/>
        <family val="2"/>
      </rPr>
      <t>14/12/2022</t>
    </r>
  </si>
  <si>
    <t>0138820882 Transf. FELIPE GASPAR Devuelve error transferencia</t>
  </si>
  <si>
    <t>Transf.Internet a 6.954.019-8 Devolucion sitio J-2</t>
  </si>
  <si>
    <t>Transf.Internet a 77.196.916-K maderas cerco</t>
  </si>
  <si>
    <t>Transf.Internet a 10.071.888-K Desbrozadora y casco</t>
  </si>
  <si>
    <t>Transf.Internet a 15.640.744-5 reembolso auto a osorno</t>
  </si>
  <si>
    <r>
      <rPr>
        <sz val="10"/>
        <color rgb="FF000000"/>
        <rFont val="Calibri"/>
        <family val="2"/>
      </rPr>
      <t>23/12/2022</t>
    </r>
  </si>
  <si>
    <r>
      <rPr>
        <sz val="10"/>
        <color rgb="FF000000"/>
        <rFont val="Calibri"/>
        <family val="2"/>
      </rPr>
      <t>26/12/2022</t>
    </r>
  </si>
  <si>
    <r>
      <rPr>
        <sz val="10"/>
        <color rgb="FF000000"/>
        <rFont val="Calibri"/>
        <family val="2"/>
      </rPr>
      <t>29/12/2022</t>
    </r>
  </si>
  <si>
    <r>
      <rPr>
        <sz val="10"/>
        <color rgb="FF000000"/>
        <rFont val="Calibri"/>
        <family val="2"/>
      </rPr>
      <t>30/12/2022</t>
    </r>
  </si>
  <si>
    <t>Transf.Internet a 76.278.551-K Pago camino</t>
  </si>
  <si>
    <t>Transf.Internet a 77.196.916-K Factura de maderas para cercos</t>
  </si>
  <si>
    <t>Transf.Internet a 10.071.888-K Aguinaldo navidad nancho</t>
  </si>
  <si>
    <t>0160980591 Transf. PAVLOV DE LA FU Cuota sitio H-8</t>
  </si>
  <si>
    <t>0174030189 Transf. DANIEL EDUARDO cuota sitio H-2</t>
  </si>
  <si>
    <t>Transf.Internet a 13.319.718-4 Inscripcion CBR Los Lagos</t>
  </si>
  <si>
    <t>Transf.Internet a 13.319.718-4  Inscripcion CBR Los Lagos</t>
  </si>
  <si>
    <t>Transf.Internet a 10.071.888-K Sueldo diciembre + pago Omarcito (hijo)</t>
  </si>
  <si>
    <r>
      <rPr>
        <sz val="10"/>
        <color rgb="FF000000"/>
        <rFont val="Calibri"/>
        <family val="2"/>
      </rPr>
      <t>03/01/2023</t>
    </r>
  </si>
  <si>
    <r>
      <rPr>
        <sz val="10"/>
        <color rgb="FF000000"/>
        <rFont val="Calibri"/>
        <family val="2"/>
      </rPr>
      <t>04/01/2023</t>
    </r>
  </si>
  <si>
    <r>
      <rPr>
        <sz val="10"/>
        <color rgb="FF000000"/>
        <rFont val="Calibri"/>
        <family val="2"/>
      </rPr>
      <t>06/01/2023</t>
    </r>
  </si>
  <si>
    <r>
      <rPr>
        <sz val="10"/>
        <color rgb="FF000000"/>
        <rFont val="Calibri"/>
        <family val="2"/>
      </rPr>
      <t>09/01/2023</t>
    </r>
  </si>
  <si>
    <r>
      <rPr>
        <sz val="10"/>
        <color rgb="FF000000"/>
        <rFont val="Calibri"/>
        <family val="2"/>
      </rPr>
      <t>17/01/2023</t>
    </r>
  </si>
  <si>
    <r>
      <rPr>
        <sz val="10"/>
        <color rgb="FF000000"/>
        <rFont val="Calibri"/>
        <family val="2"/>
      </rPr>
      <t>20/01/2023</t>
    </r>
  </si>
  <si>
    <r>
      <rPr>
        <sz val="10"/>
        <color rgb="FF000000"/>
        <rFont val="Calibri"/>
        <family val="2"/>
      </rPr>
      <t>23/01/2023</t>
    </r>
  </si>
  <si>
    <r>
      <rPr>
        <sz val="10"/>
        <color rgb="FF000000"/>
        <rFont val="Calibri"/>
        <family val="2"/>
      </rPr>
      <t>24/01/2023</t>
    </r>
  </si>
  <si>
    <r>
      <rPr>
        <sz val="10"/>
        <color rgb="FF000000"/>
        <rFont val="Calibri"/>
        <family val="2"/>
      </rPr>
      <t>25/01/2023</t>
    </r>
  </si>
  <si>
    <r>
      <rPr>
        <sz val="10"/>
        <color rgb="FF000000"/>
        <rFont val="Calibri"/>
        <family val="2"/>
      </rPr>
      <t>27/01/2023</t>
    </r>
  </si>
  <si>
    <r>
      <rPr>
        <sz val="10"/>
        <color rgb="FF000000"/>
        <rFont val="Calibri"/>
        <family val="2"/>
      </rPr>
      <t>30/01/2023</t>
    </r>
  </si>
  <si>
    <r>
      <rPr>
        <sz val="10"/>
        <color rgb="FF000000"/>
        <rFont val="Calibri"/>
        <family val="2"/>
      </rPr>
      <t>01/02/2023</t>
    </r>
  </si>
  <si>
    <r>
      <rPr>
        <sz val="10"/>
        <color rgb="FF000000"/>
        <rFont val="Calibri"/>
        <family val="2"/>
      </rPr>
      <t>03/02/2023</t>
    </r>
  </si>
  <si>
    <r>
      <rPr>
        <sz val="10"/>
        <color rgb="FF000000"/>
        <rFont val="Calibri"/>
        <family val="2"/>
      </rPr>
      <t>06/02/2023</t>
    </r>
  </si>
  <si>
    <r>
      <rPr>
        <sz val="10"/>
        <color rgb="FF000000"/>
        <rFont val="Calibri"/>
        <family val="2"/>
      </rPr>
      <t>07/02/2023</t>
    </r>
  </si>
  <si>
    <r>
      <rPr>
        <sz val="10"/>
        <color rgb="FF000000"/>
        <rFont val="Calibri"/>
        <family val="2"/>
      </rPr>
      <t>08/02/2023</t>
    </r>
  </si>
  <si>
    <r>
      <rPr>
        <sz val="10"/>
        <color rgb="FF000000"/>
        <rFont val="Calibri"/>
        <family val="2"/>
      </rPr>
      <t>09/02/2023</t>
    </r>
  </si>
  <si>
    <r>
      <rPr>
        <sz val="10"/>
        <color rgb="FF000000"/>
        <rFont val="Calibri"/>
        <family val="2"/>
      </rPr>
      <t>10/02/2023</t>
    </r>
  </si>
  <si>
    <r>
      <rPr>
        <sz val="10"/>
        <color rgb="FF000000"/>
        <rFont val="Calibri"/>
        <family val="2"/>
      </rPr>
      <t>14/02/2023</t>
    </r>
  </si>
  <si>
    <r>
      <rPr>
        <sz val="10"/>
        <color rgb="FF000000"/>
        <rFont val="Calibri"/>
        <family val="2"/>
      </rPr>
      <t>15/02/2023</t>
    </r>
  </si>
  <si>
    <r>
      <rPr>
        <sz val="10"/>
        <color rgb="FF000000"/>
        <rFont val="Calibri"/>
        <family val="2"/>
      </rPr>
      <t>16/02/2023</t>
    </r>
  </si>
  <si>
    <r>
      <rPr>
        <sz val="10"/>
        <color rgb="FF000000"/>
        <rFont val="Calibri"/>
        <family val="2"/>
      </rPr>
      <t>20/02/2023</t>
    </r>
  </si>
  <si>
    <r>
      <rPr>
        <sz val="10"/>
        <color rgb="FF000000"/>
        <rFont val="Calibri"/>
        <family val="2"/>
      </rPr>
      <t>21/02/2023</t>
    </r>
  </si>
  <si>
    <r>
      <rPr>
        <sz val="10"/>
        <color rgb="FF000000"/>
        <rFont val="Calibri"/>
        <family val="2"/>
      </rPr>
      <t>22/02/2023</t>
    </r>
  </si>
  <si>
    <r>
      <rPr>
        <sz val="10"/>
        <color rgb="FF000000"/>
        <rFont val="Calibri"/>
        <family val="2"/>
      </rPr>
      <t>23/02/2023</t>
    </r>
  </si>
  <si>
    <r>
      <rPr>
        <sz val="10"/>
        <color rgb="FF000000"/>
        <rFont val="Calibri"/>
        <family val="2"/>
      </rPr>
      <t>24/02/2023</t>
    </r>
  </si>
  <si>
    <r>
      <rPr>
        <sz val="10"/>
        <color rgb="FF000000"/>
        <rFont val="Calibri"/>
        <family val="2"/>
      </rPr>
      <t>27/02/2023</t>
    </r>
  </si>
  <si>
    <r>
      <rPr>
        <sz val="10"/>
        <color rgb="FF000000"/>
        <rFont val="Calibri"/>
        <family val="2"/>
      </rPr>
      <t>28/02/2023</t>
    </r>
  </si>
  <si>
    <t>PAGO EN LINEA PREVIRED Hernan varela</t>
  </si>
  <si>
    <t>Transf.Internet a 61.202.000-0 pago por inspeccion de DGA, derechos de agua</t>
  </si>
  <si>
    <t>Transf.Internet a 13.319.718-4. CBR por parcelas adquiridas por pan de azucar</t>
  </si>
  <si>
    <t>Transf.Internet a 13.319.718-4 CBR por inscripciones parcelas adquiridas por Aysen</t>
  </si>
  <si>
    <t>Transf.Internet a 10.755.410-6 Gastos notaria compraventas</t>
  </si>
  <si>
    <t xml:space="preserve">Transf.Internet a 77.196.916-K Maderas para cerco </t>
  </si>
  <si>
    <t>014120498K Transf. Nicolas Pablo Cifuentes, pie sitio O-6</t>
  </si>
  <si>
    <t>Transf.Internet a 16.370.375-0. Comision venta O-6</t>
  </si>
  <si>
    <t>0160980591 Transf. PAVLOV DE LA FU Cuota parcela H-8</t>
  </si>
  <si>
    <t>Transf.Internet a 10.071.888-K Reembolso gastos a Hernan Varela</t>
  </si>
  <si>
    <t>0177044431 Transf. Matias Antonio Donoso E-6 Reserva</t>
  </si>
  <si>
    <t>0175079408 Transf. JULIO IGNACIO Reserva E-2</t>
  </si>
  <si>
    <t>00107615792 Transf. CARLOS ANT Reserva E-4</t>
  </si>
  <si>
    <t>0069110355 Transf. OSORIO DEL PINO Reserva A-2</t>
  </si>
  <si>
    <t>0082366113 Transf. Franklin Esteba Reserva B-2</t>
  </si>
  <si>
    <t>0150177634 Transf. Oliver Jhonatan Reserva A-4</t>
  </si>
  <si>
    <t>0177044431 Transf. Matias Antonio Pie Matias Donoso E-6</t>
  </si>
  <si>
    <t>0174030189 Transf. DANIEL EDUARDO  Cuota H-2</t>
  </si>
  <si>
    <t>Transf.Internet a 10.071.888-K Sueldo Hernan Varela + gasto omarcito</t>
  </si>
  <si>
    <t>Depósito con Vales Vista Julio Ramirez E-2</t>
  </si>
  <si>
    <t>Depósito con Vales Vista Carlos donoso E-4</t>
  </si>
  <si>
    <t>Transf.Internet a 16.370.375-0  Comision venta terreno</t>
  </si>
  <si>
    <t>Transf.Internet a 16.370.375-0  Comision venta terreno E2</t>
  </si>
  <si>
    <t>Transf.Internet a 17.550.633-0 Comision venta E4</t>
  </si>
  <si>
    <t>boleta</t>
  </si>
  <si>
    <t>compraventa</t>
  </si>
  <si>
    <t xml:space="preserve">00124954827 Transf. PRIXELA PA </t>
  </si>
  <si>
    <t>0145694566 Transf. MUNOZ NARVAEZ D Reserva E-1</t>
  </si>
  <si>
    <t>0145694566 Transf. MUNOZ NARVAEZ D E-1</t>
  </si>
  <si>
    <t>015720016K Transf. Daniel Guillerm Beth B-3 Reserva</t>
  </si>
  <si>
    <t>015720016K Transf. Daniel Guillerm B-3 Reserva</t>
  </si>
  <si>
    <t>0125665489 Transf. ISAIAS Reserva A-1</t>
  </si>
  <si>
    <t>Transf.Internet a 10.755.410-6 Gasto notarial</t>
  </si>
  <si>
    <t>0161864722 Transf. Jorge Benjamin aparicio reserva no concretada</t>
  </si>
  <si>
    <t>Depósito con Vales Vista Venta sitio E-1</t>
  </si>
  <si>
    <t>Transf.Internet a 76.521.489-0 Arreglos casa cuidador hector varela</t>
  </si>
  <si>
    <t>Transf.Internet a 77.196.916-K Maderas para cerco</t>
  </si>
  <si>
    <t>0075137109 Transf. Willy Alberto Reserva D-3</t>
  </si>
  <si>
    <t>Transf.Internet a 13.319.718-4 Conservador Los lagos</t>
  </si>
  <si>
    <t>Transf.Internet a 13.319.718-4  Conservador Los lagos</t>
  </si>
  <si>
    <t>Transf.Internet a 16.370.375-0. Comision venta A2</t>
  </si>
  <si>
    <t>0153783047 Transf. Francisco Anton reserva B-1</t>
  </si>
  <si>
    <t>0150177634 Transf. Oliver Jhonatan Rembolso pago conservador A-4</t>
  </si>
  <si>
    <t>0145694566 Transf. MUNOZ NARVAEZ D Pago CBR E-1</t>
  </si>
  <si>
    <t>0125665489 Transf. ISAIAS ANDRES PIE A-1</t>
  </si>
  <si>
    <t>Transf.Internet a 77.424.209-0 Comision Remax E-1</t>
  </si>
  <si>
    <t>00204710643 Transf. NICOLAS GA B-4</t>
  </si>
  <si>
    <t>00186684214 Transf. MANUEL EDU B-4</t>
  </si>
  <si>
    <t>Transf.Internet a 16.370.375-0 Comision B-2</t>
  </si>
  <si>
    <t>0770025192 Transf. CORRETAJE DANIE B-6 Reserva</t>
  </si>
  <si>
    <t>00156061034 Transf. JOSE DE Jesus urra A-5</t>
  </si>
  <si>
    <t>Transf.Internet a 13.319.718-4 CBR Los Lagos</t>
  </si>
  <si>
    <r>
      <rPr>
        <sz val="10"/>
        <color rgb="FF000000"/>
        <rFont val="Calibri"/>
        <family val="2"/>
      </rPr>
      <t>01/03/2023</t>
    </r>
  </si>
  <si>
    <r>
      <rPr>
        <sz val="10"/>
        <color rgb="FF000000"/>
        <rFont val="Calibri"/>
        <family val="2"/>
      </rPr>
      <t>02/03/2023</t>
    </r>
  </si>
  <si>
    <r>
      <rPr>
        <sz val="10"/>
        <color rgb="FF000000"/>
        <rFont val="Calibri"/>
        <family val="2"/>
      </rPr>
      <t>03/03/2023</t>
    </r>
  </si>
  <si>
    <r>
      <rPr>
        <sz val="10"/>
        <color rgb="FF000000"/>
        <rFont val="Calibri"/>
        <family val="2"/>
      </rPr>
      <t>07/03/2023</t>
    </r>
  </si>
  <si>
    <r>
      <rPr>
        <sz val="10"/>
        <color rgb="FF000000"/>
        <rFont val="Calibri"/>
        <family val="2"/>
      </rPr>
      <t>08/03/2023</t>
    </r>
  </si>
  <si>
    <r>
      <rPr>
        <sz val="10"/>
        <color rgb="FF000000"/>
        <rFont val="Calibri"/>
        <family val="2"/>
      </rPr>
      <t>09/03/2023</t>
    </r>
  </si>
  <si>
    <r>
      <rPr>
        <sz val="10"/>
        <color rgb="FF000000"/>
        <rFont val="Calibri"/>
        <family val="2"/>
      </rPr>
      <t>10/03/2023</t>
    </r>
  </si>
  <si>
    <r>
      <rPr>
        <sz val="10"/>
        <color rgb="FF000000"/>
        <rFont val="Calibri"/>
        <family val="2"/>
      </rPr>
      <t>13/03/2023</t>
    </r>
  </si>
  <si>
    <r>
      <rPr>
        <sz val="10"/>
        <color rgb="FF000000"/>
        <rFont val="Calibri"/>
        <family val="2"/>
      </rPr>
      <t>14/03/2023</t>
    </r>
  </si>
  <si>
    <r>
      <rPr>
        <sz val="10"/>
        <color rgb="FF000000"/>
        <rFont val="Calibri"/>
        <family val="2"/>
      </rPr>
      <t>15/03/2023</t>
    </r>
  </si>
  <si>
    <r>
      <rPr>
        <sz val="10"/>
        <color rgb="FF000000"/>
        <rFont val="Calibri"/>
        <family val="2"/>
      </rPr>
      <t>16/03/2023</t>
    </r>
  </si>
  <si>
    <r>
      <rPr>
        <sz val="10"/>
        <color rgb="FF000000"/>
        <rFont val="Calibri"/>
        <family val="2"/>
      </rPr>
      <t>17/03/2023</t>
    </r>
  </si>
  <si>
    <r>
      <rPr>
        <sz val="10"/>
        <color rgb="FF000000"/>
        <rFont val="Calibri"/>
        <family val="2"/>
      </rPr>
      <t>20/03/2023</t>
    </r>
  </si>
  <si>
    <r>
      <rPr>
        <sz val="10"/>
        <color rgb="FF000000"/>
        <rFont val="Calibri"/>
        <family val="2"/>
      </rPr>
      <t>21/03/2023</t>
    </r>
  </si>
  <si>
    <r>
      <rPr>
        <sz val="10"/>
        <color rgb="FF000000"/>
        <rFont val="Calibri"/>
        <family val="2"/>
      </rPr>
      <t>22/03/2023</t>
    </r>
  </si>
  <si>
    <r>
      <rPr>
        <sz val="10"/>
        <color rgb="FF000000"/>
        <rFont val="Calibri"/>
        <family val="2"/>
      </rPr>
      <t>23/03/2023</t>
    </r>
  </si>
  <si>
    <r>
      <rPr>
        <sz val="10"/>
        <color rgb="FF000000"/>
        <rFont val="Calibri"/>
        <family val="2"/>
      </rPr>
      <t>27/03/2023</t>
    </r>
  </si>
  <si>
    <r>
      <rPr>
        <sz val="10"/>
        <color rgb="FF000000"/>
        <rFont val="Calibri"/>
        <family val="2"/>
      </rPr>
      <t>28/03/2023</t>
    </r>
  </si>
  <si>
    <r>
      <rPr>
        <sz val="10"/>
        <color rgb="FF000000"/>
        <rFont val="Calibri"/>
        <family val="2"/>
      </rPr>
      <t>29/03/2023</t>
    </r>
  </si>
  <si>
    <r>
      <rPr>
        <sz val="10"/>
        <color rgb="FF000000"/>
        <rFont val="Calibri"/>
        <family val="2"/>
      </rPr>
      <t>30/03/2023</t>
    </r>
  </si>
  <si>
    <t>45408435 Inversión en FFMM</t>
  </si>
  <si>
    <r>
      <rPr>
        <sz val="10"/>
        <color rgb="FF000000"/>
        <rFont val="Calibri"/>
        <family val="2"/>
      </rPr>
      <t>31/03/2023</t>
    </r>
  </si>
  <si>
    <t>0174030189 Transf. DANIEL EDUARDO Cuota H-2</t>
  </si>
  <si>
    <t>0770025192 Transf. CORRETAJE DANIE Reserva B6</t>
  </si>
  <si>
    <t>00156061034 Transf. JOSE DE JE Reserva A5</t>
  </si>
  <si>
    <t>Transf.Internet a 13.906.357-0 Comision Corredor A1</t>
  </si>
  <si>
    <t>Transf.Internet a 10.071.888-K Sueldo Nancho y Omar</t>
  </si>
  <si>
    <t>PAGO EN LINEA PREVIRED Cotizaciones</t>
  </si>
  <si>
    <t>Transf.Internet a 0163703750 Reembolso a sara por pago notaria</t>
  </si>
  <si>
    <t>Transf.Internet a 76.664.215-2. Gestion firmas valdivia Juan Carlos Abarca</t>
  </si>
  <si>
    <t>Transf.Internet a 13.319.718-4. CBR Los lagos Inscripcion</t>
  </si>
  <si>
    <t>0177044431 Transf. Matias Antonio Donoso Cuota E-6</t>
  </si>
  <si>
    <t>0069110355 Transf. OSORIO DEL PINO reembolso para conservador A-2</t>
  </si>
  <si>
    <t>Transf.Internet a 10.071.888-K Pago comisiones a Nancho por sitios vendidos</t>
  </si>
  <si>
    <t>Transf.Internet a 16.370.375-0 Sara comision D3</t>
  </si>
  <si>
    <t>Transf.Internet a 20.346.170-4 Gestion firma compraventa Clemente Soloudre</t>
  </si>
  <si>
    <t>Depósito con Vales Vista Pie promesa B-1</t>
  </si>
  <si>
    <t>00204710643 Transf. NICOLAS GA Pie B-4</t>
  </si>
  <si>
    <t>Transf.Internet a 17.550.633-0 Pago comision B1 German Estuardo</t>
  </si>
  <si>
    <t>Transf.Internet a 16.370.375-0 Pago comision B1 a Sara Errazuriz</t>
  </si>
  <si>
    <t>Transf.Internet a 13.319.718-4 CBR</t>
  </si>
  <si>
    <t>Transf.Internet a 81.629.800-8 Pago Socoepa Instalacion electrica</t>
  </si>
  <si>
    <t xml:space="preserve">Transf.Internet a 13.319.718-4 CBR </t>
  </si>
  <si>
    <t>Transf.Internet a 17.550.633-0 Pago comision B4 German Estuardo</t>
  </si>
  <si>
    <t>Transf.Internet a 16.370.375-0 Pago comision B4 a Sara Errazuriz</t>
  </si>
  <si>
    <t>Transf.Internet a 77.424.209-0 Comision Remax D-2</t>
  </si>
  <si>
    <t>015720016K Transf. Daniel Guillerm Pie Promesa B3</t>
  </si>
  <si>
    <t>Transf.Internet a 76.047.546-7  Renovacion La Nube</t>
  </si>
  <si>
    <t>Transf.Internet a 17.550.633-0 Pago comision B3 German Estuardo</t>
  </si>
  <si>
    <t>Transf.Internet a 16.370.375-0 Pago comision B3 a Sara Errazuriz</t>
  </si>
  <si>
    <t>Venta de Dólares por Caja Venta D-2</t>
  </si>
  <si>
    <t>00156061034 Transf. JOSE DE JE Pie A5</t>
  </si>
  <si>
    <t>Transf.Internet a 17.550.633-0 Pago comision A5 German Estuardo</t>
  </si>
  <si>
    <t>Transf.Internet a 16.370.375-0 Pago comision A5 Sara Errazuriz</t>
  </si>
  <si>
    <t>0157229478 Transf. Andrea Isabel S Reserva A3 y A6</t>
  </si>
  <si>
    <t>Transf.Internet a 76.521.489-0 Segundo 30% arreglos casa cuidador hector varela</t>
  </si>
  <si>
    <t>Depósito con Vales Vista Saldo precio A-2</t>
  </si>
  <si>
    <t>Transf.Internet a 10.755.410-6 Cobro notaria rieutord</t>
  </si>
  <si>
    <t>Abono Vale Vista Saldo Precio O-6</t>
  </si>
  <si>
    <t>Devolucion prestamo adicional Ecox/Tregualemu</t>
  </si>
  <si>
    <t>Ingresos F29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</si>
</sst>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-&quot;$&quot;#,##0"/>
    <numFmt numFmtId="165" formatCode="_-&quot;$&quot;* #,##0_-;\-&quot;$&quot;* #,##0_-;_-&quot;$&quot;* &quot;-&quot;_-;_-@_-"/>
    <numFmt numFmtId="166" formatCode="_-&quot;$&quot;* #,##0_-;\-&quot;$&quot;* #,##0_-;_-&quot;$&quot;* &quot;-&quot;_-;_-@"/>
    <numFmt numFmtId="167" formatCode="&quot;$&quot;#,##0;[Red]&quot;$&quot;\-#,##0"/>
    <numFmt numFmtId="168" formatCode="&quot;$&quot;#,##0.00;[Red]&quot;$&quot;\-#,##0.00"/>
    <numFmt numFmtId="169" formatCode="d&quot;/&quot;m&quot;/&quot;yy"/>
    <numFmt numFmtId="170" formatCode="_(&quot;$&quot;* #,##0_);_(&quot;$&quot;* \(#,##0\);_(&quot;$&quot;* &quot;-&quot;??_);_(@_)"/>
    <numFmt numFmtId="171" formatCode="&quot;$&quot;#,##0"/>
    <numFmt numFmtId="172" formatCode="#,##0.000"/>
    <numFmt numFmtId="173" formatCode="dd\/mm\/yyyy"/>
  </numFmts>
  <fonts count="2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FF00"/>
      <name val="Calibri"/>
      <family val="2"/>
    </font>
    <font>
      <sz val="11"/>
      <color theme="1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444444"/>
      <name val="Calibri"/>
      <family val="2"/>
      <scheme val="major"/>
    </font>
    <font>
      <b/>
      <sz val="10"/>
      <color rgb="FF444444"/>
      <name val="Arial"/>
      <family val="2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0"/>
      <color rgb="FF000000"/>
      <name val="Calibri"/>
      <family val="2"/>
    </font>
    <font>
      <sz val="10"/>
      <color rgb="FF444444"/>
      <name val="Calibri"/>
      <family val="2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ajor"/>
    </font>
    <font>
      <sz val="10"/>
      <color rgb="FF444444"/>
      <name val="Calibri"/>
      <family val="2"/>
      <scheme val="major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/>
      <right style="medium">
        <color rgb="FFE1E1E1"/>
      </right>
      <top style="medium">
        <color rgb="FFE1E1E1"/>
      </top>
      <bottom style="thin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0" fontId="5" fillId="0" borderId="1" applyBorder="0"/>
  </cellStyleXfs>
  <cellXfs count="137">
    <xf numFmtId="0" fontId="0" fillId="0" borderId="0" xfId="0"/>
    <xf numFmtId="0" fontId="3" fillId="0" borderId="0" xfId="0" applyFont="1"/>
    <xf numFmtId="0" fontId="4" fillId="4" borderId="1" xfId="0" applyFont="1" applyFill="1" applyBorder="1"/>
    <xf numFmtId="169" fontId="4" fillId="0" borderId="2" xfId="0" applyNumberFormat="1" applyFont="1" applyBorder="1" applyAlignment="1">
      <alignment horizontal="right"/>
    </xf>
    <xf numFmtId="0" fontId="4" fillId="0" borderId="3" xfId="0" applyFont="1" applyBorder="1"/>
    <xf numFmtId="170" fontId="4" fillId="0" borderId="3" xfId="0" applyNumberFormat="1" applyFont="1" applyBorder="1"/>
    <xf numFmtId="0" fontId="4" fillId="0" borderId="4" xfId="0" applyFont="1" applyBorder="1"/>
    <xf numFmtId="15" fontId="2" fillId="0" borderId="5" xfId="0" applyNumberFormat="1" applyFont="1" applyBorder="1" applyAlignment="1">
      <alignment horizontal="right" wrapText="1"/>
    </xf>
    <xf numFmtId="0" fontId="3" fillId="0" borderId="5" xfId="0" applyFont="1" applyBorder="1"/>
    <xf numFmtId="170" fontId="3" fillId="5" borderId="6" xfId="0" applyNumberFormat="1" applyFont="1" applyFill="1" applyBorder="1"/>
    <xf numFmtId="0" fontId="3" fillId="3" borderId="6" xfId="0" applyFont="1" applyFill="1" applyBorder="1"/>
    <xf numFmtId="15" fontId="2" fillId="0" borderId="0" xfId="0" applyNumberFormat="1" applyFont="1" applyAlignment="1">
      <alignment horizontal="right" wrapText="1"/>
    </xf>
    <xf numFmtId="170" fontId="3" fillId="5" borderId="1" xfId="0" applyNumberFormat="1" applyFont="1" applyFill="1" applyBorder="1"/>
    <xf numFmtId="15" fontId="2" fillId="0" borderId="7" xfId="0" applyNumberFormat="1" applyFont="1" applyBorder="1" applyAlignment="1">
      <alignment horizontal="right" wrapText="1"/>
    </xf>
    <xf numFmtId="0" fontId="3" fillId="0" borderId="7" xfId="0" applyFont="1" applyBorder="1"/>
    <xf numFmtId="170" fontId="3" fillId="5" borderId="7" xfId="0" applyNumberFormat="1" applyFont="1" applyFill="1" applyBorder="1"/>
    <xf numFmtId="0" fontId="5" fillId="3" borderId="7" xfId="0" applyFont="1" applyFill="1" applyBorder="1"/>
    <xf numFmtId="0" fontId="5" fillId="0" borderId="7" xfId="0" applyFont="1" applyBorder="1"/>
    <xf numFmtId="171" fontId="5" fillId="5" borderId="7" xfId="0" applyNumberFormat="1" applyFont="1" applyFill="1" applyBorder="1"/>
    <xf numFmtId="170" fontId="5" fillId="0" borderId="7" xfId="0" applyNumberFormat="1" applyFont="1" applyBorder="1"/>
    <xf numFmtId="170" fontId="5" fillId="5" borderId="7" xfId="0" applyNumberFormat="1" applyFont="1" applyFill="1" applyBorder="1"/>
    <xf numFmtId="10" fontId="3" fillId="0" borderId="7" xfId="0" applyNumberFormat="1" applyFont="1" applyBorder="1"/>
    <xf numFmtId="0" fontId="3" fillId="3" borderId="7" xfId="0" applyFont="1" applyFill="1" applyBorder="1"/>
    <xf numFmtId="0" fontId="6" fillId="0" borderId="7" xfId="0" applyFont="1" applyBorder="1"/>
    <xf numFmtId="0" fontId="3" fillId="0" borderId="8" xfId="0" applyFont="1" applyBorder="1"/>
    <xf numFmtId="170" fontId="3" fillId="0" borderId="0" xfId="0" applyNumberFormat="1" applyFont="1"/>
    <xf numFmtId="15" fontId="2" fillId="0" borderId="1" xfId="0" applyNumberFormat="1" applyFont="1" applyBorder="1" applyAlignment="1">
      <alignment horizontal="right" wrapText="1"/>
    </xf>
    <xf numFmtId="0" fontId="3" fillId="0" borderId="1" xfId="0" applyFont="1" applyBorder="1"/>
    <xf numFmtId="170" fontId="3" fillId="0" borderId="1" xfId="0" applyNumberFormat="1" applyFont="1" applyBorder="1"/>
    <xf numFmtId="0" fontId="7" fillId="0" borderId="0" xfId="0" applyFont="1"/>
    <xf numFmtId="15" fontId="2" fillId="0" borderId="9" xfId="0" applyNumberFormat="1" applyFont="1" applyBorder="1" applyAlignment="1">
      <alignment horizontal="right" wrapText="1"/>
    </xf>
    <xf numFmtId="0" fontId="3" fillId="0" borderId="9" xfId="0" applyFont="1" applyBorder="1"/>
    <xf numFmtId="170" fontId="3" fillId="0" borderId="9" xfId="0" applyNumberFormat="1" applyFont="1" applyBorder="1"/>
    <xf numFmtId="0" fontId="0" fillId="0" borderId="9" xfId="0" applyBorder="1"/>
    <xf numFmtId="169" fontId="4" fillId="0" borderId="11" xfId="0" applyNumberFormat="1" applyFont="1" applyBorder="1" applyAlignment="1">
      <alignment horizontal="right"/>
    </xf>
    <xf numFmtId="0" fontId="4" fillId="0" borderId="12" xfId="0" applyFont="1" applyBorder="1"/>
    <xf numFmtId="170" fontId="4" fillId="0" borderId="12" xfId="0" applyNumberFormat="1" applyFont="1" applyBorder="1"/>
    <xf numFmtId="0" fontId="4" fillId="0" borderId="13" xfId="0" applyFont="1" applyBorder="1"/>
    <xf numFmtId="14" fontId="8" fillId="0" borderId="10" xfId="0" applyNumberFormat="1" applyFont="1" applyBorder="1"/>
    <xf numFmtId="0" fontId="3" fillId="0" borderId="10" xfId="0" applyFont="1" applyBorder="1"/>
    <xf numFmtId="170" fontId="3" fillId="5" borderId="10" xfId="0" applyNumberFormat="1" applyFont="1" applyFill="1" applyBorder="1"/>
    <xf numFmtId="170" fontId="3" fillId="0" borderId="10" xfId="0" applyNumberFormat="1" applyFont="1" applyBorder="1"/>
    <xf numFmtId="14" fontId="8" fillId="0" borderId="10" xfId="0" applyNumberFormat="1" applyFont="1" applyBorder="1" applyAlignment="1">
      <alignment horizontal="right"/>
    </xf>
    <xf numFmtId="0" fontId="0" fillId="0" borderId="1" xfId="0" applyBorder="1"/>
    <xf numFmtId="0" fontId="8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165" fontId="0" fillId="0" borderId="0" xfId="0" applyNumberFormat="1"/>
    <xf numFmtId="0" fontId="8" fillId="0" borderId="0" xfId="0" applyFont="1"/>
    <xf numFmtId="0" fontId="13" fillId="0" borderId="0" xfId="0" applyFont="1"/>
    <xf numFmtId="165" fontId="0" fillId="0" borderId="1" xfId="0" applyNumberFormat="1" applyBorder="1"/>
    <xf numFmtId="169" fontId="4" fillId="0" borderId="10" xfId="0" applyNumberFormat="1" applyFont="1" applyBorder="1" applyAlignment="1">
      <alignment horizontal="right"/>
    </xf>
    <xf numFmtId="0" fontId="4" fillId="0" borderId="10" xfId="0" applyFont="1" applyBorder="1"/>
    <xf numFmtId="170" fontId="4" fillId="0" borderId="10" xfId="0" applyNumberFormat="1" applyFont="1" applyBorder="1"/>
    <xf numFmtId="165" fontId="3" fillId="0" borderId="10" xfId="0" applyNumberFormat="1" applyFont="1" applyBorder="1"/>
    <xf numFmtId="14" fontId="3" fillId="0" borderId="10" xfId="0" applyNumberFormat="1" applyFont="1" applyBorder="1"/>
    <xf numFmtId="0" fontId="8" fillId="0" borderId="10" xfId="0" applyFont="1" applyBorder="1"/>
    <xf numFmtId="170" fontId="3" fillId="0" borderId="10" xfId="1" applyNumberFormat="1" applyFont="1" applyBorder="1" applyAlignment="1"/>
    <xf numFmtId="0" fontId="8" fillId="0" borderId="14" xfId="0" applyFont="1" applyBorder="1"/>
    <xf numFmtId="170" fontId="3" fillId="0" borderId="14" xfId="1" applyNumberFormat="1" applyFont="1" applyBorder="1" applyAlignment="1"/>
    <xf numFmtId="0" fontId="3" fillId="0" borderId="14" xfId="0" applyFont="1" applyBorder="1"/>
    <xf numFmtId="0" fontId="14" fillId="0" borderId="1" xfId="0" applyFont="1" applyBorder="1" applyAlignment="1">
      <alignment horizontal="center" wrapText="1"/>
    </xf>
    <xf numFmtId="0" fontId="15" fillId="0" borderId="1" xfId="0" applyFont="1" applyBorder="1"/>
    <xf numFmtId="172" fontId="11" fillId="0" borderId="1" xfId="0" applyNumberFormat="1" applyFont="1" applyBorder="1"/>
    <xf numFmtId="0" fontId="14" fillId="0" borderId="1" xfId="0" applyFont="1" applyBorder="1" applyAlignment="1">
      <alignment horizontal="right" wrapText="1"/>
    </xf>
    <xf numFmtId="15" fontId="11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right" wrapText="1"/>
    </xf>
    <xf numFmtId="167" fontId="14" fillId="2" borderId="1" xfId="0" applyNumberFormat="1" applyFont="1" applyFill="1" applyBorder="1" applyAlignment="1">
      <alignment horizontal="right" wrapText="1"/>
    </xf>
    <xf numFmtId="173" fontId="11" fillId="0" borderId="1" xfId="0" applyNumberFormat="1" applyFont="1" applyBorder="1" applyAlignment="1">
      <alignment horizontal="left" wrapText="1"/>
    </xf>
    <xf numFmtId="167" fontId="11" fillId="0" borderId="1" xfId="0" applyNumberFormat="1" applyFont="1" applyBorder="1" applyAlignment="1">
      <alignment horizontal="right" wrapText="1"/>
    </xf>
    <xf numFmtId="0" fontId="11" fillId="3" borderId="1" xfId="0" applyFont="1" applyFill="1" applyBorder="1" applyAlignment="1">
      <alignment wrapText="1"/>
    </xf>
    <xf numFmtId="173" fontId="12" fillId="0" borderId="1" xfId="0" applyNumberFormat="1" applyFont="1" applyBorder="1" applyAlignment="1">
      <alignment horizontal="left"/>
    </xf>
    <xf numFmtId="0" fontId="7" fillId="0" borderId="1" xfId="0" applyFont="1" applyBorder="1"/>
    <xf numFmtId="3" fontId="11" fillId="0" borderId="1" xfId="0" applyNumberFormat="1" applyFont="1" applyBorder="1"/>
    <xf numFmtId="0" fontId="12" fillId="0" borderId="1" xfId="0" applyFont="1" applyBorder="1"/>
    <xf numFmtId="168" fontId="14" fillId="2" borderId="1" xfId="0" applyNumberFormat="1" applyFont="1" applyFill="1" applyBorder="1" applyAlignment="1">
      <alignment horizontal="right" wrapText="1"/>
    </xf>
    <xf numFmtId="4" fontId="11" fillId="0" borderId="1" xfId="0" applyNumberFormat="1" applyFont="1" applyBorder="1" applyAlignment="1">
      <alignment horizontal="right" wrapText="1"/>
    </xf>
    <xf numFmtId="168" fontId="14" fillId="0" borderId="1" xfId="0" applyNumberFormat="1" applyFont="1" applyBorder="1" applyAlignment="1">
      <alignment horizontal="right" wrapText="1"/>
    </xf>
    <xf numFmtId="4" fontId="11" fillId="0" borderId="1" xfId="0" applyNumberFormat="1" applyFont="1" applyBorder="1" applyAlignment="1">
      <alignment wrapText="1"/>
    </xf>
    <xf numFmtId="4" fontId="14" fillId="0" borderId="1" xfId="0" applyNumberFormat="1" applyFont="1" applyBorder="1" applyAlignment="1">
      <alignment horizontal="right" wrapText="1"/>
    </xf>
    <xf numFmtId="168" fontId="14" fillId="0" borderId="1" xfId="0" applyNumberFormat="1" applyFont="1" applyBorder="1" applyAlignment="1">
      <alignment horizontal="center" wrapText="1"/>
    </xf>
    <xf numFmtId="168" fontId="11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center" wrapText="1"/>
    </xf>
    <xf numFmtId="14" fontId="12" fillId="0" borderId="1" xfId="0" applyNumberFormat="1" applyFont="1" applyBorder="1"/>
    <xf numFmtId="164" fontId="12" fillId="0" borderId="1" xfId="0" applyNumberFormat="1" applyFont="1" applyBorder="1"/>
    <xf numFmtId="0" fontId="16" fillId="6" borderId="1" xfId="0" applyFont="1" applyFill="1" applyBorder="1"/>
    <xf numFmtId="0" fontId="7" fillId="6" borderId="0" xfId="0" applyFont="1" applyFill="1"/>
    <xf numFmtId="14" fontId="7" fillId="0" borderId="10" xfId="0" applyNumberFormat="1" applyFont="1" applyBorder="1"/>
    <xf numFmtId="0" fontId="7" fillId="0" borderId="10" xfId="0" applyFont="1" applyBorder="1"/>
    <xf numFmtId="165" fontId="0" fillId="0" borderId="10" xfId="1" applyNumberFormat="1" applyFont="1" applyFill="1" applyBorder="1" applyAlignment="1"/>
    <xf numFmtId="165" fontId="7" fillId="0" borderId="10" xfId="0" applyNumberFormat="1" applyFont="1" applyBorder="1"/>
    <xf numFmtId="14" fontId="0" fillId="0" borderId="10" xfId="0" applyNumberFormat="1" applyBorder="1"/>
    <xf numFmtId="165" fontId="0" fillId="0" borderId="10" xfId="0" applyNumberFormat="1" applyBorder="1"/>
    <xf numFmtId="0" fontId="0" fillId="6" borderId="0" xfId="0" applyFill="1"/>
    <xf numFmtId="0" fontId="7" fillId="0" borderId="15" xfId="0" applyFont="1" applyBorder="1"/>
    <xf numFmtId="14" fontId="0" fillId="0" borderId="16" xfId="0" applyNumberFormat="1" applyBorder="1"/>
    <xf numFmtId="165" fontId="0" fillId="0" borderId="17" xfId="0" applyNumberFormat="1" applyBorder="1"/>
    <xf numFmtId="0" fontId="8" fillId="0" borderId="1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14" fontId="17" fillId="7" borderId="18" xfId="0" applyNumberFormat="1" applyFont="1" applyFill="1" applyBorder="1" applyAlignment="1">
      <alignment horizontal="left" vertical="top" wrapText="1"/>
    </xf>
    <xf numFmtId="0" fontId="18" fillId="0" borderId="1" xfId="0" applyFont="1" applyBorder="1"/>
    <xf numFmtId="167" fontId="19" fillId="0" borderId="1" xfId="0" applyNumberFormat="1" applyFont="1" applyBorder="1" applyAlignment="1">
      <alignment horizontal="right" wrapText="1"/>
    </xf>
    <xf numFmtId="0" fontId="19" fillId="0" borderId="1" xfId="0" applyFont="1" applyBorder="1" applyAlignment="1">
      <alignment wrapText="1"/>
    </xf>
    <xf numFmtId="0" fontId="19" fillId="6" borderId="1" xfId="0" applyFont="1" applyFill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horizontal="left" wrapText="1"/>
    </xf>
    <xf numFmtId="3" fontId="18" fillId="0" borderId="1" xfId="0" applyNumberFormat="1" applyFont="1" applyBorder="1"/>
    <xf numFmtId="172" fontId="18" fillId="0" borderId="1" xfId="0" applyNumberFormat="1" applyFont="1" applyBorder="1"/>
    <xf numFmtId="8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18" fillId="6" borderId="1" xfId="0" applyFont="1" applyFill="1" applyBorder="1"/>
    <xf numFmtId="0" fontId="20" fillId="0" borderId="1" xfId="0" applyFont="1" applyBorder="1"/>
    <xf numFmtId="8" fontId="20" fillId="0" borderId="1" xfId="0" applyNumberFormat="1" applyFont="1" applyBorder="1" applyAlignment="1">
      <alignment horizontal="right" vertical="center"/>
    </xf>
    <xf numFmtId="0" fontId="19" fillId="6" borderId="1" xfId="0" applyFont="1" applyFill="1" applyBorder="1"/>
    <xf numFmtId="0" fontId="19" fillId="6" borderId="1" xfId="0" applyFont="1" applyFill="1" applyBorder="1" applyAlignment="1">
      <alignment horizontal="left" wrapText="1"/>
    </xf>
    <xf numFmtId="170" fontId="19" fillId="0" borderId="1" xfId="1" applyNumberFormat="1" applyFont="1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21" fillId="8" borderId="19" xfId="0" applyFont="1" applyFill="1" applyBorder="1" applyAlignment="1">
      <alignment horizontal="left"/>
    </xf>
    <xf numFmtId="170" fontId="21" fillId="8" borderId="19" xfId="0" applyNumberFormat="1" applyFont="1" applyFill="1" applyBorder="1"/>
    <xf numFmtId="0" fontId="16" fillId="0" borderId="1" xfId="0" applyFont="1" applyBorder="1"/>
    <xf numFmtId="170" fontId="11" fillId="0" borderId="1" xfId="1" applyNumberFormat="1" applyFont="1" applyBorder="1"/>
    <xf numFmtId="14" fontId="17" fillId="7" borderId="20" xfId="0" applyNumberFormat="1" applyFont="1" applyFill="1" applyBorder="1" applyAlignment="1">
      <alignment horizontal="left" vertical="top" wrapText="1"/>
    </xf>
    <xf numFmtId="14" fontId="17" fillId="7" borderId="1" xfId="0" applyNumberFormat="1" applyFont="1" applyFill="1" applyBorder="1" applyAlignment="1">
      <alignment horizontal="left" vertical="top" wrapText="1"/>
    </xf>
    <xf numFmtId="3" fontId="8" fillId="0" borderId="1" xfId="0" applyNumberFormat="1" applyFont="1" applyBorder="1" applyAlignment="1">
      <alignment horizontal="right"/>
    </xf>
    <xf numFmtId="0" fontId="8" fillId="0" borderId="1" xfId="0" applyFont="1" applyBorder="1"/>
    <xf numFmtId="14" fontId="17" fillId="7" borderId="21" xfId="0" applyNumberFormat="1" applyFont="1" applyFill="1" applyBorder="1" applyAlignment="1">
      <alignment horizontal="left" vertical="top" wrapText="1"/>
    </xf>
    <xf numFmtId="0" fontId="11" fillId="0" borderId="9" xfId="0" applyFont="1" applyBorder="1"/>
    <xf numFmtId="0" fontId="8" fillId="0" borderId="9" xfId="0" applyFont="1" applyBorder="1"/>
    <xf numFmtId="167" fontId="19" fillId="0" borderId="9" xfId="0" applyNumberFormat="1" applyFont="1" applyBorder="1" applyAlignment="1">
      <alignment horizontal="right" wrapText="1"/>
    </xf>
    <xf numFmtId="0" fontId="8" fillId="0" borderId="9" xfId="0" applyFont="1" applyBorder="1"/>
    <xf numFmtId="170" fontId="11" fillId="0" borderId="9" xfId="1" applyNumberFormat="1" applyFont="1" applyBorder="1"/>
  </cellXfs>
  <cellStyles count="3">
    <cellStyle name="Currency" xfId="1" builtinId="4"/>
    <cellStyle name="Normal" xfId="0" builtinId="0"/>
    <cellStyle name="Normal 2" xfId="2" xr:uid="{309944FA-D047-4B84-A852-A9DA8B53B0D8}"/>
  </cellStyles>
  <dxfs count="1">
    <dxf>
      <numFmt numFmtId="170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" refreshedDate="44781.582408101851" createdVersion="8" refreshedVersion="8" minRefreshableVersion="3" recordCount="206" xr:uid="{5A2EF504-91C7-4664-B0D4-B4502E0AD20D}">
  <cacheSource type="worksheet">
    <worksheetSource ref="A3:H209" sheet="Control Flujo Caja"/>
  </cacheSource>
  <cacheFields count="9">
    <cacheField name="FECHA" numFmtId="0">
      <sharedItems containsDate="1" containsBlank="1" containsMixedTypes="1" minDate="2021-10-20T00:00:00" maxDate="2022-08-09T00:00:00"/>
    </cacheField>
    <cacheField name="CHEQUE" numFmtId="0">
      <sharedItems containsNonDate="0" containsString="0" containsBlank="1"/>
    </cacheField>
    <cacheField name="DETALLE" numFmtId="0">
      <sharedItems/>
    </cacheField>
    <cacheField name="SALDO" numFmtId="167">
      <sharedItems containsSemiMixedTypes="0" containsString="0" containsNumber="1" containsInteger="1" minValue="-73920" maxValue="747804852"/>
    </cacheField>
    <cacheField name="DEP" numFmtId="0">
      <sharedItems containsString="0" containsBlank="1" containsNumber="1" containsInteger="1" minValue="50000" maxValue="261819503"/>
    </cacheField>
    <cacheField name="GIROS" numFmtId="0">
      <sharedItems containsString="0" containsBlank="1" containsNumber="1" containsInteger="1" minValue="49" maxValue="714103618"/>
    </cacheField>
    <cacheField name="RESPALDO" numFmtId="0">
      <sharedItems containsBlank="1"/>
    </cacheField>
    <cacheField name="COMENTARIO" numFmtId="0">
      <sharedItems containsBlank="1" containsMixedTypes="1" containsNumber="1" containsInteger="1" minValue="-1" maxValue="-1"/>
    </cacheField>
    <cacheField name="Categoria" numFmtId="166">
      <sharedItems containsBlank="1" count="18">
        <m/>
        <s v="Varios"/>
        <s v="Viajes"/>
        <s v="Compra terreno"/>
        <s v="Marketing"/>
        <s v="Agua"/>
        <s v="Topografia"/>
        <s v="Notaria"/>
        <s v="Caminos"/>
        <s v="Banco"/>
        <s v="Prestamo"/>
        <s v="Venta"/>
        <s v="Contabilidad"/>
        <s v="Sueldos"/>
        <s v="Impuestos"/>
        <s v="Fondo mutuo"/>
        <s v="Corredor"/>
        <s v="Cer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m/>
    <m/>
    <s v="SALDO ANTERIOR"/>
    <n v="0"/>
    <m/>
    <m/>
    <m/>
    <m/>
    <x v="0"/>
  </r>
  <r>
    <d v="2021-10-20T00:00:00"/>
    <m/>
    <s v="Préstamo Pan de Azúcar"/>
    <n v="100953655"/>
    <n v="100953655"/>
    <m/>
    <s v="Reconocinimetos Deuda Notarial"/>
    <m/>
    <x v="0"/>
  </r>
  <r>
    <d v="2021-10-20T00:00:00"/>
    <m/>
    <s v="Préstamo El Volcán"/>
    <n v="201907310"/>
    <n v="100953655"/>
    <m/>
    <s v="Reconocinimetos Deuda Notarial"/>
    <m/>
    <x v="0"/>
  </r>
  <r>
    <d v="2021-10-26T00:00:00"/>
    <m/>
    <s v="Préstamo Ecox SpA"/>
    <n v="321907310"/>
    <n v="120000000"/>
    <m/>
    <s v="Reconocinimetos Deuda Notarial"/>
    <m/>
    <x v="0"/>
  </r>
  <r>
    <d v="2021-10-25T00:00:00"/>
    <m/>
    <s v="Préstamo Ecox SpA"/>
    <n v="453169741"/>
    <n v="131262431"/>
    <m/>
    <s v="Reconocinimetos Deuda Notarial"/>
    <m/>
    <x v="0"/>
  </r>
  <r>
    <d v="2021-10-25T00:00:00"/>
    <m/>
    <s v="Préstamo Aysen SpA"/>
    <n v="485985349"/>
    <n v="32815608"/>
    <m/>
    <s v="Reconocinimetos Deuda Notarial"/>
    <m/>
    <x v="0"/>
  </r>
  <r>
    <d v="2021-10-27T00:00:00"/>
    <m/>
    <s v="Préstamo Aysen SpA"/>
    <n v="747804852"/>
    <n v="261819503"/>
    <m/>
    <s v="Reconocinimetos Deuda Notarial"/>
    <m/>
    <x v="0"/>
  </r>
  <r>
    <d v="2021-10-27T00:00:00"/>
    <m/>
    <s v="Giro en Cajero Automático para caja chica"/>
    <n v="747704852"/>
    <m/>
    <n v="100000"/>
    <s v="Movimiento Banco"/>
    <m/>
    <x v="1"/>
  </r>
  <r>
    <d v="2021-10-27T00:00:00"/>
    <m/>
    <s v="Viaje 27.10 Taxi Ida al aeropuerto"/>
    <n v="747671852"/>
    <m/>
    <n v="33000"/>
    <s v="Boleta"/>
    <m/>
    <x v="2"/>
  </r>
  <r>
    <d v="2021-10-27T00:00:00"/>
    <m/>
    <s v="Viaje 27.10 Comida Copec"/>
    <n v="747653102"/>
    <m/>
    <n v="18750"/>
    <s v="Boleta"/>
    <m/>
    <x v="2"/>
  </r>
  <r>
    <d v="2021-10-27T00:00:00"/>
    <m/>
    <s v="Viaje 27.10 Comida Copec"/>
    <n v="747649302"/>
    <m/>
    <n v="3800"/>
    <s v="Boleta"/>
    <m/>
    <x v="2"/>
  </r>
  <r>
    <d v="2021-10-27T00:00:00"/>
    <m/>
    <s v="Viaje 27.10 Hotel"/>
    <n v="747506502"/>
    <m/>
    <n v="142800"/>
    <s v="Boleta"/>
    <m/>
    <x v="2"/>
  </r>
  <r>
    <d v="2021-10-27T00:00:00"/>
    <m/>
    <s v="Viaje 27.10 Comida"/>
    <n v="747445370"/>
    <m/>
    <n v="61132"/>
    <s v="Boleta"/>
    <m/>
    <x v="2"/>
  </r>
  <r>
    <d v="2021-10-28T00:00:00"/>
    <m/>
    <s v="Viaje 27.10 Bencina Copec"/>
    <n v="747405365"/>
    <m/>
    <n v="40005"/>
    <s v="Boleta"/>
    <m/>
    <x v="2"/>
  </r>
  <r>
    <d v="2021-10-29T00:00:00"/>
    <m/>
    <s v="Compra Terrenos Nontuelá Ranco"/>
    <n v="33301747"/>
    <m/>
    <n v="714103618"/>
    <s v="Escritura Compraventa "/>
    <m/>
    <x v="3"/>
  </r>
  <r>
    <d v="2021-10-29T00:00:00"/>
    <m/>
    <s v="Comisión Banco Vale Vista"/>
    <n v="33288850"/>
    <m/>
    <n v="12897"/>
    <s v="Movimiento Banco"/>
    <m/>
    <x v="3"/>
  </r>
  <r>
    <d v="2021-10-29T00:00:00"/>
    <m/>
    <s v="Honorarios Notaría Compraventa Ranco"/>
    <n v="33128850"/>
    <m/>
    <n v="160000"/>
    <s v="Boleta"/>
    <m/>
    <x v="3"/>
  </r>
  <r>
    <d v="2021-10-27T00:00:00"/>
    <m/>
    <s v="Viaje 27.10 Auto"/>
    <n v="33025267"/>
    <m/>
    <n v="103583"/>
    <s v="Boleta"/>
    <m/>
    <x v="2"/>
  </r>
  <r>
    <d v="2021-10-27T00:00:00"/>
    <m/>
    <s v="Viaje 27.10 Comida"/>
    <n v="32954757"/>
    <m/>
    <n v="70510"/>
    <s v="Boleta"/>
    <m/>
    <x v="2"/>
  </r>
  <r>
    <d v="2021-11-02T00:00:00"/>
    <m/>
    <s v="Taxi Aeropuerto"/>
    <n v="32919757"/>
    <m/>
    <n v="35000"/>
    <s v="Boleta"/>
    <m/>
    <x v="2"/>
  </r>
  <r>
    <d v="2021-11-02T00:00:00"/>
    <m/>
    <s v="Primer 50% Honorarios La Nube Fotos aéreas, página y logo "/>
    <n v="31919757"/>
    <m/>
    <n v="1000000"/>
    <s v="Factura"/>
    <m/>
    <x v="4"/>
  </r>
  <r>
    <d v="2021-11-02T00:00:00"/>
    <m/>
    <s v="Carta IGM para revision de esteros"/>
    <n v="31901757"/>
    <m/>
    <n v="18000"/>
    <s v="Boleta"/>
    <m/>
    <x v="5"/>
  </r>
  <r>
    <d v="2021-11-09T00:00:00"/>
    <m/>
    <s v="REEMBOLSO 1 A ECOX SpA. DETALLE EN PESTAÑA DETALLE REEMBOLSOS"/>
    <n v="29976694"/>
    <m/>
    <n v="1925063"/>
    <s v="Transferencia"/>
    <s v="reembolsado a ECOX el 09-11-21"/>
    <x v="6"/>
  </r>
  <r>
    <d v="2021-11-09T00:00:00"/>
    <m/>
    <s v="REEMBOLSO 2 A ECOX SpA. DETALLE EN PESTAÑA DETALLE REEMBOLSOS"/>
    <n v="24457707"/>
    <m/>
    <n v="5518987"/>
    <s v="Transferencia"/>
    <s v="reembolsado a ECOX el 09-11-21"/>
    <x v="1"/>
  </r>
  <r>
    <d v="2021-11-12T00:00:00"/>
    <m/>
    <s v="Reintegro caja chica sobrante"/>
    <n v="24525908"/>
    <n v="68201"/>
    <m/>
    <s v="Transferencia"/>
    <m/>
    <x v="1"/>
  </r>
  <r>
    <d v="2021-11-17T00:00:00"/>
    <m/>
    <s v="Pago Notaría Reconocimientos de Deuda a Socios"/>
    <n v="24500908"/>
    <m/>
    <n v="25000"/>
    <s v="Boleta"/>
    <m/>
    <x v="3"/>
  </r>
  <r>
    <d v="2021-11-19T00:00:00"/>
    <m/>
    <s v="Pago 50% final topografo por topografía y curvas de nivel"/>
    <n v="22543358"/>
    <m/>
    <n v="1957550"/>
    <s v="Factura"/>
    <m/>
    <x v="6"/>
  </r>
  <r>
    <d v="2021-11-30T00:00:00"/>
    <m/>
    <s v="Cargo bancario"/>
    <n v="22541858"/>
    <m/>
    <n v="1500"/>
    <s v="Movimiento cuenta corriente"/>
    <m/>
    <x v="1"/>
  </r>
  <r>
    <d v="2021-12-13T00:00:00"/>
    <m/>
    <s v="Comision corredor compra terreno "/>
    <n v="5546192"/>
    <m/>
    <n v="16995666"/>
    <s v="Factura"/>
    <m/>
    <x v="3"/>
  </r>
  <r>
    <d v="2021-12-22T00:00:00"/>
    <m/>
    <s v="Pago Notaría Mandato Judicial para cobro indemnización expropiación "/>
    <n v="5506192"/>
    <m/>
    <n v="40000"/>
    <s v="Boleta"/>
    <m/>
    <x v="7"/>
  </r>
  <r>
    <s v="24/12/2021"/>
    <m/>
    <s v="Bencina  SHELL "/>
    <n v="5457688"/>
    <m/>
    <n v="48504"/>
    <s v="Boleta"/>
    <m/>
    <x v="2"/>
  </r>
  <r>
    <s v="27/12/2021"/>
    <m/>
    <s v="Impresión planos  TEKKROM"/>
    <n v="5443767"/>
    <m/>
    <n v="13921"/>
    <m/>
    <m/>
    <x v="6"/>
  </r>
  <r>
    <s v="27/12/2021"/>
    <m/>
    <s v="Bemcina viaje 27.12  COPEC LOS ANGELES"/>
    <n v="5391762"/>
    <m/>
    <n v="52005"/>
    <s v="Boleta"/>
    <m/>
    <x v="2"/>
  </r>
  <r>
    <s v="27/12/2021"/>
    <m/>
    <s v="Comida MARIA JOSE GARCIA"/>
    <n v="5359642"/>
    <m/>
    <n v="32120"/>
    <s v="Boleta"/>
    <m/>
    <x v="2"/>
  </r>
  <r>
    <s v="27/12/2021"/>
    <m/>
    <s v="Yeso para marcar caminos  FERRETERIA HARCHA"/>
    <n v="5341849"/>
    <m/>
    <n v="17793"/>
    <s v="Boleta"/>
    <m/>
    <x v="8"/>
  </r>
  <r>
    <s v="27/12/2021"/>
    <m/>
    <s v="Almuerzo PRONTO COPEC LOS"/>
    <n v="5329549"/>
    <m/>
    <n v="12300"/>
    <s v="Boleta"/>
    <m/>
    <x v="2"/>
  </r>
  <r>
    <s v="27/12/2021"/>
    <m/>
    <s v="Comida SUPERMERCADO BIG"/>
    <n v="5319349"/>
    <m/>
    <n v="10200"/>
    <s v="Boleta"/>
    <m/>
    <x v="2"/>
  </r>
  <r>
    <s v="29/12/2021"/>
    <m/>
    <s v="Alambre y aisladores para cerco COLUN"/>
    <n v="5314143"/>
    <m/>
    <n v="5206"/>
    <s v="Boleta"/>
    <m/>
    <x v="1"/>
  </r>
  <r>
    <s v="29/12/2021"/>
    <m/>
    <s v="Bencina  COPEC COM. Y SER."/>
    <n v="5260141"/>
    <m/>
    <n v="54002"/>
    <s v="Boleta"/>
    <m/>
    <x v="2"/>
  </r>
  <r>
    <s v="29/12/2021"/>
    <m/>
    <s v="Almuerzo MILU"/>
    <n v="5225161"/>
    <m/>
    <n v="34980"/>
    <s v="Boleta"/>
    <m/>
    <x v="2"/>
  </r>
  <r>
    <s v="29/12/2021"/>
    <m/>
    <s v="Comida MARIA JOSE GARCIA"/>
    <n v="5191501"/>
    <m/>
    <n v="33660"/>
    <s v="Boleta"/>
    <m/>
    <x v="2"/>
  </r>
  <r>
    <s v="29/12/2021"/>
    <m/>
    <s v="Cmida SUPERMERCADO MONT"/>
    <n v="5180691"/>
    <m/>
    <n v="10810"/>
    <s v="Boleta"/>
    <m/>
    <x v="2"/>
  </r>
  <r>
    <s v="29/12/2021"/>
    <m/>
    <s v="Aisladores finales COLUN"/>
    <n v="5170526"/>
    <m/>
    <n v="10165"/>
    <s v="Boleta"/>
    <m/>
    <x v="1"/>
  </r>
  <r>
    <s v="29/12/2021"/>
    <m/>
    <s v="Comida DONDE LA INGRID"/>
    <n v="5168826"/>
    <m/>
    <n v="1700"/>
    <s v="Boleta"/>
    <m/>
    <x v="2"/>
  </r>
  <r>
    <s v="30/12/2021"/>
    <m/>
    <s v="Comida SUPERMERCADO BIG"/>
    <n v="5167526"/>
    <m/>
    <n v="1300"/>
    <s v="Boleta"/>
    <m/>
    <x v="2"/>
  </r>
  <r>
    <s v="30/12/2021"/>
    <m/>
    <s v="Alojamiento Futrono SUMUPLa Casona SP"/>
    <n v="4725126"/>
    <m/>
    <n v="442400"/>
    <s v="Factura"/>
    <s v="Esta factura es de 632.001 (reserva 189.601)"/>
    <x v="2"/>
  </r>
  <r>
    <s v="30/12/2021"/>
    <m/>
    <s v="Bencina SHELL RUTA 5 SUR"/>
    <n v="4685125"/>
    <m/>
    <n v="40001"/>
    <s v="Boleta"/>
    <m/>
    <x v="2"/>
  </r>
  <r>
    <s v="30/12/2021"/>
    <m/>
    <s v="Comisa MARIA JOSE GARCIA"/>
    <n v="4655480"/>
    <m/>
    <n v="29645"/>
    <s v="Boleta"/>
    <m/>
    <x v="2"/>
  </r>
  <r>
    <s v="30/12/2021"/>
    <m/>
    <s v="Compra SHELL TIENDA"/>
    <n v="4652900"/>
    <m/>
    <n v="2580"/>
    <s v="Boleta"/>
    <m/>
    <x v="2"/>
  </r>
  <r>
    <s v="03/01/2022"/>
    <m/>
    <s v="Almuerzo CECINAS SOLER"/>
    <n v="4633320"/>
    <m/>
    <n v="19580"/>
    <s v="Boleta"/>
    <m/>
    <x v="2"/>
  </r>
  <r>
    <s v="03/01/2022"/>
    <m/>
    <s v="Bencina Copec"/>
    <n v="4581316"/>
    <m/>
    <n v="52004"/>
    <s v="Boleta"/>
    <m/>
    <x v="2"/>
  </r>
  <r>
    <s v="03/01/2022"/>
    <m/>
    <s v="Transf.Internet a 15.269.912-3. Maquina camino Juan."/>
    <n v="3337766"/>
    <m/>
    <n v="1243550"/>
    <s v="Factura"/>
    <m/>
    <x v="8"/>
  </r>
  <r>
    <s v="04/01/2022"/>
    <m/>
    <s v="Bencina Copec"/>
    <n v="3287763"/>
    <m/>
    <n v="50003"/>
    <s v="Boleta"/>
    <m/>
    <x v="2"/>
  </r>
  <r>
    <s v="04/01/2022"/>
    <m/>
    <s v="Comida PRONTO COPEC PARR"/>
    <n v="3284163"/>
    <m/>
    <n v="3600"/>
    <s v="Boleta"/>
    <m/>
    <x v="2"/>
  </r>
  <r>
    <s v="05/01/2022"/>
    <m/>
    <s v="Comida PRONTO COPEC LOS"/>
    <n v="3275463"/>
    <m/>
    <n v="8700"/>
    <s v="Boleta"/>
    <m/>
    <x v="2"/>
  </r>
  <r>
    <s v="05/01/2022"/>
    <m/>
    <s v="Bencina SHELL F634 LOS LA"/>
    <n v="3221445"/>
    <m/>
    <n v="54018"/>
    <s v="Boleta"/>
    <m/>
    <x v="2"/>
  </r>
  <r>
    <s v="05/01/2022"/>
    <m/>
    <s v="Comida Futrono MARIA JOSE GARCIA"/>
    <n v="3191085"/>
    <m/>
    <n v="30360"/>
    <s v="Boleta"/>
    <m/>
    <x v="2"/>
  </r>
  <r>
    <s v="05/01/2022"/>
    <m/>
    <s v="Comida DONDE LA INGRID"/>
    <n v="3182005"/>
    <m/>
    <n v="9080"/>
    <s v="Boleta"/>
    <m/>
    <x v="2"/>
  </r>
  <r>
    <s v="05/01/2022"/>
    <m/>
    <s v="Comida SUPERMERCADO MONT"/>
    <n v="3172425"/>
    <m/>
    <n v="9580"/>
    <s v="Boleta"/>
    <m/>
    <x v="1"/>
  </r>
  <r>
    <s v="06/01/2022"/>
    <m/>
    <s v="Comida SUPERMERCADO BIG"/>
    <n v="3163725"/>
    <m/>
    <n v="8700"/>
    <s v="Boleta"/>
    <m/>
    <x v="1"/>
  </r>
  <r>
    <s v="06/01/2022"/>
    <m/>
    <s v="Comida SUPERMERCADO BIG"/>
    <n v="3154275"/>
    <m/>
    <n v="9450"/>
    <s v="Boleta"/>
    <m/>
    <x v="1"/>
  </r>
  <r>
    <s v="06/01/2022"/>
    <m/>
    <s v="Sierra FERRETERIA HARCHA"/>
    <n v="3150524"/>
    <m/>
    <n v="3751"/>
    <s v="Boleta"/>
    <m/>
    <x v="8"/>
  </r>
  <r>
    <s v="06/01/2022"/>
    <m/>
    <s v="Tubos PVC FERRETERIA HARCHA"/>
    <n v="3140927"/>
    <m/>
    <n v="9597"/>
    <s v="Boleta"/>
    <n v="-1"/>
    <x v="8"/>
  </r>
  <r>
    <s v="06/01/2022"/>
    <m/>
    <s v="Comida SUMUPSaez Edwards"/>
    <n v="3096817"/>
    <m/>
    <n v="44110"/>
    <s v="Boleta"/>
    <m/>
    <x v="1"/>
  </r>
  <r>
    <s v="07/01/2022"/>
    <m/>
    <s v="Bencina COPEC COM. Y SER."/>
    <n v="3043172"/>
    <m/>
    <n v="53645"/>
    <s v="Boleta"/>
    <m/>
    <x v="2"/>
  </r>
  <r>
    <s v="07/01/2022"/>
    <m/>
    <s v="Tubos PVC marca caminos FERRETERIA HARCHA"/>
    <n v="3010629"/>
    <m/>
    <n v="32543"/>
    <s v="Boleta"/>
    <m/>
    <x v="8"/>
  </r>
  <r>
    <s v="07/01/2022"/>
    <m/>
    <s v="Comida VITUPERIO EIRL"/>
    <n v="2985779"/>
    <m/>
    <n v="24850"/>
    <s v="Boleta"/>
    <m/>
    <x v="2"/>
  </r>
  <r>
    <s v="07/01/2022"/>
    <m/>
    <s v="Comida SUPERMERCADO BIG"/>
    <n v="2979209"/>
    <m/>
    <n v="6570"/>
    <s v="Boleta"/>
    <m/>
    <x v="2"/>
  </r>
  <r>
    <s v="10/01/2022"/>
    <m/>
    <s v="Pago Rodemir Excavadora semana 03-07 enero 2022 076278551K"/>
    <n v="1414478"/>
    <m/>
    <n v="1564731"/>
    <s v="Factura"/>
    <m/>
    <x v="8"/>
  </r>
  <r>
    <s v="10/01/2022"/>
    <m/>
    <s v="Bencina SHELL ANTUNEZ 249"/>
    <n v="1364478"/>
    <m/>
    <n v="50000"/>
    <s v="Boleta"/>
    <m/>
    <x v="2"/>
  </r>
  <r>
    <s v="10/01/2022"/>
    <m/>
    <s v="Bencina COPEC LOS ANGELES"/>
    <n v="1307975"/>
    <m/>
    <n v="56503"/>
    <s v="Boleta"/>
    <m/>
    <x v="2"/>
  </r>
  <r>
    <s v="10/01/2022"/>
    <m/>
    <s v="Comida PRONTO COPEC LOS"/>
    <n v="1297175"/>
    <m/>
    <n v="10800"/>
    <s v="Boleta"/>
    <m/>
    <x v="2"/>
  </r>
  <r>
    <s v="10/01/2022"/>
    <m/>
    <s v="Comida PANADERIA BRAVO"/>
    <n v="1288175"/>
    <m/>
    <n v="9000"/>
    <s v="Boleta"/>
    <m/>
    <x v="2"/>
  </r>
  <r>
    <s v="10/01/2022"/>
    <m/>
    <s v="Comisa SUPERMERCADO BIG"/>
    <n v="1284105"/>
    <m/>
    <n v="4070"/>
    <s v="Boleta"/>
    <m/>
    <x v="2"/>
  </r>
  <r>
    <s v="10/01/2022"/>
    <m/>
    <s v="Comida cafe MILU"/>
    <n v="1248025"/>
    <m/>
    <n v="36080"/>
    <s v="Boleta"/>
    <m/>
    <x v="2"/>
  </r>
  <r>
    <s v="11/01/2022"/>
    <m/>
    <s v="Pago Williams Retroexcavadora 77.080.411-6"/>
    <n v="1064765"/>
    <m/>
    <n v="183260"/>
    <s v="Factura"/>
    <m/>
    <x v="8"/>
  </r>
  <r>
    <s v="13/01/2022"/>
    <m/>
    <s v="Reembolso 3"/>
    <n v="342580"/>
    <m/>
    <n v="722185"/>
    <s v="Detalle reembolso en pestaña"/>
    <m/>
    <x v="1"/>
  </r>
  <r>
    <s v="17/01/2022"/>
    <m/>
    <s v="Topografo toma de caminos trazados"/>
    <n v="-73920"/>
    <m/>
    <n v="416500"/>
    <s v="Factura"/>
    <m/>
    <x v="6"/>
  </r>
  <r>
    <s v="17/01/2022"/>
    <m/>
    <s v="Linea de sobregiro"/>
    <n v="0"/>
    <n v="73920"/>
    <m/>
    <s v="Cuenta corriente"/>
    <m/>
    <x v="9"/>
  </r>
  <r>
    <s v="20/01/2022"/>
    <m/>
    <s v="Prestamo desde Tregualemu SpA /Ecox SpA para cubrir flujo de caja (total 20 mm 7+13)"/>
    <n v="7000000"/>
    <n v="7000000"/>
    <m/>
    <s v="Transferencia"/>
    <m/>
    <x v="10"/>
  </r>
  <r>
    <s v="20/01/2022"/>
    <m/>
    <s v="Notaria EP de fusion de predios"/>
    <n v="6920000"/>
    <m/>
    <n v="80000"/>
    <s v="Boleta"/>
    <m/>
    <x v="7"/>
  </r>
  <r>
    <s v="20/01/2022"/>
    <m/>
    <s v="Pago linea de sobregiro"/>
    <n v="6846080"/>
    <m/>
    <n v="73920"/>
    <s v="Cuenta corriente"/>
    <m/>
    <x v="9"/>
  </r>
  <r>
    <s v="21/01/2022"/>
    <m/>
    <s v="Pago Sondajes"/>
    <n v="3335580"/>
    <m/>
    <n v="3510500"/>
    <s v="Factura"/>
    <m/>
    <x v="5"/>
  </r>
  <r>
    <s v="24/01/2022"/>
    <m/>
    <s v="Envio plano fusion al CBR Los Lagos"/>
    <n v="3328810"/>
    <m/>
    <n v="6770"/>
    <m/>
    <m/>
    <x v="6"/>
  </r>
  <r>
    <s v="25/01/2022"/>
    <m/>
    <s v="Pago excavadora"/>
    <n v="328810"/>
    <m/>
    <n v="3000000"/>
    <m/>
    <m/>
    <x v="8"/>
  </r>
  <r>
    <s v="28/01/2022"/>
    <m/>
    <s v="Prestamo desde Tregualemu SpA / Ecox Spa para cubrir flujo de caja (total 20 mm 7+13)"/>
    <n v="13328810"/>
    <n v="13000000"/>
    <m/>
    <m/>
    <m/>
    <x v="10"/>
  </r>
  <r>
    <s v="31/01/2022"/>
    <m/>
    <s v="Pago excavadora"/>
    <n v="12829853"/>
    <m/>
    <n v="498957"/>
    <m/>
    <m/>
    <x v="8"/>
  </r>
  <r>
    <s v="31/01/2022"/>
    <m/>
    <s v="Pago CBR Los Lagos para inscribir fusion de lotes"/>
    <n v="12324366"/>
    <m/>
    <n v="505487"/>
    <m/>
    <m/>
    <x v="6"/>
  </r>
  <r>
    <d v="2022-02-02T00:00:00"/>
    <m/>
    <s v="Interes linea de credito"/>
    <n v="12324134"/>
    <m/>
    <n v="232"/>
    <m/>
    <m/>
    <x v="9"/>
  </r>
  <r>
    <d v="2022-02-02T00:00:00"/>
    <m/>
    <s v="Impuesto sobregiro"/>
    <n v="12324085"/>
    <m/>
    <n v="49"/>
    <m/>
    <m/>
    <x v="9"/>
  </r>
  <r>
    <d v="2022-02-08T00:00:00"/>
    <m/>
    <s v="Impresión Plano TEKKROM"/>
    <n v="12315805"/>
    <m/>
    <n v="8280"/>
    <s v="Boleta"/>
    <m/>
    <x v="6"/>
  </r>
  <r>
    <d v="2022-02-08T00:00:00"/>
    <m/>
    <s v="Bencina Copec"/>
    <n v="12293304"/>
    <m/>
    <n v="22501"/>
    <s v="Boleta"/>
    <m/>
    <x v="2"/>
  </r>
  <r>
    <d v="2022-02-08T00:00:00"/>
    <m/>
    <s v="Transf.Internet a 076278551K Rodemir"/>
    <n v="8700099"/>
    <m/>
    <n v="3593205"/>
    <s v="Boleta"/>
    <m/>
    <x v="8"/>
  </r>
  <r>
    <d v="2022-02-10T00:00:00"/>
    <m/>
    <s v="Comida supermercado Mont"/>
    <n v="8696349"/>
    <m/>
    <n v="3750"/>
    <s v="Boleta"/>
    <m/>
    <x v="2"/>
  </r>
  <r>
    <d v="2022-02-10T00:00:00"/>
    <m/>
    <s v="Comida supermercado Mont"/>
    <n v="8692109"/>
    <m/>
    <n v="4240"/>
    <s v="Boleta"/>
    <m/>
    <x v="2"/>
  </r>
  <r>
    <d v="2022-02-10T00:00:00"/>
    <m/>
    <s v="Comida Copec"/>
    <n v="8690609"/>
    <m/>
    <n v="1500"/>
    <s v="Boleta"/>
    <m/>
    <x v="2"/>
  </r>
  <r>
    <d v="2022-02-10T00:00:00"/>
    <m/>
    <s v="Comida Copec Lautaro"/>
    <n v="8688009"/>
    <m/>
    <n v="2600"/>
    <s v="Boleta"/>
    <m/>
    <x v="2"/>
  </r>
  <r>
    <d v="2022-02-10T00:00:00"/>
    <m/>
    <s v="Bencina Copec Lautaro"/>
    <n v="8650175"/>
    <m/>
    <n v="37834"/>
    <s v="Boleta"/>
    <m/>
    <x v="2"/>
  </r>
  <r>
    <d v="2022-02-11T00:00:00"/>
    <m/>
    <s v="Comida Copec"/>
    <n v="8630175"/>
    <m/>
    <n v="20000"/>
    <m/>
    <m/>
    <x v="2"/>
  </r>
  <r>
    <d v="2022-02-11T00:00:00"/>
    <m/>
    <s v="Bencina Copec"/>
    <n v="8570175"/>
    <m/>
    <n v="60000"/>
    <s v="Boleta"/>
    <m/>
    <x v="2"/>
  </r>
  <r>
    <d v="2022-02-11T00:00:00"/>
    <m/>
    <s v="Compra C Y C"/>
    <n v="8527154"/>
    <m/>
    <n v="43021"/>
    <s v="Boleta"/>
    <m/>
    <x v="2"/>
  </r>
  <r>
    <d v="2022-02-11T00:00:00"/>
    <m/>
    <s v="Comida supermercado Mont"/>
    <n v="8521434"/>
    <m/>
    <n v="5720"/>
    <m/>
    <m/>
    <x v="2"/>
  </r>
  <r>
    <d v="2022-02-14T00:00:00"/>
    <m/>
    <s v="Comida Copec"/>
    <n v="8471434"/>
    <m/>
    <n v="50000"/>
    <m/>
    <m/>
    <x v="2"/>
  </r>
  <r>
    <d v="2022-02-14T00:00:00"/>
    <m/>
    <s v="Comida Copec"/>
    <n v="8462234"/>
    <m/>
    <n v="9200"/>
    <m/>
    <m/>
    <x v="2"/>
  </r>
  <r>
    <d v="2022-02-18T00:00:00"/>
    <m/>
    <s v="Reserva Parcela H-3 DANIEL EDUARDO AMENABAR GROVE"/>
    <n v="8962234"/>
    <n v="500000"/>
    <m/>
    <s v="Transferencia y recibo"/>
    <m/>
    <x v="11"/>
  </r>
  <r>
    <d v="2022-02-21T00:00:00"/>
    <m/>
    <s v="Reserva Parcela O-6 Nicolas Pablo Cifuentes Munoz"/>
    <n v="9112234"/>
    <n v="150000"/>
    <m/>
    <s v="Transferencia y recibo"/>
    <m/>
    <x v="11"/>
  </r>
  <r>
    <d v="2022-02-21T00:00:00"/>
    <m/>
    <s v="Reserva Parcela I-1 GALVEZ PEREZ JOSE ALEJANDRO"/>
    <n v="9162234"/>
    <n v="50000"/>
    <m/>
    <s v="Transferencia y recibo"/>
    <m/>
    <x v="11"/>
  </r>
  <r>
    <d v="2022-02-21T00:00:00"/>
    <m/>
    <s v="Reserva Parcela O-3 Michael Matias Munoz Morales"/>
    <n v="9462234"/>
    <n v="300000"/>
    <m/>
    <s v="Transferencia y recibo"/>
    <m/>
    <x v="11"/>
  </r>
  <r>
    <d v="2022-02-21T00:00:00"/>
    <m/>
    <s v="Reserva Parcela I-1 GALVEZ PEREZ JOSE ALEJANDRO"/>
    <n v="9562234"/>
    <n v="100000"/>
    <m/>
    <s v="Transferencia y recibo"/>
    <m/>
    <x v="11"/>
  </r>
  <r>
    <d v="2022-02-21T00:00:00"/>
    <m/>
    <s v="Reserva Parcela I-1 GALVEZ PEREZ JOSE ALEJANDRO"/>
    <n v="9812234"/>
    <n v="250000"/>
    <m/>
    <s v="Transferencia y recibo"/>
    <m/>
    <x v="11"/>
  </r>
  <r>
    <d v="2022-02-21T00:00:00"/>
    <m/>
    <s v="Reserva Parcela O-6 Nicolas Pablo Cifuentes Munoz"/>
    <n v="10162234"/>
    <n v="350000"/>
    <m/>
    <s v="Transferencia y recibo"/>
    <m/>
    <x v="11"/>
  </r>
  <r>
    <d v="2022-02-21T00:00:00"/>
    <m/>
    <s v="Reserva Parcela I-1 GALVEZ PEREZ JOSE ALEJANDRO"/>
    <n v="10262234"/>
    <n v="100000"/>
    <m/>
    <s v="Transferencia y recibo"/>
    <m/>
    <x v="11"/>
  </r>
  <r>
    <d v="2022-02-21T00:00:00"/>
    <m/>
    <s v="Reserva Parcela O-3 Michael Matias Munoz Morales"/>
    <n v="10462234"/>
    <n v="200000"/>
    <m/>
    <s v="Transferencia y recibo"/>
    <m/>
    <x v="11"/>
  </r>
  <r>
    <d v="2022-02-21T00:00:00"/>
    <m/>
    <s v="Reserva Parcela J-3 y J-5 Jorge Hiriart de la Cruz"/>
    <n v="11462234"/>
    <n v="1000000"/>
    <m/>
    <s v="Transferencia y recibo"/>
    <m/>
    <x v="11"/>
  </r>
  <r>
    <s v="21/02/2022"/>
    <m/>
    <s v="Transf.Internet a 76.518.531-9 - Pozo nontuela"/>
    <n v="2810934"/>
    <m/>
    <n v="8651300"/>
    <s v="Factura"/>
    <m/>
    <x v="5"/>
  </r>
  <r>
    <s v="22/02/2022"/>
    <m/>
    <s v="Reserva Parcela  0-4 Claudia Andrea Levin Vidal"/>
    <n v="3010934"/>
    <n v="200000"/>
    <m/>
    <s v="Transferencia y recibo"/>
    <m/>
    <x v="11"/>
  </r>
  <r>
    <d v="2022-02-23T00:00:00"/>
    <m/>
    <s v="Reserva Parcela 0-4 Claudia Andrea Levin Vidal"/>
    <n v="3310934"/>
    <n v="300000"/>
    <m/>
    <s v="Transferencia y recibo"/>
    <m/>
    <x v="11"/>
  </r>
  <r>
    <d v="2022-02-24T00:00:00"/>
    <m/>
    <s v="Reembolso Ecox Pago alojamiento airbnb"/>
    <n v="3093686"/>
    <m/>
    <n v="217248"/>
    <s v="Recibo airbnb"/>
    <m/>
    <x v="2"/>
  </r>
  <r>
    <d v="2022-02-25T00:00:00"/>
    <m/>
    <s v="Pago excavadora"/>
    <n v="309443"/>
    <m/>
    <n v="2784243"/>
    <s v="Factura 400"/>
    <m/>
    <x v="8"/>
  </r>
  <r>
    <d v="2022-02-24T00:00:00"/>
    <m/>
    <s v="Mantención Plan Cta Cte Santander"/>
    <n v="303197"/>
    <m/>
    <n v="6246"/>
    <s v="Cargo en cta cte"/>
    <m/>
    <x v="9"/>
  </r>
  <r>
    <d v="2022-03-02T00:00:00"/>
    <m/>
    <s v="Reserva Parcela H-6 Stefanía Pavlov de la Fuente"/>
    <n v="553197"/>
    <n v="250000"/>
    <m/>
    <s v="Transferencia y recibo"/>
    <m/>
    <x v="11"/>
  </r>
  <r>
    <d v="2022-03-02T00:00:00"/>
    <m/>
    <s v="Impresión Planos TEKKROM para presentación SAG"/>
    <n v="521425"/>
    <m/>
    <n v="31772"/>
    <s v="Boleta"/>
    <m/>
    <x v="6"/>
  </r>
  <r>
    <d v="2022-03-02T00:00:00"/>
    <m/>
    <s v="Envío Chilexpress Planos a Topógrafo"/>
    <n v="512925"/>
    <m/>
    <n v="8500"/>
    <s v="Boleta"/>
    <m/>
    <x v="6"/>
  </r>
  <r>
    <d v="2022-03-02T00:00:00"/>
    <m/>
    <s v="Prestamo desde Ecox SpA para cubrir flujo de caja"/>
    <n v="5512925"/>
    <n v="5000000"/>
    <m/>
    <m/>
    <m/>
    <x v="10"/>
  </r>
  <r>
    <d v="2022-03-02T00:00:00"/>
    <m/>
    <s v="Primer 50% Final Honorarios La Nube Fotos aéreas, página y logo "/>
    <n v="4512925"/>
    <m/>
    <n v="1000000"/>
    <s v="Factura"/>
    <m/>
    <x v="4"/>
  </r>
  <r>
    <d v="2022-03-03T00:00:00"/>
    <m/>
    <s v="Reserva Parcela H-6 Stefanía Pavlov de la Fuente"/>
    <n v="4762925"/>
    <n v="250000"/>
    <m/>
    <s v="Transferencia y recibo"/>
    <m/>
    <x v="11"/>
  </r>
  <r>
    <d v="2022-03-04T00:00:00"/>
    <m/>
    <s v="Re Impresión Planos TEKKROM para presentación SAG"/>
    <n v="4734851"/>
    <m/>
    <n v="28074"/>
    <s v="Boleta"/>
    <m/>
    <x v="6"/>
  </r>
  <r>
    <d v="2022-03-04T00:00:00"/>
    <m/>
    <s v="Segundo envío Chilexpress Planos a Topógrafo"/>
    <n v="4726351"/>
    <m/>
    <n v="8500"/>
    <s v="Boleta"/>
    <m/>
    <x v="6"/>
  </r>
  <r>
    <d v="2022-03-09T00:00:00"/>
    <m/>
    <s v="Reserva Parcela H-8 Ricardo Burmeister"/>
    <n v="4976351"/>
    <n v="250000"/>
    <m/>
    <s v="Transferencia y recibo"/>
    <m/>
    <x v="11"/>
  </r>
  <r>
    <d v="2022-03-10T00:00:00"/>
    <m/>
    <s v="Reserva Parcela H-8 Ricardo Burmeister"/>
    <n v="5226351"/>
    <n v="250000"/>
    <m/>
    <s v="Transferencia y recibo"/>
    <m/>
    <x v="11"/>
  </r>
  <r>
    <d v="2022-03-14T00:00:00"/>
    <m/>
    <s v="Pago derechos ingreso subdivisión SAG"/>
    <n v="5212467"/>
    <m/>
    <n v="13884"/>
    <s v="Transferencia"/>
    <m/>
    <x v="6"/>
  </r>
  <r>
    <d v="2022-03-21T00:00:00"/>
    <m/>
    <s v="Honorarios contabilidad"/>
    <n v="4895588"/>
    <m/>
    <n v="316879"/>
    <s v="Factura"/>
    <m/>
    <x v="12"/>
  </r>
  <r>
    <d v="2022-03-29T00:00:00"/>
    <m/>
    <s v="Pago la nube fotos 360 parcelas"/>
    <n v="795588"/>
    <m/>
    <n v="4100000"/>
    <s v="Factura"/>
    <m/>
    <x v="4"/>
  </r>
  <r>
    <d v="2022-03-29T00:00:00"/>
    <m/>
    <s v="Mantención Plan Cta Cte Santander"/>
    <n v="789277"/>
    <m/>
    <n v="6311"/>
    <s v="Cargo en cta cte"/>
    <m/>
    <x v="9"/>
  </r>
  <r>
    <d v="2022-04-01T00:00:00"/>
    <m/>
    <s v="Pago sueldo Hector Varela"/>
    <n v="289277"/>
    <m/>
    <n v="500000"/>
    <s v="Liquidación Pendiente"/>
    <m/>
    <x v="13"/>
  </r>
  <r>
    <d v="2022-04-01T00:00:00"/>
    <m/>
    <s v="Pago cotizaciones"/>
    <n v="147660"/>
    <m/>
    <n v="141617"/>
    <s v="Planillas"/>
    <m/>
    <x v="13"/>
  </r>
  <r>
    <d v="2022-04-13T00:00:00"/>
    <m/>
    <s v="Impresión Planos TEKKROM para presentación SAG"/>
    <n v="57379"/>
    <m/>
    <n v="90281"/>
    <s v="Factura"/>
    <m/>
    <x v="6"/>
  </r>
  <r>
    <d v="2022-04-13T00:00:00"/>
    <m/>
    <s v="Envío Chilexpress Planos a Topógrafo"/>
    <n v="47869"/>
    <m/>
    <n v="9510"/>
    <s v="Boleta"/>
    <m/>
    <x v="6"/>
  </r>
  <r>
    <d v="2022-04-25T00:00:00"/>
    <m/>
    <s v="Pago contribuiciones cuotas abril y junio 2022"/>
    <n v="32775"/>
    <m/>
    <n v="15094"/>
    <s v="Comprobante TGR"/>
    <m/>
    <x v="14"/>
  </r>
  <r>
    <d v="2022-04-27T00:00:00"/>
    <m/>
    <s v="Mantención Plan Cta Cte Santander"/>
    <n v="26426"/>
    <m/>
    <n v="6349"/>
    <s v="Cargo en cta cte"/>
    <m/>
    <x v="9"/>
  </r>
  <r>
    <d v="2022-05-11T00:00:00"/>
    <m/>
    <s v="Pago indemnización Expropiación "/>
    <n v="2840503"/>
    <n v="2814077"/>
    <m/>
    <s v="Sentencia"/>
    <m/>
    <x v="1"/>
  </r>
  <r>
    <d v="2022-05-16T00:00:00"/>
    <m/>
    <s v="Abono mitad pago estacado"/>
    <n v="1490503"/>
    <m/>
    <n v="1350000"/>
    <s v="Factura"/>
    <m/>
    <x v="6"/>
  </r>
  <r>
    <d v="2022-05-25T00:00:00"/>
    <m/>
    <s v="Pago SII F 29"/>
    <n v="1485903"/>
    <m/>
    <n v="4600"/>
    <s v="Formulario"/>
    <m/>
    <x v="14"/>
  </r>
  <r>
    <d v="2022-05-27T00:00:00"/>
    <m/>
    <s v="Mantención Plan Cta Cte Santander"/>
    <n v="1476256"/>
    <m/>
    <n v="9647"/>
    <s v="Cargo en cta cte"/>
    <m/>
    <x v="9"/>
  </r>
  <r>
    <d v="2022-05-31T00:00:00"/>
    <m/>
    <s v="Transferencia Pie O-4 Alicia Levin - Pago por Claudia Andrea González"/>
    <n v="5476256"/>
    <n v="4000000"/>
    <m/>
    <s v="Contrato compraventa"/>
    <m/>
    <x v="11"/>
  </r>
  <r>
    <d v="2022-06-01T00:00:00"/>
    <m/>
    <s v="Sueldo Cuidador Hernan Varela"/>
    <n v="4976256"/>
    <m/>
    <n v="500000"/>
    <m/>
    <m/>
    <x v="13"/>
  </r>
  <r>
    <d v="2022-06-01T00:00:00"/>
    <m/>
    <s v="Transferencia Pie H-2 Dianiel Amenabar"/>
    <n v="9976256"/>
    <n v="5000000"/>
    <m/>
    <s v="Contrato promesa compraventa"/>
    <m/>
    <x v="11"/>
  </r>
  <r>
    <d v="2022-06-02T00:00:00"/>
    <m/>
    <s v="Autorización poder para derechos de agua"/>
    <n v="9966256"/>
    <m/>
    <n v="10000"/>
    <m/>
    <m/>
    <x v="5"/>
  </r>
  <r>
    <d v="2022-06-02T00:00:00"/>
    <m/>
    <s v="Escaneo plano original"/>
    <n v="9959680"/>
    <m/>
    <n v="6576"/>
    <m/>
    <m/>
    <x v="6"/>
  </r>
  <r>
    <d v="2022-06-03T00:00:00"/>
    <m/>
    <s v="Pago cotizaciones"/>
    <n v="9818001"/>
    <m/>
    <n v="141679"/>
    <s v="Previred"/>
    <m/>
    <x v="13"/>
  </r>
  <r>
    <d v="2022-06-03T00:00:00"/>
    <m/>
    <s v="Transferencia Pie H-8 Stefanía Pavlov"/>
    <n v="14818001"/>
    <n v="5000000"/>
    <m/>
    <s v="Promesa de compraventa"/>
    <m/>
    <x v="11"/>
  </r>
  <r>
    <d v="2022-06-03T00:00:00"/>
    <m/>
    <s v="Transferencia Pie H-8 Stefanía Pavlov"/>
    <n v="15118001"/>
    <n v="300000"/>
    <m/>
    <s v="Promesa de compraventa"/>
    <m/>
    <x v="11"/>
  </r>
  <r>
    <d v="2022-06-06T00:00:00"/>
    <m/>
    <s v="Transferencia Pie H-8 Stefanía Pavlov"/>
    <n v="20118001"/>
    <n v="5000000"/>
    <m/>
    <s v="Promesa de compraventa"/>
    <m/>
    <x v="11"/>
  </r>
  <r>
    <d v="2022-06-06T00:00:00"/>
    <m/>
    <s v="Transferencia Pie H-8 Stefanía Pavlov"/>
    <n v="25118001"/>
    <n v="5000000"/>
    <m/>
    <s v="Promesa de compraventa"/>
    <m/>
    <x v="11"/>
  </r>
  <r>
    <d v="2022-06-06T00:00:00"/>
    <m/>
    <s v="Transferencia Pie H-8 Stefanía Pavlov"/>
    <n v="30118001"/>
    <n v="5000000"/>
    <m/>
    <s v="Promesa de compraventa"/>
    <m/>
    <x v="11"/>
  </r>
  <r>
    <d v="2022-06-07T00:00:00"/>
    <m/>
    <s v="Abono pago números parcelas"/>
    <n v="29386751"/>
    <m/>
    <n v="731250"/>
    <s v="Boleta electrónica"/>
    <m/>
    <x v="6"/>
  </r>
  <r>
    <d v="2022-06-07T00:00:00"/>
    <m/>
    <s v="Transferencia Pie H-8 Stefanía Pavlov"/>
    <n v="33148330"/>
    <n v="3761579"/>
    <m/>
    <s v="Promesa de compraventa"/>
    <m/>
    <x v="11"/>
  </r>
  <r>
    <d v="2022-06-07T00:00:00"/>
    <m/>
    <s v="Devolucion prestamo adicional Ecox."/>
    <n v="8148330"/>
    <m/>
    <n v="25000000"/>
    <s v="Devuelve prestamo 20.01.2022 y 28.01.2022"/>
    <m/>
    <x v="10"/>
  </r>
  <r>
    <d v="2022-06-07T00:00:00"/>
    <m/>
    <s v="Gasto notaria"/>
    <n v="8068330"/>
    <m/>
    <n v="80000"/>
    <s v="Cuenta corriente"/>
    <m/>
    <x v="7"/>
  </r>
  <r>
    <d v="2022-06-08T00:00:00"/>
    <m/>
    <s v="F29"/>
    <n v="7864163"/>
    <m/>
    <n v="204167"/>
    <s v="Cuenta corriente y Formulario 29"/>
    <m/>
    <x v="14"/>
  </r>
  <r>
    <d v="2022-06-13T00:00:00"/>
    <m/>
    <s v="Reserva E-1 Felipe Theiler"/>
    <n v="8114163"/>
    <n v="250000"/>
    <m/>
    <s v="Promesa de compraventa"/>
    <m/>
    <x v="11"/>
  </r>
  <r>
    <d v="2022-06-13T00:00:00"/>
    <m/>
    <s v="Reserva E-1 Felipe Theiler"/>
    <n v="8364163"/>
    <n v="250000"/>
    <m/>
    <s v="Promesa de compraventa"/>
    <m/>
    <x v="11"/>
  </r>
  <r>
    <d v="2022-06-17T00:00:00"/>
    <m/>
    <s v="Compra J-2 y J-4 Jorge Hiriart de la Cruz"/>
    <n v="71364163"/>
    <n v="63000000"/>
    <m/>
    <s v="Escritura de compraventa"/>
    <m/>
    <x v="11"/>
  </r>
  <r>
    <s v="23/06/2022"/>
    <m/>
    <s v="0016019622K Transf. PATRICIO A - Reserva C-1"/>
    <n v="71614163"/>
    <n v="250000"/>
    <m/>
    <s v="Comprbante reserva"/>
    <m/>
    <x v="11"/>
  </r>
  <r>
    <s v="23/06/2022"/>
    <m/>
    <s v="Transf.Internet a 77.160.572-9. Reembolso de gastos 4"/>
    <n v="67623997"/>
    <m/>
    <n v="3990166"/>
    <s v="Detalle reembolso en pestaña"/>
    <m/>
    <x v="1"/>
  </r>
  <r>
    <s v="24/06/2022"/>
    <m/>
    <s v="0016019622K Transf. PATRICIO A - Reserva C-1"/>
    <n v="67873997"/>
    <n v="250000"/>
    <m/>
    <s v="Compraventa"/>
    <m/>
    <x v="11"/>
  </r>
  <r>
    <s v="24/06/2022"/>
    <m/>
    <s v="Inversión en Fondo Mutuo"/>
    <n v="12873997"/>
    <m/>
    <n v="55000000"/>
    <s v="Cuenta corriente"/>
    <m/>
    <x v="15"/>
  </r>
  <r>
    <s v="28/06/2022"/>
    <m/>
    <s v="COM.MANTENCION PLAN"/>
    <n v="12867458"/>
    <m/>
    <n v="6539"/>
    <s v="Cuenta corriente"/>
    <m/>
    <x v="9"/>
  </r>
  <r>
    <s v="29/06/2022"/>
    <m/>
    <s v="0016019622K Transf. PATRICIO A Abono pie C-1"/>
    <n v="17867458"/>
    <n v="5000000"/>
    <m/>
    <s v="Reserva"/>
    <m/>
    <x v="11"/>
  </r>
  <r>
    <s v="01/07/2022"/>
    <m/>
    <s v="00160980591 Transf.   Pie H-8 Stefanía Pavlov"/>
    <n v="18694958"/>
    <n v="827500"/>
    <m/>
    <s v="Promesa de compraventa"/>
    <m/>
    <x v="11"/>
  </r>
  <r>
    <s v="04/07/2022"/>
    <m/>
    <s v="Transf.Internet a 10.071.888-K. Sueldo Hector Varela"/>
    <n v="18194958"/>
    <m/>
    <n v="500000"/>
    <s v="Cuenta corriente"/>
    <m/>
    <x v="13"/>
  </r>
  <r>
    <s v="04/07/2022"/>
    <m/>
    <s v="PAGO EN LINEA PREVIRED. Pago Cotizaciones Hector Varela"/>
    <n v="18053279"/>
    <m/>
    <n v="141679"/>
    <s v="Cuenta corriente"/>
    <m/>
    <x v="14"/>
  </r>
  <r>
    <s v="04/07/2022"/>
    <m/>
    <s v="Transf.Internet a 65.013.096-0. Pago APR Felipe Hiriart "/>
    <n v="18028799"/>
    <m/>
    <n v="24480"/>
    <s v="Boleta"/>
    <m/>
    <x v="5"/>
  </r>
  <r>
    <s v="04/07/2022"/>
    <m/>
    <s v="0016019622K Transf. PATRICIO ARQUIS HARCHA  Abono pie C-1"/>
    <n v="23028799"/>
    <n v="5000000"/>
    <m/>
    <s v="Reserva"/>
    <m/>
    <x v="11"/>
  </r>
  <r>
    <s v="05/07/2022"/>
    <m/>
    <s v="0016019622K Transf. PATRICIO ARQUIS HARCHA  Abono pie C-1"/>
    <n v="27340999"/>
    <n v="4312200"/>
    <m/>
    <s v="Reserva"/>
    <m/>
    <x v="11"/>
  </r>
  <r>
    <s v="05/07/2022"/>
    <m/>
    <s v="0174030189 Transf. DANIEL EDUARDO AMENABAR Abono pie H-2"/>
    <n v="28098507"/>
    <n v="757508"/>
    <m/>
    <s v="Promesa de compraventa"/>
    <m/>
    <x v="11"/>
  </r>
  <r>
    <s v="05/07/2022"/>
    <m/>
    <s v="Depósito Documento Mismo Banco. Saldo Precio 0-4"/>
    <n v="73207701"/>
    <n v="45109194"/>
    <m/>
    <s v="Compraventa"/>
    <m/>
    <x v="11"/>
  </r>
  <r>
    <s v="06/07/2022"/>
    <m/>
    <s v="Transf.Internet a 16.647.851-0. Saldo estacas para numeros"/>
    <n v="72977701"/>
    <m/>
    <n v="230000"/>
    <s v="Boleta"/>
    <m/>
    <x v="6"/>
  </r>
  <r>
    <s v="06/07/2022"/>
    <m/>
    <s v="Transf.Internet a 16.370.375-0. Corretaje parcela 0-4"/>
    <n v="70885045"/>
    <m/>
    <n v="2092656"/>
    <s v="Boleta"/>
    <m/>
    <x v="16"/>
  </r>
  <r>
    <s v="07/07/2022"/>
    <m/>
    <s v="Inversión en Fondo Mutuo"/>
    <n v="8885045"/>
    <m/>
    <n v="62000000"/>
    <s v="Cuenta corriente"/>
    <m/>
    <x v="15"/>
  </r>
  <r>
    <s v="12/07/2022"/>
    <m/>
    <s v="PAGO EN LINEA S.I.I. F29"/>
    <n v="8761890"/>
    <m/>
    <n v="123155"/>
    <s v="Cuenta corriente"/>
    <m/>
    <x v="14"/>
  </r>
  <r>
    <s v="13/07/2022"/>
    <m/>
    <s v="Transf.Internet a 10.755.410-6. Gasto Notarial Notaria Rieutord. OT30261. Constitucion servidumbres"/>
    <n v="8681890"/>
    <m/>
    <n v="80000"/>
    <s v="Boleta"/>
    <m/>
    <x v="7"/>
  </r>
  <r>
    <s v="14/07/2022"/>
    <m/>
    <s v="00138820882 Transf. FELIPE THE Pie E-1"/>
    <n v="13681890"/>
    <n v="5000000"/>
    <m/>
    <s v="Promesa de compraventa"/>
    <m/>
    <x v="11"/>
  </r>
  <r>
    <s v="14/07/2022"/>
    <m/>
    <s v="0138820882 Transf. FELIPE GASPAR  Pie E-1"/>
    <n v="16181890"/>
    <n v="2500000"/>
    <m/>
    <s v="Promesa de compraventa"/>
    <m/>
    <x v="11"/>
  </r>
  <r>
    <s v="14/07/2022"/>
    <m/>
    <s v="0092119548 Transf. VALDEBENITO CUB Reserva E-2 (se devuelve el 26.07)"/>
    <n v="16231890"/>
    <n v="50000"/>
    <m/>
    <s v="Reserva"/>
    <m/>
    <x v="11"/>
  </r>
  <r>
    <s v="14/07/2022"/>
    <m/>
    <s v="Transf.Internet a 16.370.375-0 Comision sara por E-1"/>
    <n v="14638274"/>
    <m/>
    <n v="1593616"/>
    <s v="Boleta"/>
    <m/>
    <x v="16"/>
  </r>
  <r>
    <s v="14/07/2022"/>
    <m/>
    <s v="Transf.Internet a 77.424.209-0 Comision Remax por C-1"/>
    <n v="12564566"/>
    <m/>
    <n v="2073708"/>
    <s v="Factura"/>
    <m/>
    <x v="16"/>
  </r>
  <r>
    <s v="14/07/2022"/>
    <m/>
    <s v="Transf.Internet a 77.196.916-K Compra madera para cerco."/>
    <n v="8857166"/>
    <m/>
    <n v="3707400"/>
    <s v="Factura"/>
    <m/>
    <x v="17"/>
  </r>
  <r>
    <s v="15/07/2022"/>
    <m/>
    <s v="0092119548 Transf. VALDEBENITO CUB Reserva E-2 (se devuelve el 26.07)"/>
    <n v="9307166"/>
    <n v="450000"/>
    <m/>
    <s v="Reserva"/>
    <m/>
    <x v="11"/>
  </r>
  <r>
    <s v="18/07/2022"/>
    <m/>
    <s v="Transf.Internet a 10.755.410-6 Gasto notaria. Reglamento. "/>
    <n v="9247166"/>
    <m/>
    <n v="60000"/>
    <s v="Boleta"/>
    <m/>
    <x v="7"/>
  </r>
  <r>
    <s v="22/07/2022"/>
    <m/>
    <s v="0016019622K Transf. PATRICIO ARQUIS HARCHA  Abono pie C-1"/>
    <n v="14247166"/>
    <n v="5000000"/>
    <m/>
    <s v="Reserva"/>
    <m/>
    <x v="11"/>
  </r>
  <r>
    <s v="22/07/2022"/>
    <m/>
    <s v="Inversión en Fondo Mutuo"/>
    <n v="2247166"/>
    <m/>
    <n v="12000000"/>
    <s v="Cuenta corriente"/>
    <m/>
    <x v="15"/>
  </r>
  <r>
    <s v="25/07/2022"/>
    <m/>
    <s v="0016019622K Transf. PATRICIO ARQUIS HARCHA  Abono pie C-1"/>
    <n v="7247166"/>
    <n v="5000000"/>
    <m/>
    <s v="Reserva"/>
    <m/>
    <x v="11"/>
  </r>
  <r>
    <s v="26/07/2022"/>
    <m/>
    <s v="Transf.Internet a 9.211.954-8 Se devuelve reserva por E-2"/>
    <n v="6747166"/>
    <m/>
    <n v="500000"/>
    <s v="Cuenta corriente/ Mail"/>
    <m/>
    <x v="11"/>
  </r>
  <r>
    <s v="26/07/2022"/>
    <m/>
    <s v="0117032280 Transf. Carola Jacqueli Reserva C-3"/>
    <n v="7097166"/>
    <n v="350000"/>
    <m/>
    <s v="Reserva"/>
    <m/>
    <x v="11"/>
  </r>
  <r>
    <s v="26/07/2022"/>
    <m/>
    <s v="0016019622K Transf. PATRICIO ARQUIS HARCHA  Abono pie C-1"/>
    <n v="11909366"/>
    <n v="4812200"/>
    <m/>
    <s v="Reserva"/>
    <m/>
    <x v="11"/>
  </r>
  <r>
    <s v="27/07/2022"/>
    <m/>
    <s v="Inversión en Fondo Mutuo"/>
    <n v="2909366"/>
    <m/>
    <n v="9000000"/>
    <s v="Cuenta corriente"/>
    <m/>
    <x v="15"/>
  </r>
  <r>
    <s v="27/07/2022"/>
    <m/>
    <s v="0117032280 Transf. Carola Jacqueli  Reserva C-3"/>
    <n v="3059366"/>
    <n v="150000"/>
    <m/>
    <s v="Reserva"/>
    <m/>
    <x v="11"/>
  </r>
  <r>
    <s v="27/07/2022"/>
    <m/>
    <s v="COM.MANTENCION PLAN"/>
    <n v="3052745"/>
    <m/>
    <n v="6621"/>
    <s v="Cuenta corriente"/>
    <m/>
    <x v="9"/>
  </r>
  <r>
    <d v="2022-01-08T00:00:00"/>
    <m/>
    <s v="0160980591 Transf. PAVLOV DE LA FUENTE STEFANIA ALEKSANDRA SITIO H-8"/>
    <n v="3888420"/>
    <n v="835675"/>
    <m/>
    <s v="Promesa de compraventa"/>
    <m/>
    <x v="11"/>
  </r>
  <r>
    <d v="2022-01-08T00:00:00"/>
    <m/>
    <s v="Transf.Internet a 10.071.888-K"/>
    <n v="3388420"/>
    <m/>
    <n v="500000"/>
    <m/>
    <m/>
    <x v="13"/>
  </r>
  <r>
    <d v="2022-01-08T00:00:00"/>
    <m/>
    <s v="PAGO EN LINEA PREVIRED"/>
    <n v="3246865"/>
    <m/>
    <n v="141555"/>
    <s v="Cuenta corriente"/>
    <m/>
    <x v="13"/>
  </r>
  <r>
    <d v="2022-02-08T00:00:00"/>
    <m/>
    <s v="0174030189 Transf. DANIEL EDUARDO AMENABAR GROVE SITIO H-2"/>
    <n v="4010335"/>
    <n v="763470"/>
    <m/>
    <s v="Promesa de compraventa"/>
    <m/>
    <x v="11"/>
  </r>
  <r>
    <d v="2022-02-08T00:00:00"/>
    <m/>
    <s v="Transf.Internet a 16.339.156-2. Diseño Logo acceso"/>
    <n v="3860335"/>
    <m/>
    <n v="150000"/>
    <s v="Boleta"/>
    <m/>
    <x v="4"/>
  </r>
  <r>
    <d v="2022-08-08T00:00:00"/>
    <m/>
    <s v="Transf.Internet a 65.013.096-0. Cuenta agua APR"/>
    <n v="3847555"/>
    <m/>
    <n v="12780"/>
    <s v="Boleta"/>
    <m/>
    <x v="5"/>
  </r>
  <r>
    <d v="2022-08-08T00:00:00"/>
    <m/>
    <s v="Transf.Internet a 10.071.888-K. Reembolso 5 (a cuidador)"/>
    <n v="3609928"/>
    <m/>
    <n v="237627"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0C7C4-41F6-4A32-AFFD-8381467D501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9">
    <pivotField showAll="0"/>
    <pivotField showAll="0"/>
    <pivotField showAll="0"/>
    <pivotField numFmtId="167" showAll="0"/>
    <pivotField showAll="0"/>
    <pivotField dataField="1" showAll="0"/>
    <pivotField showAll="0"/>
    <pivotField showAll="0"/>
    <pivotField axis="axisRow" showAll="0" sortType="descending">
      <items count="19">
        <item x="5"/>
        <item x="9"/>
        <item x="8"/>
        <item x="17"/>
        <item x="3"/>
        <item x="16"/>
        <item h="1" x="15"/>
        <item x="14"/>
        <item x="4"/>
        <item x="7"/>
        <item x="13"/>
        <item x="6"/>
        <item x="1"/>
        <item h="1" x="11"/>
        <item x="0"/>
        <item x="2"/>
        <item h="1" x="1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6">
    <i>
      <x v="4"/>
    </i>
    <i>
      <x v="2"/>
    </i>
    <i>
      <x/>
    </i>
    <i>
      <x v="12"/>
    </i>
    <i>
      <x v="11"/>
    </i>
    <i>
      <x v="8"/>
    </i>
    <i>
      <x v="5"/>
    </i>
    <i>
      <x v="3"/>
    </i>
    <i>
      <x v="10"/>
    </i>
    <i>
      <x v="15"/>
    </i>
    <i>
      <x v="7"/>
    </i>
    <i>
      <x v="9"/>
    </i>
    <i>
      <x v="17"/>
    </i>
    <i>
      <x v="1"/>
    </i>
    <i>
      <x v="14"/>
    </i>
    <i t="grand">
      <x/>
    </i>
  </rowItems>
  <colItems count="1">
    <i/>
  </colItems>
  <dataFields count="1">
    <dataField name="Sum of GIROS" fld="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8"/>
  <sheetViews>
    <sheetView tabSelected="1" topLeftCell="D1" zoomScale="85" zoomScaleNormal="85" workbookViewId="0">
      <pane ySplit="3" topLeftCell="A403" activePane="bottomLeft" state="frozen"/>
      <selection pane="bottomLeft" activeCell="I413" sqref="I413"/>
    </sheetView>
  </sheetViews>
  <sheetFormatPr defaultColWidth="12.625" defaultRowHeight="15" customHeight="1" x14ac:dyDescent="0.25"/>
  <cols>
    <col min="1" max="1" width="13" style="45" customWidth="1"/>
    <col min="2" max="2" width="10.875" style="45" customWidth="1"/>
    <col min="3" max="3" width="58.375" style="45" customWidth="1"/>
    <col min="4" max="4" width="14.125" style="45" customWidth="1"/>
    <col min="5" max="5" width="13.5" style="45" customWidth="1"/>
    <col min="6" max="6" width="14.625" style="45" customWidth="1"/>
    <col min="7" max="7" width="30" style="45" customWidth="1"/>
    <col min="8" max="8" width="36.625" style="45" customWidth="1"/>
    <col min="9" max="10" width="10" style="45" customWidth="1"/>
    <col min="11" max="11" width="11.625" style="45" bestFit="1" customWidth="1"/>
    <col min="12" max="13" width="13.625" style="45" bestFit="1" customWidth="1"/>
    <col min="14" max="14" width="69.875" style="45" bestFit="1" customWidth="1"/>
    <col min="15" max="15" width="15" style="45" bestFit="1" customWidth="1"/>
    <col min="16" max="25" width="10" style="45" customWidth="1"/>
    <col min="26" max="16384" width="12.625" style="45"/>
  </cols>
  <sheetData>
    <row r="1" spans="1:25" x14ac:dyDescent="0.25">
      <c r="A1" s="48"/>
      <c r="B1" s="48"/>
      <c r="C1" s="63" t="s">
        <v>126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63"/>
      <c r="T1" s="48"/>
      <c r="U1" s="48"/>
      <c r="V1" s="48"/>
      <c r="W1" s="48"/>
      <c r="X1" s="48"/>
      <c r="Y1" s="48"/>
    </row>
    <row r="2" spans="1:25" x14ac:dyDescent="0.25">
      <c r="A2" s="48"/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x14ac:dyDescent="0.25">
      <c r="A3" s="63" t="s">
        <v>1</v>
      </c>
      <c r="B3" s="66" t="s">
        <v>2</v>
      </c>
      <c r="C3" s="63" t="s">
        <v>3</v>
      </c>
      <c r="D3" s="63" t="s">
        <v>4</v>
      </c>
      <c r="E3" s="63" t="s">
        <v>5</v>
      </c>
      <c r="F3" s="63" t="s">
        <v>6</v>
      </c>
      <c r="G3" s="63" t="s">
        <v>7</v>
      </c>
      <c r="H3" s="63" t="s">
        <v>8</v>
      </c>
      <c r="I3" s="63"/>
      <c r="J3" s="48"/>
      <c r="K3" s="48"/>
      <c r="L3" s="48"/>
      <c r="M3" s="48"/>
      <c r="N3" s="48"/>
      <c r="O3" s="48"/>
      <c r="P3" s="48"/>
      <c r="Q3" s="48"/>
      <c r="R3" s="63"/>
      <c r="S3" s="63"/>
      <c r="T3" s="63"/>
      <c r="U3" s="63"/>
      <c r="V3" s="48"/>
      <c r="W3" s="63"/>
      <c r="X3" s="48"/>
      <c r="Y3" s="48"/>
    </row>
    <row r="4" spans="1:25" x14ac:dyDescent="0.25">
      <c r="A4" s="67"/>
      <c r="B4" s="68"/>
      <c r="C4" s="48" t="s">
        <v>9</v>
      </c>
      <c r="D4" s="69">
        <v>0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77"/>
      <c r="U4" s="48"/>
      <c r="V4" s="48"/>
      <c r="W4" s="48"/>
      <c r="X4" s="48"/>
      <c r="Y4" s="48"/>
    </row>
    <row r="5" spans="1:25" x14ac:dyDescent="0.25">
      <c r="A5" s="70">
        <v>44489</v>
      </c>
      <c r="B5" s="48"/>
      <c r="C5" s="48" t="s">
        <v>10</v>
      </c>
      <c r="D5" s="71">
        <f t="shared" ref="D5:D68" si="0">+D4+E5-F5</f>
        <v>100953655</v>
      </c>
      <c r="E5" s="71">
        <v>100953655</v>
      </c>
      <c r="F5" s="71"/>
      <c r="G5" s="48" t="s">
        <v>11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77"/>
      <c r="U5" s="78"/>
      <c r="V5" s="48"/>
      <c r="W5" s="48"/>
      <c r="X5" s="48"/>
      <c r="Y5" s="48"/>
    </row>
    <row r="6" spans="1:25" x14ac:dyDescent="0.25">
      <c r="A6" s="70">
        <v>44489</v>
      </c>
      <c r="B6" s="48"/>
      <c r="C6" s="48" t="s">
        <v>12</v>
      </c>
      <c r="D6" s="71">
        <f t="shared" si="0"/>
        <v>201907310</v>
      </c>
      <c r="E6" s="71">
        <v>100953655</v>
      </c>
      <c r="F6" s="71"/>
      <c r="G6" s="48" t="s">
        <v>11</v>
      </c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63"/>
      <c r="T6" s="79"/>
      <c r="U6" s="48"/>
      <c r="V6" s="48"/>
      <c r="W6" s="80"/>
      <c r="X6" s="48"/>
      <c r="Y6" s="48"/>
    </row>
    <row r="7" spans="1:25" x14ac:dyDescent="0.25">
      <c r="A7" s="70">
        <v>44495</v>
      </c>
      <c r="B7" s="48"/>
      <c r="C7" s="48" t="s">
        <v>13</v>
      </c>
      <c r="D7" s="71">
        <f t="shared" si="0"/>
        <v>321907310</v>
      </c>
      <c r="E7" s="71">
        <v>120000000</v>
      </c>
      <c r="F7" s="71"/>
      <c r="G7" s="48" t="s">
        <v>11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79"/>
      <c r="U7" s="81"/>
      <c r="V7" s="48"/>
      <c r="W7" s="48"/>
      <c r="X7" s="48"/>
      <c r="Y7" s="48"/>
    </row>
    <row r="8" spans="1:25" x14ac:dyDescent="0.25">
      <c r="A8" s="70">
        <v>44494</v>
      </c>
      <c r="B8" s="48"/>
      <c r="C8" s="48" t="s">
        <v>13</v>
      </c>
      <c r="D8" s="71">
        <f t="shared" si="0"/>
        <v>453169741</v>
      </c>
      <c r="E8" s="71">
        <v>131262431</v>
      </c>
      <c r="F8" s="71"/>
      <c r="G8" s="48" t="s">
        <v>11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82"/>
      <c r="U8" s="48"/>
      <c r="V8" s="48"/>
      <c r="W8" s="80"/>
      <c r="X8" s="48"/>
      <c r="Y8" s="48"/>
    </row>
    <row r="9" spans="1:25" x14ac:dyDescent="0.25">
      <c r="A9" s="70">
        <v>44494</v>
      </c>
      <c r="B9" s="48"/>
      <c r="C9" s="48" t="s">
        <v>14</v>
      </c>
      <c r="D9" s="71">
        <f t="shared" si="0"/>
        <v>485985349</v>
      </c>
      <c r="E9" s="71">
        <v>32815608</v>
      </c>
      <c r="F9" s="71"/>
      <c r="G9" s="48" t="s">
        <v>11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77"/>
      <c r="U9" s="78"/>
      <c r="V9" s="48"/>
      <c r="W9" s="48"/>
      <c r="X9" s="48"/>
      <c r="Y9" s="48"/>
    </row>
    <row r="10" spans="1:25" x14ac:dyDescent="0.25">
      <c r="A10" s="70">
        <v>44496</v>
      </c>
      <c r="B10" s="48"/>
      <c r="C10" s="48" t="s">
        <v>14</v>
      </c>
      <c r="D10" s="71">
        <f t="shared" si="0"/>
        <v>747804852</v>
      </c>
      <c r="E10" s="71">
        <v>261819503</v>
      </c>
      <c r="F10" s="71"/>
      <c r="G10" s="48" t="s">
        <v>11</v>
      </c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77"/>
      <c r="U10" s="48"/>
      <c r="V10" s="48"/>
      <c r="W10" s="78"/>
      <c r="X10" s="48"/>
      <c r="Y10" s="48"/>
    </row>
    <row r="11" spans="1:25" x14ac:dyDescent="0.25">
      <c r="A11" s="70">
        <v>44496</v>
      </c>
      <c r="B11" s="48"/>
      <c r="C11" s="48" t="s">
        <v>15</v>
      </c>
      <c r="D11" s="71">
        <f t="shared" si="0"/>
        <v>747704852</v>
      </c>
      <c r="E11" s="71"/>
      <c r="F11" s="71">
        <v>100000</v>
      </c>
      <c r="G11" s="48" t="s">
        <v>16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77"/>
      <c r="U11" s="48"/>
      <c r="V11" s="48"/>
      <c r="W11" s="78"/>
      <c r="X11" s="48"/>
      <c r="Y11" s="48"/>
    </row>
    <row r="12" spans="1:25" x14ac:dyDescent="0.25">
      <c r="A12" s="70">
        <v>44496</v>
      </c>
      <c r="B12" s="48"/>
      <c r="C12" s="48" t="s">
        <v>17</v>
      </c>
      <c r="D12" s="71">
        <f t="shared" si="0"/>
        <v>747671852</v>
      </c>
      <c r="E12" s="71"/>
      <c r="F12" s="71">
        <v>33000</v>
      </c>
      <c r="G12" s="48" t="s">
        <v>18</v>
      </c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83"/>
      <c r="U12" s="48"/>
      <c r="V12" s="48"/>
      <c r="W12" s="48"/>
      <c r="X12" s="48"/>
      <c r="Y12" s="48"/>
    </row>
    <row r="13" spans="1:25" x14ac:dyDescent="0.25">
      <c r="A13" s="70">
        <v>44496</v>
      </c>
      <c r="B13" s="48"/>
      <c r="C13" s="48" t="s">
        <v>19</v>
      </c>
      <c r="D13" s="71">
        <f t="shared" si="0"/>
        <v>747653102</v>
      </c>
      <c r="E13" s="71"/>
      <c r="F13" s="71">
        <v>18750</v>
      </c>
      <c r="G13" s="48" t="s">
        <v>18</v>
      </c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83"/>
      <c r="U13" s="78"/>
      <c r="V13" s="48"/>
      <c r="W13" s="48"/>
      <c r="X13" s="48"/>
      <c r="Y13" s="48"/>
    </row>
    <row r="14" spans="1:25" x14ac:dyDescent="0.25">
      <c r="A14" s="70">
        <v>44496</v>
      </c>
      <c r="B14" s="48"/>
      <c r="C14" s="48" t="s">
        <v>19</v>
      </c>
      <c r="D14" s="71">
        <f t="shared" si="0"/>
        <v>747649302</v>
      </c>
      <c r="E14" s="71"/>
      <c r="F14" s="71">
        <v>3800</v>
      </c>
      <c r="G14" s="48" t="s">
        <v>18</v>
      </c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83"/>
      <c r="U14" s="48"/>
      <c r="V14" s="48"/>
      <c r="W14" s="78"/>
      <c r="X14" s="48"/>
      <c r="Y14" s="48"/>
    </row>
    <row r="15" spans="1:25" x14ac:dyDescent="0.25">
      <c r="A15" s="70">
        <v>44496</v>
      </c>
      <c r="B15" s="48"/>
      <c r="C15" s="48" t="s">
        <v>20</v>
      </c>
      <c r="D15" s="71">
        <f t="shared" si="0"/>
        <v>747506502</v>
      </c>
      <c r="E15" s="71"/>
      <c r="F15" s="71">
        <v>142800</v>
      </c>
      <c r="G15" s="48" t="s">
        <v>18</v>
      </c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83"/>
      <c r="U15" s="48"/>
      <c r="V15" s="48"/>
      <c r="W15" s="48"/>
      <c r="X15" s="48"/>
      <c r="Y15" s="48"/>
    </row>
    <row r="16" spans="1:25" x14ac:dyDescent="0.25">
      <c r="A16" s="70">
        <v>44496</v>
      </c>
      <c r="B16" s="48"/>
      <c r="C16" s="48" t="s">
        <v>21</v>
      </c>
      <c r="D16" s="71">
        <f t="shared" si="0"/>
        <v>747445370</v>
      </c>
      <c r="E16" s="71"/>
      <c r="F16" s="71">
        <v>61132</v>
      </c>
      <c r="G16" s="48" t="s">
        <v>18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83"/>
      <c r="U16" s="48"/>
      <c r="V16" s="48"/>
      <c r="W16" s="48"/>
      <c r="X16" s="48"/>
      <c r="Y16" s="48"/>
    </row>
    <row r="17" spans="1:25" x14ac:dyDescent="0.25">
      <c r="A17" s="70">
        <v>44497</v>
      </c>
      <c r="B17" s="48"/>
      <c r="C17" s="48" t="s">
        <v>22</v>
      </c>
      <c r="D17" s="71">
        <f t="shared" si="0"/>
        <v>747405365</v>
      </c>
      <c r="E17" s="71"/>
      <c r="F17" s="71">
        <v>40005</v>
      </c>
      <c r="G17" s="48" t="s">
        <v>18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83"/>
      <c r="U17" s="48"/>
      <c r="V17" s="48"/>
      <c r="W17" s="78"/>
      <c r="X17" s="48"/>
      <c r="Y17" s="48"/>
    </row>
    <row r="18" spans="1:25" x14ac:dyDescent="0.25">
      <c r="A18" s="70">
        <v>44498</v>
      </c>
      <c r="B18" s="48"/>
      <c r="C18" s="64" t="s">
        <v>23</v>
      </c>
      <c r="D18" s="71">
        <f t="shared" si="0"/>
        <v>33301747</v>
      </c>
      <c r="E18" s="71"/>
      <c r="F18" s="71">
        <v>714103618</v>
      </c>
      <c r="G18" s="48" t="s">
        <v>24</v>
      </c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77"/>
      <c r="U18" s="78"/>
      <c r="V18" s="48"/>
      <c r="W18" s="48"/>
      <c r="X18" s="48"/>
      <c r="Y18" s="48"/>
    </row>
    <row r="19" spans="1:25" x14ac:dyDescent="0.25">
      <c r="A19" s="70">
        <v>44498</v>
      </c>
      <c r="B19" s="48"/>
      <c r="C19" s="48" t="s">
        <v>25</v>
      </c>
      <c r="D19" s="71">
        <f t="shared" si="0"/>
        <v>33288850</v>
      </c>
      <c r="E19" s="71"/>
      <c r="F19" s="71">
        <v>12897</v>
      </c>
      <c r="G19" s="48" t="s">
        <v>16</v>
      </c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83"/>
      <c r="U19" s="78"/>
      <c r="V19" s="48"/>
      <c r="W19" s="48"/>
      <c r="X19" s="48"/>
      <c r="Y19" s="48"/>
    </row>
    <row r="20" spans="1:25" x14ac:dyDescent="0.25">
      <c r="A20" s="70">
        <v>44498</v>
      </c>
      <c r="B20" s="48"/>
      <c r="C20" s="48" t="s">
        <v>26</v>
      </c>
      <c r="D20" s="71">
        <f t="shared" si="0"/>
        <v>33128850</v>
      </c>
      <c r="E20" s="71"/>
      <c r="F20" s="71">
        <v>160000</v>
      </c>
      <c r="G20" s="48" t="s">
        <v>18</v>
      </c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77"/>
      <c r="U20" s="78"/>
      <c r="V20" s="48"/>
      <c r="W20" s="48"/>
      <c r="X20" s="48"/>
      <c r="Y20" s="48"/>
    </row>
    <row r="21" spans="1:25" ht="15.75" customHeight="1" x14ac:dyDescent="0.25">
      <c r="A21" s="70">
        <v>44496</v>
      </c>
      <c r="B21" s="48"/>
      <c r="C21" s="48" t="s">
        <v>27</v>
      </c>
      <c r="D21" s="71">
        <f t="shared" si="0"/>
        <v>33025267</v>
      </c>
      <c r="E21" s="71"/>
      <c r="F21" s="71">
        <v>103583</v>
      </c>
      <c r="G21" s="48" t="s">
        <v>18</v>
      </c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77"/>
      <c r="U21" s="48"/>
      <c r="V21" s="48"/>
      <c r="W21" s="48"/>
      <c r="X21" s="48"/>
      <c r="Y21" s="48"/>
    </row>
    <row r="22" spans="1:25" ht="15.75" customHeight="1" x14ac:dyDescent="0.25">
      <c r="A22" s="70">
        <v>44496</v>
      </c>
      <c r="B22" s="48"/>
      <c r="C22" s="48" t="s">
        <v>21</v>
      </c>
      <c r="D22" s="71">
        <f t="shared" si="0"/>
        <v>32954757</v>
      </c>
      <c r="E22" s="71"/>
      <c r="F22" s="71">
        <v>70510</v>
      </c>
      <c r="G22" s="48" t="s">
        <v>18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83"/>
      <c r="U22" s="48"/>
      <c r="V22" s="48"/>
      <c r="W22" s="48"/>
      <c r="X22" s="48"/>
      <c r="Y22" s="48"/>
    </row>
    <row r="23" spans="1:25" ht="15.75" customHeight="1" x14ac:dyDescent="0.25">
      <c r="A23" s="70">
        <v>44502</v>
      </c>
      <c r="B23" s="48"/>
      <c r="C23" s="48" t="s">
        <v>28</v>
      </c>
      <c r="D23" s="71">
        <f t="shared" si="0"/>
        <v>32919757</v>
      </c>
      <c r="E23" s="71"/>
      <c r="F23" s="71">
        <v>35000</v>
      </c>
      <c r="G23" s="48" t="s">
        <v>18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83"/>
      <c r="U23" s="48"/>
      <c r="V23" s="48"/>
      <c r="W23" s="78"/>
      <c r="X23" s="48"/>
      <c r="Y23" s="48"/>
    </row>
    <row r="24" spans="1:25" ht="15.75" customHeight="1" x14ac:dyDescent="0.25">
      <c r="A24" s="70">
        <v>44502</v>
      </c>
      <c r="B24" s="48"/>
      <c r="C24" s="48" t="s">
        <v>29</v>
      </c>
      <c r="D24" s="71">
        <f t="shared" si="0"/>
        <v>31919757</v>
      </c>
      <c r="E24" s="71"/>
      <c r="F24" s="71">
        <v>1000000</v>
      </c>
      <c r="G24" s="48" t="s">
        <v>30</v>
      </c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83"/>
      <c r="U24" s="48"/>
      <c r="V24" s="48"/>
      <c r="W24" s="48"/>
      <c r="X24" s="48"/>
      <c r="Y24" s="48"/>
    </row>
    <row r="25" spans="1:25" ht="15.75" customHeight="1" x14ac:dyDescent="0.25">
      <c r="A25" s="70">
        <v>44502</v>
      </c>
      <c r="B25" s="48"/>
      <c r="C25" s="48" t="s">
        <v>31</v>
      </c>
      <c r="D25" s="71">
        <f t="shared" si="0"/>
        <v>31901757</v>
      </c>
      <c r="E25" s="71"/>
      <c r="F25" s="71">
        <v>18000</v>
      </c>
      <c r="G25" s="48" t="s">
        <v>18</v>
      </c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83"/>
      <c r="U25" s="48"/>
      <c r="V25" s="48"/>
      <c r="W25" s="48"/>
      <c r="X25" s="48"/>
      <c r="Y25" s="48"/>
    </row>
    <row r="26" spans="1:25" ht="15.75" customHeight="1" x14ac:dyDescent="0.25">
      <c r="A26" s="70">
        <v>44509</v>
      </c>
      <c r="B26" s="48"/>
      <c r="C26" s="45" t="s">
        <v>238</v>
      </c>
      <c r="D26" s="71">
        <f t="shared" si="0"/>
        <v>29976694</v>
      </c>
      <c r="E26" s="71"/>
      <c r="F26" s="71">
        <v>1925063</v>
      </c>
      <c r="G26" s="48" t="s">
        <v>32</v>
      </c>
      <c r="H26" s="48" t="s">
        <v>33</v>
      </c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83"/>
      <c r="U26" s="48"/>
      <c r="V26" s="48"/>
      <c r="W26" s="48"/>
      <c r="X26" s="48"/>
      <c r="Y26" s="48"/>
    </row>
    <row r="27" spans="1:25" ht="15.75" customHeight="1" x14ac:dyDescent="0.25">
      <c r="A27" s="70">
        <v>44509</v>
      </c>
      <c r="B27" s="48"/>
      <c r="C27" s="45" t="s">
        <v>239</v>
      </c>
      <c r="D27" s="71">
        <f t="shared" si="0"/>
        <v>24457707</v>
      </c>
      <c r="E27" s="71"/>
      <c r="F27" s="71">
        <v>5518987</v>
      </c>
      <c r="G27" s="48" t="s">
        <v>32</v>
      </c>
      <c r="H27" s="48" t="s">
        <v>33</v>
      </c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83"/>
      <c r="U27" s="48"/>
      <c r="V27" s="48"/>
      <c r="W27" s="48"/>
      <c r="X27" s="48"/>
      <c r="Y27" s="48"/>
    </row>
    <row r="28" spans="1:25" ht="15.75" customHeight="1" x14ac:dyDescent="0.25">
      <c r="A28" s="70">
        <v>44512</v>
      </c>
      <c r="B28" s="48"/>
      <c r="C28" s="48" t="s">
        <v>34</v>
      </c>
      <c r="D28" s="71">
        <f t="shared" si="0"/>
        <v>24525908</v>
      </c>
      <c r="E28" s="71">
        <v>68201</v>
      </c>
      <c r="F28" s="71"/>
      <c r="G28" s="48" t="s">
        <v>32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83"/>
      <c r="U28" s="48"/>
      <c r="V28" s="48"/>
      <c r="W28" s="48"/>
      <c r="X28" s="48"/>
      <c r="Y28" s="48"/>
    </row>
    <row r="29" spans="1:25" ht="15.75" customHeight="1" x14ac:dyDescent="0.25">
      <c r="A29" s="70">
        <v>44517</v>
      </c>
      <c r="C29" s="45" t="s">
        <v>36</v>
      </c>
      <c r="D29" s="71">
        <f t="shared" si="0"/>
        <v>24500908</v>
      </c>
      <c r="E29" s="71"/>
      <c r="F29" s="71">
        <v>25000</v>
      </c>
      <c r="G29" s="45" t="s">
        <v>18</v>
      </c>
    </row>
    <row r="30" spans="1:25" ht="15.75" customHeight="1" x14ac:dyDescent="0.25">
      <c r="A30" s="70">
        <v>44519</v>
      </c>
      <c r="B30" s="48"/>
      <c r="C30" s="48" t="s">
        <v>37</v>
      </c>
      <c r="D30" s="71">
        <f t="shared" si="0"/>
        <v>22543358</v>
      </c>
      <c r="E30" s="71"/>
      <c r="F30" s="71">
        <v>1957550</v>
      </c>
      <c r="G30" s="72" t="s">
        <v>30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83"/>
      <c r="U30" s="48"/>
      <c r="V30" s="48"/>
      <c r="W30" s="48"/>
      <c r="X30" s="48"/>
      <c r="Y30" s="48"/>
    </row>
    <row r="31" spans="1:25" ht="15.75" customHeight="1" x14ac:dyDescent="0.25">
      <c r="A31" s="70">
        <v>44530</v>
      </c>
      <c r="B31" s="48"/>
      <c r="C31" s="48" t="s">
        <v>75</v>
      </c>
      <c r="D31" s="71">
        <f t="shared" si="0"/>
        <v>22541858</v>
      </c>
      <c r="E31" s="71"/>
      <c r="F31" s="71">
        <v>1500</v>
      </c>
      <c r="G31" s="48" t="s">
        <v>76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83"/>
      <c r="U31" s="48"/>
      <c r="V31" s="48"/>
      <c r="W31" s="48"/>
      <c r="X31" s="48"/>
      <c r="Y31" s="48"/>
    </row>
    <row r="32" spans="1:25" ht="15.75" customHeight="1" x14ac:dyDescent="0.25">
      <c r="A32" s="70">
        <v>44543</v>
      </c>
      <c r="B32" s="48"/>
      <c r="C32" s="48" t="s">
        <v>35</v>
      </c>
      <c r="D32" s="71">
        <f t="shared" si="0"/>
        <v>5546192</v>
      </c>
      <c r="E32" s="71"/>
      <c r="F32" s="71">
        <v>16995666</v>
      </c>
      <c r="G32" s="48" t="s">
        <v>30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83"/>
      <c r="U32" s="48"/>
      <c r="V32" s="48"/>
      <c r="W32" s="48"/>
      <c r="X32" s="48"/>
      <c r="Y32" s="48"/>
    </row>
    <row r="33" spans="1:25" ht="15.75" customHeight="1" x14ac:dyDescent="0.25">
      <c r="A33" s="70">
        <v>44552</v>
      </c>
      <c r="B33" s="48"/>
      <c r="C33" s="48" t="s">
        <v>77</v>
      </c>
      <c r="D33" s="71">
        <f t="shared" si="0"/>
        <v>5506192</v>
      </c>
      <c r="E33" s="71"/>
      <c r="F33" s="71">
        <v>40000</v>
      </c>
      <c r="G33" s="48" t="s">
        <v>18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83"/>
      <c r="U33" s="48"/>
      <c r="V33" s="48"/>
      <c r="W33" s="48"/>
      <c r="X33" s="48"/>
      <c r="Y33" s="48"/>
    </row>
    <row r="34" spans="1:25" ht="15.75" customHeight="1" x14ac:dyDescent="0.25">
      <c r="A34" s="47" t="s">
        <v>240</v>
      </c>
      <c r="B34" s="48"/>
      <c r="C34" s="64" t="s">
        <v>98</v>
      </c>
      <c r="D34" s="71">
        <f t="shared" si="0"/>
        <v>5457688</v>
      </c>
      <c r="E34" s="71"/>
      <c r="F34" s="71">
        <v>48504</v>
      </c>
      <c r="G34" s="48" t="s">
        <v>18</v>
      </c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83"/>
      <c r="U34" s="48"/>
      <c r="V34" s="48"/>
      <c r="W34" s="48"/>
      <c r="X34" s="48"/>
      <c r="Y34" s="48"/>
    </row>
    <row r="35" spans="1:25" ht="15.75" customHeight="1" x14ac:dyDescent="0.25">
      <c r="A35" s="47" t="s">
        <v>241</v>
      </c>
      <c r="B35" s="48"/>
      <c r="C35" s="64" t="s">
        <v>79</v>
      </c>
      <c r="D35" s="71">
        <f t="shared" si="0"/>
        <v>5443767</v>
      </c>
      <c r="E35" s="71"/>
      <c r="F35" s="71">
        <v>13921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83"/>
      <c r="U35" s="48"/>
      <c r="V35" s="48"/>
      <c r="W35" s="48"/>
      <c r="X35" s="48"/>
      <c r="Y35" s="48"/>
    </row>
    <row r="36" spans="1:25" ht="15.75" customHeight="1" x14ac:dyDescent="0.25">
      <c r="A36" s="47" t="s">
        <v>241</v>
      </c>
      <c r="B36" s="48"/>
      <c r="C36" s="64" t="s">
        <v>80</v>
      </c>
      <c r="D36" s="71">
        <f t="shared" si="0"/>
        <v>5391762</v>
      </c>
      <c r="E36" s="71"/>
      <c r="F36" s="71">
        <v>52005</v>
      </c>
      <c r="G36" s="48" t="s">
        <v>18</v>
      </c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83"/>
      <c r="U36" s="48"/>
      <c r="V36" s="48"/>
      <c r="W36" s="48"/>
      <c r="X36" s="48"/>
      <c r="Y36" s="48"/>
    </row>
    <row r="37" spans="1:25" ht="15.75" customHeight="1" x14ac:dyDescent="0.25">
      <c r="A37" s="47" t="s">
        <v>241</v>
      </c>
      <c r="B37" s="48"/>
      <c r="C37" s="64" t="s">
        <v>87</v>
      </c>
      <c r="D37" s="71">
        <f t="shared" si="0"/>
        <v>5359642</v>
      </c>
      <c r="E37" s="71"/>
      <c r="F37" s="71">
        <v>32120</v>
      </c>
      <c r="G37" s="48" t="s">
        <v>18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83"/>
      <c r="U37" s="48"/>
      <c r="V37" s="48"/>
      <c r="W37" s="48"/>
      <c r="X37" s="48"/>
      <c r="Y37" s="48"/>
    </row>
    <row r="38" spans="1:25" ht="15.75" customHeight="1" x14ac:dyDescent="0.25">
      <c r="A38" s="47" t="s">
        <v>241</v>
      </c>
      <c r="B38" s="48"/>
      <c r="C38" s="64" t="s">
        <v>81</v>
      </c>
      <c r="D38" s="71">
        <f t="shared" si="0"/>
        <v>5341849</v>
      </c>
      <c r="E38" s="71"/>
      <c r="F38" s="71">
        <v>17793</v>
      </c>
      <c r="G38" s="48" t="s">
        <v>18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83"/>
      <c r="U38" s="48"/>
      <c r="V38" s="48"/>
      <c r="W38" s="48"/>
      <c r="X38" s="48"/>
      <c r="Y38" s="48"/>
    </row>
    <row r="39" spans="1:25" ht="15.75" customHeight="1" x14ac:dyDescent="0.25">
      <c r="A39" s="47" t="s">
        <v>241</v>
      </c>
      <c r="B39" s="48"/>
      <c r="C39" s="64" t="s">
        <v>82</v>
      </c>
      <c r="D39" s="71">
        <f t="shared" si="0"/>
        <v>5329549</v>
      </c>
      <c r="E39" s="71"/>
      <c r="F39" s="71">
        <v>12300</v>
      </c>
      <c r="G39" s="48" t="s">
        <v>18</v>
      </c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83"/>
      <c r="U39" s="48"/>
      <c r="V39" s="48"/>
      <c r="W39" s="48"/>
      <c r="X39" s="48"/>
      <c r="Y39" s="48"/>
    </row>
    <row r="40" spans="1:25" ht="15.75" customHeight="1" x14ac:dyDescent="0.25">
      <c r="A40" s="47" t="s">
        <v>241</v>
      </c>
      <c r="B40" s="48"/>
      <c r="C40" s="64" t="s">
        <v>83</v>
      </c>
      <c r="D40" s="71">
        <f t="shared" si="0"/>
        <v>5319349</v>
      </c>
      <c r="E40" s="71"/>
      <c r="F40" s="71">
        <v>10200</v>
      </c>
      <c r="G40" s="48" t="s">
        <v>18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83"/>
      <c r="U40" s="48"/>
      <c r="V40" s="48"/>
      <c r="W40" s="48"/>
      <c r="X40" s="48"/>
      <c r="Y40" s="48"/>
    </row>
    <row r="41" spans="1:25" ht="15.75" customHeight="1" x14ac:dyDescent="0.25">
      <c r="A41" s="47" t="s">
        <v>242</v>
      </c>
      <c r="B41" s="48"/>
      <c r="C41" s="64" t="s">
        <v>84</v>
      </c>
      <c r="D41" s="71">
        <f t="shared" si="0"/>
        <v>5314143</v>
      </c>
      <c r="E41" s="71"/>
      <c r="F41" s="71">
        <v>5206</v>
      </c>
      <c r="G41" s="48" t="s">
        <v>18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83"/>
      <c r="U41" s="48"/>
      <c r="V41" s="48"/>
      <c r="W41" s="48"/>
      <c r="X41" s="48"/>
      <c r="Y41" s="48"/>
    </row>
    <row r="42" spans="1:25" ht="15.75" customHeight="1" x14ac:dyDescent="0.25">
      <c r="A42" s="47" t="s">
        <v>242</v>
      </c>
      <c r="B42" s="48"/>
      <c r="C42" s="64" t="s">
        <v>85</v>
      </c>
      <c r="D42" s="71">
        <f t="shared" si="0"/>
        <v>5260141</v>
      </c>
      <c r="E42" s="71"/>
      <c r="F42" s="71">
        <v>54002</v>
      </c>
      <c r="G42" s="48" t="s">
        <v>18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83"/>
      <c r="U42" s="48"/>
      <c r="V42" s="48"/>
      <c r="W42" s="48"/>
      <c r="X42" s="48"/>
      <c r="Y42" s="48"/>
    </row>
    <row r="43" spans="1:25" ht="15.75" customHeight="1" x14ac:dyDescent="0.25">
      <c r="A43" s="47" t="s">
        <v>242</v>
      </c>
      <c r="B43" s="48"/>
      <c r="C43" s="64" t="s">
        <v>86</v>
      </c>
      <c r="D43" s="71">
        <f t="shared" si="0"/>
        <v>5225161</v>
      </c>
      <c r="E43" s="71"/>
      <c r="F43" s="71">
        <v>34980</v>
      </c>
      <c r="G43" s="48" t="s">
        <v>18</v>
      </c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83"/>
      <c r="U43" s="48"/>
      <c r="V43" s="48"/>
      <c r="W43" s="48"/>
      <c r="X43" s="48"/>
      <c r="Y43" s="48"/>
    </row>
    <row r="44" spans="1:25" ht="15.75" customHeight="1" x14ac:dyDescent="0.25">
      <c r="A44" s="47" t="s">
        <v>242</v>
      </c>
      <c r="B44" s="48"/>
      <c r="C44" s="64" t="s">
        <v>87</v>
      </c>
      <c r="D44" s="71">
        <f t="shared" si="0"/>
        <v>5191501</v>
      </c>
      <c r="E44" s="71"/>
      <c r="F44" s="71">
        <v>33660</v>
      </c>
      <c r="G44" s="48" t="s">
        <v>18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83"/>
      <c r="U44" s="48"/>
      <c r="V44" s="48"/>
      <c r="W44" s="48"/>
      <c r="X44" s="48"/>
      <c r="Y44" s="48"/>
    </row>
    <row r="45" spans="1:25" ht="15.75" customHeight="1" x14ac:dyDescent="0.25">
      <c r="A45" s="47" t="s">
        <v>242</v>
      </c>
      <c r="B45" s="48"/>
      <c r="C45" s="64" t="s">
        <v>88</v>
      </c>
      <c r="D45" s="71">
        <f t="shared" si="0"/>
        <v>5180691</v>
      </c>
      <c r="E45" s="71"/>
      <c r="F45" s="71">
        <v>10810</v>
      </c>
      <c r="G45" s="48" t="s">
        <v>18</v>
      </c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83"/>
      <c r="U45" s="48"/>
      <c r="V45" s="48"/>
      <c r="W45" s="48"/>
      <c r="X45" s="48"/>
      <c r="Y45" s="48"/>
    </row>
    <row r="46" spans="1:25" ht="15.75" customHeight="1" x14ac:dyDescent="0.25">
      <c r="A46" s="47" t="s">
        <v>242</v>
      </c>
      <c r="B46" s="48"/>
      <c r="C46" s="64" t="s">
        <v>89</v>
      </c>
      <c r="D46" s="71">
        <f t="shared" si="0"/>
        <v>5170526</v>
      </c>
      <c r="E46" s="71"/>
      <c r="F46" s="71">
        <v>10165</v>
      </c>
      <c r="G46" s="48" t="s">
        <v>18</v>
      </c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83"/>
      <c r="U46" s="48"/>
      <c r="V46" s="48"/>
      <c r="W46" s="48"/>
      <c r="X46" s="48"/>
      <c r="Y46" s="48"/>
    </row>
    <row r="47" spans="1:25" ht="15.75" customHeight="1" x14ac:dyDescent="0.25">
      <c r="A47" s="47" t="s">
        <v>242</v>
      </c>
      <c r="B47" s="48"/>
      <c r="C47" s="64" t="s">
        <v>90</v>
      </c>
      <c r="D47" s="71">
        <f t="shared" si="0"/>
        <v>5168826</v>
      </c>
      <c r="E47" s="71"/>
      <c r="F47" s="71">
        <v>1700</v>
      </c>
      <c r="G47" s="48" t="s">
        <v>18</v>
      </c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83"/>
      <c r="U47" s="48"/>
      <c r="V47" s="48"/>
      <c r="W47" s="48"/>
      <c r="X47" s="48"/>
      <c r="Y47" s="48"/>
    </row>
    <row r="48" spans="1:25" ht="15.75" customHeight="1" x14ac:dyDescent="0.25">
      <c r="A48" s="47" t="s">
        <v>243</v>
      </c>
      <c r="B48" s="48"/>
      <c r="C48" s="64" t="s">
        <v>83</v>
      </c>
      <c r="D48" s="71">
        <f t="shared" si="0"/>
        <v>5167526</v>
      </c>
      <c r="E48" s="71"/>
      <c r="F48" s="71">
        <v>1300</v>
      </c>
      <c r="G48" s="48" t="s">
        <v>18</v>
      </c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83"/>
      <c r="U48" s="48"/>
      <c r="V48" s="48"/>
      <c r="W48" s="48"/>
      <c r="X48" s="48"/>
      <c r="Y48" s="48"/>
    </row>
    <row r="49" spans="1:25" ht="15.75" customHeight="1" x14ac:dyDescent="0.25">
      <c r="A49" s="47" t="s">
        <v>243</v>
      </c>
      <c r="B49" s="48"/>
      <c r="C49" s="64" t="s">
        <v>91</v>
      </c>
      <c r="D49" s="71">
        <f t="shared" si="0"/>
        <v>4725126</v>
      </c>
      <c r="E49" s="71"/>
      <c r="F49" s="71">
        <v>442400</v>
      </c>
      <c r="G49" s="48" t="s">
        <v>30</v>
      </c>
      <c r="H49" s="48" t="s">
        <v>120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83"/>
      <c r="U49" s="48"/>
      <c r="V49" s="48"/>
      <c r="W49" s="48"/>
      <c r="X49" s="48"/>
      <c r="Y49" s="48"/>
    </row>
    <row r="50" spans="1:25" ht="15.75" customHeight="1" x14ac:dyDescent="0.25">
      <c r="A50" s="47" t="s">
        <v>243</v>
      </c>
      <c r="B50" s="48"/>
      <c r="C50" s="64" t="s">
        <v>92</v>
      </c>
      <c r="D50" s="71">
        <f t="shared" si="0"/>
        <v>4685125</v>
      </c>
      <c r="E50" s="71"/>
      <c r="F50" s="71">
        <v>40001</v>
      </c>
      <c r="G50" s="48" t="s">
        <v>18</v>
      </c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83"/>
      <c r="U50" s="48"/>
      <c r="V50" s="48"/>
      <c r="W50" s="48"/>
      <c r="X50" s="48"/>
      <c r="Y50" s="48"/>
    </row>
    <row r="51" spans="1:25" ht="15.75" customHeight="1" x14ac:dyDescent="0.25">
      <c r="A51" s="47" t="s">
        <v>243</v>
      </c>
      <c r="B51" s="48"/>
      <c r="C51" s="64" t="s">
        <v>93</v>
      </c>
      <c r="D51" s="71">
        <f t="shared" si="0"/>
        <v>4655480</v>
      </c>
      <c r="E51" s="71"/>
      <c r="F51" s="71">
        <v>29645</v>
      </c>
      <c r="G51" s="48" t="s">
        <v>18</v>
      </c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83"/>
      <c r="U51" s="48"/>
      <c r="V51" s="48"/>
      <c r="W51" s="48"/>
      <c r="X51" s="48"/>
      <c r="Y51" s="48"/>
    </row>
    <row r="52" spans="1:25" ht="15.75" customHeight="1" x14ac:dyDescent="0.25">
      <c r="A52" s="47" t="s">
        <v>243</v>
      </c>
      <c r="B52" s="48"/>
      <c r="C52" s="64" t="s">
        <v>78</v>
      </c>
      <c r="D52" s="71">
        <f t="shared" si="0"/>
        <v>4652900</v>
      </c>
      <c r="E52" s="71"/>
      <c r="F52" s="71">
        <v>2580</v>
      </c>
      <c r="G52" s="48" t="s">
        <v>18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83"/>
      <c r="U52" s="48"/>
      <c r="V52" s="48"/>
      <c r="W52" s="48"/>
      <c r="X52" s="48"/>
      <c r="Y52" s="48"/>
    </row>
    <row r="53" spans="1:25" ht="15.75" customHeight="1" x14ac:dyDescent="0.25">
      <c r="A53" s="47" t="s">
        <v>244</v>
      </c>
      <c r="B53" s="48"/>
      <c r="C53" s="102" t="s">
        <v>99</v>
      </c>
      <c r="D53" s="103">
        <f t="shared" si="0"/>
        <v>4633320</v>
      </c>
      <c r="E53" s="103"/>
      <c r="F53" s="103">
        <v>19580</v>
      </c>
      <c r="G53" s="104" t="s">
        <v>18</v>
      </c>
      <c r="H53" s="104"/>
      <c r="I53" s="104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83"/>
      <c r="U53" s="48"/>
      <c r="V53" s="48"/>
      <c r="W53" s="48"/>
      <c r="X53" s="48"/>
      <c r="Y53" s="48"/>
    </row>
    <row r="54" spans="1:25" ht="15.75" customHeight="1" x14ac:dyDescent="0.25">
      <c r="A54" s="47" t="s">
        <v>244</v>
      </c>
      <c r="B54" s="48"/>
      <c r="C54" s="102" t="s">
        <v>100</v>
      </c>
      <c r="D54" s="103">
        <f t="shared" si="0"/>
        <v>4581316</v>
      </c>
      <c r="E54" s="103"/>
      <c r="F54" s="103">
        <v>52004</v>
      </c>
      <c r="G54" s="104" t="s">
        <v>18</v>
      </c>
      <c r="H54" s="104"/>
      <c r="I54" s="104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83"/>
      <c r="U54" s="48"/>
      <c r="V54" s="48"/>
      <c r="W54" s="48"/>
      <c r="X54" s="48"/>
      <c r="Y54" s="48"/>
    </row>
    <row r="55" spans="1:25" ht="15.75" customHeight="1" x14ac:dyDescent="0.25">
      <c r="A55" s="47" t="s">
        <v>244</v>
      </c>
      <c r="B55" s="48"/>
      <c r="C55" s="102" t="s">
        <v>101</v>
      </c>
      <c r="D55" s="103">
        <f t="shared" si="0"/>
        <v>3337766</v>
      </c>
      <c r="E55" s="103"/>
      <c r="F55" s="103">
        <v>1243550</v>
      </c>
      <c r="G55" s="104" t="s">
        <v>30</v>
      </c>
      <c r="H55" s="104"/>
      <c r="I55" s="104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83"/>
      <c r="U55" s="48"/>
      <c r="V55" s="48"/>
      <c r="W55" s="48"/>
      <c r="X55" s="48"/>
      <c r="Y55" s="48"/>
    </row>
    <row r="56" spans="1:25" ht="15.75" customHeight="1" x14ac:dyDescent="0.25">
      <c r="A56" s="47" t="s">
        <v>245</v>
      </c>
      <c r="B56" s="48"/>
      <c r="C56" s="102" t="s">
        <v>100</v>
      </c>
      <c r="D56" s="103">
        <f t="shared" si="0"/>
        <v>3287763</v>
      </c>
      <c r="E56" s="103"/>
      <c r="F56" s="103">
        <v>50003</v>
      </c>
      <c r="G56" s="104" t="s">
        <v>18</v>
      </c>
      <c r="H56" s="104"/>
      <c r="I56" s="104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83"/>
      <c r="U56" s="48"/>
      <c r="V56" s="48"/>
      <c r="W56" s="48"/>
      <c r="X56" s="48"/>
      <c r="Y56" s="48"/>
    </row>
    <row r="57" spans="1:25" ht="15.75" customHeight="1" x14ac:dyDescent="0.25">
      <c r="A57" s="47" t="s">
        <v>245</v>
      </c>
      <c r="B57" s="48"/>
      <c r="C57" s="102" t="s">
        <v>102</v>
      </c>
      <c r="D57" s="103">
        <f t="shared" si="0"/>
        <v>3284163</v>
      </c>
      <c r="E57" s="103"/>
      <c r="F57" s="103">
        <v>3600</v>
      </c>
      <c r="G57" s="104" t="s">
        <v>18</v>
      </c>
      <c r="H57" s="104"/>
      <c r="I57" s="104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83"/>
      <c r="U57" s="48"/>
      <c r="V57" s="48"/>
      <c r="W57" s="48"/>
      <c r="X57" s="48"/>
      <c r="Y57" s="48"/>
    </row>
    <row r="58" spans="1:25" ht="15.75" customHeight="1" x14ac:dyDescent="0.25">
      <c r="A58" s="47" t="s">
        <v>246</v>
      </c>
      <c r="B58" s="48"/>
      <c r="C58" s="102" t="s">
        <v>103</v>
      </c>
      <c r="D58" s="103">
        <f t="shared" si="0"/>
        <v>3275463</v>
      </c>
      <c r="E58" s="103"/>
      <c r="F58" s="103">
        <v>8700</v>
      </c>
      <c r="G58" s="105" t="s">
        <v>18</v>
      </c>
      <c r="H58" s="104"/>
      <c r="I58" s="104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83"/>
      <c r="U58" s="48"/>
      <c r="V58" s="48"/>
      <c r="W58" s="48"/>
      <c r="X58" s="48"/>
      <c r="Y58" s="48"/>
    </row>
    <row r="59" spans="1:25" ht="15.75" customHeight="1" x14ac:dyDescent="0.25">
      <c r="A59" s="47" t="s">
        <v>246</v>
      </c>
      <c r="B59" s="48"/>
      <c r="C59" s="102" t="s">
        <v>104</v>
      </c>
      <c r="D59" s="103">
        <f t="shared" si="0"/>
        <v>3221445</v>
      </c>
      <c r="E59" s="103"/>
      <c r="F59" s="103">
        <v>54018</v>
      </c>
      <c r="G59" s="104" t="s">
        <v>18</v>
      </c>
      <c r="H59" s="104"/>
      <c r="I59" s="104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83"/>
      <c r="U59" s="48"/>
      <c r="V59" s="48"/>
      <c r="W59" s="48"/>
      <c r="X59" s="48"/>
      <c r="Y59" s="48"/>
    </row>
    <row r="60" spans="1:25" ht="15.75" customHeight="1" x14ac:dyDescent="0.25">
      <c r="A60" s="47" t="s">
        <v>246</v>
      </c>
      <c r="B60" s="48"/>
      <c r="C60" s="102" t="s">
        <v>105</v>
      </c>
      <c r="D60" s="103">
        <f t="shared" si="0"/>
        <v>3191085</v>
      </c>
      <c r="E60" s="103"/>
      <c r="F60" s="103">
        <v>30360</v>
      </c>
      <c r="G60" s="104" t="s">
        <v>18</v>
      </c>
      <c r="H60" s="104"/>
      <c r="I60" s="104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83"/>
      <c r="U60" s="48"/>
      <c r="V60" s="48"/>
      <c r="W60" s="48"/>
      <c r="X60" s="48"/>
      <c r="Y60" s="48"/>
    </row>
    <row r="61" spans="1:25" ht="15.75" customHeight="1" x14ac:dyDescent="0.25">
      <c r="A61" s="47" t="s">
        <v>246</v>
      </c>
      <c r="B61" s="48"/>
      <c r="C61" s="102" t="s">
        <v>90</v>
      </c>
      <c r="D61" s="103">
        <f t="shared" si="0"/>
        <v>3182005</v>
      </c>
      <c r="E61" s="103"/>
      <c r="F61" s="103">
        <v>9080</v>
      </c>
      <c r="G61" s="104" t="s">
        <v>18</v>
      </c>
      <c r="H61" s="104"/>
      <c r="I61" s="104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83"/>
      <c r="U61" s="48"/>
      <c r="V61" s="48"/>
      <c r="W61" s="48"/>
      <c r="X61" s="48"/>
      <c r="Y61" s="48"/>
    </row>
    <row r="62" spans="1:25" ht="15.75" customHeight="1" x14ac:dyDescent="0.25">
      <c r="A62" s="47" t="s">
        <v>246</v>
      </c>
      <c r="B62" s="48"/>
      <c r="C62" s="102" t="s">
        <v>106</v>
      </c>
      <c r="D62" s="103">
        <f t="shared" si="0"/>
        <v>3172425</v>
      </c>
      <c r="E62" s="103"/>
      <c r="F62" s="103">
        <v>9580</v>
      </c>
      <c r="G62" s="104" t="s">
        <v>18</v>
      </c>
      <c r="H62" s="104"/>
      <c r="I62" s="104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83"/>
      <c r="U62" s="48"/>
      <c r="V62" s="48"/>
      <c r="W62" s="48"/>
      <c r="X62" s="48"/>
      <c r="Y62" s="48"/>
    </row>
    <row r="63" spans="1:25" ht="15.75" customHeight="1" x14ac:dyDescent="0.25">
      <c r="A63" s="47" t="s">
        <v>247</v>
      </c>
      <c r="B63" s="48"/>
      <c r="C63" s="102" t="s">
        <v>83</v>
      </c>
      <c r="D63" s="103">
        <f t="shared" si="0"/>
        <v>3163725</v>
      </c>
      <c r="E63" s="103"/>
      <c r="F63" s="103">
        <v>8700</v>
      </c>
      <c r="G63" s="104" t="s">
        <v>18</v>
      </c>
      <c r="H63" s="104"/>
      <c r="I63" s="104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83"/>
      <c r="U63" s="48"/>
      <c r="V63" s="48"/>
      <c r="W63" s="48"/>
      <c r="X63" s="48"/>
      <c r="Y63" s="48"/>
    </row>
    <row r="64" spans="1:25" ht="15.75" customHeight="1" x14ac:dyDescent="0.25">
      <c r="A64" s="47" t="s">
        <v>247</v>
      </c>
      <c r="B64" s="48"/>
      <c r="C64" s="102" t="s">
        <v>83</v>
      </c>
      <c r="D64" s="103">
        <f t="shared" si="0"/>
        <v>3154275</v>
      </c>
      <c r="E64" s="103"/>
      <c r="F64" s="103">
        <v>9450</v>
      </c>
      <c r="G64" s="104" t="s">
        <v>18</v>
      </c>
      <c r="H64" s="104"/>
      <c r="I64" s="104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83"/>
      <c r="U64" s="48"/>
      <c r="V64" s="48"/>
      <c r="W64" s="48"/>
      <c r="X64" s="48"/>
      <c r="Y64" s="48"/>
    </row>
    <row r="65" spans="1:25" ht="15.75" customHeight="1" x14ac:dyDescent="0.25">
      <c r="A65" s="47" t="s">
        <v>247</v>
      </c>
      <c r="B65" s="48"/>
      <c r="C65" s="102" t="s">
        <v>117</v>
      </c>
      <c r="D65" s="103">
        <f t="shared" si="0"/>
        <v>3150524</v>
      </c>
      <c r="E65" s="103"/>
      <c r="F65" s="103">
        <v>3751</v>
      </c>
      <c r="G65" s="104" t="s">
        <v>18</v>
      </c>
      <c r="H65" s="104"/>
      <c r="I65" s="104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83"/>
      <c r="U65" s="48"/>
      <c r="V65" s="48"/>
      <c r="W65" s="48"/>
      <c r="X65" s="48"/>
      <c r="Y65" s="48"/>
    </row>
    <row r="66" spans="1:25" ht="15" customHeight="1" x14ac:dyDescent="0.25">
      <c r="A66" s="47" t="s">
        <v>247</v>
      </c>
      <c r="B66" s="48"/>
      <c r="C66" s="102" t="s">
        <v>118</v>
      </c>
      <c r="D66" s="103">
        <f t="shared" si="0"/>
        <v>3140927</v>
      </c>
      <c r="E66" s="103"/>
      <c r="F66" s="103">
        <v>9597</v>
      </c>
      <c r="G66" s="104" t="s">
        <v>18</v>
      </c>
      <c r="H66" s="106">
        <v>-1</v>
      </c>
      <c r="I66" s="106"/>
    </row>
    <row r="67" spans="1:25" ht="15.75" customHeight="1" x14ac:dyDescent="0.25">
      <c r="A67" s="47" t="s">
        <v>247</v>
      </c>
      <c r="B67" s="48"/>
      <c r="C67" s="102" t="s">
        <v>119</v>
      </c>
      <c r="D67" s="103">
        <f t="shared" si="0"/>
        <v>3096817</v>
      </c>
      <c r="E67" s="103"/>
      <c r="F67" s="103">
        <v>44110</v>
      </c>
      <c r="G67" s="105" t="s">
        <v>18</v>
      </c>
      <c r="H67" s="104"/>
      <c r="I67" s="104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83"/>
      <c r="U67" s="48"/>
      <c r="V67" s="48"/>
      <c r="W67" s="48"/>
      <c r="X67" s="48"/>
      <c r="Y67" s="48"/>
    </row>
    <row r="68" spans="1:25" ht="15.75" customHeight="1" x14ac:dyDescent="0.25">
      <c r="A68" s="47" t="s">
        <v>248</v>
      </c>
      <c r="B68" s="48"/>
      <c r="C68" s="102" t="s">
        <v>113</v>
      </c>
      <c r="D68" s="103">
        <f t="shared" si="0"/>
        <v>3043172</v>
      </c>
      <c r="E68" s="103"/>
      <c r="F68" s="103">
        <v>53645</v>
      </c>
      <c r="G68" s="104" t="s">
        <v>18</v>
      </c>
      <c r="H68" s="104"/>
      <c r="I68" s="104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83"/>
      <c r="U68" s="48"/>
      <c r="V68" s="48"/>
      <c r="W68" s="48"/>
      <c r="X68" s="48"/>
      <c r="Y68" s="48"/>
    </row>
    <row r="69" spans="1:25" ht="15.75" customHeight="1" x14ac:dyDescent="0.25">
      <c r="A69" s="47" t="s">
        <v>248</v>
      </c>
      <c r="B69" s="48"/>
      <c r="C69" s="102" t="s">
        <v>114</v>
      </c>
      <c r="D69" s="103">
        <f t="shared" ref="D69:D132" si="1">+D68+E69-F69</f>
        <v>3010629</v>
      </c>
      <c r="E69" s="103"/>
      <c r="F69" s="103">
        <v>32543</v>
      </c>
      <c r="G69" s="104" t="s">
        <v>18</v>
      </c>
      <c r="H69" s="104"/>
      <c r="I69" s="104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83"/>
      <c r="U69" s="48"/>
      <c r="V69" s="48"/>
      <c r="W69" s="48"/>
      <c r="X69" s="48"/>
      <c r="Y69" s="48"/>
    </row>
    <row r="70" spans="1:25" ht="15.75" customHeight="1" x14ac:dyDescent="0.25">
      <c r="A70" s="47" t="s">
        <v>248</v>
      </c>
      <c r="B70" s="48"/>
      <c r="C70" s="102" t="s">
        <v>115</v>
      </c>
      <c r="D70" s="103">
        <f t="shared" si="1"/>
        <v>2985779</v>
      </c>
      <c r="E70" s="103"/>
      <c r="F70" s="103">
        <v>24850</v>
      </c>
      <c r="G70" s="104" t="s">
        <v>18</v>
      </c>
      <c r="H70" s="104"/>
      <c r="I70" s="104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83"/>
      <c r="U70" s="48"/>
      <c r="V70" s="48"/>
      <c r="W70" s="48"/>
      <c r="X70" s="48"/>
      <c r="Y70" s="48"/>
    </row>
    <row r="71" spans="1:25" ht="15.75" customHeight="1" x14ac:dyDescent="0.25">
      <c r="A71" s="47" t="s">
        <v>248</v>
      </c>
      <c r="B71" s="48"/>
      <c r="C71" s="102" t="s">
        <v>83</v>
      </c>
      <c r="D71" s="103">
        <f t="shared" si="1"/>
        <v>2979209</v>
      </c>
      <c r="E71" s="103"/>
      <c r="F71" s="103">
        <v>6570</v>
      </c>
      <c r="G71" s="104" t="s">
        <v>18</v>
      </c>
      <c r="H71" s="104"/>
      <c r="I71" s="104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83"/>
      <c r="U71" s="48"/>
      <c r="V71" s="84"/>
      <c r="W71" s="48"/>
      <c r="X71" s="48"/>
      <c r="Y71" s="48"/>
    </row>
    <row r="72" spans="1:25" ht="15.75" customHeight="1" x14ac:dyDescent="0.25">
      <c r="A72" s="47" t="s">
        <v>249</v>
      </c>
      <c r="B72" s="48"/>
      <c r="C72" s="102" t="s">
        <v>108</v>
      </c>
      <c r="D72" s="103">
        <f t="shared" si="1"/>
        <v>1414478</v>
      </c>
      <c r="E72" s="103"/>
      <c r="F72" s="103">
        <v>1564731</v>
      </c>
      <c r="G72" s="104" t="s">
        <v>30</v>
      </c>
      <c r="H72" s="104"/>
      <c r="I72" s="104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83"/>
      <c r="U72" s="48"/>
      <c r="V72" s="48"/>
      <c r="W72" s="48"/>
      <c r="X72" s="48"/>
      <c r="Y72" s="48"/>
    </row>
    <row r="73" spans="1:25" ht="15.75" customHeight="1" x14ac:dyDescent="0.25">
      <c r="A73" s="47" t="s">
        <v>249</v>
      </c>
      <c r="C73" s="102" t="s">
        <v>109</v>
      </c>
      <c r="D73" s="103">
        <f t="shared" si="1"/>
        <v>1364478</v>
      </c>
      <c r="E73" s="103"/>
      <c r="F73" s="103">
        <v>50000</v>
      </c>
      <c r="G73" s="104" t="s">
        <v>18</v>
      </c>
      <c r="H73" s="104"/>
      <c r="I73" s="104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83"/>
      <c r="U73" s="48"/>
      <c r="V73" s="48"/>
      <c r="W73" s="48"/>
      <c r="X73" s="48"/>
      <c r="Y73" s="48"/>
    </row>
    <row r="74" spans="1:25" ht="15.75" customHeight="1" x14ac:dyDescent="0.25">
      <c r="A74" s="47" t="s">
        <v>249</v>
      </c>
      <c r="B74" s="48"/>
      <c r="C74" s="102" t="s">
        <v>110</v>
      </c>
      <c r="D74" s="103">
        <f t="shared" si="1"/>
        <v>1307975</v>
      </c>
      <c r="E74" s="103"/>
      <c r="F74" s="103">
        <v>56503</v>
      </c>
      <c r="G74" s="104" t="s">
        <v>18</v>
      </c>
      <c r="H74" s="104"/>
      <c r="I74" s="104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83"/>
      <c r="U74" s="48"/>
      <c r="V74" s="48"/>
      <c r="W74" s="48"/>
      <c r="X74" s="48"/>
      <c r="Y74" s="48"/>
    </row>
    <row r="75" spans="1:25" ht="15.75" customHeight="1" x14ac:dyDescent="0.25">
      <c r="A75" s="47" t="s">
        <v>249</v>
      </c>
      <c r="B75" s="48"/>
      <c r="C75" s="102" t="s">
        <v>103</v>
      </c>
      <c r="D75" s="103">
        <f t="shared" si="1"/>
        <v>1297175</v>
      </c>
      <c r="E75" s="103"/>
      <c r="F75" s="103">
        <v>10800</v>
      </c>
      <c r="G75" s="104" t="s">
        <v>18</v>
      </c>
      <c r="H75" s="104"/>
      <c r="I75" s="104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83"/>
      <c r="U75" s="48"/>
      <c r="V75" s="48"/>
      <c r="W75" s="48"/>
      <c r="X75" s="48"/>
      <c r="Y75" s="48"/>
    </row>
    <row r="76" spans="1:25" ht="15.75" customHeight="1" x14ac:dyDescent="0.25">
      <c r="A76" s="47" t="s">
        <v>249</v>
      </c>
      <c r="B76" s="48"/>
      <c r="C76" s="102" t="s">
        <v>111</v>
      </c>
      <c r="D76" s="103">
        <f t="shared" si="1"/>
        <v>1288175</v>
      </c>
      <c r="E76" s="103"/>
      <c r="F76" s="103">
        <v>9000</v>
      </c>
      <c r="G76" s="104" t="s">
        <v>18</v>
      </c>
      <c r="H76" s="104"/>
      <c r="I76" s="104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83"/>
      <c r="U76" s="48"/>
      <c r="V76" s="48"/>
      <c r="W76" s="48"/>
      <c r="X76" s="48"/>
      <c r="Y76" s="48"/>
    </row>
    <row r="77" spans="1:25" ht="15.75" customHeight="1" x14ac:dyDescent="0.25">
      <c r="A77" s="47" t="s">
        <v>249</v>
      </c>
      <c r="B77" s="48"/>
      <c r="C77" s="102" t="s">
        <v>112</v>
      </c>
      <c r="D77" s="103">
        <f t="shared" si="1"/>
        <v>1284105</v>
      </c>
      <c r="E77" s="103"/>
      <c r="F77" s="103">
        <v>4070</v>
      </c>
      <c r="G77" s="107" t="s">
        <v>18</v>
      </c>
      <c r="H77" s="104"/>
      <c r="I77" s="104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83"/>
      <c r="U77" s="48"/>
      <c r="V77" s="48"/>
      <c r="W77" s="48"/>
      <c r="X77" s="48"/>
      <c r="Y77" s="48"/>
    </row>
    <row r="78" spans="1:25" ht="15.75" customHeight="1" x14ac:dyDescent="0.25">
      <c r="A78" s="47" t="s">
        <v>249</v>
      </c>
      <c r="B78" s="48"/>
      <c r="C78" s="102" t="s">
        <v>116</v>
      </c>
      <c r="D78" s="103">
        <f t="shared" si="1"/>
        <v>1248025</v>
      </c>
      <c r="E78" s="103"/>
      <c r="F78" s="103">
        <v>36080</v>
      </c>
      <c r="G78" s="107" t="s">
        <v>18</v>
      </c>
      <c r="H78" s="104"/>
      <c r="I78" s="108"/>
      <c r="K78" s="48"/>
      <c r="L78" s="48"/>
      <c r="M78" s="48"/>
      <c r="N78" s="48"/>
      <c r="O78" s="48"/>
      <c r="P78" s="48"/>
      <c r="Q78" s="48"/>
      <c r="R78" s="48"/>
      <c r="S78" s="48"/>
      <c r="T78" s="83"/>
      <c r="U78" s="48"/>
      <c r="V78" s="48"/>
      <c r="W78" s="48"/>
      <c r="X78" s="48"/>
      <c r="Y78" s="48"/>
    </row>
    <row r="79" spans="1:25" ht="15.75" customHeight="1" x14ac:dyDescent="0.25">
      <c r="A79" s="47" t="s">
        <v>250</v>
      </c>
      <c r="B79" s="48"/>
      <c r="C79" s="102" t="s">
        <v>107</v>
      </c>
      <c r="D79" s="103">
        <f t="shared" si="1"/>
        <v>1064765</v>
      </c>
      <c r="E79" s="103"/>
      <c r="F79" s="103">
        <v>183260</v>
      </c>
      <c r="G79" s="107" t="s">
        <v>30</v>
      </c>
      <c r="H79" s="104"/>
      <c r="I79" s="108"/>
      <c r="K79" s="48"/>
      <c r="L79" s="48"/>
      <c r="M79" s="48"/>
      <c r="N79" s="48"/>
      <c r="O79" s="48"/>
      <c r="P79" s="48"/>
      <c r="Q79" s="48"/>
      <c r="R79" s="48"/>
      <c r="S79" s="48"/>
      <c r="T79" s="83"/>
      <c r="U79" s="48"/>
      <c r="V79" s="48"/>
      <c r="W79" s="48"/>
      <c r="X79" s="48"/>
      <c r="Y79" s="48"/>
    </row>
    <row r="80" spans="1:25" ht="15.75" customHeight="1" x14ac:dyDescent="0.25">
      <c r="A80" s="47" t="s">
        <v>251</v>
      </c>
      <c r="B80" s="48"/>
      <c r="C80" s="102" t="s">
        <v>94</v>
      </c>
      <c r="D80" s="103">
        <f t="shared" si="1"/>
        <v>342580</v>
      </c>
      <c r="E80" s="103"/>
      <c r="F80" s="103">
        <f>'Detalle Reembolsos'!C101</f>
        <v>722185</v>
      </c>
      <c r="G80" s="107" t="s">
        <v>125</v>
      </c>
      <c r="H80" s="104"/>
      <c r="I80" s="108"/>
      <c r="K80" s="48"/>
      <c r="L80" s="48"/>
      <c r="M80" s="48"/>
      <c r="N80" s="48"/>
      <c r="O80" s="48"/>
      <c r="P80" s="48"/>
      <c r="Q80" s="48"/>
      <c r="R80" s="48"/>
      <c r="S80" s="48"/>
      <c r="T80" s="83"/>
      <c r="U80" s="48"/>
      <c r="V80" s="48"/>
      <c r="W80" s="48"/>
      <c r="X80" s="48"/>
      <c r="Y80" s="48"/>
    </row>
    <row r="81" spans="1:25" ht="15.75" customHeight="1" x14ac:dyDescent="0.25">
      <c r="A81" s="47" t="s">
        <v>127</v>
      </c>
      <c r="B81" s="48"/>
      <c r="C81" s="102" t="s">
        <v>129</v>
      </c>
      <c r="D81" s="103">
        <f t="shared" si="1"/>
        <v>-73920</v>
      </c>
      <c r="E81" s="103"/>
      <c r="F81" s="103">
        <v>416500</v>
      </c>
      <c r="G81" s="107" t="s">
        <v>30</v>
      </c>
      <c r="H81" s="104"/>
      <c r="I81" s="108"/>
      <c r="K81" s="48"/>
      <c r="L81" s="48"/>
      <c r="M81" s="48"/>
      <c r="N81" s="48"/>
      <c r="O81" s="48"/>
      <c r="P81" s="48"/>
      <c r="Q81" s="48"/>
      <c r="R81" s="48"/>
      <c r="S81" s="48"/>
      <c r="T81" s="83"/>
      <c r="U81" s="48"/>
      <c r="V81" s="48"/>
      <c r="W81" s="48"/>
      <c r="X81" s="48"/>
      <c r="Y81" s="48"/>
    </row>
    <row r="82" spans="1:25" ht="15.75" customHeight="1" x14ac:dyDescent="0.25">
      <c r="A82" s="47" t="s">
        <v>127</v>
      </c>
      <c r="B82" s="48"/>
      <c r="C82" s="102" t="s">
        <v>133</v>
      </c>
      <c r="D82" s="103">
        <f t="shared" si="1"/>
        <v>0</v>
      </c>
      <c r="E82" s="103">
        <v>73920</v>
      </c>
      <c r="F82" s="103"/>
      <c r="G82" s="107" t="s">
        <v>128</v>
      </c>
      <c r="H82" s="104"/>
      <c r="I82" s="108"/>
      <c r="K82" s="48"/>
      <c r="L82" s="48"/>
      <c r="M82" s="48"/>
      <c r="N82" s="48"/>
      <c r="O82" s="48"/>
      <c r="P82" s="48"/>
      <c r="Q82" s="48"/>
      <c r="R82" s="48"/>
      <c r="S82" s="48"/>
      <c r="T82" s="83"/>
      <c r="U82" s="48"/>
      <c r="V82" s="48"/>
      <c r="W82" s="48"/>
      <c r="X82" s="48"/>
      <c r="Y82" s="48"/>
    </row>
    <row r="83" spans="1:25" ht="15.75" customHeight="1" x14ac:dyDescent="0.25">
      <c r="A83" s="47" t="s">
        <v>130</v>
      </c>
      <c r="B83" s="48"/>
      <c r="C83" s="102" t="s">
        <v>317</v>
      </c>
      <c r="D83" s="103">
        <f t="shared" si="1"/>
        <v>7000000</v>
      </c>
      <c r="E83" s="103">
        <v>7000000</v>
      </c>
      <c r="F83" s="103"/>
      <c r="G83" s="107" t="s">
        <v>32</v>
      </c>
      <c r="H83" s="106"/>
      <c r="I83" s="109" t="e">
        <f>E83/#REF!</f>
        <v>#REF!</v>
      </c>
      <c r="K83" s="48"/>
      <c r="L83" s="48"/>
      <c r="M83" s="48"/>
      <c r="N83" s="48"/>
      <c r="O83" s="48"/>
      <c r="P83" s="48"/>
      <c r="Q83" s="48"/>
      <c r="R83" s="48"/>
      <c r="S83" s="48"/>
      <c r="T83" s="83"/>
      <c r="U83" s="48"/>
      <c r="V83" s="48"/>
      <c r="W83" s="48"/>
      <c r="X83" s="48"/>
      <c r="Y83" s="48"/>
    </row>
    <row r="84" spans="1:25" ht="15.75" customHeight="1" x14ac:dyDescent="0.25">
      <c r="A84" s="47" t="s">
        <v>130</v>
      </c>
      <c r="B84" s="48"/>
      <c r="C84" s="102" t="s">
        <v>131</v>
      </c>
      <c r="D84" s="103">
        <f t="shared" si="1"/>
        <v>6920000</v>
      </c>
      <c r="E84" s="103"/>
      <c r="F84" s="103">
        <v>80000</v>
      </c>
      <c r="G84" s="107" t="s">
        <v>18</v>
      </c>
      <c r="H84" s="104"/>
      <c r="I84" s="108"/>
      <c r="K84" s="48"/>
      <c r="L84" s="48"/>
      <c r="M84" s="48"/>
      <c r="N84" s="48"/>
      <c r="O84" s="48"/>
      <c r="P84" s="48"/>
      <c r="Q84" s="48"/>
      <c r="R84" s="48"/>
      <c r="S84" s="48"/>
      <c r="T84" s="83"/>
      <c r="U84" s="48"/>
      <c r="V84" s="48"/>
      <c r="W84" s="48"/>
      <c r="X84" s="48"/>
      <c r="Y84" s="48"/>
    </row>
    <row r="85" spans="1:25" ht="15.75" customHeight="1" x14ac:dyDescent="0.25">
      <c r="A85" s="47" t="s">
        <v>130</v>
      </c>
      <c r="B85" s="48"/>
      <c r="C85" s="102" t="s">
        <v>132</v>
      </c>
      <c r="D85" s="103">
        <f t="shared" si="1"/>
        <v>6846080</v>
      </c>
      <c r="E85" s="103"/>
      <c r="F85" s="103">
        <v>73920</v>
      </c>
      <c r="G85" s="107" t="s">
        <v>128</v>
      </c>
      <c r="H85" s="104"/>
      <c r="I85" s="108"/>
      <c r="K85" s="48"/>
      <c r="L85" s="48"/>
      <c r="M85" s="48"/>
      <c r="N85" s="48"/>
      <c r="O85" s="48"/>
      <c r="P85" s="48"/>
      <c r="Q85" s="48"/>
      <c r="R85" s="48"/>
      <c r="S85" s="48"/>
      <c r="T85" s="83"/>
      <c r="U85" s="48"/>
      <c r="V85" s="48"/>
      <c r="W85" s="48"/>
      <c r="X85" s="48"/>
      <c r="Y85" s="48"/>
    </row>
    <row r="86" spans="1:25" ht="15.75" customHeight="1" x14ac:dyDescent="0.25">
      <c r="A86" s="47" t="s">
        <v>141</v>
      </c>
      <c r="B86" s="48"/>
      <c r="C86" s="102" t="s">
        <v>142</v>
      </c>
      <c r="D86" s="103">
        <f t="shared" si="1"/>
        <v>3335580</v>
      </c>
      <c r="E86" s="103"/>
      <c r="F86" s="103">
        <v>3510500</v>
      </c>
      <c r="G86" s="107" t="s">
        <v>30</v>
      </c>
      <c r="H86" s="104"/>
      <c r="I86" s="108"/>
      <c r="K86" s="48"/>
      <c r="L86" s="48"/>
      <c r="M86" s="48"/>
      <c r="N86" s="48"/>
      <c r="O86" s="48"/>
      <c r="P86" s="48"/>
      <c r="Q86" s="48"/>
      <c r="R86" s="48"/>
      <c r="S86" s="48"/>
      <c r="T86" s="83"/>
      <c r="U86" s="48"/>
      <c r="V86" s="48"/>
      <c r="W86" s="48"/>
      <c r="X86" s="48"/>
      <c r="Y86" s="48"/>
    </row>
    <row r="87" spans="1:25" ht="15.75" customHeight="1" x14ac:dyDescent="0.25">
      <c r="A87" s="47" t="s">
        <v>140</v>
      </c>
      <c r="B87" s="48"/>
      <c r="C87" s="102" t="s">
        <v>143</v>
      </c>
      <c r="D87" s="103">
        <f t="shared" si="1"/>
        <v>3328810</v>
      </c>
      <c r="E87" s="103"/>
      <c r="F87" s="103">
        <v>6770</v>
      </c>
      <c r="G87" s="107"/>
      <c r="H87" s="104"/>
      <c r="I87" s="108"/>
      <c r="K87" s="48"/>
      <c r="L87" s="48"/>
      <c r="M87" s="48"/>
      <c r="N87" s="48"/>
      <c r="O87" s="48"/>
      <c r="P87" s="48"/>
      <c r="Q87" s="48"/>
      <c r="R87" s="48"/>
      <c r="S87" s="48"/>
      <c r="T87" s="83"/>
      <c r="U87" s="48"/>
      <c r="V87" s="48"/>
      <c r="W87" s="48"/>
      <c r="X87" s="48"/>
      <c r="Y87" s="48"/>
    </row>
    <row r="88" spans="1:25" ht="15.75" customHeight="1" x14ac:dyDescent="0.25">
      <c r="A88" s="47" t="s">
        <v>139</v>
      </c>
      <c r="B88" s="48"/>
      <c r="C88" s="102" t="s">
        <v>144</v>
      </c>
      <c r="D88" s="103">
        <f t="shared" si="1"/>
        <v>328810</v>
      </c>
      <c r="E88" s="103"/>
      <c r="F88" s="103">
        <v>3000000</v>
      </c>
      <c r="G88" s="107"/>
      <c r="H88" s="104"/>
      <c r="I88" s="108"/>
      <c r="K88" s="48"/>
      <c r="L88" s="48"/>
      <c r="M88" s="48"/>
      <c r="N88" s="48"/>
      <c r="O88" s="48"/>
      <c r="P88" s="48"/>
      <c r="Q88" s="48"/>
      <c r="R88" s="48"/>
      <c r="S88" s="48"/>
      <c r="T88" s="83"/>
      <c r="U88" s="48"/>
      <c r="V88" s="48"/>
      <c r="W88" s="48"/>
      <c r="X88" s="48"/>
      <c r="Y88" s="48"/>
    </row>
    <row r="89" spans="1:25" ht="15.75" customHeight="1" x14ac:dyDescent="0.25">
      <c r="A89" s="47" t="s">
        <v>138</v>
      </c>
      <c r="B89" s="48"/>
      <c r="C89" s="102" t="s">
        <v>318</v>
      </c>
      <c r="D89" s="103">
        <f t="shared" si="1"/>
        <v>13328810</v>
      </c>
      <c r="E89" s="103">
        <v>13000000</v>
      </c>
      <c r="F89" s="103"/>
      <c r="G89" s="107"/>
      <c r="H89" s="106"/>
      <c r="I89" s="109" t="e">
        <f>E89/#REF!</f>
        <v>#REF!</v>
      </c>
      <c r="J89" s="65"/>
      <c r="K89" s="48"/>
      <c r="L89" s="48"/>
      <c r="M89" s="48"/>
      <c r="N89" s="48"/>
      <c r="O89" s="48"/>
      <c r="P89" s="48"/>
      <c r="Q89" s="48"/>
      <c r="R89" s="48"/>
      <c r="S89" s="48"/>
      <c r="T89" s="83"/>
      <c r="U89" s="48"/>
      <c r="V89" s="48"/>
      <c r="W89" s="48"/>
      <c r="X89" s="48"/>
      <c r="Y89" s="48"/>
    </row>
    <row r="90" spans="1:25" ht="15.75" customHeight="1" x14ac:dyDescent="0.25">
      <c r="A90" s="47" t="s">
        <v>137</v>
      </c>
      <c r="B90" s="48"/>
      <c r="C90" s="102" t="s">
        <v>144</v>
      </c>
      <c r="D90" s="103">
        <f t="shared" si="1"/>
        <v>12829853</v>
      </c>
      <c r="E90" s="103"/>
      <c r="F90" s="103">
        <v>498957</v>
      </c>
      <c r="G90" s="107"/>
      <c r="H90" s="104"/>
      <c r="I90" s="108"/>
      <c r="K90" s="48"/>
      <c r="L90" s="48"/>
      <c r="M90" s="48"/>
      <c r="N90" s="48"/>
      <c r="O90" s="48"/>
      <c r="P90" s="48"/>
      <c r="Q90" s="48"/>
      <c r="R90" s="48"/>
      <c r="S90" s="48"/>
      <c r="T90" s="83"/>
      <c r="U90" s="48"/>
      <c r="V90" s="48"/>
      <c r="W90" s="48"/>
      <c r="X90" s="48"/>
      <c r="Y90" s="48"/>
    </row>
    <row r="91" spans="1:25" ht="15.75" customHeight="1" x14ac:dyDescent="0.25">
      <c r="A91" s="47" t="s">
        <v>137</v>
      </c>
      <c r="B91" s="48"/>
      <c r="C91" s="102" t="s">
        <v>145</v>
      </c>
      <c r="D91" s="103">
        <f t="shared" si="1"/>
        <v>12324366</v>
      </c>
      <c r="E91" s="103"/>
      <c r="F91" s="103">
        <v>505487</v>
      </c>
      <c r="G91" s="107"/>
      <c r="H91" s="104"/>
      <c r="I91" s="108"/>
      <c r="K91" s="48"/>
      <c r="L91" s="48"/>
      <c r="M91" s="48"/>
      <c r="N91" s="48"/>
      <c r="O91" s="48"/>
      <c r="P91" s="48"/>
      <c r="Q91" s="48"/>
      <c r="R91" s="48"/>
      <c r="S91" s="48"/>
      <c r="T91" s="83"/>
      <c r="U91" s="48"/>
      <c r="V91" s="48"/>
      <c r="W91" s="48"/>
      <c r="X91" s="48"/>
      <c r="Y91" s="48"/>
    </row>
    <row r="92" spans="1:25" ht="15.75" customHeight="1" x14ac:dyDescent="0.25">
      <c r="A92" s="70">
        <v>44594</v>
      </c>
      <c r="B92" s="48"/>
      <c r="C92" s="102" t="s">
        <v>146</v>
      </c>
      <c r="D92" s="103">
        <f t="shared" si="1"/>
        <v>12324134</v>
      </c>
      <c r="E92" s="103"/>
      <c r="F92" s="103">
        <v>232</v>
      </c>
      <c r="G92" s="107"/>
      <c r="H92" s="104"/>
      <c r="I92" s="108"/>
      <c r="K92" s="48"/>
      <c r="L92" s="48"/>
      <c r="M92" s="48"/>
      <c r="N92" s="48"/>
      <c r="O92" s="48"/>
      <c r="P92" s="48"/>
      <c r="Q92" s="48"/>
      <c r="R92" s="48"/>
      <c r="S92" s="48"/>
      <c r="T92" s="83"/>
      <c r="U92" s="48"/>
      <c r="V92" s="48"/>
      <c r="W92" s="48"/>
      <c r="X92" s="48"/>
      <c r="Y92" s="48"/>
    </row>
    <row r="93" spans="1:25" ht="15.75" customHeight="1" x14ac:dyDescent="0.25">
      <c r="A93" s="70">
        <v>44594</v>
      </c>
      <c r="B93" s="48"/>
      <c r="C93" s="102" t="s">
        <v>147</v>
      </c>
      <c r="D93" s="103">
        <f t="shared" si="1"/>
        <v>12324085</v>
      </c>
      <c r="E93" s="103"/>
      <c r="F93" s="103">
        <v>49</v>
      </c>
      <c r="G93" s="110"/>
      <c r="H93" s="111"/>
      <c r="I93" s="111"/>
      <c r="J93" s="46"/>
      <c r="K93" s="48"/>
      <c r="L93" s="48"/>
      <c r="M93" s="48"/>
      <c r="N93" s="48"/>
      <c r="O93" s="48"/>
      <c r="P93" s="48"/>
      <c r="Q93" s="48"/>
      <c r="R93" s="48"/>
      <c r="S93" s="48"/>
      <c r="T93" s="83"/>
      <c r="U93" s="48"/>
      <c r="V93" s="48"/>
      <c r="W93" s="48"/>
      <c r="X93" s="48"/>
      <c r="Y93" s="48"/>
    </row>
    <row r="94" spans="1:25" ht="15.75" customHeight="1" x14ac:dyDescent="0.25">
      <c r="A94" s="70">
        <v>44600</v>
      </c>
      <c r="B94" s="48"/>
      <c r="C94" s="102" t="s">
        <v>150</v>
      </c>
      <c r="D94" s="103">
        <f t="shared" si="1"/>
        <v>12315805</v>
      </c>
      <c r="E94" s="103"/>
      <c r="F94" s="103">
        <v>8280</v>
      </c>
      <c r="G94" s="112" t="s">
        <v>18</v>
      </c>
      <c r="H94" s="111"/>
      <c r="I94" s="111"/>
      <c r="J94" s="46"/>
      <c r="K94" s="48"/>
      <c r="L94" s="48"/>
      <c r="M94" s="48"/>
      <c r="N94" s="48"/>
      <c r="O94" s="48"/>
      <c r="P94" s="48"/>
      <c r="Q94" s="48"/>
      <c r="R94" s="48"/>
      <c r="S94" s="48"/>
      <c r="T94" s="83"/>
      <c r="U94" s="48"/>
      <c r="V94" s="48"/>
      <c r="W94" s="48"/>
      <c r="X94" s="48"/>
      <c r="Y94" s="48"/>
    </row>
    <row r="95" spans="1:25" ht="15.75" customHeight="1" x14ac:dyDescent="0.25">
      <c r="A95" s="70">
        <v>44600</v>
      </c>
      <c r="B95" s="48"/>
      <c r="C95" s="102" t="s">
        <v>100</v>
      </c>
      <c r="D95" s="103">
        <f t="shared" si="1"/>
        <v>12293304</v>
      </c>
      <c r="E95" s="103"/>
      <c r="F95" s="103">
        <v>22501</v>
      </c>
      <c r="G95" s="113" t="s">
        <v>18</v>
      </c>
      <c r="H95" s="111"/>
      <c r="I95" s="111"/>
      <c r="J95" s="46"/>
      <c r="K95" s="48"/>
      <c r="L95" s="48"/>
      <c r="M95" s="48"/>
      <c r="N95" s="48"/>
      <c r="O95" s="48"/>
      <c r="P95" s="48"/>
      <c r="Q95" s="48"/>
      <c r="R95" s="48"/>
      <c r="S95" s="48"/>
      <c r="T95" s="83"/>
      <c r="U95" s="48"/>
      <c r="V95" s="48"/>
      <c r="W95" s="48"/>
      <c r="X95" s="48"/>
      <c r="Y95" s="48"/>
    </row>
    <row r="96" spans="1:25" ht="15.75" customHeight="1" x14ac:dyDescent="0.25">
      <c r="A96" s="70">
        <v>44600</v>
      </c>
      <c r="B96" s="48"/>
      <c r="C96" s="102" t="s">
        <v>337</v>
      </c>
      <c r="D96" s="103">
        <f t="shared" si="1"/>
        <v>8700099</v>
      </c>
      <c r="E96" s="103"/>
      <c r="F96" s="103">
        <v>3593205</v>
      </c>
      <c r="G96" s="107" t="s">
        <v>18</v>
      </c>
      <c r="H96" s="111"/>
      <c r="I96" s="111"/>
      <c r="J96" s="46"/>
      <c r="K96" s="48"/>
      <c r="L96" s="48"/>
      <c r="M96" s="48"/>
      <c r="N96" s="48"/>
      <c r="O96" s="48"/>
      <c r="P96" s="48"/>
      <c r="Q96" s="48"/>
      <c r="R96" s="48"/>
      <c r="S96" s="48"/>
      <c r="T96" s="83"/>
      <c r="U96" s="48"/>
      <c r="V96" s="48"/>
      <c r="W96" s="48"/>
      <c r="X96" s="48"/>
      <c r="Y96" s="48"/>
    </row>
    <row r="97" spans="1:25" ht="15.75" customHeight="1" x14ac:dyDescent="0.25">
      <c r="A97" s="70">
        <v>44602</v>
      </c>
      <c r="B97" s="48"/>
      <c r="C97" s="102" t="s">
        <v>151</v>
      </c>
      <c r="D97" s="103">
        <f t="shared" si="1"/>
        <v>8696349</v>
      </c>
      <c r="E97" s="103"/>
      <c r="F97" s="103">
        <v>3750</v>
      </c>
      <c r="G97" s="112" t="s">
        <v>18</v>
      </c>
      <c r="H97" s="111"/>
      <c r="I97" s="111"/>
      <c r="J97" s="46"/>
      <c r="K97" s="48"/>
      <c r="L97" s="48"/>
      <c r="M97" s="48"/>
      <c r="N97" s="48"/>
      <c r="O97" s="48"/>
      <c r="P97" s="48"/>
      <c r="Q97" s="48"/>
      <c r="R97" s="48"/>
      <c r="S97" s="48"/>
      <c r="T97" s="83"/>
      <c r="U97" s="48"/>
      <c r="V97" s="48"/>
      <c r="W97" s="48"/>
      <c r="X97" s="48"/>
      <c r="Y97" s="48"/>
    </row>
    <row r="98" spans="1:25" ht="15.75" customHeight="1" x14ac:dyDescent="0.25">
      <c r="A98" s="70">
        <v>44602</v>
      </c>
      <c r="B98" s="48"/>
      <c r="C98" s="102" t="s">
        <v>151</v>
      </c>
      <c r="D98" s="103">
        <f t="shared" si="1"/>
        <v>8692109</v>
      </c>
      <c r="E98" s="103"/>
      <c r="F98" s="103">
        <v>4240</v>
      </c>
      <c r="G98" s="112" t="s">
        <v>18</v>
      </c>
      <c r="H98" s="111"/>
      <c r="I98" s="111"/>
      <c r="J98" s="46"/>
      <c r="K98" s="48"/>
      <c r="L98" s="48"/>
      <c r="M98" s="48"/>
      <c r="N98" s="48"/>
      <c r="O98" s="48"/>
      <c r="P98" s="48"/>
      <c r="Q98" s="48"/>
      <c r="R98" s="48"/>
      <c r="S98" s="48"/>
      <c r="T98" s="83"/>
      <c r="U98" s="48"/>
      <c r="V98" s="48"/>
      <c r="W98" s="48"/>
      <c r="X98" s="48"/>
      <c r="Y98" s="48"/>
    </row>
    <row r="99" spans="1:25" ht="15.75" customHeight="1" x14ac:dyDescent="0.25">
      <c r="A99" s="70">
        <v>44602</v>
      </c>
      <c r="B99" s="48"/>
      <c r="C99" s="102" t="s">
        <v>152</v>
      </c>
      <c r="D99" s="103">
        <f t="shared" si="1"/>
        <v>8690609</v>
      </c>
      <c r="E99" s="103"/>
      <c r="F99" s="103">
        <v>1500</v>
      </c>
      <c r="G99" s="112" t="s">
        <v>18</v>
      </c>
      <c r="H99" s="111"/>
      <c r="I99" s="111"/>
      <c r="J99" s="46"/>
      <c r="K99" s="48"/>
      <c r="L99" s="48"/>
      <c r="M99" s="48"/>
      <c r="N99" s="48"/>
      <c r="O99" s="48"/>
      <c r="P99" s="48"/>
      <c r="Q99" s="48"/>
      <c r="R99" s="48"/>
      <c r="S99" s="48"/>
      <c r="T99" s="83"/>
      <c r="U99" s="48"/>
      <c r="V99" s="48"/>
      <c r="W99" s="48"/>
      <c r="X99" s="48"/>
      <c r="Y99" s="48"/>
    </row>
    <row r="100" spans="1:25" ht="15.75" customHeight="1" x14ac:dyDescent="0.25">
      <c r="A100" s="70">
        <v>44602</v>
      </c>
      <c r="B100" s="48"/>
      <c r="C100" s="102" t="s">
        <v>153</v>
      </c>
      <c r="D100" s="103">
        <f t="shared" si="1"/>
        <v>8688009</v>
      </c>
      <c r="E100" s="103"/>
      <c r="F100" s="103">
        <v>2600</v>
      </c>
      <c r="G100" s="112" t="s">
        <v>18</v>
      </c>
      <c r="H100" s="111"/>
      <c r="I100" s="111"/>
      <c r="J100" s="46"/>
      <c r="K100" s="48"/>
      <c r="L100" s="48"/>
      <c r="M100" s="48"/>
      <c r="N100" s="48"/>
      <c r="O100" s="48"/>
      <c r="P100" s="48"/>
      <c r="Q100" s="48"/>
      <c r="R100" s="48"/>
      <c r="S100" s="48"/>
      <c r="T100" s="83"/>
      <c r="U100" s="48"/>
      <c r="V100" s="48"/>
      <c r="W100" s="48"/>
      <c r="X100" s="48"/>
      <c r="Y100" s="48"/>
    </row>
    <row r="101" spans="1:25" ht="15.75" customHeight="1" x14ac:dyDescent="0.25">
      <c r="A101" s="70">
        <v>44602</v>
      </c>
      <c r="B101" s="48"/>
      <c r="C101" s="102" t="s">
        <v>154</v>
      </c>
      <c r="D101" s="103">
        <f t="shared" si="1"/>
        <v>8650175</v>
      </c>
      <c r="E101" s="103"/>
      <c r="F101" s="103">
        <v>37834</v>
      </c>
      <c r="G101" s="112" t="s">
        <v>18</v>
      </c>
      <c r="H101" s="111"/>
      <c r="I101" s="111"/>
      <c r="J101" s="46"/>
      <c r="K101" s="48"/>
      <c r="L101" s="48"/>
      <c r="M101" s="48"/>
      <c r="N101" s="48"/>
      <c r="O101" s="48"/>
      <c r="P101" s="48"/>
      <c r="Q101" s="48"/>
      <c r="R101" s="48"/>
      <c r="S101" s="48"/>
      <c r="T101" s="83"/>
      <c r="U101" s="48"/>
      <c r="V101" s="48"/>
      <c r="W101" s="48"/>
      <c r="X101" s="48"/>
      <c r="Y101" s="48"/>
    </row>
    <row r="102" spans="1:25" ht="15.75" customHeight="1" x14ac:dyDescent="0.25">
      <c r="A102" s="70">
        <v>44603</v>
      </c>
      <c r="B102" s="48"/>
      <c r="C102" s="102" t="s">
        <v>152</v>
      </c>
      <c r="D102" s="103">
        <f t="shared" si="1"/>
        <v>8630175</v>
      </c>
      <c r="E102" s="103"/>
      <c r="F102" s="103">
        <v>20000</v>
      </c>
      <c r="G102" s="112"/>
      <c r="H102" s="111"/>
      <c r="I102" s="111"/>
      <c r="J102" s="46"/>
      <c r="K102" s="48"/>
      <c r="L102" s="48"/>
      <c r="M102" s="48"/>
      <c r="N102" s="48"/>
      <c r="O102" s="48"/>
      <c r="P102" s="48"/>
      <c r="Q102" s="48"/>
      <c r="R102" s="48"/>
      <c r="S102" s="48"/>
      <c r="T102" s="83"/>
      <c r="U102" s="48"/>
      <c r="V102" s="48"/>
      <c r="W102" s="48"/>
      <c r="X102" s="48"/>
      <c r="Y102" s="48"/>
    </row>
    <row r="103" spans="1:25" ht="15.75" customHeight="1" x14ac:dyDescent="0.25">
      <c r="A103" s="70">
        <v>44603</v>
      </c>
      <c r="B103" s="48"/>
      <c r="C103" s="102" t="s">
        <v>100</v>
      </c>
      <c r="D103" s="103">
        <f t="shared" si="1"/>
        <v>8570175</v>
      </c>
      <c r="E103" s="103"/>
      <c r="F103" s="103">
        <v>60000</v>
      </c>
      <c r="G103" s="112" t="s">
        <v>18</v>
      </c>
      <c r="H103" s="111"/>
      <c r="I103" s="111"/>
      <c r="J103" s="46"/>
      <c r="K103" s="48"/>
      <c r="L103" s="48"/>
      <c r="M103" s="48"/>
      <c r="N103" s="48"/>
      <c r="O103" s="48"/>
      <c r="P103" s="48"/>
      <c r="Q103" s="48"/>
      <c r="R103" s="48"/>
      <c r="S103" s="48"/>
      <c r="T103" s="83"/>
      <c r="U103" s="48"/>
      <c r="V103" s="48"/>
      <c r="W103" s="48"/>
      <c r="X103" s="48"/>
      <c r="Y103" s="48"/>
    </row>
    <row r="104" spans="1:25" ht="15.75" customHeight="1" x14ac:dyDescent="0.25">
      <c r="A104" s="70">
        <v>44603</v>
      </c>
      <c r="B104" s="48"/>
      <c r="C104" s="114" t="s">
        <v>148</v>
      </c>
      <c r="D104" s="103">
        <f t="shared" si="1"/>
        <v>8527154</v>
      </c>
      <c r="E104" s="103"/>
      <c r="F104" s="103">
        <v>43021</v>
      </c>
      <c r="G104" s="112" t="s">
        <v>18</v>
      </c>
      <c r="H104" s="111"/>
      <c r="I104" s="111"/>
      <c r="J104" s="46"/>
      <c r="K104" s="48"/>
      <c r="L104" s="48"/>
      <c r="M104" s="48"/>
      <c r="N104" s="48"/>
      <c r="O104" s="48"/>
      <c r="P104" s="48"/>
      <c r="Q104" s="48"/>
      <c r="R104" s="48"/>
      <c r="S104" s="48"/>
      <c r="T104" s="83"/>
      <c r="U104" s="48"/>
      <c r="V104" s="48"/>
      <c r="W104" s="48"/>
      <c r="X104" s="48"/>
      <c r="Y104" s="48"/>
    </row>
    <row r="105" spans="1:25" ht="15.75" customHeight="1" x14ac:dyDescent="0.25">
      <c r="A105" s="70">
        <v>44603</v>
      </c>
      <c r="B105" s="48"/>
      <c r="C105" s="102" t="s">
        <v>151</v>
      </c>
      <c r="D105" s="103">
        <f t="shared" si="1"/>
        <v>8521434</v>
      </c>
      <c r="E105" s="103"/>
      <c r="F105" s="103">
        <v>5720</v>
      </c>
      <c r="G105" s="112"/>
      <c r="H105" s="111"/>
      <c r="I105" s="111"/>
      <c r="J105" s="46"/>
      <c r="K105" s="48"/>
      <c r="L105" s="48"/>
      <c r="M105" s="48"/>
      <c r="N105" s="48"/>
      <c r="O105" s="48"/>
      <c r="P105" s="48"/>
      <c r="Q105" s="48"/>
      <c r="R105" s="48"/>
      <c r="S105" s="48"/>
      <c r="T105" s="83"/>
      <c r="U105" s="48"/>
      <c r="V105" s="48"/>
      <c r="W105" s="48"/>
      <c r="X105" s="48"/>
      <c r="Y105" s="48"/>
    </row>
    <row r="106" spans="1:25" ht="15.75" customHeight="1" x14ac:dyDescent="0.25">
      <c r="A106" s="70">
        <v>44606</v>
      </c>
      <c r="B106" s="48"/>
      <c r="C106" s="102" t="s">
        <v>152</v>
      </c>
      <c r="D106" s="103">
        <f t="shared" si="1"/>
        <v>8471434</v>
      </c>
      <c r="E106" s="103"/>
      <c r="F106" s="103">
        <v>50000</v>
      </c>
      <c r="G106" s="112"/>
      <c r="H106" s="111"/>
      <c r="I106" s="111"/>
      <c r="J106" s="46"/>
      <c r="K106" s="48"/>
      <c r="L106" s="48"/>
      <c r="M106" s="48"/>
      <c r="N106" s="48"/>
      <c r="O106" s="48"/>
      <c r="P106" s="48"/>
      <c r="Q106" s="48"/>
      <c r="R106" s="48"/>
      <c r="S106" s="48"/>
      <c r="T106" s="83"/>
      <c r="U106" s="48"/>
      <c r="V106" s="48"/>
      <c r="W106" s="48"/>
      <c r="X106" s="48"/>
      <c r="Y106" s="48"/>
    </row>
    <row r="107" spans="1:25" ht="15.75" customHeight="1" x14ac:dyDescent="0.25">
      <c r="A107" s="70">
        <v>44606</v>
      </c>
      <c r="B107" s="48"/>
      <c r="C107" s="102" t="s">
        <v>152</v>
      </c>
      <c r="D107" s="103">
        <f t="shared" si="1"/>
        <v>8462234</v>
      </c>
      <c r="E107" s="103"/>
      <c r="F107" s="103">
        <v>9200</v>
      </c>
      <c r="G107" s="112"/>
      <c r="H107" s="111"/>
      <c r="I107" s="111"/>
      <c r="J107" s="46"/>
      <c r="K107" s="48"/>
      <c r="L107" s="48"/>
      <c r="M107" s="48"/>
      <c r="N107" s="48"/>
      <c r="O107" s="48"/>
      <c r="P107" s="48"/>
      <c r="Q107" s="48"/>
      <c r="R107" s="48"/>
      <c r="S107" s="48"/>
      <c r="T107" s="83"/>
      <c r="U107" s="48"/>
      <c r="V107" s="48"/>
      <c r="W107" s="48"/>
      <c r="X107" s="48"/>
      <c r="Y107" s="48"/>
    </row>
    <row r="108" spans="1:25" ht="15.75" customHeight="1" x14ac:dyDescent="0.25">
      <c r="A108" s="70">
        <v>44610</v>
      </c>
      <c r="B108" s="48"/>
      <c r="C108" s="102" t="s">
        <v>155</v>
      </c>
      <c r="D108" s="103">
        <f t="shared" si="1"/>
        <v>8962234</v>
      </c>
      <c r="E108" s="103">
        <v>500000</v>
      </c>
      <c r="F108" s="103"/>
      <c r="G108" s="112" t="s">
        <v>166</v>
      </c>
      <c r="H108" s="111"/>
      <c r="I108" s="111"/>
      <c r="J108" s="46"/>
      <c r="K108" s="48"/>
      <c r="L108" s="48"/>
      <c r="M108" s="48"/>
      <c r="N108" s="48"/>
      <c r="O108" s="48"/>
      <c r="P108" s="48"/>
      <c r="Q108" s="48"/>
      <c r="R108" s="48"/>
      <c r="S108" s="48"/>
      <c r="T108" s="83"/>
      <c r="U108" s="48"/>
      <c r="V108" s="48"/>
      <c r="W108" s="48"/>
      <c r="X108" s="48"/>
      <c r="Y108" s="48"/>
    </row>
    <row r="109" spans="1:25" ht="15.75" customHeight="1" x14ac:dyDescent="0.25">
      <c r="A109" s="70">
        <v>44613</v>
      </c>
      <c r="B109" s="48"/>
      <c r="C109" s="102" t="s">
        <v>156</v>
      </c>
      <c r="D109" s="103">
        <f t="shared" si="1"/>
        <v>9112234</v>
      </c>
      <c r="E109" s="103">
        <v>150000</v>
      </c>
      <c r="F109" s="103"/>
      <c r="G109" s="112" t="s">
        <v>166</v>
      </c>
      <c r="H109" s="111"/>
      <c r="I109" s="111"/>
      <c r="J109" s="46"/>
      <c r="K109" s="48"/>
      <c r="L109" s="48"/>
      <c r="M109" s="48"/>
      <c r="N109" s="48"/>
      <c r="O109" s="48"/>
      <c r="P109" s="48"/>
      <c r="Q109" s="48"/>
      <c r="R109" s="48"/>
      <c r="S109" s="48"/>
      <c r="T109" s="83"/>
      <c r="U109" s="48"/>
      <c r="V109" s="48"/>
      <c r="W109" s="48"/>
      <c r="X109" s="48"/>
      <c r="Y109" s="48"/>
    </row>
    <row r="110" spans="1:25" ht="15.75" customHeight="1" x14ac:dyDescent="0.25">
      <c r="A110" s="70">
        <v>44613</v>
      </c>
      <c r="B110" s="48"/>
      <c r="C110" s="102" t="s">
        <v>159</v>
      </c>
      <c r="D110" s="103">
        <f t="shared" si="1"/>
        <v>9162234</v>
      </c>
      <c r="E110" s="103">
        <v>50000</v>
      </c>
      <c r="F110" s="103"/>
      <c r="G110" s="112" t="s">
        <v>166</v>
      </c>
      <c r="H110" s="111"/>
      <c r="I110" s="111"/>
      <c r="J110" s="46"/>
      <c r="K110" s="48"/>
      <c r="L110" s="48"/>
      <c r="M110" s="48"/>
      <c r="N110" s="48"/>
      <c r="O110" s="48"/>
      <c r="P110" s="48"/>
      <c r="Q110" s="48"/>
      <c r="R110" s="48"/>
      <c r="S110" s="48"/>
      <c r="T110" s="83"/>
      <c r="U110" s="48"/>
      <c r="V110" s="48"/>
      <c r="W110" s="48"/>
      <c r="X110" s="48"/>
      <c r="Y110" s="48"/>
    </row>
    <row r="111" spans="1:25" ht="15.75" customHeight="1" x14ac:dyDescent="0.25">
      <c r="A111" s="70">
        <v>44613</v>
      </c>
      <c r="B111" s="48"/>
      <c r="C111" s="102" t="s">
        <v>157</v>
      </c>
      <c r="D111" s="103">
        <f t="shared" si="1"/>
        <v>9462234</v>
      </c>
      <c r="E111" s="103">
        <v>300000</v>
      </c>
      <c r="F111" s="103"/>
      <c r="G111" s="112" t="s">
        <v>166</v>
      </c>
      <c r="H111" s="111"/>
      <c r="I111" s="111"/>
      <c r="J111" s="46"/>
      <c r="K111" s="48"/>
      <c r="L111" s="48"/>
      <c r="M111" s="48"/>
      <c r="N111" s="48"/>
      <c r="O111" s="48"/>
      <c r="P111" s="48"/>
      <c r="Q111" s="48"/>
      <c r="R111" s="48"/>
      <c r="S111" s="48"/>
      <c r="T111" s="83"/>
      <c r="U111" s="48"/>
      <c r="V111" s="48"/>
      <c r="W111" s="48"/>
      <c r="X111" s="48"/>
      <c r="Y111" s="48"/>
    </row>
    <row r="112" spans="1:25" ht="15.75" customHeight="1" x14ac:dyDescent="0.25">
      <c r="A112" s="70">
        <v>44613</v>
      </c>
      <c r="B112" s="48"/>
      <c r="C112" s="102" t="s">
        <v>159</v>
      </c>
      <c r="D112" s="103">
        <f t="shared" si="1"/>
        <v>9562234</v>
      </c>
      <c r="E112" s="103">
        <v>100000</v>
      </c>
      <c r="F112" s="103"/>
      <c r="G112" s="112" t="s">
        <v>166</v>
      </c>
      <c r="H112" s="111"/>
      <c r="I112" s="111"/>
      <c r="J112" s="46"/>
      <c r="K112" s="48"/>
      <c r="L112" s="48"/>
      <c r="M112" s="48"/>
      <c r="N112" s="48"/>
      <c r="O112" s="48"/>
      <c r="P112" s="48"/>
      <c r="Q112" s="48"/>
      <c r="R112" s="48"/>
      <c r="S112" s="48"/>
      <c r="T112" s="83"/>
      <c r="U112" s="48"/>
      <c r="V112" s="48"/>
      <c r="W112" s="48"/>
      <c r="X112" s="48"/>
      <c r="Y112" s="48"/>
    </row>
    <row r="113" spans="1:25" ht="15.75" customHeight="1" x14ac:dyDescent="0.25">
      <c r="A113" s="70">
        <v>44613</v>
      </c>
      <c r="B113" s="48"/>
      <c r="C113" s="102" t="s">
        <v>159</v>
      </c>
      <c r="D113" s="103">
        <f t="shared" si="1"/>
        <v>9812234</v>
      </c>
      <c r="E113" s="103">
        <v>250000</v>
      </c>
      <c r="F113" s="103"/>
      <c r="G113" s="112" t="s">
        <v>166</v>
      </c>
      <c r="H113" s="111"/>
      <c r="I113" s="111"/>
      <c r="J113" s="46"/>
      <c r="K113" s="48"/>
      <c r="L113" s="48"/>
      <c r="M113" s="48"/>
      <c r="N113" s="48"/>
      <c r="O113" s="48"/>
      <c r="P113" s="48"/>
      <c r="Q113" s="48"/>
      <c r="R113" s="48"/>
      <c r="S113" s="48"/>
      <c r="T113" s="83"/>
      <c r="U113" s="48"/>
      <c r="V113" s="48"/>
      <c r="W113" s="48"/>
      <c r="X113" s="48"/>
      <c r="Y113" s="48"/>
    </row>
    <row r="114" spans="1:25" ht="15.75" customHeight="1" x14ac:dyDescent="0.25">
      <c r="A114" s="70">
        <v>44613</v>
      </c>
      <c r="B114" s="48"/>
      <c r="C114" s="102" t="s">
        <v>156</v>
      </c>
      <c r="D114" s="103">
        <f t="shared" si="1"/>
        <v>10162234</v>
      </c>
      <c r="E114" s="103">
        <v>350000</v>
      </c>
      <c r="F114" s="103"/>
      <c r="G114" s="112" t="s">
        <v>166</v>
      </c>
      <c r="H114" s="111"/>
      <c r="I114" s="111"/>
      <c r="J114" s="46"/>
      <c r="K114" s="48"/>
      <c r="L114" s="48"/>
      <c r="M114" s="48"/>
      <c r="N114" s="48"/>
      <c r="O114" s="48"/>
      <c r="P114" s="48"/>
      <c r="Q114" s="48"/>
      <c r="R114" s="48"/>
      <c r="S114" s="48"/>
      <c r="T114" s="83"/>
      <c r="U114" s="48"/>
      <c r="V114" s="48"/>
      <c r="W114" s="48"/>
      <c r="X114" s="48"/>
      <c r="Y114" s="48"/>
    </row>
    <row r="115" spans="1:25" ht="15.75" customHeight="1" x14ac:dyDescent="0.25">
      <c r="A115" s="70">
        <v>44613</v>
      </c>
      <c r="B115" s="48"/>
      <c r="C115" s="102" t="s">
        <v>159</v>
      </c>
      <c r="D115" s="103">
        <f t="shared" si="1"/>
        <v>10262234</v>
      </c>
      <c r="E115" s="103">
        <v>100000</v>
      </c>
      <c r="F115" s="103"/>
      <c r="G115" s="112" t="s">
        <v>166</v>
      </c>
      <c r="H115" s="111"/>
      <c r="I115" s="111"/>
      <c r="J115" s="46"/>
      <c r="K115" s="48"/>
      <c r="L115" s="48"/>
      <c r="M115" s="48"/>
      <c r="N115" s="48"/>
      <c r="O115" s="48"/>
      <c r="P115" s="48"/>
      <c r="Q115" s="48"/>
      <c r="R115" s="48"/>
      <c r="S115" s="48"/>
      <c r="T115" s="83"/>
      <c r="U115" s="48"/>
      <c r="V115" s="48"/>
      <c r="W115" s="48"/>
      <c r="X115" s="48"/>
      <c r="Y115" s="48"/>
    </row>
    <row r="116" spans="1:25" ht="15.75" customHeight="1" x14ac:dyDescent="0.25">
      <c r="A116" s="70">
        <v>44613</v>
      </c>
      <c r="B116" s="48"/>
      <c r="C116" s="102" t="s">
        <v>157</v>
      </c>
      <c r="D116" s="103">
        <f t="shared" si="1"/>
        <v>10462234</v>
      </c>
      <c r="E116" s="103">
        <v>200000</v>
      </c>
      <c r="F116" s="103"/>
      <c r="G116" s="112" t="s">
        <v>166</v>
      </c>
      <c r="H116" s="111"/>
      <c r="I116" s="111"/>
      <c r="J116" s="46"/>
      <c r="K116" s="48"/>
      <c r="L116" s="48"/>
      <c r="M116" s="48"/>
      <c r="N116" s="48"/>
      <c r="O116" s="48"/>
      <c r="P116" s="48"/>
      <c r="Q116" s="48"/>
      <c r="R116" s="48"/>
      <c r="S116" s="48"/>
      <c r="T116" s="83"/>
      <c r="U116" s="48"/>
      <c r="V116" s="48"/>
      <c r="W116" s="48"/>
      <c r="X116" s="48"/>
      <c r="Y116" s="48"/>
    </row>
    <row r="117" spans="1:25" ht="15.75" customHeight="1" x14ac:dyDescent="0.25">
      <c r="A117" s="70">
        <v>44613</v>
      </c>
      <c r="B117" s="48"/>
      <c r="C117" s="102" t="s">
        <v>158</v>
      </c>
      <c r="D117" s="103">
        <f t="shared" si="1"/>
        <v>11462234</v>
      </c>
      <c r="E117" s="103">
        <v>1000000</v>
      </c>
      <c r="F117" s="103"/>
      <c r="G117" s="112" t="s">
        <v>166</v>
      </c>
      <c r="H117" s="111"/>
      <c r="I117" s="111"/>
      <c r="J117" s="46"/>
      <c r="K117" s="48"/>
      <c r="L117" s="48"/>
      <c r="M117" s="48"/>
      <c r="N117" s="48"/>
      <c r="O117" s="48"/>
      <c r="P117" s="48"/>
      <c r="Q117" s="48"/>
      <c r="R117" s="48"/>
      <c r="S117" s="48"/>
      <c r="T117" s="83"/>
      <c r="U117" s="48"/>
      <c r="V117" s="48"/>
      <c r="W117" s="48"/>
      <c r="X117" s="48"/>
      <c r="Y117" s="48"/>
    </row>
    <row r="118" spans="1:25" ht="15.75" customHeight="1" x14ac:dyDescent="0.25">
      <c r="A118" s="76" t="s">
        <v>161</v>
      </c>
      <c r="B118" s="48"/>
      <c r="C118" s="115" t="s">
        <v>162</v>
      </c>
      <c r="D118" s="103">
        <f t="shared" si="1"/>
        <v>2810934</v>
      </c>
      <c r="E118" s="103"/>
      <c r="F118" s="103">
        <v>8651300</v>
      </c>
      <c r="G118" s="112" t="s">
        <v>30</v>
      </c>
      <c r="H118" s="111"/>
      <c r="I118" s="111"/>
      <c r="J118" s="46"/>
      <c r="K118" s="48"/>
      <c r="L118" s="48"/>
      <c r="M118" s="48"/>
      <c r="N118" s="48"/>
      <c r="O118" s="48"/>
      <c r="P118" s="48"/>
      <c r="Q118" s="48"/>
      <c r="R118" s="48"/>
      <c r="S118" s="48"/>
      <c r="T118" s="83"/>
      <c r="U118" s="48"/>
      <c r="V118" s="48"/>
      <c r="W118" s="48"/>
      <c r="X118" s="48"/>
      <c r="Y118" s="48"/>
    </row>
    <row r="119" spans="1:25" ht="15.75" customHeight="1" x14ac:dyDescent="0.25">
      <c r="A119" s="76" t="s">
        <v>163</v>
      </c>
      <c r="B119" s="48"/>
      <c r="C119" s="104" t="s">
        <v>164</v>
      </c>
      <c r="D119" s="103">
        <f t="shared" si="1"/>
        <v>3010934</v>
      </c>
      <c r="E119" s="103">
        <v>200000</v>
      </c>
      <c r="F119" s="103"/>
      <c r="G119" s="112" t="s">
        <v>166</v>
      </c>
      <c r="H119" s="111"/>
      <c r="I119" s="116"/>
      <c r="J119" s="46"/>
      <c r="K119" s="48"/>
      <c r="L119" s="48"/>
      <c r="M119" s="48"/>
      <c r="N119" s="48"/>
      <c r="O119" s="48"/>
      <c r="P119" s="48"/>
      <c r="Q119" s="48"/>
      <c r="R119" s="48"/>
      <c r="S119" s="48"/>
      <c r="T119" s="83"/>
      <c r="U119" s="48"/>
      <c r="V119" s="48"/>
      <c r="W119" s="48"/>
      <c r="X119" s="48"/>
      <c r="Y119" s="48"/>
    </row>
    <row r="120" spans="1:25" ht="15.75" customHeight="1" x14ac:dyDescent="0.25">
      <c r="A120" s="73">
        <v>44615</v>
      </c>
      <c r="B120" s="48"/>
      <c r="C120" s="104" t="s">
        <v>165</v>
      </c>
      <c r="D120" s="103">
        <f t="shared" si="1"/>
        <v>3310934</v>
      </c>
      <c r="E120" s="103">
        <v>300000</v>
      </c>
      <c r="F120" s="103"/>
      <c r="G120" s="112" t="s">
        <v>166</v>
      </c>
      <c r="H120" s="111"/>
      <c r="I120" s="111"/>
      <c r="J120" s="46"/>
      <c r="K120" s="48"/>
      <c r="L120" s="48"/>
      <c r="M120" s="48"/>
      <c r="N120" s="48"/>
      <c r="O120" s="48"/>
      <c r="P120" s="48"/>
      <c r="Q120" s="48"/>
      <c r="R120" s="48"/>
      <c r="S120" s="48"/>
      <c r="T120" s="83"/>
      <c r="U120" s="48"/>
      <c r="V120" s="48"/>
      <c r="W120" s="48"/>
      <c r="X120" s="48"/>
      <c r="Y120" s="48"/>
    </row>
    <row r="121" spans="1:25" ht="15.75" customHeight="1" x14ac:dyDescent="0.25">
      <c r="A121" s="73">
        <v>44616</v>
      </c>
      <c r="B121" s="48"/>
      <c r="C121" s="106" t="s">
        <v>167</v>
      </c>
      <c r="D121" s="103">
        <f t="shared" si="1"/>
        <v>3093686</v>
      </c>
      <c r="E121" s="103"/>
      <c r="F121" s="103">
        <v>217248</v>
      </c>
      <c r="G121" s="112" t="s">
        <v>122</v>
      </c>
      <c r="H121" s="111"/>
      <c r="I121" s="106"/>
      <c r="K121" s="48"/>
      <c r="L121" s="48"/>
      <c r="M121" s="48"/>
      <c r="N121" s="48"/>
      <c r="O121" s="48"/>
      <c r="P121" s="48"/>
      <c r="Q121" s="48"/>
      <c r="R121" s="48"/>
      <c r="S121" s="48"/>
      <c r="T121" s="83"/>
      <c r="U121" s="48"/>
      <c r="V121" s="48"/>
      <c r="W121" s="48"/>
      <c r="X121" s="48"/>
      <c r="Y121" s="48"/>
    </row>
    <row r="122" spans="1:25" ht="15.75" customHeight="1" x14ac:dyDescent="0.25">
      <c r="A122" s="73">
        <v>44617</v>
      </c>
      <c r="B122" s="48"/>
      <c r="C122" s="102" t="s">
        <v>144</v>
      </c>
      <c r="D122" s="103">
        <f t="shared" si="1"/>
        <v>309443</v>
      </c>
      <c r="E122" s="103"/>
      <c r="F122" s="103">
        <v>2784243</v>
      </c>
      <c r="G122" s="107" t="s">
        <v>168</v>
      </c>
      <c r="H122" s="104"/>
      <c r="I122" s="104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83"/>
      <c r="U122" s="48"/>
      <c r="V122" s="48"/>
      <c r="W122" s="48"/>
      <c r="X122" s="48"/>
      <c r="Y122" s="48"/>
    </row>
    <row r="123" spans="1:25" ht="15.75" customHeight="1" x14ac:dyDescent="0.25">
      <c r="A123" s="73">
        <v>44616</v>
      </c>
      <c r="B123" s="48"/>
      <c r="C123" s="102" t="s">
        <v>171</v>
      </c>
      <c r="D123" s="103">
        <f t="shared" si="1"/>
        <v>303197</v>
      </c>
      <c r="E123" s="103"/>
      <c r="F123" s="103">
        <v>6246</v>
      </c>
      <c r="G123" s="107" t="s">
        <v>172</v>
      </c>
      <c r="H123" s="104"/>
      <c r="I123" s="104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83"/>
      <c r="U123" s="48"/>
      <c r="V123" s="48"/>
      <c r="W123" s="48"/>
      <c r="X123" s="48"/>
      <c r="Y123" s="48"/>
    </row>
    <row r="124" spans="1:25" ht="15.75" customHeight="1" x14ac:dyDescent="0.25">
      <c r="A124" s="73">
        <v>44622</v>
      </c>
      <c r="B124" s="48"/>
      <c r="C124" s="102" t="s">
        <v>173</v>
      </c>
      <c r="D124" s="103">
        <f t="shared" si="1"/>
        <v>553197</v>
      </c>
      <c r="E124" s="103">
        <v>250000</v>
      </c>
      <c r="F124" s="103"/>
      <c r="G124" s="112" t="s">
        <v>166</v>
      </c>
      <c r="H124" s="104"/>
      <c r="I124" s="104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83"/>
      <c r="U124" s="48"/>
      <c r="V124" s="48"/>
      <c r="W124" s="48"/>
      <c r="X124" s="48"/>
      <c r="Y124" s="48"/>
    </row>
    <row r="125" spans="1:25" ht="15.75" customHeight="1" x14ac:dyDescent="0.25">
      <c r="A125" s="73">
        <v>44622</v>
      </c>
      <c r="B125" s="48"/>
      <c r="C125" s="104" t="s">
        <v>169</v>
      </c>
      <c r="D125" s="103">
        <f t="shared" si="1"/>
        <v>521425</v>
      </c>
      <c r="E125" s="103"/>
      <c r="F125" s="103">
        <v>31772</v>
      </c>
      <c r="G125" s="107" t="s">
        <v>18</v>
      </c>
      <c r="H125" s="104"/>
      <c r="I125" s="104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83"/>
      <c r="U125" s="48"/>
      <c r="V125" s="48"/>
      <c r="W125" s="48"/>
      <c r="X125" s="48"/>
      <c r="Y125" s="48"/>
    </row>
    <row r="126" spans="1:25" ht="15.75" customHeight="1" x14ac:dyDescent="0.25">
      <c r="A126" s="73">
        <v>44622</v>
      </c>
      <c r="B126" s="48"/>
      <c r="C126" s="104" t="s">
        <v>170</v>
      </c>
      <c r="D126" s="103">
        <f t="shared" si="1"/>
        <v>512925</v>
      </c>
      <c r="E126" s="103"/>
      <c r="F126" s="103">
        <v>8500</v>
      </c>
      <c r="G126" s="107" t="s">
        <v>18</v>
      </c>
      <c r="H126" s="104"/>
      <c r="I126" s="104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83"/>
      <c r="U126" s="48"/>
      <c r="V126" s="48"/>
      <c r="W126" s="48"/>
      <c r="X126" s="48"/>
      <c r="Y126" s="48"/>
    </row>
    <row r="127" spans="1:25" ht="15.75" customHeight="1" x14ac:dyDescent="0.25">
      <c r="A127" s="73">
        <v>44622</v>
      </c>
      <c r="B127" s="48"/>
      <c r="C127" s="102" t="s">
        <v>176</v>
      </c>
      <c r="D127" s="103">
        <f t="shared" si="1"/>
        <v>5512925</v>
      </c>
      <c r="E127" s="103">
        <v>5000000</v>
      </c>
      <c r="F127" s="103"/>
      <c r="G127" s="107"/>
      <c r="H127" s="117"/>
      <c r="I127" s="104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83"/>
      <c r="U127" s="48"/>
      <c r="V127" s="48"/>
      <c r="W127" s="48"/>
      <c r="X127" s="48"/>
      <c r="Y127" s="48"/>
    </row>
    <row r="128" spans="1:25" ht="15.75" customHeight="1" x14ac:dyDescent="0.25">
      <c r="A128" s="73">
        <v>44622</v>
      </c>
      <c r="B128" s="48"/>
      <c r="C128" s="104" t="s">
        <v>177</v>
      </c>
      <c r="D128" s="103">
        <f t="shared" si="1"/>
        <v>4512925</v>
      </c>
      <c r="E128" s="103"/>
      <c r="F128" s="103">
        <v>1000000</v>
      </c>
      <c r="G128" s="107" t="s">
        <v>30</v>
      </c>
      <c r="H128" s="104"/>
      <c r="I128" s="104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83"/>
      <c r="U128" s="48"/>
      <c r="V128" s="48"/>
      <c r="W128" s="48"/>
      <c r="X128" s="48"/>
      <c r="Y128" s="48"/>
    </row>
    <row r="129" spans="1:25" ht="15.75" customHeight="1" x14ac:dyDescent="0.25">
      <c r="A129" s="73">
        <v>44623</v>
      </c>
      <c r="B129" s="48"/>
      <c r="C129" s="102" t="s">
        <v>173</v>
      </c>
      <c r="D129" s="103">
        <f t="shared" si="1"/>
        <v>4762925</v>
      </c>
      <c r="E129" s="103">
        <v>250000</v>
      </c>
      <c r="F129" s="103"/>
      <c r="G129" s="112" t="s">
        <v>166</v>
      </c>
      <c r="H129" s="104"/>
      <c r="I129" s="104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83"/>
      <c r="U129" s="48"/>
      <c r="V129" s="48"/>
      <c r="W129" s="48"/>
      <c r="X129" s="48"/>
      <c r="Y129" s="48"/>
    </row>
    <row r="130" spans="1:25" ht="15.75" customHeight="1" x14ac:dyDescent="0.25">
      <c r="A130" s="73">
        <v>44624</v>
      </c>
      <c r="B130" s="48"/>
      <c r="C130" s="104" t="s">
        <v>175</v>
      </c>
      <c r="D130" s="103">
        <f t="shared" si="1"/>
        <v>4734851</v>
      </c>
      <c r="E130" s="103"/>
      <c r="F130" s="103">
        <v>28074</v>
      </c>
      <c r="G130" s="107" t="s">
        <v>18</v>
      </c>
      <c r="H130" s="104"/>
      <c r="I130" s="104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83"/>
      <c r="U130" s="48"/>
      <c r="V130" s="48"/>
      <c r="W130" s="48"/>
      <c r="X130" s="48"/>
      <c r="Y130" s="48"/>
    </row>
    <row r="131" spans="1:25" ht="15.75" customHeight="1" x14ac:dyDescent="0.25">
      <c r="A131" s="73">
        <v>44624</v>
      </c>
      <c r="B131" s="48"/>
      <c r="C131" s="104" t="s">
        <v>174</v>
      </c>
      <c r="D131" s="103">
        <f t="shared" si="1"/>
        <v>4726351</v>
      </c>
      <c r="E131" s="103"/>
      <c r="F131" s="103">
        <v>8500</v>
      </c>
      <c r="G131" s="107" t="s">
        <v>18</v>
      </c>
      <c r="H131" s="104"/>
      <c r="I131" s="104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83"/>
      <c r="U131" s="48"/>
      <c r="V131" s="48"/>
      <c r="W131" s="48"/>
      <c r="X131" s="48"/>
      <c r="Y131" s="48"/>
    </row>
    <row r="132" spans="1:25" ht="15.75" customHeight="1" x14ac:dyDescent="0.25">
      <c r="A132" s="73">
        <v>44629</v>
      </c>
      <c r="B132" s="48"/>
      <c r="C132" s="102" t="s">
        <v>180</v>
      </c>
      <c r="D132" s="103">
        <f t="shared" si="1"/>
        <v>4976351</v>
      </c>
      <c r="E132" s="103">
        <v>250000</v>
      </c>
      <c r="F132" s="103"/>
      <c r="G132" s="112" t="s">
        <v>166</v>
      </c>
      <c r="H132" s="104"/>
      <c r="I132" s="104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83"/>
      <c r="U132" s="48"/>
      <c r="V132" s="48"/>
      <c r="W132" s="48"/>
      <c r="X132" s="48"/>
      <c r="Y132" s="48"/>
    </row>
    <row r="133" spans="1:25" ht="15.75" customHeight="1" x14ac:dyDescent="0.25">
      <c r="A133" s="73">
        <v>44630</v>
      </c>
      <c r="B133" s="48"/>
      <c r="C133" s="102" t="s">
        <v>180</v>
      </c>
      <c r="D133" s="103">
        <f t="shared" ref="D133:D196" si="2">+D132+E133-F133</f>
        <v>5226351</v>
      </c>
      <c r="E133" s="103">
        <v>250000</v>
      </c>
      <c r="F133" s="103"/>
      <c r="G133" s="112" t="s">
        <v>166</v>
      </c>
      <c r="H133" s="104"/>
      <c r="I133" s="104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83"/>
      <c r="U133" s="48"/>
      <c r="V133" s="48"/>
      <c r="W133" s="48"/>
      <c r="X133" s="48"/>
      <c r="Y133" s="48"/>
    </row>
    <row r="134" spans="1:25" ht="15.75" customHeight="1" x14ac:dyDescent="0.25">
      <c r="A134" s="73">
        <v>44634</v>
      </c>
      <c r="B134" s="48"/>
      <c r="C134" s="106" t="s">
        <v>181</v>
      </c>
      <c r="D134" s="103">
        <f t="shared" si="2"/>
        <v>5212467</v>
      </c>
      <c r="E134" s="103"/>
      <c r="F134" s="103">
        <v>13884</v>
      </c>
      <c r="G134" s="107" t="s">
        <v>32</v>
      </c>
      <c r="H134" s="104"/>
      <c r="I134" s="104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83"/>
      <c r="U134" s="48"/>
      <c r="V134" s="48"/>
      <c r="W134" s="48"/>
      <c r="X134" s="48"/>
      <c r="Y134" s="48"/>
    </row>
    <row r="135" spans="1:25" ht="15.75" customHeight="1" x14ac:dyDescent="0.25">
      <c r="A135" s="73">
        <v>44641</v>
      </c>
      <c r="B135" s="48"/>
      <c r="C135" s="106" t="s">
        <v>182</v>
      </c>
      <c r="D135" s="103">
        <f t="shared" si="2"/>
        <v>4895588</v>
      </c>
      <c r="E135" s="103"/>
      <c r="F135" s="103">
        <v>316879</v>
      </c>
      <c r="G135" s="107" t="s">
        <v>30</v>
      </c>
      <c r="H135" s="104"/>
      <c r="I135" s="104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83"/>
      <c r="U135" s="48"/>
      <c r="V135" s="48"/>
      <c r="W135" s="48"/>
      <c r="X135" s="48"/>
      <c r="Y135" s="48"/>
    </row>
    <row r="136" spans="1:25" ht="15.75" customHeight="1" x14ac:dyDescent="0.25">
      <c r="A136" s="73">
        <v>44649</v>
      </c>
      <c r="B136" s="48"/>
      <c r="C136" s="106" t="s">
        <v>183</v>
      </c>
      <c r="D136" s="103">
        <f t="shared" si="2"/>
        <v>795588</v>
      </c>
      <c r="E136" s="103"/>
      <c r="F136" s="103">
        <v>4100000</v>
      </c>
      <c r="G136" s="107" t="s">
        <v>30</v>
      </c>
      <c r="H136" s="104"/>
      <c r="I136" s="104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83"/>
      <c r="U136" s="48"/>
      <c r="V136" s="48"/>
      <c r="W136" s="48"/>
      <c r="X136" s="48"/>
      <c r="Y136" s="48"/>
    </row>
    <row r="137" spans="1:25" ht="15.75" customHeight="1" x14ac:dyDescent="0.25">
      <c r="A137" s="73">
        <v>44649</v>
      </c>
      <c r="B137" s="48"/>
      <c r="C137" s="106" t="s">
        <v>171</v>
      </c>
      <c r="D137" s="103">
        <f t="shared" si="2"/>
        <v>789277</v>
      </c>
      <c r="E137" s="103"/>
      <c r="F137" s="103">
        <v>6311</v>
      </c>
      <c r="G137" s="107" t="s">
        <v>172</v>
      </c>
      <c r="H137" s="104"/>
      <c r="I137" s="104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83"/>
      <c r="U137" s="48"/>
      <c r="V137" s="48"/>
      <c r="W137" s="48"/>
      <c r="X137" s="48"/>
      <c r="Y137" s="48"/>
    </row>
    <row r="138" spans="1:25" ht="15.75" customHeight="1" x14ac:dyDescent="0.25">
      <c r="A138" s="73">
        <v>44652</v>
      </c>
      <c r="B138" s="48"/>
      <c r="C138" s="106" t="s">
        <v>184</v>
      </c>
      <c r="D138" s="103">
        <f t="shared" si="2"/>
        <v>289277</v>
      </c>
      <c r="E138" s="103"/>
      <c r="F138" s="103">
        <v>500000</v>
      </c>
      <c r="G138" s="118" t="s">
        <v>185</v>
      </c>
      <c r="H138" s="104"/>
      <c r="I138" s="104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83"/>
      <c r="U138" s="48"/>
      <c r="V138" s="48"/>
      <c r="W138" s="48"/>
      <c r="X138" s="48"/>
      <c r="Y138" s="48"/>
    </row>
    <row r="139" spans="1:25" ht="15.75" customHeight="1" x14ac:dyDescent="0.25">
      <c r="A139" s="73">
        <v>44652</v>
      </c>
      <c r="B139" s="48"/>
      <c r="C139" s="106" t="s">
        <v>186</v>
      </c>
      <c r="D139" s="103">
        <f t="shared" si="2"/>
        <v>147660</v>
      </c>
      <c r="E139" s="103"/>
      <c r="F139" s="103">
        <v>141617</v>
      </c>
      <c r="G139" s="107" t="s">
        <v>187</v>
      </c>
      <c r="H139" s="104"/>
      <c r="I139" s="104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83"/>
      <c r="U139" s="48"/>
      <c r="V139" s="48"/>
      <c r="W139" s="48"/>
      <c r="X139" s="48"/>
      <c r="Y139" s="48"/>
    </row>
    <row r="140" spans="1:25" ht="15.75" customHeight="1" x14ac:dyDescent="0.25">
      <c r="A140" s="73">
        <v>44664</v>
      </c>
      <c r="B140" s="48"/>
      <c r="C140" s="106" t="s">
        <v>169</v>
      </c>
      <c r="D140" s="103">
        <f t="shared" si="2"/>
        <v>57379</v>
      </c>
      <c r="E140" s="103"/>
      <c r="F140" s="103">
        <v>90281</v>
      </c>
      <c r="G140" s="107" t="s">
        <v>30</v>
      </c>
      <c r="H140" s="104"/>
      <c r="I140" s="104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83"/>
      <c r="U140" s="48"/>
      <c r="V140" s="48"/>
      <c r="W140" s="48"/>
      <c r="X140" s="48"/>
      <c r="Y140" s="48"/>
    </row>
    <row r="141" spans="1:25" ht="15.75" customHeight="1" x14ac:dyDescent="0.25">
      <c r="A141" s="73">
        <v>44664</v>
      </c>
      <c r="B141" s="48"/>
      <c r="C141" s="106" t="s">
        <v>170</v>
      </c>
      <c r="D141" s="103">
        <f t="shared" si="2"/>
        <v>47869</v>
      </c>
      <c r="E141" s="103"/>
      <c r="F141" s="103">
        <v>9510</v>
      </c>
      <c r="G141" s="107" t="s">
        <v>18</v>
      </c>
      <c r="H141" s="104"/>
      <c r="I141" s="104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83"/>
      <c r="U141" s="48"/>
      <c r="V141" s="48"/>
      <c r="W141" s="48"/>
      <c r="X141" s="48"/>
      <c r="Y141" s="48"/>
    </row>
    <row r="142" spans="1:25" ht="15.75" customHeight="1" x14ac:dyDescent="0.25">
      <c r="A142" s="73">
        <v>44676</v>
      </c>
      <c r="B142" s="48"/>
      <c r="C142" s="106" t="s">
        <v>213</v>
      </c>
      <c r="D142" s="103">
        <f t="shared" si="2"/>
        <v>32775</v>
      </c>
      <c r="E142" s="103"/>
      <c r="F142" s="103">
        <v>15094</v>
      </c>
      <c r="G142" s="107" t="s">
        <v>214</v>
      </c>
      <c r="H142" s="104"/>
      <c r="I142" s="104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83"/>
      <c r="U142" s="48"/>
      <c r="V142" s="48"/>
      <c r="W142" s="48"/>
      <c r="X142" s="48"/>
      <c r="Y142" s="48"/>
    </row>
    <row r="143" spans="1:25" ht="15.75" customHeight="1" x14ac:dyDescent="0.25">
      <c r="A143" s="73">
        <v>44678</v>
      </c>
      <c r="B143" s="48"/>
      <c r="C143" s="106" t="s">
        <v>171</v>
      </c>
      <c r="D143" s="103">
        <f t="shared" si="2"/>
        <v>26426</v>
      </c>
      <c r="E143" s="103"/>
      <c r="F143" s="103">
        <v>6349</v>
      </c>
      <c r="G143" s="107" t="s">
        <v>172</v>
      </c>
      <c r="H143" s="104"/>
      <c r="I143" s="104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83"/>
      <c r="U143" s="48"/>
      <c r="V143" s="48"/>
      <c r="W143" s="48"/>
      <c r="X143" s="48"/>
      <c r="Y143" s="48"/>
    </row>
    <row r="144" spans="1:25" ht="15.75" customHeight="1" x14ac:dyDescent="0.25">
      <c r="A144" s="73">
        <v>44692</v>
      </c>
      <c r="B144" s="48"/>
      <c r="C144" s="106" t="s">
        <v>215</v>
      </c>
      <c r="D144" s="103">
        <f t="shared" si="2"/>
        <v>2840503</v>
      </c>
      <c r="E144" s="103">
        <v>2814077</v>
      </c>
      <c r="F144" s="103"/>
      <c r="G144" s="107" t="s">
        <v>216</v>
      </c>
      <c r="H144" s="104"/>
      <c r="I144" s="104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83"/>
      <c r="U144" s="48"/>
      <c r="V144" s="48"/>
      <c r="W144" s="48"/>
      <c r="X144" s="48"/>
      <c r="Y144" s="48"/>
    </row>
    <row r="145" spans="1:25" ht="15.75" customHeight="1" x14ac:dyDescent="0.25">
      <c r="A145" s="73">
        <v>44697</v>
      </c>
      <c r="B145" s="48"/>
      <c r="C145" s="106" t="s">
        <v>217</v>
      </c>
      <c r="D145" s="103">
        <f t="shared" si="2"/>
        <v>1490503</v>
      </c>
      <c r="E145" s="103"/>
      <c r="F145" s="103">
        <v>1350000</v>
      </c>
      <c r="G145" s="107" t="s">
        <v>30</v>
      </c>
      <c r="H145" s="104"/>
      <c r="I145" s="104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83"/>
      <c r="U145" s="48"/>
      <c r="V145" s="48"/>
      <c r="W145" s="48"/>
      <c r="X145" s="48"/>
      <c r="Y145" s="48"/>
    </row>
    <row r="146" spans="1:25" ht="15.75" customHeight="1" x14ac:dyDescent="0.25">
      <c r="A146" s="73">
        <v>44706</v>
      </c>
      <c r="B146" s="48"/>
      <c r="C146" s="106" t="s">
        <v>218</v>
      </c>
      <c r="D146" s="103">
        <f t="shared" si="2"/>
        <v>1485903</v>
      </c>
      <c r="E146" s="103"/>
      <c r="F146" s="103">
        <v>4600</v>
      </c>
      <c r="G146" s="107" t="s">
        <v>219</v>
      </c>
      <c r="H146" s="104"/>
      <c r="I146" s="104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83"/>
      <c r="U146" s="48"/>
      <c r="V146" s="48"/>
      <c r="W146" s="48"/>
      <c r="X146" s="48"/>
      <c r="Y146" s="48"/>
    </row>
    <row r="147" spans="1:25" ht="15.75" customHeight="1" x14ac:dyDescent="0.25">
      <c r="A147" s="73">
        <v>44708</v>
      </c>
      <c r="B147" s="48"/>
      <c r="C147" s="106" t="s">
        <v>171</v>
      </c>
      <c r="D147" s="103">
        <f t="shared" si="2"/>
        <v>1476256</v>
      </c>
      <c r="E147" s="103"/>
      <c r="F147" s="103">
        <v>9647</v>
      </c>
      <c r="G147" s="107" t="s">
        <v>172</v>
      </c>
      <c r="H147" s="104"/>
      <c r="I147" s="104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83"/>
      <c r="U147" s="48"/>
      <c r="V147" s="48"/>
      <c r="W147" s="48"/>
      <c r="X147" s="48"/>
      <c r="Y147" s="48"/>
    </row>
    <row r="148" spans="1:25" ht="15.75" customHeight="1" x14ac:dyDescent="0.25">
      <c r="A148" s="73">
        <v>44712</v>
      </c>
      <c r="B148" s="48"/>
      <c r="C148" s="106" t="s">
        <v>212</v>
      </c>
      <c r="D148" s="103">
        <f t="shared" si="2"/>
        <v>5476256</v>
      </c>
      <c r="E148" s="103">
        <v>4000000</v>
      </c>
      <c r="F148" s="103"/>
      <c r="G148" s="107" t="s">
        <v>220</v>
      </c>
      <c r="H148" s="104"/>
      <c r="I148" s="104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83"/>
      <c r="U148" s="48"/>
      <c r="V148" s="48"/>
      <c r="W148" s="48"/>
      <c r="X148" s="48"/>
      <c r="Y148" s="48"/>
    </row>
    <row r="149" spans="1:25" ht="15.75" customHeight="1" x14ac:dyDescent="0.25">
      <c r="A149" s="73">
        <v>44713</v>
      </c>
      <c r="B149" s="48"/>
      <c r="C149" s="106" t="s">
        <v>222</v>
      </c>
      <c r="D149" s="103">
        <f t="shared" si="2"/>
        <v>4976256</v>
      </c>
      <c r="E149" s="103"/>
      <c r="F149" s="103">
        <v>500000</v>
      </c>
      <c r="G149" s="107"/>
      <c r="H149" s="104"/>
      <c r="I149" s="104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83"/>
      <c r="U149" s="48"/>
      <c r="V149" s="48"/>
      <c r="W149" s="48"/>
      <c r="X149" s="48"/>
      <c r="Y149" s="48"/>
    </row>
    <row r="150" spans="1:25" ht="15.75" customHeight="1" x14ac:dyDescent="0.25">
      <c r="A150" s="73">
        <v>44713</v>
      </c>
      <c r="B150" s="48"/>
      <c r="C150" s="106" t="s">
        <v>211</v>
      </c>
      <c r="D150" s="103">
        <f t="shared" si="2"/>
        <v>9976256</v>
      </c>
      <c r="E150" s="103">
        <v>5000000</v>
      </c>
      <c r="F150" s="103"/>
      <c r="G150" s="107" t="s">
        <v>221</v>
      </c>
      <c r="H150" s="104"/>
      <c r="I150" s="104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83"/>
      <c r="U150" s="48"/>
      <c r="V150" s="48"/>
      <c r="W150" s="48"/>
      <c r="X150" s="48"/>
      <c r="Y150" s="48"/>
    </row>
    <row r="151" spans="1:25" ht="15.75" customHeight="1" x14ac:dyDescent="0.25">
      <c r="A151" s="73">
        <v>44714</v>
      </c>
      <c r="B151" s="48"/>
      <c r="C151" s="106" t="s">
        <v>229</v>
      </c>
      <c r="D151" s="103">
        <f t="shared" si="2"/>
        <v>9966256</v>
      </c>
      <c r="E151" s="103"/>
      <c r="F151" s="103">
        <v>10000</v>
      </c>
      <c r="G151" s="107"/>
      <c r="H151" s="104"/>
      <c r="I151" s="104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83"/>
      <c r="U151" s="48"/>
      <c r="V151" s="48"/>
      <c r="W151" s="48"/>
      <c r="X151" s="48"/>
      <c r="Y151" s="48"/>
    </row>
    <row r="152" spans="1:25" ht="15.75" customHeight="1" x14ac:dyDescent="0.25">
      <c r="A152" s="73">
        <v>44714</v>
      </c>
      <c r="B152" s="48"/>
      <c r="C152" s="106" t="s">
        <v>228</v>
      </c>
      <c r="D152" s="103">
        <f t="shared" si="2"/>
        <v>9959680</v>
      </c>
      <c r="E152" s="103"/>
      <c r="F152" s="103">
        <v>6576</v>
      </c>
      <c r="G152" s="107"/>
      <c r="H152" s="104"/>
      <c r="I152" s="104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83"/>
      <c r="U152" s="48"/>
      <c r="V152" s="48"/>
      <c r="W152" s="48"/>
      <c r="X152" s="48"/>
      <c r="Y152" s="48"/>
    </row>
    <row r="153" spans="1:25" ht="15.75" customHeight="1" x14ac:dyDescent="0.25">
      <c r="A153" s="73">
        <v>44715</v>
      </c>
      <c r="B153" s="48"/>
      <c r="C153" s="106" t="s">
        <v>186</v>
      </c>
      <c r="D153" s="103">
        <f t="shared" si="2"/>
        <v>9818001</v>
      </c>
      <c r="E153" s="103"/>
      <c r="F153" s="103">
        <v>141679</v>
      </c>
      <c r="G153" s="107" t="s">
        <v>227</v>
      </c>
      <c r="H153" s="104"/>
      <c r="I153" s="104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83"/>
      <c r="U153" s="48"/>
      <c r="V153" s="48"/>
      <c r="W153" s="48"/>
      <c r="X153" s="48"/>
      <c r="Y153" s="48"/>
    </row>
    <row r="154" spans="1:25" ht="15.75" customHeight="1" x14ac:dyDescent="0.25">
      <c r="A154" s="73">
        <v>44715</v>
      </c>
      <c r="B154" s="48"/>
      <c r="C154" s="106" t="s">
        <v>223</v>
      </c>
      <c r="D154" s="103">
        <f t="shared" si="2"/>
        <v>14818001</v>
      </c>
      <c r="E154" s="103">
        <v>5000000</v>
      </c>
      <c r="F154" s="103"/>
      <c r="G154" s="107" t="s">
        <v>226</v>
      </c>
      <c r="H154" s="104"/>
      <c r="I154" s="104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83"/>
      <c r="U154" s="48"/>
      <c r="V154" s="48"/>
      <c r="W154" s="48"/>
      <c r="X154" s="48"/>
      <c r="Y154" s="48"/>
    </row>
    <row r="155" spans="1:25" ht="15.75" customHeight="1" x14ac:dyDescent="0.25">
      <c r="A155" s="73">
        <v>44715</v>
      </c>
      <c r="B155" s="48"/>
      <c r="C155" s="106" t="s">
        <v>223</v>
      </c>
      <c r="D155" s="103">
        <f t="shared" si="2"/>
        <v>15118001</v>
      </c>
      <c r="E155" s="103">
        <v>300000</v>
      </c>
      <c r="F155" s="103"/>
      <c r="G155" s="107" t="s">
        <v>226</v>
      </c>
      <c r="H155" s="104"/>
      <c r="I155" s="104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83"/>
      <c r="U155" s="48"/>
      <c r="V155" s="48"/>
      <c r="W155" s="48"/>
      <c r="X155" s="48"/>
      <c r="Y155" s="48"/>
    </row>
    <row r="156" spans="1:25" ht="15.75" customHeight="1" x14ac:dyDescent="0.25">
      <c r="A156" s="73">
        <v>44718</v>
      </c>
      <c r="B156" s="48"/>
      <c r="C156" s="106" t="s">
        <v>223</v>
      </c>
      <c r="D156" s="103">
        <f t="shared" si="2"/>
        <v>20118001</v>
      </c>
      <c r="E156" s="103">
        <v>5000000</v>
      </c>
      <c r="F156" s="103"/>
      <c r="G156" s="107" t="s">
        <v>226</v>
      </c>
      <c r="H156" s="104"/>
      <c r="I156" s="104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83"/>
      <c r="U156" s="48"/>
      <c r="V156" s="48"/>
      <c r="W156" s="48"/>
      <c r="X156" s="48"/>
      <c r="Y156" s="48"/>
    </row>
    <row r="157" spans="1:25" ht="15.75" customHeight="1" x14ac:dyDescent="0.25">
      <c r="A157" s="73">
        <v>44718</v>
      </c>
      <c r="B157" s="48"/>
      <c r="C157" s="106" t="s">
        <v>223</v>
      </c>
      <c r="D157" s="103">
        <f t="shared" si="2"/>
        <v>25118001</v>
      </c>
      <c r="E157" s="103">
        <v>5000000</v>
      </c>
      <c r="F157" s="103"/>
      <c r="G157" s="107" t="s">
        <v>226</v>
      </c>
      <c r="H157" s="104"/>
      <c r="I157" s="104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83"/>
      <c r="U157" s="48"/>
      <c r="V157" s="48"/>
      <c r="W157" s="48"/>
      <c r="X157" s="48"/>
      <c r="Y157" s="48"/>
    </row>
    <row r="158" spans="1:25" ht="15.75" customHeight="1" x14ac:dyDescent="0.25">
      <c r="A158" s="73">
        <v>44718</v>
      </c>
      <c r="B158" s="48"/>
      <c r="C158" s="106" t="s">
        <v>223</v>
      </c>
      <c r="D158" s="103">
        <f t="shared" si="2"/>
        <v>30118001</v>
      </c>
      <c r="E158" s="103">
        <v>5000000</v>
      </c>
      <c r="F158" s="103"/>
      <c r="G158" s="107" t="s">
        <v>226</v>
      </c>
      <c r="H158" s="104"/>
      <c r="I158" s="104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83"/>
      <c r="U158" s="48"/>
      <c r="V158" s="48"/>
      <c r="W158" s="48"/>
      <c r="X158" s="48"/>
      <c r="Y158" s="48"/>
    </row>
    <row r="159" spans="1:25" ht="15.75" customHeight="1" x14ac:dyDescent="0.25">
      <c r="A159" s="73">
        <v>44719</v>
      </c>
      <c r="B159" s="48"/>
      <c r="C159" s="106" t="s">
        <v>224</v>
      </c>
      <c r="D159" s="103">
        <f t="shared" si="2"/>
        <v>29386751</v>
      </c>
      <c r="E159" s="103"/>
      <c r="F159" s="103">
        <v>731250</v>
      </c>
      <c r="G159" s="107" t="s">
        <v>225</v>
      </c>
      <c r="H159" s="104"/>
      <c r="I159" s="104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83"/>
      <c r="U159" s="48"/>
      <c r="V159" s="48"/>
      <c r="W159" s="48"/>
      <c r="X159" s="48"/>
      <c r="Y159" s="48"/>
    </row>
    <row r="160" spans="1:25" ht="15" customHeight="1" x14ac:dyDescent="0.25">
      <c r="A160" s="73">
        <v>44719</v>
      </c>
      <c r="B160" s="48"/>
      <c r="C160" s="106" t="s">
        <v>223</v>
      </c>
      <c r="D160" s="103">
        <f t="shared" si="2"/>
        <v>33148330</v>
      </c>
      <c r="E160" s="103">
        <v>3761579</v>
      </c>
      <c r="F160" s="103"/>
      <c r="G160" s="107" t="s">
        <v>226</v>
      </c>
      <c r="H160" s="104"/>
      <c r="I160" s="104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83"/>
      <c r="U160" s="48"/>
      <c r="V160" s="48"/>
      <c r="W160" s="48"/>
      <c r="X160" s="48"/>
      <c r="Y160" s="48"/>
    </row>
    <row r="161" spans="1:25" ht="15.75" customHeight="1" x14ac:dyDescent="0.25">
      <c r="A161" s="73">
        <v>44719</v>
      </c>
      <c r="B161" s="48"/>
      <c r="C161" s="106" t="s">
        <v>589</v>
      </c>
      <c r="D161" s="103">
        <f t="shared" si="2"/>
        <v>8148330</v>
      </c>
      <c r="E161" s="103"/>
      <c r="F161" s="103">
        <v>25000000</v>
      </c>
      <c r="G161" s="107" t="s">
        <v>319</v>
      </c>
      <c r="H161" s="104"/>
      <c r="I161" s="104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83"/>
      <c r="U161" s="48"/>
      <c r="V161" s="48"/>
      <c r="W161" s="48"/>
      <c r="X161" s="48"/>
      <c r="Y161" s="48"/>
    </row>
    <row r="162" spans="1:25" ht="15.75" customHeight="1" x14ac:dyDescent="0.25">
      <c r="A162" s="73">
        <v>44719</v>
      </c>
      <c r="B162" s="48"/>
      <c r="C162" s="106" t="s">
        <v>233</v>
      </c>
      <c r="D162" s="103">
        <f t="shared" si="2"/>
        <v>8068330</v>
      </c>
      <c r="E162" s="103"/>
      <c r="F162" s="103">
        <v>80000</v>
      </c>
      <c r="G162" s="107" t="s">
        <v>128</v>
      </c>
      <c r="H162" s="104"/>
      <c r="I162" s="104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83"/>
      <c r="U162" s="48"/>
      <c r="V162" s="48"/>
      <c r="W162" s="48"/>
      <c r="X162" s="48"/>
      <c r="Y162" s="48"/>
    </row>
    <row r="163" spans="1:25" ht="15.75" customHeight="1" x14ac:dyDescent="0.25">
      <c r="A163" s="73">
        <v>44720</v>
      </c>
      <c r="B163" s="48"/>
      <c r="C163" s="106" t="s">
        <v>234</v>
      </c>
      <c r="D163" s="103">
        <f t="shared" si="2"/>
        <v>7864163</v>
      </c>
      <c r="E163" s="103"/>
      <c r="F163" s="103">
        <v>204167</v>
      </c>
      <c r="G163" s="107" t="s">
        <v>315</v>
      </c>
      <c r="H163" s="104"/>
      <c r="I163" s="104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83"/>
      <c r="U163" s="48"/>
      <c r="V163" s="48"/>
      <c r="W163" s="48"/>
      <c r="X163" s="48"/>
      <c r="Y163" s="48"/>
    </row>
    <row r="164" spans="1:25" ht="15.75" customHeight="1" x14ac:dyDescent="0.25">
      <c r="A164" s="73">
        <v>44725</v>
      </c>
      <c r="B164" s="48"/>
      <c r="C164" s="106" t="s">
        <v>237</v>
      </c>
      <c r="D164" s="103">
        <f t="shared" si="2"/>
        <v>8114163</v>
      </c>
      <c r="E164" s="103">
        <v>250000</v>
      </c>
      <c r="F164" s="103"/>
      <c r="G164" s="107" t="s">
        <v>226</v>
      </c>
      <c r="H164" s="104"/>
      <c r="I164" s="104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83"/>
      <c r="U164" s="48"/>
      <c r="V164" s="48"/>
      <c r="W164" s="48"/>
      <c r="X164" s="48"/>
      <c r="Y164" s="48"/>
    </row>
    <row r="165" spans="1:25" ht="15.75" customHeight="1" x14ac:dyDescent="0.25">
      <c r="A165" s="73">
        <v>44725</v>
      </c>
      <c r="B165" s="48"/>
      <c r="C165" s="106" t="s">
        <v>237</v>
      </c>
      <c r="D165" s="103">
        <f t="shared" si="2"/>
        <v>8364163</v>
      </c>
      <c r="E165" s="103">
        <v>250000</v>
      </c>
      <c r="F165" s="103"/>
      <c r="G165" s="104" t="s">
        <v>226</v>
      </c>
      <c r="H165" s="104"/>
      <c r="I165" s="104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83"/>
      <c r="U165" s="48"/>
      <c r="V165" s="48"/>
      <c r="W165" s="48"/>
      <c r="X165" s="48"/>
      <c r="Y165" s="48"/>
    </row>
    <row r="166" spans="1:25" ht="15.75" customHeight="1" x14ac:dyDescent="0.25">
      <c r="A166" s="73">
        <v>44729</v>
      </c>
      <c r="B166" s="48"/>
      <c r="C166" s="106" t="s">
        <v>236</v>
      </c>
      <c r="D166" s="103">
        <f t="shared" si="2"/>
        <v>71364163</v>
      </c>
      <c r="E166" s="119">
        <v>63000000</v>
      </c>
      <c r="F166" s="119"/>
      <c r="G166" s="104" t="s">
        <v>235</v>
      </c>
      <c r="H166" s="104"/>
      <c r="I166" s="104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83"/>
      <c r="U166" s="48"/>
      <c r="V166" s="48"/>
      <c r="W166" s="48"/>
      <c r="X166" s="48"/>
      <c r="Y166" s="48"/>
    </row>
    <row r="167" spans="1:25" ht="15.75" customHeight="1" x14ac:dyDescent="0.25">
      <c r="A167" s="44" t="s">
        <v>252</v>
      </c>
      <c r="B167" s="48"/>
      <c r="C167" s="102" t="s">
        <v>258</v>
      </c>
      <c r="D167" s="103">
        <f t="shared" si="2"/>
        <v>71614163</v>
      </c>
      <c r="E167" s="103">
        <v>250000</v>
      </c>
      <c r="F167" s="103"/>
      <c r="G167" s="104" t="s">
        <v>296</v>
      </c>
      <c r="H167" s="104"/>
      <c r="I167" s="104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83"/>
      <c r="U167" s="48"/>
      <c r="V167" s="48"/>
      <c r="W167" s="48"/>
      <c r="X167" s="48"/>
      <c r="Y167" s="48"/>
    </row>
    <row r="168" spans="1:25" ht="15.75" customHeight="1" x14ac:dyDescent="0.25">
      <c r="A168" s="44" t="s">
        <v>252</v>
      </c>
      <c r="B168" s="48"/>
      <c r="C168" s="102" t="s">
        <v>260</v>
      </c>
      <c r="D168" s="103">
        <f t="shared" si="2"/>
        <v>67623997</v>
      </c>
      <c r="E168" s="103"/>
      <c r="F168" s="103">
        <v>3990166</v>
      </c>
      <c r="G168" s="104" t="s">
        <v>125</v>
      </c>
      <c r="H168" s="104"/>
      <c r="I168" s="104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83"/>
      <c r="U168" s="48"/>
      <c r="V168" s="48"/>
      <c r="W168" s="48"/>
      <c r="X168" s="48"/>
      <c r="Y168" s="48"/>
    </row>
    <row r="169" spans="1:25" ht="15.75" customHeight="1" x14ac:dyDescent="0.25">
      <c r="A169" s="44" t="s">
        <v>253</v>
      </c>
      <c r="B169" s="48"/>
      <c r="C169" s="102" t="s">
        <v>258</v>
      </c>
      <c r="D169" s="103">
        <f t="shared" si="2"/>
        <v>67873997</v>
      </c>
      <c r="E169" s="103">
        <v>250000</v>
      </c>
      <c r="F169" s="103"/>
      <c r="G169" s="104" t="s">
        <v>297</v>
      </c>
      <c r="H169" s="104"/>
      <c r="I169" s="104"/>
      <c r="J169" s="48"/>
      <c r="K169" s="85"/>
      <c r="L169" s="86"/>
      <c r="M169" s="76"/>
      <c r="N169" s="76"/>
      <c r="O169" s="86"/>
      <c r="P169" s="76"/>
      <c r="Q169" s="76"/>
      <c r="R169" s="48"/>
      <c r="S169" s="48"/>
      <c r="T169" s="83"/>
      <c r="U169" s="48"/>
      <c r="V169" s="48"/>
      <c r="W169" s="48"/>
      <c r="X169" s="48"/>
      <c r="Y169" s="48"/>
    </row>
    <row r="170" spans="1:25" ht="15.75" customHeight="1" x14ac:dyDescent="0.25">
      <c r="A170" s="44" t="s">
        <v>253</v>
      </c>
      <c r="B170" s="48"/>
      <c r="C170" s="102" t="s">
        <v>256</v>
      </c>
      <c r="D170" s="103">
        <f t="shared" si="2"/>
        <v>12873997</v>
      </c>
      <c r="E170" s="103"/>
      <c r="F170" s="103">
        <v>55000000</v>
      </c>
      <c r="G170" s="104" t="s">
        <v>128</v>
      </c>
      <c r="H170" s="104"/>
      <c r="I170" s="104"/>
      <c r="J170" s="48"/>
      <c r="K170" s="85"/>
      <c r="L170" s="86"/>
      <c r="M170" s="76"/>
      <c r="N170" s="76"/>
      <c r="O170" s="86"/>
      <c r="P170" s="76"/>
      <c r="Q170" s="76"/>
      <c r="R170" s="48"/>
      <c r="S170" s="48"/>
      <c r="T170" s="83"/>
      <c r="U170" s="48"/>
      <c r="V170" s="48"/>
      <c r="W170" s="48"/>
      <c r="X170" s="48"/>
      <c r="Y170" s="48"/>
    </row>
    <row r="171" spans="1:25" ht="15.75" customHeight="1" x14ac:dyDescent="0.25">
      <c r="A171" s="44" t="s">
        <v>254</v>
      </c>
      <c r="B171" s="48"/>
      <c r="C171" s="102" t="s">
        <v>257</v>
      </c>
      <c r="D171" s="103">
        <f t="shared" si="2"/>
        <v>12867458</v>
      </c>
      <c r="E171" s="103"/>
      <c r="F171" s="103">
        <v>6539</v>
      </c>
      <c r="G171" s="104" t="s">
        <v>128</v>
      </c>
      <c r="H171" s="104"/>
      <c r="I171" s="104"/>
      <c r="J171" s="48"/>
      <c r="K171" s="85"/>
      <c r="L171" s="86"/>
      <c r="M171" s="76"/>
      <c r="N171" s="76"/>
      <c r="O171" s="86"/>
      <c r="P171" s="76"/>
      <c r="Q171" s="76"/>
      <c r="R171" s="48"/>
      <c r="S171" s="48"/>
      <c r="T171" s="83"/>
      <c r="U171" s="48"/>
      <c r="V171" s="48"/>
      <c r="W171" s="48"/>
      <c r="X171" s="48"/>
      <c r="Y171" s="48"/>
    </row>
    <row r="172" spans="1:25" ht="15.75" customHeight="1" x14ac:dyDescent="0.25">
      <c r="A172" s="44" t="s">
        <v>255</v>
      </c>
      <c r="B172" s="48"/>
      <c r="C172" s="102" t="s">
        <v>259</v>
      </c>
      <c r="D172" s="103">
        <f t="shared" si="2"/>
        <v>17867458</v>
      </c>
      <c r="E172" s="103">
        <v>5000000</v>
      </c>
      <c r="F172" s="103"/>
      <c r="G172" s="104" t="s">
        <v>313</v>
      </c>
      <c r="H172" s="104"/>
      <c r="I172" s="104"/>
      <c r="J172" s="48"/>
      <c r="K172" s="85"/>
      <c r="L172" s="86"/>
      <c r="M172" s="76"/>
      <c r="N172" s="76"/>
      <c r="O172" s="86"/>
      <c r="P172" s="76"/>
      <c r="Q172" s="76"/>
      <c r="R172" s="48"/>
      <c r="S172" s="48"/>
      <c r="T172" s="83"/>
      <c r="U172" s="48"/>
      <c r="V172" s="48"/>
      <c r="W172" s="48"/>
      <c r="X172" s="48"/>
      <c r="Y172" s="48"/>
    </row>
    <row r="173" spans="1:25" ht="15.75" customHeight="1" x14ac:dyDescent="0.25">
      <c r="A173" s="44" t="s">
        <v>262</v>
      </c>
      <c r="C173" s="102" t="s">
        <v>275</v>
      </c>
      <c r="D173" s="103">
        <f t="shared" si="2"/>
        <v>18694958</v>
      </c>
      <c r="E173" s="103">
        <v>827500</v>
      </c>
      <c r="F173" s="103"/>
      <c r="G173" s="104" t="s">
        <v>226</v>
      </c>
      <c r="H173" s="104"/>
      <c r="I173" s="104"/>
      <c r="J173" s="48"/>
      <c r="K173" s="85"/>
      <c r="L173" s="86"/>
      <c r="M173" s="76"/>
      <c r="N173" s="76"/>
      <c r="O173" s="86"/>
      <c r="P173" s="76"/>
      <c r="Q173" s="76"/>
      <c r="R173" s="48"/>
      <c r="S173" s="48"/>
      <c r="T173" s="83"/>
      <c r="U173" s="48"/>
      <c r="V173" s="48"/>
      <c r="W173" s="48"/>
      <c r="X173" s="48"/>
      <c r="Y173" s="48"/>
    </row>
    <row r="174" spans="1:25" ht="15.75" customHeight="1" x14ac:dyDescent="0.25">
      <c r="A174" s="44" t="s">
        <v>263</v>
      </c>
      <c r="C174" s="102" t="s">
        <v>276</v>
      </c>
      <c r="D174" s="103">
        <f t="shared" si="2"/>
        <v>18194958</v>
      </c>
      <c r="E174" s="103"/>
      <c r="F174" s="103">
        <v>500000</v>
      </c>
      <c r="G174" s="106" t="s">
        <v>128</v>
      </c>
      <c r="H174" s="104"/>
      <c r="I174" s="104"/>
      <c r="J174" s="48"/>
      <c r="K174" s="85"/>
      <c r="L174" s="86"/>
      <c r="M174" s="76"/>
      <c r="N174" s="76"/>
      <c r="O174" s="86"/>
      <c r="P174" s="76"/>
      <c r="Q174" s="76"/>
      <c r="R174" s="48"/>
      <c r="S174" s="48"/>
      <c r="T174" s="83"/>
      <c r="U174" s="48"/>
      <c r="V174" s="48"/>
      <c r="W174" s="48"/>
      <c r="X174" s="48"/>
      <c r="Y174" s="48"/>
    </row>
    <row r="175" spans="1:25" ht="15.75" customHeight="1" x14ac:dyDescent="0.25">
      <c r="A175" s="44" t="s">
        <v>263</v>
      </c>
      <c r="C175" s="102" t="s">
        <v>277</v>
      </c>
      <c r="D175" s="103">
        <f t="shared" si="2"/>
        <v>18053279</v>
      </c>
      <c r="E175" s="103"/>
      <c r="F175" s="103">
        <v>141679</v>
      </c>
      <c r="G175" s="106" t="s">
        <v>128</v>
      </c>
      <c r="H175" s="104"/>
      <c r="I175" s="104"/>
      <c r="J175" s="48"/>
      <c r="K175" s="85"/>
      <c r="L175" s="86"/>
      <c r="M175" s="76"/>
      <c r="N175" s="76"/>
      <c r="O175" s="86"/>
      <c r="P175" s="76"/>
      <c r="Q175" s="76"/>
      <c r="R175" s="48"/>
      <c r="S175" s="48"/>
      <c r="T175" s="83"/>
      <c r="U175" s="48"/>
      <c r="V175" s="48"/>
      <c r="W175" s="48"/>
      <c r="X175" s="48"/>
      <c r="Y175" s="48"/>
    </row>
    <row r="176" spans="1:25" ht="15.75" customHeight="1" x14ac:dyDescent="0.25">
      <c r="A176" s="44" t="s">
        <v>263</v>
      </c>
      <c r="B176" s="48"/>
      <c r="C176" s="102" t="s">
        <v>278</v>
      </c>
      <c r="D176" s="103">
        <f t="shared" si="2"/>
        <v>18028799</v>
      </c>
      <c r="E176" s="103"/>
      <c r="F176" s="103">
        <v>24480</v>
      </c>
      <c r="G176" s="106" t="s">
        <v>18</v>
      </c>
      <c r="H176" s="104"/>
      <c r="I176" s="104"/>
      <c r="J176" s="48"/>
      <c r="K176" s="85"/>
      <c r="L176" s="86"/>
      <c r="M176" s="76"/>
      <c r="N176" s="76"/>
      <c r="O176" s="86"/>
      <c r="P176" s="76"/>
      <c r="Q176" s="76"/>
      <c r="R176" s="48"/>
      <c r="S176" s="48"/>
      <c r="T176" s="83"/>
      <c r="U176" s="48"/>
      <c r="V176" s="48"/>
      <c r="W176" s="48"/>
      <c r="X176" s="48"/>
      <c r="Y176" s="48"/>
    </row>
    <row r="177" spans="1:25" ht="15.75" customHeight="1" x14ac:dyDescent="0.25">
      <c r="A177" s="44" t="s">
        <v>263</v>
      </c>
      <c r="B177" s="48"/>
      <c r="C177" s="102" t="s">
        <v>279</v>
      </c>
      <c r="D177" s="103">
        <f t="shared" si="2"/>
        <v>23028799</v>
      </c>
      <c r="E177" s="103">
        <v>5000000</v>
      </c>
      <c r="F177" s="103"/>
      <c r="G177" s="106" t="s">
        <v>313</v>
      </c>
      <c r="H177" s="104"/>
      <c r="I177" s="104"/>
      <c r="J177" s="48"/>
      <c r="K177" s="85"/>
      <c r="L177" s="86"/>
      <c r="M177" s="76"/>
      <c r="N177" s="76"/>
      <c r="O177" s="86"/>
      <c r="P177" s="76"/>
      <c r="Q177" s="76"/>
      <c r="R177" s="48"/>
      <c r="S177" s="48"/>
      <c r="T177" s="83"/>
      <c r="U177" s="48"/>
      <c r="V177" s="48"/>
      <c r="W177" s="48"/>
      <c r="X177" s="48"/>
      <c r="Y177" s="48"/>
    </row>
    <row r="178" spans="1:25" ht="15.75" customHeight="1" x14ac:dyDescent="0.25">
      <c r="A178" s="44" t="s">
        <v>264</v>
      </c>
      <c r="C178" s="102" t="s">
        <v>279</v>
      </c>
      <c r="D178" s="103">
        <f t="shared" si="2"/>
        <v>27340999</v>
      </c>
      <c r="E178" s="103">
        <v>4312200</v>
      </c>
      <c r="F178" s="103"/>
      <c r="G178" s="106" t="s">
        <v>313</v>
      </c>
      <c r="H178" s="104"/>
      <c r="I178" s="104"/>
      <c r="J178" s="48"/>
      <c r="K178" s="85"/>
      <c r="L178" s="86"/>
      <c r="M178" s="76"/>
      <c r="N178" s="76"/>
      <c r="O178" s="86"/>
      <c r="P178" s="76"/>
      <c r="Q178" s="76"/>
      <c r="R178" s="48"/>
      <c r="S178" s="48"/>
      <c r="T178" s="83"/>
      <c r="U178" s="48"/>
      <c r="V178" s="48"/>
      <c r="W178" s="48"/>
      <c r="X178" s="48"/>
      <c r="Y178" s="48"/>
    </row>
    <row r="179" spans="1:25" ht="15.75" customHeight="1" x14ac:dyDescent="0.25">
      <c r="A179" s="44" t="s">
        <v>264</v>
      </c>
      <c r="C179" s="102" t="s">
        <v>280</v>
      </c>
      <c r="D179" s="103">
        <f t="shared" si="2"/>
        <v>28098507</v>
      </c>
      <c r="E179" s="103">
        <v>757508</v>
      </c>
      <c r="F179" s="103"/>
      <c r="G179" s="106" t="s">
        <v>226</v>
      </c>
      <c r="H179" s="104"/>
      <c r="I179" s="104"/>
      <c r="J179" s="48"/>
      <c r="K179" s="85"/>
      <c r="L179" s="86"/>
      <c r="M179" s="76"/>
      <c r="N179" s="76"/>
      <c r="O179" s="86"/>
      <c r="P179" s="76"/>
      <c r="Q179" s="76"/>
      <c r="R179" s="48"/>
      <c r="S179" s="48"/>
      <c r="T179" s="83"/>
      <c r="U179" s="48"/>
      <c r="V179" s="48"/>
      <c r="W179" s="48"/>
      <c r="X179" s="48"/>
      <c r="Y179" s="48"/>
    </row>
    <row r="180" spans="1:25" ht="15.75" customHeight="1" x14ac:dyDescent="0.25">
      <c r="A180" s="44" t="s">
        <v>264</v>
      </c>
      <c r="C180" s="102" t="s">
        <v>281</v>
      </c>
      <c r="D180" s="103">
        <f t="shared" si="2"/>
        <v>73207701</v>
      </c>
      <c r="E180" s="103">
        <v>45109194</v>
      </c>
      <c r="F180" s="103"/>
      <c r="G180" s="106" t="s">
        <v>297</v>
      </c>
      <c r="H180" s="104"/>
      <c r="I180" s="104"/>
      <c r="J180" s="48"/>
      <c r="K180" s="85"/>
      <c r="L180" s="86"/>
      <c r="M180" s="76"/>
      <c r="N180" s="76"/>
      <c r="O180" s="86"/>
      <c r="P180" s="76"/>
      <c r="Q180" s="76"/>
      <c r="R180" s="48"/>
      <c r="S180" s="48"/>
      <c r="T180" s="83"/>
      <c r="U180" s="48"/>
      <c r="V180" s="48"/>
      <c r="W180" s="48"/>
      <c r="X180" s="48"/>
      <c r="Y180" s="48"/>
    </row>
    <row r="181" spans="1:25" ht="15.75" customHeight="1" x14ac:dyDescent="0.25">
      <c r="A181" s="44" t="s">
        <v>265</v>
      </c>
      <c r="C181" s="102" t="s">
        <v>282</v>
      </c>
      <c r="D181" s="103">
        <f t="shared" si="2"/>
        <v>72977701</v>
      </c>
      <c r="E181" s="103"/>
      <c r="F181" s="103">
        <v>230000</v>
      </c>
      <c r="G181" s="106" t="s">
        <v>18</v>
      </c>
      <c r="H181" s="104"/>
      <c r="I181" s="104"/>
      <c r="J181" s="48"/>
      <c r="K181" s="85"/>
      <c r="L181" s="86"/>
      <c r="M181" s="76"/>
      <c r="N181" s="76"/>
      <c r="O181" s="86"/>
      <c r="P181" s="76"/>
      <c r="Q181" s="76"/>
      <c r="R181" s="48"/>
      <c r="S181" s="48"/>
      <c r="T181" s="83"/>
      <c r="U181" s="48"/>
      <c r="V181" s="48"/>
      <c r="W181" s="48"/>
      <c r="X181" s="48"/>
      <c r="Y181" s="48"/>
    </row>
    <row r="182" spans="1:25" ht="15.75" customHeight="1" x14ac:dyDescent="0.25">
      <c r="A182" s="44" t="s">
        <v>265</v>
      </c>
      <c r="C182" s="102" t="s">
        <v>283</v>
      </c>
      <c r="D182" s="103">
        <f t="shared" si="2"/>
        <v>70885045</v>
      </c>
      <c r="E182" s="103"/>
      <c r="F182" s="103">
        <v>2092656</v>
      </c>
      <c r="G182" s="106" t="s">
        <v>18</v>
      </c>
      <c r="H182" s="104"/>
      <c r="I182" s="104"/>
      <c r="J182" s="48"/>
      <c r="K182" s="85"/>
      <c r="L182" s="86"/>
      <c r="M182" s="76"/>
      <c r="N182" s="76"/>
      <c r="O182" s="86"/>
      <c r="P182" s="76"/>
      <c r="Q182" s="76"/>
      <c r="R182" s="48"/>
      <c r="S182" s="48"/>
      <c r="T182" s="83"/>
      <c r="U182" s="48"/>
      <c r="V182" s="48"/>
      <c r="W182" s="48"/>
      <c r="X182" s="48"/>
      <c r="Y182" s="48"/>
    </row>
    <row r="183" spans="1:25" ht="15.75" customHeight="1" x14ac:dyDescent="0.25">
      <c r="A183" s="44" t="s">
        <v>266</v>
      </c>
      <c r="C183" s="102" t="s">
        <v>256</v>
      </c>
      <c r="D183" s="103">
        <f t="shared" si="2"/>
        <v>8885045</v>
      </c>
      <c r="E183" s="103"/>
      <c r="F183" s="103">
        <v>62000000</v>
      </c>
      <c r="G183" s="106" t="s">
        <v>128</v>
      </c>
      <c r="H183" s="104"/>
      <c r="I183" s="104"/>
      <c r="J183" s="48"/>
      <c r="K183" s="85"/>
      <c r="L183" s="86"/>
      <c r="M183" s="76"/>
      <c r="N183" s="76"/>
      <c r="O183" s="86"/>
      <c r="P183" s="76"/>
      <c r="Q183" s="76"/>
      <c r="R183" s="48"/>
      <c r="S183" s="48"/>
      <c r="T183" s="83"/>
      <c r="U183" s="48"/>
      <c r="V183" s="48"/>
      <c r="W183" s="48"/>
      <c r="X183" s="48"/>
      <c r="Y183" s="48"/>
    </row>
    <row r="184" spans="1:25" ht="15.75" customHeight="1" x14ac:dyDescent="0.25">
      <c r="A184" s="44" t="s">
        <v>267</v>
      </c>
      <c r="C184" s="102" t="s">
        <v>284</v>
      </c>
      <c r="D184" s="103">
        <f t="shared" si="2"/>
        <v>8761890</v>
      </c>
      <c r="E184" s="103"/>
      <c r="F184" s="103">
        <v>123155</v>
      </c>
      <c r="G184" s="106" t="s">
        <v>128</v>
      </c>
      <c r="H184" s="104"/>
      <c r="I184" s="104"/>
      <c r="J184" s="48"/>
      <c r="K184" s="85"/>
      <c r="L184" s="86"/>
      <c r="M184" s="76"/>
      <c r="N184" s="76"/>
      <c r="O184" s="86"/>
      <c r="P184" s="76"/>
      <c r="Q184" s="76"/>
      <c r="R184" s="48"/>
      <c r="S184" s="48"/>
      <c r="T184" s="83"/>
      <c r="U184" s="48"/>
      <c r="V184" s="48"/>
      <c r="W184" s="48"/>
      <c r="X184" s="48"/>
      <c r="Y184" s="48"/>
    </row>
    <row r="185" spans="1:25" ht="15.75" customHeight="1" x14ac:dyDescent="0.25">
      <c r="A185" s="44" t="s">
        <v>268</v>
      </c>
      <c r="C185" s="102" t="s">
        <v>285</v>
      </c>
      <c r="D185" s="103">
        <f t="shared" si="2"/>
        <v>8681890</v>
      </c>
      <c r="E185" s="103"/>
      <c r="F185" s="103">
        <v>80000</v>
      </c>
      <c r="G185" s="106" t="s">
        <v>18</v>
      </c>
      <c r="H185" s="104"/>
      <c r="I185" s="104"/>
      <c r="J185" s="48"/>
      <c r="K185" s="85"/>
      <c r="L185" s="76"/>
      <c r="M185" s="86"/>
      <c r="N185" s="76"/>
      <c r="O185" s="86"/>
      <c r="P185" s="76"/>
      <c r="Q185" s="76"/>
      <c r="R185" s="48"/>
      <c r="S185" s="48"/>
      <c r="T185" s="83"/>
      <c r="U185" s="48"/>
      <c r="V185" s="48"/>
      <c r="W185" s="48"/>
      <c r="X185" s="48"/>
      <c r="Y185" s="48"/>
    </row>
    <row r="186" spans="1:25" ht="15.75" customHeight="1" x14ac:dyDescent="0.25">
      <c r="A186" s="44" t="s">
        <v>269</v>
      </c>
      <c r="C186" s="102" t="s">
        <v>286</v>
      </c>
      <c r="D186" s="103">
        <f t="shared" si="2"/>
        <v>13681890</v>
      </c>
      <c r="E186" s="103">
        <v>5000000</v>
      </c>
      <c r="F186" s="103"/>
      <c r="G186" s="106" t="s">
        <v>226</v>
      </c>
      <c r="H186" s="104"/>
      <c r="I186" s="104"/>
      <c r="J186" s="48"/>
      <c r="K186" s="85"/>
      <c r="L186" s="76"/>
      <c r="M186" s="86"/>
      <c r="N186" s="76"/>
      <c r="O186" s="86"/>
      <c r="P186" s="76"/>
      <c r="Q186" s="76"/>
      <c r="R186" s="48"/>
      <c r="S186" s="48"/>
      <c r="T186" s="83"/>
      <c r="U186" s="48"/>
      <c r="V186" s="48"/>
      <c r="W186" s="48"/>
      <c r="X186" s="48"/>
      <c r="Y186" s="48"/>
    </row>
    <row r="187" spans="1:25" ht="15.75" customHeight="1" x14ac:dyDescent="0.25">
      <c r="A187" s="44" t="s">
        <v>269</v>
      </c>
      <c r="C187" s="102" t="s">
        <v>287</v>
      </c>
      <c r="D187" s="103">
        <f t="shared" si="2"/>
        <v>16181890</v>
      </c>
      <c r="E187" s="103">
        <v>2500000</v>
      </c>
      <c r="F187" s="103"/>
      <c r="G187" s="106" t="s">
        <v>226</v>
      </c>
      <c r="H187" s="104"/>
      <c r="I187" s="104"/>
      <c r="J187" s="48"/>
      <c r="K187" s="85"/>
      <c r="L187" s="76"/>
      <c r="M187" s="86"/>
      <c r="N187" s="76"/>
      <c r="O187" s="86"/>
      <c r="P187" s="76"/>
      <c r="Q187" s="76"/>
      <c r="R187" s="48"/>
      <c r="S187" s="48"/>
      <c r="T187" s="83"/>
      <c r="U187" s="48"/>
      <c r="V187" s="48"/>
      <c r="W187" s="48"/>
      <c r="X187" s="48"/>
      <c r="Y187" s="48"/>
    </row>
    <row r="188" spans="1:25" ht="15.75" customHeight="1" x14ac:dyDescent="0.25">
      <c r="A188" s="44" t="s">
        <v>269</v>
      </c>
      <c r="C188" s="102" t="s">
        <v>288</v>
      </c>
      <c r="D188" s="103">
        <f t="shared" si="2"/>
        <v>16231890</v>
      </c>
      <c r="E188" s="103">
        <v>50000</v>
      </c>
      <c r="F188" s="103"/>
      <c r="G188" s="106" t="s">
        <v>313</v>
      </c>
      <c r="H188" s="104"/>
      <c r="I188" s="104"/>
      <c r="J188" s="48"/>
      <c r="K188" s="85"/>
      <c r="L188" s="76"/>
      <c r="M188" s="86"/>
      <c r="N188" s="76"/>
      <c r="O188" s="86"/>
      <c r="P188" s="76"/>
      <c r="Q188" s="76"/>
      <c r="R188" s="48"/>
      <c r="S188" s="48"/>
      <c r="T188" s="83"/>
      <c r="U188" s="48"/>
      <c r="V188" s="48"/>
      <c r="W188" s="48"/>
      <c r="X188" s="48"/>
      <c r="Y188" s="48"/>
    </row>
    <row r="189" spans="1:25" ht="15.75" customHeight="1" x14ac:dyDescent="0.25">
      <c r="A189" s="44" t="s">
        <v>269</v>
      </c>
      <c r="C189" s="102" t="s">
        <v>289</v>
      </c>
      <c r="D189" s="103">
        <f t="shared" si="2"/>
        <v>14638274</v>
      </c>
      <c r="E189" s="103"/>
      <c r="F189" s="103">
        <v>1593616</v>
      </c>
      <c r="G189" s="106" t="s">
        <v>18</v>
      </c>
      <c r="H189" s="104"/>
      <c r="I189" s="104"/>
      <c r="J189" s="48"/>
      <c r="K189" s="85"/>
      <c r="L189" s="76"/>
      <c r="M189" s="86"/>
      <c r="N189" s="76"/>
      <c r="O189" s="86"/>
      <c r="P189" s="76"/>
      <c r="Q189" s="76"/>
      <c r="R189" s="48"/>
      <c r="S189" s="48"/>
      <c r="T189" s="83"/>
      <c r="U189" s="48"/>
      <c r="V189" s="48"/>
      <c r="W189" s="48"/>
      <c r="X189" s="48"/>
      <c r="Y189" s="48"/>
    </row>
    <row r="190" spans="1:25" ht="15.75" customHeight="1" x14ac:dyDescent="0.25">
      <c r="A190" s="44" t="s">
        <v>269</v>
      </c>
      <c r="C190" s="102" t="s">
        <v>290</v>
      </c>
      <c r="D190" s="103">
        <f t="shared" si="2"/>
        <v>12564566</v>
      </c>
      <c r="E190" s="103"/>
      <c r="F190" s="103">
        <v>2073708</v>
      </c>
      <c r="G190" s="106" t="s">
        <v>30</v>
      </c>
      <c r="H190" s="104"/>
      <c r="I190" s="104"/>
      <c r="J190" s="48"/>
      <c r="K190" s="85"/>
      <c r="L190" s="76"/>
      <c r="M190" s="86"/>
      <c r="N190" s="76"/>
      <c r="O190" s="86"/>
      <c r="P190" s="76"/>
      <c r="Q190" s="76"/>
      <c r="R190" s="48"/>
      <c r="S190" s="48"/>
      <c r="T190" s="83"/>
      <c r="U190" s="48"/>
      <c r="V190" s="48"/>
      <c r="W190" s="48"/>
      <c r="X190" s="48"/>
      <c r="Y190" s="48"/>
    </row>
    <row r="191" spans="1:25" ht="15.75" customHeight="1" x14ac:dyDescent="0.25">
      <c r="A191" s="44" t="s">
        <v>269</v>
      </c>
      <c r="C191" s="102" t="s">
        <v>291</v>
      </c>
      <c r="D191" s="103">
        <f t="shared" si="2"/>
        <v>8857166</v>
      </c>
      <c r="E191" s="103"/>
      <c r="F191" s="103">
        <v>3707400</v>
      </c>
      <c r="G191" s="106" t="s">
        <v>30</v>
      </c>
      <c r="H191" s="104"/>
      <c r="I191" s="104"/>
      <c r="J191" s="48"/>
      <c r="K191" s="85"/>
      <c r="L191" s="76"/>
      <c r="M191" s="86"/>
      <c r="N191" s="76"/>
      <c r="O191" s="86"/>
      <c r="P191" s="76"/>
      <c r="Q191" s="76"/>
      <c r="R191" s="48"/>
      <c r="S191" s="48"/>
      <c r="T191" s="83"/>
      <c r="U191" s="48"/>
      <c r="V191" s="48"/>
      <c r="W191" s="48"/>
      <c r="X191" s="48"/>
      <c r="Y191" s="48"/>
    </row>
    <row r="192" spans="1:25" ht="15.75" customHeight="1" x14ac:dyDescent="0.25">
      <c r="A192" s="44" t="s">
        <v>270</v>
      </c>
      <c r="C192" s="102" t="s">
        <v>288</v>
      </c>
      <c r="D192" s="103">
        <f t="shared" si="2"/>
        <v>9307166</v>
      </c>
      <c r="E192" s="103">
        <v>450000</v>
      </c>
      <c r="F192" s="103"/>
      <c r="G192" s="106" t="s">
        <v>313</v>
      </c>
      <c r="H192" s="104"/>
      <c r="I192" s="104"/>
      <c r="J192" s="48"/>
      <c r="K192" s="85"/>
      <c r="L192" s="76"/>
      <c r="M192" s="86"/>
      <c r="N192" s="76"/>
      <c r="O192" s="86"/>
      <c r="P192" s="76"/>
      <c r="Q192" s="76"/>
      <c r="R192" s="48"/>
      <c r="S192" s="48"/>
      <c r="T192" s="83"/>
      <c r="U192" s="48"/>
      <c r="V192" s="48"/>
      <c r="W192" s="48"/>
      <c r="X192" s="48"/>
      <c r="Y192" s="48"/>
    </row>
    <row r="193" spans="1:25" ht="15.75" customHeight="1" x14ac:dyDescent="0.25">
      <c r="A193" s="44" t="s">
        <v>271</v>
      </c>
      <c r="C193" s="102" t="s">
        <v>292</v>
      </c>
      <c r="D193" s="103">
        <f t="shared" si="2"/>
        <v>9247166</v>
      </c>
      <c r="E193" s="103"/>
      <c r="F193" s="103">
        <v>60000</v>
      </c>
      <c r="G193" s="106" t="s">
        <v>18</v>
      </c>
      <c r="H193" s="104"/>
      <c r="I193" s="104"/>
      <c r="J193" s="48"/>
      <c r="K193" s="85"/>
      <c r="L193" s="76"/>
      <c r="M193" s="86"/>
      <c r="N193" s="76"/>
      <c r="O193" s="86"/>
      <c r="P193" s="76"/>
      <c r="Q193" s="76"/>
      <c r="R193" s="48"/>
      <c r="S193" s="48"/>
      <c r="T193" s="83"/>
      <c r="U193" s="48"/>
      <c r="V193" s="48"/>
      <c r="W193" s="48"/>
      <c r="X193" s="48"/>
      <c r="Y193" s="48"/>
    </row>
    <row r="194" spans="1:25" ht="15.75" customHeight="1" x14ac:dyDescent="0.25">
      <c r="A194" s="44" t="s">
        <v>272</v>
      </c>
      <c r="C194" s="102" t="s">
        <v>279</v>
      </c>
      <c r="D194" s="103">
        <f t="shared" si="2"/>
        <v>14247166</v>
      </c>
      <c r="E194" s="103">
        <v>5000000</v>
      </c>
      <c r="F194" s="103"/>
      <c r="G194" s="106" t="s">
        <v>313</v>
      </c>
      <c r="H194" s="104"/>
      <c r="I194" s="104"/>
      <c r="J194" s="48"/>
      <c r="K194" s="85"/>
      <c r="L194" s="76"/>
      <c r="M194" s="86"/>
      <c r="N194" s="76"/>
      <c r="O194" s="86"/>
      <c r="P194" s="76"/>
      <c r="Q194" s="76"/>
      <c r="R194" s="48"/>
      <c r="S194" s="48"/>
      <c r="T194" s="83"/>
      <c r="U194" s="48"/>
      <c r="V194" s="48"/>
      <c r="W194" s="48"/>
      <c r="X194" s="48"/>
      <c r="Y194" s="48"/>
    </row>
    <row r="195" spans="1:25" ht="15.75" customHeight="1" x14ac:dyDescent="0.25">
      <c r="A195" s="44" t="s">
        <v>272</v>
      </c>
      <c r="C195" s="102" t="s">
        <v>256</v>
      </c>
      <c r="D195" s="103">
        <f t="shared" si="2"/>
        <v>2247166</v>
      </c>
      <c r="E195" s="103"/>
      <c r="F195" s="103">
        <v>12000000</v>
      </c>
      <c r="G195" s="106" t="s">
        <v>128</v>
      </c>
      <c r="H195" s="104"/>
      <c r="I195" s="104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83"/>
      <c r="U195" s="48"/>
      <c r="V195" s="48"/>
      <c r="W195" s="48"/>
      <c r="X195" s="48"/>
      <c r="Y195" s="48"/>
    </row>
    <row r="196" spans="1:25" ht="15.75" customHeight="1" x14ac:dyDescent="0.25">
      <c r="A196" s="44" t="s">
        <v>273</v>
      </c>
      <c r="C196" s="102" t="s">
        <v>279</v>
      </c>
      <c r="D196" s="103">
        <f t="shared" si="2"/>
        <v>7247166</v>
      </c>
      <c r="E196" s="103">
        <v>5000000</v>
      </c>
      <c r="F196" s="103"/>
      <c r="G196" s="106" t="s">
        <v>313</v>
      </c>
      <c r="H196" s="104"/>
      <c r="I196" s="104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83"/>
      <c r="U196" s="48"/>
      <c r="V196" s="48"/>
      <c r="W196" s="48"/>
      <c r="X196" s="48"/>
      <c r="Y196" s="48"/>
    </row>
    <row r="197" spans="1:25" ht="15.75" customHeight="1" x14ac:dyDescent="0.25">
      <c r="A197" s="44" t="s">
        <v>274</v>
      </c>
      <c r="C197" s="102" t="s">
        <v>293</v>
      </c>
      <c r="D197" s="103">
        <f t="shared" ref="D197:D260" si="3">+D196+E197-F197</f>
        <v>6747166</v>
      </c>
      <c r="E197" s="103"/>
      <c r="F197" s="103">
        <v>500000</v>
      </c>
      <c r="G197" s="106" t="s">
        <v>314</v>
      </c>
      <c r="H197" s="104"/>
      <c r="I197" s="104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83"/>
      <c r="U197" s="48"/>
      <c r="V197" s="48"/>
      <c r="W197" s="48"/>
      <c r="X197" s="48"/>
      <c r="Y197" s="48"/>
    </row>
    <row r="198" spans="1:25" ht="15.75" customHeight="1" x14ac:dyDescent="0.25">
      <c r="A198" s="99" t="s">
        <v>311</v>
      </c>
      <c r="C198" s="102" t="s">
        <v>294</v>
      </c>
      <c r="D198" s="103">
        <f t="shared" si="3"/>
        <v>7097166</v>
      </c>
      <c r="E198" s="103">
        <v>350000</v>
      </c>
      <c r="F198" s="103"/>
      <c r="G198" s="106" t="s">
        <v>313</v>
      </c>
      <c r="H198" s="104"/>
      <c r="I198" s="104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83"/>
      <c r="U198" s="48"/>
      <c r="V198" s="48"/>
      <c r="W198" s="48"/>
      <c r="X198" s="48"/>
      <c r="Y198" s="48"/>
    </row>
    <row r="199" spans="1:25" ht="15.75" customHeight="1" x14ac:dyDescent="0.25">
      <c r="A199" s="99" t="s">
        <v>311</v>
      </c>
      <c r="C199" s="102" t="s">
        <v>279</v>
      </c>
      <c r="D199" s="103">
        <f t="shared" si="3"/>
        <v>11909366</v>
      </c>
      <c r="E199" s="103">
        <v>4812200</v>
      </c>
      <c r="F199" s="103"/>
      <c r="G199" s="106" t="s">
        <v>313</v>
      </c>
      <c r="H199" s="104"/>
      <c r="I199" s="104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83"/>
      <c r="U199" s="48"/>
      <c r="V199" s="48"/>
      <c r="W199" s="48"/>
      <c r="X199" s="48"/>
      <c r="Y199" s="48"/>
    </row>
    <row r="200" spans="1:25" ht="15.75" customHeight="1" x14ac:dyDescent="0.25">
      <c r="A200" s="99" t="s">
        <v>312</v>
      </c>
      <c r="B200" s="44"/>
      <c r="C200" s="102" t="s">
        <v>256</v>
      </c>
      <c r="D200" s="103">
        <f t="shared" si="3"/>
        <v>2909366</v>
      </c>
      <c r="E200" s="103"/>
      <c r="F200" s="103">
        <v>9000000</v>
      </c>
      <c r="G200" s="106" t="s">
        <v>128</v>
      </c>
      <c r="H200" s="104"/>
      <c r="I200" s="104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83"/>
      <c r="U200" s="48"/>
      <c r="V200" s="48"/>
      <c r="W200" s="48"/>
      <c r="X200" s="48"/>
      <c r="Y200" s="48"/>
    </row>
    <row r="201" spans="1:25" ht="15.75" customHeight="1" x14ac:dyDescent="0.25">
      <c r="A201" s="99" t="s">
        <v>312</v>
      </c>
      <c r="C201" s="102" t="s">
        <v>295</v>
      </c>
      <c r="D201" s="103">
        <f t="shared" si="3"/>
        <v>3059366</v>
      </c>
      <c r="E201" s="103">
        <v>150000</v>
      </c>
      <c r="F201" s="103"/>
      <c r="G201" s="106" t="s">
        <v>313</v>
      </c>
      <c r="H201" s="104"/>
      <c r="I201" s="104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83"/>
      <c r="U201" s="48"/>
      <c r="V201" s="48"/>
      <c r="W201" s="48"/>
      <c r="X201" s="48"/>
      <c r="Y201" s="48"/>
    </row>
    <row r="202" spans="1:25" ht="15.75" customHeight="1" x14ac:dyDescent="0.25">
      <c r="A202" s="99" t="s">
        <v>312</v>
      </c>
      <c r="C202" s="102" t="s">
        <v>257</v>
      </c>
      <c r="D202" s="103">
        <f t="shared" si="3"/>
        <v>3052745</v>
      </c>
      <c r="E202" s="103"/>
      <c r="F202" s="103">
        <v>6621</v>
      </c>
      <c r="G202" s="106" t="s">
        <v>128</v>
      </c>
      <c r="H202" s="104"/>
      <c r="I202" s="104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83"/>
      <c r="U202" s="48"/>
      <c r="V202" s="48"/>
      <c r="W202" s="48"/>
      <c r="X202" s="48"/>
      <c r="Y202" s="48"/>
    </row>
    <row r="203" spans="1:25" ht="15.75" customHeight="1" x14ac:dyDescent="0.25">
      <c r="A203" s="100">
        <v>44569</v>
      </c>
      <c r="C203" s="102" t="s">
        <v>305</v>
      </c>
      <c r="D203" s="103">
        <f t="shared" si="3"/>
        <v>3888420</v>
      </c>
      <c r="E203" s="103">
        <v>835675</v>
      </c>
      <c r="F203" s="103"/>
      <c r="G203" s="102" t="s">
        <v>226</v>
      </c>
      <c r="H203" s="104"/>
      <c r="I203" s="104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83"/>
      <c r="U203" s="48"/>
      <c r="V203" s="48"/>
      <c r="W203" s="48"/>
      <c r="X203" s="48"/>
      <c r="Y203" s="48"/>
    </row>
    <row r="204" spans="1:25" ht="15.75" customHeight="1" x14ac:dyDescent="0.25">
      <c r="A204" s="100">
        <v>44569</v>
      </c>
      <c r="C204" s="102" t="s">
        <v>306</v>
      </c>
      <c r="D204" s="103">
        <f t="shared" si="3"/>
        <v>3388420</v>
      </c>
      <c r="E204" s="103"/>
      <c r="F204" s="103">
        <v>500000</v>
      </c>
      <c r="G204" s="102"/>
      <c r="H204" s="104"/>
      <c r="I204" s="104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83"/>
      <c r="U204" s="48"/>
      <c r="V204" s="48"/>
      <c r="W204" s="48"/>
      <c r="X204" s="48"/>
      <c r="Y204" s="48"/>
    </row>
    <row r="205" spans="1:25" ht="15.75" customHeight="1" x14ac:dyDescent="0.25">
      <c r="A205" s="100">
        <v>44569</v>
      </c>
      <c r="C205" s="102" t="s">
        <v>307</v>
      </c>
      <c r="D205" s="103">
        <f t="shared" si="3"/>
        <v>3246865</v>
      </c>
      <c r="E205" s="103"/>
      <c r="F205" s="103">
        <v>141555</v>
      </c>
      <c r="G205" s="106" t="s">
        <v>128</v>
      </c>
      <c r="H205" s="104"/>
      <c r="I205" s="104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83"/>
      <c r="U205" s="48"/>
      <c r="V205" s="48"/>
      <c r="W205" s="48"/>
      <c r="X205" s="48"/>
      <c r="Y205" s="48"/>
    </row>
    <row r="206" spans="1:25" ht="15.75" customHeight="1" thickBot="1" x14ac:dyDescent="0.3">
      <c r="A206" s="100">
        <v>44600</v>
      </c>
      <c r="C206" s="102" t="s">
        <v>308</v>
      </c>
      <c r="D206" s="103">
        <f t="shared" si="3"/>
        <v>4010335</v>
      </c>
      <c r="E206" s="103">
        <v>763470</v>
      </c>
      <c r="F206" s="103"/>
      <c r="G206" s="106" t="s">
        <v>226</v>
      </c>
      <c r="H206" s="104"/>
      <c r="I206" s="104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83"/>
      <c r="U206" s="48"/>
      <c r="V206" s="48"/>
      <c r="W206" s="48"/>
      <c r="X206" s="48"/>
      <c r="Y206" s="48"/>
    </row>
    <row r="207" spans="1:25" ht="15.75" customHeight="1" thickBot="1" x14ac:dyDescent="0.3">
      <c r="A207" s="101">
        <v>44600</v>
      </c>
      <c r="C207" s="102" t="s">
        <v>309</v>
      </c>
      <c r="D207" s="103">
        <f t="shared" si="3"/>
        <v>3860335</v>
      </c>
      <c r="E207" s="103"/>
      <c r="F207" s="103">
        <v>150000</v>
      </c>
      <c r="G207" s="106" t="s">
        <v>18</v>
      </c>
      <c r="H207" s="104"/>
      <c r="I207" s="104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83"/>
      <c r="U207" s="48"/>
      <c r="V207" s="48"/>
      <c r="W207" s="48"/>
      <c r="X207" s="48"/>
      <c r="Y207" s="48"/>
    </row>
    <row r="208" spans="1:25" ht="15.75" customHeight="1" thickBot="1" x14ac:dyDescent="0.3">
      <c r="A208" s="101">
        <v>44781</v>
      </c>
      <c r="C208" s="102" t="s">
        <v>310</v>
      </c>
      <c r="D208" s="103">
        <f t="shared" si="3"/>
        <v>3847555</v>
      </c>
      <c r="E208" s="103"/>
      <c r="F208" s="103">
        <v>12780</v>
      </c>
      <c r="G208" s="106" t="s">
        <v>18</v>
      </c>
      <c r="H208" s="104"/>
      <c r="I208" s="104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83"/>
      <c r="U208" s="48"/>
      <c r="V208" s="48"/>
      <c r="W208" s="48"/>
      <c r="X208" s="48"/>
      <c r="Y208" s="48"/>
    </row>
    <row r="209" spans="1:25" ht="15.75" customHeight="1" thickBot="1" x14ac:dyDescent="0.3">
      <c r="A209" s="101">
        <v>44781</v>
      </c>
      <c r="C209" s="102" t="s">
        <v>316</v>
      </c>
      <c r="D209" s="103">
        <f t="shared" si="3"/>
        <v>3609928</v>
      </c>
      <c r="E209" s="103"/>
      <c r="F209" s="103">
        <v>237627</v>
      </c>
      <c r="G209" s="106" t="s">
        <v>354</v>
      </c>
      <c r="H209" s="104"/>
      <c r="I209" s="104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83"/>
      <c r="U209" s="48"/>
      <c r="V209" s="48"/>
      <c r="W209" s="48"/>
      <c r="X209" s="48"/>
      <c r="Y209" s="48"/>
    </row>
    <row r="210" spans="1:25" ht="15.75" customHeight="1" thickBot="1" x14ac:dyDescent="0.3">
      <c r="A210" s="101" t="s">
        <v>346</v>
      </c>
      <c r="B210" s="48"/>
      <c r="C210" s="102" t="s">
        <v>356</v>
      </c>
      <c r="D210" s="103">
        <f t="shared" si="3"/>
        <v>3312428</v>
      </c>
      <c r="E210" s="103"/>
      <c r="F210" s="103">
        <v>297500</v>
      </c>
      <c r="G210" s="104" t="s">
        <v>30</v>
      </c>
      <c r="H210" s="104"/>
      <c r="I210" s="104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83"/>
      <c r="U210" s="48"/>
      <c r="V210" s="48"/>
      <c r="W210" s="48"/>
      <c r="X210" s="48"/>
      <c r="Y210" s="48"/>
    </row>
    <row r="211" spans="1:25" ht="15.75" customHeight="1" thickBot="1" x14ac:dyDescent="0.3">
      <c r="A211" s="101" t="s">
        <v>347</v>
      </c>
      <c r="B211" s="48"/>
      <c r="C211" s="102" t="s">
        <v>359</v>
      </c>
      <c r="D211" s="103">
        <f t="shared" si="3"/>
        <v>35957428</v>
      </c>
      <c r="E211" s="103">
        <v>32645000</v>
      </c>
      <c r="F211" s="103">
        <v>0</v>
      </c>
      <c r="G211" s="48" t="s">
        <v>360</v>
      </c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83"/>
      <c r="U211" s="48"/>
      <c r="V211" s="48"/>
      <c r="W211" s="48"/>
      <c r="X211" s="48"/>
      <c r="Y211" s="48"/>
    </row>
    <row r="212" spans="1:25" ht="15.75" customHeight="1" thickBot="1" x14ac:dyDescent="0.3">
      <c r="A212" s="101" t="s">
        <v>347</v>
      </c>
      <c r="B212" s="48"/>
      <c r="C212" s="102" t="s">
        <v>361</v>
      </c>
      <c r="D212" s="103">
        <f t="shared" si="3"/>
        <v>35657428</v>
      </c>
      <c r="E212" s="103"/>
      <c r="F212" s="103">
        <v>300000</v>
      </c>
      <c r="G212" s="48" t="s">
        <v>30</v>
      </c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83"/>
      <c r="U212" s="48"/>
      <c r="V212" s="48"/>
      <c r="W212" s="48"/>
      <c r="X212" s="48"/>
      <c r="Y212" s="48"/>
    </row>
    <row r="213" spans="1:25" ht="15.75" customHeight="1" thickBot="1" x14ac:dyDescent="0.3">
      <c r="A213" s="101" t="s">
        <v>347</v>
      </c>
      <c r="B213" s="48"/>
      <c r="C213" s="102" t="s">
        <v>357</v>
      </c>
      <c r="D213" s="103">
        <f t="shared" si="3"/>
        <v>35359928</v>
      </c>
      <c r="E213" s="103"/>
      <c r="F213" s="103">
        <v>297500</v>
      </c>
      <c r="G213" s="48" t="s">
        <v>30</v>
      </c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83"/>
      <c r="U213" s="48"/>
      <c r="V213" s="48"/>
      <c r="W213" s="48"/>
      <c r="X213" s="48"/>
      <c r="Y213" s="48"/>
    </row>
    <row r="214" spans="1:25" ht="15.75" customHeight="1" thickBot="1" x14ac:dyDescent="0.3">
      <c r="A214" s="101" t="s">
        <v>349</v>
      </c>
      <c r="C214" s="102" t="s">
        <v>348</v>
      </c>
      <c r="D214" s="103">
        <f t="shared" si="3"/>
        <v>34813212</v>
      </c>
      <c r="E214" s="103"/>
      <c r="F214" s="103">
        <v>546716</v>
      </c>
      <c r="G214" s="48" t="s">
        <v>355</v>
      </c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83"/>
      <c r="U214" s="48"/>
      <c r="V214" s="48"/>
      <c r="W214" s="48"/>
      <c r="X214" s="48"/>
      <c r="Y214" s="48"/>
    </row>
    <row r="215" spans="1:25" ht="15.75" customHeight="1" thickBot="1" x14ac:dyDescent="0.3">
      <c r="A215" s="101" t="s">
        <v>350</v>
      </c>
      <c r="C215" s="102" t="s">
        <v>256</v>
      </c>
      <c r="D215" s="103">
        <f t="shared" si="3"/>
        <v>12813212</v>
      </c>
      <c r="E215" s="103"/>
      <c r="F215" s="103">
        <v>22000000</v>
      </c>
      <c r="G215" s="44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83"/>
      <c r="U215" s="48"/>
      <c r="V215" s="48"/>
      <c r="W215" s="48"/>
      <c r="X215" s="48"/>
      <c r="Y215" s="48"/>
    </row>
    <row r="216" spans="1:25" ht="15.75" customHeight="1" thickBot="1" x14ac:dyDescent="0.3">
      <c r="A216" s="101" t="s">
        <v>350</v>
      </c>
      <c r="C216" s="102" t="s">
        <v>362</v>
      </c>
      <c r="D216" s="103">
        <f t="shared" si="3"/>
        <v>10493201</v>
      </c>
      <c r="E216" s="103"/>
      <c r="F216" s="103">
        <v>2320011</v>
      </c>
      <c r="G216" s="44" t="s">
        <v>30</v>
      </c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83"/>
      <c r="U216" s="48"/>
      <c r="V216" s="48"/>
      <c r="W216" s="48"/>
      <c r="X216" s="48"/>
      <c r="Y216" s="48"/>
    </row>
    <row r="217" spans="1:25" ht="15.75" customHeight="1" thickBot="1" x14ac:dyDescent="0.3">
      <c r="A217" s="101" t="s">
        <v>351</v>
      </c>
      <c r="B217" s="48"/>
      <c r="C217" s="102" t="s">
        <v>358</v>
      </c>
      <c r="D217" s="103">
        <f t="shared" si="3"/>
        <v>40493201</v>
      </c>
      <c r="E217" s="103">
        <v>30000000</v>
      </c>
      <c r="F217" s="103">
        <v>0</v>
      </c>
      <c r="G217" s="48" t="s">
        <v>360</v>
      </c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83"/>
      <c r="U217" s="48"/>
      <c r="V217" s="48"/>
      <c r="W217" s="48"/>
      <c r="X217" s="48"/>
      <c r="Y217" s="48"/>
    </row>
    <row r="218" spans="1:25" ht="15.75" customHeight="1" thickBot="1" x14ac:dyDescent="0.3">
      <c r="A218" s="101" t="s">
        <v>352</v>
      </c>
      <c r="B218" s="48"/>
      <c r="C218" s="102" t="s">
        <v>256</v>
      </c>
      <c r="D218" s="103">
        <f t="shared" si="3"/>
        <v>20493201</v>
      </c>
      <c r="E218" s="103"/>
      <c r="F218" s="103">
        <v>20000000</v>
      </c>
      <c r="G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83"/>
      <c r="U218" s="48"/>
      <c r="V218" s="48"/>
      <c r="W218" s="48"/>
      <c r="X218" s="48"/>
      <c r="Y218" s="48"/>
    </row>
    <row r="219" spans="1:25" ht="15.75" customHeight="1" thickBot="1" x14ac:dyDescent="0.3">
      <c r="A219" s="101" t="s">
        <v>352</v>
      </c>
      <c r="B219" s="48"/>
      <c r="C219" s="102" t="s">
        <v>363</v>
      </c>
      <c r="D219" s="103">
        <f t="shared" si="3"/>
        <v>17803224</v>
      </c>
      <c r="E219" s="103"/>
      <c r="F219" s="103">
        <v>2689977</v>
      </c>
      <c r="G219" s="48" t="s">
        <v>30</v>
      </c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83"/>
      <c r="U219" s="48"/>
      <c r="V219" s="48"/>
      <c r="W219" s="48"/>
      <c r="X219" s="48"/>
      <c r="Y219" s="48"/>
    </row>
    <row r="220" spans="1:25" ht="15.75" customHeight="1" thickBot="1" x14ac:dyDescent="0.3">
      <c r="A220" s="101" t="s">
        <v>352</v>
      </c>
      <c r="B220" s="48"/>
      <c r="C220" s="102" t="s">
        <v>364</v>
      </c>
      <c r="D220" s="103">
        <f t="shared" si="3"/>
        <v>15703219</v>
      </c>
      <c r="E220" s="103"/>
      <c r="F220" s="103">
        <v>2100005</v>
      </c>
      <c r="G220" s="48" t="s">
        <v>30</v>
      </c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83"/>
      <c r="U220" s="48"/>
      <c r="V220" s="48"/>
      <c r="W220" s="48"/>
      <c r="X220" s="48"/>
      <c r="Y220" s="48"/>
    </row>
    <row r="221" spans="1:25" ht="15.75" customHeight="1" thickBot="1" x14ac:dyDescent="0.3">
      <c r="A221" s="101" t="s">
        <v>352</v>
      </c>
      <c r="B221" s="48"/>
      <c r="C221" s="102" t="s">
        <v>365</v>
      </c>
      <c r="D221" s="103">
        <f t="shared" si="3"/>
        <v>14304969</v>
      </c>
      <c r="E221" s="103"/>
      <c r="F221" s="103">
        <v>1398250</v>
      </c>
      <c r="G221" s="48" t="s">
        <v>30</v>
      </c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83"/>
      <c r="U221" s="48"/>
      <c r="V221" s="48"/>
      <c r="W221" s="48"/>
      <c r="X221" s="48"/>
      <c r="Y221" s="48"/>
    </row>
    <row r="222" spans="1:25" ht="15.75" customHeight="1" thickBot="1" x14ac:dyDescent="0.3">
      <c r="A222" s="101" t="s">
        <v>353</v>
      </c>
      <c r="B222" s="48"/>
      <c r="C222" s="102" t="s">
        <v>366</v>
      </c>
      <c r="D222" s="103">
        <f t="shared" si="3"/>
        <v>9335382</v>
      </c>
      <c r="E222" s="103"/>
      <c r="F222" s="103">
        <v>4969587</v>
      </c>
      <c r="G222" s="48" t="s">
        <v>367</v>
      </c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83"/>
      <c r="U222" s="48"/>
      <c r="V222" s="48"/>
      <c r="W222" s="48"/>
      <c r="X222" s="48"/>
      <c r="Y222" s="48"/>
    </row>
    <row r="223" spans="1:25" ht="15.75" customHeight="1" thickBot="1" x14ac:dyDescent="0.3">
      <c r="A223" s="101" t="s">
        <v>376</v>
      </c>
      <c r="C223" s="102" t="s">
        <v>394</v>
      </c>
      <c r="D223" s="103">
        <f t="shared" si="3"/>
        <v>10000191</v>
      </c>
      <c r="E223" s="103">
        <v>664809</v>
      </c>
      <c r="F223" s="103"/>
      <c r="G223" s="103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</row>
    <row r="224" spans="1:25" ht="15.75" customHeight="1" thickBot="1" x14ac:dyDescent="0.3">
      <c r="A224" s="101" t="s">
        <v>376</v>
      </c>
      <c r="C224" s="102" t="s">
        <v>395</v>
      </c>
      <c r="D224" s="103">
        <f t="shared" si="3"/>
        <v>4457086</v>
      </c>
      <c r="E224" s="103"/>
      <c r="F224" s="103">
        <v>5543105</v>
      </c>
      <c r="G224" s="103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</row>
    <row r="225" spans="1:25" ht="15.75" customHeight="1" thickBot="1" x14ac:dyDescent="0.3">
      <c r="A225" s="101" t="s">
        <v>376</v>
      </c>
      <c r="C225" s="102" t="s">
        <v>396</v>
      </c>
      <c r="D225" s="103">
        <f t="shared" si="3"/>
        <v>3957086</v>
      </c>
      <c r="E225" s="103"/>
      <c r="F225" s="103">
        <v>500000</v>
      </c>
      <c r="G225" s="103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</row>
    <row r="226" spans="1:25" ht="15.75" customHeight="1" thickBot="1" x14ac:dyDescent="0.3">
      <c r="A226" s="101" t="s">
        <v>377</v>
      </c>
      <c r="C226" s="102" t="s">
        <v>397</v>
      </c>
      <c r="D226" s="103">
        <f t="shared" si="3"/>
        <v>3787220</v>
      </c>
      <c r="E226" s="103"/>
      <c r="F226" s="103">
        <v>169866</v>
      </c>
      <c r="G226" s="103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</row>
    <row r="227" spans="1:25" ht="15.75" customHeight="1" thickBot="1" x14ac:dyDescent="0.3">
      <c r="A227" s="101" t="s">
        <v>377</v>
      </c>
      <c r="C227" s="102" t="s">
        <v>398</v>
      </c>
      <c r="D227" s="103">
        <f t="shared" si="3"/>
        <v>3687620</v>
      </c>
      <c r="E227" s="103"/>
      <c r="F227" s="103">
        <v>99600</v>
      </c>
      <c r="G227" s="103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</row>
    <row r="228" spans="1:25" ht="15.75" customHeight="1" thickBot="1" x14ac:dyDescent="0.3">
      <c r="A228" s="101" t="s">
        <v>378</v>
      </c>
      <c r="C228" s="102" t="s">
        <v>399</v>
      </c>
      <c r="D228" s="103">
        <f t="shared" si="3"/>
        <v>3012620</v>
      </c>
      <c r="E228" s="103"/>
      <c r="F228" s="103">
        <v>675000</v>
      </c>
      <c r="G228" s="103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</row>
    <row r="229" spans="1:25" ht="15.75" customHeight="1" thickBot="1" x14ac:dyDescent="0.3">
      <c r="A229" s="101" t="s">
        <v>378</v>
      </c>
      <c r="C229" s="102" t="s">
        <v>400</v>
      </c>
      <c r="D229" s="103">
        <f t="shared" si="3"/>
        <v>2580063</v>
      </c>
      <c r="E229" s="103"/>
      <c r="F229" s="103">
        <v>432557</v>
      </c>
      <c r="G229" s="103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</row>
    <row r="230" spans="1:25" ht="15.75" customHeight="1" thickBot="1" x14ac:dyDescent="0.3">
      <c r="A230" s="101" t="s">
        <v>378</v>
      </c>
      <c r="C230" s="102" t="s">
        <v>401</v>
      </c>
      <c r="D230" s="103">
        <f t="shared" si="3"/>
        <v>2395063</v>
      </c>
      <c r="E230" s="103"/>
      <c r="F230" s="103">
        <v>185000</v>
      </c>
      <c r="G230" s="103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</row>
    <row r="231" spans="1:25" ht="15.75" customHeight="1" thickBot="1" x14ac:dyDescent="0.3">
      <c r="A231" s="101" t="s">
        <v>379</v>
      </c>
      <c r="C231" s="102" t="s">
        <v>402</v>
      </c>
      <c r="D231" s="103">
        <f t="shared" si="3"/>
        <v>2357063</v>
      </c>
      <c r="E231" s="103"/>
      <c r="F231" s="103">
        <v>38000</v>
      </c>
      <c r="G231" s="103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</row>
    <row r="232" spans="1:25" ht="15.75" customHeight="1" thickBot="1" x14ac:dyDescent="0.3">
      <c r="A232" s="101" t="s">
        <v>380</v>
      </c>
      <c r="C232" s="102" t="s">
        <v>403</v>
      </c>
      <c r="D232" s="103">
        <f t="shared" si="3"/>
        <v>2342063</v>
      </c>
      <c r="E232" s="103"/>
      <c r="F232" s="103">
        <v>15000</v>
      </c>
      <c r="G232" s="103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</row>
    <row r="233" spans="1:25" ht="15.75" customHeight="1" thickBot="1" x14ac:dyDescent="0.3">
      <c r="A233" s="101" t="s">
        <v>381</v>
      </c>
      <c r="C233" s="102" t="s">
        <v>284</v>
      </c>
      <c r="D233" s="103">
        <f t="shared" si="3"/>
        <v>2205161</v>
      </c>
      <c r="E233" s="103"/>
      <c r="F233" s="103">
        <v>136902</v>
      </c>
      <c r="G233" s="103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</row>
    <row r="234" spans="1:25" ht="15.75" customHeight="1" thickBot="1" x14ac:dyDescent="0.3">
      <c r="A234" s="101" t="s">
        <v>382</v>
      </c>
      <c r="C234" s="102" t="s">
        <v>404</v>
      </c>
      <c r="D234" s="103">
        <f t="shared" si="3"/>
        <v>2190161</v>
      </c>
      <c r="E234" s="103"/>
      <c r="F234" s="103">
        <v>15000</v>
      </c>
      <c r="G234" s="103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</row>
    <row r="235" spans="1:25" ht="15.75" customHeight="1" thickBot="1" x14ac:dyDescent="0.3">
      <c r="A235" s="101" t="s">
        <v>383</v>
      </c>
      <c r="C235" s="102" t="s">
        <v>368</v>
      </c>
      <c r="D235" s="103">
        <f t="shared" si="3"/>
        <v>4190161</v>
      </c>
      <c r="E235" s="103">
        <v>2000000</v>
      </c>
      <c r="F235" s="103">
        <v>0</v>
      </c>
      <c r="G235" s="103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</row>
    <row r="236" spans="1:25" ht="15.75" customHeight="1" thickBot="1" x14ac:dyDescent="0.3">
      <c r="A236" s="101" t="s">
        <v>383</v>
      </c>
      <c r="C236" s="102" t="s">
        <v>405</v>
      </c>
      <c r="D236" s="103">
        <f t="shared" si="3"/>
        <v>2190161</v>
      </c>
      <c r="E236" s="103"/>
      <c r="F236" s="103">
        <v>2000000</v>
      </c>
      <c r="G236" s="103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</row>
    <row r="237" spans="1:25" ht="15.75" customHeight="1" thickBot="1" x14ac:dyDescent="0.3">
      <c r="A237" s="101" t="s">
        <v>384</v>
      </c>
      <c r="C237" s="102" t="s">
        <v>368</v>
      </c>
      <c r="D237" s="103">
        <f t="shared" si="3"/>
        <v>10190161</v>
      </c>
      <c r="E237" s="103">
        <v>8000000</v>
      </c>
      <c r="F237" s="103">
        <v>0</v>
      </c>
      <c r="G237" s="103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</row>
    <row r="238" spans="1:25" ht="15.75" customHeight="1" thickBot="1" x14ac:dyDescent="0.3">
      <c r="A238" s="101" t="s">
        <v>384</v>
      </c>
      <c r="C238" s="102" t="s">
        <v>368</v>
      </c>
      <c r="D238" s="103">
        <f t="shared" si="3"/>
        <v>12190161</v>
      </c>
      <c r="E238" s="103">
        <v>2000000</v>
      </c>
      <c r="F238" s="103">
        <v>0</v>
      </c>
      <c r="G238" s="103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</row>
    <row r="239" spans="1:25" ht="15.75" customHeight="1" thickBot="1" x14ac:dyDescent="0.3">
      <c r="A239" s="101" t="s">
        <v>385</v>
      </c>
      <c r="C239" s="102" t="s">
        <v>406</v>
      </c>
      <c r="D239" s="103">
        <f t="shared" si="3"/>
        <v>12969507</v>
      </c>
      <c r="E239" s="103">
        <v>779346</v>
      </c>
      <c r="F239" s="103">
        <v>0</v>
      </c>
      <c r="G239" s="103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</row>
    <row r="240" spans="1:25" ht="15.75" customHeight="1" thickBot="1" x14ac:dyDescent="0.3">
      <c r="A240" s="101" t="s">
        <v>385</v>
      </c>
      <c r="C240" s="102" t="s">
        <v>407</v>
      </c>
      <c r="D240" s="103">
        <f t="shared" si="3"/>
        <v>6969507</v>
      </c>
      <c r="E240" s="103"/>
      <c r="F240" s="103">
        <v>6000000</v>
      </c>
      <c r="G240" s="103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</row>
    <row r="241" spans="1:25" ht="15.75" customHeight="1" thickBot="1" x14ac:dyDescent="0.3">
      <c r="A241" s="101" t="s">
        <v>385</v>
      </c>
      <c r="C241" s="102" t="s">
        <v>291</v>
      </c>
      <c r="D241" s="103">
        <f t="shared" si="3"/>
        <v>2542112</v>
      </c>
      <c r="E241" s="103"/>
      <c r="F241" s="103">
        <v>4427395</v>
      </c>
      <c r="G241" s="103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</row>
    <row r="242" spans="1:25" ht="15.75" customHeight="1" thickBot="1" x14ac:dyDescent="0.3">
      <c r="A242" s="101" t="s">
        <v>385</v>
      </c>
      <c r="C242" s="102" t="s">
        <v>408</v>
      </c>
      <c r="D242" s="103">
        <f t="shared" si="3"/>
        <v>2442112</v>
      </c>
      <c r="E242" s="103"/>
      <c r="F242" s="103">
        <v>100000</v>
      </c>
      <c r="G242" s="103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</row>
    <row r="243" spans="1:25" ht="15.75" customHeight="1" thickBot="1" x14ac:dyDescent="0.3">
      <c r="A243" s="101" t="s">
        <v>386</v>
      </c>
      <c r="C243" s="102" t="s">
        <v>409</v>
      </c>
      <c r="D243" s="103">
        <f t="shared" si="3"/>
        <v>1791527</v>
      </c>
      <c r="E243" s="103"/>
      <c r="F243" s="103">
        <v>650585</v>
      </c>
      <c r="G243" s="103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</row>
    <row r="244" spans="1:25" ht="15.75" customHeight="1" thickBot="1" x14ac:dyDescent="0.3">
      <c r="A244" s="101" t="s">
        <v>387</v>
      </c>
      <c r="C244" s="102" t="s">
        <v>410</v>
      </c>
      <c r="D244" s="103">
        <f t="shared" si="3"/>
        <v>441527</v>
      </c>
      <c r="E244" s="103"/>
      <c r="F244" s="103">
        <v>1350000</v>
      </c>
      <c r="G244" s="103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</row>
    <row r="245" spans="1:25" ht="15.75" customHeight="1" thickBot="1" x14ac:dyDescent="0.3">
      <c r="A245" s="101" t="s">
        <v>387</v>
      </c>
      <c r="C245" s="102" t="s">
        <v>411</v>
      </c>
      <c r="D245" s="103">
        <f t="shared" si="3"/>
        <v>383027</v>
      </c>
      <c r="E245" s="103"/>
      <c r="F245" s="103">
        <v>58500</v>
      </c>
      <c r="G245" s="103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</row>
    <row r="246" spans="1:25" ht="15.75" customHeight="1" thickBot="1" x14ac:dyDescent="0.3">
      <c r="A246" s="101" t="s">
        <v>388</v>
      </c>
      <c r="C246" s="102" t="s">
        <v>412</v>
      </c>
      <c r="D246" s="103">
        <f t="shared" si="3"/>
        <v>322127</v>
      </c>
      <c r="E246" s="103"/>
      <c r="F246" s="103">
        <v>60900</v>
      </c>
      <c r="G246" s="103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</row>
    <row r="247" spans="1:25" ht="15.75" customHeight="1" thickBot="1" x14ac:dyDescent="0.3">
      <c r="A247" s="101" t="s">
        <v>389</v>
      </c>
      <c r="C247" s="102" t="s">
        <v>413</v>
      </c>
      <c r="D247" s="103">
        <f t="shared" si="3"/>
        <v>305607</v>
      </c>
      <c r="E247" s="103"/>
      <c r="F247" s="103">
        <v>16520</v>
      </c>
      <c r="G247" s="103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</row>
    <row r="248" spans="1:25" ht="15.75" customHeight="1" thickBot="1" x14ac:dyDescent="0.3">
      <c r="A248" s="101" t="s">
        <v>390</v>
      </c>
      <c r="C248" s="102" t="s">
        <v>414</v>
      </c>
      <c r="D248" s="103">
        <f t="shared" si="3"/>
        <v>301007</v>
      </c>
      <c r="E248" s="103"/>
      <c r="F248" s="103">
        <v>4600</v>
      </c>
      <c r="G248" s="103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</row>
    <row r="249" spans="1:25" ht="15.75" customHeight="1" thickBot="1" x14ac:dyDescent="0.3">
      <c r="A249" s="101" t="s">
        <v>391</v>
      </c>
      <c r="C249" s="102" t="s">
        <v>368</v>
      </c>
      <c r="D249" s="103">
        <f t="shared" si="3"/>
        <v>801007</v>
      </c>
      <c r="E249" s="103">
        <v>500000</v>
      </c>
      <c r="F249" s="103">
        <v>0</v>
      </c>
      <c r="G249" s="103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</row>
    <row r="250" spans="1:25" ht="15.75" customHeight="1" thickBot="1" x14ac:dyDescent="0.3">
      <c r="A250" s="101">
        <v>44630</v>
      </c>
      <c r="B250" s="48"/>
      <c r="C250" s="102" t="s">
        <v>415</v>
      </c>
      <c r="D250" s="103">
        <f t="shared" si="3"/>
        <v>1474041</v>
      </c>
      <c r="E250" s="103">
        <v>673034</v>
      </c>
      <c r="F250" s="103">
        <v>0</v>
      </c>
      <c r="G250" s="103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</row>
    <row r="251" spans="1:25" ht="15.75" customHeight="1" thickBot="1" x14ac:dyDescent="0.3">
      <c r="A251" s="101">
        <v>44630</v>
      </c>
      <c r="C251" s="102" t="s">
        <v>396</v>
      </c>
      <c r="D251" s="103">
        <f t="shared" si="3"/>
        <v>974041</v>
      </c>
      <c r="E251" s="103"/>
      <c r="F251" s="103">
        <v>500000</v>
      </c>
      <c r="G251" s="103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</row>
    <row r="252" spans="1:25" ht="15.75" customHeight="1" thickBot="1" x14ac:dyDescent="0.3">
      <c r="A252" s="101">
        <v>44661</v>
      </c>
      <c r="C252" s="102" t="s">
        <v>397</v>
      </c>
      <c r="D252" s="103">
        <f t="shared" si="3"/>
        <v>804175</v>
      </c>
      <c r="E252" s="103"/>
      <c r="F252" s="103">
        <v>169866</v>
      </c>
      <c r="G252" s="103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</row>
    <row r="253" spans="1:25" ht="15.75" customHeight="1" thickBot="1" x14ac:dyDescent="0.3">
      <c r="A253" s="101">
        <v>44752</v>
      </c>
      <c r="C253" s="102" t="s">
        <v>416</v>
      </c>
      <c r="D253" s="103">
        <f t="shared" si="3"/>
        <v>751175</v>
      </c>
      <c r="E253" s="103"/>
      <c r="F253" s="103">
        <v>53000</v>
      </c>
      <c r="G253" s="103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</row>
    <row r="254" spans="1:25" ht="15.75" customHeight="1" thickBot="1" x14ac:dyDescent="0.3">
      <c r="A254" s="101">
        <v>44752</v>
      </c>
      <c r="C254" s="102" t="s">
        <v>417</v>
      </c>
      <c r="D254" s="103">
        <f t="shared" si="3"/>
        <v>723095</v>
      </c>
      <c r="E254" s="103"/>
      <c r="F254" s="103">
        <v>28080</v>
      </c>
      <c r="G254" s="103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</row>
    <row r="255" spans="1:25" ht="15.75" customHeight="1" thickBot="1" x14ac:dyDescent="0.3">
      <c r="A255" s="101">
        <v>44905</v>
      </c>
      <c r="C255" s="102" t="s">
        <v>348</v>
      </c>
      <c r="D255" s="103">
        <f t="shared" si="3"/>
        <v>706797</v>
      </c>
      <c r="E255" s="103"/>
      <c r="F255" s="103">
        <v>16298</v>
      </c>
      <c r="G255" s="103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</row>
    <row r="256" spans="1:25" ht="15.75" customHeight="1" thickBot="1" x14ac:dyDescent="0.3">
      <c r="A256" s="101" t="s">
        <v>392</v>
      </c>
      <c r="C256" s="102" t="s">
        <v>418</v>
      </c>
      <c r="D256" s="103">
        <f t="shared" si="3"/>
        <v>1493178</v>
      </c>
      <c r="E256" s="103">
        <v>786381</v>
      </c>
      <c r="F256" s="103">
        <v>0</v>
      </c>
      <c r="G256" s="103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</row>
    <row r="257" spans="1:25" ht="15.75" customHeight="1" thickBot="1" x14ac:dyDescent="0.3">
      <c r="A257" s="101" t="s">
        <v>393</v>
      </c>
      <c r="C257" s="102" t="s">
        <v>419</v>
      </c>
      <c r="D257" s="103">
        <f t="shared" si="3"/>
        <v>993178</v>
      </c>
      <c r="E257" s="103"/>
      <c r="F257" s="103">
        <v>500000</v>
      </c>
      <c r="G257" s="103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</row>
    <row r="258" spans="1:25" ht="15.75" customHeight="1" thickBot="1" x14ac:dyDescent="0.3">
      <c r="A258" s="101" t="s">
        <v>393</v>
      </c>
      <c r="C258" s="102" t="s">
        <v>397</v>
      </c>
      <c r="D258" s="103">
        <f t="shared" si="3"/>
        <v>853469</v>
      </c>
      <c r="E258" s="103"/>
      <c r="F258" s="103">
        <v>139709</v>
      </c>
      <c r="G258" s="103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</row>
    <row r="259" spans="1:25" ht="15.75" customHeight="1" thickBot="1" x14ac:dyDescent="0.3">
      <c r="A259" s="101" t="s">
        <v>369</v>
      </c>
      <c r="B259" s="48"/>
      <c r="C259" s="102" t="s">
        <v>418</v>
      </c>
      <c r="D259" s="103">
        <f t="shared" si="3"/>
        <v>1643048</v>
      </c>
      <c r="E259" s="103">
        <v>789579</v>
      </c>
      <c r="F259" s="103"/>
      <c r="G259" s="103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</row>
    <row r="260" spans="1:25" ht="15.75" customHeight="1" thickBot="1" x14ac:dyDescent="0.3">
      <c r="A260" s="101" t="s">
        <v>369</v>
      </c>
      <c r="B260" s="48"/>
      <c r="C260" s="102" t="s">
        <v>415</v>
      </c>
      <c r="D260" s="103">
        <f t="shared" si="3"/>
        <v>2322442</v>
      </c>
      <c r="E260" s="103">
        <v>679394</v>
      </c>
      <c r="F260" s="103"/>
      <c r="G260" s="103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</row>
    <row r="261" spans="1:25" ht="15.75" customHeight="1" thickBot="1" x14ac:dyDescent="0.3">
      <c r="A261" s="101" t="s">
        <v>370</v>
      </c>
      <c r="C261" s="102" t="s">
        <v>420</v>
      </c>
      <c r="D261" s="103">
        <f t="shared" ref="D261:D290" si="4">+D260+E261-F261</f>
        <v>1447442</v>
      </c>
      <c r="E261" s="103"/>
      <c r="F261" s="103">
        <v>875000</v>
      </c>
      <c r="G261" s="103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</row>
    <row r="262" spans="1:25" ht="15.75" customHeight="1" thickBot="1" x14ac:dyDescent="0.3">
      <c r="A262" s="101" t="s">
        <v>370</v>
      </c>
      <c r="B262" s="48"/>
      <c r="C262" s="102" t="s">
        <v>400</v>
      </c>
      <c r="D262" s="103">
        <f t="shared" si="4"/>
        <v>938354</v>
      </c>
      <c r="E262" s="103"/>
      <c r="F262" s="103">
        <v>509088</v>
      </c>
      <c r="G262" s="103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</row>
    <row r="263" spans="1:25" ht="15.75" customHeight="1" thickBot="1" x14ac:dyDescent="0.3">
      <c r="A263" s="101" t="s">
        <v>370</v>
      </c>
      <c r="B263" s="48"/>
      <c r="C263" s="102" t="s">
        <v>421</v>
      </c>
      <c r="D263" s="103">
        <f t="shared" si="4"/>
        <v>925098</v>
      </c>
      <c r="E263" s="103"/>
      <c r="F263" s="103">
        <v>13256</v>
      </c>
      <c r="G263" s="103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</row>
    <row r="264" spans="1:25" ht="15.75" customHeight="1" thickBot="1" x14ac:dyDescent="0.3">
      <c r="A264" s="101" t="s">
        <v>371</v>
      </c>
      <c r="B264" s="48"/>
      <c r="C264" s="102" t="s">
        <v>422</v>
      </c>
      <c r="D264" s="103">
        <f t="shared" si="4"/>
        <v>839518</v>
      </c>
      <c r="E264" s="103"/>
      <c r="F264" s="103">
        <v>85580</v>
      </c>
      <c r="G264" s="103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</row>
    <row r="265" spans="1:25" ht="15.75" customHeight="1" thickBot="1" x14ac:dyDescent="0.3">
      <c r="A265" s="101" t="s">
        <v>371</v>
      </c>
      <c r="B265" s="48"/>
      <c r="C265" s="102" t="s">
        <v>423</v>
      </c>
      <c r="D265" s="103">
        <f t="shared" si="4"/>
        <v>787598</v>
      </c>
      <c r="E265" s="103"/>
      <c r="F265" s="103">
        <v>51920</v>
      </c>
      <c r="G265" s="103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</row>
    <row r="266" spans="1:25" ht="15.75" customHeight="1" thickBot="1" x14ac:dyDescent="0.3">
      <c r="A266" s="101" t="s">
        <v>372</v>
      </c>
      <c r="B266" s="48"/>
      <c r="C266" s="102" t="s">
        <v>424</v>
      </c>
      <c r="D266" s="103">
        <f t="shared" si="4"/>
        <v>716300</v>
      </c>
      <c r="E266" s="103"/>
      <c r="F266" s="103">
        <v>71298</v>
      </c>
      <c r="G266" s="103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</row>
    <row r="267" spans="1:25" ht="15.75" customHeight="1" thickBot="1" x14ac:dyDescent="0.3">
      <c r="A267" s="101" t="s">
        <v>372</v>
      </c>
      <c r="B267" s="48"/>
      <c r="C267" s="102" t="s">
        <v>425</v>
      </c>
      <c r="D267" s="103">
        <f t="shared" si="4"/>
        <v>695300</v>
      </c>
      <c r="E267" s="103"/>
      <c r="F267" s="103">
        <v>21000</v>
      </c>
      <c r="G267" s="103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</row>
    <row r="268" spans="1:25" ht="15.75" customHeight="1" thickBot="1" x14ac:dyDescent="0.3">
      <c r="A268" s="101" t="s">
        <v>373</v>
      </c>
      <c r="B268" s="48"/>
      <c r="C268" s="102" t="s">
        <v>368</v>
      </c>
      <c r="D268" s="103">
        <f t="shared" si="4"/>
        <v>20695300</v>
      </c>
      <c r="E268" s="103">
        <v>20000000</v>
      </c>
      <c r="F268" s="103"/>
      <c r="G268" s="103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</row>
    <row r="269" spans="1:25" ht="15.75" customHeight="1" thickBot="1" x14ac:dyDescent="0.3">
      <c r="A269" s="101" t="s">
        <v>374</v>
      </c>
      <c r="B269" s="48"/>
      <c r="C269" s="102" t="s">
        <v>426</v>
      </c>
      <c r="D269" s="103">
        <f t="shared" si="4"/>
        <v>20195300</v>
      </c>
      <c r="E269" s="103"/>
      <c r="F269" s="103">
        <v>500000</v>
      </c>
      <c r="G269" s="103"/>
      <c r="H269" s="44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</row>
    <row r="270" spans="1:25" ht="15.75" customHeight="1" thickBot="1" x14ac:dyDescent="0.3">
      <c r="A270" s="101" t="s">
        <v>374</v>
      </c>
      <c r="B270" s="48"/>
      <c r="C270" s="102" t="s">
        <v>397</v>
      </c>
      <c r="D270" s="103">
        <f t="shared" si="4"/>
        <v>20055591</v>
      </c>
      <c r="E270" s="103"/>
      <c r="F270" s="103">
        <v>139709</v>
      </c>
      <c r="G270" s="103"/>
      <c r="H270" s="44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</row>
    <row r="271" spans="1:25" ht="15.75" customHeight="1" thickBot="1" x14ac:dyDescent="0.3">
      <c r="A271" s="101" t="s">
        <v>375</v>
      </c>
      <c r="B271" s="48"/>
      <c r="C271" s="102" t="s">
        <v>427</v>
      </c>
      <c r="D271" s="103">
        <f t="shared" si="4"/>
        <v>14055591</v>
      </c>
      <c r="E271" s="103"/>
      <c r="F271" s="103">
        <v>6000000</v>
      </c>
      <c r="G271" s="103"/>
      <c r="H271" s="44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</row>
    <row r="272" spans="1:25" ht="15.75" customHeight="1" thickBot="1" x14ac:dyDescent="0.3">
      <c r="A272" s="101" t="s">
        <v>375</v>
      </c>
      <c r="B272" s="48"/>
      <c r="C272" s="102" t="s">
        <v>428</v>
      </c>
      <c r="D272" s="103">
        <f t="shared" si="4"/>
        <v>13955591</v>
      </c>
      <c r="E272" s="103"/>
      <c r="F272" s="103">
        <v>100000</v>
      </c>
      <c r="G272" s="103"/>
      <c r="H272" s="44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</row>
    <row r="273" spans="1:25" ht="15.75" customHeight="1" thickBot="1" x14ac:dyDescent="0.3">
      <c r="A273" s="101" t="s">
        <v>429</v>
      </c>
      <c r="C273" s="44" t="s">
        <v>433</v>
      </c>
      <c r="D273" s="103">
        <f t="shared" si="4"/>
        <v>19955591</v>
      </c>
      <c r="E273" s="103">
        <v>6000000</v>
      </c>
      <c r="F273" s="103"/>
      <c r="G273" s="103"/>
      <c r="H273" s="44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</row>
    <row r="274" spans="1:25" ht="15.75" customHeight="1" thickBot="1" x14ac:dyDescent="0.3">
      <c r="A274" s="101" t="s">
        <v>429</v>
      </c>
      <c r="C274" s="44" t="s">
        <v>415</v>
      </c>
      <c r="D274" s="103">
        <f t="shared" si="4"/>
        <v>20639068</v>
      </c>
      <c r="E274" s="103">
        <v>683477</v>
      </c>
      <c r="F274" s="103"/>
      <c r="G274" s="103"/>
      <c r="H274" s="44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</row>
    <row r="275" spans="1:25" ht="15.75" customHeight="1" thickBot="1" x14ac:dyDescent="0.3">
      <c r="A275" s="101" t="s">
        <v>429</v>
      </c>
      <c r="C275" s="44" t="s">
        <v>418</v>
      </c>
      <c r="D275" s="103">
        <f t="shared" si="4"/>
        <v>21434288</v>
      </c>
      <c r="E275" s="103">
        <v>795220</v>
      </c>
      <c r="F275" s="103"/>
      <c r="G275" s="103"/>
      <c r="H275" s="44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</row>
    <row r="276" spans="1:25" ht="15.75" customHeight="1" thickBot="1" x14ac:dyDescent="0.3">
      <c r="A276" s="101" t="s">
        <v>429</v>
      </c>
      <c r="C276" s="44" t="s">
        <v>434</v>
      </c>
      <c r="D276" s="103">
        <f t="shared" si="4"/>
        <v>6502510</v>
      </c>
      <c r="E276" s="103"/>
      <c r="F276" s="103">
        <v>14931778</v>
      </c>
      <c r="G276" s="103"/>
      <c r="H276" s="44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</row>
    <row r="277" spans="1:25" ht="15.75" customHeight="1" thickBot="1" x14ac:dyDescent="0.3">
      <c r="A277" s="101" t="s">
        <v>429</v>
      </c>
      <c r="C277" s="44" t="s">
        <v>435</v>
      </c>
      <c r="D277" s="103">
        <f t="shared" si="4"/>
        <v>4243110</v>
      </c>
      <c r="E277" s="103"/>
      <c r="F277" s="103">
        <v>2259400</v>
      </c>
      <c r="G277" s="103"/>
      <c r="H277" s="44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</row>
    <row r="278" spans="1:25" ht="15.75" customHeight="1" thickBot="1" x14ac:dyDescent="0.3">
      <c r="A278" s="101" t="s">
        <v>430</v>
      </c>
      <c r="C278" s="44" t="s">
        <v>434</v>
      </c>
      <c r="D278" s="103">
        <f t="shared" si="4"/>
        <v>3141574</v>
      </c>
      <c r="E278" s="103"/>
      <c r="F278" s="103">
        <v>1101536</v>
      </c>
      <c r="G278" s="103"/>
      <c r="H278" s="44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</row>
    <row r="279" spans="1:25" ht="15.75" customHeight="1" thickBot="1" x14ac:dyDescent="0.3">
      <c r="A279" s="101" t="s">
        <v>431</v>
      </c>
      <c r="C279" s="44" t="s">
        <v>436</v>
      </c>
      <c r="D279" s="103">
        <f t="shared" si="4"/>
        <v>2522825</v>
      </c>
      <c r="E279" s="103"/>
      <c r="F279" s="103">
        <v>618749</v>
      </c>
      <c r="G279" s="103"/>
      <c r="H279" s="44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</row>
    <row r="280" spans="1:25" ht="15.75" customHeight="1" thickBot="1" x14ac:dyDescent="0.3">
      <c r="A280" s="101" t="s">
        <v>432</v>
      </c>
      <c r="C280" s="44" t="s">
        <v>437</v>
      </c>
      <c r="D280" s="103">
        <f t="shared" si="4"/>
        <v>2257548</v>
      </c>
      <c r="E280" s="103"/>
      <c r="F280" s="103">
        <v>265277</v>
      </c>
      <c r="G280" s="103"/>
      <c r="H280" s="44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</row>
    <row r="281" spans="1:25" ht="15.75" customHeight="1" thickBot="1" x14ac:dyDescent="0.3">
      <c r="A281" s="101" t="s">
        <v>438</v>
      </c>
      <c r="B281" s="48"/>
      <c r="C281" s="44" t="s">
        <v>368</v>
      </c>
      <c r="D281" s="103">
        <f t="shared" si="4"/>
        <v>48257548</v>
      </c>
      <c r="E281" s="103">
        <v>46000000</v>
      </c>
      <c r="F281" s="103">
        <v>0</v>
      </c>
      <c r="G281" s="103"/>
      <c r="H281" s="44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</row>
    <row r="282" spans="1:25" ht="15.75" customHeight="1" thickBot="1" x14ac:dyDescent="0.3">
      <c r="A282" s="101" t="s">
        <v>438</v>
      </c>
      <c r="B282" s="48"/>
      <c r="C282" s="44" t="s">
        <v>442</v>
      </c>
      <c r="D282" s="44">
        <f t="shared" si="4"/>
        <v>3414064</v>
      </c>
      <c r="E282" s="103"/>
      <c r="F282" s="103">
        <v>44843484</v>
      </c>
      <c r="G282" s="103"/>
      <c r="H282" s="44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</row>
    <row r="283" spans="1:25" ht="15.75" customHeight="1" thickBot="1" x14ac:dyDescent="0.3">
      <c r="A283" s="101" t="s">
        <v>438</v>
      </c>
      <c r="B283" s="48"/>
      <c r="C283" s="44" t="s">
        <v>443</v>
      </c>
      <c r="D283" s="44">
        <f t="shared" si="4"/>
        <v>2329464</v>
      </c>
      <c r="E283" s="103"/>
      <c r="F283" s="103">
        <v>1084600</v>
      </c>
      <c r="G283" s="103"/>
      <c r="H283" s="44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</row>
    <row r="284" spans="1:25" ht="15.75" customHeight="1" thickBot="1" x14ac:dyDescent="0.3">
      <c r="A284" s="101" t="s">
        <v>438</v>
      </c>
      <c r="B284" s="48"/>
      <c r="C284" s="44" t="s">
        <v>444</v>
      </c>
      <c r="D284" s="44">
        <f t="shared" si="4"/>
        <v>2229464</v>
      </c>
      <c r="E284" s="103"/>
      <c r="F284" s="103">
        <v>100000</v>
      </c>
      <c r="G284" s="103"/>
      <c r="H284" s="44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</row>
    <row r="285" spans="1:25" ht="15.75" customHeight="1" thickBot="1" x14ac:dyDescent="0.3">
      <c r="A285" s="101" t="s">
        <v>439</v>
      </c>
      <c r="B285" s="48"/>
      <c r="C285" s="44" t="s">
        <v>445</v>
      </c>
      <c r="D285" s="44">
        <f t="shared" si="4"/>
        <v>2917594</v>
      </c>
      <c r="E285" s="103">
        <v>688130</v>
      </c>
      <c r="F285" s="103">
        <v>0</v>
      </c>
      <c r="G285" s="103"/>
      <c r="H285" s="44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</row>
    <row r="286" spans="1:25" ht="15.75" customHeight="1" thickBot="1" x14ac:dyDescent="0.3">
      <c r="A286" s="101" t="s">
        <v>440</v>
      </c>
      <c r="B286" s="48"/>
      <c r="C286" s="44" t="s">
        <v>447</v>
      </c>
      <c r="D286" s="44">
        <f t="shared" si="4"/>
        <v>1719825</v>
      </c>
      <c r="E286" s="103"/>
      <c r="F286" s="103">
        <v>1197769</v>
      </c>
      <c r="G286" s="125"/>
      <c r="H286" s="125"/>
      <c r="I286" s="125"/>
      <c r="J286" s="125"/>
      <c r="K286" s="44"/>
      <c r="L286" s="125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</row>
    <row r="287" spans="1:25" ht="15.75" customHeight="1" thickBot="1" x14ac:dyDescent="0.3">
      <c r="A287" s="101" t="s">
        <v>440</v>
      </c>
      <c r="B287" s="48"/>
      <c r="C287" s="44" t="s">
        <v>447</v>
      </c>
      <c r="D287" s="44">
        <f t="shared" si="4"/>
        <v>1521983</v>
      </c>
      <c r="E287" s="103"/>
      <c r="F287" s="103">
        <v>197842</v>
      </c>
      <c r="G287" s="44"/>
      <c r="J287" s="44"/>
      <c r="K287" s="44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</row>
    <row r="288" spans="1:25" ht="15.75" customHeight="1" thickBot="1" x14ac:dyDescent="0.3">
      <c r="A288" s="101" t="s">
        <v>441</v>
      </c>
      <c r="B288" s="48"/>
      <c r="C288" s="44" t="s">
        <v>446</v>
      </c>
      <c r="D288" s="44">
        <f t="shared" si="4"/>
        <v>2323644</v>
      </c>
      <c r="E288" s="103">
        <v>801661</v>
      </c>
      <c r="F288" s="103">
        <v>0</v>
      </c>
      <c r="G288" s="44"/>
      <c r="J288" s="44"/>
      <c r="K288" s="44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</row>
    <row r="289" spans="1:25" ht="15.75" customHeight="1" thickBot="1" x14ac:dyDescent="0.3">
      <c r="A289" s="101" t="s">
        <v>441</v>
      </c>
      <c r="B289" s="48"/>
      <c r="C289" s="44" t="s">
        <v>448</v>
      </c>
      <c r="D289" s="44">
        <f t="shared" si="4"/>
        <v>1385947</v>
      </c>
      <c r="E289" s="103"/>
      <c r="F289" s="103">
        <v>937697</v>
      </c>
      <c r="G289" s="44"/>
      <c r="J289" s="44"/>
      <c r="K289" s="44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</row>
    <row r="290" spans="1:25" ht="15.75" customHeight="1" thickBot="1" x14ac:dyDescent="0.3">
      <c r="A290" s="101" t="s">
        <v>441</v>
      </c>
      <c r="B290" s="48"/>
      <c r="C290" s="44" t="s">
        <v>449</v>
      </c>
      <c r="D290" s="44">
        <f t="shared" si="4"/>
        <v>785947</v>
      </c>
      <c r="E290" s="103"/>
      <c r="F290" s="103">
        <v>600000</v>
      </c>
      <c r="G290" s="44"/>
      <c r="J290" s="44"/>
      <c r="K290" s="44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</row>
    <row r="291" spans="1:25" ht="15.75" customHeight="1" thickBot="1" x14ac:dyDescent="0.3">
      <c r="A291" s="101"/>
      <c r="C291" s="44"/>
      <c r="D291" s="44"/>
      <c r="G291" s="44"/>
      <c r="J291" s="44"/>
      <c r="K291" s="44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</row>
    <row r="292" spans="1:25" ht="15.75" customHeight="1" thickBot="1" x14ac:dyDescent="0.3">
      <c r="A292" s="101" t="s">
        <v>450</v>
      </c>
      <c r="C292" s="44" t="s">
        <v>478</v>
      </c>
      <c r="D292" s="44"/>
      <c r="F292" s="103">
        <v>223536</v>
      </c>
      <c r="J292" s="44"/>
      <c r="K292" s="44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</row>
    <row r="293" spans="1:25" ht="15.75" customHeight="1" thickBot="1" x14ac:dyDescent="0.3">
      <c r="A293" s="101" t="s">
        <v>451</v>
      </c>
      <c r="C293" s="44" t="s">
        <v>368</v>
      </c>
      <c r="D293" s="44"/>
      <c r="E293" s="103">
        <v>1000000</v>
      </c>
      <c r="F293" s="103">
        <v>0</v>
      </c>
      <c r="J293" s="44"/>
      <c r="K293" s="44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</row>
    <row r="294" spans="1:25" ht="15.75" customHeight="1" thickBot="1" x14ac:dyDescent="0.3">
      <c r="A294" s="101" t="s">
        <v>451</v>
      </c>
      <c r="C294" s="44" t="s">
        <v>481</v>
      </c>
      <c r="D294" s="44"/>
      <c r="E294" s="103"/>
      <c r="F294" s="103">
        <v>1355490</v>
      </c>
      <c r="J294" s="44"/>
      <c r="K294" s="44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</row>
    <row r="295" spans="1:25" ht="15.75" customHeight="1" thickBot="1" x14ac:dyDescent="0.3">
      <c r="A295" s="101" t="s">
        <v>452</v>
      </c>
      <c r="C295" s="44" t="s">
        <v>479</v>
      </c>
      <c r="D295" s="44"/>
      <c r="E295" s="103"/>
      <c r="F295" s="103">
        <v>105000</v>
      </c>
      <c r="J295" s="130"/>
      <c r="K295" s="130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</row>
    <row r="296" spans="1:25" ht="15.75" customHeight="1" thickBot="1" x14ac:dyDescent="0.3">
      <c r="A296" s="101" t="s">
        <v>453</v>
      </c>
      <c r="C296" s="44" t="s">
        <v>368</v>
      </c>
      <c r="D296" s="44"/>
      <c r="E296" s="103">
        <v>1200000</v>
      </c>
      <c r="F296" s="103">
        <v>0</v>
      </c>
      <c r="J296" s="130"/>
      <c r="K296" s="130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</row>
    <row r="297" spans="1:25" ht="15.75" customHeight="1" thickBot="1" x14ac:dyDescent="0.3">
      <c r="A297" s="101" t="s">
        <v>453</v>
      </c>
      <c r="B297" s="48"/>
      <c r="C297" s="44" t="s">
        <v>368</v>
      </c>
      <c r="D297" s="44"/>
      <c r="E297" s="103">
        <v>1000000</v>
      </c>
      <c r="F297" s="103">
        <v>0</v>
      </c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</row>
    <row r="298" spans="1:25" ht="15.75" customHeight="1" thickBot="1" x14ac:dyDescent="0.3">
      <c r="A298" s="101" t="s">
        <v>453</v>
      </c>
      <c r="B298" s="48"/>
      <c r="C298" s="44" t="s">
        <v>482</v>
      </c>
      <c r="D298" s="44"/>
      <c r="E298" s="103"/>
      <c r="F298" s="103">
        <v>1130000</v>
      </c>
      <c r="K298" s="44"/>
      <c r="L298" s="44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</row>
    <row r="299" spans="1:25" ht="15.75" customHeight="1" thickBot="1" x14ac:dyDescent="0.3">
      <c r="A299" s="101" t="s">
        <v>453</v>
      </c>
      <c r="B299" s="48"/>
      <c r="C299" s="44" t="s">
        <v>480</v>
      </c>
      <c r="D299" s="44"/>
      <c r="E299" s="103"/>
      <c r="F299" s="103">
        <v>1078415</v>
      </c>
      <c r="K299" s="44"/>
      <c r="L299" s="44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</row>
    <row r="300" spans="1:25" ht="15.75" customHeight="1" thickBot="1" x14ac:dyDescent="0.3">
      <c r="A300" s="101" t="s">
        <v>454</v>
      </c>
      <c r="B300" s="48"/>
      <c r="C300" s="44" t="s">
        <v>483</v>
      </c>
      <c r="D300" s="44"/>
      <c r="E300" s="103"/>
      <c r="F300" s="103">
        <v>45500</v>
      </c>
      <c r="K300" s="44"/>
      <c r="L300" s="44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</row>
    <row r="301" spans="1:25" ht="15.75" customHeight="1" thickBot="1" x14ac:dyDescent="0.3">
      <c r="A301" s="101" t="s">
        <v>455</v>
      </c>
      <c r="B301" s="48"/>
      <c r="C301" s="44" t="s">
        <v>484</v>
      </c>
      <c r="D301" s="44"/>
      <c r="E301" s="103">
        <v>5000000</v>
      </c>
      <c r="F301" s="103">
        <v>0</v>
      </c>
      <c r="K301" s="44"/>
      <c r="L301" s="44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</row>
    <row r="302" spans="1:25" ht="15.75" customHeight="1" thickBot="1" x14ac:dyDescent="0.3">
      <c r="A302" s="101" t="s">
        <v>455</v>
      </c>
      <c r="B302" s="48"/>
      <c r="C302" s="44" t="s">
        <v>484</v>
      </c>
      <c r="D302" s="44"/>
      <c r="E302" s="103">
        <v>5000000</v>
      </c>
      <c r="F302" s="103">
        <v>0</v>
      </c>
      <c r="K302" s="44"/>
      <c r="L302" s="44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</row>
    <row r="303" spans="1:25" ht="15.75" customHeight="1" thickBot="1" x14ac:dyDescent="0.3">
      <c r="A303" s="101" t="s">
        <v>455</v>
      </c>
      <c r="B303" s="48"/>
      <c r="C303" s="44" t="s">
        <v>368</v>
      </c>
      <c r="D303" s="44"/>
      <c r="E303" s="103">
        <v>3000000</v>
      </c>
      <c r="F303" s="103">
        <v>0</v>
      </c>
      <c r="K303" s="44"/>
      <c r="L303" s="44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</row>
    <row r="304" spans="1:25" ht="15.75" customHeight="1" thickBot="1" x14ac:dyDescent="0.3">
      <c r="A304" s="101" t="s">
        <v>455</v>
      </c>
      <c r="B304" s="48"/>
      <c r="C304" s="44" t="s">
        <v>284</v>
      </c>
      <c r="D304" s="44"/>
      <c r="E304" s="103"/>
      <c r="F304" s="103">
        <v>1487348</v>
      </c>
      <c r="K304" s="44"/>
      <c r="L304" s="44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</row>
    <row r="305" spans="1:25" ht="15.75" customHeight="1" thickBot="1" x14ac:dyDescent="0.3">
      <c r="A305" s="101" t="s">
        <v>456</v>
      </c>
      <c r="B305" s="48"/>
      <c r="C305" s="44" t="s">
        <v>484</v>
      </c>
      <c r="D305" s="44"/>
      <c r="E305" s="103">
        <v>2867292</v>
      </c>
      <c r="F305" s="103">
        <v>0</v>
      </c>
      <c r="K305" s="44"/>
      <c r="L305" s="44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</row>
    <row r="306" spans="1:25" ht="15.75" customHeight="1" thickBot="1" x14ac:dyDescent="0.3">
      <c r="A306" s="101" t="s">
        <v>457</v>
      </c>
      <c r="B306" s="48"/>
      <c r="C306" s="44" t="s">
        <v>485</v>
      </c>
      <c r="D306" s="44"/>
      <c r="E306" s="103"/>
      <c r="F306" s="103">
        <v>1852500</v>
      </c>
      <c r="K306" s="44"/>
      <c r="L306" s="44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</row>
    <row r="307" spans="1:25" ht="15.75" customHeight="1" thickBot="1" x14ac:dyDescent="0.3">
      <c r="A307" s="101" t="s">
        <v>458</v>
      </c>
      <c r="B307" s="48"/>
      <c r="C307" s="44" t="s">
        <v>486</v>
      </c>
      <c r="D307" s="44"/>
      <c r="E307" s="103">
        <v>692232</v>
      </c>
      <c r="F307" s="103">
        <v>0</v>
      </c>
      <c r="K307" s="44"/>
      <c r="L307" s="44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</row>
    <row r="308" spans="1:25" ht="15.75" customHeight="1" thickBot="1" x14ac:dyDescent="0.3">
      <c r="A308" s="101" t="s">
        <v>459</v>
      </c>
      <c r="B308" s="48"/>
      <c r="C308" s="44" t="s">
        <v>487</v>
      </c>
      <c r="D308" s="44"/>
      <c r="E308" s="103"/>
      <c r="F308" s="103">
        <v>2274820</v>
      </c>
      <c r="K308" s="44"/>
      <c r="L308" s="44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</row>
    <row r="309" spans="1:25" ht="15.75" customHeight="1" thickBot="1" x14ac:dyDescent="0.3">
      <c r="A309" s="101" t="s">
        <v>460</v>
      </c>
      <c r="B309" s="48"/>
      <c r="C309" s="44" t="s">
        <v>488</v>
      </c>
      <c r="D309" s="44"/>
      <c r="E309" s="103">
        <v>500000</v>
      </c>
      <c r="F309" s="103">
        <v>0</v>
      </c>
      <c r="K309" s="44"/>
      <c r="L309" s="44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</row>
    <row r="310" spans="1:25" ht="15.75" customHeight="1" thickBot="1" x14ac:dyDescent="0.3">
      <c r="A310" s="101" t="s">
        <v>460</v>
      </c>
      <c r="B310" s="48"/>
      <c r="C310" s="44" t="s">
        <v>489</v>
      </c>
      <c r="D310" s="44"/>
      <c r="E310" s="103">
        <v>500000</v>
      </c>
      <c r="F310" s="103">
        <v>0</v>
      </c>
      <c r="K310" s="44"/>
      <c r="L310" s="44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</row>
    <row r="311" spans="1:25" ht="15.75" customHeight="1" thickBot="1" x14ac:dyDescent="0.3">
      <c r="A311" s="101" t="s">
        <v>460</v>
      </c>
      <c r="B311" s="48"/>
      <c r="C311" s="44" t="s">
        <v>490</v>
      </c>
      <c r="D311" s="44"/>
      <c r="E311" s="103">
        <v>250000</v>
      </c>
      <c r="F311" s="103">
        <v>0</v>
      </c>
      <c r="K311" s="44"/>
      <c r="L311" s="44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</row>
    <row r="312" spans="1:25" ht="15.75" customHeight="1" thickBot="1" x14ac:dyDescent="0.3">
      <c r="A312" s="101" t="s">
        <v>460</v>
      </c>
      <c r="B312" s="48"/>
      <c r="C312" s="44" t="s">
        <v>490</v>
      </c>
      <c r="D312" s="44"/>
      <c r="E312" s="103">
        <v>250000</v>
      </c>
      <c r="F312" s="103">
        <v>0</v>
      </c>
      <c r="K312" s="44"/>
      <c r="L312" s="44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</row>
    <row r="313" spans="1:25" ht="15.75" customHeight="1" thickBot="1" x14ac:dyDescent="0.3">
      <c r="A313" s="101" t="s">
        <v>460</v>
      </c>
      <c r="B313" s="48"/>
      <c r="C313" s="44" t="s">
        <v>256</v>
      </c>
      <c r="D313" s="44"/>
      <c r="E313" s="103"/>
      <c r="F313" s="103">
        <v>8000000</v>
      </c>
      <c r="K313" s="44"/>
      <c r="L313" s="44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</row>
    <row r="314" spans="1:25" ht="15.75" customHeight="1" thickBot="1" x14ac:dyDescent="0.3">
      <c r="A314" s="101"/>
      <c r="B314" s="48"/>
      <c r="C314" s="44"/>
      <c r="D314" s="44"/>
      <c r="E314" s="103"/>
      <c r="F314" s="103">
        <v>0</v>
      </c>
      <c r="K314" s="44"/>
      <c r="L314" s="44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</row>
    <row r="315" spans="1:25" ht="15.75" customHeight="1" thickBot="1" x14ac:dyDescent="0.3">
      <c r="A315" s="101" t="s">
        <v>461</v>
      </c>
      <c r="B315" s="48"/>
      <c r="C315" s="44" t="s">
        <v>495</v>
      </c>
      <c r="D315" s="44"/>
      <c r="E315" s="103">
        <v>805955</v>
      </c>
      <c r="F315" s="103">
        <v>0</v>
      </c>
      <c r="K315" s="44"/>
      <c r="L315" s="44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</row>
    <row r="316" spans="1:25" ht="15.75" customHeight="1" thickBot="1" x14ac:dyDescent="0.3">
      <c r="A316" s="101" t="s">
        <v>461</v>
      </c>
      <c r="B316" s="48"/>
      <c r="C316" s="44" t="s">
        <v>496</v>
      </c>
      <c r="D316" s="44"/>
      <c r="E316" s="103"/>
      <c r="F316" s="103">
        <v>700000</v>
      </c>
      <c r="K316" s="44"/>
      <c r="L316" s="44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</row>
    <row r="317" spans="1:25" ht="15.75" customHeight="1" thickBot="1" x14ac:dyDescent="0.3">
      <c r="A317" s="101" t="s">
        <v>461</v>
      </c>
      <c r="B317" s="48"/>
      <c r="C317" s="44" t="s">
        <v>397</v>
      </c>
      <c r="D317" s="44"/>
      <c r="E317" s="103"/>
      <c r="F317" s="103">
        <v>456191</v>
      </c>
      <c r="K317" s="44"/>
      <c r="L317" s="44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</row>
    <row r="318" spans="1:25" ht="15.75" customHeight="1" thickBot="1" x14ac:dyDescent="0.3">
      <c r="A318" s="101" t="s">
        <v>462</v>
      </c>
      <c r="B318" s="48"/>
      <c r="C318" s="44" t="s">
        <v>491</v>
      </c>
      <c r="D318" s="44"/>
      <c r="E318" s="103">
        <v>100000</v>
      </c>
      <c r="F318" s="103">
        <v>0</v>
      </c>
      <c r="K318" s="44"/>
      <c r="L318" s="44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</row>
    <row r="319" spans="1:25" ht="15.75" customHeight="1" thickBot="1" x14ac:dyDescent="0.3">
      <c r="A319" s="101" t="s">
        <v>463</v>
      </c>
      <c r="B319" s="48"/>
      <c r="C319" s="44" t="s">
        <v>491</v>
      </c>
      <c r="D319" s="44"/>
      <c r="E319" s="103">
        <v>250000</v>
      </c>
      <c r="F319" s="103">
        <v>0</v>
      </c>
      <c r="K319" s="44"/>
      <c r="L319" s="44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</row>
    <row r="320" spans="1:25" ht="15.75" customHeight="1" thickBot="1" x14ac:dyDescent="0.3">
      <c r="A320" s="101" t="s">
        <v>463</v>
      </c>
      <c r="B320" s="48"/>
      <c r="C320" s="44" t="s">
        <v>493</v>
      </c>
      <c r="D320" s="44"/>
      <c r="E320" s="103">
        <v>250000</v>
      </c>
      <c r="F320" s="103">
        <v>0</v>
      </c>
      <c r="H320" s="48"/>
      <c r="K320" s="44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</row>
    <row r="321" spans="1:25" ht="15.75" customHeight="1" thickBot="1" x14ac:dyDescent="0.3">
      <c r="A321" s="101" t="s">
        <v>463</v>
      </c>
      <c r="B321" s="48"/>
      <c r="C321" s="44" t="s">
        <v>493</v>
      </c>
      <c r="D321" s="44"/>
      <c r="E321" s="103">
        <v>250000</v>
      </c>
      <c r="F321" s="103">
        <v>0</v>
      </c>
      <c r="H321" s="48"/>
      <c r="K321" s="44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</row>
    <row r="322" spans="1:25" ht="15.75" customHeight="1" thickBot="1" x14ac:dyDescent="0.3">
      <c r="A322" s="101" t="s">
        <v>463</v>
      </c>
      <c r="B322" s="48"/>
      <c r="C322" s="44" t="s">
        <v>492</v>
      </c>
      <c r="D322" s="44"/>
      <c r="E322" s="103">
        <v>150000</v>
      </c>
      <c r="F322" s="103">
        <v>0</v>
      </c>
      <c r="H322" s="48"/>
      <c r="K322" s="44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</row>
    <row r="323" spans="1:25" ht="15.75" customHeight="1" thickBot="1" x14ac:dyDescent="0.3">
      <c r="A323" s="101" t="s">
        <v>463</v>
      </c>
      <c r="B323" s="48"/>
      <c r="C323" s="44" t="s">
        <v>491</v>
      </c>
      <c r="D323" s="44"/>
      <c r="E323" s="103">
        <v>150000</v>
      </c>
      <c r="F323" s="103">
        <v>0</v>
      </c>
      <c r="H323" s="48"/>
      <c r="K323" s="44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</row>
    <row r="324" spans="1:25" ht="15.75" customHeight="1" thickBot="1" x14ac:dyDescent="0.3">
      <c r="A324" s="101" t="s">
        <v>464</v>
      </c>
      <c r="B324" s="48"/>
      <c r="C324" s="44" t="s">
        <v>494</v>
      </c>
      <c r="D324" s="44"/>
      <c r="E324" s="103">
        <v>5148960</v>
      </c>
      <c r="F324" s="103">
        <v>0</v>
      </c>
      <c r="H324" s="48"/>
      <c r="K324" s="44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</row>
    <row r="325" spans="1:25" ht="15.75" customHeight="1" thickBot="1" x14ac:dyDescent="0.3">
      <c r="A325" s="101" t="s">
        <v>465</v>
      </c>
      <c r="B325" s="48"/>
      <c r="C325" s="44" t="s">
        <v>497</v>
      </c>
      <c r="D325" s="44"/>
      <c r="E325" s="103">
        <v>27735335</v>
      </c>
      <c r="F325" s="103">
        <v>0</v>
      </c>
      <c r="G325" s="45" t="s">
        <v>503</v>
      </c>
      <c r="H325" s="48"/>
      <c r="K325" s="44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</row>
    <row r="326" spans="1:25" ht="15.75" customHeight="1" thickBot="1" x14ac:dyDescent="0.3">
      <c r="A326" s="101" t="s">
        <v>465</v>
      </c>
      <c r="B326" s="48"/>
      <c r="C326" s="44" t="s">
        <v>498</v>
      </c>
      <c r="D326" s="44"/>
      <c r="E326" s="103">
        <v>27735335</v>
      </c>
      <c r="F326" s="103">
        <v>0</v>
      </c>
      <c r="G326" s="45" t="s">
        <v>503</v>
      </c>
      <c r="H326" s="48"/>
      <c r="K326" s="44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</row>
    <row r="327" spans="1:25" ht="15.75" customHeight="1" thickBot="1" x14ac:dyDescent="0.3">
      <c r="A327" s="101" t="s">
        <v>466</v>
      </c>
      <c r="B327" s="48"/>
      <c r="C327" s="44" t="s">
        <v>492</v>
      </c>
      <c r="D327" s="44"/>
      <c r="E327" s="103">
        <v>350000</v>
      </c>
      <c r="F327" s="103">
        <v>0</v>
      </c>
      <c r="H327" s="48"/>
      <c r="K327" s="44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</row>
    <row r="328" spans="1:25" ht="15.75" customHeight="1" thickBot="1" x14ac:dyDescent="0.3">
      <c r="A328" s="101" t="s">
        <v>466</v>
      </c>
      <c r="B328" s="48"/>
      <c r="C328" s="44" t="s">
        <v>500</v>
      </c>
      <c r="D328" s="44"/>
      <c r="E328" s="103"/>
      <c r="F328" s="103">
        <v>1448793</v>
      </c>
      <c r="G328" s="45" t="s">
        <v>502</v>
      </c>
      <c r="H328" s="48"/>
      <c r="K328" s="44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</row>
    <row r="329" spans="1:25" ht="15.75" customHeight="1" thickBot="1" x14ac:dyDescent="0.3">
      <c r="A329" s="101" t="s">
        <v>467</v>
      </c>
      <c r="C329" s="44" t="s">
        <v>256</v>
      </c>
      <c r="D329" s="44"/>
      <c r="E329" s="103"/>
      <c r="F329" s="103">
        <v>56000000</v>
      </c>
      <c r="K329" s="44"/>
    </row>
    <row r="330" spans="1:25" ht="15.75" customHeight="1" thickBot="1" x14ac:dyDescent="0.3">
      <c r="A330" s="101" t="s">
        <v>467</v>
      </c>
      <c r="C330" s="44" t="s">
        <v>501</v>
      </c>
      <c r="D330" s="44"/>
      <c r="E330" s="103"/>
      <c r="F330" s="103">
        <v>2151440</v>
      </c>
      <c r="G330" s="45" t="s">
        <v>502</v>
      </c>
      <c r="K330" s="44"/>
    </row>
    <row r="331" spans="1:25" ht="15.75" customHeight="1" thickBot="1" x14ac:dyDescent="0.3">
      <c r="A331" s="101" t="s">
        <v>468</v>
      </c>
      <c r="C331" s="44" t="s">
        <v>504</v>
      </c>
      <c r="D331" s="44"/>
      <c r="E331" s="103">
        <v>1000</v>
      </c>
      <c r="F331" s="103">
        <v>0</v>
      </c>
      <c r="K331" s="44"/>
    </row>
    <row r="332" spans="1:25" ht="15.75" customHeight="1" thickBot="1" x14ac:dyDescent="0.3">
      <c r="A332" s="101" t="s">
        <v>469</v>
      </c>
      <c r="C332" s="44" t="s">
        <v>507</v>
      </c>
      <c r="D332" s="44"/>
      <c r="E332" s="103">
        <v>350000</v>
      </c>
      <c r="F332" s="103">
        <v>0</v>
      </c>
      <c r="K332" s="44"/>
    </row>
    <row r="333" spans="1:25" ht="15.75" customHeight="1" thickBot="1" x14ac:dyDescent="0.3">
      <c r="A333" s="101" t="s">
        <v>469</v>
      </c>
      <c r="C333" s="44" t="s">
        <v>505</v>
      </c>
      <c r="D333" s="44"/>
      <c r="E333" s="103">
        <v>1000</v>
      </c>
      <c r="F333" s="103">
        <v>0</v>
      </c>
      <c r="K333" s="44"/>
    </row>
    <row r="334" spans="1:25" ht="15.75" customHeight="1" thickBot="1" x14ac:dyDescent="0.3">
      <c r="A334" s="101" t="s">
        <v>470</v>
      </c>
      <c r="C334" s="44" t="s">
        <v>506</v>
      </c>
      <c r="D334" s="44"/>
      <c r="E334" s="103">
        <v>500000</v>
      </c>
      <c r="F334" s="103">
        <v>0</v>
      </c>
      <c r="K334" s="44"/>
    </row>
    <row r="335" spans="1:25" ht="15.75" customHeight="1" thickBot="1" x14ac:dyDescent="0.3">
      <c r="A335" s="101" t="s">
        <v>470</v>
      </c>
      <c r="C335" s="44" t="s">
        <v>508</v>
      </c>
      <c r="D335" s="44"/>
      <c r="E335" s="103">
        <v>150000</v>
      </c>
      <c r="F335" s="103">
        <v>0</v>
      </c>
      <c r="K335" s="44"/>
    </row>
    <row r="336" spans="1:25" ht="15.75" customHeight="1" thickBot="1" x14ac:dyDescent="0.3">
      <c r="A336" s="101" t="s">
        <v>470</v>
      </c>
      <c r="C336" s="44" t="s">
        <v>284</v>
      </c>
      <c r="D336" s="44"/>
      <c r="E336" s="103"/>
      <c r="F336" s="103">
        <v>286360</v>
      </c>
      <c r="K336" s="44"/>
    </row>
    <row r="337" spans="1:11" ht="15.75" customHeight="1" thickBot="1" x14ac:dyDescent="0.3">
      <c r="A337" s="101" t="s">
        <v>471</v>
      </c>
      <c r="C337" s="44" t="s">
        <v>509</v>
      </c>
      <c r="D337" s="44"/>
      <c r="E337" s="103">
        <v>250000</v>
      </c>
      <c r="F337" s="103">
        <v>0</v>
      </c>
      <c r="K337" s="44"/>
    </row>
    <row r="338" spans="1:11" ht="15.75" customHeight="1" thickBot="1" x14ac:dyDescent="0.3">
      <c r="A338" s="101" t="s">
        <v>471</v>
      </c>
      <c r="C338" s="44" t="s">
        <v>509</v>
      </c>
      <c r="D338" s="44"/>
      <c r="E338" s="103">
        <v>250000</v>
      </c>
      <c r="F338" s="103">
        <v>0</v>
      </c>
      <c r="K338" s="44"/>
    </row>
    <row r="339" spans="1:11" ht="15.75" customHeight="1" thickBot="1" x14ac:dyDescent="0.3">
      <c r="A339" s="101" t="s">
        <v>471</v>
      </c>
      <c r="C339" s="44" t="s">
        <v>499</v>
      </c>
      <c r="D339" s="44"/>
      <c r="E339" s="103"/>
      <c r="F339" s="103">
        <v>1079486</v>
      </c>
      <c r="K339" s="44"/>
    </row>
    <row r="340" spans="1:11" ht="15.75" customHeight="1" thickBot="1" x14ac:dyDescent="0.3">
      <c r="A340" s="101" t="s">
        <v>472</v>
      </c>
      <c r="C340" s="44" t="s">
        <v>512</v>
      </c>
      <c r="D340" s="44"/>
      <c r="E340" s="103">
        <v>27801848</v>
      </c>
      <c r="F340" s="103">
        <v>0</v>
      </c>
      <c r="K340" s="44"/>
    </row>
    <row r="341" spans="1:11" ht="15.75" customHeight="1" thickBot="1" x14ac:dyDescent="0.3">
      <c r="A341" s="101" t="s">
        <v>472</v>
      </c>
      <c r="C341" s="44" t="s">
        <v>510</v>
      </c>
      <c r="D341" s="44"/>
      <c r="E341" s="103"/>
      <c r="F341" s="103">
        <v>40000</v>
      </c>
      <c r="K341" s="44"/>
    </row>
    <row r="342" spans="1:11" ht="15.75" customHeight="1" thickBot="1" x14ac:dyDescent="0.3">
      <c r="A342" s="101" t="s">
        <v>473</v>
      </c>
      <c r="C342" s="44" t="s">
        <v>511</v>
      </c>
      <c r="D342" s="44"/>
      <c r="E342" s="103">
        <v>1000</v>
      </c>
      <c r="F342" s="103">
        <v>0</v>
      </c>
      <c r="K342" s="44"/>
    </row>
    <row r="343" spans="1:11" ht="15.75" customHeight="1" thickBot="1" x14ac:dyDescent="0.3">
      <c r="A343" s="101" t="s">
        <v>473</v>
      </c>
      <c r="C343" s="44" t="s">
        <v>256</v>
      </c>
      <c r="D343" s="44"/>
      <c r="E343" s="103"/>
      <c r="F343" s="103">
        <v>30000000</v>
      </c>
      <c r="K343" s="44"/>
    </row>
    <row r="344" spans="1:11" ht="15.75" customHeight="1" thickBot="1" x14ac:dyDescent="0.3">
      <c r="A344" s="101" t="s">
        <v>473</v>
      </c>
      <c r="C344" s="44" t="s">
        <v>513</v>
      </c>
      <c r="D344" s="44"/>
      <c r="E344" s="103"/>
      <c r="F344" s="103">
        <v>3154622</v>
      </c>
      <c r="K344" s="44"/>
    </row>
    <row r="345" spans="1:11" ht="15.75" customHeight="1" thickBot="1" x14ac:dyDescent="0.3">
      <c r="A345" s="101" t="s">
        <v>473</v>
      </c>
      <c r="C345" s="44" t="s">
        <v>514</v>
      </c>
      <c r="D345" s="44"/>
      <c r="E345" s="103"/>
      <c r="F345" s="103">
        <v>52000</v>
      </c>
      <c r="K345" s="44"/>
    </row>
    <row r="346" spans="1:11" ht="15.75" customHeight="1" thickBot="1" x14ac:dyDescent="0.3">
      <c r="A346" s="101" t="s">
        <v>474</v>
      </c>
      <c r="C346" s="44" t="s">
        <v>515</v>
      </c>
      <c r="D346" s="44"/>
      <c r="E346" s="103">
        <v>300000</v>
      </c>
      <c r="F346" s="103">
        <v>0</v>
      </c>
      <c r="K346" s="44"/>
    </row>
    <row r="347" spans="1:11" ht="15.75" customHeight="1" thickBot="1" x14ac:dyDescent="0.3">
      <c r="A347" s="101" t="s">
        <v>474</v>
      </c>
      <c r="C347" s="44" t="s">
        <v>516</v>
      </c>
      <c r="D347" s="44"/>
      <c r="E347" s="103"/>
      <c r="F347" s="103">
        <v>136253</v>
      </c>
      <c r="K347" s="44"/>
    </row>
    <row r="348" spans="1:11" ht="15.75" customHeight="1" thickBot="1" x14ac:dyDescent="0.3">
      <c r="A348" s="101" t="s">
        <v>474</v>
      </c>
      <c r="C348" s="44" t="s">
        <v>517</v>
      </c>
      <c r="D348" s="44"/>
      <c r="E348" s="103"/>
      <c r="F348" s="103">
        <v>133147</v>
      </c>
      <c r="K348" s="44"/>
    </row>
    <row r="349" spans="1:11" ht="15.75" customHeight="1" thickBot="1" x14ac:dyDescent="0.3">
      <c r="A349" s="101" t="s">
        <v>475</v>
      </c>
      <c r="C349" s="44" t="s">
        <v>519</v>
      </c>
      <c r="D349" s="44"/>
      <c r="E349" s="103">
        <v>500000</v>
      </c>
      <c r="F349" s="103">
        <v>0</v>
      </c>
      <c r="K349" s="44"/>
    </row>
    <row r="350" spans="1:11" ht="15.75" customHeight="1" thickBot="1" x14ac:dyDescent="0.3">
      <c r="A350" s="101" t="s">
        <v>475</v>
      </c>
      <c r="C350" s="44" t="s">
        <v>515</v>
      </c>
      <c r="D350" s="44"/>
      <c r="E350" s="103">
        <v>200000</v>
      </c>
      <c r="F350" s="103">
        <v>0</v>
      </c>
      <c r="K350" s="44"/>
    </row>
    <row r="351" spans="1:11" ht="15.75" customHeight="1" thickBot="1" x14ac:dyDescent="0.3">
      <c r="A351" s="101" t="s">
        <v>475</v>
      </c>
      <c r="C351" s="44" t="s">
        <v>521</v>
      </c>
      <c r="D351" s="44"/>
      <c r="E351" s="103">
        <v>136235</v>
      </c>
      <c r="F351" s="103">
        <v>0</v>
      </c>
    </row>
    <row r="352" spans="1:11" ht="15.75" customHeight="1" thickBot="1" x14ac:dyDescent="0.3">
      <c r="A352" s="101" t="s">
        <v>475</v>
      </c>
      <c r="C352" s="44" t="s">
        <v>520</v>
      </c>
      <c r="D352" s="44"/>
      <c r="E352" s="103">
        <v>133147</v>
      </c>
      <c r="F352" s="103">
        <v>0</v>
      </c>
    </row>
    <row r="353" spans="1:7" ht="15.75" customHeight="1" thickBot="1" x14ac:dyDescent="0.3">
      <c r="A353" s="101" t="s">
        <v>475</v>
      </c>
      <c r="C353" s="44" t="s">
        <v>518</v>
      </c>
      <c r="D353" s="44"/>
      <c r="E353" s="103"/>
      <c r="F353" s="103">
        <v>1146973</v>
      </c>
    </row>
    <row r="354" spans="1:7" ht="15.75" customHeight="1" thickBot="1" x14ac:dyDescent="0.3">
      <c r="A354" s="101" t="s">
        <v>476</v>
      </c>
      <c r="C354" s="44" t="s">
        <v>522</v>
      </c>
      <c r="D354" s="44"/>
      <c r="E354" s="103">
        <v>2000000</v>
      </c>
      <c r="F354" s="103">
        <v>0</v>
      </c>
    </row>
    <row r="355" spans="1:7" ht="15.75" customHeight="1" thickBot="1" x14ac:dyDescent="0.3">
      <c r="A355" s="101" t="s">
        <v>476</v>
      </c>
      <c r="C355" s="44" t="s">
        <v>522</v>
      </c>
      <c r="D355" s="44" t="s">
        <v>522</v>
      </c>
      <c r="E355" s="103">
        <v>1500000</v>
      </c>
      <c r="F355" s="103">
        <v>0</v>
      </c>
    </row>
    <row r="356" spans="1:7" ht="15.75" customHeight="1" thickBot="1" x14ac:dyDescent="0.3">
      <c r="A356" s="101" t="s">
        <v>476</v>
      </c>
      <c r="C356" s="44" t="s">
        <v>368</v>
      </c>
      <c r="D356" s="44"/>
      <c r="E356" s="103">
        <v>1000000</v>
      </c>
      <c r="F356" s="103">
        <v>0</v>
      </c>
    </row>
    <row r="357" spans="1:7" ht="15.75" customHeight="1" thickBot="1" x14ac:dyDescent="0.3">
      <c r="A357" s="101" t="s">
        <v>476</v>
      </c>
      <c r="C357" s="44" t="s">
        <v>368</v>
      </c>
      <c r="D357" s="44"/>
      <c r="E357" s="103">
        <v>1000000</v>
      </c>
      <c r="F357" s="103">
        <v>0</v>
      </c>
    </row>
    <row r="358" spans="1:7" ht="15.75" customHeight="1" thickBot="1" x14ac:dyDescent="0.3">
      <c r="A358" s="101" t="s">
        <v>476</v>
      </c>
      <c r="C358" s="44" t="s">
        <v>524</v>
      </c>
      <c r="D358" s="44"/>
      <c r="E358" s="103">
        <v>250000</v>
      </c>
      <c r="F358" s="103">
        <v>0</v>
      </c>
    </row>
    <row r="359" spans="1:7" ht="15.75" customHeight="1" thickBot="1" x14ac:dyDescent="0.3">
      <c r="A359" s="101" t="s">
        <v>476</v>
      </c>
      <c r="C359" s="44" t="s">
        <v>525</v>
      </c>
      <c r="D359" s="44"/>
      <c r="E359" s="103">
        <v>250000</v>
      </c>
      <c r="F359" s="103">
        <v>0</v>
      </c>
    </row>
    <row r="360" spans="1:7" ht="15.75" customHeight="1" thickBot="1" x14ac:dyDescent="0.3">
      <c r="A360" s="101" t="s">
        <v>476</v>
      </c>
      <c r="C360" s="44" t="s">
        <v>523</v>
      </c>
      <c r="D360" s="44"/>
      <c r="E360" s="103"/>
      <c r="F360" s="103">
        <v>1981081</v>
      </c>
    </row>
    <row r="361" spans="1:7" ht="15.75" customHeight="1" thickBot="1" x14ac:dyDescent="0.3">
      <c r="A361" s="101" t="s">
        <v>476</v>
      </c>
      <c r="C361" s="44" t="s">
        <v>526</v>
      </c>
      <c r="D361" s="44"/>
      <c r="E361" s="103"/>
      <c r="F361" s="103">
        <v>1148365</v>
      </c>
    </row>
    <row r="362" spans="1:7" ht="15.75" customHeight="1" thickBot="1" x14ac:dyDescent="0.3">
      <c r="A362" s="101" t="s">
        <v>477</v>
      </c>
      <c r="C362" s="44" t="s">
        <v>522</v>
      </c>
      <c r="D362" s="44"/>
      <c r="E362" s="103">
        <v>1676701</v>
      </c>
      <c r="F362" s="103">
        <v>0</v>
      </c>
    </row>
    <row r="363" spans="1:7" ht="15.75" customHeight="1" thickBot="1" x14ac:dyDescent="0.3">
      <c r="A363" s="101" t="s">
        <v>477</v>
      </c>
      <c r="C363" s="44" t="s">
        <v>486</v>
      </c>
      <c r="D363" s="44"/>
      <c r="E363" s="103">
        <v>697061</v>
      </c>
      <c r="F363" s="103">
        <v>0</v>
      </c>
    </row>
    <row r="364" spans="1:7" ht="15.75" customHeight="1" thickBot="1" x14ac:dyDescent="0.3">
      <c r="A364" s="101" t="s">
        <v>477</v>
      </c>
      <c r="C364" s="44" t="s">
        <v>527</v>
      </c>
      <c r="D364" s="44"/>
      <c r="E364" s="103">
        <v>500000</v>
      </c>
      <c r="F364" s="103">
        <v>0</v>
      </c>
    </row>
    <row r="365" spans="1:7" ht="15.75" customHeight="1" thickBot="1" x14ac:dyDescent="0.3">
      <c r="A365" s="101" t="s">
        <v>477</v>
      </c>
      <c r="C365" s="44" t="s">
        <v>528</v>
      </c>
      <c r="D365" s="44"/>
      <c r="E365" s="103">
        <v>200000</v>
      </c>
      <c r="F365" s="103">
        <v>0</v>
      </c>
    </row>
    <row r="366" spans="1:7" ht="15.75" customHeight="1" thickBot="1" x14ac:dyDescent="0.3">
      <c r="A366" s="101" t="s">
        <v>477</v>
      </c>
      <c r="C366" s="44" t="s">
        <v>529</v>
      </c>
      <c r="D366" s="44"/>
      <c r="E366" s="103"/>
      <c r="F366" s="103">
        <v>135955</v>
      </c>
    </row>
    <row r="367" spans="1:7" ht="15.75" customHeight="1" x14ac:dyDescent="0.25">
      <c r="A367" s="131" t="s">
        <v>477</v>
      </c>
      <c r="B367" s="132"/>
      <c r="C367" s="133" t="s">
        <v>529</v>
      </c>
      <c r="D367" s="133"/>
      <c r="E367" s="132"/>
      <c r="F367" s="134">
        <v>135955</v>
      </c>
    </row>
    <row r="368" spans="1:7" ht="15.75" customHeight="1" x14ac:dyDescent="0.25">
      <c r="A368" s="44" t="s">
        <v>530</v>
      </c>
      <c r="C368" s="44" t="s">
        <v>552</v>
      </c>
      <c r="D368" s="44"/>
      <c r="E368" s="129">
        <v>811254</v>
      </c>
      <c r="F368" s="126">
        <v>0</v>
      </c>
      <c r="G368" s="103"/>
    </row>
    <row r="369" spans="1:7" ht="15.75" customHeight="1" x14ac:dyDescent="0.25">
      <c r="A369" s="44" t="s">
        <v>530</v>
      </c>
      <c r="C369" s="44" t="s">
        <v>553</v>
      </c>
      <c r="D369" s="44"/>
      <c r="E369" s="129">
        <v>500000</v>
      </c>
      <c r="F369" s="126">
        <v>0</v>
      </c>
      <c r="G369" s="103"/>
    </row>
    <row r="370" spans="1:7" ht="15.75" customHeight="1" x14ac:dyDescent="0.25">
      <c r="A370" s="44" t="s">
        <v>530</v>
      </c>
      <c r="C370" s="44" t="s">
        <v>554</v>
      </c>
      <c r="D370" s="44"/>
      <c r="E370" s="129">
        <v>300000</v>
      </c>
      <c r="F370" s="126">
        <v>0</v>
      </c>
      <c r="G370" s="103"/>
    </row>
    <row r="371" spans="1:7" ht="15.75" customHeight="1" x14ac:dyDescent="0.25">
      <c r="A371" s="44" t="s">
        <v>530</v>
      </c>
      <c r="C371" s="44" t="s">
        <v>555</v>
      </c>
      <c r="D371" s="44"/>
      <c r="E371" s="103"/>
      <c r="F371" s="126">
        <v>1147321</v>
      </c>
      <c r="G371" s="103"/>
    </row>
    <row r="372" spans="1:7" ht="15.75" customHeight="1" x14ac:dyDescent="0.25">
      <c r="A372" s="44" t="s">
        <v>530</v>
      </c>
      <c r="C372" s="44" t="s">
        <v>556</v>
      </c>
      <c r="D372" s="44"/>
      <c r="E372" s="103"/>
      <c r="F372" s="126">
        <v>700000</v>
      </c>
    </row>
    <row r="373" spans="1:7" ht="15.75" customHeight="1" x14ac:dyDescent="0.25">
      <c r="A373" s="44" t="s">
        <v>530</v>
      </c>
      <c r="C373" s="44" t="s">
        <v>557</v>
      </c>
      <c r="D373" s="44"/>
      <c r="E373" s="103"/>
      <c r="F373" s="126">
        <v>544559</v>
      </c>
    </row>
    <row r="374" spans="1:7" ht="15.75" customHeight="1" x14ac:dyDescent="0.25">
      <c r="A374" s="44" t="s">
        <v>530</v>
      </c>
      <c r="C374" s="44" t="s">
        <v>487</v>
      </c>
      <c r="D374" s="44"/>
      <c r="E374" s="103"/>
      <c r="F374" s="126">
        <v>354119</v>
      </c>
    </row>
    <row r="375" spans="1:7" ht="15.75" customHeight="1" x14ac:dyDescent="0.25">
      <c r="A375" s="44" t="s">
        <v>531</v>
      </c>
      <c r="C375" s="44" t="s">
        <v>558</v>
      </c>
      <c r="D375" s="44"/>
      <c r="E375" s="103"/>
      <c r="F375" s="126">
        <v>35000</v>
      </c>
    </row>
    <row r="376" spans="1:7" ht="15.75" customHeight="1" x14ac:dyDescent="0.25">
      <c r="A376" s="44" t="s">
        <v>532</v>
      </c>
      <c r="C376" s="44" t="s">
        <v>559</v>
      </c>
      <c r="D376" s="44"/>
      <c r="E376" s="103"/>
      <c r="F376" s="126">
        <v>300000</v>
      </c>
    </row>
    <row r="377" spans="1:7" ht="15.75" customHeight="1" x14ac:dyDescent="0.25">
      <c r="A377" s="44" t="s">
        <v>532</v>
      </c>
      <c r="C377" s="44" t="s">
        <v>560</v>
      </c>
      <c r="D377" s="44"/>
      <c r="E377" s="102"/>
      <c r="F377" s="126">
        <v>133287</v>
      </c>
    </row>
    <row r="378" spans="1:7" ht="15.75" customHeight="1" x14ac:dyDescent="0.25">
      <c r="A378" s="44" t="s">
        <v>533</v>
      </c>
      <c r="C378" s="44" t="s">
        <v>561</v>
      </c>
      <c r="D378" s="44"/>
      <c r="E378" s="129">
        <v>504032</v>
      </c>
      <c r="F378" s="126">
        <v>0</v>
      </c>
    </row>
    <row r="379" spans="1:7" ht="15.75" customHeight="1" x14ac:dyDescent="0.25">
      <c r="A379" s="44" t="s">
        <v>534</v>
      </c>
      <c r="C379" s="44" t="s">
        <v>562</v>
      </c>
      <c r="D379" s="44"/>
      <c r="E379" s="129">
        <v>133287</v>
      </c>
      <c r="F379" s="126">
        <v>0</v>
      </c>
    </row>
    <row r="380" spans="1:7" ht="15.75" customHeight="1" x14ac:dyDescent="0.25">
      <c r="A380" s="44" t="s">
        <v>534</v>
      </c>
      <c r="C380" s="44" t="s">
        <v>563</v>
      </c>
      <c r="D380" s="44"/>
      <c r="F380" s="126">
        <v>1300000</v>
      </c>
    </row>
    <row r="381" spans="1:7" ht="15.75" customHeight="1" x14ac:dyDescent="0.25">
      <c r="A381" s="44" t="s">
        <v>534</v>
      </c>
      <c r="C381" s="44" t="s">
        <v>564</v>
      </c>
      <c r="D381" s="44"/>
      <c r="F381" s="126">
        <v>1215042</v>
      </c>
    </row>
    <row r="382" spans="1:7" ht="15.75" customHeight="1" x14ac:dyDescent="0.25">
      <c r="A382" s="44" t="s">
        <v>534</v>
      </c>
      <c r="C382" s="44" t="s">
        <v>565</v>
      </c>
      <c r="D382" s="44"/>
      <c r="E382" s="102"/>
      <c r="F382" s="126">
        <v>100000</v>
      </c>
    </row>
    <row r="383" spans="1:7" ht="15.75" customHeight="1" x14ac:dyDescent="0.25">
      <c r="A383" s="44" t="s">
        <v>534</v>
      </c>
      <c r="C383" s="44" t="s">
        <v>516</v>
      </c>
      <c r="D383" s="44"/>
      <c r="E383" s="102"/>
      <c r="F383" s="126">
        <v>7200</v>
      </c>
    </row>
    <row r="384" spans="1:7" ht="15.75" customHeight="1" x14ac:dyDescent="0.25">
      <c r="A384" s="44" t="s">
        <v>535</v>
      </c>
      <c r="C384" s="44" t="s">
        <v>566</v>
      </c>
      <c r="D384" s="44"/>
      <c r="E384" s="129">
        <v>5196000</v>
      </c>
      <c r="F384" s="126">
        <v>0</v>
      </c>
    </row>
    <row r="385" spans="1:6" ht="15.75" customHeight="1" x14ac:dyDescent="0.25">
      <c r="A385" s="44" t="s">
        <v>535</v>
      </c>
      <c r="C385" s="44" t="s">
        <v>567</v>
      </c>
      <c r="D385" s="44"/>
      <c r="E385" s="129">
        <v>3000000</v>
      </c>
      <c r="F385" s="126">
        <v>0</v>
      </c>
    </row>
    <row r="386" spans="1:6" ht="15.75" customHeight="1" x14ac:dyDescent="0.25">
      <c r="A386" s="44" t="s">
        <v>536</v>
      </c>
      <c r="C386" s="44" t="s">
        <v>368</v>
      </c>
      <c r="D386" s="44"/>
      <c r="E386" s="129">
        <v>65000000</v>
      </c>
      <c r="F386" s="126">
        <v>0</v>
      </c>
    </row>
    <row r="387" spans="1:6" ht="15.75" customHeight="1" x14ac:dyDescent="0.25">
      <c r="A387" s="44" t="s">
        <v>536</v>
      </c>
      <c r="C387" s="44" t="s">
        <v>567</v>
      </c>
      <c r="D387" s="44"/>
      <c r="E387" s="129">
        <v>3100000</v>
      </c>
      <c r="F387" s="126">
        <v>0</v>
      </c>
    </row>
    <row r="388" spans="1:6" ht="15.75" customHeight="1" x14ac:dyDescent="0.25">
      <c r="A388" s="44" t="s">
        <v>536</v>
      </c>
      <c r="C388" s="44" t="s">
        <v>568</v>
      </c>
      <c r="D388" s="44"/>
      <c r="E388" s="103"/>
      <c r="F388" s="126">
        <v>682428</v>
      </c>
    </row>
    <row r="389" spans="1:6" ht="15.75" customHeight="1" x14ac:dyDescent="0.25">
      <c r="A389" s="44" t="s">
        <v>536</v>
      </c>
      <c r="C389" s="44" t="s">
        <v>569</v>
      </c>
      <c r="D389" s="44"/>
      <c r="E389" s="103"/>
      <c r="F389" s="126">
        <v>468930</v>
      </c>
    </row>
    <row r="390" spans="1:6" ht="15.75" customHeight="1" x14ac:dyDescent="0.25">
      <c r="A390" s="44" t="s">
        <v>536</v>
      </c>
      <c r="C390" s="44" t="s">
        <v>570</v>
      </c>
      <c r="D390" s="44"/>
      <c r="E390" s="103"/>
      <c r="F390" s="126">
        <v>5200</v>
      </c>
    </row>
    <row r="391" spans="1:6" ht="15.75" customHeight="1" x14ac:dyDescent="0.25">
      <c r="A391" s="44" t="s">
        <v>537</v>
      </c>
      <c r="C391" s="44" t="s">
        <v>571</v>
      </c>
      <c r="D391" s="44"/>
      <c r="E391" s="103"/>
      <c r="F391" s="126">
        <v>68865931</v>
      </c>
    </row>
    <row r="392" spans="1:6" ht="15.75" customHeight="1" x14ac:dyDescent="0.25">
      <c r="A392" s="44" t="s">
        <v>537</v>
      </c>
      <c r="C392" s="44" t="s">
        <v>572</v>
      </c>
      <c r="D392" s="44"/>
      <c r="E392" s="103"/>
      <c r="F392" s="126">
        <v>136647</v>
      </c>
    </row>
    <row r="393" spans="1:6" ht="15.75" customHeight="1" x14ac:dyDescent="0.25">
      <c r="A393" s="44" t="s">
        <v>538</v>
      </c>
      <c r="C393" s="44" t="s">
        <v>573</v>
      </c>
      <c r="D393" s="44"/>
      <c r="E393" s="103"/>
      <c r="F393" s="126">
        <v>682344</v>
      </c>
    </row>
    <row r="394" spans="1:6" ht="15.75" customHeight="1" x14ac:dyDescent="0.25">
      <c r="A394" s="44" t="s">
        <v>538</v>
      </c>
      <c r="C394" s="44" t="s">
        <v>574</v>
      </c>
      <c r="D394" s="44"/>
      <c r="E394" s="103"/>
      <c r="F394" s="126">
        <v>469396</v>
      </c>
    </row>
    <row r="395" spans="1:6" ht="15.75" customHeight="1" x14ac:dyDescent="0.25">
      <c r="A395" s="44" t="s">
        <v>539</v>
      </c>
      <c r="C395" s="44" t="s">
        <v>575</v>
      </c>
      <c r="D395" s="44"/>
      <c r="E395" s="103"/>
      <c r="F395" s="126">
        <v>1993321</v>
      </c>
    </row>
    <row r="396" spans="1:6" ht="15.75" customHeight="1" x14ac:dyDescent="0.25">
      <c r="A396" s="44" t="s">
        <v>540</v>
      </c>
      <c r="C396" s="44" t="s">
        <v>576</v>
      </c>
      <c r="D396" s="44"/>
      <c r="E396" s="129">
        <v>3000000</v>
      </c>
      <c r="F396" s="126">
        <v>0</v>
      </c>
    </row>
    <row r="397" spans="1:6" ht="15.75" customHeight="1" x14ac:dyDescent="0.25">
      <c r="A397" s="44" t="s">
        <v>540</v>
      </c>
      <c r="C397" s="44" t="s">
        <v>576</v>
      </c>
      <c r="D397" s="44"/>
      <c r="E397" s="129">
        <v>2196120</v>
      </c>
      <c r="F397" s="126">
        <v>0</v>
      </c>
    </row>
    <row r="398" spans="1:6" ht="15.75" customHeight="1" x14ac:dyDescent="0.25">
      <c r="A398" s="44" t="s">
        <v>540</v>
      </c>
      <c r="C398" s="44" t="s">
        <v>577</v>
      </c>
      <c r="D398" s="44"/>
      <c r="E398" s="103"/>
      <c r="F398" s="126">
        <v>178500</v>
      </c>
    </row>
    <row r="399" spans="1:6" ht="15.75" customHeight="1" x14ac:dyDescent="0.25">
      <c r="A399" s="44" t="s">
        <v>541</v>
      </c>
      <c r="C399" s="44" t="s">
        <v>578</v>
      </c>
      <c r="D399" s="44"/>
      <c r="E399" s="103"/>
      <c r="F399" s="126">
        <v>682276</v>
      </c>
    </row>
    <row r="400" spans="1:6" ht="15.75" customHeight="1" x14ac:dyDescent="0.25">
      <c r="A400" s="44" t="s">
        <v>541</v>
      </c>
      <c r="C400" s="44" t="s">
        <v>579</v>
      </c>
      <c r="D400" s="44"/>
      <c r="E400" s="103"/>
      <c r="F400" s="126">
        <v>495450</v>
      </c>
    </row>
    <row r="401" spans="1:6" ht="15.75" customHeight="1" x14ac:dyDescent="0.25">
      <c r="A401" s="44" t="s">
        <v>542</v>
      </c>
      <c r="C401" s="44" t="s">
        <v>580</v>
      </c>
      <c r="D401" s="44"/>
      <c r="E401" s="126">
        <v>29127318</v>
      </c>
    </row>
    <row r="402" spans="1:6" ht="15.75" customHeight="1" x14ac:dyDescent="0.25">
      <c r="A402" s="44" t="s">
        <v>543</v>
      </c>
      <c r="C402" s="44" t="s">
        <v>256</v>
      </c>
      <c r="D402" s="44"/>
      <c r="E402" s="103"/>
      <c r="F402" s="126">
        <v>35000000</v>
      </c>
    </row>
    <row r="403" spans="1:6" ht="15.75" customHeight="1" x14ac:dyDescent="0.25">
      <c r="A403" s="44" t="s">
        <v>543</v>
      </c>
      <c r="C403" s="44" t="s">
        <v>570</v>
      </c>
      <c r="D403" s="44"/>
      <c r="E403" s="103"/>
      <c r="F403" s="126">
        <v>136471</v>
      </c>
    </row>
    <row r="404" spans="1:6" ht="15.75" customHeight="1" x14ac:dyDescent="0.25">
      <c r="A404" s="44" t="s">
        <v>543</v>
      </c>
      <c r="C404" s="44" t="s">
        <v>570</v>
      </c>
      <c r="D404" s="44"/>
      <c r="E404" s="103"/>
      <c r="F404" s="126">
        <v>71000</v>
      </c>
    </row>
    <row r="405" spans="1:6" ht="15.75" customHeight="1" x14ac:dyDescent="0.25">
      <c r="A405" s="44" t="s">
        <v>544</v>
      </c>
      <c r="C405" s="44" t="s">
        <v>284</v>
      </c>
      <c r="D405" s="44"/>
      <c r="E405" s="103"/>
      <c r="F405" s="126">
        <v>1520842</v>
      </c>
    </row>
    <row r="406" spans="1:6" ht="15.75" customHeight="1" x14ac:dyDescent="0.25">
      <c r="A406" s="44" t="s">
        <v>544</v>
      </c>
      <c r="C406" s="44" t="s">
        <v>570</v>
      </c>
      <c r="D406" s="44"/>
      <c r="E406" s="103"/>
      <c r="F406" s="126">
        <v>16300</v>
      </c>
    </row>
    <row r="407" spans="1:6" ht="15.75" customHeight="1" x14ac:dyDescent="0.25">
      <c r="A407" s="44" t="s">
        <v>545</v>
      </c>
      <c r="C407" s="44" t="s">
        <v>581</v>
      </c>
      <c r="D407" s="44"/>
      <c r="E407" s="129">
        <v>5000000</v>
      </c>
      <c r="F407" s="126">
        <v>0</v>
      </c>
    </row>
    <row r="408" spans="1:6" ht="15.75" customHeight="1" x14ac:dyDescent="0.25">
      <c r="A408" s="44" t="s">
        <v>545</v>
      </c>
      <c r="C408" s="44" t="s">
        <v>581</v>
      </c>
      <c r="D408" s="44"/>
      <c r="E408" s="129">
        <v>100000</v>
      </c>
      <c r="F408" s="126">
        <v>0</v>
      </c>
    </row>
    <row r="409" spans="1:6" ht="15.75" customHeight="1" x14ac:dyDescent="0.25">
      <c r="A409" s="44" t="s">
        <v>545</v>
      </c>
      <c r="C409" s="44" t="s">
        <v>581</v>
      </c>
      <c r="D409" s="44"/>
      <c r="E409" s="129">
        <v>95200</v>
      </c>
      <c r="F409" s="126">
        <v>0</v>
      </c>
    </row>
    <row r="410" spans="1:6" ht="15.75" customHeight="1" x14ac:dyDescent="0.25">
      <c r="A410" s="44" t="s">
        <v>545</v>
      </c>
      <c r="C410" s="44" t="s">
        <v>582</v>
      </c>
      <c r="D410" s="44"/>
      <c r="E410" s="103"/>
      <c r="F410" s="126">
        <v>682157</v>
      </c>
    </row>
    <row r="411" spans="1:6" ht="15.75" customHeight="1" x14ac:dyDescent="0.25">
      <c r="A411" s="44" t="s">
        <v>545</v>
      </c>
      <c r="C411" s="44" t="s">
        <v>583</v>
      </c>
      <c r="D411" s="44"/>
      <c r="E411" s="103"/>
      <c r="F411" s="126">
        <v>469271</v>
      </c>
    </row>
    <row r="412" spans="1:6" ht="15.75" customHeight="1" x14ac:dyDescent="0.25">
      <c r="A412" s="44" t="s">
        <v>546</v>
      </c>
      <c r="C412" s="44" t="s">
        <v>486</v>
      </c>
      <c r="D412" s="44"/>
      <c r="E412" s="129">
        <v>698475</v>
      </c>
      <c r="F412" s="126">
        <v>0</v>
      </c>
    </row>
    <row r="413" spans="1:6" ht="15.75" customHeight="1" x14ac:dyDescent="0.25">
      <c r="A413" s="44" t="s">
        <v>546</v>
      </c>
      <c r="C413" s="44" t="s">
        <v>584</v>
      </c>
      <c r="D413" s="44"/>
      <c r="E413" s="129">
        <v>650000</v>
      </c>
      <c r="F413" s="126">
        <v>0</v>
      </c>
    </row>
    <row r="414" spans="1:6" ht="15.75" customHeight="1" x14ac:dyDescent="0.25">
      <c r="A414" s="44" t="s">
        <v>546</v>
      </c>
      <c r="C414" s="44" t="s">
        <v>584</v>
      </c>
      <c r="D414" s="44"/>
      <c r="E414" s="129">
        <v>350000</v>
      </c>
      <c r="F414" s="126">
        <v>0</v>
      </c>
    </row>
    <row r="415" spans="1:6" ht="15.75" customHeight="1" x14ac:dyDescent="0.25">
      <c r="A415" s="44" t="s">
        <v>546</v>
      </c>
      <c r="C415" s="44" t="s">
        <v>585</v>
      </c>
      <c r="D415" s="44"/>
      <c r="E415" s="103"/>
      <c r="F415" s="126">
        <v>3154622</v>
      </c>
    </row>
    <row r="416" spans="1:6" ht="15.75" customHeight="1" x14ac:dyDescent="0.25">
      <c r="A416" s="44" t="s">
        <v>547</v>
      </c>
      <c r="C416" s="44" t="s">
        <v>586</v>
      </c>
      <c r="D416" s="44"/>
      <c r="E416" s="126">
        <v>26815760</v>
      </c>
    </row>
    <row r="417" spans="1:9" ht="15.75" customHeight="1" x14ac:dyDescent="0.25">
      <c r="A417" s="44" t="s">
        <v>548</v>
      </c>
      <c r="C417" s="44" t="s">
        <v>587</v>
      </c>
      <c r="D417" s="44"/>
      <c r="E417" s="103"/>
      <c r="F417" s="126">
        <v>415000</v>
      </c>
    </row>
    <row r="418" spans="1:9" ht="15.75" customHeight="1" x14ac:dyDescent="0.25">
      <c r="A418" s="44" t="s">
        <v>549</v>
      </c>
      <c r="C418" s="130" t="s">
        <v>588</v>
      </c>
      <c r="D418" s="130"/>
      <c r="E418" s="129">
        <v>31471063</v>
      </c>
      <c r="F418" s="126">
        <v>0</v>
      </c>
    </row>
    <row r="419" spans="1:9" ht="15.75" customHeight="1" x14ac:dyDescent="0.25">
      <c r="A419" s="133" t="s">
        <v>551</v>
      </c>
      <c r="B419" s="132"/>
      <c r="C419" s="135" t="s">
        <v>550</v>
      </c>
      <c r="D419" s="135"/>
      <c r="E419" s="134"/>
      <c r="F419" s="136">
        <v>58000000</v>
      </c>
      <c r="H419" s="45" t="s">
        <v>590</v>
      </c>
      <c r="I419" s="75">
        <f>+SUM(E368+E369+E370+E378+E379+E384+E385+E387+E396+E397+E401+E407+E408+E409+E412+E413+E414+E416+E418)</f>
        <v>113048509</v>
      </c>
    </row>
    <row r="420" spans="1:9" ht="15.75" customHeight="1" x14ac:dyDescent="0.25"/>
    <row r="421" spans="1:9" ht="15.75" customHeight="1" x14ac:dyDescent="0.25"/>
    <row r="422" spans="1:9" ht="15.75" customHeight="1" x14ac:dyDescent="0.25">
      <c r="A422" s="128"/>
      <c r="D422" s="75"/>
      <c r="E422" s="103"/>
      <c r="F422" s="103"/>
    </row>
    <row r="423" spans="1:9" ht="15.75" customHeight="1" x14ac:dyDescent="0.25">
      <c r="A423" s="128"/>
      <c r="D423" s="75"/>
      <c r="E423" s="103"/>
      <c r="F423" s="103"/>
    </row>
    <row r="424" spans="1:9" ht="15.75" customHeight="1" x14ac:dyDescent="0.25">
      <c r="A424" s="128"/>
      <c r="D424" s="75"/>
      <c r="E424" s="103"/>
      <c r="F424" s="103"/>
      <c r="G424" s="103"/>
    </row>
    <row r="425" spans="1:9" ht="15.75" customHeight="1" x14ac:dyDescent="0.25">
      <c r="A425" s="128"/>
      <c r="D425" s="75"/>
      <c r="E425" s="103"/>
      <c r="F425" s="103"/>
      <c r="G425" s="103"/>
    </row>
    <row r="426" spans="1:9" ht="15.75" customHeight="1" x14ac:dyDescent="0.25">
      <c r="A426" s="128"/>
      <c r="D426" s="75"/>
      <c r="E426" s="103"/>
      <c r="F426" s="103"/>
      <c r="G426" s="103"/>
    </row>
    <row r="427" spans="1:9" ht="15.75" customHeight="1" x14ac:dyDescent="0.25">
      <c r="A427" s="128"/>
      <c r="D427" s="75"/>
      <c r="E427" s="103"/>
      <c r="F427" s="103"/>
      <c r="G427" s="103"/>
    </row>
    <row r="428" spans="1:9" ht="15.75" customHeight="1" x14ac:dyDescent="0.25">
      <c r="A428" s="128"/>
      <c r="D428" s="75"/>
      <c r="E428" s="103"/>
      <c r="F428" s="103"/>
      <c r="G428" s="103"/>
    </row>
    <row r="429" spans="1:9" ht="15.75" customHeight="1" x14ac:dyDescent="0.25">
      <c r="A429" s="128"/>
      <c r="D429" s="75"/>
      <c r="E429" s="103"/>
      <c r="F429" s="103"/>
      <c r="G429" s="103"/>
    </row>
    <row r="430" spans="1:9" ht="15.75" customHeight="1" x14ac:dyDescent="0.25">
      <c r="A430" s="128"/>
      <c r="D430" s="75"/>
      <c r="E430" s="103"/>
      <c r="F430" s="103"/>
      <c r="G430" s="103"/>
    </row>
    <row r="431" spans="1:9" ht="15.75" customHeight="1" x14ac:dyDescent="0.25">
      <c r="A431" s="128"/>
      <c r="D431" s="75"/>
      <c r="E431" s="103"/>
      <c r="F431" s="103"/>
      <c r="G431" s="103"/>
    </row>
    <row r="432" spans="1:9" ht="15.75" customHeight="1" thickBot="1" x14ac:dyDescent="0.3">
      <c r="A432" s="127"/>
      <c r="D432" s="75"/>
      <c r="E432" s="103"/>
      <c r="F432" s="103"/>
      <c r="G432" s="103"/>
    </row>
    <row r="433" spans="1:7" ht="15.75" customHeight="1" thickBot="1" x14ac:dyDescent="0.3">
      <c r="A433" s="101"/>
      <c r="D433" s="75"/>
      <c r="E433" s="103"/>
      <c r="F433" s="103"/>
      <c r="G433" s="103"/>
    </row>
    <row r="434" spans="1:7" ht="15.75" customHeight="1" thickBot="1" x14ac:dyDescent="0.3">
      <c r="A434" s="101"/>
      <c r="D434" s="75"/>
      <c r="E434" s="103"/>
      <c r="F434" s="103"/>
      <c r="G434" s="103"/>
    </row>
    <row r="435" spans="1:7" ht="15.75" customHeight="1" thickBot="1" x14ac:dyDescent="0.3">
      <c r="A435" s="101"/>
      <c r="D435" s="75"/>
      <c r="E435" s="103"/>
      <c r="F435" s="103"/>
      <c r="G435" s="103"/>
    </row>
    <row r="436" spans="1:7" ht="15.75" customHeight="1" thickBot="1" x14ac:dyDescent="0.3">
      <c r="A436" s="101"/>
      <c r="D436" s="75"/>
      <c r="E436" s="103"/>
      <c r="F436" s="103"/>
      <c r="G436" s="103"/>
    </row>
    <row r="437" spans="1:7" ht="15.75" customHeight="1" thickBot="1" x14ac:dyDescent="0.3">
      <c r="A437" s="101"/>
      <c r="D437" s="75"/>
      <c r="E437" s="103"/>
      <c r="F437" s="103"/>
      <c r="G437" s="103"/>
    </row>
    <row r="438" spans="1:7" ht="15.75" customHeight="1" thickBot="1" x14ac:dyDescent="0.3">
      <c r="A438" s="101"/>
      <c r="D438" s="75"/>
      <c r="E438" s="103"/>
      <c r="F438" s="103"/>
      <c r="G438" s="103"/>
    </row>
    <row r="439" spans="1:7" ht="15.75" customHeight="1" thickBot="1" x14ac:dyDescent="0.3">
      <c r="A439" s="101"/>
      <c r="D439" s="75"/>
      <c r="E439" s="103"/>
      <c r="F439" s="103"/>
      <c r="G439" s="103"/>
    </row>
    <row r="440" spans="1:7" ht="15.75" customHeight="1" thickBot="1" x14ac:dyDescent="0.3">
      <c r="A440" s="101"/>
      <c r="D440" s="75"/>
      <c r="E440" s="103"/>
      <c r="F440" s="103"/>
      <c r="G440" s="103"/>
    </row>
    <row r="441" spans="1:7" ht="15.75" customHeight="1" thickBot="1" x14ac:dyDescent="0.3">
      <c r="A441" s="101"/>
      <c r="D441" s="75"/>
      <c r="E441" s="103"/>
      <c r="F441" s="103"/>
      <c r="G441" s="103"/>
    </row>
    <row r="442" spans="1:7" ht="15.75" customHeight="1" thickBot="1" x14ac:dyDescent="0.3">
      <c r="A442" s="101"/>
      <c r="D442" s="75"/>
      <c r="E442" s="103"/>
      <c r="F442" s="103"/>
      <c r="G442" s="103"/>
    </row>
    <row r="443" spans="1:7" ht="15.75" customHeight="1" thickBot="1" x14ac:dyDescent="0.3">
      <c r="A443" s="101"/>
      <c r="D443" s="75"/>
      <c r="E443" s="103"/>
      <c r="F443" s="103"/>
      <c r="G443" s="103"/>
    </row>
    <row r="444" spans="1:7" ht="15.75" customHeight="1" thickBot="1" x14ac:dyDescent="0.3">
      <c r="A444" s="101"/>
      <c r="D444" s="75"/>
      <c r="E444" s="103"/>
      <c r="F444" s="103"/>
      <c r="G444" s="103"/>
    </row>
    <row r="445" spans="1:7" ht="15.75" customHeight="1" thickBot="1" x14ac:dyDescent="0.3">
      <c r="A445" s="101"/>
      <c r="D445" s="75"/>
      <c r="E445" s="103"/>
      <c r="F445" s="103"/>
      <c r="G445" s="103"/>
    </row>
    <row r="446" spans="1:7" ht="15.75" customHeight="1" thickBot="1" x14ac:dyDescent="0.3">
      <c r="A446" s="101"/>
      <c r="D446" s="75"/>
      <c r="E446" s="103"/>
      <c r="F446" s="103"/>
      <c r="G446" s="103"/>
    </row>
    <row r="447" spans="1:7" ht="15.75" customHeight="1" thickBot="1" x14ac:dyDescent="0.3">
      <c r="A447" s="101"/>
      <c r="D447" s="75"/>
      <c r="E447" s="103"/>
      <c r="F447" s="103"/>
      <c r="G447" s="103"/>
    </row>
    <row r="448" spans="1:7" ht="15.75" customHeight="1" thickBot="1" x14ac:dyDescent="0.3">
      <c r="A448" s="101"/>
      <c r="D448" s="75"/>
      <c r="E448" s="103"/>
      <c r="F448" s="103"/>
      <c r="G448" s="103"/>
    </row>
    <row r="449" spans="1:7" ht="15.75" customHeight="1" thickBot="1" x14ac:dyDescent="0.3">
      <c r="A449" s="101"/>
      <c r="D449" s="75"/>
      <c r="E449" s="103"/>
      <c r="F449" s="103"/>
      <c r="G449" s="103"/>
    </row>
    <row r="450" spans="1:7" ht="15.75" customHeight="1" thickBot="1" x14ac:dyDescent="0.3">
      <c r="A450" s="101"/>
      <c r="D450" s="75"/>
      <c r="E450" s="103"/>
      <c r="F450" s="103"/>
      <c r="G450" s="103"/>
    </row>
    <row r="451" spans="1:7" ht="15.75" customHeight="1" thickBot="1" x14ac:dyDescent="0.3">
      <c r="A451" s="101"/>
      <c r="D451" s="75"/>
      <c r="E451" s="103"/>
      <c r="F451" s="103"/>
      <c r="G451" s="103"/>
    </row>
    <row r="452" spans="1:7" ht="15.75" customHeight="1" thickBot="1" x14ac:dyDescent="0.3">
      <c r="A452" s="101"/>
      <c r="D452" s="75"/>
      <c r="E452" s="103"/>
      <c r="F452" s="103"/>
      <c r="G452" s="103"/>
    </row>
    <row r="453" spans="1:7" ht="15.75" customHeight="1" thickBot="1" x14ac:dyDescent="0.3">
      <c r="A453" s="101"/>
      <c r="D453" s="75"/>
      <c r="E453" s="75"/>
    </row>
    <row r="454" spans="1:7" ht="15.75" customHeight="1" thickBot="1" x14ac:dyDescent="0.3">
      <c r="A454" s="101"/>
      <c r="D454" s="75"/>
      <c r="E454" s="75"/>
    </row>
    <row r="455" spans="1:7" ht="15.75" customHeight="1" thickBot="1" x14ac:dyDescent="0.3">
      <c r="A455" s="101"/>
      <c r="D455" s="75"/>
      <c r="E455" s="75"/>
    </row>
    <row r="456" spans="1:7" ht="15.75" customHeight="1" thickBot="1" x14ac:dyDescent="0.3">
      <c r="A456" s="101"/>
      <c r="D456" s="75"/>
      <c r="E456" s="75"/>
    </row>
    <row r="457" spans="1:7" ht="15.75" customHeight="1" thickBot="1" x14ac:dyDescent="0.3">
      <c r="A457" s="101"/>
      <c r="D457" s="75"/>
      <c r="E457" s="75"/>
    </row>
    <row r="458" spans="1:7" ht="15.75" customHeight="1" x14ac:dyDescent="0.25">
      <c r="D458" s="75"/>
      <c r="E458" s="75"/>
    </row>
    <row r="459" spans="1:7" ht="15.75" customHeight="1" x14ac:dyDescent="0.25">
      <c r="D459" s="75"/>
      <c r="E459" s="75"/>
    </row>
    <row r="460" spans="1:7" ht="15.75" customHeight="1" x14ac:dyDescent="0.25">
      <c r="D460" s="75"/>
      <c r="E460" s="75"/>
    </row>
    <row r="461" spans="1:7" ht="15.75" customHeight="1" x14ac:dyDescent="0.25">
      <c r="D461" s="75"/>
      <c r="E461" s="75"/>
    </row>
    <row r="462" spans="1:7" ht="15.75" customHeight="1" x14ac:dyDescent="0.25">
      <c r="D462" s="75"/>
      <c r="E462" s="75"/>
    </row>
    <row r="463" spans="1:7" ht="15.75" customHeight="1" x14ac:dyDescent="0.25">
      <c r="D463" s="75"/>
      <c r="E463" s="75"/>
    </row>
    <row r="464" spans="1:7" ht="15.75" customHeight="1" x14ac:dyDescent="0.25">
      <c r="D464" s="75"/>
      <c r="E464" s="75"/>
    </row>
    <row r="465" spans="4:5" ht="15.75" customHeight="1" x14ac:dyDescent="0.25">
      <c r="D465" s="75"/>
      <c r="E465" s="75"/>
    </row>
    <row r="466" spans="4:5" ht="15.75" customHeight="1" x14ac:dyDescent="0.25">
      <c r="D466" s="75"/>
      <c r="E466" s="75"/>
    </row>
    <row r="467" spans="4:5" ht="15.75" customHeight="1" x14ac:dyDescent="0.25">
      <c r="D467" s="75"/>
      <c r="E467" s="75"/>
    </row>
    <row r="468" spans="4:5" ht="15.75" customHeight="1" x14ac:dyDescent="0.25">
      <c r="D468" s="75"/>
      <c r="E468" s="75"/>
    </row>
    <row r="469" spans="4:5" ht="15.75" customHeight="1" x14ac:dyDescent="0.25">
      <c r="D469" s="75"/>
      <c r="E469" s="75"/>
    </row>
    <row r="470" spans="4:5" ht="15.75" customHeight="1" x14ac:dyDescent="0.25">
      <c r="D470" s="75"/>
      <c r="E470" s="75"/>
    </row>
    <row r="471" spans="4:5" ht="15.75" customHeight="1" x14ac:dyDescent="0.25">
      <c r="D471" s="75"/>
      <c r="E471" s="75"/>
    </row>
    <row r="472" spans="4:5" ht="15.75" customHeight="1" x14ac:dyDescent="0.25">
      <c r="D472" s="75"/>
      <c r="E472" s="75"/>
    </row>
    <row r="473" spans="4:5" ht="15.75" customHeight="1" x14ac:dyDescent="0.25">
      <c r="D473" s="75"/>
      <c r="E473" s="75"/>
    </row>
    <row r="474" spans="4:5" ht="15.75" customHeight="1" x14ac:dyDescent="0.25">
      <c r="D474" s="75"/>
      <c r="E474" s="75"/>
    </row>
    <row r="475" spans="4:5" ht="15.75" customHeight="1" x14ac:dyDescent="0.25">
      <c r="D475" s="75"/>
      <c r="E475" s="75"/>
    </row>
    <row r="476" spans="4:5" ht="15.75" customHeight="1" x14ac:dyDescent="0.25">
      <c r="D476" s="75"/>
      <c r="E476" s="75"/>
    </row>
    <row r="477" spans="4:5" ht="15.75" customHeight="1" x14ac:dyDescent="0.25">
      <c r="D477" s="75"/>
      <c r="E477" s="75"/>
    </row>
    <row r="478" spans="4:5" ht="15.75" customHeight="1" x14ac:dyDescent="0.25">
      <c r="D478" s="75"/>
      <c r="E478" s="75"/>
    </row>
    <row r="479" spans="4:5" ht="15.75" customHeight="1" x14ac:dyDescent="0.25">
      <c r="D479" s="75"/>
      <c r="E479" s="75"/>
    </row>
    <row r="480" spans="4:5" ht="15.75" customHeight="1" x14ac:dyDescent="0.25">
      <c r="D480" s="75"/>
      <c r="E480" s="75"/>
    </row>
    <row r="481" spans="4:5" ht="15.75" customHeight="1" x14ac:dyDescent="0.25">
      <c r="D481" s="75"/>
      <c r="E481" s="75"/>
    </row>
    <row r="482" spans="4:5" ht="15.75" customHeight="1" x14ac:dyDescent="0.25">
      <c r="D482" s="75"/>
      <c r="E482" s="75"/>
    </row>
    <row r="483" spans="4:5" ht="15.75" customHeight="1" x14ac:dyDescent="0.25">
      <c r="D483" s="75"/>
      <c r="E483" s="75"/>
    </row>
    <row r="484" spans="4:5" ht="15.75" customHeight="1" x14ac:dyDescent="0.25">
      <c r="D484" s="75"/>
      <c r="E484" s="75"/>
    </row>
    <row r="485" spans="4:5" ht="15.75" customHeight="1" x14ac:dyDescent="0.25">
      <c r="D485" s="75"/>
      <c r="E485" s="75"/>
    </row>
    <row r="486" spans="4:5" ht="15.75" customHeight="1" x14ac:dyDescent="0.25">
      <c r="D486" s="75"/>
      <c r="E486" s="75"/>
    </row>
    <row r="487" spans="4:5" ht="15.75" customHeight="1" x14ac:dyDescent="0.25">
      <c r="D487" s="75"/>
      <c r="E487" s="75"/>
    </row>
    <row r="488" spans="4:5" ht="15.75" customHeight="1" x14ac:dyDescent="0.25">
      <c r="D488" s="75"/>
      <c r="E488" s="75"/>
    </row>
    <row r="489" spans="4:5" ht="15.75" customHeight="1" x14ac:dyDescent="0.25">
      <c r="D489" s="75"/>
      <c r="E489" s="75"/>
    </row>
    <row r="490" spans="4:5" ht="15.75" customHeight="1" x14ac:dyDescent="0.25">
      <c r="D490" s="75"/>
      <c r="E490" s="75"/>
    </row>
    <row r="491" spans="4:5" ht="15.75" customHeight="1" x14ac:dyDescent="0.25">
      <c r="D491" s="75"/>
      <c r="E491" s="75"/>
    </row>
    <row r="492" spans="4:5" ht="15.75" customHeight="1" x14ac:dyDescent="0.25">
      <c r="D492" s="75"/>
      <c r="E492" s="75"/>
    </row>
    <row r="493" spans="4:5" ht="15.75" customHeight="1" x14ac:dyDescent="0.25">
      <c r="D493" s="75"/>
      <c r="E493" s="75"/>
    </row>
    <row r="494" spans="4:5" ht="15.75" customHeight="1" x14ac:dyDescent="0.25">
      <c r="D494" s="75"/>
      <c r="E494" s="75"/>
    </row>
    <row r="495" spans="4:5" ht="15.75" customHeight="1" x14ac:dyDescent="0.25">
      <c r="D495" s="75"/>
      <c r="E495" s="75"/>
    </row>
    <row r="496" spans="4:5" ht="15.75" customHeight="1" x14ac:dyDescent="0.25">
      <c r="D496" s="75"/>
      <c r="E496" s="75"/>
    </row>
    <row r="497" spans="4:5" ht="15.75" customHeight="1" x14ac:dyDescent="0.25">
      <c r="D497" s="75"/>
      <c r="E497" s="75"/>
    </row>
    <row r="498" spans="4:5" ht="15.75" customHeight="1" x14ac:dyDescent="0.25">
      <c r="D498" s="75"/>
      <c r="E498" s="75"/>
    </row>
    <row r="499" spans="4:5" ht="15.75" customHeight="1" x14ac:dyDescent="0.25">
      <c r="D499" s="75"/>
      <c r="E499" s="75"/>
    </row>
    <row r="500" spans="4:5" ht="15.75" customHeight="1" x14ac:dyDescent="0.25">
      <c r="D500" s="75"/>
      <c r="E500" s="75"/>
    </row>
    <row r="501" spans="4:5" ht="15.75" customHeight="1" x14ac:dyDescent="0.25">
      <c r="D501" s="75"/>
      <c r="E501" s="75"/>
    </row>
    <row r="502" spans="4:5" ht="15.75" customHeight="1" x14ac:dyDescent="0.25">
      <c r="D502" s="75"/>
      <c r="E502" s="75"/>
    </row>
    <row r="503" spans="4:5" ht="15.75" customHeight="1" x14ac:dyDescent="0.25">
      <c r="D503" s="75"/>
      <c r="E503" s="75"/>
    </row>
    <row r="504" spans="4:5" ht="15.75" customHeight="1" x14ac:dyDescent="0.25">
      <c r="D504" s="75"/>
      <c r="E504" s="75"/>
    </row>
    <row r="505" spans="4:5" ht="15.75" customHeight="1" x14ac:dyDescent="0.25">
      <c r="D505" s="75"/>
      <c r="E505" s="75"/>
    </row>
    <row r="506" spans="4:5" ht="15.75" customHeight="1" x14ac:dyDescent="0.25">
      <c r="D506" s="75"/>
      <c r="E506" s="75"/>
    </row>
    <row r="507" spans="4:5" ht="15.75" customHeight="1" x14ac:dyDescent="0.25">
      <c r="D507" s="75"/>
      <c r="E507" s="75"/>
    </row>
    <row r="508" spans="4:5" ht="15.75" customHeight="1" x14ac:dyDescent="0.25">
      <c r="D508" s="75"/>
      <c r="E508" s="75"/>
    </row>
    <row r="509" spans="4:5" ht="15.75" customHeight="1" x14ac:dyDescent="0.25">
      <c r="D509" s="75"/>
      <c r="E509" s="75"/>
    </row>
    <row r="510" spans="4:5" ht="15.75" customHeight="1" x14ac:dyDescent="0.25">
      <c r="D510" s="75"/>
      <c r="E510" s="75"/>
    </row>
    <row r="511" spans="4:5" ht="15.75" customHeight="1" x14ac:dyDescent="0.25">
      <c r="D511" s="75"/>
      <c r="E511" s="75"/>
    </row>
    <row r="512" spans="4:5" ht="15.75" customHeight="1" x14ac:dyDescent="0.25">
      <c r="D512" s="75"/>
      <c r="E512" s="75"/>
    </row>
    <row r="513" spans="4:5" ht="15.75" customHeight="1" x14ac:dyDescent="0.25">
      <c r="D513" s="75"/>
      <c r="E513" s="75"/>
    </row>
    <row r="514" spans="4:5" ht="15.75" customHeight="1" x14ac:dyDescent="0.25">
      <c r="D514" s="75"/>
      <c r="E514" s="75"/>
    </row>
    <row r="515" spans="4:5" ht="15.75" customHeight="1" x14ac:dyDescent="0.25">
      <c r="D515" s="75"/>
      <c r="E515" s="75"/>
    </row>
    <row r="516" spans="4:5" ht="15.75" customHeight="1" x14ac:dyDescent="0.25">
      <c r="D516" s="75"/>
      <c r="E516" s="75"/>
    </row>
    <row r="517" spans="4:5" ht="15.75" customHeight="1" x14ac:dyDescent="0.25">
      <c r="D517" s="75"/>
      <c r="E517" s="75"/>
    </row>
    <row r="518" spans="4:5" ht="15.75" customHeight="1" x14ac:dyDescent="0.25">
      <c r="D518" s="75"/>
      <c r="E518" s="75"/>
    </row>
    <row r="519" spans="4:5" ht="15.75" customHeight="1" x14ac:dyDescent="0.25">
      <c r="D519" s="75"/>
      <c r="E519" s="75"/>
    </row>
    <row r="520" spans="4:5" ht="15.75" customHeight="1" x14ac:dyDescent="0.25">
      <c r="D520" s="75"/>
      <c r="E520" s="75"/>
    </row>
    <row r="521" spans="4:5" ht="15.75" customHeight="1" x14ac:dyDescent="0.25">
      <c r="D521" s="75"/>
      <c r="E521" s="75"/>
    </row>
    <row r="522" spans="4:5" ht="15.75" customHeight="1" x14ac:dyDescent="0.25">
      <c r="D522" s="75"/>
      <c r="E522" s="75"/>
    </row>
    <row r="523" spans="4:5" ht="15.75" customHeight="1" x14ac:dyDescent="0.25">
      <c r="D523" s="75"/>
      <c r="E523" s="75"/>
    </row>
    <row r="524" spans="4:5" ht="15.75" customHeight="1" x14ac:dyDescent="0.25">
      <c r="D524" s="75"/>
      <c r="E524" s="75"/>
    </row>
    <row r="525" spans="4:5" ht="15.75" customHeight="1" x14ac:dyDescent="0.25">
      <c r="D525" s="75"/>
      <c r="E525" s="75"/>
    </row>
    <row r="526" spans="4:5" ht="15.75" customHeight="1" x14ac:dyDescent="0.25">
      <c r="D526" s="75"/>
      <c r="E526" s="75"/>
    </row>
    <row r="527" spans="4:5" ht="15.75" customHeight="1" x14ac:dyDescent="0.25">
      <c r="D527" s="75"/>
      <c r="E527" s="75"/>
    </row>
    <row r="528" spans="4:5" ht="15.75" customHeight="1" x14ac:dyDescent="0.25">
      <c r="D528" s="75"/>
      <c r="E528" s="75"/>
    </row>
    <row r="529" spans="4:5" ht="15.75" customHeight="1" x14ac:dyDescent="0.25">
      <c r="D529" s="75"/>
      <c r="E529" s="75"/>
    </row>
    <row r="530" spans="4:5" ht="15.75" customHeight="1" x14ac:dyDescent="0.25">
      <c r="D530" s="75"/>
      <c r="E530" s="75"/>
    </row>
    <row r="531" spans="4:5" ht="15.75" customHeight="1" x14ac:dyDescent="0.25">
      <c r="D531" s="75"/>
      <c r="E531" s="75"/>
    </row>
    <row r="532" spans="4:5" ht="15.75" customHeight="1" x14ac:dyDescent="0.25">
      <c r="D532" s="75"/>
      <c r="E532" s="75"/>
    </row>
    <row r="533" spans="4:5" ht="15.75" customHeight="1" x14ac:dyDescent="0.25">
      <c r="D533" s="75"/>
      <c r="E533" s="75"/>
    </row>
    <row r="534" spans="4:5" ht="15.75" customHeight="1" x14ac:dyDescent="0.25">
      <c r="D534" s="75"/>
      <c r="E534" s="75"/>
    </row>
    <row r="535" spans="4:5" ht="15.75" customHeight="1" x14ac:dyDescent="0.25">
      <c r="D535" s="75"/>
      <c r="E535" s="75"/>
    </row>
    <row r="536" spans="4:5" ht="15.75" customHeight="1" x14ac:dyDescent="0.25">
      <c r="D536" s="75"/>
      <c r="E536" s="75"/>
    </row>
    <row r="537" spans="4:5" ht="15.75" customHeight="1" x14ac:dyDescent="0.25">
      <c r="D537" s="75"/>
      <c r="E537" s="75"/>
    </row>
    <row r="538" spans="4:5" ht="15.75" customHeight="1" x14ac:dyDescent="0.25">
      <c r="D538" s="75"/>
      <c r="E538" s="75"/>
    </row>
    <row r="539" spans="4:5" ht="15.75" customHeight="1" x14ac:dyDescent="0.25">
      <c r="D539" s="75"/>
      <c r="E539" s="75"/>
    </row>
    <row r="540" spans="4:5" ht="15.75" customHeight="1" x14ac:dyDescent="0.25">
      <c r="D540" s="75"/>
      <c r="E540" s="75"/>
    </row>
    <row r="541" spans="4:5" ht="15.75" customHeight="1" x14ac:dyDescent="0.25">
      <c r="D541" s="75"/>
      <c r="E541" s="75"/>
    </row>
    <row r="542" spans="4:5" ht="15.75" customHeight="1" x14ac:dyDescent="0.25">
      <c r="D542" s="75"/>
      <c r="E542" s="75"/>
    </row>
    <row r="543" spans="4:5" ht="15.75" customHeight="1" x14ac:dyDescent="0.25">
      <c r="D543" s="75"/>
      <c r="E543" s="75"/>
    </row>
    <row r="544" spans="4:5" ht="15.75" customHeight="1" x14ac:dyDescent="0.25">
      <c r="D544" s="75"/>
      <c r="E544" s="75"/>
    </row>
    <row r="545" spans="4:5" ht="15.75" customHeight="1" x14ac:dyDescent="0.25">
      <c r="D545" s="75"/>
      <c r="E545" s="75"/>
    </row>
    <row r="546" spans="4:5" ht="15.75" customHeight="1" x14ac:dyDescent="0.25">
      <c r="D546" s="75"/>
      <c r="E546" s="75"/>
    </row>
    <row r="547" spans="4:5" ht="15.75" customHeight="1" x14ac:dyDescent="0.25">
      <c r="D547" s="75"/>
      <c r="E547" s="75"/>
    </row>
    <row r="548" spans="4:5" ht="15.75" customHeight="1" x14ac:dyDescent="0.25">
      <c r="D548" s="75"/>
      <c r="E548" s="75"/>
    </row>
    <row r="549" spans="4:5" ht="15.75" customHeight="1" x14ac:dyDescent="0.25">
      <c r="D549" s="75"/>
      <c r="E549" s="75"/>
    </row>
    <row r="550" spans="4:5" ht="15.75" customHeight="1" x14ac:dyDescent="0.25">
      <c r="D550" s="75"/>
      <c r="E550" s="75"/>
    </row>
    <row r="551" spans="4:5" ht="15.75" customHeight="1" x14ac:dyDescent="0.25">
      <c r="D551" s="75"/>
      <c r="E551" s="75"/>
    </row>
    <row r="552" spans="4:5" ht="15.75" customHeight="1" x14ac:dyDescent="0.25">
      <c r="D552" s="75"/>
      <c r="E552" s="75"/>
    </row>
    <row r="553" spans="4:5" ht="15.75" customHeight="1" x14ac:dyDescent="0.25">
      <c r="D553" s="75"/>
      <c r="E553" s="75"/>
    </row>
    <row r="554" spans="4:5" ht="15.75" customHeight="1" x14ac:dyDescent="0.25">
      <c r="D554" s="75"/>
      <c r="E554" s="75"/>
    </row>
    <row r="555" spans="4:5" ht="15.75" customHeight="1" x14ac:dyDescent="0.25">
      <c r="D555" s="75"/>
      <c r="E555" s="75"/>
    </row>
    <row r="556" spans="4:5" ht="15.75" customHeight="1" x14ac:dyDescent="0.25">
      <c r="D556" s="75"/>
      <c r="E556" s="75"/>
    </row>
    <row r="557" spans="4:5" ht="15.75" customHeight="1" x14ac:dyDescent="0.25">
      <c r="D557" s="75"/>
      <c r="E557" s="75"/>
    </row>
    <row r="558" spans="4:5" ht="15.75" customHeight="1" x14ac:dyDescent="0.25">
      <c r="D558" s="75"/>
      <c r="E558" s="75"/>
    </row>
    <row r="559" spans="4:5" ht="15.75" customHeight="1" x14ac:dyDescent="0.25">
      <c r="D559" s="75"/>
      <c r="E559" s="75"/>
    </row>
    <row r="560" spans="4:5" ht="15.75" customHeight="1" x14ac:dyDescent="0.25">
      <c r="D560" s="75"/>
      <c r="E560" s="75"/>
    </row>
    <row r="561" spans="4:5" ht="15.75" customHeight="1" x14ac:dyDescent="0.25">
      <c r="D561" s="75"/>
      <c r="E561" s="75"/>
    </row>
    <row r="562" spans="4:5" ht="15.75" customHeight="1" x14ac:dyDescent="0.25">
      <c r="D562" s="75"/>
      <c r="E562" s="75"/>
    </row>
    <row r="563" spans="4:5" ht="15.75" customHeight="1" x14ac:dyDescent="0.25">
      <c r="D563" s="75"/>
      <c r="E563" s="75"/>
    </row>
    <row r="564" spans="4:5" ht="15.75" customHeight="1" x14ac:dyDescent="0.25">
      <c r="D564" s="75"/>
      <c r="E564" s="75"/>
    </row>
    <row r="565" spans="4:5" ht="15.75" customHeight="1" x14ac:dyDescent="0.25">
      <c r="D565" s="75"/>
      <c r="E565" s="75"/>
    </row>
    <row r="566" spans="4:5" ht="15.75" customHeight="1" x14ac:dyDescent="0.25">
      <c r="D566" s="75"/>
      <c r="E566" s="75"/>
    </row>
    <row r="567" spans="4:5" ht="15.75" customHeight="1" x14ac:dyDescent="0.25">
      <c r="D567" s="75"/>
      <c r="E567" s="75"/>
    </row>
    <row r="568" spans="4:5" ht="15.75" customHeight="1" x14ac:dyDescent="0.25">
      <c r="D568" s="75"/>
      <c r="E568" s="75"/>
    </row>
    <row r="569" spans="4:5" ht="15.75" customHeight="1" x14ac:dyDescent="0.25">
      <c r="D569" s="75"/>
      <c r="E569" s="75"/>
    </row>
    <row r="570" spans="4:5" ht="15.75" customHeight="1" x14ac:dyDescent="0.25">
      <c r="D570" s="75"/>
      <c r="E570" s="75"/>
    </row>
    <row r="571" spans="4:5" ht="15.75" customHeight="1" x14ac:dyDescent="0.25">
      <c r="D571" s="75"/>
      <c r="E571" s="75"/>
    </row>
    <row r="572" spans="4:5" ht="15.75" customHeight="1" x14ac:dyDescent="0.25">
      <c r="D572" s="75"/>
      <c r="E572" s="75"/>
    </row>
    <row r="573" spans="4:5" ht="15.75" customHeight="1" x14ac:dyDescent="0.25">
      <c r="D573" s="75"/>
      <c r="E573" s="75"/>
    </row>
    <row r="574" spans="4:5" ht="15.75" customHeight="1" x14ac:dyDescent="0.25">
      <c r="D574" s="75"/>
      <c r="E574" s="75"/>
    </row>
    <row r="575" spans="4:5" ht="15.75" customHeight="1" x14ac:dyDescent="0.25">
      <c r="D575" s="75"/>
      <c r="E575" s="75"/>
    </row>
    <row r="576" spans="4:5" ht="15.75" customHeight="1" x14ac:dyDescent="0.25">
      <c r="D576" s="75"/>
      <c r="E576" s="75"/>
    </row>
    <row r="577" spans="4:5" ht="15.75" customHeight="1" x14ac:dyDescent="0.25">
      <c r="D577" s="75"/>
      <c r="E577" s="75"/>
    </row>
    <row r="578" spans="4:5" ht="15.75" customHeight="1" x14ac:dyDescent="0.25">
      <c r="D578" s="75"/>
      <c r="E578" s="75"/>
    </row>
    <row r="579" spans="4:5" ht="15.75" customHeight="1" x14ac:dyDescent="0.25">
      <c r="D579" s="75"/>
      <c r="E579" s="75"/>
    </row>
    <row r="580" spans="4:5" ht="15.75" customHeight="1" x14ac:dyDescent="0.25">
      <c r="D580" s="75"/>
      <c r="E580" s="75"/>
    </row>
    <row r="581" spans="4:5" ht="15.75" customHeight="1" x14ac:dyDescent="0.25">
      <c r="D581" s="75"/>
      <c r="E581" s="75"/>
    </row>
    <row r="582" spans="4:5" ht="15.75" customHeight="1" x14ac:dyDescent="0.25">
      <c r="D582" s="75"/>
      <c r="E582" s="75"/>
    </row>
    <row r="583" spans="4:5" ht="15.75" customHeight="1" x14ac:dyDescent="0.25">
      <c r="D583" s="75"/>
      <c r="E583" s="75"/>
    </row>
    <row r="584" spans="4:5" ht="15.75" customHeight="1" x14ac:dyDescent="0.25">
      <c r="D584" s="75"/>
      <c r="E584" s="75"/>
    </row>
    <row r="585" spans="4:5" ht="15.75" customHeight="1" x14ac:dyDescent="0.25">
      <c r="D585" s="75"/>
      <c r="E585" s="75"/>
    </row>
    <row r="586" spans="4:5" ht="15.75" customHeight="1" x14ac:dyDescent="0.25">
      <c r="D586" s="75"/>
      <c r="E586" s="75"/>
    </row>
    <row r="587" spans="4:5" ht="15.75" customHeight="1" x14ac:dyDescent="0.25">
      <c r="D587" s="75"/>
      <c r="E587" s="75"/>
    </row>
    <row r="588" spans="4:5" ht="15.75" customHeight="1" x14ac:dyDescent="0.25">
      <c r="D588" s="75"/>
      <c r="E588" s="75"/>
    </row>
    <row r="589" spans="4:5" ht="15.75" customHeight="1" x14ac:dyDescent="0.25">
      <c r="D589" s="75"/>
      <c r="E589" s="75"/>
    </row>
    <row r="590" spans="4:5" ht="15.75" customHeight="1" x14ac:dyDescent="0.25">
      <c r="D590" s="75"/>
      <c r="E590" s="75"/>
    </row>
    <row r="591" spans="4:5" ht="15.75" customHeight="1" x14ac:dyDescent="0.25">
      <c r="D591" s="75"/>
      <c r="E591" s="75"/>
    </row>
    <row r="592" spans="4:5" ht="15.75" customHeight="1" x14ac:dyDescent="0.25">
      <c r="D592" s="75"/>
      <c r="E592" s="75"/>
    </row>
    <row r="593" spans="4:5" ht="15.75" customHeight="1" x14ac:dyDescent="0.25">
      <c r="D593" s="75"/>
      <c r="E593" s="75"/>
    </row>
    <row r="594" spans="4:5" ht="15.75" customHeight="1" x14ac:dyDescent="0.25">
      <c r="D594" s="75"/>
      <c r="E594" s="75"/>
    </row>
    <row r="595" spans="4:5" ht="15.75" customHeight="1" x14ac:dyDescent="0.25">
      <c r="D595" s="75"/>
      <c r="E595" s="75"/>
    </row>
    <row r="596" spans="4:5" ht="15.75" customHeight="1" x14ac:dyDescent="0.25">
      <c r="D596" s="75"/>
      <c r="E596" s="75"/>
    </row>
    <row r="597" spans="4:5" ht="15.75" customHeight="1" x14ac:dyDescent="0.25">
      <c r="D597" s="75"/>
      <c r="E597" s="75"/>
    </row>
    <row r="598" spans="4:5" ht="15.75" customHeight="1" x14ac:dyDescent="0.25">
      <c r="D598" s="75"/>
      <c r="E598" s="75"/>
    </row>
    <row r="599" spans="4:5" ht="15.75" customHeight="1" x14ac:dyDescent="0.25">
      <c r="D599" s="75"/>
      <c r="E599" s="75"/>
    </row>
    <row r="600" spans="4:5" ht="15.75" customHeight="1" x14ac:dyDescent="0.25">
      <c r="D600" s="75"/>
      <c r="E600" s="75"/>
    </row>
    <row r="601" spans="4:5" ht="15.75" customHeight="1" x14ac:dyDescent="0.25">
      <c r="D601" s="75"/>
      <c r="E601" s="75"/>
    </row>
    <row r="602" spans="4:5" ht="15.75" customHeight="1" x14ac:dyDescent="0.25">
      <c r="D602" s="75"/>
      <c r="E602" s="75"/>
    </row>
    <row r="603" spans="4:5" ht="15.75" customHeight="1" x14ac:dyDescent="0.25">
      <c r="D603" s="75"/>
      <c r="E603" s="75"/>
    </row>
    <row r="604" spans="4:5" ht="15.75" customHeight="1" x14ac:dyDescent="0.25">
      <c r="D604" s="75"/>
      <c r="E604" s="75"/>
    </row>
    <row r="605" spans="4:5" ht="15.75" customHeight="1" x14ac:dyDescent="0.25">
      <c r="D605" s="75"/>
      <c r="E605" s="75"/>
    </row>
    <row r="606" spans="4:5" ht="15.75" customHeight="1" x14ac:dyDescent="0.25">
      <c r="D606" s="75"/>
      <c r="E606" s="75"/>
    </row>
    <row r="607" spans="4:5" ht="15.75" customHeight="1" x14ac:dyDescent="0.25">
      <c r="D607" s="75"/>
      <c r="E607" s="75"/>
    </row>
    <row r="608" spans="4:5" ht="15.75" customHeight="1" x14ac:dyDescent="0.25">
      <c r="D608" s="75"/>
      <c r="E608" s="75"/>
    </row>
    <row r="609" spans="4:5" ht="15.75" customHeight="1" x14ac:dyDescent="0.25">
      <c r="D609" s="75"/>
      <c r="E609" s="75"/>
    </row>
    <row r="610" spans="4:5" ht="15.75" customHeight="1" x14ac:dyDescent="0.25">
      <c r="D610" s="75"/>
      <c r="E610" s="75"/>
    </row>
    <row r="611" spans="4:5" ht="15.75" customHeight="1" x14ac:dyDescent="0.25">
      <c r="D611" s="75"/>
      <c r="E611" s="75"/>
    </row>
    <row r="612" spans="4:5" ht="15.75" customHeight="1" x14ac:dyDescent="0.25">
      <c r="D612" s="75"/>
      <c r="E612" s="75"/>
    </row>
    <row r="613" spans="4:5" ht="15.75" customHeight="1" x14ac:dyDescent="0.25">
      <c r="D613" s="75"/>
      <c r="E613" s="75"/>
    </row>
    <row r="614" spans="4:5" ht="15.75" customHeight="1" x14ac:dyDescent="0.25">
      <c r="D614" s="75"/>
      <c r="E614" s="75"/>
    </row>
    <row r="615" spans="4:5" ht="15.75" customHeight="1" x14ac:dyDescent="0.25">
      <c r="D615" s="75"/>
      <c r="E615" s="75"/>
    </row>
    <row r="616" spans="4:5" ht="15.75" customHeight="1" x14ac:dyDescent="0.25">
      <c r="D616" s="75"/>
      <c r="E616" s="75"/>
    </row>
    <row r="617" spans="4:5" ht="15.75" customHeight="1" x14ac:dyDescent="0.25">
      <c r="D617" s="75"/>
      <c r="E617" s="75"/>
    </row>
    <row r="618" spans="4:5" ht="15.75" customHeight="1" x14ac:dyDescent="0.25">
      <c r="D618" s="75"/>
      <c r="E618" s="75"/>
    </row>
    <row r="619" spans="4:5" ht="15.75" customHeight="1" x14ac:dyDescent="0.25">
      <c r="D619" s="75"/>
      <c r="E619" s="75"/>
    </row>
    <row r="620" spans="4:5" ht="15.75" customHeight="1" x14ac:dyDescent="0.25">
      <c r="D620" s="75"/>
      <c r="E620" s="75"/>
    </row>
    <row r="621" spans="4:5" ht="15.75" customHeight="1" x14ac:dyDescent="0.25">
      <c r="D621" s="75"/>
      <c r="E621" s="75"/>
    </row>
    <row r="622" spans="4:5" ht="15.75" customHeight="1" x14ac:dyDescent="0.25">
      <c r="D622" s="75"/>
      <c r="E622" s="75"/>
    </row>
    <row r="623" spans="4:5" ht="15.75" customHeight="1" x14ac:dyDescent="0.25">
      <c r="D623" s="75"/>
      <c r="E623" s="75"/>
    </row>
    <row r="624" spans="4:5" ht="15.75" customHeight="1" x14ac:dyDescent="0.25">
      <c r="D624" s="75"/>
      <c r="E624" s="75"/>
    </row>
    <row r="625" spans="4:5" ht="15.75" customHeight="1" x14ac:dyDescent="0.25">
      <c r="D625" s="75"/>
      <c r="E625" s="75"/>
    </row>
    <row r="626" spans="4:5" ht="15.75" customHeight="1" x14ac:dyDescent="0.25">
      <c r="D626" s="75"/>
      <c r="E626" s="75"/>
    </row>
    <row r="627" spans="4:5" ht="15.75" customHeight="1" x14ac:dyDescent="0.25">
      <c r="D627" s="75"/>
      <c r="E627" s="75"/>
    </row>
    <row r="628" spans="4:5" ht="15.75" customHeight="1" x14ac:dyDescent="0.25">
      <c r="D628" s="75"/>
      <c r="E628" s="75"/>
    </row>
    <row r="629" spans="4:5" ht="15.75" customHeight="1" x14ac:dyDescent="0.25">
      <c r="D629" s="75"/>
      <c r="E629" s="75"/>
    </row>
    <row r="630" spans="4:5" ht="15.75" customHeight="1" x14ac:dyDescent="0.25">
      <c r="D630" s="75"/>
      <c r="E630" s="75"/>
    </row>
    <row r="631" spans="4:5" ht="15.75" customHeight="1" x14ac:dyDescent="0.25">
      <c r="D631" s="75"/>
      <c r="E631" s="75"/>
    </row>
    <row r="632" spans="4:5" ht="15.75" customHeight="1" x14ac:dyDescent="0.25">
      <c r="D632" s="75"/>
      <c r="E632" s="75"/>
    </row>
    <row r="633" spans="4:5" ht="15.75" customHeight="1" x14ac:dyDescent="0.25">
      <c r="D633" s="75"/>
      <c r="E633" s="75"/>
    </row>
    <row r="634" spans="4:5" ht="15.75" customHeight="1" x14ac:dyDescent="0.25">
      <c r="D634" s="75"/>
      <c r="E634" s="75"/>
    </row>
    <row r="635" spans="4:5" ht="15.75" customHeight="1" x14ac:dyDescent="0.25">
      <c r="D635" s="75"/>
      <c r="E635" s="75"/>
    </row>
    <row r="636" spans="4:5" ht="15.75" customHeight="1" x14ac:dyDescent="0.25">
      <c r="D636" s="75"/>
      <c r="E636" s="75"/>
    </row>
    <row r="637" spans="4:5" ht="15.75" customHeight="1" x14ac:dyDescent="0.25">
      <c r="D637" s="75"/>
      <c r="E637" s="75"/>
    </row>
    <row r="638" spans="4:5" ht="15.75" customHeight="1" x14ac:dyDescent="0.25">
      <c r="D638" s="75"/>
      <c r="E638" s="75"/>
    </row>
    <row r="639" spans="4:5" ht="15.75" customHeight="1" x14ac:dyDescent="0.25">
      <c r="D639" s="75"/>
      <c r="E639" s="75"/>
    </row>
    <row r="640" spans="4:5" ht="15.75" customHeight="1" x14ac:dyDescent="0.25">
      <c r="D640" s="75"/>
      <c r="E640" s="75"/>
    </row>
    <row r="641" spans="4:5" ht="15.75" customHeight="1" x14ac:dyDescent="0.25">
      <c r="D641" s="75"/>
      <c r="E641" s="75"/>
    </row>
    <row r="642" spans="4:5" ht="15.75" customHeight="1" x14ac:dyDescent="0.25">
      <c r="D642" s="75"/>
      <c r="E642" s="75"/>
    </row>
    <row r="643" spans="4:5" ht="15.75" customHeight="1" x14ac:dyDescent="0.25">
      <c r="D643" s="75"/>
      <c r="E643" s="75"/>
    </row>
    <row r="644" spans="4:5" ht="15.75" customHeight="1" x14ac:dyDescent="0.25">
      <c r="D644" s="75"/>
      <c r="E644" s="75"/>
    </row>
    <row r="645" spans="4:5" ht="15.75" customHeight="1" x14ac:dyDescent="0.25">
      <c r="D645" s="75"/>
      <c r="E645" s="75"/>
    </row>
    <row r="646" spans="4:5" ht="15.75" customHeight="1" x14ac:dyDescent="0.25">
      <c r="D646" s="75"/>
      <c r="E646" s="75"/>
    </row>
    <row r="647" spans="4:5" ht="15.75" customHeight="1" x14ac:dyDescent="0.25">
      <c r="D647" s="75"/>
      <c r="E647" s="75"/>
    </row>
    <row r="648" spans="4:5" ht="15.75" customHeight="1" x14ac:dyDescent="0.25">
      <c r="D648" s="75"/>
      <c r="E648" s="75"/>
    </row>
    <row r="649" spans="4:5" ht="15.75" customHeight="1" x14ac:dyDescent="0.25">
      <c r="D649" s="75"/>
      <c r="E649" s="75"/>
    </row>
    <row r="650" spans="4:5" ht="15.75" customHeight="1" x14ac:dyDescent="0.25">
      <c r="D650" s="75"/>
      <c r="E650" s="75"/>
    </row>
    <row r="651" spans="4:5" ht="15.75" customHeight="1" x14ac:dyDescent="0.25">
      <c r="D651" s="75"/>
      <c r="E651" s="75"/>
    </row>
    <row r="652" spans="4:5" ht="15.75" customHeight="1" x14ac:dyDescent="0.25">
      <c r="D652" s="75"/>
      <c r="E652" s="75"/>
    </row>
    <row r="653" spans="4:5" ht="15.75" customHeight="1" x14ac:dyDescent="0.25">
      <c r="D653" s="75"/>
      <c r="E653" s="75"/>
    </row>
    <row r="654" spans="4:5" ht="15.75" customHeight="1" x14ac:dyDescent="0.25">
      <c r="D654" s="75"/>
      <c r="E654" s="75"/>
    </row>
    <row r="655" spans="4:5" ht="15.75" customHeight="1" x14ac:dyDescent="0.25">
      <c r="D655" s="75"/>
      <c r="E655" s="75"/>
    </row>
    <row r="656" spans="4:5" ht="15.75" customHeight="1" x14ac:dyDescent="0.25">
      <c r="D656" s="75"/>
      <c r="E656" s="75"/>
    </row>
    <row r="657" spans="4:5" ht="15.75" customHeight="1" x14ac:dyDescent="0.25">
      <c r="D657" s="75"/>
      <c r="E657" s="75"/>
    </row>
    <row r="658" spans="4:5" ht="15.75" customHeight="1" x14ac:dyDescent="0.25">
      <c r="D658" s="75"/>
      <c r="E658" s="75"/>
    </row>
    <row r="659" spans="4:5" ht="15.75" customHeight="1" x14ac:dyDescent="0.25">
      <c r="D659" s="75"/>
      <c r="E659" s="75"/>
    </row>
    <row r="660" spans="4:5" ht="15.75" customHeight="1" x14ac:dyDescent="0.25">
      <c r="D660" s="75"/>
      <c r="E660" s="75"/>
    </row>
    <row r="661" spans="4:5" ht="15.75" customHeight="1" x14ac:dyDescent="0.25">
      <c r="D661" s="75"/>
      <c r="E661" s="75"/>
    </row>
    <row r="662" spans="4:5" ht="15.75" customHeight="1" x14ac:dyDescent="0.25">
      <c r="D662" s="75"/>
      <c r="E662" s="75"/>
    </row>
    <row r="663" spans="4:5" ht="15.75" customHeight="1" x14ac:dyDescent="0.25">
      <c r="D663" s="75"/>
      <c r="E663" s="75"/>
    </row>
    <row r="664" spans="4:5" ht="15.75" customHeight="1" x14ac:dyDescent="0.25">
      <c r="D664" s="75"/>
      <c r="E664" s="75"/>
    </row>
    <row r="665" spans="4:5" ht="15.75" customHeight="1" x14ac:dyDescent="0.25">
      <c r="D665" s="75"/>
      <c r="E665" s="75"/>
    </row>
    <row r="666" spans="4:5" ht="15.75" customHeight="1" x14ac:dyDescent="0.25">
      <c r="D666" s="75"/>
      <c r="E666" s="75"/>
    </row>
    <row r="667" spans="4:5" ht="15.75" customHeight="1" x14ac:dyDescent="0.25">
      <c r="D667" s="75"/>
      <c r="E667" s="75"/>
    </row>
    <row r="668" spans="4:5" ht="15.75" customHeight="1" x14ac:dyDescent="0.25">
      <c r="D668" s="75"/>
      <c r="E668" s="75"/>
    </row>
    <row r="669" spans="4:5" ht="15.75" customHeight="1" x14ac:dyDescent="0.25">
      <c r="D669" s="75"/>
      <c r="E669" s="75"/>
    </row>
    <row r="670" spans="4:5" ht="15.75" customHeight="1" x14ac:dyDescent="0.25">
      <c r="D670" s="75"/>
      <c r="E670" s="75"/>
    </row>
    <row r="671" spans="4:5" ht="15.75" customHeight="1" x14ac:dyDescent="0.25">
      <c r="D671" s="75"/>
      <c r="E671" s="75"/>
    </row>
    <row r="672" spans="4:5" ht="15.75" customHeight="1" x14ac:dyDescent="0.25">
      <c r="D672" s="75"/>
      <c r="E672" s="75"/>
    </row>
    <row r="673" spans="4:5" ht="15.75" customHeight="1" x14ac:dyDescent="0.25">
      <c r="D673" s="75"/>
      <c r="E673" s="75"/>
    </row>
    <row r="674" spans="4:5" ht="15.75" customHeight="1" x14ac:dyDescent="0.25">
      <c r="D674" s="75"/>
      <c r="E674" s="75"/>
    </row>
    <row r="675" spans="4:5" ht="15.75" customHeight="1" x14ac:dyDescent="0.25">
      <c r="D675" s="75"/>
      <c r="E675" s="75"/>
    </row>
    <row r="676" spans="4:5" ht="15.75" customHeight="1" x14ac:dyDescent="0.25">
      <c r="D676" s="75"/>
      <c r="E676" s="75"/>
    </row>
    <row r="677" spans="4:5" ht="15.75" customHeight="1" x14ac:dyDescent="0.25">
      <c r="D677" s="75"/>
      <c r="E677" s="75"/>
    </row>
    <row r="678" spans="4:5" ht="15.75" customHeight="1" x14ac:dyDescent="0.25">
      <c r="D678" s="75"/>
      <c r="E678" s="75"/>
    </row>
    <row r="679" spans="4:5" ht="15.75" customHeight="1" x14ac:dyDescent="0.25">
      <c r="D679" s="75"/>
      <c r="E679" s="75"/>
    </row>
    <row r="680" spans="4:5" ht="15.75" customHeight="1" x14ac:dyDescent="0.25">
      <c r="D680" s="75"/>
      <c r="E680" s="75"/>
    </row>
    <row r="681" spans="4:5" ht="15.75" customHeight="1" x14ac:dyDescent="0.25">
      <c r="D681" s="75"/>
      <c r="E681" s="75"/>
    </row>
    <row r="682" spans="4:5" ht="15.75" customHeight="1" x14ac:dyDescent="0.25">
      <c r="D682" s="75"/>
      <c r="E682" s="75"/>
    </row>
    <row r="683" spans="4:5" ht="15.75" customHeight="1" x14ac:dyDescent="0.25">
      <c r="D683" s="75"/>
      <c r="E683" s="75"/>
    </row>
    <row r="684" spans="4:5" ht="15.75" customHeight="1" x14ac:dyDescent="0.25">
      <c r="D684" s="75"/>
      <c r="E684" s="75"/>
    </row>
    <row r="685" spans="4:5" ht="15.75" customHeight="1" x14ac:dyDescent="0.25">
      <c r="D685" s="75"/>
      <c r="E685" s="75"/>
    </row>
    <row r="686" spans="4:5" ht="15.75" customHeight="1" x14ac:dyDescent="0.25">
      <c r="D686" s="75"/>
      <c r="E686" s="75"/>
    </row>
    <row r="687" spans="4:5" ht="15.75" customHeight="1" x14ac:dyDescent="0.25">
      <c r="D687" s="75"/>
      <c r="E687" s="75"/>
    </row>
    <row r="688" spans="4:5" ht="15.75" customHeight="1" x14ac:dyDescent="0.25">
      <c r="D688" s="75"/>
      <c r="E688" s="75"/>
    </row>
    <row r="689" spans="4:5" ht="15.75" customHeight="1" x14ac:dyDescent="0.25">
      <c r="D689" s="75"/>
      <c r="E689" s="75"/>
    </row>
    <row r="690" spans="4:5" ht="15.75" customHeight="1" x14ac:dyDescent="0.25">
      <c r="D690" s="75"/>
      <c r="E690" s="75"/>
    </row>
    <row r="691" spans="4:5" ht="15.75" customHeight="1" x14ac:dyDescent="0.25">
      <c r="D691" s="75"/>
      <c r="E691" s="75"/>
    </row>
    <row r="692" spans="4:5" ht="15.75" customHeight="1" x14ac:dyDescent="0.25">
      <c r="D692" s="75"/>
      <c r="E692" s="75"/>
    </row>
    <row r="693" spans="4:5" ht="15.75" customHeight="1" x14ac:dyDescent="0.25">
      <c r="D693" s="75"/>
      <c r="E693" s="75"/>
    </row>
    <row r="694" spans="4:5" ht="15.75" customHeight="1" x14ac:dyDescent="0.25">
      <c r="D694" s="75"/>
      <c r="E694" s="75"/>
    </row>
    <row r="695" spans="4:5" ht="15.75" customHeight="1" x14ac:dyDescent="0.25">
      <c r="D695" s="75"/>
      <c r="E695" s="75"/>
    </row>
    <row r="696" spans="4:5" ht="15.75" customHeight="1" x14ac:dyDescent="0.25">
      <c r="D696" s="75"/>
      <c r="E696" s="75"/>
    </row>
    <row r="697" spans="4:5" ht="15.75" customHeight="1" x14ac:dyDescent="0.25">
      <c r="D697" s="75"/>
      <c r="E697" s="75"/>
    </row>
    <row r="698" spans="4:5" ht="15.75" customHeight="1" x14ac:dyDescent="0.25">
      <c r="D698" s="75"/>
      <c r="E698" s="75"/>
    </row>
    <row r="699" spans="4:5" ht="15.75" customHeight="1" x14ac:dyDescent="0.25">
      <c r="D699" s="75"/>
      <c r="E699" s="75"/>
    </row>
    <row r="700" spans="4:5" ht="15.75" customHeight="1" x14ac:dyDescent="0.25">
      <c r="D700" s="75"/>
      <c r="E700" s="75"/>
    </row>
    <row r="701" spans="4:5" ht="15.75" customHeight="1" x14ac:dyDescent="0.25">
      <c r="D701" s="75"/>
      <c r="E701" s="75"/>
    </row>
    <row r="702" spans="4:5" ht="15.75" customHeight="1" x14ac:dyDescent="0.25">
      <c r="D702" s="75"/>
      <c r="E702" s="75"/>
    </row>
    <row r="703" spans="4:5" ht="15.75" customHeight="1" x14ac:dyDescent="0.25">
      <c r="D703" s="75"/>
      <c r="E703" s="75"/>
    </row>
    <row r="704" spans="4:5" ht="15.75" customHeight="1" x14ac:dyDescent="0.25">
      <c r="D704" s="75"/>
      <c r="E704" s="75"/>
    </row>
    <row r="705" spans="4:5" ht="15.75" customHeight="1" x14ac:dyDescent="0.25">
      <c r="D705" s="75"/>
      <c r="E705" s="75"/>
    </row>
    <row r="706" spans="4:5" ht="15.75" customHeight="1" x14ac:dyDescent="0.25">
      <c r="D706" s="75"/>
      <c r="E706" s="75"/>
    </row>
    <row r="707" spans="4:5" ht="15.75" customHeight="1" x14ac:dyDescent="0.25">
      <c r="D707" s="75"/>
      <c r="E707" s="75"/>
    </row>
    <row r="708" spans="4:5" ht="15.75" customHeight="1" x14ac:dyDescent="0.25">
      <c r="D708" s="75"/>
      <c r="E708" s="75"/>
    </row>
    <row r="709" spans="4:5" ht="15.75" customHeight="1" x14ac:dyDescent="0.25">
      <c r="D709" s="75"/>
      <c r="E709" s="75"/>
    </row>
    <row r="710" spans="4:5" ht="15.75" customHeight="1" x14ac:dyDescent="0.25">
      <c r="D710" s="75"/>
      <c r="E710" s="75"/>
    </row>
    <row r="711" spans="4:5" ht="15.75" customHeight="1" x14ac:dyDescent="0.25">
      <c r="D711" s="75"/>
      <c r="E711" s="75"/>
    </row>
    <row r="712" spans="4:5" ht="15.75" customHeight="1" x14ac:dyDescent="0.25">
      <c r="D712" s="75"/>
      <c r="E712" s="75"/>
    </row>
    <row r="713" spans="4:5" ht="15.75" customHeight="1" x14ac:dyDescent="0.25">
      <c r="D713" s="75"/>
      <c r="E713" s="75"/>
    </row>
    <row r="714" spans="4:5" ht="15.75" customHeight="1" x14ac:dyDescent="0.25">
      <c r="D714" s="75"/>
      <c r="E714" s="75"/>
    </row>
    <row r="715" spans="4:5" ht="15.75" customHeight="1" x14ac:dyDescent="0.25">
      <c r="D715" s="75"/>
      <c r="E715" s="75"/>
    </row>
    <row r="716" spans="4:5" ht="15.75" customHeight="1" x14ac:dyDescent="0.25">
      <c r="D716" s="75"/>
      <c r="E716" s="75"/>
    </row>
    <row r="717" spans="4:5" ht="15.75" customHeight="1" x14ac:dyDescent="0.25">
      <c r="D717" s="75"/>
      <c r="E717" s="75"/>
    </row>
    <row r="718" spans="4:5" ht="15.75" customHeight="1" x14ac:dyDescent="0.25">
      <c r="D718" s="75"/>
      <c r="E718" s="75"/>
    </row>
    <row r="719" spans="4:5" ht="15.75" customHeight="1" x14ac:dyDescent="0.25">
      <c r="D719" s="75"/>
      <c r="E719" s="75"/>
    </row>
    <row r="720" spans="4:5" ht="15.75" customHeight="1" x14ac:dyDescent="0.25">
      <c r="D720" s="75"/>
      <c r="E720" s="75"/>
    </row>
    <row r="721" spans="4:5" ht="15.75" customHeight="1" x14ac:dyDescent="0.25">
      <c r="D721" s="75"/>
      <c r="E721" s="75"/>
    </row>
    <row r="722" spans="4:5" ht="15.75" customHeight="1" x14ac:dyDescent="0.25">
      <c r="D722" s="75"/>
      <c r="E722" s="75"/>
    </row>
    <row r="723" spans="4:5" ht="15.75" customHeight="1" x14ac:dyDescent="0.25">
      <c r="D723" s="75"/>
      <c r="E723" s="75"/>
    </row>
    <row r="724" spans="4:5" ht="15.75" customHeight="1" x14ac:dyDescent="0.25">
      <c r="D724" s="75"/>
      <c r="E724" s="75"/>
    </row>
    <row r="725" spans="4:5" ht="15.75" customHeight="1" x14ac:dyDescent="0.25">
      <c r="D725" s="75"/>
      <c r="E725" s="75"/>
    </row>
    <row r="726" spans="4:5" ht="15.75" customHeight="1" x14ac:dyDescent="0.25">
      <c r="D726" s="75"/>
      <c r="E726" s="75"/>
    </row>
    <row r="727" spans="4:5" ht="15.75" customHeight="1" x14ac:dyDescent="0.25">
      <c r="D727" s="75"/>
      <c r="E727" s="75"/>
    </row>
    <row r="728" spans="4:5" ht="15.75" customHeight="1" x14ac:dyDescent="0.25">
      <c r="D728" s="75"/>
      <c r="E728" s="75"/>
    </row>
    <row r="729" spans="4:5" ht="15.75" customHeight="1" x14ac:dyDescent="0.25">
      <c r="D729" s="75"/>
      <c r="E729" s="75"/>
    </row>
    <row r="730" spans="4:5" ht="15.75" customHeight="1" x14ac:dyDescent="0.25">
      <c r="D730" s="75"/>
      <c r="E730" s="75"/>
    </row>
    <row r="731" spans="4:5" ht="15.75" customHeight="1" x14ac:dyDescent="0.25">
      <c r="D731" s="75"/>
      <c r="E731" s="75"/>
    </row>
    <row r="732" spans="4:5" ht="15.75" customHeight="1" x14ac:dyDescent="0.25">
      <c r="D732" s="75"/>
      <c r="E732" s="75"/>
    </row>
    <row r="733" spans="4:5" ht="15.75" customHeight="1" x14ac:dyDescent="0.25">
      <c r="D733" s="75"/>
      <c r="E733" s="75"/>
    </row>
    <row r="734" spans="4:5" ht="15.75" customHeight="1" x14ac:dyDescent="0.25">
      <c r="D734" s="75"/>
      <c r="E734" s="75"/>
    </row>
    <row r="735" spans="4:5" ht="15.75" customHeight="1" x14ac:dyDescent="0.25">
      <c r="D735" s="75"/>
      <c r="E735" s="75"/>
    </row>
    <row r="736" spans="4:5" ht="15.75" customHeight="1" x14ac:dyDescent="0.25">
      <c r="D736" s="75"/>
      <c r="E736" s="75"/>
    </row>
    <row r="737" spans="4:5" ht="15.75" customHeight="1" x14ac:dyDescent="0.25">
      <c r="D737" s="75"/>
      <c r="E737" s="75"/>
    </row>
    <row r="738" spans="4:5" ht="15.75" customHeight="1" x14ac:dyDescent="0.25">
      <c r="D738" s="75"/>
      <c r="E738" s="75"/>
    </row>
    <row r="739" spans="4:5" ht="15.75" customHeight="1" x14ac:dyDescent="0.25">
      <c r="D739" s="75"/>
      <c r="E739" s="75"/>
    </row>
    <row r="740" spans="4:5" ht="15.75" customHeight="1" x14ac:dyDescent="0.25">
      <c r="D740" s="75"/>
      <c r="E740" s="75"/>
    </row>
    <row r="741" spans="4:5" ht="15.75" customHeight="1" x14ac:dyDescent="0.25">
      <c r="D741" s="75"/>
      <c r="E741" s="75"/>
    </row>
    <row r="742" spans="4:5" ht="15.75" customHeight="1" x14ac:dyDescent="0.25">
      <c r="D742" s="75"/>
      <c r="E742" s="75"/>
    </row>
    <row r="743" spans="4:5" ht="15.75" customHeight="1" x14ac:dyDescent="0.25">
      <c r="D743" s="75"/>
      <c r="E743" s="75"/>
    </row>
    <row r="744" spans="4:5" ht="15.75" customHeight="1" x14ac:dyDescent="0.25">
      <c r="D744" s="75"/>
      <c r="E744" s="75"/>
    </row>
    <row r="745" spans="4:5" ht="15.75" customHeight="1" x14ac:dyDescent="0.25">
      <c r="D745" s="75"/>
      <c r="E745" s="75"/>
    </row>
    <row r="746" spans="4:5" ht="15.75" customHeight="1" x14ac:dyDescent="0.25">
      <c r="D746" s="75"/>
      <c r="E746" s="75"/>
    </row>
    <row r="747" spans="4:5" ht="15.75" customHeight="1" x14ac:dyDescent="0.25">
      <c r="D747" s="75"/>
      <c r="E747" s="75"/>
    </row>
    <row r="748" spans="4:5" ht="15.75" customHeight="1" x14ac:dyDescent="0.25">
      <c r="D748" s="75"/>
      <c r="E748" s="75"/>
    </row>
    <row r="749" spans="4:5" ht="15.75" customHeight="1" x14ac:dyDescent="0.25">
      <c r="D749" s="75"/>
      <c r="E749" s="75"/>
    </row>
    <row r="750" spans="4:5" ht="15.75" customHeight="1" x14ac:dyDescent="0.25">
      <c r="D750" s="75"/>
      <c r="E750" s="75"/>
    </row>
    <row r="751" spans="4:5" ht="15.75" customHeight="1" x14ac:dyDescent="0.25">
      <c r="D751" s="75"/>
      <c r="E751" s="75"/>
    </row>
    <row r="752" spans="4:5" ht="15.75" customHeight="1" x14ac:dyDescent="0.25">
      <c r="D752" s="75"/>
      <c r="E752" s="75"/>
    </row>
    <row r="753" spans="4:5" ht="15.75" customHeight="1" x14ac:dyDescent="0.25">
      <c r="D753" s="75"/>
      <c r="E753" s="75"/>
    </row>
    <row r="754" spans="4:5" ht="15.75" customHeight="1" x14ac:dyDescent="0.25">
      <c r="D754" s="75"/>
      <c r="E754" s="75"/>
    </row>
    <row r="755" spans="4:5" ht="15.75" customHeight="1" x14ac:dyDescent="0.25">
      <c r="D755" s="75"/>
      <c r="E755" s="75"/>
    </row>
    <row r="756" spans="4:5" ht="15.75" customHeight="1" x14ac:dyDescent="0.25">
      <c r="D756" s="75"/>
      <c r="E756" s="75"/>
    </row>
    <row r="757" spans="4:5" ht="15.75" customHeight="1" x14ac:dyDescent="0.25">
      <c r="D757" s="75"/>
      <c r="E757" s="75"/>
    </row>
    <row r="758" spans="4:5" ht="15.75" customHeight="1" x14ac:dyDescent="0.25">
      <c r="D758" s="75"/>
      <c r="E758" s="75"/>
    </row>
    <row r="759" spans="4:5" ht="15.75" customHeight="1" x14ac:dyDescent="0.25">
      <c r="D759" s="75"/>
      <c r="E759" s="75"/>
    </row>
    <row r="760" spans="4:5" ht="15.75" customHeight="1" x14ac:dyDescent="0.25">
      <c r="D760" s="75"/>
      <c r="E760" s="75"/>
    </row>
    <row r="761" spans="4:5" ht="15.75" customHeight="1" x14ac:dyDescent="0.25">
      <c r="D761" s="75"/>
      <c r="E761" s="75"/>
    </row>
    <row r="762" spans="4:5" ht="15.75" customHeight="1" x14ac:dyDescent="0.25">
      <c r="D762" s="75"/>
      <c r="E762" s="75"/>
    </row>
    <row r="763" spans="4:5" ht="15.75" customHeight="1" x14ac:dyDescent="0.25">
      <c r="D763" s="75"/>
      <c r="E763" s="75"/>
    </row>
    <row r="764" spans="4:5" ht="15.75" customHeight="1" x14ac:dyDescent="0.25">
      <c r="D764" s="75"/>
      <c r="E764" s="75"/>
    </row>
    <row r="765" spans="4:5" ht="15.75" customHeight="1" x14ac:dyDescent="0.25">
      <c r="D765" s="75"/>
      <c r="E765" s="75"/>
    </row>
    <row r="766" spans="4:5" ht="15.75" customHeight="1" x14ac:dyDescent="0.25">
      <c r="D766" s="75"/>
      <c r="E766" s="75"/>
    </row>
    <row r="767" spans="4:5" ht="15.75" customHeight="1" x14ac:dyDescent="0.25">
      <c r="D767" s="75"/>
      <c r="E767" s="75"/>
    </row>
    <row r="768" spans="4:5" ht="15.75" customHeight="1" x14ac:dyDescent="0.25">
      <c r="D768" s="75"/>
      <c r="E768" s="75"/>
    </row>
    <row r="769" spans="4:5" ht="15.75" customHeight="1" x14ac:dyDescent="0.25">
      <c r="D769" s="75"/>
      <c r="E769" s="75"/>
    </row>
    <row r="770" spans="4:5" ht="15.75" customHeight="1" x14ac:dyDescent="0.25">
      <c r="D770" s="75"/>
      <c r="E770" s="75"/>
    </row>
    <row r="771" spans="4:5" ht="15.75" customHeight="1" x14ac:dyDescent="0.25">
      <c r="D771" s="75"/>
      <c r="E771" s="75"/>
    </row>
    <row r="772" spans="4:5" ht="15.75" customHeight="1" x14ac:dyDescent="0.25">
      <c r="D772" s="75"/>
      <c r="E772" s="75"/>
    </row>
    <row r="773" spans="4:5" ht="15.75" customHeight="1" x14ac:dyDescent="0.25">
      <c r="D773" s="75"/>
      <c r="E773" s="75"/>
    </row>
    <row r="774" spans="4:5" ht="15.75" customHeight="1" x14ac:dyDescent="0.25">
      <c r="D774" s="75"/>
      <c r="E774" s="75"/>
    </row>
    <row r="775" spans="4:5" ht="15.75" customHeight="1" x14ac:dyDescent="0.25">
      <c r="D775" s="75"/>
      <c r="E775" s="75"/>
    </row>
    <row r="776" spans="4:5" ht="15.75" customHeight="1" x14ac:dyDescent="0.25">
      <c r="D776" s="75"/>
      <c r="E776" s="75"/>
    </row>
    <row r="777" spans="4:5" ht="15.75" customHeight="1" x14ac:dyDescent="0.25">
      <c r="D777" s="75"/>
      <c r="E777" s="75"/>
    </row>
    <row r="778" spans="4:5" ht="15.75" customHeight="1" x14ac:dyDescent="0.25">
      <c r="D778" s="75"/>
      <c r="E778" s="75"/>
    </row>
    <row r="779" spans="4:5" ht="15.75" customHeight="1" x14ac:dyDescent="0.25">
      <c r="D779" s="75"/>
      <c r="E779" s="75"/>
    </row>
    <row r="780" spans="4:5" ht="15.75" customHeight="1" x14ac:dyDescent="0.25">
      <c r="D780" s="75"/>
      <c r="E780" s="75"/>
    </row>
    <row r="781" spans="4:5" ht="15.75" customHeight="1" x14ac:dyDescent="0.25">
      <c r="D781" s="75"/>
      <c r="E781" s="75"/>
    </row>
    <row r="782" spans="4:5" ht="15.75" customHeight="1" x14ac:dyDescent="0.25">
      <c r="D782" s="75"/>
      <c r="E782" s="75"/>
    </row>
    <row r="783" spans="4:5" ht="15.75" customHeight="1" x14ac:dyDescent="0.25">
      <c r="D783" s="75"/>
      <c r="E783" s="75"/>
    </row>
    <row r="784" spans="4:5" ht="15.75" customHeight="1" x14ac:dyDescent="0.25">
      <c r="D784" s="75"/>
      <c r="E784" s="75"/>
    </row>
    <row r="785" spans="4:5" ht="15.75" customHeight="1" x14ac:dyDescent="0.25">
      <c r="D785" s="75"/>
      <c r="E785" s="75"/>
    </row>
    <row r="786" spans="4:5" ht="15.75" customHeight="1" x14ac:dyDescent="0.25">
      <c r="D786" s="75"/>
      <c r="E786" s="75"/>
    </row>
    <row r="787" spans="4:5" ht="15.75" customHeight="1" x14ac:dyDescent="0.25">
      <c r="D787" s="75"/>
      <c r="E787" s="75"/>
    </row>
    <row r="788" spans="4:5" ht="15.75" customHeight="1" x14ac:dyDescent="0.25">
      <c r="D788" s="75"/>
      <c r="E788" s="75"/>
    </row>
    <row r="789" spans="4:5" ht="15.75" customHeight="1" x14ac:dyDescent="0.25">
      <c r="D789" s="75"/>
      <c r="E789" s="75"/>
    </row>
    <row r="790" spans="4:5" ht="15.75" customHeight="1" x14ac:dyDescent="0.25">
      <c r="D790" s="75"/>
      <c r="E790" s="75"/>
    </row>
    <row r="791" spans="4:5" ht="15.75" customHeight="1" x14ac:dyDescent="0.25">
      <c r="D791" s="75"/>
      <c r="E791" s="75"/>
    </row>
    <row r="792" spans="4:5" ht="15.75" customHeight="1" x14ac:dyDescent="0.25">
      <c r="D792" s="75"/>
      <c r="E792" s="75"/>
    </row>
    <row r="793" spans="4:5" ht="15.75" customHeight="1" x14ac:dyDescent="0.25">
      <c r="D793" s="75"/>
      <c r="E793" s="75"/>
    </row>
    <row r="794" spans="4:5" ht="15.75" customHeight="1" x14ac:dyDescent="0.25">
      <c r="D794" s="75"/>
      <c r="E794" s="75"/>
    </row>
    <row r="795" spans="4:5" ht="15.75" customHeight="1" x14ac:dyDescent="0.25">
      <c r="D795" s="75"/>
      <c r="E795" s="75"/>
    </row>
    <row r="796" spans="4:5" ht="15.75" customHeight="1" x14ac:dyDescent="0.25">
      <c r="D796" s="75"/>
      <c r="E796" s="75"/>
    </row>
    <row r="797" spans="4:5" ht="15.75" customHeight="1" x14ac:dyDescent="0.25">
      <c r="D797" s="75"/>
      <c r="E797" s="75"/>
    </row>
    <row r="798" spans="4:5" ht="15.75" customHeight="1" x14ac:dyDescent="0.25">
      <c r="D798" s="75"/>
      <c r="E798" s="75"/>
    </row>
    <row r="799" spans="4:5" ht="15.75" customHeight="1" x14ac:dyDescent="0.25">
      <c r="D799" s="75"/>
      <c r="E799" s="75"/>
    </row>
    <row r="800" spans="4:5" ht="15.75" customHeight="1" x14ac:dyDescent="0.25">
      <c r="D800" s="75"/>
      <c r="E800" s="75"/>
    </row>
    <row r="801" spans="4:5" ht="15.75" customHeight="1" x14ac:dyDescent="0.25">
      <c r="D801" s="75"/>
      <c r="E801" s="75"/>
    </row>
    <row r="802" spans="4:5" ht="15.75" customHeight="1" x14ac:dyDescent="0.25">
      <c r="D802" s="75"/>
      <c r="E802" s="75"/>
    </row>
    <row r="803" spans="4:5" ht="15.75" customHeight="1" x14ac:dyDescent="0.25">
      <c r="D803" s="75"/>
      <c r="E803" s="75"/>
    </row>
    <row r="804" spans="4:5" ht="15.75" customHeight="1" x14ac:dyDescent="0.25">
      <c r="D804" s="75"/>
      <c r="E804" s="75"/>
    </row>
    <row r="805" spans="4:5" ht="15.75" customHeight="1" x14ac:dyDescent="0.25">
      <c r="D805" s="75"/>
      <c r="E805" s="75"/>
    </row>
    <row r="806" spans="4:5" ht="15.75" customHeight="1" x14ac:dyDescent="0.25">
      <c r="D806" s="75"/>
      <c r="E806" s="75"/>
    </row>
    <row r="807" spans="4:5" ht="15.75" customHeight="1" x14ac:dyDescent="0.25">
      <c r="D807" s="75"/>
      <c r="E807" s="75"/>
    </row>
    <row r="808" spans="4:5" ht="15.75" customHeight="1" x14ac:dyDescent="0.25">
      <c r="D808" s="75"/>
      <c r="E808" s="75"/>
    </row>
    <row r="809" spans="4:5" ht="15.75" customHeight="1" x14ac:dyDescent="0.25">
      <c r="D809" s="75"/>
      <c r="E809" s="75"/>
    </row>
    <row r="810" spans="4:5" ht="15.75" customHeight="1" x14ac:dyDescent="0.25">
      <c r="D810" s="75"/>
      <c r="E810" s="75"/>
    </row>
    <row r="811" spans="4:5" ht="15.75" customHeight="1" x14ac:dyDescent="0.25">
      <c r="D811" s="75"/>
      <c r="E811" s="75"/>
    </row>
    <row r="812" spans="4:5" ht="15.75" customHeight="1" x14ac:dyDescent="0.25">
      <c r="D812" s="75"/>
      <c r="E812" s="75"/>
    </row>
    <row r="813" spans="4:5" ht="15.75" customHeight="1" x14ac:dyDescent="0.25">
      <c r="D813" s="75"/>
      <c r="E813" s="75"/>
    </row>
    <row r="814" spans="4:5" ht="15.75" customHeight="1" x14ac:dyDescent="0.25">
      <c r="D814" s="75"/>
      <c r="E814" s="75"/>
    </row>
    <row r="815" spans="4:5" ht="15.75" customHeight="1" x14ac:dyDescent="0.25">
      <c r="D815" s="75"/>
      <c r="E815" s="75"/>
    </row>
    <row r="816" spans="4:5" ht="15.75" customHeight="1" x14ac:dyDescent="0.25">
      <c r="D816" s="75"/>
      <c r="E816" s="75"/>
    </row>
    <row r="817" spans="4:5" ht="15.75" customHeight="1" x14ac:dyDescent="0.25">
      <c r="D817" s="75"/>
      <c r="E817" s="75"/>
    </row>
    <row r="818" spans="4:5" ht="15.75" customHeight="1" x14ac:dyDescent="0.25">
      <c r="D818" s="75"/>
      <c r="E818" s="75"/>
    </row>
    <row r="819" spans="4:5" ht="15.75" customHeight="1" x14ac:dyDescent="0.25">
      <c r="D819" s="75"/>
      <c r="E819" s="75"/>
    </row>
    <row r="820" spans="4:5" ht="15.75" customHeight="1" x14ac:dyDescent="0.25">
      <c r="D820" s="75"/>
      <c r="E820" s="75"/>
    </row>
    <row r="821" spans="4:5" ht="15.75" customHeight="1" x14ac:dyDescent="0.25">
      <c r="D821" s="75"/>
      <c r="E821" s="75"/>
    </row>
    <row r="822" spans="4:5" ht="15.75" customHeight="1" x14ac:dyDescent="0.25">
      <c r="D822" s="75"/>
      <c r="E822" s="75"/>
    </row>
    <row r="823" spans="4:5" ht="15.75" customHeight="1" x14ac:dyDescent="0.25">
      <c r="D823" s="75"/>
      <c r="E823" s="75"/>
    </row>
    <row r="824" spans="4:5" ht="15.75" customHeight="1" x14ac:dyDescent="0.25">
      <c r="D824" s="75"/>
      <c r="E824" s="75"/>
    </row>
    <row r="825" spans="4:5" ht="15.75" customHeight="1" x14ac:dyDescent="0.25">
      <c r="D825" s="75"/>
      <c r="E825" s="75"/>
    </row>
    <row r="826" spans="4:5" ht="15.75" customHeight="1" x14ac:dyDescent="0.25">
      <c r="D826" s="75"/>
      <c r="E826" s="75"/>
    </row>
    <row r="827" spans="4:5" ht="15.75" customHeight="1" x14ac:dyDescent="0.25">
      <c r="D827" s="75"/>
      <c r="E827" s="75"/>
    </row>
    <row r="828" spans="4:5" ht="15.75" customHeight="1" x14ac:dyDescent="0.25">
      <c r="D828" s="75"/>
      <c r="E828" s="75"/>
    </row>
    <row r="829" spans="4:5" ht="15.75" customHeight="1" x14ac:dyDescent="0.25">
      <c r="D829" s="75"/>
      <c r="E829" s="75"/>
    </row>
    <row r="830" spans="4:5" ht="15.75" customHeight="1" x14ac:dyDescent="0.25">
      <c r="D830" s="75"/>
      <c r="E830" s="75"/>
    </row>
    <row r="831" spans="4:5" ht="15.75" customHeight="1" x14ac:dyDescent="0.25">
      <c r="D831" s="75"/>
      <c r="E831" s="75"/>
    </row>
    <row r="832" spans="4:5" ht="15.75" customHeight="1" x14ac:dyDescent="0.25">
      <c r="D832" s="75"/>
      <c r="E832" s="75"/>
    </row>
    <row r="833" spans="4:5" ht="15.75" customHeight="1" x14ac:dyDescent="0.25">
      <c r="D833" s="75"/>
      <c r="E833" s="75"/>
    </row>
    <row r="834" spans="4:5" ht="15.75" customHeight="1" x14ac:dyDescent="0.25">
      <c r="D834" s="75"/>
      <c r="E834" s="75"/>
    </row>
    <row r="835" spans="4:5" ht="15.75" customHeight="1" x14ac:dyDescent="0.25">
      <c r="D835" s="75"/>
      <c r="E835" s="75"/>
    </row>
    <row r="836" spans="4:5" ht="15.75" customHeight="1" x14ac:dyDescent="0.25">
      <c r="D836" s="75"/>
      <c r="E836" s="75"/>
    </row>
    <row r="837" spans="4:5" ht="15.75" customHeight="1" x14ac:dyDescent="0.25">
      <c r="D837" s="75"/>
      <c r="E837" s="75"/>
    </row>
    <row r="838" spans="4:5" ht="15.75" customHeight="1" x14ac:dyDescent="0.25">
      <c r="D838" s="75"/>
      <c r="E838" s="75"/>
    </row>
    <row r="839" spans="4:5" ht="15.75" customHeight="1" x14ac:dyDescent="0.25">
      <c r="D839" s="75"/>
      <c r="E839" s="75"/>
    </row>
    <row r="840" spans="4:5" ht="15.75" customHeight="1" x14ac:dyDescent="0.25">
      <c r="D840" s="75"/>
      <c r="E840" s="75"/>
    </row>
    <row r="841" spans="4:5" ht="15.75" customHeight="1" x14ac:dyDescent="0.25">
      <c r="D841" s="75"/>
      <c r="E841" s="75"/>
    </row>
    <row r="842" spans="4:5" ht="15.75" customHeight="1" x14ac:dyDescent="0.25">
      <c r="D842" s="75"/>
      <c r="E842" s="75"/>
    </row>
    <row r="843" spans="4:5" ht="15.75" customHeight="1" x14ac:dyDescent="0.25">
      <c r="D843" s="75"/>
      <c r="E843" s="75"/>
    </row>
    <row r="844" spans="4:5" ht="15.75" customHeight="1" x14ac:dyDescent="0.25">
      <c r="D844" s="75"/>
      <c r="E844" s="75"/>
    </row>
    <row r="845" spans="4:5" ht="15.75" customHeight="1" x14ac:dyDescent="0.25">
      <c r="D845" s="75"/>
      <c r="E845" s="75"/>
    </row>
    <row r="846" spans="4:5" ht="15.75" customHeight="1" x14ac:dyDescent="0.25">
      <c r="D846" s="75"/>
      <c r="E846" s="75"/>
    </row>
    <row r="847" spans="4:5" ht="15.75" customHeight="1" x14ac:dyDescent="0.25">
      <c r="D847" s="75"/>
      <c r="E847" s="75"/>
    </row>
    <row r="848" spans="4:5" ht="15.75" customHeight="1" x14ac:dyDescent="0.25">
      <c r="D848" s="75"/>
      <c r="E848" s="75"/>
    </row>
    <row r="849" spans="4:5" ht="15.75" customHeight="1" x14ac:dyDescent="0.25">
      <c r="D849" s="75"/>
      <c r="E849" s="75"/>
    </row>
    <row r="850" spans="4:5" ht="15.75" customHeight="1" x14ac:dyDescent="0.25">
      <c r="D850" s="75"/>
      <c r="E850" s="75"/>
    </row>
    <row r="851" spans="4:5" ht="15.75" customHeight="1" x14ac:dyDescent="0.25">
      <c r="D851" s="75"/>
      <c r="E851" s="75"/>
    </row>
    <row r="852" spans="4:5" ht="15.75" customHeight="1" x14ac:dyDescent="0.25">
      <c r="D852" s="75"/>
      <c r="E852" s="75"/>
    </row>
    <row r="853" spans="4:5" ht="15.75" customHeight="1" x14ac:dyDescent="0.25">
      <c r="D853" s="75"/>
      <c r="E853" s="75"/>
    </row>
    <row r="854" spans="4:5" ht="15.75" customHeight="1" x14ac:dyDescent="0.25">
      <c r="D854" s="75"/>
      <c r="E854" s="75"/>
    </row>
    <row r="855" spans="4:5" ht="15.75" customHeight="1" x14ac:dyDescent="0.25">
      <c r="D855" s="75"/>
      <c r="E855" s="75"/>
    </row>
    <row r="856" spans="4:5" ht="15.75" customHeight="1" x14ac:dyDescent="0.25">
      <c r="D856" s="75"/>
      <c r="E856" s="75"/>
    </row>
    <row r="857" spans="4:5" ht="15.75" customHeight="1" x14ac:dyDescent="0.25">
      <c r="D857" s="75"/>
      <c r="E857" s="75"/>
    </row>
    <row r="858" spans="4:5" ht="15.75" customHeight="1" x14ac:dyDescent="0.25">
      <c r="D858" s="75"/>
      <c r="E858" s="75"/>
    </row>
    <row r="859" spans="4:5" ht="15.75" customHeight="1" x14ac:dyDescent="0.25">
      <c r="D859" s="75"/>
      <c r="E859" s="75"/>
    </row>
    <row r="860" spans="4:5" ht="15.75" customHeight="1" x14ac:dyDescent="0.25">
      <c r="D860" s="75"/>
      <c r="E860" s="75"/>
    </row>
    <row r="861" spans="4:5" ht="15.75" customHeight="1" x14ac:dyDescent="0.25">
      <c r="D861" s="75"/>
      <c r="E861" s="75"/>
    </row>
    <row r="862" spans="4:5" ht="15.75" customHeight="1" x14ac:dyDescent="0.25">
      <c r="D862" s="75"/>
      <c r="E862" s="75"/>
    </row>
    <row r="863" spans="4:5" ht="15.75" customHeight="1" x14ac:dyDescent="0.25">
      <c r="D863" s="75"/>
      <c r="E863" s="75"/>
    </row>
    <row r="864" spans="4:5" ht="15.75" customHeight="1" x14ac:dyDescent="0.25">
      <c r="D864" s="75"/>
      <c r="E864" s="75"/>
    </row>
    <row r="865" spans="4:5" ht="15.75" customHeight="1" x14ac:dyDescent="0.25">
      <c r="D865" s="75"/>
      <c r="E865" s="75"/>
    </row>
    <row r="866" spans="4:5" ht="15.75" customHeight="1" x14ac:dyDescent="0.25">
      <c r="D866" s="75"/>
      <c r="E866" s="75"/>
    </row>
    <row r="867" spans="4:5" ht="15.75" customHeight="1" x14ac:dyDescent="0.25">
      <c r="D867" s="75"/>
      <c r="E867" s="75"/>
    </row>
    <row r="868" spans="4:5" ht="15.75" customHeight="1" x14ac:dyDescent="0.25">
      <c r="D868" s="75"/>
      <c r="E868" s="75"/>
    </row>
    <row r="869" spans="4:5" ht="15.75" customHeight="1" x14ac:dyDescent="0.25">
      <c r="D869" s="75"/>
      <c r="E869" s="75"/>
    </row>
    <row r="870" spans="4:5" ht="15.75" customHeight="1" x14ac:dyDescent="0.25">
      <c r="D870" s="75"/>
      <c r="E870" s="75"/>
    </row>
    <row r="871" spans="4:5" ht="15.75" customHeight="1" x14ac:dyDescent="0.25">
      <c r="D871" s="75"/>
      <c r="E871" s="75"/>
    </row>
    <row r="872" spans="4:5" ht="15.75" customHeight="1" x14ac:dyDescent="0.25">
      <c r="D872" s="75"/>
      <c r="E872" s="75"/>
    </row>
    <row r="873" spans="4:5" ht="15.75" customHeight="1" x14ac:dyDescent="0.25">
      <c r="D873" s="75"/>
      <c r="E873" s="75"/>
    </row>
    <row r="874" spans="4:5" ht="15.75" customHeight="1" x14ac:dyDescent="0.25">
      <c r="D874" s="75"/>
      <c r="E874" s="75"/>
    </row>
    <row r="875" spans="4:5" ht="15.75" customHeight="1" x14ac:dyDescent="0.25">
      <c r="D875" s="75"/>
      <c r="E875" s="75"/>
    </row>
    <row r="876" spans="4:5" ht="15.75" customHeight="1" x14ac:dyDescent="0.25">
      <c r="D876" s="75"/>
      <c r="E876" s="75"/>
    </row>
    <row r="877" spans="4:5" ht="15.75" customHeight="1" x14ac:dyDescent="0.25">
      <c r="D877" s="75"/>
      <c r="E877" s="75"/>
    </row>
    <row r="878" spans="4:5" ht="15.75" customHeight="1" x14ac:dyDescent="0.25">
      <c r="D878" s="75"/>
      <c r="E878" s="75"/>
    </row>
    <row r="879" spans="4:5" ht="15.75" customHeight="1" x14ac:dyDescent="0.25">
      <c r="D879" s="75"/>
      <c r="E879" s="75"/>
    </row>
    <row r="880" spans="4:5" ht="15.75" customHeight="1" x14ac:dyDescent="0.25">
      <c r="D880" s="75"/>
      <c r="E880" s="75"/>
    </row>
    <row r="881" spans="4:5" ht="15.75" customHeight="1" x14ac:dyDescent="0.25">
      <c r="D881" s="75"/>
      <c r="E881" s="75"/>
    </row>
    <row r="882" spans="4:5" ht="15.75" customHeight="1" x14ac:dyDescent="0.25">
      <c r="D882" s="75"/>
      <c r="E882" s="75"/>
    </row>
    <row r="883" spans="4:5" ht="15.75" customHeight="1" x14ac:dyDescent="0.25">
      <c r="D883" s="75"/>
      <c r="E883" s="75"/>
    </row>
    <row r="884" spans="4:5" ht="15.75" customHeight="1" x14ac:dyDescent="0.25">
      <c r="D884" s="75"/>
      <c r="E884" s="75"/>
    </row>
    <row r="885" spans="4:5" ht="15.75" customHeight="1" x14ac:dyDescent="0.25">
      <c r="D885" s="75"/>
      <c r="E885" s="75"/>
    </row>
    <row r="886" spans="4:5" ht="15.75" customHeight="1" x14ac:dyDescent="0.25">
      <c r="D886" s="75"/>
      <c r="E886" s="75"/>
    </row>
    <row r="887" spans="4:5" ht="15.75" customHeight="1" x14ac:dyDescent="0.25">
      <c r="D887" s="75"/>
      <c r="E887" s="75"/>
    </row>
    <row r="888" spans="4:5" ht="15.75" customHeight="1" x14ac:dyDescent="0.25">
      <c r="D888" s="75"/>
      <c r="E888" s="75"/>
    </row>
    <row r="889" spans="4:5" ht="15.75" customHeight="1" x14ac:dyDescent="0.25">
      <c r="D889" s="75"/>
      <c r="E889" s="75"/>
    </row>
    <row r="890" spans="4:5" ht="15.75" customHeight="1" x14ac:dyDescent="0.25">
      <c r="D890" s="75"/>
      <c r="E890" s="75"/>
    </row>
    <row r="891" spans="4:5" ht="15.75" customHeight="1" x14ac:dyDescent="0.25">
      <c r="D891" s="75"/>
      <c r="E891" s="75"/>
    </row>
    <row r="892" spans="4:5" ht="15.75" customHeight="1" x14ac:dyDescent="0.25">
      <c r="D892" s="75"/>
      <c r="E892" s="75"/>
    </row>
    <row r="893" spans="4:5" ht="15.75" customHeight="1" x14ac:dyDescent="0.25">
      <c r="D893" s="75"/>
      <c r="E893" s="75"/>
    </row>
    <row r="894" spans="4:5" ht="15.75" customHeight="1" x14ac:dyDescent="0.25">
      <c r="D894" s="75"/>
      <c r="E894" s="75"/>
    </row>
    <row r="895" spans="4:5" ht="15.75" customHeight="1" x14ac:dyDescent="0.25">
      <c r="D895" s="75"/>
      <c r="E895" s="75"/>
    </row>
    <row r="896" spans="4:5" ht="15.75" customHeight="1" x14ac:dyDescent="0.25">
      <c r="D896" s="75"/>
      <c r="E896" s="75"/>
    </row>
    <row r="897" spans="4:5" ht="15.75" customHeight="1" x14ac:dyDescent="0.25">
      <c r="D897" s="75"/>
      <c r="E897" s="75"/>
    </row>
    <row r="898" spans="4:5" ht="15.75" customHeight="1" x14ac:dyDescent="0.25">
      <c r="D898" s="75"/>
      <c r="E898" s="75"/>
    </row>
    <row r="899" spans="4:5" ht="15.75" customHeight="1" x14ac:dyDescent="0.25">
      <c r="D899" s="75"/>
      <c r="E899" s="75"/>
    </row>
    <row r="900" spans="4:5" ht="15.75" customHeight="1" x14ac:dyDescent="0.25">
      <c r="D900" s="75"/>
      <c r="E900" s="75"/>
    </row>
    <row r="901" spans="4:5" ht="15.75" customHeight="1" x14ac:dyDescent="0.25">
      <c r="D901" s="75"/>
      <c r="E901" s="75"/>
    </row>
    <row r="902" spans="4:5" ht="15.75" customHeight="1" x14ac:dyDescent="0.25">
      <c r="D902" s="75"/>
      <c r="E902" s="75"/>
    </row>
    <row r="903" spans="4:5" ht="15.75" customHeight="1" x14ac:dyDescent="0.25">
      <c r="D903" s="75"/>
      <c r="E903" s="75"/>
    </row>
    <row r="904" spans="4:5" ht="15.75" customHeight="1" x14ac:dyDescent="0.25">
      <c r="D904" s="75"/>
      <c r="E904" s="75"/>
    </row>
    <row r="905" spans="4:5" ht="15.75" customHeight="1" x14ac:dyDescent="0.25">
      <c r="D905" s="75"/>
      <c r="E905" s="75"/>
    </row>
    <row r="906" spans="4:5" ht="15.75" customHeight="1" x14ac:dyDescent="0.25">
      <c r="D906" s="75"/>
      <c r="E906" s="75"/>
    </row>
    <row r="907" spans="4:5" ht="15.75" customHeight="1" x14ac:dyDescent="0.25">
      <c r="D907" s="75"/>
      <c r="E907" s="75"/>
    </row>
    <row r="908" spans="4:5" ht="15.75" customHeight="1" x14ac:dyDescent="0.25">
      <c r="D908" s="75"/>
      <c r="E908" s="75"/>
    </row>
    <row r="909" spans="4:5" ht="15.75" customHeight="1" x14ac:dyDescent="0.25">
      <c r="D909" s="75"/>
      <c r="E909" s="75"/>
    </row>
    <row r="910" spans="4:5" ht="15.75" customHeight="1" x14ac:dyDescent="0.25">
      <c r="D910" s="75"/>
      <c r="E910" s="75"/>
    </row>
    <row r="911" spans="4:5" ht="15.75" customHeight="1" x14ac:dyDescent="0.25">
      <c r="D911" s="75"/>
      <c r="E911" s="75"/>
    </row>
    <row r="912" spans="4:5" ht="15.75" customHeight="1" x14ac:dyDescent="0.25">
      <c r="D912" s="75"/>
      <c r="E912" s="75"/>
    </row>
    <row r="913" spans="4:5" ht="15.75" customHeight="1" x14ac:dyDescent="0.25">
      <c r="D913" s="75"/>
      <c r="E913" s="75"/>
    </row>
    <row r="914" spans="4:5" ht="15.75" customHeight="1" x14ac:dyDescent="0.25">
      <c r="D914" s="75"/>
      <c r="E914" s="75"/>
    </row>
    <row r="915" spans="4:5" ht="15.75" customHeight="1" x14ac:dyDescent="0.25">
      <c r="D915" s="75"/>
      <c r="E915" s="75"/>
    </row>
    <row r="916" spans="4:5" ht="15.75" customHeight="1" x14ac:dyDescent="0.25">
      <c r="D916" s="75"/>
      <c r="E916" s="75"/>
    </row>
    <row r="917" spans="4:5" ht="15.75" customHeight="1" x14ac:dyDescent="0.25">
      <c r="D917" s="75"/>
      <c r="E917" s="75"/>
    </row>
    <row r="918" spans="4:5" ht="15.75" customHeight="1" x14ac:dyDescent="0.25">
      <c r="D918" s="75"/>
      <c r="E918" s="75"/>
    </row>
    <row r="919" spans="4:5" ht="15.75" customHeight="1" x14ac:dyDescent="0.25">
      <c r="D919" s="75"/>
      <c r="E919" s="75"/>
    </row>
    <row r="920" spans="4:5" ht="15.75" customHeight="1" x14ac:dyDescent="0.25">
      <c r="D920" s="75"/>
      <c r="E920" s="75"/>
    </row>
    <row r="921" spans="4:5" ht="15.75" customHeight="1" x14ac:dyDescent="0.25">
      <c r="D921" s="75"/>
      <c r="E921" s="75"/>
    </row>
    <row r="922" spans="4:5" ht="15.75" customHeight="1" x14ac:dyDescent="0.25">
      <c r="D922" s="75"/>
      <c r="E922" s="75"/>
    </row>
    <row r="923" spans="4:5" ht="15.75" customHeight="1" x14ac:dyDescent="0.25">
      <c r="D923" s="75"/>
      <c r="E923" s="75"/>
    </row>
    <row r="924" spans="4:5" ht="15.75" customHeight="1" x14ac:dyDescent="0.25">
      <c r="D924" s="75"/>
      <c r="E924" s="75"/>
    </row>
    <row r="925" spans="4:5" ht="15.75" customHeight="1" x14ac:dyDescent="0.25">
      <c r="D925" s="75"/>
      <c r="E925" s="75"/>
    </row>
    <row r="926" spans="4:5" ht="15.75" customHeight="1" x14ac:dyDescent="0.25">
      <c r="D926" s="75"/>
      <c r="E926" s="75"/>
    </row>
    <row r="927" spans="4:5" ht="15.75" customHeight="1" x14ac:dyDescent="0.25">
      <c r="D927" s="75"/>
      <c r="E927" s="75"/>
    </row>
    <row r="928" spans="4:5" ht="15.75" customHeight="1" x14ac:dyDescent="0.25">
      <c r="D928" s="75"/>
      <c r="E928" s="75"/>
    </row>
    <row r="929" spans="4:5" ht="15.75" customHeight="1" x14ac:dyDescent="0.25">
      <c r="D929" s="75"/>
      <c r="E929" s="75"/>
    </row>
    <row r="930" spans="4:5" ht="15.75" customHeight="1" x14ac:dyDescent="0.25">
      <c r="D930" s="75"/>
      <c r="E930" s="75"/>
    </row>
    <row r="931" spans="4:5" ht="15.75" customHeight="1" x14ac:dyDescent="0.25">
      <c r="D931" s="75"/>
      <c r="E931" s="75"/>
    </row>
    <row r="932" spans="4:5" ht="15.75" customHeight="1" x14ac:dyDescent="0.25">
      <c r="D932" s="75"/>
      <c r="E932" s="75"/>
    </row>
    <row r="933" spans="4:5" ht="15.75" customHeight="1" x14ac:dyDescent="0.25">
      <c r="D933" s="75"/>
      <c r="E933" s="75"/>
    </row>
    <row r="934" spans="4:5" ht="15.75" customHeight="1" x14ac:dyDescent="0.25">
      <c r="D934" s="75"/>
      <c r="E934" s="75"/>
    </row>
    <row r="935" spans="4:5" ht="15.75" customHeight="1" x14ac:dyDescent="0.25">
      <c r="D935" s="75"/>
      <c r="E935" s="75"/>
    </row>
    <row r="936" spans="4:5" ht="15.75" customHeight="1" x14ac:dyDescent="0.25">
      <c r="D936" s="75"/>
      <c r="E936" s="75"/>
    </row>
    <row r="937" spans="4:5" ht="15.75" customHeight="1" x14ac:dyDescent="0.25">
      <c r="D937" s="75"/>
      <c r="E937" s="75"/>
    </row>
    <row r="938" spans="4:5" ht="15.75" customHeight="1" x14ac:dyDescent="0.25">
      <c r="D938" s="75"/>
      <c r="E938" s="75"/>
    </row>
    <row r="939" spans="4:5" ht="15.75" customHeight="1" x14ac:dyDescent="0.25">
      <c r="D939" s="75"/>
      <c r="E939" s="75"/>
    </row>
    <row r="940" spans="4:5" ht="15.75" customHeight="1" x14ac:dyDescent="0.25">
      <c r="D940" s="75"/>
      <c r="E940" s="75"/>
    </row>
    <row r="941" spans="4:5" ht="15.75" customHeight="1" x14ac:dyDescent="0.25">
      <c r="D941" s="75"/>
      <c r="E941" s="75"/>
    </row>
    <row r="942" spans="4:5" ht="15.75" customHeight="1" x14ac:dyDescent="0.25">
      <c r="D942" s="75"/>
      <c r="E942" s="75"/>
    </row>
    <row r="943" spans="4:5" ht="15.75" customHeight="1" x14ac:dyDescent="0.25">
      <c r="D943" s="75"/>
      <c r="E943" s="75"/>
    </row>
    <row r="944" spans="4:5" ht="15.75" customHeight="1" x14ac:dyDescent="0.25">
      <c r="D944" s="75"/>
      <c r="E944" s="75"/>
    </row>
    <row r="945" spans="4:5" ht="15.75" customHeight="1" x14ac:dyDescent="0.25">
      <c r="D945" s="75"/>
      <c r="E945" s="75"/>
    </row>
    <row r="946" spans="4:5" ht="15.75" customHeight="1" x14ac:dyDescent="0.25">
      <c r="D946" s="75"/>
      <c r="E946" s="75"/>
    </row>
    <row r="947" spans="4:5" ht="15.75" customHeight="1" x14ac:dyDescent="0.25">
      <c r="D947" s="75"/>
      <c r="E947" s="75"/>
    </row>
    <row r="948" spans="4:5" ht="15.75" customHeight="1" x14ac:dyDescent="0.25">
      <c r="D948" s="75"/>
      <c r="E948" s="75"/>
    </row>
    <row r="949" spans="4:5" ht="15.75" customHeight="1" x14ac:dyDescent="0.25">
      <c r="D949" s="75"/>
      <c r="E949" s="75"/>
    </row>
    <row r="950" spans="4:5" ht="15.75" customHeight="1" x14ac:dyDescent="0.25">
      <c r="D950" s="75"/>
      <c r="E950" s="75"/>
    </row>
    <row r="951" spans="4:5" ht="15.75" customHeight="1" x14ac:dyDescent="0.25">
      <c r="D951" s="75"/>
      <c r="E951" s="75"/>
    </row>
    <row r="952" spans="4:5" ht="15.75" customHeight="1" x14ac:dyDescent="0.25">
      <c r="D952" s="75"/>
      <c r="E952" s="75"/>
    </row>
    <row r="953" spans="4:5" ht="15.75" customHeight="1" x14ac:dyDescent="0.25">
      <c r="D953" s="75"/>
      <c r="E953" s="75"/>
    </row>
    <row r="954" spans="4:5" ht="15.75" customHeight="1" x14ac:dyDescent="0.25">
      <c r="D954" s="75"/>
      <c r="E954" s="75"/>
    </row>
    <row r="955" spans="4:5" ht="15.75" customHeight="1" x14ac:dyDescent="0.25">
      <c r="D955" s="75"/>
      <c r="E955" s="75"/>
    </row>
    <row r="956" spans="4:5" ht="15.75" customHeight="1" x14ac:dyDescent="0.25">
      <c r="D956" s="75"/>
      <c r="E956" s="75"/>
    </row>
    <row r="957" spans="4:5" ht="15.75" customHeight="1" x14ac:dyDescent="0.25">
      <c r="D957" s="75"/>
      <c r="E957" s="75"/>
    </row>
    <row r="958" spans="4:5" ht="15.75" customHeight="1" x14ac:dyDescent="0.25">
      <c r="D958" s="75"/>
      <c r="E958" s="75"/>
    </row>
    <row r="959" spans="4:5" ht="15.75" customHeight="1" x14ac:dyDescent="0.25">
      <c r="D959" s="75"/>
      <c r="E959" s="75"/>
    </row>
    <row r="960" spans="4:5" ht="15.75" customHeight="1" x14ac:dyDescent="0.25">
      <c r="D960" s="75"/>
      <c r="E960" s="75"/>
    </row>
    <row r="961" spans="4:5" ht="15.75" customHeight="1" x14ac:dyDescent="0.25">
      <c r="D961" s="75"/>
      <c r="E961" s="75"/>
    </row>
    <row r="962" spans="4:5" ht="15.75" customHeight="1" x14ac:dyDescent="0.25">
      <c r="D962" s="75"/>
      <c r="E962" s="75"/>
    </row>
    <row r="963" spans="4:5" ht="15.75" customHeight="1" x14ac:dyDescent="0.25">
      <c r="D963" s="75"/>
      <c r="E963" s="75"/>
    </row>
    <row r="964" spans="4:5" ht="15.75" customHeight="1" x14ac:dyDescent="0.25">
      <c r="D964" s="75"/>
      <c r="E964" s="75"/>
    </row>
    <row r="965" spans="4:5" ht="15.75" customHeight="1" x14ac:dyDescent="0.25">
      <c r="D965" s="75"/>
      <c r="E965" s="75"/>
    </row>
    <row r="966" spans="4:5" ht="15.75" customHeight="1" x14ac:dyDescent="0.25">
      <c r="D966" s="75"/>
      <c r="E966" s="75"/>
    </row>
    <row r="967" spans="4:5" ht="15.75" customHeight="1" x14ac:dyDescent="0.25">
      <c r="D967" s="75"/>
      <c r="E967" s="75"/>
    </row>
    <row r="968" spans="4:5" ht="15.75" customHeight="1" x14ac:dyDescent="0.25">
      <c r="D968" s="75"/>
      <c r="E968" s="75"/>
    </row>
    <row r="969" spans="4:5" ht="15.75" customHeight="1" x14ac:dyDescent="0.25">
      <c r="D969" s="75"/>
      <c r="E969" s="75"/>
    </row>
    <row r="970" spans="4:5" ht="15.75" customHeight="1" x14ac:dyDescent="0.25">
      <c r="D970" s="75"/>
      <c r="E970" s="75"/>
    </row>
    <row r="971" spans="4:5" ht="15.75" customHeight="1" x14ac:dyDescent="0.25">
      <c r="D971" s="75"/>
      <c r="E971" s="75"/>
    </row>
    <row r="972" spans="4:5" ht="15.75" customHeight="1" x14ac:dyDescent="0.25">
      <c r="D972" s="75"/>
      <c r="E972" s="75"/>
    </row>
    <row r="973" spans="4:5" ht="15.75" customHeight="1" x14ac:dyDescent="0.25">
      <c r="D973" s="75"/>
      <c r="E973" s="75"/>
    </row>
    <row r="974" spans="4:5" ht="15.75" customHeight="1" x14ac:dyDescent="0.25">
      <c r="D974" s="75"/>
      <c r="E974" s="75"/>
    </row>
    <row r="975" spans="4:5" ht="15.75" customHeight="1" x14ac:dyDescent="0.25">
      <c r="D975" s="75"/>
      <c r="E975" s="75"/>
    </row>
    <row r="976" spans="4:5" ht="15.75" customHeight="1" x14ac:dyDescent="0.25">
      <c r="D976" s="75"/>
      <c r="E976" s="75"/>
    </row>
    <row r="977" spans="4:5" ht="15.75" customHeight="1" x14ac:dyDescent="0.25">
      <c r="D977" s="75"/>
      <c r="E977" s="75"/>
    </row>
    <row r="978" spans="4:5" ht="15.75" customHeight="1" x14ac:dyDescent="0.25">
      <c r="D978" s="75"/>
      <c r="E978" s="75"/>
    </row>
    <row r="979" spans="4:5" ht="15.75" customHeight="1" x14ac:dyDescent="0.25">
      <c r="D979" s="75"/>
      <c r="E979" s="75"/>
    </row>
    <row r="980" spans="4:5" ht="15.75" customHeight="1" x14ac:dyDescent="0.25">
      <c r="D980" s="75"/>
      <c r="E980" s="75"/>
    </row>
    <row r="981" spans="4:5" ht="15.75" customHeight="1" x14ac:dyDescent="0.25">
      <c r="D981" s="75"/>
      <c r="E981" s="75"/>
    </row>
    <row r="982" spans="4:5" ht="15.75" customHeight="1" x14ac:dyDescent="0.25">
      <c r="D982" s="75"/>
      <c r="E982" s="75"/>
    </row>
    <row r="983" spans="4:5" ht="15.75" customHeight="1" x14ac:dyDescent="0.25">
      <c r="D983" s="75"/>
      <c r="E983" s="75"/>
    </row>
    <row r="984" spans="4:5" ht="15.75" customHeight="1" x14ac:dyDescent="0.25">
      <c r="D984" s="75"/>
      <c r="E984" s="75"/>
    </row>
    <row r="985" spans="4:5" ht="15.75" customHeight="1" x14ac:dyDescent="0.25">
      <c r="D985" s="75"/>
      <c r="E985" s="75"/>
    </row>
    <row r="986" spans="4:5" ht="15.75" customHeight="1" x14ac:dyDescent="0.25">
      <c r="D986" s="75"/>
      <c r="E986" s="75"/>
    </row>
    <row r="987" spans="4:5" ht="15.75" customHeight="1" x14ac:dyDescent="0.25">
      <c r="D987" s="75"/>
      <c r="E987" s="75"/>
    </row>
    <row r="988" spans="4:5" ht="15.75" customHeight="1" x14ac:dyDescent="0.25">
      <c r="D988" s="75"/>
      <c r="E988" s="75"/>
    </row>
    <row r="989" spans="4:5" ht="15.75" customHeight="1" x14ac:dyDescent="0.25">
      <c r="D989" s="75"/>
      <c r="E989" s="75"/>
    </row>
    <row r="990" spans="4:5" ht="15.75" customHeight="1" x14ac:dyDescent="0.25">
      <c r="D990" s="75"/>
      <c r="E990" s="75"/>
    </row>
    <row r="991" spans="4:5" ht="15.75" customHeight="1" x14ac:dyDescent="0.25">
      <c r="D991" s="75"/>
      <c r="E991" s="75"/>
    </row>
    <row r="992" spans="4:5" ht="15.75" customHeight="1" x14ac:dyDescent="0.25">
      <c r="D992" s="75"/>
      <c r="E992" s="75"/>
    </row>
    <row r="993" spans="4:5" ht="15.75" customHeight="1" x14ac:dyDescent="0.25">
      <c r="D993" s="75"/>
      <c r="E993" s="75"/>
    </row>
    <row r="994" spans="4:5" ht="15.75" customHeight="1" x14ac:dyDescent="0.25">
      <c r="D994" s="75"/>
      <c r="E994" s="75"/>
    </row>
    <row r="995" spans="4:5" ht="15.75" customHeight="1" x14ac:dyDescent="0.25">
      <c r="D995" s="75"/>
      <c r="E995" s="75"/>
    </row>
    <row r="996" spans="4:5" ht="15.75" customHeight="1" x14ac:dyDescent="0.25">
      <c r="D996" s="75"/>
      <c r="E996" s="75"/>
    </row>
    <row r="997" spans="4:5" ht="15.75" customHeight="1" x14ac:dyDescent="0.25">
      <c r="D997" s="75"/>
      <c r="E997" s="75"/>
    </row>
    <row r="998" spans="4:5" ht="15.75" customHeight="1" x14ac:dyDescent="0.25">
      <c r="D998" s="75"/>
      <c r="E998" s="75"/>
    </row>
    <row r="999" spans="4:5" ht="15.75" customHeight="1" x14ac:dyDescent="0.25">
      <c r="D999" s="75"/>
      <c r="E999" s="75"/>
    </row>
    <row r="1000" spans="4:5" ht="15.75" customHeight="1" x14ac:dyDescent="0.25">
      <c r="D1000" s="75"/>
      <c r="E1000" s="75"/>
    </row>
    <row r="1001" spans="4:5" ht="15.75" customHeight="1" x14ac:dyDescent="0.25">
      <c r="D1001" s="75"/>
      <c r="E1001" s="75"/>
    </row>
    <row r="1002" spans="4:5" ht="15.75" customHeight="1" x14ac:dyDescent="0.25">
      <c r="D1002" s="75"/>
      <c r="E1002" s="75"/>
    </row>
    <row r="1003" spans="4:5" ht="15.75" customHeight="1" x14ac:dyDescent="0.25">
      <c r="D1003" s="75"/>
      <c r="E1003" s="75"/>
    </row>
    <row r="1004" spans="4:5" ht="15.75" customHeight="1" x14ac:dyDescent="0.25">
      <c r="D1004" s="75"/>
      <c r="E1004" s="75"/>
    </row>
    <row r="1005" spans="4:5" ht="15.75" customHeight="1" x14ac:dyDescent="0.25">
      <c r="D1005" s="75"/>
      <c r="E1005" s="75"/>
    </row>
    <row r="1006" spans="4:5" ht="15.75" customHeight="1" x14ac:dyDescent="0.25">
      <c r="D1006" s="75"/>
      <c r="E1006" s="75"/>
    </row>
    <row r="1007" spans="4:5" ht="15.75" customHeight="1" x14ac:dyDescent="0.25">
      <c r="D1007" s="75"/>
      <c r="E1007" s="75"/>
    </row>
    <row r="1008" spans="4:5" ht="15.75" customHeight="1" x14ac:dyDescent="0.25">
      <c r="D1008" s="75"/>
      <c r="E1008" s="75"/>
    </row>
    <row r="1009" spans="4:5" ht="15.75" customHeight="1" x14ac:dyDescent="0.25">
      <c r="D1009" s="75"/>
      <c r="E1009" s="75"/>
    </row>
    <row r="1010" spans="4:5" ht="15.75" customHeight="1" x14ac:dyDescent="0.25">
      <c r="D1010" s="75"/>
      <c r="E1010" s="75"/>
    </row>
    <row r="1011" spans="4:5" ht="15.75" customHeight="1" x14ac:dyDescent="0.25">
      <c r="D1011" s="75"/>
      <c r="E1011" s="75"/>
    </row>
    <row r="1012" spans="4:5" ht="15.75" customHeight="1" x14ac:dyDescent="0.25">
      <c r="D1012" s="75"/>
      <c r="E1012" s="75"/>
    </row>
    <row r="1013" spans="4:5" ht="15.75" customHeight="1" x14ac:dyDescent="0.25">
      <c r="D1013" s="75"/>
      <c r="E1013" s="75"/>
    </row>
    <row r="1014" spans="4:5" ht="15.75" customHeight="1" x14ac:dyDescent="0.25">
      <c r="D1014" s="75"/>
      <c r="E1014" s="75"/>
    </row>
    <row r="1015" spans="4:5" ht="15.75" customHeight="1" x14ac:dyDescent="0.25">
      <c r="D1015" s="75"/>
      <c r="E1015" s="75"/>
    </row>
    <row r="1016" spans="4:5" ht="15.75" customHeight="1" x14ac:dyDescent="0.25">
      <c r="D1016" s="75"/>
      <c r="E1016" s="75"/>
    </row>
    <row r="1017" spans="4:5" ht="15.75" customHeight="1" x14ac:dyDescent="0.25">
      <c r="D1017" s="75"/>
      <c r="E1017" s="75"/>
    </row>
    <row r="1018" spans="4:5" ht="15.75" customHeight="1" x14ac:dyDescent="0.25">
      <c r="D1018" s="75"/>
      <c r="E1018" s="75"/>
    </row>
    <row r="1019" spans="4:5" ht="15.75" customHeight="1" x14ac:dyDescent="0.25">
      <c r="D1019" s="75"/>
      <c r="E1019" s="75"/>
    </row>
    <row r="1020" spans="4:5" ht="15.75" customHeight="1" x14ac:dyDescent="0.25">
      <c r="D1020" s="75"/>
      <c r="E1020" s="75"/>
    </row>
    <row r="1021" spans="4:5" ht="15.75" customHeight="1" x14ac:dyDescent="0.25">
      <c r="D1021" s="75"/>
      <c r="E1021" s="75"/>
    </row>
    <row r="1022" spans="4:5" ht="15.75" customHeight="1" x14ac:dyDescent="0.25">
      <c r="D1022" s="75"/>
      <c r="E1022" s="75"/>
    </row>
    <row r="1023" spans="4:5" ht="15.75" customHeight="1" x14ac:dyDescent="0.25">
      <c r="D1023" s="75"/>
      <c r="E1023" s="75"/>
    </row>
    <row r="1024" spans="4:5" ht="15.75" customHeight="1" x14ac:dyDescent="0.25">
      <c r="D1024" s="75"/>
      <c r="E1024" s="75"/>
    </row>
    <row r="1025" spans="4:5" ht="15.75" customHeight="1" x14ac:dyDescent="0.25">
      <c r="D1025" s="75"/>
      <c r="E1025" s="75"/>
    </row>
    <row r="1026" spans="4:5" ht="15.75" customHeight="1" x14ac:dyDescent="0.25">
      <c r="D1026" s="75"/>
      <c r="E1026" s="75"/>
    </row>
    <row r="1027" spans="4:5" ht="15.75" customHeight="1" x14ac:dyDescent="0.25">
      <c r="D1027" s="75"/>
      <c r="E1027" s="75"/>
    </row>
    <row r="1028" spans="4:5" ht="15.75" customHeight="1" x14ac:dyDescent="0.25">
      <c r="D1028" s="75"/>
      <c r="E1028" s="75"/>
    </row>
    <row r="1029" spans="4:5" ht="15.75" customHeight="1" x14ac:dyDescent="0.25">
      <c r="D1029" s="75"/>
      <c r="E1029" s="75"/>
    </row>
    <row r="1030" spans="4:5" ht="15.75" customHeight="1" x14ac:dyDescent="0.25">
      <c r="D1030" s="75"/>
      <c r="E1030" s="75"/>
    </row>
    <row r="1031" spans="4:5" ht="15.75" customHeight="1" x14ac:dyDescent="0.25">
      <c r="D1031" s="75"/>
      <c r="E1031" s="75"/>
    </row>
    <row r="1032" spans="4:5" ht="15.75" customHeight="1" x14ac:dyDescent="0.25">
      <c r="D1032" s="75"/>
      <c r="E1032" s="75"/>
    </row>
    <row r="1033" spans="4:5" ht="15.75" customHeight="1" x14ac:dyDescent="0.25">
      <c r="D1033" s="75"/>
      <c r="E1033" s="75"/>
    </row>
    <row r="1034" spans="4:5" ht="15.75" customHeight="1" x14ac:dyDescent="0.25">
      <c r="D1034" s="75"/>
      <c r="E1034" s="75"/>
    </row>
    <row r="1035" spans="4:5" ht="15.75" customHeight="1" x14ac:dyDescent="0.25">
      <c r="D1035" s="75"/>
      <c r="E1035" s="75"/>
    </row>
    <row r="1036" spans="4:5" ht="15.75" customHeight="1" x14ac:dyDescent="0.25">
      <c r="D1036" s="75"/>
      <c r="E1036" s="75"/>
    </row>
    <row r="1037" spans="4:5" ht="15.75" customHeight="1" x14ac:dyDescent="0.25">
      <c r="D1037" s="75"/>
      <c r="E1037" s="75"/>
    </row>
    <row r="1038" spans="4:5" x14ac:dyDescent="0.25"/>
  </sheetData>
  <sortState xmlns:xlrd2="http://schemas.microsoft.com/office/spreadsheetml/2017/richdata2" ref="D178:F207">
    <sortCondition ref="D178:D207"/>
  </sortState>
  <mergeCells count="4">
    <mergeCell ref="C418:D418"/>
    <mergeCell ref="C419:D419"/>
    <mergeCell ref="J296:K296"/>
    <mergeCell ref="J295:K295"/>
  </mergeCells>
  <phoneticPr fontId="9" type="noConversion"/>
  <pageMargins left="0.70866141732283472" right="0.70866141732283472" top="0.74803149606299213" bottom="0.74803149606299213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031"/>
  <sheetViews>
    <sheetView topLeftCell="A144" workbookViewId="0">
      <selection activeCell="G160" sqref="G160"/>
    </sheetView>
  </sheetViews>
  <sheetFormatPr defaultColWidth="12.625" defaultRowHeight="15" customHeight="1" x14ac:dyDescent="0.2"/>
  <cols>
    <col min="1" max="1" width="22.125" customWidth="1"/>
    <col min="2" max="2" width="101.625" customWidth="1"/>
    <col min="3" max="3" width="13.125" customWidth="1"/>
    <col min="4" max="4" width="22.625" customWidth="1"/>
    <col min="5" max="26" width="10" customWidth="1"/>
  </cols>
  <sheetData>
    <row r="2" spans="1:4" x14ac:dyDescent="0.25">
      <c r="A2" s="2" t="s">
        <v>38</v>
      </c>
    </row>
    <row r="3" spans="1:4" x14ac:dyDescent="0.25">
      <c r="A3" s="3" t="s">
        <v>39</v>
      </c>
      <c r="B3" s="4" t="s">
        <v>40</v>
      </c>
      <c r="C3" s="5" t="s">
        <v>41</v>
      </c>
      <c r="D3" s="6" t="s">
        <v>42</v>
      </c>
    </row>
    <row r="4" spans="1:4" x14ac:dyDescent="0.25">
      <c r="A4" s="7">
        <v>44505</v>
      </c>
      <c r="B4" s="8" t="s">
        <v>43</v>
      </c>
      <c r="C4" s="9">
        <v>1925063</v>
      </c>
      <c r="D4" s="10" t="s">
        <v>18</v>
      </c>
    </row>
    <row r="5" spans="1:4" x14ac:dyDescent="0.25">
      <c r="A5" s="11"/>
      <c r="B5" s="1" t="s">
        <v>44</v>
      </c>
      <c r="C5" s="12">
        <f>C4</f>
        <v>1925063</v>
      </c>
      <c r="D5" s="1"/>
    </row>
    <row r="7" spans="1:4" x14ac:dyDescent="0.25">
      <c r="A7" s="2" t="s">
        <v>45</v>
      </c>
    </row>
    <row r="8" spans="1:4" x14ac:dyDescent="0.25">
      <c r="A8" s="3" t="s">
        <v>39</v>
      </c>
      <c r="B8" s="4" t="s">
        <v>40</v>
      </c>
      <c r="C8" s="5" t="s">
        <v>41</v>
      </c>
      <c r="D8" s="6" t="s">
        <v>42</v>
      </c>
    </row>
    <row r="9" spans="1:4" x14ac:dyDescent="0.25">
      <c r="A9" s="7">
        <v>44427</v>
      </c>
      <c r="B9" s="8" t="s">
        <v>46</v>
      </c>
      <c r="C9" s="9">
        <v>30000</v>
      </c>
      <c r="D9" s="10"/>
    </row>
    <row r="10" spans="1:4" x14ac:dyDescent="0.25">
      <c r="A10" s="13">
        <v>44435</v>
      </c>
      <c r="B10" s="14" t="s">
        <v>47</v>
      </c>
      <c r="C10" s="15">
        <f>396388+29980</f>
        <v>426368</v>
      </c>
      <c r="D10" s="16" t="s">
        <v>18</v>
      </c>
    </row>
    <row r="11" spans="1:4" x14ac:dyDescent="0.25">
      <c r="A11" s="13">
        <v>44439</v>
      </c>
      <c r="B11" s="14" t="s">
        <v>48</v>
      </c>
      <c r="C11" s="15">
        <v>116461</v>
      </c>
      <c r="D11" s="17" t="s">
        <v>18</v>
      </c>
    </row>
    <row r="12" spans="1:4" x14ac:dyDescent="0.25">
      <c r="A12" s="13">
        <v>44439</v>
      </c>
      <c r="B12" s="14" t="s">
        <v>49</v>
      </c>
      <c r="C12" s="18">
        <v>1957550</v>
      </c>
      <c r="D12" s="16" t="s">
        <v>18</v>
      </c>
    </row>
    <row r="13" spans="1:4" x14ac:dyDescent="0.25">
      <c r="A13" s="13">
        <v>44439</v>
      </c>
      <c r="B13" s="19" t="s">
        <v>50</v>
      </c>
      <c r="C13" s="20">
        <v>2700</v>
      </c>
      <c r="D13" s="17" t="s">
        <v>18</v>
      </c>
    </row>
    <row r="14" spans="1:4" x14ac:dyDescent="0.25">
      <c r="A14" s="13">
        <v>44439</v>
      </c>
      <c r="B14" s="19" t="s">
        <v>51</v>
      </c>
      <c r="C14" s="20">
        <v>3700</v>
      </c>
      <c r="D14" s="17" t="s">
        <v>18</v>
      </c>
    </row>
    <row r="15" spans="1:4" x14ac:dyDescent="0.25">
      <c r="A15" s="13">
        <v>44439</v>
      </c>
      <c r="B15" s="19" t="s">
        <v>51</v>
      </c>
      <c r="C15" s="20">
        <v>3800</v>
      </c>
      <c r="D15" s="17" t="s">
        <v>18</v>
      </c>
    </row>
    <row r="16" spans="1:4" x14ac:dyDescent="0.25">
      <c r="A16" s="13">
        <v>44439</v>
      </c>
      <c r="B16" s="19" t="s">
        <v>52</v>
      </c>
      <c r="C16" s="20">
        <v>22000</v>
      </c>
      <c r="D16" s="17" t="s">
        <v>18</v>
      </c>
    </row>
    <row r="17" spans="1:4" x14ac:dyDescent="0.25">
      <c r="A17" s="13">
        <v>44439</v>
      </c>
      <c r="B17" s="19" t="s">
        <v>51</v>
      </c>
      <c r="C17" s="20">
        <v>5800</v>
      </c>
      <c r="D17" s="17" t="s">
        <v>18</v>
      </c>
    </row>
    <row r="18" spans="1:4" x14ac:dyDescent="0.25">
      <c r="A18" s="13">
        <v>44439</v>
      </c>
      <c r="B18" s="19" t="s">
        <v>50</v>
      </c>
      <c r="C18" s="20">
        <v>2800</v>
      </c>
      <c r="D18" s="17" t="s">
        <v>18</v>
      </c>
    </row>
    <row r="19" spans="1:4" x14ac:dyDescent="0.25">
      <c r="A19" s="13">
        <v>44440</v>
      </c>
      <c r="B19" s="19" t="s">
        <v>51</v>
      </c>
      <c r="C19" s="20">
        <v>10204</v>
      </c>
      <c r="D19" s="17" t="s">
        <v>18</v>
      </c>
    </row>
    <row r="20" spans="1:4" x14ac:dyDescent="0.25">
      <c r="A20" s="13">
        <v>44441</v>
      </c>
      <c r="B20" s="19" t="s">
        <v>51</v>
      </c>
      <c r="C20" s="20">
        <v>23958</v>
      </c>
      <c r="D20" s="17" t="s">
        <v>18</v>
      </c>
    </row>
    <row r="21" spans="1:4" ht="15.75" customHeight="1" x14ac:dyDescent="0.25">
      <c r="A21" s="13">
        <v>44441</v>
      </c>
      <c r="B21" s="19" t="s">
        <v>53</v>
      </c>
      <c r="C21" s="20">
        <v>34002</v>
      </c>
      <c r="D21" s="17" t="s">
        <v>18</v>
      </c>
    </row>
    <row r="22" spans="1:4" ht="15.75" customHeight="1" x14ac:dyDescent="0.25">
      <c r="A22" s="13">
        <v>44442</v>
      </c>
      <c r="B22" s="19" t="s">
        <v>51</v>
      </c>
      <c r="C22" s="20">
        <v>6650</v>
      </c>
      <c r="D22" s="17" t="s">
        <v>18</v>
      </c>
    </row>
    <row r="23" spans="1:4" ht="15.75" customHeight="1" x14ac:dyDescent="0.25">
      <c r="A23" s="13">
        <v>44442</v>
      </c>
      <c r="B23" s="19" t="s">
        <v>50</v>
      </c>
      <c r="C23" s="20">
        <v>2700</v>
      </c>
      <c r="D23" s="17" t="s">
        <v>18</v>
      </c>
    </row>
    <row r="24" spans="1:4" ht="15.75" customHeight="1" x14ac:dyDescent="0.25">
      <c r="A24" s="13">
        <v>44442</v>
      </c>
      <c r="B24" s="19" t="s">
        <v>50</v>
      </c>
      <c r="C24" s="20">
        <v>2800</v>
      </c>
      <c r="D24" s="17" t="s">
        <v>18</v>
      </c>
    </row>
    <row r="25" spans="1:4" ht="15.75" customHeight="1" x14ac:dyDescent="0.25">
      <c r="A25" s="13">
        <v>44442</v>
      </c>
      <c r="B25" s="19" t="s">
        <v>54</v>
      </c>
      <c r="C25" s="20">
        <v>3000</v>
      </c>
      <c r="D25" s="17" t="s">
        <v>18</v>
      </c>
    </row>
    <row r="26" spans="1:4" ht="15.75" customHeight="1" x14ac:dyDescent="0.25">
      <c r="A26" s="13">
        <v>44442</v>
      </c>
      <c r="B26" s="19" t="s">
        <v>51</v>
      </c>
      <c r="C26" s="20">
        <v>24530</v>
      </c>
      <c r="D26" s="17" t="s">
        <v>18</v>
      </c>
    </row>
    <row r="27" spans="1:4" ht="15.75" customHeight="1" x14ac:dyDescent="0.25">
      <c r="A27" s="13">
        <v>44442</v>
      </c>
      <c r="B27" s="19" t="s">
        <v>55</v>
      </c>
      <c r="C27" s="20">
        <v>437100</v>
      </c>
      <c r="D27" s="17" t="s">
        <v>18</v>
      </c>
    </row>
    <row r="28" spans="1:4" ht="15.75" customHeight="1" x14ac:dyDescent="0.25">
      <c r="A28" s="13">
        <v>44442</v>
      </c>
      <c r="B28" s="19" t="s">
        <v>56</v>
      </c>
      <c r="C28" s="20">
        <v>50800</v>
      </c>
      <c r="D28" s="17" t="s">
        <v>18</v>
      </c>
    </row>
    <row r="29" spans="1:4" ht="15.75" customHeight="1" x14ac:dyDescent="0.25">
      <c r="A29" s="13">
        <v>44443</v>
      </c>
      <c r="B29" s="14" t="s">
        <v>57</v>
      </c>
      <c r="C29" s="15">
        <v>174300</v>
      </c>
      <c r="D29" s="16" t="s">
        <v>18</v>
      </c>
    </row>
    <row r="30" spans="1:4" ht="15.75" customHeight="1" x14ac:dyDescent="0.25">
      <c r="A30" s="13">
        <v>44446</v>
      </c>
      <c r="B30" s="17" t="s">
        <v>58</v>
      </c>
      <c r="C30" s="20">
        <v>5263</v>
      </c>
      <c r="D30" s="14" t="s">
        <v>59</v>
      </c>
    </row>
    <row r="31" spans="1:4" ht="15.75" customHeight="1" x14ac:dyDescent="0.25">
      <c r="A31" s="13">
        <v>44455</v>
      </c>
      <c r="B31" s="14" t="s">
        <v>60</v>
      </c>
      <c r="C31" s="15">
        <v>319368</v>
      </c>
      <c r="D31" s="14" t="s">
        <v>61</v>
      </c>
    </row>
    <row r="32" spans="1:4" ht="15.75" customHeight="1" x14ac:dyDescent="0.25">
      <c r="A32" s="13">
        <v>44455</v>
      </c>
      <c r="B32" s="14" t="s">
        <v>62</v>
      </c>
      <c r="C32" s="15">
        <v>381000</v>
      </c>
      <c r="D32" s="14" t="s">
        <v>18</v>
      </c>
    </row>
    <row r="33" spans="1:4" ht="15.75" customHeight="1" x14ac:dyDescent="0.25">
      <c r="A33" s="13">
        <v>44459</v>
      </c>
      <c r="B33" s="14" t="s">
        <v>63</v>
      </c>
      <c r="C33" s="15">
        <v>30017</v>
      </c>
      <c r="D33" s="14" t="s">
        <v>32</v>
      </c>
    </row>
    <row r="34" spans="1:4" ht="15.75" customHeight="1" x14ac:dyDescent="0.25">
      <c r="A34" s="13">
        <v>44460</v>
      </c>
      <c r="B34" s="14" t="s">
        <v>64</v>
      </c>
      <c r="C34" s="15">
        <v>170000</v>
      </c>
      <c r="D34" s="14" t="s">
        <v>18</v>
      </c>
    </row>
    <row r="35" spans="1:4" ht="15.75" customHeight="1" x14ac:dyDescent="0.25">
      <c r="A35" s="13">
        <v>44460</v>
      </c>
      <c r="B35" s="14" t="s">
        <v>56</v>
      </c>
      <c r="C35" s="15">
        <v>4450</v>
      </c>
      <c r="D35" s="14" t="s">
        <v>18</v>
      </c>
    </row>
    <row r="36" spans="1:4" ht="15.75" customHeight="1" x14ac:dyDescent="0.25">
      <c r="A36" s="13">
        <v>44460</v>
      </c>
      <c r="B36" s="14" t="s">
        <v>52</v>
      </c>
      <c r="C36" s="15">
        <v>22000</v>
      </c>
      <c r="D36" s="14" t="s">
        <v>18</v>
      </c>
    </row>
    <row r="37" spans="1:4" ht="15.75" customHeight="1" x14ac:dyDescent="0.25">
      <c r="A37" s="13">
        <v>44460</v>
      </c>
      <c r="B37" s="14" t="s">
        <v>56</v>
      </c>
      <c r="C37" s="15">
        <v>13400</v>
      </c>
      <c r="D37" s="14" t="s">
        <v>18</v>
      </c>
    </row>
    <row r="38" spans="1:4" ht="15.75" customHeight="1" x14ac:dyDescent="0.25">
      <c r="A38" s="13">
        <v>44460</v>
      </c>
      <c r="B38" s="14" t="s">
        <v>65</v>
      </c>
      <c r="C38" s="15">
        <v>155374</v>
      </c>
      <c r="D38" s="14" t="s">
        <v>18</v>
      </c>
    </row>
    <row r="39" spans="1:4" ht="15.75" customHeight="1" x14ac:dyDescent="0.25">
      <c r="A39" s="13">
        <v>44460</v>
      </c>
      <c r="B39" s="14" t="s">
        <v>50</v>
      </c>
      <c r="C39" s="15">
        <v>2700</v>
      </c>
      <c r="D39" s="14" t="s">
        <v>18</v>
      </c>
    </row>
    <row r="40" spans="1:4" ht="15.75" customHeight="1" x14ac:dyDescent="0.25">
      <c r="A40" s="13">
        <v>44460</v>
      </c>
      <c r="B40" s="14" t="s">
        <v>50</v>
      </c>
      <c r="C40" s="15">
        <v>2800</v>
      </c>
      <c r="D40" s="14" t="s">
        <v>18</v>
      </c>
    </row>
    <row r="41" spans="1:4" ht="15.75" customHeight="1" x14ac:dyDescent="0.25">
      <c r="A41" s="13">
        <v>44460</v>
      </c>
      <c r="B41" s="14" t="s">
        <v>56</v>
      </c>
      <c r="C41" s="15">
        <v>5290</v>
      </c>
      <c r="D41" s="14" t="s">
        <v>18</v>
      </c>
    </row>
    <row r="42" spans="1:4" ht="15.75" customHeight="1" x14ac:dyDescent="0.25">
      <c r="A42" s="13">
        <v>44460</v>
      </c>
      <c r="B42" s="14" t="s">
        <v>56</v>
      </c>
      <c r="C42" s="15">
        <v>75900</v>
      </c>
      <c r="D42" s="14" t="s">
        <v>18</v>
      </c>
    </row>
    <row r="43" spans="1:4" ht="15.75" customHeight="1" x14ac:dyDescent="0.25">
      <c r="A43" s="13">
        <v>44461</v>
      </c>
      <c r="B43" s="21" t="s">
        <v>66</v>
      </c>
      <c r="C43" s="15">
        <v>3000</v>
      </c>
      <c r="D43" s="14" t="s">
        <v>18</v>
      </c>
    </row>
    <row r="44" spans="1:4" ht="15.75" customHeight="1" x14ac:dyDescent="0.25">
      <c r="A44" s="13">
        <v>44461</v>
      </c>
      <c r="B44" s="14" t="s">
        <v>56</v>
      </c>
      <c r="C44" s="15">
        <v>31240</v>
      </c>
      <c r="D44" s="14" t="s">
        <v>18</v>
      </c>
    </row>
    <row r="45" spans="1:4" ht="15.75" customHeight="1" x14ac:dyDescent="0.25">
      <c r="A45" s="13">
        <v>44461</v>
      </c>
      <c r="B45" s="14" t="s">
        <v>56</v>
      </c>
      <c r="C45" s="15">
        <v>4180</v>
      </c>
      <c r="D45" s="14" t="s">
        <v>18</v>
      </c>
    </row>
    <row r="46" spans="1:4" ht="15.75" customHeight="1" x14ac:dyDescent="0.25">
      <c r="A46" s="13">
        <v>44461</v>
      </c>
      <c r="B46" s="14" t="s">
        <v>56</v>
      </c>
      <c r="C46" s="15">
        <v>31460</v>
      </c>
      <c r="D46" s="14" t="s">
        <v>18</v>
      </c>
    </row>
    <row r="47" spans="1:4" ht="15.75" customHeight="1" x14ac:dyDescent="0.25">
      <c r="A47" s="13">
        <v>44462</v>
      </c>
      <c r="B47" s="14" t="s">
        <v>56</v>
      </c>
      <c r="C47" s="15">
        <v>5930</v>
      </c>
      <c r="D47" s="14" t="s">
        <v>18</v>
      </c>
    </row>
    <row r="48" spans="1:4" ht="15.75" customHeight="1" x14ac:dyDescent="0.25">
      <c r="A48" s="13">
        <v>44462</v>
      </c>
      <c r="B48" s="14" t="s">
        <v>53</v>
      </c>
      <c r="C48" s="15">
        <v>40512</v>
      </c>
      <c r="D48" s="14" t="s">
        <v>18</v>
      </c>
    </row>
    <row r="49" spans="1:4" ht="15.75" customHeight="1" x14ac:dyDescent="0.25">
      <c r="A49" s="13">
        <v>44462</v>
      </c>
      <c r="B49" s="14" t="s">
        <v>56</v>
      </c>
      <c r="C49" s="15">
        <v>37950</v>
      </c>
      <c r="D49" s="14" t="s">
        <v>18</v>
      </c>
    </row>
    <row r="50" spans="1:4" ht="15.75" customHeight="1" x14ac:dyDescent="0.25">
      <c r="A50" s="13">
        <v>44463</v>
      </c>
      <c r="B50" s="14" t="s">
        <v>50</v>
      </c>
      <c r="C50" s="15">
        <v>2800</v>
      </c>
      <c r="D50" s="14" t="s">
        <v>18</v>
      </c>
    </row>
    <row r="51" spans="1:4" ht="15.75" customHeight="1" x14ac:dyDescent="0.25">
      <c r="A51" s="13">
        <v>44463</v>
      </c>
      <c r="B51" s="14" t="s">
        <v>56</v>
      </c>
      <c r="C51" s="15">
        <v>19600</v>
      </c>
      <c r="D51" s="14" t="s">
        <v>18</v>
      </c>
    </row>
    <row r="52" spans="1:4" ht="15.75" customHeight="1" x14ac:dyDescent="0.25">
      <c r="A52" s="13">
        <v>44463</v>
      </c>
      <c r="B52" s="14" t="s">
        <v>53</v>
      </c>
      <c r="C52" s="15">
        <v>7906</v>
      </c>
      <c r="D52" s="14" t="s">
        <v>18</v>
      </c>
    </row>
    <row r="53" spans="1:4" ht="15.75" customHeight="1" x14ac:dyDescent="0.25">
      <c r="A53" s="13">
        <v>44463</v>
      </c>
      <c r="B53" s="14" t="s">
        <v>52</v>
      </c>
      <c r="C53" s="15">
        <v>27000</v>
      </c>
      <c r="D53" s="14" t="s">
        <v>18</v>
      </c>
    </row>
    <row r="54" spans="1:4" ht="15.75" customHeight="1" x14ac:dyDescent="0.25">
      <c r="A54" s="13">
        <v>44466</v>
      </c>
      <c r="B54" s="21" t="s">
        <v>66</v>
      </c>
      <c r="C54" s="15">
        <v>21000</v>
      </c>
      <c r="D54" s="22" t="s">
        <v>18</v>
      </c>
    </row>
    <row r="55" spans="1:4" ht="15.75" customHeight="1" x14ac:dyDescent="0.25">
      <c r="A55" s="13">
        <v>44467</v>
      </c>
      <c r="B55" s="14" t="s">
        <v>67</v>
      </c>
      <c r="C55" s="15">
        <v>10400</v>
      </c>
      <c r="D55" s="22" t="s">
        <v>18</v>
      </c>
    </row>
    <row r="56" spans="1:4" ht="15.75" customHeight="1" x14ac:dyDescent="0.25">
      <c r="A56" s="13">
        <v>44475</v>
      </c>
      <c r="B56" s="14" t="s">
        <v>68</v>
      </c>
      <c r="C56" s="15">
        <v>61200</v>
      </c>
      <c r="D56" s="14" t="s">
        <v>69</v>
      </c>
    </row>
    <row r="57" spans="1:4" ht="15.75" customHeight="1" x14ac:dyDescent="0.25">
      <c r="A57" s="13">
        <v>44476</v>
      </c>
      <c r="B57" s="14" t="s">
        <v>70</v>
      </c>
      <c r="C57" s="15">
        <v>534022</v>
      </c>
      <c r="D57" s="14" t="s">
        <v>30</v>
      </c>
    </row>
    <row r="58" spans="1:4" ht="15.75" customHeight="1" x14ac:dyDescent="0.25">
      <c r="A58" s="13">
        <v>44476</v>
      </c>
      <c r="B58" s="14" t="s">
        <v>71</v>
      </c>
      <c r="C58" s="15">
        <v>50072</v>
      </c>
      <c r="D58" s="14" t="s">
        <v>59</v>
      </c>
    </row>
    <row r="59" spans="1:4" ht="15.75" customHeight="1" x14ac:dyDescent="0.25">
      <c r="A59" s="13">
        <v>44477</v>
      </c>
      <c r="B59" s="14" t="s">
        <v>72</v>
      </c>
      <c r="C59" s="15">
        <v>14900</v>
      </c>
      <c r="D59" s="23"/>
    </row>
    <row r="60" spans="1:4" ht="15.75" customHeight="1" x14ac:dyDescent="0.25">
      <c r="A60" s="13">
        <v>44481</v>
      </c>
      <c r="B60" s="14" t="s">
        <v>73</v>
      </c>
      <c r="C60" s="15">
        <v>84030</v>
      </c>
      <c r="D60" s="14" t="s">
        <v>69</v>
      </c>
    </row>
    <row r="61" spans="1:4" ht="15.75" customHeight="1" x14ac:dyDescent="0.25">
      <c r="A61" s="13">
        <v>44482</v>
      </c>
      <c r="B61" s="14" t="s">
        <v>74</v>
      </c>
      <c r="C61" s="15">
        <v>3000</v>
      </c>
      <c r="D61" s="14"/>
    </row>
    <row r="62" spans="1:4" ht="15.75" customHeight="1" x14ac:dyDescent="0.25">
      <c r="B62" s="24" t="s">
        <v>44</v>
      </c>
      <c r="C62" s="25">
        <f>SUM(C9:C61)</f>
        <v>5518987</v>
      </c>
    </row>
    <row r="63" spans="1:4" ht="15.75" customHeight="1" x14ac:dyDescent="0.2"/>
    <row r="64" spans="1:4" ht="15.75" customHeight="1" x14ac:dyDescent="0.2"/>
    <row r="65" spans="1:4" ht="15.75" thickBot="1" x14ac:dyDescent="0.3">
      <c r="A65" s="2" t="s">
        <v>95</v>
      </c>
    </row>
    <row r="66" spans="1:4" x14ac:dyDescent="0.25">
      <c r="A66" s="34" t="s">
        <v>39</v>
      </c>
      <c r="B66" s="35" t="s">
        <v>40</v>
      </c>
      <c r="C66" s="36" t="s">
        <v>41</v>
      </c>
      <c r="D66" s="37" t="s">
        <v>42</v>
      </c>
    </row>
    <row r="67" spans="1:4" x14ac:dyDescent="0.25">
      <c r="A67" s="38" t="s">
        <v>96</v>
      </c>
      <c r="B67" s="39" t="s">
        <v>50</v>
      </c>
      <c r="C67" s="40">
        <v>2600</v>
      </c>
      <c r="D67" s="39" t="s">
        <v>18</v>
      </c>
    </row>
    <row r="68" spans="1:4" x14ac:dyDescent="0.25">
      <c r="A68" s="38" t="s">
        <v>97</v>
      </c>
      <c r="B68" s="39" t="s">
        <v>50</v>
      </c>
      <c r="C68" s="41">
        <v>2700</v>
      </c>
      <c r="D68" s="39" t="s">
        <v>18</v>
      </c>
    </row>
    <row r="69" spans="1:4" x14ac:dyDescent="0.25">
      <c r="A69" s="38" t="s">
        <v>97</v>
      </c>
      <c r="B69" s="39" t="s">
        <v>50</v>
      </c>
      <c r="C69" s="41">
        <v>2300</v>
      </c>
      <c r="D69" s="39" t="s">
        <v>18</v>
      </c>
    </row>
    <row r="70" spans="1:4" x14ac:dyDescent="0.25">
      <c r="A70" s="38" t="s">
        <v>96</v>
      </c>
      <c r="B70" s="39" t="s">
        <v>50</v>
      </c>
      <c r="C70" s="41">
        <v>2300</v>
      </c>
      <c r="D70" s="39" t="s">
        <v>18</v>
      </c>
    </row>
    <row r="71" spans="1:4" x14ac:dyDescent="0.25">
      <c r="A71" s="38" t="s">
        <v>96</v>
      </c>
      <c r="B71" s="39" t="s">
        <v>50</v>
      </c>
      <c r="C71" s="41">
        <v>2600</v>
      </c>
      <c r="D71" s="39" t="s">
        <v>18</v>
      </c>
    </row>
    <row r="72" spans="1:4" x14ac:dyDescent="0.25">
      <c r="A72" s="38" t="s">
        <v>96</v>
      </c>
      <c r="B72" s="39" t="s">
        <v>50</v>
      </c>
      <c r="C72" s="41">
        <v>2300</v>
      </c>
      <c r="D72" s="39" t="s">
        <v>18</v>
      </c>
    </row>
    <row r="73" spans="1:4" x14ac:dyDescent="0.25">
      <c r="A73" s="38" t="s">
        <v>96</v>
      </c>
      <c r="B73" s="39" t="s">
        <v>50</v>
      </c>
      <c r="C73" s="41">
        <v>2700</v>
      </c>
      <c r="D73" s="39" t="s">
        <v>18</v>
      </c>
    </row>
    <row r="74" spans="1:4" x14ac:dyDescent="0.25">
      <c r="A74" s="38" t="s">
        <v>96</v>
      </c>
      <c r="B74" s="39" t="s">
        <v>50</v>
      </c>
      <c r="C74" s="41">
        <v>2800</v>
      </c>
      <c r="D74" s="39" t="s">
        <v>18</v>
      </c>
    </row>
    <row r="75" spans="1:4" x14ac:dyDescent="0.25">
      <c r="A75" s="38" t="s">
        <v>96</v>
      </c>
      <c r="B75" s="39" t="s">
        <v>50</v>
      </c>
      <c r="C75" s="41">
        <v>2700</v>
      </c>
      <c r="D75" s="39" t="s">
        <v>18</v>
      </c>
    </row>
    <row r="76" spans="1:4" x14ac:dyDescent="0.25">
      <c r="A76" s="38" t="s">
        <v>97</v>
      </c>
      <c r="B76" s="39" t="s">
        <v>50</v>
      </c>
      <c r="C76" s="41">
        <v>2800</v>
      </c>
      <c r="D76" s="39" t="s">
        <v>18</v>
      </c>
    </row>
    <row r="77" spans="1:4" x14ac:dyDescent="0.25">
      <c r="A77" s="38" t="s">
        <v>97</v>
      </c>
      <c r="B77" s="39" t="s">
        <v>50</v>
      </c>
      <c r="C77" s="41">
        <v>2300</v>
      </c>
      <c r="D77" s="39" t="s">
        <v>18</v>
      </c>
    </row>
    <row r="78" spans="1:4" x14ac:dyDescent="0.25">
      <c r="A78" s="38" t="s">
        <v>97</v>
      </c>
      <c r="B78" s="39" t="s">
        <v>50</v>
      </c>
      <c r="C78" s="41">
        <v>2600</v>
      </c>
      <c r="D78" s="39" t="s">
        <v>18</v>
      </c>
    </row>
    <row r="79" spans="1:4" x14ac:dyDescent="0.25">
      <c r="A79" s="38" t="s">
        <v>97</v>
      </c>
      <c r="B79" s="39" t="s">
        <v>50</v>
      </c>
      <c r="C79" s="41">
        <v>2600</v>
      </c>
      <c r="D79" s="39" t="s">
        <v>18</v>
      </c>
    </row>
    <row r="80" spans="1:4" x14ac:dyDescent="0.25">
      <c r="A80" s="38" t="s">
        <v>97</v>
      </c>
      <c r="B80" s="39" t="s">
        <v>50</v>
      </c>
      <c r="C80" s="41">
        <v>2700</v>
      </c>
      <c r="D80" s="39" t="s">
        <v>18</v>
      </c>
    </row>
    <row r="81" spans="1:4" x14ac:dyDescent="0.25">
      <c r="A81" s="38">
        <v>44652</v>
      </c>
      <c r="B81" s="39" t="s">
        <v>50</v>
      </c>
      <c r="C81" s="41">
        <v>2800</v>
      </c>
      <c r="D81" s="39" t="s">
        <v>18</v>
      </c>
    </row>
    <row r="82" spans="1:4" x14ac:dyDescent="0.25">
      <c r="A82" s="38">
        <v>44652</v>
      </c>
      <c r="B82" s="39" t="s">
        <v>50</v>
      </c>
      <c r="C82" s="41">
        <v>2900</v>
      </c>
      <c r="D82" s="39" t="s">
        <v>18</v>
      </c>
    </row>
    <row r="83" spans="1:4" x14ac:dyDescent="0.25">
      <c r="A83" s="38">
        <v>44652</v>
      </c>
      <c r="B83" s="39" t="s">
        <v>50</v>
      </c>
      <c r="C83" s="41">
        <v>2800</v>
      </c>
      <c r="D83" s="39" t="s">
        <v>18</v>
      </c>
    </row>
    <row r="84" spans="1:4" x14ac:dyDescent="0.25">
      <c r="A84" s="38">
        <v>44652</v>
      </c>
      <c r="B84" s="39" t="s">
        <v>50</v>
      </c>
      <c r="C84" s="41">
        <v>2800</v>
      </c>
      <c r="D84" s="39" t="s">
        <v>18</v>
      </c>
    </row>
    <row r="85" spans="1:4" x14ac:dyDescent="0.25">
      <c r="A85" s="38">
        <v>44652</v>
      </c>
      <c r="B85" s="39" t="s">
        <v>50</v>
      </c>
      <c r="C85" s="41">
        <v>2800</v>
      </c>
      <c r="D85" s="39" t="s">
        <v>18</v>
      </c>
    </row>
    <row r="86" spans="1:4" x14ac:dyDescent="0.25">
      <c r="A86" s="38">
        <v>44652</v>
      </c>
      <c r="B86" s="39" t="s">
        <v>50</v>
      </c>
      <c r="C86" s="41">
        <v>2900</v>
      </c>
      <c r="D86" s="39" t="s">
        <v>18</v>
      </c>
    </row>
    <row r="87" spans="1:4" x14ac:dyDescent="0.25">
      <c r="A87" s="38">
        <v>44652</v>
      </c>
      <c r="B87" s="39" t="s">
        <v>50</v>
      </c>
      <c r="C87" s="41">
        <v>2400</v>
      </c>
      <c r="D87" s="39" t="s">
        <v>18</v>
      </c>
    </row>
    <row r="88" spans="1:4" x14ac:dyDescent="0.25">
      <c r="A88" s="38">
        <v>44652</v>
      </c>
      <c r="B88" s="39" t="s">
        <v>50</v>
      </c>
      <c r="C88" s="41">
        <v>2400</v>
      </c>
      <c r="D88" s="39" t="s">
        <v>18</v>
      </c>
    </row>
    <row r="89" spans="1:4" x14ac:dyDescent="0.25">
      <c r="A89" s="38">
        <v>44774</v>
      </c>
      <c r="B89" s="39" t="s">
        <v>50</v>
      </c>
      <c r="C89" s="41">
        <v>2400</v>
      </c>
      <c r="D89" s="39" t="s">
        <v>18</v>
      </c>
    </row>
    <row r="90" spans="1:4" x14ac:dyDescent="0.25">
      <c r="A90" s="38">
        <v>44774</v>
      </c>
      <c r="B90" s="39" t="s">
        <v>50</v>
      </c>
      <c r="C90" s="41">
        <v>2900</v>
      </c>
      <c r="D90" s="39" t="s">
        <v>18</v>
      </c>
    </row>
    <row r="91" spans="1:4" x14ac:dyDescent="0.25">
      <c r="A91" s="38">
        <v>44774</v>
      </c>
      <c r="B91" s="39" t="s">
        <v>50</v>
      </c>
      <c r="C91" s="41">
        <v>2800</v>
      </c>
      <c r="D91" s="39" t="s">
        <v>18</v>
      </c>
    </row>
    <row r="92" spans="1:4" x14ac:dyDescent="0.25">
      <c r="A92" s="38">
        <v>44774</v>
      </c>
      <c r="B92" s="39" t="s">
        <v>50</v>
      </c>
      <c r="C92" s="41">
        <v>2800</v>
      </c>
      <c r="D92" s="39" t="s">
        <v>18</v>
      </c>
    </row>
    <row r="93" spans="1:4" x14ac:dyDescent="0.25">
      <c r="A93" s="38">
        <v>44774</v>
      </c>
      <c r="B93" s="39" t="s">
        <v>50</v>
      </c>
      <c r="C93" s="41">
        <v>2900</v>
      </c>
      <c r="D93" s="39" t="s">
        <v>18</v>
      </c>
    </row>
    <row r="94" spans="1:4" x14ac:dyDescent="0.25">
      <c r="A94" s="38">
        <v>44713</v>
      </c>
      <c r="B94" s="39" t="s">
        <v>50</v>
      </c>
      <c r="C94" s="41">
        <v>700</v>
      </c>
      <c r="D94" s="39" t="s">
        <v>18</v>
      </c>
    </row>
    <row r="95" spans="1:4" x14ac:dyDescent="0.25">
      <c r="A95" s="38">
        <v>44774</v>
      </c>
      <c r="B95" s="39" t="s">
        <v>50</v>
      </c>
      <c r="C95" s="41">
        <v>2800</v>
      </c>
      <c r="D95" s="39" t="s">
        <v>18</v>
      </c>
    </row>
    <row r="96" spans="1:4" x14ac:dyDescent="0.25">
      <c r="A96" s="38">
        <v>44774</v>
      </c>
      <c r="B96" s="39" t="s">
        <v>50</v>
      </c>
      <c r="C96" s="41">
        <v>2800</v>
      </c>
      <c r="D96" s="39" t="s">
        <v>18</v>
      </c>
    </row>
    <row r="97" spans="1:5" x14ac:dyDescent="0.25">
      <c r="A97" s="38">
        <v>44774</v>
      </c>
      <c r="B97" s="39" t="s">
        <v>50</v>
      </c>
      <c r="C97" s="41">
        <v>2400</v>
      </c>
      <c r="D97" s="39" t="s">
        <v>18</v>
      </c>
    </row>
    <row r="98" spans="1:5" x14ac:dyDescent="0.25">
      <c r="A98" s="42" t="s">
        <v>124</v>
      </c>
      <c r="B98" s="39" t="s">
        <v>121</v>
      </c>
      <c r="C98" s="41">
        <v>189601</v>
      </c>
      <c r="D98" s="39" t="s">
        <v>30</v>
      </c>
      <c r="E98" s="29" t="s">
        <v>123</v>
      </c>
    </row>
    <row r="99" spans="1:5" x14ac:dyDescent="0.25">
      <c r="A99" s="38">
        <v>44652</v>
      </c>
      <c r="B99" s="39" t="s">
        <v>55</v>
      </c>
      <c r="C99" s="41">
        <v>358116</v>
      </c>
      <c r="D99" s="39" t="s">
        <v>122</v>
      </c>
    </row>
    <row r="100" spans="1:5" x14ac:dyDescent="0.25">
      <c r="A100" s="38">
        <v>44743</v>
      </c>
      <c r="B100" s="39" t="s">
        <v>55</v>
      </c>
      <c r="C100" s="41">
        <v>94168</v>
      </c>
      <c r="D100" s="39" t="s">
        <v>122</v>
      </c>
    </row>
    <row r="101" spans="1:5" x14ac:dyDescent="0.25">
      <c r="A101" s="11"/>
      <c r="B101" s="1" t="s">
        <v>44</v>
      </c>
      <c r="C101" s="12">
        <f>SUM(C67:C100)</f>
        <v>722185</v>
      </c>
      <c r="D101" s="1"/>
    </row>
    <row r="102" spans="1:5" x14ac:dyDescent="0.25">
      <c r="A102" s="26"/>
      <c r="B102" s="27"/>
      <c r="C102" s="28"/>
      <c r="D102" s="27"/>
    </row>
    <row r="103" spans="1:5" x14ac:dyDescent="0.25">
      <c r="A103" s="30"/>
      <c r="B103" s="31"/>
      <c r="C103" s="32"/>
      <c r="D103" s="31"/>
      <c r="E103" s="33"/>
    </row>
    <row r="104" spans="1:5" ht="15" customHeight="1" x14ac:dyDescent="0.25">
      <c r="A104" s="2" t="s">
        <v>134</v>
      </c>
    </row>
    <row r="105" spans="1:5" ht="15.75" customHeight="1" x14ac:dyDescent="0.25">
      <c r="A105" s="53" t="s">
        <v>39</v>
      </c>
      <c r="B105" s="54" t="s">
        <v>40</v>
      </c>
      <c r="C105" s="55" t="s">
        <v>41</v>
      </c>
      <c r="D105" s="54" t="s">
        <v>42</v>
      </c>
    </row>
    <row r="106" spans="1:5" ht="15.75" customHeight="1" x14ac:dyDescent="0.25">
      <c r="A106" s="39" t="s">
        <v>135</v>
      </c>
      <c r="B106" s="39" t="s">
        <v>136</v>
      </c>
      <c r="C106" s="56">
        <v>2379</v>
      </c>
      <c r="D106" s="39" t="s">
        <v>160</v>
      </c>
      <c r="E106" s="29"/>
    </row>
    <row r="107" spans="1:5" ht="15.75" customHeight="1" x14ac:dyDescent="0.25">
      <c r="A107" s="57">
        <v>44867</v>
      </c>
      <c r="B107" s="39" t="s">
        <v>50</v>
      </c>
      <c r="C107" s="56">
        <v>2800</v>
      </c>
      <c r="D107" s="39" t="s">
        <v>18</v>
      </c>
    </row>
    <row r="108" spans="1:5" ht="15.75" customHeight="1" x14ac:dyDescent="0.25">
      <c r="A108" s="57">
        <v>44867</v>
      </c>
      <c r="B108" s="39" t="s">
        <v>50</v>
      </c>
      <c r="C108" s="56">
        <v>2800</v>
      </c>
      <c r="D108" s="39" t="s">
        <v>18</v>
      </c>
    </row>
    <row r="109" spans="1:5" ht="15.75" customHeight="1" x14ac:dyDescent="0.25">
      <c r="A109" s="57">
        <v>44867</v>
      </c>
      <c r="B109" s="39" t="s">
        <v>50</v>
      </c>
      <c r="C109" s="56">
        <v>2800</v>
      </c>
      <c r="D109" s="39" t="s">
        <v>18</v>
      </c>
    </row>
    <row r="110" spans="1:5" ht="15.75" customHeight="1" x14ac:dyDescent="0.25">
      <c r="A110" s="57">
        <v>44867</v>
      </c>
      <c r="B110" s="39" t="s">
        <v>50</v>
      </c>
      <c r="C110" s="56">
        <v>2800</v>
      </c>
      <c r="D110" s="39" t="s">
        <v>18</v>
      </c>
    </row>
    <row r="111" spans="1:5" ht="15.75" customHeight="1" x14ac:dyDescent="0.25">
      <c r="A111" s="57">
        <v>44867</v>
      </c>
      <c r="B111" s="39" t="s">
        <v>50</v>
      </c>
      <c r="C111" s="56">
        <v>2900</v>
      </c>
      <c r="D111" s="39" t="s">
        <v>18</v>
      </c>
    </row>
    <row r="112" spans="1:5" ht="15.75" customHeight="1" x14ac:dyDescent="0.25">
      <c r="A112" s="57">
        <v>44806</v>
      </c>
      <c r="B112" s="39" t="s">
        <v>50</v>
      </c>
      <c r="C112" s="56">
        <v>2800</v>
      </c>
      <c r="D112" s="39" t="s">
        <v>18</v>
      </c>
    </row>
    <row r="113" spans="1:16" ht="15.75" customHeight="1" x14ac:dyDescent="0.25">
      <c r="A113" s="57">
        <v>44806</v>
      </c>
      <c r="B113" s="39" t="s">
        <v>50</v>
      </c>
      <c r="C113" s="56">
        <v>2800</v>
      </c>
      <c r="D113" s="39" t="s">
        <v>18</v>
      </c>
    </row>
    <row r="114" spans="1:16" ht="15.75" customHeight="1" x14ac:dyDescent="0.25">
      <c r="A114" s="57">
        <v>44806</v>
      </c>
      <c r="B114" s="39" t="s">
        <v>50</v>
      </c>
      <c r="C114" s="56">
        <v>2800</v>
      </c>
      <c r="D114" s="39" t="s">
        <v>18</v>
      </c>
    </row>
    <row r="115" spans="1:16" ht="15.75" customHeight="1" x14ac:dyDescent="0.25">
      <c r="A115" s="57">
        <v>44806</v>
      </c>
      <c r="B115" s="39" t="s">
        <v>50</v>
      </c>
      <c r="C115" s="56">
        <v>2800</v>
      </c>
      <c r="D115" s="39" t="s">
        <v>18</v>
      </c>
    </row>
    <row r="116" spans="1:16" ht="15.75" customHeight="1" x14ac:dyDescent="0.25">
      <c r="A116" s="57">
        <v>44806</v>
      </c>
      <c r="B116" s="39" t="s">
        <v>50</v>
      </c>
      <c r="C116" s="56">
        <v>2800</v>
      </c>
      <c r="D116" s="39" t="s">
        <v>18</v>
      </c>
    </row>
    <row r="117" spans="1:16" ht="15.75" customHeight="1" x14ac:dyDescent="0.25">
      <c r="A117" s="57">
        <v>44867</v>
      </c>
      <c r="B117" s="39" t="s">
        <v>50</v>
      </c>
      <c r="C117" s="56">
        <v>2400</v>
      </c>
      <c r="D117" s="39" t="s">
        <v>18</v>
      </c>
    </row>
    <row r="118" spans="1:16" ht="15.75" customHeight="1" x14ac:dyDescent="0.25">
      <c r="A118" s="57">
        <v>44649</v>
      </c>
      <c r="B118" s="39" t="s">
        <v>178</v>
      </c>
      <c r="C118" s="56">
        <v>141426</v>
      </c>
      <c r="D118" s="39" t="s">
        <v>179</v>
      </c>
    </row>
    <row r="119" spans="1:16" ht="15.75" customHeight="1" x14ac:dyDescent="0.25">
      <c r="A119" s="57" t="s">
        <v>202</v>
      </c>
      <c r="B119" s="39" t="s">
        <v>230</v>
      </c>
      <c r="C119" s="56">
        <v>2900</v>
      </c>
      <c r="D119" s="39" t="s">
        <v>231</v>
      </c>
    </row>
    <row r="120" spans="1:16" ht="15.75" customHeight="1" x14ac:dyDescent="0.25">
      <c r="A120" s="57" t="s">
        <v>201</v>
      </c>
      <c r="B120" s="39" t="s">
        <v>230</v>
      </c>
      <c r="C120" s="56">
        <v>2900</v>
      </c>
      <c r="D120" s="39" t="s">
        <v>231</v>
      </c>
    </row>
    <row r="121" spans="1:16" ht="15.75" customHeight="1" x14ac:dyDescent="0.25">
      <c r="A121" s="58" t="s">
        <v>201</v>
      </c>
      <c r="B121" s="58" t="s">
        <v>190</v>
      </c>
      <c r="C121" s="59">
        <f>-50000*(-1)</f>
        <v>50000</v>
      </c>
      <c r="D121" s="39" t="s">
        <v>232</v>
      </c>
    </row>
    <row r="122" spans="1:16" ht="15.75" customHeight="1" x14ac:dyDescent="0.25">
      <c r="A122" s="58" t="s">
        <v>201</v>
      </c>
      <c r="B122" s="58" t="s">
        <v>149</v>
      </c>
      <c r="C122" s="59">
        <f>-5670*(-1)</f>
        <v>5670</v>
      </c>
      <c r="D122" s="39" t="s">
        <v>18</v>
      </c>
      <c r="I122" s="43"/>
      <c r="J122" s="43"/>
      <c r="K122" s="43"/>
      <c r="L122" s="43"/>
      <c r="M122" s="43"/>
    </row>
    <row r="123" spans="1:16" ht="15.75" customHeight="1" x14ac:dyDescent="0.25">
      <c r="A123" s="58" t="s">
        <v>202</v>
      </c>
      <c r="B123" s="58" t="s">
        <v>188</v>
      </c>
      <c r="C123" s="59">
        <f>-55990*(-1)</f>
        <v>55990</v>
      </c>
      <c r="D123" s="39" t="s">
        <v>18</v>
      </c>
      <c r="E123" s="50"/>
      <c r="I123" s="44"/>
      <c r="J123" s="44"/>
      <c r="K123" s="44"/>
      <c r="L123" s="44"/>
      <c r="M123" s="43"/>
      <c r="N123" s="50"/>
      <c r="O123" s="50"/>
      <c r="P123" s="50"/>
    </row>
    <row r="124" spans="1:16" ht="15.75" customHeight="1" x14ac:dyDescent="0.25">
      <c r="A124" s="58" t="s">
        <v>203</v>
      </c>
      <c r="B124" s="58" t="s">
        <v>191</v>
      </c>
      <c r="C124" s="59">
        <f>-200000*(-1)</f>
        <v>200000</v>
      </c>
      <c r="D124" s="39" t="s">
        <v>32</v>
      </c>
      <c r="E124" s="50"/>
      <c r="I124" s="44"/>
      <c r="J124" s="44"/>
      <c r="K124" s="44"/>
      <c r="L124" s="44"/>
      <c r="M124" s="43"/>
      <c r="N124" s="50"/>
      <c r="O124" s="50"/>
      <c r="P124" s="50"/>
    </row>
    <row r="125" spans="1:16" ht="15.75" customHeight="1" x14ac:dyDescent="0.25">
      <c r="A125" s="58" t="s">
        <v>203</v>
      </c>
      <c r="B125" s="58" t="s">
        <v>192</v>
      </c>
      <c r="C125" s="59">
        <f>-133780*(-1)</f>
        <v>133780</v>
      </c>
      <c r="D125" s="39" t="s">
        <v>30</v>
      </c>
      <c r="E125" s="50"/>
      <c r="I125" s="44"/>
      <c r="J125" s="44"/>
      <c r="K125" s="44"/>
      <c r="L125" s="44"/>
      <c r="M125" s="43"/>
      <c r="N125" s="50"/>
      <c r="O125" s="50"/>
      <c r="P125" s="50"/>
    </row>
    <row r="126" spans="1:16" ht="15.75" customHeight="1" x14ac:dyDescent="0.25">
      <c r="A126" s="58" t="s">
        <v>203</v>
      </c>
      <c r="B126" s="58" t="s">
        <v>189</v>
      </c>
      <c r="C126" s="59">
        <f>-37006*(-1)</f>
        <v>37006</v>
      </c>
      <c r="D126" s="39" t="s">
        <v>18</v>
      </c>
      <c r="I126" s="52"/>
      <c r="J126" s="43"/>
      <c r="K126" s="43"/>
      <c r="L126" s="43"/>
      <c r="M126" s="43"/>
    </row>
    <row r="127" spans="1:16" ht="15.75" customHeight="1" x14ac:dyDescent="0.25">
      <c r="A127" s="58" t="s">
        <v>204</v>
      </c>
      <c r="B127" s="58" t="s">
        <v>193</v>
      </c>
      <c r="C127" s="59">
        <f>-83556*(-1)</f>
        <v>83556</v>
      </c>
      <c r="D127" s="39" t="s">
        <v>32</v>
      </c>
      <c r="E127" s="50"/>
      <c r="I127" s="44"/>
      <c r="J127" s="44"/>
      <c r="K127" s="44"/>
      <c r="L127" s="44"/>
      <c r="M127" s="43"/>
    </row>
    <row r="128" spans="1:16" ht="15.75" customHeight="1" x14ac:dyDescent="0.25">
      <c r="A128" s="58" t="s">
        <v>205</v>
      </c>
      <c r="B128" s="58" t="s">
        <v>194</v>
      </c>
      <c r="C128" s="59">
        <f>-500000*(-1)</f>
        <v>500000</v>
      </c>
      <c r="D128" s="39" t="s">
        <v>32</v>
      </c>
      <c r="E128" s="50"/>
      <c r="I128" s="44"/>
      <c r="J128" s="44"/>
      <c r="K128" s="44"/>
      <c r="L128" s="44"/>
      <c r="M128" s="43"/>
    </row>
    <row r="129" spans="1:13" ht="15.75" customHeight="1" x14ac:dyDescent="0.25">
      <c r="A129" s="58" t="s">
        <v>206</v>
      </c>
      <c r="B129" s="58" t="s">
        <v>195</v>
      </c>
      <c r="C129" s="59">
        <f>-10980*(-1)</f>
        <v>10980</v>
      </c>
      <c r="D129" s="39" t="s">
        <v>32</v>
      </c>
      <c r="E129" s="50"/>
      <c r="I129" s="44"/>
      <c r="J129" s="44"/>
      <c r="K129" s="44"/>
      <c r="L129" s="44"/>
      <c r="M129" s="43"/>
    </row>
    <row r="130" spans="1:13" ht="15.75" customHeight="1" x14ac:dyDescent="0.25">
      <c r="A130" s="58" t="s">
        <v>207</v>
      </c>
      <c r="B130" s="58" t="s">
        <v>196</v>
      </c>
      <c r="C130" s="59">
        <f>-1398250*(-1)</f>
        <v>1398250</v>
      </c>
      <c r="D130" s="39" t="s">
        <v>32</v>
      </c>
      <c r="E130" s="51"/>
      <c r="I130" s="44"/>
      <c r="J130" s="44"/>
      <c r="K130" s="44"/>
      <c r="L130" s="44"/>
      <c r="M130" s="43"/>
    </row>
    <row r="131" spans="1:13" ht="15.75" customHeight="1" x14ac:dyDescent="0.25">
      <c r="A131" s="58" t="s">
        <v>208</v>
      </c>
      <c r="B131" s="58" t="s">
        <v>197</v>
      </c>
      <c r="C131" s="59">
        <f>-400000*(-1)</f>
        <v>400000</v>
      </c>
      <c r="D131" s="39" t="s">
        <v>32</v>
      </c>
      <c r="E131" s="50"/>
      <c r="I131" s="44"/>
      <c r="J131" s="44"/>
      <c r="K131" s="44"/>
      <c r="L131" s="44"/>
      <c r="M131" s="43"/>
    </row>
    <row r="132" spans="1:13" ht="15.75" customHeight="1" x14ac:dyDescent="0.25">
      <c r="A132" s="58" t="s">
        <v>208</v>
      </c>
      <c r="B132" s="58" t="s">
        <v>198</v>
      </c>
      <c r="C132" s="59">
        <f>-141679*(-1)</f>
        <v>141679</v>
      </c>
      <c r="D132" s="39" t="s">
        <v>32</v>
      </c>
      <c r="E132" s="50"/>
      <c r="I132" s="44"/>
      <c r="J132" s="44"/>
      <c r="K132" s="44"/>
      <c r="L132" s="44"/>
      <c r="M132" s="43"/>
    </row>
    <row r="133" spans="1:13" ht="15.75" customHeight="1" x14ac:dyDescent="0.25">
      <c r="A133" s="58" t="s">
        <v>209</v>
      </c>
      <c r="B133" s="58" t="s">
        <v>199</v>
      </c>
      <c r="C133" s="59">
        <f>-731250*(-1)</f>
        <v>731250</v>
      </c>
      <c r="D133" s="39" t="s">
        <v>32</v>
      </c>
      <c r="E133" s="50"/>
      <c r="I133" s="44"/>
      <c r="J133" s="44"/>
      <c r="K133" s="44"/>
      <c r="L133" s="44"/>
      <c r="M133" s="43"/>
    </row>
    <row r="134" spans="1:13" ht="15.75" customHeight="1" thickBot="1" x14ac:dyDescent="0.3">
      <c r="A134" s="60" t="s">
        <v>210</v>
      </c>
      <c r="B134" s="60" t="s">
        <v>200</v>
      </c>
      <c r="C134" s="61">
        <f>-61900*(-1)</f>
        <v>61900</v>
      </c>
      <c r="D134" s="62" t="s">
        <v>32</v>
      </c>
      <c r="E134" s="50"/>
      <c r="I134" s="44"/>
      <c r="J134" s="44"/>
      <c r="K134" s="44"/>
      <c r="L134" s="44"/>
      <c r="M134" s="43"/>
    </row>
    <row r="135" spans="1:13" ht="15.75" customHeight="1" thickTop="1" x14ac:dyDescent="0.25">
      <c r="A135" s="11"/>
      <c r="B135" s="1" t="s">
        <v>44</v>
      </c>
      <c r="C135" s="12">
        <f>SUM(C102:C134)</f>
        <v>3990166</v>
      </c>
      <c r="D135" s="1"/>
    </row>
    <row r="136" spans="1:13" ht="15.75" customHeight="1" x14ac:dyDescent="0.2"/>
    <row r="137" spans="1:13" ht="15.75" customHeight="1" x14ac:dyDescent="0.25">
      <c r="A137" s="2" t="s">
        <v>261</v>
      </c>
      <c r="B137" s="87" t="s">
        <v>298</v>
      </c>
    </row>
    <row r="138" spans="1:13" ht="15.75" customHeight="1" x14ac:dyDescent="0.25">
      <c r="A138" s="53" t="s">
        <v>39</v>
      </c>
      <c r="B138" s="54" t="s">
        <v>40</v>
      </c>
      <c r="C138" s="55" t="s">
        <v>41</v>
      </c>
      <c r="D138" s="54" t="s">
        <v>42</v>
      </c>
    </row>
    <row r="139" spans="1:13" ht="15.75" customHeight="1" x14ac:dyDescent="0.2">
      <c r="A139" s="89">
        <v>44687</v>
      </c>
      <c r="B139" s="90" t="s">
        <v>299</v>
      </c>
      <c r="C139" s="91">
        <v>11639</v>
      </c>
      <c r="D139" s="90" t="s">
        <v>301</v>
      </c>
    </row>
    <row r="140" spans="1:13" ht="15.75" customHeight="1" x14ac:dyDescent="0.2">
      <c r="A140" s="89">
        <v>44687</v>
      </c>
      <c r="B140" s="90" t="s">
        <v>300</v>
      </c>
      <c r="C140" s="92">
        <v>8288</v>
      </c>
      <c r="D140" s="90" t="s">
        <v>301</v>
      </c>
    </row>
    <row r="141" spans="1:13" ht="15.75" customHeight="1" x14ac:dyDescent="0.2">
      <c r="A141" s="93">
        <v>44722</v>
      </c>
      <c r="B141" s="90" t="s">
        <v>53</v>
      </c>
      <c r="C141" s="94">
        <v>20000</v>
      </c>
      <c r="D141" s="90" t="s">
        <v>301</v>
      </c>
    </row>
    <row r="142" spans="1:13" ht="15.75" customHeight="1" x14ac:dyDescent="0.2">
      <c r="A142" s="93">
        <v>44756</v>
      </c>
      <c r="B142" s="90" t="s">
        <v>302</v>
      </c>
      <c r="C142" s="94">
        <v>38900</v>
      </c>
      <c r="D142" s="90" t="s">
        <v>301</v>
      </c>
    </row>
    <row r="143" spans="1:13" ht="15.75" customHeight="1" x14ac:dyDescent="0.2">
      <c r="A143" s="93">
        <v>44771</v>
      </c>
      <c r="B143" s="90" t="s">
        <v>303</v>
      </c>
      <c r="C143" s="94">
        <v>9963</v>
      </c>
      <c r="D143" s="90" t="s">
        <v>301</v>
      </c>
    </row>
    <row r="144" spans="1:13" ht="15.75" customHeight="1" x14ac:dyDescent="0.2">
      <c r="A144" s="93">
        <v>44756</v>
      </c>
      <c r="B144" s="90" t="s">
        <v>299</v>
      </c>
      <c r="C144" s="91">
        <v>14549</v>
      </c>
      <c r="D144" s="90" t="s">
        <v>301</v>
      </c>
    </row>
    <row r="145" spans="1:8" ht="15.75" customHeight="1" x14ac:dyDescent="0.2">
      <c r="A145" s="93">
        <v>44756</v>
      </c>
      <c r="B145" s="90" t="s">
        <v>300</v>
      </c>
      <c r="C145" s="92">
        <v>8288</v>
      </c>
      <c r="D145" s="90" t="s">
        <v>301</v>
      </c>
    </row>
    <row r="146" spans="1:8" ht="15.75" customHeight="1" x14ac:dyDescent="0.2">
      <c r="A146" s="93">
        <v>44756</v>
      </c>
      <c r="B146" s="96" t="s">
        <v>53</v>
      </c>
      <c r="C146" s="94">
        <v>26000</v>
      </c>
      <c r="D146" s="90" t="s">
        <v>301</v>
      </c>
    </row>
    <row r="147" spans="1:8" ht="15.75" customHeight="1" x14ac:dyDescent="0.2">
      <c r="A147" s="97">
        <v>44778</v>
      </c>
      <c r="B147" s="90" t="s">
        <v>304</v>
      </c>
      <c r="C147" s="98">
        <v>100000</v>
      </c>
      <c r="D147" s="90" t="s">
        <v>32</v>
      </c>
      <c r="E147" s="88" t="s">
        <v>345</v>
      </c>
      <c r="F147" s="95"/>
      <c r="G147" s="95"/>
      <c r="H147" s="95"/>
    </row>
    <row r="148" spans="1:8" ht="15.75" customHeight="1" x14ac:dyDescent="0.2">
      <c r="B148" s="74" t="s">
        <v>44</v>
      </c>
      <c r="C148" s="49">
        <f>SUM(C139:C147)</f>
        <v>237627</v>
      </c>
    </row>
    <row r="149" spans="1:8" ht="15.75" customHeight="1" x14ac:dyDescent="0.2">
      <c r="C149" s="49"/>
    </row>
    <row r="150" spans="1:8" ht="15.75" customHeight="1" x14ac:dyDescent="0.25">
      <c r="A150" s="2" t="s">
        <v>339</v>
      </c>
      <c r="B150" s="87" t="s">
        <v>298</v>
      </c>
    </row>
    <row r="151" spans="1:8" ht="15.75" customHeight="1" x14ac:dyDescent="0.25">
      <c r="A151" s="53" t="s">
        <v>39</v>
      </c>
      <c r="B151" s="54" t="s">
        <v>40</v>
      </c>
      <c r="C151" s="55" t="s">
        <v>41</v>
      </c>
      <c r="D151" s="54" t="s">
        <v>42</v>
      </c>
    </row>
    <row r="152" spans="1:8" ht="15.75" customHeight="1" x14ac:dyDescent="0.2">
      <c r="A152" s="89">
        <v>44796</v>
      </c>
      <c r="B152" s="90" t="s">
        <v>302</v>
      </c>
      <c r="C152" s="91">
        <v>87000</v>
      </c>
      <c r="D152" s="90" t="s">
        <v>301</v>
      </c>
    </row>
    <row r="153" spans="1:8" ht="15.75" customHeight="1" x14ac:dyDescent="0.2">
      <c r="A153" s="89">
        <v>44798</v>
      </c>
      <c r="B153" s="90" t="s">
        <v>340</v>
      </c>
      <c r="C153" s="92">
        <v>7880</v>
      </c>
      <c r="D153" s="90" t="s">
        <v>301</v>
      </c>
    </row>
    <row r="154" spans="1:8" ht="15.75" customHeight="1" x14ac:dyDescent="0.2">
      <c r="A154" s="89">
        <v>44798</v>
      </c>
      <c r="B154" s="90" t="s">
        <v>341</v>
      </c>
      <c r="C154" s="94">
        <v>4110</v>
      </c>
      <c r="D154" s="90" t="s">
        <v>301</v>
      </c>
    </row>
    <row r="155" spans="1:8" ht="15.75" customHeight="1" x14ac:dyDescent="0.2">
      <c r="A155" s="89">
        <v>44796</v>
      </c>
      <c r="B155" s="90" t="s">
        <v>342</v>
      </c>
      <c r="C155" s="94">
        <v>11639</v>
      </c>
      <c r="D155" s="90" t="s">
        <v>301</v>
      </c>
    </row>
    <row r="156" spans="1:8" ht="15.75" customHeight="1" x14ac:dyDescent="0.2">
      <c r="A156" s="89">
        <v>44796</v>
      </c>
      <c r="B156" s="90" t="s">
        <v>343</v>
      </c>
      <c r="C156" s="94">
        <v>8288</v>
      </c>
      <c r="D156" s="90" t="s">
        <v>301</v>
      </c>
    </row>
    <row r="157" spans="1:8" ht="15.75" customHeight="1" x14ac:dyDescent="0.2">
      <c r="A157" s="89">
        <v>44804</v>
      </c>
      <c r="B157" s="90" t="s">
        <v>302</v>
      </c>
      <c r="C157" s="91">
        <v>143895</v>
      </c>
      <c r="D157" s="90" t="s">
        <v>301</v>
      </c>
    </row>
    <row r="158" spans="1:8" ht="15.75" customHeight="1" x14ac:dyDescent="0.2">
      <c r="A158" s="89">
        <v>44781</v>
      </c>
      <c r="B158" s="96" t="s">
        <v>344</v>
      </c>
      <c r="C158" s="91">
        <v>54730</v>
      </c>
      <c r="D158" s="90" t="s">
        <v>301</v>
      </c>
    </row>
    <row r="159" spans="1:8" ht="15.75" customHeight="1" x14ac:dyDescent="0.2">
      <c r="A159" s="89">
        <v>44793</v>
      </c>
      <c r="B159" s="96" t="s">
        <v>344</v>
      </c>
      <c r="C159" s="91">
        <v>20000</v>
      </c>
      <c r="D159" s="90" t="s">
        <v>301</v>
      </c>
    </row>
    <row r="160" spans="1:8" ht="15.75" customHeight="1" x14ac:dyDescent="0.2">
      <c r="A160" s="89">
        <v>44804</v>
      </c>
      <c r="B160" s="96" t="s">
        <v>344</v>
      </c>
      <c r="C160" s="91">
        <v>26000</v>
      </c>
      <c r="D160" s="90" t="s">
        <v>301</v>
      </c>
    </row>
    <row r="161" spans="1:4" ht="15.75" customHeight="1" x14ac:dyDescent="0.2">
      <c r="A161" s="89">
        <v>44791</v>
      </c>
      <c r="B161" s="96" t="s">
        <v>344</v>
      </c>
      <c r="C161" s="92">
        <v>20002</v>
      </c>
      <c r="D161" s="90" t="s">
        <v>301</v>
      </c>
    </row>
    <row r="162" spans="1:4" ht="15.75" customHeight="1" x14ac:dyDescent="0.2">
      <c r="A162" s="89">
        <v>44796</v>
      </c>
      <c r="B162" s="96" t="s">
        <v>53</v>
      </c>
      <c r="C162" s="94">
        <v>29013</v>
      </c>
      <c r="D162" s="90" t="s">
        <v>301</v>
      </c>
    </row>
    <row r="163" spans="1:4" ht="15.75" customHeight="1" x14ac:dyDescent="0.2">
      <c r="A163" s="89">
        <v>44801</v>
      </c>
      <c r="B163" s="90" t="s">
        <v>53</v>
      </c>
      <c r="C163" s="98">
        <v>20000</v>
      </c>
      <c r="D163" s="90" t="s">
        <v>301</v>
      </c>
    </row>
    <row r="164" spans="1:4" ht="15.75" customHeight="1" x14ac:dyDescent="0.2">
      <c r="B164" s="74" t="s">
        <v>44</v>
      </c>
      <c r="C164" s="49">
        <f>SUM(C152:C163)</f>
        <v>432557</v>
      </c>
    </row>
    <row r="165" spans="1:4" ht="15.75" customHeight="1" x14ac:dyDescent="0.2">
      <c r="C165" s="49"/>
    </row>
    <row r="166" spans="1:4" ht="15.75" customHeight="1" x14ac:dyDescent="0.2">
      <c r="C166" s="49"/>
    </row>
    <row r="167" spans="1:4" ht="15.75" customHeight="1" x14ac:dyDescent="0.2">
      <c r="C167" s="49"/>
    </row>
    <row r="168" spans="1:4" ht="15.75" customHeight="1" x14ac:dyDescent="0.2">
      <c r="C168" s="49"/>
    </row>
    <row r="169" spans="1:4" ht="15.75" customHeight="1" x14ac:dyDescent="0.2">
      <c r="C169" s="49"/>
    </row>
    <row r="170" spans="1:4" ht="15.75" customHeight="1" x14ac:dyDescent="0.2">
      <c r="C170" s="49"/>
    </row>
    <row r="171" spans="1:4" ht="15.75" customHeight="1" x14ac:dyDescent="0.2">
      <c r="C171" s="49"/>
    </row>
    <row r="172" spans="1:4" ht="15.75" customHeight="1" x14ac:dyDescent="0.2">
      <c r="C172" s="49"/>
    </row>
    <row r="173" spans="1:4" ht="15.75" customHeight="1" x14ac:dyDescent="0.2">
      <c r="C173" s="49"/>
    </row>
    <row r="174" spans="1:4" ht="15.75" customHeight="1" x14ac:dyDescent="0.2">
      <c r="C174" s="49"/>
    </row>
    <row r="175" spans="1:4" ht="15.75" customHeight="1" x14ac:dyDescent="0.2">
      <c r="C175" s="49"/>
    </row>
    <row r="176" spans="1:4" ht="15.75" customHeight="1" x14ac:dyDescent="0.2">
      <c r="C176" s="49"/>
    </row>
    <row r="177" spans="3:3" ht="15.75" customHeight="1" x14ac:dyDescent="0.2">
      <c r="C177" s="49"/>
    </row>
    <row r="178" spans="3:3" ht="15.75" customHeight="1" x14ac:dyDescent="0.2">
      <c r="C178" s="49"/>
    </row>
    <row r="179" spans="3:3" ht="15.75" customHeight="1" x14ac:dyDescent="0.2">
      <c r="C179" s="49"/>
    </row>
    <row r="180" spans="3:3" ht="15.75" customHeight="1" x14ac:dyDescent="0.2">
      <c r="C180" s="49"/>
    </row>
    <row r="181" spans="3:3" ht="15.75" customHeight="1" x14ac:dyDescent="0.2">
      <c r="C181" s="49"/>
    </row>
    <row r="182" spans="3:3" ht="15.75" customHeight="1" x14ac:dyDescent="0.2">
      <c r="C182" s="49"/>
    </row>
    <row r="183" spans="3:3" ht="15.75" customHeight="1" x14ac:dyDescent="0.2">
      <c r="C183" s="49"/>
    </row>
    <row r="184" spans="3:3" ht="15.75" customHeight="1" x14ac:dyDescent="0.2">
      <c r="C184" s="49"/>
    </row>
    <row r="185" spans="3:3" ht="15.75" customHeight="1" x14ac:dyDescent="0.2">
      <c r="C185" s="49"/>
    </row>
    <row r="186" spans="3:3" ht="15.75" customHeight="1" x14ac:dyDescent="0.2">
      <c r="C186" s="49"/>
    </row>
    <row r="187" spans="3:3" ht="15.75" customHeight="1" x14ac:dyDescent="0.2">
      <c r="C187" s="49"/>
    </row>
    <row r="188" spans="3:3" ht="15.75" customHeight="1" x14ac:dyDescent="0.2">
      <c r="C188" s="49"/>
    </row>
    <row r="189" spans="3:3" ht="15.75" customHeight="1" x14ac:dyDescent="0.2">
      <c r="C189" s="49"/>
    </row>
    <row r="190" spans="3:3" ht="15.75" customHeight="1" x14ac:dyDescent="0.2">
      <c r="C190" s="49"/>
    </row>
    <row r="191" spans="3:3" ht="15.75" customHeight="1" x14ac:dyDescent="0.2">
      <c r="C191" s="49"/>
    </row>
    <row r="192" spans="3:3" ht="15.75" customHeight="1" x14ac:dyDescent="0.2">
      <c r="C192" s="49"/>
    </row>
    <row r="193" spans="3:3" ht="15.75" customHeight="1" x14ac:dyDescent="0.2">
      <c r="C193" s="49"/>
    </row>
    <row r="194" spans="3:3" ht="15.75" customHeight="1" x14ac:dyDescent="0.2">
      <c r="C194" s="49"/>
    </row>
    <row r="195" spans="3:3" ht="15.75" customHeight="1" x14ac:dyDescent="0.2">
      <c r="C195" s="49"/>
    </row>
    <row r="196" spans="3:3" ht="15.75" customHeight="1" x14ac:dyDescent="0.2">
      <c r="C196" s="49"/>
    </row>
    <row r="197" spans="3:3" ht="15.75" customHeight="1" x14ac:dyDescent="0.2">
      <c r="C197" s="49"/>
    </row>
    <row r="198" spans="3:3" ht="15.75" customHeight="1" x14ac:dyDescent="0.2">
      <c r="C198" s="49"/>
    </row>
    <row r="199" spans="3:3" ht="15.75" customHeight="1" x14ac:dyDescent="0.2">
      <c r="C199" s="49"/>
    </row>
    <row r="200" spans="3:3" ht="15.75" customHeight="1" x14ac:dyDescent="0.2">
      <c r="C200" s="49"/>
    </row>
    <row r="201" spans="3:3" ht="15.75" customHeight="1" x14ac:dyDescent="0.2">
      <c r="C201" s="49"/>
    </row>
    <row r="202" spans="3:3" ht="15.75" customHeight="1" x14ac:dyDescent="0.2">
      <c r="C202" s="49"/>
    </row>
    <row r="203" spans="3:3" ht="15.75" customHeight="1" x14ac:dyDescent="0.2">
      <c r="C203" s="49"/>
    </row>
    <row r="204" spans="3:3" ht="15.75" customHeight="1" x14ac:dyDescent="0.2">
      <c r="C204" s="49"/>
    </row>
    <row r="205" spans="3:3" ht="15.75" customHeight="1" x14ac:dyDescent="0.2">
      <c r="C205" s="49"/>
    </row>
    <row r="206" spans="3:3" ht="15.75" customHeight="1" x14ac:dyDescent="0.2">
      <c r="C206" s="49"/>
    </row>
    <row r="207" spans="3:3" ht="15.75" customHeight="1" x14ac:dyDescent="0.2">
      <c r="C207" s="49"/>
    </row>
    <row r="208" spans="3:3" ht="15.75" customHeight="1" x14ac:dyDescent="0.2">
      <c r="C208" s="49"/>
    </row>
    <row r="209" spans="3:3" ht="15.75" customHeight="1" x14ac:dyDescent="0.2">
      <c r="C209" s="49"/>
    </row>
    <row r="210" spans="3:3" ht="15.75" customHeight="1" x14ac:dyDescent="0.2">
      <c r="C210" s="49"/>
    </row>
    <row r="211" spans="3:3" ht="15.75" customHeight="1" x14ac:dyDescent="0.2">
      <c r="C211" s="49"/>
    </row>
    <row r="212" spans="3:3" ht="15.75" customHeight="1" x14ac:dyDescent="0.2">
      <c r="C212" s="49"/>
    </row>
    <row r="213" spans="3:3" ht="15.75" customHeight="1" x14ac:dyDescent="0.2">
      <c r="C213" s="49"/>
    </row>
    <row r="214" spans="3:3" ht="15.75" customHeight="1" x14ac:dyDescent="0.2">
      <c r="C214" s="49"/>
    </row>
    <row r="215" spans="3:3" ht="15.75" customHeight="1" x14ac:dyDescent="0.2">
      <c r="C215" s="49"/>
    </row>
    <row r="216" spans="3:3" ht="15.75" customHeight="1" x14ac:dyDescent="0.2">
      <c r="C216" s="49"/>
    </row>
    <row r="217" spans="3:3" ht="15.75" customHeight="1" x14ac:dyDescent="0.2">
      <c r="C217" s="49"/>
    </row>
    <row r="218" spans="3:3" ht="15.75" customHeight="1" x14ac:dyDescent="0.2">
      <c r="C218" s="49"/>
    </row>
    <row r="219" spans="3:3" ht="15.75" customHeight="1" x14ac:dyDescent="0.2">
      <c r="C219" s="49"/>
    </row>
    <row r="220" spans="3:3" ht="15.75" customHeight="1" x14ac:dyDescent="0.2">
      <c r="C220" s="49"/>
    </row>
    <row r="221" spans="3:3" ht="15.75" customHeight="1" x14ac:dyDescent="0.2">
      <c r="C221" s="49"/>
    </row>
    <row r="222" spans="3:3" ht="15.75" customHeight="1" x14ac:dyDescent="0.2"/>
    <row r="223" spans="3:3" ht="15.75" customHeight="1" x14ac:dyDescent="0.2"/>
    <row r="224" spans="3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ED67-CDBE-4149-83E1-3076DF020EC7}">
  <dimension ref="A3:I23"/>
  <sheetViews>
    <sheetView topLeftCell="A5" workbookViewId="0">
      <selection activeCell="B37" sqref="B37:B39"/>
    </sheetView>
  </sheetViews>
  <sheetFormatPr defaultColWidth="8.875" defaultRowHeight="14.25" x14ac:dyDescent="0.2"/>
  <cols>
    <col min="1" max="1" width="13.875" bestFit="1" customWidth="1"/>
    <col min="2" max="2" width="13.625" bestFit="1" customWidth="1"/>
    <col min="3" max="3" width="13.125" bestFit="1" customWidth="1"/>
    <col min="8" max="8" width="13.875" bestFit="1" customWidth="1"/>
    <col min="9" max="9" width="13.125" bestFit="1" customWidth="1"/>
  </cols>
  <sheetData>
    <row r="3" spans="1:9" x14ac:dyDescent="0.2">
      <c r="A3" s="120" t="s">
        <v>333</v>
      </c>
      <c r="B3" t="s">
        <v>332</v>
      </c>
    </row>
    <row r="4" spans="1:9" x14ac:dyDescent="0.2">
      <c r="A4" s="121" t="s">
        <v>321</v>
      </c>
      <c r="B4" s="122">
        <v>731297181</v>
      </c>
    </row>
    <row r="5" spans="1:9" x14ac:dyDescent="0.2">
      <c r="A5" s="121" t="s">
        <v>325</v>
      </c>
      <c r="B5" s="122">
        <v>12931630</v>
      </c>
    </row>
    <row r="6" spans="1:9" x14ac:dyDescent="0.2">
      <c r="A6" s="121" t="s">
        <v>323</v>
      </c>
      <c r="B6" s="122">
        <v>12227060</v>
      </c>
    </row>
    <row r="7" spans="1:9" x14ac:dyDescent="0.2">
      <c r="A7" s="121" t="s">
        <v>320</v>
      </c>
      <c r="B7" s="122">
        <v>10420049</v>
      </c>
    </row>
    <row r="8" spans="1:9" x14ac:dyDescent="0.2">
      <c r="A8" s="121" t="s">
        <v>324</v>
      </c>
      <c r="B8" s="122">
        <v>7341918</v>
      </c>
      <c r="H8" s="121"/>
      <c r="I8" s="122"/>
    </row>
    <row r="9" spans="1:9" x14ac:dyDescent="0.2">
      <c r="A9" s="121" t="s">
        <v>322</v>
      </c>
      <c r="B9" s="122">
        <v>6250000</v>
      </c>
      <c r="H9" s="121"/>
      <c r="I9" s="122"/>
    </row>
    <row r="10" spans="1:9" x14ac:dyDescent="0.2">
      <c r="A10" s="121" t="s">
        <v>330</v>
      </c>
      <c r="B10" s="122">
        <v>5759980</v>
      </c>
      <c r="H10" s="121"/>
      <c r="I10" s="122"/>
    </row>
    <row r="11" spans="1:9" x14ac:dyDescent="0.2">
      <c r="A11" s="121" t="s">
        <v>331</v>
      </c>
      <c r="B11" s="122">
        <v>3707400</v>
      </c>
      <c r="H11" s="121"/>
      <c r="I11" s="122"/>
    </row>
    <row r="12" spans="1:9" x14ac:dyDescent="0.2">
      <c r="A12" s="121" t="s">
        <v>327</v>
      </c>
      <c r="B12" s="122">
        <v>2662478</v>
      </c>
      <c r="H12" s="121"/>
      <c r="I12" s="122"/>
    </row>
    <row r="13" spans="1:9" x14ac:dyDescent="0.2">
      <c r="A13" s="121" t="s">
        <v>336</v>
      </c>
      <c r="B13" s="122">
        <v>2271264</v>
      </c>
      <c r="H13" s="121"/>
      <c r="I13" s="122"/>
    </row>
    <row r="14" spans="1:9" x14ac:dyDescent="0.2">
      <c r="A14" s="121" t="s">
        <v>328</v>
      </c>
      <c r="B14" s="122">
        <v>488695</v>
      </c>
      <c r="H14" s="121"/>
      <c r="I14" s="122"/>
    </row>
    <row r="15" spans="1:9" x14ac:dyDescent="0.2">
      <c r="A15" s="121" t="s">
        <v>329</v>
      </c>
      <c r="B15" s="122">
        <v>340000</v>
      </c>
      <c r="H15" s="121"/>
      <c r="I15" s="122"/>
    </row>
    <row r="16" spans="1:9" x14ac:dyDescent="0.2">
      <c r="A16" s="121" t="s">
        <v>338</v>
      </c>
      <c r="B16" s="122">
        <v>316879</v>
      </c>
      <c r="H16" s="121"/>
      <c r="I16" s="122"/>
    </row>
    <row r="17" spans="1:9" x14ac:dyDescent="0.2">
      <c r="A17" s="121" t="s">
        <v>326</v>
      </c>
      <c r="B17" s="122">
        <v>115914</v>
      </c>
      <c r="H17" s="121"/>
      <c r="I17" s="122"/>
    </row>
    <row r="18" spans="1:9" x14ac:dyDescent="0.2">
      <c r="A18" s="121" t="s">
        <v>334</v>
      </c>
      <c r="B18" s="122"/>
      <c r="H18" s="121"/>
      <c r="I18" s="122"/>
    </row>
    <row r="19" spans="1:9" x14ac:dyDescent="0.2">
      <c r="A19" s="121" t="s">
        <v>335</v>
      </c>
      <c r="B19" s="122">
        <v>796130448</v>
      </c>
      <c r="H19" s="121"/>
      <c r="I19" s="122"/>
    </row>
    <row r="20" spans="1:9" x14ac:dyDescent="0.2">
      <c r="H20" s="121"/>
      <c r="I20" s="122"/>
    </row>
    <row r="21" spans="1:9" x14ac:dyDescent="0.2">
      <c r="H21" s="121"/>
      <c r="I21" s="122"/>
    </row>
    <row r="22" spans="1:9" x14ac:dyDescent="0.2">
      <c r="H22" s="121"/>
      <c r="I22" s="122"/>
    </row>
    <row r="23" spans="1:9" ht="15" x14ac:dyDescent="0.25">
      <c r="H23" s="123"/>
      <c r="I23" s="124"/>
    </row>
  </sheetData>
  <sortState xmlns:xlrd2="http://schemas.microsoft.com/office/spreadsheetml/2017/richdata2" ref="A3:C19">
    <sortCondition descending="1" ref="C3"/>
  </sortState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Flujo Caja</vt:lpstr>
      <vt:lpstr>Detalle Reembolsos</vt:lpstr>
      <vt:lpstr>Tabla 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Salvatierra</dc:creator>
  <cp:lastModifiedBy>Pedro </cp:lastModifiedBy>
  <dcterms:created xsi:type="dcterms:W3CDTF">2017-06-22T16:26:47Z</dcterms:created>
  <dcterms:modified xsi:type="dcterms:W3CDTF">2023-04-12T19:58:41Z</dcterms:modified>
</cp:coreProperties>
</file>
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/>
  <xr:revisionPtr revIDLastSave="0" documentId="13_ncr:1_{8D8BCFAC-E334-49E1-B666-0C60E63986A4}" xr6:coauthVersionLast="47" xr6:coauthVersionMax="47" xr10:uidLastSave="{00000000-0000-0000-0000-000000000000}"/>
  <bookViews>
    <workbookView xWindow="-108" yWindow="-108" windowWidth="23256" windowHeight="12576" tabRatio="729" xr2:uid="{00000000-000D-0000-FFFF-FFFF00000000}"/>
  </bookViews>
  <sheets>
    <sheet name="RLI14D3" sheetId="4" r:id="rId1"/>
    <sheet name="14E.14D3" sheetId="14" r:id="rId2"/>
    <sheet name="CPT14D3" sheetId="5" r:id="rId3"/>
    <sheet name="Rentas14D3" sheetId="15" r:id="rId4"/>
    <sheet name="Tributac (2)" sheetId="18" r:id="rId5"/>
  </sheets>
  <externalReferences>
    <externalReference r:id="rId6"/>
  </externalReferences>
  <definedNames>
    <definedName name="_xlnm.Print_Area" localSheetId="3">Rentas14D3!$A$1:$L$34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5" l="1"/>
  <c r="D5" i="5"/>
  <c r="I23" i="4"/>
  <c r="I3" i="4"/>
  <c r="H14" i="14"/>
  <c r="C28" i="15" l="1"/>
  <c r="D12" i="5"/>
  <c r="H26" i="15" l="1"/>
  <c r="J24" i="15"/>
  <c r="J6" i="15"/>
  <c r="J7" i="15" s="1"/>
  <c r="J10" i="15" s="1"/>
  <c r="C21" i="15"/>
  <c r="C19" i="15"/>
  <c r="B12" i="15"/>
  <c r="B9" i="15"/>
  <c r="L7" i="15"/>
  <c r="L10" i="15" s="1"/>
  <c r="L26" i="15" s="1"/>
  <c r="L29" i="15" s="1"/>
  <c r="L32" i="15" s="1"/>
  <c r="G7" i="15"/>
  <c r="G10" i="15" s="1"/>
  <c r="G26" i="15" s="1"/>
  <c r="G29" i="15" s="1"/>
  <c r="G32" i="15" s="1"/>
  <c r="L6" i="15"/>
  <c r="K6" i="15"/>
  <c r="K7" i="15" s="1"/>
  <c r="I6" i="15"/>
  <c r="I7" i="15" s="1"/>
  <c r="I10" i="15" s="1"/>
  <c r="H6" i="15"/>
  <c r="H7" i="15" s="1"/>
  <c r="H10" i="15" s="1"/>
  <c r="G6" i="15"/>
  <c r="F6" i="15"/>
  <c r="F7" i="15" s="1"/>
  <c r="F10" i="15" s="1"/>
  <c r="B16" i="15" s="1"/>
  <c r="E6" i="15"/>
  <c r="E7" i="15" s="1"/>
  <c r="E10" i="15" s="1"/>
  <c r="E26" i="15" s="1"/>
  <c r="E29" i="15" s="1"/>
  <c r="E32" i="15" s="1"/>
  <c r="D6" i="15"/>
  <c r="C6" i="15" s="1"/>
  <c r="C7" i="15" s="1"/>
  <c r="C5" i="15"/>
  <c r="E13" i="5"/>
  <c r="J23" i="4"/>
  <c r="J7" i="4"/>
  <c r="I26" i="15" l="1"/>
  <c r="I29" i="15" s="1"/>
  <c r="I32" i="15" s="1"/>
  <c r="H29" i="15"/>
  <c r="H32" i="15" s="1"/>
  <c r="F26" i="15"/>
  <c r="F29" i="15" s="1"/>
  <c r="F32" i="15" s="1"/>
  <c r="K10" i="15"/>
  <c r="K4" i="15"/>
  <c r="D7" i="15"/>
  <c r="J25" i="4"/>
  <c r="H7" i="14" s="1"/>
  <c r="K26" i="15" l="1"/>
  <c r="K29" i="15" s="1"/>
  <c r="K32" i="15" s="1"/>
  <c r="D9" i="15"/>
  <c r="C9" i="15" s="1"/>
  <c r="C10" i="15" s="1"/>
  <c r="D10" i="15" l="1"/>
  <c r="H10" i="14" l="1"/>
  <c r="D12" i="14" s="1"/>
  <c r="H12" i="14" s="1"/>
  <c r="J27" i="4" s="1"/>
  <c r="J29" i="4" l="1"/>
  <c r="D7" i="5"/>
  <c r="J23" i="15" l="1"/>
  <c r="E8" i="5"/>
  <c r="E15" i="5" s="1"/>
  <c r="B13" i="15" s="1"/>
  <c r="B17" i="15" s="1"/>
  <c r="D17" i="15" s="1"/>
  <c r="C17" i="15" l="1"/>
  <c r="C26" i="15" s="1"/>
  <c r="D26" i="15"/>
  <c r="B6" i="18"/>
  <c r="J26" i="15"/>
  <c r="J29" i="15" s="1"/>
  <c r="J32" i="15" s="1"/>
  <c r="C34" i="15" l="1"/>
  <c r="D29" i="15"/>
  <c r="D32" i="15" s="1"/>
  <c r="C29" i="15"/>
  <c r="C32" i="15" s="1"/>
  <c r="E7" i="18" l="1"/>
  <c r="E8" i="18" s="1"/>
  <c r="D10" i="18" s="1"/>
  <c r="E5" i="18"/>
</calcChain>
</file>

<file path=xl/sharedStrings.xml><?xml version="1.0" encoding="utf-8"?>
<sst xmlns="http://schemas.openxmlformats.org/spreadsheetml/2006/main" count="96" uniqueCount="92">
  <si>
    <t>(+) AGREGADOS</t>
  </si>
  <si>
    <t>(-) DEDUCCIONES</t>
  </si>
  <si>
    <t>CAPITAL PROPIO al</t>
  </si>
  <si>
    <t>(+) INGRESOS</t>
  </si>
  <si>
    <t>▪ Ingresos por Rescate o Enajenación de Inversiones en Capitales Mobiliarios</t>
  </si>
  <si>
    <t>▪ Ingresos por Enajenación de Participaciones en contratos de asociación o cuentas en participación</t>
  </si>
  <si>
    <t>▪ Ingresos por Enajenación de Otros bienes no depreciables según la LIR</t>
  </si>
  <si>
    <t>(-) GASTOS Y EGRESOS</t>
  </si>
  <si>
    <t>▪ Ingresos Percibidos por Ventas y Exportaciones del Giro</t>
  </si>
  <si>
    <t>▪ Compras e Importaciones de Existencias, Pagadas</t>
  </si>
  <si>
    <t>▪ Compras e Importaciones de Activos Fijos, Pagadas</t>
  </si>
  <si>
    <t>▪ Saldo Inicial de Existencias, si se cambio desde Contabilidad Completa</t>
  </si>
  <si>
    <t>▪ Saldo Inicial de Activos Fijos, si se cambio desde Contabilidad Completa</t>
  </si>
  <si>
    <t>▪ Servicios utilizados, Pagados</t>
  </si>
  <si>
    <t>▪ Remuneraciones y Honorarios Brutos, Pagados</t>
  </si>
  <si>
    <t>▪ Intereses e Impuestos Pagados, que no sean de la LIR</t>
  </si>
  <si>
    <t>▪ Pérdidas de Ejercicios Anteriores, sin Reajustar</t>
  </si>
  <si>
    <t>▪ Cuotas pagadas en Compras al Crédito</t>
  </si>
  <si>
    <t>▪ Costo en la Enajenación de Participaciones en contratos de asociación o cuentas en participación (reajustado)</t>
  </si>
  <si>
    <t>▪ Costo en la Enajenación de Derechos Sociales y Acciones de Sociedades o cuotas de Fondos de inversión (reajustado)</t>
  </si>
  <si>
    <t>▪ Costo en el Rescate o Enajenación de Inversiones en Capitales Mobiliarios (reajustado)</t>
  </si>
  <si>
    <t>▪ Costo en la Enajenación de Otros bienes no depreciables según la LIR (reajustado)</t>
  </si>
  <si>
    <t>RENTA LÍQUIDA IMPONIBLE AFECTA A 25% (O PÉRDIDA TRIBUTARIA)</t>
  </si>
  <si>
    <t>▪ Otros gastos necesarios, según Artículo 31 LIR</t>
  </si>
  <si>
    <t>▪ Capital Aportado a la empresa, más su Aumentos Formales</t>
  </si>
  <si>
    <t>▪ Bases Imponibles de Primera Categoría a lo largo de la vida de la empresa</t>
  </si>
  <si>
    <t>▪ Rentas Percibidas con motivo de participaciones en otras empresas</t>
  </si>
  <si>
    <t>▪ Disminuciones Formales de Capital</t>
  </si>
  <si>
    <t>▪ Pérdidas Tributarias a lo largo de la vida de la empresa</t>
  </si>
  <si>
    <t>▪ Gastos Rechazados Art. 21 Inc. 2°, pagados</t>
  </si>
  <si>
    <t>▪ Retiros y Distribuciones pagadas a los propietarios</t>
  </si>
  <si>
    <t>▪ Ingresos por Enajenación de Derechos Sociales y Acciones de Sociedades o cuotas de Fondos de inversión, no acogidos a los regímenes 14 A ni 14 D 3</t>
  </si>
  <si>
    <t>FORMATO RENTA LÍQUIDA IMPONIBLE 14 D PROPYME GENERAL</t>
  </si>
  <si>
    <t>BENEFICIO 14E LIR</t>
  </si>
  <si>
    <t>(-) Deducción por Beneficio al No Retiro, Art. 14 letra E</t>
  </si>
  <si>
    <t>RLI PREVIA</t>
  </si>
  <si>
    <t>IDPC</t>
  </si>
  <si>
    <t>x</t>
  </si>
  <si>
    <t>=</t>
  </si>
  <si>
    <t>(-) Retiros o Distribuciones del Ejercicio</t>
  </si>
  <si>
    <t>(-) Gastos Rechazados Art. 21 Inciso 2° LIR</t>
  </si>
  <si>
    <t>RENTA NO RETIRADA</t>
  </si>
  <si>
    <t>BENEFICIO 14 E) LIR</t>
  </si>
  <si>
    <t>DETALLE</t>
  </si>
  <si>
    <t>CONTROL</t>
  </si>
  <si>
    <t>R.A.I.</t>
  </si>
  <si>
    <t>S.T.U.T.</t>
  </si>
  <si>
    <t>(+) C.M. Anual</t>
  </si>
  <si>
    <t>Remanente Rentas Depurado</t>
  </si>
  <si>
    <t>(+) Crédito IDPC año actual</t>
  </si>
  <si>
    <t>(+) Créd. Divid. Percib.</t>
  </si>
  <si>
    <t>Rentas Antes de Imputaciones</t>
  </si>
  <si>
    <t>(-) Retiros del Ejercicio</t>
  </si>
  <si>
    <t>Rentas antes de Exc. Retiros</t>
  </si>
  <si>
    <t>(-) Exc. Retiros Ejerc Anterior</t>
  </si>
  <si>
    <t>RETIROS DEL EJERCICIO NO IMPUTADOS</t>
  </si>
  <si>
    <t>Ingresos No Renta</t>
  </si>
  <si>
    <t>D.D.A.N.</t>
  </si>
  <si>
    <t>Con Restitución</t>
  </si>
  <si>
    <t>S.A.C.</t>
  </si>
  <si>
    <t>Rtas. Trib. Cumplida</t>
  </si>
  <si>
    <t>Rtas. Exentas IGC</t>
  </si>
  <si>
    <t>Remanente Rentas Ejercicio Anterior</t>
  </si>
  <si>
    <t>Remanente Rentas Reajustado</t>
  </si>
  <si>
    <t>(-) Ajuste Reverso RAI del</t>
  </si>
  <si>
    <t>(+) R.A.I. determinado al</t>
  </si>
  <si>
    <t>CPT Final</t>
  </si>
  <si>
    <t>REX</t>
  </si>
  <si>
    <t>(+/-) Ajuste Diferencia Depreciación</t>
  </si>
  <si>
    <t>REMANENTE RENTAS EJERC. SIGUIENTE</t>
  </si>
  <si>
    <t>(+) Rentas exentas e Ingresos No Renta</t>
  </si>
  <si>
    <t>R.E.X.</t>
  </si>
  <si>
    <t>(-) Crédito IDPC Gtos. Rech.</t>
  </si>
  <si>
    <t>DETERMINACIÓN CAPITAL PROPIO 14 D3 al 31/12/2020</t>
  </si>
  <si>
    <t>Sin Rest. 2020</t>
  </si>
  <si>
    <t>Sin Rest. 2016</t>
  </si>
  <si>
    <t>EMPRESA</t>
  </si>
  <si>
    <t>PPM</t>
  </si>
  <si>
    <t>DUEÑO</t>
  </si>
  <si>
    <t>RETIROS</t>
  </si>
  <si>
    <t>INCREMENTO</t>
  </si>
  <si>
    <t>BASE IGC</t>
  </si>
  <si>
    <t>IGC S/TABLA</t>
  </si>
  <si>
    <t>CRÉD IDPC</t>
  </si>
  <si>
    <t>DEVOLUCION</t>
  </si>
  <si>
    <t>Sin actualizar</t>
  </si>
  <si>
    <t xml:space="preserve">Retiros </t>
  </si>
  <si>
    <t xml:space="preserve">C. Propio Inicial </t>
  </si>
  <si>
    <t>PAGO O DEVOLUCION FINAL</t>
  </si>
  <si>
    <t>▪ Beneficio artículo 14 letra E) LIR utilizado</t>
  </si>
  <si>
    <t>DETERMINACIÓN DE RENTAS EMPRESARIALES  AL</t>
  </si>
  <si>
    <t>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</si>
</sst>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41" formatCode="_ * #,##0_ ;_ * \-#,##0_ ;_ * &quot;-&quot;_ ;_ @_ "/>
    <numFmt numFmtId="164" formatCode="0.000000"/>
    <numFmt numFmtId="165" formatCode="#,##0;\(#,##0\)"/>
    <numFmt numFmtId="166" formatCode="0.0%"/>
    <numFmt numFmtId="167" formatCode="&quot;$&quot;#,##0;&quot;$&quot;\(#,##0\)"/>
    <numFmt numFmtId="168" formatCode="_ * #,##0.00000000000_ ;_ * \-#,##0.00000000000_ ;_ 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Calibri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sz val="11"/>
      <color rgb="FF00206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color rgb="FF706F6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1" fontId="6" fillId="0" borderId="0" applyFont="0" applyFill="0" applyBorder="0" applyAlignment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15" fillId="0" borderId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39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 applyAlignment="1">
      <alignment horizont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4" fillId="2" borderId="0" xfId="0" applyFont="1" applyFill="1" applyAlignment="1">
      <alignment horizontal="left" wrapText="1"/>
    </xf>
    <xf numFmtId="41" fontId="4" fillId="2" borderId="0" xfId="2" applyFont="1" applyFill="1" applyAlignment="1">
      <alignment horizontal="right"/>
    </xf>
    <xf numFmtId="41" fontId="4" fillId="2" borderId="1" xfId="2" applyFont="1" applyFill="1" applyBorder="1" applyAlignment="1">
      <alignment horizontal="right"/>
    </xf>
    <xf numFmtId="41" fontId="5" fillId="2" borderId="0" xfId="2" applyFont="1" applyFill="1" applyAlignment="1">
      <alignment horizontal="right"/>
    </xf>
    <xf numFmtId="41" fontId="5" fillId="2" borderId="2" xfId="2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41" fontId="5" fillId="2" borderId="0" xfId="0" applyNumberFormat="1" applyFont="1" applyFill="1"/>
    <xf numFmtId="0" fontId="3" fillId="2" borderId="0" xfId="0" applyFont="1" applyFill="1"/>
    <xf numFmtId="41" fontId="4" fillId="2" borderId="0" xfId="2" applyFont="1" applyFill="1"/>
    <xf numFmtId="41" fontId="4" fillId="2" borderId="0" xfId="2" applyFont="1" applyFill="1" applyAlignment="1">
      <alignment horizontal="center"/>
    </xf>
    <xf numFmtId="41" fontId="4" fillId="2" borderId="2" xfId="2" applyFont="1" applyFill="1" applyBorder="1" applyAlignment="1">
      <alignment horizontal="right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14" fontId="5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165" fontId="3" fillId="2" borderId="18" xfId="0" applyNumberFormat="1" applyFont="1" applyFill="1" applyBorder="1" applyAlignment="1">
      <alignment vertical="center"/>
    </xf>
    <xf numFmtId="165" fontId="3" fillId="2" borderId="11" xfId="0" applyNumberFormat="1" applyFont="1" applyFill="1" applyBorder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165" fontId="3" fillId="2" borderId="12" xfId="0" applyNumberFormat="1" applyFont="1" applyFill="1" applyBorder="1" applyAlignment="1">
      <alignment vertical="center"/>
    </xf>
    <xf numFmtId="165" fontId="3" fillId="2" borderId="19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66" fontId="3" fillId="2" borderId="14" xfId="0" applyNumberFormat="1" applyFont="1" applyFill="1" applyBorder="1" applyAlignment="1">
      <alignment horizontal="left" vertical="center"/>
    </xf>
    <xf numFmtId="165" fontId="3" fillId="2" borderId="17" xfId="0" applyNumberFormat="1" applyFont="1" applyFill="1" applyBorder="1" applyAlignment="1">
      <alignment vertical="center"/>
    </xf>
    <xf numFmtId="165" fontId="3" fillId="2" borderId="16" xfId="0" applyNumberFormat="1" applyFont="1" applyFill="1" applyBorder="1" applyAlignment="1">
      <alignment vertical="center"/>
    </xf>
    <xf numFmtId="165" fontId="3" fillId="2" borderId="8" xfId="0" applyNumberFormat="1" applyFont="1" applyFill="1" applyBorder="1" applyAlignment="1">
      <alignment vertical="center"/>
    </xf>
    <xf numFmtId="165" fontId="3" fillId="2" borderId="20" xfId="0" applyNumberFormat="1" applyFont="1" applyFill="1" applyBorder="1" applyAlignment="1">
      <alignment vertical="center"/>
    </xf>
    <xf numFmtId="165" fontId="3" fillId="2" borderId="14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165" fontId="3" fillId="2" borderId="21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right" vertical="center"/>
    </xf>
    <xf numFmtId="14" fontId="3" fillId="2" borderId="19" xfId="0" applyNumberFormat="1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right" vertical="center"/>
    </xf>
    <xf numFmtId="14" fontId="3" fillId="2" borderId="14" xfId="0" applyNumberFormat="1" applyFont="1" applyFill="1" applyBorder="1" applyAlignment="1">
      <alignment horizontal="left" vertical="center"/>
    </xf>
    <xf numFmtId="41" fontId="3" fillId="2" borderId="19" xfId="2" applyFont="1" applyFill="1" applyBorder="1" applyAlignment="1">
      <alignment vertical="center"/>
    </xf>
    <xf numFmtId="165" fontId="9" fillId="2" borderId="21" xfId="0" applyNumberFormat="1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41" fontId="3" fillId="2" borderId="14" xfId="2" applyFont="1" applyFill="1" applyBorder="1" applyAlignment="1">
      <alignment vertical="center"/>
    </xf>
    <xf numFmtId="167" fontId="3" fillId="2" borderId="19" xfId="0" applyNumberFormat="1" applyFont="1" applyFill="1" applyBorder="1" applyAlignment="1">
      <alignment vertical="center"/>
    </xf>
    <xf numFmtId="167" fontId="3" fillId="2" borderId="14" xfId="0" applyNumberFormat="1" applyFont="1" applyFill="1" applyBorder="1" applyAlignment="1">
      <alignment vertical="center"/>
    </xf>
    <xf numFmtId="41" fontId="3" fillId="2" borderId="0" xfId="2" applyFont="1" applyFill="1" applyAlignment="1">
      <alignment vertical="center"/>
    </xf>
    <xf numFmtId="41" fontId="3" fillId="2" borderId="0" xfId="0" applyNumberFormat="1" applyFont="1" applyFill="1" applyAlignment="1">
      <alignment vertical="center"/>
    </xf>
    <xf numFmtId="10" fontId="3" fillId="2" borderId="0" xfId="0" applyNumberFormat="1" applyFont="1" applyFill="1" applyAlignment="1">
      <alignment vertical="center"/>
    </xf>
    <xf numFmtId="168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41" fontId="9" fillId="2" borderId="0" xfId="0" applyNumberFormat="1" applyFont="1" applyFill="1" applyAlignment="1">
      <alignment vertical="center"/>
    </xf>
    <xf numFmtId="41" fontId="10" fillId="2" borderId="0" xfId="2" applyFont="1" applyFill="1" applyAlignment="1">
      <alignment horizontal="right"/>
    </xf>
    <xf numFmtId="9" fontId="10" fillId="2" borderId="0" xfId="2" applyNumberFormat="1" applyFont="1" applyFill="1" applyAlignment="1">
      <alignment horizontal="center"/>
    </xf>
    <xf numFmtId="42" fontId="3" fillId="2" borderId="19" xfId="3" applyFont="1" applyFill="1" applyBorder="1" applyAlignment="1">
      <alignment vertical="center"/>
    </xf>
    <xf numFmtId="42" fontId="3" fillId="2" borderId="23" xfId="3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165" fontId="5" fillId="3" borderId="24" xfId="0" applyNumberFormat="1" applyFont="1" applyFill="1" applyBorder="1" applyAlignment="1">
      <alignment vertical="center"/>
    </xf>
    <xf numFmtId="165" fontId="5" fillId="3" borderId="25" xfId="0" applyNumberFormat="1" applyFont="1" applyFill="1" applyBorder="1" applyAlignment="1">
      <alignment vertical="center"/>
    </xf>
    <xf numFmtId="165" fontId="5" fillId="3" borderId="27" xfId="0" applyNumberFormat="1" applyFont="1" applyFill="1" applyBorder="1" applyAlignment="1">
      <alignment vertical="center"/>
    </xf>
    <xf numFmtId="165" fontId="5" fillId="3" borderId="26" xfId="0" applyNumberFormat="1" applyFont="1" applyFill="1" applyBorder="1" applyAlignment="1">
      <alignment vertical="center"/>
    </xf>
    <xf numFmtId="165" fontId="5" fillId="3" borderId="23" xfId="0" applyNumberFormat="1" applyFont="1" applyFill="1" applyBorder="1" applyAlignment="1">
      <alignment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165" fontId="3" fillId="3" borderId="36" xfId="0" applyNumberFormat="1" applyFont="1" applyFill="1" applyBorder="1" applyAlignment="1">
      <alignment vertical="center"/>
    </xf>
    <xf numFmtId="0" fontId="4" fillId="3" borderId="37" xfId="0" applyFont="1" applyFill="1" applyBorder="1"/>
    <xf numFmtId="0" fontId="5" fillId="3" borderId="38" xfId="0" applyFont="1" applyFill="1" applyBorder="1" applyAlignment="1">
      <alignment horizontal="right"/>
    </xf>
    <xf numFmtId="41" fontId="5" fillId="3" borderId="38" xfId="2" applyFont="1" applyFill="1" applyBorder="1"/>
    <xf numFmtId="0" fontId="5" fillId="3" borderId="38" xfId="0" applyFont="1" applyFill="1" applyBorder="1" applyAlignment="1">
      <alignment horizontal="center"/>
    </xf>
    <xf numFmtId="9" fontId="5" fillId="3" borderId="38" xfId="0" applyNumberFormat="1" applyFont="1" applyFill="1" applyBorder="1"/>
    <xf numFmtId="41" fontId="14" fillId="3" borderId="39" xfId="2" applyFont="1" applyFill="1" applyBorder="1" applyAlignment="1">
      <alignment horizontal="right"/>
    </xf>
    <xf numFmtId="41" fontId="4" fillId="2" borderId="0" xfId="2" applyFont="1" applyFill="1" applyBorder="1" applyAlignment="1">
      <alignment horizontal="right"/>
    </xf>
    <xf numFmtId="0" fontId="3" fillId="4" borderId="5" xfId="0" applyFont="1" applyFill="1" applyBorder="1" applyAlignment="1">
      <alignment vertical="center"/>
    </xf>
    <xf numFmtId="41" fontId="3" fillId="4" borderId="19" xfId="2" applyFont="1" applyFill="1" applyBorder="1" applyAlignment="1">
      <alignment vertical="center"/>
    </xf>
    <xf numFmtId="165" fontId="3" fillId="4" borderId="18" xfId="0" applyNumberFormat="1" applyFont="1" applyFill="1" applyBorder="1" applyAlignment="1">
      <alignment vertical="center"/>
    </xf>
    <xf numFmtId="165" fontId="3" fillId="4" borderId="11" xfId="0" applyNumberFormat="1" applyFont="1" applyFill="1" applyBorder="1" applyAlignment="1">
      <alignment vertical="center"/>
    </xf>
    <xf numFmtId="165" fontId="3" fillId="4" borderId="6" xfId="0" applyNumberFormat="1" applyFont="1" applyFill="1" applyBorder="1" applyAlignment="1">
      <alignment vertical="center"/>
    </xf>
    <xf numFmtId="165" fontId="12" fillId="4" borderId="21" xfId="0" applyNumberFormat="1" applyFont="1" applyFill="1" applyBorder="1" applyAlignment="1">
      <alignment vertical="center"/>
    </xf>
    <xf numFmtId="165" fontId="3" fillId="4" borderId="19" xfId="0" applyNumberFormat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2" fillId="2" borderId="0" xfId="0" applyFont="1" applyFill="1"/>
    <xf numFmtId="41" fontId="2" fillId="2" borderId="0" xfId="2" applyFont="1" applyFill="1" applyAlignment="1">
      <alignment horizontal="left"/>
    </xf>
    <xf numFmtId="0" fontId="2" fillId="2" borderId="5" xfId="0" applyFont="1" applyFill="1" applyBorder="1" applyAlignment="1">
      <alignment horizontal="right" vertical="center"/>
    </xf>
    <xf numFmtId="41" fontId="10" fillId="4" borderId="0" xfId="2" applyFont="1" applyFill="1" applyAlignment="1">
      <alignment horizontal="right"/>
    </xf>
    <xf numFmtId="41" fontId="5" fillId="0" borderId="2" xfId="2" applyFont="1" applyBorder="1"/>
    <xf numFmtId="0" fontId="5" fillId="0" borderId="0" xfId="0" applyNumberFormat="1" applyFont="1"/>
    <xf numFmtId="41" fontId="1" fillId="0" borderId="0" xfId="2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2" applyNumberFormat="1" applyFont="1" applyAlignment="1">
      <alignment vertical="center"/>
    </xf>
    <xf numFmtId="0" fontId="5" fillId="0" borderId="0" xfId="2" applyNumberFormat="1" applyFont="1" applyAlignment="1">
      <alignment vertical="center"/>
    </xf>
    <xf numFmtId="41" fontId="5" fillId="0" borderId="2" xfId="2" applyFont="1" applyBorder="1" applyAlignment="1">
      <alignment vertical="center"/>
    </xf>
    <xf numFmtId="41" fontId="1" fillId="0" borderId="37" xfId="2" applyFont="1" applyBorder="1" applyAlignment="1">
      <alignment vertical="center"/>
    </xf>
    <xf numFmtId="41" fontId="1" fillId="0" borderId="38" xfId="2" applyFont="1" applyBorder="1" applyAlignment="1">
      <alignment vertical="center"/>
    </xf>
    <xf numFmtId="41" fontId="1" fillId="0" borderId="39" xfId="2" applyFont="1" applyBorder="1" applyAlignment="1">
      <alignment vertical="center"/>
    </xf>
    <xf numFmtId="0" fontId="7" fillId="0" borderId="0" xfId="0" applyFont="1" applyAlignment="1">
      <alignment vertical="center"/>
    </xf>
    <xf numFmtId="4" fontId="17" fillId="0" borderId="0" xfId="0" applyNumberFormat="1" applyFont="1"/>
    <xf numFmtId="0" fontId="1" fillId="2" borderId="0" xfId="0" applyFont="1" applyFill="1"/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5" fillId="3" borderId="1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164" fontId="13" fillId="3" borderId="12" xfId="0" applyNumberFormat="1" applyFont="1" applyFill="1" applyBorder="1" applyAlignment="1">
      <alignment horizontal="center" vertical="center" wrapText="1"/>
    </xf>
    <xf numFmtId="164" fontId="13" fillId="3" borderId="20" xfId="0" applyNumberFormat="1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vertical="center"/>
    </xf>
    <xf numFmtId="0" fontId="3" fillId="3" borderId="35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</cellXfs>
  <cellStyles count="7">
    <cellStyle name="Millares [0]" xfId="2" builtinId="6"/>
    <cellStyle name="Millares [0] 2" xfId="1" xr:uid="{00000000-0005-0000-0000-000002000000}"/>
    <cellStyle name="Millares [0] 3" xfId="5" xr:uid="{00000000-0005-0000-0000-000003000000}"/>
    <cellStyle name="Moneda [0]" xfId="3" builtinId="7"/>
    <cellStyle name="Normal" xfId="0" builtinId="0"/>
    <cellStyle name="Normal 2" xfId="4" xr:uid="{00000000-0005-0000-0000-000006000000}"/>
    <cellStyle name="Porcentaje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UTRONO%20BALANCE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uperado_Hoja1"/>
    </sheetNames>
    <sheetDataSet>
      <sheetData sheetId="0">
        <row r="20">
          <cell r="G20">
            <v>1000000</v>
          </cell>
        </row>
        <row r="31">
          <cell r="H31">
            <v>30000485</v>
          </cell>
          <cell r="I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  <pageSetUpPr fitToPage="1"/>
  </sheetPr>
  <dimension ref="B1:Q31"/>
  <sheetViews>
    <sheetView tabSelected="1" topLeftCell="A7" zoomScaleNormal="100" workbookViewId="0">
      <selection activeCell="J32" sqref="J32"/>
    </sheetView>
  </sheetViews>
  <sheetFormatPr baseColWidth="10" defaultColWidth="9.109375" defaultRowHeight="13.8" x14ac:dyDescent="0.25"/>
  <cols>
    <col min="1" max="1" width="9.109375" style="6"/>
    <col min="2" max="8" width="10.44140625" style="6" customWidth="1"/>
    <col min="9" max="9" width="26.21875" style="2" customWidth="1"/>
    <col min="10" max="10" width="13.88671875" style="2" bestFit="1" customWidth="1"/>
    <col min="11" max="16384" width="9.109375" style="6"/>
  </cols>
  <sheetData>
    <row r="1" spans="2:10" ht="17.25" customHeight="1" x14ac:dyDescent="0.25">
      <c r="B1" s="107" t="s">
        <v>32</v>
      </c>
      <c r="C1" s="107"/>
      <c r="D1" s="107"/>
      <c r="E1" s="107"/>
      <c r="F1" s="107"/>
      <c r="G1" s="107"/>
      <c r="H1" s="107"/>
      <c r="I1" s="107"/>
      <c r="J1" s="107"/>
    </row>
    <row r="2" spans="2:10" x14ac:dyDescent="0.25">
      <c r="B2" s="7" t="s">
        <v>3</v>
      </c>
    </row>
    <row r="3" spans="2:10" x14ac:dyDescent="0.25">
      <c r="B3" s="6" t="s">
        <v>8</v>
      </c>
      <c r="I3" s="9">
        <f>+[1]Recuperado_Hoja1!$I$31</f>
        <v>0</v>
      </c>
      <c r="J3" s="9"/>
    </row>
    <row r="4" spans="2:10" x14ac:dyDescent="0.25">
      <c r="B4" s="6" t="s">
        <v>4</v>
      </c>
      <c r="I4" s="9">
        <v>0</v>
      </c>
      <c r="J4" s="9"/>
    </row>
    <row r="5" spans="2:10" ht="29.25" customHeight="1" x14ac:dyDescent="0.25">
      <c r="B5" s="106" t="s">
        <v>5</v>
      </c>
      <c r="C5" s="106"/>
      <c r="D5" s="106"/>
      <c r="E5" s="106"/>
      <c r="F5" s="106"/>
      <c r="G5" s="106"/>
      <c r="H5" s="106"/>
      <c r="I5" s="9">
        <v>0</v>
      </c>
      <c r="J5" s="9"/>
    </row>
    <row r="6" spans="2:10" ht="29.25" customHeight="1" x14ac:dyDescent="0.25">
      <c r="B6" s="106" t="s">
        <v>31</v>
      </c>
      <c r="C6" s="106"/>
      <c r="D6" s="106"/>
      <c r="E6" s="106"/>
      <c r="F6" s="106"/>
      <c r="G6" s="106"/>
      <c r="H6" s="106"/>
      <c r="I6" s="9">
        <v>0</v>
      </c>
      <c r="J6" s="9"/>
    </row>
    <row r="7" spans="2:10" x14ac:dyDescent="0.25">
      <c r="B7" s="6" t="s">
        <v>6</v>
      </c>
      <c r="I7" s="10">
        <v>0</v>
      </c>
      <c r="J7" s="11">
        <f>SUM(I3:I7)</f>
        <v>0</v>
      </c>
    </row>
    <row r="8" spans="2:10" ht="6" customHeight="1" x14ac:dyDescent="0.25">
      <c r="I8" s="9"/>
      <c r="J8" s="9"/>
    </row>
    <row r="9" spans="2:10" x14ac:dyDescent="0.25">
      <c r="B9" s="7" t="s">
        <v>7</v>
      </c>
      <c r="I9" s="9"/>
      <c r="J9" s="9"/>
    </row>
    <row r="10" spans="2:10" x14ac:dyDescent="0.25">
      <c r="B10" s="6" t="s">
        <v>10</v>
      </c>
      <c r="I10" s="9">
        <v>0</v>
      </c>
      <c r="J10" s="9"/>
    </row>
    <row r="11" spans="2:10" x14ac:dyDescent="0.25">
      <c r="B11" s="6" t="s">
        <v>9</v>
      </c>
      <c r="I11" s="9">
        <v>0</v>
      </c>
      <c r="J11" s="9"/>
    </row>
    <row r="12" spans="2:10" x14ac:dyDescent="0.25">
      <c r="B12" s="6" t="s">
        <v>13</v>
      </c>
      <c r="I12" s="9">
        <v>0</v>
      </c>
      <c r="J12" s="9"/>
    </row>
    <row r="13" spans="2:10" x14ac:dyDescent="0.25">
      <c r="B13" s="6" t="s">
        <v>12</v>
      </c>
      <c r="I13" s="9">
        <v>0</v>
      </c>
      <c r="J13" s="9"/>
    </row>
    <row r="14" spans="2:10" x14ac:dyDescent="0.25">
      <c r="B14" s="6" t="s">
        <v>11</v>
      </c>
      <c r="I14" s="9">
        <v>0</v>
      </c>
      <c r="J14" s="9"/>
    </row>
    <row r="15" spans="2:10" x14ac:dyDescent="0.25">
      <c r="B15" s="6" t="s">
        <v>14</v>
      </c>
      <c r="I15" s="9">
        <v>0</v>
      </c>
      <c r="J15" s="9"/>
    </row>
    <row r="16" spans="2:10" x14ac:dyDescent="0.25">
      <c r="B16" s="6" t="s">
        <v>15</v>
      </c>
      <c r="I16" s="9">
        <v>0</v>
      </c>
      <c r="J16" s="9"/>
    </row>
    <row r="17" spans="2:17" x14ac:dyDescent="0.25">
      <c r="B17" s="6" t="s">
        <v>16</v>
      </c>
      <c r="I17" s="9">
        <v>0</v>
      </c>
      <c r="J17" s="9"/>
    </row>
    <row r="18" spans="2:17" x14ac:dyDescent="0.25">
      <c r="B18" s="6" t="s">
        <v>17</v>
      </c>
      <c r="I18" s="9">
        <v>0</v>
      </c>
      <c r="J18" s="9"/>
    </row>
    <row r="19" spans="2:17" ht="29.25" customHeight="1" x14ac:dyDescent="0.25">
      <c r="B19" s="106" t="s">
        <v>20</v>
      </c>
      <c r="C19" s="106"/>
      <c r="D19" s="106"/>
      <c r="E19" s="106"/>
      <c r="F19" s="106"/>
      <c r="G19" s="106"/>
      <c r="H19" s="106"/>
      <c r="I19" s="9">
        <v>0</v>
      </c>
      <c r="J19" s="9"/>
    </row>
    <row r="20" spans="2:17" ht="29.25" customHeight="1" x14ac:dyDescent="0.25">
      <c r="B20" s="106" t="s">
        <v>18</v>
      </c>
      <c r="C20" s="106"/>
      <c r="D20" s="106"/>
      <c r="E20" s="106"/>
      <c r="F20" s="106"/>
      <c r="G20" s="106"/>
      <c r="H20" s="106"/>
      <c r="I20" s="9">
        <v>0</v>
      </c>
      <c r="J20" s="9"/>
    </row>
    <row r="21" spans="2:17" ht="29.25" customHeight="1" x14ac:dyDescent="0.25">
      <c r="B21" s="106" t="s">
        <v>19</v>
      </c>
      <c r="C21" s="106"/>
      <c r="D21" s="106"/>
      <c r="E21" s="106"/>
      <c r="F21" s="106"/>
      <c r="G21" s="106"/>
      <c r="H21" s="106"/>
      <c r="I21" s="9">
        <v>0</v>
      </c>
      <c r="J21" s="9"/>
    </row>
    <row r="22" spans="2:17" ht="29.25" customHeight="1" x14ac:dyDescent="0.25">
      <c r="B22" s="106" t="s">
        <v>21</v>
      </c>
      <c r="C22" s="106"/>
      <c r="D22" s="106"/>
      <c r="E22" s="106"/>
      <c r="F22" s="106"/>
      <c r="G22" s="106"/>
      <c r="H22" s="106"/>
      <c r="I22" s="9">
        <v>0</v>
      </c>
      <c r="J22" s="9"/>
    </row>
    <row r="23" spans="2:17" x14ac:dyDescent="0.25">
      <c r="B23" s="6" t="s">
        <v>23</v>
      </c>
      <c r="I23" s="10">
        <f>+[1]Recuperado_Hoja1!$H$31</f>
        <v>30000485</v>
      </c>
      <c r="J23" s="11">
        <f>-SUM(I10:I23)</f>
        <v>-30000485</v>
      </c>
    </row>
    <row r="24" spans="2:17" ht="7.5" customHeight="1" x14ac:dyDescent="0.25">
      <c r="I24" s="9"/>
      <c r="J24" s="10"/>
    </row>
    <row r="25" spans="2:17" s="1" customFormat="1" x14ac:dyDescent="0.25">
      <c r="I25" s="11" t="s">
        <v>35</v>
      </c>
      <c r="J25" s="14">
        <f>SUM(J23,J7)</f>
        <v>-30000485</v>
      </c>
      <c r="M25" s="16"/>
      <c r="N25" s="17"/>
      <c r="Q25" s="16"/>
    </row>
    <row r="26" spans="2:17" s="1" customFormat="1" ht="6.75" customHeight="1" x14ac:dyDescent="0.25">
      <c r="I26" s="9"/>
      <c r="J26" s="9"/>
      <c r="M26" s="16"/>
      <c r="N26" s="17"/>
      <c r="Q26" s="16"/>
    </row>
    <row r="27" spans="2:17" s="1" customFormat="1" x14ac:dyDescent="0.25">
      <c r="I27" s="13" t="s">
        <v>34</v>
      </c>
      <c r="J27" s="9">
        <f>-'14E.14D3'!H12</f>
        <v>0</v>
      </c>
      <c r="M27" s="16"/>
      <c r="N27" s="17"/>
      <c r="Q27" s="16"/>
    </row>
    <row r="28" spans="2:17" s="1" customFormat="1" ht="5.25" customHeight="1" x14ac:dyDescent="0.25">
      <c r="I28" s="9"/>
      <c r="J28" s="9"/>
      <c r="M28" s="16"/>
      <c r="N28" s="17"/>
      <c r="Q28" s="16"/>
    </row>
    <row r="29" spans="2:17" s="1" customFormat="1" ht="14.4" thickBot="1" x14ac:dyDescent="0.3">
      <c r="I29" s="11" t="s">
        <v>22</v>
      </c>
      <c r="J29" s="12">
        <f>SUM(J25:J27)</f>
        <v>-30000485</v>
      </c>
      <c r="M29" s="16"/>
      <c r="N29" s="17"/>
      <c r="Q29" s="16"/>
    </row>
    <row r="30" spans="2:17" s="1" customFormat="1" ht="6.75" customHeight="1" thickTop="1" x14ac:dyDescent="0.25">
      <c r="I30" s="9"/>
      <c r="J30" s="9"/>
      <c r="M30" s="16"/>
      <c r="N30" s="17"/>
      <c r="Q30" s="16"/>
    </row>
    <row r="31" spans="2:17" s="1" customFormat="1" x14ac:dyDescent="0.25">
      <c r="H31" s="58" t="s">
        <v>36</v>
      </c>
      <c r="I31" s="59">
        <v>0.1</v>
      </c>
      <c r="J31" s="92">
        <v>0</v>
      </c>
      <c r="M31" s="16"/>
      <c r="N31" s="17"/>
      <c r="Q31" s="16"/>
    </row>
  </sheetData>
  <mergeCells count="7">
    <mergeCell ref="B22:H22"/>
    <mergeCell ref="B1:J1"/>
    <mergeCell ref="B5:H5"/>
    <mergeCell ref="B6:H6"/>
    <mergeCell ref="B20:H20"/>
    <mergeCell ref="B21:H21"/>
    <mergeCell ref="B19:H19"/>
  </mergeCells>
  <pageMargins left="0.70866141732283472" right="0.70866141732283472" top="0.74803149606299213" bottom="0.74803149606299213" header="0.31496062992125984" footer="0.31496062992125984"/>
  <pageSetup scale="48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B5:I14"/>
  <sheetViews>
    <sheetView zoomScale="140" zoomScaleNormal="140" workbookViewId="0">
      <selection activeCell="D16" sqref="D16"/>
    </sheetView>
  </sheetViews>
  <sheetFormatPr baseColWidth="10" defaultColWidth="9.109375" defaultRowHeight="13.8" x14ac:dyDescent="0.25"/>
  <cols>
    <col min="1" max="1" width="9.109375" style="1"/>
    <col min="2" max="3" width="12" style="1" customWidth="1"/>
    <col min="4" max="4" width="22.5546875" style="1" bestFit="1" customWidth="1"/>
    <col min="5" max="5" width="2" style="1" bestFit="1" customWidth="1"/>
    <col min="6" max="6" width="6.33203125" style="1" customWidth="1"/>
    <col min="7" max="7" width="2.33203125" style="1" bestFit="1" customWidth="1"/>
    <col min="8" max="8" width="14.5546875" style="9" customWidth="1"/>
    <col min="9" max="9" width="12.88671875" style="9" customWidth="1"/>
    <col min="10" max="16384" width="9.109375" style="1"/>
  </cols>
  <sheetData>
    <row r="5" spans="2:9" x14ac:dyDescent="0.25">
      <c r="B5" s="108" t="s">
        <v>33</v>
      </c>
      <c r="C5" s="108"/>
      <c r="D5" s="108"/>
      <c r="E5" s="108"/>
      <c r="F5" s="108"/>
      <c r="G5" s="108"/>
      <c r="H5" s="108"/>
      <c r="I5" s="108"/>
    </row>
    <row r="7" spans="2:9" x14ac:dyDescent="0.25">
      <c r="B7" s="15" t="s">
        <v>35</v>
      </c>
      <c r="H7" s="9">
        <f>+RLI14D3!J25</f>
        <v>-30000485</v>
      </c>
    </row>
    <row r="8" spans="2:9" x14ac:dyDescent="0.25">
      <c r="B8" s="15" t="s">
        <v>39</v>
      </c>
      <c r="H8" s="9">
        <v>0</v>
      </c>
      <c r="I8" s="89" t="s">
        <v>85</v>
      </c>
    </row>
    <row r="9" spans="2:9" x14ac:dyDescent="0.25">
      <c r="B9" s="15" t="s">
        <v>40</v>
      </c>
      <c r="H9" s="9">
        <v>0</v>
      </c>
      <c r="I9" s="90" t="s">
        <v>85</v>
      </c>
    </row>
    <row r="10" spans="2:9" ht="14.4" thickBot="1" x14ac:dyDescent="0.3">
      <c r="D10" s="13" t="s">
        <v>41</v>
      </c>
      <c r="H10" s="18">
        <f>+H7-H8-H9</f>
        <v>-30000485</v>
      </c>
    </row>
    <row r="11" spans="2:9" ht="15" thickTop="1" thickBot="1" x14ac:dyDescent="0.3"/>
    <row r="12" spans="2:9" ht="14.4" thickBot="1" x14ac:dyDescent="0.3">
      <c r="B12" s="74"/>
      <c r="C12" s="75" t="s">
        <v>42</v>
      </c>
      <c r="D12" s="76">
        <f>IF(H10&lt;0,0,H10)</f>
        <v>0</v>
      </c>
      <c r="E12" s="77" t="s">
        <v>37</v>
      </c>
      <c r="F12" s="78">
        <v>0.5</v>
      </c>
      <c r="G12" s="78" t="s">
        <v>38</v>
      </c>
      <c r="H12" s="79">
        <f>+ROUND(D12*F12,0)</f>
        <v>0</v>
      </c>
    </row>
    <row r="14" spans="2:9" x14ac:dyDescent="0.25">
      <c r="C14" s="105" t="s">
        <v>91</v>
      </c>
      <c r="D14" s="1">
        <v>5000</v>
      </c>
      <c r="F14" s="104">
        <v>30991.74</v>
      </c>
      <c r="H14" s="9">
        <f>+D14*F14</f>
        <v>154958700</v>
      </c>
    </row>
  </sheetData>
  <mergeCells count="1">
    <mergeCell ref="B5:I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  <pageSetUpPr fitToPage="1"/>
  </sheetPr>
  <dimension ref="B2:E16"/>
  <sheetViews>
    <sheetView zoomScale="130" zoomScaleNormal="130" workbookViewId="0">
      <selection activeCell="D12" sqref="D12"/>
    </sheetView>
  </sheetViews>
  <sheetFormatPr baseColWidth="10" defaultColWidth="11.44140625" defaultRowHeight="13.8" x14ac:dyDescent="0.25"/>
  <cols>
    <col min="1" max="1" width="3.109375" style="1" customWidth="1"/>
    <col min="2" max="2" width="40.5546875" style="1" bestFit="1" customWidth="1"/>
    <col min="3" max="3" width="17.5546875" style="1" customWidth="1"/>
    <col min="4" max="4" width="13.33203125" style="1" bestFit="1" customWidth="1"/>
    <col min="5" max="5" width="15.109375" style="1" bestFit="1" customWidth="1"/>
    <col min="6" max="16384" width="11.44140625" style="1"/>
  </cols>
  <sheetData>
    <row r="2" spans="2:5" s="3" customFormat="1" x14ac:dyDescent="0.25">
      <c r="B2" s="107" t="s">
        <v>73</v>
      </c>
      <c r="C2" s="107"/>
      <c r="D2" s="107"/>
      <c r="E2" s="107"/>
    </row>
    <row r="3" spans="2:5" ht="6.75" customHeight="1" x14ac:dyDescent="0.25"/>
    <row r="4" spans="2:5" s="3" customFormat="1" x14ac:dyDescent="0.25">
      <c r="B4" s="3" t="s">
        <v>0</v>
      </c>
    </row>
    <row r="5" spans="2:5" x14ac:dyDescent="0.25">
      <c r="B5" s="109" t="s">
        <v>24</v>
      </c>
      <c r="C5" s="109"/>
      <c r="D5" s="9">
        <f>+[1]Recuperado_Hoja1!$G$20</f>
        <v>1000000</v>
      </c>
      <c r="E5" s="16"/>
    </row>
    <row r="6" spans="2:5" ht="29.25" customHeight="1" x14ac:dyDescent="0.25">
      <c r="B6" s="109" t="s">
        <v>25</v>
      </c>
      <c r="C6" s="109"/>
      <c r="D6" s="9">
        <v>0</v>
      </c>
      <c r="E6" s="16"/>
    </row>
    <row r="7" spans="2:5" x14ac:dyDescent="0.25">
      <c r="B7" s="110" t="s">
        <v>89</v>
      </c>
      <c r="C7" s="109"/>
      <c r="D7" s="9">
        <f>-RLI14D3!J27</f>
        <v>0</v>
      </c>
      <c r="E7" s="16"/>
    </row>
    <row r="8" spans="2:5" ht="29.25" customHeight="1" x14ac:dyDescent="0.25">
      <c r="B8" s="109" t="s">
        <v>26</v>
      </c>
      <c r="C8" s="109"/>
      <c r="D8" s="10">
        <v>0</v>
      </c>
      <c r="E8" s="11">
        <f>SUM(D5:D8)</f>
        <v>1000000</v>
      </c>
    </row>
    <row r="9" spans="2:5" ht="24" customHeight="1" x14ac:dyDescent="0.25">
      <c r="B9" s="3" t="s">
        <v>1</v>
      </c>
      <c r="C9" s="8"/>
      <c r="D9" s="9"/>
      <c r="E9" s="16"/>
    </row>
    <row r="10" spans="2:5" x14ac:dyDescent="0.25">
      <c r="B10" s="109" t="s">
        <v>27</v>
      </c>
      <c r="C10" s="109"/>
      <c r="D10" s="9">
        <v>0</v>
      </c>
      <c r="E10" s="16"/>
    </row>
    <row r="11" spans="2:5" x14ac:dyDescent="0.25">
      <c r="B11" s="109" t="s">
        <v>28</v>
      </c>
      <c r="C11" s="109"/>
      <c r="D11" s="9">
        <f>+[1]Recuperado_Hoja1!$H$31</f>
        <v>30000485</v>
      </c>
      <c r="E11" s="16"/>
    </row>
    <row r="12" spans="2:5" x14ac:dyDescent="0.25">
      <c r="B12" s="109" t="s">
        <v>29</v>
      </c>
      <c r="C12" s="109"/>
      <c r="D12" s="9">
        <f>+'14E.14D3'!H9</f>
        <v>0</v>
      </c>
      <c r="E12" s="16"/>
    </row>
    <row r="13" spans="2:5" x14ac:dyDescent="0.25">
      <c r="B13" s="109" t="s">
        <v>30</v>
      </c>
      <c r="C13" s="109"/>
      <c r="D13" s="10">
        <v>0</v>
      </c>
      <c r="E13" s="11">
        <f>-SUM(D10:D13)</f>
        <v>-30000485</v>
      </c>
    </row>
    <row r="14" spans="2:5" x14ac:dyDescent="0.25">
      <c r="B14" s="8"/>
      <c r="C14" s="8"/>
      <c r="D14" s="80"/>
      <c r="E14" s="11"/>
    </row>
    <row r="15" spans="2:5" ht="14.4" thickBot="1" x14ac:dyDescent="0.3">
      <c r="B15" s="2"/>
      <c r="C15" s="4" t="s">
        <v>2</v>
      </c>
      <c r="D15" s="5">
        <v>44196</v>
      </c>
      <c r="E15" s="12">
        <f>SUM(E8:E13)</f>
        <v>-29000485</v>
      </c>
    </row>
    <row r="16" spans="2:5" ht="14.4" thickTop="1" x14ac:dyDescent="0.25"/>
  </sheetData>
  <mergeCells count="9">
    <mergeCell ref="B12:C12"/>
    <mergeCell ref="B13:C13"/>
    <mergeCell ref="B2:E2"/>
    <mergeCell ref="B5:C5"/>
    <mergeCell ref="B6:C6"/>
    <mergeCell ref="B8:C8"/>
    <mergeCell ref="B10:C10"/>
    <mergeCell ref="B11:C11"/>
    <mergeCell ref="B7:C7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  <pageSetUpPr fitToPage="1"/>
  </sheetPr>
  <dimension ref="A1:L62"/>
  <sheetViews>
    <sheetView zoomScale="120" zoomScaleNormal="120" workbookViewId="0">
      <pane xSplit="3" ySplit="4" topLeftCell="F5" activePane="bottomRight" state="frozen"/>
      <selection activeCell="A20" sqref="A20:XFD26"/>
      <selection pane="topRight" activeCell="A20" sqref="A20:XFD26"/>
      <selection pane="bottomLeft" activeCell="A20" sqref="A20:XFD26"/>
      <selection pane="bottomRight" activeCell="C17" sqref="C17"/>
    </sheetView>
  </sheetViews>
  <sheetFormatPr baseColWidth="10" defaultColWidth="11.44140625" defaultRowHeight="13.8" x14ac:dyDescent="0.3"/>
  <cols>
    <col min="1" max="1" width="28.5546875" style="23" customWidth="1"/>
    <col min="2" max="12" width="16.44140625" style="23" customWidth="1"/>
    <col min="13" max="16384" width="11.44140625" style="23"/>
  </cols>
  <sheetData>
    <row r="1" spans="1:12" s="19" customFormat="1" ht="14.4" thickBot="1" x14ac:dyDescent="0.35">
      <c r="F1" s="20" t="s">
        <v>90</v>
      </c>
      <c r="G1" s="21">
        <v>44561</v>
      </c>
      <c r="K1" s="22"/>
    </row>
    <row r="2" spans="1:12" s="19" customFormat="1" x14ac:dyDescent="0.3">
      <c r="A2" s="120" t="s">
        <v>43</v>
      </c>
      <c r="B2" s="121"/>
      <c r="C2" s="126" t="s">
        <v>44</v>
      </c>
      <c r="D2" s="129" t="s">
        <v>45</v>
      </c>
      <c r="E2" s="132" t="s">
        <v>57</v>
      </c>
      <c r="F2" s="135" t="s">
        <v>71</v>
      </c>
      <c r="G2" s="136"/>
      <c r="H2" s="137"/>
      <c r="I2" s="135" t="s">
        <v>59</v>
      </c>
      <c r="J2" s="136"/>
      <c r="K2" s="138"/>
      <c r="L2" s="111" t="s">
        <v>46</v>
      </c>
    </row>
    <row r="3" spans="1:12" s="19" customFormat="1" ht="14.25" customHeight="1" x14ac:dyDescent="0.3">
      <c r="A3" s="122"/>
      <c r="B3" s="123"/>
      <c r="C3" s="127"/>
      <c r="D3" s="130"/>
      <c r="E3" s="133"/>
      <c r="F3" s="114" t="s">
        <v>60</v>
      </c>
      <c r="G3" s="114" t="s">
        <v>61</v>
      </c>
      <c r="H3" s="116" t="s">
        <v>56</v>
      </c>
      <c r="I3" s="69" t="s">
        <v>58</v>
      </c>
      <c r="J3" s="69" t="s">
        <v>74</v>
      </c>
      <c r="K3" s="70" t="s">
        <v>75</v>
      </c>
      <c r="L3" s="112"/>
    </row>
    <row r="4" spans="1:12" s="19" customFormat="1" x14ac:dyDescent="0.3">
      <c r="A4" s="124"/>
      <c r="B4" s="125"/>
      <c r="C4" s="128"/>
      <c r="D4" s="131"/>
      <c r="E4" s="134"/>
      <c r="F4" s="115"/>
      <c r="G4" s="115"/>
      <c r="H4" s="117"/>
      <c r="I4" s="71">
        <v>0.369863</v>
      </c>
      <c r="J4" s="71">
        <v>0.33333299999999999</v>
      </c>
      <c r="K4" s="72">
        <f>IFERROR(TRUNC(K7/L7,6),0)</f>
        <v>0</v>
      </c>
      <c r="L4" s="113"/>
    </row>
    <row r="5" spans="1:12" x14ac:dyDescent="0.3">
      <c r="A5" s="24" t="s">
        <v>62</v>
      </c>
      <c r="B5" s="25"/>
      <c r="C5" s="26">
        <f>+D5</f>
        <v>0</v>
      </c>
      <c r="D5" s="27"/>
      <c r="E5" s="28"/>
      <c r="F5" s="28"/>
      <c r="G5" s="28"/>
      <c r="H5" s="28"/>
      <c r="I5" s="29"/>
      <c r="J5" s="29"/>
      <c r="K5" s="30"/>
      <c r="L5" s="26"/>
    </row>
    <row r="6" spans="1:12" x14ac:dyDescent="0.3">
      <c r="A6" s="31" t="s">
        <v>47</v>
      </c>
      <c r="B6" s="32">
        <v>6.7000000000000004E-2</v>
      </c>
      <c r="C6" s="33">
        <f>+D6</f>
        <v>0</v>
      </c>
      <c r="D6" s="34">
        <f>+ROUND(D5*$B6,0)</f>
        <v>0</v>
      </c>
      <c r="E6" s="35">
        <f t="shared" ref="E6:L6" si="0">+ROUND(E5*$B6,0)</f>
        <v>0</v>
      </c>
      <c r="F6" s="35">
        <f t="shared" si="0"/>
        <v>0</v>
      </c>
      <c r="G6" s="35">
        <f t="shared" si="0"/>
        <v>0</v>
      </c>
      <c r="H6" s="35">
        <f t="shared" si="0"/>
        <v>0</v>
      </c>
      <c r="I6" s="36">
        <f t="shared" si="0"/>
        <v>0</v>
      </c>
      <c r="J6" s="36">
        <f t="shared" si="0"/>
        <v>0</v>
      </c>
      <c r="K6" s="37">
        <f t="shared" si="0"/>
        <v>0</v>
      </c>
      <c r="L6" s="33">
        <f t="shared" si="0"/>
        <v>0</v>
      </c>
    </row>
    <row r="7" spans="1:12" x14ac:dyDescent="0.3">
      <c r="A7" s="38" t="s">
        <v>63</v>
      </c>
      <c r="B7" s="39"/>
      <c r="C7" s="26">
        <f>SUM(C5:C6)</f>
        <v>0</v>
      </c>
      <c r="D7" s="27">
        <f>SUM(D5:D6)</f>
        <v>0</v>
      </c>
      <c r="E7" s="28">
        <f t="shared" ref="E7:L7" si="1">SUM(E5:E6)</f>
        <v>0</v>
      </c>
      <c r="F7" s="28">
        <f t="shared" si="1"/>
        <v>0</v>
      </c>
      <c r="G7" s="28">
        <f t="shared" si="1"/>
        <v>0</v>
      </c>
      <c r="H7" s="28">
        <f t="shared" si="1"/>
        <v>0</v>
      </c>
      <c r="I7" s="40">
        <f t="shared" si="1"/>
        <v>0</v>
      </c>
      <c r="J7" s="40">
        <f t="shared" si="1"/>
        <v>0</v>
      </c>
      <c r="K7" s="30">
        <f t="shared" si="1"/>
        <v>0</v>
      </c>
      <c r="L7" s="26">
        <f t="shared" si="1"/>
        <v>0</v>
      </c>
    </row>
    <row r="8" spans="1:12" ht="9" customHeight="1" x14ac:dyDescent="0.3">
      <c r="A8" s="38"/>
      <c r="B8" s="39"/>
      <c r="C8" s="26"/>
      <c r="D8" s="27"/>
      <c r="E8" s="28"/>
      <c r="F8" s="28"/>
      <c r="G8" s="28"/>
      <c r="H8" s="28"/>
      <c r="I8" s="40"/>
      <c r="J8" s="40"/>
      <c r="K8" s="30"/>
      <c r="L8" s="26"/>
    </row>
    <row r="9" spans="1:12" x14ac:dyDescent="0.3">
      <c r="A9" s="43" t="s">
        <v>64</v>
      </c>
      <c r="B9" s="44">
        <f>+G1-366</f>
        <v>44195</v>
      </c>
      <c r="C9" s="33">
        <f>+D9</f>
        <v>0</v>
      </c>
      <c r="D9" s="34">
        <f>-D7</f>
        <v>0</v>
      </c>
      <c r="E9" s="35"/>
      <c r="F9" s="35"/>
      <c r="G9" s="35"/>
      <c r="H9" s="35"/>
      <c r="I9" s="36"/>
      <c r="J9" s="36"/>
      <c r="K9" s="37"/>
      <c r="L9" s="33"/>
    </row>
    <row r="10" spans="1:12" x14ac:dyDescent="0.3">
      <c r="A10" s="38" t="s">
        <v>48</v>
      </c>
      <c r="B10" s="39"/>
      <c r="C10" s="26">
        <f t="shared" ref="C10:L10" si="2">SUM(C7:C9)</f>
        <v>0</v>
      </c>
      <c r="D10" s="27">
        <f t="shared" si="2"/>
        <v>0</v>
      </c>
      <c r="E10" s="28">
        <f t="shared" si="2"/>
        <v>0</v>
      </c>
      <c r="F10" s="28">
        <f t="shared" si="2"/>
        <v>0</v>
      </c>
      <c r="G10" s="28">
        <f t="shared" si="2"/>
        <v>0</v>
      </c>
      <c r="H10" s="28">
        <f t="shared" si="2"/>
        <v>0</v>
      </c>
      <c r="I10" s="40">
        <f t="shared" si="2"/>
        <v>0</v>
      </c>
      <c r="J10" s="40">
        <f t="shared" si="2"/>
        <v>0</v>
      </c>
      <c r="K10" s="30">
        <f t="shared" si="2"/>
        <v>0</v>
      </c>
      <c r="L10" s="26">
        <f t="shared" si="2"/>
        <v>0</v>
      </c>
    </row>
    <row r="11" spans="1:12" x14ac:dyDescent="0.3">
      <c r="A11" s="38"/>
      <c r="B11" s="39"/>
      <c r="C11" s="26"/>
      <c r="D11" s="27"/>
      <c r="E11" s="28"/>
      <c r="F11" s="28"/>
      <c r="G11" s="28"/>
      <c r="H11" s="28"/>
      <c r="I11" s="40"/>
      <c r="J11" s="40"/>
      <c r="K11" s="30"/>
      <c r="L11" s="26"/>
    </row>
    <row r="12" spans="1:12" x14ac:dyDescent="0.3">
      <c r="A12" s="38" t="s">
        <v>65</v>
      </c>
      <c r="B12" s="42">
        <f>+G1</f>
        <v>44561</v>
      </c>
      <c r="C12" s="26"/>
      <c r="D12" s="27"/>
      <c r="E12" s="28"/>
      <c r="F12" s="28"/>
      <c r="G12" s="28"/>
      <c r="H12" s="28"/>
      <c r="I12" s="40"/>
      <c r="J12" s="40"/>
      <c r="K12" s="30"/>
      <c r="L12" s="26"/>
    </row>
    <row r="13" spans="1:12" x14ac:dyDescent="0.3">
      <c r="A13" s="41" t="s">
        <v>66</v>
      </c>
      <c r="B13" s="60">
        <f>+CPT14D3!E15</f>
        <v>-29000485</v>
      </c>
      <c r="C13" s="26"/>
      <c r="D13" s="27"/>
      <c r="E13" s="28"/>
      <c r="F13" s="28"/>
      <c r="G13" s="28"/>
      <c r="H13" s="28"/>
      <c r="I13" s="40"/>
      <c r="J13" s="40"/>
      <c r="K13" s="30"/>
      <c r="L13" s="26"/>
    </row>
    <row r="14" spans="1:12" x14ac:dyDescent="0.3">
      <c r="A14" s="91" t="s">
        <v>86</v>
      </c>
      <c r="B14" s="60">
        <v>0</v>
      </c>
      <c r="C14" s="26"/>
      <c r="D14" s="27"/>
      <c r="E14" s="28"/>
      <c r="F14" s="28"/>
      <c r="G14" s="28"/>
      <c r="H14" s="28"/>
      <c r="I14" s="40"/>
      <c r="J14" s="40"/>
      <c r="K14" s="30"/>
      <c r="L14" s="26"/>
    </row>
    <row r="15" spans="1:12" x14ac:dyDescent="0.3">
      <c r="A15" s="91" t="s">
        <v>87</v>
      </c>
      <c r="B15" s="60">
        <v>0</v>
      </c>
      <c r="C15" s="26"/>
      <c r="D15" s="27"/>
      <c r="E15" s="28"/>
      <c r="F15" s="28"/>
      <c r="G15" s="28"/>
      <c r="H15" s="28"/>
      <c r="I15" s="46"/>
      <c r="J15" s="46"/>
      <c r="K15" s="30"/>
      <c r="L15" s="26"/>
    </row>
    <row r="16" spans="1:12" x14ac:dyDescent="0.3">
      <c r="A16" s="41" t="s">
        <v>67</v>
      </c>
      <c r="B16" s="60">
        <f>+F10+G10+H10</f>
        <v>0</v>
      </c>
      <c r="C16" s="26"/>
      <c r="D16" s="27"/>
      <c r="E16" s="28"/>
      <c r="F16" s="28"/>
      <c r="G16" s="28"/>
      <c r="H16" s="28"/>
      <c r="I16" s="46"/>
      <c r="J16" s="46"/>
      <c r="K16" s="30"/>
      <c r="L16" s="26"/>
    </row>
    <row r="17" spans="1:12" ht="15" thickBot="1" x14ac:dyDescent="0.35">
      <c r="A17" s="47"/>
      <c r="B17" s="61">
        <f>+B13+B14-B15-B16</f>
        <v>-29000485</v>
      </c>
      <c r="C17" s="26">
        <f>+D17</f>
        <v>-29000485</v>
      </c>
      <c r="D17" s="27">
        <f>+B17</f>
        <v>-29000485</v>
      </c>
      <c r="E17" s="28"/>
      <c r="F17" s="28"/>
      <c r="G17" s="28"/>
      <c r="H17" s="28"/>
      <c r="I17" s="46"/>
      <c r="J17" s="46"/>
      <c r="K17" s="30"/>
      <c r="L17" s="26"/>
    </row>
    <row r="18" spans="1:12" ht="15" thickTop="1" x14ac:dyDescent="0.3">
      <c r="A18" s="47"/>
      <c r="B18" s="45"/>
      <c r="C18" s="26"/>
      <c r="D18" s="27"/>
      <c r="E18" s="28"/>
      <c r="F18" s="28"/>
      <c r="G18" s="28"/>
      <c r="H18" s="28"/>
      <c r="I18" s="46"/>
      <c r="J18" s="46"/>
      <c r="K18" s="30"/>
      <c r="L18" s="26"/>
    </row>
    <row r="19" spans="1:12" x14ac:dyDescent="0.3">
      <c r="A19" s="38" t="s">
        <v>68</v>
      </c>
      <c r="B19" s="45"/>
      <c r="C19" s="26">
        <f>+E19</f>
        <v>0</v>
      </c>
      <c r="D19" s="27"/>
      <c r="E19" s="28">
        <v>0</v>
      </c>
      <c r="F19" s="28"/>
      <c r="G19" s="28"/>
      <c r="H19" s="28"/>
      <c r="I19" s="46"/>
      <c r="J19" s="46"/>
      <c r="K19" s="30"/>
      <c r="L19" s="26"/>
    </row>
    <row r="20" spans="1:12" ht="6" customHeight="1" x14ac:dyDescent="0.3">
      <c r="A20" s="47"/>
      <c r="B20" s="45"/>
      <c r="C20" s="26"/>
      <c r="D20" s="27"/>
      <c r="E20" s="28"/>
      <c r="F20" s="28"/>
      <c r="G20" s="28"/>
      <c r="H20" s="28"/>
      <c r="I20" s="46"/>
      <c r="J20" s="46"/>
      <c r="K20" s="30"/>
      <c r="L20" s="26"/>
    </row>
    <row r="21" spans="1:12" x14ac:dyDescent="0.3">
      <c r="A21" s="38" t="s">
        <v>70</v>
      </c>
      <c r="B21" s="45"/>
      <c r="C21" s="26">
        <f>+SUM(F21:H21)</f>
        <v>0</v>
      </c>
      <c r="D21" s="27"/>
      <c r="E21" s="28"/>
      <c r="F21" s="28">
        <v>0</v>
      </c>
      <c r="G21" s="28">
        <v>0</v>
      </c>
      <c r="H21" s="28">
        <v>0</v>
      </c>
      <c r="I21" s="46"/>
      <c r="J21" s="46"/>
      <c r="K21" s="30"/>
      <c r="L21" s="26"/>
    </row>
    <row r="22" spans="1:12" ht="7.5" customHeight="1" x14ac:dyDescent="0.3">
      <c r="A22" s="47"/>
      <c r="B22" s="45"/>
      <c r="C22" s="26"/>
      <c r="D22" s="27"/>
      <c r="E22" s="28"/>
      <c r="F22" s="28"/>
      <c r="G22" s="28"/>
      <c r="H22" s="28"/>
      <c r="I22" s="46"/>
      <c r="J22" s="46"/>
      <c r="K22" s="30"/>
      <c r="L22" s="26"/>
    </row>
    <row r="23" spans="1:12" s="88" customFormat="1" x14ac:dyDescent="0.3">
      <c r="A23" s="81" t="s">
        <v>49</v>
      </c>
      <c r="B23" s="82"/>
      <c r="C23" s="83"/>
      <c r="D23" s="84"/>
      <c r="E23" s="85"/>
      <c r="F23" s="85"/>
      <c r="G23" s="85"/>
      <c r="H23" s="85"/>
      <c r="I23" s="86"/>
      <c r="J23" s="86">
        <f>+RLI14D3!J31</f>
        <v>0</v>
      </c>
      <c r="K23" s="87"/>
      <c r="L23" s="83"/>
    </row>
    <row r="24" spans="1:12" x14ac:dyDescent="0.3">
      <c r="A24" s="38" t="s">
        <v>72</v>
      </c>
      <c r="B24" s="60">
        <v>0</v>
      </c>
      <c r="C24" s="26"/>
      <c r="D24" s="27"/>
      <c r="E24" s="28"/>
      <c r="F24" s="28"/>
      <c r="G24" s="28"/>
      <c r="H24" s="28"/>
      <c r="I24" s="40"/>
      <c r="J24" s="40">
        <f>-ROUND(B24*J4,0)</f>
        <v>0</v>
      </c>
      <c r="K24" s="30"/>
      <c r="L24" s="26"/>
    </row>
    <row r="25" spans="1:12" x14ac:dyDescent="0.3">
      <c r="A25" s="31" t="s">
        <v>50</v>
      </c>
      <c r="B25" s="48"/>
      <c r="C25" s="33"/>
      <c r="D25" s="34"/>
      <c r="E25" s="35"/>
      <c r="F25" s="35"/>
      <c r="G25" s="35"/>
      <c r="H25" s="35"/>
      <c r="I25" s="36"/>
      <c r="J25" s="36">
        <v>0</v>
      </c>
      <c r="K25" s="37"/>
      <c r="L25" s="33"/>
    </row>
    <row r="26" spans="1:12" x14ac:dyDescent="0.3">
      <c r="A26" s="38" t="s">
        <v>51</v>
      </c>
      <c r="B26" s="39"/>
      <c r="C26" s="26">
        <f>SUM(C10:C25)</f>
        <v>-29000485</v>
      </c>
      <c r="D26" s="27">
        <f>SUM(D10:D25)</f>
        <v>-29000485</v>
      </c>
      <c r="E26" s="28">
        <f t="shared" ref="E26:G26" si="3">SUM(E10:E25)</f>
        <v>0</v>
      </c>
      <c r="F26" s="28">
        <f t="shared" si="3"/>
        <v>0</v>
      </c>
      <c r="G26" s="28">
        <f t="shared" si="3"/>
        <v>0</v>
      </c>
      <c r="H26" s="28">
        <f>SUM(H10:H25)</f>
        <v>0</v>
      </c>
      <c r="I26" s="40">
        <f>SUM(I10:I25)</f>
        <v>0</v>
      </c>
      <c r="J26" s="40">
        <f>SUM(J10:J25)</f>
        <v>0</v>
      </c>
      <c r="K26" s="30">
        <f>SUM(K10:K25)</f>
        <v>0</v>
      </c>
      <c r="L26" s="26">
        <f>SUM(L10:L25)</f>
        <v>0</v>
      </c>
    </row>
    <row r="27" spans="1:12" x14ac:dyDescent="0.3">
      <c r="A27" s="38"/>
      <c r="B27" s="39"/>
      <c r="C27" s="26"/>
      <c r="D27" s="27"/>
      <c r="E27" s="28"/>
      <c r="F27" s="28"/>
      <c r="G27" s="28"/>
      <c r="H27" s="28"/>
      <c r="I27" s="40"/>
      <c r="J27" s="40"/>
      <c r="K27" s="30"/>
      <c r="L27" s="26"/>
    </row>
    <row r="28" spans="1:12" x14ac:dyDescent="0.3">
      <c r="A28" s="31" t="s">
        <v>52</v>
      </c>
      <c r="B28" s="50">
        <v>0</v>
      </c>
      <c r="C28" s="33">
        <f>+D28</f>
        <v>0</v>
      </c>
      <c r="D28" s="34">
        <v>0</v>
      </c>
      <c r="E28" s="35"/>
      <c r="F28" s="35"/>
      <c r="G28" s="35"/>
      <c r="H28" s="35"/>
      <c r="I28" s="36"/>
      <c r="J28" s="36">
        <v>0</v>
      </c>
      <c r="K28" s="37">
        <v>0</v>
      </c>
      <c r="L28" s="33">
        <v>0</v>
      </c>
    </row>
    <row r="29" spans="1:12" x14ac:dyDescent="0.3">
      <c r="A29" s="38" t="s">
        <v>53</v>
      </c>
      <c r="B29" s="49"/>
      <c r="C29" s="26">
        <f>SUM(C26:C28)</f>
        <v>-29000485</v>
      </c>
      <c r="D29" s="27">
        <f t="shared" ref="D29:L29" si="4">SUM(D26:D28)</f>
        <v>-29000485</v>
      </c>
      <c r="E29" s="28">
        <f t="shared" si="4"/>
        <v>0</v>
      </c>
      <c r="F29" s="28">
        <f t="shared" si="4"/>
        <v>0</v>
      </c>
      <c r="G29" s="28">
        <f t="shared" si="4"/>
        <v>0</v>
      </c>
      <c r="H29" s="28">
        <f t="shared" si="4"/>
        <v>0</v>
      </c>
      <c r="I29" s="40">
        <f t="shared" si="4"/>
        <v>0</v>
      </c>
      <c r="J29" s="40">
        <f>SUM(J26:J28)</f>
        <v>0</v>
      </c>
      <c r="K29" s="30">
        <f t="shared" si="4"/>
        <v>0</v>
      </c>
      <c r="L29" s="26">
        <f t="shared" si="4"/>
        <v>0</v>
      </c>
    </row>
    <row r="30" spans="1:12" x14ac:dyDescent="0.3">
      <c r="A30" s="38"/>
      <c r="B30" s="49"/>
      <c r="C30" s="26"/>
      <c r="D30" s="27"/>
      <c r="E30" s="28"/>
      <c r="F30" s="28"/>
      <c r="G30" s="28"/>
      <c r="H30" s="28"/>
      <c r="I30" s="40"/>
      <c r="J30" s="40"/>
      <c r="K30" s="30"/>
      <c r="L30" s="26"/>
    </row>
    <row r="31" spans="1:12" x14ac:dyDescent="0.3">
      <c r="A31" s="38" t="s">
        <v>54</v>
      </c>
      <c r="B31" s="50">
        <v>0</v>
      </c>
      <c r="C31" s="33"/>
      <c r="D31" s="34"/>
      <c r="E31" s="28"/>
      <c r="F31" s="28"/>
      <c r="G31" s="28"/>
      <c r="H31" s="28"/>
      <c r="I31" s="40"/>
      <c r="J31" s="40"/>
      <c r="K31" s="30"/>
      <c r="L31" s="26"/>
    </row>
    <row r="32" spans="1:12" ht="14.4" thickBot="1" x14ac:dyDescent="0.35">
      <c r="A32" s="62" t="s">
        <v>69</v>
      </c>
      <c r="B32" s="63"/>
      <c r="C32" s="64">
        <f>SUM(C29:C31)</f>
        <v>-29000485</v>
      </c>
      <c r="D32" s="65">
        <f t="shared" ref="D32:L32" si="5">SUM(D29:D31)</f>
        <v>-29000485</v>
      </c>
      <c r="E32" s="66">
        <f t="shared" si="5"/>
        <v>0</v>
      </c>
      <c r="F32" s="66">
        <f t="shared" si="5"/>
        <v>0</v>
      </c>
      <c r="G32" s="66">
        <f t="shared" si="5"/>
        <v>0</v>
      </c>
      <c r="H32" s="66">
        <f t="shared" si="5"/>
        <v>0</v>
      </c>
      <c r="I32" s="67">
        <f t="shared" si="5"/>
        <v>0</v>
      </c>
      <c r="J32" s="67">
        <f>SUM(J29:J31)</f>
        <v>0</v>
      </c>
      <c r="K32" s="68">
        <f t="shared" si="5"/>
        <v>0</v>
      </c>
      <c r="L32" s="64">
        <f t="shared" si="5"/>
        <v>0</v>
      </c>
    </row>
    <row r="33" spans="1:12" ht="15" thickTop="1" thickBot="1" x14ac:dyDescent="0.35"/>
    <row r="34" spans="1:12" ht="14.4" thickBot="1" x14ac:dyDescent="0.35">
      <c r="A34" s="118" t="s">
        <v>55</v>
      </c>
      <c r="B34" s="119"/>
      <c r="C34" s="73">
        <f>+B28+C28+L28</f>
        <v>0</v>
      </c>
    </row>
    <row r="38" spans="1:12" x14ac:dyDescent="0.3">
      <c r="C38" s="51"/>
    </row>
    <row r="39" spans="1:12" x14ac:dyDescent="0.3">
      <c r="C39" s="51"/>
    </row>
    <row r="40" spans="1:12" x14ac:dyDescent="0.3">
      <c r="C40" s="52"/>
    </row>
    <row r="43" spans="1:12" x14ac:dyDescent="0.3">
      <c r="B43" s="51"/>
      <c r="C43" s="54"/>
      <c r="D43" s="51"/>
      <c r="E43" s="51"/>
      <c r="F43" s="51"/>
      <c r="G43" s="51"/>
      <c r="H43" s="51"/>
      <c r="I43" s="51"/>
      <c r="J43" s="51"/>
      <c r="K43" s="51"/>
      <c r="L43" s="51"/>
    </row>
    <row r="44" spans="1:12" x14ac:dyDescent="0.3">
      <c r="B44" s="51"/>
      <c r="C44" s="54"/>
      <c r="D44" s="51"/>
      <c r="E44" s="51"/>
      <c r="F44" s="51"/>
      <c r="G44" s="51"/>
      <c r="H44" s="51"/>
      <c r="I44" s="51"/>
      <c r="J44" s="51"/>
      <c r="K44" s="51"/>
      <c r="L44" s="51"/>
    </row>
    <row r="45" spans="1:12" x14ac:dyDescent="0.3">
      <c r="B45" s="51"/>
      <c r="D45" s="51"/>
      <c r="E45" s="51"/>
      <c r="F45" s="51"/>
      <c r="G45" s="51"/>
      <c r="H45" s="51"/>
      <c r="I45" s="51"/>
      <c r="J45" s="51"/>
      <c r="K45" s="51"/>
      <c r="L45" s="51"/>
    </row>
    <row r="46" spans="1:12" x14ac:dyDescent="0.3">
      <c r="B46" s="51"/>
      <c r="C46" s="53"/>
    </row>
    <row r="47" spans="1:12" x14ac:dyDescent="0.3">
      <c r="B47" s="52"/>
    </row>
    <row r="49" spans="1:12" x14ac:dyDescent="0.3">
      <c r="B49" s="55"/>
    </row>
    <row r="51" spans="1:12" x14ac:dyDescent="0.3">
      <c r="A51" s="56"/>
      <c r="B51" s="57"/>
    </row>
    <row r="54" spans="1:12" x14ac:dyDescent="0.3">
      <c r="B54" s="54"/>
      <c r="C54" s="51"/>
      <c r="D54" s="51"/>
      <c r="E54" s="51"/>
      <c r="F54" s="51"/>
      <c r="G54" s="51"/>
      <c r="H54" s="51"/>
      <c r="I54" s="51"/>
      <c r="J54" s="51"/>
    </row>
    <row r="55" spans="1:12" x14ac:dyDescent="0.3">
      <c r="B55" s="54"/>
      <c r="C55" s="51"/>
      <c r="D55" s="51"/>
      <c r="E55" s="51"/>
      <c r="F55" s="51"/>
      <c r="G55" s="51"/>
      <c r="H55" s="51"/>
      <c r="I55" s="51"/>
      <c r="J55" s="51"/>
    </row>
    <row r="56" spans="1:12" x14ac:dyDescent="0.3">
      <c r="C56" s="52"/>
      <c r="D56" s="52"/>
      <c r="E56" s="52"/>
      <c r="F56" s="52"/>
      <c r="G56" s="52"/>
      <c r="H56" s="52"/>
      <c r="I56" s="52"/>
      <c r="J56" s="52"/>
    </row>
    <row r="62" spans="1:12" x14ac:dyDescent="0.3">
      <c r="L62" s="52"/>
    </row>
  </sheetData>
  <mergeCells count="11">
    <mergeCell ref="L2:L4"/>
    <mergeCell ref="F3:F4"/>
    <mergeCell ref="G3:G4"/>
    <mergeCell ref="H3:H4"/>
    <mergeCell ref="A34:B34"/>
    <mergeCell ref="A2:B4"/>
    <mergeCell ref="C2:C4"/>
    <mergeCell ref="D2:D4"/>
    <mergeCell ref="E2:E4"/>
    <mergeCell ref="F2:H2"/>
    <mergeCell ref="I2:K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8" orientation="landscape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499984740745262"/>
  </sheetPr>
  <dimension ref="A2:F12"/>
  <sheetViews>
    <sheetView zoomScale="150" zoomScaleNormal="150" workbookViewId="0">
      <selection activeCell="C15" sqref="C15"/>
    </sheetView>
  </sheetViews>
  <sheetFormatPr baseColWidth="10" defaultColWidth="11.44140625" defaultRowHeight="13.8" x14ac:dyDescent="0.3"/>
  <cols>
    <col min="1" max="1" width="14.5546875" style="96" bestFit="1" customWidth="1"/>
    <col min="2" max="2" width="12.6640625" style="95" bestFit="1" customWidth="1"/>
    <col min="3" max="3" width="20" style="95" customWidth="1"/>
    <col min="4" max="4" width="16.44140625" style="97" bestFit="1" customWidth="1"/>
    <col min="5" max="5" width="12.21875" style="95" bestFit="1" customWidth="1"/>
    <col min="6" max="6" width="11.44140625" style="95"/>
    <col min="7" max="16384" width="11.44140625" style="96"/>
  </cols>
  <sheetData>
    <row r="2" spans="1:5" ht="17.25" customHeight="1" x14ac:dyDescent="0.3">
      <c r="A2" s="103" t="s">
        <v>76</v>
      </c>
      <c r="D2" s="103" t="s">
        <v>78</v>
      </c>
    </row>
    <row r="3" spans="1:5" x14ac:dyDescent="0.3">
      <c r="A3" s="96" t="s">
        <v>36</v>
      </c>
      <c r="D3" s="97" t="s">
        <v>79</v>
      </c>
      <c r="E3" s="95">
        <v>0</v>
      </c>
    </row>
    <row r="4" spans="1:5" x14ac:dyDescent="0.3">
      <c r="A4" s="96" t="s">
        <v>77</v>
      </c>
      <c r="D4" s="97" t="s">
        <v>80</v>
      </c>
      <c r="E4" s="95">
        <v>0</v>
      </c>
    </row>
    <row r="5" spans="1:5" ht="14.4" thickBot="1" x14ac:dyDescent="0.35">
      <c r="D5" s="98" t="s">
        <v>81</v>
      </c>
      <c r="E5" s="99">
        <f>SUM(E3:E4)</f>
        <v>0</v>
      </c>
    </row>
    <row r="6" spans="1:5" ht="15" thickTop="1" thickBot="1" x14ac:dyDescent="0.3">
      <c r="A6" s="94" t="s">
        <v>84</v>
      </c>
      <c r="B6" s="93">
        <f>+B3-B4</f>
        <v>0</v>
      </c>
      <c r="D6" s="97" t="s">
        <v>82</v>
      </c>
      <c r="E6" s="95">
        <v>0</v>
      </c>
    </row>
    <row r="7" spans="1:5" ht="14.4" thickTop="1" x14ac:dyDescent="0.3">
      <c r="D7" s="97" t="s">
        <v>83</v>
      </c>
      <c r="E7" s="95">
        <f>-E4</f>
        <v>0</v>
      </c>
    </row>
    <row r="8" spans="1:5" ht="14.4" thickBot="1" x14ac:dyDescent="0.35">
      <c r="D8" s="98" t="s">
        <v>84</v>
      </c>
      <c r="E8" s="99">
        <f>SUM(E6:E7)</f>
        <v>0</v>
      </c>
    </row>
    <row r="9" spans="1:5" ht="15" thickTop="1" thickBot="1" x14ac:dyDescent="0.35">
      <c r="C9" s="96"/>
    </row>
    <row r="10" spans="1:5" ht="14.4" thickBot="1" x14ac:dyDescent="0.35">
      <c r="B10" s="100" t="s">
        <v>88</v>
      </c>
      <c r="C10" s="101"/>
      <c r="D10" s="102">
        <f>+B6+E8</f>
        <v>0</v>
      </c>
    </row>
    <row r="12" spans="1:5" x14ac:dyDescent="0.3">
      <c r="B12" s="96"/>
      <c r="C12" s="9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RLI14D3</vt:lpstr>
      <vt:lpstr>14E.14D3</vt:lpstr>
      <vt:lpstr>CPT14D3</vt:lpstr>
      <vt:lpstr>Rentas14D3</vt:lpstr>
      <vt:lpstr>Tributac (2)</vt:lpstr>
      <vt:lpstr>Rentas14D3!Área_de_impresión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2022-03-28T15:09:04Z</dcterms:modified>
</cp:coreProperties>
</file>
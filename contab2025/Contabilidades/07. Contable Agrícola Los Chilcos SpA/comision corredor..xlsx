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sarrollos Ecox\Ranco 2 Los Chilcos\Contable\"/>
    </mc:Choice>
  </mc:AlternateContent>
  <xr:revisionPtr revIDLastSave="0" documentId="13_ncr:1_{407D4E15-708E-4F56-896C-26F8DACD2778}" xr6:coauthVersionLast="47" xr6:coauthVersionMax="47" xr10:uidLastSave="{00000000-0000-0000-0000-000000000000}"/>
  <bookViews>
    <workbookView xWindow="0" yWindow="0" windowWidth="14400" windowHeight="15600" xr2:uid="{BFF5A3A9-000C-4829-B7F1-2AE6C16AF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  <c r="B10" i="1"/>
  <c r="B2" i="1"/>
  <c r="B11" i="1" s="1"/>
  <c r="B3" i="1"/>
  <c r="B5" i="1" l="1"/>
</calcChain>
</file>

<file path=xl/sharedStrings.xml><?xml version="1.0" encoding="utf-8"?>
<sst xmlns="http://schemas.openxmlformats.org/spreadsheetml/2006/main" count="12" uniqueCount="12">
  <si>
    <t>Precio</t>
  </si>
  <si>
    <t>JMP/PLS</t>
  </si>
  <si>
    <t>Devolucion los chilcos</t>
  </si>
  <si>
    <t>Prestamo FHB</t>
  </si>
  <si>
    <t>Total</t>
  </si>
  <si>
    <t>Aporte PLS/FHB</t>
  </si>
  <si>
    <t>Devolucion PLS</t>
  </si>
  <si>
    <t>Devolucion Jose2.3</t>
  </si>
  <si>
    <t>Felipe a PLS</t>
  </si>
  <si>
    <t xml:space="preserve">Felipe a Jose </t>
  </si>
  <si>
    <t>PLS a Labbe</t>
  </si>
  <si>
    <t xml:space="preserve">Parro a Labbe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</si>
</sst>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2" applyFont="1"/>
    <xf numFmtId="167" fontId="0" fillId="0" borderId="0" xfId="2" applyNumberFormat="1" applyFont="1"/>
    <xf numFmtId="9" fontId="0" fillId="0" borderId="0" xfId="0" applyNumberFormat="1"/>
    <xf numFmtId="12" fontId="0" fillId="0" borderId="0" xfId="1" applyNumberFormat="1" applyFont="1"/>
    <xf numFmtId="167" fontId="0" fillId="0" borderId="0" xfId="0" applyNumberFormat="1"/>
    <xf numFmtId="0" fontId="0" fillId="0" borderId="1" xfId="0" applyBorder="1"/>
    <xf numFmtId="167" fontId="0" fillId="0" borderId="1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8EEB-E05F-424D-9FAC-0A6083A212DC}">
  <dimension ref="A1:C20"/>
  <sheetViews>
    <sheetView tabSelected="1" workbookViewId="0">
      <selection activeCell="H20" sqref="H20"/>
    </sheetView>
  </sheetViews>
  <sheetFormatPr defaultRowHeight="15" x14ac:dyDescent="0.25"/>
  <cols>
    <col min="1" max="1" width="20.7109375" bestFit="1" customWidth="1"/>
    <col min="2" max="2" width="15.28515625" bestFit="1" customWidth="1"/>
    <col min="3" max="3" width="14.28515625" bestFit="1" customWidth="1"/>
  </cols>
  <sheetData>
    <row r="1" spans="1:3" x14ac:dyDescent="0.25">
      <c r="A1" t="s">
        <v>0</v>
      </c>
      <c r="B1" s="2">
        <v>680000000</v>
      </c>
    </row>
    <row r="2" spans="1:3" x14ac:dyDescent="0.25">
      <c r="A2" s="3">
        <v>0.02</v>
      </c>
      <c r="B2" s="2">
        <f>+A2*B1</f>
        <v>13600000</v>
      </c>
    </row>
    <row r="3" spans="1:3" x14ac:dyDescent="0.25">
      <c r="A3" s="4">
        <v>0.33333333333333331</v>
      </c>
      <c r="B3" s="2">
        <f>+B2/3</f>
        <v>4533333.333333333</v>
      </c>
    </row>
    <row r="4" spans="1:3" x14ac:dyDescent="0.25">
      <c r="B4" s="1"/>
    </row>
    <row r="5" spans="1:3" x14ac:dyDescent="0.25">
      <c r="A5" t="s">
        <v>1</v>
      </c>
      <c r="B5" s="2">
        <f>+B2/2</f>
        <v>6800000</v>
      </c>
    </row>
    <row r="8" spans="1:3" x14ac:dyDescent="0.25">
      <c r="A8" t="s">
        <v>2</v>
      </c>
      <c r="B8" s="5">
        <f>+B11-B10-B9</f>
        <v>4600000</v>
      </c>
      <c r="C8" s="2">
        <f>+B8/2</f>
        <v>2300000</v>
      </c>
    </row>
    <row r="9" spans="1:3" x14ac:dyDescent="0.25">
      <c r="A9" t="s">
        <v>3</v>
      </c>
      <c r="B9" s="2">
        <v>3000000</v>
      </c>
    </row>
    <row r="10" spans="1:3" x14ac:dyDescent="0.25">
      <c r="A10" s="6" t="s">
        <v>5</v>
      </c>
      <c r="B10" s="7">
        <f>+B9*2</f>
        <v>6000000</v>
      </c>
    </row>
    <row r="11" spans="1:3" x14ac:dyDescent="0.25">
      <c r="A11" t="s">
        <v>4</v>
      </c>
      <c r="B11" s="5">
        <f>+B2</f>
        <v>13600000</v>
      </c>
    </row>
    <row r="15" spans="1:3" x14ac:dyDescent="0.25">
      <c r="A15" t="s">
        <v>6</v>
      </c>
      <c r="B15">
        <v>2.2999999999999998</v>
      </c>
    </row>
    <row r="16" spans="1:3" x14ac:dyDescent="0.25">
      <c r="A16" t="s">
        <v>7</v>
      </c>
      <c r="B16">
        <v>2.2999999999999998</v>
      </c>
    </row>
    <row r="17" spans="1:2" x14ac:dyDescent="0.25">
      <c r="A17" t="s">
        <v>8</v>
      </c>
      <c r="B17">
        <v>1.5</v>
      </c>
    </row>
    <row r="18" spans="1:2" x14ac:dyDescent="0.25">
      <c r="A18" t="s">
        <v>9</v>
      </c>
      <c r="B18">
        <v>1.5</v>
      </c>
    </row>
    <row r="19" spans="1:2" x14ac:dyDescent="0.25">
      <c r="A19" t="s">
        <v>10</v>
      </c>
      <c r="B19">
        <v>6.8</v>
      </c>
    </row>
    <row r="20" spans="1:2" x14ac:dyDescent="0.25">
      <c r="A20" t="s">
        <v>11</v>
      </c>
      <c r="B20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Lecaros</dc:creator>
  <cp:lastModifiedBy>Pedro Lecaros</cp:lastModifiedBy>
  <dcterms:created xsi:type="dcterms:W3CDTF">2024-06-10T16:48:34Z</dcterms:created>
  <dcterms:modified xsi:type="dcterms:W3CDTF">2024-06-11T13:39:07Z</dcterms:modified>
</cp:coreProperties>
</file>
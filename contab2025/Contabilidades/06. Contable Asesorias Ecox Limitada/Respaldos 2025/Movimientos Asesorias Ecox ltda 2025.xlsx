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6. Contable Asesorias Ecox Limitada\Respaldos 2025\"/>
    </mc:Choice>
  </mc:AlternateContent>
  <xr:revisionPtr revIDLastSave="0" documentId="13_ncr:1_{2928711D-BD7C-43BA-BB2C-D1AD1F4062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S" sheetId="1" r:id="rId1"/>
    <sheet name="LIMITE PYME" sheetId="5" r:id="rId2"/>
    <sheet name="CATEGORIAS" sheetId="2" r:id="rId3"/>
  </sheets>
  <definedNames>
    <definedName name="_xlnm._FilterDatabase" localSheetId="0" hidden="1">MOVIMIENTOS!$A$1:$AA$279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l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</calcChain>
</file>

<file path=xl/sharedStrings.xml><?xml version="1.0" encoding="utf-8"?>
<sst xmlns="http://schemas.openxmlformats.org/spreadsheetml/2006/main" count="1445" uniqueCount="282">
  <si>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</si>
  <si>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</si>
  <si>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</si>
  <si>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</si>
  <si>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</si>
  <si>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</si>
  <si>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</si>
  <si>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</si>
  <si>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</si>
  <si>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</si>
  <si>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</si>
  <si>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</si>
  <si>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</si>
  <si>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</si>
  <si>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</si>
  <si>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</si>
  <si>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</si>
  <si>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</si>
  <si>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</si>
  <si>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</si>
  <si>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</si>
  <si>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</si>
  <si>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</si>
  <si>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</si>
  <si>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</si>
  <si>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</si>
  <si>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</si>
  <si>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</si>
  <si>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</si>
  <si>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</si>
  <si>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</si>
  <si>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</si>
  <si>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</si>
  <si>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</si>
  <si>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</si>
  <si>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Compra GOOGLE *GSUITE_ec</t>
  </si>
  <si>
    <t>0121371871 Transf a CIFUENTES PAREDES R</t>
  </si>
  <si>
    <t>0778050773 Transf. Cerro Colorado Spa</t>
  </si>
  <si>
    <t>0771605729 Transf a ECOX SPA</t>
  </si>
  <si>
    <t>0200723457 Transf a Benjamin Lecaros</t>
  </si>
  <si>
    <t>Prestamo</t>
  </si>
  <si>
    <t>0144767209 Transf a Jeannette del Carmen Núñez Hermosilla</t>
  </si>
  <si>
    <t>Aseo oficina</t>
  </si>
  <si>
    <t>0771605729 Transf de ECOX SPA</t>
  </si>
  <si>
    <t>PAGO EN LINEA S.I.I.</t>
  </si>
  <si>
    <t>0200723457 Transf. Benjamin Jose Lecaros</t>
  </si>
  <si>
    <t>0785981901 Transf. SOC VICTOR HUGO</t>
  </si>
  <si>
    <t>0533207448 Transf a Comunidad Edificio 1K Torre A</t>
  </si>
  <si>
    <t>0774601414 Transf de FUTRONO SPA</t>
  </si>
  <si>
    <t>0774654836 Transf. Parque Sur Spa</t>
  </si>
  <si>
    <t>0767039379 Transf. los Robles Spa</t>
  </si>
  <si>
    <t>servicio contable</t>
  </si>
  <si>
    <t>Rescate Fondos Mutuos</t>
  </si>
  <si>
    <t>0156407445 Transf a HIRIART BLOME FELIP</t>
  </si>
  <si>
    <t>0163673002 Transf a LECAROS SOTOMAYOR P</t>
  </si>
  <si>
    <t>prestamo</t>
  </si>
  <si>
    <t>PAGO EN LINEA T.G.R.</t>
  </si>
  <si>
    <t>0161286575 Transf a Micael Sandor</t>
  </si>
  <si>
    <t>0761985795 Transf a Zalaquett y Avendaño Limitada</t>
  </si>
  <si>
    <t>Compra PRONTO COPEC SF M</t>
  </si>
  <si>
    <t>Compra MUNICIPALIDAD DE</t>
  </si>
  <si>
    <t>Compra PRT BARRA SN FNDO</t>
  </si>
  <si>
    <t>Compra MERPAGO*STREAT BU</t>
  </si>
  <si>
    <t>0778714019 Transf. Agricola los Chilcos Spa</t>
  </si>
  <si>
    <t>076538611K Transf. LM ABOGADOS LIMITADA</t>
  </si>
  <si>
    <t>Compra CENTRO COMERCIAL</t>
  </si>
  <si>
    <t>Compra LA HACIENDA PROVI</t>
  </si>
  <si>
    <t>Pago hipoteca titi</t>
  </si>
  <si>
    <t>Reembolso viaje bodegas</t>
  </si>
  <si>
    <t>Reembolso colbun</t>
  </si>
  <si>
    <t>0776730890 Transf a Constructora e Ingeniería Maule spa</t>
  </si>
  <si>
    <t>Compra MERCADOPAGO *MICO</t>
  </si>
  <si>
    <t>0156369896 Transf. Fernando Agustin Vial Cox</t>
  </si>
  <si>
    <t>0770359716 Transf a CONTALIVE SPA</t>
  </si>
  <si>
    <t>PAGO EN LINEA SERVIPAG</t>
  </si>
  <si>
    <t>Sistema contable</t>
  </si>
  <si>
    <t>Cuentas oficina</t>
  </si>
  <si>
    <t>Coca Cola</t>
  </si>
  <si>
    <t>Colbun, pago pendiente ingenieria camino presupuesto</t>
  </si>
  <si>
    <t>GGCC Nov 2024</t>
  </si>
  <si>
    <t>Servicios legales</t>
  </si>
  <si>
    <t>Reparacion Dron</t>
  </si>
  <si>
    <t>COM.MANTENCION PLAN</t>
  </si>
  <si>
    <t>Depósito Documento Mismo Banco</t>
  </si>
  <si>
    <t>Compra SOLER CURICO SPA</t>
  </si>
  <si>
    <t>0107554106 Transf a RIEUTORD ALVARADO A</t>
  </si>
  <si>
    <t>0156407445 Transf a Felipe Hiriart BCI</t>
  </si>
  <si>
    <t>GGCC Dec 2024</t>
  </si>
  <si>
    <t>Inversión en Fondo Mutuo</t>
  </si>
  <si>
    <t>016470226K Transf a GOMILA LARSEN FERNA</t>
  </si>
  <si>
    <t>Compra RISHTEDAR</t>
  </si>
  <si>
    <t>0043441558 Transf a Raúl Leiva Uribe-Echeverría</t>
  </si>
  <si>
    <t>Recticacion F29</t>
  </si>
  <si>
    <t>Notaria aut firma colbun</t>
  </si>
  <si>
    <t>Honorario Rosa</t>
  </si>
  <si>
    <t>Honorario Benja</t>
  </si>
  <si>
    <t>Servicio contable</t>
  </si>
  <si>
    <t>GGCC enero 2025</t>
  </si>
  <si>
    <t>Compra GASTRONOMIA GRUPO</t>
  </si>
  <si>
    <t>Compra JUMBO ONECLICK</t>
  </si>
  <si>
    <t>Reembolsa compra montitor oficina falabella</t>
  </si>
  <si>
    <t>Cotizacion 298726</t>
  </si>
  <si>
    <t>Solicitud copias con vigencia</t>
  </si>
  <si>
    <t>reembolso gasto transporte BSF</t>
  </si>
  <si>
    <t>JUMBO ONECLICK</t>
  </si>
  <si>
    <t>Compra MERCAR</t>
  </si>
  <si>
    <t>0153769826 Transf a HIRIART BLOME JORGE</t>
  </si>
  <si>
    <t>011990675K Transf a Oliver Leiva Ramírez Topografo</t>
  </si>
  <si>
    <t>Compra NOTARIA BELMONTE</t>
  </si>
  <si>
    <t>0083291001 Transf a Víctor Hugo Pérez Peña</t>
  </si>
  <si>
    <t>079584600K Transf. B Y M INGENIEROS LIMITADA</t>
  </si>
  <si>
    <t>0763699560 Transf a Inversiones Blackzar Limitada</t>
  </si>
  <si>
    <t>arriendo oficina</t>
  </si>
  <si>
    <t>GGCC oficina</t>
  </si>
  <si>
    <t>aseo 3 dias</t>
  </si>
  <si>
    <t>DIVIDENDO</t>
  </si>
  <si>
    <t>Sum of DEPOSITO</t>
  </si>
  <si>
    <t>Row Labels</t>
  </si>
  <si>
    <t>Grand Total</t>
  </si>
  <si>
    <t xml:space="preserve">Comprobar que este todo actuliazado. Dividendos no pueden ser superiores a 35% de ingresos totales. (o 30% por seguridad) </t>
  </si>
  <si>
    <t>AYSEN</t>
  </si>
  <si>
    <t>Compra TIP Y TAP</t>
  </si>
  <si>
    <t>COBRO VVISTA 026432879193-00001 OFF.BANK</t>
  </si>
  <si>
    <t>Contribuciones colbun</t>
  </si>
  <si>
    <t>00966585900 Pago Fact 124</t>
  </si>
  <si>
    <t>0064895109 Transf a ADASME APAZ FRANCIS</t>
  </si>
  <si>
    <t>Compra PAR (PARQUE ARAUC</t>
  </si>
  <si>
    <t>Articulos oficina</t>
  </si>
  <si>
    <t>0778050773 Transf. Cerro Colorado SpA</t>
  </si>
  <si>
    <t>Compra PIZZERIA TIRAMISU</t>
  </si>
  <si>
    <t>aseo oficina 4 días</t>
  </si>
  <si>
    <t>Pagos pendientes V-34-2025 Santa Delfina</t>
  </si>
  <si>
    <t>Reembolso bencina y Piegari</t>
  </si>
  <si>
    <t>rinde gasto gasolina bsf</t>
  </si>
  <si>
    <t>Credito BCI</t>
  </si>
  <si>
    <t>Pago 50 porciento perito</t>
  </si>
  <si>
    <t>0082846808 Transf a Miguel Angel Venegas Salgado</t>
  </si>
  <si>
    <t>GGCC</t>
  </si>
  <si>
    <t>Avisos</t>
  </si>
  <si>
    <t>Compra SOCIEDAD DE INVER</t>
  </si>
  <si>
    <t>076261930K Transf a LYON MONTERO Y CIA</t>
  </si>
  <si>
    <t>MERCADOPAGO *MICOCACO</t>
  </si>
  <si>
    <t>0767039379 Transf. LOS ROBLES SpA</t>
  </si>
  <si>
    <t>0774601414 Transf a FUTRONO SPA</t>
  </si>
  <si>
    <t>Transf.Internet a 77.460.141-4</t>
  </si>
  <si>
    <t xml:space="preserve">Contribuciones  </t>
  </si>
  <si>
    <t>Devolucion compra coca cola</t>
  </si>
  <si>
    <t>F29</t>
  </si>
  <si>
    <t>Honorario dividendo 4</t>
  </si>
  <si>
    <t>Dividendo 4</t>
  </si>
  <si>
    <t>activa cuenta</t>
  </si>
  <si>
    <t>Honorario dividendo 3</t>
  </si>
  <si>
    <t>Pago 2 de 2 Perito</t>
  </si>
  <si>
    <t>Reembolso auto Pudahuel</t>
  </si>
  <si>
    <t>Gasto notaria ep crane WW</t>
  </si>
  <si>
    <t>café</t>
  </si>
  <si>
    <t>Transf.Internet a 53.320.744-8</t>
  </si>
  <si>
    <t>Transf.Internet a 16.128.657-5</t>
  </si>
  <si>
    <t>servicios legales</t>
  </si>
  <si>
    <t>Reembolsa cargador pc</t>
  </si>
  <si>
    <t>0774654836 Transf. Parque Sur SpA</t>
  </si>
  <si>
    <t>Gasto CBRS inscripcion ByM</t>
  </si>
  <si>
    <t>Deposito a plazo</t>
  </si>
  <si>
    <t>servicio de gestion</t>
  </si>
  <si>
    <t>Mail</t>
  </si>
  <si>
    <t>Reembolso Uber</t>
  </si>
  <si>
    <t>Reembolso</t>
  </si>
  <si>
    <t>Prestamo Aysen SpA</t>
  </si>
  <si>
    <t>Decaexpress</t>
  </si>
  <si>
    <t>0778223554 Transf. CRANE CHILE SPA CRANE CHILE SPA</t>
  </si>
  <si>
    <t>00892186006 PAGO FACT 156</t>
  </si>
  <si>
    <t>Compra PRONTO COPEC CHIM</t>
  </si>
  <si>
    <t>Compra SOCIEDAD INMOBILI</t>
  </si>
  <si>
    <t>Compra CAFETERIA OASIS</t>
  </si>
  <si>
    <t>0901930007 Transf a EMP EL MERCURIO SOC</t>
  </si>
  <si>
    <t>0770743141 Transf. 4V DESARROLLO INMOBILIARIO SpA</t>
  </si>
  <si>
    <t>PAGO EN LINEA ENTEL PCS</t>
  </si>
  <si>
    <t>Compra WIX.COM 118988150</t>
  </si>
  <si>
    <t>Compra EQUIFAX CHILE</t>
  </si>
  <si>
    <t>Compra ESTAC .LO CASTILL</t>
  </si>
  <si>
    <t>0103284406 Transf a SANCHEZ MILLER PATR</t>
  </si>
  <si>
    <t>Interés Sobregiro Cta.Corriente</t>
  </si>
  <si>
    <t>Impuesto Sobregiro / Uso LCA</t>
  </si>
  <si>
    <t>Transf.Internet a 76.830.014-3</t>
  </si>
  <si>
    <t>0772132840 Transf de TREGUALEMU SPA</t>
  </si>
  <si>
    <t xml:space="preserve">Reembolso bencina  </t>
  </si>
  <si>
    <t>Factura 156</t>
  </si>
  <si>
    <t>Factura 155</t>
  </si>
  <si>
    <t>Factura 153</t>
  </si>
  <si>
    <t>Diario el mercurio</t>
  </si>
  <si>
    <t>Entel</t>
  </si>
  <si>
    <t>Web ecox</t>
  </si>
  <si>
    <t>informe dicom</t>
  </si>
  <si>
    <t>arriendo oficina 202</t>
  </si>
  <si>
    <t>Reembolso comida</t>
  </si>
  <si>
    <t>Reembolso articulos oficina</t>
  </si>
  <si>
    <t>Arriendo oficina (208)</t>
  </si>
  <si>
    <t>Firma electronica</t>
  </si>
  <si>
    <t>Reembolso aceite</t>
  </si>
  <si>
    <t>Bencina y tag colbun</t>
  </si>
  <si>
    <t>Bencina Pudahuel</t>
  </si>
  <si>
    <t>077057482K Transf. INVERSIONES WICHALM LIMITADA</t>
  </si>
  <si>
    <t>0779740323 Transf a EL MARTILLERO SPA</t>
  </si>
  <si>
    <t>Compra INVERSIONES MARAL</t>
  </si>
  <si>
    <t>77.456.314-8 Transf. FULL FUNE</t>
  </si>
  <si>
    <t>Aseo 4 dias adelantado agosto</t>
  </si>
  <si>
    <t>0778722852 Transf a Inverkasacl SpA</t>
  </si>
  <si>
    <t>0175999760 Transf a PIZARRO PADILLA HER</t>
  </si>
  <si>
    <t>Transf.Internet a 12.137.187-1</t>
  </si>
  <si>
    <t>Reembolso krispy kreme</t>
  </si>
  <si>
    <t>Reembolso llaves</t>
  </si>
  <si>
    <t>Arriendo oficina</t>
  </si>
  <si>
    <t>Corretaje oficina</t>
  </si>
  <si>
    <t>0760919500 Transf de SOC INMOB E INV LAS</t>
  </si>
  <si>
    <t>Compra IKEA OPEN KENNEDY</t>
  </si>
  <si>
    <t>Dividendo 5</t>
  </si>
  <si>
    <t>Honorario dividendo 5</t>
  </si>
  <si>
    <t>Las Cadenas</t>
  </si>
  <si>
    <t>MARTILLERO</t>
  </si>
  <si>
    <t>Reembolso café</t>
  </si>
  <si>
    <t>Compra AP CONTINGENCIA 0</t>
  </si>
  <si>
    <t>Compra MERCADOPAGO *RUKA</t>
  </si>
  <si>
    <t>Compra PRONTO COPEC ROME</t>
  </si>
  <si>
    <t>Contribuciones</t>
  </si>
  <si>
    <t>Compra ADMINISTRADORA V</t>
  </si>
  <si>
    <t>Compra SODIMAC PARQUE AR</t>
  </si>
  <si>
    <t>0778714019 Transf. Agricola Los Chilcos SpA</t>
  </si>
  <si>
    <t>Compra DACAM</t>
  </si>
  <si>
    <t>Transf.Internet a 15.640.744-5</t>
  </si>
  <si>
    <t>0691305007 Transf a Municipalidad de Colbun</t>
  </si>
  <si>
    <t>Compra MP *MICOCACOLA</t>
  </si>
  <si>
    <t>Aseo oficina adelanto 3 dias septiembre</t>
  </si>
  <si>
    <t>Aseo oficina 2 dias septiembre (5 dias total en el mes)</t>
  </si>
  <si>
    <t>Reembolso Jumbo</t>
  </si>
  <si>
    <t>Reembolso homecenter</t>
  </si>
  <si>
    <t>Tekkrom</t>
  </si>
  <si>
    <t>Reembolso chileexpress colbun</t>
  </si>
  <si>
    <t>CIP</t>
  </si>
  <si>
    <t>Contabilidad 2025</t>
  </si>
  <si>
    <t>Arriendo</t>
  </si>
  <si>
    <t>GGCC of. 202 agosto</t>
  </si>
  <si>
    <t>GGCC of. 208 pendiente julio</t>
  </si>
  <si>
    <t>Uber</t>
  </si>
  <si>
    <t>Reembolso bencina Pudahuel</t>
  </si>
  <si>
    <t>CBR Linares</t>
  </si>
  <si>
    <t>Stevia</t>
  </si>
  <si>
    <t>Homecenter y Tottus</t>
  </si>
  <si>
    <t>Minimarket</t>
  </si>
  <si>
    <t>Prestamo por impuesto</t>
  </si>
  <si>
    <t>Reembolso Ikea</t>
  </si>
  <si>
    <t>0171882737 Transf. Erik Ignacio Mahowski Bobadilla</t>
  </si>
  <si>
    <t>0774654836 Transf a Parque Sur SpA</t>
  </si>
  <si>
    <t>PUERTO OCTAY</t>
  </si>
  <si>
    <t>0760156132 Transf. INMOBILIARIA E INVERSIONES BRIZZI LIMITADA</t>
  </si>
  <si>
    <t>0772132840 Transf a TREGUALEMU SPA</t>
  </si>
  <si>
    <t>Compra GLACE SPA</t>
  </si>
  <si>
    <t>Aseo oficina 4 dias</t>
  </si>
  <si>
    <t>Reembolso bencina</t>
  </si>
  <si>
    <t>Compra MERCADOPAGO *MERC</t>
  </si>
  <si>
    <t>0087541533 Transf. Paula Carolina Li</t>
  </si>
  <si>
    <t>Compra PRONTO BARRA SN R</t>
  </si>
  <si>
    <t>Compra COPEC ASISTIDO</t>
  </si>
  <si>
    <t>Giro en Cajero Automatico</t>
  </si>
  <si>
    <t>Compra GOOGLE *Workspace</t>
  </si>
  <si>
    <t>0767614926 Transf. CONSTRUCTORA MARGA MARGA SpA</t>
  </si>
  <si>
    <t>Compra COPEC 20203</t>
  </si>
  <si>
    <t>Compra STREAT BURGER SAN</t>
  </si>
  <si>
    <t>Compra PRONTO BARRA SN F</t>
  </si>
  <si>
    <t>015782354K Transf a Santiago Lyon Browne</t>
  </si>
  <si>
    <t>0192747007 Transf a Lucas Loayza</t>
  </si>
  <si>
    <t>Boleta 79 - servicios legales</t>
  </si>
  <si>
    <t>Nuevo prestamo Parque Sur</t>
  </si>
  <si>
    <t>Tag colbun</t>
  </si>
  <si>
    <t>aseo oficina 4 dias</t>
  </si>
  <si>
    <t>Cuota prestamo</t>
  </si>
  <si>
    <t>cuentas oficina</t>
  </si>
  <si>
    <t>bencina a BSF</t>
  </si>
  <si>
    <t>Compra EL BACO</t>
  </si>
  <si>
    <t>0163673002 Transf a Pedro Lecaros</t>
  </si>
  <si>
    <t>Honorarios Asesorias</t>
  </si>
  <si>
    <t>Prestamo de Aysen</t>
  </si>
  <si>
    <t>Dividendo 3  Futrono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</si>
</sst>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/>
    <xf numFmtId="0" fontId="1" fillId="0" borderId="0" xfId="0" applyFont="1"/>
    <xf numFmtId="0" fontId="0" fillId="3" borderId="0" xfId="0" applyFill="1"/>
    <xf numFmtId="165" fontId="0" fillId="3" borderId="0" xfId="1" applyNumberFormat="1" applyFont="1" applyFill="1"/>
    <xf numFmtId="43" fontId="0" fillId="3" borderId="0" xfId="3" applyFont="1" applyFill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7" fillId="0" borderId="0" xfId="0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5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05.473573263887" createdVersion="8" refreshedVersion="8" minRefreshableVersion="3" recordCount="369" xr:uid="{68707F3C-1C70-4459-9348-0662D7E77AFB}">
  <cacheSource type="worksheet">
    <worksheetSource ref="A1:H10126" sheet="MOVIMIENTOS"/>
  </cacheSource>
  <cacheFields count="8">
    <cacheField name="FECHA" numFmtId="164">
      <sharedItems containsNonDate="0" containsDate="1" containsString="0" containsBlank="1" minDate="2025-01-01T00:00:00" maxDate="2025-09-06T00:00:00"/>
    </cacheField>
    <cacheField name="DETALLE" numFmtId="0">
      <sharedItems containsBlank="1"/>
    </cacheField>
    <cacheField name="CATEGORIA" numFmtId="0">
      <sharedItems containsBlank="1" count="13">
        <m/>
        <s v="GASTOS GENERALES"/>
        <s v="SUELDO Y LEYES SOCIALES"/>
        <s v="VENTA"/>
        <s v="CUENTA CORRIENTE MERCANTIL"/>
        <s v="PRESTAMO"/>
        <s v="IMPUESTOS"/>
        <s v="FONDOS MUTUOS"/>
        <s v="RETIRO"/>
        <s v="NOTARIA Y CONSERVADOR"/>
        <s v="DIVIDENDO"/>
        <s v="OTRO"/>
        <s v="LINEA DE CREDITO"/>
      </sharedItems>
    </cacheField>
    <cacheField name="SUB" numFmtId="0">
      <sharedItems containsBlank="1"/>
    </cacheField>
    <cacheField name="SALDO" numFmtId="165">
      <sharedItems containsString="0" containsBlank="1" containsNumber="1" containsInteger="1" minValue="295" maxValue="72200272"/>
    </cacheField>
    <cacheField name="DEPOSITO" numFmtId="0">
      <sharedItems containsString="0" containsBlank="1" containsNumber="1" containsInteger="1" minValue="2898" maxValue="35280000"/>
    </cacheField>
    <cacheField name="GIROS" numFmtId="165">
      <sharedItems containsString="0" containsBlank="1" containsNumber="1" containsInteger="1" minValue="-35000000" maxValue="-8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d v="2025-01-01T00:00:00"/>
    <s v="SALDO ANTERIOR"/>
    <x v="0"/>
    <m/>
    <n v="2772951"/>
    <m/>
    <m/>
    <m/>
  </r>
  <r>
    <d v="2025-01-02T00:00:00"/>
    <s v="Compra GOOGLE *GSUITE_ec"/>
    <x v="1"/>
    <m/>
    <n v="2772951"/>
    <m/>
    <n v="-26783"/>
    <m/>
  </r>
  <r>
    <d v="2025-01-02T00:00:00"/>
    <s v="Compra GOOGLE *GSUITE_ec"/>
    <x v="1"/>
    <m/>
    <n v="2746168"/>
    <m/>
    <n v="-15329"/>
    <m/>
  </r>
  <r>
    <d v="2025-01-02T00:00:00"/>
    <s v="0121371871 Transf a CIFUENTES PAREDES R"/>
    <x v="2"/>
    <m/>
    <n v="2730839"/>
    <m/>
    <n v="-600000"/>
    <m/>
  </r>
  <r>
    <d v="2025-01-03T00:00:00"/>
    <s v="0778050773 Transf. Cerro Colorado Spa"/>
    <x v="3"/>
    <m/>
    <n v="2130839"/>
    <n v="2300000"/>
    <m/>
    <m/>
  </r>
  <r>
    <d v="2025-01-03T00:00:00"/>
    <s v="0771605729 Transf a ECOX SPA"/>
    <x v="4"/>
    <m/>
    <n v="4430839"/>
    <m/>
    <n v="-3000000"/>
    <m/>
  </r>
  <r>
    <d v="2025-01-03T00:00:00"/>
    <s v="0200723457 Transf a Benjamin Lecaros"/>
    <x v="5"/>
    <m/>
    <n v="1430839"/>
    <m/>
    <n v="-1000000"/>
    <s v="Prestamo"/>
  </r>
  <r>
    <d v="2025-01-07T00:00:00"/>
    <s v="0144767209 Transf a Jeannette del Carmen Núñez Hermosilla"/>
    <x v="1"/>
    <m/>
    <n v="430839"/>
    <m/>
    <n v="-125000"/>
    <s v="Aseo oficina"/>
  </r>
  <r>
    <d v="2025-01-07T00:00:00"/>
    <s v="0144767209 Transf a Jeannette del Carmen Núñez Hermosilla"/>
    <x v="1"/>
    <m/>
    <n v="305839"/>
    <m/>
    <n v="-15000"/>
    <m/>
  </r>
  <r>
    <d v="2025-01-07T00:00:00"/>
    <s v="0771605729 Transf de ECOX SPA"/>
    <x v="4"/>
    <m/>
    <n v="290839"/>
    <n v="150000"/>
    <m/>
    <m/>
  </r>
  <r>
    <d v="2025-01-07T00:00:00"/>
    <s v="PAGO EN LINEA S.I.I."/>
    <x v="6"/>
    <m/>
    <n v="440839"/>
    <m/>
    <n v="-408220"/>
    <m/>
  </r>
  <r>
    <d v="2025-01-07T00:00:00"/>
    <s v="0200723457 Transf. Benjamin Jose Lecaros"/>
    <x v="5"/>
    <m/>
    <n v="32619"/>
    <n v="200000"/>
    <m/>
    <s v="Prestamo"/>
  </r>
  <r>
    <d v="2025-01-07T00:00:00"/>
    <s v="0785981901 Transf. SOC VICTOR HUGO"/>
    <x v="3"/>
    <m/>
    <n v="232619"/>
    <n v="3452826"/>
    <m/>
    <m/>
  </r>
  <r>
    <d v="2025-01-08T00:00:00"/>
    <s v="0533207448 Transf a Comunidad Edificio 1K Torre A"/>
    <x v="1"/>
    <m/>
    <n v="3685445"/>
    <m/>
    <n v="-105251"/>
    <s v="GGCC Nov 2024"/>
  </r>
  <r>
    <d v="2025-01-08T00:00:00"/>
    <s v="0774601414 Transf de FUTRONO SPA"/>
    <x v="3"/>
    <m/>
    <n v="3580194"/>
    <n v="100000"/>
    <m/>
    <s v="servicio contable"/>
  </r>
  <r>
    <d v="2025-01-08T00:00:00"/>
    <s v="0771605729 Transf de ECOX SPA"/>
    <x v="3"/>
    <m/>
    <n v="3680194"/>
    <n v="100000"/>
    <m/>
    <s v="servicio contable"/>
  </r>
  <r>
    <d v="2025-01-08T00:00:00"/>
    <s v="0774654836 Transf. Parque Sur Spa"/>
    <x v="3"/>
    <m/>
    <n v="3780194"/>
    <n v="100000"/>
    <m/>
    <s v="servicio contable"/>
  </r>
  <r>
    <d v="2025-01-08T00:00:00"/>
    <s v="0767039379 Transf. los Robles Spa"/>
    <x v="3"/>
    <m/>
    <n v="3880194"/>
    <n v="100000"/>
    <m/>
    <s v="servicio contable"/>
  </r>
  <r>
    <d v="2025-01-08T00:00:00"/>
    <s v="Rescate Fondos Mutuos"/>
    <x v="7"/>
    <m/>
    <n v="3980194"/>
    <n v="10000000"/>
    <m/>
    <m/>
  </r>
  <r>
    <d v="2025-01-08T00:00:00"/>
    <s v="0156407445 Transf a HIRIART BLOME FELIP"/>
    <x v="5"/>
    <m/>
    <n v="13980194"/>
    <m/>
    <n v="-5000000"/>
    <m/>
  </r>
  <r>
    <d v="2025-01-08T00:00:00"/>
    <s v="0163673002 Transf a LECAROS SOTOMAYOR P"/>
    <x v="5"/>
    <m/>
    <n v="8980194"/>
    <m/>
    <n v="-5000000"/>
    <m/>
  </r>
  <r>
    <d v="2025-01-08T00:00:00"/>
    <s v="0200723457 Transf. Benjamin Jose Lecaros"/>
    <x v="5"/>
    <m/>
    <n v="3980194"/>
    <n v="800000"/>
    <m/>
    <s v="Prestamo"/>
  </r>
  <r>
    <d v="2025-01-08T00:00:00"/>
    <s v="PAGO EN LINEA T.G.R."/>
    <x v="1"/>
    <m/>
    <n v="4780194"/>
    <m/>
    <n v="-267300"/>
    <s v="Gasto CBRS inscripcion ByM"/>
  </r>
  <r>
    <d v="2025-01-08T00:00:00"/>
    <s v="0200723457 Transf a Benjamin Lecaros"/>
    <x v="2"/>
    <m/>
    <n v="4512894"/>
    <m/>
    <n v="-400000"/>
    <m/>
  </r>
  <r>
    <d v="2025-01-08T00:00:00"/>
    <s v="0161286575 Transf a Micael Sandor"/>
    <x v="1"/>
    <m/>
    <n v="4112894"/>
    <m/>
    <n v="-1476083"/>
    <s v="Servicios legales"/>
  </r>
  <r>
    <d v="2025-01-09T00:00:00"/>
    <s v="0761985795 Transf a Zalaquett y Avendaño Limitada"/>
    <x v="1"/>
    <m/>
    <n v="2636811"/>
    <m/>
    <n v="-172444"/>
    <s v="Reparacion Dron"/>
  </r>
  <r>
    <d v="2025-01-09T00:00:00"/>
    <s v="PAGO EN LINEA T.G.R."/>
    <x v="1"/>
    <m/>
    <n v="2464367"/>
    <m/>
    <n v="-2300"/>
    <m/>
  </r>
  <r>
    <d v="2025-01-09T00:00:00"/>
    <s v="PAGO EN LINEA T.G.R."/>
    <x v="1"/>
    <m/>
    <n v="2462067"/>
    <m/>
    <n v="-67429"/>
    <m/>
  </r>
  <r>
    <d v="2025-01-10T00:00:00"/>
    <s v="Compra PRONTO COPEC SF M"/>
    <x v="1"/>
    <s v="COLBUN"/>
    <n v="2394638"/>
    <m/>
    <n v="-10160"/>
    <m/>
  </r>
  <r>
    <d v="2025-01-10T00:00:00"/>
    <s v="Compra MUNICIPALIDAD DE"/>
    <x v="1"/>
    <s v="COLBUN"/>
    <n v="2384478"/>
    <m/>
    <n v="-927606"/>
    <m/>
  </r>
  <r>
    <d v="2025-01-10T00:00:00"/>
    <s v="Compra MUNICIPALIDAD DE"/>
    <x v="1"/>
    <s v="COLBUN"/>
    <n v="1456872"/>
    <m/>
    <n v="-3371"/>
    <m/>
  </r>
  <r>
    <d v="2025-01-10T00:00:00"/>
    <s v="PAGO EN LINEA T.G.R."/>
    <x v="1"/>
    <m/>
    <n v="1453501"/>
    <m/>
    <n v="-261900"/>
    <s v="Pago hipoteca titi"/>
  </r>
  <r>
    <d v="2025-01-13T00:00:00"/>
    <s v="Compra PRT BARRA SN FNDO"/>
    <x v="1"/>
    <s v="COLBUN"/>
    <n v="1191601"/>
    <m/>
    <n v="-3380"/>
    <m/>
  </r>
  <r>
    <d v="2025-01-13T00:00:00"/>
    <s v="Compra MERPAGO*STREAT BU"/>
    <x v="1"/>
    <s v="COLBUN"/>
    <n v="1188221"/>
    <m/>
    <n v="-16000"/>
    <m/>
  </r>
  <r>
    <d v="2025-01-13T00:00:00"/>
    <s v="0778714019 Transf. Agricola los Chilcos Spa"/>
    <x v="3"/>
    <m/>
    <n v="1172221"/>
    <n v="100000"/>
    <m/>
    <s v="servicio contable"/>
  </r>
  <r>
    <d v="2025-01-14T00:00:00"/>
    <s v="076538611K Transf. LM ABOGADOS LIMITADA"/>
    <x v="3"/>
    <m/>
    <n v="1272221"/>
    <n v="615024"/>
    <m/>
    <m/>
  </r>
  <r>
    <d v="2025-01-15T00:00:00"/>
    <s v="Compra CENTRO COMERCIAL"/>
    <x v="1"/>
    <m/>
    <n v="1887245"/>
    <m/>
    <n v="-5000"/>
    <m/>
  </r>
  <r>
    <d v="2025-01-15T00:00:00"/>
    <s v="Compra LA HACIENDA PROVI"/>
    <x v="1"/>
    <m/>
    <n v="1882245"/>
    <m/>
    <n v="-73231"/>
    <m/>
  </r>
  <r>
    <d v="2025-01-17T00:00:00"/>
    <s v="0156407445 Transf a HIRIART BLOME FELIP"/>
    <x v="8"/>
    <m/>
    <n v="1809014"/>
    <m/>
    <n v="-517250"/>
    <m/>
  </r>
  <r>
    <d v="2025-01-17T00:00:00"/>
    <s v="0163673002 Transf a LECAROS SOTOMAYOR P"/>
    <x v="8"/>
    <m/>
    <n v="1291764"/>
    <m/>
    <n v="-517250"/>
    <m/>
  </r>
  <r>
    <d v="2025-01-17T00:00:00"/>
    <s v="0200723457 Transf a Benjamin Lecaros"/>
    <x v="1"/>
    <s v="COLBUN"/>
    <n v="774514"/>
    <m/>
    <n v="-66743"/>
    <s v="Reembolso colbun"/>
  </r>
  <r>
    <d v="2025-01-17T00:00:00"/>
    <s v="0163673002 Transf a LECAROS SOTOMAYOR P"/>
    <x v="1"/>
    <m/>
    <n v="707771"/>
    <m/>
    <n v="-20000"/>
    <s v="Reembolso viaje bodegas"/>
  </r>
  <r>
    <d v="2025-01-21T00:00:00"/>
    <s v="Rescate Fondos Mutuos"/>
    <x v="7"/>
    <m/>
    <n v="687771"/>
    <n v="10000000"/>
    <m/>
    <m/>
  </r>
  <r>
    <d v="2025-01-21T00:00:00"/>
    <s v="0776730890 Transf a Constructora e Ingeniería Maule spa"/>
    <x v="1"/>
    <s v="COLBUN"/>
    <n v="10687771"/>
    <m/>
    <n v="-399403"/>
    <s v="Colbun, pago pendiente ingenieria camino presupuesto"/>
  </r>
  <r>
    <d v="2025-01-21T00:00:00"/>
    <s v="0156407445 Transf a HIRIART BLOME FELIP"/>
    <x v="5"/>
    <m/>
    <n v="10288368"/>
    <m/>
    <n v="-5000000"/>
    <m/>
  </r>
  <r>
    <d v="2025-01-21T00:00:00"/>
    <s v="0163673002 Transf a LECAROS SOTOMAYOR P"/>
    <x v="5"/>
    <m/>
    <n v="5288368"/>
    <m/>
    <n v="-5000000"/>
    <m/>
  </r>
  <r>
    <d v="2025-01-22T00:00:00"/>
    <s v="Compra MERCADOPAGO *MICO"/>
    <x v="1"/>
    <m/>
    <n v="288368"/>
    <m/>
    <n v="-28950"/>
    <s v="Coca Cola"/>
  </r>
  <r>
    <d v="2025-01-22T00:00:00"/>
    <s v="0156369896 Transf. Fernando Agustin Vial Cox"/>
    <x v="0"/>
    <m/>
    <n v="259418"/>
    <n v="437712"/>
    <m/>
    <m/>
  </r>
  <r>
    <d v="2025-01-28T00:00:00"/>
    <s v="0770359716 Transf a CONTALIVE SPA"/>
    <x v="1"/>
    <m/>
    <n v="697130"/>
    <m/>
    <n v="-41138"/>
    <s v="Sistema contable"/>
  </r>
  <r>
    <d v="2025-01-30T00:00:00"/>
    <s v="PAGO EN LINEA SERVIPAG"/>
    <x v="1"/>
    <m/>
    <n v="655992"/>
    <m/>
    <n v="-54075"/>
    <s v="Cuentas oficina"/>
  </r>
  <r>
    <d v="2025-01-29T00:00:00"/>
    <s v="COM.MANTENCION PLAN"/>
    <x v="1"/>
    <m/>
    <n v="601917"/>
    <m/>
    <n v="-18823"/>
    <m/>
  </r>
  <r>
    <d v="2025-01-30T00:00:00"/>
    <s v="Depósito Documento Mismo Banco"/>
    <x v="5"/>
    <m/>
    <n v="583094"/>
    <n v="25000000"/>
    <m/>
    <m/>
  </r>
  <r>
    <d v="2025-01-31T00:00:00"/>
    <s v="Compra SOLER CURICO SPA"/>
    <x v="1"/>
    <m/>
    <n v="25583094"/>
    <m/>
    <n v="-50809"/>
    <m/>
  </r>
  <r>
    <d v="2025-02-03T00:00:00"/>
    <s v="0156407445 Transf a HIRIART BLOME FELIP"/>
    <x v="5"/>
    <m/>
    <n v="25532285"/>
    <m/>
    <n v="-6000000"/>
    <m/>
  </r>
  <r>
    <d v="2025-02-03T00:00:00"/>
    <s v="0163673002 Transf a LECAROS SOTOMAYOR P"/>
    <x v="5"/>
    <m/>
    <n v="19532285"/>
    <m/>
    <n v="-6000000"/>
    <m/>
  </r>
  <r>
    <d v="2025-02-03T00:00:00"/>
    <s v="0121371871 Transf a CIFUENTES PAREDES R"/>
    <x v="2"/>
    <m/>
    <n v="13532285"/>
    <m/>
    <n v="-600000"/>
    <m/>
  </r>
  <r>
    <d v="2025-02-03T00:00:00"/>
    <s v="0107554106 Transf a RIEUTORD ALVARADO A"/>
    <x v="9"/>
    <m/>
    <n v="12932285"/>
    <m/>
    <n v="-10000"/>
    <m/>
  </r>
  <r>
    <d v="2025-02-03T00:00:00"/>
    <s v="0771605729 Transf a ECOX SPA"/>
    <x v="4"/>
    <m/>
    <n v="12922285"/>
    <m/>
    <n v="-1600000"/>
    <m/>
  </r>
  <r>
    <d v="2025-02-03T00:00:00"/>
    <s v="0200723457 Transf a Benjamin Lecaros"/>
    <x v="2"/>
    <m/>
    <n v="11322285"/>
    <m/>
    <n v="-1000000"/>
    <m/>
  </r>
  <r>
    <d v="2025-02-03T00:00:00"/>
    <s v="Compra GOOGLE *GSUITE_ec"/>
    <x v="1"/>
    <m/>
    <n v="10322285"/>
    <m/>
    <n v="-39600"/>
    <m/>
  </r>
  <r>
    <d v="2025-02-03T00:00:00"/>
    <s v="0771605729 Transf a ECOX SPA"/>
    <x v="4"/>
    <m/>
    <n v="10282685"/>
    <m/>
    <n v="-1100000"/>
    <m/>
  </r>
  <r>
    <d v="2025-02-06T00:00:00"/>
    <s v="0156407445 Transf a Felipe Hiriart BCI"/>
    <x v="8"/>
    <m/>
    <n v="9182685"/>
    <m/>
    <n v="-250000"/>
    <m/>
  </r>
  <r>
    <d v="2025-02-06T00:00:00"/>
    <s v="0533207448 Transf a Comunidad Edificio 1K Torre A"/>
    <x v="1"/>
    <m/>
    <n v="8932685"/>
    <m/>
    <n v="-113843"/>
    <s v="GGCC Dec 2024"/>
  </r>
  <r>
    <d v="2025-02-07T00:00:00"/>
    <s v="0785981901 Transf. SOC VICTOR HUGO"/>
    <x v="3"/>
    <m/>
    <n v="8818842"/>
    <n v="3458391"/>
    <m/>
    <m/>
  </r>
  <r>
    <d v="2025-02-10T00:00:00"/>
    <s v="0161286575 Transf a Micael Sandor"/>
    <x v="1"/>
    <m/>
    <n v="12277233"/>
    <m/>
    <n v="-1478462"/>
    <m/>
  </r>
  <r>
    <d v="2025-02-12T00:00:00"/>
    <s v="Inversión en Fondo Mutuo"/>
    <x v="7"/>
    <m/>
    <n v="10798771"/>
    <m/>
    <n v="-9000000"/>
    <m/>
  </r>
  <r>
    <d v="2025-02-13T00:00:00"/>
    <s v="0144767209 Transf a Jeannette del Carmen Núñez Hermosilla"/>
    <x v="1"/>
    <m/>
    <n v="1798771"/>
    <m/>
    <n v="-75000"/>
    <s v="Aseo oficina"/>
  </r>
  <r>
    <d v="2025-02-17T00:00:00"/>
    <s v="0774654836 Transf. Parque Sur Spa"/>
    <x v="3"/>
    <m/>
    <n v="1723771"/>
    <n v="100000"/>
    <m/>
    <s v="servicio contable"/>
  </r>
  <r>
    <d v="2025-02-17T00:00:00"/>
    <s v="0767039379 Transf. los Robles Spa"/>
    <x v="3"/>
    <m/>
    <n v="1823771"/>
    <n v="100000"/>
    <m/>
    <s v="servicio contable"/>
  </r>
  <r>
    <d v="2025-02-17T00:00:00"/>
    <s v="0778714019 Transf. Agricola los Chilcos Spa"/>
    <x v="3"/>
    <m/>
    <n v="1923771"/>
    <n v="100000"/>
    <m/>
    <s v="servicio contable"/>
  </r>
  <r>
    <d v="2025-02-17T00:00:00"/>
    <s v="0774601414 Transf de FUTRONO SPA"/>
    <x v="3"/>
    <m/>
    <n v="2023771"/>
    <n v="100000"/>
    <m/>
    <s v="servicio contable"/>
  </r>
  <r>
    <d v="2025-02-17T00:00:00"/>
    <s v="0771605729 Transf de ECOX SPA"/>
    <x v="3"/>
    <m/>
    <n v="2123771"/>
    <n v="100000"/>
    <m/>
    <s v="servicio contable"/>
  </r>
  <r>
    <d v="2025-02-18T00:00:00"/>
    <s v="PAGO EN LINEA S.I.I."/>
    <x v="6"/>
    <m/>
    <n v="2223771"/>
    <m/>
    <n v="-744258"/>
    <m/>
  </r>
  <r>
    <d v="2025-02-18T00:00:00"/>
    <s v="0200723457 Transf a Benjamin Lecaros"/>
    <x v="1"/>
    <m/>
    <n v="1479513"/>
    <m/>
    <n v="-3480"/>
    <m/>
  </r>
  <r>
    <d v="2025-02-19T00:00:00"/>
    <s v="0200723457 Transf a Benjamin Lecaros"/>
    <x v="1"/>
    <m/>
    <n v="1476033"/>
    <m/>
    <n v="-4320"/>
    <m/>
  </r>
  <r>
    <d v="2025-02-19T00:00:00"/>
    <s v="0200723457 Transf a Benjamin Lecaros"/>
    <x v="1"/>
    <m/>
    <n v="1471713"/>
    <m/>
    <n v="-9470"/>
    <m/>
  </r>
  <r>
    <d v="2025-02-19T00:00:00"/>
    <s v="0200723457 Transf a Benjamin Lecaros"/>
    <x v="1"/>
    <m/>
    <n v="1462243"/>
    <m/>
    <n v="-16597"/>
    <m/>
  </r>
  <r>
    <d v="2025-02-20T00:00:00"/>
    <s v="0163673002 Transf a LECAROS SOTOMAYOR P"/>
    <x v="1"/>
    <m/>
    <n v="1445646"/>
    <m/>
    <n v="-149990"/>
    <s v="Reembolsa compra montitor oficina falabella"/>
  </r>
  <r>
    <d v="2025-02-21T00:00:00"/>
    <s v="016470226K Transf a GOMILA LARSEN FERNA"/>
    <x v="1"/>
    <m/>
    <n v="1295656"/>
    <m/>
    <n v="-68000"/>
    <s v="Cotizacion 298726"/>
  </r>
  <r>
    <d v="2025-02-25T00:00:00"/>
    <s v="Compra RISHTEDAR"/>
    <x v="1"/>
    <m/>
    <n v="1227656"/>
    <m/>
    <n v="-148178"/>
    <m/>
  </r>
  <r>
    <d v="2025-02-27T00:00:00"/>
    <s v="PAGO EN LINEA T.G.R."/>
    <x v="1"/>
    <m/>
    <n v="1079478"/>
    <m/>
    <n v="-4600"/>
    <m/>
  </r>
  <r>
    <d v="2025-02-26T00:00:00"/>
    <s v="COM.MANTENCION PLAN"/>
    <x v="1"/>
    <m/>
    <n v="1074878"/>
    <m/>
    <n v="-18808"/>
    <m/>
  </r>
  <r>
    <d v="2025-02-27T00:00:00"/>
    <s v="Compra MERCADOPAGO *MICO"/>
    <x v="1"/>
    <m/>
    <n v="1056070"/>
    <m/>
    <n v="-37340"/>
    <m/>
  </r>
  <r>
    <d v="2025-02-28T00:00:00"/>
    <s v="0043441558 Transf a Raúl Leiva Uribe-Echeverría"/>
    <x v="1"/>
    <m/>
    <n v="1018730"/>
    <m/>
    <n v="-16000"/>
    <s v="Solicitud copias con vigencia"/>
  </r>
  <r>
    <d v="2025-03-03T00:00:00"/>
    <s v="Compra GOOGLE *GSUITE_ec"/>
    <x v="1"/>
    <m/>
    <n v="1002730"/>
    <m/>
    <n v="-39600"/>
    <m/>
  </r>
  <r>
    <d v="2025-03-04T00:00:00"/>
    <s v="PAGO EN LINEA SERVIPAG"/>
    <x v="1"/>
    <m/>
    <n v="963130"/>
    <m/>
    <n v="-66490"/>
    <m/>
  </r>
  <r>
    <d v="2025-03-04T00:00:00"/>
    <s v="0533207448 Transf a Comunidad Edificio 1K Torre A"/>
    <x v="1"/>
    <m/>
    <n v="896640"/>
    <m/>
    <n v="-131728"/>
    <s v="GGCC enero 2025"/>
  </r>
  <r>
    <d v="2025-03-04T00:00:00"/>
    <s v="0770359716 Transf a CONTALIVE SPA"/>
    <x v="1"/>
    <m/>
    <n v="764912"/>
    <m/>
    <n v="-82431"/>
    <m/>
  </r>
  <r>
    <d v="2025-03-04T00:00:00"/>
    <s v="0771605729 Transf de ECOX SPA"/>
    <x v="4"/>
    <m/>
    <n v="682481"/>
    <n v="12000000"/>
    <m/>
    <m/>
  </r>
  <r>
    <d v="2025-03-04T00:00:00"/>
    <s v="0156407445 Transf a HIRIART BLOME FELIP"/>
    <x v="8"/>
    <m/>
    <n v="12682481"/>
    <m/>
    <n v="-6000000"/>
    <m/>
  </r>
  <r>
    <d v="2025-03-04T00:00:00"/>
    <s v="0163673002 Transf a LECAROS SOTOMAYOR P"/>
    <x v="8"/>
    <m/>
    <n v="6682481"/>
    <m/>
    <n v="-6000000"/>
    <m/>
  </r>
  <r>
    <d v="2025-03-04T00:00:00"/>
    <s v="0771605729 Transf de ECOX SPA"/>
    <x v="3"/>
    <m/>
    <n v="682481"/>
    <n v="100000"/>
    <m/>
    <s v="servicio contable"/>
  </r>
  <r>
    <d v="2025-03-04T00:00:00"/>
    <s v="0771605729 Transf de ECOX SPA"/>
    <x v="4"/>
    <m/>
    <n v="782481"/>
    <n v="1600000"/>
    <m/>
    <m/>
  </r>
  <r>
    <d v="2025-03-04T00:00:00"/>
    <s v="0774601414 Transf de FUTRONO SPA"/>
    <x v="3"/>
    <m/>
    <n v="2382481"/>
    <n v="100000"/>
    <m/>
    <s v="servicio contable"/>
  </r>
  <r>
    <d v="2025-03-04T00:00:00"/>
    <s v="0774654836 Transf. Parque Sur Spa"/>
    <x v="3"/>
    <m/>
    <n v="2482481"/>
    <n v="100000"/>
    <m/>
    <s v="servicio contable"/>
  </r>
  <r>
    <d v="2025-03-04T00:00:00"/>
    <s v="0767039379 Transf. los Robles Spa"/>
    <x v="3"/>
    <m/>
    <n v="2582481"/>
    <n v="100000"/>
    <m/>
    <s v="servicio contable"/>
  </r>
  <r>
    <d v="2025-03-04T00:00:00"/>
    <s v="0778714019 Transf. Agricola los Chilcos Spa"/>
    <x v="3"/>
    <m/>
    <n v="2682481"/>
    <n v="100000"/>
    <m/>
    <s v="servicio contable"/>
  </r>
  <r>
    <d v="2025-03-05T00:00:00"/>
    <s v="0778050773 Transf. Cerro Colorado Spa"/>
    <x v="3"/>
    <m/>
    <n v="2782481"/>
    <n v="2000000"/>
    <m/>
    <m/>
  </r>
  <r>
    <d v="2025-03-05T00:00:00"/>
    <s v="0163673002 Transf a LECAROS SOTOMAYOR P"/>
    <x v="1"/>
    <m/>
    <n v="4782481"/>
    <m/>
    <n v="-20000"/>
    <s v="reembolso gasto transporte BSF"/>
  </r>
  <r>
    <d v="2025-03-05T00:00:00"/>
    <s v="Compra GASTRONOMIA GRUPO"/>
    <x v="1"/>
    <m/>
    <n v="4762481"/>
    <m/>
    <n v="-77330"/>
    <m/>
  </r>
  <r>
    <d v="2025-03-05T00:00:00"/>
    <s v="0121371871 Transf a CIFUENTES PAREDES R"/>
    <x v="2"/>
    <m/>
    <n v="4685151"/>
    <m/>
    <n v="-600000"/>
    <s v="Honorario Rosa"/>
  </r>
  <r>
    <d v="2025-03-05T00:00:00"/>
    <s v="0200723457 Transf a Benjamin Lecaros"/>
    <x v="2"/>
    <m/>
    <n v="4085151"/>
    <m/>
    <n v="-1000000"/>
    <s v="Honorario Benja"/>
  </r>
  <r>
    <d v="2025-03-06T00:00:00"/>
    <s v="Compra JUMBO ONECLICK"/>
    <x v="1"/>
    <m/>
    <n v="3085151"/>
    <m/>
    <n v="-73434"/>
    <m/>
  </r>
  <r>
    <d v="2025-03-06T00:00:00"/>
    <s v="0107554106 Transf a RIEUTORD ALVARADO A"/>
    <x v="1"/>
    <s v="COLBUN"/>
    <n v="3011717"/>
    <m/>
    <n v="-5000"/>
    <s v="Notaria aut firma colbun"/>
  </r>
  <r>
    <d v="2025-03-06T00:00:00"/>
    <s v="PAGO EN LINEA S.I.I."/>
    <x v="6"/>
    <m/>
    <n v="3006717"/>
    <m/>
    <n v="-241174"/>
    <s v="Recticacion F29"/>
  </r>
  <r>
    <d v="2025-03-06T00:00:00"/>
    <s v="PAGO EN LINEA S.I.I."/>
    <x v="6"/>
    <m/>
    <n v="2765543"/>
    <m/>
    <n v="-168103"/>
    <s v="Recticacion F29"/>
  </r>
  <r>
    <d v="2025-03-07T00:00:00"/>
    <s v="JUMBO ONECLICK"/>
    <x v="1"/>
    <m/>
    <n v="2597440"/>
    <n v="2898"/>
    <m/>
    <m/>
  </r>
  <r>
    <d v="2025-03-10T00:00:00"/>
    <s v="Compra MERCAR"/>
    <x v="1"/>
    <m/>
    <n v="2600338"/>
    <m/>
    <n v="-1890"/>
    <m/>
  </r>
  <r>
    <d v="2025-03-14T00:00:00"/>
    <s v="0144767209 Transf a Jeannette del Carmen Núñez Hermosilla"/>
    <x v="1"/>
    <m/>
    <n v="2598448"/>
    <m/>
    <n v="-100000"/>
    <s v="Aseo oficina"/>
  </r>
  <r>
    <d v="2025-03-14T00:00:00"/>
    <s v="PAGO EN LINEA S.I.I."/>
    <x v="6"/>
    <m/>
    <n v="2498448"/>
    <m/>
    <n v="-527046"/>
    <m/>
  </r>
  <r>
    <d v="2025-03-19T00:00:00"/>
    <s v="Compra MERCADOPAGO *MICO"/>
    <x v="1"/>
    <m/>
    <n v="1971402"/>
    <m/>
    <n v="-38940"/>
    <m/>
  </r>
  <r>
    <d v="2025-03-20T00:00:00"/>
    <s v="0200723457 Transf a Benjamin Lecaros"/>
    <x v="1"/>
    <m/>
    <n v="1932462"/>
    <m/>
    <n v="-10000"/>
    <m/>
  </r>
  <r>
    <d v="2025-03-20T00:00:00"/>
    <s v="0200723457 Transf a Benjamin Lecaros"/>
    <x v="1"/>
    <m/>
    <n v="1922462"/>
    <m/>
    <n v="-2190"/>
    <m/>
  </r>
  <r>
    <d v="2025-03-20T00:00:00"/>
    <s v="0774601414 Transf de FUTRONO SPA"/>
    <x v="10"/>
    <m/>
    <n v="1920272"/>
    <n v="35280000"/>
    <m/>
    <m/>
  </r>
  <r>
    <d v="2025-03-20T00:00:00"/>
    <s v="0774601414 Transf de FUTRONO SPA"/>
    <x v="5"/>
    <s v="FUTRONO"/>
    <n v="37200272"/>
    <n v="35000000"/>
    <m/>
    <m/>
  </r>
  <r>
    <d v="2025-03-20T00:00:00"/>
    <s v="0153769826 Transf a HIRIART BLOME JORGE"/>
    <x v="5"/>
    <s v="AYSEN"/>
    <n v="72200272"/>
    <m/>
    <n v="-35000000"/>
    <m/>
  </r>
  <r>
    <d v="2025-03-20T00:00:00"/>
    <s v="Inversión en Fondo Mutuo"/>
    <x v="7"/>
    <m/>
    <n v="37200272"/>
    <m/>
    <n v="-35000000"/>
    <m/>
  </r>
  <r>
    <d v="2025-03-24T00:00:00"/>
    <s v="0785981901 Transf. SOC VICTOR HUGO"/>
    <x v="3"/>
    <m/>
    <n v="2200272"/>
    <n v="3474240"/>
    <m/>
    <m/>
  </r>
  <r>
    <d v="2025-03-25T00:00:00"/>
    <s v="0161286575 Transf a Micael Sandor"/>
    <x v="1"/>
    <m/>
    <n v="5674512"/>
    <m/>
    <n v="-1485238"/>
    <m/>
  </r>
  <r>
    <d v="2025-03-27T00:00:00"/>
    <s v="0107554106 Transf a RIEUTORD ALVARADO A"/>
    <x v="9"/>
    <m/>
    <n v="4189274"/>
    <m/>
    <n v="-90000"/>
    <m/>
  </r>
  <r>
    <d v="2025-03-27T00:00:00"/>
    <s v="011990675K Transf a Oliver Leiva Ramírez Topografo"/>
    <x v="1"/>
    <s v="COLBUN"/>
    <n v="4099274"/>
    <m/>
    <n v="-125000"/>
    <m/>
  </r>
  <r>
    <d v="2025-03-27T00:00:00"/>
    <s v="0770359716 Transf a CONTALIVE SPA"/>
    <x v="1"/>
    <m/>
    <n v="3974274"/>
    <m/>
    <n v="-41629"/>
    <m/>
  </r>
  <r>
    <d v="2025-03-27T00:00:00"/>
    <s v="COM.MANTENCION PLAN"/>
    <x v="1"/>
    <m/>
    <n v="3932645"/>
    <m/>
    <n v="-18937"/>
    <m/>
  </r>
  <r>
    <d v="2025-03-28T00:00:00"/>
    <s v="0533207448 Transf a Comunidad Edificio 1K Torre A"/>
    <x v="1"/>
    <m/>
    <n v="3913708"/>
    <m/>
    <n v="-121174"/>
    <s v="GGCC oficina"/>
  </r>
  <r>
    <d v="2025-03-31T00:00:00"/>
    <s v="PAGO EN LINEA SERVIPAG"/>
    <x v="1"/>
    <m/>
    <n v="3792534"/>
    <m/>
    <n v="-80972"/>
    <m/>
  </r>
  <r>
    <d v="2025-03-31T00:00:00"/>
    <s v="Compra NOTARIA BELMONTE"/>
    <x v="9"/>
    <m/>
    <n v="3711562"/>
    <m/>
    <n v="-20000"/>
    <m/>
  </r>
  <r>
    <d v="2025-04-01T00:00:00"/>
    <s v="0083291001 Transf a Víctor Hugo Pérez Peña"/>
    <x v="1"/>
    <s v="COLBUN"/>
    <n v="3691562"/>
    <m/>
    <n v="-53600"/>
    <s v="Pagos pendientes V-34-2025 Santa Delfina"/>
  </r>
  <r>
    <d v="2025-04-01T00:00:00"/>
    <s v="Compra GOOGLE *GSUITE_ec"/>
    <x v="1"/>
    <m/>
    <n v="3637962"/>
    <m/>
    <n v="-39600"/>
    <m/>
  </r>
  <r>
    <d v="2025-04-01T00:00:00"/>
    <s v="079584600K Transf. B Y M INGENIEROS LIMITADA"/>
    <x v="3"/>
    <m/>
    <n v="3598362"/>
    <n v="733106"/>
    <m/>
    <m/>
  </r>
  <r>
    <d v="2025-04-01T00:00:00"/>
    <s v="0771605729 Transf a ECOX SPA"/>
    <x v="4"/>
    <m/>
    <n v="4331468"/>
    <m/>
    <n v="-1000000"/>
    <m/>
  </r>
  <r>
    <d v="2025-04-01T00:00:00"/>
    <s v="0121371871 Transf a CIFUENTES PAREDES R"/>
    <x v="2"/>
    <m/>
    <n v="3331468"/>
    <m/>
    <n v="-600000"/>
    <m/>
  </r>
  <r>
    <d v="2025-04-01T00:00:00"/>
    <s v="0200723457 Transf a Benjamin Lecaros"/>
    <x v="2"/>
    <m/>
    <n v="2731468"/>
    <m/>
    <n v="-1000000"/>
    <m/>
  </r>
  <r>
    <d v="2025-04-01T00:00:00"/>
    <s v="0763699560 Transf a Inversiones Blackzar Limitada"/>
    <x v="1"/>
    <m/>
    <n v="1731468"/>
    <m/>
    <n v="-1000"/>
    <s v="arriendo oficina"/>
  </r>
  <r>
    <d v="2025-04-01T00:00:00"/>
    <s v="0771605729 Transf de ECOX SPA"/>
    <x v="3"/>
    <m/>
    <n v="1730468"/>
    <n v="100000"/>
    <m/>
    <m/>
  </r>
  <r>
    <d v="2025-04-01T00:00:00"/>
    <s v="0774601414 Transf de FUTRONO SPA"/>
    <x v="3"/>
    <m/>
    <n v="1830468"/>
    <n v="100000"/>
    <m/>
    <m/>
  </r>
  <r>
    <d v="2025-04-01T00:00:00"/>
    <s v="0778714019 Transf. Agricola los Chilcos Spa"/>
    <x v="3"/>
    <m/>
    <n v="1930468"/>
    <n v="100000"/>
    <m/>
    <m/>
  </r>
  <r>
    <d v="2025-04-01T00:00:00"/>
    <s v="0767039379 Transf. los Robles Spa"/>
    <x v="3"/>
    <m/>
    <n v="2030468"/>
    <n v="100000"/>
    <m/>
    <m/>
  </r>
  <r>
    <d v="2025-04-01T00:00:00"/>
    <s v="0774654836 Transf. Parque Sur Spa"/>
    <x v="3"/>
    <m/>
    <n v="2130468"/>
    <n v="100000"/>
    <m/>
    <m/>
  </r>
  <r>
    <d v="2025-04-02T00:00:00"/>
    <s v="Rescate Fondos Mutuos"/>
    <x v="7"/>
    <m/>
    <n v="2230468"/>
    <n v="22000000"/>
    <m/>
    <m/>
  </r>
  <r>
    <d v="2025-04-02T00:00:00"/>
    <s v="0771605729 Transf a ECOX SPA"/>
    <x v="4"/>
    <m/>
    <n v="24230468"/>
    <m/>
    <n v="-24000000"/>
    <m/>
  </r>
  <r>
    <d v="2025-04-02T00:00:00"/>
    <s v="0778050773 Transf. Cerro Colorado Spa"/>
    <x v="3"/>
    <m/>
    <n v="230468"/>
    <n v="1500000"/>
    <m/>
    <m/>
  </r>
  <r>
    <d v="2025-04-02T00:00:00"/>
    <s v="0763699560 Transf a Inversiones Blackzar Limitada"/>
    <x v="1"/>
    <m/>
    <n v="1730468"/>
    <m/>
    <n v="-1088312"/>
    <s v="arriendo oficina"/>
  </r>
  <r>
    <d v="2025-04-02T00:00:00"/>
    <s v="0144767209 Transf a Jeannette del Carmen Núñez Hermosilla"/>
    <x v="1"/>
    <m/>
    <n v="642156"/>
    <m/>
    <n v="-75000"/>
    <s v="aseo 3 dias"/>
  </r>
  <r>
    <d v="2025-04-02T00:00:00"/>
    <s v="0778714019 Transf. Agricola los Chilcos Spa"/>
    <x v="3"/>
    <m/>
    <n v="567156"/>
    <n v="4000000"/>
    <m/>
    <m/>
  </r>
  <r>
    <d v="2025-04-03T00:00:00"/>
    <s v="Inversión en Fondo Mutuo"/>
    <x v="7"/>
    <m/>
    <n v="4567156"/>
    <m/>
    <n v="-4000000"/>
    <m/>
  </r>
  <r>
    <d v="2025-04-04T00:00:00"/>
    <s v="0776730890 Transf a Constructora e Ingeniería Maule spa"/>
    <x v="1"/>
    <s v="COLBUN"/>
    <n v="567156"/>
    <m/>
    <n v="-150000"/>
    <m/>
  </r>
  <r>
    <d v="2025-04-07T00:00:00"/>
    <s v="Compra MERCADOPAGO *MICO"/>
    <x v="1"/>
    <m/>
    <n v="417156"/>
    <m/>
    <n v="-31360"/>
    <m/>
  </r>
  <r>
    <d v="2025-04-08T00:00:00"/>
    <s v="Compra TIP Y TAP"/>
    <x v="1"/>
    <m/>
    <n v="385796"/>
    <m/>
    <n v="-35200"/>
    <m/>
  </r>
  <r>
    <d v="2025-04-09T00:00:00"/>
    <s v="PAGO EN LINEA T.G.R."/>
    <x v="1"/>
    <s v="COLBUN"/>
    <n v="350596"/>
    <m/>
    <n v="-58430"/>
    <s v="Contribuciones colbun"/>
  </r>
  <r>
    <d v="2025-04-09T00:00:00"/>
    <s v="PAGO EN LINEA T.G.R."/>
    <x v="6"/>
    <m/>
    <n v="292166"/>
    <m/>
    <n v="-209775"/>
    <m/>
  </r>
  <r>
    <d v="2025-04-09T00:00:00"/>
    <s v="0200723457 Transf a Benjamin Lecaros"/>
    <x v="1"/>
    <m/>
    <n v="82391"/>
    <m/>
    <n v="-9990"/>
    <m/>
  </r>
  <r>
    <d v="2025-04-11T00:00:00"/>
    <s v="Compra MERCAR"/>
    <x v="1"/>
    <m/>
    <n v="72401"/>
    <m/>
    <n v="-5140"/>
    <m/>
  </r>
  <r>
    <d v="2025-04-11T00:00:00"/>
    <s v="COBRO VVISTA 026432879193-00001 OFF.BANK"/>
    <x v="7"/>
    <m/>
    <n v="67261"/>
    <n v="1550472"/>
    <m/>
    <s v="Deposito a plazo"/>
  </r>
  <r>
    <d v="2025-04-11T00:00:00"/>
    <s v="PAGO EN LINEA S.I.I."/>
    <x v="6"/>
    <m/>
    <n v="1617733"/>
    <m/>
    <n v="-586076"/>
    <m/>
  </r>
  <r>
    <d v="2025-04-15T00:00:00"/>
    <s v="0156407445 Transf a HIRIART BLOME FELIP"/>
    <x v="1"/>
    <m/>
    <n v="1031657"/>
    <m/>
    <n v="-87200"/>
    <s v="Reembolso bencina y Piegari"/>
  </r>
  <r>
    <d v="2025-04-15T00:00:00"/>
    <s v="0163673002 Transf a LECAROS SOTOMAYOR P"/>
    <x v="1"/>
    <m/>
    <n v="944457"/>
    <m/>
    <n v="-20000"/>
    <s v="rinde gasto gasolina bsf"/>
  </r>
  <r>
    <d v="2025-04-15T00:00:00"/>
    <s v="00966585900 Pago Fact 124"/>
    <x v="3"/>
    <m/>
    <n v="924457"/>
    <n v="2922870"/>
    <m/>
    <s v="Decaexpress"/>
  </r>
  <r>
    <d v="2025-04-16T00:00:00"/>
    <s v="Inversión en Fondo Mutuo"/>
    <x v="7"/>
    <m/>
    <n v="3847327"/>
    <m/>
    <n v="-3200000"/>
    <m/>
  </r>
  <r>
    <d v="2025-04-23T00:00:00"/>
    <s v="0156407445 Transf a Felipe Hiriart BCI"/>
    <x v="8"/>
    <m/>
    <n v="647327"/>
    <m/>
    <n v="-255000"/>
    <s v="Credito BCI"/>
  </r>
  <r>
    <d v="2025-04-23T00:00:00"/>
    <s v="0533207448 Transf a Comunidad Edificio 1K Torre A"/>
    <x v="1"/>
    <m/>
    <n v="392327"/>
    <m/>
    <n v="-143306"/>
    <s v="GGCC oficina"/>
  </r>
  <r>
    <d v="2025-04-24T00:00:00"/>
    <s v="0771605729 Transf de ECOX SPA"/>
    <x v="4"/>
    <m/>
    <n v="249021"/>
    <n v="200000"/>
    <m/>
    <m/>
  </r>
  <r>
    <d v="2025-04-24T00:00:00"/>
    <s v="0064895109 Transf a ADASME APAZ FRANCIS"/>
    <x v="1"/>
    <s v="COLBUN"/>
    <n v="449021"/>
    <m/>
    <n v="-297500"/>
    <s v="Pago 50 porciento perito"/>
  </r>
  <r>
    <d v="2025-04-28T00:00:00"/>
    <s v="Compra PAR (PARQUE ARAUC"/>
    <x v="1"/>
    <m/>
    <n v="151521"/>
    <m/>
    <n v="-8985"/>
    <s v="Articulos oficina"/>
  </r>
  <r>
    <d v="2025-04-28T00:00:00"/>
    <s v="Compra MERCADOPAGO *MICO"/>
    <x v="1"/>
    <m/>
    <n v="142536"/>
    <m/>
    <n v="-37340"/>
    <m/>
  </r>
  <r>
    <d v="2025-04-29T00:00:00"/>
    <s v="0156407445 Transf a HIRIART BLOME FELIP"/>
    <x v="1"/>
    <m/>
    <n v="105196"/>
    <m/>
    <n v="-22500"/>
    <m/>
  </r>
  <r>
    <d v="2025-04-29T00:00:00"/>
    <s v="0163673002 Transf a LECAROS SOTOMAYOR P"/>
    <x v="1"/>
    <m/>
    <n v="82696"/>
    <m/>
    <n v="-22500"/>
    <m/>
  </r>
  <r>
    <d v="2025-04-28T00:00:00"/>
    <s v="COM.MANTENCION PLAN"/>
    <x v="1"/>
    <m/>
    <n v="60196"/>
    <m/>
    <n v="-19058"/>
    <m/>
  </r>
  <r>
    <d v="2025-04-29T00:00:00"/>
    <s v="Rescate Fondos Mutuos"/>
    <x v="7"/>
    <m/>
    <n v="41138"/>
    <n v="16000000"/>
    <m/>
    <m/>
  </r>
  <r>
    <d v="2025-05-02T00:00:00"/>
    <s v="PAGO EN LINEA S.I.I."/>
    <x v="6"/>
    <m/>
    <n v="16041138"/>
    <m/>
    <n v="-15263618"/>
    <m/>
  </r>
  <r>
    <d v="2025-05-02T00:00:00"/>
    <s v="Compra GOOGLE *GSUITE_ec"/>
    <x v="1"/>
    <m/>
    <n v="777520"/>
    <m/>
    <n v="-39600"/>
    <m/>
  </r>
  <r>
    <d v="2025-05-05T00:00:00"/>
    <s v="Rescate Fondos Mutuos"/>
    <x v="7"/>
    <m/>
    <n v="737920"/>
    <n v="3000000"/>
    <m/>
    <m/>
  </r>
  <r>
    <d v="2025-05-05T00:00:00"/>
    <s v="0778714019 Transf. Agricola los Chilcos Spa"/>
    <x v="3"/>
    <m/>
    <n v="3737920"/>
    <n v="4000000"/>
    <m/>
    <m/>
  </r>
  <r>
    <d v="2025-05-05T00:00:00"/>
    <s v="0774654836 Transf. Parque Sur Spa"/>
    <x v="3"/>
    <m/>
    <n v="7737920"/>
    <n v="100000"/>
    <m/>
    <s v="servicio contable"/>
  </r>
  <r>
    <d v="2025-05-05T00:00:00"/>
    <s v="0767039379 Transf. los Robles Spa"/>
    <x v="3"/>
    <m/>
    <n v="7837920"/>
    <n v="100000"/>
    <m/>
    <s v="servicio contable"/>
  </r>
  <r>
    <d v="2025-05-05T00:00:00"/>
    <s v="0778714019 Transf. Agricola los Chilcos Spa"/>
    <x v="3"/>
    <m/>
    <n v="7937920"/>
    <n v="100000"/>
    <m/>
    <s v="servicio contable"/>
  </r>
  <r>
    <d v="2025-05-05T00:00:00"/>
    <s v="0778050773 Transf. Cerro Colorado SpA"/>
    <x v="3"/>
    <m/>
    <n v="8037920"/>
    <n v="100000"/>
    <m/>
    <s v="servicio contable"/>
  </r>
  <r>
    <d v="2025-05-05T00:00:00"/>
    <s v="0778050773 Transf. Cerro Colorado SpA"/>
    <x v="3"/>
    <m/>
    <n v="8137920"/>
    <n v="2300000"/>
    <m/>
    <m/>
  </r>
  <r>
    <d v="2025-05-05T00:00:00"/>
    <s v="0771605729 Transf a ECOX SPA"/>
    <x v="4"/>
    <m/>
    <n v="10437920"/>
    <m/>
    <n v="-6600000"/>
    <m/>
  </r>
  <r>
    <d v="2025-05-05T00:00:00"/>
    <s v="0121371871 Transf a CIFUENTES PAREDES R"/>
    <x v="2"/>
    <m/>
    <n v="3837920"/>
    <m/>
    <n v="-600000"/>
    <m/>
  </r>
  <r>
    <d v="2025-05-05T00:00:00"/>
    <s v="0763699560 Transf a Inversiones Blackzar Limitada"/>
    <x v="1"/>
    <m/>
    <n v="3237920"/>
    <m/>
    <n v="-1094996"/>
    <s v="arriendo oficina"/>
  </r>
  <r>
    <d v="2025-05-06T00:00:00"/>
    <s v="PAGO EN LINEA SERVIPAG"/>
    <x v="1"/>
    <m/>
    <n v="2142924"/>
    <m/>
    <n v="-41151"/>
    <s v="Cuentas oficina"/>
  </r>
  <r>
    <d v="2025-05-06T00:00:00"/>
    <s v="0200723457 Transf a Benjamin Lecaros"/>
    <x v="2"/>
    <m/>
    <n v="2101773"/>
    <m/>
    <n v="-145000"/>
    <m/>
  </r>
  <r>
    <d v="2025-05-06T00:00:00"/>
    <s v="0144767209 Transf a Jeannette del Carmen Núñez Hermosilla"/>
    <x v="1"/>
    <m/>
    <n v="1956773"/>
    <m/>
    <n v="-100000"/>
    <s v="aseo oficina 4 días"/>
  </r>
  <r>
    <d v="2025-05-07T00:00:00"/>
    <s v="Compra MERCAR"/>
    <x v="1"/>
    <m/>
    <n v="1856773"/>
    <m/>
    <n v="-8620"/>
    <m/>
  </r>
  <r>
    <d v="2025-05-07T00:00:00"/>
    <s v="Compra PIZZERIA TIRAMISU"/>
    <x v="1"/>
    <m/>
    <n v="1848153"/>
    <m/>
    <n v="-67612"/>
    <m/>
  </r>
  <r>
    <d v="2025-05-09T00:00:00"/>
    <s v="0774601414 Transf de FUTRONO SPA"/>
    <x v="3"/>
    <m/>
    <n v="1780541"/>
    <n v="100000"/>
    <m/>
    <m/>
  </r>
  <r>
    <d v="2025-05-13T00:00:00"/>
    <s v="PAGO EN LINEA S.I.I."/>
    <x v="6"/>
    <m/>
    <n v="1880541"/>
    <m/>
    <n v="-245968"/>
    <m/>
  </r>
  <r>
    <d v="2025-05-19T00:00:00"/>
    <s v="Compra MERCADOPAGO *MICO"/>
    <x v="1"/>
    <m/>
    <n v="1634573"/>
    <m/>
    <n v="-37940"/>
    <m/>
  </r>
  <r>
    <d v="2025-05-19T00:00:00"/>
    <s v="0200723457 Transf a Benjamin Lecaros"/>
    <x v="1"/>
    <m/>
    <n v="1596633"/>
    <m/>
    <n v="-19000"/>
    <m/>
  </r>
  <r>
    <d v="2025-05-19T00:00:00"/>
    <s v="0785981901 Transf. SOC VICTOR HUGO"/>
    <x v="3"/>
    <m/>
    <n v="1577633"/>
    <n v="3504510"/>
    <m/>
    <m/>
  </r>
  <r>
    <d v="2025-05-20T00:00:00"/>
    <s v="0161286575 Transf a Micael Sandor"/>
    <x v="1"/>
    <m/>
    <n v="5082143"/>
    <m/>
    <n v="-1498178"/>
    <m/>
  </r>
  <r>
    <d v="2025-05-22T00:00:00"/>
    <s v="Compra MERCAR"/>
    <x v="1"/>
    <m/>
    <n v="3583965"/>
    <m/>
    <n v="-2600"/>
    <m/>
  </r>
  <r>
    <d v="2025-05-26T00:00:00"/>
    <s v="Compra MERCAR"/>
    <x v="1"/>
    <m/>
    <n v="3581365"/>
    <m/>
    <n v="-11700"/>
    <m/>
  </r>
  <r>
    <d v="2025-05-28T00:00:00"/>
    <s v="Compra MERCAR"/>
    <x v="1"/>
    <m/>
    <n v="3569665"/>
    <m/>
    <n v="-6940"/>
    <m/>
  </r>
  <r>
    <d v="2025-05-28T00:00:00"/>
    <s v="COM.MANTENCION PLAN"/>
    <x v="1"/>
    <m/>
    <n v="3562725"/>
    <m/>
    <n v="-19147"/>
    <m/>
  </r>
  <r>
    <d v="2025-05-29T00:00:00"/>
    <s v="PAGO EN LINEA T.G.R."/>
    <x v="6"/>
    <m/>
    <n v="3543578"/>
    <m/>
    <n v="-49950"/>
    <m/>
  </r>
  <r>
    <d v="2025-05-29T00:00:00"/>
    <s v="0770359716 Transf a CONTALIVE SPA"/>
    <x v="1"/>
    <m/>
    <n v="3493628"/>
    <m/>
    <n v="-352429"/>
    <m/>
  </r>
  <r>
    <d v="2025-05-30T00:00:00"/>
    <s v="0082846808 Transf a Miguel Angel Venegas Salgado"/>
    <x v="1"/>
    <s v="COLBUN"/>
    <n v="3141199"/>
    <m/>
    <n v="-255850"/>
    <s v="Avisos"/>
  </r>
  <r>
    <d v="2025-05-30T00:00:00"/>
    <s v="0533207448 Transf a Comunidad Edificio 1K Torre A"/>
    <x v="1"/>
    <m/>
    <n v="2885349"/>
    <m/>
    <n v="-128350"/>
    <s v="GGCC"/>
  </r>
  <r>
    <d v="2025-05-30T00:00:00"/>
    <s v="Compra MERCADOPAGO *MICO"/>
    <x v="1"/>
    <m/>
    <n v="2756999"/>
    <m/>
    <n v="-31960"/>
    <m/>
  </r>
  <r>
    <d v="2025-06-02T00:00:00"/>
    <s v="Compra GOOGLE *GSUITE_ec"/>
    <x v="1"/>
    <m/>
    <n v="2725039"/>
    <m/>
    <n v="-39600"/>
    <m/>
  </r>
  <r>
    <d v="2025-06-02T00:00:00"/>
    <s v="0774654836 Transf. Parque Sur Spa"/>
    <x v="3"/>
    <m/>
    <n v="2685439"/>
    <n v="100000"/>
    <m/>
    <m/>
  </r>
  <r>
    <d v="2025-06-02T00:00:00"/>
    <s v="0767039379 Transf. los Robles Spa"/>
    <x v="3"/>
    <m/>
    <n v="2785439"/>
    <n v="100000"/>
    <m/>
    <m/>
  </r>
  <r>
    <d v="2025-06-02T00:00:00"/>
    <s v="0778714019 Transf. Agricola los Chilcos Spa"/>
    <x v="3"/>
    <m/>
    <n v="2885439"/>
    <n v="100000"/>
    <m/>
    <m/>
  </r>
  <r>
    <d v="2025-06-02T00:00:00"/>
    <s v="0778050773 Transf. Cerro Colorado Spa"/>
    <x v="3"/>
    <m/>
    <n v="2985439"/>
    <n v="100000"/>
    <m/>
    <m/>
  </r>
  <r>
    <d v="2025-06-02T00:00:00"/>
    <s v="PAGO EN LINEA SERVIPAG"/>
    <x v="1"/>
    <m/>
    <n v="3085439"/>
    <m/>
    <n v="-47173"/>
    <s v="Cuentas oficina"/>
  </r>
  <r>
    <d v="2025-06-02T00:00:00"/>
    <s v="0121371871 Transf a CIFUENTES PAREDES R"/>
    <x v="2"/>
    <m/>
    <n v="3038266"/>
    <m/>
    <n v="-600000"/>
    <m/>
  </r>
  <r>
    <d v="2025-06-02T00:00:00"/>
    <s v="0200723457 Transf a Benjamin Lecaros"/>
    <x v="2"/>
    <m/>
    <n v="2438266"/>
    <m/>
    <n v="-145000"/>
    <m/>
  </r>
  <r>
    <d v="2025-06-02T00:00:00"/>
    <s v="0763699560 Transf a Inversiones Blackzar Limitada"/>
    <x v="1"/>
    <m/>
    <n v="2293266"/>
    <m/>
    <n v="-1097432"/>
    <s v="arriendo oficina"/>
  </r>
  <r>
    <d v="2025-06-02T00:00:00"/>
    <s v="0774601414 Transf de FUTRONO SPA"/>
    <x v="3"/>
    <m/>
    <n v="1195834"/>
    <n v="100000"/>
    <m/>
    <m/>
  </r>
  <r>
    <d v="2025-06-02T00:00:00"/>
    <s v="0778714019 Transf. Agricola los Chilcos Spa"/>
    <x v="3"/>
    <m/>
    <n v="1295834"/>
    <n v="4000000"/>
    <m/>
    <m/>
  </r>
  <r>
    <d v="2025-06-02T00:00:00"/>
    <s v="0778050773 Transf. Cerro Colorado Spa"/>
    <x v="3"/>
    <m/>
    <n v="5295834"/>
    <n v="2300000"/>
    <m/>
    <m/>
  </r>
  <r>
    <d v="2025-06-02T00:00:00"/>
    <s v="0771605729 Transf a ECOX SPA"/>
    <x v="4"/>
    <m/>
    <n v="7595834"/>
    <m/>
    <n v="-2000000"/>
    <m/>
  </r>
  <r>
    <d v="2025-06-02T00:00:00"/>
    <s v="0771605729 Transf a ECOX SPA"/>
    <x v="4"/>
    <m/>
    <n v="5595834"/>
    <m/>
    <n v="-5000000"/>
    <m/>
  </r>
  <r>
    <d v="2025-06-03T00:00:00"/>
    <s v="Compra MERCAR"/>
    <x v="1"/>
    <m/>
    <n v="595834"/>
    <m/>
    <n v="-10970"/>
    <m/>
  </r>
  <r>
    <d v="2025-06-03T00:00:00"/>
    <s v="0156407445 Transf a HIRIART BLOME FELIP"/>
    <x v="1"/>
    <m/>
    <n v="584864"/>
    <m/>
    <n v="-79980"/>
    <m/>
  </r>
  <r>
    <d v="2025-06-04T00:00:00"/>
    <s v="PAGO EN LINEA T.G.R."/>
    <x v="6"/>
    <m/>
    <n v="504884"/>
    <m/>
    <n v="-6800"/>
    <m/>
  </r>
  <r>
    <d v="2025-06-04T00:00:00"/>
    <s v="PAGO EN LINEA T.G.R."/>
    <x v="6"/>
    <m/>
    <n v="498084"/>
    <m/>
    <n v="-26479"/>
    <m/>
  </r>
  <r>
    <d v="2025-06-05T00:00:00"/>
    <s v="0064895109 Transf a ADASME APAZ FRANCIS"/>
    <x v="1"/>
    <s v="COLBUN"/>
    <n v="471605"/>
    <m/>
    <n v="-297500"/>
    <s v="Pago 2 de 2 Perito"/>
  </r>
  <r>
    <d v="2025-06-05T00:00:00"/>
    <s v="Compra SOCIEDAD DE INVER"/>
    <x v="1"/>
    <m/>
    <n v="174105"/>
    <m/>
    <n v="-98010"/>
    <s v="café"/>
  </r>
  <r>
    <d v="2025-06-06T00:00:00"/>
    <s v="0163673002 Transf a LECAROS SOTOMAYOR P"/>
    <x v="1"/>
    <m/>
    <n v="76095"/>
    <m/>
    <n v="-20000"/>
    <s v="Reembolso auto Pudahuel"/>
  </r>
  <r>
    <d v="2025-06-06T00:00:00"/>
    <s v="076261930K Transf a LYON MONTERO Y CIA"/>
    <x v="9"/>
    <m/>
    <n v="56095"/>
    <m/>
    <n v="-40000"/>
    <s v="Gasto notaria ep crane WW"/>
  </r>
  <r>
    <d v="2025-06-06T00:00:00"/>
    <s v="PAGO EN LINEA T.G.R."/>
    <x v="1"/>
    <m/>
    <n v="16095"/>
    <m/>
    <n v="-3800"/>
    <m/>
  </r>
  <r>
    <d v="2025-06-10T00:00:00"/>
    <s v="0771605729 Transf de ECOX SPA"/>
    <x v="4"/>
    <m/>
    <n v="12295"/>
    <n v="113000"/>
    <m/>
    <m/>
  </r>
  <r>
    <d v="2025-06-10T00:00:00"/>
    <s v="0144767209 Transf a Jeannette del Carmen Núñez Hermosilla"/>
    <x v="1"/>
    <m/>
    <n v="125295"/>
    <m/>
    <n v="-125000"/>
    <s v="Aseo oficina"/>
  </r>
  <r>
    <d v="2025-06-10T00:00:00"/>
    <s v="Rescate Fondos Mutuos"/>
    <x v="7"/>
    <m/>
    <n v="295"/>
    <n v="500000"/>
    <m/>
    <m/>
  </r>
  <r>
    <d v="2025-06-10T00:00:00"/>
    <s v="0771605729 Transf a ECOX SPA"/>
    <x v="4"/>
    <m/>
    <n v="500295"/>
    <m/>
    <n v="-30000"/>
    <m/>
  </r>
  <r>
    <d v="2025-06-11T00:00:00"/>
    <s v="PAGO EN LINEA T.G.R."/>
    <x v="6"/>
    <m/>
    <n v="470295"/>
    <m/>
    <n v="-160392"/>
    <s v="Contribuciones  "/>
  </r>
  <r>
    <d v="2025-06-10T00:00:00"/>
    <s v="MERCADOPAGO *MICOCACO"/>
    <x v="1"/>
    <m/>
    <n v="309903"/>
    <n v="34450"/>
    <m/>
    <s v="Devolucion compra coca cola"/>
  </r>
  <r>
    <d v="2025-06-11T00:00:00"/>
    <s v="Rescate Fondos Mutuos"/>
    <x v="7"/>
    <m/>
    <n v="344353"/>
    <n v="700000"/>
    <m/>
    <m/>
  </r>
  <r>
    <d v="2025-06-11T00:00:00"/>
    <s v="PAGO EN LINEA S.I.I."/>
    <x v="6"/>
    <m/>
    <n v="1044353"/>
    <m/>
    <n v="-495082"/>
    <s v="F29"/>
  </r>
  <r>
    <d v="2025-06-12T00:00:00"/>
    <s v="PAGO EN LINEA T.G.R."/>
    <x v="6"/>
    <m/>
    <n v="549271"/>
    <m/>
    <n v="-209775"/>
    <m/>
  </r>
  <r>
    <d v="2025-06-16T00:00:00"/>
    <s v="0767039379 Transf. LOS ROBLES SpA"/>
    <x v="3"/>
    <m/>
    <n v="339496"/>
    <n v="300000"/>
    <m/>
    <s v="Honorario dividendo 4"/>
  </r>
  <r>
    <d v="2025-06-16T00:00:00"/>
    <s v="0767039379 Transf. LOS ROBLES SpA"/>
    <x v="3"/>
    <m/>
    <n v="639496"/>
    <n v="5000000"/>
    <m/>
    <s v="Honorario dividendo 4"/>
  </r>
  <r>
    <d v="2025-06-16T00:00:00"/>
    <s v="0767039379 Transf. LOS ROBLES SpA"/>
    <x v="3"/>
    <m/>
    <n v="5639496"/>
    <n v="5000000"/>
    <m/>
    <s v="Honorario dividendo 4"/>
  </r>
  <r>
    <d v="2025-06-16T00:00:00"/>
    <s v="0767039379 Transf. LOS ROBLES SpA"/>
    <x v="3"/>
    <m/>
    <n v="10639496"/>
    <n v="5000000"/>
    <m/>
    <s v="Honorario dividendo 4"/>
  </r>
  <r>
    <d v="2025-06-16T00:00:00"/>
    <s v="0767039379 Transf. LOS ROBLES SpA"/>
    <x v="3"/>
    <m/>
    <n v="15639496"/>
    <n v="5000000"/>
    <m/>
    <s v="Honorario dividendo 4"/>
  </r>
  <r>
    <d v="2025-06-16T00:00:00"/>
    <s v="0774601414 Transf a FUTRONO SPA"/>
    <x v="11"/>
    <m/>
    <n v="20639496"/>
    <m/>
    <n v="-1000"/>
    <s v="activa cuenta"/>
  </r>
  <r>
    <d v="2025-06-16T00:00:00"/>
    <s v="0774601414 Transf de FUTRONO SPA"/>
    <x v="10"/>
    <m/>
    <n v="20638496"/>
    <n v="20462400"/>
    <m/>
    <s v="Dividendo 4"/>
  </r>
  <r>
    <d v="2025-06-16T00:00:00"/>
    <s v="PAGO EN LINEA SERVIPAG"/>
    <x v="1"/>
    <m/>
    <n v="41100896"/>
    <m/>
    <n v="-20608"/>
    <m/>
  </r>
  <r>
    <d v="2025-06-16T00:00:00"/>
    <s v="Transf.Internet a 77.460.141-4"/>
    <x v="5"/>
    <s v="FUTRONO"/>
    <n v="41080288"/>
    <m/>
    <n v="-35000000"/>
    <m/>
  </r>
  <r>
    <d v="2025-06-17T00:00:00"/>
    <s v="0767039379 Transf. LOS ROBLES SpA"/>
    <x v="3"/>
    <m/>
    <n v="6080288"/>
    <n v="5000000"/>
    <m/>
    <s v="Honorario dividendo 3"/>
  </r>
  <r>
    <d v="2025-06-17T00:00:00"/>
    <s v="0767039379 Transf. LOS ROBLES SpA"/>
    <x v="3"/>
    <m/>
    <n v="11080288"/>
    <n v="5000000"/>
    <m/>
    <s v="Honorario dividendo 3"/>
  </r>
  <r>
    <d v="2025-06-17T00:00:00"/>
    <s v="0767039379 Transf. LOS ROBLES SpA"/>
    <x v="3"/>
    <m/>
    <n v="16080288"/>
    <n v="5000000"/>
    <m/>
    <s v="Honorario dividendo 3"/>
  </r>
  <r>
    <d v="2025-06-17T00:00:00"/>
    <s v="0767039379 Transf. LOS ROBLES SpA"/>
    <x v="3"/>
    <m/>
    <n v="21080288"/>
    <n v="5000000"/>
    <m/>
    <s v="Honorario dividendo 3"/>
  </r>
  <r>
    <d v="2025-06-17T00:00:00"/>
    <s v="0767039379 Transf. LOS ROBLES SpA"/>
    <x v="3"/>
    <m/>
    <n v="26080288"/>
    <n v="5000000"/>
    <m/>
    <s v="Honorario dividendo 3"/>
  </r>
  <r>
    <d v="2025-06-17T00:00:00"/>
    <s v="0767039379 Transf. LOS ROBLES SpA"/>
    <x v="3"/>
    <m/>
    <n v="31080288"/>
    <n v="5000000"/>
    <m/>
    <s v="Honorario dividendo 3"/>
  </r>
  <r>
    <d v="2025-06-17T00:00:00"/>
    <s v="0767039379 Transf. LOS ROBLES SpA"/>
    <x v="3"/>
    <m/>
    <n v="36080288"/>
    <n v="5000000"/>
    <m/>
    <s v="Honorario dividendo 3"/>
  </r>
  <r>
    <d v="2025-06-17T00:00:00"/>
    <s v="0771605729 Transf a ECOX SPA"/>
    <x v="4"/>
    <m/>
    <n v="41080288"/>
    <m/>
    <n v="-17000000"/>
    <m/>
  </r>
  <r>
    <d v="2025-06-17T00:00:00"/>
    <s v="0153769826 Transf a HIRIART BLOME JORGE"/>
    <x v="5"/>
    <s v="AYSEN"/>
    <n v="24080288"/>
    <m/>
    <n v="-20500000"/>
    <s v="Prestamo Aysen SpA"/>
  </r>
  <r>
    <d v="2025-06-17T00:00:00"/>
    <s v="0771605729 Transf de ECOX SPA"/>
    <x v="4"/>
    <m/>
    <n v="3580288"/>
    <n v="2100000"/>
    <m/>
    <m/>
  </r>
  <r>
    <d v="2025-06-17T00:00:00"/>
    <s v="Inversión en Fondo Mutuo"/>
    <x v="7"/>
    <m/>
    <n v="5680288"/>
    <m/>
    <n v="-4500000"/>
    <m/>
  </r>
  <r>
    <d v="2025-06-19T00:00:00"/>
    <s v="0156407445 Transf a HIRIART BLOME FELIP"/>
    <x v="1"/>
    <m/>
    <n v="1180288"/>
    <m/>
    <n v="-3153"/>
    <m/>
  </r>
  <r>
    <d v="2025-06-23T00:00:00"/>
    <s v="0200723457 Transf a Benjamin Lecaros"/>
    <x v="1"/>
    <m/>
    <n v="1177135"/>
    <m/>
    <n v="-11880"/>
    <s v="Reembolso"/>
  </r>
  <r>
    <d v="2025-06-25T00:00:00"/>
    <s v="0785981901 Transf. SOC VICTOR HUGO"/>
    <x v="3"/>
    <m/>
    <n v="1165255"/>
    <n v="3524550"/>
    <m/>
    <m/>
  </r>
  <r>
    <d v="2025-06-26T00:00:00"/>
    <s v="Transf.Internet a 53.320.744-8"/>
    <x v="1"/>
    <m/>
    <n v="4689805"/>
    <m/>
    <n v="-130154"/>
    <s v="GGCC oficina"/>
  </r>
  <r>
    <d v="2025-06-26T00:00:00"/>
    <s v="Transf.Internet a 16.128.657-5"/>
    <x v="1"/>
    <m/>
    <n v="4559651"/>
    <m/>
    <n v="-1506745"/>
    <s v="servicios legales"/>
  </r>
  <r>
    <d v="2025-06-26T00:00:00"/>
    <s v="0200723457 Transf a Benjamin Lecaros"/>
    <x v="1"/>
    <m/>
    <n v="3052906"/>
    <m/>
    <n v="-26294"/>
    <s v="Reembolso Uber"/>
  </r>
  <r>
    <d v="2025-06-26T00:00:00"/>
    <s v="COM.MANTENCION PLAN"/>
    <x v="1"/>
    <m/>
    <n v="3026612"/>
    <m/>
    <n v="-19202"/>
    <m/>
  </r>
  <r>
    <d v="2025-06-30T00:00:00"/>
    <s v="PAGO EN LINEA SERVIPAG"/>
    <x v="1"/>
    <m/>
    <n v="3007410"/>
    <m/>
    <n v="-50793"/>
    <s v="Cuentas oficina"/>
  </r>
  <r>
    <d v="2025-07-01T00:00:00"/>
    <s v="0200723457 Transf a Benjamin Lecaros"/>
    <x v="1"/>
    <m/>
    <n v="2956617"/>
    <m/>
    <n v="-23000"/>
    <s v="Reembolsa cargador pc"/>
  </r>
  <r>
    <d v="2025-07-01T00:00:00"/>
    <s v="Compra GOOGLE *GSUITE_ec"/>
    <x v="1"/>
    <m/>
    <n v="2933617"/>
    <m/>
    <n v="-39600"/>
    <s v="Mail"/>
  </r>
  <r>
    <d v="2025-07-01T00:00:00"/>
    <s v="0778714019 Transf. Agricola los Chilcos Spa"/>
    <x v="3"/>
    <m/>
    <n v="2894017"/>
    <n v="4000000"/>
    <m/>
    <s v="servicio de gestion"/>
  </r>
  <r>
    <d v="2025-07-01T00:00:00"/>
    <s v="0778714019 Transf. Agricola los Chilcos Spa"/>
    <x v="3"/>
    <m/>
    <n v="6894017"/>
    <n v="100000"/>
    <m/>
    <s v="servicio contable"/>
  </r>
  <r>
    <d v="2025-07-01T00:00:00"/>
    <s v="0767039379 Transf. los Robles Spa"/>
    <x v="3"/>
    <m/>
    <n v="6994017"/>
    <n v="100000"/>
    <m/>
    <s v="servicio contable"/>
  </r>
  <r>
    <d v="2025-07-01T00:00:00"/>
    <s v="0774654836 Transf. Parque Sur SpA"/>
    <x v="3"/>
    <m/>
    <n v="7094017"/>
    <n v="100000"/>
    <m/>
    <s v="servicio contable"/>
  </r>
  <r>
    <d v="2025-07-01T00:00:00"/>
    <s v="0778050773 Transf. Cerro Colorado Spa"/>
    <x v="3"/>
    <m/>
    <n v="7194017"/>
    <n v="100000"/>
    <m/>
    <s v="servicio contable"/>
  </r>
  <r>
    <d v="2025-07-01T00:00:00"/>
    <s v="0778050773 Transf. Cerro Colorado Spa"/>
    <x v="3"/>
    <m/>
    <n v="7294017"/>
    <n v="1500000"/>
    <m/>
    <m/>
  </r>
  <r>
    <d v="2025-07-01T00:00:00"/>
    <s v="0200723457 Transf a Benjamin Lecaros"/>
    <x v="2"/>
    <m/>
    <n v="8794017"/>
    <m/>
    <n v="-145000"/>
    <m/>
  </r>
  <r>
    <d v="2025-07-01T00:00:00"/>
    <s v="0763699560 Transf a Inversiones Blackzar Limitada"/>
    <x v="1"/>
    <m/>
    <n v="8649017"/>
    <m/>
    <n v="-1099551"/>
    <m/>
  </r>
  <r>
    <d v="2025-07-01T00:00:00"/>
    <s v="0121371871 Transf a CIFUENTES PAREDES R"/>
    <x v="2"/>
    <m/>
    <n v="7549466"/>
    <m/>
    <n v="-600000"/>
    <m/>
  </r>
  <r>
    <d v="2025-07-01T00:00:00"/>
    <s v="0774601414 Transf de FUTRONO SPA"/>
    <x v="3"/>
    <m/>
    <n v="6949466"/>
    <n v="100000"/>
    <m/>
    <m/>
  </r>
  <r>
    <d v="2025-07-01T00:00:00"/>
    <s v="0771605729 Transf a ECOX SPA"/>
    <x v="4"/>
    <m/>
    <n v="7049466"/>
    <m/>
    <n v="-7000000"/>
    <m/>
  </r>
  <r>
    <d v="2025-07-02T00:00:00"/>
    <s v="Rescate Fondos Mutuos"/>
    <x v="7"/>
    <m/>
    <n v="49466"/>
    <n v="5000000"/>
    <m/>
    <m/>
  </r>
  <r>
    <d v="2025-07-02T00:00:00"/>
    <s v="0771605729 Transf a ECOX SPA"/>
    <x v="4"/>
    <m/>
    <n v="5049466"/>
    <m/>
    <n v="-5000000"/>
    <m/>
  </r>
  <r>
    <d v="2025-07-07T00:00:00"/>
    <s v="0200723457 Transf a Benjamin Lecaros"/>
    <x v="1"/>
    <m/>
    <n v="49466"/>
    <m/>
    <n v="-40000"/>
    <s v="Reembolso bencina  "/>
  </r>
  <r>
    <d v="2025-07-08T00:00:00"/>
    <s v="0778223554 Transf. CRANE CHILE SPA CRANE CHILE SPA"/>
    <x v="3"/>
    <m/>
    <n v="9466"/>
    <n v="1161711"/>
    <m/>
    <s v="Factura 153"/>
  </r>
  <r>
    <d v="2025-07-08T00:00:00"/>
    <s v="00892186006 PAGO FACT 156"/>
    <x v="3"/>
    <m/>
    <n v="1171177"/>
    <n v="942849"/>
    <m/>
    <s v="Factura 156"/>
  </r>
  <r>
    <d v="2025-07-10T00:00:00"/>
    <s v="PAGO EN LINEA T.G.R."/>
    <x v="1"/>
    <m/>
    <n v="2114026"/>
    <m/>
    <n v="-10400"/>
    <m/>
  </r>
  <r>
    <d v="2025-07-11T00:00:00"/>
    <s v="PAGO EN LINEA S.I.I."/>
    <x v="6"/>
    <m/>
    <n v="2103626"/>
    <m/>
    <n v="-434909"/>
    <m/>
  </r>
  <r>
    <d v="2025-07-11T00:00:00"/>
    <s v="0144767209 Transf a Jeannette del Carmen Núñez Hermosilla"/>
    <x v="1"/>
    <m/>
    <n v="1668717"/>
    <m/>
    <n v="-100000"/>
    <s v="Aseo oficina"/>
  </r>
  <r>
    <d v="2025-07-14T00:00:00"/>
    <s v="0200723457 Transf a Benjamin Lecaros"/>
    <x v="1"/>
    <m/>
    <n v="1568717"/>
    <m/>
    <n v="-10990"/>
    <s v="Reembolso aceite"/>
  </r>
  <r>
    <d v="2025-07-14T00:00:00"/>
    <s v="Compra PRONTO COPEC CHIM"/>
    <x v="1"/>
    <m/>
    <n v="1557727"/>
    <m/>
    <n v="-3190"/>
    <m/>
  </r>
  <r>
    <d v="2025-07-14T00:00:00"/>
    <s v="Compra SOCIEDAD INMOBILI"/>
    <x v="0"/>
    <m/>
    <n v="1554537"/>
    <m/>
    <n v="-50380"/>
    <m/>
  </r>
  <r>
    <d v="2025-07-15T00:00:00"/>
    <s v="Compra CAFETERIA OASIS"/>
    <x v="1"/>
    <m/>
    <n v="1504157"/>
    <m/>
    <n v="-5600"/>
    <m/>
  </r>
  <r>
    <d v="2025-07-15T00:00:00"/>
    <s v="0163673002 Transf a LECAROS SOTOMAYOR P"/>
    <x v="1"/>
    <s v="COLBUN"/>
    <n v="1498557"/>
    <m/>
    <n v="-110000"/>
    <s v="Bencina y tag colbun"/>
  </r>
  <r>
    <d v="2025-07-17T00:00:00"/>
    <s v="0901930007 Transf a EMP EL MERCURIO SOC"/>
    <x v="1"/>
    <m/>
    <n v="1388557"/>
    <m/>
    <n v="-282724"/>
    <s v="Diario el mercurio"/>
  </r>
  <r>
    <d v="2025-07-18T00:00:00"/>
    <s v="0770743141 Transf. 4V DESARROLLO INMOBILIARIO SpA"/>
    <x v="3"/>
    <m/>
    <n v="1105833"/>
    <n v="392853"/>
    <m/>
    <s v="Factura 155"/>
  </r>
  <r>
    <d v="2025-07-18T00:00:00"/>
    <s v="0156407445 Transf a HIRIART BLOME FELIP"/>
    <x v="1"/>
    <m/>
    <n v="1498686"/>
    <m/>
    <n v="-48424"/>
    <s v="Reembolso Uber"/>
  </r>
  <r>
    <d v="2025-07-18T00:00:00"/>
    <s v="0107554106 Transf a RIEUTORD ALVARADO A"/>
    <x v="9"/>
    <m/>
    <n v="1450262"/>
    <m/>
    <n v="-40000"/>
    <m/>
  </r>
  <r>
    <d v="2025-07-18T00:00:00"/>
    <s v="PAGO EN LINEA ENTEL PCS"/>
    <x v="1"/>
    <m/>
    <n v="1410262"/>
    <m/>
    <n v="-20608"/>
    <s v="Entel"/>
  </r>
  <r>
    <d v="2025-07-23T00:00:00"/>
    <s v="Compra MERCADOPAGO *MICO"/>
    <x v="1"/>
    <m/>
    <n v="1389654"/>
    <m/>
    <n v="-36650"/>
    <m/>
  </r>
  <r>
    <d v="2025-07-23T00:00:00"/>
    <s v="Compra WIX.COM 118988150"/>
    <x v="1"/>
    <m/>
    <n v="1353004"/>
    <m/>
    <n v="-124915"/>
    <s v="Web ecox"/>
  </r>
  <r>
    <d v="2025-07-24T00:00:00"/>
    <s v="Compra EQUIFAX CHILE"/>
    <x v="1"/>
    <m/>
    <n v="1228089"/>
    <m/>
    <n v="-17990"/>
    <s v="informe dicom"/>
  </r>
  <r>
    <d v="2025-07-24T00:00:00"/>
    <s v="0163673002 Transf a LECAROS SOTOMAYOR P"/>
    <x v="1"/>
    <m/>
    <n v="1210099"/>
    <m/>
    <n v="-20000"/>
    <s v="Bencina Pudahuel"/>
  </r>
  <r>
    <d v="2025-07-24T00:00:00"/>
    <s v="Compra ESTAC .LO CASTILL"/>
    <x v="1"/>
    <m/>
    <n v="1190099"/>
    <m/>
    <n v="-7250"/>
    <m/>
  </r>
  <r>
    <d v="2025-07-25T00:00:00"/>
    <s v="0103284406 Transf a SANCHEZ MILLER PATR"/>
    <x v="1"/>
    <m/>
    <n v="1182849"/>
    <m/>
    <n v="-1000000"/>
    <s v="arriendo oficina 202"/>
  </r>
  <r>
    <d v="2025-07-28T00:00:00"/>
    <s v="0103284406 Transf a SANCHEZ MILLER PATR"/>
    <x v="1"/>
    <m/>
    <n v="182849"/>
    <m/>
    <n v="-176434"/>
    <s v="arriendo oficina 202"/>
  </r>
  <r>
    <d v="2025-07-30T00:00:00"/>
    <s v="0771605729 Transf de ECOX SPA"/>
    <x v="4"/>
    <m/>
    <n v="6415"/>
    <n v="1000000"/>
    <m/>
    <m/>
  </r>
  <r>
    <d v="2025-07-30T00:00:00"/>
    <s v="0144767209 Transf a Jeannette del Carmen Núñez Hermosilla"/>
    <x v="1"/>
    <m/>
    <n v="1006415"/>
    <m/>
    <n v="-100000"/>
    <s v="Aseo oficina"/>
  </r>
  <r>
    <d v="2025-07-30T00:00:00"/>
    <s v="0200723457 Transf a Benjamin Lecaros"/>
    <x v="1"/>
    <m/>
    <n v="906415"/>
    <m/>
    <n v="-17970"/>
    <s v="Reembolso articulos oficina"/>
  </r>
  <r>
    <d v="2025-07-30T00:00:00"/>
    <s v="0533207448 Transf a Comunidad Edificio 1K Torre A"/>
    <x v="1"/>
    <m/>
    <n v="888445"/>
    <m/>
    <n v="-144482"/>
    <s v="GGCC oficina"/>
  </r>
  <r>
    <d v="2025-07-30T00:00:00"/>
    <s v="0163673002 Transf a LECAROS SOTOMAYOR P"/>
    <x v="1"/>
    <m/>
    <n v="743963"/>
    <m/>
    <n v="-218955"/>
    <s v="Reembolso comida"/>
  </r>
  <r>
    <d v="2025-07-30T00:00:00"/>
    <s v="0156407445 Transf a HIRIART BLOME FELIP"/>
    <x v="1"/>
    <m/>
    <n v="525008"/>
    <m/>
    <n v="-10398"/>
    <s v="Reembolso Uber"/>
  </r>
  <r>
    <d v="2025-07-30T00:00:00"/>
    <s v="0156407445 Transf a HIRIART BLOME FELIP"/>
    <x v="1"/>
    <m/>
    <n v="514610"/>
    <m/>
    <n v="-176605"/>
    <s v="Reembolso comida"/>
  </r>
  <r>
    <d v="2025-07-29T00:00:00"/>
    <s v="COM.MANTENCION PLAN"/>
    <x v="1"/>
    <m/>
    <n v="338005"/>
    <m/>
    <n v="-19241"/>
    <m/>
  </r>
  <r>
    <d v="2025-08-01T00:00:00"/>
    <s v="Compra GOOGLE *GSUITE_ec"/>
    <x v="1"/>
    <m/>
    <n v="318764"/>
    <m/>
    <n v="-44496"/>
    <m/>
  </r>
  <r>
    <d v="2025-08-01T00:00:00"/>
    <s v="0778714019 Transf. Agricola los Chilcos Spa"/>
    <x v="3"/>
    <m/>
    <n v="274268"/>
    <n v="4000000"/>
    <m/>
    <m/>
  </r>
  <r>
    <d v="2025-08-04T00:00:00"/>
    <s v="0771605729 Transf a ECOX SPA"/>
    <x v="4"/>
    <m/>
    <n v="4274268"/>
    <m/>
    <n v="-500000"/>
    <m/>
  </r>
  <r>
    <d v="2025-08-04T00:00:00"/>
    <s v="0121371871 Transf a CIFUENTES PAREDES R"/>
    <x v="2"/>
    <m/>
    <n v="3774268"/>
    <m/>
    <n v="-600000"/>
    <m/>
  </r>
  <r>
    <d v="2025-08-04T00:00:00"/>
    <s v="0200723457 Transf a Benjamin Lecaros"/>
    <x v="2"/>
    <m/>
    <n v="3174268"/>
    <m/>
    <n v="-145000"/>
    <m/>
  </r>
  <r>
    <d v="2025-08-04T00:00:00"/>
    <s v="0763699560 Transf a Inversiones Blackzar Limitada"/>
    <x v="1"/>
    <m/>
    <n v="3029268"/>
    <m/>
    <n v="-1096870"/>
    <s v="Arriendo oficina (208)"/>
  </r>
  <r>
    <d v="2025-08-04T00:00:00"/>
    <s v="Interés Sobregiro Cta.Corriente"/>
    <x v="12"/>
    <m/>
    <n v="1932398"/>
    <m/>
    <n v="-17"/>
    <m/>
  </r>
  <r>
    <d v="2025-08-04T00:00:00"/>
    <s v="Impuesto Sobregiro / Uso LCA"/>
    <x v="12"/>
    <m/>
    <n v="1932381"/>
    <m/>
    <n v="-8"/>
    <m/>
  </r>
  <r>
    <d v="2025-08-05T00:00:00"/>
    <s v="Transf.Internet a 76.830.014-3"/>
    <x v="1"/>
    <m/>
    <n v="1932373"/>
    <m/>
    <n v="-4100"/>
    <s v="Firma electronica"/>
  </r>
  <r>
    <d v="2025-08-05T00:00:00"/>
    <s v="0774654836 Transf. Parque Sur Spa"/>
    <x v="3"/>
    <m/>
    <n v="1928273"/>
    <n v="100000"/>
    <m/>
    <m/>
  </r>
  <r>
    <d v="2025-08-05T00:00:00"/>
    <s v="0767039379 Transf. los Robles Spa"/>
    <x v="3"/>
    <m/>
    <n v="2028273"/>
    <n v="100000"/>
    <m/>
    <m/>
  </r>
  <r>
    <d v="2025-08-05T00:00:00"/>
    <s v="0778714019 Transf. Agricola los Chilcos Spa"/>
    <x v="3"/>
    <m/>
    <n v="2128273"/>
    <n v="100000"/>
    <m/>
    <m/>
  </r>
  <r>
    <d v="2025-08-05T00:00:00"/>
    <s v="0772132840 Transf de TREGUALEMU SPA"/>
    <x v="3"/>
    <m/>
    <n v="2228273"/>
    <n v="100000"/>
    <m/>
    <m/>
  </r>
  <r>
    <d v="2025-08-05T00:00:00"/>
    <s v="0774601414 Transf de FUTRONO SPA"/>
    <x v="3"/>
    <m/>
    <n v="2328273"/>
    <n v="100000"/>
    <m/>
    <m/>
  </r>
  <r>
    <d v="2025-08-06T00:00:00"/>
    <s v="077057482K Transf. INVERSIONES WICHALM LIMITADA"/>
    <x v="0"/>
    <m/>
    <n v="2428273"/>
    <n v="785707"/>
    <m/>
    <m/>
  </r>
  <r>
    <d v="2025-08-11T00:00:00"/>
    <s v="Inversión en Fondo Mutuo"/>
    <x v="7"/>
    <m/>
    <n v="3213980"/>
    <m/>
    <n v="-2700000"/>
    <m/>
  </r>
  <r>
    <d v="2025-08-11T00:00:00"/>
    <s v="PAGO EN LINEA SERVIPAG"/>
    <x v="1"/>
    <m/>
    <n v="513980"/>
    <m/>
    <n v="-49188"/>
    <m/>
  </r>
  <r>
    <d v="2025-08-11T00:00:00"/>
    <s v="Compra MERCADOPAGO *MICO"/>
    <x v="1"/>
    <m/>
    <n v="464792"/>
    <m/>
    <n v="-30432"/>
    <m/>
  </r>
  <r>
    <d v="2025-08-11T00:00:00"/>
    <s v="PAGO EN LINEA S.I.I."/>
    <x v="6"/>
    <m/>
    <n v="434360"/>
    <m/>
    <n v="-138342"/>
    <s v="F29"/>
  </r>
  <r>
    <d v="2025-08-12T00:00:00"/>
    <s v="0779740323 Transf a EL MARTILLERO SPA"/>
    <x v="0"/>
    <m/>
    <n v="296018"/>
    <m/>
    <n v="-231121"/>
    <m/>
  </r>
  <r>
    <d v="2025-08-12T00:00:00"/>
    <s v="Compra INVERSIONES MARAL"/>
    <x v="1"/>
    <m/>
    <n v="64897"/>
    <m/>
    <n v="-10290"/>
    <m/>
  </r>
  <r>
    <d v="2025-08-13T00:00:00"/>
    <s v="0771605729 Transf de ECOX SPA"/>
    <x v="4"/>
    <m/>
    <n v="54607"/>
    <n v="100000"/>
    <m/>
    <m/>
  </r>
  <r>
    <d v="2025-08-13T00:00:00"/>
    <s v="0144767209 Transf a Jeannette del Carmen Núñez Hermosilla"/>
    <x v="1"/>
    <m/>
    <n v="154607"/>
    <m/>
    <n v="-100000"/>
    <s v="Aseo 4 dias adelantado agosto"/>
  </r>
  <r>
    <d v="2025-08-18T00:00:00"/>
    <s v="77.456.314-8 Transf. FULL FUNE"/>
    <x v="3"/>
    <m/>
    <n v="54607"/>
    <n v="314283"/>
    <m/>
    <m/>
  </r>
  <r>
    <d v="2025-08-25T00:00:00"/>
    <s v="PAGO EN LINEA SERVIPAG"/>
    <x v="1"/>
    <m/>
    <n v="368890"/>
    <m/>
    <n v="-84223"/>
    <m/>
  </r>
  <r>
    <d v="2025-08-26T00:00:00"/>
    <s v="Rescate Fondos Mutuos"/>
    <x v="7"/>
    <m/>
    <n v="284667"/>
    <n v="1900000"/>
    <m/>
    <m/>
  </r>
  <r>
    <d v="2025-08-26T00:00:00"/>
    <s v="0103284406 Transf a SANCHEZ MILLER PATR"/>
    <x v="1"/>
    <m/>
    <n v="2184667"/>
    <m/>
    <n v="-1180000"/>
    <s v="Arriendo oficina"/>
  </r>
  <r>
    <d v="2025-08-26T00:00:00"/>
    <s v="0778722852 Transf a Inverkasacl SpA"/>
    <x v="1"/>
    <m/>
    <n v="1004667"/>
    <m/>
    <n v="-702100"/>
    <s v="Corretaje oficina"/>
  </r>
  <r>
    <d v="2025-08-28T00:00:00"/>
    <s v="0083291001 Transf a Víctor Hugo Pérez Peña"/>
    <x v="0"/>
    <s v="COLBUN"/>
    <n v="302567"/>
    <m/>
    <n v="-36000"/>
    <m/>
  </r>
  <r>
    <d v="2025-08-28T00:00:00"/>
    <s v="0083291001 Transf a Víctor Hugo Pérez Peña"/>
    <x v="0"/>
    <s v="COLBUN"/>
    <n v="266567"/>
    <m/>
    <n v="-33600"/>
    <m/>
  </r>
  <r>
    <d v="2025-08-28T00:00:00"/>
    <s v="0533207448 Transf a Comunidad Edificio 1K Torre A"/>
    <x v="1"/>
    <m/>
    <n v="232967"/>
    <m/>
    <n v="-133766"/>
    <m/>
  </r>
  <r>
    <d v="2025-08-27T00:00:00"/>
    <s v="COM.MANTENCION PLAN"/>
    <x v="1"/>
    <m/>
    <n v="99201"/>
    <m/>
    <n v="-19198"/>
    <m/>
  </r>
  <r>
    <d v="2025-08-29T00:00:00"/>
    <s v="0156407445 Transf a HIRIART BLOME FELIP"/>
    <x v="0"/>
    <m/>
    <n v="80003"/>
    <m/>
    <n v="-69990"/>
    <m/>
  </r>
  <r>
    <d v="2025-09-01T00:00:00"/>
    <s v="0778714019 Transf. Agricola los Chilcos Spa"/>
    <x v="0"/>
    <m/>
    <n v="10013"/>
    <n v="4000000"/>
    <m/>
    <m/>
  </r>
  <r>
    <d v="2025-09-01T00:00:00"/>
    <s v="0200723457 Transf a Benjamin Lecaros"/>
    <x v="1"/>
    <m/>
    <n v="4010013"/>
    <m/>
    <n v="-20847"/>
    <s v="Reembolso krispy kreme"/>
  </r>
  <r>
    <d v="2025-09-01T00:00:00"/>
    <s v="0200723457 Transf a Benjamin Lecaros"/>
    <x v="1"/>
    <m/>
    <n v="3989166"/>
    <m/>
    <n v="-7700"/>
    <s v="Reembolso llaves"/>
  </r>
  <r>
    <d v="2025-09-01T00:00:00"/>
    <s v="0200723457 Transf a Benjamin Lecaros"/>
    <x v="2"/>
    <m/>
    <n v="3981466"/>
    <m/>
    <n v="-145000"/>
    <m/>
  </r>
  <r>
    <d v="2025-09-01T00:00:00"/>
    <s v="Transf.Internet a 76.830.014-3"/>
    <x v="0"/>
    <m/>
    <n v="3836466"/>
    <m/>
    <n v="-35688"/>
    <m/>
  </r>
  <r>
    <d v="2025-09-01T00:00:00"/>
    <s v="0175999760 Transf a PIZARRO PADILLA HER"/>
    <x v="0"/>
    <s v="COLBUN"/>
    <n v="3800778"/>
    <m/>
    <n v="-151350"/>
    <m/>
  </r>
  <r>
    <d v="2025-09-01T00:00:00"/>
    <s v="Compra GOOGLE *GSUITE_ec"/>
    <x v="1"/>
    <m/>
    <n v="3649428"/>
    <m/>
    <n v="-46200"/>
    <m/>
  </r>
  <r>
    <d v="2025-09-01T00:00:00"/>
    <s v="Transf.Internet a 12.137.187-1"/>
    <x v="0"/>
    <m/>
    <n v="3603228"/>
    <m/>
    <n v="-600000"/>
    <m/>
  </r>
  <r>
    <d v="2025-09-02T00:00:00"/>
    <s v="0107554106 Transf a RIEUTORD ALVARADO A"/>
    <x v="9"/>
    <m/>
    <n v="3003228"/>
    <m/>
    <n v="-140000"/>
    <m/>
  </r>
  <r>
    <d v="2025-09-02T00:00:00"/>
    <s v="PAGO EN LINEA T.G.R."/>
    <x v="0"/>
    <m/>
    <n v="2863228"/>
    <m/>
    <n v="-26000"/>
    <m/>
  </r>
  <r>
    <d v="2025-09-02T00:00:00"/>
    <s v="Inversión en Fondo Mutuo"/>
    <x v="7"/>
    <m/>
    <n v="2837228"/>
    <m/>
    <n v="-2000000"/>
    <m/>
  </r>
  <r>
    <d v="2025-09-03T00:00:00"/>
    <s v="0760919500 Transf de SOC INMOB E INV LAS"/>
    <x v="3"/>
    <m/>
    <n v="837228"/>
    <n v="630311"/>
    <m/>
    <s v="Las Cadenas"/>
  </r>
  <r>
    <d v="2025-09-04T00:00:00"/>
    <s v="0767039379 Transf. LOS ROBLES SpA"/>
    <x v="3"/>
    <m/>
    <n v="1467539"/>
    <n v="3750000"/>
    <m/>
    <s v="Honorario dividendo 5"/>
  </r>
  <r>
    <d v="2025-09-04T00:00:00"/>
    <s v="0767039379 Transf. LOS ROBLES SpA"/>
    <x v="3"/>
    <m/>
    <n v="5217539"/>
    <n v="5000000"/>
    <m/>
    <s v="Honorario dividendo 5"/>
  </r>
  <r>
    <d v="2025-09-04T00:00:00"/>
    <s v="0771605729 Transf de ECOX SPA"/>
    <x v="3"/>
    <m/>
    <n v="10217539"/>
    <n v="3000000"/>
    <m/>
    <s v="Honorario dividendo 5"/>
  </r>
  <r>
    <d v="2025-09-04T00:00:00"/>
    <s v="Compra IKEA OPEN KENNEDY"/>
    <x v="1"/>
    <m/>
    <n v="13217539"/>
    <m/>
    <n v="-2168920"/>
    <m/>
  </r>
  <r>
    <d v="2025-09-05T00:00:00"/>
    <s v="0767039379 Transf. LOS ROBLES SpA"/>
    <x v="3"/>
    <m/>
    <n v="11048619"/>
    <n v="5000000"/>
    <m/>
    <s v="Honorario dividendo 5"/>
  </r>
  <r>
    <d v="2025-09-05T00:00:00"/>
    <s v="0767039379 Transf. LOS ROBLES SpA"/>
    <x v="3"/>
    <m/>
    <n v="16048619"/>
    <n v="5000000"/>
    <m/>
    <s v="Honorario dividendo 5"/>
  </r>
  <r>
    <d v="2025-09-05T00:00:00"/>
    <s v="0767039379 Transf. LOS ROBLES SpA"/>
    <x v="3"/>
    <m/>
    <n v="21048619"/>
    <n v="5000000"/>
    <m/>
    <s v="Honorario dividendo 5"/>
  </r>
  <r>
    <d v="2025-09-05T00:00:00"/>
    <s v="0153769826 Transf a HIRIART BLOME JORGE"/>
    <x v="5"/>
    <s v="AYSEN"/>
    <n v="26048619"/>
    <m/>
    <n v="-24086693"/>
    <m/>
  </r>
  <r>
    <d v="2025-09-05T00:00:00"/>
    <s v="0774601414 Transf de FUTRONO SPA"/>
    <x v="10"/>
    <m/>
    <n v="1961926"/>
    <n v="23940000"/>
    <m/>
    <s v="Dividendo 5"/>
  </r>
  <r>
    <d v="2025-09-05T00:00:00"/>
    <s v="0774601414 Transf de FUTRONO SPA"/>
    <x v="3"/>
    <m/>
    <n v="25901926"/>
    <n v="100000"/>
    <m/>
    <s v="servicio contable"/>
  </r>
  <r>
    <d v="2025-09-05T00:00:00"/>
    <s v="0767039379 Transf. los Robles Spa"/>
    <x v="3"/>
    <m/>
    <n v="26001926"/>
    <n v="100000"/>
    <m/>
    <s v="servicio contable"/>
  </r>
  <r>
    <d v="2025-09-05T00:00:00"/>
    <s v="0778714019 Transf. Agricola los Chilcos Spa"/>
    <x v="3"/>
    <m/>
    <n v="26101926"/>
    <n v="100000"/>
    <m/>
    <s v="servicio contable"/>
  </r>
  <r>
    <d v="2025-09-05T00:00:00"/>
    <s v="0774654836 Transf. Parque Sur Spa"/>
    <x v="3"/>
    <m/>
    <n v="26201926"/>
    <n v="100000"/>
    <m/>
    <s v="servicio contable"/>
  </r>
  <r>
    <d v="2025-09-05T00:00:00"/>
    <s v="0772132840 Transf de TREGUALEMU SPA"/>
    <x v="3"/>
    <m/>
    <n v="26301926"/>
    <n v="100000"/>
    <m/>
    <s v="servicio contable"/>
  </r>
  <r>
    <d v="2025-09-05T00:00:00"/>
    <s v="Compra MERCADOPAGO *MICO"/>
    <x v="1"/>
    <m/>
    <n v="26401926"/>
    <m/>
    <n v="-37129"/>
    <m/>
  </r>
  <r>
    <m/>
    <m/>
    <x v="3"/>
    <m/>
    <n v="26364797"/>
    <n v="16000000"/>
    <m/>
    <m/>
  </r>
  <r>
    <m/>
    <m/>
    <x v="0"/>
    <m/>
    <n v="42364797"/>
    <m/>
    <m/>
    <m/>
  </r>
  <r>
    <m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F9B1C-41FE-41EE-B150-FE605D6DFD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8">
    <pivotField showAll="0"/>
    <pivotField showAll="0"/>
    <pivotField axis="axisRow" showAll="0">
      <items count="14">
        <item h="1" x="4"/>
        <item x="10"/>
        <item h="1" x="7"/>
        <item h="1" x="1"/>
        <item h="1" x="6"/>
        <item h="1" x="9"/>
        <item h="1" x="5"/>
        <item h="1" x="8"/>
        <item h="1" x="2"/>
        <item x="3"/>
        <item h="1" x="0"/>
        <item h="1" x="11"/>
        <item h="1" x="1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 v="1"/>
    </i>
    <i>
      <x v="9"/>
    </i>
    <i t="grand">
      <x/>
    </i>
  </rowItems>
  <colItems count="1">
    <i/>
  </colItems>
  <dataFields count="1">
    <dataField name="Sum of DEPOSITO" fld="5" baseField="0" baseItem="0" numFmtId="165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E98661-DB61-4E8C-AA8D-BAFFE52669DA}" name="Table4" displayName="Table4" ref="A1:H586" totalsRowShown="0" headerRowDxfId="11" dataDxfId="9" headerRowBorderDxfId="10" headerRowCellStyle="Currency" dataCellStyle="Currency">
  <autoFilter ref="A1:H586" xr:uid="{0FE98661-DB61-4E8C-AA8D-BAFFE52669DA}"/>
  <tableColumns count="8">
    <tableColumn id="1" xr3:uid="{840C7E17-4647-4921-8E57-5CB3697C7E51}" name="FECHA" dataDxfId="8"/>
    <tableColumn id="2" xr3:uid="{55682C00-F3AD-426F-886A-B5A7002CCED1}" name="DETALLE"/>
    <tableColumn id="3" xr3:uid="{561D3355-7D54-4B83-AABA-44A8783A4800}" name="CATEGORIA"/>
    <tableColumn id="4" xr3:uid="{63ADF3D5-3B72-4BD8-BD3E-4B9A34C3EA1C}" name="SUB"/>
    <tableColumn id="5" xr3:uid="{B24ADC41-45EB-442A-A850-5C8300FC4783}" name="SALDO" dataDxfId="7" dataCellStyle="Currency"/>
    <tableColumn id="6" xr3:uid="{C8BA0863-93D4-4412-B058-8137D6041816}" name="DEPOSITO" dataDxfId="6" dataCellStyle="Currency"/>
    <tableColumn id="7" xr3:uid="{1955B847-AC2F-4A07-B09C-5D5AA50AA0ED}" name="GIROS" dataDxfId="5" dataCellStyle="Currency"/>
    <tableColumn id="8" xr3:uid="{CCB68E83-86E8-421F-83F3-C2F6AED42315}" name="COMENTARIO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4" totalsRowShown="0">
  <autoFilter ref="A1:A14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9" totalsRowShown="0">
  <autoFilter ref="B1:B19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2"/>
  <sheetViews>
    <sheetView tabSelected="1" topLeftCell="A219" zoomScale="90" zoomScaleNormal="90" workbookViewId="0">
      <selection activeCell="H318" sqref="H318"/>
    </sheetView>
  </sheetViews>
  <sheetFormatPr defaultRowHeight="14.4" x14ac:dyDescent="0.3"/>
  <cols>
    <col min="1" max="1" width="14.6640625" style="1" customWidth="1"/>
    <col min="2" max="2" width="51.88671875" bestFit="1" customWidth="1"/>
    <col min="3" max="3" width="22.33203125" customWidth="1"/>
    <col min="4" max="4" width="12.6640625" customWidth="1"/>
    <col min="5" max="5" width="17.33203125" style="2" hidden="1" customWidth="1"/>
    <col min="6" max="7" width="17.33203125" style="2" customWidth="1"/>
    <col min="8" max="8" width="56.6640625" customWidth="1"/>
  </cols>
  <sheetData>
    <row r="1" spans="1:27" s="16" customFormat="1" ht="18" thickBot="1" x14ac:dyDescent="0.35">
      <c r="A1" s="12" t="s">
        <v>7</v>
      </c>
      <c r="B1" s="13" t="s">
        <v>0</v>
      </c>
      <c r="C1" s="13" t="s">
        <v>1</v>
      </c>
      <c r="D1" s="13" t="s">
        <v>2</v>
      </c>
      <c r="E1" s="14" t="s">
        <v>3</v>
      </c>
      <c r="F1" s="14" t="s">
        <v>4</v>
      </c>
      <c r="G1" s="14" t="s">
        <v>5</v>
      </c>
      <c r="H1" s="13" t="s">
        <v>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3">
      <c r="A2" s="1">
        <v>45658</v>
      </c>
      <c r="B2" t="s">
        <v>8</v>
      </c>
      <c r="E2" s="2">
        <v>2772951</v>
      </c>
    </row>
    <row r="3" spans="1:27" x14ac:dyDescent="0.3">
      <c r="A3" s="1">
        <v>45659</v>
      </c>
      <c r="B3" t="s">
        <v>35</v>
      </c>
      <c r="C3" t="s">
        <v>9</v>
      </c>
      <c r="E3" s="2">
        <f>E2+F2+G2</f>
        <v>2772951</v>
      </c>
      <c r="G3" s="2">
        <v>-26783</v>
      </c>
    </row>
    <row r="4" spans="1:27" x14ac:dyDescent="0.3">
      <c r="A4" s="1">
        <v>45659</v>
      </c>
      <c r="B4" t="s">
        <v>35</v>
      </c>
      <c r="C4" t="s">
        <v>9</v>
      </c>
      <c r="E4" s="2">
        <f t="shared" ref="E4:E5" si="0">E3+F3+G3</f>
        <v>2746168</v>
      </c>
      <c r="G4" s="2">
        <v>-15329</v>
      </c>
    </row>
    <row r="5" spans="1:27" x14ac:dyDescent="0.3">
      <c r="A5" s="1">
        <v>45659</v>
      </c>
      <c r="B5" t="s">
        <v>36</v>
      </c>
      <c r="C5" t="s">
        <v>13</v>
      </c>
      <c r="E5" s="2">
        <f t="shared" si="0"/>
        <v>2730839</v>
      </c>
      <c r="G5" s="2">
        <v>-600000</v>
      </c>
    </row>
    <row r="6" spans="1:27" x14ac:dyDescent="0.3">
      <c r="A6" s="1">
        <v>45660</v>
      </c>
      <c r="B6" t="s">
        <v>37</v>
      </c>
      <c r="C6" t="s">
        <v>12</v>
      </c>
      <c r="E6" s="2">
        <f>E5+F5+G5</f>
        <v>2130839</v>
      </c>
      <c r="F6" s="2">
        <v>2300000</v>
      </c>
    </row>
    <row r="7" spans="1:27" x14ac:dyDescent="0.3">
      <c r="A7" s="1">
        <v>45660</v>
      </c>
      <c r="B7" t="s">
        <v>38</v>
      </c>
      <c r="C7" t="s">
        <v>19</v>
      </c>
      <c r="E7" s="2">
        <f t="shared" ref="E7:E70" si="1">E6+F6+G6</f>
        <v>4430839</v>
      </c>
      <c r="G7" s="2">
        <v>-3000000</v>
      </c>
    </row>
    <row r="8" spans="1:27" x14ac:dyDescent="0.3">
      <c r="A8" s="1">
        <v>45660</v>
      </c>
      <c r="B8" t="s">
        <v>39</v>
      </c>
      <c r="C8" t="s">
        <v>20</v>
      </c>
      <c r="E8" s="2">
        <f t="shared" si="1"/>
        <v>1430839</v>
      </c>
      <c r="G8" s="2">
        <v>-1000000</v>
      </c>
      <c r="H8" t="s">
        <v>40</v>
      </c>
    </row>
    <row r="9" spans="1:27" x14ac:dyDescent="0.3">
      <c r="A9" s="1">
        <v>45664</v>
      </c>
      <c r="B9" t="s">
        <v>41</v>
      </c>
      <c r="C9" t="s">
        <v>9</v>
      </c>
      <c r="E9" s="2">
        <f t="shared" si="1"/>
        <v>430839</v>
      </c>
      <c r="G9" s="2">
        <v>-125000</v>
      </c>
      <c r="H9" t="s">
        <v>42</v>
      </c>
    </row>
    <row r="10" spans="1:27" x14ac:dyDescent="0.3">
      <c r="A10" s="1">
        <v>45664</v>
      </c>
      <c r="B10" t="s">
        <v>41</v>
      </c>
      <c r="C10" t="s">
        <v>9</v>
      </c>
      <c r="E10" s="2">
        <f t="shared" si="1"/>
        <v>305839</v>
      </c>
      <c r="G10" s="2">
        <v>-15000</v>
      </c>
    </row>
    <row r="11" spans="1:27" x14ac:dyDescent="0.3">
      <c r="A11" s="1">
        <v>45664</v>
      </c>
      <c r="B11" t="s">
        <v>43</v>
      </c>
      <c r="C11" t="s">
        <v>19</v>
      </c>
      <c r="E11" s="2">
        <f t="shared" si="1"/>
        <v>290839</v>
      </c>
      <c r="F11" s="2">
        <v>150000</v>
      </c>
    </row>
    <row r="12" spans="1:27" x14ac:dyDescent="0.3">
      <c r="A12" s="1">
        <v>45664</v>
      </c>
      <c r="B12" t="s">
        <v>44</v>
      </c>
      <c r="C12" t="s">
        <v>14</v>
      </c>
      <c r="E12" s="2">
        <f t="shared" si="1"/>
        <v>440839</v>
      </c>
      <c r="G12" s="2">
        <v>-408220</v>
      </c>
    </row>
    <row r="13" spans="1:27" x14ac:dyDescent="0.3">
      <c r="A13" s="1">
        <v>45664</v>
      </c>
      <c r="B13" t="s">
        <v>45</v>
      </c>
      <c r="C13" t="s">
        <v>20</v>
      </c>
      <c r="E13" s="2">
        <f t="shared" si="1"/>
        <v>32619</v>
      </c>
      <c r="F13" s="2">
        <v>200000</v>
      </c>
      <c r="H13" t="s">
        <v>40</v>
      </c>
    </row>
    <row r="14" spans="1:27" x14ac:dyDescent="0.3">
      <c r="A14" s="1">
        <v>45664</v>
      </c>
      <c r="B14" t="s">
        <v>46</v>
      </c>
      <c r="C14" t="s">
        <v>12</v>
      </c>
      <c r="E14" s="2">
        <f t="shared" si="1"/>
        <v>232619</v>
      </c>
      <c r="F14" s="2">
        <v>3452826</v>
      </c>
    </row>
    <row r="15" spans="1:27" x14ac:dyDescent="0.3">
      <c r="A15" s="1">
        <v>45665</v>
      </c>
      <c r="B15" t="s">
        <v>47</v>
      </c>
      <c r="C15" t="s">
        <v>9</v>
      </c>
      <c r="E15" s="2">
        <f t="shared" si="1"/>
        <v>3685445</v>
      </c>
      <c r="G15" s="2">
        <v>-105251</v>
      </c>
      <c r="H15" t="s">
        <v>79</v>
      </c>
    </row>
    <row r="16" spans="1:27" x14ac:dyDescent="0.3">
      <c r="A16" s="1">
        <v>45665</v>
      </c>
      <c r="B16" t="s">
        <v>48</v>
      </c>
      <c r="C16" t="s">
        <v>12</v>
      </c>
      <c r="E16" s="2">
        <f t="shared" si="1"/>
        <v>3580194</v>
      </c>
      <c r="F16" s="2">
        <v>100000</v>
      </c>
      <c r="H16" t="s">
        <v>51</v>
      </c>
    </row>
    <row r="17" spans="1:8" x14ac:dyDescent="0.3">
      <c r="A17" s="1">
        <v>45665</v>
      </c>
      <c r="B17" t="s">
        <v>43</v>
      </c>
      <c r="C17" t="s">
        <v>12</v>
      </c>
      <c r="E17" s="2">
        <f t="shared" si="1"/>
        <v>3680194</v>
      </c>
      <c r="F17" s="2">
        <v>100000</v>
      </c>
      <c r="H17" t="s">
        <v>51</v>
      </c>
    </row>
    <row r="18" spans="1:8" x14ac:dyDescent="0.3">
      <c r="A18" s="1">
        <v>45665</v>
      </c>
      <c r="B18" t="s">
        <v>49</v>
      </c>
      <c r="C18" t="s">
        <v>12</v>
      </c>
      <c r="E18" s="2">
        <f t="shared" si="1"/>
        <v>3780194</v>
      </c>
      <c r="F18" s="2">
        <v>100000</v>
      </c>
      <c r="H18" t="s">
        <v>51</v>
      </c>
    </row>
    <row r="19" spans="1:8" x14ac:dyDescent="0.3">
      <c r="A19" s="1">
        <v>45665</v>
      </c>
      <c r="B19" t="s">
        <v>50</v>
      </c>
      <c r="C19" t="s">
        <v>12</v>
      </c>
      <c r="E19" s="2">
        <f t="shared" si="1"/>
        <v>3880194</v>
      </c>
      <c r="F19" s="2">
        <v>100000</v>
      </c>
      <c r="H19" t="s">
        <v>51</v>
      </c>
    </row>
    <row r="20" spans="1:8" x14ac:dyDescent="0.3">
      <c r="A20" s="1">
        <v>45665</v>
      </c>
      <c r="B20" t="s">
        <v>52</v>
      </c>
      <c r="C20" t="s">
        <v>16</v>
      </c>
      <c r="E20" s="2">
        <f t="shared" si="1"/>
        <v>3980194</v>
      </c>
      <c r="F20" s="2">
        <v>10000000</v>
      </c>
    </row>
    <row r="21" spans="1:8" x14ac:dyDescent="0.3">
      <c r="A21" s="1">
        <v>45665</v>
      </c>
      <c r="B21" t="s">
        <v>53</v>
      </c>
      <c r="C21" t="s">
        <v>20</v>
      </c>
      <c r="E21" s="2">
        <f t="shared" si="1"/>
        <v>13980194</v>
      </c>
      <c r="G21" s="2">
        <v>-5000000</v>
      </c>
    </row>
    <row r="22" spans="1:8" x14ac:dyDescent="0.3">
      <c r="A22" s="1">
        <v>45665</v>
      </c>
      <c r="B22" t="s">
        <v>54</v>
      </c>
      <c r="C22" t="s">
        <v>20</v>
      </c>
      <c r="E22" s="2">
        <f t="shared" si="1"/>
        <v>8980194</v>
      </c>
      <c r="G22" s="2">
        <v>-5000000</v>
      </c>
    </row>
    <row r="23" spans="1:8" x14ac:dyDescent="0.3">
      <c r="A23" s="1">
        <v>45665</v>
      </c>
      <c r="B23" t="s">
        <v>45</v>
      </c>
      <c r="C23" t="s">
        <v>20</v>
      </c>
      <c r="E23" s="2">
        <f t="shared" si="1"/>
        <v>3980194</v>
      </c>
      <c r="F23" s="2">
        <v>800000</v>
      </c>
      <c r="H23" t="s">
        <v>55</v>
      </c>
    </row>
    <row r="24" spans="1:8" x14ac:dyDescent="0.3">
      <c r="A24" s="1">
        <v>45665</v>
      </c>
      <c r="B24" t="s">
        <v>56</v>
      </c>
      <c r="C24" t="s">
        <v>9</v>
      </c>
      <c r="E24" s="2">
        <f t="shared" si="1"/>
        <v>4780194</v>
      </c>
      <c r="G24" s="2">
        <v>-267300</v>
      </c>
      <c r="H24" t="s">
        <v>161</v>
      </c>
    </row>
    <row r="25" spans="1:8" x14ac:dyDescent="0.3">
      <c r="A25" s="1">
        <v>45665</v>
      </c>
      <c r="B25" t="s">
        <v>39</v>
      </c>
      <c r="C25" t="s">
        <v>13</v>
      </c>
      <c r="E25" s="2">
        <f t="shared" si="1"/>
        <v>4512894</v>
      </c>
      <c r="G25" s="2">
        <v>-400000</v>
      </c>
    </row>
    <row r="26" spans="1:8" x14ac:dyDescent="0.3">
      <c r="A26" s="1">
        <v>45665</v>
      </c>
      <c r="B26" t="s">
        <v>57</v>
      </c>
      <c r="C26" t="s">
        <v>9</v>
      </c>
      <c r="E26" s="2">
        <f t="shared" si="1"/>
        <v>4112894</v>
      </c>
      <c r="G26" s="2">
        <v>-1476083</v>
      </c>
      <c r="H26" t="s">
        <v>80</v>
      </c>
    </row>
    <row r="27" spans="1:8" x14ac:dyDescent="0.3">
      <c r="A27" s="1">
        <v>45666</v>
      </c>
      <c r="B27" t="s">
        <v>58</v>
      </c>
      <c r="C27" t="s">
        <v>9</v>
      </c>
      <c r="E27" s="2">
        <f t="shared" si="1"/>
        <v>2636811</v>
      </c>
      <c r="G27" s="2">
        <v>-172444</v>
      </c>
      <c r="H27" t="s">
        <v>81</v>
      </c>
    </row>
    <row r="28" spans="1:8" x14ac:dyDescent="0.3">
      <c r="A28" s="1">
        <v>45666</v>
      </c>
      <c r="B28" t="s">
        <v>56</v>
      </c>
      <c r="C28" t="s">
        <v>9</v>
      </c>
      <c r="E28" s="2">
        <f t="shared" si="1"/>
        <v>2464367</v>
      </c>
      <c r="G28" s="2">
        <v>-2300</v>
      </c>
    </row>
    <row r="29" spans="1:8" x14ac:dyDescent="0.3">
      <c r="A29" s="1">
        <v>45666</v>
      </c>
      <c r="B29" t="s">
        <v>56</v>
      </c>
      <c r="C29" t="s">
        <v>9</v>
      </c>
      <c r="E29" s="2">
        <f t="shared" si="1"/>
        <v>2462067</v>
      </c>
      <c r="G29" s="2">
        <v>-67429</v>
      </c>
    </row>
    <row r="30" spans="1:8" x14ac:dyDescent="0.3">
      <c r="A30" s="1">
        <v>45667</v>
      </c>
      <c r="B30" t="s">
        <v>59</v>
      </c>
      <c r="C30" t="s">
        <v>9</v>
      </c>
      <c r="D30" t="s">
        <v>26</v>
      </c>
      <c r="E30" s="2">
        <f t="shared" si="1"/>
        <v>2394638</v>
      </c>
      <c r="G30" s="2">
        <v>-10160</v>
      </c>
    </row>
    <row r="31" spans="1:8" x14ac:dyDescent="0.3">
      <c r="A31" s="1">
        <v>45667</v>
      </c>
      <c r="B31" t="s">
        <v>60</v>
      </c>
      <c r="C31" t="s">
        <v>9</v>
      </c>
      <c r="D31" t="s">
        <v>26</v>
      </c>
      <c r="E31" s="2">
        <f t="shared" si="1"/>
        <v>2384478</v>
      </c>
      <c r="G31" s="2">
        <v>-927606</v>
      </c>
    </row>
    <row r="32" spans="1:8" x14ac:dyDescent="0.3">
      <c r="A32" s="1">
        <v>45667</v>
      </c>
      <c r="B32" t="s">
        <v>60</v>
      </c>
      <c r="C32" t="s">
        <v>9</v>
      </c>
      <c r="D32" t="s">
        <v>26</v>
      </c>
      <c r="E32" s="2">
        <f t="shared" si="1"/>
        <v>1456872</v>
      </c>
      <c r="G32" s="2">
        <v>-3371</v>
      </c>
    </row>
    <row r="33" spans="1:8" x14ac:dyDescent="0.3">
      <c r="A33" s="1">
        <v>45667</v>
      </c>
      <c r="B33" t="s">
        <v>56</v>
      </c>
      <c r="C33" t="s">
        <v>9</v>
      </c>
      <c r="E33" s="3">
        <f t="shared" si="1"/>
        <v>1453501</v>
      </c>
      <c r="F33" s="3"/>
      <c r="G33" s="3">
        <v>-261900</v>
      </c>
      <c r="H33" t="s">
        <v>67</v>
      </c>
    </row>
    <row r="34" spans="1:8" x14ac:dyDescent="0.3">
      <c r="A34" s="1">
        <v>45670</v>
      </c>
      <c r="B34" t="s">
        <v>61</v>
      </c>
      <c r="C34" t="s">
        <v>9</v>
      </c>
      <c r="D34" t="s">
        <v>26</v>
      </c>
      <c r="E34" s="2">
        <f t="shared" si="1"/>
        <v>1191601</v>
      </c>
      <c r="G34" s="2">
        <v>-3380</v>
      </c>
    </row>
    <row r="35" spans="1:8" x14ac:dyDescent="0.3">
      <c r="A35" s="1">
        <v>45670</v>
      </c>
      <c r="B35" t="s">
        <v>62</v>
      </c>
      <c r="C35" t="s">
        <v>9</v>
      </c>
      <c r="D35" t="s">
        <v>26</v>
      </c>
      <c r="E35" s="2">
        <f t="shared" si="1"/>
        <v>1188221</v>
      </c>
      <c r="G35" s="2">
        <v>-16000</v>
      </c>
    </row>
    <row r="36" spans="1:8" x14ac:dyDescent="0.3">
      <c r="A36" s="1">
        <v>45670</v>
      </c>
      <c r="B36" t="s">
        <v>63</v>
      </c>
      <c r="C36" t="s">
        <v>12</v>
      </c>
      <c r="E36" s="2">
        <f t="shared" si="1"/>
        <v>1172221</v>
      </c>
      <c r="F36" s="2">
        <v>100000</v>
      </c>
      <c r="H36" t="s">
        <v>51</v>
      </c>
    </row>
    <row r="37" spans="1:8" x14ac:dyDescent="0.3">
      <c r="A37" s="1">
        <v>45671</v>
      </c>
      <c r="B37" t="s">
        <v>64</v>
      </c>
      <c r="C37" t="s">
        <v>12</v>
      </c>
      <c r="E37" s="2">
        <f t="shared" si="1"/>
        <v>1272221</v>
      </c>
      <c r="F37" s="2">
        <v>615024</v>
      </c>
    </row>
    <row r="38" spans="1:8" x14ac:dyDescent="0.3">
      <c r="A38" s="1">
        <v>45672</v>
      </c>
      <c r="B38" t="s">
        <v>65</v>
      </c>
      <c r="C38" t="s">
        <v>9</v>
      </c>
      <c r="E38" s="2">
        <f t="shared" si="1"/>
        <v>1887245</v>
      </c>
      <c r="G38" s="2">
        <v>-5000</v>
      </c>
    </row>
    <row r="39" spans="1:8" x14ac:dyDescent="0.3">
      <c r="A39" s="1">
        <v>45672</v>
      </c>
      <c r="B39" t="s">
        <v>66</v>
      </c>
      <c r="C39" t="s">
        <v>9</v>
      </c>
      <c r="E39" s="2">
        <f t="shared" si="1"/>
        <v>1882245</v>
      </c>
      <c r="G39" s="2">
        <v>-73231</v>
      </c>
    </row>
    <row r="40" spans="1:8" x14ac:dyDescent="0.3">
      <c r="A40" s="1">
        <v>45674</v>
      </c>
      <c r="B40" t="s">
        <v>53</v>
      </c>
      <c r="C40" t="s">
        <v>17</v>
      </c>
      <c r="D40" t="s">
        <v>24</v>
      </c>
      <c r="E40" s="2">
        <f t="shared" si="1"/>
        <v>1809014</v>
      </c>
      <c r="G40" s="2">
        <v>-517250</v>
      </c>
    </row>
    <row r="41" spans="1:8" x14ac:dyDescent="0.3">
      <c r="A41" s="1">
        <v>45674</v>
      </c>
      <c r="B41" t="s">
        <v>54</v>
      </c>
      <c r="C41" t="s">
        <v>17</v>
      </c>
      <c r="D41" t="s">
        <v>23</v>
      </c>
      <c r="E41" s="2">
        <f t="shared" si="1"/>
        <v>1291764</v>
      </c>
      <c r="G41" s="2">
        <v>-517250</v>
      </c>
    </row>
    <row r="42" spans="1:8" x14ac:dyDescent="0.3">
      <c r="A42" s="1">
        <v>45674</v>
      </c>
      <c r="B42" t="s">
        <v>39</v>
      </c>
      <c r="C42" t="s">
        <v>9</v>
      </c>
      <c r="D42" t="s">
        <v>26</v>
      </c>
      <c r="E42" s="2">
        <f t="shared" si="1"/>
        <v>774514</v>
      </c>
      <c r="G42" s="2">
        <v>-66743</v>
      </c>
      <c r="H42" t="s">
        <v>69</v>
      </c>
    </row>
    <row r="43" spans="1:8" x14ac:dyDescent="0.3">
      <c r="A43" s="1">
        <v>45674</v>
      </c>
      <c r="B43" t="s">
        <v>54</v>
      </c>
      <c r="C43" t="s">
        <v>9</v>
      </c>
      <c r="E43" s="2">
        <f t="shared" si="1"/>
        <v>707771</v>
      </c>
      <c r="G43" s="2">
        <v>-20000</v>
      </c>
      <c r="H43" t="s">
        <v>68</v>
      </c>
    </row>
    <row r="44" spans="1:8" x14ac:dyDescent="0.3">
      <c r="A44" s="1">
        <v>45678</v>
      </c>
      <c r="B44" t="s">
        <v>52</v>
      </c>
      <c r="C44" t="s">
        <v>16</v>
      </c>
      <c r="E44" s="2">
        <f t="shared" si="1"/>
        <v>687771</v>
      </c>
      <c r="F44" s="2">
        <v>10000000</v>
      </c>
    </row>
    <row r="45" spans="1:8" x14ac:dyDescent="0.3">
      <c r="A45" s="1">
        <v>45678</v>
      </c>
      <c r="B45" t="s">
        <v>70</v>
      </c>
      <c r="C45" t="s">
        <v>9</v>
      </c>
      <c r="D45" t="s">
        <v>26</v>
      </c>
      <c r="E45" s="2">
        <f t="shared" si="1"/>
        <v>10687771</v>
      </c>
      <c r="G45" s="2">
        <v>-399403</v>
      </c>
      <c r="H45" t="s">
        <v>78</v>
      </c>
    </row>
    <row r="46" spans="1:8" x14ac:dyDescent="0.3">
      <c r="A46" s="1">
        <v>45678</v>
      </c>
      <c r="B46" t="s">
        <v>53</v>
      </c>
      <c r="C46" t="s">
        <v>20</v>
      </c>
      <c r="E46" s="2">
        <f t="shared" si="1"/>
        <v>10288368</v>
      </c>
      <c r="G46" s="2">
        <v>-5000000</v>
      </c>
    </row>
    <row r="47" spans="1:8" x14ac:dyDescent="0.3">
      <c r="A47" s="1">
        <v>45678</v>
      </c>
      <c r="B47" t="s">
        <v>54</v>
      </c>
      <c r="C47" t="s">
        <v>20</v>
      </c>
      <c r="E47" s="2">
        <f t="shared" si="1"/>
        <v>5288368</v>
      </c>
      <c r="G47" s="2">
        <v>-5000000</v>
      </c>
    </row>
    <row r="48" spans="1:8" x14ac:dyDescent="0.3">
      <c r="A48" s="1">
        <v>45679</v>
      </c>
      <c r="B48" t="s">
        <v>71</v>
      </c>
      <c r="C48" t="s">
        <v>9</v>
      </c>
      <c r="E48" s="2">
        <f t="shared" si="1"/>
        <v>288368</v>
      </c>
      <c r="G48" s="2">
        <v>-28950</v>
      </c>
      <c r="H48" t="s">
        <v>77</v>
      </c>
    </row>
    <row r="49" spans="1:8" x14ac:dyDescent="0.3">
      <c r="A49" s="1">
        <v>45679</v>
      </c>
      <c r="B49" t="s">
        <v>72</v>
      </c>
      <c r="C49" t="s">
        <v>12</v>
      </c>
      <c r="D49" t="s">
        <v>26</v>
      </c>
      <c r="E49" s="2">
        <f t="shared" si="1"/>
        <v>259418</v>
      </c>
      <c r="F49" s="2">
        <v>437712</v>
      </c>
    </row>
    <row r="50" spans="1:8" x14ac:dyDescent="0.3">
      <c r="A50" s="1">
        <v>45685</v>
      </c>
      <c r="B50" t="s">
        <v>73</v>
      </c>
      <c r="C50" t="s">
        <v>9</v>
      </c>
      <c r="E50" s="2">
        <f t="shared" si="1"/>
        <v>697130</v>
      </c>
      <c r="G50" s="2">
        <v>-41138</v>
      </c>
      <c r="H50" t="s">
        <v>75</v>
      </c>
    </row>
    <row r="51" spans="1:8" x14ac:dyDescent="0.3">
      <c r="A51" s="1">
        <v>45687</v>
      </c>
      <c r="B51" t="s">
        <v>74</v>
      </c>
      <c r="C51" t="s">
        <v>9</v>
      </c>
      <c r="E51" s="2">
        <f t="shared" si="1"/>
        <v>655992</v>
      </c>
      <c r="G51" s="2">
        <v>-54075</v>
      </c>
      <c r="H51" t="s">
        <v>76</v>
      </c>
    </row>
    <row r="52" spans="1:8" x14ac:dyDescent="0.3">
      <c r="A52" s="1">
        <v>45686</v>
      </c>
      <c r="B52" t="s">
        <v>82</v>
      </c>
      <c r="C52" t="s">
        <v>9</v>
      </c>
      <c r="E52" s="2">
        <f t="shared" si="1"/>
        <v>601917</v>
      </c>
      <c r="G52" s="2">
        <v>-18823</v>
      </c>
    </row>
    <row r="53" spans="1:8" x14ac:dyDescent="0.3">
      <c r="A53" s="1">
        <v>45687</v>
      </c>
      <c r="B53" t="s">
        <v>83</v>
      </c>
      <c r="C53" t="s">
        <v>20</v>
      </c>
      <c r="E53" s="3">
        <f t="shared" si="1"/>
        <v>583094</v>
      </c>
      <c r="F53" s="3">
        <v>25000000</v>
      </c>
      <c r="G53" s="3"/>
    </row>
    <row r="54" spans="1:8" x14ac:dyDescent="0.3">
      <c r="A54" s="1">
        <v>45688</v>
      </c>
      <c r="B54" t="s">
        <v>84</v>
      </c>
      <c r="C54" t="s">
        <v>9</v>
      </c>
      <c r="E54" s="2">
        <f t="shared" si="1"/>
        <v>25583094</v>
      </c>
      <c r="G54" s="2">
        <v>-50809</v>
      </c>
    </row>
    <row r="55" spans="1:8" x14ac:dyDescent="0.3">
      <c r="A55" s="1">
        <v>45691</v>
      </c>
      <c r="B55" t="s">
        <v>53</v>
      </c>
      <c r="C55" t="s">
        <v>20</v>
      </c>
      <c r="E55" s="2">
        <f t="shared" si="1"/>
        <v>25532285</v>
      </c>
      <c r="G55" s="2">
        <v>-6000000</v>
      </c>
    </row>
    <row r="56" spans="1:8" x14ac:dyDescent="0.3">
      <c r="A56" s="1">
        <v>45691</v>
      </c>
      <c r="B56" t="s">
        <v>54</v>
      </c>
      <c r="C56" t="s">
        <v>20</v>
      </c>
      <c r="E56" s="2">
        <f t="shared" si="1"/>
        <v>19532285</v>
      </c>
      <c r="G56" s="2">
        <v>-6000000</v>
      </c>
    </row>
    <row r="57" spans="1:8" x14ac:dyDescent="0.3">
      <c r="A57" s="1">
        <v>45691</v>
      </c>
      <c r="B57" t="s">
        <v>36</v>
      </c>
      <c r="C57" t="s">
        <v>13</v>
      </c>
      <c r="E57" s="2">
        <f t="shared" si="1"/>
        <v>13532285</v>
      </c>
      <c r="G57" s="2">
        <v>-600000</v>
      </c>
    </row>
    <row r="58" spans="1:8" x14ac:dyDescent="0.3">
      <c r="A58" s="1">
        <v>45691</v>
      </c>
      <c r="B58" t="s">
        <v>85</v>
      </c>
      <c r="C58" t="s">
        <v>10</v>
      </c>
      <c r="E58" s="2">
        <f t="shared" si="1"/>
        <v>12932285</v>
      </c>
      <c r="G58" s="2">
        <v>-10000</v>
      </c>
    </row>
    <row r="59" spans="1:8" x14ac:dyDescent="0.3">
      <c r="A59" s="1">
        <v>45691</v>
      </c>
      <c r="B59" t="s">
        <v>38</v>
      </c>
      <c r="C59" t="s">
        <v>19</v>
      </c>
      <c r="E59" s="2">
        <f t="shared" si="1"/>
        <v>12922285</v>
      </c>
      <c r="G59" s="2">
        <v>-1600000</v>
      </c>
    </row>
    <row r="60" spans="1:8" x14ac:dyDescent="0.3">
      <c r="A60" s="1">
        <v>45691</v>
      </c>
      <c r="B60" t="s">
        <v>39</v>
      </c>
      <c r="C60" t="s">
        <v>13</v>
      </c>
      <c r="E60" s="2">
        <f t="shared" si="1"/>
        <v>11322285</v>
      </c>
      <c r="G60" s="2">
        <v>-1000000</v>
      </c>
    </row>
    <row r="61" spans="1:8" x14ac:dyDescent="0.3">
      <c r="A61" s="1">
        <v>45691</v>
      </c>
      <c r="B61" t="s">
        <v>35</v>
      </c>
      <c r="C61" t="s">
        <v>9</v>
      </c>
      <c r="E61" s="2">
        <f t="shared" si="1"/>
        <v>10322285</v>
      </c>
      <c r="G61" s="2">
        <v>-39600</v>
      </c>
    </row>
    <row r="62" spans="1:8" x14ac:dyDescent="0.3">
      <c r="A62" s="1">
        <v>45691</v>
      </c>
      <c r="B62" t="s">
        <v>38</v>
      </c>
      <c r="C62" t="s">
        <v>19</v>
      </c>
      <c r="E62" s="2">
        <f t="shared" si="1"/>
        <v>10282685</v>
      </c>
      <c r="G62" s="2">
        <v>-1100000</v>
      </c>
    </row>
    <row r="63" spans="1:8" x14ac:dyDescent="0.3">
      <c r="A63" s="1">
        <v>45694</v>
      </c>
      <c r="B63" t="s">
        <v>86</v>
      </c>
      <c r="C63" t="s">
        <v>17</v>
      </c>
      <c r="D63" t="s">
        <v>23</v>
      </c>
      <c r="E63" s="2">
        <f t="shared" si="1"/>
        <v>9182685</v>
      </c>
      <c r="G63" s="2">
        <v>-250000</v>
      </c>
    </row>
    <row r="64" spans="1:8" x14ac:dyDescent="0.3">
      <c r="A64" s="1">
        <v>45694</v>
      </c>
      <c r="B64" t="s">
        <v>47</v>
      </c>
      <c r="C64" t="s">
        <v>9</v>
      </c>
      <c r="E64" s="2">
        <f t="shared" si="1"/>
        <v>8932685</v>
      </c>
      <c r="G64" s="2">
        <v>-113843</v>
      </c>
      <c r="H64" t="s">
        <v>87</v>
      </c>
    </row>
    <row r="65" spans="1:8" x14ac:dyDescent="0.3">
      <c r="A65" s="1">
        <v>45695</v>
      </c>
      <c r="B65" t="s">
        <v>46</v>
      </c>
      <c r="C65" t="s">
        <v>12</v>
      </c>
      <c r="E65" s="2">
        <f t="shared" si="1"/>
        <v>8818842</v>
      </c>
      <c r="F65" s="2">
        <v>3458391</v>
      </c>
    </row>
    <row r="66" spans="1:8" x14ac:dyDescent="0.3">
      <c r="A66" s="1">
        <v>45698</v>
      </c>
      <c r="B66" t="s">
        <v>57</v>
      </c>
      <c r="C66" t="s">
        <v>9</v>
      </c>
      <c r="E66" s="2">
        <f t="shared" si="1"/>
        <v>12277233</v>
      </c>
      <c r="G66" s="2">
        <v>-1478462</v>
      </c>
    </row>
    <row r="67" spans="1:8" x14ac:dyDescent="0.3">
      <c r="A67" s="1">
        <v>45700</v>
      </c>
      <c r="B67" t="s">
        <v>88</v>
      </c>
      <c r="C67" t="s">
        <v>16</v>
      </c>
      <c r="E67" s="2">
        <f t="shared" si="1"/>
        <v>10798771</v>
      </c>
      <c r="G67" s="2">
        <v>-9000000</v>
      </c>
    </row>
    <row r="68" spans="1:8" x14ac:dyDescent="0.3">
      <c r="A68" s="1">
        <v>45701</v>
      </c>
      <c r="B68" t="s">
        <v>41</v>
      </c>
      <c r="C68" t="s">
        <v>9</v>
      </c>
      <c r="E68" s="2">
        <f t="shared" si="1"/>
        <v>1798771</v>
      </c>
      <c r="G68" s="2">
        <v>-75000</v>
      </c>
      <c r="H68" t="s">
        <v>42</v>
      </c>
    </row>
    <row r="69" spans="1:8" x14ac:dyDescent="0.3">
      <c r="A69" s="1">
        <v>45705</v>
      </c>
      <c r="B69" t="s">
        <v>49</v>
      </c>
      <c r="C69" t="s">
        <v>12</v>
      </c>
      <c r="E69" s="2">
        <f t="shared" si="1"/>
        <v>1723771</v>
      </c>
      <c r="F69" s="2">
        <v>100000</v>
      </c>
      <c r="H69" t="s">
        <v>51</v>
      </c>
    </row>
    <row r="70" spans="1:8" x14ac:dyDescent="0.3">
      <c r="A70" s="1">
        <v>45705</v>
      </c>
      <c r="B70" t="s">
        <v>50</v>
      </c>
      <c r="C70" t="s">
        <v>12</v>
      </c>
      <c r="E70" s="2">
        <f t="shared" si="1"/>
        <v>1823771</v>
      </c>
      <c r="F70" s="2">
        <v>100000</v>
      </c>
      <c r="H70" t="s">
        <v>51</v>
      </c>
    </row>
    <row r="71" spans="1:8" x14ac:dyDescent="0.3">
      <c r="A71" s="1">
        <v>45705</v>
      </c>
      <c r="B71" t="s">
        <v>63</v>
      </c>
      <c r="C71" t="s">
        <v>12</v>
      </c>
      <c r="E71" s="2">
        <f t="shared" ref="E71:E134" si="2">E70+F70+G70</f>
        <v>1923771</v>
      </c>
      <c r="F71" s="2">
        <v>100000</v>
      </c>
      <c r="H71" t="s">
        <v>51</v>
      </c>
    </row>
    <row r="72" spans="1:8" x14ac:dyDescent="0.3">
      <c r="A72" s="1">
        <v>45705</v>
      </c>
      <c r="B72" t="s">
        <v>48</v>
      </c>
      <c r="C72" t="s">
        <v>12</v>
      </c>
      <c r="E72" s="2">
        <f t="shared" si="2"/>
        <v>2023771</v>
      </c>
      <c r="F72" s="2">
        <v>100000</v>
      </c>
      <c r="H72" t="s">
        <v>51</v>
      </c>
    </row>
    <row r="73" spans="1:8" x14ac:dyDescent="0.3">
      <c r="A73" s="1">
        <v>45705</v>
      </c>
      <c r="B73" t="s">
        <v>43</v>
      </c>
      <c r="C73" t="s">
        <v>12</v>
      </c>
      <c r="E73" s="2">
        <f t="shared" si="2"/>
        <v>2123771</v>
      </c>
      <c r="F73" s="2">
        <v>100000</v>
      </c>
      <c r="H73" t="s">
        <v>51</v>
      </c>
    </row>
    <row r="74" spans="1:8" x14ac:dyDescent="0.3">
      <c r="A74" s="1">
        <v>45706</v>
      </c>
      <c r="B74" t="s">
        <v>44</v>
      </c>
      <c r="C74" t="s">
        <v>14</v>
      </c>
      <c r="E74" s="2">
        <f t="shared" si="2"/>
        <v>2223771</v>
      </c>
      <c r="G74" s="2">
        <v>-744258</v>
      </c>
    </row>
    <row r="75" spans="1:8" x14ac:dyDescent="0.3">
      <c r="A75" s="1">
        <v>45706</v>
      </c>
      <c r="B75" t="s">
        <v>39</v>
      </c>
      <c r="C75" t="s">
        <v>9</v>
      </c>
      <c r="E75" s="2">
        <f t="shared" si="2"/>
        <v>1479513</v>
      </c>
      <c r="G75" s="2">
        <v>-3480</v>
      </c>
    </row>
    <row r="76" spans="1:8" x14ac:dyDescent="0.3">
      <c r="A76" s="1">
        <v>45707</v>
      </c>
      <c r="B76" t="s">
        <v>39</v>
      </c>
      <c r="C76" t="s">
        <v>9</v>
      </c>
      <c r="D76" t="s">
        <v>26</v>
      </c>
      <c r="E76" s="2">
        <f t="shared" si="2"/>
        <v>1476033</v>
      </c>
      <c r="G76" s="2">
        <v>-4320</v>
      </c>
    </row>
    <row r="77" spans="1:8" x14ac:dyDescent="0.3">
      <c r="A77" s="1">
        <v>45707</v>
      </c>
      <c r="B77" t="s">
        <v>39</v>
      </c>
      <c r="C77" t="s">
        <v>9</v>
      </c>
      <c r="D77" t="s">
        <v>26</v>
      </c>
      <c r="E77" s="2">
        <f t="shared" si="2"/>
        <v>1471713</v>
      </c>
      <c r="G77" s="2">
        <v>-9470</v>
      </c>
    </row>
    <row r="78" spans="1:8" x14ac:dyDescent="0.3">
      <c r="A78" s="1">
        <v>45707</v>
      </c>
      <c r="B78" t="s">
        <v>39</v>
      </c>
      <c r="C78" t="s">
        <v>9</v>
      </c>
      <c r="E78" s="2">
        <f t="shared" si="2"/>
        <v>1462243</v>
      </c>
      <c r="G78" s="2">
        <v>-16597</v>
      </c>
    </row>
    <row r="79" spans="1:8" x14ac:dyDescent="0.3">
      <c r="A79" s="1">
        <v>45708</v>
      </c>
      <c r="B79" t="s">
        <v>54</v>
      </c>
      <c r="C79" t="s">
        <v>9</v>
      </c>
      <c r="E79" s="2">
        <f t="shared" si="2"/>
        <v>1445646</v>
      </c>
      <c r="G79" s="2">
        <v>-149990</v>
      </c>
      <c r="H79" t="s">
        <v>100</v>
      </c>
    </row>
    <row r="80" spans="1:8" x14ac:dyDescent="0.3">
      <c r="A80" s="1">
        <v>45709</v>
      </c>
      <c r="B80" t="s">
        <v>89</v>
      </c>
      <c r="C80" t="s">
        <v>9</v>
      </c>
      <c r="E80" s="2">
        <f t="shared" si="2"/>
        <v>1295656</v>
      </c>
      <c r="G80" s="2">
        <v>-68000</v>
      </c>
      <c r="H80" t="s">
        <v>101</v>
      </c>
    </row>
    <row r="81" spans="1:8" x14ac:dyDescent="0.3">
      <c r="A81" s="1">
        <v>45713</v>
      </c>
      <c r="B81" t="s">
        <v>90</v>
      </c>
      <c r="C81" t="s">
        <v>9</v>
      </c>
      <c r="E81" s="2">
        <f t="shared" si="2"/>
        <v>1227656</v>
      </c>
      <c r="G81" s="2">
        <v>-148178</v>
      </c>
    </row>
    <row r="82" spans="1:8" x14ac:dyDescent="0.3">
      <c r="A82" s="1">
        <v>45715</v>
      </c>
      <c r="B82" t="s">
        <v>56</v>
      </c>
      <c r="C82" t="s">
        <v>9</v>
      </c>
      <c r="E82" s="2">
        <f t="shared" si="2"/>
        <v>1079478</v>
      </c>
      <c r="G82" s="2">
        <v>-4600</v>
      </c>
    </row>
    <row r="83" spans="1:8" x14ac:dyDescent="0.3">
      <c r="A83" s="1">
        <v>45714</v>
      </c>
      <c r="B83" t="s">
        <v>82</v>
      </c>
      <c r="C83" t="s">
        <v>9</v>
      </c>
      <c r="E83" s="2">
        <f t="shared" si="2"/>
        <v>1074878</v>
      </c>
      <c r="G83" s="2">
        <v>-18808</v>
      </c>
    </row>
    <row r="84" spans="1:8" x14ac:dyDescent="0.3">
      <c r="A84" s="1">
        <v>45715</v>
      </c>
      <c r="B84" t="s">
        <v>71</v>
      </c>
      <c r="C84" t="s">
        <v>9</v>
      </c>
      <c r="E84" s="2">
        <f t="shared" si="2"/>
        <v>1056070</v>
      </c>
      <c r="G84" s="2">
        <v>-37340</v>
      </c>
    </row>
    <row r="85" spans="1:8" x14ac:dyDescent="0.3">
      <c r="A85" s="1">
        <v>45716</v>
      </c>
      <c r="B85" t="s">
        <v>91</v>
      </c>
      <c r="C85" t="s">
        <v>9</v>
      </c>
      <c r="E85" s="2">
        <f t="shared" si="2"/>
        <v>1018730</v>
      </c>
      <c r="G85" s="2">
        <v>-16000</v>
      </c>
      <c r="H85" t="s">
        <v>102</v>
      </c>
    </row>
    <row r="86" spans="1:8" x14ac:dyDescent="0.3">
      <c r="A86" s="1">
        <v>45719</v>
      </c>
      <c r="B86" t="s">
        <v>35</v>
      </c>
      <c r="C86" t="s">
        <v>9</v>
      </c>
      <c r="E86" s="2">
        <f t="shared" si="2"/>
        <v>1002730</v>
      </c>
      <c r="G86" s="2">
        <v>-39600</v>
      </c>
    </row>
    <row r="87" spans="1:8" x14ac:dyDescent="0.3">
      <c r="A87" s="1">
        <v>45720</v>
      </c>
      <c r="B87" t="s">
        <v>74</v>
      </c>
      <c r="C87" t="s">
        <v>9</v>
      </c>
      <c r="E87" s="2">
        <f t="shared" si="2"/>
        <v>963130</v>
      </c>
      <c r="G87" s="2">
        <v>-66490</v>
      </c>
    </row>
    <row r="88" spans="1:8" x14ac:dyDescent="0.3">
      <c r="A88" s="1">
        <v>45720</v>
      </c>
      <c r="B88" t="s">
        <v>47</v>
      </c>
      <c r="C88" t="s">
        <v>9</v>
      </c>
      <c r="E88" s="2">
        <f t="shared" si="2"/>
        <v>896640</v>
      </c>
      <c r="G88" s="2">
        <v>-131728</v>
      </c>
      <c r="H88" t="s">
        <v>97</v>
      </c>
    </row>
    <row r="89" spans="1:8" x14ac:dyDescent="0.3">
      <c r="A89" s="1">
        <v>45720</v>
      </c>
      <c r="B89" t="s">
        <v>73</v>
      </c>
      <c r="C89" t="s">
        <v>9</v>
      </c>
      <c r="E89" s="2">
        <f t="shared" si="2"/>
        <v>764912</v>
      </c>
      <c r="G89" s="2">
        <v>-82431</v>
      </c>
    </row>
    <row r="90" spans="1:8" x14ac:dyDescent="0.3">
      <c r="A90" s="1">
        <v>45720</v>
      </c>
      <c r="B90" t="s">
        <v>43</v>
      </c>
      <c r="C90" t="s">
        <v>19</v>
      </c>
      <c r="E90" s="2">
        <f t="shared" si="2"/>
        <v>682481</v>
      </c>
      <c r="F90" s="2">
        <v>12000000</v>
      </c>
    </row>
    <row r="91" spans="1:8" x14ac:dyDescent="0.3">
      <c r="A91" s="1">
        <v>45720</v>
      </c>
      <c r="B91" t="s">
        <v>53</v>
      </c>
      <c r="C91" t="s">
        <v>17</v>
      </c>
      <c r="D91" t="s">
        <v>24</v>
      </c>
      <c r="E91" s="2">
        <f t="shared" si="2"/>
        <v>12682481</v>
      </c>
      <c r="G91" s="2">
        <v>-6000000</v>
      </c>
    </row>
    <row r="92" spans="1:8" x14ac:dyDescent="0.3">
      <c r="A92" s="1">
        <v>45720</v>
      </c>
      <c r="B92" t="s">
        <v>54</v>
      </c>
      <c r="C92" t="s">
        <v>17</v>
      </c>
      <c r="D92" t="s">
        <v>23</v>
      </c>
      <c r="E92" s="2">
        <f t="shared" si="2"/>
        <v>6682481</v>
      </c>
      <c r="G92" s="2">
        <v>-6000000</v>
      </c>
    </row>
    <row r="93" spans="1:8" x14ac:dyDescent="0.3">
      <c r="A93" s="1">
        <v>45720</v>
      </c>
      <c r="B93" t="s">
        <v>43</v>
      </c>
      <c r="C93" t="s">
        <v>12</v>
      </c>
      <c r="E93" s="2">
        <f t="shared" si="2"/>
        <v>682481</v>
      </c>
      <c r="F93" s="2">
        <v>100000</v>
      </c>
      <c r="H93" t="s">
        <v>96</v>
      </c>
    </row>
    <row r="94" spans="1:8" x14ac:dyDescent="0.3">
      <c r="A94" s="1">
        <v>45720</v>
      </c>
      <c r="B94" t="s">
        <v>43</v>
      </c>
      <c r="C94" t="s">
        <v>19</v>
      </c>
      <c r="E94" s="2">
        <f t="shared" si="2"/>
        <v>782481</v>
      </c>
      <c r="F94" s="2">
        <v>1600000</v>
      </c>
    </row>
    <row r="95" spans="1:8" x14ac:dyDescent="0.3">
      <c r="A95" s="1">
        <v>45720</v>
      </c>
      <c r="B95" t="s">
        <v>48</v>
      </c>
      <c r="C95" t="s">
        <v>12</v>
      </c>
      <c r="E95" s="2">
        <f t="shared" si="2"/>
        <v>2382481</v>
      </c>
      <c r="F95" s="2">
        <v>100000</v>
      </c>
      <c r="H95" t="s">
        <v>96</v>
      </c>
    </row>
    <row r="96" spans="1:8" x14ac:dyDescent="0.3">
      <c r="A96" s="1">
        <v>45720</v>
      </c>
      <c r="B96" t="s">
        <v>49</v>
      </c>
      <c r="C96" t="s">
        <v>12</v>
      </c>
      <c r="E96" s="2">
        <f t="shared" si="2"/>
        <v>2482481</v>
      </c>
      <c r="F96" s="2">
        <v>100000</v>
      </c>
      <c r="H96" t="s">
        <v>96</v>
      </c>
    </row>
    <row r="97" spans="1:8" x14ac:dyDescent="0.3">
      <c r="A97" s="1">
        <v>45720</v>
      </c>
      <c r="B97" t="s">
        <v>50</v>
      </c>
      <c r="C97" t="s">
        <v>12</v>
      </c>
      <c r="E97" s="2">
        <f t="shared" si="2"/>
        <v>2582481</v>
      </c>
      <c r="F97" s="2">
        <v>100000</v>
      </c>
      <c r="H97" t="s">
        <v>96</v>
      </c>
    </row>
    <row r="98" spans="1:8" x14ac:dyDescent="0.3">
      <c r="A98" s="1">
        <v>45720</v>
      </c>
      <c r="B98" t="s">
        <v>63</v>
      </c>
      <c r="C98" t="s">
        <v>12</v>
      </c>
      <c r="E98" s="2">
        <f t="shared" si="2"/>
        <v>2682481</v>
      </c>
      <c r="F98" s="2">
        <v>100000</v>
      </c>
      <c r="H98" t="s">
        <v>96</v>
      </c>
    </row>
    <row r="99" spans="1:8" x14ac:dyDescent="0.3">
      <c r="A99" s="1">
        <v>45721</v>
      </c>
      <c r="B99" t="s">
        <v>37</v>
      </c>
      <c r="C99" t="s">
        <v>12</v>
      </c>
      <c r="E99" s="2">
        <f t="shared" si="2"/>
        <v>2782481</v>
      </c>
      <c r="F99" s="2">
        <v>2000000</v>
      </c>
    </row>
    <row r="100" spans="1:8" x14ac:dyDescent="0.3">
      <c r="A100" s="1">
        <v>45721</v>
      </c>
      <c r="B100" t="s">
        <v>54</v>
      </c>
      <c r="C100" t="s">
        <v>9</v>
      </c>
      <c r="E100" s="2">
        <f t="shared" si="2"/>
        <v>4782481</v>
      </c>
      <c r="G100" s="2">
        <v>-20000</v>
      </c>
      <c r="H100" t="s">
        <v>103</v>
      </c>
    </row>
    <row r="101" spans="1:8" x14ac:dyDescent="0.3">
      <c r="A101" s="1">
        <v>45721</v>
      </c>
      <c r="B101" t="s">
        <v>98</v>
      </c>
      <c r="C101" t="s">
        <v>9</v>
      </c>
      <c r="E101" s="2">
        <f t="shared" si="2"/>
        <v>4762481</v>
      </c>
      <c r="G101" s="2">
        <v>-77330</v>
      </c>
    </row>
    <row r="102" spans="1:8" x14ac:dyDescent="0.3">
      <c r="A102" s="1">
        <v>45721</v>
      </c>
      <c r="B102" t="s">
        <v>36</v>
      </c>
      <c r="C102" t="s">
        <v>13</v>
      </c>
      <c r="E102" s="2">
        <f t="shared" si="2"/>
        <v>4685151</v>
      </c>
      <c r="G102" s="2">
        <v>-600000</v>
      </c>
      <c r="H102" t="s">
        <v>94</v>
      </c>
    </row>
    <row r="103" spans="1:8" x14ac:dyDescent="0.3">
      <c r="A103" s="1">
        <v>45721</v>
      </c>
      <c r="B103" t="s">
        <v>39</v>
      </c>
      <c r="C103" t="s">
        <v>13</v>
      </c>
      <c r="E103" s="2">
        <f t="shared" si="2"/>
        <v>4085151</v>
      </c>
      <c r="G103" s="2">
        <v>-1000000</v>
      </c>
      <c r="H103" t="s">
        <v>95</v>
      </c>
    </row>
    <row r="104" spans="1:8" x14ac:dyDescent="0.3">
      <c r="A104" s="1">
        <v>45722</v>
      </c>
      <c r="B104" t="s">
        <v>99</v>
      </c>
      <c r="C104" t="s">
        <v>9</v>
      </c>
      <c r="E104" s="2">
        <f t="shared" si="2"/>
        <v>3085151</v>
      </c>
      <c r="G104" s="2">
        <v>-73434</v>
      </c>
    </row>
    <row r="105" spans="1:8" x14ac:dyDescent="0.3">
      <c r="A105" s="1">
        <v>45722</v>
      </c>
      <c r="B105" t="s">
        <v>85</v>
      </c>
      <c r="C105" t="s">
        <v>9</v>
      </c>
      <c r="D105" t="s">
        <v>26</v>
      </c>
      <c r="E105" s="2">
        <f t="shared" si="2"/>
        <v>3011717</v>
      </c>
      <c r="G105" s="2">
        <v>-5000</v>
      </c>
      <c r="H105" t="s">
        <v>93</v>
      </c>
    </row>
    <row r="106" spans="1:8" x14ac:dyDescent="0.3">
      <c r="A106" s="1">
        <v>45722</v>
      </c>
      <c r="B106" t="s">
        <v>44</v>
      </c>
      <c r="C106" t="s">
        <v>14</v>
      </c>
      <c r="E106" s="2">
        <f t="shared" si="2"/>
        <v>3006717</v>
      </c>
      <c r="G106" s="2">
        <v>-241174</v>
      </c>
      <c r="H106" t="s">
        <v>92</v>
      </c>
    </row>
    <row r="107" spans="1:8" x14ac:dyDescent="0.3">
      <c r="A107" s="1">
        <v>45722</v>
      </c>
      <c r="B107" t="s">
        <v>44</v>
      </c>
      <c r="C107" t="s">
        <v>14</v>
      </c>
      <c r="E107" s="2">
        <f t="shared" si="2"/>
        <v>2765543</v>
      </c>
      <c r="G107" s="2">
        <v>-168103</v>
      </c>
      <c r="H107" t="s">
        <v>92</v>
      </c>
    </row>
    <row r="108" spans="1:8" x14ac:dyDescent="0.3">
      <c r="A108" s="1">
        <v>45723</v>
      </c>
      <c r="B108" t="s">
        <v>104</v>
      </c>
      <c r="C108" t="s">
        <v>9</v>
      </c>
      <c r="E108" s="2">
        <f t="shared" si="2"/>
        <v>2597440</v>
      </c>
      <c r="F108" s="2">
        <v>2898</v>
      </c>
    </row>
    <row r="109" spans="1:8" x14ac:dyDescent="0.3">
      <c r="A109" s="1">
        <v>45726</v>
      </c>
      <c r="B109" t="s">
        <v>105</v>
      </c>
      <c r="C109" t="s">
        <v>9</v>
      </c>
      <c r="E109" s="2">
        <f t="shared" si="2"/>
        <v>2600338</v>
      </c>
      <c r="G109" s="2">
        <v>-1890</v>
      </c>
    </row>
    <row r="110" spans="1:8" x14ac:dyDescent="0.3">
      <c r="A110" s="1">
        <v>45730</v>
      </c>
      <c r="B110" t="s">
        <v>41</v>
      </c>
      <c r="C110" t="s">
        <v>9</v>
      </c>
      <c r="E110" s="2">
        <f t="shared" si="2"/>
        <v>2598448</v>
      </c>
      <c r="G110" s="2">
        <v>-100000</v>
      </c>
      <c r="H110" t="s">
        <v>42</v>
      </c>
    </row>
    <row r="111" spans="1:8" x14ac:dyDescent="0.3">
      <c r="A111" s="1">
        <v>45730</v>
      </c>
      <c r="B111" t="s">
        <v>44</v>
      </c>
      <c r="C111" t="s">
        <v>14</v>
      </c>
      <c r="E111" s="2">
        <f t="shared" si="2"/>
        <v>2498448</v>
      </c>
      <c r="G111" s="2">
        <v>-527046</v>
      </c>
    </row>
    <row r="112" spans="1:8" x14ac:dyDescent="0.3">
      <c r="A112" s="1">
        <v>45735</v>
      </c>
      <c r="B112" t="s">
        <v>71</v>
      </c>
      <c r="C112" t="s">
        <v>9</v>
      </c>
      <c r="E112" s="2">
        <f t="shared" si="2"/>
        <v>1971402</v>
      </c>
      <c r="G112" s="2">
        <v>-38940</v>
      </c>
    </row>
    <row r="113" spans="1:8" x14ac:dyDescent="0.3">
      <c r="A113" s="1">
        <v>45736</v>
      </c>
      <c r="B113" t="s">
        <v>39</v>
      </c>
      <c r="C113" t="s">
        <v>9</v>
      </c>
      <c r="E113" s="2">
        <f t="shared" si="2"/>
        <v>1932462</v>
      </c>
      <c r="G113" s="2">
        <v>-10000</v>
      </c>
    </row>
    <row r="114" spans="1:8" x14ac:dyDescent="0.3">
      <c r="A114" s="1">
        <v>45736</v>
      </c>
      <c r="B114" t="s">
        <v>39</v>
      </c>
      <c r="C114" t="s">
        <v>9</v>
      </c>
      <c r="E114" s="2">
        <f t="shared" si="2"/>
        <v>1922462</v>
      </c>
      <c r="G114" s="2">
        <v>-2190</v>
      </c>
    </row>
    <row r="115" spans="1:8" x14ac:dyDescent="0.3">
      <c r="A115" s="1">
        <v>45736</v>
      </c>
      <c r="B115" t="s">
        <v>48</v>
      </c>
      <c r="C115" t="s">
        <v>115</v>
      </c>
      <c r="E115" s="2">
        <f t="shared" si="2"/>
        <v>1920272</v>
      </c>
      <c r="F115" s="2">
        <v>35280000</v>
      </c>
      <c r="H115" t="s">
        <v>281</v>
      </c>
    </row>
    <row r="116" spans="1:8" x14ac:dyDescent="0.3">
      <c r="A116" s="1">
        <v>45736</v>
      </c>
      <c r="B116" t="s">
        <v>48</v>
      </c>
      <c r="C116" t="s">
        <v>20</v>
      </c>
      <c r="D116" t="s">
        <v>21</v>
      </c>
      <c r="E116" s="2">
        <f t="shared" si="2"/>
        <v>37200272</v>
      </c>
      <c r="F116" s="2">
        <v>35000000</v>
      </c>
    </row>
    <row r="117" spans="1:8" x14ac:dyDescent="0.3">
      <c r="A117" s="1">
        <v>45736</v>
      </c>
      <c r="B117" t="s">
        <v>106</v>
      </c>
      <c r="C117" t="s">
        <v>20</v>
      </c>
      <c r="D117" t="s">
        <v>120</v>
      </c>
      <c r="E117" s="2">
        <f t="shared" si="2"/>
        <v>72200272</v>
      </c>
      <c r="G117" s="2">
        <v>-35000000</v>
      </c>
    </row>
    <row r="118" spans="1:8" x14ac:dyDescent="0.3">
      <c r="A118" s="1">
        <v>45736</v>
      </c>
      <c r="B118" t="s">
        <v>88</v>
      </c>
      <c r="C118" t="s">
        <v>16</v>
      </c>
      <c r="E118" s="2">
        <f t="shared" si="2"/>
        <v>37200272</v>
      </c>
      <c r="G118" s="2">
        <v>-35000000</v>
      </c>
    </row>
    <row r="119" spans="1:8" x14ac:dyDescent="0.3">
      <c r="A119" s="1">
        <v>45740</v>
      </c>
      <c r="B119" t="s">
        <v>46</v>
      </c>
      <c r="C119" t="s">
        <v>12</v>
      </c>
      <c r="E119" s="2">
        <f t="shared" si="2"/>
        <v>2200272</v>
      </c>
      <c r="F119" s="2">
        <v>3474240</v>
      </c>
    </row>
    <row r="120" spans="1:8" x14ac:dyDescent="0.3">
      <c r="A120" s="1">
        <v>45741</v>
      </c>
      <c r="B120" t="s">
        <v>57</v>
      </c>
      <c r="C120" t="s">
        <v>9</v>
      </c>
      <c r="E120" s="2">
        <f t="shared" si="2"/>
        <v>5674512</v>
      </c>
      <c r="G120" s="2">
        <v>-1485238</v>
      </c>
    </row>
    <row r="121" spans="1:8" x14ac:dyDescent="0.3">
      <c r="A121" s="1">
        <v>45743</v>
      </c>
      <c r="B121" t="s">
        <v>85</v>
      </c>
      <c r="C121" t="s">
        <v>10</v>
      </c>
      <c r="E121" s="2">
        <f t="shared" si="2"/>
        <v>4189274</v>
      </c>
      <c r="G121" s="2">
        <v>-90000</v>
      </c>
    </row>
    <row r="122" spans="1:8" x14ac:dyDescent="0.3">
      <c r="A122" s="1">
        <v>45743</v>
      </c>
      <c r="B122" t="s">
        <v>107</v>
      </c>
      <c r="C122" t="s">
        <v>9</v>
      </c>
      <c r="D122" t="s">
        <v>26</v>
      </c>
      <c r="E122" s="2">
        <f t="shared" si="2"/>
        <v>4099274</v>
      </c>
      <c r="G122" s="2">
        <v>-125000</v>
      </c>
    </row>
    <row r="123" spans="1:8" x14ac:dyDescent="0.3">
      <c r="A123" s="1">
        <v>45743</v>
      </c>
      <c r="B123" t="s">
        <v>73</v>
      </c>
      <c r="C123" t="s">
        <v>9</v>
      </c>
      <c r="E123" s="2">
        <f t="shared" si="2"/>
        <v>3974274</v>
      </c>
      <c r="G123" s="2">
        <v>-41629</v>
      </c>
    </row>
    <row r="124" spans="1:8" x14ac:dyDescent="0.3">
      <c r="A124" s="1">
        <v>45743</v>
      </c>
      <c r="B124" t="s">
        <v>82</v>
      </c>
      <c r="C124" t="s">
        <v>9</v>
      </c>
      <c r="E124" s="2">
        <f t="shared" si="2"/>
        <v>3932645</v>
      </c>
      <c r="G124" s="2">
        <v>-18937</v>
      </c>
    </row>
    <row r="125" spans="1:8" x14ac:dyDescent="0.3">
      <c r="A125" s="1">
        <v>45744</v>
      </c>
      <c r="B125" t="s">
        <v>47</v>
      </c>
      <c r="C125" t="s">
        <v>9</v>
      </c>
      <c r="E125" s="2">
        <f t="shared" si="2"/>
        <v>3913708</v>
      </c>
      <c r="G125" s="2">
        <v>-121174</v>
      </c>
      <c r="H125" t="s">
        <v>113</v>
      </c>
    </row>
    <row r="126" spans="1:8" x14ac:dyDescent="0.3">
      <c r="A126" s="1">
        <v>45747</v>
      </c>
      <c r="B126" t="s">
        <v>74</v>
      </c>
      <c r="C126" t="s">
        <v>9</v>
      </c>
      <c r="E126" s="2">
        <f t="shared" si="2"/>
        <v>3792534</v>
      </c>
      <c r="G126" s="2">
        <v>-80972</v>
      </c>
    </row>
    <row r="127" spans="1:8" x14ac:dyDescent="0.3">
      <c r="A127" s="1">
        <v>45747</v>
      </c>
      <c r="B127" t="s">
        <v>108</v>
      </c>
      <c r="C127" t="s">
        <v>10</v>
      </c>
      <c r="E127" s="2">
        <f t="shared" si="2"/>
        <v>3711562</v>
      </c>
      <c r="G127" s="2">
        <v>-20000</v>
      </c>
    </row>
    <row r="128" spans="1:8" x14ac:dyDescent="0.3">
      <c r="A128" s="1">
        <v>45748</v>
      </c>
      <c r="B128" t="s">
        <v>109</v>
      </c>
      <c r="C128" t="s">
        <v>9</v>
      </c>
      <c r="D128" t="s">
        <v>26</v>
      </c>
      <c r="E128" s="2">
        <f t="shared" si="2"/>
        <v>3691562</v>
      </c>
      <c r="G128" s="2">
        <v>-53600</v>
      </c>
      <c r="H128" t="s">
        <v>131</v>
      </c>
    </row>
    <row r="129" spans="1:8" x14ac:dyDescent="0.3">
      <c r="A129" s="1">
        <v>45748</v>
      </c>
      <c r="B129" t="s">
        <v>35</v>
      </c>
      <c r="C129" t="s">
        <v>9</v>
      </c>
      <c r="E129" s="2">
        <f t="shared" si="2"/>
        <v>3637962</v>
      </c>
      <c r="G129" s="2">
        <v>-39600</v>
      </c>
    </row>
    <row r="130" spans="1:8" x14ac:dyDescent="0.3">
      <c r="A130" s="1">
        <v>45748</v>
      </c>
      <c r="B130" t="s">
        <v>110</v>
      </c>
      <c r="C130" t="s">
        <v>12</v>
      </c>
      <c r="E130" s="2">
        <f t="shared" si="2"/>
        <v>3598362</v>
      </c>
      <c r="F130" s="2">
        <v>733106</v>
      </c>
    </row>
    <row r="131" spans="1:8" x14ac:dyDescent="0.3">
      <c r="A131" s="1">
        <v>45748</v>
      </c>
      <c r="B131" t="s">
        <v>38</v>
      </c>
      <c r="C131" t="s">
        <v>19</v>
      </c>
      <c r="E131" s="2">
        <f t="shared" si="2"/>
        <v>4331468</v>
      </c>
      <c r="G131" s="2">
        <v>-1000000</v>
      </c>
    </row>
    <row r="132" spans="1:8" x14ac:dyDescent="0.3">
      <c r="A132" s="1">
        <v>45748</v>
      </c>
      <c r="B132" t="s">
        <v>36</v>
      </c>
      <c r="C132" t="s">
        <v>13</v>
      </c>
      <c r="E132" s="2">
        <f t="shared" si="2"/>
        <v>3331468</v>
      </c>
      <c r="G132" s="2">
        <v>-600000</v>
      </c>
    </row>
    <row r="133" spans="1:8" x14ac:dyDescent="0.3">
      <c r="A133" s="1">
        <v>45748</v>
      </c>
      <c r="B133" t="s">
        <v>39</v>
      </c>
      <c r="C133" t="s">
        <v>13</v>
      </c>
      <c r="E133" s="2">
        <f t="shared" si="2"/>
        <v>2731468</v>
      </c>
      <c r="G133" s="2">
        <v>-1000000</v>
      </c>
    </row>
    <row r="134" spans="1:8" x14ac:dyDescent="0.3">
      <c r="A134" s="1">
        <v>45748</v>
      </c>
      <c r="B134" t="s">
        <v>111</v>
      </c>
      <c r="C134" t="s">
        <v>9</v>
      </c>
      <c r="E134" s="2">
        <f t="shared" si="2"/>
        <v>1731468</v>
      </c>
      <c r="G134" s="2">
        <v>-1000</v>
      </c>
      <c r="H134" t="s">
        <v>112</v>
      </c>
    </row>
    <row r="135" spans="1:8" x14ac:dyDescent="0.3">
      <c r="A135" s="1">
        <v>45748</v>
      </c>
      <c r="B135" t="s">
        <v>43</v>
      </c>
      <c r="C135" t="s">
        <v>12</v>
      </c>
      <c r="E135" s="2">
        <f t="shared" ref="E135:E198" si="3">E134+F134+G134</f>
        <v>1730468</v>
      </c>
      <c r="F135" s="2">
        <v>100000</v>
      </c>
    </row>
    <row r="136" spans="1:8" x14ac:dyDescent="0.3">
      <c r="A136" s="1">
        <v>45748</v>
      </c>
      <c r="B136" t="s">
        <v>48</v>
      </c>
      <c r="C136" t="s">
        <v>12</v>
      </c>
      <c r="E136" s="2">
        <f t="shared" si="3"/>
        <v>1830468</v>
      </c>
      <c r="F136" s="2">
        <v>100000</v>
      </c>
    </row>
    <row r="137" spans="1:8" x14ac:dyDescent="0.3">
      <c r="A137" s="1">
        <v>45748</v>
      </c>
      <c r="B137" t="s">
        <v>63</v>
      </c>
      <c r="C137" t="s">
        <v>12</v>
      </c>
      <c r="E137" s="2">
        <f t="shared" si="3"/>
        <v>1930468</v>
      </c>
      <c r="F137" s="2">
        <v>100000</v>
      </c>
    </row>
    <row r="138" spans="1:8" x14ac:dyDescent="0.3">
      <c r="A138" s="1">
        <v>45748</v>
      </c>
      <c r="B138" t="s">
        <v>50</v>
      </c>
      <c r="C138" t="s">
        <v>12</v>
      </c>
      <c r="E138" s="2">
        <f t="shared" si="3"/>
        <v>2030468</v>
      </c>
      <c r="F138" s="2">
        <v>100000</v>
      </c>
    </row>
    <row r="139" spans="1:8" x14ac:dyDescent="0.3">
      <c r="A139" s="1">
        <v>45748</v>
      </c>
      <c r="B139" t="s">
        <v>49</v>
      </c>
      <c r="C139" t="s">
        <v>12</v>
      </c>
      <c r="E139" s="2">
        <f t="shared" si="3"/>
        <v>2130468</v>
      </c>
      <c r="F139" s="2">
        <v>100000</v>
      </c>
    </row>
    <row r="140" spans="1:8" x14ac:dyDescent="0.3">
      <c r="A140" s="1">
        <v>45749</v>
      </c>
      <c r="B140" t="s">
        <v>52</v>
      </c>
      <c r="C140" t="s">
        <v>16</v>
      </c>
      <c r="E140" s="2">
        <f t="shared" si="3"/>
        <v>2230468</v>
      </c>
      <c r="F140" s="2">
        <v>22000000</v>
      </c>
    </row>
    <row r="141" spans="1:8" x14ac:dyDescent="0.3">
      <c r="A141" s="1">
        <v>45749</v>
      </c>
      <c r="B141" t="s">
        <v>38</v>
      </c>
      <c r="C141" t="s">
        <v>19</v>
      </c>
      <c r="E141" s="2">
        <f t="shared" si="3"/>
        <v>24230468</v>
      </c>
      <c r="G141" s="2">
        <v>-24000000</v>
      </c>
    </row>
    <row r="142" spans="1:8" x14ac:dyDescent="0.3">
      <c r="A142" s="1">
        <v>45749</v>
      </c>
      <c r="B142" t="s">
        <v>37</v>
      </c>
      <c r="C142" t="s">
        <v>12</v>
      </c>
      <c r="E142" s="2">
        <f t="shared" si="3"/>
        <v>230468</v>
      </c>
      <c r="F142" s="2">
        <v>1500000</v>
      </c>
    </row>
    <row r="143" spans="1:8" x14ac:dyDescent="0.3">
      <c r="A143" s="1">
        <v>45749</v>
      </c>
      <c r="B143" t="s">
        <v>111</v>
      </c>
      <c r="C143" t="s">
        <v>9</v>
      </c>
      <c r="E143" s="2">
        <f t="shared" si="3"/>
        <v>1730468</v>
      </c>
      <c r="G143" s="2">
        <v>-1088312</v>
      </c>
      <c r="H143" t="s">
        <v>112</v>
      </c>
    </row>
    <row r="144" spans="1:8" x14ac:dyDescent="0.3">
      <c r="A144" s="1">
        <v>45749</v>
      </c>
      <c r="B144" t="s">
        <v>41</v>
      </c>
      <c r="C144" t="s">
        <v>9</v>
      </c>
      <c r="E144" s="2">
        <f t="shared" si="3"/>
        <v>642156</v>
      </c>
      <c r="G144" s="2">
        <v>-75000</v>
      </c>
      <c r="H144" t="s">
        <v>114</v>
      </c>
    </row>
    <row r="145" spans="1:8" x14ac:dyDescent="0.3">
      <c r="A145" s="1">
        <v>45749</v>
      </c>
      <c r="B145" t="s">
        <v>63</v>
      </c>
      <c r="C145" t="s">
        <v>12</v>
      </c>
      <c r="E145" s="2">
        <f t="shared" si="3"/>
        <v>567156</v>
      </c>
      <c r="F145" s="2">
        <v>4000000</v>
      </c>
    </row>
    <row r="146" spans="1:8" x14ac:dyDescent="0.3">
      <c r="A146" s="1">
        <v>45750</v>
      </c>
      <c r="B146" t="s">
        <v>88</v>
      </c>
      <c r="C146" t="s">
        <v>16</v>
      </c>
      <c r="E146" s="2">
        <f t="shared" si="3"/>
        <v>4567156</v>
      </c>
      <c r="G146" s="2">
        <v>-4000000</v>
      </c>
    </row>
    <row r="147" spans="1:8" x14ac:dyDescent="0.3">
      <c r="A147" s="1">
        <v>45751</v>
      </c>
      <c r="B147" t="s">
        <v>70</v>
      </c>
      <c r="C147" t="s">
        <v>9</v>
      </c>
      <c r="D147" t="s">
        <v>26</v>
      </c>
      <c r="E147" s="2">
        <f t="shared" si="3"/>
        <v>567156</v>
      </c>
      <c r="G147" s="2">
        <v>-150000</v>
      </c>
    </row>
    <row r="148" spans="1:8" x14ac:dyDescent="0.3">
      <c r="A148" s="1">
        <v>45754</v>
      </c>
      <c r="B148" t="s">
        <v>71</v>
      </c>
      <c r="C148" t="s">
        <v>9</v>
      </c>
      <c r="E148" s="2">
        <f t="shared" si="3"/>
        <v>417156</v>
      </c>
      <c r="G148" s="2">
        <v>-31360</v>
      </c>
    </row>
    <row r="149" spans="1:8" x14ac:dyDescent="0.3">
      <c r="A149" s="1">
        <v>45755</v>
      </c>
      <c r="B149" t="s">
        <v>121</v>
      </c>
      <c r="C149" t="s">
        <v>9</v>
      </c>
      <c r="E149" s="2">
        <f t="shared" si="3"/>
        <v>385796</v>
      </c>
      <c r="G149" s="2">
        <v>-35200</v>
      </c>
    </row>
    <row r="150" spans="1:8" x14ac:dyDescent="0.3">
      <c r="A150" s="1">
        <v>45756</v>
      </c>
      <c r="B150" t="s">
        <v>56</v>
      </c>
      <c r="C150" t="s">
        <v>9</v>
      </c>
      <c r="D150" t="s">
        <v>26</v>
      </c>
      <c r="E150" s="2">
        <f t="shared" si="3"/>
        <v>350596</v>
      </c>
      <c r="G150" s="2">
        <v>-58430</v>
      </c>
      <c r="H150" t="s">
        <v>123</v>
      </c>
    </row>
    <row r="151" spans="1:8" x14ac:dyDescent="0.3">
      <c r="A151" s="1">
        <v>45756</v>
      </c>
      <c r="B151" t="s">
        <v>56</v>
      </c>
      <c r="C151" t="s">
        <v>14</v>
      </c>
      <c r="E151" s="2">
        <f t="shared" si="3"/>
        <v>292166</v>
      </c>
      <c r="G151" s="2">
        <v>-209775</v>
      </c>
    </row>
    <row r="152" spans="1:8" x14ac:dyDescent="0.3">
      <c r="A152" s="1">
        <v>45756</v>
      </c>
      <c r="B152" t="s">
        <v>39</v>
      </c>
      <c r="C152" t="s">
        <v>9</v>
      </c>
      <c r="E152" s="2">
        <f t="shared" si="3"/>
        <v>82391</v>
      </c>
      <c r="G152" s="2">
        <v>-9990</v>
      </c>
    </row>
    <row r="153" spans="1:8" x14ac:dyDescent="0.3">
      <c r="A153" s="1">
        <v>45758</v>
      </c>
      <c r="B153" t="s">
        <v>105</v>
      </c>
      <c r="C153" t="s">
        <v>9</v>
      </c>
      <c r="E153" s="2">
        <f t="shared" si="3"/>
        <v>72401</v>
      </c>
      <c r="G153" s="2">
        <v>-5140</v>
      </c>
    </row>
    <row r="154" spans="1:8" x14ac:dyDescent="0.3">
      <c r="A154" s="1">
        <v>45758</v>
      </c>
      <c r="B154" t="s">
        <v>122</v>
      </c>
      <c r="C154" t="s">
        <v>16</v>
      </c>
      <c r="E154" s="2">
        <f t="shared" si="3"/>
        <v>67261</v>
      </c>
      <c r="F154" s="2">
        <v>1550472</v>
      </c>
      <c r="H154" t="s">
        <v>162</v>
      </c>
    </row>
    <row r="155" spans="1:8" x14ac:dyDescent="0.3">
      <c r="A155" s="1">
        <v>45758</v>
      </c>
      <c r="B155" t="s">
        <v>44</v>
      </c>
      <c r="C155" t="s">
        <v>14</v>
      </c>
      <c r="E155" s="2">
        <f t="shared" si="3"/>
        <v>1617733</v>
      </c>
      <c r="G155" s="2">
        <v>-586076</v>
      </c>
    </row>
    <row r="156" spans="1:8" x14ac:dyDescent="0.3">
      <c r="A156" s="1">
        <v>45762</v>
      </c>
      <c r="B156" t="s">
        <v>53</v>
      </c>
      <c r="C156" t="s">
        <v>9</v>
      </c>
      <c r="E156" s="2">
        <f t="shared" si="3"/>
        <v>1031657</v>
      </c>
      <c r="G156" s="2">
        <v>-87200</v>
      </c>
      <c r="H156" t="s">
        <v>132</v>
      </c>
    </row>
    <row r="157" spans="1:8" x14ac:dyDescent="0.3">
      <c r="A157" s="1">
        <v>45762</v>
      </c>
      <c r="B157" t="s">
        <v>54</v>
      </c>
      <c r="C157" t="s">
        <v>9</v>
      </c>
      <c r="E157" s="2">
        <f t="shared" si="3"/>
        <v>944457</v>
      </c>
      <c r="G157" s="2">
        <v>-20000</v>
      </c>
      <c r="H157" t="s">
        <v>133</v>
      </c>
    </row>
    <row r="158" spans="1:8" x14ac:dyDescent="0.3">
      <c r="A158" s="1">
        <v>45762</v>
      </c>
      <c r="B158" t="s">
        <v>124</v>
      </c>
      <c r="C158" t="s">
        <v>12</v>
      </c>
      <c r="E158" s="2">
        <f t="shared" si="3"/>
        <v>924457</v>
      </c>
      <c r="F158" s="2">
        <v>2922870</v>
      </c>
      <c r="H158" t="s">
        <v>168</v>
      </c>
    </row>
    <row r="159" spans="1:8" x14ac:dyDescent="0.3">
      <c r="A159" s="1">
        <v>45763</v>
      </c>
      <c r="B159" t="s">
        <v>88</v>
      </c>
      <c r="C159" t="s">
        <v>16</v>
      </c>
      <c r="E159" s="2">
        <f t="shared" si="3"/>
        <v>3847327</v>
      </c>
      <c r="G159" s="2">
        <v>-3200000</v>
      </c>
    </row>
    <row r="160" spans="1:8" x14ac:dyDescent="0.3">
      <c r="A160" s="1">
        <v>45770</v>
      </c>
      <c r="B160" t="s">
        <v>86</v>
      </c>
      <c r="C160" t="s">
        <v>17</v>
      </c>
      <c r="D160" t="s">
        <v>24</v>
      </c>
      <c r="E160" s="2">
        <f t="shared" si="3"/>
        <v>647327</v>
      </c>
      <c r="G160" s="2">
        <v>-255000</v>
      </c>
      <c r="H160" t="s">
        <v>134</v>
      </c>
    </row>
    <row r="161" spans="1:8" x14ac:dyDescent="0.3">
      <c r="A161" s="1">
        <v>45770</v>
      </c>
      <c r="B161" t="s">
        <v>47</v>
      </c>
      <c r="C161" t="s">
        <v>9</v>
      </c>
      <c r="E161" s="2">
        <f t="shared" si="3"/>
        <v>392327</v>
      </c>
      <c r="G161" s="2">
        <v>-143306</v>
      </c>
      <c r="H161" t="s">
        <v>113</v>
      </c>
    </row>
    <row r="162" spans="1:8" x14ac:dyDescent="0.3">
      <c r="A162" s="1">
        <v>45771</v>
      </c>
      <c r="B162" t="s">
        <v>43</v>
      </c>
      <c r="C162" t="s">
        <v>19</v>
      </c>
      <c r="E162" s="2">
        <f t="shared" si="3"/>
        <v>249021</v>
      </c>
      <c r="F162" s="2">
        <v>200000</v>
      </c>
    </row>
    <row r="163" spans="1:8" x14ac:dyDescent="0.3">
      <c r="A163" s="1">
        <v>45771</v>
      </c>
      <c r="B163" t="s">
        <v>125</v>
      </c>
      <c r="C163" t="s">
        <v>9</v>
      </c>
      <c r="D163" t="s">
        <v>26</v>
      </c>
      <c r="E163" s="2">
        <f t="shared" si="3"/>
        <v>449021</v>
      </c>
      <c r="G163" s="2">
        <v>-297500</v>
      </c>
      <c r="H163" t="s">
        <v>135</v>
      </c>
    </row>
    <row r="164" spans="1:8" x14ac:dyDescent="0.3">
      <c r="A164" s="1">
        <v>45775</v>
      </c>
      <c r="B164" t="s">
        <v>126</v>
      </c>
      <c r="C164" t="s">
        <v>9</v>
      </c>
      <c r="E164" s="2">
        <f t="shared" si="3"/>
        <v>151521</v>
      </c>
      <c r="G164" s="2">
        <v>-8985</v>
      </c>
      <c r="H164" t="s">
        <v>127</v>
      </c>
    </row>
    <row r="165" spans="1:8" x14ac:dyDescent="0.3">
      <c r="A165" s="1">
        <v>45775</v>
      </c>
      <c r="B165" t="s">
        <v>71</v>
      </c>
      <c r="C165" t="s">
        <v>9</v>
      </c>
      <c r="E165" s="2">
        <f t="shared" si="3"/>
        <v>142536</v>
      </c>
      <c r="G165" s="2">
        <v>-37340</v>
      </c>
    </row>
    <row r="166" spans="1:8" x14ac:dyDescent="0.3">
      <c r="A166" s="1">
        <v>45776</v>
      </c>
      <c r="B166" t="s">
        <v>53</v>
      </c>
      <c r="C166" t="s">
        <v>9</v>
      </c>
      <c r="E166" s="2">
        <f t="shared" si="3"/>
        <v>105196</v>
      </c>
      <c r="G166" s="2">
        <v>-22500</v>
      </c>
    </row>
    <row r="167" spans="1:8" x14ac:dyDescent="0.3">
      <c r="A167" s="1">
        <v>45776</v>
      </c>
      <c r="B167" t="s">
        <v>54</v>
      </c>
      <c r="C167" t="s">
        <v>9</v>
      </c>
      <c r="E167" s="2">
        <f t="shared" si="3"/>
        <v>82696</v>
      </c>
      <c r="G167" s="2">
        <v>-22500</v>
      </c>
    </row>
    <row r="168" spans="1:8" x14ac:dyDescent="0.3">
      <c r="A168" s="1">
        <v>45775</v>
      </c>
      <c r="B168" t="s">
        <v>82</v>
      </c>
      <c r="C168" t="s">
        <v>9</v>
      </c>
      <c r="E168" s="2">
        <f t="shared" si="3"/>
        <v>60196</v>
      </c>
      <c r="G168" s="2">
        <v>-19058</v>
      </c>
    </row>
    <row r="169" spans="1:8" x14ac:dyDescent="0.3">
      <c r="A169" s="1">
        <v>45776</v>
      </c>
      <c r="B169" t="s">
        <v>52</v>
      </c>
      <c r="C169" t="s">
        <v>16</v>
      </c>
      <c r="E169" s="2">
        <f t="shared" si="3"/>
        <v>41138</v>
      </c>
      <c r="F169" s="2">
        <v>16000000</v>
      </c>
    </row>
    <row r="170" spans="1:8" x14ac:dyDescent="0.3">
      <c r="A170" s="1">
        <v>45779</v>
      </c>
      <c r="B170" t="s">
        <v>44</v>
      </c>
      <c r="C170" t="s">
        <v>14</v>
      </c>
      <c r="E170" s="2">
        <f t="shared" si="3"/>
        <v>16041138</v>
      </c>
      <c r="G170" s="2">
        <v>-15263618</v>
      </c>
    </row>
    <row r="171" spans="1:8" x14ac:dyDescent="0.3">
      <c r="A171" s="1">
        <v>45779</v>
      </c>
      <c r="B171" t="s">
        <v>35</v>
      </c>
      <c r="C171" t="s">
        <v>9</v>
      </c>
      <c r="E171" s="2">
        <f t="shared" si="3"/>
        <v>777520</v>
      </c>
      <c r="G171" s="2">
        <v>-39600</v>
      </c>
    </row>
    <row r="172" spans="1:8" x14ac:dyDescent="0.3">
      <c r="A172" s="1">
        <v>45782</v>
      </c>
      <c r="B172" t="s">
        <v>52</v>
      </c>
      <c r="C172" t="s">
        <v>16</v>
      </c>
      <c r="E172" s="2">
        <f t="shared" si="3"/>
        <v>737920</v>
      </c>
      <c r="F172" s="2">
        <v>3000000</v>
      </c>
    </row>
    <row r="173" spans="1:8" x14ac:dyDescent="0.3">
      <c r="A173" s="1">
        <v>45782</v>
      </c>
      <c r="B173" t="s">
        <v>63</v>
      </c>
      <c r="C173" t="s">
        <v>12</v>
      </c>
      <c r="E173" s="2">
        <f t="shared" si="3"/>
        <v>3737920</v>
      </c>
      <c r="F173" s="2">
        <v>4000000</v>
      </c>
    </row>
    <row r="174" spans="1:8" x14ac:dyDescent="0.3">
      <c r="A174" s="1">
        <v>45782</v>
      </c>
      <c r="B174" t="s">
        <v>49</v>
      </c>
      <c r="C174" t="s">
        <v>12</v>
      </c>
      <c r="E174" s="2">
        <f t="shared" si="3"/>
        <v>7737920</v>
      </c>
      <c r="F174" s="2">
        <v>100000</v>
      </c>
      <c r="H174" t="s">
        <v>51</v>
      </c>
    </row>
    <row r="175" spans="1:8" x14ac:dyDescent="0.3">
      <c r="A175" s="1">
        <v>45782</v>
      </c>
      <c r="B175" t="s">
        <v>50</v>
      </c>
      <c r="C175" t="s">
        <v>12</v>
      </c>
      <c r="E175" s="2">
        <f t="shared" si="3"/>
        <v>7837920</v>
      </c>
      <c r="F175" s="2">
        <v>100000</v>
      </c>
      <c r="H175" t="s">
        <v>51</v>
      </c>
    </row>
    <row r="176" spans="1:8" x14ac:dyDescent="0.3">
      <c r="A176" s="1">
        <v>45782</v>
      </c>
      <c r="B176" t="s">
        <v>63</v>
      </c>
      <c r="C176" t="s">
        <v>12</v>
      </c>
      <c r="E176" s="2">
        <f t="shared" si="3"/>
        <v>7937920</v>
      </c>
      <c r="F176" s="2">
        <v>100000</v>
      </c>
      <c r="H176" t="s">
        <v>51</v>
      </c>
    </row>
    <row r="177" spans="1:8" x14ac:dyDescent="0.3">
      <c r="A177" s="1">
        <v>45782</v>
      </c>
      <c r="B177" t="s">
        <v>128</v>
      </c>
      <c r="C177" t="s">
        <v>12</v>
      </c>
      <c r="E177" s="2">
        <f t="shared" si="3"/>
        <v>8037920</v>
      </c>
      <c r="F177" s="2">
        <v>100000</v>
      </c>
      <c r="H177" t="s">
        <v>51</v>
      </c>
    </row>
    <row r="178" spans="1:8" x14ac:dyDescent="0.3">
      <c r="A178" s="1">
        <v>45782</v>
      </c>
      <c r="B178" t="s">
        <v>128</v>
      </c>
      <c r="C178" t="s">
        <v>12</v>
      </c>
      <c r="E178" s="2">
        <f t="shared" si="3"/>
        <v>8137920</v>
      </c>
      <c r="F178" s="2">
        <v>2300000</v>
      </c>
    </row>
    <row r="179" spans="1:8" x14ac:dyDescent="0.3">
      <c r="A179" s="1">
        <v>45782</v>
      </c>
      <c r="B179" t="s">
        <v>38</v>
      </c>
      <c r="C179" t="s">
        <v>19</v>
      </c>
      <c r="E179" s="2">
        <f t="shared" si="3"/>
        <v>10437920</v>
      </c>
      <c r="G179" s="2">
        <v>-6600000</v>
      </c>
    </row>
    <row r="180" spans="1:8" x14ac:dyDescent="0.3">
      <c r="A180" s="1">
        <v>45782</v>
      </c>
      <c r="B180" t="s">
        <v>36</v>
      </c>
      <c r="C180" t="s">
        <v>13</v>
      </c>
      <c r="E180" s="2">
        <f t="shared" si="3"/>
        <v>3837920</v>
      </c>
      <c r="G180" s="2">
        <v>-600000</v>
      </c>
    </row>
    <row r="181" spans="1:8" x14ac:dyDescent="0.3">
      <c r="A181" s="1">
        <v>45782</v>
      </c>
      <c r="B181" t="s">
        <v>111</v>
      </c>
      <c r="C181" t="s">
        <v>9</v>
      </c>
      <c r="E181" s="2">
        <f t="shared" si="3"/>
        <v>3237920</v>
      </c>
      <c r="G181" s="2">
        <v>-1094996</v>
      </c>
      <c r="H181" t="s">
        <v>112</v>
      </c>
    </row>
    <row r="182" spans="1:8" x14ac:dyDescent="0.3">
      <c r="A182" s="1">
        <v>45783</v>
      </c>
      <c r="B182" t="s">
        <v>74</v>
      </c>
      <c r="C182" t="s">
        <v>9</v>
      </c>
      <c r="E182" s="2">
        <f t="shared" si="3"/>
        <v>2142924</v>
      </c>
      <c r="G182" s="2">
        <v>-41151</v>
      </c>
      <c r="H182" t="s">
        <v>76</v>
      </c>
    </row>
    <row r="183" spans="1:8" x14ac:dyDescent="0.3">
      <c r="A183" s="1">
        <v>45783</v>
      </c>
      <c r="B183" t="s">
        <v>39</v>
      </c>
      <c r="C183" t="s">
        <v>13</v>
      </c>
      <c r="E183" s="2">
        <f t="shared" si="3"/>
        <v>2101773</v>
      </c>
      <c r="G183" s="2">
        <v>-145000</v>
      </c>
    </row>
    <row r="184" spans="1:8" x14ac:dyDescent="0.3">
      <c r="A184" s="1">
        <v>45783</v>
      </c>
      <c r="B184" t="s">
        <v>41</v>
      </c>
      <c r="C184" t="s">
        <v>9</v>
      </c>
      <c r="E184" s="2">
        <f t="shared" si="3"/>
        <v>1956773</v>
      </c>
      <c r="G184" s="2">
        <v>-100000</v>
      </c>
      <c r="H184" t="s">
        <v>130</v>
      </c>
    </row>
    <row r="185" spans="1:8" x14ac:dyDescent="0.3">
      <c r="A185" s="1">
        <v>45784</v>
      </c>
      <c r="B185" t="s">
        <v>105</v>
      </c>
      <c r="C185" t="s">
        <v>9</v>
      </c>
      <c r="E185" s="2">
        <f t="shared" si="3"/>
        <v>1856773</v>
      </c>
      <c r="G185" s="2">
        <v>-8620</v>
      </c>
    </row>
    <row r="186" spans="1:8" x14ac:dyDescent="0.3">
      <c r="A186" s="1">
        <v>45784</v>
      </c>
      <c r="B186" t="s">
        <v>129</v>
      </c>
      <c r="C186" t="s">
        <v>9</v>
      </c>
      <c r="E186" s="2">
        <f t="shared" si="3"/>
        <v>1848153</v>
      </c>
      <c r="G186" s="2">
        <v>-67612</v>
      </c>
    </row>
    <row r="187" spans="1:8" x14ac:dyDescent="0.3">
      <c r="A187" s="1">
        <v>45786</v>
      </c>
      <c r="B187" t="s">
        <v>48</v>
      </c>
      <c r="C187" t="s">
        <v>12</v>
      </c>
      <c r="E187" s="2">
        <f t="shared" si="3"/>
        <v>1780541</v>
      </c>
      <c r="F187" s="2">
        <v>100000</v>
      </c>
    </row>
    <row r="188" spans="1:8" x14ac:dyDescent="0.3">
      <c r="A188" s="1">
        <v>45790</v>
      </c>
      <c r="B188" t="s">
        <v>44</v>
      </c>
      <c r="C188" t="s">
        <v>14</v>
      </c>
      <c r="E188" s="2">
        <f t="shared" si="3"/>
        <v>1880541</v>
      </c>
      <c r="G188" s="2">
        <v>-245968</v>
      </c>
    </row>
    <row r="189" spans="1:8" x14ac:dyDescent="0.3">
      <c r="A189" s="1">
        <v>45796</v>
      </c>
      <c r="B189" t="s">
        <v>71</v>
      </c>
      <c r="C189" t="s">
        <v>9</v>
      </c>
      <c r="E189" s="2">
        <f t="shared" si="3"/>
        <v>1634573</v>
      </c>
      <c r="G189" s="2">
        <v>-37940</v>
      </c>
    </row>
    <row r="190" spans="1:8" x14ac:dyDescent="0.3">
      <c r="A190" s="1">
        <v>45796</v>
      </c>
      <c r="B190" t="s">
        <v>39</v>
      </c>
      <c r="C190" t="s">
        <v>9</v>
      </c>
      <c r="E190" s="2">
        <f t="shared" si="3"/>
        <v>1596633</v>
      </c>
      <c r="G190" s="2">
        <v>-19000</v>
      </c>
    </row>
    <row r="191" spans="1:8" x14ac:dyDescent="0.3">
      <c r="A191" s="1">
        <v>45796</v>
      </c>
      <c r="B191" t="s">
        <v>46</v>
      </c>
      <c r="C191" t="s">
        <v>12</v>
      </c>
      <c r="E191" s="2">
        <f t="shared" si="3"/>
        <v>1577633</v>
      </c>
      <c r="F191" s="2">
        <v>3504510</v>
      </c>
    </row>
    <row r="192" spans="1:8" x14ac:dyDescent="0.3">
      <c r="A192" s="1">
        <v>45797</v>
      </c>
      <c r="B192" t="s">
        <v>57</v>
      </c>
      <c r="C192" t="s">
        <v>9</v>
      </c>
      <c r="E192" s="2">
        <f t="shared" si="3"/>
        <v>5082143</v>
      </c>
      <c r="G192" s="2">
        <v>-1498178</v>
      </c>
    </row>
    <row r="193" spans="1:8" x14ac:dyDescent="0.3">
      <c r="A193" s="1">
        <v>45799</v>
      </c>
      <c r="B193" t="s">
        <v>105</v>
      </c>
      <c r="C193" t="s">
        <v>9</v>
      </c>
      <c r="E193" s="2">
        <f t="shared" si="3"/>
        <v>3583965</v>
      </c>
      <c r="G193" s="2">
        <v>-2600</v>
      </c>
    </row>
    <row r="194" spans="1:8" x14ac:dyDescent="0.3">
      <c r="A194" s="1">
        <v>45803</v>
      </c>
      <c r="B194" t="s">
        <v>105</v>
      </c>
      <c r="C194" t="s">
        <v>9</v>
      </c>
      <c r="E194" s="2">
        <f t="shared" si="3"/>
        <v>3581365</v>
      </c>
      <c r="G194" s="2">
        <v>-11700</v>
      </c>
    </row>
    <row r="195" spans="1:8" x14ac:dyDescent="0.3">
      <c r="A195" s="1">
        <v>45805</v>
      </c>
      <c r="B195" t="s">
        <v>105</v>
      </c>
      <c r="C195" t="s">
        <v>9</v>
      </c>
      <c r="E195" s="2">
        <f t="shared" si="3"/>
        <v>3569665</v>
      </c>
      <c r="G195" s="2">
        <v>-6940</v>
      </c>
    </row>
    <row r="196" spans="1:8" x14ac:dyDescent="0.3">
      <c r="A196" s="1">
        <v>45805</v>
      </c>
      <c r="B196" t="s">
        <v>82</v>
      </c>
      <c r="C196" t="s">
        <v>9</v>
      </c>
      <c r="E196" s="2">
        <f t="shared" si="3"/>
        <v>3562725</v>
      </c>
      <c r="G196" s="2">
        <v>-19147</v>
      </c>
    </row>
    <row r="197" spans="1:8" x14ac:dyDescent="0.3">
      <c r="A197" s="1">
        <v>45806</v>
      </c>
      <c r="B197" t="s">
        <v>56</v>
      </c>
      <c r="C197" t="s">
        <v>14</v>
      </c>
      <c r="E197" s="2">
        <f t="shared" si="3"/>
        <v>3543578</v>
      </c>
      <c r="G197" s="2">
        <v>-49950</v>
      </c>
    </row>
    <row r="198" spans="1:8" x14ac:dyDescent="0.3">
      <c r="A198" s="1">
        <v>45806</v>
      </c>
      <c r="B198" t="s">
        <v>73</v>
      </c>
      <c r="C198" t="s">
        <v>9</v>
      </c>
      <c r="E198" s="2">
        <f t="shared" si="3"/>
        <v>3493628</v>
      </c>
      <c r="G198" s="2">
        <v>-352429</v>
      </c>
    </row>
    <row r="199" spans="1:8" x14ac:dyDescent="0.3">
      <c r="A199" s="1">
        <v>45807</v>
      </c>
      <c r="B199" t="s">
        <v>136</v>
      </c>
      <c r="C199" t="s">
        <v>9</v>
      </c>
      <c r="D199" t="s">
        <v>26</v>
      </c>
      <c r="E199" s="2">
        <f t="shared" ref="E199:E262" si="4">E198+F198+G198</f>
        <v>3141199</v>
      </c>
      <c r="G199" s="2">
        <v>-255850</v>
      </c>
      <c r="H199" t="s">
        <v>138</v>
      </c>
    </row>
    <row r="200" spans="1:8" x14ac:dyDescent="0.3">
      <c r="A200" s="1">
        <v>45807</v>
      </c>
      <c r="B200" t="s">
        <v>47</v>
      </c>
      <c r="C200" t="s">
        <v>9</v>
      </c>
      <c r="E200" s="2">
        <f t="shared" si="4"/>
        <v>2885349</v>
      </c>
      <c r="G200" s="2">
        <v>-128350</v>
      </c>
      <c r="H200" t="s">
        <v>137</v>
      </c>
    </row>
    <row r="201" spans="1:8" x14ac:dyDescent="0.3">
      <c r="A201" s="1">
        <v>45807</v>
      </c>
      <c r="B201" t="s">
        <v>71</v>
      </c>
      <c r="C201" t="s">
        <v>9</v>
      </c>
      <c r="E201" s="2">
        <f t="shared" si="4"/>
        <v>2756999</v>
      </c>
      <c r="G201" s="2">
        <v>-31960</v>
      </c>
    </row>
    <row r="202" spans="1:8" x14ac:dyDescent="0.3">
      <c r="A202" s="1">
        <v>45810</v>
      </c>
      <c r="B202" t="s">
        <v>35</v>
      </c>
      <c r="C202" t="s">
        <v>9</v>
      </c>
      <c r="E202" s="2">
        <f t="shared" si="4"/>
        <v>2725039</v>
      </c>
      <c r="G202" s="2">
        <v>-39600</v>
      </c>
    </row>
    <row r="203" spans="1:8" x14ac:dyDescent="0.3">
      <c r="A203" s="1">
        <v>45810</v>
      </c>
      <c r="B203" t="s">
        <v>49</v>
      </c>
      <c r="C203" t="s">
        <v>12</v>
      </c>
      <c r="E203" s="2">
        <f t="shared" si="4"/>
        <v>2685439</v>
      </c>
      <c r="F203" s="2">
        <v>100000</v>
      </c>
    </row>
    <row r="204" spans="1:8" x14ac:dyDescent="0.3">
      <c r="A204" s="1">
        <v>45810</v>
      </c>
      <c r="B204" t="s">
        <v>50</v>
      </c>
      <c r="C204" t="s">
        <v>12</v>
      </c>
      <c r="E204" s="2">
        <f t="shared" si="4"/>
        <v>2785439</v>
      </c>
      <c r="F204" s="2">
        <v>100000</v>
      </c>
    </row>
    <row r="205" spans="1:8" x14ac:dyDescent="0.3">
      <c r="A205" s="1">
        <v>45810</v>
      </c>
      <c r="B205" t="s">
        <v>63</v>
      </c>
      <c r="C205" t="s">
        <v>12</v>
      </c>
      <c r="E205" s="2">
        <f t="shared" si="4"/>
        <v>2885439</v>
      </c>
      <c r="F205" s="2">
        <v>100000</v>
      </c>
    </row>
    <row r="206" spans="1:8" x14ac:dyDescent="0.3">
      <c r="A206" s="1">
        <v>45810</v>
      </c>
      <c r="B206" t="s">
        <v>37</v>
      </c>
      <c r="C206" t="s">
        <v>12</v>
      </c>
      <c r="E206" s="2">
        <f t="shared" si="4"/>
        <v>2985439</v>
      </c>
      <c r="F206" s="2">
        <v>100000</v>
      </c>
    </row>
    <row r="207" spans="1:8" x14ac:dyDescent="0.3">
      <c r="A207" s="1">
        <v>45810</v>
      </c>
      <c r="B207" t="s">
        <v>74</v>
      </c>
      <c r="C207" t="s">
        <v>9</v>
      </c>
      <c r="E207" s="2">
        <f t="shared" si="4"/>
        <v>3085439</v>
      </c>
      <c r="G207" s="2">
        <v>-47173</v>
      </c>
      <c r="H207" t="s">
        <v>76</v>
      </c>
    </row>
    <row r="208" spans="1:8" x14ac:dyDescent="0.3">
      <c r="A208" s="1">
        <v>45810</v>
      </c>
      <c r="B208" t="s">
        <v>36</v>
      </c>
      <c r="C208" t="s">
        <v>13</v>
      </c>
      <c r="E208" s="2">
        <f t="shared" si="4"/>
        <v>3038266</v>
      </c>
      <c r="G208" s="2">
        <v>-600000</v>
      </c>
    </row>
    <row r="209" spans="1:8" x14ac:dyDescent="0.3">
      <c r="A209" s="1">
        <v>45810</v>
      </c>
      <c r="B209" t="s">
        <v>39</v>
      </c>
      <c r="C209" t="s">
        <v>13</v>
      </c>
      <c r="E209" s="2">
        <f t="shared" si="4"/>
        <v>2438266</v>
      </c>
      <c r="G209" s="2">
        <v>-145000</v>
      </c>
    </row>
    <row r="210" spans="1:8" x14ac:dyDescent="0.3">
      <c r="A210" s="1">
        <v>45810</v>
      </c>
      <c r="B210" t="s">
        <v>111</v>
      </c>
      <c r="C210" t="s">
        <v>9</v>
      </c>
      <c r="E210" s="2">
        <f t="shared" si="4"/>
        <v>2293266</v>
      </c>
      <c r="G210" s="2">
        <v>-1097432</v>
      </c>
      <c r="H210" t="s">
        <v>112</v>
      </c>
    </row>
    <row r="211" spans="1:8" x14ac:dyDescent="0.3">
      <c r="A211" s="1">
        <v>45810</v>
      </c>
      <c r="B211" t="s">
        <v>48</v>
      </c>
      <c r="C211" t="s">
        <v>12</v>
      </c>
      <c r="E211" s="2">
        <f t="shared" si="4"/>
        <v>1195834</v>
      </c>
      <c r="F211" s="2">
        <v>100000</v>
      </c>
    </row>
    <row r="212" spans="1:8" x14ac:dyDescent="0.3">
      <c r="A212" s="1">
        <v>45810</v>
      </c>
      <c r="B212" t="s">
        <v>63</v>
      </c>
      <c r="C212" t="s">
        <v>12</v>
      </c>
      <c r="E212" s="2">
        <f t="shared" si="4"/>
        <v>1295834</v>
      </c>
      <c r="F212" s="2">
        <v>4000000</v>
      </c>
    </row>
    <row r="213" spans="1:8" x14ac:dyDescent="0.3">
      <c r="A213" s="1">
        <v>45810</v>
      </c>
      <c r="B213" t="s">
        <v>37</v>
      </c>
      <c r="C213" t="s">
        <v>12</v>
      </c>
      <c r="E213" s="2">
        <f t="shared" si="4"/>
        <v>5295834</v>
      </c>
      <c r="F213" s="2">
        <v>2300000</v>
      </c>
    </row>
    <row r="214" spans="1:8" x14ac:dyDescent="0.3">
      <c r="A214" s="1">
        <v>45810</v>
      </c>
      <c r="B214" t="s">
        <v>38</v>
      </c>
      <c r="C214" t="s">
        <v>19</v>
      </c>
      <c r="E214" s="2">
        <f t="shared" si="4"/>
        <v>7595834</v>
      </c>
      <c r="G214" s="2">
        <v>-2000000</v>
      </c>
    </row>
    <row r="215" spans="1:8" x14ac:dyDescent="0.3">
      <c r="A215" s="1">
        <v>45810</v>
      </c>
      <c r="B215" t="s">
        <v>38</v>
      </c>
      <c r="C215" t="s">
        <v>19</v>
      </c>
      <c r="E215" s="2">
        <f t="shared" si="4"/>
        <v>5595834</v>
      </c>
      <c r="G215" s="2">
        <v>-5000000</v>
      </c>
    </row>
    <row r="216" spans="1:8" x14ac:dyDescent="0.3">
      <c r="A216" s="1">
        <v>45811</v>
      </c>
      <c r="B216" t="s">
        <v>105</v>
      </c>
      <c r="C216" t="s">
        <v>9</v>
      </c>
      <c r="E216" s="2">
        <f t="shared" si="4"/>
        <v>595834</v>
      </c>
      <c r="G216" s="2">
        <v>-10970</v>
      </c>
    </row>
    <row r="217" spans="1:8" x14ac:dyDescent="0.3">
      <c r="A217" s="1">
        <v>45811</v>
      </c>
      <c r="B217" t="s">
        <v>53</v>
      </c>
      <c r="C217" t="s">
        <v>9</v>
      </c>
      <c r="E217" s="2">
        <f t="shared" si="4"/>
        <v>584864</v>
      </c>
      <c r="G217" s="2">
        <v>-79980</v>
      </c>
    </row>
    <row r="218" spans="1:8" x14ac:dyDescent="0.3">
      <c r="A218" s="1">
        <v>45812</v>
      </c>
      <c r="B218" t="s">
        <v>56</v>
      </c>
      <c r="C218" t="s">
        <v>14</v>
      </c>
      <c r="E218" s="2">
        <f t="shared" si="4"/>
        <v>504884</v>
      </c>
      <c r="G218" s="2">
        <v>-6800</v>
      </c>
    </row>
    <row r="219" spans="1:8" x14ac:dyDescent="0.3">
      <c r="A219" s="1">
        <v>45812</v>
      </c>
      <c r="B219" t="s">
        <v>56</v>
      </c>
      <c r="C219" t="s">
        <v>14</v>
      </c>
      <c r="E219" s="2">
        <f t="shared" si="4"/>
        <v>498084</v>
      </c>
      <c r="G219" s="2">
        <v>-26479</v>
      </c>
    </row>
    <row r="220" spans="1:8" x14ac:dyDescent="0.3">
      <c r="A220" s="1">
        <v>45813</v>
      </c>
      <c r="B220" t="s">
        <v>125</v>
      </c>
      <c r="C220" t="s">
        <v>9</v>
      </c>
      <c r="D220" t="s">
        <v>26</v>
      </c>
      <c r="E220" s="2">
        <f t="shared" si="4"/>
        <v>471605</v>
      </c>
      <c r="G220" s="2">
        <v>-297500</v>
      </c>
      <c r="H220" t="s">
        <v>152</v>
      </c>
    </row>
    <row r="221" spans="1:8" x14ac:dyDescent="0.3">
      <c r="A221" s="1">
        <v>45813</v>
      </c>
      <c r="B221" t="s">
        <v>139</v>
      </c>
      <c r="C221" t="s">
        <v>9</v>
      </c>
      <c r="E221" s="2">
        <f t="shared" si="4"/>
        <v>174105</v>
      </c>
      <c r="G221" s="2">
        <v>-98010</v>
      </c>
      <c r="H221" t="s">
        <v>155</v>
      </c>
    </row>
    <row r="222" spans="1:8" x14ac:dyDescent="0.3">
      <c r="A222" s="1">
        <v>45814</v>
      </c>
      <c r="B222" t="s">
        <v>54</v>
      </c>
      <c r="C222" t="s">
        <v>9</v>
      </c>
      <c r="E222" s="2">
        <f t="shared" si="4"/>
        <v>76095</v>
      </c>
      <c r="G222" s="2">
        <v>-20000</v>
      </c>
      <c r="H222" t="s">
        <v>153</v>
      </c>
    </row>
    <row r="223" spans="1:8" x14ac:dyDescent="0.3">
      <c r="A223" s="1">
        <v>45814</v>
      </c>
      <c r="B223" t="s">
        <v>140</v>
      </c>
      <c r="C223" t="s">
        <v>10</v>
      </c>
      <c r="E223" s="2">
        <f t="shared" si="4"/>
        <v>56095</v>
      </c>
      <c r="G223" s="2">
        <v>-40000</v>
      </c>
      <c r="H223" t="s">
        <v>154</v>
      </c>
    </row>
    <row r="224" spans="1:8" x14ac:dyDescent="0.3">
      <c r="A224" s="1">
        <v>45814</v>
      </c>
      <c r="B224" t="s">
        <v>56</v>
      </c>
      <c r="C224" t="s">
        <v>9</v>
      </c>
      <c r="E224" s="2">
        <f t="shared" si="4"/>
        <v>16095</v>
      </c>
      <c r="G224" s="2">
        <v>-3800</v>
      </c>
    </row>
    <row r="225" spans="1:8" x14ac:dyDescent="0.3">
      <c r="A225" s="1">
        <v>45818</v>
      </c>
      <c r="B225" t="s">
        <v>43</v>
      </c>
      <c r="C225" t="s">
        <v>19</v>
      </c>
      <c r="E225" s="2">
        <f t="shared" si="4"/>
        <v>12295</v>
      </c>
      <c r="F225" s="2">
        <v>113000</v>
      </c>
    </row>
    <row r="226" spans="1:8" x14ac:dyDescent="0.3">
      <c r="A226" s="1">
        <v>45818</v>
      </c>
      <c r="B226" t="s">
        <v>41</v>
      </c>
      <c r="C226" t="s">
        <v>9</v>
      </c>
      <c r="E226" s="2">
        <f t="shared" si="4"/>
        <v>125295</v>
      </c>
      <c r="G226" s="2">
        <v>-125000</v>
      </c>
      <c r="H226" t="s">
        <v>42</v>
      </c>
    </row>
    <row r="227" spans="1:8" x14ac:dyDescent="0.3">
      <c r="A227" s="1">
        <v>45818</v>
      </c>
      <c r="B227" t="s">
        <v>52</v>
      </c>
      <c r="C227" t="s">
        <v>16</v>
      </c>
      <c r="E227" s="2">
        <f t="shared" si="4"/>
        <v>295</v>
      </c>
      <c r="F227" s="2">
        <v>500000</v>
      </c>
    </row>
    <row r="228" spans="1:8" x14ac:dyDescent="0.3">
      <c r="A228" s="1">
        <v>45818</v>
      </c>
      <c r="B228" t="s">
        <v>38</v>
      </c>
      <c r="C228" t="s">
        <v>19</v>
      </c>
      <c r="E228" s="2">
        <f t="shared" si="4"/>
        <v>500295</v>
      </c>
      <c r="G228" s="2">
        <v>-30000</v>
      </c>
    </row>
    <row r="229" spans="1:8" x14ac:dyDescent="0.3">
      <c r="A229" s="1">
        <v>45819</v>
      </c>
      <c r="B229" t="s">
        <v>56</v>
      </c>
      <c r="C229" t="s">
        <v>14</v>
      </c>
      <c r="E229" s="2">
        <f t="shared" si="4"/>
        <v>470295</v>
      </c>
      <c r="G229" s="2">
        <v>-160392</v>
      </c>
      <c r="H229" t="s">
        <v>145</v>
      </c>
    </row>
    <row r="230" spans="1:8" x14ac:dyDescent="0.3">
      <c r="A230" s="1">
        <v>45818</v>
      </c>
      <c r="B230" t="s">
        <v>141</v>
      </c>
      <c r="C230" t="s">
        <v>9</v>
      </c>
      <c r="E230" s="2">
        <f t="shared" si="4"/>
        <v>309903</v>
      </c>
      <c r="F230" s="2">
        <v>34450</v>
      </c>
      <c r="H230" t="s">
        <v>146</v>
      </c>
    </row>
    <row r="231" spans="1:8" x14ac:dyDescent="0.3">
      <c r="A231" s="1">
        <v>45819</v>
      </c>
      <c r="B231" t="s">
        <v>52</v>
      </c>
      <c r="C231" t="s">
        <v>16</v>
      </c>
      <c r="E231" s="2">
        <f t="shared" si="4"/>
        <v>344353</v>
      </c>
      <c r="F231" s="2">
        <v>700000</v>
      </c>
    </row>
    <row r="232" spans="1:8" x14ac:dyDescent="0.3">
      <c r="A232" s="1">
        <v>45819</v>
      </c>
      <c r="B232" t="s">
        <v>44</v>
      </c>
      <c r="C232" t="s">
        <v>14</v>
      </c>
      <c r="E232" s="2">
        <f t="shared" si="4"/>
        <v>1044353</v>
      </c>
      <c r="G232" s="2">
        <v>-495082</v>
      </c>
      <c r="H232" t="s">
        <v>147</v>
      </c>
    </row>
    <row r="233" spans="1:8" x14ac:dyDescent="0.3">
      <c r="A233" s="1">
        <v>45820</v>
      </c>
      <c r="B233" t="s">
        <v>56</v>
      </c>
      <c r="C233" t="s">
        <v>14</v>
      </c>
      <c r="E233" s="2">
        <f t="shared" si="4"/>
        <v>549271</v>
      </c>
      <c r="G233" s="2">
        <v>-209775</v>
      </c>
    </row>
    <row r="234" spans="1:8" x14ac:dyDescent="0.3">
      <c r="A234" s="1">
        <v>45824</v>
      </c>
      <c r="B234" t="s">
        <v>142</v>
      </c>
      <c r="C234" t="s">
        <v>12</v>
      </c>
      <c r="E234" s="2">
        <f t="shared" si="4"/>
        <v>339496</v>
      </c>
      <c r="F234" s="2">
        <v>300000</v>
      </c>
      <c r="H234" t="s">
        <v>148</v>
      </c>
    </row>
    <row r="235" spans="1:8" x14ac:dyDescent="0.3">
      <c r="A235" s="1">
        <v>45824</v>
      </c>
      <c r="B235" t="s">
        <v>142</v>
      </c>
      <c r="C235" t="s">
        <v>12</v>
      </c>
      <c r="E235" s="2">
        <f t="shared" si="4"/>
        <v>639496</v>
      </c>
      <c r="F235" s="2">
        <v>5000000</v>
      </c>
      <c r="H235" t="s">
        <v>148</v>
      </c>
    </row>
    <row r="236" spans="1:8" x14ac:dyDescent="0.3">
      <c r="A236" s="1">
        <v>45824</v>
      </c>
      <c r="B236" t="s">
        <v>142</v>
      </c>
      <c r="C236" t="s">
        <v>12</v>
      </c>
      <c r="E236" s="2">
        <f t="shared" si="4"/>
        <v>5639496</v>
      </c>
      <c r="F236" s="2">
        <v>5000000</v>
      </c>
      <c r="H236" t="s">
        <v>148</v>
      </c>
    </row>
    <row r="237" spans="1:8" x14ac:dyDescent="0.3">
      <c r="A237" s="1">
        <v>45824</v>
      </c>
      <c r="B237" t="s">
        <v>142</v>
      </c>
      <c r="C237" t="s">
        <v>12</v>
      </c>
      <c r="E237" s="2">
        <f t="shared" si="4"/>
        <v>10639496</v>
      </c>
      <c r="F237" s="2">
        <v>5000000</v>
      </c>
      <c r="H237" t="s">
        <v>148</v>
      </c>
    </row>
    <row r="238" spans="1:8" x14ac:dyDescent="0.3">
      <c r="A238" s="1">
        <v>45824</v>
      </c>
      <c r="B238" t="s">
        <v>142</v>
      </c>
      <c r="C238" t="s">
        <v>12</v>
      </c>
      <c r="E238" s="2">
        <f t="shared" si="4"/>
        <v>15639496</v>
      </c>
      <c r="F238" s="2">
        <v>5000000</v>
      </c>
      <c r="H238" t="s">
        <v>148</v>
      </c>
    </row>
    <row r="239" spans="1:8" x14ac:dyDescent="0.3">
      <c r="A239" s="1">
        <v>45824</v>
      </c>
      <c r="B239" t="s">
        <v>143</v>
      </c>
      <c r="C239" t="s">
        <v>15</v>
      </c>
      <c r="E239" s="2">
        <f t="shared" si="4"/>
        <v>20639496</v>
      </c>
      <c r="G239" s="2">
        <v>-1000</v>
      </c>
      <c r="H239" t="s">
        <v>150</v>
      </c>
    </row>
    <row r="240" spans="1:8" x14ac:dyDescent="0.3">
      <c r="A240" s="1">
        <v>45824</v>
      </c>
      <c r="B240" t="s">
        <v>48</v>
      </c>
      <c r="C240" t="s">
        <v>115</v>
      </c>
      <c r="E240" s="2">
        <f t="shared" si="4"/>
        <v>20638496</v>
      </c>
      <c r="F240" s="2">
        <v>20462400</v>
      </c>
      <c r="H240" t="s">
        <v>149</v>
      </c>
    </row>
    <row r="241" spans="1:8" x14ac:dyDescent="0.3">
      <c r="A241" s="1">
        <v>45824</v>
      </c>
      <c r="B241" t="s">
        <v>74</v>
      </c>
      <c r="C241" t="s">
        <v>9</v>
      </c>
      <c r="E241" s="2">
        <f t="shared" si="4"/>
        <v>41100896</v>
      </c>
      <c r="G241" s="2">
        <v>-20608</v>
      </c>
    </row>
    <row r="242" spans="1:8" x14ac:dyDescent="0.3">
      <c r="A242" s="1">
        <v>45824</v>
      </c>
      <c r="B242" t="s">
        <v>144</v>
      </c>
      <c r="C242" t="s">
        <v>20</v>
      </c>
      <c r="D242" t="s">
        <v>21</v>
      </c>
      <c r="E242" s="2">
        <f t="shared" si="4"/>
        <v>41080288</v>
      </c>
      <c r="G242" s="2">
        <v>-35000000</v>
      </c>
    </row>
    <row r="243" spans="1:8" x14ac:dyDescent="0.3">
      <c r="A243" s="1">
        <v>45825</v>
      </c>
      <c r="B243" t="s">
        <v>142</v>
      </c>
      <c r="C243" t="s">
        <v>12</v>
      </c>
      <c r="E243" s="2">
        <f t="shared" si="4"/>
        <v>6080288</v>
      </c>
      <c r="F243" s="2">
        <v>5000000</v>
      </c>
      <c r="H243" t="s">
        <v>151</v>
      </c>
    </row>
    <row r="244" spans="1:8" x14ac:dyDescent="0.3">
      <c r="A244" s="1">
        <v>45825</v>
      </c>
      <c r="B244" t="s">
        <v>142</v>
      </c>
      <c r="C244" t="s">
        <v>12</v>
      </c>
      <c r="E244" s="2">
        <f t="shared" si="4"/>
        <v>11080288</v>
      </c>
      <c r="F244" s="2">
        <v>5000000</v>
      </c>
      <c r="H244" t="s">
        <v>151</v>
      </c>
    </row>
    <row r="245" spans="1:8" x14ac:dyDescent="0.3">
      <c r="A245" s="1">
        <v>45825</v>
      </c>
      <c r="B245" t="s">
        <v>142</v>
      </c>
      <c r="C245" t="s">
        <v>12</v>
      </c>
      <c r="E245" s="2">
        <f t="shared" si="4"/>
        <v>16080288</v>
      </c>
      <c r="F245" s="2">
        <v>5000000</v>
      </c>
      <c r="H245" t="s">
        <v>151</v>
      </c>
    </row>
    <row r="246" spans="1:8" x14ac:dyDescent="0.3">
      <c r="A246" s="1">
        <v>45825</v>
      </c>
      <c r="B246" t="s">
        <v>142</v>
      </c>
      <c r="C246" t="s">
        <v>12</v>
      </c>
      <c r="E246" s="2">
        <f t="shared" si="4"/>
        <v>21080288</v>
      </c>
      <c r="F246" s="2">
        <v>5000000</v>
      </c>
      <c r="H246" t="s">
        <v>151</v>
      </c>
    </row>
    <row r="247" spans="1:8" x14ac:dyDescent="0.3">
      <c r="A247" s="1">
        <v>45825</v>
      </c>
      <c r="B247" t="s">
        <v>142</v>
      </c>
      <c r="C247" t="s">
        <v>12</v>
      </c>
      <c r="E247" s="2">
        <f t="shared" si="4"/>
        <v>26080288</v>
      </c>
      <c r="F247" s="2">
        <v>5000000</v>
      </c>
      <c r="H247" t="s">
        <v>151</v>
      </c>
    </row>
    <row r="248" spans="1:8" x14ac:dyDescent="0.3">
      <c r="A248" s="1">
        <v>45825</v>
      </c>
      <c r="B248" t="s">
        <v>142</v>
      </c>
      <c r="C248" t="s">
        <v>12</v>
      </c>
      <c r="E248" s="2">
        <f t="shared" si="4"/>
        <v>31080288</v>
      </c>
      <c r="F248" s="2">
        <v>5000000</v>
      </c>
      <c r="H248" t="s">
        <v>151</v>
      </c>
    </row>
    <row r="249" spans="1:8" x14ac:dyDescent="0.3">
      <c r="A249" s="1">
        <v>45825</v>
      </c>
      <c r="B249" t="s">
        <v>142</v>
      </c>
      <c r="C249" t="s">
        <v>12</v>
      </c>
      <c r="E249" s="2">
        <f t="shared" si="4"/>
        <v>36080288</v>
      </c>
      <c r="F249" s="2">
        <v>5000000</v>
      </c>
      <c r="H249" t="s">
        <v>151</v>
      </c>
    </row>
    <row r="250" spans="1:8" x14ac:dyDescent="0.3">
      <c r="A250" s="1">
        <v>45825</v>
      </c>
      <c r="B250" t="s">
        <v>38</v>
      </c>
      <c r="C250" t="s">
        <v>19</v>
      </c>
      <c r="E250" s="2">
        <f t="shared" si="4"/>
        <v>41080288</v>
      </c>
      <c r="G250" s="2">
        <v>-17000000</v>
      </c>
    </row>
    <row r="251" spans="1:8" x14ac:dyDescent="0.3">
      <c r="A251" s="1">
        <v>45825</v>
      </c>
      <c r="B251" t="s">
        <v>106</v>
      </c>
      <c r="C251" t="s">
        <v>20</v>
      </c>
      <c r="D251" t="s">
        <v>120</v>
      </c>
      <c r="E251" s="2">
        <f t="shared" si="4"/>
        <v>24080288</v>
      </c>
      <c r="G251" s="2">
        <v>-20500000</v>
      </c>
      <c r="H251" t="s">
        <v>167</v>
      </c>
    </row>
    <row r="252" spans="1:8" x14ac:dyDescent="0.3">
      <c r="A252" s="1">
        <v>45825</v>
      </c>
      <c r="B252" t="s">
        <v>43</v>
      </c>
      <c r="C252" t="s">
        <v>19</v>
      </c>
      <c r="E252" s="2">
        <f t="shared" si="4"/>
        <v>3580288</v>
      </c>
      <c r="F252" s="2">
        <v>2100000</v>
      </c>
    </row>
    <row r="253" spans="1:8" x14ac:dyDescent="0.3">
      <c r="A253" s="1">
        <v>45825</v>
      </c>
      <c r="B253" t="s">
        <v>88</v>
      </c>
      <c r="C253" t="s">
        <v>16</v>
      </c>
      <c r="E253" s="2">
        <f t="shared" si="4"/>
        <v>5680288</v>
      </c>
      <c r="G253" s="2">
        <v>-4500000</v>
      </c>
    </row>
    <row r="254" spans="1:8" x14ac:dyDescent="0.3">
      <c r="A254" s="1">
        <v>45827</v>
      </c>
      <c r="B254" t="s">
        <v>53</v>
      </c>
      <c r="C254" t="s">
        <v>9</v>
      </c>
      <c r="E254" s="2">
        <f t="shared" si="4"/>
        <v>1180288</v>
      </c>
      <c r="G254" s="2">
        <v>-3153</v>
      </c>
    </row>
    <row r="255" spans="1:8" x14ac:dyDescent="0.3">
      <c r="A255" s="1">
        <v>45831</v>
      </c>
      <c r="B255" t="s">
        <v>39</v>
      </c>
      <c r="C255" t="s">
        <v>9</v>
      </c>
      <c r="E255" s="2">
        <f t="shared" si="4"/>
        <v>1177135</v>
      </c>
      <c r="G255" s="2">
        <v>-11880</v>
      </c>
      <c r="H255" t="s">
        <v>166</v>
      </c>
    </row>
    <row r="256" spans="1:8" x14ac:dyDescent="0.3">
      <c r="A256" s="1">
        <v>45833</v>
      </c>
      <c r="B256" t="s">
        <v>46</v>
      </c>
      <c r="C256" t="s">
        <v>12</v>
      </c>
      <c r="E256" s="2">
        <f t="shared" si="4"/>
        <v>1165255</v>
      </c>
      <c r="F256" s="2">
        <v>3524550</v>
      </c>
    </row>
    <row r="257" spans="1:8" x14ac:dyDescent="0.3">
      <c r="A257" s="1">
        <v>45834</v>
      </c>
      <c r="B257" t="s">
        <v>156</v>
      </c>
      <c r="C257" t="s">
        <v>9</v>
      </c>
      <c r="E257" s="2">
        <f t="shared" si="4"/>
        <v>4689805</v>
      </c>
      <c r="G257" s="2">
        <v>-130154</v>
      </c>
      <c r="H257" t="s">
        <v>113</v>
      </c>
    </row>
    <row r="258" spans="1:8" x14ac:dyDescent="0.3">
      <c r="A258" s="1">
        <v>45834</v>
      </c>
      <c r="B258" t="s">
        <v>157</v>
      </c>
      <c r="C258" t="s">
        <v>9</v>
      </c>
      <c r="E258" s="2">
        <f t="shared" si="4"/>
        <v>4559651</v>
      </c>
      <c r="G258" s="2">
        <v>-1506745</v>
      </c>
      <c r="H258" t="s">
        <v>158</v>
      </c>
    </row>
    <row r="259" spans="1:8" x14ac:dyDescent="0.3">
      <c r="A259" s="1">
        <v>45834</v>
      </c>
      <c r="B259" t="s">
        <v>39</v>
      </c>
      <c r="C259" t="s">
        <v>9</v>
      </c>
      <c r="E259" s="2">
        <f t="shared" si="4"/>
        <v>3052906</v>
      </c>
      <c r="G259" s="2">
        <v>-26294</v>
      </c>
      <c r="H259" t="s">
        <v>165</v>
      </c>
    </row>
    <row r="260" spans="1:8" x14ac:dyDescent="0.3">
      <c r="A260" s="1">
        <v>45834</v>
      </c>
      <c r="B260" t="s">
        <v>82</v>
      </c>
      <c r="C260" t="s">
        <v>9</v>
      </c>
      <c r="E260" s="2">
        <f t="shared" si="4"/>
        <v>3026612</v>
      </c>
      <c r="G260" s="2">
        <v>-19202</v>
      </c>
    </row>
    <row r="261" spans="1:8" x14ac:dyDescent="0.3">
      <c r="A261" s="1">
        <v>45838</v>
      </c>
      <c r="B261" t="s">
        <v>74</v>
      </c>
      <c r="C261" t="s">
        <v>9</v>
      </c>
      <c r="E261" s="2">
        <f t="shared" si="4"/>
        <v>3007410</v>
      </c>
      <c r="G261" s="2">
        <v>-50793</v>
      </c>
      <c r="H261" t="s">
        <v>76</v>
      </c>
    </row>
    <row r="262" spans="1:8" x14ac:dyDescent="0.3">
      <c r="A262" s="1">
        <v>45839</v>
      </c>
      <c r="B262" t="s">
        <v>39</v>
      </c>
      <c r="C262" t="s">
        <v>9</v>
      </c>
      <c r="E262" s="2">
        <f t="shared" si="4"/>
        <v>2956617</v>
      </c>
      <c r="G262" s="2">
        <v>-23000</v>
      </c>
      <c r="H262" t="s">
        <v>159</v>
      </c>
    </row>
    <row r="263" spans="1:8" x14ac:dyDescent="0.3">
      <c r="A263" s="1">
        <v>45839</v>
      </c>
      <c r="B263" t="s">
        <v>35</v>
      </c>
      <c r="C263" t="s">
        <v>9</v>
      </c>
      <c r="E263" s="2">
        <f t="shared" ref="E263:E326" si="5">E262+F262+G262</f>
        <v>2933617</v>
      </c>
      <c r="G263" s="2">
        <v>-39600</v>
      </c>
      <c r="H263" t="s">
        <v>164</v>
      </c>
    </row>
    <row r="264" spans="1:8" x14ac:dyDescent="0.3">
      <c r="A264" s="1">
        <v>45839</v>
      </c>
      <c r="B264" t="s">
        <v>63</v>
      </c>
      <c r="C264" t="s">
        <v>12</v>
      </c>
      <c r="E264" s="2">
        <f t="shared" si="5"/>
        <v>2894017</v>
      </c>
      <c r="F264" s="2">
        <v>4000000</v>
      </c>
      <c r="H264" t="s">
        <v>163</v>
      </c>
    </row>
    <row r="265" spans="1:8" x14ac:dyDescent="0.3">
      <c r="A265" s="1">
        <v>45839</v>
      </c>
      <c r="B265" t="s">
        <v>63</v>
      </c>
      <c r="C265" t="s">
        <v>12</v>
      </c>
      <c r="E265" s="2">
        <f t="shared" si="5"/>
        <v>6894017</v>
      </c>
      <c r="F265" s="2">
        <v>100000</v>
      </c>
      <c r="H265" t="s">
        <v>51</v>
      </c>
    </row>
    <row r="266" spans="1:8" x14ac:dyDescent="0.3">
      <c r="A266" s="1">
        <v>45839</v>
      </c>
      <c r="B266" t="s">
        <v>50</v>
      </c>
      <c r="C266" t="s">
        <v>12</v>
      </c>
      <c r="E266" s="2">
        <f t="shared" si="5"/>
        <v>6994017</v>
      </c>
      <c r="F266" s="2">
        <v>100000</v>
      </c>
      <c r="H266" t="s">
        <v>51</v>
      </c>
    </row>
    <row r="267" spans="1:8" x14ac:dyDescent="0.3">
      <c r="A267" s="1">
        <v>45839</v>
      </c>
      <c r="B267" t="s">
        <v>160</v>
      </c>
      <c r="C267" t="s">
        <v>12</v>
      </c>
      <c r="E267" s="2">
        <f t="shared" si="5"/>
        <v>7094017</v>
      </c>
      <c r="F267" s="2">
        <v>100000</v>
      </c>
      <c r="H267" t="s">
        <v>51</v>
      </c>
    </row>
    <row r="268" spans="1:8" x14ac:dyDescent="0.3">
      <c r="A268" s="1">
        <v>45839</v>
      </c>
      <c r="B268" t="s">
        <v>37</v>
      </c>
      <c r="C268" t="s">
        <v>12</v>
      </c>
      <c r="E268" s="2">
        <f t="shared" si="5"/>
        <v>7194017</v>
      </c>
      <c r="F268" s="2">
        <v>100000</v>
      </c>
      <c r="H268" t="s">
        <v>51</v>
      </c>
    </row>
    <row r="269" spans="1:8" x14ac:dyDescent="0.3">
      <c r="A269" s="1">
        <v>45839</v>
      </c>
      <c r="B269" t="s">
        <v>37</v>
      </c>
      <c r="C269" t="s">
        <v>12</v>
      </c>
      <c r="E269" s="2">
        <f t="shared" si="5"/>
        <v>7294017</v>
      </c>
      <c r="F269" s="2">
        <v>1500000</v>
      </c>
    </row>
    <row r="270" spans="1:8" x14ac:dyDescent="0.3">
      <c r="A270" s="1">
        <v>45839</v>
      </c>
      <c r="B270" t="s">
        <v>39</v>
      </c>
      <c r="C270" t="s">
        <v>13</v>
      </c>
      <c r="E270" s="2">
        <f t="shared" si="5"/>
        <v>8794017</v>
      </c>
      <c r="G270" s="2">
        <v>-145000</v>
      </c>
    </row>
    <row r="271" spans="1:8" x14ac:dyDescent="0.3">
      <c r="A271" s="1">
        <v>45839</v>
      </c>
      <c r="B271" t="s">
        <v>111</v>
      </c>
      <c r="C271" t="s">
        <v>9</v>
      </c>
      <c r="E271" s="2">
        <f t="shared" si="5"/>
        <v>8649017</v>
      </c>
      <c r="G271" s="2">
        <v>-1099551</v>
      </c>
    </row>
    <row r="272" spans="1:8" x14ac:dyDescent="0.3">
      <c r="A272" s="1">
        <v>45839</v>
      </c>
      <c r="B272" t="s">
        <v>36</v>
      </c>
      <c r="C272" t="s">
        <v>13</v>
      </c>
      <c r="E272" s="2">
        <f t="shared" si="5"/>
        <v>7549466</v>
      </c>
      <c r="G272" s="2">
        <v>-600000</v>
      </c>
    </row>
    <row r="273" spans="1:8" x14ac:dyDescent="0.3">
      <c r="A273" s="1">
        <v>45839</v>
      </c>
      <c r="B273" t="s">
        <v>48</v>
      </c>
      <c r="C273" t="s">
        <v>12</v>
      </c>
      <c r="E273" s="2">
        <f t="shared" si="5"/>
        <v>6949466</v>
      </c>
      <c r="F273" s="2">
        <v>100000</v>
      </c>
    </row>
    <row r="274" spans="1:8" x14ac:dyDescent="0.3">
      <c r="A274" s="1">
        <v>45839</v>
      </c>
      <c r="B274" t="s">
        <v>38</v>
      </c>
      <c r="C274" t="s">
        <v>19</v>
      </c>
      <c r="E274" s="2">
        <f t="shared" si="5"/>
        <v>7049466</v>
      </c>
      <c r="G274" s="2">
        <v>-7000000</v>
      </c>
    </row>
    <row r="275" spans="1:8" x14ac:dyDescent="0.3">
      <c r="A275" s="1">
        <v>45840</v>
      </c>
      <c r="B275" t="s">
        <v>52</v>
      </c>
      <c r="C275" t="s">
        <v>16</v>
      </c>
      <c r="E275" s="2">
        <f t="shared" si="5"/>
        <v>49466</v>
      </c>
      <c r="F275" s="2">
        <v>5000000</v>
      </c>
    </row>
    <row r="276" spans="1:8" x14ac:dyDescent="0.3">
      <c r="A276" s="1">
        <v>45840</v>
      </c>
      <c r="B276" t="s">
        <v>38</v>
      </c>
      <c r="C276" t="s">
        <v>19</v>
      </c>
      <c r="E276" s="2">
        <f t="shared" si="5"/>
        <v>5049466</v>
      </c>
      <c r="G276" s="2">
        <v>-5000000</v>
      </c>
    </row>
    <row r="277" spans="1:8" x14ac:dyDescent="0.3">
      <c r="A277" s="1">
        <v>45845</v>
      </c>
      <c r="B277" t="s">
        <v>39</v>
      </c>
      <c r="C277" t="s">
        <v>9</v>
      </c>
      <c r="E277" s="2">
        <f t="shared" si="5"/>
        <v>49466</v>
      </c>
      <c r="G277" s="2">
        <v>-40000</v>
      </c>
      <c r="H277" t="s">
        <v>185</v>
      </c>
    </row>
    <row r="278" spans="1:8" x14ac:dyDescent="0.3">
      <c r="A278" s="1">
        <v>45846</v>
      </c>
      <c r="B278" t="s">
        <v>169</v>
      </c>
      <c r="C278" t="s">
        <v>12</v>
      </c>
      <c r="E278" s="2">
        <f t="shared" si="5"/>
        <v>9466</v>
      </c>
      <c r="F278" s="2">
        <v>1161711</v>
      </c>
      <c r="H278" t="s">
        <v>188</v>
      </c>
    </row>
    <row r="279" spans="1:8" x14ac:dyDescent="0.3">
      <c r="A279" s="1">
        <v>45846</v>
      </c>
      <c r="B279" t="s">
        <v>170</v>
      </c>
      <c r="C279" t="s">
        <v>12</v>
      </c>
      <c r="E279" s="2">
        <f t="shared" si="5"/>
        <v>1171177</v>
      </c>
      <c r="F279" s="2">
        <v>942849</v>
      </c>
      <c r="H279" t="s">
        <v>186</v>
      </c>
    </row>
    <row r="280" spans="1:8" x14ac:dyDescent="0.3">
      <c r="A280" s="1">
        <v>45848</v>
      </c>
      <c r="B280" t="s">
        <v>56</v>
      </c>
      <c r="C280" t="s">
        <v>9</v>
      </c>
      <c r="E280" s="2">
        <f t="shared" si="5"/>
        <v>2114026</v>
      </c>
      <c r="G280" s="2">
        <v>-10400</v>
      </c>
    </row>
    <row r="281" spans="1:8" x14ac:dyDescent="0.3">
      <c r="A281" s="1">
        <v>45849</v>
      </c>
      <c r="B281" t="s">
        <v>44</v>
      </c>
      <c r="C281" t="s">
        <v>14</v>
      </c>
      <c r="E281" s="2">
        <f t="shared" si="5"/>
        <v>2103626</v>
      </c>
      <c r="G281" s="2">
        <v>-434909</v>
      </c>
    </row>
    <row r="282" spans="1:8" x14ac:dyDescent="0.3">
      <c r="A282" s="1">
        <v>45849</v>
      </c>
      <c r="B282" t="s">
        <v>41</v>
      </c>
      <c r="C282" t="s">
        <v>9</v>
      </c>
      <c r="E282" s="2">
        <f t="shared" si="5"/>
        <v>1668717</v>
      </c>
      <c r="G282" s="2">
        <v>-100000</v>
      </c>
      <c r="H282" t="s">
        <v>42</v>
      </c>
    </row>
    <row r="283" spans="1:8" x14ac:dyDescent="0.3">
      <c r="A283" s="1">
        <v>45852</v>
      </c>
      <c r="B283" t="s">
        <v>39</v>
      </c>
      <c r="C283" t="s">
        <v>9</v>
      </c>
      <c r="E283" s="2">
        <f t="shared" si="5"/>
        <v>1568717</v>
      </c>
      <c r="G283" s="2">
        <v>-10990</v>
      </c>
      <c r="H283" t="s">
        <v>198</v>
      </c>
    </row>
    <row r="284" spans="1:8" x14ac:dyDescent="0.3">
      <c r="A284" s="1">
        <v>45852</v>
      </c>
      <c r="B284" t="s">
        <v>171</v>
      </c>
      <c r="C284" t="s">
        <v>9</v>
      </c>
      <c r="E284" s="2">
        <f t="shared" si="5"/>
        <v>1557727</v>
      </c>
      <c r="G284" s="2">
        <v>-3190</v>
      </c>
    </row>
    <row r="285" spans="1:8" x14ac:dyDescent="0.3">
      <c r="A285" s="1">
        <v>45852</v>
      </c>
      <c r="B285" t="s">
        <v>172</v>
      </c>
      <c r="C285" t="s">
        <v>9</v>
      </c>
      <c r="E285" s="2">
        <f t="shared" si="5"/>
        <v>1554537</v>
      </c>
      <c r="G285" s="2">
        <v>-50380</v>
      </c>
    </row>
    <row r="286" spans="1:8" x14ac:dyDescent="0.3">
      <c r="A286" s="1">
        <v>45853</v>
      </c>
      <c r="B286" t="s">
        <v>173</v>
      </c>
      <c r="C286" t="s">
        <v>9</v>
      </c>
      <c r="E286" s="2">
        <f t="shared" si="5"/>
        <v>1504157</v>
      </c>
      <c r="G286" s="2">
        <v>-5600</v>
      </c>
    </row>
    <row r="287" spans="1:8" x14ac:dyDescent="0.3">
      <c r="A287" s="1">
        <v>45853</v>
      </c>
      <c r="B287" t="s">
        <v>54</v>
      </c>
      <c r="C287" t="s">
        <v>9</v>
      </c>
      <c r="D287" t="s">
        <v>26</v>
      </c>
      <c r="E287" s="2">
        <f t="shared" si="5"/>
        <v>1498557</v>
      </c>
      <c r="G287" s="2">
        <v>-110000</v>
      </c>
      <c r="H287" t="s">
        <v>199</v>
      </c>
    </row>
    <row r="288" spans="1:8" x14ac:dyDescent="0.3">
      <c r="A288" s="1">
        <v>45855</v>
      </c>
      <c r="B288" t="s">
        <v>174</v>
      </c>
      <c r="C288" t="s">
        <v>9</v>
      </c>
      <c r="E288" s="2">
        <f t="shared" si="5"/>
        <v>1388557</v>
      </c>
      <c r="G288" s="2">
        <v>-282724</v>
      </c>
      <c r="H288" t="s">
        <v>189</v>
      </c>
    </row>
    <row r="289" spans="1:8" x14ac:dyDescent="0.3">
      <c r="A289" s="1">
        <v>45856</v>
      </c>
      <c r="B289" t="s">
        <v>175</v>
      </c>
      <c r="C289" t="s">
        <v>12</v>
      </c>
      <c r="E289" s="2">
        <f t="shared" si="5"/>
        <v>1105833</v>
      </c>
      <c r="F289" s="2">
        <v>392853</v>
      </c>
      <c r="H289" t="s">
        <v>187</v>
      </c>
    </row>
    <row r="290" spans="1:8" x14ac:dyDescent="0.3">
      <c r="A290" s="1">
        <v>45856</v>
      </c>
      <c r="B290" t="s">
        <v>53</v>
      </c>
      <c r="C290" t="s">
        <v>9</v>
      </c>
      <c r="E290" s="2">
        <f t="shared" si="5"/>
        <v>1498686</v>
      </c>
      <c r="G290" s="2">
        <v>-48424</v>
      </c>
      <c r="H290" t="s">
        <v>165</v>
      </c>
    </row>
    <row r="291" spans="1:8" x14ac:dyDescent="0.3">
      <c r="A291" s="1">
        <v>45856</v>
      </c>
      <c r="B291" t="s">
        <v>85</v>
      </c>
      <c r="C291" t="s">
        <v>10</v>
      </c>
      <c r="E291" s="2">
        <f t="shared" si="5"/>
        <v>1450262</v>
      </c>
      <c r="G291" s="2">
        <v>-40000</v>
      </c>
    </row>
    <row r="292" spans="1:8" x14ac:dyDescent="0.3">
      <c r="A292" s="1">
        <v>45856</v>
      </c>
      <c r="B292" t="s">
        <v>176</v>
      </c>
      <c r="C292" t="s">
        <v>9</v>
      </c>
      <c r="E292" s="2">
        <f t="shared" si="5"/>
        <v>1410262</v>
      </c>
      <c r="G292" s="2">
        <v>-20608</v>
      </c>
      <c r="H292" t="s">
        <v>190</v>
      </c>
    </row>
    <row r="293" spans="1:8" x14ac:dyDescent="0.3">
      <c r="A293" s="1">
        <v>45861</v>
      </c>
      <c r="B293" t="s">
        <v>71</v>
      </c>
      <c r="C293" t="s">
        <v>9</v>
      </c>
      <c r="E293" s="2">
        <f t="shared" si="5"/>
        <v>1389654</v>
      </c>
      <c r="G293" s="2">
        <v>-36650</v>
      </c>
    </row>
    <row r="294" spans="1:8" x14ac:dyDescent="0.3">
      <c r="A294" s="1">
        <v>45861</v>
      </c>
      <c r="B294" t="s">
        <v>177</v>
      </c>
      <c r="C294" t="s">
        <v>9</v>
      </c>
      <c r="E294" s="2">
        <f t="shared" si="5"/>
        <v>1353004</v>
      </c>
      <c r="G294" s="2">
        <v>-124915</v>
      </c>
      <c r="H294" t="s">
        <v>191</v>
      </c>
    </row>
    <row r="295" spans="1:8" x14ac:dyDescent="0.3">
      <c r="A295" s="1">
        <v>45862</v>
      </c>
      <c r="B295" t="s">
        <v>178</v>
      </c>
      <c r="C295" t="s">
        <v>9</v>
      </c>
      <c r="E295" s="2">
        <f t="shared" si="5"/>
        <v>1228089</v>
      </c>
      <c r="G295" s="2">
        <v>-17990</v>
      </c>
      <c r="H295" t="s">
        <v>192</v>
      </c>
    </row>
    <row r="296" spans="1:8" x14ac:dyDescent="0.3">
      <c r="A296" s="1">
        <v>45862</v>
      </c>
      <c r="B296" t="s">
        <v>54</v>
      </c>
      <c r="C296" t="s">
        <v>9</v>
      </c>
      <c r="E296" s="2">
        <f t="shared" si="5"/>
        <v>1210099</v>
      </c>
      <c r="G296" s="2">
        <v>-20000</v>
      </c>
      <c r="H296" t="s">
        <v>200</v>
      </c>
    </row>
    <row r="297" spans="1:8" x14ac:dyDescent="0.3">
      <c r="A297" s="1">
        <v>45862</v>
      </c>
      <c r="B297" t="s">
        <v>179</v>
      </c>
      <c r="C297" t="s">
        <v>9</v>
      </c>
      <c r="E297" s="2">
        <f t="shared" si="5"/>
        <v>1190099</v>
      </c>
      <c r="G297" s="2">
        <v>-7250</v>
      </c>
    </row>
    <row r="298" spans="1:8" x14ac:dyDescent="0.3">
      <c r="A298" s="1">
        <v>45863</v>
      </c>
      <c r="B298" t="s">
        <v>180</v>
      </c>
      <c r="C298" t="s">
        <v>9</v>
      </c>
      <c r="E298" s="2">
        <f t="shared" si="5"/>
        <v>1182849</v>
      </c>
      <c r="G298" s="2">
        <v>-1000000</v>
      </c>
      <c r="H298" t="s">
        <v>193</v>
      </c>
    </row>
    <row r="299" spans="1:8" x14ac:dyDescent="0.3">
      <c r="A299" s="1">
        <v>45866</v>
      </c>
      <c r="B299" t="s">
        <v>180</v>
      </c>
      <c r="C299" t="s">
        <v>9</v>
      </c>
      <c r="E299" s="2">
        <f t="shared" si="5"/>
        <v>182849</v>
      </c>
      <c r="G299" s="2">
        <v>-176434</v>
      </c>
      <c r="H299" t="s">
        <v>193</v>
      </c>
    </row>
    <row r="300" spans="1:8" x14ac:dyDescent="0.3">
      <c r="A300" s="1">
        <v>45868</v>
      </c>
      <c r="B300" t="s">
        <v>43</v>
      </c>
      <c r="C300" t="s">
        <v>19</v>
      </c>
      <c r="E300" s="2">
        <f t="shared" si="5"/>
        <v>6415</v>
      </c>
      <c r="F300" s="2">
        <v>1000000</v>
      </c>
    </row>
    <row r="301" spans="1:8" x14ac:dyDescent="0.3">
      <c r="A301" s="1">
        <v>45868</v>
      </c>
      <c r="B301" t="s">
        <v>41</v>
      </c>
      <c r="C301" t="s">
        <v>9</v>
      </c>
      <c r="E301" s="2">
        <f t="shared" si="5"/>
        <v>1006415</v>
      </c>
      <c r="G301" s="2">
        <v>-100000</v>
      </c>
      <c r="H301" t="s">
        <v>42</v>
      </c>
    </row>
    <row r="302" spans="1:8" x14ac:dyDescent="0.3">
      <c r="A302" s="1">
        <v>45868</v>
      </c>
      <c r="B302" t="s">
        <v>39</v>
      </c>
      <c r="C302" t="s">
        <v>9</v>
      </c>
      <c r="E302" s="2">
        <f t="shared" si="5"/>
        <v>906415</v>
      </c>
      <c r="G302" s="2">
        <v>-17970</v>
      </c>
      <c r="H302" t="s">
        <v>195</v>
      </c>
    </row>
    <row r="303" spans="1:8" x14ac:dyDescent="0.3">
      <c r="A303" s="1">
        <v>45868</v>
      </c>
      <c r="B303" t="s">
        <v>47</v>
      </c>
      <c r="C303" t="s">
        <v>9</v>
      </c>
      <c r="E303" s="2">
        <f t="shared" si="5"/>
        <v>888445</v>
      </c>
      <c r="G303" s="2">
        <v>-144482</v>
      </c>
      <c r="H303" t="s">
        <v>113</v>
      </c>
    </row>
    <row r="304" spans="1:8" x14ac:dyDescent="0.3">
      <c r="A304" s="1">
        <v>45868</v>
      </c>
      <c r="B304" t="s">
        <v>54</v>
      </c>
      <c r="C304" t="s">
        <v>9</v>
      </c>
      <c r="E304" s="2">
        <f t="shared" si="5"/>
        <v>743963</v>
      </c>
      <c r="G304" s="2">
        <v>-218955</v>
      </c>
      <c r="H304" t="s">
        <v>194</v>
      </c>
    </row>
    <row r="305" spans="1:8" x14ac:dyDescent="0.3">
      <c r="A305" s="1">
        <v>45868</v>
      </c>
      <c r="B305" t="s">
        <v>53</v>
      </c>
      <c r="C305" t="s">
        <v>9</v>
      </c>
      <c r="E305" s="2">
        <f t="shared" si="5"/>
        <v>525008</v>
      </c>
      <c r="G305" s="2">
        <v>-10398</v>
      </c>
      <c r="H305" t="s">
        <v>165</v>
      </c>
    </row>
    <row r="306" spans="1:8" x14ac:dyDescent="0.3">
      <c r="A306" s="1">
        <v>45868</v>
      </c>
      <c r="B306" t="s">
        <v>53</v>
      </c>
      <c r="C306" t="s">
        <v>9</v>
      </c>
      <c r="E306" s="2">
        <f t="shared" si="5"/>
        <v>514610</v>
      </c>
      <c r="G306" s="2">
        <v>-176605</v>
      </c>
      <c r="H306" t="s">
        <v>194</v>
      </c>
    </row>
    <row r="307" spans="1:8" x14ac:dyDescent="0.3">
      <c r="A307" s="1">
        <v>45867</v>
      </c>
      <c r="B307" t="s">
        <v>82</v>
      </c>
      <c r="C307" t="s">
        <v>9</v>
      </c>
      <c r="E307" s="2">
        <f t="shared" si="5"/>
        <v>338005</v>
      </c>
      <c r="G307" s="2">
        <v>-19241</v>
      </c>
    </row>
    <row r="308" spans="1:8" x14ac:dyDescent="0.3">
      <c r="A308" s="1">
        <v>45870</v>
      </c>
      <c r="B308" t="s">
        <v>35</v>
      </c>
      <c r="C308" t="s">
        <v>9</v>
      </c>
      <c r="E308" s="2">
        <f t="shared" si="5"/>
        <v>318764</v>
      </c>
      <c r="G308" s="2">
        <v>-44496</v>
      </c>
    </row>
    <row r="309" spans="1:8" x14ac:dyDescent="0.3">
      <c r="A309" s="1">
        <v>45870</v>
      </c>
      <c r="B309" t="s">
        <v>63</v>
      </c>
      <c r="C309" t="s">
        <v>12</v>
      </c>
      <c r="E309" s="2">
        <f t="shared" si="5"/>
        <v>274268</v>
      </c>
      <c r="F309" s="2">
        <v>4000000</v>
      </c>
    </row>
    <row r="310" spans="1:8" x14ac:dyDescent="0.3">
      <c r="A310" s="1">
        <v>45873</v>
      </c>
      <c r="B310" t="s">
        <v>38</v>
      </c>
      <c r="C310" t="s">
        <v>19</v>
      </c>
      <c r="E310" s="2">
        <f t="shared" si="5"/>
        <v>4274268</v>
      </c>
      <c r="G310" s="2">
        <v>-500000</v>
      </c>
    </row>
    <row r="311" spans="1:8" x14ac:dyDescent="0.3">
      <c r="A311" s="1">
        <v>45873</v>
      </c>
      <c r="B311" t="s">
        <v>36</v>
      </c>
      <c r="C311" t="s">
        <v>13</v>
      </c>
      <c r="E311" s="2">
        <f t="shared" si="5"/>
        <v>3774268</v>
      </c>
      <c r="G311" s="2">
        <v>-600000</v>
      </c>
    </row>
    <row r="312" spans="1:8" x14ac:dyDescent="0.3">
      <c r="A312" s="1">
        <v>45873</v>
      </c>
      <c r="B312" t="s">
        <v>39</v>
      </c>
      <c r="C312" t="s">
        <v>13</v>
      </c>
      <c r="E312" s="2">
        <f t="shared" si="5"/>
        <v>3174268</v>
      </c>
      <c r="G312" s="2">
        <v>-145000</v>
      </c>
    </row>
    <row r="313" spans="1:8" x14ac:dyDescent="0.3">
      <c r="A313" s="1">
        <v>45873</v>
      </c>
      <c r="B313" t="s">
        <v>111</v>
      </c>
      <c r="C313" t="s">
        <v>9</v>
      </c>
      <c r="E313" s="2">
        <f t="shared" si="5"/>
        <v>3029268</v>
      </c>
      <c r="G313" s="2">
        <v>-1096870</v>
      </c>
      <c r="H313" t="s">
        <v>196</v>
      </c>
    </row>
    <row r="314" spans="1:8" x14ac:dyDescent="0.3">
      <c r="A314" s="1">
        <v>45873</v>
      </c>
      <c r="B314" t="s">
        <v>181</v>
      </c>
      <c r="C314" t="s">
        <v>18</v>
      </c>
      <c r="E314" s="2">
        <f t="shared" si="5"/>
        <v>1932398</v>
      </c>
      <c r="G314" s="2">
        <v>-17</v>
      </c>
    </row>
    <row r="315" spans="1:8" x14ac:dyDescent="0.3">
      <c r="A315" s="1">
        <v>45873</v>
      </c>
      <c r="B315" t="s">
        <v>182</v>
      </c>
      <c r="C315" t="s">
        <v>18</v>
      </c>
      <c r="E315" s="2">
        <f t="shared" si="5"/>
        <v>1932381</v>
      </c>
      <c r="G315" s="2">
        <v>-8</v>
      </c>
    </row>
    <row r="316" spans="1:8" x14ac:dyDescent="0.3">
      <c r="A316" s="1">
        <v>45874</v>
      </c>
      <c r="B316" t="s">
        <v>183</v>
      </c>
      <c r="C316" t="s">
        <v>9</v>
      </c>
      <c r="E316" s="2">
        <f t="shared" si="5"/>
        <v>1932373</v>
      </c>
      <c r="G316" s="2">
        <v>-4100</v>
      </c>
      <c r="H316" t="s">
        <v>197</v>
      </c>
    </row>
    <row r="317" spans="1:8" x14ac:dyDescent="0.3">
      <c r="A317" s="1">
        <v>45874</v>
      </c>
      <c r="B317" t="s">
        <v>49</v>
      </c>
      <c r="C317" t="s">
        <v>12</v>
      </c>
      <c r="E317" s="2">
        <f t="shared" si="5"/>
        <v>1928273</v>
      </c>
      <c r="F317" s="2">
        <v>100000</v>
      </c>
    </row>
    <row r="318" spans="1:8" x14ac:dyDescent="0.3">
      <c r="A318" s="1">
        <v>45874</v>
      </c>
      <c r="B318" t="s">
        <v>50</v>
      </c>
      <c r="C318" t="s">
        <v>12</v>
      </c>
      <c r="E318" s="2">
        <f t="shared" si="5"/>
        <v>2028273</v>
      </c>
      <c r="F318" s="2">
        <v>100000</v>
      </c>
    </row>
    <row r="319" spans="1:8" x14ac:dyDescent="0.3">
      <c r="A319" s="1">
        <v>45874</v>
      </c>
      <c r="B319" t="s">
        <v>63</v>
      </c>
      <c r="C319" t="s">
        <v>12</v>
      </c>
      <c r="E319" s="2">
        <f t="shared" si="5"/>
        <v>2128273</v>
      </c>
      <c r="F319" s="2">
        <v>100000</v>
      </c>
    </row>
    <row r="320" spans="1:8" x14ac:dyDescent="0.3">
      <c r="A320" s="1">
        <v>45874</v>
      </c>
      <c r="B320" t="s">
        <v>184</v>
      </c>
      <c r="C320" t="s">
        <v>12</v>
      </c>
      <c r="E320" s="2">
        <f t="shared" si="5"/>
        <v>2228273</v>
      </c>
      <c r="F320" s="2">
        <v>100000</v>
      </c>
    </row>
    <row r="321" spans="1:8" x14ac:dyDescent="0.3">
      <c r="A321" s="1">
        <v>45874</v>
      </c>
      <c r="B321" t="s">
        <v>48</v>
      </c>
      <c r="C321" t="s">
        <v>12</v>
      </c>
      <c r="E321" s="2">
        <f t="shared" si="5"/>
        <v>2328273</v>
      </c>
      <c r="F321" s="2">
        <v>100000</v>
      </c>
    </row>
    <row r="322" spans="1:8" x14ac:dyDescent="0.3">
      <c r="A322" s="1">
        <v>45875</v>
      </c>
      <c r="B322" t="s">
        <v>201</v>
      </c>
      <c r="C322" t="s">
        <v>12</v>
      </c>
      <c r="E322" s="2">
        <f t="shared" si="5"/>
        <v>2428273</v>
      </c>
      <c r="F322" s="2">
        <v>785707</v>
      </c>
    </row>
    <row r="323" spans="1:8" x14ac:dyDescent="0.3">
      <c r="A323" s="1">
        <v>45880</v>
      </c>
      <c r="B323" t="s">
        <v>88</v>
      </c>
      <c r="C323" t="s">
        <v>16</v>
      </c>
      <c r="E323" s="2">
        <f t="shared" si="5"/>
        <v>3213980</v>
      </c>
      <c r="G323" s="2">
        <v>-2700000</v>
      </c>
    </row>
    <row r="324" spans="1:8" x14ac:dyDescent="0.3">
      <c r="A324" s="1">
        <v>45880</v>
      </c>
      <c r="B324" t="s">
        <v>74</v>
      </c>
      <c r="C324" t="s">
        <v>9</v>
      </c>
      <c r="E324" s="2">
        <f t="shared" si="5"/>
        <v>513980</v>
      </c>
      <c r="G324" s="2">
        <v>-49188</v>
      </c>
    </row>
    <row r="325" spans="1:8" x14ac:dyDescent="0.3">
      <c r="A325" s="1">
        <v>45880</v>
      </c>
      <c r="B325" t="s">
        <v>71</v>
      </c>
      <c r="C325" t="s">
        <v>9</v>
      </c>
      <c r="E325" s="2">
        <f t="shared" si="5"/>
        <v>464792</v>
      </c>
      <c r="G325" s="2">
        <v>-30432</v>
      </c>
    </row>
    <row r="326" spans="1:8" x14ac:dyDescent="0.3">
      <c r="A326" s="1">
        <v>45880</v>
      </c>
      <c r="B326" t="s">
        <v>44</v>
      </c>
      <c r="C326" t="s">
        <v>14</v>
      </c>
      <c r="E326" s="2">
        <f t="shared" si="5"/>
        <v>434360</v>
      </c>
      <c r="G326" s="2">
        <v>-138342</v>
      </c>
      <c r="H326" t="s">
        <v>147</v>
      </c>
    </row>
    <row r="327" spans="1:8" x14ac:dyDescent="0.3">
      <c r="A327" s="1">
        <v>45881</v>
      </c>
      <c r="B327" t="s">
        <v>202</v>
      </c>
      <c r="C327" t="s">
        <v>20</v>
      </c>
      <c r="D327" t="s">
        <v>218</v>
      </c>
      <c r="E327" s="2">
        <f t="shared" ref="E327:E390" si="6">E326+F326+G326</f>
        <v>296018</v>
      </c>
      <c r="G327" s="2">
        <v>-231121</v>
      </c>
    </row>
    <row r="328" spans="1:8" x14ac:dyDescent="0.3">
      <c r="A328" s="1">
        <v>45881</v>
      </c>
      <c r="B328" t="s">
        <v>203</v>
      </c>
      <c r="C328" t="s">
        <v>9</v>
      </c>
      <c r="E328" s="2">
        <f t="shared" si="6"/>
        <v>64897</v>
      </c>
      <c r="G328" s="2">
        <v>-10290</v>
      </c>
    </row>
    <row r="329" spans="1:8" x14ac:dyDescent="0.3">
      <c r="A329" s="1">
        <v>45882</v>
      </c>
      <c r="B329" t="s">
        <v>43</v>
      </c>
      <c r="C329" t="s">
        <v>19</v>
      </c>
      <c r="E329" s="2">
        <f t="shared" si="6"/>
        <v>54607</v>
      </c>
      <c r="F329" s="2">
        <v>100000</v>
      </c>
    </row>
    <row r="330" spans="1:8" x14ac:dyDescent="0.3">
      <c r="A330" s="1">
        <v>45882</v>
      </c>
      <c r="B330" t="s">
        <v>41</v>
      </c>
      <c r="C330" t="s">
        <v>9</v>
      </c>
      <c r="E330" s="2">
        <f t="shared" si="6"/>
        <v>154607</v>
      </c>
      <c r="G330" s="2">
        <v>-100000</v>
      </c>
      <c r="H330" t="s">
        <v>205</v>
      </c>
    </row>
    <row r="331" spans="1:8" x14ac:dyDescent="0.3">
      <c r="A331" s="1">
        <v>45887</v>
      </c>
      <c r="B331" t="s">
        <v>204</v>
      </c>
      <c r="C331" t="s">
        <v>12</v>
      </c>
      <c r="E331" s="2">
        <f t="shared" si="6"/>
        <v>54607</v>
      </c>
      <c r="F331" s="2">
        <v>314283</v>
      </c>
    </row>
    <row r="332" spans="1:8" x14ac:dyDescent="0.3">
      <c r="A332" s="1">
        <v>45894</v>
      </c>
      <c r="B332" t="s">
        <v>74</v>
      </c>
      <c r="C332" t="s">
        <v>9</v>
      </c>
      <c r="E332" s="2">
        <f>E331+F331+G331</f>
        <v>368890</v>
      </c>
      <c r="G332" s="2">
        <v>-84223</v>
      </c>
    </row>
    <row r="333" spans="1:8" x14ac:dyDescent="0.3">
      <c r="A333" s="1">
        <v>45895</v>
      </c>
      <c r="B333" t="s">
        <v>52</v>
      </c>
      <c r="C333" t="s">
        <v>16</v>
      </c>
      <c r="E333" s="2">
        <f t="shared" si="6"/>
        <v>284667</v>
      </c>
      <c r="F333" s="2">
        <v>1900000</v>
      </c>
    </row>
    <row r="334" spans="1:8" x14ac:dyDescent="0.3">
      <c r="A334" s="1">
        <v>45895</v>
      </c>
      <c r="B334" t="s">
        <v>180</v>
      </c>
      <c r="C334" s="9" t="s">
        <v>9</v>
      </c>
      <c r="D334" s="9"/>
      <c r="E334" s="2">
        <f t="shared" si="6"/>
        <v>2184667</v>
      </c>
      <c r="F334" s="11"/>
      <c r="G334" s="2">
        <v>-1180000</v>
      </c>
      <c r="H334" t="s">
        <v>211</v>
      </c>
    </row>
    <row r="335" spans="1:8" x14ac:dyDescent="0.3">
      <c r="A335" s="1">
        <v>45895</v>
      </c>
      <c r="B335" t="s">
        <v>206</v>
      </c>
      <c r="C335" s="9" t="s">
        <v>9</v>
      </c>
      <c r="D335" s="9"/>
      <c r="E335" s="2">
        <f t="shared" si="6"/>
        <v>1004667</v>
      </c>
      <c r="F335" s="11"/>
      <c r="G335" s="2">
        <v>-702100</v>
      </c>
      <c r="H335" t="s">
        <v>212</v>
      </c>
    </row>
    <row r="336" spans="1:8" x14ac:dyDescent="0.3">
      <c r="A336" s="1">
        <v>45897</v>
      </c>
      <c r="B336" t="s">
        <v>109</v>
      </c>
      <c r="C336" s="9" t="s">
        <v>9</v>
      </c>
      <c r="D336" s="9" t="s">
        <v>26</v>
      </c>
      <c r="E336" s="2">
        <f t="shared" si="6"/>
        <v>302567</v>
      </c>
      <c r="F336" s="10"/>
      <c r="G336" s="2">
        <v>-36000</v>
      </c>
    </row>
    <row r="337" spans="1:8" x14ac:dyDescent="0.3">
      <c r="A337" s="1">
        <v>45897</v>
      </c>
      <c r="B337" t="s">
        <v>109</v>
      </c>
      <c r="C337" s="9" t="s">
        <v>9</v>
      </c>
      <c r="D337" t="s">
        <v>26</v>
      </c>
      <c r="E337" s="2">
        <f t="shared" si="6"/>
        <v>266567</v>
      </c>
      <c r="G337" s="2">
        <v>-33600</v>
      </c>
    </row>
    <row r="338" spans="1:8" x14ac:dyDescent="0.3">
      <c r="A338" s="1">
        <v>45897</v>
      </c>
      <c r="B338" t="s">
        <v>47</v>
      </c>
      <c r="C338" t="s">
        <v>9</v>
      </c>
      <c r="E338" s="2">
        <f t="shared" si="6"/>
        <v>232967</v>
      </c>
      <c r="G338" s="2">
        <v>-133766</v>
      </c>
    </row>
    <row r="339" spans="1:8" x14ac:dyDescent="0.3">
      <c r="A339" s="1">
        <v>45896</v>
      </c>
      <c r="B339" t="s">
        <v>82</v>
      </c>
      <c r="C339" t="s">
        <v>9</v>
      </c>
      <c r="E339" s="2">
        <f t="shared" si="6"/>
        <v>99201</v>
      </c>
      <c r="G339" s="2">
        <v>-19198</v>
      </c>
    </row>
    <row r="340" spans="1:8" x14ac:dyDescent="0.3">
      <c r="A340" s="1">
        <v>45898</v>
      </c>
      <c r="B340" t="s">
        <v>53</v>
      </c>
      <c r="C340" t="s">
        <v>9</v>
      </c>
      <c r="E340" s="2">
        <f t="shared" si="6"/>
        <v>80003</v>
      </c>
      <c r="G340" s="2">
        <v>-69990</v>
      </c>
      <c r="H340" t="s">
        <v>219</v>
      </c>
    </row>
    <row r="341" spans="1:8" x14ac:dyDescent="0.3">
      <c r="A341" s="1">
        <v>45901</v>
      </c>
      <c r="B341" t="s">
        <v>63</v>
      </c>
      <c r="C341" t="s">
        <v>12</v>
      </c>
      <c r="E341" s="2">
        <f t="shared" si="6"/>
        <v>10013</v>
      </c>
      <c r="F341" s="2">
        <v>4000000</v>
      </c>
    </row>
    <row r="342" spans="1:8" x14ac:dyDescent="0.3">
      <c r="A342" s="1">
        <v>45901</v>
      </c>
      <c r="B342" t="s">
        <v>39</v>
      </c>
      <c r="C342" t="s">
        <v>9</v>
      </c>
      <c r="E342" s="2">
        <f t="shared" si="6"/>
        <v>4010013</v>
      </c>
      <c r="G342" s="2">
        <v>-20847</v>
      </c>
      <c r="H342" t="s">
        <v>209</v>
      </c>
    </row>
    <row r="343" spans="1:8" x14ac:dyDescent="0.3">
      <c r="A343" s="1">
        <v>45901</v>
      </c>
      <c r="B343" t="s">
        <v>39</v>
      </c>
      <c r="C343" t="s">
        <v>9</v>
      </c>
      <c r="E343" s="2">
        <f t="shared" si="6"/>
        <v>3989166</v>
      </c>
      <c r="G343" s="2">
        <v>-7700</v>
      </c>
      <c r="H343" t="s">
        <v>210</v>
      </c>
    </row>
    <row r="344" spans="1:8" x14ac:dyDescent="0.3">
      <c r="A344" s="1">
        <v>45901</v>
      </c>
      <c r="B344" t="s">
        <v>39</v>
      </c>
      <c r="C344" t="s">
        <v>13</v>
      </c>
      <c r="E344" s="2">
        <f t="shared" si="6"/>
        <v>3981466</v>
      </c>
      <c r="G344" s="2">
        <v>-145000</v>
      </c>
    </row>
    <row r="345" spans="1:8" x14ac:dyDescent="0.3">
      <c r="A345" s="1">
        <v>45901</v>
      </c>
      <c r="B345" t="s">
        <v>183</v>
      </c>
      <c r="C345" t="s">
        <v>9</v>
      </c>
      <c r="E345" s="2">
        <f t="shared" si="6"/>
        <v>3836466</v>
      </c>
      <c r="G345" s="2">
        <v>-35688</v>
      </c>
    </row>
    <row r="346" spans="1:8" x14ac:dyDescent="0.3">
      <c r="A346" s="1">
        <v>45901</v>
      </c>
      <c r="B346" t="s">
        <v>207</v>
      </c>
      <c r="C346" t="s">
        <v>9</v>
      </c>
      <c r="D346" t="s">
        <v>26</v>
      </c>
      <c r="E346" s="2">
        <f t="shared" si="6"/>
        <v>3800778</v>
      </c>
      <c r="G346" s="2">
        <v>-151350</v>
      </c>
    </row>
    <row r="347" spans="1:8" x14ac:dyDescent="0.3">
      <c r="A347" s="1">
        <v>45901</v>
      </c>
      <c r="B347" t="s">
        <v>35</v>
      </c>
      <c r="C347" t="s">
        <v>9</v>
      </c>
      <c r="E347" s="2">
        <f t="shared" si="6"/>
        <v>3649428</v>
      </c>
      <c r="G347" s="2">
        <v>-46200</v>
      </c>
    </row>
    <row r="348" spans="1:8" x14ac:dyDescent="0.3">
      <c r="A348" s="1">
        <v>45901</v>
      </c>
      <c r="B348" t="s">
        <v>208</v>
      </c>
      <c r="C348" t="s">
        <v>13</v>
      </c>
      <c r="E348" s="2">
        <f t="shared" si="6"/>
        <v>3603228</v>
      </c>
      <c r="G348" s="2">
        <v>-600000</v>
      </c>
    </row>
    <row r="349" spans="1:8" x14ac:dyDescent="0.3">
      <c r="A349" s="1">
        <v>45902</v>
      </c>
      <c r="B349" t="s">
        <v>85</v>
      </c>
      <c r="C349" t="s">
        <v>10</v>
      </c>
      <c r="E349" s="2">
        <f t="shared" si="6"/>
        <v>3003228</v>
      </c>
      <c r="G349" s="2">
        <v>-140000</v>
      </c>
    </row>
    <row r="350" spans="1:8" x14ac:dyDescent="0.3">
      <c r="A350" s="1">
        <v>45902</v>
      </c>
      <c r="B350" t="s">
        <v>56</v>
      </c>
      <c r="C350" t="s">
        <v>9</v>
      </c>
      <c r="E350" s="2">
        <f t="shared" si="6"/>
        <v>2863228</v>
      </c>
      <c r="G350" s="2">
        <v>-26000</v>
      </c>
    </row>
    <row r="351" spans="1:8" x14ac:dyDescent="0.3">
      <c r="A351" s="1">
        <v>45902</v>
      </c>
      <c r="B351" t="s">
        <v>88</v>
      </c>
      <c r="C351" t="s">
        <v>16</v>
      </c>
      <c r="E351" s="2">
        <f t="shared" si="6"/>
        <v>2837228</v>
      </c>
      <c r="G351" s="2">
        <v>-2000000</v>
      </c>
    </row>
    <row r="352" spans="1:8" x14ac:dyDescent="0.3">
      <c r="A352" s="1">
        <v>45903</v>
      </c>
      <c r="B352" t="s">
        <v>213</v>
      </c>
      <c r="C352" t="s">
        <v>12</v>
      </c>
      <c r="E352" s="2">
        <f t="shared" si="6"/>
        <v>837228</v>
      </c>
      <c r="F352" s="2">
        <v>630311</v>
      </c>
      <c r="H352" t="s">
        <v>217</v>
      </c>
    </row>
    <row r="353" spans="1:8" x14ac:dyDescent="0.3">
      <c r="A353" s="1">
        <v>45904</v>
      </c>
      <c r="B353" t="s">
        <v>142</v>
      </c>
      <c r="C353" t="s">
        <v>12</v>
      </c>
      <c r="E353" s="2">
        <f t="shared" si="6"/>
        <v>1467539</v>
      </c>
      <c r="F353" s="2">
        <v>3750000</v>
      </c>
      <c r="H353" t="s">
        <v>216</v>
      </c>
    </row>
    <row r="354" spans="1:8" x14ac:dyDescent="0.3">
      <c r="A354" s="1">
        <v>45904</v>
      </c>
      <c r="B354" t="s">
        <v>142</v>
      </c>
      <c r="C354" t="s">
        <v>12</v>
      </c>
      <c r="E354" s="2">
        <f t="shared" si="6"/>
        <v>5217539</v>
      </c>
      <c r="F354" s="2">
        <v>5000000</v>
      </c>
      <c r="H354" t="s">
        <v>216</v>
      </c>
    </row>
    <row r="355" spans="1:8" x14ac:dyDescent="0.3">
      <c r="A355" s="1">
        <v>45904</v>
      </c>
      <c r="B355" t="s">
        <v>43</v>
      </c>
      <c r="C355" t="s">
        <v>19</v>
      </c>
      <c r="E355" s="2">
        <f t="shared" si="6"/>
        <v>10217539</v>
      </c>
      <c r="F355" s="2">
        <v>3000000</v>
      </c>
    </row>
    <row r="356" spans="1:8" x14ac:dyDescent="0.3">
      <c r="A356" s="1">
        <v>45904</v>
      </c>
      <c r="B356" t="s">
        <v>214</v>
      </c>
      <c r="C356" t="s">
        <v>9</v>
      </c>
      <c r="E356" s="2">
        <f t="shared" si="6"/>
        <v>13217539</v>
      </c>
      <c r="G356" s="2">
        <v>-2168920</v>
      </c>
    </row>
    <row r="357" spans="1:8" x14ac:dyDescent="0.3">
      <c r="A357" s="1">
        <v>45905</v>
      </c>
      <c r="B357" t="s">
        <v>142</v>
      </c>
      <c r="C357" t="s">
        <v>12</v>
      </c>
      <c r="E357" s="2">
        <f t="shared" si="6"/>
        <v>11048619</v>
      </c>
      <c r="F357" s="2">
        <v>5000000</v>
      </c>
      <c r="H357" t="s">
        <v>216</v>
      </c>
    </row>
    <row r="358" spans="1:8" x14ac:dyDescent="0.3">
      <c r="A358" s="1">
        <v>45905</v>
      </c>
      <c r="B358" t="s">
        <v>142</v>
      </c>
      <c r="C358" t="s">
        <v>12</v>
      </c>
      <c r="E358" s="2">
        <f t="shared" si="6"/>
        <v>16048619</v>
      </c>
      <c r="F358" s="2">
        <v>5000000</v>
      </c>
      <c r="H358" t="s">
        <v>216</v>
      </c>
    </row>
    <row r="359" spans="1:8" x14ac:dyDescent="0.3">
      <c r="A359" s="1">
        <v>45905</v>
      </c>
      <c r="B359" t="s">
        <v>142</v>
      </c>
      <c r="C359" t="s">
        <v>12</v>
      </c>
      <c r="E359" s="2">
        <f t="shared" si="6"/>
        <v>21048619</v>
      </c>
      <c r="F359" s="2">
        <v>5000000</v>
      </c>
      <c r="H359" t="s">
        <v>216</v>
      </c>
    </row>
    <row r="360" spans="1:8" x14ac:dyDescent="0.3">
      <c r="A360" s="1">
        <v>45905</v>
      </c>
      <c r="B360" t="s">
        <v>106</v>
      </c>
      <c r="C360" t="s">
        <v>20</v>
      </c>
      <c r="D360" t="s">
        <v>120</v>
      </c>
      <c r="E360" s="2">
        <f t="shared" si="6"/>
        <v>26048619</v>
      </c>
      <c r="G360" s="2">
        <v>-24086693</v>
      </c>
    </row>
    <row r="361" spans="1:8" x14ac:dyDescent="0.3">
      <c r="A361" s="1">
        <v>45905</v>
      </c>
      <c r="B361" t="s">
        <v>48</v>
      </c>
      <c r="C361" t="s">
        <v>115</v>
      </c>
      <c r="E361" s="2">
        <f t="shared" si="6"/>
        <v>1961926</v>
      </c>
      <c r="F361" s="2">
        <v>23940000</v>
      </c>
      <c r="H361" t="s">
        <v>215</v>
      </c>
    </row>
    <row r="362" spans="1:8" x14ac:dyDescent="0.3">
      <c r="A362" s="1">
        <v>45905</v>
      </c>
      <c r="B362" t="s">
        <v>48</v>
      </c>
      <c r="C362" t="s">
        <v>12</v>
      </c>
      <c r="E362" s="2">
        <f t="shared" si="6"/>
        <v>25901926</v>
      </c>
      <c r="F362" s="2">
        <v>100000</v>
      </c>
      <c r="H362" t="s">
        <v>51</v>
      </c>
    </row>
    <row r="363" spans="1:8" x14ac:dyDescent="0.3">
      <c r="A363" s="1">
        <v>45905</v>
      </c>
      <c r="B363" t="s">
        <v>50</v>
      </c>
      <c r="C363" t="s">
        <v>12</v>
      </c>
      <c r="E363" s="2">
        <f t="shared" si="6"/>
        <v>26001926</v>
      </c>
      <c r="F363" s="2">
        <v>100000</v>
      </c>
      <c r="H363" t="s">
        <v>51</v>
      </c>
    </row>
    <row r="364" spans="1:8" x14ac:dyDescent="0.3">
      <c r="A364" s="1">
        <v>45905</v>
      </c>
      <c r="B364" t="s">
        <v>63</v>
      </c>
      <c r="C364" t="s">
        <v>12</v>
      </c>
      <c r="E364" s="2">
        <f t="shared" si="6"/>
        <v>26101926</v>
      </c>
      <c r="F364" s="2">
        <v>100000</v>
      </c>
      <c r="H364" t="s">
        <v>51</v>
      </c>
    </row>
    <row r="365" spans="1:8" x14ac:dyDescent="0.3">
      <c r="A365" s="1">
        <v>45905</v>
      </c>
      <c r="B365" t="s">
        <v>49</v>
      </c>
      <c r="C365" t="s">
        <v>12</v>
      </c>
      <c r="E365" s="2">
        <f t="shared" si="6"/>
        <v>26201926</v>
      </c>
      <c r="F365" s="2">
        <v>100000</v>
      </c>
      <c r="H365" t="s">
        <v>51</v>
      </c>
    </row>
    <row r="366" spans="1:8" x14ac:dyDescent="0.3">
      <c r="A366" s="1">
        <v>45905</v>
      </c>
      <c r="B366" t="s">
        <v>184</v>
      </c>
      <c r="C366" t="s">
        <v>12</v>
      </c>
      <c r="E366" s="2">
        <f t="shared" si="6"/>
        <v>26301926</v>
      </c>
      <c r="F366" s="2">
        <v>100000</v>
      </c>
      <c r="H366" t="s">
        <v>51</v>
      </c>
    </row>
    <row r="367" spans="1:8" x14ac:dyDescent="0.3">
      <c r="A367" s="1">
        <v>45905</v>
      </c>
      <c r="B367" t="s">
        <v>71</v>
      </c>
      <c r="C367" t="s">
        <v>9</v>
      </c>
      <c r="E367" s="2">
        <f t="shared" si="6"/>
        <v>26401926</v>
      </c>
      <c r="G367" s="2">
        <v>-37129</v>
      </c>
    </row>
    <row r="368" spans="1:8" x14ac:dyDescent="0.3">
      <c r="A368" s="1">
        <v>45905</v>
      </c>
      <c r="B368" t="s">
        <v>53</v>
      </c>
      <c r="C368" t="s">
        <v>9</v>
      </c>
      <c r="E368" s="2">
        <f t="shared" si="6"/>
        <v>26364797</v>
      </c>
      <c r="G368" s="2">
        <v>-24981</v>
      </c>
    </row>
    <row r="369" spans="1:8" x14ac:dyDescent="0.3">
      <c r="A369" s="1">
        <v>45905</v>
      </c>
      <c r="B369" t="s">
        <v>88</v>
      </c>
      <c r="C369" t="s">
        <v>16</v>
      </c>
      <c r="E369" s="2">
        <f t="shared" si="6"/>
        <v>26339816</v>
      </c>
      <c r="G369" s="2">
        <v>-26000000</v>
      </c>
    </row>
    <row r="370" spans="1:8" x14ac:dyDescent="0.3">
      <c r="A370" s="1">
        <v>45909</v>
      </c>
      <c r="B370" t="s">
        <v>74</v>
      </c>
      <c r="C370" t="s">
        <v>9</v>
      </c>
      <c r="E370" s="2">
        <f t="shared" si="6"/>
        <v>339816</v>
      </c>
      <c r="G370" s="2">
        <v>-20872</v>
      </c>
    </row>
    <row r="371" spans="1:8" x14ac:dyDescent="0.3">
      <c r="A371" s="1">
        <v>45909</v>
      </c>
      <c r="B371" t="s">
        <v>203</v>
      </c>
      <c r="C371" t="s">
        <v>9</v>
      </c>
      <c r="E371" s="2">
        <f t="shared" si="6"/>
        <v>318944</v>
      </c>
      <c r="G371" s="2">
        <v>-8220</v>
      </c>
    </row>
    <row r="372" spans="1:8" x14ac:dyDescent="0.3">
      <c r="A372" s="1">
        <v>45909</v>
      </c>
      <c r="B372" t="s">
        <v>184</v>
      </c>
      <c r="C372" t="s">
        <v>12</v>
      </c>
      <c r="E372" s="2">
        <f t="shared" si="6"/>
        <v>310724</v>
      </c>
      <c r="F372" s="2">
        <v>1000000</v>
      </c>
      <c r="H372" t="s">
        <v>238</v>
      </c>
    </row>
    <row r="373" spans="1:8" x14ac:dyDescent="0.3">
      <c r="A373" s="1">
        <v>45909</v>
      </c>
      <c r="B373" t="s">
        <v>184</v>
      </c>
      <c r="C373" t="s">
        <v>20</v>
      </c>
      <c r="E373" s="2">
        <f t="shared" si="6"/>
        <v>1310724</v>
      </c>
      <c r="F373" s="2">
        <v>1000000</v>
      </c>
      <c r="H373" t="s">
        <v>248</v>
      </c>
    </row>
    <row r="374" spans="1:8" x14ac:dyDescent="0.3">
      <c r="A374" s="1">
        <v>45909</v>
      </c>
      <c r="B374" t="s">
        <v>39</v>
      </c>
      <c r="C374" t="s">
        <v>9</v>
      </c>
      <c r="E374" s="2">
        <f t="shared" si="6"/>
        <v>2310724</v>
      </c>
      <c r="G374" s="2">
        <v>-5689</v>
      </c>
      <c r="H374" t="s">
        <v>235</v>
      </c>
    </row>
    <row r="375" spans="1:8" x14ac:dyDescent="0.3">
      <c r="A375" s="1">
        <v>45910</v>
      </c>
      <c r="B375" t="s">
        <v>44</v>
      </c>
      <c r="C375" t="s">
        <v>14</v>
      </c>
      <c r="E375" s="2">
        <f t="shared" si="6"/>
        <v>2305035</v>
      </c>
      <c r="G375" s="2">
        <v>-31292</v>
      </c>
    </row>
    <row r="376" spans="1:8" x14ac:dyDescent="0.3">
      <c r="A376" s="1">
        <v>45910</v>
      </c>
      <c r="B376" t="s">
        <v>56</v>
      </c>
      <c r="C376" t="s">
        <v>14</v>
      </c>
      <c r="D376" t="s">
        <v>26</v>
      </c>
      <c r="E376" s="2">
        <f t="shared" si="6"/>
        <v>2273743</v>
      </c>
      <c r="G376" s="2">
        <v>-59540</v>
      </c>
      <c r="H376" t="s">
        <v>223</v>
      </c>
    </row>
    <row r="377" spans="1:8" x14ac:dyDescent="0.3">
      <c r="A377" s="1">
        <v>45910</v>
      </c>
      <c r="B377" t="s">
        <v>39</v>
      </c>
      <c r="C377" t="s">
        <v>9</v>
      </c>
      <c r="E377" s="2">
        <f t="shared" si="6"/>
        <v>2214203</v>
      </c>
      <c r="G377" s="2">
        <v>-3780</v>
      </c>
    </row>
    <row r="378" spans="1:8" x14ac:dyDescent="0.3">
      <c r="A378" s="1">
        <v>45910</v>
      </c>
      <c r="B378" t="s">
        <v>56</v>
      </c>
      <c r="C378" t="s">
        <v>14</v>
      </c>
      <c r="E378" s="2">
        <f t="shared" si="6"/>
        <v>2210423</v>
      </c>
      <c r="G378" s="2">
        <v>-326880</v>
      </c>
      <c r="H378" t="s">
        <v>223</v>
      </c>
    </row>
    <row r="379" spans="1:8" x14ac:dyDescent="0.3">
      <c r="A379" s="1">
        <v>45910</v>
      </c>
      <c r="B379" t="s">
        <v>56</v>
      </c>
      <c r="C379" t="s">
        <v>14</v>
      </c>
      <c r="E379" s="2">
        <f t="shared" si="6"/>
        <v>1883543</v>
      </c>
      <c r="G379" s="2">
        <v>-213762</v>
      </c>
      <c r="H379" t="s">
        <v>223</v>
      </c>
    </row>
    <row r="380" spans="1:8" x14ac:dyDescent="0.3">
      <c r="A380" s="1">
        <v>45910</v>
      </c>
      <c r="B380" t="s">
        <v>39</v>
      </c>
      <c r="C380" t="s">
        <v>9</v>
      </c>
      <c r="E380" s="2">
        <f t="shared" si="6"/>
        <v>1669781</v>
      </c>
      <c r="G380" s="2">
        <v>-63886</v>
      </c>
      <c r="H380" t="s">
        <v>233</v>
      </c>
    </row>
    <row r="381" spans="1:8" x14ac:dyDescent="0.3">
      <c r="A381" s="1">
        <v>45911</v>
      </c>
      <c r="B381" t="s">
        <v>224</v>
      </c>
      <c r="C381" t="s">
        <v>9</v>
      </c>
      <c r="D381" t="s">
        <v>26</v>
      </c>
      <c r="E381" s="2">
        <f t="shared" si="6"/>
        <v>1605895</v>
      </c>
      <c r="G381" s="2">
        <v>-60322</v>
      </c>
    </row>
    <row r="382" spans="1:8" x14ac:dyDescent="0.3">
      <c r="A382" s="1">
        <v>45911</v>
      </c>
      <c r="B382" t="s">
        <v>220</v>
      </c>
      <c r="C382" t="s">
        <v>9</v>
      </c>
      <c r="D382" t="s">
        <v>26</v>
      </c>
      <c r="E382" s="2">
        <f t="shared" si="6"/>
        <v>1545573</v>
      </c>
      <c r="G382" s="2">
        <v>-7770</v>
      </c>
    </row>
    <row r="383" spans="1:8" x14ac:dyDescent="0.3">
      <c r="A383" s="1">
        <v>45911</v>
      </c>
      <c r="B383" t="s">
        <v>221</v>
      </c>
      <c r="C383" t="s">
        <v>9</v>
      </c>
      <c r="D383" t="s">
        <v>26</v>
      </c>
      <c r="E383" s="2">
        <f t="shared" si="6"/>
        <v>1537803</v>
      </c>
      <c r="G383" s="2">
        <v>-17600</v>
      </c>
    </row>
    <row r="384" spans="1:8" x14ac:dyDescent="0.3">
      <c r="A384" s="1">
        <v>45912</v>
      </c>
      <c r="B384" t="s">
        <v>173</v>
      </c>
      <c r="C384" t="s">
        <v>9</v>
      </c>
      <c r="D384" t="s">
        <v>26</v>
      </c>
      <c r="E384" s="2">
        <f t="shared" si="6"/>
        <v>1520203</v>
      </c>
      <c r="G384" s="2">
        <v>-4600</v>
      </c>
    </row>
    <row r="385" spans="1:8" x14ac:dyDescent="0.3">
      <c r="A385" s="1">
        <v>45912</v>
      </c>
      <c r="B385" t="s">
        <v>222</v>
      </c>
      <c r="C385" t="s">
        <v>9</v>
      </c>
      <c r="D385" t="s">
        <v>26</v>
      </c>
      <c r="E385" s="2">
        <f t="shared" si="6"/>
        <v>1515603</v>
      </c>
      <c r="G385" s="2">
        <v>-8470</v>
      </c>
    </row>
    <row r="386" spans="1:8" x14ac:dyDescent="0.3">
      <c r="A386" s="1">
        <v>45915</v>
      </c>
      <c r="B386" t="s">
        <v>53</v>
      </c>
      <c r="C386" t="s">
        <v>9</v>
      </c>
      <c r="E386" s="2">
        <f t="shared" si="6"/>
        <v>1507133</v>
      </c>
      <c r="G386" s="2">
        <v>-22820</v>
      </c>
      <c r="H386" t="s">
        <v>242</v>
      </c>
    </row>
    <row r="387" spans="1:8" x14ac:dyDescent="0.3">
      <c r="A387" s="1">
        <v>45915</v>
      </c>
      <c r="B387" t="s">
        <v>39</v>
      </c>
      <c r="C387" t="s">
        <v>9</v>
      </c>
      <c r="E387" s="2">
        <f t="shared" si="6"/>
        <v>1484313</v>
      </c>
      <c r="G387" s="2">
        <v>-14220</v>
      </c>
    </row>
    <row r="388" spans="1:8" x14ac:dyDescent="0.3">
      <c r="A388" s="1">
        <v>45915</v>
      </c>
      <c r="B388" t="s">
        <v>39</v>
      </c>
      <c r="C388" t="s">
        <v>9</v>
      </c>
      <c r="E388" s="2">
        <f t="shared" si="6"/>
        <v>1470093</v>
      </c>
      <c r="G388" s="2">
        <v>-2845</v>
      </c>
    </row>
    <row r="389" spans="1:8" x14ac:dyDescent="0.3">
      <c r="A389" s="1">
        <v>45915</v>
      </c>
      <c r="B389" t="s">
        <v>39</v>
      </c>
      <c r="C389" t="s">
        <v>9</v>
      </c>
      <c r="E389" s="2">
        <f t="shared" si="6"/>
        <v>1467248</v>
      </c>
      <c r="G389" s="2">
        <v>-15972</v>
      </c>
    </row>
    <row r="390" spans="1:8" x14ac:dyDescent="0.3">
      <c r="A390" s="1">
        <v>45915</v>
      </c>
      <c r="B390" t="s">
        <v>39</v>
      </c>
      <c r="C390" t="s">
        <v>9</v>
      </c>
      <c r="E390" s="2">
        <f t="shared" si="6"/>
        <v>1451276</v>
      </c>
      <c r="G390" s="2">
        <v>-4380</v>
      </c>
      <c r="H390" t="s">
        <v>234</v>
      </c>
    </row>
    <row r="391" spans="1:8" x14ac:dyDescent="0.3">
      <c r="A391" s="1">
        <v>45915</v>
      </c>
      <c r="B391" t="s">
        <v>54</v>
      </c>
      <c r="C391" t="s">
        <v>9</v>
      </c>
      <c r="E391" s="2">
        <f t="shared" ref="E391:E454" si="7">E390+F390+G390</f>
        <v>1446896</v>
      </c>
      <c r="G391" s="2">
        <v>-40000</v>
      </c>
      <c r="H391" t="s">
        <v>243</v>
      </c>
    </row>
    <row r="392" spans="1:8" x14ac:dyDescent="0.3">
      <c r="A392" s="1">
        <v>45916</v>
      </c>
      <c r="B392" t="s">
        <v>39</v>
      </c>
      <c r="C392" t="s">
        <v>13</v>
      </c>
      <c r="E392" s="2">
        <f t="shared" si="7"/>
        <v>1406896</v>
      </c>
      <c r="G392" s="2">
        <v>-100000</v>
      </c>
    </row>
    <row r="393" spans="1:8" x14ac:dyDescent="0.3">
      <c r="A393" s="1">
        <v>45917</v>
      </c>
      <c r="B393" t="s">
        <v>85</v>
      </c>
      <c r="C393" t="s">
        <v>10</v>
      </c>
      <c r="E393" s="2">
        <f t="shared" si="7"/>
        <v>1306896</v>
      </c>
      <c r="G393" s="2">
        <v>-10000</v>
      </c>
    </row>
    <row r="394" spans="1:8" x14ac:dyDescent="0.3">
      <c r="A394" s="1">
        <v>45922</v>
      </c>
      <c r="B394" t="s">
        <v>39</v>
      </c>
      <c r="C394" t="s">
        <v>9</v>
      </c>
      <c r="D394" t="s">
        <v>26</v>
      </c>
      <c r="E394" s="2">
        <f t="shared" si="7"/>
        <v>1296896</v>
      </c>
      <c r="G394" s="2">
        <v>-11000</v>
      </c>
      <c r="H394" t="s">
        <v>244</v>
      </c>
    </row>
    <row r="395" spans="1:8" x14ac:dyDescent="0.3">
      <c r="A395" s="1">
        <v>45922</v>
      </c>
      <c r="B395" t="s">
        <v>39</v>
      </c>
      <c r="C395" t="s">
        <v>9</v>
      </c>
      <c r="D395" t="s">
        <v>26</v>
      </c>
      <c r="E395" s="2">
        <f t="shared" si="7"/>
        <v>1285896</v>
      </c>
      <c r="G395" s="2">
        <v>-7000</v>
      </c>
      <c r="H395" t="s">
        <v>244</v>
      </c>
    </row>
    <row r="396" spans="1:8" x14ac:dyDescent="0.3">
      <c r="A396" s="1">
        <v>45924</v>
      </c>
      <c r="B396" t="s">
        <v>41</v>
      </c>
      <c r="C396" t="s">
        <v>9</v>
      </c>
      <c r="E396" s="2">
        <f t="shared" si="7"/>
        <v>1278896</v>
      </c>
      <c r="G396" s="2">
        <v>-75000</v>
      </c>
      <c r="H396" t="s">
        <v>231</v>
      </c>
    </row>
    <row r="397" spans="1:8" x14ac:dyDescent="0.3">
      <c r="A397" s="1">
        <v>45926</v>
      </c>
      <c r="B397" t="s">
        <v>47</v>
      </c>
      <c r="C397" t="s">
        <v>9</v>
      </c>
      <c r="E397" s="2">
        <f t="shared" si="7"/>
        <v>1203896</v>
      </c>
      <c r="G397" s="2">
        <v>-126429</v>
      </c>
      <c r="H397" t="s">
        <v>240</v>
      </c>
    </row>
    <row r="398" spans="1:8" x14ac:dyDescent="0.3">
      <c r="A398" s="1">
        <v>45926</v>
      </c>
      <c r="B398" t="s">
        <v>82</v>
      </c>
      <c r="C398" t="s">
        <v>9</v>
      </c>
      <c r="E398" s="2">
        <f t="shared" si="7"/>
        <v>1077467</v>
      </c>
      <c r="G398" s="2">
        <v>-19287</v>
      </c>
    </row>
    <row r="399" spans="1:8" x14ac:dyDescent="0.3">
      <c r="A399" s="1">
        <v>45930</v>
      </c>
      <c r="B399" t="s">
        <v>39</v>
      </c>
      <c r="C399" t="s">
        <v>9</v>
      </c>
      <c r="E399" s="2">
        <f t="shared" si="7"/>
        <v>1058180</v>
      </c>
      <c r="G399" s="2">
        <v>-6690</v>
      </c>
      <c r="H399" t="s">
        <v>245</v>
      </c>
    </row>
    <row r="400" spans="1:8" x14ac:dyDescent="0.3">
      <c r="A400" s="1">
        <v>45930</v>
      </c>
      <c r="B400" t="s">
        <v>47</v>
      </c>
      <c r="C400" t="s">
        <v>9</v>
      </c>
      <c r="E400" s="2">
        <f t="shared" si="7"/>
        <v>1051490</v>
      </c>
      <c r="G400" s="2">
        <v>-127929</v>
      </c>
      <c r="H400" t="s">
        <v>241</v>
      </c>
    </row>
    <row r="401" spans="1:8" x14ac:dyDescent="0.3">
      <c r="A401" s="1">
        <v>45930</v>
      </c>
      <c r="B401" t="s">
        <v>225</v>
      </c>
      <c r="C401" t="s">
        <v>9</v>
      </c>
      <c r="E401" s="2">
        <f t="shared" si="7"/>
        <v>923561</v>
      </c>
      <c r="G401" s="2">
        <v>-1890</v>
      </c>
    </row>
    <row r="402" spans="1:8" x14ac:dyDescent="0.3">
      <c r="A402" s="1">
        <v>45931</v>
      </c>
      <c r="B402" t="s">
        <v>35</v>
      </c>
      <c r="C402" t="s">
        <v>9</v>
      </c>
      <c r="E402" s="2">
        <f t="shared" si="7"/>
        <v>921671</v>
      </c>
      <c r="G402" s="2">
        <v>-46200</v>
      </c>
    </row>
    <row r="403" spans="1:8" x14ac:dyDescent="0.3">
      <c r="A403" s="1">
        <v>45932</v>
      </c>
      <c r="B403" t="s">
        <v>52</v>
      </c>
      <c r="C403" t="s">
        <v>16</v>
      </c>
      <c r="E403" s="2">
        <f t="shared" si="7"/>
        <v>875471</v>
      </c>
      <c r="F403" s="2">
        <v>2000000</v>
      </c>
    </row>
    <row r="404" spans="1:8" x14ac:dyDescent="0.3">
      <c r="A404" s="1">
        <v>45932</v>
      </c>
      <c r="B404" t="s">
        <v>226</v>
      </c>
      <c r="C404" t="s">
        <v>12</v>
      </c>
      <c r="E404" s="2">
        <f t="shared" si="7"/>
        <v>2875471</v>
      </c>
      <c r="F404" s="2">
        <v>4000000</v>
      </c>
      <c r="H404" t="s">
        <v>163</v>
      </c>
    </row>
    <row r="405" spans="1:8" x14ac:dyDescent="0.3">
      <c r="A405" s="1">
        <v>45932</v>
      </c>
      <c r="B405" t="s">
        <v>207</v>
      </c>
      <c r="C405" t="s">
        <v>9</v>
      </c>
      <c r="D405" t="s">
        <v>26</v>
      </c>
      <c r="E405" s="2">
        <f t="shared" si="7"/>
        <v>6875471</v>
      </c>
      <c r="G405" s="2">
        <v>-84400</v>
      </c>
    </row>
    <row r="406" spans="1:8" x14ac:dyDescent="0.3">
      <c r="A406" s="1">
        <v>45932</v>
      </c>
      <c r="B406" t="s">
        <v>53</v>
      </c>
      <c r="C406" t="s">
        <v>17</v>
      </c>
      <c r="E406" s="2">
        <f t="shared" si="7"/>
        <v>6791071</v>
      </c>
      <c r="G406" s="2">
        <v>-1000000</v>
      </c>
    </row>
    <row r="407" spans="1:8" x14ac:dyDescent="0.3">
      <c r="A407" s="1">
        <v>45932</v>
      </c>
      <c r="B407" t="s">
        <v>54</v>
      </c>
      <c r="C407" t="s">
        <v>17</v>
      </c>
      <c r="E407" s="2">
        <f t="shared" si="7"/>
        <v>5791071</v>
      </c>
      <c r="G407" s="2">
        <v>-1000000</v>
      </c>
    </row>
    <row r="408" spans="1:8" x14ac:dyDescent="0.3">
      <c r="A408" s="1">
        <v>45932</v>
      </c>
      <c r="B408" t="s">
        <v>180</v>
      </c>
      <c r="C408" t="s">
        <v>9</v>
      </c>
      <c r="E408" s="2">
        <f t="shared" si="7"/>
        <v>4791071</v>
      </c>
      <c r="G408" s="2">
        <v>-1184569</v>
      </c>
      <c r="H408" t="s">
        <v>239</v>
      </c>
    </row>
    <row r="409" spans="1:8" x14ac:dyDescent="0.3">
      <c r="A409" s="1">
        <v>45932</v>
      </c>
      <c r="B409" t="s">
        <v>36</v>
      </c>
      <c r="C409" t="s">
        <v>13</v>
      </c>
      <c r="E409" s="2">
        <f t="shared" si="7"/>
        <v>3606502</v>
      </c>
      <c r="G409" s="2">
        <v>-600000</v>
      </c>
    </row>
    <row r="410" spans="1:8" x14ac:dyDescent="0.3">
      <c r="A410" s="1">
        <v>45932</v>
      </c>
      <c r="B410" t="s">
        <v>39</v>
      </c>
      <c r="C410" t="s">
        <v>9</v>
      </c>
      <c r="E410" s="2">
        <f t="shared" si="7"/>
        <v>3006502</v>
      </c>
      <c r="G410" s="2">
        <v>-7970</v>
      </c>
      <c r="H410" t="s">
        <v>246</v>
      </c>
    </row>
    <row r="411" spans="1:8" x14ac:dyDescent="0.3">
      <c r="A411" s="1">
        <v>45932</v>
      </c>
      <c r="B411" t="s">
        <v>39</v>
      </c>
      <c r="C411" t="s">
        <v>9</v>
      </c>
      <c r="E411" s="2">
        <f t="shared" si="7"/>
        <v>2998532</v>
      </c>
      <c r="G411" s="2">
        <v>-11910</v>
      </c>
      <c r="H411" t="s">
        <v>247</v>
      </c>
    </row>
    <row r="412" spans="1:8" x14ac:dyDescent="0.3">
      <c r="A412" s="1">
        <v>45932</v>
      </c>
      <c r="B412" t="s">
        <v>39</v>
      </c>
      <c r="C412" t="s">
        <v>13</v>
      </c>
      <c r="E412" s="2">
        <f t="shared" si="7"/>
        <v>2986622</v>
      </c>
      <c r="G412" s="2">
        <v>-145000</v>
      </c>
    </row>
    <row r="413" spans="1:8" x14ac:dyDescent="0.3">
      <c r="A413" s="1">
        <v>45932</v>
      </c>
      <c r="B413" t="s">
        <v>227</v>
      </c>
      <c r="C413" t="s">
        <v>9</v>
      </c>
      <c r="E413" s="2">
        <f t="shared" si="7"/>
        <v>2841622</v>
      </c>
      <c r="G413" s="2">
        <v>-175892</v>
      </c>
    </row>
    <row r="414" spans="1:8" x14ac:dyDescent="0.3">
      <c r="A414" s="1">
        <v>45932</v>
      </c>
      <c r="B414" t="s">
        <v>228</v>
      </c>
      <c r="C414" t="s">
        <v>9</v>
      </c>
      <c r="E414" s="2">
        <f t="shared" si="7"/>
        <v>2665730</v>
      </c>
      <c r="G414" s="2">
        <v>-450000</v>
      </c>
    </row>
    <row r="415" spans="1:8" x14ac:dyDescent="0.3">
      <c r="A415" s="1">
        <v>45932</v>
      </c>
      <c r="B415" t="s">
        <v>74</v>
      </c>
      <c r="C415" t="s">
        <v>9</v>
      </c>
      <c r="E415" s="2">
        <f t="shared" si="7"/>
        <v>2215730</v>
      </c>
      <c r="G415" s="2">
        <v>-29507</v>
      </c>
    </row>
    <row r="416" spans="1:8" x14ac:dyDescent="0.3">
      <c r="A416" s="1">
        <v>45932</v>
      </c>
      <c r="B416" t="s">
        <v>63</v>
      </c>
      <c r="C416" t="s">
        <v>12</v>
      </c>
      <c r="E416" s="2">
        <f t="shared" si="7"/>
        <v>2186223</v>
      </c>
      <c r="F416" s="2">
        <v>100000</v>
      </c>
      <c r="H416" t="s">
        <v>51</v>
      </c>
    </row>
    <row r="417" spans="1:8" x14ac:dyDescent="0.3">
      <c r="A417" s="1">
        <v>45932</v>
      </c>
      <c r="B417" t="s">
        <v>50</v>
      </c>
      <c r="C417" t="s">
        <v>12</v>
      </c>
      <c r="E417" s="2">
        <f t="shared" si="7"/>
        <v>2286223</v>
      </c>
      <c r="F417" s="2">
        <v>100000</v>
      </c>
      <c r="H417" t="s">
        <v>51</v>
      </c>
    </row>
    <row r="418" spans="1:8" x14ac:dyDescent="0.3">
      <c r="A418" s="1">
        <v>45932</v>
      </c>
      <c r="B418" t="s">
        <v>49</v>
      </c>
      <c r="C418" t="s">
        <v>12</v>
      </c>
      <c r="E418" s="2">
        <f t="shared" si="7"/>
        <v>2386223</v>
      </c>
      <c r="F418" s="2">
        <v>100000</v>
      </c>
      <c r="H418" t="s">
        <v>51</v>
      </c>
    </row>
    <row r="419" spans="1:8" x14ac:dyDescent="0.3">
      <c r="A419" s="1">
        <v>45932</v>
      </c>
      <c r="B419" t="s">
        <v>48</v>
      </c>
      <c r="C419" t="s">
        <v>12</v>
      </c>
      <c r="E419" s="2">
        <f t="shared" si="7"/>
        <v>2486223</v>
      </c>
      <c r="F419" s="2">
        <v>100000</v>
      </c>
      <c r="H419" t="s">
        <v>51</v>
      </c>
    </row>
    <row r="420" spans="1:8" x14ac:dyDescent="0.3">
      <c r="A420" s="1">
        <v>45933</v>
      </c>
      <c r="B420" t="s">
        <v>229</v>
      </c>
      <c r="C420" t="s">
        <v>9</v>
      </c>
      <c r="D420" t="s">
        <v>26</v>
      </c>
      <c r="E420" s="2">
        <f t="shared" si="7"/>
        <v>2586223</v>
      </c>
      <c r="G420" s="2">
        <v>-3463</v>
      </c>
      <c r="H420" t="s">
        <v>237</v>
      </c>
    </row>
    <row r="421" spans="1:8" x14ac:dyDescent="0.3">
      <c r="A421" s="1">
        <v>45936</v>
      </c>
      <c r="B421" t="s">
        <v>39</v>
      </c>
      <c r="C421" t="s">
        <v>9</v>
      </c>
      <c r="D421" t="s">
        <v>26</v>
      </c>
      <c r="E421" s="2">
        <f t="shared" si="7"/>
        <v>2582760</v>
      </c>
      <c r="G421" s="2">
        <v>-7956</v>
      </c>
      <c r="H421" t="s">
        <v>235</v>
      </c>
    </row>
    <row r="422" spans="1:8" x14ac:dyDescent="0.3">
      <c r="A422" s="1">
        <v>45936</v>
      </c>
      <c r="B422" t="s">
        <v>230</v>
      </c>
      <c r="C422" t="s">
        <v>9</v>
      </c>
      <c r="E422" s="2">
        <f t="shared" si="7"/>
        <v>2574804</v>
      </c>
      <c r="G422" s="2">
        <v>-41790</v>
      </c>
    </row>
    <row r="423" spans="1:8" x14ac:dyDescent="0.3">
      <c r="A423" s="1">
        <v>45937</v>
      </c>
      <c r="B423" t="s">
        <v>41</v>
      </c>
      <c r="C423" t="s">
        <v>9</v>
      </c>
      <c r="E423" s="2">
        <f t="shared" si="7"/>
        <v>2533014</v>
      </c>
      <c r="G423" s="2">
        <v>-50000</v>
      </c>
      <c r="H423" t="s">
        <v>232</v>
      </c>
    </row>
    <row r="424" spans="1:8" x14ac:dyDescent="0.3">
      <c r="A424" s="1">
        <v>45937</v>
      </c>
      <c r="B424" t="s">
        <v>39</v>
      </c>
      <c r="C424" t="s">
        <v>9</v>
      </c>
      <c r="D424" t="s">
        <v>26</v>
      </c>
      <c r="E424" s="2">
        <f t="shared" si="7"/>
        <v>2483014</v>
      </c>
      <c r="G424" s="2">
        <v>-9370</v>
      </c>
      <c r="H424" t="s">
        <v>236</v>
      </c>
    </row>
    <row r="425" spans="1:8" x14ac:dyDescent="0.3">
      <c r="A425" s="1">
        <v>45938</v>
      </c>
      <c r="B425" t="s">
        <v>39</v>
      </c>
      <c r="C425" t="s">
        <v>9</v>
      </c>
      <c r="E425" s="2">
        <f t="shared" si="7"/>
        <v>2473644</v>
      </c>
      <c r="G425" s="2">
        <v>-48960</v>
      </c>
      <c r="H425" t="s">
        <v>249</v>
      </c>
    </row>
    <row r="426" spans="1:8" x14ac:dyDescent="0.3">
      <c r="A426" s="1">
        <v>45939</v>
      </c>
      <c r="B426" t="s">
        <v>74</v>
      </c>
      <c r="C426" t="s">
        <v>9</v>
      </c>
      <c r="E426" s="2">
        <f t="shared" si="7"/>
        <v>2424684</v>
      </c>
      <c r="G426" s="2">
        <v>-45646</v>
      </c>
    </row>
    <row r="427" spans="1:8" x14ac:dyDescent="0.3">
      <c r="A427" s="1">
        <v>45940</v>
      </c>
      <c r="B427" t="s">
        <v>44</v>
      </c>
      <c r="C427" t="s">
        <v>9</v>
      </c>
      <c r="E427" s="2">
        <f t="shared" si="7"/>
        <v>2379038</v>
      </c>
      <c r="G427" s="2">
        <v>-279763</v>
      </c>
      <c r="H427" t="s">
        <v>147</v>
      </c>
    </row>
    <row r="428" spans="1:8" x14ac:dyDescent="0.3">
      <c r="A428" s="1">
        <v>45943</v>
      </c>
      <c r="B428" t="s">
        <v>250</v>
      </c>
      <c r="C428" t="s">
        <v>20</v>
      </c>
      <c r="D428" t="s">
        <v>252</v>
      </c>
      <c r="E428" s="2">
        <f t="shared" si="7"/>
        <v>2099275</v>
      </c>
      <c r="F428" s="2">
        <v>1</v>
      </c>
    </row>
    <row r="429" spans="1:8" x14ac:dyDescent="0.3">
      <c r="A429" s="1">
        <v>45944</v>
      </c>
      <c r="B429" t="s">
        <v>250</v>
      </c>
      <c r="C429" t="s">
        <v>20</v>
      </c>
      <c r="D429" t="s">
        <v>252</v>
      </c>
      <c r="E429" s="2">
        <f t="shared" si="7"/>
        <v>2099276</v>
      </c>
      <c r="F429" s="2">
        <v>1000000</v>
      </c>
    </row>
    <row r="430" spans="1:8" x14ac:dyDescent="0.3">
      <c r="A430" s="1">
        <v>45946</v>
      </c>
      <c r="B430" t="s">
        <v>52</v>
      </c>
      <c r="C430" t="s">
        <v>16</v>
      </c>
      <c r="E430" s="2">
        <f t="shared" si="7"/>
        <v>3099276</v>
      </c>
      <c r="F430" s="2">
        <v>3000000</v>
      </c>
    </row>
    <row r="431" spans="1:8" x14ac:dyDescent="0.3">
      <c r="A431" s="1">
        <v>45946</v>
      </c>
      <c r="B431" t="s">
        <v>251</v>
      </c>
      <c r="C431" t="s">
        <v>20</v>
      </c>
      <c r="D431" t="s">
        <v>29</v>
      </c>
      <c r="E431" s="2">
        <f t="shared" si="7"/>
        <v>6099276</v>
      </c>
      <c r="G431" s="2">
        <v>-200000</v>
      </c>
    </row>
    <row r="432" spans="1:8" x14ac:dyDescent="0.3">
      <c r="A432" s="1">
        <v>45947</v>
      </c>
      <c r="B432" t="s">
        <v>251</v>
      </c>
      <c r="C432" t="s">
        <v>20</v>
      </c>
      <c r="D432" t="s">
        <v>29</v>
      </c>
      <c r="E432" s="2">
        <f t="shared" si="7"/>
        <v>5899276</v>
      </c>
      <c r="G432" s="2">
        <v>-5800000</v>
      </c>
    </row>
    <row r="433" spans="1:7" x14ac:dyDescent="0.3">
      <c r="A433" s="1">
        <v>45947</v>
      </c>
      <c r="B433" t="s">
        <v>39</v>
      </c>
      <c r="C433" t="s">
        <v>9</v>
      </c>
      <c r="E433" s="2">
        <f t="shared" si="7"/>
        <v>99276</v>
      </c>
      <c r="G433" s="2">
        <v>-4600</v>
      </c>
    </row>
    <row r="434" spans="1:7" x14ac:dyDescent="0.3">
      <c r="A434" s="1">
        <v>45950</v>
      </c>
      <c r="B434" t="s">
        <v>74</v>
      </c>
      <c r="C434" t="s">
        <v>9</v>
      </c>
      <c r="E434" s="2">
        <f t="shared" si="7"/>
        <v>94676</v>
      </c>
      <c r="G434" s="2">
        <v>-39580</v>
      </c>
    </row>
    <row r="435" spans="1:7" x14ac:dyDescent="0.3">
      <c r="A435" s="1">
        <v>45951</v>
      </c>
      <c r="B435" t="s">
        <v>43</v>
      </c>
      <c r="C435" t="s">
        <v>19</v>
      </c>
      <c r="E435" s="2">
        <f t="shared" si="7"/>
        <v>55096</v>
      </c>
      <c r="F435" s="2">
        <v>1600000</v>
      </c>
    </row>
    <row r="436" spans="1:7" x14ac:dyDescent="0.3">
      <c r="A436" s="1">
        <v>45951</v>
      </c>
      <c r="B436" t="s">
        <v>229</v>
      </c>
      <c r="C436" t="s">
        <v>9</v>
      </c>
      <c r="D436" t="s">
        <v>26</v>
      </c>
      <c r="E436" s="2">
        <f t="shared" si="7"/>
        <v>1655096</v>
      </c>
      <c r="G436" s="2">
        <v>-1557180</v>
      </c>
    </row>
    <row r="437" spans="1:7" x14ac:dyDescent="0.3">
      <c r="A437" s="1">
        <v>45952</v>
      </c>
      <c r="B437" t="s">
        <v>121</v>
      </c>
      <c r="C437" t="s">
        <v>9</v>
      </c>
      <c r="E437" s="2">
        <f t="shared" si="7"/>
        <v>97916</v>
      </c>
      <c r="G437" s="2">
        <v>-33220</v>
      </c>
    </row>
    <row r="438" spans="1:7" x14ac:dyDescent="0.3">
      <c r="A438" s="1">
        <v>45952</v>
      </c>
      <c r="B438" t="s">
        <v>52</v>
      </c>
      <c r="C438" t="s">
        <v>16</v>
      </c>
      <c r="E438" s="2">
        <f t="shared" si="7"/>
        <v>64696</v>
      </c>
      <c r="F438" s="2">
        <v>1600000</v>
      </c>
    </row>
    <row r="439" spans="1:7" x14ac:dyDescent="0.3">
      <c r="A439" s="1">
        <v>45952</v>
      </c>
      <c r="B439" t="s">
        <v>39</v>
      </c>
      <c r="C439" t="s">
        <v>9</v>
      </c>
      <c r="E439" s="2">
        <f t="shared" si="7"/>
        <v>1664696</v>
      </c>
      <c r="G439" s="2">
        <v>-13450</v>
      </c>
    </row>
    <row r="440" spans="1:7" x14ac:dyDescent="0.3">
      <c r="A440" s="1">
        <v>45952</v>
      </c>
      <c r="B440" t="s">
        <v>39</v>
      </c>
      <c r="C440" t="s">
        <v>9</v>
      </c>
      <c r="E440" s="2">
        <f t="shared" si="7"/>
        <v>1651246</v>
      </c>
      <c r="G440" s="2">
        <v>-33450</v>
      </c>
    </row>
    <row r="441" spans="1:7" x14ac:dyDescent="0.3">
      <c r="A441" s="1">
        <v>45952</v>
      </c>
      <c r="B441" t="s">
        <v>38</v>
      </c>
      <c r="C441" t="s">
        <v>19</v>
      </c>
      <c r="E441" s="2">
        <f t="shared" si="7"/>
        <v>1617796</v>
      </c>
      <c r="G441" s="2">
        <v>-1600000</v>
      </c>
    </row>
    <row r="442" spans="1:7" x14ac:dyDescent="0.3">
      <c r="A442" s="1">
        <v>45952</v>
      </c>
      <c r="B442" t="s">
        <v>43</v>
      </c>
      <c r="C442" t="s">
        <v>19</v>
      </c>
      <c r="E442" s="2">
        <f t="shared" si="7"/>
        <v>17796</v>
      </c>
      <c r="F442" s="2">
        <v>100000</v>
      </c>
    </row>
    <row r="443" spans="1:7" x14ac:dyDescent="0.3">
      <c r="A443" s="1">
        <v>45952</v>
      </c>
      <c r="B443" t="s">
        <v>39</v>
      </c>
      <c r="C443" t="s">
        <v>9</v>
      </c>
      <c r="E443" s="2">
        <f t="shared" si="7"/>
        <v>117796</v>
      </c>
      <c r="G443" s="2">
        <v>-79990</v>
      </c>
    </row>
    <row r="444" spans="1:7" x14ac:dyDescent="0.3">
      <c r="A444" s="1">
        <v>45953</v>
      </c>
      <c r="B444" t="s">
        <v>39</v>
      </c>
      <c r="C444" t="s">
        <v>9</v>
      </c>
      <c r="E444" s="2">
        <f t="shared" si="7"/>
        <v>37806</v>
      </c>
      <c r="G444" s="2">
        <v>-16000</v>
      </c>
    </row>
    <row r="445" spans="1:7" x14ac:dyDescent="0.3">
      <c r="A445" s="1">
        <v>45954</v>
      </c>
      <c r="B445" t="s">
        <v>43</v>
      </c>
      <c r="C445" t="s">
        <v>19</v>
      </c>
      <c r="E445" s="2">
        <f t="shared" si="7"/>
        <v>21806</v>
      </c>
      <c r="F445" s="2">
        <v>75300</v>
      </c>
    </row>
    <row r="446" spans="1:7" x14ac:dyDescent="0.3">
      <c r="A446" s="1">
        <v>45954</v>
      </c>
      <c r="B446" t="s">
        <v>53</v>
      </c>
      <c r="C446" t="s">
        <v>9</v>
      </c>
      <c r="E446" s="2">
        <f t="shared" si="7"/>
        <v>97106</v>
      </c>
      <c r="G446" s="2">
        <v>-5000</v>
      </c>
    </row>
    <row r="447" spans="1:7" x14ac:dyDescent="0.3">
      <c r="A447" s="1">
        <v>45954</v>
      </c>
      <c r="B447" t="s">
        <v>53</v>
      </c>
      <c r="C447" t="s">
        <v>9</v>
      </c>
      <c r="E447" s="2">
        <f t="shared" si="7"/>
        <v>92106</v>
      </c>
      <c r="G447" s="2">
        <v>-9800</v>
      </c>
    </row>
    <row r="448" spans="1:7" x14ac:dyDescent="0.3">
      <c r="A448" s="1">
        <v>45954</v>
      </c>
      <c r="B448" t="s">
        <v>53</v>
      </c>
      <c r="C448" t="s">
        <v>9</v>
      </c>
      <c r="E448" s="2">
        <f t="shared" si="7"/>
        <v>82306</v>
      </c>
      <c r="G448" s="2">
        <v>-12000</v>
      </c>
    </row>
    <row r="449" spans="1:8" x14ac:dyDescent="0.3">
      <c r="A449" s="1">
        <v>45954</v>
      </c>
      <c r="B449" t="s">
        <v>53</v>
      </c>
      <c r="C449" t="s">
        <v>9</v>
      </c>
      <c r="E449" s="2">
        <f t="shared" si="7"/>
        <v>70306</v>
      </c>
      <c r="G449" s="2">
        <v>-48500</v>
      </c>
    </row>
    <row r="450" spans="1:8" x14ac:dyDescent="0.3">
      <c r="A450" s="1">
        <v>45957</v>
      </c>
      <c r="B450" t="s">
        <v>253</v>
      </c>
      <c r="C450" t="s">
        <v>20</v>
      </c>
      <c r="D450" t="s">
        <v>252</v>
      </c>
      <c r="E450" s="2">
        <f t="shared" si="7"/>
        <v>21806</v>
      </c>
      <c r="F450" s="2">
        <v>200000</v>
      </c>
    </row>
    <row r="451" spans="1:8" x14ac:dyDescent="0.3">
      <c r="A451" s="1">
        <v>45957</v>
      </c>
      <c r="B451" t="s">
        <v>52</v>
      </c>
      <c r="C451" t="s">
        <v>16</v>
      </c>
      <c r="E451" s="2">
        <f t="shared" si="7"/>
        <v>221806</v>
      </c>
      <c r="F451" s="2">
        <v>1000000</v>
      </c>
    </row>
    <row r="452" spans="1:8" x14ac:dyDescent="0.3">
      <c r="A452" s="1">
        <v>45958</v>
      </c>
      <c r="B452" t="s">
        <v>230</v>
      </c>
      <c r="C452" t="s">
        <v>9</v>
      </c>
      <c r="E452" s="2">
        <f t="shared" si="7"/>
        <v>1221806</v>
      </c>
      <c r="G452" s="2">
        <v>-35722</v>
      </c>
    </row>
    <row r="453" spans="1:8" x14ac:dyDescent="0.3">
      <c r="A453" s="1">
        <v>45958</v>
      </c>
      <c r="B453" t="s">
        <v>47</v>
      </c>
      <c r="C453" t="s">
        <v>9</v>
      </c>
      <c r="E453" s="2">
        <f t="shared" si="7"/>
        <v>1186084</v>
      </c>
      <c r="G453" s="2">
        <v>-110667</v>
      </c>
      <c r="H453" t="s">
        <v>137</v>
      </c>
    </row>
    <row r="454" spans="1:8" x14ac:dyDescent="0.3">
      <c r="A454" s="1">
        <v>45959</v>
      </c>
      <c r="B454" t="s">
        <v>254</v>
      </c>
      <c r="C454" t="s">
        <v>9</v>
      </c>
      <c r="E454" s="2">
        <f t="shared" si="7"/>
        <v>1075417</v>
      </c>
      <c r="G454" s="2">
        <v>-7922</v>
      </c>
    </row>
    <row r="455" spans="1:8" x14ac:dyDescent="0.3">
      <c r="A455" s="1">
        <v>45959</v>
      </c>
      <c r="B455" t="s">
        <v>202</v>
      </c>
      <c r="C455" t="s">
        <v>9</v>
      </c>
      <c r="E455" s="2">
        <f t="shared" ref="E455:E518" si="8">E454+F454+G454</f>
        <v>1067495</v>
      </c>
      <c r="G455" s="2">
        <v>-65000</v>
      </c>
    </row>
    <row r="456" spans="1:8" x14ac:dyDescent="0.3">
      <c r="A456" s="1">
        <v>45958</v>
      </c>
      <c r="B456" t="s">
        <v>82</v>
      </c>
      <c r="C456" t="s">
        <v>9</v>
      </c>
      <c r="E456" s="2">
        <f t="shared" si="8"/>
        <v>1002495</v>
      </c>
      <c r="G456" s="2">
        <v>-19348</v>
      </c>
    </row>
    <row r="457" spans="1:8" x14ac:dyDescent="0.3">
      <c r="A457" s="1">
        <v>45959</v>
      </c>
      <c r="B457" t="s">
        <v>56</v>
      </c>
      <c r="C457" t="s">
        <v>9</v>
      </c>
      <c r="E457" s="2">
        <f t="shared" si="8"/>
        <v>983147</v>
      </c>
      <c r="G457" s="2">
        <v>-13000</v>
      </c>
    </row>
    <row r="458" spans="1:8" x14ac:dyDescent="0.3">
      <c r="A458" s="1">
        <v>45960</v>
      </c>
      <c r="B458" t="s">
        <v>85</v>
      </c>
      <c r="C458" t="s">
        <v>10</v>
      </c>
      <c r="E458" s="2">
        <f t="shared" si="8"/>
        <v>970147</v>
      </c>
      <c r="G458" s="2">
        <v>-70000</v>
      </c>
    </row>
    <row r="459" spans="1:8" x14ac:dyDescent="0.3">
      <c r="A459" s="1">
        <v>45964</v>
      </c>
      <c r="B459" t="s">
        <v>121</v>
      </c>
      <c r="C459" t="s">
        <v>9</v>
      </c>
      <c r="E459" s="2">
        <f t="shared" si="8"/>
        <v>900147</v>
      </c>
      <c r="G459" s="2">
        <v>-90640</v>
      </c>
    </row>
    <row r="460" spans="1:8" x14ac:dyDescent="0.3">
      <c r="A460" s="1">
        <v>45964</v>
      </c>
      <c r="B460" t="s">
        <v>255</v>
      </c>
      <c r="C460" t="s">
        <v>9</v>
      </c>
      <c r="E460" s="2">
        <f t="shared" si="8"/>
        <v>809507</v>
      </c>
      <c r="G460" s="2">
        <v>-34200</v>
      </c>
    </row>
    <row r="461" spans="1:8" x14ac:dyDescent="0.3">
      <c r="A461" s="1">
        <v>45964</v>
      </c>
      <c r="B461" t="s">
        <v>35</v>
      </c>
      <c r="C461" t="s">
        <v>9</v>
      </c>
      <c r="E461" s="2">
        <f t="shared" si="8"/>
        <v>775307</v>
      </c>
      <c r="G461" s="2">
        <v>-46200</v>
      </c>
    </row>
    <row r="462" spans="1:8" x14ac:dyDescent="0.3">
      <c r="A462" s="1">
        <v>45965</v>
      </c>
      <c r="B462" t="s">
        <v>128</v>
      </c>
      <c r="C462" t="s">
        <v>12</v>
      </c>
      <c r="E462" s="2">
        <f t="shared" si="8"/>
        <v>729107</v>
      </c>
      <c r="F462" s="2">
        <v>100000</v>
      </c>
    </row>
    <row r="463" spans="1:8" x14ac:dyDescent="0.3">
      <c r="A463" s="1">
        <v>45965</v>
      </c>
      <c r="B463" t="s">
        <v>128</v>
      </c>
      <c r="C463" t="s">
        <v>12</v>
      </c>
      <c r="E463" s="2">
        <f t="shared" si="8"/>
        <v>829107</v>
      </c>
      <c r="F463" s="2">
        <v>1000000</v>
      </c>
    </row>
    <row r="464" spans="1:8" x14ac:dyDescent="0.3">
      <c r="A464" s="1">
        <v>45965</v>
      </c>
      <c r="B464" t="s">
        <v>50</v>
      </c>
      <c r="C464" t="s">
        <v>12</v>
      </c>
      <c r="E464" s="2">
        <f t="shared" si="8"/>
        <v>1829107</v>
      </c>
      <c r="F464" s="2">
        <v>100000</v>
      </c>
    </row>
    <row r="465" spans="1:8" x14ac:dyDescent="0.3">
      <c r="A465" s="1">
        <v>45965</v>
      </c>
      <c r="B465" t="s">
        <v>63</v>
      </c>
      <c r="C465" t="s">
        <v>12</v>
      </c>
      <c r="E465" s="2">
        <f t="shared" si="8"/>
        <v>1929107</v>
      </c>
      <c r="F465" s="2">
        <v>100000</v>
      </c>
    </row>
    <row r="466" spans="1:8" x14ac:dyDescent="0.3">
      <c r="A466" s="1">
        <v>45965</v>
      </c>
      <c r="B466" t="s">
        <v>49</v>
      </c>
      <c r="C466" t="s">
        <v>12</v>
      </c>
      <c r="E466" s="2">
        <f t="shared" si="8"/>
        <v>2029107</v>
      </c>
      <c r="F466" s="2">
        <v>100000</v>
      </c>
    </row>
    <row r="467" spans="1:8" x14ac:dyDescent="0.3">
      <c r="A467" s="1">
        <v>45965</v>
      </c>
      <c r="B467" t="s">
        <v>48</v>
      </c>
      <c r="C467" t="s">
        <v>12</v>
      </c>
      <c r="E467" s="2">
        <f t="shared" si="8"/>
        <v>2129107</v>
      </c>
      <c r="F467" s="2">
        <v>100000</v>
      </c>
    </row>
    <row r="468" spans="1:8" x14ac:dyDescent="0.3">
      <c r="A468" s="1">
        <v>45965</v>
      </c>
      <c r="B468" t="s">
        <v>36</v>
      </c>
      <c r="C468" t="s">
        <v>13</v>
      </c>
      <c r="E468" s="2">
        <f t="shared" si="8"/>
        <v>2229107</v>
      </c>
      <c r="G468" s="2">
        <v>-600000</v>
      </c>
    </row>
    <row r="469" spans="1:8" x14ac:dyDescent="0.3">
      <c r="A469" s="1">
        <v>45965</v>
      </c>
      <c r="B469" t="s">
        <v>180</v>
      </c>
      <c r="C469" t="s">
        <v>9</v>
      </c>
      <c r="E469" s="2">
        <f t="shared" si="8"/>
        <v>1629107</v>
      </c>
      <c r="G469" s="2">
        <v>-1188389</v>
      </c>
      <c r="H469" t="s">
        <v>239</v>
      </c>
    </row>
    <row r="470" spans="1:8" x14ac:dyDescent="0.3">
      <c r="A470" s="1">
        <v>45965</v>
      </c>
      <c r="B470" t="s">
        <v>226</v>
      </c>
      <c r="C470" t="s">
        <v>12</v>
      </c>
      <c r="E470" s="2">
        <f t="shared" si="8"/>
        <v>440718</v>
      </c>
      <c r="F470" s="2">
        <v>4000000</v>
      </c>
    </row>
    <row r="471" spans="1:8" x14ac:dyDescent="0.3">
      <c r="A471" s="1">
        <v>45965</v>
      </c>
      <c r="B471" t="s">
        <v>39</v>
      </c>
      <c r="C471" t="s">
        <v>9</v>
      </c>
      <c r="E471" s="2">
        <f t="shared" si="8"/>
        <v>4440718</v>
      </c>
      <c r="G471" s="2">
        <v>-1140</v>
      </c>
    </row>
    <row r="472" spans="1:8" x14ac:dyDescent="0.3">
      <c r="A472" s="1">
        <v>45965</v>
      </c>
      <c r="B472" t="s">
        <v>39</v>
      </c>
      <c r="C472" t="s">
        <v>13</v>
      </c>
      <c r="E472" s="2">
        <f t="shared" si="8"/>
        <v>4439578</v>
      </c>
      <c r="G472" s="2">
        <v>-1000000</v>
      </c>
    </row>
    <row r="473" spans="1:8" x14ac:dyDescent="0.3">
      <c r="A473" s="1">
        <v>45965</v>
      </c>
      <c r="B473" t="s">
        <v>88</v>
      </c>
      <c r="C473" t="s">
        <v>16</v>
      </c>
      <c r="E473" s="2">
        <f t="shared" si="8"/>
        <v>3439578</v>
      </c>
      <c r="G473" s="2">
        <v>-3000000</v>
      </c>
    </row>
    <row r="474" spans="1:8" x14ac:dyDescent="0.3">
      <c r="A474" s="1">
        <v>45965</v>
      </c>
      <c r="B474" t="s">
        <v>74</v>
      </c>
      <c r="C474" t="s">
        <v>9</v>
      </c>
      <c r="E474" s="2">
        <f t="shared" si="8"/>
        <v>439578</v>
      </c>
      <c r="G474" s="2">
        <v>-29547</v>
      </c>
    </row>
    <row r="475" spans="1:8" x14ac:dyDescent="0.3">
      <c r="A475" s="1">
        <v>45966</v>
      </c>
      <c r="B475" t="s">
        <v>65</v>
      </c>
      <c r="C475" t="s">
        <v>9</v>
      </c>
      <c r="E475" s="2">
        <f t="shared" si="8"/>
        <v>410031</v>
      </c>
      <c r="G475" s="2">
        <v>-5000</v>
      </c>
    </row>
    <row r="476" spans="1:8" x14ac:dyDescent="0.3">
      <c r="A476" s="1">
        <v>45966</v>
      </c>
      <c r="B476" t="s">
        <v>53</v>
      </c>
      <c r="C476" t="s">
        <v>9</v>
      </c>
      <c r="E476" s="2">
        <f t="shared" si="8"/>
        <v>405031</v>
      </c>
      <c r="G476" s="2">
        <v>-20000</v>
      </c>
      <c r="H476" t="s">
        <v>257</v>
      </c>
    </row>
    <row r="477" spans="1:8" x14ac:dyDescent="0.3">
      <c r="A477" s="1">
        <v>45966</v>
      </c>
      <c r="B477" t="s">
        <v>229</v>
      </c>
      <c r="C477" t="s">
        <v>9</v>
      </c>
      <c r="D477" t="s">
        <v>26</v>
      </c>
      <c r="E477" s="2">
        <f t="shared" si="8"/>
        <v>385031</v>
      </c>
      <c r="G477" s="2">
        <v>-3477</v>
      </c>
    </row>
    <row r="478" spans="1:8" x14ac:dyDescent="0.3">
      <c r="A478" s="1">
        <v>45968</v>
      </c>
      <c r="B478" t="s">
        <v>41</v>
      </c>
      <c r="C478" t="s">
        <v>9</v>
      </c>
      <c r="E478" s="2">
        <f t="shared" si="8"/>
        <v>381554</v>
      </c>
      <c r="G478" s="2">
        <v>-100000</v>
      </c>
      <c r="H478" t="s">
        <v>256</v>
      </c>
    </row>
    <row r="479" spans="1:8" x14ac:dyDescent="0.3">
      <c r="A479" s="1">
        <v>45968</v>
      </c>
      <c r="B479" t="s">
        <v>85</v>
      </c>
      <c r="C479" t="s">
        <v>10</v>
      </c>
      <c r="E479" s="2">
        <f t="shared" si="8"/>
        <v>281554</v>
      </c>
      <c r="G479" s="2">
        <v>-10000</v>
      </c>
    </row>
    <row r="480" spans="1:8" x14ac:dyDescent="0.3">
      <c r="A480" s="1">
        <v>45971</v>
      </c>
      <c r="B480" t="s">
        <v>52</v>
      </c>
      <c r="C480" t="s">
        <v>16</v>
      </c>
      <c r="E480" s="2">
        <f t="shared" si="8"/>
        <v>271554</v>
      </c>
      <c r="F480" s="2">
        <v>23556943</v>
      </c>
    </row>
    <row r="481" spans="1:7" x14ac:dyDescent="0.3">
      <c r="A481" s="1">
        <v>45971</v>
      </c>
      <c r="B481" t="s">
        <v>52</v>
      </c>
      <c r="C481" t="s">
        <v>16</v>
      </c>
      <c r="E481" s="2">
        <f t="shared" si="8"/>
        <v>23828497</v>
      </c>
      <c r="F481" s="2">
        <v>11975716</v>
      </c>
    </row>
    <row r="482" spans="1:7" x14ac:dyDescent="0.3">
      <c r="A482" s="1">
        <v>45972</v>
      </c>
      <c r="B482" t="s">
        <v>74</v>
      </c>
      <c r="C482" t="s">
        <v>9</v>
      </c>
      <c r="E482" s="2">
        <f t="shared" si="8"/>
        <v>35804213</v>
      </c>
      <c r="G482" s="2">
        <v>-12540</v>
      </c>
    </row>
    <row r="483" spans="1:7" x14ac:dyDescent="0.3">
      <c r="A483" s="1">
        <v>45972</v>
      </c>
      <c r="B483" t="s">
        <v>38</v>
      </c>
      <c r="C483" t="s">
        <v>19</v>
      </c>
      <c r="E483" s="2">
        <f t="shared" si="8"/>
        <v>35791673</v>
      </c>
      <c r="G483" s="2">
        <v>-35000000</v>
      </c>
    </row>
    <row r="484" spans="1:7" x14ac:dyDescent="0.3">
      <c r="A484" s="1">
        <v>45972</v>
      </c>
      <c r="B484" t="s">
        <v>44</v>
      </c>
      <c r="C484" t="s">
        <v>9</v>
      </c>
      <c r="E484" s="2">
        <f t="shared" si="8"/>
        <v>791673</v>
      </c>
      <c r="G484" s="2">
        <v>-318395</v>
      </c>
    </row>
    <row r="485" spans="1:7" x14ac:dyDescent="0.3">
      <c r="A485" s="1">
        <v>45972</v>
      </c>
      <c r="B485" t="s">
        <v>85</v>
      </c>
      <c r="C485" t="s">
        <v>10</v>
      </c>
      <c r="E485" s="2">
        <f t="shared" si="8"/>
        <v>473278</v>
      </c>
      <c r="G485" s="2">
        <v>-80000</v>
      </c>
    </row>
    <row r="486" spans="1:7" x14ac:dyDescent="0.3">
      <c r="A486" s="1">
        <v>45973</v>
      </c>
      <c r="B486" t="s">
        <v>38</v>
      </c>
      <c r="C486" t="s">
        <v>19</v>
      </c>
      <c r="E486" s="2">
        <f t="shared" si="8"/>
        <v>393278</v>
      </c>
      <c r="G486" s="2">
        <v>-200000</v>
      </c>
    </row>
    <row r="487" spans="1:7" x14ac:dyDescent="0.3">
      <c r="A487" s="1">
        <v>45973</v>
      </c>
      <c r="B487" t="s">
        <v>125</v>
      </c>
      <c r="C487" t="s">
        <v>9</v>
      </c>
      <c r="D487" t="s">
        <v>26</v>
      </c>
      <c r="E487" s="2">
        <f t="shared" si="8"/>
        <v>193278</v>
      </c>
      <c r="G487" s="2">
        <v>-170000</v>
      </c>
    </row>
    <row r="488" spans="1:7" x14ac:dyDescent="0.3">
      <c r="A488" s="1">
        <v>45979</v>
      </c>
      <c r="B488" t="s">
        <v>43</v>
      </c>
      <c r="C488" t="s">
        <v>19</v>
      </c>
      <c r="E488" s="2">
        <f t="shared" si="8"/>
        <v>23278</v>
      </c>
      <c r="F488" s="2">
        <v>500000</v>
      </c>
    </row>
    <row r="489" spans="1:7" x14ac:dyDescent="0.3">
      <c r="A489" s="1">
        <v>45979</v>
      </c>
      <c r="B489" t="s">
        <v>230</v>
      </c>
      <c r="C489" t="s">
        <v>9</v>
      </c>
      <c r="E489" s="2">
        <f t="shared" si="8"/>
        <v>523278</v>
      </c>
      <c r="G489" s="2">
        <v>-32645</v>
      </c>
    </row>
    <row r="490" spans="1:7" x14ac:dyDescent="0.3">
      <c r="A490" s="1">
        <v>45979</v>
      </c>
      <c r="B490" t="s">
        <v>258</v>
      </c>
      <c r="C490" t="s">
        <v>9</v>
      </c>
      <c r="E490" s="2">
        <f t="shared" si="8"/>
        <v>490633</v>
      </c>
      <c r="G490" s="2">
        <v>-54990</v>
      </c>
    </row>
    <row r="491" spans="1:7" x14ac:dyDescent="0.3">
      <c r="A491" s="1">
        <v>45979</v>
      </c>
      <c r="B491" t="s">
        <v>74</v>
      </c>
      <c r="C491" t="s">
        <v>9</v>
      </c>
      <c r="E491" s="2">
        <f t="shared" si="8"/>
        <v>435643</v>
      </c>
      <c r="G491" s="2">
        <v>-49334</v>
      </c>
    </row>
    <row r="492" spans="1:7" x14ac:dyDescent="0.3">
      <c r="A492" s="1">
        <v>45979</v>
      </c>
      <c r="B492" t="s">
        <v>259</v>
      </c>
      <c r="C492" t="s">
        <v>20</v>
      </c>
      <c r="D492" t="s">
        <v>252</v>
      </c>
      <c r="E492" s="2">
        <f t="shared" si="8"/>
        <v>386309</v>
      </c>
      <c r="F492" s="2">
        <v>350000</v>
      </c>
    </row>
    <row r="493" spans="1:7" x14ac:dyDescent="0.3">
      <c r="A493" s="1">
        <v>45980</v>
      </c>
      <c r="B493" t="s">
        <v>39</v>
      </c>
      <c r="C493" t="s">
        <v>9</v>
      </c>
      <c r="E493" s="2">
        <f t="shared" si="8"/>
        <v>736309</v>
      </c>
      <c r="G493" s="2">
        <v>-22000</v>
      </c>
    </row>
    <row r="494" spans="1:7" x14ac:dyDescent="0.3">
      <c r="A494" s="1">
        <v>45980</v>
      </c>
      <c r="B494" t="s">
        <v>39</v>
      </c>
      <c r="C494" t="s">
        <v>9</v>
      </c>
      <c r="E494" s="2">
        <f t="shared" si="8"/>
        <v>714309</v>
      </c>
      <c r="G494" s="2">
        <v>-31700</v>
      </c>
    </row>
    <row r="495" spans="1:7" x14ac:dyDescent="0.3">
      <c r="A495" s="1">
        <v>45980</v>
      </c>
      <c r="B495" t="s">
        <v>259</v>
      </c>
      <c r="C495" t="s">
        <v>20</v>
      </c>
      <c r="D495" t="s">
        <v>252</v>
      </c>
      <c r="E495" s="2">
        <f t="shared" si="8"/>
        <v>682609</v>
      </c>
      <c r="F495" s="2">
        <v>650000</v>
      </c>
    </row>
    <row r="496" spans="1:7" x14ac:dyDescent="0.3">
      <c r="A496" s="1">
        <v>45981</v>
      </c>
      <c r="B496" t="s">
        <v>160</v>
      </c>
      <c r="C496" t="s">
        <v>20</v>
      </c>
      <c r="E496" s="2">
        <f t="shared" si="8"/>
        <v>1332609</v>
      </c>
      <c r="F496" s="2">
        <v>142901</v>
      </c>
    </row>
    <row r="497" spans="1:8" x14ac:dyDescent="0.3">
      <c r="A497" s="1">
        <v>45982</v>
      </c>
      <c r="B497" t="s">
        <v>251</v>
      </c>
      <c r="C497" t="s">
        <v>20</v>
      </c>
      <c r="E497" s="2">
        <f t="shared" si="8"/>
        <v>1475510</v>
      </c>
      <c r="G497" s="2">
        <v>-300000</v>
      </c>
    </row>
    <row r="498" spans="1:8" x14ac:dyDescent="0.3">
      <c r="A498" s="1">
        <v>45985</v>
      </c>
      <c r="B498" t="s">
        <v>160</v>
      </c>
      <c r="C498" t="s">
        <v>20</v>
      </c>
      <c r="E498" s="2">
        <f t="shared" ref="E498:E508" si="9">E497+F497+G497</f>
        <v>1175510</v>
      </c>
      <c r="F498" s="2">
        <v>300000</v>
      </c>
    </row>
    <row r="499" spans="1:8" x14ac:dyDescent="0.3">
      <c r="A499" s="1">
        <v>45985</v>
      </c>
      <c r="B499" t="s">
        <v>85</v>
      </c>
      <c r="C499" t="s">
        <v>10</v>
      </c>
      <c r="E499" s="2">
        <f t="shared" si="9"/>
        <v>1475510</v>
      </c>
      <c r="G499" s="2">
        <v>-35000</v>
      </c>
    </row>
    <row r="500" spans="1:8" x14ac:dyDescent="0.3">
      <c r="A500" s="1">
        <v>45985</v>
      </c>
      <c r="B500" t="s">
        <v>125</v>
      </c>
      <c r="C500" t="s">
        <v>9</v>
      </c>
      <c r="D500" t="s">
        <v>26</v>
      </c>
      <c r="E500" s="2">
        <f t="shared" si="9"/>
        <v>1440510</v>
      </c>
      <c r="G500" s="2">
        <v>-170000</v>
      </c>
    </row>
    <row r="501" spans="1:8" x14ac:dyDescent="0.3">
      <c r="A501" s="1">
        <v>45986</v>
      </c>
      <c r="B501" t="s">
        <v>47</v>
      </c>
      <c r="C501" t="s">
        <v>9</v>
      </c>
      <c r="E501" s="2">
        <f t="shared" si="9"/>
        <v>1270510</v>
      </c>
      <c r="G501" s="2">
        <v>-122850</v>
      </c>
      <c r="H501" t="s">
        <v>137</v>
      </c>
    </row>
    <row r="502" spans="1:8" x14ac:dyDescent="0.3">
      <c r="A502" s="1">
        <v>45986</v>
      </c>
      <c r="B502" t="s">
        <v>43</v>
      </c>
      <c r="C502" t="s">
        <v>19</v>
      </c>
      <c r="E502" s="2">
        <f t="shared" si="9"/>
        <v>1147660</v>
      </c>
      <c r="F502" s="2">
        <v>1500000</v>
      </c>
    </row>
    <row r="503" spans="1:8" x14ac:dyDescent="0.3">
      <c r="A503" s="1">
        <v>45986</v>
      </c>
      <c r="B503" t="s">
        <v>251</v>
      </c>
      <c r="C503" t="s">
        <v>20</v>
      </c>
      <c r="E503" s="2">
        <f t="shared" si="9"/>
        <v>2647660</v>
      </c>
      <c r="G503" s="2">
        <v>-2000000</v>
      </c>
    </row>
    <row r="504" spans="1:8" x14ac:dyDescent="0.3">
      <c r="A504" s="1">
        <v>45987</v>
      </c>
      <c r="B504" t="s">
        <v>82</v>
      </c>
      <c r="C504" t="s">
        <v>9</v>
      </c>
      <c r="E504" s="2">
        <f t="shared" si="9"/>
        <v>647660</v>
      </c>
      <c r="G504" s="2">
        <v>-19400</v>
      </c>
    </row>
    <row r="505" spans="1:8" x14ac:dyDescent="0.3">
      <c r="A505" s="1">
        <v>45988</v>
      </c>
      <c r="B505" t="s">
        <v>43</v>
      </c>
      <c r="C505" t="s">
        <v>19</v>
      </c>
      <c r="E505" s="2">
        <f t="shared" si="9"/>
        <v>628260</v>
      </c>
      <c r="F505" s="2">
        <v>1000000</v>
      </c>
    </row>
    <row r="506" spans="1:8" x14ac:dyDescent="0.3">
      <c r="A506" s="1">
        <v>45988</v>
      </c>
      <c r="B506" t="s">
        <v>70</v>
      </c>
      <c r="C506" t="s">
        <v>9</v>
      </c>
      <c r="D506" t="s">
        <v>26</v>
      </c>
      <c r="E506" s="2">
        <f t="shared" si="9"/>
        <v>1628260</v>
      </c>
      <c r="G506" s="2">
        <v>-952000</v>
      </c>
    </row>
    <row r="507" spans="1:8" x14ac:dyDescent="0.3">
      <c r="A507" s="1">
        <v>45989</v>
      </c>
      <c r="B507" t="s">
        <v>221</v>
      </c>
      <c r="C507" t="s">
        <v>9</v>
      </c>
      <c r="D507" t="s">
        <v>26</v>
      </c>
      <c r="E507" s="2">
        <f t="shared" si="9"/>
        <v>676260</v>
      </c>
      <c r="G507" s="2">
        <v>-20900</v>
      </c>
    </row>
    <row r="508" spans="1:8" x14ac:dyDescent="0.3">
      <c r="A508" s="1">
        <v>45989</v>
      </c>
      <c r="B508" t="s">
        <v>260</v>
      </c>
      <c r="C508" t="s">
        <v>9</v>
      </c>
      <c r="D508" t="s">
        <v>26</v>
      </c>
      <c r="E508" s="2">
        <f t="shared" si="9"/>
        <v>655360</v>
      </c>
      <c r="G508" s="2">
        <v>-13450</v>
      </c>
    </row>
    <row r="509" spans="1:8" x14ac:dyDescent="0.3">
      <c r="A509" s="1">
        <v>45989</v>
      </c>
      <c r="B509" t="s">
        <v>261</v>
      </c>
      <c r="C509" t="s">
        <v>9</v>
      </c>
      <c r="D509" t="s">
        <v>26</v>
      </c>
      <c r="E509" s="2">
        <f t="shared" si="8"/>
        <v>641910</v>
      </c>
      <c r="G509" s="2">
        <v>-46565</v>
      </c>
    </row>
    <row r="510" spans="1:8" x14ac:dyDescent="0.3">
      <c r="A510" s="1">
        <v>45992</v>
      </c>
      <c r="B510" t="s">
        <v>262</v>
      </c>
      <c r="C510" t="s">
        <v>9</v>
      </c>
      <c r="E510" s="2">
        <f t="shared" si="8"/>
        <v>595345</v>
      </c>
      <c r="G510" s="2">
        <v>-50000</v>
      </c>
    </row>
    <row r="511" spans="1:8" x14ac:dyDescent="0.3">
      <c r="A511" s="1">
        <v>45992</v>
      </c>
      <c r="B511" t="s">
        <v>263</v>
      </c>
      <c r="C511" t="s">
        <v>9</v>
      </c>
      <c r="E511" s="2">
        <f t="shared" si="8"/>
        <v>545345</v>
      </c>
      <c r="G511" s="2">
        <v>-46200</v>
      </c>
    </row>
    <row r="512" spans="1:8" x14ac:dyDescent="0.3">
      <c r="A512" s="1">
        <v>45995</v>
      </c>
      <c r="B512" t="s">
        <v>63</v>
      </c>
      <c r="C512" t="s">
        <v>12</v>
      </c>
      <c r="E512" s="2">
        <f t="shared" si="8"/>
        <v>499145</v>
      </c>
      <c r="F512" s="2">
        <v>4000000</v>
      </c>
      <c r="H512" t="s">
        <v>163</v>
      </c>
    </row>
    <row r="513" spans="1:8" x14ac:dyDescent="0.3">
      <c r="A513" s="1">
        <v>45995</v>
      </c>
      <c r="B513" t="s">
        <v>36</v>
      </c>
      <c r="C513" t="s">
        <v>13</v>
      </c>
      <c r="E513" s="2">
        <f t="shared" si="8"/>
        <v>4499145</v>
      </c>
      <c r="G513" s="2">
        <v>-600000</v>
      </c>
    </row>
    <row r="514" spans="1:8" x14ac:dyDescent="0.3">
      <c r="A514" s="1">
        <v>45995</v>
      </c>
      <c r="B514" t="s">
        <v>39</v>
      </c>
      <c r="C514" t="s">
        <v>13</v>
      </c>
      <c r="E514" s="2">
        <f t="shared" si="8"/>
        <v>3899145</v>
      </c>
      <c r="G514" s="2">
        <v>-1000000</v>
      </c>
    </row>
    <row r="515" spans="1:8" x14ac:dyDescent="0.3">
      <c r="A515" s="1">
        <v>45995</v>
      </c>
      <c r="B515" t="s">
        <v>180</v>
      </c>
      <c r="C515" t="s">
        <v>9</v>
      </c>
      <c r="E515" s="2">
        <f t="shared" si="8"/>
        <v>2899145</v>
      </c>
      <c r="G515" s="2">
        <v>-1189307</v>
      </c>
    </row>
    <row r="516" spans="1:8" x14ac:dyDescent="0.3">
      <c r="A516" s="1">
        <v>45995</v>
      </c>
      <c r="B516" t="s">
        <v>48</v>
      </c>
      <c r="C516" t="s">
        <v>12</v>
      </c>
      <c r="E516" s="2">
        <f t="shared" si="8"/>
        <v>1709838</v>
      </c>
      <c r="F516" s="2">
        <v>100000</v>
      </c>
      <c r="H516" t="s">
        <v>51</v>
      </c>
    </row>
    <row r="517" spans="1:8" x14ac:dyDescent="0.3">
      <c r="A517" s="1">
        <v>45995</v>
      </c>
      <c r="B517" t="s">
        <v>49</v>
      </c>
      <c r="C517" t="s">
        <v>12</v>
      </c>
      <c r="E517" s="2">
        <f t="shared" si="8"/>
        <v>1809838</v>
      </c>
      <c r="F517" s="2">
        <v>100000</v>
      </c>
      <c r="H517" t="s">
        <v>51</v>
      </c>
    </row>
    <row r="518" spans="1:8" x14ac:dyDescent="0.3">
      <c r="A518" s="1">
        <v>45995</v>
      </c>
      <c r="B518" t="s">
        <v>50</v>
      </c>
      <c r="C518" t="s">
        <v>12</v>
      </c>
      <c r="E518" s="2">
        <f t="shared" si="8"/>
        <v>1909838</v>
      </c>
      <c r="F518" s="2">
        <v>100000</v>
      </c>
      <c r="H518" t="s">
        <v>51</v>
      </c>
    </row>
    <row r="519" spans="1:8" x14ac:dyDescent="0.3">
      <c r="A519" s="1">
        <v>45995</v>
      </c>
      <c r="B519" t="s">
        <v>63</v>
      </c>
      <c r="C519" t="s">
        <v>12</v>
      </c>
      <c r="E519" s="2">
        <f t="shared" ref="E519:E562" si="10">E518+F518+G518</f>
        <v>2009838</v>
      </c>
      <c r="F519" s="2">
        <v>100000</v>
      </c>
      <c r="H519" t="s">
        <v>51</v>
      </c>
    </row>
    <row r="520" spans="1:8" x14ac:dyDescent="0.3">
      <c r="A520" s="1">
        <v>45996</v>
      </c>
      <c r="B520" t="s">
        <v>74</v>
      </c>
      <c r="C520" t="s">
        <v>9</v>
      </c>
      <c r="E520" s="2">
        <f t="shared" si="10"/>
        <v>2109838</v>
      </c>
      <c r="G520" s="2">
        <v>-20427</v>
      </c>
    </row>
    <row r="521" spans="1:8" x14ac:dyDescent="0.3">
      <c r="A521" s="1">
        <v>45996</v>
      </c>
      <c r="B521" t="s">
        <v>41</v>
      </c>
      <c r="C521" t="s">
        <v>9</v>
      </c>
      <c r="E521" s="2">
        <f t="shared" si="10"/>
        <v>2089411</v>
      </c>
      <c r="G521" s="2">
        <v>-100000</v>
      </c>
      <c r="H521" t="s">
        <v>273</v>
      </c>
    </row>
    <row r="522" spans="1:8" x14ac:dyDescent="0.3">
      <c r="A522" s="1">
        <v>45996</v>
      </c>
      <c r="B522" t="s">
        <v>142</v>
      </c>
      <c r="C522" t="s">
        <v>12</v>
      </c>
      <c r="E522" s="2">
        <f t="shared" si="10"/>
        <v>1989411</v>
      </c>
      <c r="F522" s="2">
        <v>1250000</v>
      </c>
      <c r="H522" t="s">
        <v>279</v>
      </c>
    </row>
    <row r="523" spans="1:8" x14ac:dyDescent="0.3">
      <c r="A523" s="1">
        <v>46001</v>
      </c>
      <c r="B523" t="s">
        <v>142</v>
      </c>
      <c r="C523" t="s">
        <v>12</v>
      </c>
      <c r="E523" s="2">
        <f t="shared" si="10"/>
        <v>3239411</v>
      </c>
      <c r="F523" s="2">
        <v>5000000</v>
      </c>
      <c r="H523" t="s">
        <v>279</v>
      </c>
    </row>
    <row r="524" spans="1:8" x14ac:dyDescent="0.3">
      <c r="A524" s="1">
        <v>46001</v>
      </c>
      <c r="B524" t="s">
        <v>142</v>
      </c>
      <c r="C524" t="s">
        <v>12</v>
      </c>
      <c r="E524" s="2">
        <f t="shared" si="10"/>
        <v>8239411</v>
      </c>
      <c r="F524" s="2">
        <v>5000000</v>
      </c>
      <c r="H524" t="s">
        <v>279</v>
      </c>
    </row>
    <row r="525" spans="1:8" x14ac:dyDescent="0.3">
      <c r="A525" s="1">
        <v>46001</v>
      </c>
      <c r="B525" t="s">
        <v>142</v>
      </c>
      <c r="C525" t="s">
        <v>12</v>
      </c>
      <c r="E525" s="2">
        <f t="shared" si="10"/>
        <v>13239411</v>
      </c>
      <c r="F525" s="2">
        <v>5000000</v>
      </c>
      <c r="H525" t="s">
        <v>279</v>
      </c>
    </row>
    <row r="526" spans="1:8" x14ac:dyDescent="0.3">
      <c r="A526" s="1">
        <v>46001</v>
      </c>
      <c r="B526" t="s">
        <v>142</v>
      </c>
      <c r="C526" t="s">
        <v>12</v>
      </c>
      <c r="E526" s="2">
        <f t="shared" si="10"/>
        <v>18239411</v>
      </c>
      <c r="F526" s="2">
        <v>5000000</v>
      </c>
      <c r="H526" t="s">
        <v>279</v>
      </c>
    </row>
    <row r="527" spans="1:8" x14ac:dyDescent="0.3">
      <c r="A527" s="1">
        <v>46001</v>
      </c>
      <c r="B527" t="s">
        <v>142</v>
      </c>
      <c r="C527" t="s">
        <v>12</v>
      </c>
      <c r="E527" s="2">
        <f t="shared" si="10"/>
        <v>23239411</v>
      </c>
      <c r="F527" s="2">
        <v>5000000</v>
      </c>
      <c r="H527" t="s">
        <v>279</v>
      </c>
    </row>
    <row r="528" spans="1:8" x14ac:dyDescent="0.3">
      <c r="A528" s="1">
        <v>46000</v>
      </c>
      <c r="B528" t="s">
        <v>83</v>
      </c>
      <c r="C528" t="s">
        <v>20</v>
      </c>
      <c r="D528" t="s">
        <v>120</v>
      </c>
      <c r="E528" s="2">
        <f t="shared" si="10"/>
        <v>28239411</v>
      </c>
      <c r="F528" s="2">
        <v>31027500</v>
      </c>
      <c r="H528" t="s">
        <v>280</v>
      </c>
    </row>
    <row r="529" spans="1:8" x14ac:dyDescent="0.3">
      <c r="A529" s="1">
        <v>46001</v>
      </c>
      <c r="B529" t="s">
        <v>74</v>
      </c>
      <c r="C529" t="s">
        <v>9</v>
      </c>
      <c r="E529" s="2">
        <f t="shared" si="10"/>
        <v>59266911</v>
      </c>
      <c r="G529" s="2">
        <v>-12490</v>
      </c>
    </row>
    <row r="530" spans="1:8" x14ac:dyDescent="0.3">
      <c r="A530" s="1">
        <v>46001</v>
      </c>
      <c r="B530" t="s">
        <v>88</v>
      </c>
      <c r="C530" t="s">
        <v>16</v>
      </c>
      <c r="E530" s="2">
        <f t="shared" si="10"/>
        <v>59254421</v>
      </c>
      <c r="G530" s="2">
        <v>-58500000</v>
      </c>
    </row>
    <row r="531" spans="1:8" x14ac:dyDescent="0.3">
      <c r="A531" s="1">
        <v>46001</v>
      </c>
      <c r="B531" t="s">
        <v>44</v>
      </c>
      <c r="C531" t="s">
        <v>9</v>
      </c>
      <c r="E531" s="2">
        <f t="shared" si="10"/>
        <v>754421</v>
      </c>
      <c r="G531" s="2">
        <v>-335881</v>
      </c>
      <c r="H531" t="s">
        <v>147</v>
      </c>
    </row>
    <row r="532" spans="1:8" x14ac:dyDescent="0.3">
      <c r="A532" s="1">
        <v>46002</v>
      </c>
      <c r="B532" t="s">
        <v>54</v>
      </c>
      <c r="C532" t="s">
        <v>9</v>
      </c>
      <c r="D532" t="s">
        <v>26</v>
      </c>
      <c r="E532" s="2">
        <f t="shared" si="10"/>
        <v>418540</v>
      </c>
      <c r="G532" s="2">
        <v>-32756</v>
      </c>
    </row>
    <row r="533" spans="1:8" x14ac:dyDescent="0.3">
      <c r="A533" s="1">
        <v>46002</v>
      </c>
      <c r="B533" t="s">
        <v>54</v>
      </c>
      <c r="C533" t="s">
        <v>9</v>
      </c>
      <c r="D533" t="s">
        <v>26</v>
      </c>
      <c r="E533" s="2">
        <f t="shared" si="10"/>
        <v>385784</v>
      </c>
      <c r="G533" s="2">
        <v>-4180</v>
      </c>
    </row>
    <row r="534" spans="1:8" x14ac:dyDescent="0.3">
      <c r="A534" s="1">
        <v>46002</v>
      </c>
      <c r="B534" t="s">
        <v>54</v>
      </c>
      <c r="C534" t="s">
        <v>9</v>
      </c>
      <c r="D534" t="s">
        <v>26</v>
      </c>
      <c r="E534" s="2">
        <f t="shared" si="10"/>
        <v>381604</v>
      </c>
      <c r="G534" s="2">
        <v>-40000</v>
      </c>
    </row>
    <row r="535" spans="1:8" x14ac:dyDescent="0.3">
      <c r="A535" s="1">
        <v>46006</v>
      </c>
      <c r="B535" t="s">
        <v>74</v>
      </c>
      <c r="C535" t="s">
        <v>9</v>
      </c>
      <c r="E535" s="2">
        <f t="shared" si="10"/>
        <v>341604</v>
      </c>
      <c r="G535" s="2">
        <v>-45764</v>
      </c>
      <c r="H535" t="s">
        <v>275</v>
      </c>
    </row>
    <row r="536" spans="1:8" x14ac:dyDescent="0.3">
      <c r="A536" s="1">
        <v>46007</v>
      </c>
      <c r="B536" t="s">
        <v>230</v>
      </c>
      <c r="C536" t="s">
        <v>9</v>
      </c>
      <c r="E536" s="2">
        <f t="shared" si="10"/>
        <v>295840</v>
      </c>
      <c r="G536" s="2">
        <v>-51918</v>
      </c>
    </row>
    <row r="537" spans="1:8" x14ac:dyDescent="0.3">
      <c r="A537" s="1">
        <v>46007</v>
      </c>
      <c r="B537" t="s">
        <v>54</v>
      </c>
      <c r="C537" t="s">
        <v>9</v>
      </c>
      <c r="E537" s="2">
        <f t="shared" si="10"/>
        <v>243922</v>
      </c>
      <c r="G537" s="2">
        <v>-20000</v>
      </c>
      <c r="H537" t="s">
        <v>276</v>
      </c>
    </row>
    <row r="538" spans="1:8" x14ac:dyDescent="0.3">
      <c r="A538" s="1">
        <v>46009</v>
      </c>
      <c r="B538" t="s">
        <v>85</v>
      </c>
      <c r="C538" t="s">
        <v>10</v>
      </c>
      <c r="E538" s="2">
        <f t="shared" si="10"/>
        <v>223922</v>
      </c>
      <c r="G538" s="2">
        <v>-120000</v>
      </c>
    </row>
    <row r="539" spans="1:8" x14ac:dyDescent="0.3">
      <c r="A539" s="1">
        <v>46013</v>
      </c>
      <c r="B539" t="s">
        <v>160</v>
      </c>
      <c r="C539" t="s">
        <v>20</v>
      </c>
      <c r="E539" s="2">
        <f t="shared" si="10"/>
        <v>103922</v>
      </c>
      <c r="F539" s="2">
        <v>171971</v>
      </c>
      <c r="H539" t="s">
        <v>274</v>
      </c>
    </row>
    <row r="540" spans="1:8" x14ac:dyDescent="0.3">
      <c r="A540" s="1">
        <v>46013</v>
      </c>
      <c r="B540" t="s">
        <v>160</v>
      </c>
      <c r="C540" t="s">
        <v>20</v>
      </c>
      <c r="E540" s="2">
        <f t="shared" si="10"/>
        <v>275893</v>
      </c>
      <c r="F540" s="2">
        <v>147097</v>
      </c>
      <c r="H540" t="s">
        <v>274</v>
      </c>
    </row>
    <row r="541" spans="1:8" x14ac:dyDescent="0.3">
      <c r="A541" s="1">
        <v>46014</v>
      </c>
      <c r="B541" t="s">
        <v>65</v>
      </c>
      <c r="C541" t="s">
        <v>9</v>
      </c>
      <c r="E541" s="2">
        <f t="shared" si="10"/>
        <v>422990</v>
      </c>
      <c r="G541" s="2">
        <v>-5000</v>
      </c>
    </row>
    <row r="542" spans="1:8" x14ac:dyDescent="0.3">
      <c r="A542" s="1">
        <v>46014</v>
      </c>
      <c r="B542" t="s">
        <v>47</v>
      </c>
      <c r="C542" t="s">
        <v>9</v>
      </c>
      <c r="E542" s="2">
        <f t="shared" si="10"/>
        <v>417990</v>
      </c>
      <c r="G542" s="2">
        <v>-130649</v>
      </c>
      <c r="H542" t="s">
        <v>137</v>
      </c>
    </row>
    <row r="543" spans="1:8" x14ac:dyDescent="0.3">
      <c r="A543" s="1">
        <v>46014</v>
      </c>
      <c r="B543" t="s">
        <v>264</v>
      </c>
      <c r="C543" t="s">
        <v>12</v>
      </c>
      <c r="E543" s="2">
        <f t="shared" si="10"/>
        <v>287341</v>
      </c>
      <c r="F543" s="2">
        <v>3174553</v>
      </c>
    </row>
    <row r="544" spans="1:8" x14ac:dyDescent="0.3">
      <c r="A544" s="1">
        <v>46015</v>
      </c>
      <c r="B544" t="s">
        <v>171</v>
      </c>
      <c r="C544" t="s">
        <v>9</v>
      </c>
      <c r="D544" t="s">
        <v>26</v>
      </c>
      <c r="E544" s="2">
        <f t="shared" si="10"/>
        <v>3461894</v>
      </c>
      <c r="G544" s="2">
        <v>-7980</v>
      </c>
    </row>
    <row r="545" spans="1:8" x14ac:dyDescent="0.3">
      <c r="A545" s="1">
        <v>46015</v>
      </c>
      <c r="B545" t="s">
        <v>171</v>
      </c>
      <c r="C545" t="s">
        <v>9</v>
      </c>
      <c r="D545" t="s">
        <v>26</v>
      </c>
      <c r="E545" s="2">
        <f t="shared" si="10"/>
        <v>3453914</v>
      </c>
      <c r="G545" s="2">
        <v>-2050</v>
      </c>
    </row>
    <row r="546" spans="1:8" x14ac:dyDescent="0.3">
      <c r="A546" s="1">
        <v>46015</v>
      </c>
      <c r="B546" t="s">
        <v>265</v>
      </c>
      <c r="C546" t="s">
        <v>9</v>
      </c>
      <c r="D546" t="s">
        <v>26</v>
      </c>
      <c r="E546" s="2">
        <f t="shared" si="10"/>
        <v>3451864</v>
      </c>
      <c r="G546" s="2">
        <v>-48436</v>
      </c>
    </row>
    <row r="547" spans="1:8" x14ac:dyDescent="0.3">
      <c r="A547" s="1">
        <v>46015</v>
      </c>
      <c r="B547" t="s">
        <v>266</v>
      </c>
      <c r="C547" t="s">
        <v>9</v>
      </c>
      <c r="D547" t="s">
        <v>26</v>
      </c>
      <c r="E547" s="2">
        <f t="shared" si="10"/>
        <v>3403428</v>
      </c>
      <c r="G547" s="2">
        <v>-18980</v>
      </c>
    </row>
    <row r="548" spans="1:8" x14ac:dyDescent="0.3">
      <c r="A548" s="1">
        <v>46015</v>
      </c>
      <c r="B548" t="s">
        <v>267</v>
      </c>
      <c r="C548" t="s">
        <v>9</v>
      </c>
      <c r="D548" t="s">
        <v>26</v>
      </c>
      <c r="E548" s="2">
        <f t="shared" si="10"/>
        <v>3384448</v>
      </c>
      <c r="G548" s="2">
        <v>-5380</v>
      </c>
    </row>
    <row r="549" spans="1:8" x14ac:dyDescent="0.3">
      <c r="A549" s="1">
        <v>46015</v>
      </c>
      <c r="B549" t="s">
        <v>261</v>
      </c>
      <c r="C549" t="s">
        <v>9</v>
      </c>
      <c r="D549" t="s">
        <v>26</v>
      </c>
      <c r="E549" s="2">
        <f t="shared" si="10"/>
        <v>3379068</v>
      </c>
      <c r="G549" s="2">
        <v>-20628</v>
      </c>
    </row>
    <row r="550" spans="1:8" x14ac:dyDescent="0.3">
      <c r="A550" s="1">
        <v>46015</v>
      </c>
      <c r="B550" t="s">
        <v>268</v>
      </c>
      <c r="C550" t="s">
        <v>9</v>
      </c>
      <c r="E550" s="2">
        <f t="shared" si="10"/>
        <v>3358440</v>
      </c>
      <c r="G550" s="2">
        <v>-200000</v>
      </c>
      <c r="H550" t="s">
        <v>270</v>
      </c>
    </row>
    <row r="551" spans="1:8" x14ac:dyDescent="0.3">
      <c r="A551" s="1">
        <v>46015</v>
      </c>
      <c r="B551" t="s">
        <v>269</v>
      </c>
      <c r="C551" t="s">
        <v>9</v>
      </c>
      <c r="D551" t="s">
        <v>26</v>
      </c>
      <c r="E551" s="2">
        <f t="shared" si="10"/>
        <v>3158440</v>
      </c>
      <c r="G551" s="2">
        <v>-50000</v>
      </c>
    </row>
    <row r="552" spans="1:8" x14ac:dyDescent="0.3">
      <c r="A552" s="1">
        <v>46017</v>
      </c>
      <c r="B552" t="s">
        <v>52</v>
      </c>
      <c r="C552" t="s">
        <v>16</v>
      </c>
      <c r="E552" s="2">
        <f t="shared" si="10"/>
        <v>3108440</v>
      </c>
      <c r="F552" s="2">
        <v>3000000</v>
      </c>
    </row>
    <row r="553" spans="1:8" x14ac:dyDescent="0.3">
      <c r="A553" s="1">
        <v>46017</v>
      </c>
      <c r="B553" t="s">
        <v>54</v>
      </c>
      <c r="C553" t="s">
        <v>9</v>
      </c>
      <c r="D553" t="s">
        <v>26</v>
      </c>
      <c r="E553" s="2">
        <f t="shared" si="10"/>
        <v>6108440</v>
      </c>
      <c r="G553" s="2">
        <v>-40000</v>
      </c>
      <c r="H553" t="s">
        <v>272</v>
      </c>
    </row>
    <row r="554" spans="1:8" x14ac:dyDescent="0.3">
      <c r="A554" s="1">
        <v>46017</v>
      </c>
      <c r="B554" t="s">
        <v>268</v>
      </c>
      <c r="C554" t="s">
        <v>9</v>
      </c>
      <c r="E554" s="2">
        <f t="shared" si="10"/>
        <v>6068440</v>
      </c>
      <c r="G554" s="2">
        <v>-704747</v>
      </c>
      <c r="H554" t="s">
        <v>270</v>
      </c>
    </row>
    <row r="555" spans="1:8" x14ac:dyDescent="0.3">
      <c r="A555" s="1">
        <v>46017</v>
      </c>
      <c r="B555" t="s">
        <v>251</v>
      </c>
      <c r="C555" t="s">
        <v>20</v>
      </c>
      <c r="E555" s="2">
        <f t="shared" si="10"/>
        <v>5363693</v>
      </c>
      <c r="G555" s="2">
        <v>-5000000</v>
      </c>
      <c r="H555" t="s">
        <v>271</v>
      </c>
    </row>
    <row r="556" spans="1:8" x14ac:dyDescent="0.3">
      <c r="A556" s="1">
        <v>46020</v>
      </c>
      <c r="B556" t="s">
        <v>277</v>
      </c>
      <c r="C556" t="s">
        <v>9</v>
      </c>
      <c r="E556" s="2">
        <f t="shared" si="10"/>
        <v>363693</v>
      </c>
      <c r="G556" s="2">
        <v>-153500</v>
      </c>
    </row>
    <row r="557" spans="1:8" x14ac:dyDescent="0.3">
      <c r="A557" s="1">
        <v>46017</v>
      </c>
      <c r="B557" t="s">
        <v>82</v>
      </c>
      <c r="C557" t="s">
        <v>9</v>
      </c>
      <c r="E557" s="2">
        <f t="shared" si="10"/>
        <v>210193</v>
      </c>
      <c r="G557" s="2">
        <v>-19425</v>
      </c>
    </row>
    <row r="558" spans="1:8" x14ac:dyDescent="0.3">
      <c r="A558" s="1">
        <v>46020</v>
      </c>
      <c r="B558" t="s">
        <v>53</v>
      </c>
      <c r="C558" t="s">
        <v>9</v>
      </c>
      <c r="E558" s="2">
        <f t="shared" si="10"/>
        <v>190768</v>
      </c>
      <c r="G558" s="2">
        <v>-3909</v>
      </c>
      <c r="H558" t="s">
        <v>242</v>
      </c>
    </row>
    <row r="559" spans="1:8" x14ac:dyDescent="0.3">
      <c r="A559" s="1">
        <v>46020</v>
      </c>
      <c r="B559" t="s">
        <v>278</v>
      </c>
      <c r="C559" t="s">
        <v>20</v>
      </c>
      <c r="D559" t="s">
        <v>23</v>
      </c>
      <c r="E559" s="2">
        <f t="shared" si="10"/>
        <v>186859</v>
      </c>
      <c r="G559" s="2">
        <v>-10000</v>
      </c>
    </row>
    <row r="560" spans="1:8" x14ac:dyDescent="0.3">
      <c r="A560" s="1">
        <v>46020</v>
      </c>
      <c r="B560" t="s">
        <v>86</v>
      </c>
      <c r="C560" t="s">
        <v>20</v>
      </c>
      <c r="D560" t="s">
        <v>24</v>
      </c>
      <c r="E560" s="2">
        <f t="shared" si="10"/>
        <v>176859</v>
      </c>
      <c r="G560" s="2">
        <v>-10000</v>
      </c>
    </row>
    <row r="561" spans="1:6" x14ac:dyDescent="0.3">
      <c r="A561" s="1">
        <v>46021</v>
      </c>
      <c r="B561" t="s">
        <v>52</v>
      </c>
      <c r="C561" t="s">
        <v>16</v>
      </c>
      <c r="E561" s="2">
        <f t="shared" si="10"/>
        <v>166859</v>
      </c>
      <c r="F561" s="2">
        <v>30000000</v>
      </c>
    </row>
    <row r="562" spans="1:6" x14ac:dyDescent="0.3">
      <c r="E562" s="2">
        <f t="shared" si="10"/>
        <v>30166859</v>
      </c>
    </row>
  </sheetData>
  <phoneticPr fontId="2" type="noConversion"/>
  <conditionalFormatting sqref="C1:C1048576">
    <cfRule type="containsBlanks" dxfId="2" priority="1">
      <formula>LEN(TRIM(C1))=0</formula>
    </cfRule>
  </conditionalFormatting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1F16C7B-3110-4343-BAD4-CFED7211F3D3}">
          <x14:formula1>
            <xm:f>CATEGORIAS!$A$2:$A$13</xm:f>
          </x14:formula1>
          <xm:sqref>C2:C114 C116:C239 C241:C333 C335:C360 C362:C1048576</xm:sqref>
        </x14:dataValidation>
        <x14:dataValidation type="list" allowBlank="1" showInputMessage="1" showErrorMessage="1" xr:uid="{8BDFD4EF-B0A6-46D2-84A4-B8F8214D1D31}">
          <x14:formula1>
            <xm:f>CATEGORIAS!$A$2:$A$14</xm:f>
          </x14:formula1>
          <xm:sqref>C115 C240 C334</xm:sqref>
        </x14:dataValidation>
        <x14:dataValidation type="list" allowBlank="1" showInputMessage="1" showErrorMessage="1" xr:uid="{FCCD43E9-341B-4979-A63F-D5D03D13154E}">
          <x14:formula1>
            <xm:f>CATEGORIAS!$B$2:$B$16</xm:f>
          </x14:formula1>
          <xm:sqref>D3:D326 D328:D427 D430:D449 D451:D491 D493:D494 D496:D1048576</xm:sqref>
        </x14:dataValidation>
        <x14:dataValidation type="list" allowBlank="1" showInputMessage="1" showErrorMessage="1" xr:uid="{83CBFC38-C222-42B0-9ABD-59F64FAF60B1}">
          <x14:formula1>
            <xm:f>CATEGORIAS!$A$2:$A$130</xm:f>
          </x14:formula1>
          <xm:sqref>C361</xm:sqref>
        </x14:dataValidation>
        <x14:dataValidation type="list" allowBlank="1" showInputMessage="1" showErrorMessage="1" xr:uid="{1922D316-FC9D-4D55-A768-2049249DBE31}">
          <x14:formula1>
            <xm:f>CATEGORIAS!$B$2:$B$160</xm:f>
          </x14:formula1>
          <xm:sqref>D327</xm:sqref>
        </x14:dataValidation>
        <x14:dataValidation type="list" allowBlank="1" showInputMessage="1" showErrorMessage="1" xr:uid="{24A2CA2F-3F4B-496C-945E-A8AE8D88D844}">
          <x14:formula1>
            <xm:f>CATEGORIAS!$B$2:$B$30</xm:f>
          </x14:formula1>
          <xm:sqref>D450 D428:D429 D492 D495</xm:sqref>
        </x14:dataValidation>
        <x14:dataValidation type="list" allowBlank="1" showInputMessage="1" showErrorMessage="1" xr:uid="{1BABD70A-3183-48F9-A551-F61BCA0EE5C3}">
          <x14:formula1>
            <xm:f>CATEGORIAS!$B$2:$B$40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417E-E361-417A-B1C7-EF2376066C7F}">
  <dimension ref="A1:E13"/>
  <sheetViews>
    <sheetView workbookViewId="0"/>
  </sheetViews>
  <sheetFormatPr defaultRowHeight="14.4" x14ac:dyDescent="0.3"/>
  <cols>
    <col min="1" max="1" width="12.5546875" bestFit="1" customWidth="1"/>
    <col min="2" max="2" width="17.5546875" style="2" bestFit="1" customWidth="1"/>
  </cols>
  <sheetData>
    <row r="1" spans="1:5" x14ac:dyDescent="0.3">
      <c r="A1" s="4" t="s">
        <v>117</v>
      </c>
      <c r="B1" s="6" t="s">
        <v>116</v>
      </c>
    </row>
    <row r="2" spans="1:5" x14ac:dyDescent="0.3">
      <c r="A2" s="5" t="s">
        <v>115</v>
      </c>
      <c r="B2" s="6">
        <v>79682400</v>
      </c>
      <c r="C2" s="7">
        <f>B2/$B$4</f>
        <v>0.3330369694508471</v>
      </c>
    </row>
    <row r="3" spans="1:5" x14ac:dyDescent="0.3">
      <c r="A3" s="5" t="s">
        <v>12</v>
      </c>
      <c r="B3" s="6">
        <v>159577524</v>
      </c>
      <c r="C3" s="7">
        <f>B3/$B$4</f>
        <v>0.66696303054915285</v>
      </c>
    </row>
    <row r="4" spans="1:5" x14ac:dyDescent="0.3">
      <c r="A4" s="5" t="s">
        <v>118</v>
      </c>
      <c r="B4" s="6">
        <v>239259924</v>
      </c>
      <c r="C4" s="7">
        <f>B4/$B$4</f>
        <v>1</v>
      </c>
    </row>
    <row r="5" spans="1:5" x14ac:dyDescent="0.3">
      <c r="B5"/>
    </row>
    <row r="6" spans="1:5" x14ac:dyDescent="0.3">
      <c r="A6" s="8" t="s">
        <v>119</v>
      </c>
      <c r="B6"/>
    </row>
    <row r="7" spans="1:5" x14ac:dyDescent="0.3">
      <c r="B7"/>
    </row>
    <row r="8" spans="1:5" x14ac:dyDescent="0.3">
      <c r="B8"/>
    </row>
    <row r="9" spans="1:5" x14ac:dyDescent="0.3">
      <c r="B9"/>
    </row>
    <row r="10" spans="1:5" x14ac:dyDescent="0.3">
      <c r="B10"/>
    </row>
    <row r="11" spans="1:5" x14ac:dyDescent="0.3">
      <c r="B11"/>
      <c r="E11" s="7"/>
    </row>
    <row r="12" spans="1:5" x14ac:dyDescent="0.3">
      <c r="B12"/>
      <c r="E12" s="7"/>
    </row>
    <row r="13" spans="1:5" x14ac:dyDescent="0.3">
      <c r="B13"/>
      <c r="E13" s="7"/>
    </row>
  </sheetData>
  <conditionalFormatting sqref="C2">
    <cfRule type="cellIs" dxfId="1" priority="1" operator="greaterThan">
      <formula>0.3</formula>
    </cfRule>
    <cfRule type="cellIs" dxfId="0" priority="2" operator="greaterThan">
      <formula>30</formula>
    </cfRule>
  </conditionalFormatting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8"/>
  <sheetViews>
    <sheetView workbookViewId="0">
      <selection activeCell="B19" sqref="B19"/>
    </sheetView>
  </sheetViews>
  <sheetFormatPr defaultRowHeight="14.4" x14ac:dyDescent="0.3"/>
  <cols>
    <col min="1" max="1" width="28.5546875" bestFit="1" customWidth="1"/>
    <col min="2" max="2" width="19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19</v>
      </c>
      <c r="B2" t="s">
        <v>28</v>
      </c>
    </row>
    <row r="3" spans="1:2" x14ac:dyDescent="0.3">
      <c r="A3" t="s">
        <v>16</v>
      </c>
      <c r="B3" t="s">
        <v>31</v>
      </c>
    </row>
    <row r="4" spans="1:2" x14ac:dyDescent="0.3">
      <c r="A4" t="s">
        <v>9</v>
      </c>
      <c r="B4" t="s">
        <v>30</v>
      </c>
    </row>
    <row r="5" spans="1:2" x14ac:dyDescent="0.3">
      <c r="A5" t="s">
        <v>14</v>
      </c>
      <c r="B5" t="s">
        <v>26</v>
      </c>
    </row>
    <row r="6" spans="1:2" x14ac:dyDescent="0.3">
      <c r="A6" t="s">
        <v>18</v>
      </c>
      <c r="B6" t="s">
        <v>25</v>
      </c>
    </row>
    <row r="7" spans="1:2" x14ac:dyDescent="0.3">
      <c r="A7" t="s">
        <v>11</v>
      </c>
      <c r="B7" t="s">
        <v>34</v>
      </c>
    </row>
    <row r="8" spans="1:2" x14ac:dyDescent="0.3">
      <c r="A8" t="s">
        <v>10</v>
      </c>
      <c r="B8" t="s">
        <v>24</v>
      </c>
    </row>
    <row r="9" spans="1:2" x14ac:dyDescent="0.3">
      <c r="A9" t="s">
        <v>15</v>
      </c>
      <c r="B9" t="s">
        <v>21</v>
      </c>
    </row>
    <row r="10" spans="1:2" x14ac:dyDescent="0.3">
      <c r="A10" t="s">
        <v>20</v>
      </c>
      <c r="B10" t="s">
        <v>27</v>
      </c>
    </row>
    <row r="11" spans="1:2" x14ac:dyDescent="0.3">
      <c r="A11" t="s">
        <v>17</v>
      </c>
      <c r="B11" t="s">
        <v>33</v>
      </c>
    </row>
    <row r="12" spans="1:2" x14ac:dyDescent="0.3">
      <c r="A12" t="s">
        <v>13</v>
      </c>
      <c r="B12" t="s">
        <v>29</v>
      </c>
    </row>
    <row r="13" spans="1:2" x14ac:dyDescent="0.3">
      <c r="A13" t="s">
        <v>12</v>
      </c>
      <c r="B13" t="s">
        <v>23</v>
      </c>
    </row>
    <row r="14" spans="1:2" x14ac:dyDescent="0.3">
      <c r="A14" t="s">
        <v>115</v>
      </c>
      <c r="B14" t="s">
        <v>32</v>
      </c>
    </row>
    <row r="15" spans="1:2" x14ac:dyDescent="0.3">
      <c r="B15" t="s">
        <v>22</v>
      </c>
    </row>
    <row r="16" spans="1:2" x14ac:dyDescent="0.3">
      <c r="B16" t="s">
        <v>120</v>
      </c>
    </row>
    <row r="17" spans="2:2" x14ac:dyDescent="0.3">
      <c r="B17" t="s">
        <v>218</v>
      </c>
    </row>
    <row r="18" spans="2:2" x14ac:dyDescent="0.3">
      <c r="B18" t="s">
        <v>252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LIMITE PYME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2026-04-08T19:23:12Z</dcterms:modified>
</cp:coreProperties>
</file>
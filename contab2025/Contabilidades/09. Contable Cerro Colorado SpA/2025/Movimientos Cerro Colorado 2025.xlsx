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9. Contable Cerro Colorado SpA\2025\"/>
    </mc:Choice>
  </mc:AlternateContent>
  <xr:revisionPtr revIDLastSave="0" documentId="13_ncr:1_{1495A3C0-BF08-4B4E-970B-A0184C888C4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OVIMIENTOS" sheetId="1" r:id="rId1"/>
    <sheet name="CATEGORIAS" sheetId="2" r:id="rId2"/>
  </sheets>
  <definedNames>
    <definedName name="_xlnm._FilterDatabase" localSheetId="0" hidden="1">MOVIMIENTOS!$A$1:$AB$49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49" i="1" l="1"/>
</calcChain>
</file>

<file path=xl/sharedStrings.xml><?xml version="1.0" encoding="utf-8"?>
<sst xmlns="http://schemas.openxmlformats.org/spreadsheetml/2006/main" count="226" uniqueCount="73">
  <si>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</si>
  <si>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</si>
  <si>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</si>
  <si>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</si>
  <si>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</si>
  <si>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</si>
  <si>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</si>
  <si>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</si>
  <si>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</si>
  <si>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</si>
  <si>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</si>
  <si>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</si>
  <si>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</si>
  <si>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</si>
  <si>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</si>
  <si>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</si>
  <si>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</si>
  <si>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</si>
  <si>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</si>
  <si>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</si>
  <si>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</si>
  <si>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</si>
  <si>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</si>
  <si>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</si>
  <si>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</si>
  <si>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</si>
  <si>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</si>
  <si>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</si>
  <si>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</si>
  <si>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</si>
  <si>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</si>
  <si>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</si>
  <si>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</si>
  <si>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</si>
  <si>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</si>
  <si>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De: Ecox Spa</t>
  </si>
  <si>
    <t>Traspaso A: Asesorias Ecox Limitada</t>
  </si>
  <si>
    <t>Pago: Santander 0771605729</t>
  </si>
  <si>
    <t>Traspaso A: Inversiones Jopa Limitada</t>
  </si>
  <si>
    <t>Traspaso A: Pedro Lecaros Sotomayor</t>
  </si>
  <si>
    <t>Traspaso A: Felipe Hiriart Blome</t>
  </si>
  <si>
    <t>Pago En Sii.cl*</t>
  </si>
  <si>
    <t>Traspaso A: Jose Miguel Parro</t>
  </si>
  <si>
    <t>Traspaso De: Jose Miguel Parro</t>
  </si>
  <si>
    <t>Traspaso De: Mariano Ariel Imberga .</t>
  </si>
  <si>
    <t>Lot 12 spring Lake Circle, Ozark Acres, Sharp County</t>
  </si>
  <si>
    <t>Panama St, FL</t>
  </si>
  <si>
    <t>Garcia Street, FL</t>
  </si>
  <si>
    <t>13-11-2024 Maltas Ave</t>
  </si>
  <si>
    <t>1900 Vantage Lane</t>
  </si>
  <si>
    <t>Cuotas 15, 16 y 17 de 36</t>
  </si>
  <si>
    <t>0 Parkway Court</t>
  </si>
  <si>
    <t>Traspaso De: Mariano Ariel Imberga </t>
  </si>
  <si>
    <t>Cuotas 18, 19 y 20 de 36</t>
  </si>
  <si>
    <t>F22</t>
  </si>
  <si>
    <t>Drew Street, FL</t>
  </si>
  <si>
    <t>JMP</t>
  </si>
  <si>
    <t>Traspaso A: Benjamin Lecaros</t>
  </si>
  <si>
    <t>Reembolsa gasto en publicidad Peru Aldo</t>
  </si>
  <si>
    <t>Cuotas 21, 22 y 23 de 36</t>
  </si>
  <si>
    <t>Pago: Proveedores 0795464301</t>
  </si>
  <si>
    <t>1410 Gooseberry Lane</t>
  </si>
  <si>
    <t>Factura 106</t>
  </si>
  <si>
    <t>Factura 120</t>
  </si>
  <si>
    <t>Factura 129</t>
  </si>
  <si>
    <t>servicio contable factura 130</t>
  </si>
  <si>
    <t>Factura 138</t>
  </si>
  <si>
    <t>Factura 139</t>
  </si>
  <si>
    <t>Factura 146</t>
  </si>
  <si>
    <t>Factura 178</t>
  </si>
  <si>
    <t>servicio contable factura 179</t>
  </si>
  <si>
    <t>servicio contable factura 147</t>
  </si>
  <si>
    <t>Factura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</si>
</sst>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1" applyNumberFormat="1" applyFont="1" applyFill="1"/>
  </cellXfs>
  <cellStyles count="2">
    <cellStyle name="Currency" xfId="1" builtinId="4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6" totalsRowShown="0">
  <autoFilter ref="B1:B16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"/>
  <sheetViews>
    <sheetView tabSelected="1" zoomScale="90" zoomScaleNormal="90" workbookViewId="0">
      <selection activeCell="I51" sqref="I51"/>
    </sheetView>
  </sheetViews>
  <sheetFormatPr defaultRowHeight="14.4"/>
  <cols>
    <col min="1" max="1" width="14.6640625" style="4" customWidth="1"/>
    <col min="2" max="2" width="51.88671875" bestFit="1" customWidth="1"/>
    <col min="3" max="3" width="10.33203125" bestFit="1" customWidth="1"/>
    <col min="4" max="4" width="22.21875" customWidth="1"/>
    <col min="5" max="5" width="12.6640625" customWidth="1"/>
    <col min="6" max="8" width="17.21875" style="6" customWidth="1"/>
    <col min="9" max="9" width="56.6640625" customWidth="1"/>
  </cols>
  <sheetData>
    <row r="1" spans="1:28" ht="15" thickBot="1">
      <c r="A1" s="3" t="s">
        <v>7</v>
      </c>
      <c r="B1" s="1" t="s">
        <v>0</v>
      </c>
      <c r="C1" s="1"/>
      <c r="D1" s="1" t="s">
        <v>1</v>
      </c>
      <c r="E1" s="1" t="s">
        <v>2</v>
      </c>
      <c r="F1" s="5" t="s">
        <v>3</v>
      </c>
      <c r="G1" s="5" t="s">
        <v>4</v>
      </c>
      <c r="H1" s="5" t="s">
        <v>5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4">
        <v>45658</v>
      </c>
      <c r="B2" t="s">
        <v>8</v>
      </c>
      <c r="F2" s="6">
        <v>3293737</v>
      </c>
    </row>
    <row r="3" spans="1:28">
      <c r="A3" s="4">
        <v>45660</v>
      </c>
      <c r="B3" t="s">
        <v>35</v>
      </c>
      <c r="C3" t="s">
        <v>11</v>
      </c>
      <c r="D3" t="s">
        <v>11</v>
      </c>
      <c r="E3" t="s">
        <v>34</v>
      </c>
      <c r="F3" s="6">
        <f t="shared" ref="F3:F66" si="0">F2+G2+H2</f>
        <v>3293737</v>
      </c>
      <c r="G3" s="6">
        <v>4262000</v>
      </c>
      <c r="I3" t="s">
        <v>45</v>
      </c>
    </row>
    <row r="4" spans="1:28">
      <c r="A4" s="4">
        <v>45660</v>
      </c>
      <c r="B4" t="s">
        <v>36</v>
      </c>
      <c r="C4" t="s">
        <v>11</v>
      </c>
      <c r="D4" t="s">
        <v>9</v>
      </c>
      <c r="F4" s="6">
        <f t="shared" si="0"/>
        <v>7555737</v>
      </c>
      <c r="H4" s="6">
        <v>-2300000</v>
      </c>
      <c r="I4" t="s">
        <v>72</v>
      </c>
    </row>
    <row r="5" spans="1:28">
      <c r="A5" s="4">
        <v>45663</v>
      </c>
      <c r="B5" t="s">
        <v>37</v>
      </c>
      <c r="C5" t="s">
        <v>11</v>
      </c>
      <c r="D5" t="s">
        <v>12</v>
      </c>
      <c r="F5" s="6">
        <f t="shared" si="0"/>
        <v>5255737</v>
      </c>
      <c r="G5" s="6">
        <v>11597900</v>
      </c>
      <c r="I5" t="s">
        <v>46</v>
      </c>
    </row>
    <row r="6" spans="1:28">
      <c r="A6" s="4">
        <v>45663</v>
      </c>
      <c r="B6" t="s">
        <v>38</v>
      </c>
      <c r="C6" t="s">
        <v>11</v>
      </c>
      <c r="D6" t="s">
        <v>20</v>
      </c>
      <c r="E6" t="s">
        <v>56</v>
      </c>
      <c r="F6" s="6">
        <f t="shared" si="0"/>
        <v>16853637</v>
      </c>
      <c r="H6" s="6">
        <v>-5000000</v>
      </c>
    </row>
    <row r="7" spans="1:28">
      <c r="A7" s="4">
        <v>45664</v>
      </c>
      <c r="B7" t="s">
        <v>39</v>
      </c>
      <c r="C7" t="s">
        <v>11</v>
      </c>
      <c r="D7" t="s">
        <v>20</v>
      </c>
      <c r="E7" t="s">
        <v>23</v>
      </c>
      <c r="F7" s="6">
        <f t="shared" si="0"/>
        <v>11853637</v>
      </c>
      <c r="H7" s="6">
        <v>-5000000</v>
      </c>
    </row>
    <row r="8" spans="1:28">
      <c r="A8" s="4">
        <v>45664</v>
      </c>
      <c r="B8" t="s">
        <v>40</v>
      </c>
      <c r="C8" t="s">
        <v>11</v>
      </c>
      <c r="D8" t="s">
        <v>20</v>
      </c>
      <c r="E8" t="s">
        <v>24</v>
      </c>
      <c r="F8" s="6">
        <f t="shared" si="0"/>
        <v>6853637</v>
      </c>
      <c r="H8" s="6">
        <v>-5000000</v>
      </c>
    </row>
    <row r="9" spans="1:28">
      <c r="A9" s="4">
        <v>45664</v>
      </c>
      <c r="B9" t="s">
        <v>41</v>
      </c>
      <c r="C9" t="s">
        <v>11</v>
      </c>
      <c r="D9" t="s">
        <v>9</v>
      </c>
      <c r="F9" s="6">
        <f t="shared" si="0"/>
        <v>1853637</v>
      </c>
      <c r="H9" s="6">
        <v>-625</v>
      </c>
    </row>
    <row r="10" spans="1:28">
      <c r="A10" s="4">
        <v>45667</v>
      </c>
      <c r="B10" t="s">
        <v>37</v>
      </c>
      <c r="C10" t="s">
        <v>11</v>
      </c>
      <c r="D10" t="s">
        <v>12</v>
      </c>
      <c r="F10" s="6">
        <f t="shared" si="0"/>
        <v>1853012</v>
      </c>
      <c r="G10" s="6">
        <v>8964500</v>
      </c>
      <c r="I10" t="s">
        <v>47</v>
      </c>
    </row>
    <row r="11" spans="1:28">
      <c r="A11" s="4">
        <v>45667</v>
      </c>
      <c r="B11" t="s">
        <v>42</v>
      </c>
      <c r="C11" t="s">
        <v>11</v>
      </c>
      <c r="D11" t="s">
        <v>20</v>
      </c>
      <c r="E11" t="s">
        <v>56</v>
      </c>
      <c r="F11" s="6">
        <f t="shared" si="0"/>
        <v>10817512</v>
      </c>
      <c r="H11" s="6">
        <v>-3000000</v>
      </c>
    </row>
    <row r="12" spans="1:28">
      <c r="A12" s="4">
        <v>45667</v>
      </c>
      <c r="B12" t="s">
        <v>39</v>
      </c>
      <c r="C12" t="s">
        <v>11</v>
      </c>
      <c r="D12" t="s">
        <v>20</v>
      </c>
      <c r="E12" t="s">
        <v>23</v>
      </c>
      <c r="F12" s="6">
        <f t="shared" si="0"/>
        <v>7817512</v>
      </c>
      <c r="H12" s="6">
        <v>-3000000</v>
      </c>
    </row>
    <row r="13" spans="1:28">
      <c r="A13" s="4">
        <v>45667</v>
      </c>
      <c r="B13" t="s">
        <v>40</v>
      </c>
      <c r="C13" t="s">
        <v>11</v>
      </c>
      <c r="D13" t="s">
        <v>20</v>
      </c>
      <c r="E13" t="s">
        <v>24</v>
      </c>
      <c r="F13" s="6">
        <f t="shared" si="0"/>
        <v>4817512</v>
      </c>
      <c r="H13" s="6">
        <v>-3000000</v>
      </c>
    </row>
    <row r="14" spans="1:28">
      <c r="A14" s="4">
        <v>45667</v>
      </c>
      <c r="B14" t="s">
        <v>43</v>
      </c>
      <c r="C14" t="s">
        <v>11</v>
      </c>
      <c r="D14" t="s">
        <v>20</v>
      </c>
      <c r="F14" s="6">
        <f t="shared" si="0"/>
        <v>1817512</v>
      </c>
      <c r="G14" s="6">
        <v>350000</v>
      </c>
    </row>
    <row r="15" spans="1:28">
      <c r="A15" s="4">
        <v>45667</v>
      </c>
      <c r="B15" t="s">
        <v>44</v>
      </c>
      <c r="C15" t="s">
        <v>11</v>
      </c>
      <c r="D15" t="s">
        <v>12</v>
      </c>
      <c r="E15" t="s">
        <v>34</v>
      </c>
      <c r="F15" s="6">
        <f t="shared" si="0"/>
        <v>2167512</v>
      </c>
      <c r="G15" s="6">
        <v>884424</v>
      </c>
      <c r="I15" t="s">
        <v>50</v>
      </c>
    </row>
    <row r="16" spans="1:28">
      <c r="A16" s="4">
        <v>45670</v>
      </c>
      <c r="B16" t="s">
        <v>43</v>
      </c>
      <c r="C16" t="s">
        <v>11</v>
      </c>
      <c r="D16" t="s">
        <v>20</v>
      </c>
      <c r="F16" s="6">
        <f t="shared" si="0"/>
        <v>3051936</v>
      </c>
      <c r="G16" s="6">
        <v>2650000</v>
      </c>
    </row>
    <row r="17" spans="1:9">
      <c r="A17" s="4">
        <v>45671</v>
      </c>
      <c r="B17" t="s">
        <v>38</v>
      </c>
      <c r="C17" t="s">
        <v>11</v>
      </c>
      <c r="D17" t="s">
        <v>20</v>
      </c>
      <c r="F17" s="6">
        <f t="shared" si="0"/>
        <v>5701936</v>
      </c>
      <c r="H17" s="6">
        <v>-3000000</v>
      </c>
    </row>
    <row r="18" spans="1:9">
      <c r="A18" s="4">
        <v>45674</v>
      </c>
      <c r="B18" t="s">
        <v>35</v>
      </c>
      <c r="C18" t="s">
        <v>11</v>
      </c>
      <c r="D18" t="s">
        <v>11</v>
      </c>
      <c r="E18" t="s">
        <v>34</v>
      </c>
      <c r="F18" s="6">
        <f t="shared" si="0"/>
        <v>2701936</v>
      </c>
      <c r="G18" s="6">
        <v>5390600</v>
      </c>
      <c r="I18" t="s">
        <v>48</v>
      </c>
    </row>
    <row r="19" spans="1:9">
      <c r="A19" s="4">
        <v>45678</v>
      </c>
      <c r="B19" t="s">
        <v>35</v>
      </c>
      <c r="C19" t="s">
        <v>11</v>
      </c>
      <c r="D19" t="s">
        <v>11</v>
      </c>
      <c r="E19" t="s">
        <v>34</v>
      </c>
      <c r="F19" s="6">
        <f t="shared" si="0"/>
        <v>8092536</v>
      </c>
      <c r="G19" s="6">
        <v>3791750</v>
      </c>
      <c r="I19" t="s">
        <v>49</v>
      </c>
    </row>
    <row r="20" spans="1:9">
      <c r="A20" s="4">
        <v>45686</v>
      </c>
      <c r="B20" t="s">
        <v>38</v>
      </c>
      <c r="C20" t="s">
        <v>11</v>
      </c>
      <c r="D20" t="s">
        <v>20</v>
      </c>
      <c r="E20" t="s">
        <v>56</v>
      </c>
      <c r="F20" s="6">
        <f t="shared" si="0"/>
        <v>11884286</v>
      </c>
      <c r="H20" s="6">
        <v>-3000000</v>
      </c>
    </row>
    <row r="21" spans="1:9">
      <c r="A21" s="4">
        <v>45687</v>
      </c>
      <c r="B21" t="s">
        <v>39</v>
      </c>
      <c r="C21" t="s">
        <v>11</v>
      </c>
      <c r="D21" t="s">
        <v>20</v>
      </c>
      <c r="E21" t="s">
        <v>23</v>
      </c>
      <c r="F21" s="6">
        <f t="shared" si="0"/>
        <v>8884286</v>
      </c>
      <c r="H21" s="6">
        <v>-3000000</v>
      </c>
    </row>
    <row r="22" spans="1:9">
      <c r="A22" s="4">
        <v>45687</v>
      </c>
      <c r="B22" t="s">
        <v>40</v>
      </c>
      <c r="C22" t="s">
        <v>11</v>
      </c>
      <c r="D22" t="s">
        <v>20</v>
      </c>
      <c r="E22" t="s">
        <v>24</v>
      </c>
      <c r="F22" s="6">
        <f t="shared" si="0"/>
        <v>5884286</v>
      </c>
      <c r="H22" s="6">
        <v>-3000000</v>
      </c>
    </row>
    <row r="23" spans="1:9">
      <c r="A23" s="4">
        <v>45706</v>
      </c>
      <c r="B23" t="s">
        <v>35</v>
      </c>
      <c r="C23" t="s">
        <v>11</v>
      </c>
      <c r="D23" t="s">
        <v>11</v>
      </c>
      <c r="E23" t="s">
        <v>34</v>
      </c>
      <c r="F23" s="6">
        <f t="shared" si="0"/>
        <v>2884286</v>
      </c>
      <c r="G23" s="6">
        <v>3321500</v>
      </c>
      <c r="I23" t="s">
        <v>51</v>
      </c>
    </row>
    <row r="24" spans="1:9">
      <c r="A24" s="4">
        <v>45721</v>
      </c>
      <c r="B24" t="s">
        <v>36</v>
      </c>
      <c r="C24" t="s">
        <v>11</v>
      </c>
      <c r="D24" t="s">
        <v>9</v>
      </c>
      <c r="F24" s="6">
        <f t="shared" si="0"/>
        <v>6205786</v>
      </c>
      <c r="H24" s="6">
        <v>-2000000</v>
      </c>
      <c r="I24" t="s">
        <v>62</v>
      </c>
    </row>
    <row r="25" spans="1:9">
      <c r="A25" s="4">
        <v>45749</v>
      </c>
      <c r="B25" t="s">
        <v>36</v>
      </c>
      <c r="C25" t="s">
        <v>11</v>
      </c>
      <c r="D25" t="s">
        <v>9</v>
      </c>
      <c r="F25" s="6">
        <f t="shared" si="0"/>
        <v>4205786</v>
      </c>
      <c r="H25" s="6">
        <v>-1500000</v>
      </c>
      <c r="I25" t="s">
        <v>63</v>
      </c>
    </row>
    <row r="26" spans="1:9">
      <c r="A26" s="4">
        <v>45761</v>
      </c>
      <c r="B26" t="s">
        <v>52</v>
      </c>
      <c r="C26" t="s">
        <v>11</v>
      </c>
      <c r="D26" t="s">
        <v>12</v>
      </c>
      <c r="E26" t="s">
        <v>34</v>
      </c>
      <c r="F26" s="6">
        <f t="shared" si="0"/>
        <v>2705786</v>
      </c>
      <c r="G26" s="6">
        <v>896737</v>
      </c>
      <c r="I26" t="s">
        <v>53</v>
      </c>
    </row>
    <row r="27" spans="1:9">
      <c r="A27" s="4">
        <v>45763</v>
      </c>
      <c r="B27" t="s">
        <v>35</v>
      </c>
      <c r="C27" t="s">
        <v>11</v>
      </c>
      <c r="D27" t="s">
        <v>11</v>
      </c>
      <c r="E27" t="s">
        <v>34</v>
      </c>
      <c r="F27" s="6">
        <f t="shared" si="0"/>
        <v>3602523</v>
      </c>
      <c r="G27" s="6">
        <v>4262000</v>
      </c>
    </row>
    <row r="28" spans="1:9">
      <c r="A28" s="4">
        <v>45769</v>
      </c>
      <c r="B28" t="s">
        <v>35</v>
      </c>
      <c r="C28" t="s">
        <v>11</v>
      </c>
      <c r="D28" t="s">
        <v>11</v>
      </c>
      <c r="E28" t="s">
        <v>34</v>
      </c>
      <c r="F28" s="6">
        <f t="shared" si="0"/>
        <v>7864523</v>
      </c>
      <c r="G28" s="6">
        <v>5108450</v>
      </c>
    </row>
    <row r="29" spans="1:9">
      <c r="A29" s="4">
        <v>45782</v>
      </c>
      <c r="B29" t="s">
        <v>36</v>
      </c>
      <c r="C29" t="s">
        <v>11</v>
      </c>
      <c r="D29" t="s">
        <v>9</v>
      </c>
      <c r="F29" s="6">
        <f t="shared" si="0"/>
        <v>12972973</v>
      </c>
      <c r="H29" s="6">
        <v>-100000</v>
      </c>
      <c r="I29" t="s">
        <v>65</v>
      </c>
    </row>
    <row r="30" spans="1:9">
      <c r="A30" s="4">
        <v>45782</v>
      </c>
      <c r="B30" t="s">
        <v>36</v>
      </c>
      <c r="C30" t="s">
        <v>11</v>
      </c>
      <c r="D30" t="s">
        <v>9</v>
      </c>
      <c r="F30" s="6">
        <f t="shared" si="0"/>
        <v>12872973</v>
      </c>
      <c r="H30" s="6">
        <v>-2300000</v>
      </c>
      <c r="I30" t="s">
        <v>64</v>
      </c>
    </row>
    <row r="31" spans="1:9">
      <c r="A31" s="4">
        <v>45782</v>
      </c>
      <c r="B31" t="s">
        <v>39</v>
      </c>
      <c r="C31" t="s">
        <v>11</v>
      </c>
      <c r="D31" t="s">
        <v>20</v>
      </c>
      <c r="E31" t="s">
        <v>23</v>
      </c>
      <c r="F31" s="6">
        <f t="shared" si="0"/>
        <v>10572973</v>
      </c>
      <c r="H31" s="6">
        <v>-3200000</v>
      </c>
    </row>
    <row r="32" spans="1:9">
      <c r="A32" s="4">
        <v>45782</v>
      </c>
      <c r="B32" t="s">
        <v>40</v>
      </c>
      <c r="C32" t="s">
        <v>11</v>
      </c>
      <c r="D32" t="s">
        <v>20</v>
      </c>
      <c r="E32" t="s">
        <v>24</v>
      </c>
      <c r="F32" s="6">
        <f t="shared" si="0"/>
        <v>7372973</v>
      </c>
      <c r="H32" s="6">
        <v>-3200000</v>
      </c>
    </row>
    <row r="33" spans="1:9">
      <c r="A33" s="4">
        <v>45782</v>
      </c>
      <c r="B33" t="s">
        <v>42</v>
      </c>
      <c r="C33" t="s">
        <v>11</v>
      </c>
      <c r="D33" t="s">
        <v>20</v>
      </c>
      <c r="E33" t="s">
        <v>56</v>
      </c>
      <c r="F33" s="6">
        <f t="shared" si="0"/>
        <v>4172973</v>
      </c>
      <c r="G33" s="7"/>
      <c r="H33" s="7">
        <v>-3200000</v>
      </c>
    </row>
    <row r="34" spans="1:9">
      <c r="A34" s="4">
        <v>45799</v>
      </c>
      <c r="B34" t="s">
        <v>37</v>
      </c>
      <c r="C34" t="s">
        <v>11</v>
      </c>
      <c r="D34" t="s">
        <v>12</v>
      </c>
      <c r="F34" s="6">
        <f t="shared" si="0"/>
        <v>972973</v>
      </c>
      <c r="G34" s="6">
        <v>10751450</v>
      </c>
      <c r="I34" t="s">
        <v>55</v>
      </c>
    </row>
    <row r="35" spans="1:9">
      <c r="A35" s="4">
        <v>45810</v>
      </c>
      <c r="B35" t="s">
        <v>36</v>
      </c>
      <c r="C35" t="s">
        <v>11</v>
      </c>
      <c r="D35" t="s">
        <v>9</v>
      </c>
      <c r="F35" s="6">
        <f t="shared" si="0"/>
        <v>11724423</v>
      </c>
      <c r="H35" s="6">
        <v>-100000</v>
      </c>
      <c r="I35" t="s">
        <v>67</v>
      </c>
    </row>
    <row r="36" spans="1:9">
      <c r="A36" s="4">
        <v>45810</v>
      </c>
      <c r="B36" t="s">
        <v>36</v>
      </c>
      <c r="C36" t="s">
        <v>11</v>
      </c>
      <c r="D36" t="s">
        <v>9</v>
      </c>
      <c r="F36" s="6">
        <f t="shared" si="0"/>
        <v>11624423</v>
      </c>
      <c r="H36" s="6">
        <v>-2300000</v>
      </c>
      <c r="I36" t="s">
        <v>66</v>
      </c>
    </row>
    <row r="37" spans="1:9">
      <c r="A37" s="4">
        <v>45810</v>
      </c>
      <c r="B37" t="s">
        <v>39</v>
      </c>
      <c r="C37" t="s">
        <v>11</v>
      </c>
      <c r="D37" t="s">
        <v>20</v>
      </c>
      <c r="E37" t="s">
        <v>23</v>
      </c>
      <c r="F37" s="6">
        <f t="shared" si="0"/>
        <v>9324423</v>
      </c>
      <c r="H37" s="6">
        <v>-2500000</v>
      </c>
    </row>
    <row r="38" spans="1:9">
      <c r="A38" s="4">
        <v>45810</v>
      </c>
      <c r="B38" t="s">
        <v>40</v>
      </c>
      <c r="C38" t="s">
        <v>11</v>
      </c>
      <c r="D38" t="s">
        <v>20</v>
      </c>
      <c r="E38" t="s">
        <v>24</v>
      </c>
      <c r="F38" s="6">
        <f t="shared" si="0"/>
        <v>6824423</v>
      </c>
      <c r="H38" s="6">
        <v>-2500000</v>
      </c>
    </row>
    <row r="39" spans="1:9">
      <c r="A39" s="4">
        <v>45810</v>
      </c>
      <c r="B39" t="s">
        <v>42</v>
      </c>
      <c r="C39" t="s">
        <v>11</v>
      </c>
      <c r="D39" t="s">
        <v>20</v>
      </c>
      <c r="E39" t="s">
        <v>56</v>
      </c>
      <c r="F39" s="6">
        <f t="shared" si="0"/>
        <v>4324423</v>
      </c>
      <c r="H39" s="6">
        <v>-2500000</v>
      </c>
    </row>
    <row r="40" spans="1:9">
      <c r="A40" s="4">
        <v>45814</v>
      </c>
      <c r="B40" t="s">
        <v>41</v>
      </c>
      <c r="C40" t="s">
        <v>11</v>
      </c>
      <c r="D40" t="s">
        <v>14</v>
      </c>
      <c r="F40" s="6">
        <f t="shared" si="0"/>
        <v>1824423</v>
      </c>
      <c r="H40" s="6">
        <v>-65487</v>
      </c>
      <c r="I40" t="s">
        <v>54</v>
      </c>
    </row>
    <row r="41" spans="1:9">
      <c r="A41" s="4">
        <v>45839</v>
      </c>
      <c r="B41" t="s">
        <v>36</v>
      </c>
      <c r="C41" t="s">
        <v>11</v>
      </c>
      <c r="D41" t="s">
        <v>9</v>
      </c>
      <c r="F41" s="6">
        <f t="shared" si="0"/>
        <v>1758936</v>
      </c>
      <c r="H41" s="6">
        <v>-100000</v>
      </c>
      <c r="I41" t="s">
        <v>71</v>
      </c>
    </row>
    <row r="42" spans="1:9">
      <c r="A42" s="4">
        <v>45839</v>
      </c>
      <c r="B42" t="s">
        <v>36</v>
      </c>
      <c r="C42" t="s">
        <v>11</v>
      </c>
      <c r="D42" t="s">
        <v>9</v>
      </c>
      <c r="F42" s="6">
        <f t="shared" si="0"/>
        <v>1658936</v>
      </c>
      <c r="H42" s="6">
        <v>-1500000</v>
      </c>
      <c r="I42" t="s">
        <v>68</v>
      </c>
    </row>
    <row r="43" spans="1:9">
      <c r="A43" s="4">
        <v>45846</v>
      </c>
      <c r="B43" t="s">
        <v>44</v>
      </c>
      <c r="C43" t="s">
        <v>11</v>
      </c>
      <c r="D43" t="s">
        <v>12</v>
      </c>
      <c r="F43" s="6">
        <f t="shared" si="0"/>
        <v>158936</v>
      </c>
      <c r="G43" s="6">
        <v>904017</v>
      </c>
      <c r="I43" t="s">
        <v>59</v>
      </c>
    </row>
    <row r="44" spans="1:9">
      <c r="A44" s="4">
        <v>45855</v>
      </c>
      <c r="B44" t="s">
        <v>57</v>
      </c>
      <c r="C44" t="s">
        <v>11</v>
      </c>
      <c r="D44" t="s">
        <v>9</v>
      </c>
      <c r="F44" s="6">
        <f t="shared" si="0"/>
        <v>1062953</v>
      </c>
      <c r="H44" s="6">
        <v>-823960</v>
      </c>
      <c r="I44" t="s">
        <v>58</v>
      </c>
    </row>
    <row r="45" spans="1:9">
      <c r="A45" s="4">
        <v>45936</v>
      </c>
      <c r="B45" t="s">
        <v>44</v>
      </c>
      <c r="C45" t="s">
        <v>11</v>
      </c>
      <c r="D45" t="s">
        <v>12</v>
      </c>
      <c r="E45" t="s">
        <v>34</v>
      </c>
      <c r="F45" s="6">
        <f t="shared" si="0"/>
        <v>238993</v>
      </c>
      <c r="G45" s="6">
        <v>908565</v>
      </c>
      <c r="I45" t="s">
        <v>59</v>
      </c>
    </row>
    <row r="46" spans="1:9">
      <c r="A46" s="4">
        <v>45965</v>
      </c>
      <c r="B46" t="s">
        <v>36</v>
      </c>
      <c r="C46" t="s">
        <v>11</v>
      </c>
      <c r="D46" t="s">
        <v>9</v>
      </c>
      <c r="F46" s="6">
        <f t="shared" si="0"/>
        <v>1147558</v>
      </c>
      <c r="H46" s="6">
        <v>-100000</v>
      </c>
      <c r="I46" t="s">
        <v>70</v>
      </c>
    </row>
    <row r="47" spans="1:9">
      <c r="A47" s="4">
        <v>45965</v>
      </c>
      <c r="B47" t="s">
        <v>36</v>
      </c>
      <c r="C47" t="s">
        <v>11</v>
      </c>
      <c r="D47" t="s">
        <v>9</v>
      </c>
      <c r="F47" s="6">
        <f t="shared" si="0"/>
        <v>1047558</v>
      </c>
      <c r="H47" s="6">
        <v>-1000000</v>
      </c>
      <c r="I47" t="s">
        <v>69</v>
      </c>
    </row>
    <row r="48" spans="1:9">
      <c r="A48" s="4">
        <v>46021</v>
      </c>
      <c r="B48" t="s">
        <v>60</v>
      </c>
      <c r="C48" t="s">
        <v>11</v>
      </c>
      <c r="D48" t="s">
        <v>12</v>
      </c>
      <c r="E48" t="s">
        <v>34</v>
      </c>
      <c r="F48" s="6">
        <f t="shared" si="0"/>
        <v>47558</v>
      </c>
      <c r="G48" s="6">
        <v>4214400</v>
      </c>
      <c r="I48" t="s">
        <v>61</v>
      </c>
    </row>
    <row r="49" spans="6:6">
      <c r="F49" s="6">
        <f t="shared" si="0"/>
        <v>4261958</v>
      </c>
    </row>
    <row r="55" spans="6:6">
      <c r="F55" s="6">
        <f t="shared" si="0"/>
        <v>0</v>
      </c>
    </row>
    <row r="56" spans="6:6">
      <c r="F56" s="6">
        <f t="shared" si="0"/>
        <v>0</v>
      </c>
    </row>
    <row r="57" spans="6:6">
      <c r="F57" s="6">
        <f t="shared" si="0"/>
        <v>0</v>
      </c>
    </row>
    <row r="58" spans="6:6">
      <c r="F58" s="6">
        <f t="shared" si="0"/>
        <v>0</v>
      </c>
    </row>
    <row r="59" spans="6:6">
      <c r="F59" s="6">
        <f t="shared" si="0"/>
        <v>0</v>
      </c>
    </row>
    <row r="60" spans="6:6">
      <c r="F60" s="6">
        <f t="shared" si="0"/>
        <v>0</v>
      </c>
    </row>
    <row r="61" spans="6:6">
      <c r="F61" s="6">
        <f t="shared" si="0"/>
        <v>0</v>
      </c>
    </row>
    <row r="62" spans="6:6">
      <c r="F62" s="6">
        <f t="shared" si="0"/>
        <v>0</v>
      </c>
    </row>
    <row r="63" spans="6:6">
      <c r="F63" s="6">
        <f t="shared" si="0"/>
        <v>0</v>
      </c>
    </row>
    <row r="64" spans="6:6">
      <c r="F64" s="6">
        <f t="shared" si="0"/>
        <v>0</v>
      </c>
    </row>
    <row r="65" spans="6:6">
      <c r="F65" s="6">
        <f t="shared" si="0"/>
        <v>0</v>
      </c>
    </row>
    <row r="66" spans="6:6">
      <c r="F66" s="6">
        <f t="shared" si="0"/>
        <v>0</v>
      </c>
    </row>
    <row r="67" spans="6:6">
      <c r="F67" s="6">
        <f t="shared" ref="F67:F90" si="1">F66+G66+H66</f>
        <v>0</v>
      </c>
    </row>
    <row r="68" spans="6:6">
      <c r="F68" s="6">
        <f t="shared" si="1"/>
        <v>0</v>
      </c>
    </row>
    <row r="69" spans="6:6">
      <c r="F69" s="6">
        <f t="shared" si="1"/>
        <v>0</v>
      </c>
    </row>
    <row r="70" spans="6:6">
      <c r="F70" s="6">
        <f t="shared" si="1"/>
        <v>0</v>
      </c>
    </row>
    <row r="71" spans="6:6">
      <c r="F71" s="6">
        <f t="shared" si="1"/>
        <v>0</v>
      </c>
    </row>
    <row r="72" spans="6:6">
      <c r="F72" s="6">
        <f t="shared" si="1"/>
        <v>0</v>
      </c>
    </row>
    <row r="73" spans="6:6">
      <c r="F73" s="6">
        <f t="shared" si="1"/>
        <v>0</v>
      </c>
    </row>
    <row r="74" spans="6:6">
      <c r="F74" s="6">
        <f t="shared" si="1"/>
        <v>0</v>
      </c>
    </row>
    <row r="75" spans="6:6">
      <c r="F75" s="6">
        <f t="shared" si="1"/>
        <v>0</v>
      </c>
    </row>
    <row r="76" spans="6:6">
      <c r="F76" s="6">
        <f t="shared" si="1"/>
        <v>0</v>
      </c>
    </row>
    <row r="77" spans="6:6">
      <c r="F77" s="6">
        <f t="shared" si="1"/>
        <v>0</v>
      </c>
    </row>
    <row r="78" spans="6:6">
      <c r="F78" s="6">
        <f t="shared" si="1"/>
        <v>0</v>
      </c>
    </row>
    <row r="79" spans="6:6">
      <c r="F79" s="6">
        <f t="shared" si="1"/>
        <v>0</v>
      </c>
    </row>
    <row r="80" spans="6:6">
      <c r="F80" s="6">
        <f t="shared" si="1"/>
        <v>0</v>
      </c>
    </row>
    <row r="81" spans="6:6">
      <c r="F81" s="6">
        <f t="shared" si="1"/>
        <v>0</v>
      </c>
    </row>
    <row r="82" spans="6:6">
      <c r="F82" s="6">
        <f t="shared" si="1"/>
        <v>0</v>
      </c>
    </row>
    <row r="83" spans="6:6">
      <c r="F83" s="6">
        <f t="shared" si="1"/>
        <v>0</v>
      </c>
    </row>
    <row r="84" spans="6:6">
      <c r="F84" s="6">
        <f t="shared" si="1"/>
        <v>0</v>
      </c>
    </row>
    <row r="85" spans="6:6">
      <c r="F85" s="6">
        <f t="shared" si="1"/>
        <v>0</v>
      </c>
    </row>
    <row r="86" spans="6:6">
      <c r="F86" s="6">
        <f t="shared" si="1"/>
        <v>0</v>
      </c>
    </row>
    <row r="87" spans="6:6">
      <c r="F87" s="6">
        <f t="shared" si="1"/>
        <v>0</v>
      </c>
    </row>
    <row r="88" spans="6:6">
      <c r="F88" s="6">
        <f t="shared" si="1"/>
        <v>0</v>
      </c>
    </row>
    <row r="89" spans="6:6">
      <c r="F89" s="6">
        <f t="shared" si="1"/>
        <v>0</v>
      </c>
    </row>
    <row r="90" spans="6:6">
      <c r="F90" s="6">
        <f t="shared" si="1"/>
        <v>0</v>
      </c>
    </row>
    <row r="91" spans="6:6">
      <c r="F91" s="6">
        <f t="shared" ref="F91:F104" si="2">F90+G90+H90</f>
        <v>0</v>
      </c>
    </row>
    <row r="92" spans="6:6">
      <c r="F92" s="6">
        <f t="shared" si="2"/>
        <v>0</v>
      </c>
    </row>
    <row r="93" spans="6:6">
      <c r="F93" s="6">
        <f t="shared" si="2"/>
        <v>0</v>
      </c>
    </row>
    <row r="94" spans="6:6">
      <c r="F94" s="6">
        <f t="shared" si="2"/>
        <v>0</v>
      </c>
    </row>
    <row r="95" spans="6:6">
      <c r="F95" s="6">
        <f t="shared" si="2"/>
        <v>0</v>
      </c>
    </row>
    <row r="96" spans="6:6">
      <c r="F96" s="6">
        <f t="shared" si="2"/>
        <v>0</v>
      </c>
    </row>
    <row r="97" spans="6:6">
      <c r="F97" s="6">
        <f t="shared" si="2"/>
        <v>0</v>
      </c>
    </row>
    <row r="98" spans="6:6">
      <c r="F98" s="6">
        <f t="shared" si="2"/>
        <v>0</v>
      </c>
    </row>
    <row r="99" spans="6:6">
      <c r="F99" s="6">
        <f t="shared" si="2"/>
        <v>0</v>
      </c>
    </row>
    <row r="100" spans="6:6">
      <c r="F100" s="6">
        <f t="shared" si="2"/>
        <v>0</v>
      </c>
    </row>
    <row r="101" spans="6:6">
      <c r="F101" s="6">
        <f t="shared" si="2"/>
        <v>0</v>
      </c>
    </row>
    <row r="102" spans="6:6">
      <c r="F102" s="6">
        <f t="shared" si="2"/>
        <v>0</v>
      </c>
    </row>
    <row r="103" spans="6:6">
      <c r="F103" s="6">
        <f t="shared" si="2"/>
        <v>0</v>
      </c>
    </row>
    <row r="104" spans="6:6">
      <c r="F104" s="6">
        <f t="shared" si="2"/>
        <v>0</v>
      </c>
    </row>
  </sheetData>
  <autoFilter ref="A1:AB49" xr:uid="{00000000-0001-0000-0000-000000000000}"/>
  <phoneticPr fontId="4" type="noConversion"/>
  <conditionalFormatting sqref="D1:D1048576">
    <cfRule type="containsBlanks" dxfId="0" priority="1">
      <formula>LEN(TRIM(D1))=0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16C7B-3110-4343-BAD4-CFED7211F3D3}">
          <x14:formula1>
            <xm:f>CATEGORIAS!$A$2:$A$13</xm:f>
          </x14:formula1>
          <xm:sqref>D2:D1048576</xm:sqref>
        </x14:dataValidation>
        <x14:dataValidation type="list" allowBlank="1" showInputMessage="1" showErrorMessage="1" xr:uid="{7E49D7E2-C356-4734-8CB3-DA9C48B90A96}">
          <x14:formula1>
            <xm:f>CATEGORIAS!$B$2:$B$16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6"/>
  <sheetViews>
    <sheetView workbookViewId="0">
      <selection activeCell="B17" sqref="B17"/>
    </sheetView>
  </sheetViews>
  <sheetFormatPr defaultRowHeight="14.4"/>
  <cols>
    <col min="1" max="1" width="28.5546875" bestFit="1" customWidth="1"/>
    <col min="2" max="2" width="19" customWidth="1"/>
  </cols>
  <sheetData>
    <row r="1" spans="1:2">
      <c r="A1" t="s">
        <v>1</v>
      </c>
      <c r="B1" t="s">
        <v>2</v>
      </c>
    </row>
    <row r="2" spans="1:2">
      <c r="A2" t="s">
        <v>19</v>
      </c>
      <c r="B2" t="s">
        <v>28</v>
      </c>
    </row>
    <row r="3" spans="1:2">
      <c r="A3" t="s">
        <v>16</v>
      </c>
      <c r="B3" t="s">
        <v>31</v>
      </c>
    </row>
    <row r="4" spans="1:2">
      <c r="A4" t="s">
        <v>9</v>
      </c>
      <c r="B4" t="s">
        <v>30</v>
      </c>
    </row>
    <row r="5" spans="1:2">
      <c r="A5" t="s">
        <v>14</v>
      </c>
      <c r="B5" t="s">
        <v>26</v>
      </c>
    </row>
    <row r="6" spans="1:2">
      <c r="A6" t="s">
        <v>18</v>
      </c>
      <c r="B6" t="s">
        <v>25</v>
      </c>
    </row>
    <row r="7" spans="1:2">
      <c r="A7" t="s">
        <v>11</v>
      </c>
      <c r="B7" t="s">
        <v>34</v>
      </c>
    </row>
    <row r="8" spans="1:2">
      <c r="A8" t="s">
        <v>10</v>
      </c>
      <c r="B8" t="s">
        <v>24</v>
      </c>
    </row>
    <row r="9" spans="1:2">
      <c r="A9" t="s">
        <v>15</v>
      </c>
      <c r="B9" t="s">
        <v>21</v>
      </c>
    </row>
    <row r="10" spans="1:2">
      <c r="A10" t="s">
        <v>20</v>
      </c>
      <c r="B10" t="s">
        <v>27</v>
      </c>
    </row>
    <row r="11" spans="1:2">
      <c r="A11" t="s">
        <v>17</v>
      </c>
      <c r="B11" t="s">
        <v>33</v>
      </c>
    </row>
    <row r="12" spans="1:2">
      <c r="A12" t="s">
        <v>13</v>
      </c>
      <c r="B12" t="s">
        <v>29</v>
      </c>
    </row>
    <row r="13" spans="1:2">
      <c r="A13" t="s">
        <v>12</v>
      </c>
      <c r="B13" t="s">
        <v>23</v>
      </c>
    </row>
    <row r="14" spans="1:2">
      <c r="B14" t="s">
        <v>32</v>
      </c>
    </row>
    <row r="15" spans="1:2">
      <c r="B15" t="s">
        <v>22</v>
      </c>
    </row>
    <row r="16" spans="1:2">
      <c r="B16" t="s">
        <v>56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2026-03-13T14:55:57Z</dcterms:modified>
</cp:coreProperties>
</file>
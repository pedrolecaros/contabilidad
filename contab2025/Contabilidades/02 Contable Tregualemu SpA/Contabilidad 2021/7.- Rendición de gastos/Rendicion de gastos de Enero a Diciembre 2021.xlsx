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RASB\Dropbox\Unidad Dropbox 1\01. MY ACCOUNTING\06. MY CLIENT\Empresas Grupo Hiriart\Antecedentes y gastos Tregualemu SpA\Contabilidad 2021\7.- Rendición de gastos\"/>
    </mc:Choice>
  </mc:AlternateContent>
  <xr:revisionPtr revIDLastSave="0" documentId="13_ncr:1_{61537B51-79E7-4FA4-A4D5-BBDEC3BC89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nd. Gastos Ene-Dic (Con Resp)" sheetId="1" r:id="rId1"/>
  </sheets>
  <definedNames>
    <definedName name="_xlnm._FilterDatabase" localSheetId="0" hidden="1">'Rend. Gastos Ene-Dic (Con Resp)'!$A$1:$Q$68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0" i="1" l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48" i="1"/>
  <c r="D47" i="1"/>
  <c r="D50" i="1"/>
  <c r="D49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3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2" i="1" l="1"/>
</calcChain>
</file>

<file path=xl/sharedStrings.xml><?xml version="1.0" encoding="utf-8"?>
<sst xmlns="http://schemas.openxmlformats.org/spreadsheetml/2006/main" count="847" uniqueCount="171">
  <si>
    <t>N°</t>
  </si>
  <si>
    <t>Ref. Respaldo</t>
  </si>
  <si>
    <t>Fecha</t>
  </si>
  <si>
    <t>Mes</t>
  </si>
  <si>
    <t>Naturaleza de la operación</t>
  </si>
  <si>
    <t>Tipo de gasto</t>
  </si>
  <si>
    <t>Rut proveedor</t>
  </si>
  <si>
    <t>Razon social proveedor</t>
  </si>
  <si>
    <t>Giro / actividad del proveedor</t>
  </si>
  <si>
    <t>N° Boleta y/o factura</t>
  </si>
  <si>
    <t>Forma de pago</t>
  </si>
  <si>
    <t>Monto</t>
  </si>
  <si>
    <t>Dcto. Respaldo</t>
  </si>
  <si>
    <t>Balance / Resultado</t>
  </si>
  <si>
    <t>Estado</t>
  </si>
  <si>
    <t>Observación de asesores</t>
  </si>
  <si>
    <t>A4</t>
  </si>
  <si>
    <t>Gastos notariales</t>
  </si>
  <si>
    <t>6904806-4</t>
  </si>
  <si>
    <t>Eduardo Enrique Tavolari</t>
  </si>
  <si>
    <t>Servicio Notarial</t>
  </si>
  <si>
    <t>1.- Contado</t>
  </si>
  <si>
    <t>Boleta</t>
  </si>
  <si>
    <t>Sin cartola</t>
  </si>
  <si>
    <t>Resultado</t>
  </si>
  <si>
    <t>1.- Aceptado</t>
  </si>
  <si>
    <t>S/O</t>
  </si>
  <si>
    <t>Combustible</t>
  </si>
  <si>
    <t>Estacion Servicios</t>
  </si>
  <si>
    <t>A7</t>
  </si>
  <si>
    <t>Peajes</t>
  </si>
  <si>
    <t>Construccion de carreteras y lineas de ferrocarril</t>
  </si>
  <si>
    <t>S/N</t>
  </si>
  <si>
    <t>Comprobante de pago</t>
  </si>
  <si>
    <t>A9</t>
  </si>
  <si>
    <t>96.875.230-8</t>
  </si>
  <si>
    <t>10.755.410-6</t>
  </si>
  <si>
    <t>Andres Felipe Rieutord Alvarado</t>
  </si>
  <si>
    <t>Notario publico</t>
  </si>
  <si>
    <t>Boleta de honorarios</t>
  </si>
  <si>
    <t>A6</t>
  </si>
  <si>
    <t>Otros</t>
  </si>
  <si>
    <t>A8</t>
  </si>
  <si>
    <t>Modificaciones de servidumbre</t>
  </si>
  <si>
    <t>Compraventa</t>
  </si>
  <si>
    <t>Instrucciones</t>
  </si>
  <si>
    <t>4.344.155-8</t>
  </si>
  <si>
    <t>Raul Leiva Uribe-Echeverria</t>
  </si>
  <si>
    <t>Notario y conservador de bienes raices</t>
  </si>
  <si>
    <t>Inscripciones servidumbres</t>
  </si>
  <si>
    <t>77337752-9</t>
  </si>
  <si>
    <t>Soc. Conc. Ruta 5 Talca Chillan S.A.</t>
  </si>
  <si>
    <t>A10</t>
  </si>
  <si>
    <t>Peaje. Viaje semana 13 de Mayo 2021</t>
  </si>
  <si>
    <t>Colaciones</t>
  </si>
  <si>
    <t>77215640-5</t>
  </si>
  <si>
    <t>Administradora de Ventas al Detalle</t>
  </si>
  <si>
    <t>Venta de combustible</t>
  </si>
  <si>
    <t>Combustible. Viaje semana 13 de Mayo</t>
  </si>
  <si>
    <t>A12</t>
  </si>
  <si>
    <t>96848050-2</t>
  </si>
  <si>
    <t>Ruta de los Rios S.A.</t>
  </si>
  <si>
    <t>A13</t>
  </si>
  <si>
    <t>96859650-5</t>
  </si>
  <si>
    <t>Ruta de la Araucania S.A.</t>
  </si>
  <si>
    <t>A14-15</t>
  </si>
  <si>
    <t>Estacionamiento. Viaje semana 13 de Mayo 2021</t>
  </si>
  <si>
    <t>Estacionamiento</t>
  </si>
  <si>
    <t>76643823-7</t>
  </si>
  <si>
    <t>Serviest SpA</t>
  </si>
  <si>
    <t>Estacionamientos</t>
  </si>
  <si>
    <t>A16</t>
  </si>
  <si>
    <t>Alimentación</t>
  </si>
  <si>
    <t>Colacion</t>
  </si>
  <si>
    <t>Soc. Com. Alimentos Suprema Ltda</t>
  </si>
  <si>
    <t>Restaurant</t>
  </si>
  <si>
    <t>A17</t>
  </si>
  <si>
    <t>96854510-8</t>
  </si>
  <si>
    <t>Soc. C. de Los Lagos S.A.</t>
  </si>
  <si>
    <t>A18-19</t>
  </si>
  <si>
    <t>76746083-K</t>
  </si>
  <si>
    <t>Comercial y Serv. Futrono Ltda</t>
  </si>
  <si>
    <t>A20</t>
  </si>
  <si>
    <t>A21</t>
  </si>
  <si>
    <t>A22</t>
  </si>
  <si>
    <t>Peaje</t>
  </si>
  <si>
    <t>Ruta del Maipo Soc Concesionaria S.A.</t>
  </si>
  <si>
    <t>A23</t>
  </si>
  <si>
    <t>A24</t>
  </si>
  <si>
    <t>A25</t>
  </si>
  <si>
    <t>A26</t>
  </si>
  <si>
    <t>96843170-6</t>
  </si>
  <si>
    <t>Ruta del Bosque Soc. Concesionaria</t>
  </si>
  <si>
    <t>A27</t>
  </si>
  <si>
    <t>A28</t>
  </si>
  <si>
    <t>Adm de ventas al detalle ltda</t>
  </si>
  <si>
    <t>Comida. Viaje semana 13 de Mayo 2021</t>
  </si>
  <si>
    <t>A29</t>
  </si>
  <si>
    <t>A30</t>
  </si>
  <si>
    <t>Shell Eliodoro Yanez</t>
  </si>
  <si>
    <t>A31</t>
  </si>
  <si>
    <t>A32</t>
  </si>
  <si>
    <t>A33</t>
  </si>
  <si>
    <t>A34</t>
  </si>
  <si>
    <t>Combustible. Viaje semana 13 de Mayo 2021</t>
  </si>
  <si>
    <t>A35</t>
  </si>
  <si>
    <t>A36</t>
  </si>
  <si>
    <t>A38</t>
  </si>
  <si>
    <t>A37</t>
  </si>
  <si>
    <t>A39</t>
  </si>
  <si>
    <t>Plaza Nueva Aldea</t>
  </si>
  <si>
    <t>A41</t>
  </si>
  <si>
    <t>A40-42</t>
  </si>
  <si>
    <t>A43</t>
  </si>
  <si>
    <t>A45</t>
  </si>
  <si>
    <t>Administración y Gestion de Estaciones</t>
  </si>
  <si>
    <t>A47</t>
  </si>
  <si>
    <t>A48</t>
  </si>
  <si>
    <t>A49</t>
  </si>
  <si>
    <t>76039636-2</t>
  </si>
  <si>
    <t>Soc. Agricola Forestal Comercial e Ind.</t>
  </si>
  <si>
    <t>A50</t>
  </si>
  <si>
    <t>A51</t>
  </si>
  <si>
    <t>A46-52</t>
  </si>
  <si>
    <t>8847300-K</t>
  </si>
  <si>
    <t>A53</t>
  </si>
  <si>
    <t>A55</t>
  </si>
  <si>
    <t>A57</t>
  </si>
  <si>
    <t>A58</t>
  </si>
  <si>
    <t>Hector Farias Romero</t>
  </si>
  <si>
    <t>A56</t>
  </si>
  <si>
    <t>A54</t>
  </si>
  <si>
    <t>A61</t>
  </si>
  <si>
    <t>A62</t>
  </si>
  <si>
    <t>A63</t>
  </si>
  <si>
    <t>A64</t>
  </si>
  <si>
    <t>Sky Airline S.A.</t>
  </si>
  <si>
    <t>88.417.000-1</t>
  </si>
  <si>
    <t>Aerolinea</t>
  </si>
  <si>
    <t>Reserva ticket de vuelo</t>
  </si>
  <si>
    <t>SDTTWR</t>
  </si>
  <si>
    <t>A65</t>
  </si>
  <si>
    <t>Inscripciones compraventa</t>
  </si>
  <si>
    <t>A66</t>
  </si>
  <si>
    <t>Escritura de compra venta</t>
  </si>
  <si>
    <t>13952284-2</t>
  </si>
  <si>
    <t>Constanza Quintana Jaramillo</t>
  </si>
  <si>
    <t>Servicios de asesoriamiento notariales</t>
  </si>
  <si>
    <t>A67</t>
  </si>
  <si>
    <t>A71</t>
  </si>
  <si>
    <t>A72</t>
  </si>
  <si>
    <t>Pan de Piedra Restaurant</t>
  </si>
  <si>
    <t>A76-77</t>
  </si>
  <si>
    <t>76778358-2</t>
  </si>
  <si>
    <t>A78</t>
  </si>
  <si>
    <t>Peaje. Viaje semana 10 de Octubre 2021</t>
  </si>
  <si>
    <t>Comercial Maho Ltda</t>
  </si>
  <si>
    <t>Combustible. Viaje semana 10 de Octubre 2021</t>
  </si>
  <si>
    <t>76167134-0</t>
  </si>
  <si>
    <t>A79-80</t>
  </si>
  <si>
    <t>A81</t>
  </si>
  <si>
    <t>A82</t>
  </si>
  <si>
    <t>A83-84</t>
  </si>
  <si>
    <t>76719925-2</t>
  </si>
  <si>
    <t>Estación de Servicios Cavallieri Ltda</t>
  </si>
  <si>
    <t>A85</t>
  </si>
  <si>
    <t>A86</t>
  </si>
  <si>
    <t>Mandato</t>
  </si>
  <si>
    <t>A87-88</t>
  </si>
  <si>
    <t>Cartola Santader</t>
  </si>
  <si>
    <t>A11-44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</si>
</sst>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4" formatCode="_ &quot;$&quot;* #,##0.00_ ;_ &quot;$&quot;* \-#,##0.00_ ;_ &quot;$&quot;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1" fontId="1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3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41" fontId="0" fillId="3" borderId="1" xfId="1" applyFont="1" applyFill="1" applyBorder="1"/>
    <xf numFmtId="0" fontId="0" fillId="0" borderId="1" xfId="0" applyFont="1" applyBorder="1"/>
    <xf numFmtId="14" fontId="0" fillId="3" borderId="1" xfId="0" applyNumberFormat="1" applyFont="1" applyFill="1" applyBorder="1"/>
    <xf numFmtId="0" fontId="0" fillId="3" borderId="1" xfId="0" applyFont="1" applyFill="1" applyBorder="1"/>
    <xf numFmtId="41" fontId="0" fillId="0" borderId="1" xfId="1" applyFont="1" applyFill="1" applyBorder="1"/>
    <xf numFmtId="41" fontId="2" fillId="0" borderId="0" xfId="0" applyNumberFormat="1" applyFont="1"/>
    <xf numFmtId="0" fontId="5" fillId="3" borderId="1" xfId="0" applyFont="1" applyFill="1" applyBorder="1" applyAlignment="1">
      <alignment horizontal="center"/>
    </xf>
  </cellXfs>
  <cellStyles count="8">
    <cellStyle name="Comma [0]" xfId="1" builtinId="6"/>
    <cellStyle name="Comma [0] 2" xfId="4" xr:uid="{A544BB73-D6FE-4B9C-BA80-33575078F331}"/>
    <cellStyle name="Comma [0] 3" xfId="3" xr:uid="{7662CD03-3996-4E24-A45C-10EB81BAB76B}"/>
    <cellStyle name="Currency 2" xfId="6" xr:uid="{D0D1B071-5D7B-4446-8B95-968E93244AAC}"/>
    <cellStyle name="Normal" xfId="0" builtinId="0"/>
    <cellStyle name="Normal 2" xfId="7" xr:uid="{40362D6A-F59F-4ADF-84C6-DDB06B05F259}"/>
    <cellStyle name="Normal 3" xfId="5" xr:uid="{54E35C27-D010-4AE7-BA1C-42C7B08524E0}"/>
    <cellStyle name="Normal 4" xfId="2" xr:uid="{4C7AD6C8-76BF-4F3A-9F05-88D64EB69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tabSelected="1" zoomScale="60" zoomScaleNormal="60" workbookViewId="0"/>
  </sheetViews>
  <sheetFormatPr defaultRowHeight="15" x14ac:dyDescent="0.25"/>
  <cols>
    <col min="1" max="1" width="4.140625" customWidth="1"/>
    <col min="2" max="2" width="8.28515625" bestFit="1" customWidth="1"/>
    <col min="3" max="3" width="12" bestFit="1" customWidth="1"/>
    <col min="4" max="4" width="12.42578125" bestFit="1" customWidth="1"/>
    <col min="5" max="5" width="50.42578125" bestFit="1" customWidth="1"/>
    <col min="6" max="6" width="19.140625" bestFit="1" customWidth="1"/>
    <col min="7" max="7" width="12.7109375" bestFit="1" customWidth="1"/>
    <col min="8" max="8" width="39.42578125" bestFit="1" customWidth="1"/>
    <col min="9" max="9" width="50" bestFit="1" customWidth="1"/>
    <col min="10" max="10" width="10.85546875" bestFit="1" customWidth="1"/>
    <col min="11" max="11" width="12.140625" bestFit="1" customWidth="1"/>
    <col min="12" max="12" width="14.42578125" bestFit="1" customWidth="1"/>
    <col min="13" max="13" width="24.140625" bestFit="1" customWidth="1"/>
    <col min="14" max="14" width="12.42578125" customWidth="1"/>
    <col min="15" max="15" width="11.28515625" bestFit="1" customWidth="1"/>
    <col min="16" max="16" width="13.140625" customWidth="1"/>
    <col min="17" max="17" width="10.42578125" customWidth="1"/>
  </cols>
  <sheetData>
    <row r="1" spans="1:17" ht="3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10</v>
      </c>
      <c r="O1" s="1" t="s">
        <v>13</v>
      </c>
      <c r="P1" s="1" t="s">
        <v>14</v>
      </c>
      <c r="Q1" s="1" t="s">
        <v>15</v>
      </c>
    </row>
    <row r="2" spans="1:17" x14ac:dyDescent="0.25">
      <c r="A2" s="4">
        <v>1</v>
      </c>
      <c r="B2" s="9" t="s">
        <v>16</v>
      </c>
      <c r="C2" s="5">
        <v>44246</v>
      </c>
      <c r="D2" s="6" t="str">
        <f t="shared" ref="D2:D3" si="0">+TEXT(C2,"MMMM")</f>
        <v>Febrero</v>
      </c>
      <c r="E2" s="6" t="s">
        <v>41</v>
      </c>
      <c r="F2" s="6" t="s">
        <v>17</v>
      </c>
      <c r="G2" s="6" t="s">
        <v>18</v>
      </c>
      <c r="H2" s="6" t="s">
        <v>19</v>
      </c>
      <c r="I2" s="6" t="s">
        <v>20</v>
      </c>
      <c r="J2" s="6">
        <v>1182558</v>
      </c>
      <c r="K2" s="6" t="s">
        <v>21</v>
      </c>
      <c r="L2" s="3">
        <v>85000</v>
      </c>
      <c r="M2" s="2" t="s">
        <v>39</v>
      </c>
      <c r="N2" s="2" t="s">
        <v>23</v>
      </c>
      <c r="O2" s="6" t="s">
        <v>24</v>
      </c>
      <c r="P2" s="6" t="s">
        <v>25</v>
      </c>
      <c r="Q2" s="6" t="s">
        <v>26</v>
      </c>
    </row>
    <row r="3" spans="1:17" x14ac:dyDescent="0.25">
      <c r="A3" s="4">
        <v>2</v>
      </c>
      <c r="B3" s="9" t="s">
        <v>98</v>
      </c>
      <c r="C3" s="5">
        <v>44250</v>
      </c>
      <c r="D3" s="6" t="str">
        <f t="shared" si="0"/>
        <v>Febrero</v>
      </c>
      <c r="E3" s="6" t="s">
        <v>27</v>
      </c>
      <c r="F3" s="6" t="s">
        <v>27</v>
      </c>
      <c r="G3" s="6"/>
      <c r="H3" s="6" t="s">
        <v>99</v>
      </c>
      <c r="I3" s="2" t="s">
        <v>57</v>
      </c>
      <c r="J3" s="6" t="s">
        <v>32</v>
      </c>
      <c r="K3" s="2" t="s">
        <v>21</v>
      </c>
      <c r="L3" s="3">
        <v>34500</v>
      </c>
      <c r="M3" s="2" t="s">
        <v>33</v>
      </c>
      <c r="N3" s="2" t="s">
        <v>23</v>
      </c>
      <c r="O3" s="2" t="s">
        <v>24</v>
      </c>
      <c r="P3" s="2" t="s">
        <v>25</v>
      </c>
      <c r="Q3" s="2" t="s">
        <v>26</v>
      </c>
    </row>
    <row r="4" spans="1:17" x14ac:dyDescent="0.25">
      <c r="A4" s="4">
        <v>3</v>
      </c>
      <c r="B4" s="9" t="s">
        <v>40</v>
      </c>
      <c r="C4" s="5">
        <v>44292</v>
      </c>
      <c r="D4" s="6" t="str">
        <f t="shared" ref="D4" si="1">+TEXT(C4,"MMMM")</f>
        <v>Abril</v>
      </c>
      <c r="E4" s="2" t="s">
        <v>43</v>
      </c>
      <c r="F4" s="2" t="s">
        <v>17</v>
      </c>
      <c r="G4" s="2" t="s">
        <v>36</v>
      </c>
      <c r="H4" s="2" t="s">
        <v>37</v>
      </c>
      <c r="I4" s="2" t="s">
        <v>38</v>
      </c>
      <c r="J4" s="2">
        <v>214934</v>
      </c>
      <c r="K4" s="2" t="s">
        <v>21</v>
      </c>
      <c r="L4" s="3">
        <v>40000</v>
      </c>
      <c r="M4" s="2" t="s">
        <v>39</v>
      </c>
      <c r="N4" s="2" t="s">
        <v>23</v>
      </c>
      <c r="O4" s="2" t="s">
        <v>24</v>
      </c>
      <c r="P4" s="2" t="s">
        <v>25</v>
      </c>
      <c r="Q4" s="2" t="s">
        <v>26</v>
      </c>
    </row>
    <row r="5" spans="1:17" x14ac:dyDescent="0.25">
      <c r="A5" s="4">
        <v>4</v>
      </c>
      <c r="B5" s="9" t="s">
        <v>29</v>
      </c>
      <c r="C5" s="5">
        <v>44300</v>
      </c>
      <c r="D5" s="6" t="str">
        <f t="shared" ref="D5" si="2">+TEXT(C5,"MMMM")</f>
        <v>Abril</v>
      </c>
      <c r="E5" s="2" t="s">
        <v>44</v>
      </c>
      <c r="F5" s="2" t="s">
        <v>17</v>
      </c>
      <c r="G5" s="2" t="s">
        <v>36</v>
      </c>
      <c r="H5" s="2" t="s">
        <v>37</v>
      </c>
      <c r="I5" s="2" t="s">
        <v>38</v>
      </c>
      <c r="J5" s="2">
        <v>215958</v>
      </c>
      <c r="K5" s="2" t="s">
        <v>21</v>
      </c>
      <c r="L5" s="3">
        <v>90000</v>
      </c>
      <c r="M5" s="2" t="s">
        <v>39</v>
      </c>
      <c r="N5" s="2" t="s">
        <v>23</v>
      </c>
      <c r="O5" s="2" t="s">
        <v>24</v>
      </c>
      <c r="P5" s="2" t="s">
        <v>25</v>
      </c>
      <c r="Q5" s="2" t="s">
        <v>26</v>
      </c>
    </row>
    <row r="6" spans="1:17" x14ac:dyDescent="0.25">
      <c r="A6" s="4">
        <v>5</v>
      </c>
      <c r="B6" s="9" t="s">
        <v>42</v>
      </c>
      <c r="C6" s="5">
        <v>44300</v>
      </c>
      <c r="D6" s="6" t="str">
        <f t="shared" ref="D6" si="3">+TEXT(C6,"MMMM")</f>
        <v>Abril</v>
      </c>
      <c r="E6" s="2" t="s">
        <v>45</v>
      </c>
      <c r="F6" s="2" t="s">
        <v>17</v>
      </c>
      <c r="G6" s="2" t="s">
        <v>36</v>
      </c>
      <c r="H6" s="2" t="s">
        <v>37</v>
      </c>
      <c r="I6" s="2" t="s">
        <v>38</v>
      </c>
      <c r="J6" s="2">
        <v>215959</v>
      </c>
      <c r="K6" s="2" t="s">
        <v>21</v>
      </c>
      <c r="L6" s="3">
        <v>40000</v>
      </c>
      <c r="M6" s="2" t="s">
        <v>39</v>
      </c>
      <c r="N6" s="2" t="s">
        <v>23</v>
      </c>
      <c r="O6" s="2" t="s">
        <v>24</v>
      </c>
      <c r="P6" s="2" t="s">
        <v>25</v>
      </c>
      <c r="Q6" s="2" t="s">
        <v>26</v>
      </c>
    </row>
    <row r="7" spans="1:17" x14ac:dyDescent="0.25">
      <c r="A7" s="4">
        <v>6</v>
      </c>
      <c r="B7" s="9" t="s">
        <v>34</v>
      </c>
      <c r="C7" s="5">
        <v>44309</v>
      </c>
      <c r="D7" s="6" t="str">
        <f t="shared" ref="D7" si="4">+TEXT(C7,"MMMM")</f>
        <v>Abril</v>
      </c>
      <c r="E7" s="2" t="s">
        <v>49</v>
      </c>
      <c r="F7" s="2" t="s">
        <v>17</v>
      </c>
      <c r="G7" s="2" t="s">
        <v>46</v>
      </c>
      <c r="H7" s="2" t="s">
        <v>47</v>
      </c>
      <c r="I7" s="2" t="s">
        <v>48</v>
      </c>
      <c r="J7" s="2">
        <v>11906</v>
      </c>
      <c r="K7" s="2" t="s">
        <v>21</v>
      </c>
      <c r="L7" s="3">
        <v>65000</v>
      </c>
      <c r="M7" s="2" t="s">
        <v>39</v>
      </c>
      <c r="N7" s="2" t="s">
        <v>169</v>
      </c>
      <c r="O7" s="2" t="s">
        <v>24</v>
      </c>
      <c r="P7" s="2" t="s">
        <v>25</v>
      </c>
      <c r="Q7" s="2" t="s">
        <v>26</v>
      </c>
    </row>
    <row r="8" spans="1:17" x14ac:dyDescent="0.25">
      <c r="A8" s="4">
        <v>7</v>
      </c>
      <c r="B8" s="9" t="s">
        <v>52</v>
      </c>
      <c r="C8" s="5">
        <v>44329</v>
      </c>
      <c r="D8" s="6" t="str">
        <f t="shared" ref="D8" si="5">+TEXT(C8,"MMMM")</f>
        <v>Mayo</v>
      </c>
      <c r="E8" s="2" t="s">
        <v>53</v>
      </c>
      <c r="F8" s="2" t="s">
        <v>30</v>
      </c>
      <c r="G8" s="2" t="s">
        <v>50</v>
      </c>
      <c r="H8" s="2" t="s">
        <v>51</v>
      </c>
      <c r="I8" s="2" t="s">
        <v>31</v>
      </c>
      <c r="J8" s="2" t="s">
        <v>32</v>
      </c>
      <c r="K8" s="2" t="s">
        <v>21</v>
      </c>
      <c r="L8" s="3">
        <v>600</v>
      </c>
      <c r="M8" s="2" t="s">
        <v>33</v>
      </c>
      <c r="N8" s="2" t="s">
        <v>23</v>
      </c>
      <c r="O8" s="2" t="s">
        <v>24</v>
      </c>
      <c r="P8" s="2" t="s">
        <v>25</v>
      </c>
      <c r="Q8" s="2" t="s">
        <v>26</v>
      </c>
    </row>
    <row r="9" spans="1:17" x14ac:dyDescent="0.25">
      <c r="A9" s="4">
        <v>8</v>
      </c>
      <c r="B9" s="9" t="s">
        <v>170</v>
      </c>
      <c r="C9" s="5">
        <v>44329</v>
      </c>
      <c r="D9" s="6" t="str">
        <f t="shared" ref="D9:D10" si="6">+TEXT(C9,"MMMM")</f>
        <v>Mayo</v>
      </c>
      <c r="E9" s="2" t="s">
        <v>58</v>
      </c>
      <c r="F9" s="2" t="s">
        <v>27</v>
      </c>
      <c r="G9" s="2" t="s">
        <v>55</v>
      </c>
      <c r="H9" s="2" t="s">
        <v>56</v>
      </c>
      <c r="I9" s="2" t="s">
        <v>57</v>
      </c>
      <c r="J9" s="2">
        <v>307500770</v>
      </c>
      <c r="K9" s="2" t="s">
        <v>21</v>
      </c>
      <c r="L9" s="7">
        <v>32005</v>
      </c>
      <c r="M9" s="2" t="s">
        <v>22</v>
      </c>
      <c r="N9" s="2" t="s">
        <v>169</v>
      </c>
      <c r="O9" s="2" t="s">
        <v>24</v>
      </c>
      <c r="P9" s="2" t="s">
        <v>25</v>
      </c>
      <c r="Q9" s="2" t="s">
        <v>26</v>
      </c>
    </row>
    <row r="10" spans="1:17" x14ac:dyDescent="0.25">
      <c r="A10" s="4">
        <v>9</v>
      </c>
      <c r="B10" s="9" t="s">
        <v>59</v>
      </c>
      <c r="C10" s="5">
        <v>44328</v>
      </c>
      <c r="D10" s="6" t="str">
        <f t="shared" si="6"/>
        <v>Mayo</v>
      </c>
      <c r="E10" s="2" t="s">
        <v>53</v>
      </c>
      <c r="F10" s="2" t="s">
        <v>30</v>
      </c>
      <c r="G10" s="2" t="s">
        <v>60</v>
      </c>
      <c r="H10" s="2" t="s">
        <v>61</v>
      </c>
      <c r="I10" s="2" t="s">
        <v>31</v>
      </c>
      <c r="J10" s="2" t="s">
        <v>32</v>
      </c>
      <c r="K10" s="2" t="s">
        <v>21</v>
      </c>
      <c r="L10" s="3">
        <v>2800</v>
      </c>
      <c r="M10" s="2" t="s">
        <v>33</v>
      </c>
      <c r="N10" s="2" t="s">
        <v>23</v>
      </c>
      <c r="O10" s="2" t="s">
        <v>24</v>
      </c>
      <c r="P10" s="2" t="s">
        <v>25</v>
      </c>
      <c r="Q10" s="2" t="s">
        <v>26</v>
      </c>
    </row>
    <row r="11" spans="1:17" x14ac:dyDescent="0.25">
      <c r="A11" s="4">
        <v>10</v>
      </c>
      <c r="B11" s="9" t="s">
        <v>62</v>
      </c>
      <c r="C11" s="5">
        <v>44329</v>
      </c>
      <c r="D11" s="6" t="str">
        <f t="shared" ref="D11" si="7">+TEXT(C11,"MMMM")</f>
        <v>Mayo</v>
      </c>
      <c r="E11" s="2" t="s">
        <v>53</v>
      </c>
      <c r="F11" s="2" t="s">
        <v>30</v>
      </c>
      <c r="G11" s="2" t="s">
        <v>63</v>
      </c>
      <c r="H11" s="2" t="s">
        <v>64</v>
      </c>
      <c r="I11" s="2" t="s">
        <v>31</v>
      </c>
      <c r="J11" s="2" t="s">
        <v>32</v>
      </c>
      <c r="K11" s="2" t="s">
        <v>21</v>
      </c>
      <c r="L11" s="3">
        <v>2700</v>
      </c>
      <c r="M11" s="2" t="s">
        <v>33</v>
      </c>
      <c r="N11" s="2" t="s">
        <v>23</v>
      </c>
      <c r="O11" s="2" t="s">
        <v>24</v>
      </c>
      <c r="P11" s="2" t="s">
        <v>25</v>
      </c>
      <c r="Q11" s="2" t="s">
        <v>26</v>
      </c>
    </row>
    <row r="12" spans="1:17" x14ac:dyDescent="0.25">
      <c r="A12" s="4">
        <v>11</v>
      </c>
      <c r="B12" s="9" t="s">
        <v>65</v>
      </c>
      <c r="C12" s="5">
        <v>44328</v>
      </c>
      <c r="D12" s="6" t="str">
        <f t="shared" ref="D12" si="8">+TEXT(C12,"MMMM")</f>
        <v>Mayo</v>
      </c>
      <c r="E12" s="2" t="s">
        <v>66</v>
      </c>
      <c r="F12" s="2" t="s">
        <v>67</v>
      </c>
      <c r="G12" s="2" t="s">
        <v>68</v>
      </c>
      <c r="H12" s="2" t="s">
        <v>69</v>
      </c>
      <c r="I12" s="2" t="s">
        <v>70</v>
      </c>
      <c r="J12" s="2">
        <v>84844</v>
      </c>
      <c r="K12" s="2" t="s">
        <v>21</v>
      </c>
      <c r="L12" s="3">
        <v>345</v>
      </c>
      <c r="M12" s="2" t="s">
        <v>22</v>
      </c>
      <c r="N12" s="2" t="s">
        <v>23</v>
      </c>
      <c r="O12" s="2" t="s">
        <v>24</v>
      </c>
      <c r="P12" s="2" t="s">
        <v>25</v>
      </c>
      <c r="Q12" s="2" t="s">
        <v>26</v>
      </c>
    </row>
    <row r="13" spans="1:17" x14ac:dyDescent="0.25">
      <c r="A13" s="4">
        <v>12</v>
      </c>
      <c r="B13" s="9" t="s">
        <v>71</v>
      </c>
      <c r="C13" s="5">
        <v>44327</v>
      </c>
      <c r="D13" s="6" t="str">
        <f t="shared" ref="D13:D16" si="9">+TEXT(C13,"MMMM")</f>
        <v>Mayo</v>
      </c>
      <c r="E13" s="2" t="s">
        <v>72</v>
      </c>
      <c r="F13" s="2" t="s">
        <v>73</v>
      </c>
      <c r="G13" s="2"/>
      <c r="H13" s="2" t="s">
        <v>74</v>
      </c>
      <c r="I13" s="2" t="s">
        <v>75</v>
      </c>
      <c r="J13" s="2" t="s">
        <v>32</v>
      </c>
      <c r="K13" s="2" t="s">
        <v>21</v>
      </c>
      <c r="L13" s="3">
        <v>4500</v>
      </c>
      <c r="M13" s="2" t="s">
        <v>33</v>
      </c>
      <c r="N13" s="2" t="s">
        <v>23</v>
      </c>
      <c r="O13" s="2" t="s">
        <v>24</v>
      </c>
      <c r="P13" s="2" t="s">
        <v>25</v>
      </c>
      <c r="Q13" s="2" t="s">
        <v>26</v>
      </c>
    </row>
    <row r="14" spans="1:17" x14ac:dyDescent="0.25">
      <c r="A14" s="4">
        <v>13</v>
      </c>
      <c r="B14" s="9" t="s">
        <v>76</v>
      </c>
      <c r="C14" s="5">
        <v>44328</v>
      </c>
      <c r="D14" s="6" t="str">
        <f t="shared" si="9"/>
        <v>Mayo</v>
      </c>
      <c r="E14" s="2" t="s">
        <v>53</v>
      </c>
      <c r="F14" s="2" t="s">
        <v>30</v>
      </c>
      <c r="G14" s="2" t="s">
        <v>77</v>
      </c>
      <c r="H14" s="2" t="s">
        <v>78</v>
      </c>
      <c r="I14" s="2" t="s">
        <v>31</v>
      </c>
      <c r="J14" s="2" t="s">
        <v>32</v>
      </c>
      <c r="K14" s="2" t="s">
        <v>21</v>
      </c>
      <c r="L14" s="3">
        <v>700</v>
      </c>
      <c r="M14" s="2" t="s">
        <v>33</v>
      </c>
      <c r="N14" s="2" t="s">
        <v>23</v>
      </c>
      <c r="O14" s="2" t="s">
        <v>24</v>
      </c>
      <c r="P14" s="2" t="s">
        <v>25</v>
      </c>
      <c r="Q14" s="2" t="s">
        <v>26</v>
      </c>
    </row>
    <row r="15" spans="1:17" x14ac:dyDescent="0.25">
      <c r="A15" s="4">
        <v>14</v>
      </c>
      <c r="B15" s="9" t="s">
        <v>79</v>
      </c>
      <c r="C15" s="5">
        <v>44328</v>
      </c>
      <c r="D15" s="6" t="str">
        <f t="shared" si="9"/>
        <v>Mayo</v>
      </c>
      <c r="E15" s="2" t="s">
        <v>58</v>
      </c>
      <c r="F15" s="2" t="s">
        <v>27</v>
      </c>
      <c r="G15" s="2" t="s">
        <v>80</v>
      </c>
      <c r="H15" s="2" t="s">
        <v>81</v>
      </c>
      <c r="I15" s="2" t="s">
        <v>57</v>
      </c>
      <c r="J15" s="2">
        <v>687200</v>
      </c>
      <c r="K15" s="2" t="s">
        <v>21</v>
      </c>
      <c r="L15" s="7">
        <v>34032</v>
      </c>
      <c r="M15" s="2" t="s">
        <v>22</v>
      </c>
      <c r="N15" s="2" t="s">
        <v>169</v>
      </c>
      <c r="O15" s="2" t="s">
        <v>24</v>
      </c>
      <c r="P15" s="2" t="s">
        <v>25</v>
      </c>
      <c r="Q15" s="2" t="s">
        <v>26</v>
      </c>
    </row>
    <row r="16" spans="1:17" x14ac:dyDescent="0.25">
      <c r="A16" s="4">
        <v>15</v>
      </c>
      <c r="B16" s="9" t="s">
        <v>82</v>
      </c>
      <c r="C16" s="5">
        <v>44327</v>
      </c>
      <c r="D16" s="6" t="str">
        <f t="shared" si="9"/>
        <v>Mayo</v>
      </c>
      <c r="E16" s="2" t="s">
        <v>53</v>
      </c>
      <c r="F16" s="2" t="s">
        <v>30</v>
      </c>
      <c r="G16" s="2" t="s">
        <v>60</v>
      </c>
      <c r="H16" s="2" t="s">
        <v>61</v>
      </c>
      <c r="I16" s="2" t="s">
        <v>31</v>
      </c>
      <c r="J16" s="2" t="s">
        <v>32</v>
      </c>
      <c r="K16" s="2" t="s">
        <v>21</v>
      </c>
      <c r="L16" s="3">
        <v>2800</v>
      </c>
      <c r="M16" s="2" t="s">
        <v>33</v>
      </c>
      <c r="N16" s="2" t="s">
        <v>23</v>
      </c>
      <c r="O16" s="2" t="s">
        <v>24</v>
      </c>
      <c r="P16" s="2" t="s">
        <v>25</v>
      </c>
      <c r="Q16" s="2" t="s">
        <v>26</v>
      </c>
    </row>
    <row r="17" spans="1:17" x14ac:dyDescent="0.25">
      <c r="A17" s="4">
        <v>16</v>
      </c>
      <c r="B17" s="9" t="s">
        <v>83</v>
      </c>
      <c r="C17" s="5">
        <v>44327</v>
      </c>
      <c r="D17" s="6" t="str">
        <f t="shared" ref="D17:D18" si="10">+TEXT(C17,"MMMM")</f>
        <v>Mayo</v>
      </c>
      <c r="E17" s="2" t="s">
        <v>53</v>
      </c>
      <c r="F17" s="2" t="s">
        <v>30</v>
      </c>
      <c r="G17" s="2" t="s">
        <v>77</v>
      </c>
      <c r="H17" s="2" t="s">
        <v>78</v>
      </c>
      <c r="I17" s="2" t="s">
        <v>31</v>
      </c>
      <c r="J17" s="2" t="s">
        <v>32</v>
      </c>
      <c r="K17" s="2" t="s">
        <v>21</v>
      </c>
      <c r="L17" s="3">
        <v>700</v>
      </c>
      <c r="M17" s="2" t="s">
        <v>33</v>
      </c>
      <c r="N17" s="2" t="s">
        <v>23</v>
      </c>
      <c r="O17" s="2" t="s">
        <v>24</v>
      </c>
      <c r="P17" s="2" t="s">
        <v>25</v>
      </c>
      <c r="Q17" s="2" t="s">
        <v>26</v>
      </c>
    </row>
    <row r="18" spans="1:17" x14ac:dyDescent="0.25">
      <c r="A18" s="4">
        <v>17</v>
      </c>
      <c r="B18" s="9" t="s">
        <v>84</v>
      </c>
      <c r="C18" s="5">
        <v>44327</v>
      </c>
      <c r="D18" s="6" t="str">
        <f t="shared" si="10"/>
        <v>Mayo</v>
      </c>
      <c r="E18" s="2" t="s">
        <v>53</v>
      </c>
      <c r="F18" s="2" t="s">
        <v>30</v>
      </c>
      <c r="G18" s="2" t="s">
        <v>60</v>
      </c>
      <c r="H18" s="2" t="s">
        <v>61</v>
      </c>
      <c r="I18" s="2" t="s">
        <v>31</v>
      </c>
      <c r="J18" s="2" t="s">
        <v>32</v>
      </c>
      <c r="K18" s="2" t="s">
        <v>21</v>
      </c>
      <c r="L18" s="3">
        <v>2800</v>
      </c>
      <c r="M18" s="2" t="s">
        <v>33</v>
      </c>
      <c r="N18" s="2" t="s">
        <v>23</v>
      </c>
      <c r="O18" s="2" t="s">
        <v>24</v>
      </c>
      <c r="P18" s="2" t="s">
        <v>25</v>
      </c>
      <c r="Q18" s="2" t="s">
        <v>26</v>
      </c>
    </row>
    <row r="19" spans="1:17" x14ac:dyDescent="0.25">
      <c r="A19" s="4">
        <v>18</v>
      </c>
      <c r="B19" s="9" t="s">
        <v>87</v>
      </c>
      <c r="C19" s="5">
        <v>44326</v>
      </c>
      <c r="D19" s="6" t="str">
        <f t="shared" ref="D19:D21" si="11">+TEXT(C19,"MMMM")</f>
        <v>Mayo</v>
      </c>
      <c r="E19" s="2" t="s">
        <v>53</v>
      </c>
      <c r="F19" s="2" t="s">
        <v>30</v>
      </c>
      <c r="G19" s="2" t="s">
        <v>35</v>
      </c>
      <c r="H19" s="2" t="s">
        <v>86</v>
      </c>
      <c r="I19" s="2" t="s">
        <v>31</v>
      </c>
      <c r="J19" s="2" t="s">
        <v>32</v>
      </c>
      <c r="K19" s="2" t="s">
        <v>21</v>
      </c>
      <c r="L19" s="3">
        <v>2800</v>
      </c>
      <c r="M19" s="2" t="s">
        <v>33</v>
      </c>
      <c r="N19" s="2" t="s">
        <v>23</v>
      </c>
      <c r="O19" s="2" t="s">
        <v>24</v>
      </c>
      <c r="P19" s="2" t="s">
        <v>25</v>
      </c>
      <c r="Q19" s="2" t="s">
        <v>26</v>
      </c>
    </row>
    <row r="20" spans="1:17" x14ac:dyDescent="0.25">
      <c r="A20" s="4">
        <v>19</v>
      </c>
      <c r="B20" s="9" t="s">
        <v>88</v>
      </c>
      <c r="C20" s="5">
        <v>44327</v>
      </c>
      <c r="D20" s="6" t="str">
        <f t="shared" si="11"/>
        <v>Mayo</v>
      </c>
      <c r="E20" s="2" t="s">
        <v>53</v>
      </c>
      <c r="F20" s="2" t="s">
        <v>30</v>
      </c>
      <c r="G20" s="2" t="s">
        <v>60</v>
      </c>
      <c r="H20" s="2" t="s">
        <v>61</v>
      </c>
      <c r="I20" s="2" t="s">
        <v>31</v>
      </c>
      <c r="J20" s="2" t="s">
        <v>32</v>
      </c>
      <c r="K20" s="2" t="s">
        <v>21</v>
      </c>
      <c r="L20" s="3">
        <v>2800</v>
      </c>
      <c r="M20" s="2" t="s">
        <v>33</v>
      </c>
      <c r="N20" s="2" t="s">
        <v>23</v>
      </c>
      <c r="O20" s="2" t="s">
        <v>24</v>
      </c>
      <c r="P20" s="2" t="s">
        <v>25</v>
      </c>
      <c r="Q20" s="2" t="s">
        <v>26</v>
      </c>
    </row>
    <row r="21" spans="1:17" x14ac:dyDescent="0.25">
      <c r="A21" s="4">
        <v>20</v>
      </c>
      <c r="B21" s="9" t="s">
        <v>89</v>
      </c>
      <c r="C21" s="5">
        <v>44326</v>
      </c>
      <c r="D21" s="6" t="str">
        <f t="shared" si="11"/>
        <v>Mayo</v>
      </c>
      <c r="E21" s="2" t="s">
        <v>53</v>
      </c>
      <c r="F21" s="2" t="s">
        <v>30</v>
      </c>
      <c r="G21" s="2" t="s">
        <v>63</v>
      </c>
      <c r="H21" s="2" t="s">
        <v>64</v>
      </c>
      <c r="I21" s="2" t="s">
        <v>31</v>
      </c>
      <c r="J21" s="2" t="s">
        <v>32</v>
      </c>
      <c r="K21" s="2" t="s">
        <v>21</v>
      </c>
      <c r="L21" s="3">
        <v>2700</v>
      </c>
      <c r="M21" s="2" t="s">
        <v>33</v>
      </c>
      <c r="N21" s="2" t="s">
        <v>23</v>
      </c>
      <c r="O21" s="2" t="s">
        <v>24</v>
      </c>
      <c r="P21" s="2" t="s">
        <v>25</v>
      </c>
      <c r="Q21" s="2" t="s">
        <v>26</v>
      </c>
    </row>
    <row r="22" spans="1:17" x14ac:dyDescent="0.25">
      <c r="A22" s="4">
        <v>21</v>
      </c>
      <c r="B22" s="9" t="s">
        <v>90</v>
      </c>
      <c r="C22" s="5">
        <v>44327</v>
      </c>
      <c r="D22" s="6" t="str">
        <f t="shared" ref="D22" si="12">+TEXT(C22,"MMMM")</f>
        <v>Mayo</v>
      </c>
      <c r="E22" s="2" t="s">
        <v>53</v>
      </c>
      <c r="F22" s="2" t="s">
        <v>30</v>
      </c>
      <c r="G22" s="2" t="s">
        <v>63</v>
      </c>
      <c r="H22" s="2" t="s">
        <v>64</v>
      </c>
      <c r="I22" s="2" t="s">
        <v>31</v>
      </c>
      <c r="J22" s="2" t="s">
        <v>32</v>
      </c>
      <c r="K22" s="2" t="s">
        <v>21</v>
      </c>
      <c r="L22" s="3">
        <v>2700</v>
      </c>
      <c r="M22" s="2" t="s">
        <v>33</v>
      </c>
      <c r="N22" s="2" t="s">
        <v>23</v>
      </c>
      <c r="O22" s="2" t="s">
        <v>24</v>
      </c>
      <c r="P22" s="2" t="s">
        <v>25</v>
      </c>
      <c r="Q22" s="2" t="s">
        <v>26</v>
      </c>
    </row>
    <row r="23" spans="1:17" x14ac:dyDescent="0.25">
      <c r="A23" s="4">
        <v>22</v>
      </c>
      <c r="B23" s="9" t="s">
        <v>93</v>
      </c>
      <c r="C23" s="5">
        <v>44326</v>
      </c>
      <c r="D23" s="6" t="str">
        <f t="shared" ref="D23:D24" si="13">+TEXT(C23,"MMMM")</f>
        <v>Mayo</v>
      </c>
      <c r="E23" s="2" t="s">
        <v>53</v>
      </c>
      <c r="F23" s="2" t="s">
        <v>30</v>
      </c>
      <c r="G23" s="2" t="s">
        <v>91</v>
      </c>
      <c r="H23" s="2" t="s">
        <v>92</v>
      </c>
      <c r="I23" s="2" t="s">
        <v>31</v>
      </c>
      <c r="J23" s="2" t="s">
        <v>32</v>
      </c>
      <c r="K23" s="2" t="s">
        <v>21</v>
      </c>
      <c r="L23" s="3">
        <v>2600</v>
      </c>
      <c r="M23" s="2" t="s">
        <v>33</v>
      </c>
      <c r="N23" s="2" t="s">
        <v>23</v>
      </c>
      <c r="O23" s="2" t="s">
        <v>24</v>
      </c>
      <c r="P23" s="2" t="s">
        <v>25</v>
      </c>
      <c r="Q23" s="2" t="s">
        <v>26</v>
      </c>
    </row>
    <row r="24" spans="1:17" x14ac:dyDescent="0.25">
      <c r="A24" s="4">
        <v>23</v>
      </c>
      <c r="B24" s="9" t="s">
        <v>94</v>
      </c>
      <c r="C24" s="5">
        <v>44328</v>
      </c>
      <c r="D24" s="6" t="str">
        <f t="shared" si="13"/>
        <v>Mayo</v>
      </c>
      <c r="E24" s="2" t="s">
        <v>53</v>
      </c>
      <c r="F24" s="2" t="s">
        <v>30</v>
      </c>
      <c r="G24" s="2" t="s">
        <v>63</v>
      </c>
      <c r="H24" s="2" t="s">
        <v>64</v>
      </c>
      <c r="I24" s="2" t="s">
        <v>31</v>
      </c>
      <c r="J24" s="2" t="s">
        <v>32</v>
      </c>
      <c r="K24" s="2" t="s">
        <v>21</v>
      </c>
      <c r="L24" s="3">
        <v>2700</v>
      </c>
      <c r="M24" s="2" t="s">
        <v>33</v>
      </c>
      <c r="N24" s="2" t="s">
        <v>23</v>
      </c>
      <c r="O24" s="2" t="s">
        <v>24</v>
      </c>
      <c r="P24" s="2" t="s">
        <v>25</v>
      </c>
      <c r="Q24" s="2" t="s">
        <v>26</v>
      </c>
    </row>
    <row r="25" spans="1:17" x14ac:dyDescent="0.25">
      <c r="A25" s="4">
        <v>24</v>
      </c>
      <c r="B25" s="9" t="s">
        <v>97</v>
      </c>
      <c r="C25" s="5">
        <v>44326</v>
      </c>
      <c r="D25" s="6" t="str">
        <f t="shared" ref="D25" si="14">+TEXT(C25,"MMMM")</f>
        <v>Mayo</v>
      </c>
      <c r="E25" s="2" t="s">
        <v>96</v>
      </c>
      <c r="F25" s="2" t="s">
        <v>54</v>
      </c>
      <c r="G25" s="2" t="s">
        <v>55</v>
      </c>
      <c r="H25" s="2" t="s">
        <v>95</v>
      </c>
      <c r="I25" s="2" t="s">
        <v>28</v>
      </c>
      <c r="J25" s="2">
        <v>308890496</v>
      </c>
      <c r="K25" s="2" t="s">
        <v>21</v>
      </c>
      <c r="L25" s="3">
        <v>4400</v>
      </c>
      <c r="M25" s="2" t="s">
        <v>22</v>
      </c>
      <c r="N25" s="2" t="s">
        <v>169</v>
      </c>
      <c r="O25" s="2" t="s">
        <v>24</v>
      </c>
      <c r="P25" s="2" t="s">
        <v>25</v>
      </c>
      <c r="Q25" s="2" t="s">
        <v>26</v>
      </c>
    </row>
    <row r="26" spans="1:17" x14ac:dyDescent="0.25">
      <c r="A26" s="4">
        <v>25</v>
      </c>
      <c r="B26" s="9" t="s">
        <v>100</v>
      </c>
      <c r="C26" s="5">
        <v>44326</v>
      </c>
      <c r="D26" s="6" t="str">
        <f t="shared" ref="D26:D28" si="15">+TEXT(C26,"MMMM")</f>
        <v>Mayo</v>
      </c>
      <c r="E26" s="2" t="s">
        <v>96</v>
      </c>
      <c r="F26" s="2" t="s">
        <v>54</v>
      </c>
      <c r="G26" s="2" t="s">
        <v>55</v>
      </c>
      <c r="H26" s="2" t="s">
        <v>95</v>
      </c>
      <c r="I26" s="2" t="s">
        <v>28</v>
      </c>
      <c r="J26" s="2">
        <v>304499923</v>
      </c>
      <c r="K26" s="2" t="s">
        <v>21</v>
      </c>
      <c r="L26" s="3">
        <v>8350</v>
      </c>
      <c r="M26" s="2" t="s">
        <v>22</v>
      </c>
      <c r="N26" s="2" t="s">
        <v>169</v>
      </c>
      <c r="O26" s="2" t="s">
        <v>24</v>
      </c>
      <c r="P26" s="2" t="s">
        <v>25</v>
      </c>
      <c r="Q26" s="2" t="s">
        <v>26</v>
      </c>
    </row>
    <row r="27" spans="1:17" x14ac:dyDescent="0.25">
      <c r="A27" s="4">
        <v>26</v>
      </c>
      <c r="B27" s="9" t="s">
        <v>101</v>
      </c>
      <c r="C27" s="5">
        <v>44326</v>
      </c>
      <c r="D27" s="6" t="str">
        <f t="shared" si="15"/>
        <v>Mayo</v>
      </c>
      <c r="E27" s="2" t="s">
        <v>53</v>
      </c>
      <c r="F27" s="2" t="s">
        <v>30</v>
      </c>
      <c r="G27" s="2" t="s">
        <v>50</v>
      </c>
      <c r="H27" s="2" t="s">
        <v>51</v>
      </c>
      <c r="I27" s="2" t="s">
        <v>31</v>
      </c>
      <c r="J27" s="2" t="s">
        <v>32</v>
      </c>
      <c r="K27" s="2" t="s">
        <v>21</v>
      </c>
      <c r="L27" s="3">
        <v>2300</v>
      </c>
      <c r="M27" s="2" t="s">
        <v>33</v>
      </c>
      <c r="N27" s="2" t="s">
        <v>23</v>
      </c>
      <c r="O27" s="2" t="s">
        <v>24</v>
      </c>
      <c r="P27" s="2" t="s">
        <v>25</v>
      </c>
      <c r="Q27" s="2" t="s">
        <v>26</v>
      </c>
    </row>
    <row r="28" spans="1:17" x14ac:dyDescent="0.25">
      <c r="A28" s="4">
        <v>27</v>
      </c>
      <c r="B28" s="9" t="s">
        <v>102</v>
      </c>
      <c r="C28" s="5">
        <v>44326</v>
      </c>
      <c r="D28" s="6" t="str">
        <f t="shared" si="15"/>
        <v>Mayo</v>
      </c>
      <c r="E28" s="2" t="s">
        <v>53</v>
      </c>
      <c r="F28" s="2" t="s">
        <v>30</v>
      </c>
      <c r="G28" s="2" t="s">
        <v>91</v>
      </c>
      <c r="H28" s="2" t="s">
        <v>92</v>
      </c>
      <c r="I28" s="2" t="s">
        <v>31</v>
      </c>
      <c r="J28" s="2" t="s">
        <v>32</v>
      </c>
      <c r="K28" s="2" t="s">
        <v>21</v>
      </c>
      <c r="L28" s="3">
        <v>2600</v>
      </c>
      <c r="M28" s="2" t="s">
        <v>33</v>
      </c>
      <c r="N28" s="2" t="s">
        <v>23</v>
      </c>
      <c r="O28" s="2" t="s">
        <v>24</v>
      </c>
      <c r="P28" s="2" t="s">
        <v>25</v>
      </c>
      <c r="Q28" s="2" t="s">
        <v>26</v>
      </c>
    </row>
    <row r="29" spans="1:17" x14ac:dyDescent="0.25">
      <c r="A29" s="4">
        <v>28</v>
      </c>
      <c r="B29" s="9" t="s">
        <v>103</v>
      </c>
      <c r="C29" s="5">
        <v>44329</v>
      </c>
      <c r="D29" s="6" t="str">
        <f t="shared" ref="D29:D31" si="16">+TEXT(C29,"MMMM")</f>
        <v>Mayo</v>
      </c>
      <c r="E29" s="2" t="s">
        <v>53</v>
      </c>
      <c r="F29" s="2" t="s">
        <v>30</v>
      </c>
      <c r="G29" s="2" t="s">
        <v>50</v>
      </c>
      <c r="H29" s="2" t="s">
        <v>51</v>
      </c>
      <c r="I29" s="2" t="s">
        <v>31</v>
      </c>
      <c r="J29" s="2" t="s">
        <v>32</v>
      </c>
      <c r="K29" s="2" t="s">
        <v>21</v>
      </c>
      <c r="L29" s="3">
        <v>2300</v>
      </c>
      <c r="M29" s="2" t="s">
        <v>33</v>
      </c>
      <c r="N29" s="2" t="s">
        <v>23</v>
      </c>
      <c r="O29" s="2" t="s">
        <v>24</v>
      </c>
      <c r="P29" s="2" t="s">
        <v>25</v>
      </c>
      <c r="Q29" s="2" t="s">
        <v>26</v>
      </c>
    </row>
    <row r="30" spans="1:17" x14ac:dyDescent="0.25">
      <c r="A30" s="4">
        <v>29</v>
      </c>
      <c r="B30" s="9" t="s">
        <v>105</v>
      </c>
      <c r="C30" s="5">
        <v>44326</v>
      </c>
      <c r="D30" s="6" t="str">
        <f t="shared" si="16"/>
        <v>Mayo</v>
      </c>
      <c r="E30" s="2" t="s">
        <v>104</v>
      </c>
      <c r="F30" s="2" t="s">
        <v>27</v>
      </c>
      <c r="G30" s="2" t="s">
        <v>55</v>
      </c>
      <c r="H30" s="2" t="s">
        <v>95</v>
      </c>
      <c r="I30" s="2" t="s">
        <v>28</v>
      </c>
      <c r="J30" s="2">
        <v>307454381</v>
      </c>
      <c r="K30" s="2" t="s">
        <v>21</v>
      </c>
      <c r="L30" s="3">
        <v>24502</v>
      </c>
      <c r="M30" s="2" t="s">
        <v>22</v>
      </c>
      <c r="N30" s="2" t="s">
        <v>169</v>
      </c>
      <c r="O30" s="2" t="s">
        <v>24</v>
      </c>
      <c r="P30" s="2" t="s">
        <v>25</v>
      </c>
      <c r="Q30" s="2" t="s">
        <v>26</v>
      </c>
    </row>
    <row r="31" spans="1:17" x14ac:dyDescent="0.25">
      <c r="A31" s="4">
        <v>30</v>
      </c>
      <c r="B31" s="9" t="s">
        <v>106</v>
      </c>
      <c r="C31" s="5">
        <v>44329</v>
      </c>
      <c r="D31" s="6" t="str">
        <f t="shared" si="16"/>
        <v>Mayo</v>
      </c>
      <c r="E31" s="2" t="s">
        <v>53</v>
      </c>
      <c r="F31" s="2" t="s">
        <v>30</v>
      </c>
      <c r="G31" s="2" t="s">
        <v>91</v>
      </c>
      <c r="H31" s="2" t="s">
        <v>92</v>
      </c>
      <c r="I31" s="2" t="s">
        <v>31</v>
      </c>
      <c r="J31" s="2" t="s">
        <v>32</v>
      </c>
      <c r="K31" s="2" t="s">
        <v>21</v>
      </c>
      <c r="L31" s="3">
        <v>2600</v>
      </c>
      <c r="M31" s="2" t="s">
        <v>33</v>
      </c>
      <c r="N31" s="2" t="s">
        <v>23</v>
      </c>
      <c r="O31" s="2" t="s">
        <v>24</v>
      </c>
      <c r="P31" s="2" t="s">
        <v>25</v>
      </c>
      <c r="Q31" s="2" t="s">
        <v>26</v>
      </c>
    </row>
    <row r="32" spans="1:17" x14ac:dyDescent="0.25">
      <c r="A32" s="4">
        <v>31</v>
      </c>
      <c r="B32" s="9" t="s">
        <v>108</v>
      </c>
      <c r="C32" s="5">
        <v>44329</v>
      </c>
      <c r="D32" s="6" t="str">
        <f t="shared" ref="D32:D34" si="17">+TEXT(C32,"MMMM")</f>
        <v>Mayo</v>
      </c>
      <c r="E32" s="2" t="s">
        <v>53</v>
      </c>
      <c r="F32" s="2" t="s">
        <v>30</v>
      </c>
      <c r="G32" s="2" t="s">
        <v>50</v>
      </c>
      <c r="H32" s="2" t="s">
        <v>51</v>
      </c>
      <c r="I32" s="2" t="s">
        <v>31</v>
      </c>
      <c r="J32" s="2" t="s">
        <v>32</v>
      </c>
      <c r="K32" s="2" t="s">
        <v>21</v>
      </c>
      <c r="L32" s="3">
        <v>2300</v>
      </c>
      <c r="M32" s="2" t="s">
        <v>33</v>
      </c>
      <c r="N32" s="2" t="s">
        <v>23</v>
      </c>
      <c r="O32" s="2" t="s">
        <v>24</v>
      </c>
      <c r="P32" s="2" t="s">
        <v>25</v>
      </c>
      <c r="Q32" s="2" t="s">
        <v>26</v>
      </c>
    </row>
    <row r="33" spans="1:17" x14ac:dyDescent="0.25">
      <c r="A33" s="4">
        <v>32</v>
      </c>
      <c r="B33" s="9" t="s">
        <v>107</v>
      </c>
      <c r="C33" s="5">
        <v>44328</v>
      </c>
      <c r="D33" s="6" t="str">
        <f t="shared" si="17"/>
        <v>Mayo</v>
      </c>
      <c r="E33" s="2" t="s">
        <v>104</v>
      </c>
      <c r="F33" s="2" t="s">
        <v>27</v>
      </c>
      <c r="G33" s="2" t="s">
        <v>55</v>
      </c>
      <c r="H33" s="2" t="s">
        <v>95</v>
      </c>
      <c r="I33" s="2" t="s">
        <v>28</v>
      </c>
      <c r="J33" s="2">
        <v>307246920</v>
      </c>
      <c r="K33" s="2" t="s">
        <v>21</v>
      </c>
      <c r="L33" s="3">
        <v>32006</v>
      </c>
      <c r="M33" s="2" t="s">
        <v>22</v>
      </c>
      <c r="N33" s="2" t="s">
        <v>169</v>
      </c>
      <c r="O33" s="2" t="s">
        <v>24</v>
      </c>
      <c r="P33" s="2" t="s">
        <v>25</v>
      </c>
      <c r="Q33" s="2" t="s">
        <v>26</v>
      </c>
    </row>
    <row r="34" spans="1:17" x14ac:dyDescent="0.25">
      <c r="A34" s="4">
        <v>33</v>
      </c>
      <c r="B34" s="9" t="s">
        <v>109</v>
      </c>
      <c r="C34" s="5">
        <v>44326</v>
      </c>
      <c r="D34" s="6" t="str">
        <f t="shared" si="17"/>
        <v>Mayo</v>
      </c>
      <c r="E34" s="2" t="s">
        <v>66</v>
      </c>
      <c r="F34" s="2" t="s">
        <v>67</v>
      </c>
      <c r="G34" s="2"/>
      <c r="H34" s="2" t="s">
        <v>110</v>
      </c>
      <c r="I34" s="2" t="s">
        <v>70</v>
      </c>
      <c r="J34" s="2" t="s">
        <v>32</v>
      </c>
      <c r="K34" s="2" t="s">
        <v>21</v>
      </c>
      <c r="L34" s="3">
        <v>1260</v>
      </c>
      <c r="M34" s="2" t="s">
        <v>33</v>
      </c>
      <c r="N34" s="2" t="s">
        <v>23</v>
      </c>
      <c r="O34" s="2" t="s">
        <v>24</v>
      </c>
      <c r="P34" s="2" t="s">
        <v>25</v>
      </c>
      <c r="Q34" s="2" t="s">
        <v>26</v>
      </c>
    </row>
    <row r="35" spans="1:17" x14ac:dyDescent="0.25">
      <c r="A35" s="4">
        <v>34</v>
      </c>
      <c r="B35" s="9" t="s">
        <v>111</v>
      </c>
      <c r="C35" s="5">
        <v>44326</v>
      </c>
      <c r="D35" s="6" t="str">
        <f t="shared" ref="D35:D37" si="18">+TEXT(C35,"MMMM")</f>
        <v>Mayo</v>
      </c>
      <c r="E35" s="2" t="s">
        <v>66</v>
      </c>
      <c r="F35" s="2" t="s">
        <v>67</v>
      </c>
      <c r="G35" s="2"/>
      <c r="H35" s="2" t="s">
        <v>110</v>
      </c>
      <c r="I35" s="2" t="s">
        <v>70</v>
      </c>
      <c r="J35" s="2" t="s">
        <v>32</v>
      </c>
      <c r="K35" s="2" t="s">
        <v>21</v>
      </c>
      <c r="L35" s="3">
        <v>1260</v>
      </c>
      <c r="M35" s="2" t="s">
        <v>33</v>
      </c>
      <c r="N35" s="2" t="s">
        <v>23</v>
      </c>
      <c r="O35" s="2" t="s">
        <v>24</v>
      </c>
      <c r="P35" s="2" t="s">
        <v>25</v>
      </c>
      <c r="Q35" s="2" t="s">
        <v>26</v>
      </c>
    </row>
    <row r="36" spans="1:17" x14ac:dyDescent="0.25">
      <c r="A36" s="4">
        <v>35</v>
      </c>
      <c r="B36" s="9" t="s">
        <v>112</v>
      </c>
      <c r="C36" s="5">
        <v>44326</v>
      </c>
      <c r="D36" s="6" t="str">
        <f t="shared" si="18"/>
        <v>Mayo</v>
      </c>
      <c r="E36" s="2" t="s">
        <v>104</v>
      </c>
      <c r="F36" s="2" t="s">
        <v>27</v>
      </c>
      <c r="G36" s="2" t="s">
        <v>55</v>
      </c>
      <c r="H36" s="2" t="s">
        <v>95</v>
      </c>
      <c r="I36" s="2" t="s">
        <v>28</v>
      </c>
      <c r="J36" s="2">
        <v>307289811</v>
      </c>
      <c r="K36" s="2" t="s">
        <v>21</v>
      </c>
      <c r="L36" s="3">
        <v>31972</v>
      </c>
      <c r="M36" s="2" t="s">
        <v>22</v>
      </c>
      <c r="N36" s="2" t="s">
        <v>169</v>
      </c>
      <c r="O36" s="2" t="s">
        <v>24</v>
      </c>
      <c r="P36" s="2" t="s">
        <v>25</v>
      </c>
      <c r="Q36" s="2" t="s">
        <v>26</v>
      </c>
    </row>
    <row r="37" spans="1:17" x14ac:dyDescent="0.25">
      <c r="A37" s="4">
        <v>36</v>
      </c>
      <c r="B37" s="9" t="s">
        <v>113</v>
      </c>
      <c r="C37" s="5">
        <v>44329</v>
      </c>
      <c r="D37" s="6" t="str">
        <f t="shared" si="18"/>
        <v>Mayo</v>
      </c>
      <c r="E37" s="2" t="s">
        <v>53</v>
      </c>
      <c r="F37" s="2" t="s">
        <v>30</v>
      </c>
      <c r="G37" s="2" t="s">
        <v>91</v>
      </c>
      <c r="H37" s="2" t="s">
        <v>92</v>
      </c>
      <c r="I37" s="2" t="s">
        <v>31</v>
      </c>
      <c r="J37" s="2" t="s">
        <v>32</v>
      </c>
      <c r="K37" s="2" t="s">
        <v>21</v>
      </c>
      <c r="L37" s="3">
        <v>2600</v>
      </c>
      <c r="M37" s="2" t="s">
        <v>33</v>
      </c>
      <c r="N37" s="2" t="s">
        <v>23</v>
      </c>
      <c r="O37" s="2" t="s">
        <v>24</v>
      </c>
      <c r="P37" s="2" t="s">
        <v>25</v>
      </c>
      <c r="Q37" s="2" t="s">
        <v>26</v>
      </c>
    </row>
    <row r="38" spans="1:17" x14ac:dyDescent="0.25">
      <c r="A38" s="4">
        <v>38</v>
      </c>
      <c r="B38" s="9" t="s">
        <v>114</v>
      </c>
      <c r="C38" s="5">
        <v>44328</v>
      </c>
      <c r="D38" s="6" t="str">
        <f t="shared" ref="D38" si="19">+TEXT(C38,"MMMM")</f>
        <v>Mayo</v>
      </c>
      <c r="E38" s="2" t="s">
        <v>53</v>
      </c>
      <c r="F38" s="2" t="s">
        <v>30</v>
      </c>
      <c r="G38" s="2" t="s">
        <v>60</v>
      </c>
      <c r="H38" s="2" t="s">
        <v>61</v>
      </c>
      <c r="I38" s="2" t="s">
        <v>31</v>
      </c>
      <c r="J38" s="2" t="s">
        <v>32</v>
      </c>
      <c r="K38" s="2" t="s">
        <v>21</v>
      </c>
      <c r="L38" s="3">
        <v>2800</v>
      </c>
      <c r="M38" s="2" t="s">
        <v>33</v>
      </c>
      <c r="N38" s="2" t="s">
        <v>23</v>
      </c>
      <c r="O38" s="2" t="s">
        <v>24</v>
      </c>
      <c r="P38" s="2" t="s">
        <v>25</v>
      </c>
      <c r="Q38" s="2" t="s">
        <v>26</v>
      </c>
    </row>
    <row r="39" spans="1:17" x14ac:dyDescent="0.25">
      <c r="A39" s="4">
        <v>40</v>
      </c>
      <c r="B39" s="9" t="s">
        <v>123</v>
      </c>
      <c r="C39" s="5">
        <v>44323</v>
      </c>
      <c r="D39" s="6" t="str">
        <f t="shared" ref="D39" si="20">+TEXT(C39,"MMMM")</f>
        <v>Mayo</v>
      </c>
      <c r="E39" s="2" t="s">
        <v>104</v>
      </c>
      <c r="F39" s="2" t="s">
        <v>27</v>
      </c>
      <c r="G39" s="2" t="s">
        <v>124</v>
      </c>
      <c r="H39" s="2" t="s">
        <v>115</v>
      </c>
      <c r="I39" s="2" t="s">
        <v>28</v>
      </c>
      <c r="J39" s="2">
        <v>2595787</v>
      </c>
      <c r="K39" s="2" t="s">
        <v>21</v>
      </c>
      <c r="L39" s="3">
        <v>37937</v>
      </c>
      <c r="M39" s="2" t="s">
        <v>22</v>
      </c>
      <c r="N39" s="2" t="s">
        <v>169</v>
      </c>
      <c r="O39" s="2" t="s">
        <v>24</v>
      </c>
      <c r="P39" s="2" t="s">
        <v>25</v>
      </c>
      <c r="Q39" s="2" t="s">
        <v>26</v>
      </c>
    </row>
    <row r="40" spans="1:17" x14ac:dyDescent="0.25">
      <c r="A40" s="4">
        <v>41</v>
      </c>
      <c r="B40" s="9" t="s">
        <v>116</v>
      </c>
      <c r="C40" s="5">
        <v>44329</v>
      </c>
      <c r="D40" s="6" t="str">
        <f t="shared" ref="D40" si="21">+TEXT(C40,"MMMM")</f>
        <v>Mayo</v>
      </c>
      <c r="E40" s="2" t="s">
        <v>96</v>
      </c>
      <c r="F40" s="2" t="s">
        <v>54</v>
      </c>
      <c r="G40" s="2" t="s">
        <v>55</v>
      </c>
      <c r="H40" s="2" t="s">
        <v>95</v>
      </c>
      <c r="I40" s="2" t="s">
        <v>28</v>
      </c>
      <c r="J40" s="2">
        <v>309213412</v>
      </c>
      <c r="K40" s="2" t="s">
        <v>21</v>
      </c>
      <c r="L40" s="3">
        <v>5150</v>
      </c>
      <c r="M40" s="2" t="s">
        <v>22</v>
      </c>
      <c r="N40" s="2" t="s">
        <v>23</v>
      </c>
      <c r="O40" s="2" t="s">
        <v>24</v>
      </c>
      <c r="P40" s="2" t="s">
        <v>25</v>
      </c>
      <c r="Q40" s="2" t="s">
        <v>26</v>
      </c>
    </row>
    <row r="41" spans="1:17" x14ac:dyDescent="0.25">
      <c r="A41" s="4">
        <v>42</v>
      </c>
      <c r="B41" s="9" t="s">
        <v>117</v>
      </c>
      <c r="C41" s="5">
        <v>44328</v>
      </c>
      <c r="D41" s="6" t="str">
        <f t="shared" ref="D41" si="22">+TEXT(C41,"MMMM")</f>
        <v>Mayo</v>
      </c>
      <c r="E41" s="2" t="s">
        <v>96</v>
      </c>
      <c r="F41" s="2" t="s">
        <v>54</v>
      </c>
      <c r="G41" s="2" t="s">
        <v>55</v>
      </c>
      <c r="H41" s="2" t="s">
        <v>95</v>
      </c>
      <c r="I41" s="2" t="s">
        <v>28</v>
      </c>
      <c r="J41" s="2">
        <v>309213412</v>
      </c>
      <c r="K41" s="2" t="s">
        <v>21</v>
      </c>
      <c r="L41" s="3">
        <v>650</v>
      </c>
      <c r="M41" s="2" t="s">
        <v>22</v>
      </c>
      <c r="N41" s="2" t="s">
        <v>23</v>
      </c>
      <c r="O41" s="2" t="s">
        <v>24</v>
      </c>
      <c r="P41" s="2" t="s">
        <v>25</v>
      </c>
      <c r="Q41" s="2" t="s">
        <v>26</v>
      </c>
    </row>
    <row r="42" spans="1:17" x14ac:dyDescent="0.25">
      <c r="A42" s="4">
        <v>43</v>
      </c>
      <c r="B42" s="9" t="s">
        <v>118</v>
      </c>
      <c r="C42" s="5">
        <v>44329</v>
      </c>
      <c r="D42" s="6" t="str">
        <f t="shared" ref="D42:D46" si="23">+TEXT(C42,"MMMM")</f>
        <v>Mayo</v>
      </c>
      <c r="E42" s="2" t="s">
        <v>104</v>
      </c>
      <c r="F42" s="2" t="s">
        <v>54</v>
      </c>
      <c r="G42" s="2" t="s">
        <v>119</v>
      </c>
      <c r="H42" s="2" t="s">
        <v>120</v>
      </c>
      <c r="I42" s="2" t="s">
        <v>28</v>
      </c>
      <c r="J42" s="2">
        <v>12092</v>
      </c>
      <c r="K42" s="2" t="s">
        <v>21</v>
      </c>
      <c r="L42" s="3">
        <v>40000</v>
      </c>
      <c r="M42" s="2" t="s">
        <v>22</v>
      </c>
      <c r="N42" s="2" t="s">
        <v>169</v>
      </c>
      <c r="O42" s="2" t="s">
        <v>24</v>
      </c>
      <c r="P42" s="2" t="s">
        <v>25</v>
      </c>
      <c r="Q42" s="2" t="s">
        <v>26</v>
      </c>
    </row>
    <row r="43" spans="1:17" x14ac:dyDescent="0.25">
      <c r="A43" s="4">
        <v>44</v>
      </c>
      <c r="B43" s="9" t="s">
        <v>121</v>
      </c>
      <c r="C43" s="5">
        <v>44326</v>
      </c>
      <c r="D43" s="6" t="str">
        <f t="shared" si="23"/>
        <v>Mayo</v>
      </c>
      <c r="E43" s="2" t="s">
        <v>53</v>
      </c>
      <c r="F43" s="2" t="s">
        <v>30</v>
      </c>
      <c r="G43" s="2" t="s">
        <v>50</v>
      </c>
      <c r="H43" s="2" t="s">
        <v>51</v>
      </c>
      <c r="I43" s="2" t="s">
        <v>31</v>
      </c>
      <c r="J43" s="2" t="s">
        <v>32</v>
      </c>
      <c r="K43" s="2" t="s">
        <v>21</v>
      </c>
      <c r="L43" s="3">
        <v>2300</v>
      </c>
      <c r="M43" s="2" t="s">
        <v>33</v>
      </c>
      <c r="N43" s="2" t="s">
        <v>23</v>
      </c>
      <c r="O43" s="2" t="s">
        <v>24</v>
      </c>
      <c r="P43" s="2" t="s">
        <v>25</v>
      </c>
      <c r="Q43" s="2" t="s">
        <v>26</v>
      </c>
    </row>
    <row r="44" spans="1:17" x14ac:dyDescent="0.25">
      <c r="A44" s="4">
        <v>45</v>
      </c>
      <c r="B44" s="9" t="s">
        <v>122</v>
      </c>
      <c r="C44" s="5">
        <v>44329</v>
      </c>
      <c r="D44" s="6" t="str">
        <f t="shared" si="23"/>
        <v>Mayo</v>
      </c>
      <c r="E44" s="2" t="s">
        <v>53</v>
      </c>
      <c r="F44" s="2" t="s">
        <v>30</v>
      </c>
      <c r="G44" s="2" t="s">
        <v>35</v>
      </c>
      <c r="H44" s="2" t="s">
        <v>86</v>
      </c>
      <c r="I44" s="2" t="s">
        <v>31</v>
      </c>
      <c r="J44" s="2" t="s">
        <v>32</v>
      </c>
      <c r="K44" s="2" t="s">
        <v>21</v>
      </c>
      <c r="L44" s="3">
        <v>2800</v>
      </c>
      <c r="M44" s="2" t="s">
        <v>33</v>
      </c>
      <c r="N44" s="2" t="s">
        <v>23</v>
      </c>
      <c r="O44" s="2" t="s">
        <v>24</v>
      </c>
      <c r="P44" s="2" t="s">
        <v>25</v>
      </c>
      <c r="Q44" s="2" t="s">
        <v>26</v>
      </c>
    </row>
    <row r="45" spans="1:17" x14ac:dyDescent="0.25">
      <c r="A45" s="4">
        <v>46</v>
      </c>
      <c r="B45" s="9" t="s">
        <v>125</v>
      </c>
      <c r="C45" s="5">
        <v>44327</v>
      </c>
      <c r="D45" s="6" t="str">
        <f t="shared" si="23"/>
        <v>Mayo</v>
      </c>
      <c r="E45" s="2" t="s">
        <v>96</v>
      </c>
      <c r="F45" s="2" t="s">
        <v>54</v>
      </c>
      <c r="G45" s="2" t="s">
        <v>55</v>
      </c>
      <c r="H45" s="2" t="s">
        <v>95</v>
      </c>
      <c r="I45" s="2" t="s">
        <v>28</v>
      </c>
      <c r="J45" s="2">
        <v>309100024</v>
      </c>
      <c r="K45" s="2" t="s">
        <v>21</v>
      </c>
      <c r="L45" s="3">
        <v>5780</v>
      </c>
      <c r="M45" s="2" t="s">
        <v>22</v>
      </c>
      <c r="N45" s="2" t="s">
        <v>23</v>
      </c>
      <c r="O45" s="2" t="s">
        <v>24</v>
      </c>
      <c r="P45" s="2" t="s">
        <v>25</v>
      </c>
      <c r="Q45" s="2" t="s">
        <v>26</v>
      </c>
    </row>
    <row r="46" spans="1:17" x14ac:dyDescent="0.25">
      <c r="A46" s="4">
        <v>47</v>
      </c>
      <c r="B46" s="9" t="s">
        <v>131</v>
      </c>
      <c r="C46" s="5">
        <v>44341</v>
      </c>
      <c r="D46" s="6" t="str">
        <f t="shared" si="23"/>
        <v>Mayo</v>
      </c>
      <c r="E46" s="2" t="s">
        <v>44</v>
      </c>
      <c r="F46" s="2" t="s">
        <v>17</v>
      </c>
      <c r="G46" s="2" t="s">
        <v>36</v>
      </c>
      <c r="H46" s="2" t="s">
        <v>37</v>
      </c>
      <c r="I46" s="2" t="s">
        <v>38</v>
      </c>
      <c r="J46" s="2">
        <v>221077</v>
      </c>
      <c r="K46" s="2" t="s">
        <v>21</v>
      </c>
      <c r="L46" s="3">
        <v>45000</v>
      </c>
      <c r="M46" s="2" t="s">
        <v>39</v>
      </c>
      <c r="N46" s="2" t="s">
        <v>23</v>
      </c>
      <c r="O46" s="2" t="s">
        <v>24</v>
      </c>
      <c r="P46" s="2" t="s">
        <v>25</v>
      </c>
      <c r="Q46" s="2" t="s">
        <v>26</v>
      </c>
    </row>
    <row r="47" spans="1:17" x14ac:dyDescent="0.25">
      <c r="A47" s="4">
        <v>48</v>
      </c>
      <c r="B47" s="9" t="s">
        <v>126</v>
      </c>
      <c r="C47" s="5">
        <v>44323</v>
      </c>
      <c r="D47" s="6" t="str">
        <f t="shared" ref="D47:D48" si="24">+TEXT(C47,"MMMM")</f>
        <v>Mayo</v>
      </c>
      <c r="E47" s="2" t="s">
        <v>41</v>
      </c>
      <c r="F47" s="2" t="s">
        <v>41</v>
      </c>
      <c r="G47" s="2"/>
      <c r="H47" s="2" t="s">
        <v>129</v>
      </c>
      <c r="I47" s="2" t="s">
        <v>41</v>
      </c>
      <c r="J47" s="2">
        <v>929</v>
      </c>
      <c r="K47" s="2" t="s">
        <v>21</v>
      </c>
      <c r="L47" s="3">
        <v>34000</v>
      </c>
      <c r="M47" s="2" t="s">
        <v>22</v>
      </c>
      <c r="N47" s="2" t="s">
        <v>169</v>
      </c>
      <c r="O47" s="2" t="s">
        <v>24</v>
      </c>
      <c r="P47" s="2" t="s">
        <v>25</v>
      </c>
      <c r="Q47" s="2" t="s">
        <v>26</v>
      </c>
    </row>
    <row r="48" spans="1:17" x14ac:dyDescent="0.25">
      <c r="A48" s="4">
        <v>49</v>
      </c>
      <c r="B48" s="9" t="s">
        <v>130</v>
      </c>
      <c r="C48" s="5">
        <v>44336</v>
      </c>
      <c r="D48" s="6" t="str">
        <f t="shared" si="24"/>
        <v>Mayo</v>
      </c>
      <c r="E48" s="2" t="s">
        <v>49</v>
      </c>
      <c r="F48" s="2" t="s">
        <v>17</v>
      </c>
      <c r="G48" s="2" t="s">
        <v>46</v>
      </c>
      <c r="H48" s="2" t="s">
        <v>47</v>
      </c>
      <c r="I48" s="2" t="s">
        <v>48</v>
      </c>
      <c r="J48" s="2">
        <v>12942</v>
      </c>
      <c r="K48" s="2" t="s">
        <v>21</v>
      </c>
      <c r="L48" s="3">
        <v>85000</v>
      </c>
      <c r="M48" s="2" t="s">
        <v>39</v>
      </c>
      <c r="N48" s="2" t="s">
        <v>23</v>
      </c>
      <c r="O48" s="2" t="s">
        <v>24</v>
      </c>
      <c r="P48" s="2" t="s">
        <v>25</v>
      </c>
      <c r="Q48" s="2" t="s">
        <v>26</v>
      </c>
    </row>
    <row r="49" spans="1:17" x14ac:dyDescent="0.25">
      <c r="A49" s="4">
        <v>50</v>
      </c>
      <c r="B49" s="9" t="s">
        <v>127</v>
      </c>
      <c r="C49" s="5">
        <v>44330</v>
      </c>
      <c r="D49" s="6" t="str">
        <f t="shared" ref="D49" si="25">+TEXT(C49,"MMMM")</f>
        <v>Mayo</v>
      </c>
      <c r="E49" s="2" t="s">
        <v>45</v>
      </c>
      <c r="F49" s="2" t="s">
        <v>17</v>
      </c>
      <c r="G49" s="2" t="s">
        <v>36</v>
      </c>
      <c r="H49" s="2" t="s">
        <v>37</v>
      </c>
      <c r="I49" s="2" t="s">
        <v>38</v>
      </c>
      <c r="J49" s="2">
        <v>220105</v>
      </c>
      <c r="K49" s="2" t="s">
        <v>21</v>
      </c>
      <c r="L49" s="3">
        <v>20000</v>
      </c>
      <c r="M49" s="2" t="s">
        <v>39</v>
      </c>
      <c r="N49" s="2" t="s">
        <v>169</v>
      </c>
      <c r="O49" s="2" t="s">
        <v>24</v>
      </c>
      <c r="P49" s="2" t="s">
        <v>25</v>
      </c>
      <c r="Q49" s="2" t="s">
        <v>26</v>
      </c>
    </row>
    <row r="50" spans="1:17" x14ac:dyDescent="0.25">
      <c r="A50" s="4">
        <v>51</v>
      </c>
      <c r="B50" s="9" t="s">
        <v>128</v>
      </c>
      <c r="C50" s="5">
        <v>44330</v>
      </c>
      <c r="D50" s="6" t="str">
        <f t="shared" ref="D50" si="26">+TEXT(C50,"MMMM")</f>
        <v>Mayo</v>
      </c>
      <c r="E50" s="2" t="s">
        <v>45</v>
      </c>
      <c r="F50" s="2" t="s">
        <v>17</v>
      </c>
      <c r="G50" s="2" t="s">
        <v>36</v>
      </c>
      <c r="H50" s="2" t="s">
        <v>37</v>
      </c>
      <c r="I50" s="2" t="s">
        <v>38</v>
      </c>
      <c r="J50" s="2">
        <v>220106</v>
      </c>
      <c r="K50" s="2" t="s">
        <v>21</v>
      </c>
      <c r="L50" s="3">
        <v>45000</v>
      </c>
      <c r="M50" s="2" t="s">
        <v>39</v>
      </c>
      <c r="N50" s="2" t="s">
        <v>169</v>
      </c>
      <c r="O50" s="2" t="s">
        <v>24</v>
      </c>
      <c r="P50" s="2" t="s">
        <v>25</v>
      </c>
      <c r="Q50" s="2" t="s">
        <v>26</v>
      </c>
    </row>
    <row r="51" spans="1:17" x14ac:dyDescent="0.25">
      <c r="A51" s="4">
        <v>52</v>
      </c>
      <c r="B51" s="9" t="s">
        <v>132</v>
      </c>
      <c r="C51" s="5">
        <v>44348</v>
      </c>
      <c r="D51" s="6" t="str">
        <f t="shared" ref="D51:D52" si="27">+TEXT(C51,"MMMM")</f>
        <v>Junio</v>
      </c>
      <c r="E51" s="2" t="s">
        <v>17</v>
      </c>
      <c r="F51" s="2" t="s">
        <v>17</v>
      </c>
      <c r="G51" s="2" t="s">
        <v>36</v>
      </c>
      <c r="H51" s="2" t="s">
        <v>37</v>
      </c>
      <c r="I51" s="2" t="s">
        <v>38</v>
      </c>
      <c r="J51" s="2">
        <v>30028</v>
      </c>
      <c r="K51" s="2" t="s">
        <v>21</v>
      </c>
      <c r="L51" s="3">
        <v>65000</v>
      </c>
      <c r="M51" s="2" t="s">
        <v>22</v>
      </c>
      <c r="N51" s="2" t="s">
        <v>169</v>
      </c>
      <c r="O51" s="2" t="s">
        <v>24</v>
      </c>
      <c r="P51" s="2" t="s">
        <v>25</v>
      </c>
      <c r="Q51" s="2" t="s">
        <v>26</v>
      </c>
    </row>
    <row r="52" spans="1:17" x14ac:dyDescent="0.25">
      <c r="A52" s="4">
        <v>53</v>
      </c>
      <c r="B52" s="9" t="s">
        <v>133</v>
      </c>
      <c r="C52" s="5">
        <v>44376</v>
      </c>
      <c r="D52" s="6" t="str">
        <f t="shared" si="27"/>
        <v>Junio</v>
      </c>
      <c r="E52" s="2" t="s">
        <v>44</v>
      </c>
      <c r="F52" s="2" t="s">
        <v>17</v>
      </c>
      <c r="G52" s="2" t="s">
        <v>36</v>
      </c>
      <c r="H52" s="2" t="s">
        <v>37</v>
      </c>
      <c r="I52" s="2" t="s">
        <v>38</v>
      </c>
      <c r="J52" s="2">
        <v>225159</v>
      </c>
      <c r="K52" s="2" t="s">
        <v>21</v>
      </c>
      <c r="L52" s="3">
        <v>90000</v>
      </c>
      <c r="M52" s="2" t="s">
        <v>39</v>
      </c>
      <c r="N52" s="2" t="s">
        <v>169</v>
      </c>
      <c r="O52" s="2" t="s">
        <v>24</v>
      </c>
      <c r="P52" s="2" t="s">
        <v>25</v>
      </c>
      <c r="Q52" s="2" t="s">
        <v>26</v>
      </c>
    </row>
    <row r="53" spans="1:17" x14ac:dyDescent="0.25">
      <c r="A53" s="4">
        <v>54</v>
      </c>
      <c r="B53" s="9" t="s">
        <v>134</v>
      </c>
      <c r="C53" s="5">
        <v>44376</v>
      </c>
      <c r="D53" s="6" t="str">
        <f t="shared" ref="D53" si="28">+TEXT(C53,"MMMM")</f>
        <v>Junio</v>
      </c>
      <c r="E53" s="2" t="s">
        <v>44</v>
      </c>
      <c r="F53" s="2" t="s">
        <v>17</v>
      </c>
      <c r="G53" s="2" t="s">
        <v>36</v>
      </c>
      <c r="H53" s="2" t="s">
        <v>37</v>
      </c>
      <c r="I53" s="2" t="s">
        <v>38</v>
      </c>
      <c r="J53" s="2">
        <v>225160</v>
      </c>
      <c r="K53" s="2" t="s">
        <v>21</v>
      </c>
      <c r="L53" s="3">
        <v>40000</v>
      </c>
      <c r="M53" s="2" t="s">
        <v>39</v>
      </c>
      <c r="N53" s="2" t="s">
        <v>23</v>
      </c>
      <c r="O53" s="2" t="s">
        <v>24</v>
      </c>
      <c r="P53" s="2" t="s">
        <v>25</v>
      </c>
      <c r="Q53" s="2" t="s">
        <v>26</v>
      </c>
    </row>
    <row r="54" spans="1:17" x14ac:dyDescent="0.25">
      <c r="A54" s="4">
        <v>55</v>
      </c>
      <c r="B54" s="9" t="s">
        <v>135</v>
      </c>
      <c r="C54" s="5">
        <v>44362</v>
      </c>
      <c r="D54" s="6" t="str">
        <f t="shared" ref="D54:D55" si="29">+TEXT(C54,"MMMM")</f>
        <v>Junio</v>
      </c>
      <c r="E54" s="2" t="s">
        <v>139</v>
      </c>
      <c r="F54" s="2" t="s">
        <v>41</v>
      </c>
      <c r="G54" s="2" t="s">
        <v>137</v>
      </c>
      <c r="H54" s="2" t="s">
        <v>136</v>
      </c>
      <c r="I54" s="2" t="s">
        <v>138</v>
      </c>
      <c r="J54" s="2" t="s">
        <v>140</v>
      </c>
      <c r="K54" s="2" t="s">
        <v>21</v>
      </c>
      <c r="L54" s="3">
        <v>107264</v>
      </c>
      <c r="M54" s="2" t="s">
        <v>33</v>
      </c>
      <c r="N54" s="2" t="s">
        <v>169</v>
      </c>
      <c r="O54" s="2" t="s">
        <v>24</v>
      </c>
      <c r="P54" s="2" t="s">
        <v>25</v>
      </c>
      <c r="Q54" s="2" t="s">
        <v>26</v>
      </c>
    </row>
    <row r="55" spans="1:17" x14ac:dyDescent="0.25">
      <c r="A55" s="4">
        <v>56</v>
      </c>
      <c r="B55" s="9" t="s">
        <v>141</v>
      </c>
      <c r="C55" s="5">
        <v>44383</v>
      </c>
      <c r="D55" s="6" t="str">
        <f t="shared" si="29"/>
        <v>Julio</v>
      </c>
      <c r="E55" s="2" t="s">
        <v>142</v>
      </c>
      <c r="F55" s="2" t="s">
        <v>17</v>
      </c>
      <c r="G55" s="2" t="s">
        <v>46</v>
      </c>
      <c r="H55" s="2" t="s">
        <v>47</v>
      </c>
      <c r="I55" s="2" t="s">
        <v>48</v>
      </c>
      <c r="J55" s="2">
        <v>14524</v>
      </c>
      <c r="K55" s="2" t="s">
        <v>21</v>
      </c>
      <c r="L55" s="3">
        <v>8000</v>
      </c>
      <c r="M55" s="2" t="s">
        <v>39</v>
      </c>
      <c r="N55" s="2" t="s">
        <v>23</v>
      </c>
      <c r="O55" s="2" t="s">
        <v>24</v>
      </c>
      <c r="P55" s="2" t="s">
        <v>25</v>
      </c>
      <c r="Q55" s="2" t="s">
        <v>26</v>
      </c>
    </row>
    <row r="56" spans="1:17" x14ac:dyDescent="0.25">
      <c r="A56" s="4">
        <v>57</v>
      </c>
      <c r="B56" s="9" t="s">
        <v>143</v>
      </c>
      <c r="C56" s="5">
        <v>44384</v>
      </c>
      <c r="D56" s="6" t="str">
        <f t="shared" ref="D56:D57" si="30">+TEXT(C56,"MMMM")</f>
        <v>Julio</v>
      </c>
      <c r="E56" s="2" t="s">
        <v>144</v>
      </c>
      <c r="F56" s="2" t="s">
        <v>17</v>
      </c>
      <c r="G56" s="2" t="s">
        <v>145</v>
      </c>
      <c r="H56" s="2" t="s">
        <v>146</v>
      </c>
      <c r="I56" s="2" t="s">
        <v>147</v>
      </c>
      <c r="J56" s="2">
        <v>4907</v>
      </c>
      <c r="K56" s="2" t="s">
        <v>21</v>
      </c>
      <c r="L56" s="3">
        <v>70000</v>
      </c>
      <c r="M56" s="2" t="s">
        <v>39</v>
      </c>
      <c r="N56" s="2" t="s">
        <v>23</v>
      </c>
      <c r="O56" s="2" t="s">
        <v>24</v>
      </c>
      <c r="P56" s="2" t="s">
        <v>25</v>
      </c>
      <c r="Q56" s="2" t="s">
        <v>26</v>
      </c>
    </row>
    <row r="57" spans="1:17" x14ac:dyDescent="0.25">
      <c r="A57" s="4">
        <v>58</v>
      </c>
      <c r="B57" s="9" t="s">
        <v>148</v>
      </c>
      <c r="C57" s="5">
        <v>44435</v>
      </c>
      <c r="D57" s="6" t="str">
        <f t="shared" si="30"/>
        <v>Agosto</v>
      </c>
      <c r="E57" s="2" t="s">
        <v>142</v>
      </c>
      <c r="F57" s="2" t="s">
        <v>17</v>
      </c>
      <c r="G57" s="2" t="s">
        <v>46</v>
      </c>
      <c r="H57" s="2" t="s">
        <v>47</v>
      </c>
      <c r="I57" s="2" t="s">
        <v>48</v>
      </c>
      <c r="J57" s="2">
        <v>16600</v>
      </c>
      <c r="K57" s="2" t="s">
        <v>21</v>
      </c>
      <c r="L57" s="3">
        <v>85000</v>
      </c>
      <c r="M57" s="2" t="s">
        <v>39</v>
      </c>
      <c r="N57" s="2" t="s">
        <v>23</v>
      </c>
      <c r="O57" s="2" t="s">
        <v>24</v>
      </c>
      <c r="P57" s="2" t="s">
        <v>25</v>
      </c>
      <c r="Q57" s="2" t="s">
        <v>26</v>
      </c>
    </row>
    <row r="58" spans="1:17" x14ac:dyDescent="0.25">
      <c r="A58" s="4">
        <v>59</v>
      </c>
      <c r="B58" s="9" t="s">
        <v>149</v>
      </c>
      <c r="C58" s="5">
        <v>44449</v>
      </c>
      <c r="D58" s="6" t="str">
        <f t="shared" ref="D58:D59" si="31">+TEXT(C58,"MMMM")</f>
        <v>Septiembre</v>
      </c>
      <c r="E58" s="2" t="s">
        <v>142</v>
      </c>
      <c r="F58" s="2" t="s">
        <v>17</v>
      </c>
      <c r="G58" s="2" t="s">
        <v>46</v>
      </c>
      <c r="H58" s="2" t="s">
        <v>47</v>
      </c>
      <c r="I58" s="2" t="s">
        <v>48</v>
      </c>
      <c r="J58" s="2">
        <v>17130</v>
      </c>
      <c r="K58" s="2" t="s">
        <v>21</v>
      </c>
      <c r="L58" s="3">
        <v>170000</v>
      </c>
      <c r="M58" s="2" t="s">
        <v>39</v>
      </c>
      <c r="N58" s="2" t="s">
        <v>169</v>
      </c>
      <c r="O58" s="2" t="s">
        <v>24</v>
      </c>
      <c r="P58" s="2" t="s">
        <v>25</v>
      </c>
      <c r="Q58" s="2" t="s">
        <v>26</v>
      </c>
    </row>
    <row r="59" spans="1:17" x14ac:dyDescent="0.25">
      <c r="A59" s="4">
        <v>60</v>
      </c>
      <c r="B59" s="9" t="s">
        <v>150</v>
      </c>
      <c r="C59" s="5">
        <v>44448</v>
      </c>
      <c r="D59" s="6" t="str">
        <f t="shared" si="31"/>
        <v>Septiembre</v>
      </c>
      <c r="E59" s="2" t="s">
        <v>142</v>
      </c>
      <c r="F59" s="2" t="s">
        <v>17</v>
      </c>
      <c r="G59" s="2" t="s">
        <v>46</v>
      </c>
      <c r="H59" s="2" t="s">
        <v>47</v>
      </c>
      <c r="I59" s="2" t="s">
        <v>48</v>
      </c>
      <c r="J59" s="2">
        <v>17118</v>
      </c>
      <c r="K59" s="2" t="s">
        <v>21</v>
      </c>
      <c r="L59" s="3">
        <v>190000</v>
      </c>
      <c r="M59" s="2" t="s">
        <v>39</v>
      </c>
      <c r="N59" s="2" t="s">
        <v>23</v>
      </c>
      <c r="O59" s="2" t="s">
        <v>24</v>
      </c>
      <c r="P59" s="2" t="s">
        <v>25</v>
      </c>
      <c r="Q59" s="2" t="s">
        <v>26</v>
      </c>
    </row>
    <row r="60" spans="1:17" x14ac:dyDescent="0.25">
      <c r="A60" s="4">
        <v>61</v>
      </c>
      <c r="B60" s="9" t="s">
        <v>152</v>
      </c>
      <c r="C60" s="5">
        <v>44478</v>
      </c>
      <c r="D60" s="6" t="str">
        <f t="shared" ref="D60:D61" si="32">+TEXT(C60,"MMMM")</f>
        <v>Octubre</v>
      </c>
      <c r="E60" s="2" t="s">
        <v>72</v>
      </c>
      <c r="F60" s="2" t="s">
        <v>54</v>
      </c>
      <c r="G60" s="2" t="s">
        <v>153</v>
      </c>
      <c r="H60" s="2" t="s">
        <v>151</v>
      </c>
      <c r="I60" s="2" t="s">
        <v>75</v>
      </c>
      <c r="J60" s="2">
        <v>5037</v>
      </c>
      <c r="K60" s="2" t="s">
        <v>21</v>
      </c>
      <c r="L60" s="3">
        <v>37730</v>
      </c>
      <c r="M60" s="2" t="s">
        <v>22</v>
      </c>
      <c r="N60" s="2" t="s">
        <v>169</v>
      </c>
      <c r="O60" s="2" t="s">
        <v>24</v>
      </c>
      <c r="P60" s="2" t="s">
        <v>25</v>
      </c>
      <c r="Q60" s="2" t="s">
        <v>26</v>
      </c>
    </row>
    <row r="61" spans="1:17" x14ac:dyDescent="0.25">
      <c r="A61" s="4">
        <v>62</v>
      </c>
      <c r="B61" s="9" t="s">
        <v>154</v>
      </c>
      <c r="C61" s="5">
        <v>44478</v>
      </c>
      <c r="D61" s="6" t="str">
        <f t="shared" si="32"/>
        <v>Octubre</v>
      </c>
      <c r="E61" s="2" t="s">
        <v>155</v>
      </c>
      <c r="F61" s="2" t="s">
        <v>85</v>
      </c>
      <c r="G61" s="2" t="s">
        <v>35</v>
      </c>
      <c r="H61" s="2" t="s">
        <v>86</v>
      </c>
      <c r="I61" s="2" t="s">
        <v>31</v>
      </c>
      <c r="J61" s="2" t="s">
        <v>32</v>
      </c>
      <c r="K61" s="2" t="s">
        <v>21</v>
      </c>
      <c r="L61" s="3">
        <v>2800</v>
      </c>
      <c r="M61" s="2" t="s">
        <v>33</v>
      </c>
      <c r="N61" s="2" t="s">
        <v>23</v>
      </c>
      <c r="O61" s="2" t="s">
        <v>24</v>
      </c>
      <c r="P61" s="2" t="s">
        <v>25</v>
      </c>
      <c r="Q61" s="2" t="s">
        <v>26</v>
      </c>
    </row>
    <row r="62" spans="1:17" x14ac:dyDescent="0.25">
      <c r="A62" s="4">
        <v>63</v>
      </c>
      <c r="B62" s="9" t="s">
        <v>159</v>
      </c>
      <c r="C62" s="5">
        <v>44478</v>
      </c>
      <c r="D62" s="6" t="str">
        <f t="shared" ref="D62:D64" si="33">+TEXT(C62,"MMMM")</f>
        <v>Octubre</v>
      </c>
      <c r="E62" s="2" t="s">
        <v>157</v>
      </c>
      <c r="F62" s="2" t="s">
        <v>27</v>
      </c>
      <c r="G62" s="2" t="s">
        <v>158</v>
      </c>
      <c r="H62" s="2" t="s">
        <v>156</v>
      </c>
      <c r="I62" s="2" t="s">
        <v>28</v>
      </c>
      <c r="J62" s="2">
        <v>1667354</v>
      </c>
      <c r="K62" s="2" t="s">
        <v>21</v>
      </c>
      <c r="L62" s="3">
        <v>16502</v>
      </c>
      <c r="M62" s="2" t="s">
        <v>22</v>
      </c>
      <c r="N62" s="2" t="s">
        <v>23</v>
      </c>
      <c r="O62" s="2" t="s">
        <v>24</v>
      </c>
      <c r="P62" s="2" t="s">
        <v>25</v>
      </c>
      <c r="Q62" s="2" t="s">
        <v>26</v>
      </c>
    </row>
    <row r="63" spans="1:17" x14ac:dyDescent="0.25">
      <c r="A63" s="4">
        <v>64</v>
      </c>
      <c r="B63" s="9" t="s">
        <v>160</v>
      </c>
      <c r="C63" s="5">
        <v>44478</v>
      </c>
      <c r="D63" s="6" t="str">
        <f t="shared" si="33"/>
        <v>Octubre</v>
      </c>
      <c r="E63" s="2" t="s">
        <v>157</v>
      </c>
      <c r="F63" s="2" t="s">
        <v>27</v>
      </c>
      <c r="G63" s="2" t="s">
        <v>55</v>
      </c>
      <c r="H63" s="2" t="s">
        <v>95</v>
      </c>
      <c r="I63" s="2" t="s">
        <v>28</v>
      </c>
      <c r="J63" s="2">
        <v>330665880</v>
      </c>
      <c r="K63" s="2" t="s">
        <v>21</v>
      </c>
      <c r="L63" s="3">
        <v>20004</v>
      </c>
      <c r="M63" s="2" t="s">
        <v>22</v>
      </c>
      <c r="N63" s="2" t="s">
        <v>169</v>
      </c>
      <c r="O63" s="2" t="s">
        <v>24</v>
      </c>
      <c r="P63" s="2" t="s">
        <v>25</v>
      </c>
      <c r="Q63" s="2" t="s">
        <v>26</v>
      </c>
    </row>
    <row r="64" spans="1:17" x14ac:dyDescent="0.25">
      <c r="A64" s="4">
        <v>65</v>
      </c>
      <c r="B64" s="9" t="s">
        <v>161</v>
      </c>
      <c r="C64" s="5">
        <v>44478</v>
      </c>
      <c r="D64" s="6" t="str">
        <f t="shared" si="33"/>
        <v>Octubre</v>
      </c>
      <c r="E64" s="2" t="s">
        <v>155</v>
      </c>
      <c r="F64" s="2" t="s">
        <v>30</v>
      </c>
      <c r="G64" s="2" t="s">
        <v>50</v>
      </c>
      <c r="H64" s="2" t="s">
        <v>51</v>
      </c>
      <c r="I64" s="2" t="s">
        <v>31</v>
      </c>
      <c r="J64" s="2" t="s">
        <v>32</v>
      </c>
      <c r="K64" s="2" t="s">
        <v>21</v>
      </c>
      <c r="L64" s="3">
        <v>2300</v>
      </c>
      <c r="M64" s="2" t="s">
        <v>33</v>
      </c>
      <c r="N64" s="2" t="s">
        <v>23</v>
      </c>
      <c r="O64" s="2" t="s">
        <v>24</v>
      </c>
      <c r="P64" s="2" t="s">
        <v>25</v>
      </c>
      <c r="Q64" s="2" t="s">
        <v>26</v>
      </c>
    </row>
    <row r="65" spans="1:17" x14ac:dyDescent="0.25">
      <c r="A65" s="4">
        <v>66</v>
      </c>
      <c r="B65" s="9" t="s">
        <v>162</v>
      </c>
      <c r="C65" s="5">
        <v>44480</v>
      </c>
      <c r="D65" s="6" t="str">
        <f t="shared" ref="D65:D68" si="34">+TEXT(C65,"MMMM")</f>
        <v>Octubre</v>
      </c>
      <c r="E65" s="2" t="s">
        <v>157</v>
      </c>
      <c r="F65" s="2" t="s">
        <v>27</v>
      </c>
      <c r="G65" s="2" t="s">
        <v>163</v>
      </c>
      <c r="H65" s="2" t="s">
        <v>164</v>
      </c>
      <c r="I65" s="2" t="s">
        <v>28</v>
      </c>
      <c r="J65" s="2">
        <v>63781</v>
      </c>
      <c r="K65" s="2" t="s">
        <v>21</v>
      </c>
      <c r="L65" s="3">
        <v>24021</v>
      </c>
      <c r="M65" s="2" t="s">
        <v>22</v>
      </c>
      <c r="N65" s="2" t="s">
        <v>169</v>
      </c>
      <c r="O65" s="2" t="s">
        <v>24</v>
      </c>
      <c r="P65" s="2" t="s">
        <v>25</v>
      </c>
      <c r="Q65" s="2" t="s">
        <v>26</v>
      </c>
    </row>
    <row r="66" spans="1:17" x14ac:dyDescent="0.25">
      <c r="A66" s="4">
        <v>67</v>
      </c>
      <c r="B66" s="9" t="s">
        <v>165</v>
      </c>
      <c r="C66" s="5">
        <v>44480</v>
      </c>
      <c r="D66" s="6" t="str">
        <f t="shared" si="34"/>
        <v>Octubre</v>
      </c>
      <c r="E66" s="2" t="s">
        <v>155</v>
      </c>
      <c r="F66" s="2" t="s">
        <v>30</v>
      </c>
      <c r="G66" s="2" t="s">
        <v>50</v>
      </c>
      <c r="H66" s="2" t="s">
        <v>51</v>
      </c>
      <c r="I66" s="2" t="s">
        <v>31</v>
      </c>
      <c r="J66" s="2" t="s">
        <v>32</v>
      </c>
      <c r="K66" s="2" t="s">
        <v>21</v>
      </c>
      <c r="L66" s="3">
        <v>2300</v>
      </c>
      <c r="M66" s="2" t="s">
        <v>33</v>
      </c>
      <c r="N66" s="2" t="s">
        <v>23</v>
      </c>
      <c r="O66" s="2" t="s">
        <v>24</v>
      </c>
      <c r="P66" s="2" t="s">
        <v>25</v>
      </c>
      <c r="Q66" s="2" t="s">
        <v>26</v>
      </c>
    </row>
    <row r="67" spans="1:17" x14ac:dyDescent="0.25">
      <c r="A67" s="4">
        <v>68</v>
      </c>
      <c r="B67" s="9" t="s">
        <v>166</v>
      </c>
      <c r="C67" s="5">
        <v>44480</v>
      </c>
      <c r="D67" s="6" t="str">
        <f t="shared" si="34"/>
        <v>Octubre</v>
      </c>
      <c r="E67" s="2" t="s">
        <v>155</v>
      </c>
      <c r="F67" s="2" t="s">
        <v>85</v>
      </c>
      <c r="G67" s="2" t="s">
        <v>35</v>
      </c>
      <c r="H67" s="2" t="s">
        <v>86</v>
      </c>
      <c r="I67" s="2" t="s">
        <v>31</v>
      </c>
      <c r="J67" s="2" t="s">
        <v>32</v>
      </c>
      <c r="K67" s="2" t="s">
        <v>21</v>
      </c>
      <c r="L67" s="3">
        <v>2800</v>
      </c>
      <c r="M67" s="2" t="s">
        <v>33</v>
      </c>
      <c r="N67" s="2" t="s">
        <v>23</v>
      </c>
      <c r="O67" s="2" t="s">
        <v>24</v>
      </c>
      <c r="P67" s="2" t="s">
        <v>25</v>
      </c>
      <c r="Q67" s="2" t="s">
        <v>26</v>
      </c>
    </row>
    <row r="68" spans="1:17" x14ac:dyDescent="0.25">
      <c r="A68" s="4">
        <v>69</v>
      </c>
      <c r="B68" s="9" t="s">
        <v>168</v>
      </c>
      <c r="C68" s="5">
        <v>44489</v>
      </c>
      <c r="D68" s="6" t="str">
        <f t="shared" si="34"/>
        <v>Octubre</v>
      </c>
      <c r="E68" s="2" t="s">
        <v>167</v>
      </c>
      <c r="F68" s="2" t="s">
        <v>17</v>
      </c>
      <c r="G68" s="2" t="s">
        <v>36</v>
      </c>
      <c r="H68" s="2" t="s">
        <v>37</v>
      </c>
      <c r="I68" s="2" t="s">
        <v>38</v>
      </c>
      <c r="J68" s="2">
        <v>16639</v>
      </c>
      <c r="K68" s="2" t="s">
        <v>21</v>
      </c>
      <c r="L68" s="3">
        <v>50000</v>
      </c>
      <c r="M68" s="2" t="s">
        <v>39</v>
      </c>
      <c r="N68" s="2" t="s">
        <v>169</v>
      </c>
      <c r="O68" s="2" t="s">
        <v>24</v>
      </c>
      <c r="P68" s="2" t="s">
        <v>25</v>
      </c>
      <c r="Q68" s="2" t="s">
        <v>26</v>
      </c>
    </row>
    <row r="70" spans="1:17" x14ac:dyDescent="0.25">
      <c r="L70" s="8">
        <f>+SUM(L2:L68)</f>
        <v>1883370</v>
      </c>
    </row>
  </sheetData>
  <autoFilter ref="A1:Q68" xr:uid="{00000000-0001-0000-0000-000000000000}"/>
  <dataValidations count="3">
    <dataValidation type="list" allowBlank="1" showInputMessage="1" showErrorMessage="1" sqref="P25:P26 P23 P2 P28 P30:P31 P33 P36:P37 P39:P42 P45 P63 P65" xr:uid="{E5FC7C09-265C-4C81-A9E3-A2E38AACCC54}">
      <formula1>"1.- Aceptado, 2.- Aceptado Extemporaneo, 3.- Observado, 4.- Sin Respaldo, 5.- No Aceptado"</formula1>
    </dataValidation>
    <dataValidation type="list" allowBlank="1" showInputMessage="1" showErrorMessage="1" sqref="P3:P22 P24 P27 P29 P32 P34:P35 P38 P43:P44 P46:P62 P64 P66:P68" xr:uid="{AA4B7D82-EC7C-42CE-B8CD-215097422691}">
      <formula1>"1.- Aceptado, 2.- Aceptado Extemporaneo, 3.- Aceptado no considerado, 4.- Observado, 5.- Sin Respaldo, 6.- No Aceptado"</formula1>
    </dataValidation>
    <dataValidation type="list" allowBlank="1" showInputMessage="1" showErrorMessage="1" sqref="K2:K68" xr:uid="{72104C77-5A1A-41F5-B9A8-F97BB641EE1E}">
      <formula1>"1.- Contado, 2.- Transferencia Bancaria, 3.- Cartola bancaria, 4.- Credito hipotecario, 5.- Otros"</formula1>
    </dataValidation>
  </dataValidation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Rend. Gastos Ene-Dic (Con Resp)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Soto</dc:creator>
  <cp:lastModifiedBy>RASB</cp:lastModifiedBy>
  <dcterms:created xsi:type="dcterms:W3CDTF">2015-06-05T18:17:20Z</dcterms:created>
  <dcterms:modified xsi:type="dcterms:W3CDTF">2022-04-15T17:32:07Z</dcterms:modified>
</cp:coreProperties>
</file>
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Desarrollos Ecox 2025\Contabilidades\03. Contable Parque Sur SpA\"/>
    </mc:Choice>
  </mc:AlternateContent>
  <xr:revisionPtr revIDLastSave="0" documentId="8_{ABBF2DBE-A88B-4B61-BD59-A2DA4202FAA0}" xr6:coauthVersionLast="47" xr6:coauthVersionMax="47" xr10:uidLastSave="{00000000-0000-0000-0000-000000000000}"/>
  <bookViews>
    <workbookView xWindow="-120" yWindow="-120" windowWidth="29040" windowHeight="15840" xr2:uid="{8E9C191C-85B2-4557-AEFE-EF0B81C11C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D41" i="1" s="1"/>
  <c r="G11" i="1"/>
  <c r="G33" i="1"/>
  <c r="D36" i="1"/>
  <c r="D13" i="1" l="1"/>
</calcChain>
</file>

<file path=xl/sharedStrings.xml><?xml version="1.0" encoding="utf-8"?>
<sst xmlns="http://schemas.openxmlformats.org/spreadsheetml/2006/main" count="85" uniqueCount="50">
  <si>
    <t>RECUADRO N° 17: BASE IMPONIBLE RÉGIMEN PRO PYME (ART. 14 LETRA D) N° 3 LIR)</t>
  </si>
  <si>
    <t>PERCIBIDO O PAGADO</t>
  </si>
  <si>
    <t xml:space="preserve">Ingresos del giro percibidos </t>
  </si>
  <si>
    <t>+</t>
  </si>
  <si>
    <t>Rentas de fuente extranjera percibidas</t>
  </si>
  <si>
    <t>Intereses y reajustes percibidos por préstamos y otros</t>
  </si>
  <si>
    <t>Mayor valor percibido por rescate o enajenación de inversiones o bienes no depreciables</t>
  </si>
  <si>
    <t>Ingresos percibidos o devengados por operaciones con empresas relacionadas del art. 14 letra A) LIR</t>
  </si>
  <si>
    <t>Otros ingresos percibidos o devengados</t>
  </si>
  <si>
    <t>Ingreso diferido imputado en el ejercicio, debidamente incrementado y reajustado cuando corresponda</t>
  </si>
  <si>
    <t>Crédito sobre activos fijos adquiridos en el ejercicio (art. 33 bis LIR)</t>
  </si>
  <si>
    <t>Total de ingresos anuales</t>
  </si>
  <si>
    <t>=</t>
  </si>
  <si>
    <t>Gasto por saldo inicial de existencias o insumos del negocio en cambio de régimen, pagados</t>
  </si>
  <si>
    <t>-</t>
  </si>
  <si>
    <t>Gasto por saldo inicial de activos fijos depreciables en cambio de régimen, pagados</t>
  </si>
  <si>
    <t>Gasto por pérdida tributaria en cambio de régimen</t>
  </si>
  <si>
    <t>Existencias, insumos y servicios del negocio, pagados</t>
  </si>
  <si>
    <t>Gastos de rentas de fuente extranjera, pagados</t>
  </si>
  <si>
    <t>Remuneraciones pagadas</t>
  </si>
  <si>
    <t>Honorarios pagados</t>
  </si>
  <si>
    <t>Adquisición de bienes del activo fijo, pagados</t>
  </si>
  <si>
    <t>Arriendos pagados</t>
  </si>
  <si>
    <t>Gastos por exigencias medio ambientales, pagados</t>
  </si>
  <si>
    <t>Gastos por inversión privada en investigación y desarrollo no certificados por CORFO</t>
  </si>
  <si>
    <t>Gastos por inversión privada en investigación y desarrollo certificados por CORFO</t>
  </si>
  <si>
    <t>Intereses y reajustes pagados por préstamos y otros</t>
  </si>
  <si>
    <t>Partidas del art. 21 inc. 1° y 3° LIR pagados</t>
  </si>
  <si>
    <t>Partidas del art. 21 inc. 1° no afectados con IU 40% y del inc. 2° LIR pagados</t>
  </si>
  <si>
    <t>Pérdida en rescate o enajenación de inversiones o bienes no depreciables</t>
  </si>
  <si>
    <t>Otros gastos deducibles de los ingresos</t>
  </si>
  <si>
    <t>Gastos o egresos pagados o adeudados por operaciones con empresas relacionadas del art. 14 letra A) LIR</t>
  </si>
  <si>
    <t>Pérdidas tributarias de ejercicios anteriores</t>
  </si>
  <si>
    <t>Créditos incobrables castigados en el ejercicio (reconocidos sobre ingresos devengados)</t>
  </si>
  <si>
    <t>Gastos aceptados por donaciones</t>
  </si>
  <si>
    <t>Total de egresos anuales</t>
  </si>
  <si>
    <t>Partidas del inc. 1° no afectas al IU de tasa 40% y del inc. 2° del art. 21 LIR (históricos), incluidos en el total de egresos</t>
  </si>
  <si>
    <t>Base imponible antes de rebaja por incentivo al ahorro (art. 14 letra E) LIR) y/o por pago de IDPC voluntario (art. 14 letra A) N°6 LIR y art. 42° transitorio Ley N° 21.210) o pérdida tributaria</t>
  </si>
  <si>
    <t>Incentivo al ahorro según art. 14 letra E) LIR</t>
  </si>
  <si>
    <t>Base del IDPC voluntario según  art. 14 letra A) N°  6 LIR y art. 42° transitorio Ley N° 21.210</t>
  </si>
  <si>
    <t>Base Imponible afecta a IDPC o pérdida tributaria del ejercicio</t>
  </si>
  <si>
    <t>Ingresos del giro devengados en ejercicios anteriores y percibidos en el ejercicio actual</t>
  </si>
  <si>
    <t>Existencias, insumos y servicios del negocio adeudados en ejercicios anteriores y pagados en el ejercicio actual</t>
  </si>
  <si>
    <t>depreciacion</t>
  </si>
  <si>
    <t>otros ingresos</t>
  </si>
  <si>
    <t>maquinaria pagada año 2025</t>
  </si>
  <si>
    <t>capital pagado leasing durante 2025</t>
  </si>
  <si>
    <t>otros gastos deducibles</t>
  </si>
  <si>
    <t xml:space="preserve">(en éste régimen no corresponde agregar la depreciacion va incluido en la  resultado del balance como un gastos, </t>
  </si>
  <si>
    <t>por ende ya queda  en el resultado de la base imponible, a usted le hicieron el calculo de acuerdo a un 14A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</si>
</sst>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\ _$_-;\-* #,##0.00\ _$_-;_-* &quot;-&quot;??\ _$_-;_-@_-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6" fillId="4" borderId="0" applyNumberFormat="0" applyBorder="0" applyAlignment="0" applyProtection="0"/>
  </cellStyleXfs>
  <cellXfs count="21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5" fillId="0" borderId="0" xfId="0" applyFont="1" applyAlignment="1">
      <alignment horizontal="center"/>
    </xf>
    <xf numFmtId="165" fontId="2" fillId="0" borderId="0" xfId="1" applyNumberFormat="1" applyFont="1"/>
    <xf numFmtId="0" fontId="2" fillId="0" borderId="2" xfId="0" applyFont="1" applyBorder="1"/>
    <xf numFmtId="0" fontId="2" fillId="0" borderId="3" xfId="0" applyFont="1" applyBorder="1"/>
    <xf numFmtId="165" fontId="2" fillId="0" borderId="3" xfId="1" applyNumberFormat="1" applyFont="1" applyBorder="1"/>
    <xf numFmtId="0" fontId="5" fillId="0" borderId="4" xfId="0" applyFont="1" applyBorder="1" applyAlignment="1">
      <alignment horizontal="center"/>
    </xf>
    <xf numFmtId="0" fontId="2" fillId="0" borderId="7" xfId="0" applyFont="1" applyBorder="1"/>
    <xf numFmtId="165" fontId="2" fillId="0" borderId="7" xfId="1" applyNumberFormat="1" applyFont="1" applyBorder="1"/>
    <xf numFmtId="165" fontId="0" fillId="2" borderId="5" xfId="1" applyNumberFormat="1" applyFont="1" applyFill="1" applyBorder="1"/>
    <xf numFmtId="165" fontId="0" fillId="2" borderId="6" xfId="1" applyNumberFormat="1" applyFont="1" applyFill="1" applyBorder="1"/>
    <xf numFmtId="165" fontId="2" fillId="2" borderId="1" xfId="1" applyNumberFormat="1" applyFont="1" applyFill="1" applyBorder="1"/>
    <xf numFmtId="165" fontId="0" fillId="3" borderId="0" xfId="1" applyNumberFormat="1" applyFont="1" applyFill="1"/>
    <xf numFmtId="165" fontId="1" fillId="3" borderId="5" xfId="1" applyNumberFormat="1" applyFont="1" applyFill="1" applyBorder="1"/>
    <xf numFmtId="165" fontId="1" fillId="3" borderId="6" xfId="1" applyNumberFormat="1" applyFont="1" applyFill="1" applyBorder="1"/>
    <xf numFmtId="165" fontId="2" fillId="3" borderId="1" xfId="1" applyNumberFormat="1" applyFont="1" applyFill="1" applyBorder="1"/>
    <xf numFmtId="0" fontId="2" fillId="2" borderId="0" xfId="0" applyFont="1" applyFill="1"/>
    <xf numFmtId="165" fontId="6" fillId="4" borderId="0" xfId="4" applyNumberFormat="1"/>
    <xf numFmtId="165" fontId="6" fillId="4" borderId="3" xfId="4" applyNumberFormat="1" applyBorder="1"/>
  </cellXfs>
  <cellStyles count="5">
    <cellStyle name="Accent6" xfId="4" builtinId="49"/>
    <cellStyle name="Comma" xfId="1" builtinId="3"/>
    <cellStyle name="Millares 3" xfId="2" xr:uid="{A796EC01-D784-4291-B11F-52ED521B8596}"/>
    <cellStyle name="Normal" xfId="0" builtinId="0"/>
    <cellStyle name="Normal 2 3" xfId="3" xr:uid="{B0774EEB-3431-4D29-8E0B-C2735BFFC8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7257-EB0E-4BE7-A7F0-00A377871E2C}">
  <dimension ref="B1:P42"/>
  <sheetViews>
    <sheetView showGridLines="0" tabSelected="1" workbookViewId="0">
      <selection activeCell="I40" sqref="I40"/>
    </sheetView>
  </sheetViews>
  <sheetFormatPr defaultColWidth="11.42578125" defaultRowHeight="15.75" x14ac:dyDescent="0.25"/>
  <cols>
    <col min="1" max="1" width="2.140625" customWidth="1"/>
    <col min="2" max="2" width="91.140625" customWidth="1"/>
    <col min="4" max="4" width="21.85546875" style="2" customWidth="1"/>
    <col min="5" max="5" width="9.28515625" style="3" customWidth="1"/>
    <col min="6" max="6" width="2.7109375" customWidth="1"/>
    <col min="7" max="7" width="14.7109375" bestFit="1" customWidth="1"/>
    <col min="16" max="16" width="16.42578125" customWidth="1"/>
  </cols>
  <sheetData>
    <row r="1" spans="2:16" x14ac:dyDescent="0.25">
      <c r="B1" s="1" t="s">
        <v>0</v>
      </c>
    </row>
    <row r="3" spans="2:16" x14ac:dyDescent="0.25">
      <c r="D3" s="4" t="s">
        <v>1</v>
      </c>
    </row>
    <row r="4" spans="2:16" x14ac:dyDescent="0.25">
      <c r="B4" t="s">
        <v>2</v>
      </c>
      <c r="C4">
        <v>1400</v>
      </c>
      <c r="D4" s="19">
        <v>279854023</v>
      </c>
      <c r="E4" s="3" t="s">
        <v>3</v>
      </c>
    </row>
    <row r="5" spans="2:16" x14ac:dyDescent="0.25">
      <c r="B5" t="s">
        <v>41</v>
      </c>
      <c r="C5">
        <v>1817</v>
      </c>
      <c r="E5" s="3" t="s">
        <v>3</v>
      </c>
    </row>
    <row r="6" spans="2:16" x14ac:dyDescent="0.25">
      <c r="B6" t="s">
        <v>4</v>
      </c>
      <c r="C6">
        <v>1401</v>
      </c>
      <c r="E6" s="3" t="s">
        <v>3</v>
      </c>
    </row>
    <row r="7" spans="2:16" x14ac:dyDescent="0.25">
      <c r="B7" t="s">
        <v>5</v>
      </c>
      <c r="C7">
        <v>1402</v>
      </c>
      <c r="E7" s="3" t="s">
        <v>3</v>
      </c>
      <c r="G7" s="2"/>
    </row>
    <row r="8" spans="2:16" x14ac:dyDescent="0.25">
      <c r="B8" t="s">
        <v>6</v>
      </c>
      <c r="C8">
        <v>1403</v>
      </c>
      <c r="E8" s="3" t="s">
        <v>3</v>
      </c>
      <c r="G8" s="2"/>
    </row>
    <row r="9" spans="2:16" x14ac:dyDescent="0.25">
      <c r="B9" t="s">
        <v>7</v>
      </c>
      <c r="C9">
        <v>1587</v>
      </c>
      <c r="E9" s="3" t="s">
        <v>3</v>
      </c>
      <c r="G9" s="11">
        <v>847875</v>
      </c>
      <c r="H9" t="s">
        <v>44</v>
      </c>
    </row>
    <row r="10" spans="2:16" x14ac:dyDescent="0.25">
      <c r="B10" t="s">
        <v>8</v>
      </c>
      <c r="C10">
        <v>1588</v>
      </c>
      <c r="D10" s="19">
        <v>74488683</v>
      </c>
      <c r="E10" s="3" t="s">
        <v>3</v>
      </c>
      <c r="G10" s="12">
        <v>73640808</v>
      </c>
      <c r="H10" s="18" t="s">
        <v>43</v>
      </c>
      <c r="I10" s="18" t="s">
        <v>48</v>
      </c>
      <c r="J10" s="18"/>
      <c r="K10" s="18"/>
      <c r="L10" s="18"/>
      <c r="M10" s="18"/>
      <c r="N10" s="18"/>
      <c r="O10" s="18"/>
      <c r="P10" s="18"/>
    </row>
    <row r="11" spans="2:16" x14ac:dyDescent="0.25">
      <c r="B11" t="s">
        <v>9</v>
      </c>
      <c r="C11">
        <v>1404</v>
      </c>
      <c r="E11" s="3" t="s">
        <v>3</v>
      </c>
      <c r="G11" s="13">
        <f>SUM(G9:G10)</f>
        <v>74488683</v>
      </c>
      <c r="H11" s="18"/>
      <c r="I11" s="18" t="s">
        <v>49</v>
      </c>
      <c r="J11" s="18"/>
      <c r="K11" s="18"/>
      <c r="L11" s="18"/>
      <c r="M11" s="18"/>
      <c r="N11" s="18"/>
      <c r="O11" s="18"/>
      <c r="P11" s="18"/>
    </row>
    <row r="12" spans="2:16" x14ac:dyDescent="0.25">
      <c r="B12" t="s">
        <v>10</v>
      </c>
      <c r="C12">
        <v>1405</v>
      </c>
      <c r="E12" s="3" t="s">
        <v>3</v>
      </c>
      <c r="G12" s="2"/>
    </row>
    <row r="13" spans="2:16" x14ac:dyDescent="0.25">
      <c r="B13" s="5" t="s">
        <v>11</v>
      </c>
      <c r="C13" s="6">
        <v>1410</v>
      </c>
      <c r="D13" s="20">
        <f>SUM(D4:D12)</f>
        <v>354342706</v>
      </c>
      <c r="E13" s="8" t="s">
        <v>12</v>
      </c>
    </row>
    <row r="14" spans="2:16" x14ac:dyDescent="0.25">
      <c r="B14" t="s">
        <v>13</v>
      </c>
      <c r="C14">
        <v>1406</v>
      </c>
      <c r="E14" s="3" t="s">
        <v>14</v>
      </c>
    </row>
    <row r="15" spans="2:16" x14ac:dyDescent="0.25">
      <c r="B15" t="s">
        <v>15</v>
      </c>
      <c r="C15">
        <v>1407</v>
      </c>
      <c r="E15" s="3" t="s">
        <v>14</v>
      </c>
    </row>
    <row r="16" spans="2:16" x14ac:dyDescent="0.25">
      <c r="B16" t="s">
        <v>16</v>
      </c>
      <c r="C16">
        <v>1408</v>
      </c>
      <c r="E16" s="3" t="s">
        <v>14</v>
      </c>
    </row>
    <row r="17" spans="2:8" x14ac:dyDescent="0.25">
      <c r="B17" t="s">
        <v>17</v>
      </c>
      <c r="C17">
        <v>1409</v>
      </c>
      <c r="E17" s="3" t="s">
        <v>14</v>
      </c>
    </row>
    <row r="18" spans="2:8" x14ac:dyDescent="0.25">
      <c r="B18" t="s">
        <v>42</v>
      </c>
      <c r="C18">
        <v>1818</v>
      </c>
      <c r="E18" s="3" t="s">
        <v>14</v>
      </c>
    </row>
    <row r="19" spans="2:8" x14ac:dyDescent="0.25">
      <c r="B19" t="s">
        <v>18</v>
      </c>
      <c r="C19">
        <v>1429</v>
      </c>
      <c r="E19" s="3" t="s">
        <v>14</v>
      </c>
    </row>
    <row r="20" spans="2:8" x14ac:dyDescent="0.25">
      <c r="B20" t="s">
        <v>19</v>
      </c>
      <c r="C20">
        <v>1411</v>
      </c>
      <c r="D20" s="2">
        <v>-30064669</v>
      </c>
      <c r="E20" s="3" t="s">
        <v>14</v>
      </c>
    </row>
    <row r="21" spans="2:8" x14ac:dyDescent="0.25">
      <c r="B21" t="s">
        <v>20</v>
      </c>
      <c r="C21">
        <v>1412</v>
      </c>
      <c r="D21" s="2">
        <v>-226103</v>
      </c>
      <c r="E21" s="3" t="s">
        <v>14</v>
      </c>
    </row>
    <row r="22" spans="2:8" x14ac:dyDescent="0.25">
      <c r="B22" s="1" t="s">
        <v>21</v>
      </c>
      <c r="C22" s="1">
        <v>1413</v>
      </c>
      <c r="D22" s="4">
        <v>-201397109</v>
      </c>
      <c r="E22" s="3" t="s">
        <v>14</v>
      </c>
      <c r="F22" s="1" t="s">
        <v>45</v>
      </c>
      <c r="G22" s="1"/>
    </row>
    <row r="23" spans="2:8" x14ac:dyDescent="0.25">
      <c r="B23" t="s">
        <v>22</v>
      </c>
      <c r="C23">
        <v>1415</v>
      </c>
      <c r="D23" s="2">
        <v>-4202813</v>
      </c>
      <c r="E23" s="3" t="s">
        <v>14</v>
      </c>
    </row>
    <row r="24" spans="2:8" x14ac:dyDescent="0.25">
      <c r="B24" t="s">
        <v>23</v>
      </c>
      <c r="C24">
        <v>1416</v>
      </c>
      <c r="E24" s="3" t="s">
        <v>14</v>
      </c>
    </row>
    <row r="25" spans="2:8" x14ac:dyDescent="0.25">
      <c r="B25" t="s">
        <v>24</v>
      </c>
      <c r="C25">
        <v>1417</v>
      </c>
      <c r="E25" s="3" t="s">
        <v>14</v>
      </c>
    </row>
    <row r="26" spans="2:8" x14ac:dyDescent="0.25">
      <c r="B26" t="s">
        <v>25</v>
      </c>
      <c r="C26">
        <v>1418</v>
      </c>
      <c r="E26" s="3" t="s">
        <v>14</v>
      </c>
    </row>
    <row r="27" spans="2:8" x14ac:dyDescent="0.25">
      <c r="B27" t="s">
        <v>26</v>
      </c>
      <c r="C27">
        <v>1419</v>
      </c>
      <c r="E27" s="3" t="s">
        <v>14</v>
      </c>
    </row>
    <row r="28" spans="2:8" x14ac:dyDescent="0.25">
      <c r="B28" t="s">
        <v>27</v>
      </c>
      <c r="C28">
        <v>1421</v>
      </c>
      <c r="E28" s="3" t="s">
        <v>14</v>
      </c>
    </row>
    <row r="29" spans="2:8" x14ac:dyDescent="0.25">
      <c r="B29" t="s">
        <v>28</v>
      </c>
      <c r="C29">
        <v>1422</v>
      </c>
      <c r="E29" s="3" t="s">
        <v>14</v>
      </c>
      <c r="G29" s="2"/>
    </row>
    <row r="30" spans="2:8" x14ac:dyDescent="0.25">
      <c r="B30" t="s">
        <v>29</v>
      </c>
      <c r="C30">
        <v>1423</v>
      </c>
      <c r="E30" s="3" t="s">
        <v>14</v>
      </c>
      <c r="G30" s="2"/>
    </row>
    <row r="31" spans="2:8" x14ac:dyDescent="0.25">
      <c r="B31" t="s">
        <v>30</v>
      </c>
      <c r="C31">
        <v>1424</v>
      </c>
      <c r="D31" s="14">
        <v>-160331371</v>
      </c>
      <c r="E31" s="3" t="s">
        <v>14</v>
      </c>
      <c r="G31" s="15">
        <v>100022630</v>
      </c>
      <c r="H31" t="s">
        <v>47</v>
      </c>
    </row>
    <row r="32" spans="2:8" x14ac:dyDescent="0.25">
      <c r="B32" t="s">
        <v>31</v>
      </c>
      <c r="C32">
        <v>1425</v>
      </c>
      <c r="E32" s="3" t="s">
        <v>14</v>
      </c>
      <c r="G32" s="16">
        <v>60308741</v>
      </c>
      <c r="H32" t="s">
        <v>46</v>
      </c>
    </row>
    <row r="33" spans="2:9" x14ac:dyDescent="0.25">
      <c r="B33" t="s">
        <v>32</v>
      </c>
      <c r="C33">
        <v>1426</v>
      </c>
      <c r="D33" s="2">
        <v>-70000000</v>
      </c>
      <c r="E33" s="3" t="s">
        <v>14</v>
      </c>
      <c r="G33" s="17">
        <f>SUM(G31:G32)</f>
        <v>160331371</v>
      </c>
    </row>
    <row r="34" spans="2:9" x14ac:dyDescent="0.25">
      <c r="B34" t="s">
        <v>33</v>
      </c>
      <c r="C34">
        <v>1427</v>
      </c>
      <c r="E34" s="3" t="s">
        <v>14</v>
      </c>
      <c r="G34" s="2"/>
    </row>
    <row r="35" spans="2:9" x14ac:dyDescent="0.25">
      <c r="B35" t="s">
        <v>34</v>
      </c>
      <c r="C35">
        <v>1428</v>
      </c>
      <c r="E35" s="3" t="s">
        <v>14</v>
      </c>
      <c r="G35" s="2"/>
    </row>
    <row r="36" spans="2:9" x14ac:dyDescent="0.25">
      <c r="B36" s="5" t="s">
        <v>35</v>
      </c>
      <c r="C36" s="6">
        <v>1430</v>
      </c>
      <c r="D36" s="7">
        <f>SUM(D14:D35)</f>
        <v>-466222065</v>
      </c>
      <c r="E36" s="8" t="s">
        <v>12</v>
      </c>
      <c r="G36" s="2"/>
      <c r="I36">
        <v>40.299999999999997</v>
      </c>
    </row>
    <row r="37" spans="2:9" x14ac:dyDescent="0.25">
      <c r="B37" t="s">
        <v>36</v>
      </c>
      <c r="C37">
        <v>1431</v>
      </c>
      <c r="E37" s="3" t="s">
        <v>3</v>
      </c>
      <c r="G37" s="2"/>
    </row>
    <row r="38" spans="2:9" x14ac:dyDescent="0.25">
      <c r="B38" t="s">
        <v>37</v>
      </c>
      <c r="C38">
        <v>1729</v>
      </c>
      <c r="D38" s="2">
        <f>D13+D36</f>
        <v>-111879359</v>
      </c>
      <c r="E38" s="3" t="s">
        <v>12</v>
      </c>
    </row>
    <row r="39" spans="2:9" x14ac:dyDescent="0.25">
      <c r="B39" t="s">
        <v>38</v>
      </c>
      <c r="C39">
        <v>1432</v>
      </c>
      <c r="E39" s="3" t="s">
        <v>14</v>
      </c>
    </row>
    <row r="40" spans="2:9" x14ac:dyDescent="0.25">
      <c r="B40" t="s">
        <v>39</v>
      </c>
      <c r="C40">
        <v>1433</v>
      </c>
      <c r="E40" s="3" t="s">
        <v>14</v>
      </c>
    </row>
    <row r="41" spans="2:9" s="1" customFormat="1" ht="16.5" thickBot="1" x14ac:dyDescent="0.3">
      <c r="B41" s="9" t="s">
        <v>40</v>
      </c>
      <c r="C41" s="9">
        <v>1440</v>
      </c>
      <c r="D41" s="10">
        <f>SUM(D38:D40)</f>
        <v>-111879359</v>
      </c>
      <c r="E41" s="3" t="s">
        <v>12</v>
      </c>
    </row>
    <row r="42" spans="2:9" ht="16.5" thickTop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palacios</dc:creator>
  <cp:lastModifiedBy>Pedro Lecaros</cp:lastModifiedBy>
  <dcterms:created xsi:type="dcterms:W3CDTF">2026-04-27T18:57:19Z</dcterms:created>
  <dcterms:modified xsi:type="dcterms:W3CDTF">2026-04-27T20:52:59Z</dcterms:modified>
</cp:coreProperties>
</file>
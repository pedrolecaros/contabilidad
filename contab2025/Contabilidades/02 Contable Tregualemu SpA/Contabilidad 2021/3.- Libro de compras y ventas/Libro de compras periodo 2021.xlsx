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RASB\Dropbox\Unidad Dropbox 1\01. MY ACCOUNTING\06. MY CLIENT\Empresas Grupo Hiriart\Antecedentes y gastos Tregualemu SpA\Contabilidad 2021\3.- Libro de compras y ventas\"/>
    </mc:Choice>
  </mc:AlternateContent>
  <xr:revisionPtr revIDLastSave="0" documentId="13_ncr:1_{D9D5E488-602B-440E-9289-99C7389E49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Anual" sheetId="1" r:id="rId1"/>
  </sheets>
  <definedNames>
    <definedName name="_xlnm._FilterDatabase" localSheetId="0" hidden="1">'Resumen Anual'!$A$2:$P$56</definedName>
  </definedNames>
  <calcPr calcId="19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8" i="1" l="1"/>
  <c r="J58" i="1"/>
  <c r="K58" i="1"/>
  <c r="L58" i="1"/>
  <c r="N58" i="1"/>
</calcChain>
</file>

<file path=xl/sharedStrings.xml><?xml version="1.0" encoding="utf-8"?>
<sst xmlns="http://schemas.openxmlformats.org/spreadsheetml/2006/main" count="254" uniqueCount="69">
  <si>
    <t>Nro</t>
  </si>
  <si>
    <t>Tipo Doc</t>
  </si>
  <si>
    <t>Tipo Compra</t>
  </si>
  <si>
    <t>RUT Proveedor</t>
  </si>
  <si>
    <t>Razon Social</t>
  </si>
  <si>
    <t>Folio</t>
  </si>
  <si>
    <t>Fecha Docto</t>
  </si>
  <si>
    <t>Monto Exento</t>
  </si>
  <si>
    <t>Monto Neto</t>
  </si>
  <si>
    <t>Monto IVA Recuperable</t>
  </si>
  <si>
    <t>Monto Iva No Recuperable</t>
  </si>
  <si>
    <t>Codigo IVA No Rec.</t>
  </si>
  <si>
    <t>Monto Total</t>
  </si>
  <si>
    <t>IVA no Recuperable</t>
  </si>
  <si>
    <t>76085246-5</t>
  </si>
  <si>
    <t>INVERSIONES LA VUELTA LIMITADA</t>
  </si>
  <si>
    <t>Del Giro</t>
  </si>
  <si>
    <t>76608469-9</t>
  </si>
  <si>
    <t>V  V ASESORES INTEGRALES SPA</t>
  </si>
  <si>
    <t>78286370-3</t>
  </si>
  <si>
    <t>TEK-KROM ACCION GRAFICA COMPANIA LIMITADA</t>
  </si>
  <si>
    <t>76047546-7</t>
  </si>
  <si>
    <t>LA NUBE FOTOGRAFIA LIMITADA</t>
  </si>
  <si>
    <t>76556843-9</t>
  </si>
  <si>
    <t>LA CASONA SPA</t>
  </si>
  <si>
    <t>79546430-1</t>
  </si>
  <si>
    <t>SOCIEDAD COMERCIALIZADORA Y DE SERVICIOS MACAL LIMITADA</t>
  </si>
  <si>
    <t>89862200-2</t>
  </si>
  <si>
    <t>LATAM AIRLINES GROUP S.A.</t>
  </si>
  <si>
    <t>97036000-K</t>
  </si>
  <si>
    <t>Santander - Chile</t>
  </si>
  <si>
    <t>76444735-2</t>
  </si>
  <si>
    <t>SOC INMOB Y HOTELERA PARADA LTDA</t>
  </si>
  <si>
    <t>79857120-6</t>
  </si>
  <si>
    <t>INMOBILIARIA E INVERSIONES GREENE SPA</t>
  </si>
  <si>
    <t>83547100-4</t>
  </si>
  <si>
    <t>AUTORENTAS DEL PACIFICO SpA</t>
  </si>
  <si>
    <t>77312818-9</t>
  </si>
  <si>
    <t>COSTA Ã‘UBLE GESTIÃ“N INMOBILIARIA Y HOSPEDAJES SPA</t>
  </si>
  <si>
    <t>77421439-9</t>
  </si>
  <si>
    <t>ALERCE CONSULTORES SPA</t>
  </si>
  <si>
    <t>Periodo</t>
  </si>
  <si>
    <t>Row Labels</t>
  </si>
  <si>
    <t>Grand Total</t>
  </si>
  <si>
    <t>Ene</t>
  </si>
  <si>
    <t>Feb</t>
  </si>
  <si>
    <t>Mar</t>
  </si>
  <si>
    <t>May</t>
  </si>
  <si>
    <t>Jun</t>
  </si>
  <si>
    <t>Jul</t>
  </si>
  <si>
    <t>Ago</t>
  </si>
  <si>
    <t>Sept</t>
  </si>
  <si>
    <t>Oct</t>
  </si>
  <si>
    <t>Nov</t>
  </si>
  <si>
    <t>Dic</t>
  </si>
  <si>
    <t>Sum of Monto Exento</t>
  </si>
  <si>
    <t>Sum of Monto Neto</t>
  </si>
  <si>
    <t>Sum of Monto IVA Recuperable</t>
  </si>
  <si>
    <t>Sum of Monto Iva No Recuperable</t>
  </si>
  <si>
    <t>Sum of Monto Total</t>
  </si>
  <si>
    <t>Ref. Respaldo</t>
  </si>
  <si>
    <t>A3</t>
  </si>
  <si>
    <t>A59-60</t>
  </si>
  <si>
    <t>A89</t>
  </si>
  <si>
    <t>Forma de pago</t>
  </si>
  <si>
    <t>Cartola Edward</t>
  </si>
  <si>
    <t>Sin Cartola</t>
  </si>
  <si>
    <t>Cartola Santander</t>
  </si>
  <si>
    <t>Total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</si>
</sst>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41" fontId="0" fillId="0" borderId="1" xfId="1" applyFont="1" applyBorder="1"/>
    <xf numFmtId="17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41" fontId="0" fillId="0" borderId="0" xfId="0" applyNumberFormat="1"/>
    <xf numFmtId="0" fontId="0" fillId="0" borderId="0" xfId="0" applyAlignment="1">
      <alignment wrapText="1"/>
    </xf>
    <xf numFmtId="41" fontId="3" fillId="0" borderId="1" xfId="1" applyFont="1" applyBorder="1" applyAlignment="1">
      <alignment horizontal="center"/>
    </xf>
    <xf numFmtId="0" fontId="4" fillId="0" borderId="0" xfId="0" applyFont="1"/>
    <xf numFmtId="41" fontId="4" fillId="0" borderId="0" xfId="0" applyNumberFormat="1" applyFont="1"/>
    <xf numFmtId="41" fontId="0" fillId="3" borderId="1" xfId="1" applyFont="1" applyFill="1" applyBorder="1"/>
    <xf numFmtId="0" fontId="5" fillId="0" borderId="0" xfId="0" applyFont="1"/>
  </cellXfs>
  <cellStyles count="2">
    <cellStyle name="Comma [0]" xfId="1" builtinId="6"/>
    <cellStyle name="Normal" xfId="0" builtinId="0"/>
  </cellStyles>
  <dxfs count="2">
    <dxf>
      <alignment wrapText="1"/>
    </dxf>
    <dxf>
      <numFmt numFmtId="33" formatCode="_ * #,##0_ ;_ * \-#,##0_ ;_ * &quot;-&quot;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SB" refreshedDate="44595.990732986109" createdVersion="7" refreshedVersion="7" minRefreshableVersion="3" recordCount="54" xr:uid="{0D6B1879-CBCF-4AD8-8170-BB2E6440D619}">
  <cacheSource type="worksheet">
    <worksheetSource ref="A2:N56" sheet="Resumen Anual"/>
  </cacheSource>
  <cacheFields count="15">
    <cacheField name="Periodo" numFmtId="17">
      <sharedItems containsSemiMixedTypes="0" containsNonDate="0" containsDate="1" containsString="0" minDate="2021-01-01T00:00:00" maxDate="2021-12-02T00:00:00" count="11">
        <d v="2021-01-01T00:00:00"/>
        <d v="2021-02-01T00:00:00"/>
        <d v="2021-03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</sharedItems>
      <fieldGroup par="14" base="0">
        <rangePr groupBy="days" startDate="2021-01-01T00:00:00" endDate="2021-12-02T00:00:00"/>
        <groupItems count="368">
          <s v="&lt;01-01-2021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2-12-2021"/>
        </groupItems>
      </fieldGroup>
    </cacheField>
    <cacheField name="Nro" numFmtId="0">
      <sharedItems containsSemiMixedTypes="0" containsString="0" containsNumber="1" containsInteger="1" minValue="1" maxValue="12"/>
    </cacheField>
    <cacheField name="Tipo Doc" numFmtId="0">
      <sharedItems containsSemiMixedTypes="0" containsString="0" containsNumber="1" containsInteger="1" minValue="33" maxValue="61"/>
    </cacheField>
    <cacheField name="Tipo Compra" numFmtId="0">
      <sharedItems/>
    </cacheField>
    <cacheField name="RUT Proveedor" numFmtId="0">
      <sharedItems/>
    </cacheField>
    <cacheField name="Razon Social" numFmtId="0">
      <sharedItems/>
    </cacheField>
    <cacheField name="Folio" numFmtId="0">
      <sharedItems containsSemiMixedTypes="0" containsString="0" containsNumber="1" containsInteger="1" minValue="3" maxValue="37439348"/>
    </cacheField>
    <cacheField name="Fecha Docto" numFmtId="14">
      <sharedItems containsSemiMixedTypes="0" containsNonDate="0" containsDate="1" containsString="0" minDate="2021-01-06T00:00:00" maxDate="2021-11-23T00:00:00"/>
    </cacheField>
    <cacheField name="Monto Exento" numFmtId="41">
      <sharedItems containsSemiMixedTypes="0" containsString="0" containsNumber="1" containsInteger="1" minValue="0" maxValue="1250000"/>
    </cacheField>
    <cacheField name="Monto Neto" numFmtId="41">
      <sharedItems containsSemiMixedTypes="0" containsString="0" containsNumber="1" containsInteger="1" minValue="0" maxValue="3925000"/>
    </cacheField>
    <cacheField name="Monto IVA Recuperable" numFmtId="41">
      <sharedItems containsSemiMixedTypes="0" containsString="0" containsNumber="1" containsInteger="1" minValue="0" maxValue="939"/>
    </cacheField>
    <cacheField name="Monto Iva No Recuperable" numFmtId="41">
      <sharedItems containsSemiMixedTypes="0" containsString="0" containsNumber="1" containsInteger="1" minValue="0" maxValue="745750"/>
    </cacheField>
    <cacheField name="Codigo IVA No Rec." numFmtId="41">
      <sharedItems containsSemiMixedTypes="0" containsString="0" containsNumber="1" containsInteger="1" minValue="0" maxValue="9"/>
    </cacheField>
    <cacheField name="Monto Total" numFmtId="41">
      <sharedItems containsSemiMixedTypes="0" containsString="0" containsNumber="1" containsInteger="1" minValue="4565" maxValue="4670750"/>
    </cacheField>
    <cacheField name="Months" numFmtId="0" databaseField="0">
      <fieldGroup base="0">
        <rangePr groupBy="months" startDate="2021-01-01T00:00:00" endDate="2021-12-02T00:00:00"/>
        <groupItems count="14">
          <s v="&lt;01-01-2021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02-12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n v="1"/>
    <n v="33"/>
    <s v="IVA no Recuperable"/>
    <s v="76085246-5"/>
    <s v="INVERSIONES LA VUELTA LIMITADA"/>
    <n v="20"/>
    <d v="2021-01-22T00:00:00"/>
    <n v="0"/>
    <n v="33614"/>
    <n v="0"/>
    <n v="6387"/>
    <n v="9"/>
    <n v="40001"/>
  </r>
  <r>
    <x v="0"/>
    <n v="2"/>
    <n v="33"/>
    <s v="IVA no Recuperable"/>
    <s v="76085246-5"/>
    <s v="INVERSIONES LA VUELTA LIMITADA"/>
    <n v="21"/>
    <d v="2021-01-22T00:00:00"/>
    <n v="0"/>
    <n v="33614"/>
    <n v="0"/>
    <n v="6387"/>
    <n v="9"/>
    <n v="40001"/>
  </r>
  <r>
    <x v="0"/>
    <n v="3"/>
    <n v="34"/>
    <s v="Del Giro"/>
    <s v="76608469-9"/>
    <s v="V  V ASESORES INTEGRALES SPA"/>
    <n v="386"/>
    <d v="2021-01-06T00:00:00"/>
    <n v="29070"/>
    <n v="0"/>
    <n v="0"/>
    <n v="0"/>
    <n v="0"/>
    <n v="29070"/>
  </r>
  <r>
    <x v="1"/>
    <n v="1"/>
    <n v="33"/>
    <s v="Del Giro"/>
    <s v="78286370-3"/>
    <s v="TEK-KROM ACCION GRAFICA COMPANIA LIMITADA"/>
    <n v="65476"/>
    <d v="2021-02-08T00:00:00"/>
    <n v="0"/>
    <n v="4941"/>
    <n v="939"/>
    <n v="0"/>
    <n v="0"/>
    <n v="5880"/>
  </r>
  <r>
    <x v="1"/>
    <n v="2"/>
    <n v="33"/>
    <s v="Del Giro"/>
    <s v="78286370-3"/>
    <s v="TEK-KROM ACCION GRAFICA COMPANIA LIMITADA"/>
    <n v="65607"/>
    <d v="2021-02-19T00:00:00"/>
    <n v="0"/>
    <n v="4296"/>
    <n v="816"/>
    <n v="0"/>
    <n v="0"/>
    <n v="5112"/>
  </r>
  <r>
    <x v="1"/>
    <n v="3"/>
    <n v="34"/>
    <s v="Del Giro"/>
    <s v="76608469-9"/>
    <s v="V  V ASESORES INTEGRALES SPA"/>
    <n v="400"/>
    <d v="2021-02-12T00:00:00"/>
    <n v="29149"/>
    <n v="0"/>
    <n v="0"/>
    <n v="0"/>
    <n v="0"/>
    <n v="29149"/>
  </r>
  <r>
    <x v="2"/>
    <n v="1"/>
    <n v="34"/>
    <s v="Del Giro"/>
    <s v="76608469-9"/>
    <s v="V  V ASESORES INTEGRALES SPA"/>
    <n v="408"/>
    <d v="2021-03-07T00:00:00"/>
    <n v="29287"/>
    <n v="0"/>
    <n v="0"/>
    <n v="0"/>
    <n v="0"/>
    <n v="29287"/>
  </r>
  <r>
    <x v="2"/>
    <n v="2"/>
    <n v="34"/>
    <s v="Del Giro"/>
    <s v="76047546-7"/>
    <s v="LA NUBE FOTOGRAFIA LIMITADA"/>
    <n v="1261"/>
    <d v="2021-03-18T00:00:00"/>
    <n v="1250000"/>
    <n v="0"/>
    <n v="0"/>
    <n v="0"/>
    <n v="0"/>
    <n v="1250000"/>
  </r>
  <r>
    <x v="3"/>
    <n v="1"/>
    <n v="33"/>
    <s v="IVA no Recuperable"/>
    <s v="76556843-9"/>
    <s v="LA CASONA SPA"/>
    <n v="137"/>
    <d v="2021-05-12T00:00:00"/>
    <n v="0"/>
    <n v="138445"/>
    <n v="0"/>
    <n v="26305"/>
    <n v="9"/>
    <n v="164750"/>
  </r>
  <r>
    <x v="3"/>
    <n v="2"/>
    <n v="34"/>
    <s v="Del Giro"/>
    <s v="76608469-9"/>
    <s v="V  V ASESORES INTEGRALES SPA"/>
    <n v="423"/>
    <d v="2021-05-02T00:00:00"/>
    <n v="88506"/>
    <n v="0"/>
    <n v="0"/>
    <n v="0"/>
    <n v="0"/>
    <n v="88506"/>
  </r>
  <r>
    <x v="4"/>
    <n v="1"/>
    <n v="33"/>
    <s v="IVA no Recuperable"/>
    <s v="79546430-1"/>
    <s v="SOCIEDAD COMERCIALIZADORA Y DE SERVICIOS MACAL LIMITADA"/>
    <n v="112739"/>
    <d v="2021-06-25T00:00:00"/>
    <n v="0"/>
    <n v="460000"/>
    <n v="0"/>
    <n v="87400"/>
    <n v="9"/>
    <n v="547400"/>
  </r>
  <r>
    <x v="4"/>
    <n v="2"/>
    <n v="33"/>
    <s v="IVA no Recuperable"/>
    <s v="79546430-1"/>
    <s v="SOCIEDAD COMERCIALIZADORA Y DE SERVICIOS MACAL LIMITADA"/>
    <n v="112737"/>
    <d v="2021-06-25T00:00:00"/>
    <n v="0"/>
    <n v="100000"/>
    <n v="0"/>
    <n v="19000"/>
    <n v="9"/>
    <n v="119000"/>
  </r>
  <r>
    <x v="4"/>
    <n v="3"/>
    <n v="33"/>
    <s v="IVA no Recuperable"/>
    <s v="79546430-1"/>
    <s v="SOCIEDAD COMERCIALIZADORA Y DE SERVICIOS MACAL LIMITADA"/>
    <n v="112738"/>
    <d v="2021-06-25T00:00:00"/>
    <n v="0"/>
    <n v="350000"/>
    <n v="0"/>
    <n v="66500"/>
    <n v="9"/>
    <n v="416500"/>
  </r>
  <r>
    <x v="4"/>
    <n v="4"/>
    <n v="33"/>
    <s v="IVA no Recuperable"/>
    <s v="78286370-3"/>
    <s v="TEK-KROM ACCION GRAFICA COMPANIA LIMITADA"/>
    <n v="67069"/>
    <d v="2021-06-02T00:00:00"/>
    <n v="0"/>
    <n v="12865"/>
    <n v="0"/>
    <n v="2444"/>
    <n v="9"/>
    <n v="15309"/>
  </r>
  <r>
    <x v="4"/>
    <n v="5"/>
    <n v="33"/>
    <s v="IVA no Recuperable"/>
    <s v="78286370-3"/>
    <s v="TEK-KROM ACCION GRAFICA COMPANIA LIMITADA"/>
    <n v="67085"/>
    <d v="2021-06-03T00:00:00"/>
    <n v="0"/>
    <n v="10624"/>
    <n v="0"/>
    <n v="2018"/>
    <n v="9"/>
    <n v="12642"/>
  </r>
  <r>
    <x v="4"/>
    <n v="6"/>
    <n v="34"/>
    <s v="Del Giro"/>
    <s v="89862200-2"/>
    <s v="LATAM AIRLINES GROUP S.A."/>
    <n v="4793268"/>
    <d v="2021-06-27T00:00:00"/>
    <n v="145612"/>
    <n v="0"/>
    <n v="0"/>
    <n v="0"/>
    <n v="0"/>
    <n v="145612"/>
  </r>
  <r>
    <x v="4"/>
    <n v="7"/>
    <n v="34"/>
    <s v="Del Giro"/>
    <s v="89862200-2"/>
    <s v="LATAM AIRLINES GROUP S.A."/>
    <n v="4793270"/>
    <d v="2021-06-27T00:00:00"/>
    <n v="62806"/>
    <n v="0"/>
    <n v="0"/>
    <n v="0"/>
    <n v="0"/>
    <n v="62806"/>
  </r>
  <r>
    <x v="5"/>
    <n v="1"/>
    <n v="33"/>
    <s v="IVA no Recuperable"/>
    <s v="97036000-K"/>
    <s v="Santander - Chile"/>
    <n v="37162294"/>
    <d v="2021-07-28T00:00:00"/>
    <n v="0"/>
    <n v="5742"/>
    <n v="0"/>
    <n v="1091"/>
    <n v="9"/>
    <n v="6833"/>
  </r>
  <r>
    <x v="5"/>
    <n v="2"/>
    <n v="33"/>
    <s v="IVA no Recuperable"/>
    <s v="76444735-2"/>
    <s v="SOC INMOB Y HOTELERA PARADA LTDA"/>
    <n v="14580"/>
    <d v="2021-07-16T00:00:00"/>
    <n v="0"/>
    <n v="188303"/>
    <n v="0"/>
    <n v="35778"/>
    <n v="9"/>
    <n v="224081"/>
  </r>
  <r>
    <x v="5"/>
    <n v="3"/>
    <n v="33"/>
    <s v="IVA no Recuperable"/>
    <s v="79546430-1"/>
    <s v="SOCIEDAD COMERCIALIZADORA Y DE SERVICIOS MACAL LIMITADA"/>
    <n v="113182"/>
    <d v="2021-07-15T00:00:00"/>
    <n v="0"/>
    <n v="200000"/>
    <n v="0"/>
    <n v="38000"/>
    <n v="9"/>
    <n v="238000"/>
  </r>
  <r>
    <x v="5"/>
    <n v="4"/>
    <n v="33"/>
    <s v="IVA no Recuperable"/>
    <s v="79546430-1"/>
    <s v="SOCIEDAD COMERCIALIZADORA Y DE SERVICIOS MACAL LIMITADA"/>
    <n v="113184"/>
    <d v="2021-07-15T00:00:00"/>
    <n v="0"/>
    <n v="752000"/>
    <n v="0"/>
    <n v="142880"/>
    <n v="9"/>
    <n v="894880"/>
  </r>
  <r>
    <x v="5"/>
    <n v="5"/>
    <n v="33"/>
    <s v="IVA no Recuperable"/>
    <s v="79546430-1"/>
    <s v="SOCIEDAD COMERCIALIZADORA Y DE SERVICIOS MACAL LIMITADA"/>
    <n v="113183"/>
    <d v="2021-07-15T00:00:00"/>
    <n v="0"/>
    <n v="280000"/>
    <n v="0"/>
    <n v="53200"/>
    <n v="9"/>
    <n v="333200"/>
  </r>
  <r>
    <x v="5"/>
    <n v="6"/>
    <n v="33"/>
    <s v="IVA no Recuperable"/>
    <s v="79857120-6"/>
    <s v="INMOBILIARIA E INVERSIONES GREENE SPA"/>
    <n v="644"/>
    <d v="2021-07-09T00:00:00"/>
    <n v="0"/>
    <n v="218000"/>
    <n v="0"/>
    <n v="41420"/>
    <n v="9"/>
    <n v="259420"/>
  </r>
  <r>
    <x v="5"/>
    <n v="7"/>
    <n v="33"/>
    <s v="IVA no Recuperable"/>
    <s v="79857120-6"/>
    <s v="INMOBILIARIA E INVERSIONES GREENE SPA"/>
    <n v="643"/>
    <d v="2021-07-09T00:00:00"/>
    <n v="0"/>
    <n v="258000"/>
    <n v="0"/>
    <n v="49020"/>
    <n v="9"/>
    <n v="307020"/>
  </r>
  <r>
    <x v="5"/>
    <n v="8"/>
    <n v="33"/>
    <s v="IVA no Recuperable"/>
    <s v="79546430-1"/>
    <s v="SOCIEDAD COMERCIALIZADORA Y DE SERVICIOS MACAL LIMITADA"/>
    <n v="112987"/>
    <d v="2021-07-07T00:00:00"/>
    <n v="0"/>
    <n v="200000"/>
    <n v="0"/>
    <n v="38000"/>
    <n v="9"/>
    <n v="238000"/>
  </r>
  <r>
    <x v="5"/>
    <n v="9"/>
    <n v="33"/>
    <s v="IVA no Recuperable"/>
    <s v="79546430-1"/>
    <s v="SOCIEDAD COMERCIALIZADORA Y DE SERVICIOS MACAL LIMITADA"/>
    <n v="112988"/>
    <d v="2021-07-07T00:00:00"/>
    <n v="0"/>
    <n v="592000"/>
    <n v="0"/>
    <n v="112480"/>
    <n v="9"/>
    <n v="704480"/>
  </r>
  <r>
    <x v="5"/>
    <n v="10"/>
    <n v="33"/>
    <s v="IVA no Recuperable"/>
    <s v="83547100-4"/>
    <s v="AUTORENTAS DEL PACIFICO SpA"/>
    <n v="956013"/>
    <d v="2021-07-05T00:00:00"/>
    <n v="0"/>
    <n v="321744"/>
    <n v="0"/>
    <n v="61131"/>
    <n v="9"/>
    <n v="382875"/>
  </r>
  <r>
    <x v="5"/>
    <n v="11"/>
    <n v="33"/>
    <s v="IVA no Recuperable"/>
    <s v="79857120-6"/>
    <s v="INMOBILIARIA E INVERSIONES GREENE SPA"/>
    <n v="642"/>
    <d v="2021-07-01T00:00:00"/>
    <n v="0"/>
    <n v="258000"/>
    <n v="0"/>
    <n v="49020"/>
    <n v="9"/>
    <n v="307020"/>
  </r>
  <r>
    <x v="5"/>
    <n v="12"/>
    <n v="61"/>
    <s v="IVA no Recuperable"/>
    <s v="79857120-6"/>
    <s v="INMOBILIARIA E INVERSIONES GREENE SPA"/>
    <n v="24"/>
    <d v="2021-07-09T00:00:00"/>
    <n v="0"/>
    <n v="258000"/>
    <n v="0"/>
    <n v="49020"/>
    <n v="9"/>
    <n v="307020"/>
  </r>
  <r>
    <x v="6"/>
    <n v="1"/>
    <n v="33"/>
    <s v="IVA no Recuperable"/>
    <s v="79546430-1"/>
    <s v="SOCIEDAD COMERCIALIZADORA Y DE SERVICIOS MACAL LIMITADA"/>
    <n v="114876"/>
    <d v="2021-08-31T00:00:00"/>
    <n v="0"/>
    <n v="1000000"/>
    <n v="0"/>
    <n v="190000"/>
    <n v="9"/>
    <n v="1190000"/>
  </r>
  <r>
    <x v="6"/>
    <n v="2"/>
    <n v="33"/>
    <s v="IVA no Recuperable"/>
    <s v="77312818-9"/>
    <s v="COSTA Ã‘UBLE GESTIÃ“N INMOBILIARIA Y HOSPEDAJES SPA"/>
    <n v="16"/>
    <d v="2021-08-31T00:00:00"/>
    <n v="0"/>
    <n v="1590000"/>
    <n v="0"/>
    <n v="302100"/>
    <n v="9"/>
    <n v="1892100"/>
  </r>
  <r>
    <x v="6"/>
    <n v="3"/>
    <n v="33"/>
    <s v="IVA no Recuperable"/>
    <s v="79546430-1"/>
    <s v="SOCIEDAD COMERCIALIZADORA Y DE SERVICIOS MACAL LIMITADA"/>
    <n v="114883"/>
    <d v="2021-08-31T00:00:00"/>
    <n v="0"/>
    <n v="724000"/>
    <n v="0"/>
    <n v="137560"/>
    <n v="9"/>
    <n v="861560"/>
  </r>
  <r>
    <x v="6"/>
    <n v="4"/>
    <n v="33"/>
    <s v="IVA no Recuperable"/>
    <s v="79546430-1"/>
    <s v="SOCIEDAD COMERCIALIZADORA Y DE SERVICIOS MACAL LIMITADA"/>
    <n v="114872"/>
    <d v="2021-08-31T00:00:00"/>
    <n v="0"/>
    <n v="200000"/>
    <n v="0"/>
    <n v="38000"/>
    <n v="9"/>
    <n v="238000"/>
  </r>
  <r>
    <x v="6"/>
    <n v="5"/>
    <n v="33"/>
    <s v="IVA no Recuperable"/>
    <s v="79546430-1"/>
    <s v="SOCIEDAD COMERCIALIZADORA Y DE SERVICIOS MACAL LIMITADA"/>
    <n v="114873"/>
    <d v="2021-08-31T00:00:00"/>
    <n v="0"/>
    <n v="900000"/>
    <n v="0"/>
    <n v="171000"/>
    <n v="9"/>
    <n v="1071000"/>
  </r>
  <r>
    <x v="6"/>
    <n v="6"/>
    <n v="33"/>
    <s v="IVA no Recuperable"/>
    <s v="79546430-1"/>
    <s v="SOCIEDAD COMERCIALIZADORA Y DE SERVICIOS MACAL LIMITADA"/>
    <n v="114882"/>
    <d v="2021-08-31T00:00:00"/>
    <n v="0"/>
    <n v="210000"/>
    <n v="0"/>
    <n v="39900"/>
    <n v="9"/>
    <n v="249900"/>
  </r>
  <r>
    <x v="6"/>
    <n v="7"/>
    <n v="33"/>
    <s v="IVA no Recuperable"/>
    <s v="79546430-1"/>
    <s v="SOCIEDAD COMERCIALIZADORA Y DE SERVICIOS MACAL LIMITADA"/>
    <n v="114881"/>
    <d v="2021-08-31T00:00:00"/>
    <n v="0"/>
    <n v="200000"/>
    <n v="0"/>
    <n v="38000"/>
    <n v="9"/>
    <n v="238000"/>
  </r>
  <r>
    <x v="6"/>
    <n v="8"/>
    <n v="33"/>
    <s v="IVA no Recuperable"/>
    <s v="97036000-K"/>
    <s v="Santander - Chile"/>
    <n v="37439348"/>
    <d v="2021-08-27T00:00:00"/>
    <n v="0"/>
    <n v="3835"/>
    <n v="0"/>
    <n v="730"/>
    <n v="9"/>
    <n v="4565"/>
  </r>
  <r>
    <x v="6"/>
    <n v="9"/>
    <n v="33"/>
    <s v="IVA no Recuperable"/>
    <s v="79857120-6"/>
    <s v="INMOBILIARIA E INVERSIONES GREENE SPA"/>
    <n v="658"/>
    <d v="2021-08-17T00:00:00"/>
    <n v="0"/>
    <n v="218000"/>
    <n v="0"/>
    <n v="41420"/>
    <n v="9"/>
    <n v="259420"/>
  </r>
  <r>
    <x v="7"/>
    <n v="1"/>
    <n v="33"/>
    <s v="IVA no Recuperable"/>
    <s v="77312818-9"/>
    <s v="COSTA Ã‘UBLE GESTIÃ“N INMOBILIARIA Y HOSPEDAJES SPA"/>
    <n v="17"/>
    <d v="2021-09-30T00:00:00"/>
    <n v="0"/>
    <n v="745000"/>
    <n v="0"/>
    <n v="141550"/>
    <n v="9"/>
    <n v="886550"/>
  </r>
  <r>
    <x v="7"/>
    <n v="2"/>
    <n v="33"/>
    <s v="IVA no Recuperable"/>
    <s v="79546430-1"/>
    <s v="SOCIEDAD COMERCIALIZADORA Y DE SERVICIOS MACAL LIMITADA"/>
    <n v="115302"/>
    <d v="2021-09-20T00:00:00"/>
    <n v="0"/>
    <n v="920000"/>
    <n v="0"/>
    <n v="174800"/>
    <n v="9"/>
    <n v="1094800"/>
  </r>
  <r>
    <x v="7"/>
    <n v="3"/>
    <n v="33"/>
    <s v="IVA no Recuperable"/>
    <s v="79546430-1"/>
    <s v="SOCIEDAD COMERCIALIZADORA Y DE SERVICIOS MACAL LIMITADA"/>
    <n v="115300"/>
    <d v="2021-09-20T00:00:00"/>
    <n v="0"/>
    <n v="200000"/>
    <n v="0"/>
    <n v="38000"/>
    <n v="9"/>
    <n v="238000"/>
  </r>
  <r>
    <x v="7"/>
    <n v="4"/>
    <n v="33"/>
    <s v="IVA no Recuperable"/>
    <s v="79546430-1"/>
    <s v="SOCIEDAD COMERCIALIZADORA Y DE SERVICIOS MACAL LIMITADA"/>
    <n v="115301"/>
    <d v="2021-09-20T00:00:00"/>
    <n v="0"/>
    <n v="700000"/>
    <n v="0"/>
    <n v="133000"/>
    <n v="9"/>
    <n v="833000"/>
  </r>
  <r>
    <x v="7"/>
    <n v="5"/>
    <n v="33"/>
    <s v="IVA no Recuperable"/>
    <s v="79857120-6"/>
    <s v="INMOBILIARIA E INVERSIONES GREENE SPA"/>
    <n v="671"/>
    <d v="2021-09-14T00:00:00"/>
    <n v="0"/>
    <n v="480000"/>
    <n v="0"/>
    <n v="91200"/>
    <n v="9"/>
    <n v="571200"/>
  </r>
  <r>
    <x v="7"/>
    <n v="6"/>
    <n v="33"/>
    <s v="IVA no Recuperable"/>
    <s v="79857120-6"/>
    <s v="INMOBILIARIA E INVERSIONES GREENE SPA"/>
    <n v="668"/>
    <d v="2021-09-02T00:00:00"/>
    <n v="0"/>
    <n v="932000"/>
    <n v="0"/>
    <n v="177080"/>
    <n v="9"/>
    <n v="1109080"/>
  </r>
  <r>
    <x v="7"/>
    <n v="7"/>
    <n v="33"/>
    <s v="IVA no Recuperable"/>
    <s v="78286370-3"/>
    <s v="TEK-KROM ACCION GRAFICA COMPANIA LIMITADA"/>
    <n v="68672"/>
    <d v="2021-09-07T00:00:00"/>
    <n v="0"/>
    <n v="5794"/>
    <n v="0"/>
    <n v="1101"/>
    <n v="9"/>
    <n v="6895"/>
  </r>
  <r>
    <x v="7"/>
    <n v="8"/>
    <n v="33"/>
    <s v="IVA no Recuperable"/>
    <s v="76085246-5"/>
    <s v="INVERSIONES LA VUELTA LIMITADA"/>
    <n v="32"/>
    <d v="2021-09-13T00:00:00"/>
    <n v="0"/>
    <n v="164708"/>
    <n v="0"/>
    <n v="31295"/>
    <n v="9"/>
    <n v="196003"/>
  </r>
  <r>
    <x v="8"/>
    <n v="1"/>
    <n v="33"/>
    <s v="IVA no Recuperable"/>
    <s v="79857120-6"/>
    <s v="INMOBILIARIA E INVERSIONES GREENE SPA"/>
    <n v="677"/>
    <d v="2021-10-18T00:00:00"/>
    <n v="0"/>
    <n v="258000"/>
    <n v="0"/>
    <n v="49020"/>
    <n v="9"/>
    <n v="307020"/>
  </r>
  <r>
    <x v="8"/>
    <n v="2"/>
    <n v="33"/>
    <s v="IVA no Recuperable"/>
    <s v="76085246-5"/>
    <s v="INVERSIONES LA VUELTA LIMITADA"/>
    <n v="34"/>
    <d v="2021-10-12T00:00:00"/>
    <n v="0"/>
    <n v="97480"/>
    <n v="0"/>
    <n v="18521"/>
    <n v="9"/>
    <n v="116001"/>
  </r>
  <r>
    <x v="8"/>
    <n v="3"/>
    <n v="33"/>
    <s v="IVA no Recuperable"/>
    <s v="79546430-1"/>
    <s v="SOCIEDAD COMERCIALIZADORA Y DE SERVICIOS MACAL LIMITADA"/>
    <n v="115880"/>
    <d v="2021-10-13T00:00:00"/>
    <n v="0"/>
    <n v="100000"/>
    <n v="0"/>
    <n v="19000"/>
    <n v="9"/>
    <n v="119000"/>
  </r>
  <r>
    <x v="8"/>
    <n v="4"/>
    <n v="33"/>
    <s v="IVA no Recuperable"/>
    <s v="79546430-1"/>
    <s v="SOCIEDAD COMERCIALIZADORA Y DE SERVICIOS MACAL LIMITADA"/>
    <n v="115881"/>
    <d v="2021-10-13T00:00:00"/>
    <n v="0"/>
    <n v="550000"/>
    <n v="0"/>
    <n v="104500"/>
    <n v="9"/>
    <n v="654500"/>
  </r>
  <r>
    <x v="8"/>
    <n v="5"/>
    <n v="33"/>
    <s v="IVA no Recuperable"/>
    <s v="79546430-1"/>
    <s v="SOCIEDAD COMERCIALIZADORA Y DE SERVICIOS MACAL LIMITADA"/>
    <n v="115882"/>
    <d v="2021-10-13T00:00:00"/>
    <n v="0"/>
    <n v="540000"/>
    <n v="0"/>
    <n v="102600"/>
    <n v="9"/>
    <n v="642600"/>
  </r>
  <r>
    <x v="8"/>
    <n v="6"/>
    <n v="34"/>
    <s v="Del Giro"/>
    <s v="77421439-9"/>
    <s v="ALERCE CONSULTORES SPA"/>
    <n v="3"/>
    <d v="2021-10-12T00:00:00"/>
    <n v="372760"/>
    <n v="0"/>
    <n v="0"/>
    <n v="0"/>
    <n v="0"/>
    <n v="372760"/>
  </r>
  <r>
    <x v="9"/>
    <n v="1"/>
    <n v="33"/>
    <s v="IVA no Recuperable"/>
    <s v="77312818-9"/>
    <s v="COSTA Ã‘UBLE GESTIÃ“N INMOBILIARIA Y HOSPEDAJES SPA"/>
    <n v="18"/>
    <d v="2021-11-17T00:00:00"/>
    <n v="0"/>
    <n v="3925000"/>
    <n v="0"/>
    <n v="745750"/>
    <n v="9"/>
    <n v="4670750"/>
  </r>
  <r>
    <x v="10"/>
    <n v="1"/>
    <n v="33"/>
    <s v="IVA no Recuperable"/>
    <s v="79857120-6"/>
    <s v="INMOBILIARIA E INVERSIONES GREENE SPA"/>
    <n v="688"/>
    <d v="2021-11-22T00:00:00"/>
    <n v="0"/>
    <n v="218000"/>
    <n v="0"/>
    <n v="41420"/>
    <n v="9"/>
    <n v="2594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87CA1-7E12-4FC3-B1CC-6FDCC99FD16D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R2:W14" firstHeaderRow="0" firstDataRow="1" firstDataCol="1"/>
  <pivotFields count="15">
    <pivotField axis="axisRow" numFmtId="17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dataField="1" numFmtId="41" showAll="0"/>
    <pivotField dataField="1" numFmtId="41" showAll="0"/>
    <pivotField dataField="1" numFmtId="41" showAll="0"/>
    <pivotField dataField="1" numFmtId="41" showAll="0"/>
    <pivotField numFmtId="41" showAll="0"/>
    <pivotField dataField="1" numFmtId="4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4"/>
    <field x="0"/>
  </rowFields>
  <rowItems count="12"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Monto Exento" fld="8" baseField="0" baseItem="0"/>
    <dataField name="Sum of Monto Neto" fld="9" baseField="0" baseItem="0"/>
    <dataField name="Sum of Monto IVA Recuperable" fld="10" baseField="0" baseItem="0"/>
    <dataField name="Sum of Monto Iva No Recuperable" fld="11" baseField="0" baseItem="0"/>
    <dataField name="Sum of Monto Total" fld="13" baseField="0" baseItem="0"/>
  </dataFields>
  <formats count="2"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58"/>
  <sheetViews>
    <sheetView tabSelected="1" topLeftCell="B32" zoomScale="80" zoomScaleNormal="80" workbookViewId="0">
      <selection activeCell="N3" sqref="N3:P56"/>
    </sheetView>
  </sheetViews>
  <sheetFormatPr defaultRowHeight="15" x14ac:dyDescent="0.25"/>
  <cols>
    <col min="2" max="2" width="5" bestFit="1" customWidth="1"/>
    <col min="3" max="3" width="7.7109375" bestFit="1" customWidth="1"/>
    <col min="4" max="4" width="20.7109375" bestFit="1" customWidth="1"/>
    <col min="5" max="5" width="11.5703125" bestFit="1" customWidth="1"/>
    <col min="6" max="6" width="46.42578125" customWidth="1"/>
    <col min="7" max="7" width="12.140625" bestFit="1" customWidth="1"/>
    <col min="8" max="8" width="14.140625" bestFit="1" customWidth="1"/>
    <col min="9" max="14" width="15.7109375" customWidth="1"/>
    <col min="15" max="16" width="9.5703125" customWidth="1"/>
    <col min="18" max="18" width="14.140625" bestFit="1" customWidth="1"/>
    <col min="19" max="23" width="15.5703125" customWidth="1"/>
  </cols>
  <sheetData>
    <row r="2" spans="1:23" ht="45" x14ac:dyDescent="0.25">
      <c r="A2" s="1" t="s">
        <v>41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60</v>
      </c>
      <c r="P2" s="1" t="s">
        <v>64</v>
      </c>
      <c r="R2" s="6" t="s">
        <v>42</v>
      </c>
      <c r="S2" s="9" t="s">
        <v>55</v>
      </c>
      <c r="T2" s="9" t="s">
        <v>56</v>
      </c>
      <c r="U2" s="9" t="s">
        <v>57</v>
      </c>
      <c r="V2" s="9" t="s">
        <v>58</v>
      </c>
      <c r="W2" s="9" t="s">
        <v>59</v>
      </c>
    </row>
    <row r="3" spans="1:23" x14ac:dyDescent="0.25">
      <c r="A3" s="5">
        <v>44197</v>
      </c>
      <c r="B3" s="2">
        <v>1</v>
      </c>
      <c r="C3" s="2">
        <v>33</v>
      </c>
      <c r="D3" s="2" t="s">
        <v>13</v>
      </c>
      <c r="E3" s="2" t="s">
        <v>14</v>
      </c>
      <c r="F3" s="2" t="s">
        <v>15</v>
      </c>
      <c r="G3" s="2">
        <v>20</v>
      </c>
      <c r="H3" s="3">
        <v>44218</v>
      </c>
      <c r="I3" s="4">
        <v>0</v>
      </c>
      <c r="J3" s="4">
        <v>33614</v>
      </c>
      <c r="K3" s="4">
        <v>0</v>
      </c>
      <c r="L3" s="4">
        <v>6387</v>
      </c>
      <c r="M3" s="4">
        <v>9</v>
      </c>
      <c r="N3" s="4">
        <v>40001</v>
      </c>
      <c r="O3" s="10"/>
      <c r="P3" t="s">
        <v>65</v>
      </c>
      <c r="R3" s="7" t="s">
        <v>44</v>
      </c>
      <c r="S3" s="8">
        <v>29070</v>
      </c>
      <c r="T3" s="8">
        <v>67228</v>
      </c>
      <c r="U3" s="8">
        <v>0</v>
      </c>
      <c r="V3" s="8">
        <v>12774</v>
      </c>
      <c r="W3" s="8">
        <v>109072</v>
      </c>
    </row>
    <row r="4" spans="1:23" x14ac:dyDescent="0.25">
      <c r="A4" s="5">
        <v>44197</v>
      </c>
      <c r="B4" s="2">
        <v>2</v>
      </c>
      <c r="C4" s="2">
        <v>33</v>
      </c>
      <c r="D4" s="2" t="s">
        <v>13</v>
      </c>
      <c r="E4" s="2" t="s">
        <v>14</v>
      </c>
      <c r="F4" s="2" t="s">
        <v>15</v>
      </c>
      <c r="G4" s="2">
        <v>21</v>
      </c>
      <c r="H4" s="3">
        <v>44218</v>
      </c>
      <c r="I4" s="4">
        <v>0</v>
      </c>
      <c r="J4" s="4">
        <v>33614</v>
      </c>
      <c r="K4" s="4">
        <v>0</v>
      </c>
      <c r="L4" s="4">
        <v>6387</v>
      </c>
      <c r="M4" s="4">
        <v>9</v>
      </c>
      <c r="N4" s="4">
        <v>40001</v>
      </c>
      <c r="O4" s="10"/>
      <c r="P4" t="s">
        <v>66</v>
      </c>
      <c r="R4" s="7" t="s">
        <v>45</v>
      </c>
      <c r="S4" s="8">
        <v>29149</v>
      </c>
      <c r="T4" s="8">
        <v>9237</v>
      </c>
      <c r="U4" s="8">
        <v>1755</v>
      </c>
      <c r="V4" s="8">
        <v>0</v>
      </c>
      <c r="W4" s="8">
        <v>40141</v>
      </c>
    </row>
    <row r="5" spans="1:23" x14ac:dyDescent="0.25">
      <c r="A5" s="5">
        <v>44197</v>
      </c>
      <c r="B5" s="2">
        <v>3</v>
      </c>
      <c r="C5" s="2">
        <v>34</v>
      </c>
      <c r="D5" s="2" t="s">
        <v>16</v>
      </c>
      <c r="E5" s="2" t="s">
        <v>17</v>
      </c>
      <c r="F5" s="2" t="s">
        <v>18</v>
      </c>
      <c r="G5" s="2">
        <v>386</v>
      </c>
      <c r="H5" s="3">
        <v>44202</v>
      </c>
      <c r="I5" s="4">
        <v>29070</v>
      </c>
      <c r="J5" s="4">
        <v>0</v>
      </c>
      <c r="K5" s="4">
        <v>0</v>
      </c>
      <c r="L5" s="4">
        <v>0</v>
      </c>
      <c r="M5" s="4">
        <v>0</v>
      </c>
      <c r="N5" s="4">
        <v>29070</v>
      </c>
      <c r="O5" s="10"/>
      <c r="P5" t="s">
        <v>66</v>
      </c>
      <c r="R5" s="7" t="s">
        <v>46</v>
      </c>
      <c r="S5" s="8">
        <v>1279287</v>
      </c>
      <c r="T5" s="8">
        <v>0</v>
      </c>
      <c r="U5" s="8">
        <v>0</v>
      </c>
      <c r="V5" s="8">
        <v>0</v>
      </c>
      <c r="W5" s="8">
        <v>1279287</v>
      </c>
    </row>
    <row r="6" spans="1:23" x14ac:dyDescent="0.25">
      <c r="A6" s="5">
        <v>44228</v>
      </c>
      <c r="B6" s="2">
        <v>1</v>
      </c>
      <c r="C6" s="2">
        <v>33</v>
      </c>
      <c r="D6" s="2" t="s">
        <v>16</v>
      </c>
      <c r="E6" s="2" t="s">
        <v>19</v>
      </c>
      <c r="F6" s="2" t="s">
        <v>20</v>
      </c>
      <c r="G6" s="2">
        <v>65476</v>
      </c>
      <c r="H6" s="3">
        <v>44235</v>
      </c>
      <c r="I6" s="4">
        <v>0</v>
      </c>
      <c r="J6" s="4">
        <v>4941</v>
      </c>
      <c r="K6" s="4">
        <v>939</v>
      </c>
      <c r="L6" s="4">
        <v>0</v>
      </c>
      <c r="M6" s="4">
        <v>0</v>
      </c>
      <c r="N6" s="4">
        <v>5880</v>
      </c>
      <c r="O6" s="10"/>
      <c r="P6" t="s">
        <v>65</v>
      </c>
      <c r="R6" s="7" t="s">
        <v>47</v>
      </c>
      <c r="S6" s="8">
        <v>88506</v>
      </c>
      <c r="T6" s="8">
        <v>138445</v>
      </c>
      <c r="U6" s="8">
        <v>0</v>
      </c>
      <c r="V6" s="8">
        <v>26305</v>
      </c>
      <c r="W6" s="8">
        <v>253256</v>
      </c>
    </row>
    <row r="7" spans="1:23" x14ac:dyDescent="0.25">
      <c r="A7" s="5">
        <v>44228</v>
      </c>
      <c r="B7" s="2">
        <v>2</v>
      </c>
      <c r="C7" s="2">
        <v>33</v>
      </c>
      <c r="D7" s="2" t="s">
        <v>16</v>
      </c>
      <c r="E7" s="2" t="s">
        <v>19</v>
      </c>
      <c r="F7" s="2" t="s">
        <v>20</v>
      </c>
      <c r="G7" s="2">
        <v>65607</v>
      </c>
      <c r="H7" s="3">
        <v>44246</v>
      </c>
      <c r="I7" s="4">
        <v>0</v>
      </c>
      <c r="J7" s="4">
        <v>4296</v>
      </c>
      <c r="K7" s="4">
        <v>816</v>
      </c>
      <c r="L7" s="4">
        <v>0</v>
      </c>
      <c r="M7" s="4">
        <v>0</v>
      </c>
      <c r="N7" s="4">
        <v>5112</v>
      </c>
      <c r="O7" s="10" t="s">
        <v>61</v>
      </c>
      <c r="P7" t="s">
        <v>66</v>
      </c>
      <c r="R7" s="7" t="s">
        <v>48</v>
      </c>
      <c r="S7" s="8">
        <v>208418</v>
      </c>
      <c r="T7" s="8">
        <v>933489</v>
      </c>
      <c r="U7" s="8">
        <v>0</v>
      </c>
      <c r="V7" s="8">
        <v>177362</v>
      </c>
      <c r="W7" s="8">
        <v>1319269</v>
      </c>
    </row>
    <row r="8" spans="1:23" x14ac:dyDescent="0.25">
      <c r="A8" s="5">
        <v>44228</v>
      </c>
      <c r="B8" s="2">
        <v>3</v>
      </c>
      <c r="C8" s="2">
        <v>34</v>
      </c>
      <c r="D8" s="2" t="s">
        <v>16</v>
      </c>
      <c r="E8" s="2" t="s">
        <v>17</v>
      </c>
      <c r="F8" s="2" t="s">
        <v>18</v>
      </c>
      <c r="G8" s="2">
        <v>400</v>
      </c>
      <c r="H8" s="3">
        <v>44239</v>
      </c>
      <c r="I8" s="4">
        <v>29149</v>
      </c>
      <c r="J8" s="4">
        <v>0</v>
      </c>
      <c r="K8" s="4">
        <v>0</v>
      </c>
      <c r="L8" s="4">
        <v>0</v>
      </c>
      <c r="M8" s="4">
        <v>0</v>
      </c>
      <c r="N8" s="4">
        <v>29149</v>
      </c>
      <c r="O8" s="10"/>
      <c r="P8" t="s">
        <v>66</v>
      </c>
      <c r="R8" s="7" t="s">
        <v>49</v>
      </c>
      <c r="S8" s="8">
        <v>0</v>
      </c>
      <c r="T8" s="8">
        <v>3531789</v>
      </c>
      <c r="U8" s="8">
        <v>0</v>
      </c>
      <c r="V8" s="8">
        <v>671040</v>
      </c>
      <c r="W8" s="8">
        <v>4202829</v>
      </c>
    </row>
    <row r="9" spans="1:23" x14ac:dyDescent="0.25">
      <c r="A9" s="5">
        <v>44256</v>
      </c>
      <c r="B9" s="2">
        <v>1</v>
      </c>
      <c r="C9" s="2">
        <v>34</v>
      </c>
      <c r="D9" s="2" t="s">
        <v>16</v>
      </c>
      <c r="E9" s="2" t="s">
        <v>17</v>
      </c>
      <c r="F9" s="2" t="s">
        <v>18</v>
      </c>
      <c r="G9" s="2">
        <v>408</v>
      </c>
      <c r="H9" s="3">
        <v>44262</v>
      </c>
      <c r="I9" s="4">
        <v>29287</v>
      </c>
      <c r="J9" s="4">
        <v>0</v>
      </c>
      <c r="K9" s="4">
        <v>0</v>
      </c>
      <c r="L9" s="4">
        <v>0</v>
      </c>
      <c r="M9" s="4">
        <v>0</v>
      </c>
      <c r="N9" s="4">
        <v>29287</v>
      </c>
      <c r="O9" s="10"/>
      <c r="P9" t="s">
        <v>66</v>
      </c>
      <c r="R9" s="7" t="s">
        <v>50</v>
      </c>
      <c r="S9" s="8">
        <v>0</v>
      </c>
      <c r="T9" s="8">
        <v>5045835</v>
      </c>
      <c r="U9" s="8">
        <v>0</v>
      </c>
      <c r="V9" s="8">
        <v>958710</v>
      </c>
      <c r="W9" s="8">
        <v>6004545</v>
      </c>
    </row>
    <row r="10" spans="1:23" x14ac:dyDescent="0.25">
      <c r="A10" s="5">
        <v>44256</v>
      </c>
      <c r="B10" s="2">
        <v>2</v>
      </c>
      <c r="C10" s="2">
        <v>34</v>
      </c>
      <c r="D10" s="2" t="s">
        <v>16</v>
      </c>
      <c r="E10" s="2" t="s">
        <v>21</v>
      </c>
      <c r="F10" s="2" t="s">
        <v>22</v>
      </c>
      <c r="G10" s="2">
        <v>1261</v>
      </c>
      <c r="H10" s="3">
        <v>44273</v>
      </c>
      <c r="I10" s="4">
        <v>1250000</v>
      </c>
      <c r="J10" s="4">
        <v>0</v>
      </c>
      <c r="K10" s="4">
        <v>0</v>
      </c>
      <c r="L10" s="4">
        <v>0</v>
      </c>
      <c r="M10" s="4">
        <v>0</v>
      </c>
      <c r="N10" s="13">
        <v>1250000</v>
      </c>
      <c r="O10" s="10"/>
      <c r="P10" s="14" t="s">
        <v>65</v>
      </c>
      <c r="R10" s="7" t="s">
        <v>51</v>
      </c>
      <c r="S10" s="8">
        <v>0</v>
      </c>
      <c r="T10" s="8">
        <v>4147502</v>
      </c>
      <c r="U10" s="8">
        <v>0</v>
      </c>
      <c r="V10" s="8">
        <v>788026</v>
      </c>
      <c r="W10" s="8">
        <v>4935528</v>
      </c>
    </row>
    <row r="11" spans="1:23" x14ac:dyDescent="0.25">
      <c r="A11" s="5">
        <v>44317</v>
      </c>
      <c r="B11" s="2">
        <v>1</v>
      </c>
      <c r="C11" s="2">
        <v>33</v>
      </c>
      <c r="D11" s="2" t="s">
        <v>13</v>
      </c>
      <c r="E11" s="2" t="s">
        <v>23</v>
      </c>
      <c r="F11" s="2" t="s">
        <v>24</v>
      </c>
      <c r="G11" s="2">
        <v>137</v>
      </c>
      <c r="H11" s="3">
        <v>44328</v>
      </c>
      <c r="I11" s="4">
        <v>0</v>
      </c>
      <c r="J11" s="4">
        <v>138445</v>
      </c>
      <c r="K11" s="4">
        <v>0</v>
      </c>
      <c r="L11" s="4">
        <v>26305</v>
      </c>
      <c r="M11" s="4">
        <v>9</v>
      </c>
      <c r="N11" s="13">
        <v>164750</v>
      </c>
      <c r="O11" s="10"/>
      <c r="P11" t="s">
        <v>67</v>
      </c>
      <c r="R11" s="7" t="s">
        <v>52</v>
      </c>
      <c r="S11" s="8">
        <v>372760</v>
      </c>
      <c r="T11" s="8">
        <v>1545480</v>
      </c>
      <c r="U11" s="8">
        <v>0</v>
      </c>
      <c r="V11" s="8">
        <v>293641</v>
      </c>
      <c r="W11" s="8">
        <v>2211881</v>
      </c>
    </row>
    <row r="12" spans="1:23" x14ac:dyDescent="0.25">
      <c r="A12" s="5">
        <v>44317</v>
      </c>
      <c r="B12" s="2">
        <v>2</v>
      </c>
      <c r="C12" s="2">
        <v>34</v>
      </c>
      <c r="D12" s="2" t="s">
        <v>16</v>
      </c>
      <c r="E12" s="2" t="s">
        <v>17</v>
      </c>
      <c r="F12" s="2" t="s">
        <v>18</v>
      </c>
      <c r="G12" s="2">
        <v>423</v>
      </c>
      <c r="H12" s="3">
        <v>44318</v>
      </c>
      <c r="I12" s="4">
        <v>88506</v>
      </c>
      <c r="J12" s="4">
        <v>0</v>
      </c>
      <c r="K12" s="4">
        <v>0</v>
      </c>
      <c r="L12" s="4">
        <v>0</v>
      </c>
      <c r="M12" s="4">
        <v>0</v>
      </c>
      <c r="N12" s="4">
        <v>88506</v>
      </c>
      <c r="O12" s="10"/>
      <c r="P12" t="s">
        <v>66</v>
      </c>
      <c r="R12" s="7" t="s">
        <v>53</v>
      </c>
      <c r="S12" s="8">
        <v>0</v>
      </c>
      <c r="T12" s="8">
        <v>3925000</v>
      </c>
      <c r="U12" s="8">
        <v>0</v>
      </c>
      <c r="V12" s="8">
        <v>745750</v>
      </c>
      <c r="W12" s="8">
        <v>4670750</v>
      </c>
    </row>
    <row r="13" spans="1:23" x14ac:dyDescent="0.25">
      <c r="A13" s="5">
        <v>44348</v>
      </c>
      <c r="B13" s="2">
        <v>1</v>
      </c>
      <c r="C13" s="2">
        <v>33</v>
      </c>
      <c r="D13" s="2" t="s">
        <v>13</v>
      </c>
      <c r="E13" s="2" t="s">
        <v>25</v>
      </c>
      <c r="F13" s="2" t="s">
        <v>26</v>
      </c>
      <c r="G13" s="2">
        <v>112739</v>
      </c>
      <c r="H13" s="3">
        <v>44372</v>
      </c>
      <c r="I13" s="4">
        <v>0</v>
      </c>
      <c r="J13" s="4">
        <v>460000</v>
      </c>
      <c r="K13" s="4">
        <v>0</v>
      </c>
      <c r="L13" s="4">
        <v>87400</v>
      </c>
      <c r="M13" s="4">
        <v>9</v>
      </c>
      <c r="N13" s="4">
        <v>547400</v>
      </c>
      <c r="O13" s="10"/>
      <c r="P13" t="s">
        <v>66</v>
      </c>
      <c r="R13" s="7" t="s">
        <v>54</v>
      </c>
      <c r="S13" s="8">
        <v>0</v>
      </c>
      <c r="T13" s="8">
        <v>218000</v>
      </c>
      <c r="U13" s="8">
        <v>0</v>
      </c>
      <c r="V13" s="8">
        <v>41420</v>
      </c>
      <c r="W13" s="8">
        <v>259420</v>
      </c>
    </row>
    <row r="14" spans="1:23" x14ac:dyDescent="0.25">
      <c r="A14" s="5">
        <v>44348</v>
      </c>
      <c r="B14" s="2">
        <v>2</v>
      </c>
      <c r="C14" s="2">
        <v>33</v>
      </c>
      <c r="D14" s="2" t="s">
        <v>13</v>
      </c>
      <c r="E14" s="2" t="s">
        <v>25</v>
      </c>
      <c r="F14" s="2" t="s">
        <v>26</v>
      </c>
      <c r="G14" s="2">
        <v>112737</v>
      </c>
      <c r="H14" s="3">
        <v>44372</v>
      </c>
      <c r="I14" s="4">
        <v>0</v>
      </c>
      <c r="J14" s="4">
        <v>100000</v>
      </c>
      <c r="K14" s="4">
        <v>0</v>
      </c>
      <c r="L14" s="4">
        <v>19000</v>
      </c>
      <c r="M14" s="4">
        <v>9</v>
      </c>
      <c r="N14" s="4">
        <v>119000</v>
      </c>
      <c r="O14" s="10"/>
      <c r="P14" t="s">
        <v>66</v>
      </c>
      <c r="R14" s="7" t="s">
        <v>43</v>
      </c>
      <c r="S14" s="8">
        <v>2007190</v>
      </c>
      <c r="T14" s="8">
        <v>19562005</v>
      </c>
      <c r="U14" s="8">
        <v>1755</v>
      </c>
      <c r="V14" s="8">
        <v>3715028</v>
      </c>
      <c r="W14" s="8">
        <v>25285978</v>
      </c>
    </row>
    <row r="15" spans="1:23" x14ac:dyDescent="0.25">
      <c r="A15" s="5">
        <v>44348</v>
      </c>
      <c r="B15" s="2">
        <v>3</v>
      </c>
      <c r="C15" s="2">
        <v>33</v>
      </c>
      <c r="D15" s="2" t="s">
        <v>13</v>
      </c>
      <c r="E15" s="2" t="s">
        <v>25</v>
      </c>
      <c r="F15" s="2" t="s">
        <v>26</v>
      </c>
      <c r="G15" s="2">
        <v>112738</v>
      </c>
      <c r="H15" s="3">
        <v>44372</v>
      </c>
      <c r="I15" s="4">
        <v>0</v>
      </c>
      <c r="J15" s="4">
        <v>350000</v>
      </c>
      <c r="K15" s="4">
        <v>0</v>
      </c>
      <c r="L15" s="4">
        <v>66500</v>
      </c>
      <c r="M15" s="4">
        <v>9</v>
      </c>
      <c r="N15" s="4">
        <v>416500</v>
      </c>
      <c r="O15" s="10"/>
      <c r="P15" t="s">
        <v>66</v>
      </c>
    </row>
    <row r="16" spans="1:23" x14ac:dyDescent="0.25">
      <c r="A16" s="5">
        <v>44348</v>
      </c>
      <c r="B16" s="2">
        <v>4</v>
      </c>
      <c r="C16" s="2">
        <v>33</v>
      </c>
      <c r="D16" s="2" t="s">
        <v>13</v>
      </c>
      <c r="E16" s="2" t="s">
        <v>19</v>
      </c>
      <c r="F16" s="2" t="s">
        <v>20</v>
      </c>
      <c r="G16" s="2">
        <v>67069</v>
      </c>
      <c r="H16" s="3">
        <v>44349</v>
      </c>
      <c r="I16" s="4">
        <v>0</v>
      </c>
      <c r="J16" s="4">
        <v>12865</v>
      </c>
      <c r="K16" s="4">
        <v>0</v>
      </c>
      <c r="L16" s="4">
        <v>2444</v>
      </c>
      <c r="M16" s="4">
        <v>9</v>
      </c>
      <c r="N16" s="4">
        <v>15309</v>
      </c>
      <c r="O16" s="10" t="s">
        <v>62</v>
      </c>
      <c r="P16" t="s">
        <v>66</v>
      </c>
    </row>
    <row r="17" spans="1:16" x14ac:dyDescent="0.25">
      <c r="A17" s="5">
        <v>44348</v>
      </c>
      <c r="B17" s="2">
        <v>5</v>
      </c>
      <c r="C17" s="2">
        <v>33</v>
      </c>
      <c r="D17" s="2" t="s">
        <v>13</v>
      </c>
      <c r="E17" s="2" t="s">
        <v>19</v>
      </c>
      <c r="F17" s="2" t="s">
        <v>20</v>
      </c>
      <c r="G17" s="2">
        <v>67085</v>
      </c>
      <c r="H17" s="3">
        <v>44350</v>
      </c>
      <c r="I17" s="4">
        <v>0</v>
      </c>
      <c r="J17" s="4">
        <v>10624</v>
      </c>
      <c r="K17" s="4">
        <v>0</v>
      </c>
      <c r="L17" s="4">
        <v>2018</v>
      </c>
      <c r="M17" s="4">
        <v>9</v>
      </c>
      <c r="N17" s="4">
        <v>12642</v>
      </c>
      <c r="O17" s="10"/>
      <c r="P17" t="s">
        <v>66</v>
      </c>
    </row>
    <row r="18" spans="1:16" x14ac:dyDescent="0.25">
      <c r="A18" s="5">
        <v>44348</v>
      </c>
      <c r="B18" s="2">
        <v>6</v>
      </c>
      <c r="C18" s="2">
        <v>34</v>
      </c>
      <c r="D18" s="2" t="s">
        <v>16</v>
      </c>
      <c r="E18" s="2" t="s">
        <v>27</v>
      </c>
      <c r="F18" s="2" t="s">
        <v>28</v>
      </c>
      <c r="G18" s="2">
        <v>4793268</v>
      </c>
      <c r="H18" s="3">
        <v>44374</v>
      </c>
      <c r="I18" s="4">
        <v>145612</v>
      </c>
      <c r="J18" s="4">
        <v>0</v>
      </c>
      <c r="K18" s="4">
        <v>0</v>
      </c>
      <c r="L18" s="4">
        <v>0</v>
      </c>
      <c r="M18" s="4">
        <v>0</v>
      </c>
      <c r="N18" s="4">
        <v>145612</v>
      </c>
      <c r="O18" s="10"/>
      <c r="P18" t="s">
        <v>66</v>
      </c>
    </row>
    <row r="19" spans="1:16" x14ac:dyDescent="0.25">
      <c r="A19" s="5">
        <v>44348</v>
      </c>
      <c r="B19" s="2">
        <v>7</v>
      </c>
      <c r="C19" s="2">
        <v>34</v>
      </c>
      <c r="D19" s="2" t="s">
        <v>16</v>
      </c>
      <c r="E19" s="2" t="s">
        <v>27</v>
      </c>
      <c r="F19" s="2" t="s">
        <v>28</v>
      </c>
      <c r="G19" s="2">
        <v>4793270</v>
      </c>
      <c r="H19" s="3">
        <v>44374</v>
      </c>
      <c r="I19" s="4">
        <v>62806</v>
      </c>
      <c r="J19" s="4">
        <v>0</v>
      </c>
      <c r="K19" s="4">
        <v>0</v>
      </c>
      <c r="L19" s="4">
        <v>0</v>
      </c>
      <c r="M19" s="4">
        <v>0</v>
      </c>
      <c r="N19" s="4">
        <v>62806</v>
      </c>
      <c r="O19" s="10"/>
      <c r="P19" t="s">
        <v>66</v>
      </c>
    </row>
    <row r="20" spans="1:16" x14ac:dyDescent="0.25">
      <c r="A20" s="5">
        <v>44378</v>
      </c>
      <c r="B20" s="2">
        <v>1</v>
      </c>
      <c r="C20" s="2">
        <v>33</v>
      </c>
      <c r="D20" s="2" t="s">
        <v>13</v>
      </c>
      <c r="E20" s="2" t="s">
        <v>29</v>
      </c>
      <c r="F20" s="2" t="s">
        <v>30</v>
      </c>
      <c r="G20" s="2">
        <v>37162294</v>
      </c>
      <c r="H20" s="3">
        <v>44405</v>
      </c>
      <c r="I20" s="4">
        <v>0</v>
      </c>
      <c r="J20" s="4">
        <v>5742</v>
      </c>
      <c r="K20" s="4">
        <v>0</v>
      </c>
      <c r="L20" s="4">
        <v>1091</v>
      </c>
      <c r="M20" s="4">
        <v>9</v>
      </c>
      <c r="N20" s="13">
        <v>6833</v>
      </c>
      <c r="O20" s="10"/>
      <c r="P20" t="s">
        <v>67</v>
      </c>
    </row>
    <row r="21" spans="1:16" x14ac:dyDescent="0.25">
      <c r="A21" s="5">
        <v>44378</v>
      </c>
      <c r="B21" s="2">
        <v>2</v>
      </c>
      <c r="C21" s="2">
        <v>33</v>
      </c>
      <c r="D21" s="2" t="s">
        <v>13</v>
      </c>
      <c r="E21" s="2" t="s">
        <v>31</v>
      </c>
      <c r="F21" s="2" t="s">
        <v>32</v>
      </c>
      <c r="G21" s="2">
        <v>14580</v>
      </c>
      <c r="H21" s="3">
        <v>44393</v>
      </c>
      <c r="I21" s="4">
        <v>0</v>
      </c>
      <c r="J21" s="4">
        <v>188303</v>
      </c>
      <c r="K21" s="4">
        <v>0</v>
      </c>
      <c r="L21" s="4">
        <v>35778</v>
      </c>
      <c r="M21" s="4">
        <v>9</v>
      </c>
      <c r="N21" s="4">
        <v>224081</v>
      </c>
      <c r="O21" s="10"/>
      <c r="P21" t="s">
        <v>66</v>
      </c>
    </row>
    <row r="22" spans="1:16" x14ac:dyDescent="0.25">
      <c r="A22" s="5">
        <v>44378</v>
      </c>
      <c r="B22" s="2">
        <v>3</v>
      </c>
      <c r="C22" s="2">
        <v>33</v>
      </c>
      <c r="D22" s="2" t="s">
        <v>13</v>
      </c>
      <c r="E22" s="2" t="s">
        <v>25</v>
      </c>
      <c r="F22" s="2" t="s">
        <v>26</v>
      </c>
      <c r="G22" s="2">
        <v>113182</v>
      </c>
      <c r="H22" s="3">
        <v>44392</v>
      </c>
      <c r="I22" s="4">
        <v>0</v>
      </c>
      <c r="J22" s="4">
        <v>200000</v>
      </c>
      <c r="K22" s="4">
        <v>0</v>
      </c>
      <c r="L22" s="4">
        <v>38000</v>
      </c>
      <c r="M22" s="4">
        <v>9</v>
      </c>
      <c r="N22" s="4">
        <v>238000</v>
      </c>
      <c r="O22" s="10"/>
      <c r="P22" t="s">
        <v>66</v>
      </c>
    </row>
    <row r="23" spans="1:16" x14ac:dyDescent="0.25">
      <c r="A23" s="5">
        <v>44378</v>
      </c>
      <c r="B23" s="2">
        <v>4</v>
      </c>
      <c r="C23" s="2">
        <v>33</v>
      </c>
      <c r="D23" s="2" t="s">
        <v>13</v>
      </c>
      <c r="E23" s="2" t="s">
        <v>25</v>
      </c>
      <c r="F23" s="2" t="s">
        <v>26</v>
      </c>
      <c r="G23" s="2">
        <v>113184</v>
      </c>
      <c r="H23" s="3">
        <v>44392</v>
      </c>
      <c r="I23" s="4">
        <v>0</v>
      </c>
      <c r="J23" s="4">
        <v>752000</v>
      </c>
      <c r="K23" s="4">
        <v>0</v>
      </c>
      <c r="L23" s="4">
        <v>142880</v>
      </c>
      <c r="M23" s="4">
        <v>9</v>
      </c>
      <c r="N23" s="4">
        <v>894880</v>
      </c>
      <c r="O23" s="10"/>
      <c r="P23" t="s">
        <v>66</v>
      </c>
    </row>
    <row r="24" spans="1:16" x14ac:dyDescent="0.25">
      <c r="A24" s="5">
        <v>44378</v>
      </c>
      <c r="B24" s="2">
        <v>5</v>
      </c>
      <c r="C24" s="2">
        <v>33</v>
      </c>
      <c r="D24" s="2" t="s">
        <v>13</v>
      </c>
      <c r="E24" s="2" t="s">
        <v>25</v>
      </c>
      <c r="F24" s="2" t="s">
        <v>26</v>
      </c>
      <c r="G24" s="2">
        <v>113183</v>
      </c>
      <c r="H24" s="3">
        <v>44392</v>
      </c>
      <c r="I24" s="4">
        <v>0</v>
      </c>
      <c r="J24" s="4">
        <v>280000</v>
      </c>
      <c r="K24" s="4">
        <v>0</v>
      </c>
      <c r="L24" s="4">
        <v>53200</v>
      </c>
      <c r="M24" s="4">
        <v>9</v>
      </c>
      <c r="N24" s="4">
        <v>333200</v>
      </c>
      <c r="O24" s="10"/>
      <c r="P24" t="s">
        <v>66</v>
      </c>
    </row>
    <row r="25" spans="1:16" x14ac:dyDescent="0.25">
      <c r="A25" s="5">
        <v>44378</v>
      </c>
      <c r="B25" s="2">
        <v>6</v>
      </c>
      <c r="C25" s="2">
        <v>33</v>
      </c>
      <c r="D25" s="2" t="s">
        <v>13</v>
      </c>
      <c r="E25" s="2" t="s">
        <v>33</v>
      </c>
      <c r="F25" s="2" t="s">
        <v>34</v>
      </c>
      <c r="G25" s="2">
        <v>644</v>
      </c>
      <c r="H25" s="3">
        <v>44386</v>
      </c>
      <c r="I25" s="4">
        <v>0</v>
      </c>
      <c r="J25" s="4">
        <v>218000</v>
      </c>
      <c r="K25" s="4">
        <v>0</v>
      </c>
      <c r="L25" s="4">
        <v>41420</v>
      </c>
      <c r="M25" s="4">
        <v>9</v>
      </c>
      <c r="N25" s="13">
        <v>259420</v>
      </c>
      <c r="O25" s="10"/>
      <c r="P25" t="s">
        <v>67</v>
      </c>
    </row>
    <row r="26" spans="1:16" x14ac:dyDescent="0.25">
      <c r="A26" s="5">
        <v>44378</v>
      </c>
      <c r="B26" s="2">
        <v>7</v>
      </c>
      <c r="C26" s="2">
        <v>33</v>
      </c>
      <c r="D26" s="2" t="s">
        <v>13</v>
      </c>
      <c r="E26" s="2" t="s">
        <v>33</v>
      </c>
      <c r="F26" s="2" t="s">
        <v>34</v>
      </c>
      <c r="G26" s="2">
        <v>643</v>
      </c>
      <c r="H26" s="3">
        <v>44386</v>
      </c>
      <c r="I26" s="4">
        <v>0</v>
      </c>
      <c r="J26" s="4">
        <v>258000</v>
      </c>
      <c r="K26" s="4">
        <v>0</v>
      </c>
      <c r="L26" s="4">
        <v>49020</v>
      </c>
      <c r="M26" s="4">
        <v>9</v>
      </c>
      <c r="N26" s="13">
        <v>307020</v>
      </c>
      <c r="O26" s="10"/>
      <c r="P26" t="s">
        <v>67</v>
      </c>
    </row>
    <row r="27" spans="1:16" x14ac:dyDescent="0.25">
      <c r="A27" s="5">
        <v>44378</v>
      </c>
      <c r="B27" s="2">
        <v>8</v>
      </c>
      <c r="C27" s="2">
        <v>33</v>
      </c>
      <c r="D27" s="2" t="s">
        <v>13</v>
      </c>
      <c r="E27" s="2" t="s">
        <v>25</v>
      </c>
      <c r="F27" s="2" t="s">
        <v>26</v>
      </c>
      <c r="G27" s="2">
        <v>112987</v>
      </c>
      <c r="H27" s="3">
        <v>44384</v>
      </c>
      <c r="I27" s="4">
        <v>0</v>
      </c>
      <c r="J27" s="4">
        <v>200000</v>
      </c>
      <c r="K27" s="4">
        <v>0</v>
      </c>
      <c r="L27" s="4">
        <v>38000</v>
      </c>
      <c r="M27" s="4">
        <v>9</v>
      </c>
      <c r="N27" s="4">
        <v>238000</v>
      </c>
      <c r="O27" s="10"/>
      <c r="P27" t="s">
        <v>66</v>
      </c>
    </row>
    <row r="28" spans="1:16" x14ac:dyDescent="0.25">
      <c r="A28" s="5">
        <v>44378</v>
      </c>
      <c r="B28" s="2">
        <v>9</v>
      </c>
      <c r="C28" s="2">
        <v>33</v>
      </c>
      <c r="D28" s="2" t="s">
        <v>13</v>
      </c>
      <c r="E28" s="2" t="s">
        <v>25</v>
      </c>
      <c r="F28" s="2" t="s">
        <v>26</v>
      </c>
      <c r="G28" s="2">
        <v>112988</v>
      </c>
      <c r="H28" s="3">
        <v>44384</v>
      </c>
      <c r="I28" s="4">
        <v>0</v>
      </c>
      <c r="J28" s="4">
        <v>592000</v>
      </c>
      <c r="K28" s="4">
        <v>0</v>
      </c>
      <c r="L28" s="4">
        <v>112480</v>
      </c>
      <c r="M28" s="4">
        <v>9</v>
      </c>
      <c r="N28" s="4">
        <v>704480</v>
      </c>
      <c r="O28" s="10"/>
      <c r="P28" t="s">
        <v>66</v>
      </c>
    </row>
    <row r="29" spans="1:16" x14ac:dyDescent="0.25">
      <c r="A29" s="5">
        <v>44378</v>
      </c>
      <c r="B29" s="2">
        <v>10</v>
      </c>
      <c r="C29" s="2">
        <v>33</v>
      </c>
      <c r="D29" s="2" t="s">
        <v>13</v>
      </c>
      <c r="E29" s="2" t="s">
        <v>35</v>
      </c>
      <c r="F29" s="2" t="s">
        <v>36</v>
      </c>
      <c r="G29" s="2">
        <v>956013</v>
      </c>
      <c r="H29" s="3">
        <v>44382</v>
      </c>
      <c r="I29" s="4">
        <v>0</v>
      </c>
      <c r="J29" s="4">
        <v>321744</v>
      </c>
      <c r="K29" s="4">
        <v>0</v>
      </c>
      <c r="L29" s="4">
        <v>61131</v>
      </c>
      <c r="M29" s="4">
        <v>9</v>
      </c>
      <c r="N29" s="4">
        <v>382875</v>
      </c>
      <c r="O29" s="10"/>
      <c r="P29" t="s">
        <v>66</v>
      </c>
    </row>
    <row r="30" spans="1:16" x14ac:dyDescent="0.25">
      <c r="A30" s="5">
        <v>44378</v>
      </c>
      <c r="B30" s="2">
        <v>11</v>
      </c>
      <c r="C30" s="2">
        <v>33</v>
      </c>
      <c r="D30" s="2" t="s">
        <v>13</v>
      </c>
      <c r="E30" s="2" t="s">
        <v>33</v>
      </c>
      <c r="F30" s="2" t="s">
        <v>34</v>
      </c>
      <c r="G30" s="2">
        <v>642</v>
      </c>
      <c r="H30" s="3">
        <v>44378</v>
      </c>
      <c r="I30" s="4">
        <v>0</v>
      </c>
      <c r="J30" s="4">
        <v>258000</v>
      </c>
      <c r="K30" s="4">
        <v>0</v>
      </c>
      <c r="L30" s="4">
        <v>49020</v>
      </c>
      <c r="M30" s="4">
        <v>9</v>
      </c>
      <c r="N30" s="4">
        <v>307020</v>
      </c>
      <c r="O30" s="10"/>
      <c r="P30" t="s">
        <v>66</v>
      </c>
    </row>
    <row r="31" spans="1:16" x14ac:dyDescent="0.25">
      <c r="A31" s="5">
        <v>44378</v>
      </c>
      <c r="B31" s="2">
        <v>12</v>
      </c>
      <c r="C31" s="2">
        <v>61</v>
      </c>
      <c r="D31" s="2" t="s">
        <v>13</v>
      </c>
      <c r="E31" s="2" t="s">
        <v>33</v>
      </c>
      <c r="F31" s="2" t="s">
        <v>34</v>
      </c>
      <c r="G31" s="2">
        <v>24</v>
      </c>
      <c r="H31" s="3">
        <v>44386</v>
      </c>
      <c r="I31" s="4">
        <v>0</v>
      </c>
      <c r="J31" s="4">
        <v>-258000</v>
      </c>
      <c r="K31" s="4">
        <v>0</v>
      </c>
      <c r="L31" s="4">
        <v>-49020</v>
      </c>
      <c r="M31" s="4">
        <v>9</v>
      </c>
      <c r="N31" s="4">
        <v>-307020</v>
      </c>
      <c r="O31" s="10"/>
      <c r="P31" t="s">
        <v>66</v>
      </c>
    </row>
    <row r="32" spans="1:16" x14ac:dyDescent="0.25">
      <c r="A32" s="5">
        <v>44409</v>
      </c>
      <c r="B32" s="2">
        <v>1</v>
      </c>
      <c r="C32" s="2">
        <v>33</v>
      </c>
      <c r="D32" s="2" t="s">
        <v>13</v>
      </c>
      <c r="E32" s="2" t="s">
        <v>25</v>
      </c>
      <c r="F32" s="2" t="s">
        <v>26</v>
      </c>
      <c r="G32" s="2">
        <v>114876</v>
      </c>
      <c r="H32" s="3">
        <v>44439</v>
      </c>
      <c r="I32" s="4">
        <v>0</v>
      </c>
      <c r="J32" s="4">
        <v>1000000</v>
      </c>
      <c r="K32" s="4">
        <v>0</v>
      </c>
      <c r="L32" s="4">
        <v>190000</v>
      </c>
      <c r="M32" s="4">
        <v>9</v>
      </c>
      <c r="N32" s="4">
        <v>1190000</v>
      </c>
      <c r="O32" s="10"/>
      <c r="P32" t="s">
        <v>66</v>
      </c>
    </row>
    <row r="33" spans="1:16" x14ac:dyDescent="0.25">
      <c r="A33" s="5">
        <v>44409</v>
      </c>
      <c r="B33" s="2">
        <v>2</v>
      </c>
      <c r="C33" s="2">
        <v>33</v>
      </c>
      <c r="D33" s="2" t="s">
        <v>13</v>
      </c>
      <c r="E33" s="2" t="s">
        <v>37</v>
      </c>
      <c r="F33" s="2" t="s">
        <v>38</v>
      </c>
      <c r="G33" s="2">
        <v>16</v>
      </c>
      <c r="H33" s="3">
        <v>44439</v>
      </c>
      <c r="I33" s="4">
        <v>0</v>
      </c>
      <c r="J33" s="4">
        <v>1590000</v>
      </c>
      <c r="K33" s="4">
        <v>0</v>
      </c>
      <c r="L33" s="4">
        <v>302100</v>
      </c>
      <c r="M33" s="4">
        <v>9</v>
      </c>
      <c r="N33" s="4">
        <v>1892100</v>
      </c>
      <c r="O33" s="10"/>
      <c r="P33" t="s">
        <v>66</v>
      </c>
    </row>
    <row r="34" spans="1:16" x14ac:dyDescent="0.25">
      <c r="A34" s="5">
        <v>44409</v>
      </c>
      <c r="B34" s="2">
        <v>3</v>
      </c>
      <c r="C34" s="2">
        <v>33</v>
      </c>
      <c r="D34" s="2" t="s">
        <v>13</v>
      </c>
      <c r="E34" s="2" t="s">
        <v>25</v>
      </c>
      <c r="F34" s="2" t="s">
        <v>26</v>
      </c>
      <c r="G34" s="2">
        <v>114883</v>
      </c>
      <c r="H34" s="3">
        <v>44439</v>
      </c>
      <c r="I34" s="4">
        <v>0</v>
      </c>
      <c r="J34" s="4">
        <v>724000</v>
      </c>
      <c r="K34" s="4">
        <v>0</v>
      </c>
      <c r="L34" s="4">
        <v>137560</v>
      </c>
      <c r="M34" s="4">
        <v>9</v>
      </c>
      <c r="N34" s="4">
        <v>861560</v>
      </c>
      <c r="O34" s="10"/>
      <c r="P34" t="s">
        <v>66</v>
      </c>
    </row>
    <row r="35" spans="1:16" x14ac:dyDescent="0.25">
      <c r="A35" s="5">
        <v>44409</v>
      </c>
      <c r="B35" s="2">
        <v>4</v>
      </c>
      <c r="C35" s="2">
        <v>33</v>
      </c>
      <c r="D35" s="2" t="s">
        <v>13</v>
      </c>
      <c r="E35" s="2" t="s">
        <v>25</v>
      </c>
      <c r="F35" s="2" t="s">
        <v>26</v>
      </c>
      <c r="G35" s="2">
        <v>114872</v>
      </c>
      <c r="H35" s="3">
        <v>44439</v>
      </c>
      <c r="I35" s="4">
        <v>0</v>
      </c>
      <c r="J35" s="4">
        <v>200000</v>
      </c>
      <c r="K35" s="4">
        <v>0</v>
      </c>
      <c r="L35" s="4">
        <v>38000</v>
      </c>
      <c r="M35" s="4">
        <v>9</v>
      </c>
      <c r="N35" s="4">
        <v>238000</v>
      </c>
      <c r="O35" s="10"/>
      <c r="P35" t="s">
        <v>66</v>
      </c>
    </row>
    <row r="36" spans="1:16" x14ac:dyDescent="0.25">
      <c r="A36" s="5">
        <v>44409</v>
      </c>
      <c r="B36" s="2">
        <v>5</v>
      </c>
      <c r="C36" s="2">
        <v>33</v>
      </c>
      <c r="D36" s="2" t="s">
        <v>13</v>
      </c>
      <c r="E36" s="2" t="s">
        <v>25</v>
      </c>
      <c r="F36" s="2" t="s">
        <v>26</v>
      </c>
      <c r="G36" s="2">
        <v>114873</v>
      </c>
      <c r="H36" s="3">
        <v>44439</v>
      </c>
      <c r="I36" s="4">
        <v>0</v>
      </c>
      <c r="J36" s="4">
        <v>900000</v>
      </c>
      <c r="K36" s="4">
        <v>0</v>
      </c>
      <c r="L36" s="4">
        <v>171000</v>
      </c>
      <c r="M36" s="4">
        <v>9</v>
      </c>
      <c r="N36" s="4">
        <v>1071000</v>
      </c>
      <c r="O36" s="10"/>
      <c r="P36" t="s">
        <v>66</v>
      </c>
    </row>
    <row r="37" spans="1:16" x14ac:dyDescent="0.25">
      <c r="A37" s="5">
        <v>44409</v>
      </c>
      <c r="B37" s="2">
        <v>6</v>
      </c>
      <c r="C37" s="2">
        <v>33</v>
      </c>
      <c r="D37" s="2" t="s">
        <v>13</v>
      </c>
      <c r="E37" s="2" t="s">
        <v>25</v>
      </c>
      <c r="F37" s="2" t="s">
        <v>26</v>
      </c>
      <c r="G37" s="2">
        <v>114882</v>
      </c>
      <c r="H37" s="3">
        <v>44439</v>
      </c>
      <c r="I37" s="4">
        <v>0</v>
      </c>
      <c r="J37" s="4">
        <v>210000</v>
      </c>
      <c r="K37" s="4">
        <v>0</v>
      </c>
      <c r="L37" s="4">
        <v>39900</v>
      </c>
      <c r="M37" s="4">
        <v>9</v>
      </c>
      <c r="N37" s="4">
        <v>249900</v>
      </c>
      <c r="O37" s="10"/>
      <c r="P37" t="s">
        <v>66</v>
      </c>
    </row>
    <row r="38" spans="1:16" x14ac:dyDescent="0.25">
      <c r="A38" s="5">
        <v>44409</v>
      </c>
      <c r="B38" s="2">
        <v>7</v>
      </c>
      <c r="C38" s="2">
        <v>33</v>
      </c>
      <c r="D38" s="2" t="s">
        <v>13</v>
      </c>
      <c r="E38" s="2" t="s">
        <v>25</v>
      </c>
      <c r="F38" s="2" t="s">
        <v>26</v>
      </c>
      <c r="G38" s="2">
        <v>114881</v>
      </c>
      <c r="H38" s="3">
        <v>44439</v>
      </c>
      <c r="I38" s="4">
        <v>0</v>
      </c>
      <c r="J38" s="4">
        <v>200000</v>
      </c>
      <c r="K38" s="4">
        <v>0</v>
      </c>
      <c r="L38" s="4">
        <v>38000</v>
      </c>
      <c r="M38" s="4">
        <v>9</v>
      </c>
      <c r="N38" s="4">
        <v>238000</v>
      </c>
      <c r="O38" s="10"/>
      <c r="P38" t="s">
        <v>66</v>
      </c>
    </row>
    <row r="39" spans="1:16" x14ac:dyDescent="0.25">
      <c r="A39" s="5">
        <v>44409</v>
      </c>
      <c r="B39" s="2">
        <v>8</v>
      </c>
      <c r="C39" s="2">
        <v>33</v>
      </c>
      <c r="D39" s="2" t="s">
        <v>13</v>
      </c>
      <c r="E39" s="2" t="s">
        <v>29</v>
      </c>
      <c r="F39" s="2" t="s">
        <v>30</v>
      </c>
      <c r="G39" s="2">
        <v>37439348</v>
      </c>
      <c r="H39" s="3">
        <v>44435</v>
      </c>
      <c r="I39" s="4">
        <v>0</v>
      </c>
      <c r="J39" s="4">
        <v>3835</v>
      </c>
      <c r="K39" s="4">
        <v>0</v>
      </c>
      <c r="L39" s="4">
        <v>730</v>
      </c>
      <c r="M39" s="4">
        <v>9</v>
      </c>
      <c r="N39" s="13">
        <v>4565</v>
      </c>
      <c r="O39" s="10"/>
      <c r="P39" t="s">
        <v>67</v>
      </c>
    </row>
    <row r="40" spans="1:16" x14ac:dyDescent="0.25">
      <c r="A40" s="5">
        <v>44409</v>
      </c>
      <c r="B40" s="2">
        <v>9</v>
      </c>
      <c r="C40" s="2">
        <v>33</v>
      </c>
      <c r="D40" s="2" t="s">
        <v>13</v>
      </c>
      <c r="E40" s="2" t="s">
        <v>33</v>
      </c>
      <c r="F40" s="2" t="s">
        <v>34</v>
      </c>
      <c r="G40" s="2">
        <v>658</v>
      </c>
      <c r="H40" s="3">
        <v>44425</v>
      </c>
      <c r="I40" s="4">
        <v>0</v>
      </c>
      <c r="J40" s="4">
        <v>218000</v>
      </c>
      <c r="K40" s="4">
        <v>0</v>
      </c>
      <c r="L40" s="4">
        <v>41420</v>
      </c>
      <c r="M40" s="4">
        <v>9</v>
      </c>
      <c r="N40" s="13">
        <v>259420</v>
      </c>
      <c r="O40" s="10"/>
      <c r="P40" t="s">
        <v>67</v>
      </c>
    </row>
    <row r="41" spans="1:16" x14ac:dyDescent="0.25">
      <c r="A41" s="5">
        <v>44440</v>
      </c>
      <c r="B41" s="2">
        <v>1</v>
      </c>
      <c r="C41" s="2">
        <v>33</v>
      </c>
      <c r="D41" s="2" t="s">
        <v>13</v>
      </c>
      <c r="E41" s="2" t="s">
        <v>37</v>
      </c>
      <c r="F41" s="2" t="s">
        <v>38</v>
      </c>
      <c r="G41" s="2">
        <v>17</v>
      </c>
      <c r="H41" s="3">
        <v>44469</v>
      </c>
      <c r="I41" s="4">
        <v>0</v>
      </c>
      <c r="J41" s="4">
        <v>745000</v>
      </c>
      <c r="K41" s="4">
        <v>0</v>
      </c>
      <c r="L41" s="4">
        <v>141550</v>
      </c>
      <c r="M41" s="4">
        <v>9</v>
      </c>
      <c r="N41" s="4">
        <v>886550</v>
      </c>
      <c r="O41" s="10"/>
      <c r="P41" t="s">
        <v>66</v>
      </c>
    </row>
    <row r="42" spans="1:16" x14ac:dyDescent="0.25">
      <c r="A42" s="5">
        <v>44440</v>
      </c>
      <c r="B42" s="2">
        <v>2</v>
      </c>
      <c r="C42" s="2">
        <v>33</v>
      </c>
      <c r="D42" s="2" t="s">
        <v>13</v>
      </c>
      <c r="E42" s="2" t="s">
        <v>25</v>
      </c>
      <c r="F42" s="2" t="s">
        <v>26</v>
      </c>
      <c r="G42" s="2">
        <v>115302</v>
      </c>
      <c r="H42" s="3">
        <v>44459</v>
      </c>
      <c r="I42" s="4">
        <v>0</v>
      </c>
      <c r="J42" s="4">
        <v>920000</v>
      </c>
      <c r="K42" s="4">
        <v>0</v>
      </c>
      <c r="L42" s="4">
        <v>174800</v>
      </c>
      <c r="M42" s="4">
        <v>9</v>
      </c>
      <c r="N42" s="4">
        <v>1094800</v>
      </c>
      <c r="O42" s="10"/>
      <c r="P42" t="s">
        <v>66</v>
      </c>
    </row>
    <row r="43" spans="1:16" x14ac:dyDescent="0.25">
      <c r="A43" s="5">
        <v>44440</v>
      </c>
      <c r="B43" s="2">
        <v>3</v>
      </c>
      <c r="C43" s="2">
        <v>33</v>
      </c>
      <c r="D43" s="2" t="s">
        <v>13</v>
      </c>
      <c r="E43" s="2" t="s">
        <v>25</v>
      </c>
      <c r="F43" s="2" t="s">
        <v>26</v>
      </c>
      <c r="G43" s="2">
        <v>115300</v>
      </c>
      <c r="H43" s="3">
        <v>44459</v>
      </c>
      <c r="I43" s="4">
        <v>0</v>
      </c>
      <c r="J43" s="4">
        <v>200000</v>
      </c>
      <c r="K43" s="4">
        <v>0</v>
      </c>
      <c r="L43" s="4">
        <v>38000</v>
      </c>
      <c r="M43" s="4">
        <v>9</v>
      </c>
      <c r="N43" s="4">
        <v>238000</v>
      </c>
      <c r="O43" s="10"/>
      <c r="P43" t="s">
        <v>66</v>
      </c>
    </row>
    <row r="44" spans="1:16" x14ac:dyDescent="0.25">
      <c r="A44" s="5">
        <v>44440</v>
      </c>
      <c r="B44" s="2">
        <v>4</v>
      </c>
      <c r="C44" s="2">
        <v>33</v>
      </c>
      <c r="D44" s="2" t="s">
        <v>13</v>
      </c>
      <c r="E44" s="2" t="s">
        <v>25</v>
      </c>
      <c r="F44" s="2" t="s">
        <v>26</v>
      </c>
      <c r="G44" s="2">
        <v>115301</v>
      </c>
      <c r="H44" s="3">
        <v>44459</v>
      </c>
      <c r="I44" s="4">
        <v>0</v>
      </c>
      <c r="J44" s="4">
        <v>700000</v>
      </c>
      <c r="K44" s="4">
        <v>0</v>
      </c>
      <c r="L44" s="4">
        <v>133000</v>
      </c>
      <c r="M44" s="4">
        <v>9</v>
      </c>
      <c r="N44" s="4">
        <v>833000</v>
      </c>
      <c r="O44" s="10"/>
      <c r="P44" t="s">
        <v>66</v>
      </c>
    </row>
    <row r="45" spans="1:16" x14ac:dyDescent="0.25">
      <c r="A45" s="5">
        <v>44440</v>
      </c>
      <c r="B45" s="2">
        <v>5</v>
      </c>
      <c r="C45" s="2">
        <v>33</v>
      </c>
      <c r="D45" s="2" t="s">
        <v>13</v>
      </c>
      <c r="E45" s="2" t="s">
        <v>33</v>
      </c>
      <c r="F45" s="2" t="s">
        <v>34</v>
      </c>
      <c r="G45" s="2">
        <v>671</v>
      </c>
      <c r="H45" s="3">
        <v>44453</v>
      </c>
      <c r="I45" s="4">
        <v>0</v>
      </c>
      <c r="J45" s="4">
        <v>480000</v>
      </c>
      <c r="K45" s="4">
        <v>0</v>
      </c>
      <c r="L45" s="4">
        <v>91200</v>
      </c>
      <c r="M45" s="4">
        <v>9</v>
      </c>
      <c r="N45" s="13">
        <v>571200</v>
      </c>
      <c r="O45" s="10"/>
      <c r="P45" t="s">
        <v>67</v>
      </c>
    </row>
    <row r="46" spans="1:16" x14ac:dyDescent="0.25">
      <c r="A46" s="5">
        <v>44440</v>
      </c>
      <c r="B46" s="2">
        <v>6</v>
      </c>
      <c r="C46" s="2">
        <v>33</v>
      </c>
      <c r="D46" s="2" t="s">
        <v>13</v>
      </c>
      <c r="E46" s="2" t="s">
        <v>33</v>
      </c>
      <c r="F46" s="2" t="s">
        <v>34</v>
      </c>
      <c r="G46" s="2">
        <v>668</v>
      </c>
      <c r="H46" s="3">
        <v>44441</v>
      </c>
      <c r="I46" s="4">
        <v>0</v>
      </c>
      <c r="J46" s="4">
        <v>932000</v>
      </c>
      <c r="K46" s="4">
        <v>0</v>
      </c>
      <c r="L46" s="4">
        <v>177080</v>
      </c>
      <c r="M46" s="4">
        <v>9</v>
      </c>
      <c r="N46" s="13">
        <v>1109080</v>
      </c>
      <c r="O46" s="10"/>
      <c r="P46" t="s">
        <v>67</v>
      </c>
    </row>
    <row r="47" spans="1:16" x14ac:dyDescent="0.25">
      <c r="A47" s="5">
        <v>44440</v>
      </c>
      <c r="B47" s="2">
        <v>7</v>
      </c>
      <c r="C47" s="2">
        <v>33</v>
      </c>
      <c r="D47" s="2" t="s">
        <v>13</v>
      </c>
      <c r="E47" s="2" t="s">
        <v>19</v>
      </c>
      <c r="F47" s="2" t="s">
        <v>20</v>
      </c>
      <c r="G47" s="2">
        <v>68672</v>
      </c>
      <c r="H47" s="3">
        <v>44446</v>
      </c>
      <c r="I47" s="4">
        <v>0</v>
      </c>
      <c r="J47" s="4">
        <v>5794</v>
      </c>
      <c r="K47" s="4">
        <v>0</v>
      </c>
      <c r="L47" s="4">
        <v>1101</v>
      </c>
      <c r="M47" s="4">
        <v>9</v>
      </c>
      <c r="N47" s="13">
        <v>6895</v>
      </c>
      <c r="O47" s="10"/>
      <c r="P47" t="s">
        <v>67</v>
      </c>
    </row>
    <row r="48" spans="1:16" x14ac:dyDescent="0.25">
      <c r="A48" s="5">
        <v>44440</v>
      </c>
      <c r="B48" s="2">
        <v>8</v>
      </c>
      <c r="C48" s="2">
        <v>33</v>
      </c>
      <c r="D48" s="2" t="s">
        <v>13</v>
      </c>
      <c r="E48" s="2" t="s">
        <v>14</v>
      </c>
      <c r="F48" s="2" t="s">
        <v>15</v>
      </c>
      <c r="G48" s="2">
        <v>32</v>
      </c>
      <c r="H48" s="3">
        <v>44452</v>
      </c>
      <c r="I48" s="4">
        <v>0</v>
      </c>
      <c r="J48" s="4">
        <v>164708</v>
      </c>
      <c r="K48" s="4">
        <v>0</v>
      </c>
      <c r="L48" s="4">
        <v>31295</v>
      </c>
      <c r="M48" s="4">
        <v>9</v>
      </c>
      <c r="N48" s="4">
        <v>196003</v>
      </c>
      <c r="O48" s="10"/>
      <c r="P48" t="s">
        <v>66</v>
      </c>
    </row>
    <row r="49" spans="1:16" x14ac:dyDescent="0.25">
      <c r="A49" s="5">
        <v>44470</v>
      </c>
      <c r="B49" s="2">
        <v>1</v>
      </c>
      <c r="C49" s="2">
        <v>33</v>
      </c>
      <c r="D49" s="2" t="s">
        <v>13</v>
      </c>
      <c r="E49" s="2" t="s">
        <v>33</v>
      </c>
      <c r="F49" s="2" t="s">
        <v>34</v>
      </c>
      <c r="G49" s="2">
        <v>677</v>
      </c>
      <c r="H49" s="3">
        <v>44487</v>
      </c>
      <c r="I49" s="4">
        <v>0</v>
      </c>
      <c r="J49" s="4">
        <v>258000</v>
      </c>
      <c r="K49" s="4">
        <v>0</v>
      </c>
      <c r="L49" s="4">
        <v>49020</v>
      </c>
      <c r="M49" s="4">
        <v>9</v>
      </c>
      <c r="N49" s="13">
        <v>307020</v>
      </c>
      <c r="O49" s="10"/>
      <c r="P49" t="s">
        <v>67</v>
      </c>
    </row>
    <row r="50" spans="1:16" x14ac:dyDescent="0.25">
      <c r="A50" s="5">
        <v>44470</v>
      </c>
      <c r="B50" s="2">
        <v>2</v>
      </c>
      <c r="C50" s="2">
        <v>33</v>
      </c>
      <c r="D50" s="2" t="s">
        <v>13</v>
      </c>
      <c r="E50" s="2" t="s">
        <v>14</v>
      </c>
      <c r="F50" s="2" t="s">
        <v>15</v>
      </c>
      <c r="G50" s="2">
        <v>34</v>
      </c>
      <c r="H50" s="3">
        <v>44481</v>
      </c>
      <c r="I50" s="4">
        <v>0</v>
      </c>
      <c r="J50" s="4">
        <v>97480</v>
      </c>
      <c r="K50" s="4">
        <v>0</v>
      </c>
      <c r="L50" s="4">
        <v>18521</v>
      </c>
      <c r="M50" s="4">
        <v>9</v>
      </c>
      <c r="N50" s="13">
        <v>116001</v>
      </c>
      <c r="O50" s="10"/>
      <c r="P50" t="s">
        <v>67</v>
      </c>
    </row>
    <row r="51" spans="1:16" x14ac:dyDescent="0.25">
      <c r="A51" s="5">
        <v>44470</v>
      </c>
      <c r="B51" s="2">
        <v>3</v>
      </c>
      <c r="C51" s="2">
        <v>33</v>
      </c>
      <c r="D51" s="2" t="s">
        <v>13</v>
      </c>
      <c r="E51" s="2" t="s">
        <v>25</v>
      </c>
      <c r="F51" s="2" t="s">
        <v>26</v>
      </c>
      <c r="G51" s="2">
        <v>115880</v>
      </c>
      <c r="H51" s="3">
        <v>44482</v>
      </c>
      <c r="I51" s="4">
        <v>0</v>
      </c>
      <c r="J51" s="4">
        <v>100000</v>
      </c>
      <c r="K51" s="4">
        <v>0</v>
      </c>
      <c r="L51" s="4">
        <v>19000</v>
      </c>
      <c r="M51" s="4">
        <v>9</v>
      </c>
      <c r="N51" s="4">
        <v>119000</v>
      </c>
      <c r="O51" s="10"/>
      <c r="P51" t="s">
        <v>66</v>
      </c>
    </row>
    <row r="52" spans="1:16" x14ac:dyDescent="0.25">
      <c r="A52" s="5">
        <v>44470</v>
      </c>
      <c r="B52" s="2">
        <v>4</v>
      </c>
      <c r="C52" s="2">
        <v>33</v>
      </c>
      <c r="D52" s="2" t="s">
        <v>13</v>
      </c>
      <c r="E52" s="2" t="s">
        <v>25</v>
      </c>
      <c r="F52" s="2" t="s">
        <v>26</v>
      </c>
      <c r="G52" s="2">
        <v>115881</v>
      </c>
      <c r="H52" s="3">
        <v>44482</v>
      </c>
      <c r="I52" s="4">
        <v>0</v>
      </c>
      <c r="J52" s="4">
        <v>550000</v>
      </c>
      <c r="K52" s="4">
        <v>0</v>
      </c>
      <c r="L52" s="4">
        <v>104500</v>
      </c>
      <c r="M52" s="4">
        <v>9</v>
      </c>
      <c r="N52" s="4">
        <v>654500</v>
      </c>
      <c r="O52" s="10"/>
      <c r="P52" t="s">
        <v>66</v>
      </c>
    </row>
    <row r="53" spans="1:16" x14ac:dyDescent="0.25">
      <c r="A53" s="5">
        <v>44470</v>
      </c>
      <c r="B53" s="2">
        <v>5</v>
      </c>
      <c r="C53" s="2">
        <v>33</v>
      </c>
      <c r="D53" s="2" t="s">
        <v>13</v>
      </c>
      <c r="E53" s="2" t="s">
        <v>25</v>
      </c>
      <c r="F53" s="2" t="s">
        <v>26</v>
      </c>
      <c r="G53" s="2">
        <v>115882</v>
      </c>
      <c r="H53" s="3">
        <v>44482</v>
      </c>
      <c r="I53" s="4">
        <v>0</v>
      </c>
      <c r="J53" s="4">
        <v>540000</v>
      </c>
      <c r="K53" s="4">
        <v>0</v>
      </c>
      <c r="L53" s="4">
        <v>102600</v>
      </c>
      <c r="M53" s="4">
        <v>9</v>
      </c>
      <c r="N53" s="4">
        <v>642600</v>
      </c>
      <c r="O53" s="10"/>
      <c r="P53" t="s">
        <v>66</v>
      </c>
    </row>
    <row r="54" spans="1:16" x14ac:dyDescent="0.25">
      <c r="A54" s="5">
        <v>44470</v>
      </c>
      <c r="B54" s="2">
        <v>6</v>
      </c>
      <c r="C54" s="2">
        <v>34</v>
      </c>
      <c r="D54" s="2" t="s">
        <v>16</v>
      </c>
      <c r="E54" s="2" t="s">
        <v>39</v>
      </c>
      <c r="F54" s="2" t="s">
        <v>40</v>
      </c>
      <c r="G54" s="2">
        <v>3</v>
      </c>
      <c r="H54" s="3">
        <v>44481</v>
      </c>
      <c r="I54" s="4">
        <v>372760</v>
      </c>
      <c r="J54" s="4">
        <v>0</v>
      </c>
      <c r="K54" s="4">
        <v>0</v>
      </c>
      <c r="L54" s="4">
        <v>0</v>
      </c>
      <c r="M54" s="4">
        <v>0</v>
      </c>
      <c r="N54" s="13">
        <v>372760</v>
      </c>
      <c r="O54" s="10" t="s">
        <v>63</v>
      </c>
      <c r="P54" t="s">
        <v>67</v>
      </c>
    </row>
    <row r="55" spans="1:16" x14ac:dyDescent="0.25">
      <c r="A55" s="5">
        <v>44501</v>
      </c>
      <c r="B55" s="2">
        <v>1</v>
      </c>
      <c r="C55" s="2">
        <v>33</v>
      </c>
      <c r="D55" s="2" t="s">
        <v>13</v>
      </c>
      <c r="E55" s="2" t="s">
        <v>37</v>
      </c>
      <c r="F55" s="2" t="s">
        <v>38</v>
      </c>
      <c r="G55" s="2">
        <v>18</v>
      </c>
      <c r="H55" s="3">
        <v>44517</v>
      </c>
      <c r="I55" s="4">
        <v>0</v>
      </c>
      <c r="J55" s="4">
        <v>3925000</v>
      </c>
      <c r="K55" s="4">
        <v>0</v>
      </c>
      <c r="L55" s="4">
        <v>745750</v>
      </c>
      <c r="M55" s="4">
        <v>9</v>
      </c>
      <c r="N55" s="13">
        <v>4670750</v>
      </c>
      <c r="O55" s="10"/>
      <c r="P55" t="s">
        <v>67</v>
      </c>
    </row>
    <row r="56" spans="1:16" x14ac:dyDescent="0.25">
      <c r="A56" s="5">
        <v>44531</v>
      </c>
      <c r="B56" s="2">
        <v>1</v>
      </c>
      <c r="C56" s="2">
        <v>33</v>
      </c>
      <c r="D56" s="2" t="s">
        <v>13</v>
      </c>
      <c r="E56" s="2" t="s">
        <v>33</v>
      </c>
      <c r="F56" s="2" t="s">
        <v>34</v>
      </c>
      <c r="G56" s="2">
        <v>688</v>
      </c>
      <c r="H56" s="3">
        <v>44522</v>
      </c>
      <c r="I56" s="4">
        <v>0</v>
      </c>
      <c r="J56" s="4">
        <v>218000</v>
      </c>
      <c r="K56" s="4">
        <v>0</v>
      </c>
      <c r="L56" s="4">
        <v>41420</v>
      </c>
      <c r="M56" s="4">
        <v>9</v>
      </c>
      <c r="N56" s="13">
        <v>259420</v>
      </c>
      <c r="O56" s="10"/>
      <c r="P56" s="14" t="s">
        <v>67</v>
      </c>
    </row>
    <row r="58" spans="1:16" x14ac:dyDescent="0.25">
      <c r="F58" s="11" t="s">
        <v>68</v>
      </c>
      <c r="G58" s="11"/>
      <c r="H58" s="11"/>
      <c r="I58" s="12">
        <f>+SUM(I3:I56)</f>
        <v>2007190</v>
      </c>
      <c r="J58" s="12">
        <f>+SUM(J3:J56)</f>
        <v>19046005</v>
      </c>
      <c r="K58" s="12">
        <f>+SUM(K3:K56)</f>
        <v>1755</v>
      </c>
      <c r="L58" s="12">
        <f>+SUM(L3:L56)</f>
        <v>3616988</v>
      </c>
      <c r="M58" s="11"/>
      <c r="N58" s="12">
        <f>+SUM(N3:N56)</f>
        <v>24671938</v>
      </c>
    </row>
  </sheetData>
  <autoFilter ref="A2:P56" xr:uid="{00000000-0001-0000-0000-000000000000}"/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Rogelio Soto</dc:creator>
  <cp:lastModifiedBy>RASB</cp:lastModifiedBy>
  <dcterms:created xsi:type="dcterms:W3CDTF">2015-06-05T18:17:20Z</dcterms:created>
  <dcterms:modified xsi:type="dcterms:W3CDTF">2022-04-15T23:13:21Z</dcterms:modified>
</cp:coreProperties>
</file>
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6. Contable Asesorias Ecox Limitada\Respaldos 2026\"/>
    </mc:Choice>
  </mc:AlternateContent>
  <xr:revisionPtr revIDLastSave="0" documentId="13_ncr:1_{7E08B2C2-0297-4FCD-8921-6A69314A5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MIENTOS" sheetId="1" r:id="rId1"/>
    <sheet name="LIMITE PYME" sheetId="5" r:id="rId2"/>
    <sheet name="CATEGORIAS" sheetId="2" r:id="rId3"/>
    <sheet name="Rendiciones de Gastos" sheetId="6" r:id="rId4"/>
  </sheets>
  <definedNames>
    <definedName name="_xlnm._FilterDatabase" localSheetId="0" hidden="1">MOVIMIENTOS!$A$1:$AA$3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C2" i="5"/>
  <c r="C3" i="5"/>
  <c r="C4" i="5"/>
</calcChain>
</file>

<file path=xl/sharedStrings.xml><?xml version="1.0" encoding="utf-8"?>
<sst xmlns="http://schemas.openxmlformats.org/spreadsheetml/2006/main" count="619" uniqueCount="150">
  <si>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</si>
  <si>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</si>
  <si>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</si>
  <si>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</si>
  <si>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</si>
  <si>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</si>
  <si>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</si>
  <si>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</si>
  <si>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</si>
  <si>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</si>
  <si>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</si>
  <si>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</si>
  <si>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</si>
  <si>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</si>
  <si>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</si>
  <si>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</si>
  <si>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</si>
  <si>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</si>
  <si>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</si>
  <si>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</si>
  <si>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</si>
  <si>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</si>
  <si>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</si>
  <si>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</si>
  <si>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</si>
  <si>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</si>
  <si>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</si>
  <si>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</si>
  <si>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</si>
  <si>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</si>
  <si>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</si>
  <si>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</si>
  <si>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</si>
  <si>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</si>
  <si>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</si>
  <si>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0121371871 Transf a CIFUENTES PAREDES R</t>
  </si>
  <si>
    <t>0200723457 Transf a Benjamin Lecaros</t>
  </si>
  <si>
    <t>0144767209 Transf a Jeannette del Carmen Núñez Hermosilla</t>
  </si>
  <si>
    <t>0774601414 Transf de FUTRONO SPA</t>
  </si>
  <si>
    <t>0774654836 Transf. Parque Sur Spa</t>
  </si>
  <si>
    <t>0767039379 Transf. los Robles Spa</t>
  </si>
  <si>
    <t>Rescate Fondos Mutuos</t>
  </si>
  <si>
    <t>0156407445 Transf a HIRIART BLOME FELIP</t>
  </si>
  <si>
    <t>0163673002 Transf a LECAROS SOTOMAYOR P</t>
  </si>
  <si>
    <t>0778714019 Transf. Agricola los Chilcos Spa</t>
  </si>
  <si>
    <t>PAGO EN LINEA SERVIPAG</t>
  </si>
  <si>
    <t>0156407445 Transf a Felipe Hiriart BCI</t>
  </si>
  <si>
    <t>Inversión en Fondo Mutuo</t>
  </si>
  <si>
    <t>DIVIDENDO</t>
  </si>
  <si>
    <t>Sum of DEPOSITO</t>
  </si>
  <si>
    <t>Row Labels</t>
  </si>
  <si>
    <t>Grand Total</t>
  </si>
  <si>
    <t xml:space="preserve">Comprobar que este todo actuliazado. Dividendos no pueden ser superiores a 35% de ingresos totales. (o 30% por seguridad) </t>
  </si>
  <si>
    <t>AYSEN</t>
  </si>
  <si>
    <t>0778050773 Transf. Cerro Colorado SpA</t>
  </si>
  <si>
    <t>0103284406 Transf a SANCHEZ MILLER PATR</t>
  </si>
  <si>
    <t>Arriendo oficina</t>
  </si>
  <si>
    <t>MARTILLERO</t>
  </si>
  <si>
    <t>PUERTO OCTAY</t>
  </si>
  <si>
    <t>Compra GOOGLE *Workspace</t>
  </si>
  <si>
    <t>0163673002 Transf a Pedro Lecaros</t>
  </si>
  <si>
    <t>Aseo oficina 3 dias</t>
  </si>
  <si>
    <t>Compra MP *MICOCACOLA</t>
  </si>
  <si>
    <t>PAGO EN LINEA S.I.I.</t>
  </si>
  <si>
    <t>0774654836 Transf. Parque Sur SpA</t>
  </si>
  <si>
    <t>0153856680 Transf. Pablo Tomas Wichmann Perez</t>
  </si>
  <si>
    <t>0533207448 Transf a Comunidad Edificio 1K Torre A</t>
  </si>
  <si>
    <t>COM.MANTENCION PLAN</t>
  </si>
  <si>
    <t>0774654836 Transf a Parque Sur SpA</t>
  </si>
  <si>
    <t>Café</t>
  </si>
  <si>
    <t>Reembolsa Ubereats</t>
  </si>
  <si>
    <t>Reembolsa bencina a BSF</t>
  </si>
  <si>
    <t>GGCC</t>
  </si>
  <si>
    <t>Prestamo a Parque Sur</t>
  </si>
  <si>
    <t>F29</t>
  </si>
  <si>
    <t>Reembolsa Tottus</t>
  </si>
  <si>
    <t>Prestamo Pablo</t>
  </si>
  <si>
    <t>0078251921 Transf. Blanca Monica Cavada Undurraga</t>
  </si>
  <si>
    <t>PAGO EN LINEA T.G.R.</t>
  </si>
  <si>
    <t>PAGO EN LINEA T.G.R</t>
  </si>
  <si>
    <t>Reembolsa comida</t>
  </si>
  <si>
    <t>Cuenta oficina agua</t>
  </si>
  <si>
    <t>contabilidad</t>
  </si>
  <si>
    <t>aseo oficina 4 dias</t>
  </si>
  <si>
    <t>Servicios legales</t>
  </si>
  <si>
    <t>Reembolso CBRS</t>
  </si>
  <si>
    <t>CBRS</t>
  </si>
  <si>
    <t>Cuentas oficina</t>
  </si>
  <si>
    <t>GGCC oficina</t>
  </si>
  <si>
    <t>Prestamo corto parque sur</t>
  </si>
  <si>
    <t>Respaldo</t>
  </si>
  <si>
    <t>Monto</t>
  </si>
  <si>
    <t>Total Rendicion 1</t>
  </si>
  <si>
    <t>Rendicion 1 - Pedro Lecaros 31.3.2026</t>
  </si>
  <si>
    <t>02.03.2026</t>
  </si>
  <si>
    <t>05.03.2026</t>
  </si>
  <si>
    <t>09.03.2026</t>
  </si>
  <si>
    <t>11.03.2026</t>
  </si>
  <si>
    <t>Viaje a BSF + estacionamiento</t>
  </si>
  <si>
    <t xml:space="preserve">Viaje a BSF </t>
  </si>
  <si>
    <t>S/R</t>
  </si>
  <si>
    <t>0778050773 Transf. Cerro Colorado Spa</t>
  </si>
  <si>
    <t>Compra INVERSIONES MARAL</t>
  </si>
  <si>
    <t>0702271002 Transf a cooperativa rau ltda</t>
  </si>
  <si>
    <t>0156407445 Transf de FELIPE ANDRES HIRIA</t>
  </si>
  <si>
    <t>0163673002 Transf de PEDRO JOSE LECAROS</t>
  </si>
  <si>
    <t>Compra TOTTUS KENNEDY II</t>
  </si>
  <si>
    <t>0798571206 Transf a Inmobiliaria e Inversiones Greene</t>
  </si>
  <si>
    <t>Compra MERCADOPAGO *TROP</t>
  </si>
  <si>
    <t>Compra MAITEM</t>
  </si>
  <si>
    <t>Cuota prestamo parque sur</t>
  </si>
  <si>
    <t>Compra Tottus</t>
  </si>
  <si>
    <t>GGCC oficina febrero 2026</t>
  </si>
  <si>
    <t>Rendicion 1 2026 - PLS</t>
  </si>
  <si>
    <t>servicio contable</t>
  </si>
  <si>
    <t>Asesoria venta</t>
  </si>
  <si>
    <t>Paga prestamo</t>
  </si>
  <si>
    <t>Rendicion 13 de Parque Sur</t>
  </si>
  <si>
    <t>Gastos generales viaje parque sur (rendicion 13 parsur)</t>
  </si>
  <si>
    <t>Certificado Factibilidad agua santa delfina Spa</t>
  </si>
  <si>
    <t>Compra EL BACO</t>
  </si>
  <si>
    <t>77.443.386-4 Transf. INVERSION</t>
  </si>
  <si>
    <t>Fact 220 pago 1 de 2</t>
  </si>
  <si>
    <t>Fact 220 pago 2 de 2</t>
  </si>
  <si>
    <t>0770359716 Transf a CONTALIVE SPA</t>
  </si>
  <si>
    <t>Compra MP *REALCOFFEEWEB</t>
  </si>
  <si>
    <t>Compra TIP Y TAP</t>
  </si>
  <si>
    <t>Compra MERCADOPAGO *CANT</t>
  </si>
  <si>
    <t>0767039379 Transf. LOS ROBLES SpA</t>
  </si>
  <si>
    <t>0774433864 Transf a INVERSIONES AYSEN S</t>
  </si>
  <si>
    <t>0784000893 Transf a Puerto Octay SpA</t>
  </si>
  <si>
    <t>0771605729 Transf de ECOX SPA</t>
  </si>
  <si>
    <t>0778714019 Transf. Agricola Los Chilcos SpA</t>
  </si>
  <si>
    <t>F22</t>
  </si>
  <si>
    <t>Reembolso pago cuentas</t>
  </si>
  <si>
    <t>Aseo ofician 2 dias</t>
  </si>
  <si>
    <t>Contribuciones</t>
  </si>
  <si>
    <t>Factura 221</t>
  </si>
  <si>
    <t>GGCC oficina marzo 2026</t>
  </si>
  <si>
    <t>Transferencia erronea</t>
  </si>
  <si>
    <t>Devuelve transferencia erronea</t>
  </si>
  <si>
    <t>Compra LBB NUEVA LAS CON</t>
  </si>
  <si>
    <t>0798823604 Transf a Ingenieria e Informatica Asociada Limitada</t>
  </si>
  <si>
    <t>Uber</t>
  </si>
  <si>
    <t>Compra toner oficina</t>
  </si>
  <si>
    <t>Compra CLAUDE.AI SUBSCRI</t>
  </si>
  <si>
    <t>0107554106 Transf a RIEUTORD ALVARADO A</t>
  </si>
  <si>
    <t>Compra DOMANI CERRO EL P</t>
  </si>
  <si>
    <t>Compra MERCADOPAGO *KRIS</t>
  </si>
  <si>
    <t>Compra CARNAL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</si>
</sst>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&quot;$&quot;* #,##0_);_(&quot;$&quot;* \(#,##0\);_(&quot;$&quot;* &quot;-&quot;??_);_(@_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/>
    <xf numFmtId="0" fontId="1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7" fillId="0" borderId="0" xfId="0" applyFont="1"/>
    <xf numFmtId="0" fontId="8" fillId="0" borderId="4" xfId="0" applyFont="1" applyBorder="1"/>
    <xf numFmtId="0" fontId="0" fillId="0" borderId="4" xfId="0" applyBorder="1"/>
    <xf numFmtId="165" fontId="0" fillId="0" borderId="4" xfId="1" applyNumberFormat="1" applyFont="1" applyFill="1" applyBorder="1"/>
    <xf numFmtId="14" fontId="0" fillId="0" borderId="4" xfId="0" applyNumberFormat="1" applyBorder="1"/>
    <xf numFmtId="166" fontId="8" fillId="0" borderId="4" xfId="0" applyNumberFormat="1" applyFont="1" applyBorder="1"/>
    <xf numFmtId="166" fontId="0" fillId="0" borderId="4" xfId="3" applyNumberFormat="1" applyFon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</dxf>
    <dxf>
      <numFmt numFmtId="164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5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Lecaros" refreshedDate="45905.473573263887" createdVersion="8" refreshedVersion="8" minRefreshableVersion="3" recordCount="369" xr:uid="{68707F3C-1C70-4459-9348-0662D7E77AFB}">
  <cacheSource type="worksheet">
    <worksheetSource ref="A1:H9743" sheet="MOVIMIENTOS"/>
  </cacheSource>
  <cacheFields count="8">
    <cacheField name="FECHA" numFmtId="164">
      <sharedItems containsNonDate="0" containsDate="1" containsString="0" containsBlank="1" minDate="2025-01-01T00:00:00" maxDate="2025-09-06T00:00:00"/>
    </cacheField>
    <cacheField name="DETALLE" numFmtId="0">
      <sharedItems containsBlank="1"/>
    </cacheField>
    <cacheField name="CATEGORIA" numFmtId="0">
      <sharedItems containsBlank="1" count="13">
        <m/>
        <s v="GASTOS GENERALES"/>
        <s v="SUELDO Y LEYES SOCIALES"/>
        <s v="VENTA"/>
        <s v="CUENTA CORRIENTE MERCANTIL"/>
        <s v="PRESTAMO"/>
        <s v="IMPUESTOS"/>
        <s v="FONDOS MUTUOS"/>
        <s v="RETIRO"/>
        <s v="NOTARIA Y CONSERVADOR"/>
        <s v="DIVIDENDO"/>
        <s v="OTRO"/>
        <s v="LINEA DE CREDITO"/>
      </sharedItems>
    </cacheField>
    <cacheField name="SUB" numFmtId="0">
      <sharedItems containsBlank="1"/>
    </cacheField>
    <cacheField name="SALDO" numFmtId="165">
      <sharedItems containsString="0" containsBlank="1" containsNumber="1" containsInteger="1" minValue="295" maxValue="72200272"/>
    </cacheField>
    <cacheField name="DEPOSITO" numFmtId="0">
      <sharedItems containsString="0" containsBlank="1" containsNumber="1" containsInteger="1" minValue="2898" maxValue="35280000"/>
    </cacheField>
    <cacheField name="GIROS" numFmtId="165">
      <sharedItems containsString="0" containsBlank="1" containsNumber="1" containsInteger="1" minValue="-35000000" maxValue="-8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d v="2025-01-01T00:00:00"/>
    <s v="SALDO ANTERIOR"/>
    <x v="0"/>
    <m/>
    <n v="2772951"/>
    <m/>
    <m/>
    <m/>
  </r>
  <r>
    <d v="2025-01-02T00:00:00"/>
    <s v="Compra GOOGLE *GSUITE_ec"/>
    <x v="1"/>
    <m/>
    <n v="2772951"/>
    <m/>
    <n v="-26783"/>
    <m/>
  </r>
  <r>
    <d v="2025-01-02T00:00:00"/>
    <s v="Compra GOOGLE *GSUITE_ec"/>
    <x v="1"/>
    <m/>
    <n v="2746168"/>
    <m/>
    <n v="-15329"/>
    <m/>
  </r>
  <r>
    <d v="2025-01-02T00:00:00"/>
    <s v="0121371871 Transf a CIFUENTES PAREDES R"/>
    <x v="2"/>
    <m/>
    <n v="2730839"/>
    <m/>
    <n v="-600000"/>
    <m/>
  </r>
  <r>
    <d v="2025-01-03T00:00:00"/>
    <s v="0778050773 Transf. Cerro Colorado Spa"/>
    <x v="3"/>
    <m/>
    <n v="2130839"/>
    <n v="2300000"/>
    <m/>
    <m/>
  </r>
  <r>
    <d v="2025-01-03T00:00:00"/>
    <s v="0771605729 Transf a ECOX SPA"/>
    <x v="4"/>
    <m/>
    <n v="4430839"/>
    <m/>
    <n v="-3000000"/>
    <m/>
  </r>
  <r>
    <d v="2025-01-03T00:00:00"/>
    <s v="0200723457 Transf a Benjamin Lecaros"/>
    <x v="5"/>
    <m/>
    <n v="1430839"/>
    <m/>
    <n v="-1000000"/>
    <s v="Prestamo"/>
  </r>
  <r>
    <d v="2025-01-07T00:00:00"/>
    <s v="0144767209 Transf a Jeannette del Carmen Núñez Hermosilla"/>
    <x v="1"/>
    <m/>
    <n v="430839"/>
    <m/>
    <n v="-125000"/>
    <s v="Aseo oficina"/>
  </r>
  <r>
    <d v="2025-01-07T00:00:00"/>
    <s v="0144767209 Transf a Jeannette del Carmen Núñez Hermosilla"/>
    <x v="1"/>
    <m/>
    <n v="305839"/>
    <m/>
    <n v="-15000"/>
    <m/>
  </r>
  <r>
    <d v="2025-01-07T00:00:00"/>
    <s v="0771605729 Transf de ECOX SPA"/>
    <x v="4"/>
    <m/>
    <n v="290839"/>
    <n v="150000"/>
    <m/>
    <m/>
  </r>
  <r>
    <d v="2025-01-07T00:00:00"/>
    <s v="PAGO EN LINEA S.I.I."/>
    <x v="6"/>
    <m/>
    <n v="440839"/>
    <m/>
    <n v="-408220"/>
    <m/>
  </r>
  <r>
    <d v="2025-01-07T00:00:00"/>
    <s v="0200723457 Transf. Benjamin Jose Lecaros"/>
    <x v="5"/>
    <m/>
    <n v="32619"/>
    <n v="200000"/>
    <m/>
    <s v="Prestamo"/>
  </r>
  <r>
    <d v="2025-01-07T00:00:00"/>
    <s v="0785981901 Transf. SOC VICTOR HUGO"/>
    <x v="3"/>
    <m/>
    <n v="232619"/>
    <n v="3452826"/>
    <m/>
    <m/>
  </r>
  <r>
    <d v="2025-01-08T00:00:00"/>
    <s v="0533207448 Transf a Comunidad Edificio 1K Torre A"/>
    <x v="1"/>
    <m/>
    <n v="3685445"/>
    <m/>
    <n v="-105251"/>
    <s v="GGCC Nov 2024"/>
  </r>
  <r>
    <d v="2025-01-08T00:00:00"/>
    <s v="0774601414 Transf de FUTRONO SPA"/>
    <x v="3"/>
    <m/>
    <n v="3580194"/>
    <n v="100000"/>
    <m/>
    <s v="servicio contable"/>
  </r>
  <r>
    <d v="2025-01-08T00:00:00"/>
    <s v="0771605729 Transf de ECOX SPA"/>
    <x v="3"/>
    <m/>
    <n v="3680194"/>
    <n v="100000"/>
    <m/>
    <s v="servicio contable"/>
  </r>
  <r>
    <d v="2025-01-08T00:00:00"/>
    <s v="0774654836 Transf. Parque Sur Spa"/>
    <x v="3"/>
    <m/>
    <n v="3780194"/>
    <n v="100000"/>
    <m/>
    <s v="servicio contable"/>
  </r>
  <r>
    <d v="2025-01-08T00:00:00"/>
    <s v="0767039379 Transf. los Robles Spa"/>
    <x v="3"/>
    <m/>
    <n v="3880194"/>
    <n v="100000"/>
    <m/>
    <s v="servicio contable"/>
  </r>
  <r>
    <d v="2025-01-08T00:00:00"/>
    <s v="Rescate Fondos Mutuos"/>
    <x v="7"/>
    <m/>
    <n v="3980194"/>
    <n v="10000000"/>
    <m/>
    <m/>
  </r>
  <r>
    <d v="2025-01-08T00:00:00"/>
    <s v="0156407445 Transf a HIRIART BLOME FELIP"/>
    <x v="5"/>
    <m/>
    <n v="13980194"/>
    <m/>
    <n v="-5000000"/>
    <m/>
  </r>
  <r>
    <d v="2025-01-08T00:00:00"/>
    <s v="0163673002 Transf a LECAROS SOTOMAYOR P"/>
    <x v="5"/>
    <m/>
    <n v="8980194"/>
    <m/>
    <n v="-5000000"/>
    <m/>
  </r>
  <r>
    <d v="2025-01-08T00:00:00"/>
    <s v="0200723457 Transf. Benjamin Jose Lecaros"/>
    <x v="5"/>
    <m/>
    <n v="3980194"/>
    <n v="800000"/>
    <m/>
    <s v="Prestamo"/>
  </r>
  <r>
    <d v="2025-01-08T00:00:00"/>
    <s v="PAGO EN LINEA T.G.R."/>
    <x v="1"/>
    <m/>
    <n v="4780194"/>
    <m/>
    <n v="-267300"/>
    <s v="Gasto CBRS inscripcion ByM"/>
  </r>
  <r>
    <d v="2025-01-08T00:00:00"/>
    <s v="0200723457 Transf a Benjamin Lecaros"/>
    <x v="2"/>
    <m/>
    <n v="4512894"/>
    <m/>
    <n v="-400000"/>
    <m/>
  </r>
  <r>
    <d v="2025-01-08T00:00:00"/>
    <s v="0161286575 Transf a Micael Sandor"/>
    <x v="1"/>
    <m/>
    <n v="4112894"/>
    <m/>
    <n v="-1476083"/>
    <s v="Servicios legales"/>
  </r>
  <r>
    <d v="2025-01-09T00:00:00"/>
    <s v="0761985795 Transf a Zalaquett y Avendaño Limitada"/>
    <x v="1"/>
    <m/>
    <n v="2636811"/>
    <m/>
    <n v="-172444"/>
    <s v="Reparacion Dron"/>
  </r>
  <r>
    <d v="2025-01-09T00:00:00"/>
    <s v="PAGO EN LINEA T.G.R."/>
    <x v="1"/>
    <m/>
    <n v="2464367"/>
    <m/>
    <n v="-2300"/>
    <m/>
  </r>
  <r>
    <d v="2025-01-09T00:00:00"/>
    <s v="PAGO EN LINEA T.G.R."/>
    <x v="1"/>
    <m/>
    <n v="2462067"/>
    <m/>
    <n v="-67429"/>
    <m/>
  </r>
  <r>
    <d v="2025-01-10T00:00:00"/>
    <s v="Compra PRONTO COPEC SF M"/>
    <x v="1"/>
    <s v="COLBUN"/>
    <n v="2394638"/>
    <m/>
    <n v="-10160"/>
    <m/>
  </r>
  <r>
    <d v="2025-01-10T00:00:00"/>
    <s v="Compra MUNICIPALIDAD DE"/>
    <x v="1"/>
    <s v="COLBUN"/>
    <n v="2384478"/>
    <m/>
    <n v="-927606"/>
    <m/>
  </r>
  <r>
    <d v="2025-01-10T00:00:00"/>
    <s v="Compra MUNICIPALIDAD DE"/>
    <x v="1"/>
    <s v="COLBUN"/>
    <n v="1456872"/>
    <m/>
    <n v="-3371"/>
    <m/>
  </r>
  <r>
    <d v="2025-01-10T00:00:00"/>
    <s v="PAGO EN LINEA T.G.R."/>
    <x v="1"/>
    <m/>
    <n v="1453501"/>
    <m/>
    <n v="-261900"/>
    <s v="Pago hipoteca titi"/>
  </r>
  <r>
    <d v="2025-01-13T00:00:00"/>
    <s v="Compra PRT BARRA SN FNDO"/>
    <x v="1"/>
    <s v="COLBUN"/>
    <n v="1191601"/>
    <m/>
    <n v="-3380"/>
    <m/>
  </r>
  <r>
    <d v="2025-01-13T00:00:00"/>
    <s v="Compra MERPAGO*STREAT BU"/>
    <x v="1"/>
    <s v="COLBUN"/>
    <n v="1188221"/>
    <m/>
    <n v="-16000"/>
    <m/>
  </r>
  <r>
    <d v="2025-01-13T00:00:00"/>
    <s v="0778714019 Transf. Agricola los Chilcos Spa"/>
    <x v="3"/>
    <m/>
    <n v="1172221"/>
    <n v="100000"/>
    <m/>
    <s v="servicio contable"/>
  </r>
  <r>
    <d v="2025-01-14T00:00:00"/>
    <s v="076538611K Transf. LM ABOGADOS LIMITADA"/>
    <x v="3"/>
    <m/>
    <n v="1272221"/>
    <n v="615024"/>
    <m/>
    <m/>
  </r>
  <r>
    <d v="2025-01-15T00:00:00"/>
    <s v="Compra CENTRO COMERCIAL"/>
    <x v="1"/>
    <m/>
    <n v="1887245"/>
    <m/>
    <n v="-5000"/>
    <m/>
  </r>
  <r>
    <d v="2025-01-15T00:00:00"/>
    <s v="Compra LA HACIENDA PROVI"/>
    <x v="1"/>
    <m/>
    <n v="1882245"/>
    <m/>
    <n v="-73231"/>
    <m/>
  </r>
  <r>
    <d v="2025-01-17T00:00:00"/>
    <s v="0156407445 Transf a HIRIART BLOME FELIP"/>
    <x v="8"/>
    <m/>
    <n v="1809014"/>
    <m/>
    <n v="-517250"/>
    <m/>
  </r>
  <r>
    <d v="2025-01-17T00:00:00"/>
    <s v="0163673002 Transf a LECAROS SOTOMAYOR P"/>
    <x v="8"/>
    <m/>
    <n v="1291764"/>
    <m/>
    <n v="-517250"/>
    <m/>
  </r>
  <r>
    <d v="2025-01-17T00:00:00"/>
    <s v="0200723457 Transf a Benjamin Lecaros"/>
    <x v="1"/>
    <s v="COLBUN"/>
    <n v="774514"/>
    <m/>
    <n v="-66743"/>
    <s v="Reembolso colbun"/>
  </r>
  <r>
    <d v="2025-01-17T00:00:00"/>
    <s v="0163673002 Transf a LECAROS SOTOMAYOR P"/>
    <x v="1"/>
    <m/>
    <n v="707771"/>
    <m/>
    <n v="-20000"/>
    <s v="Reembolso viaje bodegas"/>
  </r>
  <r>
    <d v="2025-01-21T00:00:00"/>
    <s v="Rescate Fondos Mutuos"/>
    <x v="7"/>
    <m/>
    <n v="687771"/>
    <n v="10000000"/>
    <m/>
    <m/>
  </r>
  <r>
    <d v="2025-01-21T00:00:00"/>
    <s v="0776730890 Transf a Constructora e Ingeniería Maule spa"/>
    <x v="1"/>
    <s v="COLBUN"/>
    <n v="10687771"/>
    <m/>
    <n v="-399403"/>
    <s v="Colbun, pago pendiente ingenieria camino presupuesto"/>
  </r>
  <r>
    <d v="2025-01-21T00:00:00"/>
    <s v="0156407445 Transf a HIRIART BLOME FELIP"/>
    <x v="5"/>
    <m/>
    <n v="10288368"/>
    <m/>
    <n v="-5000000"/>
    <m/>
  </r>
  <r>
    <d v="2025-01-21T00:00:00"/>
    <s v="0163673002 Transf a LECAROS SOTOMAYOR P"/>
    <x v="5"/>
    <m/>
    <n v="5288368"/>
    <m/>
    <n v="-5000000"/>
    <m/>
  </r>
  <r>
    <d v="2025-01-22T00:00:00"/>
    <s v="Compra MERCADOPAGO *MICO"/>
    <x v="1"/>
    <m/>
    <n v="288368"/>
    <m/>
    <n v="-28950"/>
    <s v="Coca Cola"/>
  </r>
  <r>
    <d v="2025-01-22T00:00:00"/>
    <s v="0156369896 Transf. Fernando Agustin Vial Cox"/>
    <x v="0"/>
    <m/>
    <n v="259418"/>
    <n v="437712"/>
    <m/>
    <m/>
  </r>
  <r>
    <d v="2025-01-28T00:00:00"/>
    <s v="0770359716 Transf a CONTALIVE SPA"/>
    <x v="1"/>
    <m/>
    <n v="697130"/>
    <m/>
    <n v="-41138"/>
    <s v="Sistema contable"/>
  </r>
  <r>
    <d v="2025-01-30T00:00:00"/>
    <s v="PAGO EN LINEA SERVIPAG"/>
    <x v="1"/>
    <m/>
    <n v="655992"/>
    <m/>
    <n v="-54075"/>
    <s v="Cuentas oficina"/>
  </r>
  <r>
    <d v="2025-01-29T00:00:00"/>
    <s v="COM.MANTENCION PLAN"/>
    <x v="1"/>
    <m/>
    <n v="601917"/>
    <m/>
    <n v="-18823"/>
    <m/>
  </r>
  <r>
    <d v="2025-01-30T00:00:00"/>
    <s v="Depósito Documento Mismo Banco"/>
    <x v="5"/>
    <m/>
    <n v="583094"/>
    <n v="25000000"/>
    <m/>
    <m/>
  </r>
  <r>
    <d v="2025-01-31T00:00:00"/>
    <s v="Compra SOLER CURICO SPA"/>
    <x v="1"/>
    <m/>
    <n v="25583094"/>
    <m/>
    <n v="-50809"/>
    <m/>
  </r>
  <r>
    <d v="2025-02-03T00:00:00"/>
    <s v="0156407445 Transf a HIRIART BLOME FELIP"/>
    <x v="5"/>
    <m/>
    <n v="25532285"/>
    <m/>
    <n v="-6000000"/>
    <m/>
  </r>
  <r>
    <d v="2025-02-03T00:00:00"/>
    <s v="0163673002 Transf a LECAROS SOTOMAYOR P"/>
    <x v="5"/>
    <m/>
    <n v="19532285"/>
    <m/>
    <n v="-6000000"/>
    <m/>
  </r>
  <r>
    <d v="2025-02-03T00:00:00"/>
    <s v="0121371871 Transf a CIFUENTES PAREDES R"/>
    <x v="2"/>
    <m/>
    <n v="13532285"/>
    <m/>
    <n v="-600000"/>
    <m/>
  </r>
  <r>
    <d v="2025-02-03T00:00:00"/>
    <s v="0107554106 Transf a RIEUTORD ALVARADO A"/>
    <x v="9"/>
    <m/>
    <n v="12932285"/>
    <m/>
    <n v="-10000"/>
    <m/>
  </r>
  <r>
    <d v="2025-02-03T00:00:00"/>
    <s v="0771605729 Transf a ECOX SPA"/>
    <x v="4"/>
    <m/>
    <n v="12922285"/>
    <m/>
    <n v="-1600000"/>
    <m/>
  </r>
  <r>
    <d v="2025-02-03T00:00:00"/>
    <s v="0200723457 Transf a Benjamin Lecaros"/>
    <x v="2"/>
    <m/>
    <n v="11322285"/>
    <m/>
    <n v="-1000000"/>
    <m/>
  </r>
  <r>
    <d v="2025-02-03T00:00:00"/>
    <s v="Compra GOOGLE *GSUITE_ec"/>
    <x v="1"/>
    <m/>
    <n v="10322285"/>
    <m/>
    <n v="-39600"/>
    <m/>
  </r>
  <r>
    <d v="2025-02-03T00:00:00"/>
    <s v="0771605729 Transf a ECOX SPA"/>
    <x v="4"/>
    <m/>
    <n v="10282685"/>
    <m/>
    <n v="-1100000"/>
    <m/>
  </r>
  <r>
    <d v="2025-02-06T00:00:00"/>
    <s v="0156407445 Transf a Felipe Hiriart BCI"/>
    <x v="8"/>
    <m/>
    <n v="9182685"/>
    <m/>
    <n v="-250000"/>
    <m/>
  </r>
  <r>
    <d v="2025-02-06T00:00:00"/>
    <s v="0533207448 Transf a Comunidad Edificio 1K Torre A"/>
    <x v="1"/>
    <m/>
    <n v="8932685"/>
    <m/>
    <n v="-113843"/>
    <s v="GGCC Dec 2024"/>
  </r>
  <r>
    <d v="2025-02-07T00:00:00"/>
    <s v="0785981901 Transf. SOC VICTOR HUGO"/>
    <x v="3"/>
    <m/>
    <n v="8818842"/>
    <n v="3458391"/>
    <m/>
    <m/>
  </r>
  <r>
    <d v="2025-02-10T00:00:00"/>
    <s v="0161286575 Transf a Micael Sandor"/>
    <x v="1"/>
    <m/>
    <n v="12277233"/>
    <m/>
    <n v="-1478462"/>
    <m/>
  </r>
  <r>
    <d v="2025-02-12T00:00:00"/>
    <s v="Inversión en Fondo Mutuo"/>
    <x v="7"/>
    <m/>
    <n v="10798771"/>
    <m/>
    <n v="-9000000"/>
    <m/>
  </r>
  <r>
    <d v="2025-02-13T00:00:00"/>
    <s v="0144767209 Transf a Jeannette del Carmen Núñez Hermosilla"/>
    <x v="1"/>
    <m/>
    <n v="1798771"/>
    <m/>
    <n v="-75000"/>
    <s v="Aseo oficina"/>
  </r>
  <r>
    <d v="2025-02-17T00:00:00"/>
    <s v="0774654836 Transf. Parque Sur Spa"/>
    <x v="3"/>
    <m/>
    <n v="1723771"/>
    <n v="100000"/>
    <m/>
    <s v="servicio contable"/>
  </r>
  <r>
    <d v="2025-02-17T00:00:00"/>
    <s v="0767039379 Transf. los Robles Spa"/>
    <x v="3"/>
    <m/>
    <n v="1823771"/>
    <n v="100000"/>
    <m/>
    <s v="servicio contable"/>
  </r>
  <r>
    <d v="2025-02-17T00:00:00"/>
    <s v="0778714019 Transf. Agricola los Chilcos Spa"/>
    <x v="3"/>
    <m/>
    <n v="1923771"/>
    <n v="100000"/>
    <m/>
    <s v="servicio contable"/>
  </r>
  <r>
    <d v="2025-02-17T00:00:00"/>
    <s v="0774601414 Transf de FUTRONO SPA"/>
    <x v="3"/>
    <m/>
    <n v="2023771"/>
    <n v="100000"/>
    <m/>
    <s v="servicio contable"/>
  </r>
  <r>
    <d v="2025-02-17T00:00:00"/>
    <s v="0771605729 Transf de ECOX SPA"/>
    <x v="3"/>
    <m/>
    <n v="2123771"/>
    <n v="100000"/>
    <m/>
    <s v="servicio contable"/>
  </r>
  <r>
    <d v="2025-02-18T00:00:00"/>
    <s v="PAGO EN LINEA S.I.I."/>
    <x v="6"/>
    <m/>
    <n v="2223771"/>
    <m/>
    <n v="-744258"/>
    <m/>
  </r>
  <r>
    <d v="2025-02-18T00:00:00"/>
    <s v="0200723457 Transf a Benjamin Lecaros"/>
    <x v="1"/>
    <m/>
    <n v="1479513"/>
    <m/>
    <n v="-3480"/>
    <m/>
  </r>
  <r>
    <d v="2025-02-19T00:00:00"/>
    <s v="0200723457 Transf a Benjamin Lecaros"/>
    <x v="1"/>
    <m/>
    <n v="1476033"/>
    <m/>
    <n v="-4320"/>
    <m/>
  </r>
  <r>
    <d v="2025-02-19T00:00:00"/>
    <s v="0200723457 Transf a Benjamin Lecaros"/>
    <x v="1"/>
    <m/>
    <n v="1471713"/>
    <m/>
    <n v="-9470"/>
    <m/>
  </r>
  <r>
    <d v="2025-02-19T00:00:00"/>
    <s v="0200723457 Transf a Benjamin Lecaros"/>
    <x v="1"/>
    <m/>
    <n v="1462243"/>
    <m/>
    <n v="-16597"/>
    <m/>
  </r>
  <r>
    <d v="2025-02-20T00:00:00"/>
    <s v="0163673002 Transf a LECAROS SOTOMAYOR P"/>
    <x v="1"/>
    <m/>
    <n v="1445646"/>
    <m/>
    <n v="-149990"/>
    <s v="Reembolsa compra montitor oficina falabella"/>
  </r>
  <r>
    <d v="2025-02-21T00:00:00"/>
    <s v="016470226K Transf a GOMILA LARSEN FERNA"/>
    <x v="1"/>
    <m/>
    <n v="1295656"/>
    <m/>
    <n v="-68000"/>
    <s v="Cotizacion 298726"/>
  </r>
  <r>
    <d v="2025-02-25T00:00:00"/>
    <s v="Compra RISHTEDAR"/>
    <x v="1"/>
    <m/>
    <n v="1227656"/>
    <m/>
    <n v="-148178"/>
    <m/>
  </r>
  <r>
    <d v="2025-02-27T00:00:00"/>
    <s v="PAGO EN LINEA T.G.R."/>
    <x v="1"/>
    <m/>
    <n v="1079478"/>
    <m/>
    <n v="-4600"/>
    <m/>
  </r>
  <r>
    <d v="2025-02-26T00:00:00"/>
    <s v="COM.MANTENCION PLAN"/>
    <x v="1"/>
    <m/>
    <n v="1074878"/>
    <m/>
    <n v="-18808"/>
    <m/>
  </r>
  <r>
    <d v="2025-02-27T00:00:00"/>
    <s v="Compra MERCADOPAGO *MICO"/>
    <x v="1"/>
    <m/>
    <n v="1056070"/>
    <m/>
    <n v="-37340"/>
    <m/>
  </r>
  <r>
    <d v="2025-02-28T00:00:00"/>
    <s v="0043441558 Transf a Raúl Leiva Uribe-Echeverría"/>
    <x v="1"/>
    <m/>
    <n v="1018730"/>
    <m/>
    <n v="-16000"/>
    <s v="Solicitud copias con vigencia"/>
  </r>
  <r>
    <d v="2025-03-03T00:00:00"/>
    <s v="Compra GOOGLE *GSUITE_ec"/>
    <x v="1"/>
    <m/>
    <n v="1002730"/>
    <m/>
    <n v="-39600"/>
    <m/>
  </r>
  <r>
    <d v="2025-03-04T00:00:00"/>
    <s v="PAGO EN LINEA SERVIPAG"/>
    <x v="1"/>
    <m/>
    <n v="963130"/>
    <m/>
    <n v="-66490"/>
    <m/>
  </r>
  <r>
    <d v="2025-03-04T00:00:00"/>
    <s v="0533207448 Transf a Comunidad Edificio 1K Torre A"/>
    <x v="1"/>
    <m/>
    <n v="896640"/>
    <m/>
    <n v="-131728"/>
    <s v="GGCC enero 2025"/>
  </r>
  <r>
    <d v="2025-03-04T00:00:00"/>
    <s v="0770359716 Transf a CONTALIVE SPA"/>
    <x v="1"/>
    <m/>
    <n v="764912"/>
    <m/>
    <n v="-82431"/>
    <m/>
  </r>
  <r>
    <d v="2025-03-04T00:00:00"/>
    <s v="0771605729 Transf de ECOX SPA"/>
    <x v="4"/>
    <m/>
    <n v="682481"/>
    <n v="12000000"/>
    <m/>
    <m/>
  </r>
  <r>
    <d v="2025-03-04T00:00:00"/>
    <s v="0156407445 Transf a HIRIART BLOME FELIP"/>
    <x v="8"/>
    <m/>
    <n v="12682481"/>
    <m/>
    <n v="-6000000"/>
    <m/>
  </r>
  <r>
    <d v="2025-03-04T00:00:00"/>
    <s v="0163673002 Transf a LECAROS SOTOMAYOR P"/>
    <x v="8"/>
    <m/>
    <n v="6682481"/>
    <m/>
    <n v="-6000000"/>
    <m/>
  </r>
  <r>
    <d v="2025-03-04T00:00:00"/>
    <s v="0771605729 Transf de ECOX SPA"/>
    <x v="3"/>
    <m/>
    <n v="682481"/>
    <n v="100000"/>
    <m/>
    <s v="servicio contable"/>
  </r>
  <r>
    <d v="2025-03-04T00:00:00"/>
    <s v="0771605729 Transf de ECOX SPA"/>
    <x v="4"/>
    <m/>
    <n v="782481"/>
    <n v="1600000"/>
    <m/>
    <m/>
  </r>
  <r>
    <d v="2025-03-04T00:00:00"/>
    <s v="0774601414 Transf de FUTRONO SPA"/>
    <x v="3"/>
    <m/>
    <n v="2382481"/>
    <n v="100000"/>
    <m/>
    <s v="servicio contable"/>
  </r>
  <r>
    <d v="2025-03-04T00:00:00"/>
    <s v="0774654836 Transf. Parque Sur Spa"/>
    <x v="3"/>
    <m/>
    <n v="2482481"/>
    <n v="100000"/>
    <m/>
    <s v="servicio contable"/>
  </r>
  <r>
    <d v="2025-03-04T00:00:00"/>
    <s v="0767039379 Transf. los Robles Spa"/>
    <x v="3"/>
    <m/>
    <n v="2582481"/>
    <n v="100000"/>
    <m/>
    <s v="servicio contable"/>
  </r>
  <r>
    <d v="2025-03-04T00:00:00"/>
    <s v="0778714019 Transf. Agricola los Chilcos Spa"/>
    <x v="3"/>
    <m/>
    <n v="2682481"/>
    <n v="100000"/>
    <m/>
    <s v="servicio contable"/>
  </r>
  <r>
    <d v="2025-03-05T00:00:00"/>
    <s v="0778050773 Transf. Cerro Colorado Spa"/>
    <x v="3"/>
    <m/>
    <n v="2782481"/>
    <n v="2000000"/>
    <m/>
    <m/>
  </r>
  <r>
    <d v="2025-03-05T00:00:00"/>
    <s v="0163673002 Transf a LECAROS SOTOMAYOR P"/>
    <x v="1"/>
    <m/>
    <n v="4782481"/>
    <m/>
    <n v="-20000"/>
    <s v="reembolso gasto transporte BSF"/>
  </r>
  <r>
    <d v="2025-03-05T00:00:00"/>
    <s v="Compra GASTRONOMIA GRUPO"/>
    <x v="1"/>
    <m/>
    <n v="4762481"/>
    <m/>
    <n v="-77330"/>
    <m/>
  </r>
  <r>
    <d v="2025-03-05T00:00:00"/>
    <s v="0121371871 Transf a CIFUENTES PAREDES R"/>
    <x v="2"/>
    <m/>
    <n v="4685151"/>
    <m/>
    <n v="-600000"/>
    <s v="Honorario Rosa"/>
  </r>
  <r>
    <d v="2025-03-05T00:00:00"/>
    <s v="0200723457 Transf a Benjamin Lecaros"/>
    <x v="2"/>
    <m/>
    <n v="4085151"/>
    <m/>
    <n v="-1000000"/>
    <s v="Honorario Benja"/>
  </r>
  <r>
    <d v="2025-03-06T00:00:00"/>
    <s v="Compra JUMBO ONECLICK"/>
    <x v="1"/>
    <m/>
    <n v="3085151"/>
    <m/>
    <n v="-73434"/>
    <m/>
  </r>
  <r>
    <d v="2025-03-06T00:00:00"/>
    <s v="0107554106 Transf a RIEUTORD ALVARADO A"/>
    <x v="1"/>
    <s v="COLBUN"/>
    <n v="3011717"/>
    <m/>
    <n v="-5000"/>
    <s v="Notaria aut firma colbun"/>
  </r>
  <r>
    <d v="2025-03-06T00:00:00"/>
    <s v="PAGO EN LINEA S.I.I."/>
    <x v="6"/>
    <m/>
    <n v="3006717"/>
    <m/>
    <n v="-241174"/>
    <s v="Recticacion F29"/>
  </r>
  <r>
    <d v="2025-03-06T00:00:00"/>
    <s v="PAGO EN LINEA S.I.I."/>
    <x v="6"/>
    <m/>
    <n v="2765543"/>
    <m/>
    <n v="-168103"/>
    <s v="Recticacion F29"/>
  </r>
  <r>
    <d v="2025-03-07T00:00:00"/>
    <s v="JUMBO ONECLICK"/>
    <x v="1"/>
    <m/>
    <n v="2597440"/>
    <n v="2898"/>
    <m/>
    <m/>
  </r>
  <r>
    <d v="2025-03-10T00:00:00"/>
    <s v="Compra MERCAR"/>
    <x v="1"/>
    <m/>
    <n v="2600338"/>
    <m/>
    <n v="-1890"/>
    <m/>
  </r>
  <r>
    <d v="2025-03-14T00:00:00"/>
    <s v="0144767209 Transf a Jeannette del Carmen Núñez Hermosilla"/>
    <x v="1"/>
    <m/>
    <n v="2598448"/>
    <m/>
    <n v="-100000"/>
    <s v="Aseo oficina"/>
  </r>
  <r>
    <d v="2025-03-14T00:00:00"/>
    <s v="PAGO EN LINEA S.I.I."/>
    <x v="6"/>
    <m/>
    <n v="2498448"/>
    <m/>
    <n v="-527046"/>
    <m/>
  </r>
  <r>
    <d v="2025-03-19T00:00:00"/>
    <s v="Compra MERCADOPAGO *MICO"/>
    <x v="1"/>
    <m/>
    <n v="1971402"/>
    <m/>
    <n v="-38940"/>
    <m/>
  </r>
  <r>
    <d v="2025-03-20T00:00:00"/>
    <s v="0200723457 Transf a Benjamin Lecaros"/>
    <x v="1"/>
    <m/>
    <n v="1932462"/>
    <m/>
    <n v="-10000"/>
    <m/>
  </r>
  <r>
    <d v="2025-03-20T00:00:00"/>
    <s v="0200723457 Transf a Benjamin Lecaros"/>
    <x v="1"/>
    <m/>
    <n v="1922462"/>
    <m/>
    <n v="-2190"/>
    <m/>
  </r>
  <r>
    <d v="2025-03-20T00:00:00"/>
    <s v="0774601414 Transf de FUTRONO SPA"/>
    <x v="10"/>
    <m/>
    <n v="1920272"/>
    <n v="35280000"/>
    <m/>
    <m/>
  </r>
  <r>
    <d v="2025-03-20T00:00:00"/>
    <s v="0774601414 Transf de FUTRONO SPA"/>
    <x v="5"/>
    <s v="FUTRONO"/>
    <n v="37200272"/>
    <n v="35000000"/>
    <m/>
    <m/>
  </r>
  <r>
    <d v="2025-03-20T00:00:00"/>
    <s v="0153769826 Transf a HIRIART BLOME JORGE"/>
    <x v="5"/>
    <s v="AYSEN"/>
    <n v="72200272"/>
    <m/>
    <n v="-35000000"/>
    <m/>
  </r>
  <r>
    <d v="2025-03-20T00:00:00"/>
    <s v="Inversión en Fondo Mutuo"/>
    <x v="7"/>
    <m/>
    <n v="37200272"/>
    <m/>
    <n v="-35000000"/>
    <m/>
  </r>
  <r>
    <d v="2025-03-24T00:00:00"/>
    <s v="0785981901 Transf. SOC VICTOR HUGO"/>
    <x v="3"/>
    <m/>
    <n v="2200272"/>
    <n v="3474240"/>
    <m/>
    <m/>
  </r>
  <r>
    <d v="2025-03-25T00:00:00"/>
    <s v="0161286575 Transf a Micael Sandor"/>
    <x v="1"/>
    <m/>
    <n v="5674512"/>
    <m/>
    <n v="-1485238"/>
    <m/>
  </r>
  <r>
    <d v="2025-03-27T00:00:00"/>
    <s v="0107554106 Transf a RIEUTORD ALVARADO A"/>
    <x v="9"/>
    <m/>
    <n v="4189274"/>
    <m/>
    <n v="-90000"/>
    <m/>
  </r>
  <r>
    <d v="2025-03-27T00:00:00"/>
    <s v="011990675K Transf a Oliver Leiva Ramírez Topografo"/>
    <x v="1"/>
    <s v="COLBUN"/>
    <n v="4099274"/>
    <m/>
    <n v="-125000"/>
    <m/>
  </r>
  <r>
    <d v="2025-03-27T00:00:00"/>
    <s v="0770359716 Transf a CONTALIVE SPA"/>
    <x v="1"/>
    <m/>
    <n v="3974274"/>
    <m/>
    <n v="-41629"/>
    <m/>
  </r>
  <r>
    <d v="2025-03-27T00:00:00"/>
    <s v="COM.MANTENCION PLAN"/>
    <x v="1"/>
    <m/>
    <n v="3932645"/>
    <m/>
    <n v="-18937"/>
    <m/>
  </r>
  <r>
    <d v="2025-03-28T00:00:00"/>
    <s v="0533207448 Transf a Comunidad Edificio 1K Torre A"/>
    <x v="1"/>
    <m/>
    <n v="3913708"/>
    <m/>
    <n v="-121174"/>
    <s v="GGCC oficina"/>
  </r>
  <r>
    <d v="2025-03-31T00:00:00"/>
    <s v="PAGO EN LINEA SERVIPAG"/>
    <x v="1"/>
    <m/>
    <n v="3792534"/>
    <m/>
    <n v="-80972"/>
    <m/>
  </r>
  <r>
    <d v="2025-03-31T00:00:00"/>
    <s v="Compra NOTARIA BELMONTE"/>
    <x v="9"/>
    <m/>
    <n v="3711562"/>
    <m/>
    <n v="-20000"/>
    <m/>
  </r>
  <r>
    <d v="2025-04-01T00:00:00"/>
    <s v="0083291001 Transf a Víctor Hugo Pérez Peña"/>
    <x v="1"/>
    <s v="COLBUN"/>
    <n v="3691562"/>
    <m/>
    <n v="-53600"/>
    <s v="Pagos pendientes V-34-2025 Santa Delfina"/>
  </r>
  <r>
    <d v="2025-04-01T00:00:00"/>
    <s v="Compra GOOGLE *GSUITE_ec"/>
    <x v="1"/>
    <m/>
    <n v="3637962"/>
    <m/>
    <n v="-39600"/>
    <m/>
  </r>
  <r>
    <d v="2025-04-01T00:00:00"/>
    <s v="079584600K Transf. B Y M INGENIEROS LIMITADA"/>
    <x v="3"/>
    <m/>
    <n v="3598362"/>
    <n v="733106"/>
    <m/>
    <m/>
  </r>
  <r>
    <d v="2025-04-01T00:00:00"/>
    <s v="0771605729 Transf a ECOX SPA"/>
    <x v="4"/>
    <m/>
    <n v="4331468"/>
    <m/>
    <n v="-1000000"/>
    <m/>
  </r>
  <r>
    <d v="2025-04-01T00:00:00"/>
    <s v="0121371871 Transf a CIFUENTES PAREDES R"/>
    <x v="2"/>
    <m/>
    <n v="3331468"/>
    <m/>
    <n v="-600000"/>
    <m/>
  </r>
  <r>
    <d v="2025-04-01T00:00:00"/>
    <s v="0200723457 Transf a Benjamin Lecaros"/>
    <x v="2"/>
    <m/>
    <n v="2731468"/>
    <m/>
    <n v="-1000000"/>
    <m/>
  </r>
  <r>
    <d v="2025-04-01T00:00:00"/>
    <s v="0763699560 Transf a Inversiones Blackzar Limitada"/>
    <x v="1"/>
    <m/>
    <n v="1731468"/>
    <m/>
    <n v="-1000"/>
    <s v="arriendo oficina"/>
  </r>
  <r>
    <d v="2025-04-01T00:00:00"/>
    <s v="0771605729 Transf de ECOX SPA"/>
    <x v="3"/>
    <m/>
    <n v="1730468"/>
    <n v="100000"/>
    <m/>
    <m/>
  </r>
  <r>
    <d v="2025-04-01T00:00:00"/>
    <s v="0774601414 Transf de FUTRONO SPA"/>
    <x v="3"/>
    <m/>
    <n v="1830468"/>
    <n v="100000"/>
    <m/>
    <m/>
  </r>
  <r>
    <d v="2025-04-01T00:00:00"/>
    <s v="0778714019 Transf. Agricola los Chilcos Spa"/>
    <x v="3"/>
    <m/>
    <n v="1930468"/>
    <n v="100000"/>
    <m/>
    <m/>
  </r>
  <r>
    <d v="2025-04-01T00:00:00"/>
    <s v="0767039379 Transf. los Robles Spa"/>
    <x v="3"/>
    <m/>
    <n v="2030468"/>
    <n v="100000"/>
    <m/>
    <m/>
  </r>
  <r>
    <d v="2025-04-01T00:00:00"/>
    <s v="0774654836 Transf. Parque Sur Spa"/>
    <x v="3"/>
    <m/>
    <n v="2130468"/>
    <n v="100000"/>
    <m/>
    <m/>
  </r>
  <r>
    <d v="2025-04-02T00:00:00"/>
    <s v="Rescate Fondos Mutuos"/>
    <x v="7"/>
    <m/>
    <n v="2230468"/>
    <n v="22000000"/>
    <m/>
    <m/>
  </r>
  <r>
    <d v="2025-04-02T00:00:00"/>
    <s v="0771605729 Transf a ECOX SPA"/>
    <x v="4"/>
    <m/>
    <n v="24230468"/>
    <m/>
    <n v="-24000000"/>
    <m/>
  </r>
  <r>
    <d v="2025-04-02T00:00:00"/>
    <s v="0778050773 Transf. Cerro Colorado Spa"/>
    <x v="3"/>
    <m/>
    <n v="230468"/>
    <n v="1500000"/>
    <m/>
    <m/>
  </r>
  <r>
    <d v="2025-04-02T00:00:00"/>
    <s v="0763699560 Transf a Inversiones Blackzar Limitada"/>
    <x v="1"/>
    <m/>
    <n v="1730468"/>
    <m/>
    <n v="-1088312"/>
    <s v="arriendo oficina"/>
  </r>
  <r>
    <d v="2025-04-02T00:00:00"/>
    <s v="0144767209 Transf a Jeannette del Carmen Núñez Hermosilla"/>
    <x v="1"/>
    <m/>
    <n v="642156"/>
    <m/>
    <n v="-75000"/>
    <s v="aseo 3 dias"/>
  </r>
  <r>
    <d v="2025-04-02T00:00:00"/>
    <s v="0778714019 Transf. Agricola los Chilcos Spa"/>
    <x v="3"/>
    <m/>
    <n v="567156"/>
    <n v="4000000"/>
    <m/>
    <m/>
  </r>
  <r>
    <d v="2025-04-03T00:00:00"/>
    <s v="Inversión en Fondo Mutuo"/>
    <x v="7"/>
    <m/>
    <n v="4567156"/>
    <m/>
    <n v="-4000000"/>
    <m/>
  </r>
  <r>
    <d v="2025-04-04T00:00:00"/>
    <s v="0776730890 Transf a Constructora e Ingeniería Maule spa"/>
    <x v="1"/>
    <s v="COLBUN"/>
    <n v="567156"/>
    <m/>
    <n v="-150000"/>
    <m/>
  </r>
  <r>
    <d v="2025-04-07T00:00:00"/>
    <s v="Compra MERCADOPAGO *MICO"/>
    <x v="1"/>
    <m/>
    <n v="417156"/>
    <m/>
    <n v="-31360"/>
    <m/>
  </r>
  <r>
    <d v="2025-04-08T00:00:00"/>
    <s v="Compra TIP Y TAP"/>
    <x v="1"/>
    <m/>
    <n v="385796"/>
    <m/>
    <n v="-35200"/>
    <m/>
  </r>
  <r>
    <d v="2025-04-09T00:00:00"/>
    <s v="PAGO EN LINEA T.G.R."/>
    <x v="1"/>
    <s v="COLBUN"/>
    <n v="350596"/>
    <m/>
    <n v="-58430"/>
    <s v="Contribuciones colbun"/>
  </r>
  <r>
    <d v="2025-04-09T00:00:00"/>
    <s v="PAGO EN LINEA T.G.R."/>
    <x v="6"/>
    <m/>
    <n v="292166"/>
    <m/>
    <n v="-209775"/>
    <m/>
  </r>
  <r>
    <d v="2025-04-09T00:00:00"/>
    <s v="0200723457 Transf a Benjamin Lecaros"/>
    <x v="1"/>
    <m/>
    <n v="82391"/>
    <m/>
    <n v="-9990"/>
    <m/>
  </r>
  <r>
    <d v="2025-04-11T00:00:00"/>
    <s v="Compra MERCAR"/>
    <x v="1"/>
    <m/>
    <n v="72401"/>
    <m/>
    <n v="-5140"/>
    <m/>
  </r>
  <r>
    <d v="2025-04-11T00:00:00"/>
    <s v="COBRO VVISTA 026432879193-00001 OFF.BANK"/>
    <x v="7"/>
    <m/>
    <n v="67261"/>
    <n v="1550472"/>
    <m/>
    <s v="Deposito a plazo"/>
  </r>
  <r>
    <d v="2025-04-11T00:00:00"/>
    <s v="PAGO EN LINEA S.I.I."/>
    <x v="6"/>
    <m/>
    <n v="1617733"/>
    <m/>
    <n v="-586076"/>
    <m/>
  </r>
  <r>
    <d v="2025-04-15T00:00:00"/>
    <s v="0156407445 Transf a HIRIART BLOME FELIP"/>
    <x v="1"/>
    <m/>
    <n v="1031657"/>
    <m/>
    <n v="-87200"/>
    <s v="Reembolso bencina y Piegari"/>
  </r>
  <r>
    <d v="2025-04-15T00:00:00"/>
    <s v="0163673002 Transf a LECAROS SOTOMAYOR P"/>
    <x v="1"/>
    <m/>
    <n v="944457"/>
    <m/>
    <n v="-20000"/>
    <s v="rinde gasto gasolina bsf"/>
  </r>
  <r>
    <d v="2025-04-15T00:00:00"/>
    <s v="00966585900 Pago Fact 124"/>
    <x v="3"/>
    <m/>
    <n v="924457"/>
    <n v="2922870"/>
    <m/>
    <s v="Decaexpress"/>
  </r>
  <r>
    <d v="2025-04-16T00:00:00"/>
    <s v="Inversión en Fondo Mutuo"/>
    <x v="7"/>
    <m/>
    <n v="3847327"/>
    <m/>
    <n v="-3200000"/>
    <m/>
  </r>
  <r>
    <d v="2025-04-23T00:00:00"/>
    <s v="0156407445 Transf a Felipe Hiriart BCI"/>
    <x v="8"/>
    <m/>
    <n v="647327"/>
    <m/>
    <n v="-255000"/>
    <s v="Credito BCI"/>
  </r>
  <r>
    <d v="2025-04-23T00:00:00"/>
    <s v="0533207448 Transf a Comunidad Edificio 1K Torre A"/>
    <x v="1"/>
    <m/>
    <n v="392327"/>
    <m/>
    <n v="-143306"/>
    <s v="GGCC oficina"/>
  </r>
  <r>
    <d v="2025-04-24T00:00:00"/>
    <s v="0771605729 Transf de ECOX SPA"/>
    <x v="4"/>
    <m/>
    <n v="249021"/>
    <n v="200000"/>
    <m/>
    <m/>
  </r>
  <r>
    <d v="2025-04-24T00:00:00"/>
    <s v="0064895109 Transf a ADASME APAZ FRANCIS"/>
    <x v="1"/>
    <s v="COLBUN"/>
    <n v="449021"/>
    <m/>
    <n v="-297500"/>
    <s v="Pago 50 porciento perito"/>
  </r>
  <r>
    <d v="2025-04-28T00:00:00"/>
    <s v="Compra PAR (PARQUE ARAUC"/>
    <x v="1"/>
    <m/>
    <n v="151521"/>
    <m/>
    <n v="-8985"/>
    <s v="Articulos oficina"/>
  </r>
  <r>
    <d v="2025-04-28T00:00:00"/>
    <s v="Compra MERCADOPAGO *MICO"/>
    <x v="1"/>
    <m/>
    <n v="142536"/>
    <m/>
    <n v="-37340"/>
    <m/>
  </r>
  <r>
    <d v="2025-04-29T00:00:00"/>
    <s v="0156407445 Transf a HIRIART BLOME FELIP"/>
    <x v="1"/>
    <m/>
    <n v="105196"/>
    <m/>
    <n v="-22500"/>
    <m/>
  </r>
  <r>
    <d v="2025-04-29T00:00:00"/>
    <s v="0163673002 Transf a LECAROS SOTOMAYOR P"/>
    <x v="1"/>
    <m/>
    <n v="82696"/>
    <m/>
    <n v="-22500"/>
    <m/>
  </r>
  <r>
    <d v="2025-04-28T00:00:00"/>
    <s v="COM.MANTENCION PLAN"/>
    <x v="1"/>
    <m/>
    <n v="60196"/>
    <m/>
    <n v="-19058"/>
    <m/>
  </r>
  <r>
    <d v="2025-04-29T00:00:00"/>
    <s v="Rescate Fondos Mutuos"/>
    <x v="7"/>
    <m/>
    <n v="41138"/>
    <n v="16000000"/>
    <m/>
    <m/>
  </r>
  <r>
    <d v="2025-05-02T00:00:00"/>
    <s v="PAGO EN LINEA S.I.I."/>
    <x v="6"/>
    <m/>
    <n v="16041138"/>
    <m/>
    <n v="-15263618"/>
    <m/>
  </r>
  <r>
    <d v="2025-05-02T00:00:00"/>
    <s v="Compra GOOGLE *GSUITE_ec"/>
    <x v="1"/>
    <m/>
    <n v="777520"/>
    <m/>
    <n v="-39600"/>
    <m/>
  </r>
  <r>
    <d v="2025-05-05T00:00:00"/>
    <s v="Rescate Fondos Mutuos"/>
    <x v="7"/>
    <m/>
    <n v="737920"/>
    <n v="3000000"/>
    <m/>
    <m/>
  </r>
  <r>
    <d v="2025-05-05T00:00:00"/>
    <s v="0778714019 Transf. Agricola los Chilcos Spa"/>
    <x v="3"/>
    <m/>
    <n v="3737920"/>
    <n v="4000000"/>
    <m/>
    <m/>
  </r>
  <r>
    <d v="2025-05-05T00:00:00"/>
    <s v="0774654836 Transf. Parque Sur Spa"/>
    <x v="3"/>
    <m/>
    <n v="7737920"/>
    <n v="100000"/>
    <m/>
    <s v="servicio contable"/>
  </r>
  <r>
    <d v="2025-05-05T00:00:00"/>
    <s v="0767039379 Transf. los Robles Spa"/>
    <x v="3"/>
    <m/>
    <n v="7837920"/>
    <n v="100000"/>
    <m/>
    <s v="servicio contable"/>
  </r>
  <r>
    <d v="2025-05-05T00:00:00"/>
    <s v="0778714019 Transf. Agricola los Chilcos Spa"/>
    <x v="3"/>
    <m/>
    <n v="7937920"/>
    <n v="100000"/>
    <m/>
    <s v="servicio contable"/>
  </r>
  <r>
    <d v="2025-05-05T00:00:00"/>
    <s v="0778050773 Transf. Cerro Colorado SpA"/>
    <x v="3"/>
    <m/>
    <n v="8037920"/>
    <n v="100000"/>
    <m/>
    <s v="servicio contable"/>
  </r>
  <r>
    <d v="2025-05-05T00:00:00"/>
    <s v="0778050773 Transf. Cerro Colorado SpA"/>
    <x v="3"/>
    <m/>
    <n v="8137920"/>
    <n v="2300000"/>
    <m/>
    <m/>
  </r>
  <r>
    <d v="2025-05-05T00:00:00"/>
    <s v="0771605729 Transf a ECOX SPA"/>
    <x v="4"/>
    <m/>
    <n v="10437920"/>
    <m/>
    <n v="-6600000"/>
    <m/>
  </r>
  <r>
    <d v="2025-05-05T00:00:00"/>
    <s v="0121371871 Transf a CIFUENTES PAREDES R"/>
    <x v="2"/>
    <m/>
    <n v="3837920"/>
    <m/>
    <n v="-600000"/>
    <m/>
  </r>
  <r>
    <d v="2025-05-05T00:00:00"/>
    <s v="0763699560 Transf a Inversiones Blackzar Limitada"/>
    <x v="1"/>
    <m/>
    <n v="3237920"/>
    <m/>
    <n v="-1094996"/>
    <s v="arriendo oficina"/>
  </r>
  <r>
    <d v="2025-05-06T00:00:00"/>
    <s v="PAGO EN LINEA SERVIPAG"/>
    <x v="1"/>
    <m/>
    <n v="2142924"/>
    <m/>
    <n v="-41151"/>
    <s v="Cuentas oficina"/>
  </r>
  <r>
    <d v="2025-05-06T00:00:00"/>
    <s v="0200723457 Transf a Benjamin Lecaros"/>
    <x v="2"/>
    <m/>
    <n v="2101773"/>
    <m/>
    <n v="-145000"/>
    <m/>
  </r>
  <r>
    <d v="2025-05-06T00:00:00"/>
    <s v="0144767209 Transf a Jeannette del Carmen Núñez Hermosilla"/>
    <x v="1"/>
    <m/>
    <n v="1956773"/>
    <m/>
    <n v="-100000"/>
    <s v="aseo oficina 4 días"/>
  </r>
  <r>
    <d v="2025-05-07T00:00:00"/>
    <s v="Compra MERCAR"/>
    <x v="1"/>
    <m/>
    <n v="1856773"/>
    <m/>
    <n v="-8620"/>
    <m/>
  </r>
  <r>
    <d v="2025-05-07T00:00:00"/>
    <s v="Compra PIZZERIA TIRAMISU"/>
    <x v="1"/>
    <m/>
    <n v="1848153"/>
    <m/>
    <n v="-67612"/>
    <m/>
  </r>
  <r>
    <d v="2025-05-09T00:00:00"/>
    <s v="0774601414 Transf de FUTRONO SPA"/>
    <x v="3"/>
    <m/>
    <n v="1780541"/>
    <n v="100000"/>
    <m/>
    <m/>
  </r>
  <r>
    <d v="2025-05-13T00:00:00"/>
    <s v="PAGO EN LINEA S.I.I."/>
    <x v="6"/>
    <m/>
    <n v="1880541"/>
    <m/>
    <n v="-245968"/>
    <m/>
  </r>
  <r>
    <d v="2025-05-19T00:00:00"/>
    <s v="Compra MERCADOPAGO *MICO"/>
    <x v="1"/>
    <m/>
    <n v="1634573"/>
    <m/>
    <n v="-37940"/>
    <m/>
  </r>
  <r>
    <d v="2025-05-19T00:00:00"/>
    <s v="0200723457 Transf a Benjamin Lecaros"/>
    <x v="1"/>
    <m/>
    <n v="1596633"/>
    <m/>
    <n v="-19000"/>
    <m/>
  </r>
  <r>
    <d v="2025-05-19T00:00:00"/>
    <s v="0785981901 Transf. SOC VICTOR HUGO"/>
    <x v="3"/>
    <m/>
    <n v="1577633"/>
    <n v="3504510"/>
    <m/>
    <m/>
  </r>
  <r>
    <d v="2025-05-20T00:00:00"/>
    <s v="0161286575 Transf a Micael Sandor"/>
    <x v="1"/>
    <m/>
    <n v="5082143"/>
    <m/>
    <n v="-1498178"/>
    <m/>
  </r>
  <r>
    <d v="2025-05-22T00:00:00"/>
    <s v="Compra MERCAR"/>
    <x v="1"/>
    <m/>
    <n v="3583965"/>
    <m/>
    <n v="-2600"/>
    <m/>
  </r>
  <r>
    <d v="2025-05-26T00:00:00"/>
    <s v="Compra MERCAR"/>
    <x v="1"/>
    <m/>
    <n v="3581365"/>
    <m/>
    <n v="-11700"/>
    <m/>
  </r>
  <r>
    <d v="2025-05-28T00:00:00"/>
    <s v="Compra MERCAR"/>
    <x v="1"/>
    <m/>
    <n v="3569665"/>
    <m/>
    <n v="-6940"/>
    <m/>
  </r>
  <r>
    <d v="2025-05-28T00:00:00"/>
    <s v="COM.MANTENCION PLAN"/>
    <x v="1"/>
    <m/>
    <n v="3562725"/>
    <m/>
    <n v="-19147"/>
    <m/>
  </r>
  <r>
    <d v="2025-05-29T00:00:00"/>
    <s v="PAGO EN LINEA T.G.R."/>
    <x v="6"/>
    <m/>
    <n v="3543578"/>
    <m/>
    <n v="-49950"/>
    <m/>
  </r>
  <r>
    <d v="2025-05-29T00:00:00"/>
    <s v="0770359716 Transf a CONTALIVE SPA"/>
    <x v="1"/>
    <m/>
    <n v="3493628"/>
    <m/>
    <n v="-352429"/>
    <m/>
  </r>
  <r>
    <d v="2025-05-30T00:00:00"/>
    <s v="0082846808 Transf a Miguel Angel Venegas Salgado"/>
    <x v="1"/>
    <s v="COLBUN"/>
    <n v="3141199"/>
    <m/>
    <n v="-255850"/>
    <s v="Avisos"/>
  </r>
  <r>
    <d v="2025-05-30T00:00:00"/>
    <s v="0533207448 Transf a Comunidad Edificio 1K Torre A"/>
    <x v="1"/>
    <m/>
    <n v="2885349"/>
    <m/>
    <n v="-128350"/>
    <s v="GGCC"/>
  </r>
  <r>
    <d v="2025-05-30T00:00:00"/>
    <s v="Compra MERCADOPAGO *MICO"/>
    <x v="1"/>
    <m/>
    <n v="2756999"/>
    <m/>
    <n v="-31960"/>
    <m/>
  </r>
  <r>
    <d v="2025-06-02T00:00:00"/>
    <s v="Compra GOOGLE *GSUITE_ec"/>
    <x v="1"/>
    <m/>
    <n v="2725039"/>
    <m/>
    <n v="-39600"/>
    <m/>
  </r>
  <r>
    <d v="2025-06-02T00:00:00"/>
    <s v="0774654836 Transf. Parque Sur Spa"/>
    <x v="3"/>
    <m/>
    <n v="2685439"/>
    <n v="100000"/>
    <m/>
    <m/>
  </r>
  <r>
    <d v="2025-06-02T00:00:00"/>
    <s v="0767039379 Transf. los Robles Spa"/>
    <x v="3"/>
    <m/>
    <n v="2785439"/>
    <n v="100000"/>
    <m/>
    <m/>
  </r>
  <r>
    <d v="2025-06-02T00:00:00"/>
    <s v="0778714019 Transf. Agricola los Chilcos Spa"/>
    <x v="3"/>
    <m/>
    <n v="2885439"/>
    <n v="100000"/>
    <m/>
    <m/>
  </r>
  <r>
    <d v="2025-06-02T00:00:00"/>
    <s v="0778050773 Transf. Cerro Colorado Spa"/>
    <x v="3"/>
    <m/>
    <n v="2985439"/>
    <n v="100000"/>
    <m/>
    <m/>
  </r>
  <r>
    <d v="2025-06-02T00:00:00"/>
    <s v="PAGO EN LINEA SERVIPAG"/>
    <x v="1"/>
    <m/>
    <n v="3085439"/>
    <m/>
    <n v="-47173"/>
    <s v="Cuentas oficina"/>
  </r>
  <r>
    <d v="2025-06-02T00:00:00"/>
    <s v="0121371871 Transf a CIFUENTES PAREDES R"/>
    <x v="2"/>
    <m/>
    <n v="3038266"/>
    <m/>
    <n v="-600000"/>
    <m/>
  </r>
  <r>
    <d v="2025-06-02T00:00:00"/>
    <s v="0200723457 Transf a Benjamin Lecaros"/>
    <x v="2"/>
    <m/>
    <n v="2438266"/>
    <m/>
    <n v="-145000"/>
    <m/>
  </r>
  <r>
    <d v="2025-06-02T00:00:00"/>
    <s v="0763699560 Transf a Inversiones Blackzar Limitada"/>
    <x v="1"/>
    <m/>
    <n v="2293266"/>
    <m/>
    <n v="-1097432"/>
    <s v="arriendo oficina"/>
  </r>
  <r>
    <d v="2025-06-02T00:00:00"/>
    <s v="0774601414 Transf de FUTRONO SPA"/>
    <x v="3"/>
    <m/>
    <n v="1195834"/>
    <n v="100000"/>
    <m/>
    <m/>
  </r>
  <r>
    <d v="2025-06-02T00:00:00"/>
    <s v="0778714019 Transf. Agricola los Chilcos Spa"/>
    <x v="3"/>
    <m/>
    <n v="1295834"/>
    <n v="4000000"/>
    <m/>
    <m/>
  </r>
  <r>
    <d v="2025-06-02T00:00:00"/>
    <s v="0778050773 Transf. Cerro Colorado Spa"/>
    <x v="3"/>
    <m/>
    <n v="5295834"/>
    <n v="2300000"/>
    <m/>
    <m/>
  </r>
  <r>
    <d v="2025-06-02T00:00:00"/>
    <s v="0771605729 Transf a ECOX SPA"/>
    <x v="4"/>
    <m/>
    <n v="7595834"/>
    <m/>
    <n v="-2000000"/>
    <m/>
  </r>
  <r>
    <d v="2025-06-02T00:00:00"/>
    <s v="0771605729 Transf a ECOX SPA"/>
    <x v="4"/>
    <m/>
    <n v="5595834"/>
    <m/>
    <n v="-5000000"/>
    <m/>
  </r>
  <r>
    <d v="2025-06-03T00:00:00"/>
    <s v="Compra MERCAR"/>
    <x v="1"/>
    <m/>
    <n v="595834"/>
    <m/>
    <n v="-10970"/>
    <m/>
  </r>
  <r>
    <d v="2025-06-03T00:00:00"/>
    <s v="0156407445 Transf a HIRIART BLOME FELIP"/>
    <x v="1"/>
    <m/>
    <n v="584864"/>
    <m/>
    <n v="-79980"/>
    <m/>
  </r>
  <r>
    <d v="2025-06-04T00:00:00"/>
    <s v="PAGO EN LINEA T.G.R."/>
    <x v="6"/>
    <m/>
    <n v="504884"/>
    <m/>
    <n v="-6800"/>
    <m/>
  </r>
  <r>
    <d v="2025-06-04T00:00:00"/>
    <s v="PAGO EN LINEA T.G.R."/>
    <x v="6"/>
    <m/>
    <n v="498084"/>
    <m/>
    <n v="-26479"/>
    <m/>
  </r>
  <r>
    <d v="2025-06-05T00:00:00"/>
    <s v="0064895109 Transf a ADASME APAZ FRANCIS"/>
    <x v="1"/>
    <s v="COLBUN"/>
    <n v="471605"/>
    <m/>
    <n v="-297500"/>
    <s v="Pago 2 de 2 Perito"/>
  </r>
  <r>
    <d v="2025-06-05T00:00:00"/>
    <s v="Compra SOCIEDAD DE INVER"/>
    <x v="1"/>
    <m/>
    <n v="174105"/>
    <m/>
    <n v="-98010"/>
    <s v="café"/>
  </r>
  <r>
    <d v="2025-06-06T00:00:00"/>
    <s v="0163673002 Transf a LECAROS SOTOMAYOR P"/>
    <x v="1"/>
    <m/>
    <n v="76095"/>
    <m/>
    <n v="-20000"/>
    <s v="Reembolso auto Pudahuel"/>
  </r>
  <r>
    <d v="2025-06-06T00:00:00"/>
    <s v="076261930K Transf a LYON MONTERO Y CIA"/>
    <x v="9"/>
    <m/>
    <n v="56095"/>
    <m/>
    <n v="-40000"/>
    <s v="Gasto notaria ep crane WW"/>
  </r>
  <r>
    <d v="2025-06-06T00:00:00"/>
    <s v="PAGO EN LINEA T.G.R."/>
    <x v="1"/>
    <m/>
    <n v="16095"/>
    <m/>
    <n v="-3800"/>
    <m/>
  </r>
  <r>
    <d v="2025-06-10T00:00:00"/>
    <s v="0771605729 Transf de ECOX SPA"/>
    <x v="4"/>
    <m/>
    <n v="12295"/>
    <n v="113000"/>
    <m/>
    <m/>
  </r>
  <r>
    <d v="2025-06-10T00:00:00"/>
    <s v="0144767209 Transf a Jeannette del Carmen Núñez Hermosilla"/>
    <x v="1"/>
    <m/>
    <n v="125295"/>
    <m/>
    <n v="-125000"/>
    <s v="Aseo oficina"/>
  </r>
  <r>
    <d v="2025-06-10T00:00:00"/>
    <s v="Rescate Fondos Mutuos"/>
    <x v="7"/>
    <m/>
    <n v="295"/>
    <n v="500000"/>
    <m/>
    <m/>
  </r>
  <r>
    <d v="2025-06-10T00:00:00"/>
    <s v="0771605729 Transf a ECOX SPA"/>
    <x v="4"/>
    <m/>
    <n v="500295"/>
    <m/>
    <n v="-30000"/>
    <m/>
  </r>
  <r>
    <d v="2025-06-11T00:00:00"/>
    <s v="PAGO EN LINEA T.G.R."/>
    <x v="6"/>
    <m/>
    <n v="470295"/>
    <m/>
    <n v="-160392"/>
    <s v="Contribuciones  "/>
  </r>
  <r>
    <d v="2025-06-10T00:00:00"/>
    <s v="MERCADOPAGO *MICOCACO"/>
    <x v="1"/>
    <m/>
    <n v="309903"/>
    <n v="34450"/>
    <m/>
    <s v="Devolucion compra coca cola"/>
  </r>
  <r>
    <d v="2025-06-11T00:00:00"/>
    <s v="Rescate Fondos Mutuos"/>
    <x v="7"/>
    <m/>
    <n v="344353"/>
    <n v="700000"/>
    <m/>
    <m/>
  </r>
  <r>
    <d v="2025-06-11T00:00:00"/>
    <s v="PAGO EN LINEA S.I.I."/>
    <x v="6"/>
    <m/>
    <n v="1044353"/>
    <m/>
    <n v="-495082"/>
    <s v="F29"/>
  </r>
  <r>
    <d v="2025-06-12T00:00:00"/>
    <s v="PAGO EN LINEA T.G.R."/>
    <x v="6"/>
    <m/>
    <n v="549271"/>
    <m/>
    <n v="-209775"/>
    <m/>
  </r>
  <r>
    <d v="2025-06-16T00:00:00"/>
    <s v="0767039379 Transf. LOS ROBLES SpA"/>
    <x v="3"/>
    <m/>
    <n v="339496"/>
    <n v="300000"/>
    <m/>
    <s v="Honorario dividendo 4"/>
  </r>
  <r>
    <d v="2025-06-16T00:00:00"/>
    <s v="0767039379 Transf. LOS ROBLES SpA"/>
    <x v="3"/>
    <m/>
    <n v="639496"/>
    <n v="5000000"/>
    <m/>
    <s v="Honorario dividendo 4"/>
  </r>
  <r>
    <d v="2025-06-16T00:00:00"/>
    <s v="0767039379 Transf. LOS ROBLES SpA"/>
    <x v="3"/>
    <m/>
    <n v="5639496"/>
    <n v="5000000"/>
    <m/>
    <s v="Honorario dividendo 4"/>
  </r>
  <r>
    <d v="2025-06-16T00:00:00"/>
    <s v="0767039379 Transf. LOS ROBLES SpA"/>
    <x v="3"/>
    <m/>
    <n v="10639496"/>
    <n v="5000000"/>
    <m/>
    <s v="Honorario dividendo 4"/>
  </r>
  <r>
    <d v="2025-06-16T00:00:00"/>
    <s v="0767039379 Transf. LOS ROBLES SpA"/>
    <x v="3"/>
    <m/>
    <n v="15639496"/>
    <n v="5000000"/>
    <m/>
    <s v="Honorario dividendo 4"/>
  </r>
  <r>
    <d v="2025-06-16T00:00:00"/>
    <s v="0774601414 Transf a FUTRONO SPA"/>
    <x v="11"/>
    <m/>
    <n v="20639496"/>
    <m/>
    <n v="-1000"/>
    <s v="activa cuenta"/>
  </r>
  <r>
    <d v="2025-06-16T00:00:00"/>
    <s v="0774601414 Transf de FUTRONO SPA"/>
    <x v="10"/>
    <m/>
    <n v="20638496"/>
    <n v="20462400"/>
    <m/>
    <s v="Dividendo 4"/>
  </r>
  <r>
    <d v="2025-06-16T00:00:00"/>
    <s v="PAGO EN LINEA SERVIPAG"/>
    <x v="1"/>
    <m/>
    <n v="41100896"/>
    <m/>
    <n v="-20608"/>
    <m/>
  </r>
  <r>
    <d v="2025-06-16T00:00:00"/>
    <s v="Transf.Internet a 77.460.141-4"/>
    <x v="5"/>
    <s v="FUTRONO"/>
    <n v="41080288"/>
    <m/>
    <n v="-35000000"/>
    <m/>
  </r>
  <r>
    <d v="2025-06-17T00:00:00"/>
    <s v="0767039379 Transf. LOS ROBLES SpA"/>
    <x v="3"/>
    <m/>
    <n v="6080288"/>
    <n v="5000000"/>
    <m/>
    <s v="Honorario dividendo 3"/>
  </r>
  <r>
    <d v="2025-06-17T00:00:00"/>
    <s v="0767039379 Transf. LOS ROBLES SpA"/>
    <x v="3"/>
    <m/>
    <n v="11080288"/>
    <n v="5000000"/>
    <m/>
    <s v="Honorario dividendo 3"/>
  </r>
  <r>
    <d v="2025-06-17T00:00:00"/>
    <s v="0767039379 Transf. LOS ROBLES SpA"/>
    <x v="3"/>
    <m/>
    <n v="16080288"/>
    <n v="5000000"/>
    <m/>
    <s v="Honorario dividendo 3"/>
  </r>
  <r>
    <d v="2025-06-17T00:00:00"/>
    <s v="0767039379 Transf. LOS ROBLES SpA"/>
    <x v="3"/>
    <m/>
    <n v="21080288"/>
    <n v="5000000"/>
    <m/>
    <s v="Honorario dividendo 3"/>
  </r>
  <r>
    <d v="2025-06-17T00:00:00"/>
    <s v="0767039379 Transf. LOS ROBLES SpA"/>
    <x v="3"/>
    <m/>
    <n v="26080288"/>
    <n v="5000000"/>
    <m/>
    <s v="Honorario dividendo 3"/>
  </r>
  <r>
    <d v="2025-06-17T00:00:00"/>
    <s v="0767039379 Transf. LOS ROBLES SpA"/>
    <x v="3"/>
    <m/>
    <n v="31080288"/>
    <n v="5000000"/>
    <m/>
    <s v="Honorario dividendo 3"/>
  </r>
  <r>
    <d v="2025-06-17T00:00:00"/>
    <s v="0767039379 Transf. LOS ROBLES SpA"/>
    <x v="3"/>
    <m/>
    <n v="36080288"/>
    <n v="5000000"/>
    <m/>
    <s v="Honorario dividendo 3"/>
  </r>
  <r>
    <d v="2025-06-17T00:00:00"/>
    <s v="0771605729 Transf a ECOX SPA"/>
    <x v="4"/>
    <m/>
    <n v="41080288"/>
    <m/>
    <n v="-17000000"/>
    <m/>
  </r>
  <r>
    <d v="2025-06-17T00:00:00"/>
    <s v="0153769826 Transf a HIRIART BLOME JORGE"/>
    <x v="5"/>
    <s v="AYSEN"/>
    <n v="24080288"/>
    <m/>
    <n v="-20500000"/>
    <s v="Prestamo Aysen SpA"/>
  </r>
  <r>
    <d v="2025-06-17T00:00:00"/>
    <s v="0771605729 Transf de ECOX SPA"/>
    <x v="4"/>
    <m/>
    <n v="3580288"/>
    <n v="2100000"/>
    <m/>
    <m/>
  </r>
  <r>
    <d v="2025-06-17T00:00:00"/>
    <s v="Inversión en Fondo Mutuo"/>
    <x v="7"/>
    <m/>
    <n v="5680288"/>
    <m/>
    <n v="-4500000"/>
    <m/>
  </r>
  <r>
    <d v="2025-06-19T00:00:00"/>
    <s v="0156407445 Transf a HIRIART BLOME FELIP"/>
    <x v="1"/>
    <m/>
    <n v="1180288"/>
    <m/>
    <n v="-3153"/>
    <m/>
  </r>
  <r>
    <d v="2025-06-23T00:00:00"/>
    <s v="0200723457 Transf a Benjamin Lecaros"/>
    <x v="1"/>
    <m/>
    <n v="1177135"/>
    <m/>
    <n v="-11880"/>
    <s v="Reembolso"/>
  </r>
  <r>
    <d v="2025-06-25T00:00:00"/>
    <s v="0785981901 Transf. SOC VICTOR HUGO"/>
    <x v="3"/>
    <m/>
    <n v="1165255"/>
    <n v="3524550"/>
    <m/>
    <m/>
  </r>
  <r>
    <d v="2025-06-26T00:00:00"/>
    <s v="Transf.Internet a 53.320.744-8"/>
    <x v="1"/>
    <m/>
    <n v="4689805"/>
    <m/>
    <n v="-130154"/>
    <s v="GGCC oficina"/>
  </r>
  <r>
    <d v="2025-06-26T00:00:00"/>
    <s v="Transf.Internet a 16.128.657-5"/>
    <x v="1"/>
    <m/>
    <n v="4559651"/>
    <m/>
    <n v="-1506745"/>
    <s v="servicios legales"/>
  </r>
  <r>
    <d v="2025-06-26T00:00:00"/>
    <s v="0200723457 Transf a Benjamin Lecaros"/>
    <x v="1"/>
    <m/>
    <n v="3052906"/>
    <m/>
    <n v="-26294"/>
    <s v="Reembolso Uber"/>
  </r>
  <r>
    <d v="2025-06-26T00:00:00"/>
    <s v="COM.MANTENCION PLAN"/>
    <x v="1"/>
    <m/>
    <n v="3026612"/>
    <m/>
    <n v="-19202"/>
    <m/>
  </r>
  <r>
    <d v="2025-06-30T00:00:00"/>
    <s v="PAGO EN LINEA SERVIPAG"/>
    <x v="1"/>
    <m/>
    <n v="3007410"/>
    <m/>
    <n v="-50793"/>
    <s v="Cuentas oficina"/>
  </r>
  <r>
    <d v="2025-07-01T00:00:00"/>
    <s v="0200723457 Transf a Benjamin Lecaros"/>
    <x v="1"/>
    <m/>
    <n v="2956617"/>
    <m/>
    <n v="-23000"/>
    <s v="Reembolsa cargador pc"/>
  </r>
  <r>
    <d v="2025-07-01T00:00:00"/>
    <s v="Compra GOOGLE *GSUITE_ec"/>
    <x v="1"/>
    <m/>
    <n v="2933617"/>
    <m/>
    <n v="-39600"/>
    <s v="Mail"/>
  </r>
  <r>
    <d v="2025-07-01T00:00:00"/>
    <s v="0778714019 Transf. Agricola los Chilcos Spa"/>
    <x v="3"/>
    <m/>
    <n v="2894017"/>
    <n v="4000000"/>
    <m/>
    <s v="servicio de gestion"/>
  </r>
  <r>
    <d v="2025-07-01T00:00:00"/>
    <s v="0778714019 Transf. Agricola los Chilcos Spa"/>
    <x v="3"/>
    <m/>
    <n v="6894017"/>
    <n v="100000"/>
    <m/>
    <s v="servicio contable"/>
  </r>
  <r>
    <d v="2025-07-01T00:00:00"/>
    <s v="0767039379 Transf. los Robles Spa"/>
    <x v="3"/>
    <m/>
    <n v="6994017"/>
    <n v="100000"/>
    <m/>
    <s v="servicio contable"/>
  </r>
  <r>
    <d v="2025-07-01T00:00:00"/>
    <s v="0774654836 Transf. Parque Sur SpA"/>
    <x v="3"/>
    <m/>
    <n v="7094017"/>
    <n v="100000"/>
    <m/>
    <s v="servicio contable"/>
  </r>
  <r>
    <d v="2025-07-01T00:00:00"/>
    <s v="0778050773 Transf. Cerro Colorado Spa"/>
    <x v="3"/>
    <m/>
    <n v="7194017"/>
    <n v="100000"/>
    <m/>
    <s v="servicio contable"/>
  </r>
  <r>
    <d v="2025-07-01T00:00:00"/>
    <s v="0778050773 Transf. Cerro Colorado Spa"/>
    <x v="3"/>
    <m/>
    <n v="7294017"/>
    <n v="1500000"/>
    <m/>
    <m/>
  </r>
  <r>
    <d v="2025-07-01T00:00:00"/>
    <s v="0200723457 Transf a Benjamin Lecaros"/>
    <x v="2"/>
    <m/>
    <n v="8794017"/>
    <m/>
    <n v="-145000"/>
    <m/>
  </r>
  <r>
    <d v="2025-07-01T00:00:00"/>
    <s v="0763699560 Transf a Inversiones Blackzar Limitada"/>
    <x v="1"/>
    <m/>
    <n v="8649017"/>
    <m/>
    <n v="-1099551"/>
    <m/>
  </r>
  <r>
    <d v="2025-07-01T00:00:00"/>
    <s v="0121371871 Transf a CIFUENTES PAREDES R"/>
    <x v="2"/>
    <m/>
    <n v="7549466"/>
    <m/>
    <n v="-600000"/>
    <m/>
  </r>
  <r>
    <d v="2025-07-01T00:00:00"/>
    <s v="0774601414 Transf de FUTRONO SPA"/>
    <x v="3"/>
    <m/>
    <n v="6949466"/>
    <n v="100000"/>
    <m/>
    <m/>
  </r>
  <r>
    <d v="2025-07-01T00:00:00"/>
    <s v="0771605729 Transf a ECOX SPA"/>
    <x v="4"/>
    <m/>
    <n v="7049466"/>
    <m/>
    <n v="-7000000"/>
    <m/>
  </r>
  <r>
    <d v="2025-07-02T00:00:00"/>
    <s v="Rescate Fondos Mutuos"/>
    <x v="7"/>
    <m/>
    <n v="49466"/>
    <n v="5000000"/>
    <m/>
    <m/>
  </r>
  <r>
    <d v="2025-07-02T00:00:00"/>
    <s v="0771605729 Transf a ECOX SPA"/>
    <x v="4"/>
    <m/>
    <n v="5049466"/>
    <m/>
    <n v="-5000000"/>
    <m/>
  </r>
  <r>
    <d v="2025-07-07T00:00:00"/>
    <s v="0200723457 Transf a Benjamin Lecaros"/>
    <x v="1"/>
    <m/>
    <n v="49466"/>
    <m/>
    <n v="-40000"/>
    <s v="Reembolso bencina  "/>
  </r>
  <r>
    <d v="2025-07-08T00:00:00"/>
    <s v="0778223554 Transf. CRANE CHILE SPA CRANE CHILE SPA"/>
    <x v="3"/>
    <m/>
    <n v="9466"/>
    <n v="1161711"/>
    <m/>
    <s v="Factura 153"/>
  </r>
  <r>
    <d v="2025-07-08T00:00:00"/>
    <s v="00892186006 PAGO FACT 156"/>
    <x v="3"/>
    <m/>
    <n v="1171177"/>
    <n v="942849"/>
    <m/>
    <s v="Factura 156"/>
  </r>
  <r>
    <d v="2025-07-10T00:00:00"/>
    <s v="PAGO EN LINEA T.G.R."/>
    <x v="1"/>
    <m/>
    <n v="2114026"/>
    <m/>
    <n v="-10400"/>
    <m/>
  </r>
  <r>
    <d v="2025-07-11T00:00:00"/>
    <s v="PAGO EN LINEA S.I.I."/>
    <x v="6"/>
    <m/>
    <n v="2103626"/>
    <m/>
    <n v="-434909"/>
    <m/>
  </r>
  <r>
    <d v="2025-07-11T00:00:00"/>
    <s v="0144767209 Transf a Jeannette del Carmen Núñez Hermosilla"/>
    <x v="1"/>
    <m/>
    <n v="1668717"/>
    <m/>
    <n v="-100000"/>
    <s v="Aseo oficina"/>
  </r>
  <r>
    <d v="2025-07-14T00:00:00"/>
    <s v="0200723457 Transf a Benjamin Lecaros"/>
    <x v="1"/>
    <m/>
    <n v="1568717"/>
    <m/>
    <n v="-10990"/>
    <s v="Reembolso aceite"/>
  </r>
  <r>
    <d v="2025-07-14T00:00:00"/>
    <s v="Compra PRONTO COPEC CHIM"/>
    <x v="1"/>
    <m/>
    <n v="1557727"/>
    <m/>
    <n v="-3190"/>
    <m/>
  </r>
  <r>
    <d v="2025-07-14T00:00:00"/>
    <s v="Compra SOCIEDAD INMOBILI"/>
    <x v="0"/>
    <m/>
    <n v="1554537"/>
    <m/>
    <n v="-50380"/>
    <m/>
  </r>
  <r>
    <d v="2025-07-15T00:00:00"/>
    <s v="Compra CAFETERIA OASIS"/>
    <x v="1"/>
    <m/>
    <n v="1504157"/>
    <m/>
    <n v="-5600"/>
    <m/>
  </r>
  <r>
    <d v="2025-07-15T00:00:00"/>
    <s v="0163673002 Transf a LECAROS SOTOMAYOR P"/>
    <x v="1"/>
    <s v="COLBUN"/>
    <n v="1498557"/>
    <m/>
    <n v="-110000"/>
    <s v="Bencina y tag colbun"/>
  </r>
  <r>
    <d v="2025-07-17T00:00:00"/>
    <s v="0901930007 Transf a EMP EL MERCURIO SOC"/>
    <x v="1"/>
    <m/>
    <n v="1388557"/>
    <m/>
    <n v="-282724"/>
    <s v="Diario el mercurio"/>
  </r>
  <r>
    <d v="2025-07-18T00:00:00"/>
    <s v="0770743141 Transf. 4V DESARROLLO INMOBILIARIO SpA"/>
    <x v="3"/>
    <m/>
    <n v="1105833"/>
    <n v="392853"/>
    <m/>
    <s v="Factura 155"/>
  </r>
  <r>
    <d v="2025-07-18T00:00:00"/>
    <s v="0156407445 Transf a HIRIART BLOME FELIP"/>
    <x v="1"/>
    <m/>
    <n v="1498686"/>
    <m/>
    <n v="-48424"/>
    <s v="Reembolso Uber"/>
  </r>
  <r>
    <d v="2025-07-18T00:00:00"/>
    <s v="0107554106 Transf a RIEUTORD ALVARADO A"/>
    <x v="9"/>
    <m/>
    <n v="1450262"/>
    <m/>
    <n v="-40000"/>
    <m/>
  </r>
  <r>
    <d v="2025-07-18T00:00:00"/>
    <s v="PAGO EN LINEA ENTEL PCS"/>
    <x v="1"/>
    <m/>
    <n v="1410262"/>
    <m/>
    <n v="-20608"/>
    <s v="Entel"/>
  </r>
  <r>
    <d v="2025-07-23T00:00:00"/>
    <s v="Compra MERCADOPAGO *MICO"/>
    <x v="1"/>
    <m/>
    <n v="1389654"/>
    <m/>
    <n v="-36650"/>
    <m/>
  </r>
  <r>
    <d v="2025-07-23T00:00:00"/>
    <s v="Compra WIX.COM 118988150"/>
    <x v="1"/>
    <m/>
    <n v="1353004"/>
    <m/>
    <n v="-124915"/>
    <s v="Web ecox"/>
  </r>
  <r>
    <d v="2025-07-24T00:00:00"/>
    <s v="Compra EQUIFAX CHILE"/>
    <x v="1"/>
    <m/>
    <n v="1228089"/>
    <m/>
    <n v="-17990"/>
    <s v="informe dicom"/>
  </r>
  <r>
    <d v="2025-07-24T00:00:00"/>
    <s v="0163673002 Transf a LECAROS SOTOMAYOR P"/>
    <x v="1"/>
    <m/>
    <n v="1210099"/>
    <m/>
    <n v="-20000"/>
    <s v="Bencina Pudahuel"/>
  </r>
  <r>
    <d v="2025-07-24T00:00:00"/>
    <s v="Compra ESTAC .LO CASTILL"/>
    <x v="1"/>
    <m/>
    <n v="1190099"/>
    <m/>
    <n v="-7250"/>
    <m/>
  </r>
  <r>
    <d v="2025-07-25T00:00:00"/>
    <s v="0103284406 Transf a SANCHEZ MILLER PATR"/>
    <x v="1"/>
    <m/>
    <n v="1182849"/>
    <m/>
    <n v="-1000000"/>
    <s v="arriendo oficina 202"/>
  </r>
  <r>
    <d v="2025-07-28T00:00:00"/>
    <s v="0103284406 Transf a SANCHEZ MILLER PATR"/>
    <x v="1"/>
    <m/>
    <n v="182849"/>
    <m/>
    <n v="-176434"/>
    <s v="arriendo oficina 202"/>
  </r>
  <r>
    <d v="2025-07-30T00:00:00"/>
    <s v="0771605729 Transf de ECOX SPA"/>
    <x v="4"/>
    <m/>
    <n v="6415"/>
    <n v="1000000"/>
    <m/>
    <m/>
  </r>
  <r>
    <d v="2025-07-30T00:00:00"/>
    <s v="0144767209 Transf a Jeannette del Carmen Núñez Hermosilla"/>
    <x v="1"/>
    <m/>
    <n v="1006415"/>
    <m/>
    <n v="-100000"/>
    <s v="Aseo oficina"/>
  </r>
  <r>
    <d v="2025-07-30T00:00:00"/>
    <s v="0200723457 Transf a Benjamin Lecaros"/>
    <x v="1"/>
    <m/>
    <n v="906415"/>
    <m/>
    <n v="-17970"/>
    <s v="Reembolso articulos oficina"/>
  </r>
  <r>
    <d v="2025-07-30T00:00:00"/>
    <s v="0533207448 Transf a Comunidad Edificio 1K Torre A"/>
    <x v="1"/>
    <m/>
    <n v="888445"/>
    <m/>
    <n v="-144482"/>
    <s v="GGCC oficina"/>
  </r>
  <r>
    <d v="2025-07-30T00:00:00"/>
    <s v="0163673002 Transf a LECAROS SOTOMAYOR P"/>
    <x v="1"/>
    <m/>
    <n v="743963"/>
    <m/>
    <n v="-218955"/>
    <s v="Reembolso comida"/>
  </r>
  <r>
    <d v="2025-07-30T00:00:00"/>
    <s v="0156407445 Transf a HIRIART BLOME FELIP"/>
    <x v="1"/>
    <m/>
    <n v="525008"/>
    <m/>
    <n v="-10398"/>
    <s v="Reembolso Uber"/>
  </r>
  <r>
    <d v="2025-07-30T00:00:00"/>
    <s v="0156407445 Transf a HIRIART BLOME FELIP"/>
    <x v="1"/>
    <m/>
    <n v="514610"/>
    <m/>
    <n v="-176605"/>
    <s v="Reembolso comida"/>
  </r>
  <r>
    <d v="2025-07-29T00:00:00"/>
    <s v="COM.MANTENCION PLAN"/>
    <x v="1"/>
    <m/>
    <n v="338005"/>
    <m/>
    <n v="-19241"/>
    <m/>
  </r>
  <r>
    <d v="2025-08-01T00:00:00"/>
    <s v="Compra GOOGLE *GSUITE_ec"/>
    <x v="1"/>
    <m/>
    <n v="318764"/>
    <m/>
    <n v="-44496"/>
    <m/>
  </r>
  <r>
    <d v="2025-08-01T00:00:00"/>
    <s v="0778714019 Transf. Agricola los Chilcos Spa"/>
    <x v="3"/>
    <m/>
    <n v="274268"/>
    <n v="4000000"/>
    <m/>
    <m/>
  </r>
  <r>
    <d v="2025-08-04T00:00:00"/>
    <s v="0771605729 Transf a ECOX SPA"/>
    <x v="4"/>
    <m/>
    <n v="4274268"/>
    <m/>
    <n v="-500000"/>
    <m/>
  </r>
  <r>
    <d v="2025-08-04T00:00:00"/>
    <s v="0121371871 Transf a CIFUENTES PAREDES R"/>
    <x v="2"/>
    <m/>
    <n v="3774268"/>
    <m/>
    <n v="-600000"/>
    <m/>
  </r>
  <r>
    <d v="2025-08-04T00:00:00"/>
    <s v="0200723457 Transf a Benjamin Lecaros"/>
    <x v="2"/>
    <m/>
    <n v="3174268"/>
    <m/>
    <n v="-145000"/>
    <m/>
  </r>
  <r>
    <d v="2025-08-04T00:00:00"/>
    <s v="0763699560 Transf a Inversiones Blackzar Limitada"/>
    <x v="1"/>
    <m/>
    <n v="3029268"/>
    <m/>
    <n v="-1096870"/>
    <s v="Arriendo oficina (208)"/>
  </r>
  <r>
    <d v="2025-08-04T00:00:00"/>
    <s v="Interés Sobregiro Cta.Corriente"/>
    <x v="12"/>
    <m/>
    <n v="1932398"/>
    <m/>
    <n v="-17"/>
    <m/>
  </r>
  <r>
    <d v="2025-08-04T00:00:00"/>
    <s v="Impuesto Sobregiro / Uso LCA"/>
    <x v="12"/>
    <m/>
    <n v="1932381"/>
    <m/>
    <n v="-8"/>
    <m/>
  </r>
  <r>
    <d v="2025-08-05T00:00:00"/>
    <s v="Transf.Internet a 76.830.014-3"/>
    <x v="1"/>
    <m/>
    <n v="1932373"/>
    <m/>
    <n v="-4100"/>
    <s v="Firma electronica"/>
  </r>
  <r>
    <d v="2025-08-05T00:00:00"/>
    <s v="0774654836 Transf. Parque Sur Spa"/>
    <x v="3"/>
    <m/>
    <n v="1928273"/>
    <n v="100000"/>
    <m/>
    <m/>
  </r>
  <r>
    <d v="2025-08-05T00:00:00"/>
    <s v="0767039379 Transf. los Robles Spa"/>
    <x v="3"/>
    <m/>
    <n v="2028273"/>
    <n v="100000"/>
    <m/>
    <m/>
  </r>
  <r>
    <d v="2025-08-05T00:00:00"/>
    <s v="0778714019 Transf. Agricola los Chilcos Spa"/>
    <x v="3"/>
    <m/>
    <n v="2128273"/>
    <n v="100000"/>
    <m/>
    <m/>
  </r>
  <r>
    <d v="2025-08-05T00:00:00"/>
    <s v="0772132840 Transf de TREGUALEMU SPA"/>
    <x v="3"/>
    <m/>
    <n v="2228273"/>
    <n v="100000"/>
    <m/>
    <m/>
  </r>
  <r>
    <d v="2025-08-05T00:00:00"/>
    <s v="0774601414 Transf de FUTRONO SPA"/>
    <x v="3"/>
    <m/>
    <n v="2328273"/>
    <n v="100000"/>
    <m/>
    <m/>
  </r>
  <r>
    <d v="2025-08-06T00:00:00"/>
    <s v="077057482K Transf. INVERSIONES WICHALM LIMITADA"/>
    <x v="0"/>
    <m/>
    <n v="2428273"/>
    <n v="785707"/>
    <m/>
    <m/>
  </r>
  <r>
    <d v="2025-08-11T00:00:00"/>
    <s v="Inversión en Fondo Mutuo"/>
    <x v="7"/>
    <m/>
    <n v="3213980"/>
    <m/>
    <n v="-2700000"/>
    <m/>
  </r>
  <r>
    <d v="2025-08-11T00:00:00"/>
    <s v="PAGO EN LINEA SERVIPAG"/>
    <x v="1"/>
    <m/>
    <n v="513980"/>
    <m/>
    <n v="-49188"/>
    <m/>
  </r>
  <r>
    <d v="2025-08-11T00:00:00"/>
    <s v="Compra MERCADOPAGO *MICO"/>
    <x v="1"/>
    <m/>
    <n v="464792"/>
    <m/>
    <n v="-30432"/>
    <m/>
  </r>
  <r>
    <d v="2025-08-11T00:00:00"/>
    <s v="PAGO EN LINEA S.I.I."/>
    <x v="6"/>
    <m/>
    <n v="434360"/>
    <m/>
    <n v="-138342"/>
    <s v="F29"/>
  </r>
  <r>
    <d v="2025-08-12T00:00:00"/>
    <s v="0779740323 Transf a EL MARTILLERO SPA"/>
    <x v="0"/>
    <m/>
    <n v="296018"/>
    <m/>
    <n v="-231121"/>
    <m/>
  </r>
  <r>
    <d v="2025-08-12T00:00:00"/>
    <s v="Compra INVERSIONES MARAL"/>
    <x v="1"/>
    <m/>
    <n v="64897"/>
    <m/>
    <n v="-10290"/>
    <m/>
  </r>
  <r>
    <d v="2025-08-13T00:00:00"/>
    <s v="0771605729 Transf de ECOX SPA"/>
    <x v="4"/>
    <m/>
    <n v="54607"/>
    <n v="100000"/>
    <m/>
    <m/>
  </r>
  <r>
    <d v="2025-08-13T00:00:00"/>
    <s v="0144767209 Transf a Jeannette del Carmen Núñez Hermosilla"/>
    <x v="1"/>
    <m/>
    <n v="154607"/>
    <m/>
    <n v="-100000"/>
    <s v="Aseo 4 dias adelantado agosto"/>
  </r>
  <r>
    <d v="2025-08-18T00:00:00"/>
    <s v="77.456.314-8 Transf. FULL FUNE"/>
    <x v="3"/>
    <m/>
    <n v="54607"/>
    <n v="314283"/>
    <m/>
    <m/>
  </r>
  <r>
    <d v="2025-08-25T00:00:00"/>
    <s v="PAGO EN LINEA SERVIPAG"/>
    <x v="1"/>
    <m/>
    <n v="368890"/>
    <m/>
    <n v="-84223"/>
    <m/>
  </r>
  <r>
    <d v="2025-08-26T00:00:00"/>
    <s v="Rescate Fondos Mutuos"/>
    <x v="7"/>
    <m/>
    <n v="284667"/>
    <n v="1900000"/>
    <m/>
    <m/>
  </r>
  <r>
    <d v="2025-08-26T00:00:00"/>
    <s v="0103284406 Transf a SANCHEZ MILLER PATR"/>
    <x v="1"/>
    <m/>
    <n v="2184667"/>
    <m/>
    <n v="-1180000"/>
    <s v="Arriendo oficina"/>
  </r>
  <r>
    <d v="2025-08-26T00:00:00"/>
    <s v="0778722852 Transf a Inverkasacl SpA"/>
    <x v="1"/>
    <m/>
    <n v="1004667"/>
    <m/>
    <n v="-702100"/>
    <s v="Corretaje oficina"/>
  </r>
  <r>
    <d v="2025-08-28T00:00:00"/>
    <s v="0083291001 Transf a Víctor Hugo Pérez Peña"/>
    <x v="0"/>
    <s v="COLBUN"/>
    <n v="302567"/>
    <m/>
    <n v="-36000"/>
    <m/>
  </r>
  <r>
    <d v="2025-08-28T00:00:00"/>
    <s v="0083291001 Transf a Víctor Hugo Pérez Peña"/>
    <x v="0"/>
    <s v="COLBUN"/>
    <n v="266567"/>
    <m/>
    <n v="-33600"/>
    <m/>
  </r>
  <r>
    <d v="2025-08-28T00:00:00"/>
    <s v="0533207448 Transf a Comunidad Edificio 1K Torre A"/>
    <x v="1"/>
    <m/>
    <n v="232967"/>
    <m/>
    <n v="-133766"/>
    <m/>
  </r>
  <r>
    <d v="2025-08-27T00:00:00"/>
    <s v="COM.MANTENCION PLAN"/>
    <x v="1"/>
    <m/>
    <n v="99201"/>
    <m/>
    <n v="-19198"/>
    <m/>
  </r>
  <r>
    <d v="2025-08-29T00:00:00"/>
    <s v="0156407445 Transf a HIRIART BLOME FELIP"/>
    <x v="0"/>
    <m/>
    <n v="80003"/>
    <m/>
    <n v="-69990"/>
    <m/>
  </r>
  <r>
    <d v="2025-09-01T00:00:00"/>
    <s v="0778714019 Transf. Agricola los Chilcos Spa"/>
    <x v="0"/>
    <m/>
    <n v="10013"/>
    <n v="4000000"/>
    <m/>
    <m/>
  </r>
  <r>
    <d v="2025-09-01T00:00:00"/>
    <s v="0200723457 Transf a Benjamin Lecaros"/>
    <x v="1"/>
    <m/>
    <n v="4010013"/>
    <m/>
    <n v="-20847"/>
    <s v="Reembolso krispy kreme"/>
  </r>
  <r>
    <d v="2025-09-01T00:00:00"/>
    <s v="0200723457 Transf a Benjamin Lecaros"/>
    <x v="1"/>
    <m/>
    <n v="3989166"/>
    <m/>
    <n v="-7700"/>
    <s v="Reembolso llaves"/>
  </r>
  <r>
    <d v="2025-09-01T00:00:00"/>
    <s v="0200723457 Transf a Benjamin Lecaros"/>
    <x v="2"/>
    <m/>
    <n v="3981466"/>
    <m/>
    <n v="-145000"/>
    <m/>
  </r>
  <r>
    <d v="2025-09-01T00:00:00"/>
    <s v="Transf.Internet a 76.830.014-3"/>
    <x v="0"/>
    <m/>
    <n v="3836466"/>
    <m/>
    <n v="-35688"/>
    <m/>
  </r>
  <r>
    <d v="2025-09-01T00:00:00"/>
    <s v="0175999760 Transf a PIZARRO PADILLA HER"/>
    <x v="0"/>
    <s v="COLBUN"/>
    <n v="3800778"/>
    <m/>
    <n v="-151350"/>
    <m/>
  </r>
  <r>
    <d v="2025-09-01T00:00:00"/>
    <s v="Compra GOOGLE *GSUITE_ec"/>
    <x v="1"/>
    <m/>
    <n v="3649428"/>
    <m/>
    <n v="-46200"/>
    <m/>
  </r>
  <r>
    <d v="2025-09-01T00:00:00"/>
    <s v="Transf.Internet a 12.137.187-1"/>
    <x v="0"/>
    <m/>
    <n v="3603228"/>
    <m/>
    <n v="-600000"/>
    <m/>
  </r>
  <r>
    <d v="2025-09-02T00:00:00"/>
    <s v="0107554106 Transf a RIEUTORD ALVARADO A"/>
    <x v="9"/>
    <m/>
    <n v="3003228"/>
    <m/>
    <n v="-140000"/>
    <m/>
  </r>
  <r>
    <d v="2025-09-02T00:00:00"/>
    <s v="PAGO EN LINEA T.G.R."/>
    <x v="0"/>
    <m/>
    <n v="2863228"/>
    <m/>
    <n v="-26000"/>
    <m/>
  </r>
  <r>
    <d v="2025-09-02T00:00:00"/>
    <s v="Inversión en Fondo Mutuo"/>
    <x v="7"/>
    <m/>
    <n v="2837228"/>
    <m/>
    <n v="-2000000"/>
    <m/>
  </r>
  <r>
    <d v="2025-09-03T00:00:00"/>
    <s v="0760919500 Transf de SOC INMOB E INV LAS"/>
    <x v="3"/>
    <m/>
    <n v="837228"/>
    <n v="630311"/>
    <m/>
    <s v="Las Cadenas"/>
  </r>
  <r>
    <d v="2025-09-04T00:00:00"/>
    <s v="0767039379 Transf. LOS ROBLES SpA"/>
    <x v="3"/>
    <m/>
    <n v="1467539"/>
    <n v="3750000"/>
    <m/>
    <s v="Honorario dividendo 5"/>
  </r>
  <r>
    <d v="2025-09-04T00:00:00"/>
    <s v="0767039379 Transf. LOS ROBLES SpA"/>
    <x v="3"/>
    <m/>
    <n v="5217539"/>
    <n v="5000000"/>
    <m/>
    <s v="Honorario dividendo 5"/>
  </r>
  <r>
    <d v="2025-09-04T00:00:00"/>
    <s v="0771605729 Transf de ECOX SPA"/>
    <x v="3"/>
    <m/>
    <n v="10217539"/>
    <n v="3000000"/>
    <m/>
    <s v="Honorario dividendo 5"/>
  </r>
  <r>
    <d v="2025-09-04T00:00:00"/>
    <s v="Compra IKEA OPEN KENNEDY"/>
    <x v="1"/>
    <m/>
    <n v="13217539"/>
    <m/>
    <n v="-2168920"/>
    <m/>
  </r>
  <r>
    <d v="2025-09-05T00:00:00"/>
    <s v="0767039379 Transf. LOS ROBLES SpA"/>
    <x v="3"/>
    <m/>
    <n v="11048619"/>
    <n v="5000000"/>
    <m/>
    <s v="Honorario dividendo 5"/>
  </r>
  <r>
    <d v="2025-09-05T00:00:00"/>
    <s v="0767039379 Transf. LOS ROBLES SpA"/>
    <x v="3"/>
    <m/>
    <n v="16048619"/>
    <n v="5000000"/>
    <m/>
    <s v="Honorario dividendo 5"/>
  </r>
  <r>
    <d v="2025-09-05T00:00:00"/>
    <s v="0767039379 Transf. LOS ROBLES SpA"/>
    <x v="3"/>
    <m/>
    <n v="21048619"/>
    <n v="5000000"/>
    <m/>
    <s v="Honorario dividendo 5"/>
  </r>
  <r>
    <d v="2025-09-05T00:00:00"/>
    <s v="0153769826 Transf a HIRIART BLOME JORGE"/>
    <x v="5"/>
    <s v="AYSEN"/>
    <n v="26048619"/>
    <m/>
    <n v="-24086693"/>
    <m/>
  </r>
  <r>
    <d v="2025-09-05T00:00:00"/>
    <s v="0774601414 Transf de FUTRONO SPA"/>
    <x v="10"/>
    <m/>
    <n v="1961926"/>
    <n v="23940000"/>
    <m/>
    <s v="Dividendo 5"/>
  </r>
  <r>
    <d v="2025-09-05T00:00:00"/>
    <s v="0774601414 Transf de FUTRONO SPA"/>
    <x v="3"/>
    <m/>
    <n v="25901926"/>
    <n v="100000"/>
    <m/>
    <s v="servicio contable"/>
  </r>
  <r>
    <d v="2025-09-05T00:00:00"/>
    <s v="0767039379 Transf. los Robles Spa"/>
    <x v="3"/>
    <m/>
    <n v="26001926"/>
    <n v="100000"/>
    <m/>
    <s v="servicio contable"/>
  </r>
  <r>
    <d v="2025-09-05T00:00:00"/>
    <s v="0778714019 Transf. Agricola los Chilcos Spa"/>
    <x v="3"/>
    <m/>
    <n v="26101926"/>
    <n v="100000"/>
    <m/>
    <s v="servicio contable"/>
  </r>
  <r>
    <d v="2025-09-05T00:00:00"/>
    <s v="0774654836 Transf. Parque Sur Spa"/>
    <x v="3"/>
    <m/>
    <n v="26201926"/>
    <n v="100000"/>
    <m/>
    <s v="servicio contable"/>
  </r>
  <r>
    <d v="2025-09-05T00:00:00"/>
    <s v="0772132840 Transf de TREGUALEMU SPA"/>
    <x v="3"/>
    <m/>
    <n v="26301926"/>
    <n v="100000"/>
    <m/>
    <s v="servicio contable"/>
  </r>
  <r>
    <d v="2025-09-05T00:00:00"/>
    <s v="Compra MERCADOPAGO *MICO"/>
    <x v="1"/>
    <m/>
    <n v="26401926"/>
    <m/>
    <n v="-37129"/>
    <m/>
  </r>
  <r>
    <m/>
    <m/>
    <x v="3"/>
    <m/>
    <n v="26364797"/>
    <n v="16000000"/>
    <m/>
    <m/>
  </r>
  <r>
    <m/>
    <m/>
    <x v="0"/>
    <m/>
    <n v="42364797"/>
    <m/>
    <m/>
    <m/>
  </r>
  <r>
    <m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F9B1C-41FE-41EE-B150-FE605D6DFD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8">
    <pivotField showAll="0"/>
    <pivotField showAll="0"/>
    <pivotField axis="axisRow" showAll="0">
      <items count="14">
        <item h="1" x="4"/>
        <item x="10"/>
        <item h="1" x="7"/>
        <item h="1" x="1"/>
        <item h="1" x="6"/>
        <item h="1" x="9"/>
        <item h="1" x="5"/>
        <item h="1" x="8"/>
        <item h="1" x="2"/>
        <item x="3"/>
        <item h="1" x="0"/>
        <item h="1" x="11"/>
        <item h="1" x="1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 v="1"/>
    </i>
    <i>
      <x v="9"/>
    </i>
    <i t="grand">
      <x/>
    </i>
  </rowItems>
  <colItems count="1">
    <i/>
  </colItems>
  <dataFields count="1">
    <dataField name="Sum of DEPOSITO" fld="5" baseField="0" baseItem="0" numFmtId="165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E98661-DB61-4E8C-AA8D-BAFFE52669DA}" name="Table4" displayName="Table4" ref="A1:H229" totalsRowShown="0" headerRowDxfId="11" dataDxfId="9" headerRowBorderDxfId="10" headerRowCellStyle="Currency" dataCellStyle="Currency">
  <autoFilter ref="A1:H229" xr:uid="{0FE98661-DB61-4E8C-AA8D-BAFFE52669DA}"/>
  <tableColumns count="8">
    <tableColumn id="1" xr3:uid="{840C7E17-4647-4921-8E57-5CB3697C7E51}" name="FECHA" dataDxfId="8"/>
    <tableColumn id="2" xr3:uid="{55682C00-F3AD-426F-886A-B5A7002CCED1}" name="DETALLE"/>
    <tableColumn id="3" xr3:uid="{561D3355-7D54-4B83-AABA-44A8783A4800}" name="CATEGORIA"/>
    <tableColumn id="4" xr3:uid="{63ADF3D5-3B72-4BD8-BD3E-4B9A34C3EA1C}" name="SUB"/>
    <tableColumn id="5" xr3:uid="{B24ADC41-45EB-442A-A850-5C8300FC4783}" name="SALDO" dataDxfId="7" dataCellStyle="Currency"/>
    <tableColumn id="6" xr3:uid="{C8BA0863-93D4-4412-B058-8137D6041816}" name="DEPOSITO" dataDxfId="6" dataCellStyle="Currency"/>
    <tableColumn id="7" xr3:uid="{1955B847-AC2F-4A07-B09C-5D5AA50AA0ED}" name="GIROS" dataDxfId="5" dataCellStyle="Currency"/>
    <tableColumn id="8" xr3:uid="{CCB68E83-86E8-421F-83F3-C2F6AED42315}" name="COMENTARIO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4" totalsRowShown="0">
  <autoFilter ref="A1:A14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21" totalsRowShown="0">
  <autoFilter ref="B1:B21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9"/>
  <sheetViews>
    <sheetView tabSelected="1" topLeftCell="A175" zoomScale="90" zoomScaleNormal="90" workbookViewId="0">
      <selection activeCell="D216" sqref="D216"/>
    </sheetView>
  </sheetViews>
  <sheetFormatPr defaultRowHeight="14.4" x14ac:dyDescent="0.3"/>
  <cols>
    <col min="1" max="1" width="14.6640625" style="1" customWidth="1"/>
    <col min="2" max="2" width="51.88671875" bestFit="1" customWidth="1"/>
    <col min="3" max="3" width="22.33203125" customWidth="1"/>
    <col min="4" max="4" width="12.6640625" customWidth="1"/>
    <col min="5" max="7" width="17.33203125" style="2" customWidth="1"/>
    <col min="8" max="8" width="56.6640625" customWidth="1"/>
  </cols>
  <sheetData>
    <row r="1" spans="1:27" s="12" customFormat="1" ht="18" thickBot="1" x14ac:dyDescent="0.35">
      <c r="A1" s="8" t="s">
        <v>7</v>
      </c>
      <c r="B1" s="9" t="s">
        <v>0</v>
      </c>
      <c r="C1" s="9" t="s">
        <v>1</v>
      </c>
      <c r="D1" s="9" t="s">
        <v>2</v>
      </c>
      <c r="E1" s="10" t="s">
        <v>3</v>
      </c>
      <c r="F1" s="10" t="s">
        <v>4</v>
      </c>
      <c r="G1" s="10" t="s">
        <v>5</v>
      </c>
      <c r="H1" s="9" t="s">
        <v>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x14ac:dyDescent="0.3">
      <c r="A2" s="1">
        <v>45658</v>
      </c>
      <c r="B2" t="s">
        <v>8</v>
      </c>
      <c r="E2" s="2">
        <v>30166859</v>
      </c>
    </row>
    <row r="3" spans="1:27" x14ac:dyDescent="0.3">
      <c r="A3" s="1">
        <v>46024</v>
      </c>
      <c r="B3" t="s">
        <v>41</v>
      </c>
      <c r="C3" t="s">
        <v>16</v>
      </c>
      <c r="E3" s="2">
        <f>E2+F2+G2</f>
        <v>30166859</v>
      </c>
      <c r="F3" s="2">
        <v>11000000</v>
      </c>
    </row>
    <row r="4" spans="1:27" x14ac:dyDescent="0.3">
      <c r="A4" s="1">
        <v>46024</v>
      </c>
      <c r="B4" t="s">
        <v>54</v>
      </c>
      <c r="C4" t="s">
        <v>12</v>
      </c>
      <c r="E4" s="2">
        <f t="shared" ref="E4:E67" si="0">E3+F3+G3</f>
        <v>41166859</v>
      </c>
      <c r="F4" s="2">
        <v>1000000</v>
      </c>
    </row>
    <row r="5" spans="1:27" x14ac:dyDescent="0.3">
      <c r="A5" s="1">
        <v>46024</v>
      </c>
      <c r="B5" t="s">
        <v>54</v>
      </c>
      <c r="C5" t="s">
        <v>12</v>
      </c>
      <c r="E5" s="2">
        <f t="shared" si="0"/>
        <v>42166859</v>
      </c>
      <c r="F5" s="2">
        <v>200000</v>
      </c>
    </row>
    <row r="6" spans="1:27" x14ac:dyDescent="0.3">
      <c r="A6" s="1">
        <v>46024</v>
      </c>
      <c r="B6" t="s">
        <v>59</v>
      </c>
      <c r="C6" t="s">
        <v>9</v>
      </c>
      <c r="E6" s="2">
        <f t="shared" si="0"/>
        <v>42366859</v>
      </c>
      <c r="G6" s="2">
        <v>-46200</v>
      </c>
    </row>
    <row r="7" spans="1:27" x14ac:dyDescent="0.3">
      <c r="A7" s="1">
        <v>46027</v>
      </c>
      <c r="B7" t="s">
        <v>44</v>
      </c>
      <c r="C7" t="s">
        <v>12</v>
      </c>
      <c r="E7" s="2">
        <f t="shared" si="0"/>
        <v>42320659</v>
      </c>
      <c r="F7" s="2">
        <v>4000000</v>
      </c>
    </row>
    <row r="8" spans="1:27" x14ac:dyDescent="0.3">
      <c r="A8" s="1">
        <v>46027</v>
      </c>
      <c r="B8" t="s">
        <v>44</v>
      </c>
      <c r="C8" t="s">
        <v>12</v>
      </c>
      <c r="E8" s="2">
        <f t="shared" si="0"/>
        <v>46320659</v>
      </c>
      <c r="F8" s="2">
        <v>100000</v>
      </c>
    </row>
    <row r="9" spans="1:27" x14ac:dyDescent="0.3">
      <c r="A9" s="1">
        <v>46027</v>
      </c>
      <c r="B9" t="s">
        <v>40</v>
      </c>
      <c r="C9" t="s">
        <v>12</v>
      </c>
      <c r="E9" s="2">
        <f t="shared" si="0"/>
        <v>46420659</v>
      </c>
      <c r="F9" s="2">
        <v>100000</v>
      </c>
    </row>
    <row r="10" spans="1:27" x14ac:dyDescent="0.3">
      <c r="A10" s="1">
        <v>46027</v>
      </c>
      <c r="B10" t="s">
        <v>39</v>
      </c>
      <c r="C10" t="s">
        <v>12</v>
      </c>
      <c r="E10" s="2">
        <f t="shared" si="0"/>
        <v>46520659</v>
      </c>
      <c r="F10" s="2">
        <v>100000</v>
      </c>
    </row>
    <row r="11" spans="1:27" x14ac:dyDescent="0.3">
      <c r="A11" s="1">
        <v>46027</v>
      </c>
      <c r="B11" t="s">
        <v>37</v>
      </c>
      <c r="C11" t="s">
        <v>9</v>
      </c>
      <c r="E11" s="2">
        <f t="shared" si="0"/>
        <v>46620659</v>
      </c>
      <c r="G11" s="2">
        <v>-75000</v>
      </c>
      <c r="H11" t="s">
        <v>61</v>
      </c>
    </row>
    <row r="12" spans="1:27" x14ac:dyDescent="0.3">
      <c r="A12" s="1">
        <v>46027</v>
      </c>
      <c r="B12" t="s">
        <v>36</v>
      </c>
      <c r="C12" t="s">
        <v>13</v>
      </c>
      <c r="E12" s="2">
        <f t="shared" si="0"/>
        <v>46545659</v>
      </c>
      <c r="G12" s="2">
        <v>-1100000</v>
      </c>
    </row>
    <row r="13" spans="1:27" x14ac:dyDescent="0.3">
      <c r="A13" s="1">
        <v>46027</v>
      </c>
      <c r="B13" t="s">
        <v>60</v>
      </c>
      <c r="C13" t="s">
        <v>20</v>
      </c>
      <c r="D13" t="s">
        <v>23</v>
      </c>
      <c r="E13" s="2">
        <f t="shared" si="0"/>
        <v>45445659</v>
      </c>
      <c r="G13" s="2">
        <v>-19990000</v>
      </c>
    </row>
    <row r="14" spans="1:27" x14ac:dyDescent="0.3">
      <c r="A14" s="1">
        <v>46027</v>
      </c>
      <c r="B14" t="s">
        <v>46</v>
      </c>
      <c r="C14" t="s">
        <v>20</v>
      </c>
      <c r="D14" t="s">
        <v>24</v>
      </c>
      <c r="E14" s="2">
        <f t="shared" si="0"/>
        <v>25455659</v>
      </c>
      <c r="G14" s="2">
        <v>-9990000</v>
      </c>
    </row>
    <row r="15" spans="1:27" x14ac:dyDescent="0.3">
      <c r="A15" s="1">
        <v>46027</v>
      </c>
      <c r="B15" t="s">
        <v>42</v>
      </c>
      <c r="C15" t="s">
        <v>17</v>
      </c>
      <c r="E15" s="2">
        <f t="shared" si="0"/>
        <v>15465659</v>
      </c>
      <c r="G15" s="2">
        <v>-6000000</v>
      </c>
    </row>
    <row r="16" spans="1:27" x14ac:dyDescent="0.3">
      <c r="A16" s="1">
        <v>46027</v>
      </c>
      <c r="B16" t="s">
        <v>43</v>
      </c>
      <c r="C16" t="s">
        <v>17</v>
      </c>
      <c r="E16" s="2">
        <f t="shared" si="0"/>
        <v>9465659</v>
      </c>
      <c r="G16" s="2">
        <v>-6000000</v>
      </c>
    </row>
    <row r="17" spans="1:8" x14ac:dyDescent="0.3">
      <c r="A17" s="1">
        <v>46027</v>
      </c>
      <c r="B17" t="s">
        <v>55</v>
      </c>
      <c r="C17" t="s">
        <v>9</v>
      </c>
      <c r="E17" s="2">
        <f t="shared" si="0"/>
        <v>3465659</v>
      </c>
      <c r="G17" s="2">
        <v>-1192415</v>
      </c>
      <c r="H17" t="s">
        <v>56</v>
      </c>
    </row>
    <row r="18" spans="1:8" x14ac:dyDescent="0.3">
      <c r="A18" s="1">
        <v>46027</v>
      </c>
      <c r="B18" t="s">
        <v>35</v>
      </c>
      <c r="C18" t="s">
        <v>13</v>
      </c>
      <c r="E18" s="2">
        <f t="shared" si="0"/>
        <v>2273244</v>
      </c>
      <c r="G18" s="2">
        <v>-600000</v>
      </c>
    </row>
    <row r="19" spans="1:8" x14ac:dyDescent="0.3">
      <c r="A19" s="1">
        <v>46027</v>
      </c>
      <c r="B19" t="s">
        <v>38</v>
      </c>
      <c r="C19" t="s">
        <v>12</v>
      </c>
      <c r="E19" s="2">
        <f t="shared" si="0"/>
        <v>1673244</v>
      </c>
      <c r="F19" s="2">
        <v>100000</v>
      </c>
    </row>
    <row r="20" spans="1:8" x14ac:dyDescent="0.3">
      <c r="A20" s="1">
        <v>46027</v>
      </c>
      <c r="B20" t="s">
        <v>47</v>
      </c>
      <c r="C20" t="s">
        <v>16</v>
      </c>
      <c r="E20" s="2">
        <f t="shared" si="0"/>
        <v>1773244</v>
      </c>
      <c r="G20" s="2">
        <v>-1500000</v>
      </c>
    </row>
    <row r="21" spans="1:8" x14ac:dyDescent="0.3">
      <c r="A21" s="1">
        <v>46028</v>
      </c>
      <c r="B21" t="s">
        <v>45</v>
      </c>
      <c r="C21" t="s">
        <v>9</v>
      </c>
      <c r="E21" s="2">
        <f t="shared" si="0"/>
        <v>273244</v>
      </c>
      <c r="G21" s="2">
        <v>-34715</v>
      </c>
    </row>
    <row r="22" spans="1:8" x14ac:dyDescent="0.3">
      <c r="A22" s="1">
        <v>46031</v>
      </c>
      <c r="B22" t="s">
        <v>36</v>
      </c>
      <c r="C22" t="s">
        <v>9</v>
      </c>
      <c r="E22" s="2">
        <f t="shared" si="0"/>
        <v>238529</v>
      </c>
      <c r="G22" s="2">
        <v>-13310</v>
      </c>
      <c r="H22" t="s">
        <v>75</v>
      </c>
    </row>
    <row r="23" spans="1:8" x14ac:dyDescent="0.3">
      <c r="A23" s="1">
        <v>46031</v>
      </c>
      <c r="B23" t="s">
        <v>62</v>
      </c>
      <c r="C23" t="s">
        <v>9</v>
      </c>
      <c r="E23" s="2">
        <f t="shared" si="0"/>
        <v>225219</v>
      </c>
      <c r="G23" s="2">
        <v>-34645</v>
      </c>
    </row>
    <row r="24" spans="1:8" x14ac:dyDescent="0.3">
      <c r="A24" s="1">
        <v>46034</v>
      </c>
      <c r="B24" t="s">
        <v>41</v>
      </c>
      <c r="C24" t="s">
        <v>16</v>
      </c>
      <c r="E24" s="2">
        <f t="shared" si="0"/>
        <v>190574</v>
      </c>
      <c r="F24" s="2">
        <v>300000</v>
      </c>
    </row>
    <row r="25" spans="1:8" x14ac:dyDescent="0.3">
      <c r="A25" s="1">
        <v>46034</v>
      </c>
      <c r="B25" t="s">
        <v>63</v>
      </c>
      <c r="C25" t="s">
        <v>9</v>
      </c>
      <c r="E25" s="2">
        <f t="shared" si="0"/>
        <v>490574</v>
      </c>
      <c r="G25" s="2">
        <v>-392248</v>
      </c>
      <c r="H25" t="s">
        <v>74</v>
      </c>
    </row>
    <row r="26" spans="1:8" x14ac:dyDescent="0.3">
      <c r="A26" s="1">
        <v>46034</v>
      </c>
      <c r="B26" t="s">
        <v>42</v>
      </c>
      <c r="C26" t="s">
        <v>9</v>
      </c>
      <c r="E26" s="2">
        <f t="shared" si="0"/>
        <v>98326</v>
      </c>
      <c r="G26" s="2">
        <v>-79990</v>
      </c>
      <c r="H26" t="s">
        <v>69</v>
      </c>
    </row>
    <row r="27" spans="1:8" x14ac:dyDescent="0.3">
      <c r="A27" s="1">
        <v>46042</v>
      </c>
      <c r="B27" t="s">
        <v>64</v>
      </c>
      <c r="C27" t="s">
        <v>20</v>
      </c>
      <c r="D27" t="s">
        <v>29</v>
      </c>
      <c r="E27" s="2">
        <f t="shared" si="0"/>
        <v>18336</v>
      </c>
      <c r="F27" s="2">
        <v>174375</v>
      </c>
    </row>
    <row r="28" spans="1:8" x14ac:dyDescent="0.3">
      <c r="A28" s="1">
        <v>46042</v>
      </c>
      <c r="B28" t="s">
        <v>64</v>
      </c>
      <c r="C28" t="s">
        <v>20</v>
      </c>
      <c r="D28" t="s">
        <v>29</v>
      </c>
      <c r="E28" s="2">
        <f t="shared" si="0"/>
        <v>192711</v>
      </c>
      <c r="F28" s="2">
        <v>115473</v>
      </c>
    </row>
    <row r="29" spans="1:8" x14ac:dyDescent="0.3">
      <c r="A29" s="1">
        <v>46042</v>
      </c>
      <c r="B29" t="s">
        <v>64</v>
      </c>
      <c r="C29" t="s">
        <v>20</v>
      </c>
      <c r="D29" t="s">
        <v>29</v>
      </c>
      <c r="E29" s="2">
        <f t="shared" si="0"/>
        <v>308184</v>
      </c>
      <c r="F29" s="2">
        <v>147248</v>
      </c>
    </row>
    <row r="30" spans="1:8" x14ac:dyDescent="0.3">
      <c r="A30" s="1">
        <v>46043</v>
      </c>
      <c r="B30" t="s">
        <v>42</v>
      </c>
      <c r="C30" t="s">
        <v>9</v>
      </c>
      <c r="E30" s="2">
        <f t="shared" si="0"/>
        <v>455432</v>
      </c>
      <c r="G30" s="2">
        <v>-44056</v>
      </c>
      <c r="H30" t="s">
        <v>70</v>
      </c>
    </row>
    <row r="31" spans="1:8" x14ac:dyDescent="0.3">
      <c r="A31" s="1">
        <v>46043</v>
      </c>
      <c r="B31" t="s">
        <v>43</v>
      </c>
      <c r="C31" t="s">
        <v>9</v>
      </c>
      <c r="E31" s="2">
        <f t="shared" si="0"/>
        <v>411376</v>
      </c>
      <c r="G31" s="2">
        <v>-20000</v>
      </c>
      <c r="H31" t="s">
        <v>71</v>
      </c>
    </row>
    <row r="32" spans="1:8" x14ac:dyDescent="0.3">
      <c r="A32" s="1">
        <v>46044</v>
      </c>
      <c r="B32" t="s">
        <v>45</v>
      </c>
      <c r="C32" t="s">
        <v>9</v>
      </c>
      <c r="E32" s="2">
        <f t="shared" si="0"/>
        <v>391376</v>
      </c>
      <c r="G32" s="2">
        <v>-66992</v>
      </c>
    </row>
    <row r="33" spans="1:8" x14ac:dyDescent="0.3">
      <c r="A33" s="1">
        <v>46044</v>
      </c>
      <c r="B33" t="s">
        <v>54</v>
      </c>
      <c r="C33" t="s">
        <v>12</v>
      </c>
      <c r="E33" s="2">
        <f t="shared" si="0"/>
        <v>324384</v>
      </c>
      <c r="F33" s="2">
        <v>1000000</v>
      </c>
    </row>
    <row r="34" spans="1:8" x14ac:dyDescent="0.3">
      <c r="A34" s="1">
        <v>46049</v>
      </c>
      <c r="B34" t="s">
        <v>65</v>
      </c>
      <c r="C34" t="s">
        <v>20</v>
      </c>
      <c r="E34" s="2">
        <f t="shared" si="0"/>
        <v>1324384</v>
      </c>
      <c r="F34" s="2">
        <v>1522515</v>
      </c>
      <c r="H34" t="s">
        <v>76</v>
      </c>
    </row>
    <row r="35" spans="1:8" x14ac:dyDescent="0.3">
      <c r="A35" s="1">
        <v>46049</v>
      </c>
      <c r="B35" t="s">
        <v>36</v>
      </c>
      <c r="C35" t="s">
        <v>20</v>
      </c>
      <c r="E35" s="2">
        <f t="shared" si="0"/>
        <v>2846899</v>
      </c>
      <c r="G35" s="2">
        <v>-1522515</v>
      </c>
      <c r="H35" t="s">
        <v>76</v>
      </c>
    </row>
    <row r="36" spans="1:8" x14ac:dyDescent="0.3">
      <c r="A36" s="1">
        <v>46049</v>
      </c>
      <c r="B36" t="s">
        <v>66</v>
      </c>
      <c r="C36" t="s">
        <v>9</v>
      </c>
      <c r="E36" s="2">
        <f t="shared" si="0"/>
        <v>1324384</v>
      </c>
      <c r="G36" s="2">
        <v>-139335</v>
      </c>
      <c r="H36" t="s">
        <v>72</v>
      </c>
    </row>
    <row r="37" spans="1:8" x14ac:dyDescent="0.3">
      <c r="A37" s="1">
        <v>46049</v>
      </c>
      <c r="B37" t="s">
        <v>45</v>
      </c>
      <c r="C37" t="s">
        <v>9</v>
      </c>
      <c r="E37" s="2">
        <f t="shared" si="0"/>
        <v>1185049</v>
      </c>
      <c r="G37" s="2">
        <v>-29653</v>
      </c>
    </row>
    <row r="38" spans="1:8" x14ac:dyDescent="0.3">
      <c r="A38" s="1">
        <v>46050</v>
      </c>
      <c r="B38" t="s">
        <v>67</v>
      </c>
      <c r="C38" t="s">
        <v>9</v>
      </c>
      <c r="E38" s="2">
        <f t="shared" si="0"/>
        <v>1155396</v>
      </c>
      <c r="G38" s="2">
        <v>-19465</v>
      </c>
    </row>
    <row r="39" spans="1:8" x14ac:dyDescent="0.3">
      <c r="A39" s="1">
        <v>46055</v>
      </c>
      <c r="B39" t="s">
        <v>68</v>
      </c>
      <c r="C39" t="s">
        <v>20</v>
      </c>
      <c r="E39" s="2">
        <f t="shared" si="0"/>
        <v>1135931</v>
      </c>
      <c r="G39" s="2">
        <v>-260000</v>
      </c>
      <c r="H39" t="s">
        <v>73</v>
      </c>
    </row>
    <row r="40" spans="1:8" x14ac:dyDescent="0.3">
      <c r="A40" s="1">
        <v>46055</v>
      </c>
      <c r="B40" t="s">
        <v>59</v>
      </c>
      <c r="C40" t="s">
        <v>9</v>
      </c>
      <c r="E40" s="2">
        <f t="shared" si="0"/>
        <v>875931</v>
      </c>
      <c r="G40" s="2">
        <v>-46200</v>
      </c>
    </row>
    <row r="41" spans="1:8" x14ac:dyDescent="0.3">
      <c r="A41" s="1">
        <v>46056</v>
      </c>
      <c r="B41" t="s">
        <v>41</v>
      </c>
      <c r="C41" t="s">
        <v>16</v>
      </c>
      <c r="E41" s="2">
        <f t="shared" si="0"/>
        <v>829731</v>
      </c>
      <c r="F41" s="2">
        <v>12000000</v>
      </c>
    </row>
    <row r="42" spans="1:8" x14ac:dyDescent="0.3">
      <c r="A42" s="1">
        <v>46056</v>
      </c>
      <c r="B42" t="s">
        <v>44</v>
      </c>
      <c r="C42" t="s">
        <v>12</v>
      </c>
      <c r="E42" s="2">
        <f t="shared" si="0"/>
        <v>12829731</v>
      </c>
      <c r="F42" s="2">
        <v>4000000</v>
      </c>
    </row>
    <row r="43" spans="1:8" x14ac:dyDescent="0.3">
      <c r="A43" s="1">
        <v>46056</v>
      </c>
      <c r="B43" t="s">
        <v>35</v>
      </c>
      <c r="C43" t="s">
        <v>13</v>
      </c>
      <c r="E43" s="2">
        <f t="shared" si="0"/>
        <v>16829731</v>
      </c>
      <c r="G43" s="2">
        <v>-600000</v>
      </c>
    </row>
    <row r="44" spans="1:8" x14ac:dyDescent="0.3">
      <c r="A44" s="1">
        <v>46056</v>
      </c>
      <c r="B44" t="s">
        <v>55</v>
      </c>
      <c r="C44" t="s">
        <v>9</v>
      </c>
      <c r="E44" s="2">
        <f t="shared" si="0"/>
        <v>16229731</v>
      </c>
      <c r="G44" s="2">
        <v>-1190951</v>
      </c>
      <c r="H44" t="s">
        <v>56</v>
      </c>
    </row>
    <row r="45" spans="1:8" x14ac:dyDescent="0.3">
      <c r="A45" s="1">
        <v>46056</v>
      </c>
      <c r="B45" t="s">
        <v>36</v>
      </c>
      <c r="C45" t="s">
        <v>13</v>
      </c>
      <c r="E45" s="2">
        <f t="shared" si="0"/>
        <v>15038780</v>
      </c>
      <c r="G45" s="2">
        <v>-1200000</v>
      </c>
    </row>
    <row r="46" spans="1:8" x14ac:dyDescent="0.3">
      <c r="A46" s="1">
        <v>46056</v>
      </c>
      <c r="B46" t="s">
        <v>62</v>
      </c>
      <c r="C46" t="s">
        <v>9</v>
      </c>
      <c r="E46" s="2">
        <f t="shared" si="0"/>
        <v>13838780</v>
      </c>
      <c r="G46" s="2">
        <v>-49030</v>
      </c>
    </row>
    <row r="47" spans="1:8" x14ac:dyDescent="0.3">
      <c r="A47" s="1">
        <v>46057</v>
      </c>
      <c r="B47" t="s">
        <v>77</v>
      </c>
      <c r="C47" t="s">
        <v>12</v>
      </c>
      <c r="E47" s="2">
        <f t="shared" si="0"/>
        <v>13789750</v>
      </c>
      <c r="F47" s="2">
        <v>250000</v>
      </c>
    </row>
    <row r="48" spans="1:8" x14ac:dyDescent="0.3">
      <c r="A48" s="1">
        <v>46057</v>
      </c>
      <c r="B48" t="s">
        <v>43</v>
      </c>
      <c r="C48" t="s">
        <v>17</v>
      </c>
      <c r="E48" s="2">
        <f t="shared" si="0"/>
        <v>14039750</v>
      </c>
      <c r="G48" s="2">
        <v>-6000000</v>
      </c>
    </row>
    <row r="49" spans="1:8" x14ac:dyDescent="0.3">
      <c r="A49" s="1">
        <v>46057</v>
      </c>
      <c r="B49" t="s">
        <v>42</v>
      </c>
      <c r="C49" t="s">
        <v>17</v>
      </c>
      <c r="E49" s="2">
        <f t="shared" si="0"/>
        <v>8039750</v>
      </c>
      <c r="G49" s="2">
        <v>-6000000</v>
      </c>
    </row>
    <row r="50" spans="1:8" x14ac:dyDescent="0.3">
      <c r="A50" s="1">
        <v>46057</v>
      </c>
      <c r="B50" t="s">
        <v>42</v>
      </c>
      <c r="C50" t="s">
        <v>9</v>
      </c>
      <c r="E50" s="2">
        <f t="shared" si="0"/>
        <v>2039750</v>
      </c>
      <c r="G50" s="2">
        <v>-101850</v>
      </c>
      <c r="H50" t="s">
        <v>80</v>
      </c>
    </row>
    <row r="51" spans="1:8" x14ac:dyDescent="0.3">
      <c r="A51" s="1">
        <v>46057</v>
      </c>
      <c r="B51" t="s">
        <v>45</v>
      </c>
      <c r="C51" t="s">
        <v>9</v>
      </c>
      <c r="E51" s="2">
        <f t="shared" si="0"/>
        <v>1937900</v>
      </c>
      <c r="G51" s="2">
        <v>-3570</v>
      </c>
      <c r="H51" t="s">
        <v>81</v>
      </c>
    </row>
    <row r="52" spans="1:8" x14ac:dyDescent="0.3">
      <c r="A52" s="1">
        <v>46058</v>
      </c>
      <c r="B52" t="s">
        <v>77</v>
      </c>
      <c r="C52" t="s">
        <v>12</v>
      </c>
      <c r="E52" s="2">
        <f t="shared" si="0"/>
        <v>1934330</v>
      </c>
      <c r="F52" s="2">
        <v>250000</v>
      </c>
    </row>
    <row r="53" spans="1:8" x14ac:dyDescent="0.3">
      <c r="A53" s="1">
        <v>46058</v>
      </c>
      <c r="B53" t="s">
        <v>44</v>
      </c>
      <c r="C53" t="s">
        <v>12</v>
      </c>
      <c r="E53" s="2">
        <f t="shared" si="0"/>
        <v>2184330</v>
      </c>
      <c r="F53" s="2">
        <v>100000</v>
      </c>
      <c r="H53" t="s">
        <v>82</v>
      </c>
    </row>
    <row r="54" spans="1:8" x14ac:dyDescent="0.3">
      <c r="A54" s="1">
        <v>46058</v>
      </c>
      <c r="B54" t="s">
        <v>40</v>
      </c>
      <c r="C54" t="s">
        <v>12</v>
      </c>
      <c r="E54" s="2">
        <f t="shared" si="0"/>
        <v>2284330</v>
      </c>
      <c r="F54" s="2">
        <v>100000</v>
      </c>
      <c r="H54" t="s">
        <v>82</v>
      </c>
    </row>
    <row r="55" spans="1:8" x14ac:dyDescent="0.3">
      <c r="A55" s="1">
        <v>46058</v>
      </c>
      <c r="B55" t="s">
        <v>38</v>
      </c>
      <c r="C55" t="s">
        <v>12</v>
      </c>
      <c r="E55" s="2">
        <f t="shared" si="0"/>
        <v>2384330</v>
      </c>
      <c r="F55" s="2">
        <v>100000</v>
      </c>
      <c r="H55" t="s">
        <v>82</v>
      </c>
    </row>
    <row r="56" spans="1:8" x14ac:dyDescent="0.3">
      <c r="A56" s="1">
        <v>46058</v>
      </c>
      <c r="B56" t="s">
        <v>37</v>
      </c>
      <c r="C56" t="s">
        <v>9</v>
      </c>
      <c r="E56" s="2">
        <f t="shared" si="0"/>
        <v>2484330</v>
      </c>
      <c r="G56" s="2">
        <v>-100000</v>
      </c>
      <c r="H56" t="s">
        <v>83</v>
      </c>
    </row>
    <row r="57" spans="1:8" x14ac:dyDescent="0.3">
      <c r="A57" s="1">
        <v>46059</v>
      </c>
      <c r="B57" t="s">
        <v>78</v>
      </c>
      <c r="C57" t="s">
        <v>9</v>
      </c>
      <c r="E57" s="2">
        <f t="shared" si="0"/>
        <v>2384330</v>
      </c>
      <c r="G57" s="2">
        <v>-33603</v>
      </c>
    </row>
    <row r="58" spans="1:8" x14ac:dyDescent="0.3">
      <c r="A58" s="1">
        <v>46059</v>
      </c>
      <c r="B58" t="s">
        <v>78</v>
      </c>
      <c r="C58" t="s">
        <v>9</v>
      </c>
      <c r="E58" s="2">
        <f t="shared" si="0"/>
        <v>2350727</v>
      </c>
      <c r="G58" s="2">
        <v>-59007</v>
      </c>
    </row>
    <row r="59" spans="1:8" x14ac:dyDescent="0.3">
      <c r="A59" s="1">
        <v>46059</v>
      </c>
      <c r="B59" t="s">
        <v>39</v>
      </c>
      <c r="C59" t="s">
        <v>20</v>
      </c>
      <c r="E59" s="2">
        <f t="shared" si="0"/>
        <v>2291720</v>
      </c>
      <c r="F59" s="2">
        <v>260000</v>
      </c>
      <c r="H59" t="s">
        <v>89</v>
      </c>
    </row>
    <row r="60" spans="1:8" x14ac:dyDescent="0.3">
      <c r="A60" s="1">
        <v>46059</v>
      </c>
      <c r="B60" t="s">
        <v>39</v>
      </c>
      <c r="C60" t="s">
        <v>12</v>
      </c>
      <c r="E60" s="2">
        <f t="shared" si="0"/>
        <v>2551720</v>
      </c>
      <c r="F60" s="2">
        <v>100000</v>
      </c>
      <c r="H60" t="s">
        <v>82</v>
      </c>
    </row>
    <row r="61" spans="1:8" x14ac:dyDescent="0.3">
      <c r="A61" s="1">
        <v>46062</v>
      </c>
      <c r="B61" t="s">
        <v>63</v>
      </c>
      <c r="C61" t="s">
        <v>9</v>
      </c>
      <c r="E61" s="2">
        <f t="shared" si="0"/>
        <v>2651720</v>
      </c>
      <c r="G61" s="2">
        <v>-438609</v>
      </c>
      <c r="H61" t="s">
        <v>74</v>
      </c>
    </row>
    <row r="62" spans="1:8" x14ac:dyDescent="0.3">
      <c r="A62" s="1">
        <v>46062</v>
      </c>
      <c r="B62" t="s">
        <v>47</v>
      </c>
      <c r="C62" t="s">
        <v>16</v>
      </c>
      <c r="E62" s="2">
        <f t="shared" si="0"/>
        <v>2213111</v>
      </c>
      <c r="G62" s="2">
        <v>-1800000</v>
      </c>
    </row>
    <row r="63" spans="1:8" x14ac:dyDescent="0.3">
      <c r="A63" s="1">
        <v>46065</v>
      </c>
      <c r="B63" t="s">
        <v>54</v>
      </c>
      <c r="C63" t="s">
        <v>12</v>
      </c>
      <c r="E63" s="2">
        <f t="shared" si="0"/>
        <v>413111</v>
      </c>
      <c r="F63" s="2">
        <v>1000000</v>
      </c>
      <c r="H63" t="s">
        <v>84</v>
      </c>
    </row>
    <row r="64" spans="1:8" x14ac:dyDescent="0.3">
      <c r="A64" s="1">
        <v>46069</v>
      </c>
      <c r="B64" t="s">
        <v>36</v>
      </c>
      <c r="C64" t="s">
        <v>9</v>
      </c>
      <c r="E64" s="2">
        <f t="shared" si="0"/>
        <v>1413111</v>
      </c>
      <c r="G64" s="2">
        <v>-13200</v>
      </c>
      <c r="H64" t="s">
        <v>85</v>
      </c>
    </row>
    <row r="65" spans="1:8" x14ac:dyDescent="0.3">
      <c r="A65" s="1">
        <v>46073</v>
      </c>
      <c r="B65" t="s">
        <v>64</v>
      </c>
      <c r="C65" t="s">
        <v>20</v>
      </c>
      <c r="D65" t="s">
        <v>29</v>
      </c>
      <c r="E65" s="2">
        <f t="shared" si="0"/>
        <v>1399911</v>
      </c>
      <c r="F65" s="2">
        <v>174423</v>
      </c>
    </row>
    <row r="66" spans="1:8" x14ac:dyDescent="0.3">
      <c r="A66" s="1">
        <v>46073</v>
      </c>
      <c r="B66" t="s">
        <v>64</v>
      </c>
      <c r="C66" t="s">
        <v>20</v>
      </c>
      <c r="D66" t="s">
        <v>29</v>
      </c>
      <c r="E66" s="2">
        <f t="shared" si="0"/>
        <v>1574334</v>
      </c>
      <c r="F66" s="2">
        <v>122177</v>
      </c>
    </row>
    <row r="67" spans="1:8" x14ac:dyDescent="0.3">
      <c r="A67" s="1">
        <v>46073</v>
      </c>
      <c r="B67" t="s">
        <v>64</v>
      </c>
      <c r="C67" t="s">
        <v>20</v>
      </c>
      <c r="D67" t="s">
        <v>29</v>
      </c>
      <c r="E67" s="2">
        <f t="shared" si="0"/>
        <v>1696511</v>
      </c>
      <c r="F67" s="2">
        <v>147289</v>
      </c>
    </row>
    <row r="68" spans="1:8" x14ac:dyDescent="0.3">
      <c r="A68" s="1">
        <v>46077</v>
      </c>
      <c r="B68" t="s">
        <v>79</v>
      </c>
      <c r="C68" t="s">
        <v>9</v>
      </c>
      <c r="E68" s="2">
        <f t="shared" ref="E68:E131" si="1">E67+F67+G67</f>
        <v>1843800</v>
      </c>
      <c r="G68" s="2">
        <v>-6600</v>
      </c>
      <c r="H68" t="s">
        <v>86</v>
      </c>
    </row>
    <row r="69" spans="1:8" x14ac:dyDescent="0.3">
      <c r="A69" s="1">
        <v>46078</v>
      </c>
      <c r="B69" t="s">
        <v>45</v>
      </c>
      <c r="C69" t="s">
        <v>9</v>
      </c>
      <c r="E69" s="2">
        <f t="shared" si="1"/>
        <v>1837200</v>
      </c>
      <c r="G69" s="2">
        <v>-107778</v>
      </c>
      <c r="H69" t="s">
        <v>87</v>
      </c>
    </row>
    <row r="70" spans="1:8" x14ac:dyDescent="0.3">
      <c r="A70" s="1">
        <v>46078</v>
      </c>
      <c r="B70" t="s">
        <v>66</v>
      </c>
      <c r="C70" t="s">
        <v>9</v>
      </c>
      <c r="E70" s="2">
        <f t="shared" si="1"/>
        <v>1729422</v>
      </c>
      <c r="G70" s="2">
        <v>-129847</v>
      </c>
      <c r="H70" t="s">
        <v>88</v>
      </c>
    </row>
    <row r="71" spans="1:8" x14ac:dyDescent="0.3">
      <c r="A71" s="1">
        <v>46078</v>
      </c>
      <c r="B71" t="s">
        <v>67</v>
      </c>
      <c r="C71" t="s">
        <v>9</v>
      </c>
      <c r="E71" s="2">
        <f t="shared" si="1"/>
        <v>1599575</v>
      </c>
      <c r="G71" s="2">
        <v>-19457</v>
      </c>
    </row>
    <row r="72" spans="1:8" x14ac:dyDescent="0.3">
      <c r="A72" s="1">
        <v>46083</v>
      </c>
      <c r="B72" t="s">
        <v>68</v>
      </c>
      <c r="C72" t="s">
        <v>20</v>
      </c>
      <c r="E72" s="2">
        <f t="shared" si="1"/>
        <v>1580118</v>
      </c>
      <c r="G72" s="2">
        <v>-1500000</v>
      </c>
      <c r="H72" t="s">
        <v>89</v>
      </c>
    </row>
    <row r="73" spans="1:8" x14ac:dyDescent="0.3">
      <c r="A73" s="1">
        <v>46083</v>
      </c>
      <c r="B73" t="s">
        <v>59</v>
      </c>
      <c r="C73" t="s">
        <v>9</v>
      </c>
      <c r="E73" s="2">
        <f t="shared" si="1"/>
        <v>80118</v>
      </c>
      <c r="G73" s="2">
        <v>-46200</v>
      </c>
    </row>
    <row r="74" spans="1:8" x14ac:dyDescent="0.3">
      <c r="A74" s="1">
        <v>46083</v>
      </c>
      <c r="B74" t="s">
        <v>44</v>
      </c>
      <c r="C74" t="s">
        <v>12</v>
      </c>
      <c r="E74" s="2">
        <f t="shared" si="1"/>
        <v>33918</v>
      </c>
      <c r="F74" s="2">
        <v>4000000</v>
      </c>
    </row>
    <row r="75" spans="1:8" x14ac:dyDescent="0.3">
      <c r="A75" s="1">
        <v>46083</v>
      </c>
      <c r="B75" t="s">
        <v>78</v>
      </c>
      <c r="C75" t="s">
        <v>9</v>
      </c>
      <c r="E75" s="2">
        <f t="shared" si="1"/>
        <v>4033918</v>
      </c>
      <c r="G75" s="2">
        <v>-6600</v>
      </c>
      <c r="H75" t="s">
        <v>86</v>
      </c>
    </row>
    <row r="76" spans="1:8" x14ac:dyDescent="0.3">
      <c r="A76" s="1">
        <v>46083</v>
      </c>
      <c r="B76" t="s">
        <v>35</v>
      </c>
      <c r="C76" t="s">
        <v>13</v>
      </c>
      <c r="E76" s="2">
        <f t="shared" si="1"/>
        <v>4027318</v>
      </c>
      <c r="G76" s="2">
        <v>-600000</v>
      </c>
    </row>
    <row r="77" spans="1:8" x14ac:dyDescent="0.3">
      <c r="A77" s="1">
        <v>46083</v>
      </c>
      <c r="B77" t="s">
        <v>55</v>
      </c>
      <c r="C77" t="s">
        <v>9</v>
      </c>
      <c r="E77" s="2">
        <f t="shared" si="1"/>
        <v>3427318</v>
      </c>
      <c r="G77" s="2">
        <v>-1194059</v>
      </c>
    </row>
    <row r="78" spans="1:8" x14ac:dyDescent="0.3">
      <c r="A78" s="1">
        <v>46083</v>
      </c>
      <c r="B78" t="s">
        <v>36</v>
      </c>
      <c r="C78" t="s">
        <v>13</v>
      </c>
      <c r="E78" s="2">
        <f t="shared" si="1"/>
        <v>2233259</v>
      </c>
      <c r="G78" s="2">
        <v>-1200000</v>
      </c>
    </row>
    <row r="79" spans="1:8" x14ac:dyDescent="0.3">
      <c r="A79" s="1">
        <v>46084</v>
      </c>
      <c r="B79" t="s">
        <v>68</v>
      </c>
      <c r="C79" t="s">
        <v>20</v>
      </c>
      <c r="E79" s="2">
        <f t="shared" si="1"/>
        <v>1033259</v>
      </c>
      <c r="G79" s="2">
        <v>-1000000</v>
      </c>
      <c r="H79" t="s">
        <v>89</v>
      </c>
    </row>
    <row r="80" spans="1:8" x14ac:dyDescent="0.3">
      <c r="A80" s="1">
        <v>46084</v>
      </c>
      <c r="B80" t="s">
        <v>41</v>
      </c>
      <c r="C80" t="s">
        <v>16</v>
      </c>
      <c r="E80" s="2">
        <f t="shared" si="1"/>
        <v>33259</v>
      </c>
      <c r="F80" s="2">
        <v>5643321</v>
      </c>
    </row>
    <row r="81" spans="1:8" x14ac:dyDescent="0.3">
      <c r="A81" s="1">
        <v>46084</v>
      </c>
      <c r="B81" t="s">
        <v>42</v>
      </c>
      <c r="C81" t="s">
        <v>17</v>
      </c>
      <c r="E81" s="2">
        <f t="shared" si="1"/>
        <v>5676580</v>
      </c>
      <c r="G81" s="2">
        <v>-1000000</v>
      </c>
    </row>
    <row r="82" spans="1:8" x14ac:dyDescent="0.3">
      <c r="A82" s="1">
        <v>46084</v>
      </c>
      <c r="B82" t="s">
        <v>43</v>
      </c>
      <c r="C82" t="s">
        <v>17</v>
      </c>
      <c r="E82" s="2">
        <f t="shared" si="1"/>
        <v>4676580</v>
      </c>
      <c r="G82" s="2">
        <v>-1000000</v>
      </c>
    </row>
    <row r="83" spans="1:8" x14ac:dyDescent="0.3">
      <c r="A83" s="1">
        <v>46084</v>
      </c>
      <c r="B83" t="s">
        <v>47</v>
      </c>
      <c r="C83" t="s">
        <v>16</v>
      </c>
      <c r="E83" s="2">
        <f t="shared" si="1"/>
        <v>3676580</v>
      </c>
      <c r="G83" s="2">
        <v>-3500000</v>
      </c>
    </row>
    <row r="84" spans="1:8" x14ac:dyDescent="0.3">
      <c r="A84" s="1">
        <v>46087</v>
      </c>
      <c r="B84" t="s">
        <v>64</v>
      </c>
      <c r="C84" t="s">
        <v>20</v>
      </c>
      <c r="E84" s="2">
        <f t="shared" si="1"/>
        <v>176580</v>
      </c>
      <c r="F84" s="2">
        <v>1500000</v>
      </c>
      <c r="H84" t="s">
        <v>89</v>
      </c>
    </row>
    <row r="85" spans="1:8" x14ac:dyDescent="0.3">
      <c r="A85" s="1">
        <v>46087</v>
      </c>
      <c r="B85" t="s">
        <v>64</v>
      </c>
      <c r="C85" t="s">
        <v>12</v>
      </c>
      <c r="E85" s="2">
        <f t="shared" si="1"/>
        <v>1676580</v>
      </c>
      <c r="F85" s="2">
        <v>100000</v>
      </c>
      <c r="H85" t="s">
        <v>82</v>
      </c>
    </row>
    <row r="86" spans="1:8" x14ac:dyDescent="0.3">
      <c r="A86" s="1">
        <v>46087</v>
      </c>
      <c r="B86" t="s">
        <v>64</v>
      </c>
      <c r="C86" t="s">
        <v>20</v>
      </c>
      <c r="E86" s="2">
        <f t="shared" si="1"/>
        <v>1776580</v>
      </c>
      <c r="F86" s="2">
        <v>1000000</v>
      </c>
      <c r="H86" t="s">
        <v>89</v>
      </c>
    </row>
    <row r="87" spans="1:8" x14ac:dyDescent="0.3">
      <c r="A87" s="1">
        <v>46087</v>
      </c>
      <c r="B87" t="s">
        <v>40</v>
      </c>
      <c r="C87" t="s">
        <v>12</v>
      </c>
      <c r="E87" s="2">
        <f t="shared" si="1"/>
        <v>2776580</v>
      </c>
      <c r="F87" s="2">
        <v>100000</v>
      </c>
      <c r="H87" t="s">
        <v>114</v>
      </c>
    </row>
    <row r="88" spans="1:8" x14ac:dyDescent="0.3">
      <c r="A88" s="1">
        <v>46087</v>
      </c>
      <c r="B88" t="s">
        <v>44</v>
      </c>
      <c r="C88" t="s">
        <v>12</v>
      </c>
      <c r="E88" s="2">
        <f t="shared" si="1"/>
        <v>2876580</v>
      </c>
      <c r="F88" s="2">
        <v>100000</v>
      </c>
      <c r="H88" t="s">
        <v>114</v>
      </c>
    </row>
    <row r="89" spans="1:8" x14ac:dyDescent="0.3">
      <c r="A89" s="1">
        <v>46087</v>
      </c>
      <c r="B89" t="s">
        <v>43</v>
      </c>
      <c r="C89" t="s">
        <v>17</v>
      </c>
      <c r="E89" s="2">
        <f t="shared" si="1"/>
        <v>2976580</v>
      </c>
      <c r="G89" s="2">
        <v>-1000000</v>
      </c>
    </row>
    <row r="90" spans="1:8" x14ac:dyDescent="0.3">
      <c r="A90" s="1">
        <v>46087</v>
      </c>
      <c r="B90" t="s">
        <v>42</v>
      </c>
      <c r="C90" t="s">
        <v>17</v>
      </c>
      <c r="E90" s="2">
        <f t="shared" si="1"/>
        <v>1976580</v>
      </c>
      <c r="G90" s="2">
        <v>-1000000</v>
      </c>
    </row>
    <row r="91" spans="1:8" x14ac:dyDescent="0.3">
      <c r="A91" s="1">
        <v>46087</v>
      </c>
      <c r="B91" t="s">
        <v>38</v>
      </c>
      <c r="C91" t="s">
        <v>12</v>
      </c>
      <c r="E91" s="2">
        <f t="shared" si="1"/>
        <v>976580</v>
      </c>
      <c r="F91" s="2">
        <v>100000</v>
      </c>
      <c r="H91" t="s">
        <v>114</v>
      </c>
    </row>
    <row r="92" spans="1:8" x14ac:dyDescent="0.3">
      <c r="A92" s="1">
        <v>46087</v>
      </c>
      <c r="B92" t="s">
        <v>101</v>
      </c>
      <c r="C92" t="s">
        <v>12</v>
      </c>
      <c r="E92" s="2">
        <f t="shared" si="1"/>
        <v>1076580</v>
      </c>
      <c r="F92" s="2">
        <v>100000</v>
      </c>
      <c r="H92" t="s">
        <v>114</v>
      </c>
    </row>
    <row r="93" spans="1:8" x14ac:dyDescent="0.3">
      <c r="A93" s="1">
        <v>46090</v>
      </c>
      <c r="B93" t="s">
        <v>63</v>
      </c>
      <c r="C93" t="s">
        <v>9</v>
      </c>
      <c r="E93" s="2">
        <f t="shared" si="1"/>
        <v>1176580</v>
      </c>
      <c r="G93" s="2">
        <v>-223304</v>
      </c>
      <c r="H93" t="s">
        <v>74</v>
      </c>
    </row>
    <row r="94" spans="1:8" x14ac:dyDescent="0.3">
      <c r="A94" s="1">
        <v>46090</v>
      </c>
      <c r="B94" t="s">
        <v>41</v>
      </c>
      <c r="C94" t="s">
        <v>16</v>
      </c>
      <c r="E94" s="2">
        <f t="shared" si="1"/>
        <v>953276</v>
      </c>
      <c r="F94" s="2">
        <v>2000000</v>
      </c>
    </row>
    <row r="95" spans="1:8" x14ac:dyDescent="0.3">
      <c r="A95" s="1">
        <v>46091</v>
      </c>
      <c r="B95" t="s">
        <v>45</v>
      </c>
      <c r="C95" t="s">
        <v>9</v>
      </c>
      <c r="E95" s="2">
        <f t="shared" si="1"/>
        <v>2953276</v>
      </c>
      <c r="G95" s="2">
        <v>-2790</v>
      </c>
    </row>
    <row r="96" spans="1:8" x14ac:dyDescent="0.3">
      <c r="A96" s="1">
        <v>46091</v>
      </c>
      <c r="B96" t="s">
        <v>102</v>
      </c>
      <c r="C96" t="s">
        <v>9</v>
      </c>
      <c r="E96" s="2">
        <f t="shared" si="1"/>
        <v>2950486</v>
      </c>
      <c r="G96" s="2">
        <v>-7500</v>
      </c>
    </row>
    <row r="97" spans="1:8" x14ac:dyDescent="0.3">
      <c r="A97" s="1">
        <v>46091</v>
      </c>
      <c r="B97" t="s">
        <v>103</v>
      </c>
      <c r="C97" t="s">
        <v>9</v>
      </c>
      <c r="D97" t="s">
        <v>26</v>
      </c>
      <c r="E97" s="2">
        <f t="shared" si="1"/>
        <v>2942986</v>
      </c>
      <c r="G97" s="2">
        <v>-10000</v>
      </c>
      <c r="H97" t="s">
        <v>119</v>
      </c>
    </row>
    <row r="98" spans="1:8" x14ac:dyDescent="0.3">
      <c r="A98" s="1">
        <v>46092</v>
      </c>
      <c r="B98" t="s">
        <v>37</v>
      </c>
      <c r="C98" t="s">
        <v>9</v>
      </c>
      <c r="E98" s="2">
        <f t="shared" si="1"/>
        <v>2932986</v>
      </c>
      <c r="G98" s="2">
        <v>-75000</v>
      </c>
      <c r="H98" t="s">
        <v>61</v>
      </c>
    </row>
    <row r="99" spans="1:8" x14ac:dyDescent="0.3">
      <c r="A99" s="1">
        <v>46094</v>
      </c>
      <c r="B99" t="s">
        <v>62</v>
      </c>
      <c r="C99" t="s">
        <v>9</v>
      </c>
      <c r="E99" s="2">
        <f t="shared" si="1"/>
        <v>2857986</v>
      </c>
      <c r="G99" s="2">
        <v>-44040</v>
      </c>
    </row>
    <row r="100" spans="1:8" x14ac:dyDescent="0.3">
      <c r="A100" s="1">
        <v>46094</v>
      </c>
      <c r="B100" t="s">
        <v>104</v>
      </c>
      <c r="C100" t="s">
        <v>20</v>
      </c>
      <c r="D100" t="s">
        <v>24</v>
      </c>
      <c r="E100" s="2">
        <f t="shared" si="1"/>
        <v>2813946</v>
      </c>
      <c r="F100" s="2">
        <v>250000</v>
      </c>
      <c r="H100" t="s">
        <v>116</v>
      </c>
    </row>
    <row r="101" spans="1:8" x14ac:dyDescent="0.3">
      <c r="A101" s="1">
        <v>46094</v>
      </c>
      <c r="B101" t="s">
        <v>105</v>
      </c>
      <c r="C101" t="s">
        <v>20</v>
      </c>
      <c r="D101" t="s">
        <v>23</v>
      </c>
      <c r="E101" s="2">
        <f t="shared" si="1"/>
        <v>3063946</v>
      </c>
      <c r="F101" s="2">
        <v>250000</v>
      </c>
      <c r="H101" t="s">
        <v>116</v>
      </c>
    </row>
    <row r="102" spans="1:8" x14ac:dyDescent="0.3">
      <c r="A102" s="1">
        <v>46094</v>
      </c>
      <c r="B102" t="s">
        <v>106</v>
      </c>
      <c r="C102" t="s">
        <v>9</v>
      </c>
      <c r="E102" s="2">
        <f t="shared" si="1"/>
        <v>3313946</v>
      </c>
      <c r="G102" s="2">
        <v>-16830</v>
      </c>
    </row>
    <row r="103" spans="1:8" x14ac:dyDescent="0.3">
      <c r="A103" s="1">
        <v>46097</v>
      </c>
      <c r="B103" t="s">
        <v>107</v>
      </c>
      <c r="C103" t="s">
        <v>9</v>
      </c>
      <c r="E103" s="2">
        <f t="shared" si="1"/>
        <v>3297116</v>
      </c>
      <c r="G103" s="2">
        <v>-250000</v>
      </c>
      <c r="H103" t="s">
        <v>115</v>
      </c>
    </row>
    <row r="104" spans="1:8" x14ac:dyDescent="0.3">
      <c r="A104" s="1">
        <v>46097</v>
      </c>
      <c r="B104" t="s">
        <v>104</v>
      </c>
      <c r="C104" t="s">
        <v>20</v>
      </c>
      <c r="D104" t="s">
        <v>24</v>
      </c>
      <c r="E104" s="2">
        <f t="shared" si="1"/>
        <v>3047116</v>
      </c>
      <c r="F104" s="2">
        <v>5000000</v>
      </c>
      <c r="H104" t="s">
        <v>116</v>
      </c>
    </row>
    <row r="105" spans="1:8" x14ac:dyDescent="0.3">
      <c r="A105" s="1">
        <v>46097</v>
      </c>
      <c r="B105" t="s">
        <v>105</v>
      </c>
      <c r="C105" t="s">
        <v>20</v>
      </c>
      <c r="D105" t="s">
        <v>23</v>
      </c>
      <c r="E105" s="2">
        <f t="shared" si="1"/>
        <v>8047116</v>
      </c>
      <c r="F105" s="2">
        <v>5000000</v>
      </c>
      <c r="H105" t="s">
        <v>116</v>
      </c>
    </row>
    <row r="106" spans="1:8" x14ac:dyDescent="0.3">
      <c r="A106" s="1">
        <v>46097</v>
      </c>
      <c r="B106" t="s">
        <v>105</v>
      </c>
      <c r="C106" t="s">
        <v>20</v>
      </c>
      <c r="D106" t="s">
        <v>23</v>
      </c>
      <c r="E106" s="2">
        <f t="shared" si="1"/>
        <v>13047116</v>
      </c>
      <c r="F106" s="2">
        <v>5000000</v>
      </c>
      <c r="H106" t="s">
        <v>116</v>
      </c>
    </row>
    <row r="107" spans="1:8" x14ac:dyDescent="0.3">
      <c r="A107" s="1">
        <v>46097</v>
      </c>
      <c r="B107" t="s">
        <v>107</v>
      </c>
      <c r="C107" t="s">
        <v>9</v>
      </c>
      <c r="E107" s="2">
        <f t="shared" si="1"/>
        <v>18047116</v>
      </c>
      <c r="G107" s="2">
        <v>-628573</v>
      </c>
      <c r="H107" t="s">
        <v>115</v>
      </c>
    </row>
    <row r="108" spans="1:8" x14ac:dyDescent="0.3">
      <c r="A108" s="1">
        <v>46097</v>
      </c>
      <c r="B108" t="s">
        <v>105</v>
      </c>
      <c r="C108" t="s">
        <v>20</v>
      </c>
      <c r="D108" t="s">
        <v>23</v>
      </c>
      <c r="E108" s="2">
        <f t="shared" si="1"/>
        <v>17418543</v>
      </c>
      <c r="F108" s="2">
        <v>5000000</v>
      </c>
      <c r="H108" t="s">
        <v>116</v>
      </c>
    </row>
    <row r="109" spans="1:8" x14ac:dyDescent="0.3">
      <c r="A109" s="1">
        <v>46097</v>
      </c>
      <c r="B109" t="s">
        <v>104</v>
      </c>
      <c r="C109" t="s">
        <v>20</v>
      </c>
      <c r="D109" t="s">
        <v>24</v>
      </c>
      <c r="E109" s="2">
        <f t="shared" si="1"/>
        <v>22418543</v>
      </c>
      <c r="F109" s="2">
        <v>4740000</v>
      </c>
      <c r="H109" t="s">
        <v>116</v>
      </c>
    </row>
    <row r="110" spans="1:8" x14ac:dyDescent="0.3">
      <c r="A110" s="1">
        <v>46097</v>
      </c>
      <c r="B110" t="s">
        <v>47</v>
      </c>
      <c r="C110" t="s">
        <v>16</v>
      </c>
      <c r="E110" s="2">
        <f t="shared" si="1"/>
        <v>27158543</v>
      </c>
      <c r="G110" s="2">
        <v>-26500000</v>
      </c>
    </row>
    <row r="111" spans="1:8" x14ac:dyDescent="0.3">
      <c r="A111" s="1">
        <v>46098</v>
      </c>
      <c r="B111" t="s">
        <v>105</v>
      </c>
      <c r="C111" t="s">
        <v>20</v>
      </c>
      <c r="D111" t="s">
        <v>23</v>
      </c>
      <c r="E111" s="2">
        <f t="shared" si="1"/>
        <v>658543</v>
      </c>
      <c r="F111" s="2">
        <v>4740000</v>
      </c>
      <c r="H111" t="s">
        <v>116</v>
      </c>
    </row>
    <row r="112" spans="1:8" x14ac:dyDescent="0.3">
      <c r="A112" s="1">
        <v>46099</v>
      </c>
      <c r="B112" t="s">
        <v>47</v>
      </c>
      <c r="C112" t="s">
        <v>16</v>
      </c>
      <c r="E112" s="2">
        <f t="shared" si="1"/>
        <v>5398543</v>
      </c>
      <c r="G112" s="2">
        <v>-5000000</v>
      </c>
    </row>
    <row r="113" spans="1:8" x14ac:dyDescent="0.3">
      <c r="A113" s="1">
        <v>46099</v>
      </c>
      <c r="B113" t="s">
        <v>106</v>
      </c>
      <c r="C113" t="s">
        <v>9</v>
      </c>
      <c r="E113" s="2">
        <f t="shared" si="1"/>
        <v>398543</v>
      </c>
      <c r="G113" s="2">
        <v>-37680</v>
      </c>
    </row>
    <row r="114" spans="1:8" x14ac:dyDescent="0.3">
      <c r="A114" s="1">
        <v>46100</v>
      </c>
      <c r="B114" t="s">
        <v>54</v>
      </c>
      <c r="C114" t="s">
        <v>12</v>
      </c>
      <c r="E114" s="2">
        <f t="shared" si="1"/>
        <v>360863</v>
      </c>
      <c r="F114" s="2">
        <v>1000000</v>
      </c>
      <c r="H114" t="s">
        <v>84</v>
      </c>
    </row>
    <row r="115" spans="1:8" x14ac:dyDescent="0.3">
      <c r="A115" s="1">
        <v>46100</v>
      </c>
      <c r="B115" t="s">
        <v>108</v>
      </c>
      <c r="C115" t="s">
        <v>9</v>
      </c>
      <c r="E115" s="2">
        <f t="shared" si="1"/>
        <v>1360863</v>
      </c>
      <c r="G115" s="2">
        <v>-21230</v>
      </c>
      <c r="H115" t="s">
        <v>118</v>
      </c>
    </row>
    <row r="116" spans="1:8" x14ac:dyDescent="0.3">
      <c r="A116" s="1">
        <v>46100</v>
      </c>
      <c r="B116" t="s">
        <v>108</v>
      </c>
      <c r="C116" t="s">
        <v>9</v>
      </c>
      <c r="E116" s="2">
        <f t="shared" si="1"/>
        <v>1339633</v>
      </c>
      <c r="G116" s="2">
        <v>-300</v>
      </c>
      <c r="H116" t="s">
        <v>118</v>
      </c>
    </row>
    <row r="117" spans="1:8" x14ac:dyDescent="0.3">
      <c r="A117" s="1">
        <v>46101</v>
      </c>
      <c r="B117" t="s">
        <v>109</v>
      </c>
      <c r="C117" t="s">
        <v>9</v>
      </c>
      <c r="E117" s="2">
        <f t="shared" si="1"/>
        <v>1339333</v>
      </c>
      <c r="G117" s="2">
        <v>-25800</v>
      </c>
      <c r="H117" t="s">
        <v>118</v>
      </c>
    </row>
    <row r="118" spans="1:8" x14ac:dyDescent="0.3">
      <c r="A118" s="1">
        <v>46101</v>
      </c>
      <c r="B118" t="s">
        <v>64</v>
      </c>
      <c r="C118" t="s">
        <v>20</v>
      </c>
      <c r="D118" t="s">
        <v>29</v>
      </c>
      <c r="E118" s="2">
        <f t="shared" si="1"/>
        <v>1313533</v>
      </c>
      <c r="F118" s="2">
        <v>174846</v>
      </c>
      <c r="H118" t="s">
        <v>110</v>
      </c>
    </row>
    <row r="119" spans="1:8" x14ac:dyDescent="0.3">
      <c r="A119" s="1">
        <v>46101</v>
      </c>
      <c r="B119" t="s">
        <v>64</v>
      </c>
      <c r="C119" t="s">
        <v>20</v>
      </c>
      <c r="D119" t="s">
        <v>29</v>
      </c>
      <c r="E119" s="2">
        <f t="shared" si="1"/>
        <v>1488379</v>
      </c>
      <c r="F119" s="2">
        <v>122473</v>
      </c>
      <c r="H119" t="s">
        <v>110</v>
      </c>
    </row>
    <row r="120" spans="1:8" x14ac:dyDescent="0.3">
      <c r="A120" s="1">
        <v>46101</v>
      </c>
      <c r="B120" t="s">
        <v>64</v>
      </c>
      <c r="C120" t="s">
        <v>20</v>
      </c>
      <c r="D120" t="s">
        <v>29</v>
      </c>
      <c r="E120" s="2">
        <f t="shared" si="1"/>
        <v>1610852</v>
      </c>
      <c r="F120" s="2">
        <v>147646</v>
      </c>
      <c r="H120" t="s">
        <v>110</v>
      </c>
    </row>
    <row r="121" spans="1:8" x14ac:dyDescent="0.3">
      <c r="A121" s="1">
        <v>46108</v>
      </c>
      <c r="B121" t="s">
        <v>45</v>
      </c>
      <c r="C121" t="s">
        <v>9</v>
      </c>
      <c r="E121" s="2">
        <f t="shared" si="1"/>
        <v>1758498</v>
      </c>
      <c r="G121" s="2">
        <v>-79555</v>
      </c>
    </row>
    <row r="122" spans="1:8" x14ac:dyDescent="0.3">
      <c r="A122" s="1">
        <v>46111</v>
      </c>
      <c r="B122" t="s">
        <v>36</v>
      </c>
      <c r="C122" t="s">
        <v>9</v>
      </c>
      <c r="E122" s="2">
        <f t="shared" si="1"/>
        <v>1678943</v>
      </c>
      <c r="G122" s="2">
        <v>-24570</v>
      </c>
      <c r="H122" t="s">
        <v>111</v>
      </c>
    </row>
    <row r="123" spans="1:8" x14ac:dyDescent="0.3">
      <c r="A123" s="1">
        <v>46108</v>
      </c>
      <c r="B123" t="s">
        <v>67</v>
      </c>
      <c r="C123" t="s">
        <v>9</v>
      </c>
      <c r="E123" s="2">
        <f t="shared" si="1"/>
        <v>1654373</v>
      </c>
      <c r="G123" s="2">
        <v>-19495</v>
      </c>
    </row>
    <row r="124" spans="1:8" x14ac:dyDescent="0.3">
      <c r="A124" s="1">
        <v>46111</v>
      </c>
      <c r="B124" t="s">
        <v>66</v>
      </c>
      <c r="C124" t="s">
        <v>9</v>
      </c>
      <c r="E124" s="2">
        <f t="shared" si="1"/>
        <v>1634878</v>
      </c>
      <c r="G124" s="2">
        <v>-145191</v>
      </c>
      <c r="H124" t="s">
        <v>112</v>
      </c>
    </row>
    <row r="125" spans="1:8" x14ac:dyDescent="0.3">
      <c r="A125" s="1">
        <v>46111</v>
      </c>
      <c r="B125" t="s">
        <v>45</v>
      </c>
      <c r="C125" t="s">
        <v>9</v>
      </c>
      <c r="E125" s="2">
        <f t="shared" si="1"/>
        <v>1489687</v>
      </c>
      <c r="G125" s="2">
        <v>-2780</v>
      </c>
    </row>
    <row r="126" spans="1:8" x14ac:dyDescent="0.3">
      <c r="A126" s="1">
        <v>46112</v>
      </c>
      <c r="B126" t="s">
        <v>43</v>
      </c>
      <c r="C126" t="s">
        <v>9</v>
      </c>
      <c r="E126" s="2">
        <f t="shared" si="1"/>
        <v>1486907</v>
      </c>
      <c r="G126" s="2">
        <v>-84000</v>
      </c>
      <c r="H126" t="s">
        <v>113</v>
      </c>
    </row>
    <row r="127" spans="1:8" x14ac:dyDescent="0.3">
      <c r="A127" s="1">
        <v>46113</v>
      </c>
      <c r="B127" t="s">
        <v>64</v>
      </c>
      <c r="C127" t="s">
        <v>9</v>
      </c>
      <c r="E127" s="2">
        <f t="shared" si="1"/>
        <v>1402907</v>
      </c>
      <c r="F127" s="2">
        <v>47330</v>
      </c>
      <c r="H127" t="s">
        <v>117</v>
      </c>
    </row>
    <row r="128" spans="1:8" x14ac:dyDescent="0.3">
      <c r="A128" s="1">
        <v>46113</v>
      </c>
      <c r="B128" t="s">
        <v>41</v>
      </c>
      <c r="C128" t="s">
        <v>16</v>
      </c>
      <c r="E128" s="2">
        <f t="shared" si="1"/>
        <v>1450237</v>
      </c>
      <c r="F128" s="2">
        <v>10000000</v>
      </c>
    </row>
    <row r="129" spans="1:8" x14ac:dyDescent="0.3">
      <c r="A129" s="1">
        <v>46113</v>
      </c>
      <c r="B129" t="s">
        <v>44</v>
      </c>
      <c r="C129" t="s">
        <v>12</v>
      </c>
      <c r="E129" s="2">
        <f t="shared" si="1"/>
        <v>11450237</v>
      </c>
      <c r="F129" s="2">
        <v>4000000</v>
      </c>
    </row>
    <row r="130" spans="1:8" x14ac:dyDescent="0.3">
      <c r="A130" s="1">
        <v>46113</v>
      </c>
      <c r="B130" t="s">
        <v>42</v>
      </c>
      <c r="C130" t="s">
        <v>17</v>
      </c>
      <c r="E130" s="2">
        <f t="shared" si="1"/>
        <v>15450237</v>
      </c>
      <c r="G130" s="2">
        <v>-6000000</v>
      </c>
    </row>
    <row r="131" spans="1:8" x14ac:dyDescent="0.3">
      <c r="A131" s="1">
        <v>46113</v>
      </c>
      <c r="B131" t="s">
        <v>43</v>
      </c>
      <c r="C131" t="s">
        <v>17</v>
      </c>
      <c r="E131" s="2">
        <f t="shared" si="1"/>
        <v>9450237</v>
      </c>
      <c r="G131" s="2">
        <v>-6000000</v>
      </c>
    </row>
    <row r="132" spans="1:8" x14ac:dyDescent="0.3">
      <c r="A132" s="1">
        <v>46113</v>
      </c>
      <c r="B132" t="s">
        <v>35</v>
      </c>
      <c r="C132" t="s">
        <v>13</v>
      </c>
      <c r="E132" s="2">
        <f t="shared" ref="E132:E195" si="2">E131+F131+G131</f>
        <v>3450237</v>
      </c>
      <c r="G132" s="2">
        <v>-600000</v>
      </c>
    </row>
    <row r="133" spans="1:8" x14ac:dyDescent="0.3">
      <c r="A133" s="1">
        <v>46113</v>
      </c>
      <c r="B133" t="s">
        <v>55</v>
      </c>
      <c r="C133" t="s">
        <v>9</v>
      </c>
      <c r="E133" s="2">
        <f t="shared" si="2"/>
        <v>2850237</v>
      </c>
      <c r="G133" s="2">
        <v>-1195251</v>
      </c>
      <c r="H133" t="s">
        <v>56</v>
      </c>
    </row>
    <row r="134" spans="1:8" x14ac:dyDescent="0.3">
      <c r="A134" s="1">
        <v>46113</v>
      </c>
      <c r="B134" t="s">
        <v>36</v>
      </c>
      <c r="C134" t="s">
        <v>13</v>
      </c>
      <c r="E134" s="2">
        <f t="shared" si="2"/>
        <v>1654986</v>
      </c>
      <c r="G134" s="2">
        <v>-1200000</v>
      </c>
    </row>
    <row r="135" spans="1:8" x14ac:dyDescent="0.3">
      <c r="A135" s="1">
        <v>46113</v>
      </c>
      <c r="B135" t="s">
        <v>59</v>
      </c>
      <c r="C135" t="s">
        <v>9</v>
      </c>
      <c r="E135" s="2">
        <f t="shared" si="2"/>
        <v>454986</v>
      </c>
      <c r="G135" s="2">
        <v>-46200</v>
      </c>
    </row>
    <row r="136" spans="1:8" x14ac:dyDescent="0.3">
      <c r="A136" s="1">
        <v>46114</v>
      </c>
      <c r="B136" t="s">
        <v>38</v>
      </c>
      <c r="C136" t="s">
        <v>12</v>
      </c>
      <c r="E136" s="2">
        <f t="shared" si="2"/>
        <v>408786</v>
      </c>
      <c r="F136" s="2">
        <v>100000</v>
      </c>
    </row>
    <row r="137" spans="1:8" x14ac:dyDescent="0.3">
      <c r="A137" s="1">
        <v>46114</v>
      </c>
      <c r="B137" t="s">
        <v>40</v>
      </c>
      <c r="C137" t="s">
        <v>12</v>
      </c>
      <c r="E137" s="2">
        <f t="shared" si="2"/>
        <v>508786</v>
      </c>
      <c r="F137" s="2">
        <v>100000</v>
      </c>
    </row>
    <row r="138" spans="1:8" x14ac:dyDescent="0.3">
      <c r="A138" s="1">
        <v>46114</v>
      </c>
      <c r="B138" t="s">
        <v>44</v>
      </c>
      <c r="C138" t="s">
        <v>12</v>
      </c>
      <c r="E138" s="2">
        <f t="shared" si="2"/>
        <v>608786</v>
      </c>
      <c r="F138" s="2">
        <v>100000</v>
      </c>
    </row>
    <row r="139" spans="1:8" x14ac:dyDescent="0.3">
      <c r="A139" s="1">
        <v>46114</v>
      </c>
      <c r="B139" t="s">
        <v>39</v>
      </c>
      <c r="C139" t="s">
        <v>12</v>
      </c>
      <c r="E139" s="2">
        <f t="shared" si="2"/>
        <v>708786</v>
      </c>
      <c r="F139" s="2">
        <v>100000</v>
      </c>
    </row>
    <row r="140" spans="1:8" x14ac:dyDescent="0.3">
      <c r="A140" s="1">
        <v>46114</v>
      </c>
      <c r="B140" t="s">
        <v>41</v>
      </c>
      <c r="C140" t="s">
        <v>16</v>
      </c>
      <c r="E140" s="2">
        <f t="shared" si="2"/>
        <v>808786</v>
      </c>
      <c r="F140" s="2">
        <v>2000000</v>
      </c>
    </row>
    <row r="141" spans="1:8" x14ac:dyDescent="0.3">
      <c r="A141" s="1">
        <v>46119</v>
      </c>
      <c r="B141" t="s">
        <v>42</v>
      </c>
      <c r="C141" t="s">
        <v>17</v>
      </c>
      <c r="E141" s="2">
        <f t="shared" si="2"/>
        <v>2808786</v>
      </c>
      <c r="G141" s="2">
        <v>-1000000</v>
      </c>
    </row>
    <row r="142" spans="1:8" x14ac:dyDescent="0.3">
      <c r="A142" s="1">
        <v>46119</v>
      </c>
      <c r="B142" t="s">
        <v>43</v>
      </c>
      <c r="C142" t="s">
        <v>17</v>
      </c>
      <c r="E142" s="2">
        <f t="shared" si="2"/>
        <v>1808786</v>
      </c>
      <c r="G142" s="2">
        <v>-1000000</v>
      </c>
    </row>
    <row r="143" spans="1:8" x14ac:dyDescent="0.3">
      <c r="A143" s="1">
        <v>46119</v>
      </c>
      <c r="B143" t="s">
        <v>37</v>
      </c>
      <c r="C143" t="s">
        <v>9</v>
      </c>
      <c r="E143" s="2">
        <f t="shared" si="2"/>
        <v>808786</v>
      </c>
      <c r="G143" s="2">
        <v>-100000</v>
      </c>
    </row>
    <row r="144" spans="1:8" x14ac:dyDescent="0.3">
      <c r="A144" s="1">
        <v>46120</v>
      </c>
      <c r="B144" t="s">
        <v>120</v>
      </c>
      <c r="C144" t="s">
        <v>9</v>
      </c>
      <c r="E144" s="2">
        <f t="shared" si="2"/>
        <v>708786</v>
      </c>
      <c r="G144" s="2">
        <v>-68500</v>
      </c>
    </row>
    <row r="145" spans="1:8" x14ac:dyDescent="0.3">
      <c r="A145" s="1">
        <v>46121</v>
      </c>
      <c r="B145" t="s">
        <v>63</v>
      </c>
      <c r="C145" t="s">
        <v>14</v>
      </c>
      <c r="E145" s="2">
        <f t="shared" si="2"/>
        <v>640286</v>
      </c>
      <c r="G145" s="2">
        <v>-438734</v>
      </c>
      <c r="H145" t="s">
        <v>74</v>
      </c>
    </row>
    <row r="146" spans="1:8" x14ac:dyDescent="0.3">
      <c r="A146" s="1">
        <v>46122</v>
      </c>
      <c r="B146" t="s">
        <v>102</v>
      </c>
      <c r="C146" t="s">
        <v>9</v>
      </c>
      <c r="E146" s="2">
        <f t="shared" si="2"/>
        <v>201552</v>
      </c>
      <c r="G146" s="2">
        <v>-10080</v>
      </c>
    </row>
    <row r="147" spans="1:8" x14ac:dyDescent="0.3">
      <c r="A147" s="1">
        <v>46122</v>
      </c>
      <c r="B147" t="s">
        <v>121</v>
      </c>
      <c r="C147" t="s">
        <v>12</v>
      </c>
      <c r="E147" s="2">
        <f t="shared" si="2"/>
        <v>191472</v>
      </c>
      <c r="F147" s="2">
        <v>250000</v>
      </c>
      <c r="H147" t="s">
        <v>122</v>
      </c>
    </row>
    <row r="148" spans="1:8" x14ac:dyDescent="0.3">
      <c r="A148" s="1">
        <v>46127</v>
      </c>
      <c r="B148" t="s">
        <v>121</v>
      </c>
      <c r="C148" t="s">
        <v>20</v>
      </c>
      <c r="D148" t="s">
        <v>53</v>
      </c>
      <c r="E148" s="2">
        <f t="shared" si="2"/>
        <v>441472</v>
      </c>
      <c r="F148" s="2">
        <v>1500000</v>
      </c>
    </row>
    <row r="149" spans="1:8" x14ac:dyDescent="0.3">
      <c r="A149" s="1">
        <v>46127</v>
      </c>
      <c r="B149" t="s">
        <v>121</v>
      </c>
      <c r="C149" t="s">
        <v>12</v>
      </c>
      <c r="E149" s="2">
        <f t="shared" si="2"/>
        <v>1941472</v>
      </c>
      <c r="F149" s="2">
        <v>911505</v>
      </c>
      <c r="H149" t="s">
        <v>123</v>
      </c>
    </row>
    <row r="150" spans="1:8" x14ac:dyDescent="0.3">
      <c r="A150" s="1">
        <v>46127</v>
      </c>
      <c r="B150" t="s">
        <v>124</v>
      </c>
      <c r="C150" t="s">
        <v>9</v>
      </c>
      <c r="E150" s="2">
        <f t="shared" si="2"/>
        <v>2852977</v>
      </c>
      <c r="G150" s="2">
        <v>-250000</v>
      </c>
    </row>
    <row r="151" spans="1:8" x14ac:dyDescent="0.3">
      <c r="A151" s="1">
        <v>46127</v>
      </c>
      <c r="B151" t="s">
        <v>106</v>
      </c>
      <c r="C151" t="s">
        <v>9</v>
      </c>
      <c r="E151" s="2">
        <f t="shared" si="2"/>
        <v>2602977</v>
      </c>
      <c r="G151" s="2">
        <v>-20830</v>
      </c>
    </row>
    <row r="152" spans="1:8" x14ac:dyDescent="0.3">
      <c r="A152" s="1">
        <v>46128</v>
      </c>
      <c r="B152" t="s">
        <v>124</v>
      </c>
      <c r="C152" t="s">
        <v>9</v>
      </c>
      <c r="E152" s="2">
        <f t="shared" si="2"/>
        <v>2582147</v>
      </c>
      <c r="G152" s="2">
        <v>-109856</v>
      </c>
    </row>
    <row r="153" spans="1:8" x14ac:dyDescent="0.3">
      <c r="A153" s="1">
        <v>46132</v>
      </c>
      <c r="B153" t="s">
        <v>43</v>
      </c>
      <c r="C153" t="s">
        <v>9</v>
      </c>
      <c r="E153" s="2">
        <f t="shared" si="2"/>
        <v>2472291</v>
      </c>
      <c r="G153" s="2">
        <v>-22401</v>
      </c>
    </row>
    <row r="154" spans="1:8" x14ac:dyDescent="0.3">
      <c r="A154" s="1">
        <v>46132</v>
      </c>
      <c r="B154" t="s">
        <v>64</v>
      </c>
      <c r="C154" t="s">
        <v>20</v>
      </c>
      <c r="D154" t="s">
        <v>29</v>
      </c>
      <c r="E154" s="2">
        <f t="shared" si="2"/>
        <v>2449890</v>
      </c>
      <c r="F154" s="2">
        <v>175485</v>
      </c>
    </row>
    <row r="155" spans="1:8" x14ac:dyDescent="0.3">
      <c r="A155" s="1">
        <v>46132</v>
      </c>
      <c r="B155" t="s">
        <v>64</v>
      </c>
      <c r="C155" t="s">
        <v>20</v>
      </c>
      <c r="D155" t="s">
        <v>29</v>
      </c>
      <c r="E155" s="2">
        <f t="shared" si="2"/>
        <v>2625375</v>
      </c>
      <c r="F155" s="2">
        <v>148186</v>
      </c>
    </row>
    <row r="156" spans="1:8" x14ac:dyDescent="0.3">
      <c r="A156" s="1">
        <v>46132</v>
      </c>
      <c r="B156" t="s">
        <v>64</v>
      </c>
      <c r="C156" t="s">
        <v>20</v>
      </c>
      <c r="D156" t="s">
        <v>29</v>
      </c>
      <c r="E156" s="2">
        <f t="shared" si="2"/>
        <v>2773561</v>
      </c>
      <c r="F156" s="2">
        <v>122921</v>
      </c>
    </row>
    <row r="157" spans="1:8" x14ac:dyDescent="0.3">
      <c r="A157" s="1">
        <v>46132</v>
      </c>
      <c r="B157" t="s">
        <v>125</v>
      </c>
      <c r="C157" t="s">
        <v>9</v>
      </c>
      <c r="E157" s="2">
        <f t="shared" si="2"/>
        <v>2896482</v>
      </c>
      <c r="G157" s="2">
        <v>-129990</v>
      </c>
      <c r="H157" t="s">
        <v>69</v>
      </c>
    </row>
    <row r="158" spans="1:8" x14ac:dyDescent="0.3">
      <c r="A158" s="1">
        <v>46133</v>
      </c>
      <c r="B158" t="s">
        <v>126</v>
      </c>
      <c r="C158" t="s">
        <v>9</v>
      </c>
      <c r="E158" s="2">
        <f t="shared" si="2"/>
        <v>2766492</v>
      </c>
      <c r="G158" s="2">
        <v>-58850</v>
      </c>
    </row>
    <row r="159" spans="1:8" x14ac:dyDescent="0.3">
      <c r="A159" s="1">
        <v>46133</v>
      </c>
      <c r="B159" t="s">
        <v>127</v>
      </c>
      <c r="C159" t="s">
        <v>9</v>
      </c>
      <c r="E159" s="2">
        <f t="shared" si="2"/>
        <v>2707642</v>
      </c>
      <c r="G159" s="2">
        <v>-13770</v>
      </c>
    </row>
    <row r="160" spans="1:8" x14ac:dyDescent="0.3">
      <c r="A160" s="1">
        <v>46133</v>
      </c>
      <c r="B160" t="s">
        <v>78</v>
      </c>
      <c r="C160" t="s">
        <v>14</v>
      </c>
      <c r="E160" s="2">
        <f t="shared" si="2"/>
        <v>2693872</v>
      </c>
      <c r="G160" s="2">
        <v>-103680</v>
      </c>
      <c r="H160" t="s">
        <v>136</v>
      </c>
    </row>
    <row r="161" spans="1:8" x14ac:dyDescent="0.3">
      <c r="A161" s="1">
        <v>46135</v>
      </c>
      <c r="B161" t="s">
        <v>63</v>
      </c>
      <c r="C161" t="s">
        <v>14</v>
      </c>
      <c r="E161" s="2">
        <f t="shared" si="2"/>
        <v>2590192</v>
      </c>
      <c r="G161" s="2">
        <v>-856520</v>
      </c>
    </row>
    <row r="162" spans="1:8" x14ac:dyDescent="0.3">
      <c r="A162" s="1">
        <v>46136</v>
      </c>
      <c r="B162" t="s">
        <v>128</v>
      </c>
      <c r="C162" t="s">
        <v>12</v>
      </c>
      <c r="E162" s="2">
        <f t="shared" si="2"/>
        <v>1733672</v>
      </c>
      <c r="F162" s="2">
        <v>5000000</v>
      </c>
      <c r="H162" t="s">
        <v>137</v>
      </c>
    </row>
    <row r="163" spans="1:8" x14ac:dyDescent="0.3">
      <c r="A163" s="1">
        <v>46136</v>
      </c>
      <c r="B163" t="s">
        <v>128</v>
      </c>
      <c r="C163" t="s">
        <v>12</v>
      </c>
      <c r="E163" s="2">
        <f t="shared" si="2"/>
        <v>6733672</v>
      </c>
      <c r="F163" s="2">
        <v>5000000</v>
      </c>
      <c r="H163" t="s">
        <v>137</v>
      </c>
    </row>
    <row r="164" spans="1:8" x14ac:dyDescent="0.3">
      <c r="A164" s="1">
        <v>46136</v>
      </c>
      <c r="B164" t="s">
        <v>128</v>
      </c>
      <c r="C164" t="s">
        <v>12</v>
      </c>
      <c r="E164" s="2">
        <f t="shared" si="2"/>
        <v>11733672</v>
      </c>
      <c r="F164" s="2">
        <v>5000000</v>
      </c>
      <c r="H164" t="s">
        <v>137</v>
      </c>
    </row>
    <row r="165" spans="1:8" x14ac:dyDescent="0.3">
      <c r="A165" s="1">
        <v>46136</v>
      </c>
      <c r="B165" t="s">
        <v>128</v>
      </c>
      <c r="C165" t="s">
        <v>12</v>
      </c>
      <c r="E165" s="2">
        <f t="shared" si="2"/>
        <v>16733672</v>
      </c>
      <c r="F165" s="2">
        <v>5000000</v>
      </c>
      <c r="H165" t="s">
        <v>137</v>
      </c>
    </row>
    <row r="166" spans="1:8" x14ac:dyDescent="0.3">
      <c r="A166" s="1">
        <v>46136</v>
      </c>
      <c r="B166" t="s">
        <v>128</v>
      </c>
      <c r="C166" t="s">
        <v>12</v>
      </c>
      <c r="E166" s="2">
        <f t="shared" si="2"/>
        <v>21733672</v>
      </c>
      <c r="F166" s="2">
        <v>5000000</v>
      </c>
      <c r="H166" t="s">
        <v>137</v>
      </c>
    </row>
    <row r="167" spans="1:8" x14ac:dyDescent="0.3">
      <c r="A167" s="1">
        <v>46136</v>
      </c>
      <c r="B167" t="s">
        <v>128</v>
      </c>
      <c r="C167" t="s">
        <v>12</v>
      </c>
      <c r="E167" s="2">
        <f t="shared" si="2"/>
        <v>26733672</v>
      </c>
      <c r="F167" s="2">
        <v>5000000</v>
      </c>
      <c r="H167" t="s">
        <v>137</v>
      </c>
    </row>
    <row r="168" spans="1:8" x14ac:dyDescent="0.3">
      <c r="A168" s="1">
        <v>46136</v>
      </c>
      <c r="B168" t="s">
        <v>128</v>
      </c>
      <c r="C168" t="s">
        <v>12</v>
      </c>
      <c r="E168" s="2">
        <f t="shared" si="2"/>
        <v>31733672</v>
      </c>
      <c r="F168" s="2">
        <v>5000000</v>
      </c>
      <c r="H168" t="s">
        <v>137</v>
      </c>
    </row>
    <row r="169" spans="1:8" x14ac:dyDescent="0.3">
      <c r="A169" s="1">
        <v>46136</v>
      </c>
      <c r="B169" t="s">
        <v>128</v>
      </c>
      <c r="C169" t="s">
        <v>12</v>
      </c>
      <c r="E169" s="2">
        <f t="shared" si="2"/>
        <v>36733672</v>
      </c>
      <c r="F169" s="2">
        <v>5000000</v>
      </c>
      <c r="H169" t="s">
        <v>137</v>
      </c>
    </row>
    <row r="170" spans="1:8" x14ac:dyDescent="0.3">
      <c r="A170" s="1">
        <v>46136</v>
      </c>
      <c r="B170" t="s">
        <v>128</v>
      </c>
      <c r="C170" t="s">
        <v>12</v>
      </c>
      <c r="E170" s="2">
        <f t="shared" si="2"/>
        <v>41733672</v>
      </c>
      <c r="F170" s="2">
        <v>5000000</v>
      </c>
      <c r="H170" t="s">
        <v>137</v>
      </c>
    </row>
    <row r="171" spans="1:8" x14ac:dyDescent="0.3">
      <c r="A171" s="1">
        <v>46136</v>
      </c>
      <c r="B171" t="s">
        <v>128</v>
      </c>
      <c r="C171" t="s">
        <v>12</v>
      </c>
      <c r="E171" s="2">
        <f t="shared" si="2"/>
        <v>46733672</v>
      </c>
      <c r="F171" s="2">
        <v>2500000</v>
      </c>
      <c r="H171" t="s">
        <v>137</v>
      </c>
    </row>
    <row r="172" spans="1:8" x14ac:dyDescent="0.3">
      <c r="A172" s="1">
        <v>46136</v>
      </c>
      <c r="B172" t="s">
        <v>63</v>
      </c>
      <c r="C172" t="s">
        <v>14</v>
      </c>
      <c r="E172" s="2">
        <f t="shared" si="2"/>
        <v>49233672</v>
      </c>
      <c r="G172" s="2">
        <v>-10501193</v>
      </c>
      <c r="H172" t="s">
        <v>133</v>
      </c>
    </row>
    <row r="173" spans="1:8" x14ac:dyDescent="0.3">
      <c r="A173" s="1">
        <v>46136</v>
      </c>
      <c r="B173" t="s">
        <v>129</v>
      </c>
      <c r="C173" t="s">
        <v>15</v>
      </c>
      <c r="E173" s="2">
        <f t="shared" si="2"/>
        <v>38732479</v>
      </c>
      <c r="G173" s="2">
        <v>-200000</v>
      </c>
      <c r="H173" t="s">
        <v>139</v>
      </c>
    </row>
    <row r="174" spans="1:8" x14ac:dyDescent="0.3">
      <c r="A174" s="1">
        <v>46136</v>
      </c>
      <c r="B174" t="s">
        <v>130</v>
      </c>
      <c r="C174" t="s">
        <v>20</v>
      </c>
      <c r="D174" t="s">
        <v>58</v>
      </c>
      <c r="E174" s="2">
        <f t="shared" si="2"/>
        <v>38532479</v>
      </c>
      <c r="G174" s="2">
        <v>-200000</v>
      </c>
    </row>
    <row r="175" spans="1:8" x14ac:dyDescent="0.3">
      <c r="A175" s="1">
        <v>46136</v>
      </c>
      <c r="B175" t="s">
        <v>121</v>
      </c>
      <c r="C175" t="s">
        <v>15</v>
      </c>
      <c r="E175" s="2">
        <f t="shared" si="2"/>
        <v>38332479</v>
      </c>
      <c r="F175" s="2">
        <v>200000</v>
      </c>
      <c r="H175" t="s">
        <v>140</v>
      </c>
    </row>
    <row r="176" spans="1:8" x14ac:dyDescent="0.3">
      <c r="A176" s="1">
        <v>46136</v>
      </c>
      <c r="B176" t="s">
        <v>131</v>
      </c>
      <c r="C176" t="s">
        <v>19</v>
      </c>
      <c r="E176" s="2">
        <f t="shared" si="2"/>
        <v>38532479</v>
      </c>
      <c r="F176" s="2">
        <v>40000000</v>
      </c>
    </row>
    <row r="177" spans="1:8" x14ac:dyDescent="0.3">
      <c r="A177" s="1">
        <v>46139</v>
      </c>
      <c r="B177" t="s">
        <v>37</v>
      </c>
      <c r="C177" t="s">
        <v>9</v>
      </c>
      <c r="E177" s="2">
        <f t="shared" si="2"/>
        <v>78532479</v>
      </c>
      <c r="G177" s="2">
        <v>-50000</v>
      </c>
    </row>
    <row r="178" spans="1:8" x14ac:dyDescent="0.3">
      <c r="A178" s="1">
        <v>46139</v>
      </c>
      <c r="B178" t="s">
        <v>130</v>
      </c>
      <c r="C178" t="s">
        <v>20</v>
      </c>
      <c r="D178" t="s">
        <v>58</v>
      </c>
      <c r="E178" s="2">
        <f t="shared" si="2"/>
        <v>78482479</v>
      </c>
      <c r="G178" s="2">
        <v>-75000000</v>
      </c>
    </row>
    <row r="179" spans="1:8" x14ac:dyDescent="0.3">
      <c r="A179" s="1">
        <v>46139</v>
      </c>
      <c r="B179" t="s">
        <v>41</v>
      </c>
      <c r="C179" t="s">
        <v>16</v>
      </c>
      <c r="E179" s="2">
        <f t="shared" si="2"/>
        <v>3482479</v>
      </c>
      <c r="F179" s="2">
        <v>21450418</v>
      </c>
    </row>
    <row r="180" spans="1:8" x14ac:dyDescent="0.3">
      <c r="A180" s="1">
        <v>46139</v>
      </c>
      <c r="B180" t="s">
        <v>131</v>
      </c>
      <c r="C180" t="s">
        <v>19</v>
      </c>
      <c r="E180" s="2">
        <f t="shared" si="2"/>
        <v>24932897</v>
      </c>
      <c r="F180" s="2">
        <v>12920000</v>
      </c>
    </row>
    <row r="181" spans="1:8" x14ac:dyDescent="0.3">
      <c r="A181" s="1">
        <v>46139</v>
      </c>
      <c r="B181" t="s">
        <v>121</v>
      </c>
      <c r="C181" t="s">
        <v>20</v>
      </c>
      <c r="D181" t="s">
        <v>53</v>
      </c>
      <c r="E181" s="2">
        <f t="shared" si="2"/>
        <v>37852897</v>
      </c>
      <c r="F181" s="2">
        <v>62055000</v>
      </c>
    </row>
    <row r="182" spans="1:8" x14ac:dyDescent="0.3">
      <c r="A182" s="1">
        <v>46139</v>
      </c>
      <c r="B182" t="s">
        <v>130</v>
      </c>
      <c r="C182" t="s">
        <v>20</v>
      </c>
      <c r="D182" t="s">
        <v>58</v>
      </c>
      <c r="E182" s="2">
        <f t="shared" si="2"/>
        <v>99907897</v>
      </c>
      <c r="G182" s="2">
        <v>-24800000</v>
      </c>
    </row>
    <row r="183" spans="1:8" x14ac:dyDescent="0.3">
      <c r="A183" s="1">
        <v>46139</v>
      </c>
      <c r="B183" t="s">
        <v>47</v>
      </c>
      <c r="C183" t="s">
        <v>16</v>
      </c>
      <c r="E183" s="2">
        <f t="shared" si="2"/>
        <v>75107897</v>
      </c>
      <c r="G183" s="2">
        <v>-60000000</v>
      </c>
    </row>
    <row r="184" spans="1:8" x14ac:dyDescent="0.3">
      <c r="A184" s="1">
        <v>46140</v>
      </c>
      <c r="B184" t="s">
        <v>66</v>
      </c>
      <c r="C184" t="s">
        <v>9</v>
      </c>
      <c r="E184" s="2">
        <f t="shared" si="2"/>
        <v>15107897</v>
      </c>
      <c r="G184" s="2">
        <v>-125216</v>
      </c>
      <c r="H184" t="s">
        <v>138</v>
      </c>
    </row>
    <row r="185" spans="1:8" x14ac:dyDescent="0.3">
      <c r="A185" s="1">
        <v>46140</v>
      </c>
      <c r="B185" t="s">
        <v>67</v>
      </c>
      <c r="C185" t="s">
        <v>9</v>
      </c>
      <c r="E185" s="2">
        <f t="shared" si="2"/>
        <v>14982681</v>
      </c>
      <c r="G185" s="2">
        <v>-19522</v>
      </c>
    </row>
    <row r="186" spans="1:8" x14ac:dyDescent="0.3">
      <c r="A186" s="1">
        <v>46142</v>
      </c>
      <c r="B186" t="s">
        <v>132</v>
      </c>
      <c r="C186" t="s">
        <v>12</v>
      </c>
      <c r="E186" s="2">
        <f t="shared" si="2"/>
        <v>14963159</v>
      </c>
      <c r="F186" s="2">
        <v>4000000</v>
      </c>
    </row>
    <row r="187" spans="1:8" x14ac:dyDescent="0.3">
      <c r="A187" s="1">
        <v>46146</v>
      </c>
      <c r="B187" t="s">
        <v>55</v>
      </c>
      <c r="C187" t="s">
        <v>9</v>
      </c>
      <c r="E187" s="2">
        <f t="shared" si="2"/>
        <v>18963159</v>
      </c>
      <c r="G187" s="2">
        <v>-1203606</v>
      </c>
      <c r="H187" t="s">
        <v>56</v>
      </c>
    </row>
    <row r="188" spans="1:8" x14ac:dyDescent="0.3">
      <c r="A188" s="1">
        <v>46146</v>
      </c>
      <c r="B188" t="s">
        <v>42</v>
      </c>
      <c r="C188" t="s">
        <v>17</v>
      </c>
      <c r="E188" s="2">
        <f t="shared" si="2"/>
        <v>17759553</v>
      </c>
      <c r="G188" s="2">
        <v>-7000000</v>
      </c>
    </row>
    <row r="189" spans="1:8" x14ac:dyDescent="0.3">
      <c r="A189" s="1">
        <v>46146</v>
      </c>
      <c r="B189" t="s">
        <v>43</v>
      </c>
      <c r="C189" t="s">
        <v>17</v>
      </c>
      <c r="E189" s="2">
        <f t="shared" si="2"/>
        <v>10759553</v>
      </c>
      <c r="G189" s="2">
        <v>-7000000</v>
      </c>
    </row>
    <row r="190" spans="1:8" x14ac:dyDescent="0.3">
      <c r="A190" s="1">
        <v>46146</v>
      </c>
      <c r="B190" t="s">
        <v>36</v>
      </c>
      <c r="C190" t="s">
        <v>13</v>
      </c>
      <c r="E190" s="2">
        <f t="shared" si="2"/>
        <v>3759553</v>
      </c>
      <c r="G190" s="2">
        <v>-1200000</v>
      </c>
    </row>
    <row r="191" spans="1:8" x14ac:dyDescent="0.3">
      <c r="A191" s="1">
        <v>46146</v>
      </c>
      <c r="B191" t="s">
        <v>59</v>
      </c>
      <c r="C191" t="s">
        <v>9</v>
      </c>
      <c r="E191" s="2">
        <f t="shared" si="2"/>
        <v>2559553</v>
      </c>
      <c r="G191" s="2">
        <v>-46200</v>
      </c>
    </row>
    <row r="192" spans="1:8" x14ac:dyDescent="0.3">
      <c r="A192" s="1">
        <v>46146</v>
      </c>
      <c r="B192" t="s">
        <v>62</v>
      </c>
      <c r="C192" t="s">
        <v>9</v>
      </c>
      <c r="E192" s="2">
        <f t="shared" si="2"/>
        <v>2513353</v>
      </c>
      <c r="G192" s="2">
        <v>-46774</v>
      </c>
    </row>
    <row r="193" spans="1:8" x14ac:dyDescent="0.3">
      <c r="A193" s="1">
        <v>46146</v>
      </c>
      <c r="B193" t="s">
        <v>39</v>
      </c>
      <c r="C193" t="s">
        <v>12</v>
      </c>
      <c r="E193" s="2">
        <f t="shared" si="2"/>
        <v>2466579</v>
      </c>
      <c r="F193" s="2">
        <v>100000</v>
      </c>
      <c r="H193" t="s">
        <v>82</v>
      </c>
    </row>
    <row r="194" spans="1:8" x14ac:dyDescent="0.3">
      <c r="A194" s="1">
        <v>46146</v>
      </c>
      <c r="B194" t="s">
        <v>40</v>
      </c>
      <c r="C194" t="s">
        <v>12</v>
      </c>
      <c r="E194" s="2">
        <f t="shared" si="2"/>
        <v>2566579</v>
      </c>
      <c r="F194" s="2">
        <v>100000</v>
      </c>
      <c r="H194" t="s">
        <v>82</v>
      </c>
    </row>
    <row r="195" spans="1:8" x14ac:dyDescent="0.3">
      <c r="A195" s="1">
        <v>46146</v>
      </c>
      <c r="B195" t="s">
        <v>44</v>
      </c>
      <c r="C195" t="s">
        <v>12</v>
      </c>
      <c r="E195" s="2">
        <f t="shared" si="2"/>
        <v>2666579</v>
      </c>
      <c r="F195" s="2">
        <v>100000</v>
      </c>
      <c r="H195" t="s">
        <v>82</v>
      </c>
    </row>
    <row r="196" spans="1:8" x14ac:dyDescent="0.3">
      <c r="A196" s="1">
        <v>46146</v>
      </c>
      <c r="B196" t="s">
        <v>38</v>
      </c>
      <c r="C196" t="s">
        <v>12</v>
      </c>
      <c r="E196" s="2">
        <f t="shared" ref="E196:E229" si="3">E195+F195+G195</f>
        <v>2766579</v>
      </c>
      <c r="F196" s="2">
        <v>100000</v>
      </c>
      <c r="H196" t="s">
        <v>82</v>
      </c>
    </row>
    <row r="197" spans="1:8" x14ac:dyDescent="0.3">
      <c r="A197" s="1">
        <v>46147</v>
      </c>
      <c r="B197" t="s">
        <v>37</v>
      </c>
      <c r="C197" t="s">
        <v>9</v>
      </c>
      <c r="E197" s="2">
        <f t="shared" si="3"/>
        <v>2866579</v>
      </c>
      <c r="G197" s="2">
        <v>-50000</v>
      </c>
      <c r="H197" t="s">
        <v>135</v>
      </c>
    </row>
    <row r="198" spans="1:8" x14ac:dyDescent="0.3">
      <c r="A198" s="1">
        <v>46147</v>
      </c>
      <c r="B198" t="s">
        <v>36</v>
      </c>
      <c r="C198" t="s">
        <v>9</v>
      </c>
      <c r="E198" s="2">
        <f t="shared" si="3"/>
        <v>2816579</v>
      </c>
      <c r="G198" s="2">
        <v>-61271</v>
      </c>
      <c r="H198" t="s">
        <v>134</v>
      </c>
    </row>
    <row r="199" spans="1:8" x14ac:dyDescent="0.3">
      <c r="A199" s="1">
        <v>46147</v>
      </c>
      <c r="B199" t="s">
        <v>128</v>
      </c>
      <c r="C199" t="s">
        <v>12</v>
      </c>
      <c r="E199" s="2">
        <f t="shared" si="3"/>
        <v>2755308</v>
      </c>
      <c r="F199" s="2">
        <v>5000000</v>
      </c>
      <c r="H199" t="s">
        <v>137</v>
      </c>
    </row>
    <row r="200" spans="1:8" x14ac:dyDescent="0.3">
      <c r="A200" s="1">
        <v>46147</v>
      </c>
      <c r="B200" t="s">
        <v>141</v>
      </c>
      <c r="C200" t="s">
        <v>9</v>
      </c>
      <c r="E200" s="2">
        <f t="shared" si="3"/>
        <v>7755308</v>
      </c>
      <c r="G200" s="2">
        <v>-47520</v>
      </c>
    </row>
    <row r="201" spans="1:8" x14ac:dyDescent="0.3">
      <c r="A201" s="1">
        <v>46148</v>
      </c>
      <c r="B201" t="s">
        <v>127</v>
      </c>
      <c r="C201" t="s">
        <v>9</v>
      </c>
      <c r="E201" s="2">
        <f t="shared" si="3"/>
        <v>7707788</v>
      </c>
      <c r="G201" s="2">
        <v>-12570</v>
      </c>
    </row>
    <row r="202" spans="1:8" x14ac:dyDescent="0.3">
      <c r="A202" s="1">
        <v>46148</v>
      </c>
      <c r="B202" t="s">
        <v>47</v>
      </c>
      <c r="C202" t="s">
        <v>16</v>
      </c>
      <c r="E202" s="2">
        <f t="shared" si="3"/>
        <v>7695218</v>
      </c>
      <c r="G202" s="2">
        <v>-6500000</v>
      </c>
    </row>
    <row r="203" spans="1:8" x14ac:dyDescent="0.3">
      <c r="A203" s="1">
        <v>46149</v>
      </c>
      <c r="B203" t="s">
        <v>42</v>
      </c>
      <c r="C203" t="s">
        <v>9</v>
      </c>
      <c r="E203" s="2">
        <f t="shared" si="3"/>
        <v>1195218</v>
      </c>
      <c r="G203" s="2">
        <v>-31078</v>
      </c>
      <c r="H203" t="s">
        <v>143</v>
      </c>
    </row>
    <row r="204" spans="1:8" x14ac:dyDescent="0.3">
      <c r="A204" s="1">
        <v>46149</v>
      </c>
      <c r="B204" t="s">
        <v>142</v>
      </c>
      <c r="C204" t="s">
        <v>9</v>
      </c>
      <c r="E204" s="2">
        <f t="shared" si="3"/>
        <v>1164140</v>
      </c>
      <c r="G204" s="2">
        <v>-112990</v>
      </c>
      <c r="H204" t="s">
        <v>144</v>
      </c>
    </row>
    <row r="205" spans="1:8" x14ac:dyDescent="0.3">
      <c r="A205" s="1">
        <v>46150</v>
      </c>
      <c r="B205" t="s">
        <v>145</v>
      </c>
      <c r="C205" t="s">
        <v>9</v>
      </c>
      <c r="E205" s="2">
        <f t="shared" si="3"/>
        <v>1051150</v>
      </c>
      <c r="G205" s="2">
        <v>-21585</v>
      </c>
    </row>
    <row r="206" spans="1:8" x14ac:dyDescent="0.3">
      <c r="A206" s="1">
        <v>46150</v>
      </c>
      <c r="B206" t="s">
        <v>63</v>
      </c>
      <c r="C206" t="s">
        <v>14</v>
      </c>
      <c r="E206" s="2">
        <f t="shared" si="3"/>
        <v>1029565</v>
      </c>
      <c r="G206" s="2">
        <v>-396869</v>
      </c>
      <c r="H206" t="s">
        <v>74</v>
      </c>
    </row>
    <row r="207" spans="1:8" x14ac:dyDescent="0.3">
      <c r="A207" s="1">
        <v>46150</v>
      </c>
      <c r="B207" t="s">
        <v>146</v>
      </c>
      <c r="C207" t="s">
        <v>10</v>
      </c>
      <c r="E207" s="2">
        <f t="shared" si="3"/>
        <v>632696</v>
      </c>
      <c r="G207" s="2">
        <v>-47000</v>
      </c>
    </row>
    <row r="208" spans="1:8" x14ac:dyDescent="0.3">
      <c r="A208" s="1">
        <v>46153</v>
      </c>
      <c r="B208" t="s">
        <v>147</v>
      </c>
      <c r="C208" t="s">
        <v>9</v>
      </c>
      <c r="E208" s="2">
        <f t="shared" si="3"/>
        <v>585696</v>
      </c>
      <c r="G208" s="2">
        <v>-75020</v>
      </c>
    </row>
    <row r="209" spans="1:7" x14ac:dyDescent="0.3">
      <c r="A209" s="1">
        <v>46153</v>
      </c>
      <c r="B209" t="s">
        <v>148</v>
      </c>
      <c r="C209" t="s">
        <v>9</v>
      </c>
      <c r="E209" s="2">
        <f t="shared" si="3"/>
        <v>510676</v>
      </c>
      <c r="G209" s="2">
        <v>-10000</v>
      </c>
    </row>
    <row r="210" spans="1:7" x14ac:dyDescent="0.3">
      <c r="A210" s="1">
        <v>46154</v>
      </c>
      <c r="B210" t="s">
        <v>121</v>
      </c>
      <c r="C210" t="s">
        <v>12</v>
      </c>
      <c r="E210" s="2">
        <f t="shared" si="3"/>
        <v>500676</v>
      </c>
      <c r="F210" s="2">
        <v>462266</v>
      </c>
    </row>
    <row r="211" spans="1:7" x14ac:dyDescent="0.3">
      <c r="A211" s="1">
        <v>46157</v>
      </c>
      <c r="B211" t="s">
        <v>145</v>
      </c>
      <c r="C211" t="s">
        <v>9</v>
      </c>
      <c r="E211" s="2">
        <f t="shared" si="3"/>
        <v>962942</v>
      </c>
      <c r="G211" s="2">
        <v>-92811</v>
      </c>
    </row>
    <row r="212" spans="1:7" x14ac:dyDescent="0.3">
      <c r="A212" s="1">
        <v>46160</v>
      </c>
      <c r="B212" t="s">
        <v>149</v>
      </c>
      <c r="C212" t="s">
        <v>9</v>
      </c>
      <c r="E212" s="2">
        <f t="shared" si="3"/>
        <v>870131</v>
      </c>
      <c r="G212" s="2">
        <v>-253000</v>
      </c>
    </row>
    <row r="213" spans="1:7" x14ac:dyDescent="0.3">
      <c r="A213" s="1">
        <v>46162</v>
      </c>
      <c r="B213" t="s">
        <v>64</v>
      </c>
      <c r="C213" t="s">
        <v>20</v>
      </c>
      <c r="D213" t="s">
        <v>29</v>
      </c>
      <c r="E213" s="2">
        <f t="shared" si="3"/>
        <v>617131</v>
      </c>
      <c r="F213" s="2">
        <v>124266</v>
      </c>
    </row>
    <row r="214" spans="1:7" x14ac:dyDescent="0.3">
      <c r="A214" s="1">
        <v>46162</v>
      </c>
      <c r="B214" t="s">
        <v>64</v>
      </c>
      <c r="C214" t="s">
        <v>20</v>
      </c>
      <c r="D214" t="s">
        <v>29</v>
      </c>
      <c r="E214" s="2">
        <f t="shared" si="3"/>
        <v>741397</v>
      </c>
      <c r="F214" s="2">
        <v>177406</v>
      </c>
    </row>
    <row r="215" spans="1:7" x14ac:dyDescent="0.3">
      <c r="A215" s="1">
        <v>46162</v>
      </c>
      <c r="B215" t="s">
        <v>64</v>
      </c>
      <c r="C215" t="s">
        <v>20</v>
      </c>
      <c r="D215" t="s">
        <v>29</v>
      </c>
      <c r="E215" s="2">
        <f t="shared" si="3"/>
        <v>918803</v>
      </c>
      <c r="F215" s="2">
        <v>149808</v>
      </c>
    </row>
    <row r="216" spans="1:7" x14ac:dyDescent="0.3">
      <c r="A216" s="1">
        <v>46162</v>
      </c>
      <c r="B216" t="s">
        <v>102</v>
      </c>
      <c r="C216" t="s">
        <v>9</v>
      </c>
      <c r="E216" s="2">
        <f t="shared" si="3"/>
        <v>1068611</v>
      </c>
      <c r="G216" s="2">
        <v>-3680</v>
      </c>
    </row>
    <row r="217" spans="1:7" x14ac:dyDescent="0.3">
      <c r="A217" s="1">
        <v>46167</v>
      </c>
      <c r="B217" t="s">
        <v>35</v>
      </c>
      <c r="C217" t="s">
        <v>13</v>
      </c>
      <c r="E217" s="2">
        <f t="shared" si="3"/>
        <v>1064931</v>
      </c>
      <c r="G217" s="2">
        <v>-600000</v>
      </c>
    </row>
    <row r="218" spans="1:7" x14ac:dyDescent="0.3">
      <c r="A218" s="1">
        <v>46169</v>
      </c>
      <c r="B218" t="s">
        <v>67</v>
      </c>
      <c r="C218" t="s">
        <v>9</v>
      </c>
      <c r="E218" s="2">
        <f t="shared" si="3"/>
        <v>464931</v>
      </c>
      <c r="G218" s="2">
        <v>-19659</v>
      </c>
    </row>
    <row r="219" spans="1:7" x14ac:dyDescent="0.3">
      <c r="A219" s="1">
        <v>46174</v>
      </c>
      <c r="B219" t="s">
        <v>59</v>
      </c>
      <c r="C219" t="s">
        <v>9</v>
      </c>
      <c r="E219" s="2">
        <f t="shared" si="3"/>
        <v>445272</v>
      </c>
      <c r="G219" s="2">
        <v>-46200</v>
      </c>
    </row>
    <row r="220" spans="1:7" x14ac:dyDescent="0.3">
      <c r="E220" s="2">
        <f t="shared" si="3"/>
        <v>399072</v>
      </c>
    </row>
    <row r="221" spans="1:7" x14ac:dyDescent="0.3">
      <c r="E221" s="2">
        <f t="shared" si="3"/>
        <v>399072</v>
      </c>
    </row>
    <row r="222" spans="1:7" x14ac:dyDescent="0.3">
      <c r="E222" s="2">
        <f t="shared" si="3"/>
        <v>399072</v>
      </c>
    </row>
    <row r="223" spans="1:7" x14ac:dyDescent="0.3">
      <c r="E223" s="2">
        <f t="shared" si="3"/>
        <v>399072</v>
      </c>
    </row>
    <row r="224" spans="1:7" x14ac:dyDescent="0.3">
      <c r="E224" s="2">
        <f t="shared" si="3"/>
        <v>399072</v>
      </c>
    </row>
    <row r="225" spans="5:5" x14ac:dyDescent="0.3">
      <c r="E225" s="2">
        <f t="shared" si="3"/>
        <v>399072</v>
      </c>
    </row>
    <row r="226" spans="5:5" x14ac:dyDescent="0.3">
      <c r="E226" s="2">
        <f t="shared" si="3"/>
        <v>399072</v>
      </c>
    </row>
    <row r="227" spans="5:5" x14ac:dyDescent="0.3">
      <c r="E227" s="2">
        <f t="shared" si="3"/>
        <v>399072</v>
      </c>
    </row>
    <row r="228" spans="5:5" x14ac:dyDescent="0.3">
      <c r="E228" s="2">
        <f t="shared" si="3"/>
        <v>399072</v>
      </c>
    </row>
    <row r="229" spans="5:5" x14ac:dyDescent="0.3">
      <c r="E229" s="2">
        <f t="shared" si="3"/>
        <v>399072</v>
      </c>
    </row>
  </sheetData>
  <phoneticPr fontId="2" type="noConversion"/>
  <conditionalFormatting sqref="C1:C1048576">
    <cfRule type="containsBlanks" dxfId="2" priority="1">
      <formula>LEN(TRIM(C1))=0</formula>
    </cfRule>
  </conditionalFormatting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CD43E9-341B-4979-A63F-D5D03D13154E}">
          <x14:formula1>
            <xm:f>CATEGORIAS!$B$2:$B$16</xm:f>
          </x14:formula1>
          <xm:sqref>D230:D1048576</xm:sqref>
        </x14:dataValidation>
        <x14:dataValidation type="list" allowBlank="1" showInputMessage="1" showErrorMessage="1" xr:uid="{A9C2C19B-A53A-4E01-997D-A2F090F164C8}">
          <x14:formula1>
            <xm:f>CATEGORIAS!$B$2:$B$25</xm:f>
          </x14:formula1>
          <xm:sqref>D2:D229</xm:sqref>
        </x14:dataValidation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417E-E361-417A-B1C7-EF2376066C7F}">
  <dimension ref="A1:E13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7.5546875" style="2" bestFit="1" customWidth="1"/>
  </cols>
  <sheetData>
    <row r="1" spans="1:5" x14ac:dyDescent="0.3">
      <c r="A1" s="3" t="s">
        <v>50</v>
      </c>
      <c r="B1" s="5" t="s">
        <v>49</v>
      </c>
    </row>
    <row r="2" spans="1:5" x14ac:dyDescent="0.3">
      <c r="A2" s="4" t="s">
        <v>48</v>
      </c>
      <c r="B2" s="5">
        <v>79682400</v>
      </c>
      <c r="C2" s="6">
        <f>B2/$B$4</f>
        <v>0.3330369694508471</v>
      </c>
    </row>
    <row r="3" spans="1:5" x14ac:dyDescent="0.3">
      <c r="A3" s="4" t="s">
        <v>12</v>
      </c>
      <c r="B3" s="5">
        <v>159577524</v>
      </c>
      <c r="C3" s="6">
        <f>B3/$B$4</f>
        <v>0.66696303054915285</v>
      </c>
    </row>
    <row r="4" spans="1:5" x14ac:dyDescent="0.3">
      <c r="A4" s="4" t="s">
        <v>51</v>
      </c>
      <c r="B4" s="5">
        <v>239259924</v>
      </c>
      <c r="C4" s="6">
        <f>B4/$B$4</f>
        <v>1</v>
      </c>
    </row>
    <row r="5" spans="1:5" x14ac:dyDescent="0.3">
      <c r="B5"/>
    </row>
    <row r="6" spans="1:5" x14ac:dyDescent="0.3">
      <c r="A6" s="7" t="s">
        <v>52</v>
      </c>
      <c r="B6"/>
    </row>
    <row r="7" spans="1:5" x14ac:dyDescent="0.3">
      <c r="B7"/>
    </row>
    <row r="8" spans="1:5" x14ac:dyDescent="0.3">
      <c r="B8"/>
    </row>
    <row r="9" spans="1:5" x14ac:dyDescent="0.3">
      <c r="B9"/>
    </row>
    <row r="10" spans="1:5" x14ac:dyDescent="0.3">
      <c r="B10"/>
    </row>
    <row r="11" spans="1:5" x14ac:dyDescent="0.3">
      <c r="B11"/>
      <c r="E11" s="6"/>
    </row>
    <row r="12" spans="1:5" x14ac:dyDescent="0.3">
      <c r="B12"/>
      <c r="E12" s="6"/>
    </row>
    <row r="13" spans="1:5" x14ac:dyDescent="0.3">
      <c r="B13"/>
      <c r="E13" s="6"/>
    </row>
  </sheetData>
  <conditionalFormatting sqref="C2">
    <cfRule type="cellIs" dxfId="1" priority="1" operator="greaterThan">
      <formula>0.3</formula>
    </cfRule>
    <cfRule type="cellIs" dxfId="0" priority="2" operator="greaterThan">
      <formula>30</formula>
    </cfRule>
  </conditionalFormatting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8"/>
  <sheetViews>
    <sheetView workbookViewId="0">
      <selection activeCell="D19" sqref="D19"/>
    </sheetView>
  </sheetViews>
  <sheetFormatPr defaultRowHeight="14.4" x14ac:dyDescent="0.3"/>
  <cols>
    <col min="1" max="1" width="28.5546875" bestFit="1" customWidth="1"/>
    <col min="2" max="2" width="19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19</v>
      </c>
      <c r="B2" t="s">
        <v>28</v>
      </c>
    </row>
    <row r="3" spans="1:2" x14ac:dyDescent="0.3">
      <c r="A3" t="s">
        <v>16</v>
      </c>
      <c r="B3" t="s">
        <v>31</v>
      </c>
    </row>
    <row r="4" spans="1:2" x14ac:dyDescent="0.3">
      <c r="A4" t="s">
        <v>9</v>
      </c>
      <c r="B4" t="s">
        <v>30</v>
      </c>
    </row>
    <row r="5" spans="1:2" x14ac:dyDescent="0.3">
      <c r="A5" t="s">
        <v>14</v>
      </c>
      <c r="B5" t="s">
        <v>26</v>
      </c>
    </row>
    <row r="6" spans="1:2" x14ac:dyDescent="0.3">
      <c r="A6" t="s">
        <v>18</v>
      </c>
      <c r="B6" t="s">
        <v>25</v>
      </c>
    </row>
    <row r="7" spans="1:2" x14ac:dyDescent="0.3">
      <c r="A7" t="s">
        <v>11</v>
      </c>
      <c r="B7" t="s">
        <v>34</v>
      </c>
    </row>
    <row r="8" spans="1:2" x14ac:dyDescent="0.3">
      <c r="A8" t="s">
        <v>10</v>
      </c>
      <c r="B8" t="s">
        <v>24</v>
      </c>
    </row>
    <row r="9" spans="1:2" x14ac:dyDescent="0.3">
      <c r="A9" t="s">
        <v>15</v>
      </c>
      <c r="B9" t="s">
        <v>21</v>
      </c>
    </row>
    <row r="10" spans="1:2" x14ac:dyDescent="0.3">
      <c r="A10" t="s">
        <v>20</v>
      </c>
      <c r="B10" t="s">
        <v>27</v>
      </c>
    </row>
    <row r="11" spans="1:2" x14ac:dyDescent="0.3">
      <c r="A11" t="s">
        <v>17</v>
      </c>
      <c r="B11" t="s">
        <v>33</v>
      </c>
    </row>
    <row r="12" spans="1:2" x14ac:dyDescent="0.3">
      <c r="A12" t="s">
        <v>13</v>
      </c>
      <c r="B12" t="s">
        <v>29</v>
      </c>
    </row>
    <row r="13" spans="1:2" x14ac:dyDescent="0.3">
      <c r="A13" t="s">
        <v>12</v>
      </c>
      <c r="B13" t="s">
        <v>23</v>
      </c>
    </row>
    <row r="14" spans="1:2" x14ac:dyDescent="0.3">
      <c r="A14" t="s">
        <v>48</v>
      </c>
      <c r="B14" t="s">
        <v>32</v>
      </c>
    </row>
    <row r="15" spans="1:2" x14ac:dyDescent="0.3">
      <c r="B15" t="s">
        <v>22</v>
      </c>
    </row>
    <row r="16" spans="1:2" x14ac:dyDescent="0.3">
      <c r="B16" t="s">
        <v>53</v>
      </c>
    </row>
    <row r="17" spans="2:2" x14ac:dyDescent="0.3">
      <c r="B17" t="s">
        <v>57</v>
      </c>
    </row>
    <row r="18" spans="2:2" x14ac:dyDescent="0.3">
      <c r="B18" t="s">
        <v>58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A26F-94C8-412A-8360-FAF5C8634983}">
  <dimension ref="A1:D7"/>
  <sheetViews>
    <sheetView workbookViewId="0">
      <selection activeCell="G7" sqref="G7"/>
    </sheetView>
  </sheetViews>
  <sheetFormatPr defaultRowHeight="14.4" x14ac:dyDescent="0.3"/>
  <cols>
    <col min="1" max="1" width="18.33203125" customWidth="1"/>
    <col min="2" max="2" width="27.88671875" bestFit="1" customWidth="1"/>
    <col min="4" max="4" width="10.5546875" bestFit="1" customWidth="1"/>
  </cols>
  <sheetData>
    <row r="1" spans="1:4" x14ac:dyDescent="0.3">
      <c r="A1" s="13" t="s">
        <v>93</v>
      </c>
      <c r="B1" s="14"/>
      <c r="C1" s="13" t="s">
        <v>90</v>
      </c>
      <c r="D1" s="13" t="s">
        <v>91</v>
      </c>
    </row>
    <row r="2" spans="1:4" x14ac:dyDescent="0.3">
      <c r="A2" s="14" t="s">
        <v>94</v>
      </c>
      <c r="B2" s="14" t="s">
        <v>98</v>
      </c>
      <c r="C2" s="14" t="s">
        <v>100</v>
      </c>
      <c r="D2" s="18">
        <v>24000</v>
      </c>
    </row>
    <row r="3" spans="1:4" x14ac:dyDescent="0.3">
      <c r="A3" s="14" t="s">
        <v>95</v>
      </c>
      <c r="B3" s="14" t="s">
        <v>99</v>
      </c>
      <c r="C3" s="14" t="s">
        <v>100</v>
      </c>
      <c r="D3" s="18">
        <v>20000</v>
      </c>
    </row>
    <row r="4" spans="1:4" x14ac:dyDescent="0.3">
      <c r="A4" s="14" t="s">
        <v>96</v>
      </c>
      <c r="B4" s="14" t="s">
        <v>99</v>
      </c>
      <c r="C4" s="14" t="s">
        <v>100</v>
      </c>
      <c r="D4" s="18">
        <v>20000</v>
      </c>
    </row>
    <row r="5" spans="1:4" x14ac:dyDescent="0.3">
      <c r="A5" s="14" t="s">
        <v>97</v>
      </c>
      <c r="B5" s="14" t="s">
        <v>99</v>
      </c>
      <c r="C5" s="14" t="s">
        <v>100</v>
      </c>
      <c r="D5" s="18">
        <v>20000</v>
      </c>
    </row>
    <row r="6" spans="1:4" x14ac:dyDescent="0.3">
      <c r="A6" s="16"/>
      <c r="B6" s="14"/>
      <c r="C6" s="14"/>
      <c r="D6" s="15"/>
    </row>
    <row r="7" spans="1:4" x14ac:dyDescent="0.3">
      <c r="A7" s="13" t="s">
        <v>92</v>
      </c>
      <c r="B7" s="14"/>
      <c r="C7" s="14"/>
      <c r="D7" s="17">
        <f>+SUM(D2:D6)</f>
        <v>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MOVIMIENTOS</vt:lpstr>
      <vt:lpstr>LIMITE PYME</vt:lpstr>
      <vt:lpstr>CATEGORIAS</vt:lpstr>
      <vt:lpstr>Rendiciones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2026-06-01T20:04:06Z</dcterms:modified>
</cp:coreProperties>
</file>
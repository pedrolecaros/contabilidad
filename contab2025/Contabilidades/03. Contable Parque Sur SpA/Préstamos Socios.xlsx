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Desarrollos Ecox 2025\Contabilidades\03. Contable Parque Sur SpA\"/>
    </mc:Choice>
  </mc:AlternateContent>
  <xr:revisionPtr revIDLastSave="0" documentId="13_ncr:1_{213DD413-3BC4-4E61-86D3-16431A6E86AA}" xr6:coauthVersionLast="47" xr6:coauthVersionMax="47" xr10:uidLastSave="{00000000-0000-0000-0000-000000000000}"/>
  <bookViews>
    <workbookView xWindow="-120" yWindow="-120" windowWidth="29040" windowHeight="15840" xr2:uid="{24FBB580-13F5-F745-BEDC-7B8825925677}"/>
  </bookViews>
  <sheets>
    <sheet name="Diario" sheetId="1" r:id="rId1"/>
    <sheet name="Pivot" sheetId="2" r:id="rId2"/>
  </sheets>
  <definedNames>
    <definedName name="_xlnm._FilterDatabase" localSheetId="0" hidden="1">Diario!$A$1:$E$35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I37" i="1"/>
  <c r="I38" i="1" s="1"/>
  <c r="I39" i="1" s="1"/>
  <c r="H37" i="1"/>
  <c r="G38" i="1"/>
  <c r="G37" i="1"/>
  <c r="G7" i="2"/>
  <c r="G6" i="2"/>
  <c r="G4" i="2"/>
  <c r="F7" i="2"/>
  <c r="F6" i="2"/>
  <c r="F5" i="2"/>
  <c r="F4" i="2"/>
  <c r="G9" i="2" l="1"/>
  <c r="F9" i="2"/>
</calcChain>
</file>

<file path=xl/sharedStrings.xml><?xml version="1.0" encoding="utf-8"?>
<sst xmlns="http://schemas.openxmlformats.org/spreadsheetml/2006/main" count="72" uniqueCount="19">
  <si>
    <t>Fecha</t>
  </si>
  <si>
    <t>CLP</t>
  </si>
  <si>
    <t>Total UF</t>
  </si>
  <si>
    <t>Aportante</t>
  </si>
  <si>
    <t>Jopa</t>
  </si>
  <si>
    <t>JLI</t>
  </si>
  <si>
    <t>Ecox</t>
  </si>
  <si>
    <t>Desde Trgualemu SpA</t>
  </si>
  <si>
    <t>FHB</t>
  </si>
  <si>
    <t>PLS</t>
  </si>
  <si>
    <t>Majo</t>
  </si>
  <si>
    <t>En base a reconocimiento de deuda firmado</t>
  </si>
  <si>
    <t>JMP</t>
  </si>
  <si>
    <t>Devuelto 8-3-24</t>
  </si>
  <si>
    <t>Devuelto 1-2-24</t>
  </si>
  <si>
    <t>Row Labels</t>
  </si>
  <si>
    <t>Grand Total</t>
  </si>
  <si>
    <t>Sum of CLP</t>
  </si>
  <si>
    <t>Sum of Total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</si>
</sst>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(&quot;$&quot;* #,##0.0_);_(&quot;$&quot;* \(#,##0.0\);_(&quot;$&quot;* &quot;-&quot;??_);_(@_)"/>
    <numFmt numFmtId="167" formatCode="_(&quot;$&quot;* #,##0_);_(&quot;$&quot;* \(#,##0\);_(&quot;$&quot;* &quot;-&quot;??_);_(@_)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164" fontId="0" fillId="2" borderId="1" xfId="0" applyNumberFormat="1" applyFill="1" applyBorder="1"/>
    <xf numFmtId="0" fontId="0" fillId="2" borderId="0" xfId="0" applyFill="1"/>
    <xf numFmtId="38" fontId="0" fillId="0" borderId="1" xfId="1" applyNumberFormat="1" applyFont="1" applyFill="1" applyBorder="1"/>
    <xf numFmtId="164" fontId="0" fillId="0" borderId="0" xfId="0" applyNumberFormat="1"/>
    <xf numFmtId="44" fontId="0" fillId="0" borderId="0" xfId="2" applyFont="1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2" applyNumberFormat="1" applyFont="1"/>
    <xf numFmtId="167" fontId="0" fillId="0" borderId="0" xfId="2" applyNumberFormat="1" applyFont="1"/>
    <xf numFmtId="167" fontId="0" fillId="0" borderId="0" xfId="0" applyNumberFormat="1"/>
    <xf numFmtId="44" fontId="0" fillId="0" borderId="2" xfId="2" applyFont="1" applyBorder="1"/>
    <xf numFmtId="0" fontId="0" fillId="0" borderId="2" xfId="0" applyBorder="1"/>
  </cellXfs>
  <cellStyles count="3">
    <cellStyle name="Comma [0]" xfId="1" builtinId="6"/>
    <cellStyle name="Currency" xfId="2" builtinId="4"/>
    <cellStyle name="Normal" xfId="0" builtinId="0"/>
  </cellStyles>
  <dxfs count="1">
    <dxf>
      <numFmt numFmtId="167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" refreshedDate="45685.531185069442" createdVersion="8" refreshedVersion="8" minRefreshableVersion="3" recordCount="34" xr:uid="{4F2CE557-C5E7-4541-8748-C34E3CB9F3F2}">
  <cacheSource type="worksheet">
    <worksheetSource ref="A1:D35" sheet="Diario"/>
  </cacheSource>
  <cacheFields count="4">
    <cacheField name="Aportante" numFmtId="0">
      <sharedItems count="7">
        <s v="Jopa"/>
        <s v="JLI"/>
        <s v="Ecox"/>
        <s v="FHB"/>
        <s v="PLS"/>
        <s v="Majo"/>
        <s v="JMP"/>
      </sharedItems>
    </cacheField>
    <cacheField name="Fecha" numFmtId="14">
      <sharedItems containsSemiMixedTypes="0" containsNonDate="0" containsDate="1" containsString="0" minDate="2021-10-05T00:00:00" maxDate="2024-04-26T00:00:00"/>
    </cacheField>
    <cacheField name="CLP" numFmtId="0">
      <sharedItems containsSemiMixedTypes="0" containsString="0" containsNumber="1" containsInteger="1" minValue="-800000" maxValue="10000000" count="16">
        <n v="5000000"/>
        <n v="4720000"/>
        <n v="2500000"/>
        <n v="10000000"/>
        <n v="9440000"/>
        <n v="250000"/>
        <n v="500000"/>
        <n v="1900000"/>
        <n v="3800000"/>
        <n v="600000"/>
        <n v="800000"/>
        <n v="-500000"/>
        <n v="-600000"/>
        <n v="-800000"/>
        <n v="2000000"/>
        <n v="4000000"/>
      </sharedItems>
    </cacheField>
    <cacheField name="Total UF" numFmtId="0">
      <sharedItems containsString="0" containsBlank="1" containsNumber="1" minValue="6.93" maxValue="332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d v="2021-10-08T00:00:00"/>
    <x v="0"/>
    <n v="166.07"/>
  </r>
  <r>
    <x v="0"/>
    <d v="2021-10-14T00:00:00"/>
    <x v="0"/>
    <n v="165.78"/>
  </r>
  <r>
    <x v="0"/>
    <d v="2021-10-20T00:00:00"/>
    <x v="0"/>
    <n v="165.27"/>
  </r>
  <r>
    <x v="0"/>
    <d v="2021-11-11T00:00:00"/>
    <x v="1"/>
    <n v="154.75"/>
  </r>
  <r>
    <x v="0"/>
    <d v="2021-11-25T00:00:00"/>
    <x v="2"/>
    <n v="81.44"/>
  </r>
  <r>
    <x v="1"/>
    <d v="2021-10-05T00:00:00"/>
    <x v="0"/>
    <n v="166.07"/>
  </r>
  <r>
    <x v="1"/>
    <d v="2021-10-14T00:00:00"/>
    <x v="0"/>
    <n v="165.78"/>
  </r>
  <r>
    <x v="1"/>
    <d v="2021-10-20T00:00:00"/>
    <x v="0"/>
    <n v="165.27"/>
  </r>
  <r>
    <x v="1"/>
    <d v="2021-11-11T00:00:00"/>
    <x v="1"/>
    <n v="154.75"/>
  </r>
  <r>
    <x v="1"/>
    <d v="2021-11-25T00:00:00"/>
    <x v="2"/>
    <n v="81.44"/>
  </r>
  <r>
    <x v="2"/>
    <d v="2021-10-05T00:00:00"/>
    <x v="3"/>
    <n v="332.14"/>
  </r>
  <r>
    <x v="2"/>
    <d v="2021-10-12T00:00:00"/>
    <x v="3"/>
    <n v="331.56"/>
  </r>
  <r>
    <x v="2"/>
    <d v="2021-10-20T00:00:00"/>
    <x v="3"/>
    <n v="330.54"/>
  </r>
  <r>
    <x v="2"/>
    <d v="2021-11-11T00:00:00"/>
    <x v="4"/>
    <n v="309.5"/>
  </r>
  <r>
    <x v="2"/>
    <d v="2021-11-25T00:00:00"/>
    <x v="0"/>
    <n v="162.88999999999999"/>
  </r>
  <r>
    <x v="1"/>
    <d v="2023-07-07T00:00:00"/>
    <x v="5"/>
    <n v="6.93"/>
  </r>
  <r>
    <x v="3"/>
    <d v="2023-07-07T00:00:00"/>
    <x v="5"/>
    <n v="6.93"/>
  </r>
  <r>
    <x v="4"/>
    <d v="2023-07-07T00:00:00"/>
    <x v="5"/>
    <n v="6.93"/>
  </r>
  <r>
    <x v="5"/>
    <d v="2023-07-07T00:00:00"/>
    <x v="6"/>
    <n v="13.9"/>
  </r>
  <r>
    <x v="1"/>
    <d v="2023-07-10T00:00:00"/>
    <x v="5"/>
    <n v="6.93"/>
  </r>
  <r>
    <x v="3"/>
    <d v="2023-07-10T00:00:00"/>
    <x v="5"/>
    <n v="6.93"/>
  </r>
  <r>
    <x v="4"/>
    <d v="2023-07-10T00:00:00"/>
    <x v="5"/>
    <n v="6.93"/>
  </r>
  <r>
    <x v="1"/>
    <d v="2023-08-31T00:00:00"/>
    <x v="7"/>
    <n v="52.6"/>
  </r>
  <r>
    <x v="2"/>
    <d v="2023-08-31T00:00:00"/>
    <x v="8"/>
    <n v="105.2"/>
  </r>
  <r>
    <x v="0"/>
    <d v="2023-09-01T00:00:00"/>
    <x v="7"/>
    <n v="52.6"/>
  </r>
  <r>
    <x v="6"/>
    <d v="2023-12-28T00:00:00"/>
    <x v="9"/>
    <m/>
  </r>
  <r>
    <x v="2"/>
    <d v="2023-12-29T00:00:00"/>
    <x v="10"/>
    <m/>
  </r>
  <r>
    <x v="2"/>
    <d v="2024-01-31T00:00:00"/>
    <x v="6"/>
    <m/>
  </r>
  <r>
    <x v="2"/>
    <d v="2024-02-01T00:00:00"/>
    <x v="11"/>
    <m/>
  </r>
  <r>
    <x v="6"/>
    <d v="2024-03-08T00:00:00"/>
    <x v="12"/>
    <m/>
  </r>
  <r>
    <x v="2"/>
    <d v="2024-03-08T00:00:00"/>
    <x v="13"/>
    <m/>
  </r>
  <r>
    <x v="5"/>
    <d v="2024-04-24T00:00:00"/>
    <x v="14"/>
    <n v="53.71"/>
  </r>
  <r>
    <x v="1"/>
    <d v="2024-04-24T00:00:00"/>
    <x v="14"/>
    <n v="53.71"/>
  </r>
  <r>
    <x v="2"/>
    <d v="2024-04-25T00:00:00"/>
    <x v="15"/>
    <n v="107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1F180-87A1-4971-B68C-5F1E8CA49BC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4">
    <pivotField axis="axisRow" showAll="0">
      <items count="8">
        <item x="2"/>
        <item x="3"/>
        <item x="1"/>
        <item x="6"/>
        <item x="0"/>
        <item x="5"/>
        <item x="4"/>
        <item t="default"/>
      </items>
    </pivotField>
    <pivotField numFmtId="14" showAll="0"/>
    <pivotField dataField="1" showAll="0">
      <items count="17">
        <item x="13"/>
        <item x="12"/>
        <item x="11"/>
        <item x="5"/>
        <item x="6"/>
        <item x="9"/>
        <item x="10"/>
        <item x="7"/>
        <item x="14"/>
        <item x="2"/>
        <item x="8"/>
        <item x="15"/>
        <item x="1"/>
        <item x="0"/>
        <item x="4"/>
        <item x="3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LP" fld="2" baseField="0" baseItem="0" numFmtId="44"/>
    <dataField name="Sum of Total UF" fld="3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032A-C8D4-A344-BD56-F2DFFECF979C}">
  <dimension ref="A1:I39"/>
  <sheetViews>
    <sheetView tabSelected="1" topLeftCell="A16" workbookViewId="0">
      <selection activeCell="G30" sqref="G30"/>
    </sheetView>
  </sheetViews>
  <sheetFormatPr defaultColWidth="11" defaultRowHeight="15.75" x14ac:dyDescent="0.25"/>
  <cols>
    <col min="3" max="3" width="18.875" customWidth="1"/>
    <col min="7" max="7" width="14.75" bestFit="1" customWidth="1"/>
    <col min="9" max="9" width="13.75" bestFit="1" customWidth="1"/>
  </cols>
  <sheetData>
    <row r="1" spans="1:9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9" x14ac:dyDescent="0.25">
      <c r="A2" s="2" t="s">
        <v>4</v>
      </c>
      <c r="B2" s="3">
        <v>44477</v>
      </c>
      <c r="C2" s="4">
        <v>5000000</v>
      </c>
      <c r="D2" s="2">
        <v>166.07</v>
      </c>
      <c r="E2" t="s">
        <v>11</v>
      </c>
    </row>
    <row r="3" spans="1:9" x14ac:dyDescent="0.25">
      <c r="A3" s="2" t="s">
        <v>4</v>
      </c>
      <c r="B3" s="3">
        <v>44483</v>
      </c>
      <c r="C3" s="4">
        <v>5000000</v>
      </c>
      <c r="D3" s="2">
        <v>165.78</v>
      </c>
      <c r="E3" t="s">
        <v>11</v>
      </c>
    </row>
    <row r="4" spans="1:9" x14ac:dyDescent="0.25">
      <c r="A4" s="2" t="s">
        <v>4</v>
      </c>
      <c r="B4" s="3">
        <v>44489</v>
      </c>
      <c r="C4" s="4">
        <v>5000000</v>
      </c>
      <c r="D4" s="2">
        <v>165.27</v>
      </c>
      <c r="E4" t="s">
        <v>11</v>
      </c>
    </row>
    <row r="5" spans="1:9" x14ac:dyDescent="0.25">
      <c r="A5" s="2" t="s">
        <v>4</v>
      </c>
      <c r="B5" s="3">
        <v>44511</v>
      </c>
      <c r="C5" s="4">
        <v>4720000</v>
      </c>
      <c r="D5" s="2">
        <v>154.75</v>
      </c>
      <c r="E5" t="s">
        <v>11</v>
      </c>
    </row>
    <row r="6" spans="1:9" x14ac:dyDescent="0.25">
      <c r="A6" s="2" t="s">
        <v>4</v>
      </c>
      <c r="B6" s="3">
        <v>44525</v>
      </c>
      <c r="C6" s="4">
        <v>2500000</v>
      </c>
      <c r="D6" s="2">
        <v>81.44</v>
      </c>
      <c r="E6" t="s">
        <v>11</v>
      </c>
    </row>
    <row r="7" spans="1:9" x14ac:dyDescent="0.25">
      <c r="A7" s="2" t="s">
        <v>5</v>
      </c>
      <c r="B7" s="3">
        <v>44474</v>
      </c>
      <c r="C7" s="4">
        <v>5000000</v>
      </c>
      <c r="D7" s="2">
        <v>166.07</v>
      </c>
      <c r="E7" t="s">
        <v>11</v>
      </c>
    </row>
    <row r="8" spans="1:9" x14ac:dyDescent="0.25">
      <c r="A8" s="2" t="s">
        <v>5</v>
      </c>
      <c r="B8" s="3">
        <v>44483</v>
      </c>
      <c r="C8" s="4">
        <v>5000000</v>
      </c>
      <c r="D8" s="2">
        <v>165.78</v>
      </c>
      <c r="E8" t="s">
        <v>11</v>
      </c>
    </row>
    <row r="9" spans="1:9" x14ac:dyDescent="0.25">
      <c r="A9" s="2" t="s">
        <v>5</v>
      </c>
      <c r="B9" s="3">
        <v>44489</v>
      </c>
      <c r="C9" s="4">
        <v>5000000</v>
      </c>
      <c r="D9" s="2">
        <v>165.27</v>
      </c>
      <c r="E9" t="s">
        <v>11</v>
      </c>
    </row>
    <row r="10" spans="1:9" x14ac:dyDescent="0.25">
      <c r="A10" s="2" t="s">
        <v>5</v>
      </c>
      <c r="B10" s="3">
        <v>44511</v>
      </c>
      <c r="C10" s="4">
        <v>4720000</v>
      </c>
      <c r="D10" s="2">
        <v>154.75</v>
      </c>
      <c r="E10" t="s">
        <v>11</v>
      </c>
    </row>
    <row r="11" spans="1:9" x14ac:dyDescent="0.25">
      <c r="A11" s="2" t="s">
        <v>5</v>
      </c>
      <c r="B11" s="3">
        <v>44525</v>
      </c>
      <c r="C11" s="4">
        <v>2500000</v>
      </c>
      <c r="D11" s="2">
        <v>81.44</v>
      </c>
      <c r="E11" t="s">
        <v>11</v>
      </c>
    </row>
    <row r="12" spans="1:9" x14ac:dyDescent="0.25">
      <c r="A12" s="2" t="s">
        <v>6</v>
      </c>
      <c r="B12" s="3">
        <v>44474</v>
      </c>
      <c r="C12" s="4">
        <v>10000000</v>
      </c>
      <c r="D12" s="2">
        <v>332.14</v>
      </c>
      <c r="E12" t="s">
        <v>11</v>
      </c>
    </row>
    <row r="13" spans="1:9" x14ac:dyDescent="0.25">
      <c r="A13" s="2" t="s">
        <v>6</v>
      </c>
      <c r="B13" s="3">
        <v>44481</v>
      </c>
      <c r="C13" s="4">
        <v>10000000</v>
      </c>
      <c r="D13" s="2">
        <v>331.56</v>
      </c>
      <c r="E13" t="s">
        <v>11</v>
      </c>
    </row>
    <row r="14" spans="1:9" x14ac:dyDescent="0.25">
      <c r="A14" s="2" t="s">
        <v>6</v>
      </c>
      <c r="B14" s="3">
        <v>44489</v>
      </c>
      <c r="C14" s="4">
        <v>10000000</v>
      </c>
      <c r="D14" s="2">
        <v>330.54</v>
      </c>
      <c r="E14" t="s">
        <v>11</v>
      </c>
    </row>
    <row r="15" spans="1:9" x14ac:dyDescent="0.25">
      <c r="A15" s="2" t="s">
        <v>6</v>
      </c>
      <c r="B15" s="3">
        <v>44511</v>
      </c>
      <c r="C15" s="4">
        <v>9440000</v>
      </c>
      <c r="D15" s="5">
        <v>309.5</v>
      </c>
      <c r="E15" t="s">
        <v>11</v>
      </c>
    </row>
    <row r="16" spans="1:9" x14ac:dyDescent="0.25">
      <c r="A16" s="2" t="s">
        <v>6</v>
      </c>
      <c r="B16" s="3">
        <v>44525</v>
      </c>
      <c r="C16" s="4">
        <v>5000000</v>
      </c>
      <c r="D16" s="2">
        <v>162.88999999999999</v>
      </c>
      <c r="E16" t="s">
        <v>11</v>
      </c>
      <c r="I16" t="s">
        <v>7</v>
      </c>
    </row>
    <row r="17" spans="1:6" x14ac:dyDescent="0.25">
      <c r="A17" s="2" t="s">
        <v>5</v>
      </c>
      <c r="B17" s="3">
        <v>45114</v>
      </c>
      <c r="C17" s="4">
        <v>250000</v>
      </c>
      <c r="D17" s="2">
        <v>6.93</v>
      </c>
    </row>
    <row r="18" spans="1:6" x14ac:dyDescent="0.25">
      <c r="A18" s="2" t="s">
        <v>8</v>
      </c>
      <c r="B18" s="3">
        <v>45114</v>
      </c>
      <c r="C18" s="4">
        <v>250000</v>
      </c>
      <c r="D18" s="2">
        <v>6.93</v>
      </c>
    </row>
    <row r="19" spans="1:6" x14ac:dyDescent="0.25">
      <c r="A19" s="2" t="s">
        <v>9</v>
      </c>
      <c r="B19" s="3">
        <v>45114</v>
      </c>
      <c r="C19" s="4">
        <v>250000</v>
      </c>
      <c r="D19" s="2">
        <v>6.93</v>
      </c>
    </row>
    <row r="20" spans="1:6" x14ac:dyDescent="0.25">
      <c r="A20" s="2" t="s">
        <v>10</v>
      </c>
      <c r="B20" s="3">
        <v>45114</v>
      </c>
      <c r="C20" s="4">
        <v>500000</v>
      </c>
      <c r="D20" s="2">
        <v>13.9</v>
      </c>
    </row>
    <row r="21" spans="1:6" x14ac:dyDescent="0.25">
      <c r="A21" s="2" t="s">
        <v>5</v>
      </c>
      <c r="B21" s="3">
        <v>45117</v>
      </c>
      <c r="C21" s="4">
        <v>250000</v>
      </c>
      <c r="D21" s="2">
        <v>6.93</v>
      </c>
    </row>
    <row r="22" spans="1:6" x14ac:dyDescent="0.25">
      <c r="A22" s="2" t="s">
        <v>8</v>
      </c>
      <c r="B22" s="3">
        <v>45117</v>
      </c>
      <c r="C22" s="4">
        <v>250000</v>
      </c>
      <c r="D22" s="2">
        <v>6.93</v>
      </c>
    </row>
    <row r="23" spans="1:6" x14ac:dyDescent="0.25">
      <c r="A23" s="2" t="s">
        <v>9</v>
      </c>
      <c r="B23" s="3">
        <v>45117</v>
      </c>
      <c r="C23" s="4">
        <v>250000</v>
      </c>
      <c r="D23" s="2">
        <v>6.93</v>
      </c>
    </row>
    <row r="24" spans="1:6" x14ac:dyDescent="0.25">
      <c r="A24" s="2" t="s">
        <v>5</v>
      </c>
      <c r="B24" s="3">
        <v>45169</v>
      </c>
      <c r="C24" s="4">
        <v>1900000</v>
      </c>
      <c r="D24" s="2">
        <v>52.6</v>
      </c>
    </row>
    <row r="25" spans="1:6" x14ac:dyDescent="0.25">
      <c r="A25" s="2" t="s">
        <v>6</v>
      </c>
      <c r="B25" s="3">
        <v>45169</v>
      </c>
      <c r="C25" s="4">
        <v>3800000</v>
      </c>
      <c r="D25" s="2">
        <v>105.2</v>
      </c>
    </row>
    <row r="26" spans="1:6" x14ac:dyDescent="0.25">
      <c r="A26" s="2" t="s">
        <v>4</v>
      </c>
      <c r="B26" s="3">
        <v>45170</v>
      </c>
      <c r="C26" s="4">
        <v>1900000</v>
      </c>
      <c r="D26" s="2">
        <v>52.6</v>
      </c>
    </row>
    <row r="27" spans="1:6" x14ac:dyDescent="0.25">
      <c r="A27" s="2" t="s">
        <v>12</v>
      </c>
      <c r="B27" s="3">
        <v>45288</v>
      </c>
      <c r="C27" s="6">
        <v>600000</v>
      </c>
      <c r="D27" s="2"/>
      <c r="E27" s="7" t="s">
        <v>13</v>
      </c>
      <c r="F27" s="7"/>
    </row>
    <row r="28" spans="1:6" x14ac:dyDescent="0.25">
      <c r="A28" s="2" t="s">
        <v>6</v>
      </c>
      <c r="B28" s="3">
        <v>45289</v>
      </c>
      <c r="C28" s="6">
        <v>800000</v>
      </c>
      <c r="D28" s="2"/>
      <c r="E28" s="7" t="s">
        <v>13</v>
      </c>
      <c r="F28" s="7"/>
    </row>
    <row r="29" spans="1:6" x14ac:dyDescent="0.25">
      <c r="A29" s="2" t="s">
        <v>6</v>
      </c>
      <c r="B29" s="3">
        <v>45322</v>
      </c>
      <c r="C29" s="6">
        <v>500000</v>
      </c>
      <c r="D29" s="2"/>
      <c r="E29" s="7" t="s">
        <v>14</v>
      </c>
      <c r="F29" s="7"/>
    </row>
    <row r="30" spans="1:6" x14ac:dyDescent="0.25">
      <c r="A30" s="2" t="s">
        <v>6</v>
      </c>
      <c r="B30" s="3">
        <v>45323</v>
      </c>
      <c r="C30" s="8">
        <v>-500000</v>
      </c>
      <c r="D30" s="2"/>
    </row>
    <row r="31" spans="1:6" x14ac:dyDescent="0.25">
      <c r="A31" s="2" t="s">
        <v>12</v>
      </c>
      <c r="B31" s="3">
        <v>45359</v>
      </c>
      <c r="C31" s="8">
        <v>-600000</v>
      </c>
      <c r="D31" s="2"/>
    </row>
    <row r="32" spans="1:6" x14ac:dyDescent="0.25">
      <c r="A32" s="2" t="s">
        <v>6</v>
      </c>
      <c r="B32" s="3">
        <v>45359</v>
      </c>
      <c r="C32" s="8">
        <v>-800000</v>
      </c>
      <c r="D32" s="2"/>
    </row>
    <row r="33" spans="1:9" x14ac:dyDescent="0.25">
      <c r="A33" s="2" t="s">
        <v>10</v>
      </c>
      <c r="B33" s="3">
        <v>45406</v>
      </c>
      <c r="C33" s="4">
        <v>2000000</v>
      </c>
      <c r="D33" s="2">
        <v>53.71</v>
      </c>
    </row>
    <row r="34" spans="1:9" x14ac:dyDescent="0.25">
      <c r="A34" s="2" t="s">
        <v>5</v>
      </c>
      <c r="B34" s="3">
        <v>45406</v>
      </c>
      <c r="C34" s="4">
        <v>2000000</v>
      </c>
      <c r="D34" s="2">
        <v>53.71</v>
      </c>
    </row>
    <row r="35" spans="1:9" x14ac:dyDescent="0.25">
      <c r="A35" s="2" t="s">
        <v>6</v>
      </c>
      <c r="B35" s="3">
        <v>45407</v>
      </c>
      <c r="C35" s="4">
        <v>4000000</v>
      </c>
      <c r="D35" s="2">
        <v>107.41</v>
      </c>
    </row>
    <row r="37" spans="1:9" x14ac:dyDescent="0.25">
      <c r="G37" s="9">
        <f>+SUM(C2:C35)</f>
        <v>106480000</v>
      </c>
      <c r="H37">
        <f>+SUM(D2:D35)</f>
        <v>3413.9599999999982</v>
      </c>
      <c r="I37" s="11">
        <f>+H37/60</f>
        <v>56.899333333333303</v>
      </c>
    </row>
    <row r="38" spans="1:9" x14ac:dyDescent="0.25">
      <c r="G38" s="10">
        <f>+G37/4</f>
        <v>26620000</v>
      </c>
      <c r="I38" s="17">
        <f>+I37*38500</f>
        <v>2190624.3333333321</v>
      </c>
    </row>
    <row r="39" spans="1:9" x14ac:dyDescent="0.25">
      <c r="I39" s="10">
        <f>+I38/4</f>
        <v>547656.08333333302</v>
      </c>
    </row>
  </sheetData>
  <autoFilter ref="A1:E35" xr:uid="{137B032A-C8D4-A344-BD56-F2DFFECF979C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3A67-3F27-4E02-A77A-1D12B54BE9D3}">
  <dimension ref="A3:H22"/>
  <sheetViews>
    <sheetView workbookViewId="0">
      <selection activeCell="J26" sqref="G11:J26"/>
    </sheetView>
  </sheetViews>
  <sheetFormatPr defaultRowHeight="15.75" x14ac:dyDescent="0.25"/>
  <cols>
    <col min="1" max="1" width="12" bestFit="1" customWidth="1"/>
    <col min="2" max="2" width="15.75" bestFit="1" customWidth="1"/>
    <col min="3" max="3" width="13.75" bestFit="1" customWidth="1"/>
    <col min="4" max="4" width="7.5" bestFit="1" customWidth="1"/>
    <col min="5" max="5" width="6.875" bestFit="1" customWidth="1"/>
    <col min="6" max="6" width="14.75" bestFit="1" customWidth="1"/>
    <col min="7" max="8" width="13.75" bestFit="1" customWidth="1"/>
    <col min="9" max="16" width="7.875" bestFit="1" customWidth="1"/>
    <col min="17" max="17" width="8.875" bestFit="1" customWidth="1"/>
    <col min="18" max="18" width="10.125" bestFit="1" customWidth="1"/>
  </cols>
  <sheetData>
    <row r="3" spans="1:7" x14ac:dyDescent="0.25">
      <c r="A3" s="12" t="s">
        <v>15</v>
      </c>
      <c r="B3" t="s">
        <v>17</v>
      </c>
      <c r="C3" t="s">
        <v>18</v>
      </c>
    </row>
    <row r="4" spans="1:7" x14ac:dyDescent="0.25">
      <c r="A4" s="13" t="s">
        <v>6</v>
      </c>
      <c r="B4" s="16">
        <v>52240000</v>
      </c>
      <c r="C4" s="16">
        <v>1679.2400000000002</v>
      </c>
      <c r="E4" s="15" t="s">
        <v>9</v>
      </c>
      <c r="F4" s="15">
        <f>+GETPIVOTDATA("CLP",$A$3,"Aportante","Ecox")/2+GETPIVOTDATA("CLP",$A$3,"Aportante","PLS")</f>
        <v>26620000</v>
      </c>
      <c r="G4" s="14">
        <f>+GETPIVOTDATA("Sum of Total UF",$A$3,"Aportante","Ecox")/2+GETPIVOTDATA("Sum of Total UF",$A$3,"Aportante","PLS")</f>
        <v>853.48000000000013</v>
      </c>
    </row>
    <row r="5" spans="1:7" x14ac:dyDescent="0.25">
      <c r="A5" s="13" t="s">
        <v>8</v>
      </c>
      <c r="B5" s="16">
        <v>500000</v>
      </c>
      <c r="C5" s="16">
        <v>13.86</v>
      </c>
      <c r="E5" s="15" t="s">
        <v>8</v>
      </c>
      <c r="F5" s="15">
        <f>+GETPIVOTDATA("CLP",$A$3,"Aportante","Ecox")/2+GETPIVOTDATA("CLP",$A$3,"Aportante","FHB")</f>
        <v>26620000</v>
      </c>
      <c r="G5" s="14">
        <f>+G4</f>
        <v>853.48000000000013</v>
      </c>
    </row>
    <row r="6" spans="1:7" x14ac:dyDescent="0.25">
      <c r="A6" s="13" t="s">
        <v>5</v>
      </c>
      <c r="B6" s="16">
        <v>26620000</v>
      </c>
      <c r="C6" s="16">
        <v>853.4799999999999</v>
      </c>
      <c r="E6" s="15" t="s">
        <v>5</v>
      </c>
      <c r="F6" s="15">
        <f>+GETPIVOTDATA("CLP",$A$3,"Aportante","JLI")</f>
        <v>26620000</v>
      </c>
      <c r="G6" s="14">
        <f>+GETPIVOTDATA("Sum of Total UF",$A$3,"Aportante","JLI")</f>
        <v>853.4799999999999</v>
      </c>
    </row>
    <row r="7" spans="1:7" x14ac:dyDescent="0.25">
      <c r="A7" s="13" t="s">
        <v>12</v>
      </c>
      <c r="B7" s="16">
        <v>0</v>
      </c>
      <c r="C7" s="16"/>
      <c r="E7" s="15" t="s">
        <v>12</v>
      </c>
      <c r="F7" s="15">
        <f>+GETPIVOTDATA("CLP",$A$3,"Aportante","Jopa")+GETPIVOTDATA("CLP",$A$3,"Aportante","Majo")</f>
        <v>26620000</v>
      </c>
      <c r="G7" s="14">
        <f>+GETPIVOTDATA("Sum of Total UF",$A$3,"Aportante","Majo")+GETPIVOTDATA("Sum of Total UF",$A$3,"Aportante","Jopa")</f>
        <v>853.52</v>
      </c>
    </row>
    <row r="8" spans="1:7" x14ac:dyDescent="0.25">
      <c r="A8" s="13" t="s">
        <v>4</v>
      </c>
      <c r="B8" s="16">
        <v>24120000</v>
      </c>
      <c r="C8" s="16">
        <v>785.91</v>
      </c>
      <c r="E8" s="18"/>
      <c r="F8" s="18"/>
      <c r="G8" s="18"/>
    </row>
    <row r="9" spans="1:7" x14ac:dyDescent="0.25">
      <c r="A9" s="13" t="s">
        <v>10</v>
      </c>
      <c r="B9" s="16">
        <v>2500000</v>
      </c>
      <c r="C9" s="16">
        <v>67.61</v>
      </c>
      <c r="F9" s="16">
        <f>+SUM(F4:F7)</f>
        <v>106480000</v>
      </c>
      <c r="G9" s="16">
        <f>+SUM(G4:G7)</f>
        <v>3413.96</v>
      </c>
    </row>
    <row r="10" spans="1:7" x14ac:dyDescent="0.25">
      <c r="A10" s="13" t="s">
        <v>9</v>
      </c>
      <c r="B10" s="16">
        <v>500000</v>
      </c>
      <c r="C10" s="16">
        <v>13.86</v>
      </c>
    </row>
    <row r="11" spans="1:7" x14ac:dyDescent="0.25">
      <c r="A11" s="13" t="s">
        <v>16</v>
      </c>
      <c r="B11" s="16">
        <v>106480000</v>
      </c>
      <c r="C11" s="16">
        <v>3413.96</v>
      </c>
      <c r="F11" s="10"/>
      <c r="G11" s="10"/>
    </row>
    <row r="12" spans="1:7" x14ac:dyDescent="0.25">
      <c r="F12" s="10"/>
      <c r="G12" s="10"/>
    </row>
    <row r="13" spans="1:7" x14ac:dyDescent="0.25">
      <c r="G13" s="15"/>
    </row>
    <row r="18" spans="8:8" x14ac:dyDescent="0.25">
      <c r="H18" s="11"/>
    </row>
    <row r="20" spans="8:8" x14ac:dyDescent="0.25">
      <c r="H20" s="11"/>
    </row>
    <row r="22" spans="8:8" x14ac:dyDescent="0.25">
      <c r="H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Diario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Hiriart</dc:creator>
  <cp:lastModifiedBy>Pedro Lecaros</cp:lastModifiedBy>
  <dcterms:created xsi:type="dcterms:W3CDTF">2024-04-24T19:41:08Z</dcterms:created>
  <dcterms:modified xsi:type="dcterms:W3CDTF">2025-01-28T15:53:03Z</dcterms:modified>
</cp:coreProperties>
</file>